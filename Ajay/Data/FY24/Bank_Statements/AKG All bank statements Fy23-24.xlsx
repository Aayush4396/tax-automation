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Archit\Returns\Ajay Gupta\31.03.2024\Bank Accounts\"/>
    </mc:Choice>
  </mc:AlternateContent>
  <xr:revisionPtr revIDLastSave="0" documentId="13_ncr:1_{82F20322-CB9C-48ED-B905-E55479A70287}" xr6:coauthVersionLast="47" xr6:coauthVersionMax="47" xr10:uidLastSave="{00000000-0000-0000-0000-000000000000}"/>
  <bookViews>
    <workbookView xWindow="-108" yWindow="-108" windowWidth="23256" windowHeight="13896" firstSheet="2" activeTab="7" xr2:uid="{AAB1A88D-2D62-455E-94E6-9A9F4A5D44C9}"/>
  </bookViews>
  <sheets>
    <sheet name="AXIS 3167" sheetId="1" r:id="rId1"/>
    <sheet name="BOI 6699" sheetId="15" r:id="rId2"/>
    <sheet name="HDFC 5930" sheetId="4" r:id="rId3"/>
    <sheet name="SBI OD 5441" sheetId="3" r:id="rId4"/>
    <sheet name="SBI Bank 3479" sheetId="2" r:id="rId5"/>
    <sheet name="Conso" sheetId="5" r:id="rId6"/>
    <sheet name="Bank Summary" sheetId="7" r:id="rId7"/>
    <sheet name="Salary" sheetId="16" r:id="rId8"/>
    <sheet name="Leave Encashment" sheetId="9" r:id="rId9"/>
    <sheet name="Ajay SBI Flat Insurance account" sheetId="12" r:id="rId10"/>
  </sheets>
  <externalReferences>
    <externalReference r:id="rId11"/>
  </externalReferences>
  <definedNames>
    <definedName name="_xlnm._FilterDatabase" localSheetId="0" hidden="1">'AXIS 3167'!$A$15:$O$267</definedName>
    <definedName name="_xlnm._FilterDatabase" localSheetId="6" hidden="1">'Bank Summary'!$A$6:$J$57</definedName>
    <definedName name="_xlnm._FilterDatabase" localSheetId="1" hidden="1">'BOI 6699'!$A$17:$G$26</definedName>
    <definedName name="_xlnm._FilterDatabase" localSheetId="5" hidden="1">Conso!$A$3:$H$1632</definedName>
    <definedName name="_xlnm._FilterDatabase" localSheetId="2" hidden="1">'HDFC 5930'!$A$16:$O$1094</definedName>
    <definedName name="_xlnm._FilterDatabase" localSheetId="4" hidden="1">'SBI Bank 3479'!$A$20:$P$227</definedName>
    <definedName name="_xlnm._FilterDatabase" localSheetId="3" hidden="1">'SBI OD 5441'!$A$19:$P$102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16" l="1"/>
  <c r="D11" i="16"/>
  <c r="C11" i="16"/>
  <c r="F11" i="16"/>
  <c r="G11" i="16"/>
  <c r="H11" i="16"/>
  <c r="I11" i="16"/>
  <c r="J11" i="16"/>
  <c r="K11" i="16"/>
  <c r="L11" i="16"/>
  <c r="M11" i="16"/>
  <c r="N11" i="16"/>
  <c r="O11" i="16"/>
  <c r="O9" i="16"/>
  <c r="N9" i="16"/>
  <c r="M9" i="16"/>
  <c r="L9" i="16"/>
  <c r="K9" i="16"/>
  <c r="J9" i="16"/>
  <c r="I9" i="16"/>
  <c r="H9" i="16"/>
  <c r="G9" i="16"/>
  <c r="F9" i="16"/>
  <c r="E9" i="16"/>
  <c r="D9" i="16"/>
  <c r="T8" i="16"/>
  <c r="S8" i="16"/>
  <c r="E17" i="9"/>
  <c r="C9" i="16"/>
  <c r="C19" i="9"/>
  <c r="C15" i="9"/>
  <c r="C4" i="9"/>
  <c r="N26" i="16"/>
  <c r="N23" i="16"/>
  <c r="L23" i="16"/>
  <c r="AB8" i="16"/>
  <c r="K8" i="16"/>
  <c r="K2" i="16" s="1"/>
  <c r="AB7" i="16"/>
  <c r="P7" i="16"/>
  <c r="R7" i="16" s="1"/>
  <c r="AB6" i="16"/>
  <c r="P6" i="16"/>
  <c r="R6" i="16" s="1"/>
  <c r="AB5" i="16"/>
  <c r="H5" i="16"/>
  <c r="G5" i="16"/>
  <c r="P5" i="16" s="1"/>
  <c r="AB4" i="16"/>
  <c r="R4" i="16"/>
  <c r="P4" i="16"/>
  <c r="N2" i="16"/>
  <c r="M2" i="16"/>
  <c r="L2" i="16"/>
  <c r="J2" i="16"/>
  <c r="I2" i="16"/>
  <c r="H2" i="16"/>
  <c r="G2" i="16"/>
  <c r="F2" i="16"/>
  <c r="E2" i="16"/>
  <c r="D2" i="16"/>
  <c r="C2" i="16"/>
  <c r="U1" i="16"/>
  <c r="AB2" i="16" l="1"/>
  <c r="AC5" i="16"/>
  <c r="R5" i="16"/>
  <c r="AC4" i="16"/>
  <c r="P8" i="16"/>
  <c r="AC8" i="16" l="1"/>
  <c r="R8" i="16"/>
  <c r="P2" i="16"/>
  <c r="J1229" i="5"/>
  <c r="E36" i="7" l="1"/>
  <c r="E35" i="7"/>
  <c r="E34" i="7"/>
  <c r="E33" i="7"/>
  <c r="C39" i="7"/>
  <c r="E39" i="7"/>
  <c r="C40" i="7"/>
  <c r="E40" i="7"/>
  <c r="I40" i="7"/>
  <c r="J40" i="7"/>
  <c r="C41" i="7"/>
  <c r="E41" i="7"/>
  <c r="I41" i="7"/>
  <c r="J41" i="7"/>
  <c r="E9" i="7"/>
  <c r="E10" i="7"/>
  <c r="E11" i="7"/>
  <c r="E12" i="7"/>
  <c r="E13" i="7"/>
  <c r="E14" i="7"/>
  <c r="E15" i="7"/>
  <c r="E16" i="7"/>
  <c r="E17" i="7"/>
  <c r="E18" i="7"/>
  <c r="E19" i="7"/>
  <c r="E20" i="7"/>
  <c r="E21" i="7"/>
  <c r="E22" i="7"/>
  <c r="E23" i="7"/>
  <c r="E24" i="7"/>
  <c r="E25" i="7"/>
  <c r="E26" i="7"/>
  <c r="E27" i="7"/>
  <c r="E28" i="7"/>
  <c r="E29" i="7"/>
  <c r="E30" i="7"/>
  <c r="E31" i="7"/>
  <c r="E32" i="7"/>
  <c r="C9" i="7"/>
  <c r="C33" i="7"/>
  <c r="C10" i="7"/>
  <c r="C11" i="7"/>
  <c r="C12" i="7"/>
  <c r="C13" i="7"/>
  <c r="C14" i="7"/>
  <c r="C15" i="7"/>
  <c r="C16" i="7"/>
  <c r="C17" i="7"/>
  <c r="C18" i="7"/>
  <c r="C19" i="7"/>
  <c r="C20" i="7"/>
  <c r="C21" i="7"/>
  <c r="C22" i="7"/>
  <c r="C23" i="7"/>
  <c r="C24" i="7"/>
  <c r="C25" i="7"/>
  <c r="C26" i="7"/>
  <c r="C27" i="7"/>
  <c r="C28" i="7"/>
  <c r="C29" i="7"/>
  <c r="C30" i="7"/>
  <c r="C31" i="7"/>
  <c r="C32" i="7"/>
  <c r="C34" i="7"/>
  <c r="C35" i="7"/>
  <c r="C36" i="7"/>
  <c r="C37" i="7"/>
  <c r="E2" i="5"/>
  <c r="N16" i="1"/>
  <c r="J44" i="7"/>
  <c r="J43" i="7"/>
  <c r="J42" i="7"/>
  <c r="H19" i="15"/>
  <c r="D2" i="5"/>
  <c r="J1396" i="5"/>
  <c r="J1628" i="5"/>
  <c r="J1627" i="5"/>
  <c r="J1626" i="5"/>
  <c r="J1625" i="5"/>
  <c r="J1624" i="5"/>
  <c r="J1623" i="5"/>
  <c r="J1622" i="5"/>
  <c r="J1621" i="5"/>
  <c r="J1620" i="5"/>
  <c r="J1619" i="5"/>
  <c r="J1618" i="5"/>
  <c r="J1617" i="5"/>
  <c r="J1616" i="5"/>
  <c r="J1615" i="5"/>
  <c r="J1614" i="5"/>
  <c r="J1613" i="5"/>
  <c r="J1612" i="5"/>
  <c r="J1611" i="5"/>
  <c r="J1610" i="5"/>
  <c r="J1609" i="5"/>
  <c r="J1608" i="5"/>
  <c r="J1607" i="5"/>
  <c r="J1606" i="5"/>
  <c r="J1605" i="5"/>
  <c r="J1604" i="5"/>
  <c r="J1603" i="5"/>
  <c r="J1602" i="5"/>
  <c r="J1601" i="5"/>
  <c r="J1600" i="5"/>
  <c r="J1599" i="5"/>
  <c r="J1598" i="5"/>
  <c r="J1597" i="5"/>
  <c r="J1596" i="5"/>
  <c r="J1595" i="5"/>
  <c r="J1594" i="5"/>
  <c r="J1593" i="5"/>
  <c r="J1592" i="5"/>
  <c r="J1591" i="5"/>
  <c r="J1590" i="5"/>
  <c r="J1589" i="5"/>
  <c r="J1588" i="5"/>
  <c r="J1587" i="5"/>
  <c r="J1586" i="5"/>
  <c r="J1585" i="5"/>
  <c r="J1584" i="5"/>
  <c r="J1583" i="5"/>
  <c r="J1582" i="5"/>
  <c r="J1581" i="5"/>
  <c r="J1580" i="5"/>
  <c r="J1579" i="5"/>
  <c r="J1578" i="5"/>
  <c r="J1577" i="5"/>
  <c r="J1576" i="5"/>
  <c r="J1575" i="5"/>
  <c r="J1574" i="5"/>
  <c r="J1573" i="5"/>
  <c r="J1572" i="5"/>
  <c r="J1571" i="5"/>
  <c r="J1570" i="5"/>
  <c r="J1569" i="5"/>
  <c r="J1568" i="5"/>
  <c r="J1567" i="5"/>
  <c r="J1566" i="5"/>
  <c r="J1565" i="5"/>
  <c r="J1564" i="5"/>
  <c r="J1563" i="5"/>
  <c r="J1562" i="5"/>
  <c r="J1561" i="5"/>
  <c r="J1560" i="5"/>
  <c r="J1559" i="5"/>
  <c r="J1558" i="5"/>
  <c r="J1557" i="5"/>
  <c r="J1556" i="5"/>
  <c r="J1555" i="5"/>
  <c r="J1554" i="5"/>
  <c r="J1553" i="5"/>
  <c r="J1552" i="5"/>
  <c r="J1551" i="5"/>
  <c r="J1550" i="5"/>
  <c r="J1549" i="5"/>
  <c r="J1548" i="5"/>
  <c r="J1547" i="5"/>
  <c r="J1546" i="5"/>
  <c r="J1545" i="5"/>
  <c r="J1544" i="5"/>
  <c r="J1543" i="5"/>
  <c r="J1542" i="5"/>
  <c r="J1541" i="5"/>
  <c r="J1540" i="5"/>
  <c r="J1539" i="5"/>
  <c r="J1538" i="5"/>
  <c r="J1537" i="5"/>
  <c r="J1536" i="5"/>
  <c r="J1535" i="5"/>
  <c r="J1534" i="5"/>
  <c r="J1533" i="5"/>
  <c r="J1532" i="5"/>
  <c r="J1531" i="5"/>
  <c r="J1530" i="5"/>
  <c r="J1529" i="5"/>
  <c r="J1528" i="5"/>
  <c r="J1527" i="5"/>
  <c r="J1526" i="5"/>
  <c r="J1525" i="5"/>
  <c r="J1524" i="5"/>
  <c r="J1523" i="5"/>
  <c r="J1522" i="5"/>
  <c r="J1521" i="5"/>
  <c r="J1520" i="5"/>
  <c r="J1519" i="5"/>
  <c r="J1518" i="5"/>
  <c r="J1517" i="5"/>
  <c r="J1516" i="5"/>
  <c r="J1515" i="5"/>
  <c r="J1514" i="5"/>
  <c r="J1513" i="5"/>
  <c r="J1512" i="5"/>
  <c r="J1511" i="5"/>
  <c r="J1510" i="5"/>
  <c r="J1509" i="5"/>
  <c r="J1508" i="5"/>
  <c r="J1507" i="5"/>
  <c r="J1506" i="5"/>
  <c r="J1505" i="5"/>
  <c r="J1504" i="5"/>
  <c r="J1503" i="5"/>
  <c r="J1502" i="5"/>
  <c r="J1501" i="5"/>
  <c r="J1500" i="5"/>
  <c r="J1499" i="5"/>
  <c r="J1498" i="5"/>
  <c r="J1497" i="5"/>
  <c r="J1496" i="5"/>
  <c r="J1495" i="5"/>
  <c r="J1494" i="5"/>
  <c r="J1493" i="5"/>
  <c r="J1492" i="5"/>
  <c r="J1491" i="5"/>
  <c r="J1490" i="5"/>
  <c r="J1489" i="5"/>
  <c r="J1488" i="5"/>
  <c r="J1487" i="5"/>
  <c r="J1486" i="5"/>
  <c r="J1485" i="5"/>
  <c r="J1484" i="5"/>
  <c r="J1483" i="5"/>
  <c r="J1482" i="5"/>
  <c r="J1481" i="5"/>
  <c r="J1480" i="5"/>
  <c r="J1479" i="5"/>
  <c r="J1478" i="5"/>
  <c r="J1477" i="5"/>
  <c r="J1476" i="5"/>
  <c r="J1475" i="5"/>
  <c r="J1474" i="5"/>
  <c r="J1473" i="5"/>
  <c r="J1472" i="5"/>
  <c r="J1471" i="5"/>
  <c r="J1470" i="5"/>
  <c r="J1469" i="5"/>
  <c r="J1468" i="5"/>
  <c r="J1467" i="5"/>
  <c r="J1466" i="5"/>
  <c r="J1465" i="5"/>
  <c r="J1464" i="5"/>
  <c r="J1463" i="5"/>
  <c r="J1462" i="5"/>
  <c r="J1461" i="5"/>
  <c r="J1460" i="5"/>
  <c r="J1459" i="5"/>
  <c r="J1458" i="5"/>
  <c r="J1457" i="5"/>
  <c r="J1456" i="5"/>
  <c r="J1455" i="5"/>
  <c r="J1454" i="5"/>
  <c r="J1453" i="5"/>
  <c r="J1452" i="5"/>
  <c r="J1451" i="5"/>
  <c r="J1450" i="5"/>
  <c r="J1449" i="5"/>
  <c r="J1448" i="5"/>
  <c r="J1447" i="5"/>
  <c r="J1446" i="5"/>
  <c r="J1445" i="5"/>
  <c r="J1444" i="5"/>
  <c r="J1443" i="5"/>
  <c r="J1442" i="5"/>
  <c r="J1441" i="5"/>
  <c r="J1440" i="5"/>
  <c r="J1439" i="5"/>
  <c r="J1438" i="5"/>
  <c r="J1437" i="5"/>
  <c r="J1436" i="5"/>
  <c r="J1435" i="5"/>
  <c r="J1434" i="5"/>
  <c r="J1433" i="5"/>
  <c r="J1432" i="5"/>
  <c r="J1431" i="5"/>
  <c r="J1430" i="5"/>
  <c r="J1429" i="5"/>
  <c r="J1428" i="5"/>
  <c r="J1427" i="5"/>
  <c r="J1426" i="5"/>
  <c r="J1425" i="5"/>
  <c r="J1424" i="5"/>
  <c r="J1423" i="5"/>
  <c r="J1422" i="5"/>
  <c r="J1421" i="5"/>
  <c r="J1420" i="5"/>
  <c r="J1419" i="5"/>
  <c r="J1418" i="5"/>
  <c r="J1417" i="5"/>
  <c r="J1416" i="5"/>
  <c r="J1415" i="5"/>
  <c r="J1414" i="5"/>
  <c r="J1413" i="5"/>
  <c r="J1412" i="5"/>
  <c r="J1411" i="5"/>
  <c r="J1410" i="5"/>
  <c r="J1409" i="5"/>
  <c r="J1408" i="5"/>
  <c r="J1407" i="5"/>
  <c r="J1406" i="5"/>
  <c r="J1405" i="5"/>
  <c r="J1404" i="5"/>
  <c r="J1403" i="5"/>
  <c r="J1402" i="5"/>
  <c r="J1401" i="5"/>
  <c r="J1400" i="5"/>
  <c r="J1399" i="5"/>
  <c r="J1398" i="5"/>
  <c r="J1397" i="5"/>
  <c r="J1105" i="5"/>
  <c r="J1104" i="5"/>
  <c r="J1103" i="5"/>
  <c r="J1102" i="5"/>
  <c r="J1101" i="5"/>
  <c r="J1100" i="5"/>
  <c r="J1099" i="5"/>
  <c r="J1098" i="5"/>
  <c r="J1097" i="5"/>
  <c r="J1096" i="5"/>
  <c r="J1095" i="5"/>
  <c r="J1094" i="5"/>
  <c r="J1093" i="5"/>
  <c r="J1092" i="5"/>
  <c r="J1091" i="5"/>
  <c r="J1090" i="5"/>
  <c r="J1089" i="5"/>
  <c r="J1088" i="5"/>
  <c r="J1087" i="5"/>
  <c r="J1086" i="5"/>
  <c r="J1085" i="5"/>
  <c r="J1084" i="5"/>
  <c r="J1083" i="5"/>
  <c r="J1082" i="5"/>
  <c r="J1081" i="5"/>
  <c r="J1080" i="5"/>
  <c r="J1079" i="5"/>
  <c r="J1078" i="5"/>
  <c r="J1077" i="5"/>
  <c r="J1076" i="5"/>
  <c r="J1075" i="5"/>
  <c r="J1074" i="5"/>
  <c r="J1073" i="5"/>
  <c r="J1072" i="5"/>
  <c r="J1071" i="5"/>
  <c r="J1070" i="5"/>
  <c r="J1069" i="5"/>
  <c r="J1068" i="5"/>
  <c r="J1067" i="5"/>
  <c r="J1066" i="5"/>
  <c r="J1065" i="5"/>
  <c r="J1064" i="5"/>
  <c r="J1063" i="5"/>
  <c r="J1062" i="5"/>
  <c r="J1061" i="5"/>
  <c r="J1060" i="5"/>
  <c r="J1059" i="5"/>
  <c r="J1058" i="5"/>
  <c r="J1057" i="5"/>
  <c r="J1056" i="5"/>
  <c r="J1055" i="5"/>
  <c r="J1054" i="5"/>
  <c r="J1053" i="5"/>
  <c r="J1052" i="5"/>
  <c r="J1051" i="5"/>
  <c r="J1050" i="5"/>
  <c r="J1049" i="5"/>
  <c r="J1048" i="5"/>
  <c r="J1047" i="5"/>
  <c r="J1046" i="5"/>
  <c r="J1045" i="5"/>
  <c r="J1044" i="5"/>
  <c r="J1043" i="5"/>
  <c r="J1042" i="5"/>
  <c r="J1041" i="5"/>
  <c r="J1040" i="5"/>
  <c r="J1039" i="5"/>
  <c r="J1038" i="5"/>
  <c r="J1037" i="5"/>
  <c r="J1036" i="5"/>
  <c r="J1035" i="5"/>
  <c r="J1034" i="5"/>
  <c r="J1033" i="5"/>
  <c r="J1032" i="5"/>
  <c r="J1031" i="5"/>
  <c r="J1030" i="5"/>
  <c r="J1029" i="5"/>
  <c r="J1028" i="5"/>
  <c r="J1027" i="5"/>
  <c r="J1026" i="5"/>
  <c r="J1025" i="5"/>
  <c r="J1024" i="5"/>
  <c r="J1023" i="5"/>
  <c r="J1022" i="5"/>
  <c r="J1021" i="5"/>
  <c r="J1020" i="5"/>
  <c r="J1019" i="5"/>
  <c r="J1018" i="5"/>
  <c r="J1017" i="5"/>
  <c r="J1016" i="5"/>
  <c r="J1015" i="5"/>
  <c r="J1014" i="5"/>
  <c r="J1013" i="5"/>
  <c r="J1012" i="5"/>
  <c r="J1011" i="5"/>
  <c r="J1010" i="5"/>
  <c r="J1009" i="5"/>
  <c r="J1008" i="5"/>
  <c r="J1007" i="5"/>
  <c r="J1006" i="5"/>
  <c r="J1005" i="5"/>
  <c r="J1004" i="5"/>
  <c r="J1003" i="5"/>
  <c r="J1002" i="5"/>
  <c r="J1001" i="5"/>
  <c r="J1000" i="5"/>
  <c r="J999" i="5"/>
  <c r="J998" i="5"/>
  <c r="J997" i="5"/>
  <c r="J996" i="5"/>
  <c r="J995" i="5"/>
  <c r="J994" i="5"/>
  <c r="J993" i="5"/>
  <c r="J992" i="5"/>
  <c r="J991" i="5"/>
  <c r="J990" i="5"/>
  <c r="J989" i="5"/>
  <c r="J988" i="5"/>
  <c r="J987" i="5"/>
  <c r="J986" i="5"/>
  <c r="J985" i="5"/>
  <c r="J984" i="5"/>
  <c r="J983" i="5"/>
  <c r="J982" i="5"/>
  <c r="J981" i="5"/>
  <c r="J980" i="5"/>
  <c r="J979" i="5"/>
  <c r="J978" i="5"/>
  <c r="J977" i="5"/>
  <c r="J976" i="5"/>
  <c r="J975" i="5"/>
  <c r="J974" i="5"/>
  <c r="J973" i="5"/>
  <c r="J972" i="5"/>
  <c r="J971" i="5"/>
  <c r="J970" i="5"/>
  <c r="J969" i="5"/>
  <c r="J968" i="5"/>
  <c r="J967" i="5"/>
  <c r="J966" i="5"/>
  <c r="J965" i="5"/>
  <c r="J964" i="5"/>
  <c r="J963" i="5"/>
  <c r="J962" i="5"/>
  <c r="J961" i="5"/>
  <c r="J960" i="5"/>
  <c r="J959" i="5"/>
  <c r="J958" i="5"/>
  <c r="J957" i="5"/>
  <c r="J956" i="5"/>
  <c r="J955" i="5"/>
  <c r="J954" i="5"/>
  <c r="J953" i="5"/>
  <c r="J952" i="5"/>
  <c r="J951" i="5"/>
  <c r="J950" i="5"/>
  <c r="J949" i="5"/>
  <c r="J948" i="5"/>
  <c r="J947" i="5"/>
  <c r="J946" i="5"/>
  <c r="J945" i="5"/>
  <c r="J944" i="5"/>
  <c r="J943" i="5"/>
  <c r="J942" i="5"/>
  <c r="J941" i="5"/>
  <c r="J940" i="5"/>
  <c r="J939" i="5"/>
  <c r="J938" i="5"/>
  <c r="J937" i="5"/>
  <c r="J936" i="5"/>
  <c r="J935" i="5"/>
  <c r="J934" i="5"/>
  <c r="J933" i="5"/>
  <c r="J932" i="5"/>
  <c r="J931" i="5"/>
  <c r="J930" i="5"/>
  <c r="J929" i="5"/>
  <c r="J928" i="5"/>
  <c r="J927" i="5"/>
  <c r="J926" i="5"/>
  <c r="J925" i="5"/>
  <c r="J924" i="5"/>
  <c r="J923" i="5"/>
  <c r="J922" i="5"/>
  <c r="J921" i="5"/>
  <c r="J920" i="5"/>
  <c r="J919" i="5"/>
  <c r="J918" i="5"/>
  <c r="J917" i="5"/>
  <c r="J916" i="5"/>
  <c r="J915" i="5"/>
  <c r="J914" i="5"/>
  <c r="J913" i="5"/>
  <c r="J912" i="5"/>
  <c r="J911" i="5"/>
  <c r="J910" i="5"/>
  <c r="J909" i="5"/>
  <c r="J908" i="5"/>
  <c r="J907" i="5"/>
  <c r="J906" i="5"/>
  <c r="J905" i="5"/>
  <c r="J904" i="5"/>
  <c r="J903" i="5"/>
  <c r="J902" i="5"/>
  <c r="J901" i="5"/>
  <c r="J900" i="5"/>
  <c r="J899" i="5"/>
  <c r="J898" i="5"/>
  <c r="J897" i="5"/>
  <c r="J896" i="5"/>
  <c r="J895" i="5"/>
  <c r="J894" i="5"/>
  <c r="J893" i="5"/>
  <c r="J892" i="5"/>
  <c r="J891" i="5"/>
  <c r="J890" i="5"/>
  <c r="J889" i="5"/>
  <c r="J888" i="5"/>
  <c r="J887" i="5"/>
  <c r="J886" i="5"/>
  <c r="J885" i="5"/>
  <c r="J884" i="5"/>
  <c r="J883" i="5"/>
  <c r="J882" i="5"/>
  <c r="J881" i="5"/>
  <c r="J880" i="5"/>
  <c r="J879" i="5"/>
  <c r="J878" i="5"/>
  <c r="J877" i="5"/>
  <c r="J876" i="5"/>
  <c r="J875" i="5"/>
  <c r="J874" i="5"/>
  <c r="J873" i="5"/>
  <c r="J872" i="5"/>
  <c r="J871" i="5"/>
  <c r="J870" i="5"/>
  <c r="J869" i="5"/>
  <c r="J868" i="5"/>
  <c r="J867" i="5"/>
  <c r="J866" i="5"/>
  <c r="J865" i="5"/>
  <c r="J864" i="5"/>
  <c r="J863" i="5"/>
  <c r="J862" i="5"/>
  <c r="J861" i="5"/>
  <c r="J860" i="5"/>
  <c r="J859" i="5"/>
  <c r="J858" i="5"/>
  <c r="J857" i="5"/>
  <c r="J856" i="5"/>
  <c r="J855" i="5"/>
  <c r="J854" i="5"/>
  <c r="J853" i="5"/>
  <c r="J852" i="5"/>
  <c r="J851" i="5"/>
  <c r="J850" i="5"/>
  <c r="J849" i="5"/>
  <c r="J848" i="5"/>
  <c r="J847" i="5"/>
  <c r="J846" i="5"/>
  <c r="J845" i="5"/>
  <c r="J844" i="5"/>
  <c r="J843" i="5"/>
  <c r="J842" i="5"/>
  <c r="J841" i="5"/>
  <c r="J840" i="5"/>
  <c r="J839" i="5"/>
  <c r="J838" i="5"/>
  <c r="J837" i="5"/>
  <c r="J836" i="5"/>
  <c r="J835" i="5"/>
  <c r="J834" i="5"/>
  <c r="J833" i="5"/>
  <c r="J832" i="5"/>
  <c r="J831" i="5"/>
  <c r="J830" i="5"/>
  <c r="J829" i="5"/>
  <c r="J828" i="5"/>
  <c r="J827" i="5"/>
  <c r="J826" i="5"/>
  <c r="J825" i="5"/>
  <c r="J824" i="5"/>
  <c r="J823" i="5"/>
  <c r="J822" i="5"/>
  <c r="J821" i="5"/>
  <c r="J820" i="5"/>
  <c r="J819" i="5"/>
  <c r="J818" i="5"/>
  <c r="J817" i="5"/>
  <c r="J816" i="5"/>
  <c r="J815" i="5"/>
  <c r="J814" i="5"/>
  <c r="J813" i="5"/>
  <c r="J812" i="5"/>
  <c r="J811" i="5"/>
  <c r="J810" i="5"/>
  <c r="J809" i="5"/>
  <c r="J808" i="5"/>
  <c r="J807" i="5"/>
  <c r="J806" i="5"/>
  <c r="J805" i="5"/>
  <c r="J804" i="5"/>
  <c r="J803" i="5"/>
  <c r="J802" i="5"/>
  <c r="J801" i="5"/>
  <c r="J800" i="5"/>
  <c r="J799" i="5"/>
  <c r="J798" i="5"/>
  <c r="J797" i="5"/>
  <c r="J796" i="5"/>
  <c r="J795" i="5"/>
  <c r="J794" i="5"/>
  <c r="J793" i="5"/>
  <c r="J792" i="5"/>
  <c r="J791" i="5"/>
  <c r="J790" i="5"/>
  <c r="J789" i="5"/>
  <c r="J788" i="5"/>
  <c r="J787" i="5"/>
  <c r="J786" i="5"/>
  <c r="J785" i="5"/>
  <c r="J784" i="5"/>
  <c r="J783" i="5"/>
  <c r="J782" i="5"/>
  <c r="J781" i="5"/>
  <c r="J780" i="5"/>
  <c r="J779" i="5"/>
  <c r="J778" i="5"/>
  <c r="J777" i="5"/>
  <c r="J776" i="5"/>
  <c r="J775" i="5"/>
  <c r="J774" i="5"/>
  <c r="J773" i="5"/>
  <c r="J772" i="5"/>
  <c r="J771" i="5"/>
  <c r="J770" i="5"/>
  <c r="J769" i="5"/>
  <c r="J768" i="5"/>
  <c r="J767" i="5"/>
  <c r="J766" i="5"/>
  <c r="J765" i="5"/>
  <c r="J764" i="5"/>
  <c r="J763" i="5"/>
  <c r="J762" i="5"/>
  <c r="J761" i="5"/>
  <c r="J760" i="5"/>
  <c r="J759" i="5"/>
  <c r="J758" i="5"/>
  <c r="J757" i="5"/>
  <c r="J756" i="5"/>
  <c r="J755" i="5"/>
  <c r="J754" i="5"/>
  <c r="J753" i="5"/>
  <c r="J752" i="5"/>
  <c r="J751" i="5"/>
  <c r="J750" i="5"/>
  <c r="J749" i="5"/>
  <c r="J748" i="5"/>
  <c r="J747" i="5"/>
  <c r="J746" i="5"/>
  <c r="J745" i="5"/>
  <c r="J744" i="5"/>
  <c r="J743" i="5"/>
  <c r="J742" i="5"/>
  <c r="J741" i="5"/>
  <c r="J740" i="5"/>
  <c r="J739" i="5"/>
  <c r="J738" i="5"/>
  <c r="J737" i="5"/>
  <c r="J736" i="5"/>
  <c r="J735" i="5"/>
  <c r="J734" i="5"/>
  <c r="J733" i="5"/>
  <c r="J732" i="5"/>
  <c r="J731" i="5"/>
  <c r="J730" i="5"/>
  <c r="J729" i="5"/>
  <c r="J728" i="5"/>
  <c r="J727" i="5"/>
  <c r="J726" i="5"/>
  <c r="J725" i="5"/>
  <c r="J724" i="5"/>
  <c r="J723" i="5"/>
  <c r="J722" i="5"/>
  <c r="J721" i="5"/>
  <c r="J720" i="5"/>
  <c r="J719" i="5"/>
  <c r="J718" i="5"/>
  <c r="J717" i="5"/>
  <c r="J716" i="5"/>
  <c r="J715" i="5"/>
  <c r="J714" i="5"/>
  <c r="J713" i="5"/>
  <c r="J712" i="5"/>
  <c r="J711" i="5"/>
  <c r="J710" i="5"/>
  <c r="J709" i="5"/>
  <c r="J708" i="5"/>
  <c r="J707" i="5"/>
  <c r="J706" i="5"/>
  <c r="J705" i="5"/>
  <c r="J704" i="5"/>
  <c r="J703" i="5"/>
  <c r="J702" i="5"/>
  <c r="J701" i="5"/>
  <c r="J700" i="5"/>
  <c r="J699" i="5"/>
  <c r="J698" i="5"/>
  <c r="J697" i="5"/>
  <c r="J696" i="5"/>
  <c r="J695" i="5"/>
  <c r="J694" i="5"/>
  <c r="J693" i="5"/>
  <c r="J692" i="5"/>
  <c r="J691" i="5"/>
  <c r="J690" i="5"/>
  <c r="J689" i="5"/>
  <c r="J688" i="5"/>
  <c r="J687" i="5"/>
  <c r="J686" i="5"/>
  <c r="J685" i="5"/>
  <c r="J684" i="5"/>
  <c r="J683" i="5"/>
  <c r="J682" i="5"/>
  <c r="J681" i="5"/>
  <c r="J680" i="5"/>
  <c r="J679" i="5"/>
  <c r="J678" i="5"/>
  <c r="J677" i="5"/>
  <c r="J676" i="5"/>
  <c r="J675" i="5"/>
  <c r="J674" i="5"/>
  <c r="J673" i="5"/>
  <c r="J672" i="5"/>
  <c r="J671" i="5"/>
  <c r="J670" i="5"/>
  <c r="J669" i="5"/>
  <c r="J668" i="5"/>
  <c r="J667" i="5"/>
  <c r="J666" i="5"/>
  <c r="J665" i="5"/>
  <c r="J664" i="5"/>
  <c r="J663" i="5"/>
  <c r="J662" i="5"/>
  <c r="J661" i="5"/>
  <c r="J660" i="5"/>
  <c r="J659" i="5"/>
  <c r="J658" i="5"/>
  <c r="J657" i="5"/>
  <c r="J656" i="5"/>
  <c r="J655" i="5"/>
  <c r="J654" i="5"/>
  <c r="J653" i="5"/>
  <c r="J652" i="5"/>
  <c r="J651" i="5"/>
  <c r="J650" i="5"/>
  <c r="J649" i="5"/>
  <c r="J648" i="5"/>
  <c r="J647" i="5"/>
  <c r="J646" i="5"/>
  <c r="J645" i="5"/>
  <c r="J644" i="5"/>
  <c r="J643" i="5"/>
  <c r="J642" i="5"/>
  <c r="J641" i="5"/>
  <c r="J640" i="5"/>
  <c r="J639" i="5"/>
  <c r="J638" i="5"/>
  <c r="J637" i="5"/>
  <c r="J636" i="5"/>
  <c r="J635" i="5"/>
  <c r="J634" i="5"/>
  <c r="J633" i="5"/>
  <c r="J632" i="5"/>
  <c r="J631" i="5"/>
  <c r="J630" i="5"/>
  <c r="J629" i="5"/>
  <c r="J628" i="5"/>
  <c r="J627" i="5"/>
  <c r="J626" i="5"/>
  <c r="J625" i="5"/>
  <c r="J624" i="5"/>
  <c r="J623" i="5"/>
  <c r="J622" i="5"/>
  <c r="J621" i="5"/>
  <c r="J620" i="5"/>
  <c r="J619" i="5"/>
  <c r="J618" i="5"/>
  <c r="J617" i="5"/>
  <c r="J616" i="5"/>
  <c r="J615" i="5"/>
  <c r="J614" i="5"/>
  <c r="J613" i="5"/>
  <c r="J612" i="5"/>
  <c r="J611" i="5"/>
  <c r="J610" i="5"/>
  <c r="J609" i="5"/>
  <c r="J608" i="5"/>
  <c r="J607" i="5"/>
  <c r="J606" i="5"/>
  <c r="J605" i="5"/>
  <c r="J604" i="5"/>
  <c r="J603" i="5"/>
  <c r="J602" i="5"/>
  <c r="J601" i="5"/>
  <c r="J600" i="5"/>
  <c r="J599" i="5"/>
  <c r="J598" i="5"/>
  <c r="J597" i="5"/>
  <c r="J596" i="5"/>
  <c r="J595" i="5"/>
  <c r="J594" i="5"/>
  <c r="J593" i="5"/>
  <c r="J592" i="5"/>
  <c r="J591" i="5"/>
  <c r="J590" i="5"/>
  <c r="J589" i="5"/>
  <c r="J588" i="5"/>
  <c r="J587" i="5"/>
  <c r="J586" i="5"/>
  <c r="J585" i="5"/>
  <c r="J584" i="5"/>
  <c r="J583" i="5"/>
  <c r="J582" i="5"/>
  <c r="J581" i="5"/>
  <c r="J580" i="5"/>
  <c r="J579" i="5"/>
  <c r="J578" i="5"/>
  <c r="J577" i="5"/>
  <c r="J576" i="5"/>
  <c r="J575" i="5"/>
  <c r="J574" i="5"/>
  <c r="J573" i="5"/>
  <c r="J572" i="5"/>
  <c r="J571" i="5"/>
  <c r="J570" i="5"/>
  <c r="J569" i="5"/>
  <c r="J568" i="5"/>
  <c r="J567" i="5"/>
  <c r="J566" i="5"/>
  <c r="J565" i="5"/>
  <c r="J564" i="5"/>
  <c r="J563" i="5"/>
  <c r="J562" i="5"/>
  <c r="J561" i="5"/>
  <c r="J560" i="5"/>
  <c r="J559" i="5"/>
  <c r="J558" i="5"/>
  <c r="J557" i="5"/>
  <c r="J556" i="5"/>
  <c r="J555" i="5"/>
  <c r="J554" i="5"/>
  <c r="J553" i="5"/>
  <c r="J552" i="5"/>
  <c r="J551" i="5"/>
  <c r="J550" i="5"/>
  <c r="J549" i="5"/>
  <c r="J548" i="5"/>
  <c r="J547" i="5"/>
  <c r="J546" i="5"/>
  <c r="J545" i="5"/>
  <c r="J544" i="5"/>
  <c r="J543" i="5"/>
  <c r="J542" i="5"/>
  <c r="J541" i="5"/>
  <c r="J540" i="5"/>
  <c r="J539" i="5"/>
  <c r="J538" i="5"/>
  <c r="J537" i="5"/>
  <c r="J536" i="5"/>
  <c r="J535" i="5"/>
  <c r="J534" i="5"/>
  <c r="J533" i="5"/>
  <c r="J532" i="5"/>
  <c r="J531" i="5"/>
  <c r="J530" i="5"/>
  <c r="J529" i="5"/>
  <c r="J528" i="5"/>
  <c r="J527" i="5"/>
  <c r="J526" i="5"/>
  <c r="J525" i="5"/>
  <c r="J524" i="5"/>
  <c r="J523" i="5"/>
  <c r="J522" i="5"/>
  <c r="J521" i="5"/>
  <c r="J520" i="5"/>
  <c r="J519" i="5"/>
  <c r="J518" i="5"/>
  <c r="J517" i="5"/>
  <c r="J516" i="5"/>
  <c r="J515" i="5"/>
  <c r="J514" i="5"/>
  <c r="J513" i="5"/>
  <c r="J512" i="5"/>
  <c r="J511" i="5"/>
  <c r="J510" i="5"/>
  <c r="J509" i="5"/>
  <c r="J508" i="5"/>
  <c r="J507" i="5"/>
  <c r="J506" i="5"/>
  <c r="J505" i="5"/>
  <c r="J504" i="5"/>
  <c r="J503" i="5"/>
  <c r="J502" i="5"/>
  <c r="J501" i="5"/>
  <c r="J500" i="5"/>
  <c r="J499" i="5"/>
  <c r="J498" i="5"/>
  <c r="J497" i="5"/>
  <c r="J496" i="5"/>
  <c r="J495" i="5"/>
  <c r="J494" i="5"/>
  <c r="J493" i="5"/>
  <c r="J492" i="5"/>
  <c r="J491" i="5"/>
  <c r="J490" i="5"/>
  <c r="J489" i="5"/>
  <c r="J488" i="5"/>
  <c r="J487" i="5"/>
  <c r="J486" i="5"/>
  <c r="J485" i="5"/>
  <c r="J484" i="5"/>
  <c r="J483" i="5"/>
  <c r="J482" i="5"/>
  <c r="J481" i="5"/>
  <c r="J480" i="5"/>
  <c r="J479" i="5"/>
  <c r="J478" i="5"/>
  <c r="J477" i="5"/>
  <c r="J476" i="5"/>
  <c r="J475" i="5"/>
  <c r="J474" i="5"/>
  <c r="J473" i="5"/>
  <c r="J472" i="5"/>
  <c r="J471" i="5"/>
  <c r="J470" i="5"/>
  <c r="J469" i="5"/>
  <c r="J468" i="5"/>
  <c r="J467" i="5"/>
  <c r="J466" i="5"/>
  <c r="J465" i="5"/>
  <c r="J464" i="5"/>
  <c r="J463" i="5"/>
  <c r="J462" i="5"/>
  <c r="J461" i="5"/>
  <c r="J460" i="5"/>
  <c r="J459" i="5"/>
  <c r="J458" i="5"/>
  <c r="J457" i="5"/>
  <c r="J456" i="5"/>
  <c r="J455" i="5"/>
  <c r="J454" i="5"/>
  <c r="J453" i="5"/>
  <c r="J452" i="5"/>
  <c r="J451" i="5"/>
  <c r="J450" i="5"/>
  <c r="J449" i="5"/>
  <c r="J448" i="5"/>
  <c r="J447" i="5"/>
  <c r="J446" i="5"/>
  <c r="J445" i="5"/>
  <c r="J444" i="5"/>
  <c r="J443" i="5"/>
  <c r="J442" i="5"/>
  <c r="J441" i="5"/>
  <c r="J440" i="5"/>
  <c r="J439" i="5"/>
  <c r="J438" i="5"/>
  <c r="J437" i="5"/>
  <c r="J436" i="5"/>
  <c r="J435" i="5"/>
  <c r="J434" i="5"/>
  <c r="J433" i="5"/>
  <c r="J432" i="5"/>
  <c r="J431" i="5"/>
  <c r="J430" i="5"/>
  <c r="J429" i="5"/>
  <c r="J428"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8"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9" i="5"/>
  <c r="J368" i="5"/>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36" i="5"/>
  <c r="J335" i="5"/>
  <c r="J334" i="5"/>
  <c r="J333" i="5"/>
  <c r="J332" i="5"/>
  <c r="J331" i="5"/>
  <c r="J330" i="5"/>
  <c r="J329" i="5"/>
  <c r="J328" i="5"/>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I862" i="4"/>
  <c r="J862" i="4"/>
  <c r="L862" i="4"/>
  <c r="M862" i="4"/>
  <c r="N862" i="4"/>
  <c r="O862" i="4"/>
  <c r="I863" i="4"/>
  <c r="J863" i="4"/>
  <c r="L863" i="4"/>
  <c r="M863" i="4"/>
  <c r="N863" i="4"/>
  <c r="O863" i="4"/>
  <c r="I864" i="4"/>
  <c r="J864" i="4"/>
  <c r="L864" i="4"/>
  <c r="M864" i="4"/>
  <c r="N864" i="4"/>
  <c r="O864" i="4"/>
  <c r="I865" i="4"/>
  <c r="J865" i="4"/>
  <c r="L865" i="4"/>
  <c r="M865" i="4"/>
  <c r="N865" i="4"/>
  <c r="O865" i="4"/>
  <c r="I866" i="4"/>
  <c r="J866" i="4"/>
  <c r="L866" i="4"/>
  <c r="M866" i="4"/>
  <c r="N866" i="4"/>
  <c r="O866" i="4"/>
  <c r="I867" i="4"/>
  <c r="J867" i="4"/>
  <c r="L867" i="4"/>
  <c r="M867" i="4"/>
  <c r="N867" i="4"/>
  <c r="O867" i="4"/>
  <c r="I868" i="4"/>
  <c r="J868" i="4"/>
  <c r="L868" i="4"/>
  <c r="M868" i="4"/>
  <c r="N868" i="4"/>
  <c r="O868" i="4"/>
  <c r="I869" i="4"/>
  <c r="J869" i="4"/>
  <c r="L869" i="4"/>
  <c r="M869" i="4"/>
  <c r="N869" i="4"/>
  <c r="O869" i="4"/>
  <c r="I870" i="4"/>
  <c r="J870" i="4"/>
  <c r="L870" i="4"/>
  <c r="M870" i="4"/>
  <c r="N870" i="4"/>
  <c r="O870" i="4"/>
  <c r="I871" i="4"/>
  <c r="J871" i="4"/>
  <c r="L871" i="4"/>
  <c r="M871" i="4"/>
  <c r="N871" i="4"/>
  <c r="O871" i="4"/>
  <c r="I872" i="4"/>
  <c r="J872" i="4"/>
  <c r="L872" i="4"/>
  <c r="M872" i="4"/>
  <c r="N872" i="4"/>
  <c r="O872" i="4"/>
  <c r="I873" i="4"/>
  <c r="J873" i="4"/>
  <c r="L873" i="4"/>
  <c r="M873" i="4"/>
  <c r="N873" i="4"/>
  <c r="O873" i="4"/>
  <c r="I874" i="4"/>
  <c r="J874" i="4"/>
  <c r="L874" i="4"/>
  <c r="M874" i="4"/>
  <c r="N874" i="4"/>
  <c r="O874" i="4"/>
  <c r="I875" i="4"/>
  <c r="J875" i="4"/>
  <c r="L875" i="4"/>
  <c r="M875" i="4"/>
  <c r="N875" i="4"/>
  <c r="O875" i="4"/>
  <c r="I876" i="4"/>
  <c r="J876" i="4"/>
  <c r="L876" i="4"/>
  <c r="M876" i="4"/>
  <c r="N876" i="4"/>
  <c r="O876" i="4"/>
  <c r="I877" i="4"/>
  <c r="J877" i="4"/>
  <c r="L877" i="4"/>
  <c r="M877" i="4"/>
  <c r="N877" i="4"/>
  <c r="O877" i="4"/>
  <c r="I878" i="4"/>
  <c r="J878" i="4"/>
  <c r="L878" i="4"/>
  <c r="M878" i="4"/>
  <c r="N878" i="4"/>
  <c r="O878" i="4"/>
  <c r="I879" i="4"/>
  <c r="J879" i="4"/>
  <c r="L879" i="4"/>
  <c r="M879" i="4"/>
  <c r="N879" i="4"/>
  <c r="O879" i="4"/>
  <c r="I880" i="4"/>
  <c r="J880" i="4"/>
  <c r="L880" i="4"/>
  <c r="M880" i="4"/>
  <c r="N880" i="4"/>
  <c r="O880" i="4"/>
  <c r="I881" i="4"/>
  <c r="J881" i="4"/>
  <c r="L881" i="4"/>
  <c r="M881" i="4"/>
  <c r="N881" i="4"/>
  <c r="O881" i="4"/>
  <c r="I882" i="4"/>
  <c r="J882" i="4"/>
  <c r="L882" i="4"/>
  <c r="M882" i="4"/>
  <c r="N882" i="4"/>
  <c r="O882" i="4"/>
  <c r="I883" i="4"/>
  <c r="J883" i="4"/>
  <c r="L883" i="4"/>
  <c r="M883" i="4"/>
  <c r="N883" i="4"/>
  <c r="O883" i="4"/>
  <c r="I884" i="4"/>
  <c r="J884" i="4"/>
  <c r="L884" i="4"/>
  <c r="M884" i="4"/>
  <c r="N884" i="4"/>
  <c r="O884" i="4"/>
  <c r="I885" i="4"/>
  <c r="J885" i="4"/>
  <c r="L885" i="4"/>
  <c r="M885" i="4"/>
  <c r="N885" i="4"/>
  <c r="O885" i="4"/>
  <c r="I886" i="4"/>
  <c r="J886" i="4"/>
  <c r="L886" i="4"/>
  <c r="M886" i="4"/>
  <c r="N886" i="4"/>
  <c r="O886" i="4"/>
  <c r="I887" i="4"/>
  <c r="J887" i="4"/>
  <c r="L887" i="4"/>
  <c r="M887" i="4"/>
  <c r="N887" i="4"/>
  <c r="O887" i="4"/>
  <c r="I888" i="4"/>
  <c r="J888" i="4"/>
  <c r="L888" i="4"/>
  <c r="M888" i="4"/>
  <c r="N888" i="4"/>
  <c r="O888" i="4"/>
  <c r="I889" i="4"/>
  <c r="J889" i="4"/>
  <c r="L889" i="4"/>
  <c r="M889" i="4"/>
  <c r="N889" i="4"/>
  <c r="O889" i="4"/>
  <c r="I890" i="4"/>
  <c r="J890" i="4"/>
  <c r="L890" i="4"/>
  <c r="M890" i="4"/>
  <c r="N890" i="4"/>
  <c r="O890" i="4"/>
  <c r="I891" i="4"/>
  <c r="J891" i="4"/>
  <c r="L891" i="4"/>
  <c r="M891" i="4"/>
  <c r="N891" i="4"/>
  <c r="O891" i="4"/>
  <c r="I892" i="4"/>
  <c r="J892" i="4"/>
  <c r="L892" i="4"/>
  <c r="M892" i="4"/>
  <c r="N892" i="4"/>
  <c r="O892" i="4"/>
  <c r="I893" i="4"/>
  <c r="J893" i="4"/>
  <c r="L893" i="4"/>
  <c r="M893" i="4"/>
  <c r="N893" i="4"/>
  <c r="O893" i="4"/>
  <c r="I894" i="4"/>
  <c r="J894" i="4"/>
  <c r="L894" i="4"/>
  <c r="M894" i="4"/>
  <c r="N894" i="4"/>
  <c r="O894" i="4"/>
  <c r="I895" i="4"/>
  <c r="J895" i="4"/>
  <c r="L895" i="4"/>
  <c r="M895" i="4"/>
  <c r="N895" i="4"/>
  <c r="O895" i="4"/>
  <c r="I896" i="4"/>
  <c r="J896" i="4"/>
  <c r="L896" i="4"/>
  <c r="M896" i="4"/>
  <c r="N896" i="4"/>
  <c r="O896" i="4"/>
  <c r="I897" i="4"/>
  <c r="J897" i="4"/>
  <c r="L897" i="4"/>
  <c r="M897" i="4"/>
  <c r="N897" i="4"/>
  <c r="O897" i="4"/>
  <c r="I898" i="4"/>
  <c r="J898" i="4"/>
  <c r="L898" i="4"/>
  <c r="M898" i="4"/>
  <c r="N898" i="4"/>
  <c r="O898" i="4"/>
  <c r="I899" i="4"/>
  <c r="J899" i="4"/>
  <c r="L899" i="4"/>
  <c r="M899" i="4"/>
  <c r="N899" i="4"/>
  <c r="O899" i="4"/>
  <c r="I900" i="4"/>
  <c r="J900" i="4"/>
  <c r="L900" i="4"/>
  <c r="M900" i="4"/>
  <c r="N900" i="4"/>
  <c r="O900" i="4"/>
  <c r="I901" i="4"/>
  <c r="J901" i="4"/>
  <c r="L901" i="4"/>
  <c r="M901" i="4"/>
  <c r="N901" i="4"/>
  <c r="O901" i="4"/>
  <c r="I902" i="4"/>
  <c r="J902" i="4"/>
  <c r="L902" i="4"/>
  <c r="M902" i="4"/>
  <c r="N902" i="4"/>
  <c r="O902" i="4"/>
  <c r="I903" i="4"/>
  <c r="J903" i="4"/>
  <c r="L903" i="4"/>
  <c r="M903" i="4"/>
  <c r="N903" i="4"/>
  <c r="O903" i="4"/>
  <c r="I904" i="4"/>
  <c r="J904" i="4"/>
  <c r="L904" i="4"/>
  <c r="M904" i="4"/>
  <c r="N904" i="4"/>
  <c r="O904" i="4"/>
  <c r="I905" i="4"/>
  <c r="J905" i="4"/>
  <c r="L905" i="4"/>
  <c r="M905" i="4"/>
  <c r="N905" i="4"/>
  <c r="O905" i="4"/>
  <c r="I906" i="4"/>
  <c r="J906" i="4"/>
  <c r="L906" i="4"/>
  <c r="M906" i="4"/>
  <c r="N906" i="4"/>
  <c r="O906" i="4"/>
  <c r="I907" i="4"/>
  <c r="J907" i="4"/>
  <c r="L907" i="4"/>
  <c r="M907" i="4"/>
  <c r="N907" i="4"/>
  <c r="O907" i="4"/>
  <c r="I908" i="4"/>
  <c r="J908" i="4"/>
  <c r="L908" i="4"/>
  <c r="M908" i="4"/>
  <c r="N908" i="4"/>
  <c r="O908" i="4"/>
  <c r="I909" i="4"/>
  <c r="J909" i="4"/>
  <c r="L909" i="4"/>
  <c r="M909" i="4"/>
  <c r="N909" i="4"/>
  <c r="O909" i="4"/>
  <c r="I910" i="4"/>
  <c r="J910" i="4"/>
  <c r="L910" i="4"/>
  <c r="M910" i="4"/>
  <c r="N910" i="4"/>
  <c r="O910" i="4"/>
  <c r="I911" i="4"/>
  <c r="J911" i="4"/>
  <c r="L911" i="4"/>
  <c r="M911" i="4"/>
  <c r="N911" i="4"/>
  <c r="O911" i="4"/>
  <c r="I912" i="4"/>
  <c r="J912" i="4"/>
  <c r="L912" i="4"/>
  <c r="M912" i="4"/>
  <c r="N912" i="4"/>
  <c r="O912" i="4"/>
  <c r="I913" i="4"/>
  <c r="J913" i="4"/>
  <c r="L913" i="4"/>
  <c r="M913" i="4"/>
  <c r="N913" i="4"/>
  <c r="O913" i="4"/>
  <c r="I914" i="4"/>
  <c r="J914" i="4"/>
  <c r="L914" i="4"/>
  <c r="M914" i="4"/>
  <c r="N914" i="4"/>
  <c r="O914" i="4"/>
  <c r="I915" i="4"/>
  <c r="J915" i="4"/>
  <c r="L915" i="4"/>
  <c r="M915" i="4"/>
  <c r="N915" i="4"/>
  <c r="O915" i="4"/>
  <c r="I916" i="4"/>
  <c r="J916" i="4"/>
  <c r="L916" i="4"/>
  <c r="M916" i="4"/>
  <c r="N916" i="4"/>
  <c r="O916" i="4"/>
  <c r="I917" i="4"/>
  <c r="J917" i="4"/>
  <c r="L917" i="4"/>
  <c r="M917" i="4"/>
  <c r="N917" i="4"/>
  <c r="O917" i="4"/>
  <c r="I918" i="4"/>
  <c r="J918" i="4"/>
  <c r="L918" i="4"/>
  <c r="M918" i="4"/>
  <c r="N918" i="4"/>
  <c r="O918" i="4"/>
  <c r="I919" i="4"/>
  <c r="J919" i="4"/>
  <c r="L919" i="4"/>
  <c r="M919" i="4"/>
  <c r="N919" i="4"/>
  <c r="O919" i="4"/>
  <c r="I920" i="4"/>
  <c r="J920" i="4"/>
  <c r="L920" i="4"/>
  <c r="M920" i="4"/>
  <c r="N920" i="4"/>
  <c r="O920" i="4"/>
  <c r="I921" i="4"/>
  <c r="J921" i="4"/>
  <c r="L921" i="4"/>
  <c r="M921" i="4"/>
  <c r="N921" i="4"/>
  <c r="O921" i="4"/>
  <c r="I922" i="4"/>
  <c r="J922" i="4"/>
  <c r="L922" i="4"/>
  <c r="M922" i="4"/>
  <c r="N922" i="4"/>
  <c r="O922" i="4"/>
  <c r="I923" i="4"/>
  <c r="J923" i="4"/>
  <c r="L923" i="4"/>
  <c r="M923" i="4"/>
  <c r="N923" i="4"/>
  <c r="O923" i="4"/>
  <c r="I924" i="4"/>
  <c r="J924" i="4"/>
  <c r="L924" i="4"/>
  <c r="M924" i="4"/>
  <c r="N924" i="4"/>
  <c r="O924" i="4"/>
  <c r="I925" i="4"/>
  <c r="J925" i="4"/>
  <c r="L925" i="4"/>
  <c r="M925" i="4"/>
  <c r="N925" i="4"/>
  <c r="O925" i="4"/>
  <c r="I926" i="4"/>
  <c r="J926" i="4"/>
  <c r="L926" i="4"/>
  <c r="M926" i="4"/>
  <c r="N926" i="4"/>
  <c r="O926" i="4"/>
  <c r="I927" i="4"/>
  <c r="J927" i="4"/>
  <c r="L927" i="4"/>
  <c r="M927" i="4"/>
  <c r="N927" i="4"/>
  <c r="O927" i="4"/>
  <c r="I928" i="4"/>
  <c r="J928" i="4"/>
  <c r="L928" i="4"/>
  <c r="M928" i="4"/>
  <c r="N928" i="4"/>
  <c r="O928" i="4"/>
  <c r="I929" i="4"/>
  <c r="J929" i="4"/>
  <c r="L929" i="4"/>
  <c r="M929" i="4"/>
  <c r="N929" i="4"/>
  <c r="O929" i="4"/>
  <c r="I930" i="4"/>
  <c r="J930" i="4"/>
  <c r="L930" i="4"/>
  <c r="M930" i="4"/>
  <c r="N930" i="4"/>
  <c r="O930" i="4"/>
  <c r="I931" i="4"/>
  <c r="J931" i="4"/>
  <c r="L931" i="4"/>
  <c r="M931" i="4"/>
  <c r="N931" i="4"/>
  <c r="O931" i="4"/>
  <c r="I932" i="4"/>
  <c r="J932" i="4"/>
  <c r="L932" i="4"/>
  <c r="M932" i="4"/>
  <c r="N932" i="4"/>
  <c r="O932" i="4"/>
  <c r="I933" i="4"/>
  <c r="J933" i="4"/>
  <c r="L933" i="4"/>
  <c r="M933" i="4"/>
  <c r="N933" i="4"/>
  <c r="O933" i="4"/>
  <c r="I934" i="4"/>
  <c r="J934" i="4"/>
  <c r="L934" i="4"/>
  <c r="M934" i="4"/>
  <c r="N934" i="4"/>
  <c r="O934" i="4"/>
  <c r="I935" i="4"/>
  <c r="J935" i="4"/>
  <c r="L935" i="4"/>
  <c r="M935" i="4"/>
  <c r="N935" i="4"/>
  <c r="O935" i="4"/>
  <c r="I936" i="4"/>
  <c r="J936" i="4"/>
  <c r="L936" i="4"/>
  <c r="M936" i="4"/>
  <c r="N936" i="4"/>
  <c r="O936" i="4"/>
  <c r="I937" i="4"/>
  <c r="J937" i="4"/>
  <c r="L937" i="4"/>
  <c r="M937" i="4"/>
  <c r="N937" i="4"/>
  <c r="O937" i="4"/>
  <c r="I938" i="4"/>
  <c r="J938" i="4"/>
  <c r="L938" i="4"/>
  <c r="M938" i="4"/>
  <c r="N938" i="4"/>
  <c r="O938" i="4"/>
  <c r="I939" i="4"/>
  <c r="J939" i="4"/>
  <c r="L939" i="4"/>
  <c r="M939" i="4"/>
  <c r="N939" i="4"/>
  <c r="O939" i="4"/>
  <c r="I940" i="4"/>
  <c r="J940" i="4"/>
  <c r="L940" i="4"/>
  <c r="M940" i="4"/>
  <c r="N940" i="4"/>
  <c r="O940" i="4"/>
  <c r="I941" i="4"/>
  <c r="J941" i="4"/>
  <c r="L941" i="4"/>
  <c r="M941" i="4"/>
  <c r="N941" i="4"/>
  <c r="O941" i="4"/>
  <c r="I942" i="4"/>
  <c r="J942" i="4"/>
  <c r="L942" i="4"/>
  <c r="M942" i="4"/>
  <c r="N942" i="4"/>
  <c r="O942" i="4"/>
  <c r="I943" i="4"/>
  <c r="J943" i="4"/>
  <c r="L943" i="4"/>
  <c r="M943" i="4"/>
  <c r="N943" i="4"/>
  <c r="O943" i="4"/>
  <c r="I944" i="4"/>
  <c r="J944" i="4"/>
  <c r="L944" i="4"/>
  <c r="M944" i="4"/>
  <c r="N944" i="4"/>
  <c r="O944" i="4"/>
  <c r="I945" i="4"/>
  <c r="J945" i="4"/>
  <c r="L945" i="4"/>
  <c r="M945" i="4"/>
  <c r="N945" i="4"/>
  <c r="O945" i="4"/>
  <c r="I946" i="4"/>
  <c r="J946" i="4"/>
  <c r="L946" i="4"/>
  <c r="M946" i="4"/>
  <c r="N946" i="4"/>
  <c r="O946" i="4"/>
  <c r="I947" i="4"/>
  <c r="J947" i="4"/>
  <c r="L947" i="4"/>
  <c r="M947" i="4"/>
  <c r="N947" i="4"/>
  <c r="O947" i="4"/>
  <c r="I948" i="4"/>
  <c r="J948" i="4"/>
  <c r="L948" i="4"/>
  <c r="M948" i="4"/>
  <c r="N948" i="4"/>
  <c r="O948" i="4"/>
  <c r="I949" i="4"/>
  <c r="J949" i="4"/>
  <c r="L949" i="4"/>
  <c r="M949" i="4"/>
  <c r="N949" i="4"/>
  <c r="O949" i="4"/>
  <c r="I950" i="4"/>
  <c r="J950" i="4"/>
  <c r="L950" i="4"/>
  <c r="M950" i="4"/>
  <c r="N950" i="4"/>
  <c r="O950" i="4"/>
  <c r="I951" i="4"/>
  <c r="J951" i="4"/>
  <c r="L951" i="4"/>
  <c r="M951" i="4"/>
  <c r="N951" i="4"/>
  <c r="O951" i="4"/>
  <c r="I952" i="4"/>
  <c r="J952" i="4"/>
  <c r="L952" i="4"/>
  <c r="M952" i="4"/>
  <c r="N952" i="4"/>
  <c r="O952" i="4"/>
  <c r="I953" i="4"/>
  <c r="J953" i="4"/>
  <c r="L953" i="4"/>
  <c r="M953" i="4"/>
  <c r="N953" i="4"/>
  <c r="O953" i="4"/>
  <c r="I954" i="4"/>
  <c r="J954" i="4"/>
  <c r="L954" i="4"/>
  <c r="M954" i="4"/>
  <c r="N954" i="4"/>
  <c r="O954" i="4"/>
  <c r="I955" i="4"/>
  <c r="J955" i="4"/>
  <c r="L955" i="4"/>
  <c r="M955" i="4"/>
  <c r="N955" i="4"/>
  <c r="O955" i="4"/>
  <c r="I956" i="4"/>
  <c r="J956" i="4"/>
  <c r="L956" i="4"/>
  <c r="M956" i="4"/>
  <c r="N956" i="4"/>
  <c r="O956" i="4"/>
  <c r="I957" i="4"/>
  <c r="J957" i="4"/>
  <c r="L957" i="4"/>
  <c r="M957" i="4"/>
  <c r="N957" i="4"/>
  <c r="O957" i="4"/>
  <c r="I958" i="4"/>
  <c r="J958" i="4"/>
  <c r="L958" i="4"/>
  <c r="M958" i="4"/>
  <c r="N958" i="4"/>
  <c r="O958" i="4"/>
  <c r="I959" i="4"/>
  <c r="J959" i="4"/>
  <c r="L959" i="4"/>
  <c r="M959" i="4"/>
  <c r="N959" i="4"/>
  <c r="O959" i="4"/>
  <c r="I960" i="4"/>
  <c r="J960" i="4"/>
  <c r="L960" i="4"/>
  <c r="M960" i="4"/>
  <c r="N960" i="4"/>
  <c r="O960" i="4"/>
  <c r="I961" i="4"/>
  <c r="J961" i="4"/>
  <c r="L961" i="4"/>
  <c r="M961" i="4"/>
  <c r="N961" i="4"/>
  <c r="O961" i="4"/>
  <c r="I962" i="4"/>
  <c r="J962" i="4"/>
  <c r="L962" i="4"/>
  <c r="M962" i="4"/>
  <c r="N962" i="4"/>
  <c r="O962" i="4"/>
  <c r="I963" i="4"/>
  <c r="J963" i="4"/>
  <c r="L963" i="4"/>
  <c r="M963" i="4"/>
  <c r="N963" i="4"/>
  <c r="O963" i="4"/>
  <c r="I964" i="4"/>
  <c r="J964" i="4"/>
  <c r="L964" i="4"/>
  <c r="M964" i="4"/>
  <c r="N964" i="4"/>
  <c r="O964" i="4"/>
  <c r="I965" i="4"/>
  <c r="J965" i="4"/>
  <c r="L965" i="4"/>
  <c r="M965" i="4"/>
  <c r="N965" i="4"/>
  <c r="O965" i="4"/>
  <c r="I966" i="4"/>
  <c r="J966" i="4"/>
  <c r="L966" i="4"/>
  <c r="M966" i="4"/>
  <c r="N966" i="4"/>
  <c r="O966" i="4"/>
  <c r="I967" i="4"/>
  <c r="J967" i="4"/>
  <c r="L967" i="4"/>
  <c r="M967" i="4"/>
  <c r="N967" i="4"/>
  <c r="O967" i="4"/>
  <c r="I968" i="4"/>
  <c r="J968" i="4"/>
  <c r="L968" i="4"/>
  <c r="M968" i="4"/>
  <c r="N968" i="4"/>
  <c r="O968" i="4"/>
  <c r="I969" i="4"/>
  <c r="J969" i="4"/>
  <c r="L969" i="4"/>
  <c r="M969" i="4"/>
  <c r="N969" i="4"/>
  <c r="O969" i="4"/>
  <c r="I970" i="4"/>
  <c r="J970" i="4"/>
  <c r="L970" i="4"/>
  <c r="M970" i="4"/>
  <c r="N970" i="4"/>
  <c r="O970" i="4"/>
  <c r="I971" i="4"/>
  <c r="J971" i="4"/>
  <c r="L971" i="4"/>
  <c r="M971" i="4"/>
  <c r="N971" i="4"/>
  <c r="O971" i="4"/>
  <c r="I972" i="4"/>
  <c r="J972" i="4"/>
  <c r="L972" i="4"/>
  <c r="M972" i="4"/>
  <c r="N972" i="4"/>
  <c r="O972" i="4"/>
  <c r="I973" i="4"/>
  <c r="J973" i="4"/>
  <c r="L973" i="4"/>
  <c r="M973" i="4"/>
  <c r="N973" i="4"/>
  <c r="O973" i="4"/>
  <c r="I974" i="4"/>
  <c r="J974" i="4"/>
  <c r="L974" i="4"/>
  <c r="M974" i="4"/>
  <c r="N974" i="4"/>
  <c r="O974" i="4"/>
  <c r="I975" i="4"/>
  <c r="J975" i="4"/>
  <c r="L975" i="4"/>
  <c r="M975" i="4"/>
  <c r="N975" i="4"/>
  <c r="O975" i="4"/>
  <c r="I976" i="4"/>
  <c r="J976" i="4"/>
  <c r="L976" i="4"/>
  <c r="M976" i="4"/>
  <c r="N976" i="4"/>
  <c r="O976" i="4"/>
  <c r="I977" i="4"/>
  <c r="J977" i="4"/>
  <c r="L977" i="4"/>
  <c r="M977" i="4"/>
  <c r="N977" i="4"/>
  <c r="O977" i="4"/>
  <c r="I978" i="4"/>
  <c r="J978" i="4"/>
  <c r="L978" i="4"/>
  <c r="M978" i="4"/>
  <c r="N978" i="4"/>
  <c r="O978" i="4"/>
  <c r="I979" i="4"/>
  <c r="J979" i="4"/>
  <c r="L979" i="4"/>
  <c r="M979" i="4"/>
  <c r="N979" i="4"/>
  <c r="O979" i="4"/>
  <c r="I980" i="4"/>
  <c r="J980" i="4"/>
  <c r="L980" i="4"/>
  <c r="M980" i="4"/>
  <c r="N980" i="4"/>
  <c r="O980" i="4"/>
  <c r="I981" i="4"/>
  <c r="J981" i="4"/>
  <c r="L981" i="4"/>
  <c r="M981" i="4"/>
  <c r="N981" i="4"/>
  <c r="O981" i="4"/>
  <c r="I982" i="4"/>
  <c r="J982" i="4"/>
  <c r="L982" i="4"/>
  <c r="M982" i="4"/>
  <c r="N982" i="4"/>
  <c r="O982" i="4"/>
  <c r="I983" i="4"/>
  <c r="J983" i="4"/>
  <c r="L983" i="4"/>
  <c r="M983" i="4"/>
  <c r="N983" i="4"/>
  <c r="O983" i="4"/>
  <c r="I984" i="4"/>
  <c r="J984" i="4"/>
  <c r="L984" i="4"/>
  <c r="M984" i="4"/>
  <c r="N984" i="4"/>
  <c r="O984" i="4"/>
  <c r="I985" i="4"/>
  <c r="J985" i="4"/>
  <c r="L985" i="4"/>
  <c r="M985" i="4"/>
  <c r="N985" i="4"/>
  <c r="O985" i="4"/>
  <c r="I986" i="4"/>
  <c r="J986" i="4"/>
  <c r="L986" i="4"/>
  <c r="M986" i="4"/>
  <c r="N986" i="4"/>
  <c r="O986" i="4"/>
  <c r="I987" i="4"/>
  <c r="J987" i="4"/>
  <c r="L987" i="4"/>
  <c r="M987" i="4"/>
  <c r="N987" i="4"/>
  <c r="O987" i="4"/>
  <c r="I988" i="4"/>
  <c r="J988" i="4"/>
  <c r="L988" i="4"/>
  <c r="M988" i="4"/>
  <c r="N988" i="4"/>
  <c r="O988" i="4"/>
  <c r="I989" i="4"/>
  <c r="J989" i="4"/>
  <c r="L989" i="4"/>
  <c r="M989" i="4"/>
  <c r="N989" i="4"/>
  <c r="O989" i="4"/>
  <c r="I990" i="4"/>
  <c r="J990" i="4"/>
  <c r="L990" i="4"/>
  <c r="M990" i="4"/>
  <c r="N990" i="4"/>
  <c r="O990" i="4"/>
  <c r="I991" i="4"/>
  <c r="J991" i="4"/>
  <c r="L991" i="4"/>
  <c r="M991" i="4"/>
  <c r="N991" i="4"/>
  <c r="O991" i="4"/>
  <c r="I992" i="4"/>
  <c r="J992" i="4"/>
  <c r="L992" i="4"/>
  <c r="M992" i="4"/>
  <c r="N992" i="4"/>
  <c r="O992" i="4"/>
  <c r="I993" i="4"/>
  <c r="J993" i="4"/>
  <c r="L993" i="4"/>
  <c r="M993" i="4"/>
  <c r="N993" i="4"/>
  <c r="O993" i="4"/>
  <c r="I994" i="4"/>
  <c r="J994" i="4"/>
  <c r="L994" i="4"/>
  <c r="M994" i="4"/>
  <c r="N994" i="4"/>
  <c r="O994" i="4"/>
  <c r="I995" i="4"/>
  <c r="J995" i="4"/>
  <c r="L995" i="4"/>
  <c r="M995" i="4"/>
  <c r="N995" i="4"/>
  <c r="O995" i="4"/>
  <c r="I996" i="4"/>
  <c r="J996" i="4"/>
  <c r="L996" i="4"/>
  <c r="M996" i="4"/>
  <c r="N996" i="4"/>
  <c r="O996" i="4"/>
  <c r="I997" i="4"/>
  <c r="J997" i="4"/>
  <c r="L997" i="4"/>
  <c r="M997" i="4"/>
  <c r="N997" i="4"/>
  <c r="O997" i="4"/>
  <c r="I998" i="4"/>
  <c r="J998" i="4"/>
  <c r="L998" i="4"/>
  <c r="M998" i="4"/>
  <c r="N998" i="4"/>
  <c r="O998" i="4"/>
  <c r="I999" i="4"/>
  <c r="J999" i="4"/>
  <c r="L999" i="4"/>
  <c r="M999" i="4"/>
  <c r="N999" i="4"/>
  <c r="O999" i="4"/>
  <c r="I1000" i="4"/>
  <c r="J1000" i="4"/>
  <c r="L1000" i="4"/>
  <c r="M1000" i="4"/>
  <c r="N1000" i="4"/>
  <c r="O1000" i="4"/>
  <c r="I1001" i="4"/>
  <c r="J1001" i="4"/>
  <c r="L1001" i="4"/>
  <c r="M1001" i="4"/>
  <c r="N1001" i="4"/>
  <c r="O1001" i="4"/>
  <c r="I1002" i="4"/>
  <c r="J1002" i="4"/>
  <c r="L1002" i="4"/>
  <c r="M1002" i="4"/>
  <c r="N1002" i="4"/>
  <c r="O1002" i="4"/>
  <c r="I1003" i="4"/>
  <c r="J1003" i="4"/>
  <c r="L1003" i="4"/>
  <c r="M1003" i="4"/>
  <c r="N1003" i="4"/>
  <c r="O1003" i="4"/>
  <c r="I1004" i="4"/>
  <c r="J1004" i="4"/>
  <c r="L1004" i="4"/>
  <c r="M1004" i="4"/>
  <c r="N1004" i="4"/>
  <c r="O1004" i="4"/>
  <c r="I1005" i="4"/>
  <c r="J1005" i="4"/>
  <c r="L1005" i="4"/>
  <c r="M1005" i="4"/>
  <c r="N1005" i="4"/>
  <c r="O1005" i="4"/>
  <c r="I1006" i="4"/>
  <c r="J1006" i="4"/>
  <c r="L1006" i="4"/>
  <c r="M1006" i="4"/>
  <c r="N1006" i="4"/>
  <c r="O1006" i="4"/>
  <c r="I1007" i="4"/>
  <c r="J1007" i="4"/>
  <c r="L1007" i="4"/>
  <c r="M1007" i="4"/>
  <c r="N1007" i="4"/>
  <c r="O1007" i="4"/>
  <c r="I1008" i="4"/>
  <c r="J1008" i="4"/>
  <c r="L1008" i="4"/>
  <c r="M1008" i="4"/>
  <c r="N1008" i="4"/>
  <c r="O1008" i="4"/>
  <c r="I1009" i="4"/>
  <c r="J1009" i="4"/>
  <c r="L1009" i="4"/>
  <c r="M1009" i="4"/>
  <c r="N1009" i="4"/>
  <c r="O1009" i="4"/>
  <c r="I1010" i="4"/>
  <c r="J1010" i="4"/>
  <c r="L1010" i="4"/>
  <c r="M1010" i="4"/>
  <c r="N1010" i="4"/>
  <c r="O1010" i="4"/>
  <c r="I1011" i="4"/>
  <c r="J1011" i="4"/>
  <c r="L1011" i="4"/>
  <c r="M1011" i="4"/>
  <c r="N1011" i="4"/>
  <c r="O1011" i="4"/>
  <c r="I1012" i="4"/>
  <c r="J1012" i="4"/>
  <c r="L1012" i="4"/>
  <c r="M1012" i="4"/>
  <c r="N1012" i="4"/>
  <c r="O1012" i="4"/>
  <c r="I1013" i="4"/>
  <c r="J1013" i="4"/>
  <c r="L1013" i="4"/>
  <c r="M1013" i="4"/>
  <c r="N1013" i="4"/>
  <c r="O1013" i="4"/>
  <c r="I1014" i="4"/>
  <c r="J1014" i="4"/>
  <c r="L1014" i="4"/>
  <c r="M1014" i="4"/>
  <c r="N1014" i="4"/>
  <c r="O1014" i="4"/>
  <c r="I1015" i="4"/>
  <c r="J1015" i="4"/>
  <c r="L1015" i="4"/>
  <c r="M1015" i="4"/>
  <c r="N1015" i="4"/>
  <c r="O1015" i="4"/>
  <c r="I1016" i="4"/>
  <c r="J1016" i="4"/>
  <c r="L1016" i="4"/>
  <c r="M1016" i="4"/>
  <c r="N1016" i="4"/>
  <c r="O1016" i="4"/>
  <c r="I1017" i="4"/>
  <c r="J1017" i="4"/>
  <c r="L1017" i="4"/>
  <c r="M1017" i="4"/>
  <c r="N1017" i="4"/>
  <c r="O1017" i="4"/>
  <c r="I1018" i="4"/>
  <c r="J1018" i="4"/>
  <c r="L1018" i="4"/>
  <c r="M1018" i="4"/>
  <c r="N1018" i="4"/>
  <c r="O1018" i="4"/>
  <c r="I1019" i="4"/>
  <c r="J1019" i="4"/>
  <c r="L1019" i="4"/>
  <c r="M1019" i="4"/>
  <c r="N1019" i="4"/>
  <c r="O1019" i="4"/>
  <c r="I1020" i="4"/>
  <c r="J1020" i="4"/>
  <c r="L1020" i="4"/>
  <c r="M1020" i="4"/>
  <c r="N1020" i="4"/>
  <c r="O1020" i="4"/>
  <c r="I1021" i="4"/>
  <c r="J1021" i="4"/>
  <c r="L1021" i="4"/>
  <c r="M1021" i="4"/>
  <c r="N1021" i="4"/>
  <c r="O1021" i="4"/>
  <c r="I1022" i="4"/>
  <c r="J1022" i="4"/>
  <c r="L1022" i="4"/>
  <c r="M1022" i="4"/>
  <c r="N1022" i="4"/>
  <c r="O1022" i="4"/>
  <c r="I1023" i="4"/>
  <c r="J1023" i="4"/>
  <c r="L1023" i="4"/>
  <c r="M1023" i="4"/>
  <c r="N1023" i="4"/>
  <c r="O1023" i="4"/>
  <c r="I1024" i="4"/>
  <c r="J1024" i="4"/>
  <c r="L1024" i="4"/>
  <c r="M1024" i="4"/>
  <c r="N1024" i="4"/>
  <c r="O1024" i="4"/>
  <c r="I1025" i="4"/>
  <c r="J1025" i="4"/>
  <c r="L1025" i="4"/>
  <c r="M1025" i="4"/>
  <c r="N1025" i="4"/>
  <c r="O1025" i="4"/>
  <c r="I1026" i="4"/>
  <c r="J1026" i="4"/>
  <c r="L1026" i="4"/>
  <c r="M1026" i="4"/>
  <c r="N1026" i="4"/>
  <c r="O1026" i="4"/>
  <c r="I1027" i="4"/>
  <c r="J1027" i="4"/>
  <c r="L1027" i="4"/>
  <c r="M1027" i="4"/>
  <c r="N1027" i="4"/>
  <c r="O1027" i="4"/>
  <c r="I1028" i="4"/>
  <c r="J1028" i="4"/>
  <c r="L1028" i="4"/>
  <c r="M1028" i="4"/>
  <c r="N1028" i="4"/>
  <c r="O1028" i="4"/>
  <c r="I1029" i="4"/>
  <c r="J1029" i="4"/>
  <c r="L1029" i="4"/>
  <c r="M1029" i="4"/>
  <c r="N1029" i="4"/>
  <c r="O1029" i="4"/>
  <c r="I1030" i="4"/>
  <c r="J1030" i="4"/>
  <c r="L1030" i="4"/>
  <c r="M1030" i="4"/>
  <c r="N1030" i="4"/>
  <c r="O1030" i="4"/>
  <c r="I1031" i="4"/>
  <c r="J1031" i="4"/>
  <c r="L1031" i="4"/>
  <c r="M1031" i="4"/>
  <c r="N1031" i="4"/>
  <c r="O1031" i="4"/>
  <c r="I1032" i="4"/>
  <c r="J1032" i="4"/>
  <c r="L1032" i="4"/>
  <c r="M1032" i="4"/>
  <c r="N1032" i="4"/>
  <c r="O1032" i="4"/>
  <c r="I1033" i="4"/>
  <c r="J1033" i="4"/>
  <c r="L1033" i="4"/>
  <c r="M1033" i="4"/>
  <c r="N1033" i="4"/>
  <c r="O1033" i="4"/>
  <c r="I1034" i="4"/>
  <c r="J1034" i="4"/>
  <c r="L1034" i="4"/>
  <c r="M1034" i="4"/>
  <c r="N1034" i="4"/>
  <c r="O1034" i="4"/>
  <c r="I1035" i="4"/>
  <c r="J1035" i="4"/>
  <c r="L1035" i="4"/>
  <c r="M1035" i="4"/>
  <c r="N1035" i="4"/>
  <c r="O1035" i="4"/>
  <c r="I1036" i="4"/>
  <c r="J1036" i="4"/>
  <c r="L1036" i="4"/>
  <c r="M1036" i="4"/>
  <c r="N1036" i="4"/>
  <c r="O1036" i="4"/>
  <c r="I1037" i="4"/>
  <c r="J1037" i="4"/>
  <c r="L1037" i="4"/>
  <c r="M1037" i="4"/>
  <c r="N1037" i="4"/>
  <c r="O1037" i="4"/>
  <c r="I1038" i="4"/>
  <c r="J1038" i="4"/>
  <c r="L1038" i="4"/>
  <c r="M1038" i="4"/>
  <c r="N1038" i="4"/>
  <c r="O1038" i="4"/>
  <c r="I1039" i="4"/>
  <c r="J1039" i="4"/>
  <c r="L1039" i="4"/>
  <c r="M1039" i="4"/>
  <c r="N1039" i="4"/>
  <c r="O1039" i="4"/>
  <c r="I1040" i="4"/>
  <c r="J1040" i="4"/>
  <c r="L1040" i="4"/>
  <c r="M1040" i="4"/>
  <c r="N1040" i="4"/>
  <c r="O1040" i="4"/>
  <c r="I1041" i="4"/>
  <c r="J1041" i="4"/>
  <c r="L1041" i="4"/>
  <c r="M1041" i="4"/>
  <c r="N1041" i="4"/>
  <c r="O1041" i="4"/>
  <c r="I1042" i="4"/>
  <c r="J1042" i="4"/>
  <c r="L1042" i="4"/>
  <c r="M1042" i="4"/>
  <c r="N1042" i="4"/>
  <c r="O1042" i="4"/>
  <c r="I1043" i="4"/>
  <c r="J1043" i="4"/>
  <c r="L1043" i="4"/>
  <c r="M1043" i="4"/>
  <c r="N1043" i="4"/>
  <c r="O1043" i="4"/>
  <c r="I1044" i="4"/>
  <c r="J1044" i="4"/>
  <c r="L1044" i="4"/>
  <c r="M1044" i="4"/>
  <c r="N1044" i="4"/>
  <c r="O1044" i="4"/>
  <c r="I1045" i="4"/>
  <c r="J1045" i="4"/>
  <c r="L1045" i="4"/>
  <c r="M1045" i="4"/>
  <c r="N1045" i="4"/>
  <c r="O1045" i="4"/>
  <c r="I1046" i="4"/>
  <c r="J1046" i="4"/>
  <c r="L1046" i="4"/>
  <c r="M1046" i="4"/>
  <c r="N1046" i="4"/>
  <c r="O1046" i="4"/>
  <c r="I1047" i="4"/>
  <c r="J1047" i="4"/>
  <c r="L1047" i="4"/>
  <c r="M1047" i="4"/>
  <c r="N1047" i="4"/>
  <c r="O1047" i="4"/>
  <c r="I1048" i="4"/>
  <c r="J1048" i="4"/>
  <c r="L1048" i="4"/>
  <c r="M1048" i="4"/>
  <c r="N1048" i="4"/>
  <c r="O1048" i="4"/>
  <c r="I1049" i="4"/>
  <c r="J1049" i="4"/>
  <c r="L1049" i="4"/>
  <c r="M1049" i="4"/>
  <c r="N1049" i="4"/>
  <c r="O1049" i="4"/>
  <c r="I1050" i="4"/>
  <c r="J1050" i="4"/>
  <c r="L1050" i="4"/>
  <c r="M1050" i="4"/>
  <c r="N1050" i="4"/>
  <c r="O1050" i="4"/>
  <c r="I1051" i="4"/>
  <c r="J1051" i="4"/>
  <c r="L1051" i="4"/>
  <c r="M1051" i="4"/>
  <c r="N1051" i="4"/>
  <c r="O1051" i="4"/>
  <c r="I1052" i="4"/>
  <c r="J1052" i="4"/>
  <c r="L1052" i="4"/>
  <c r="M1052" i="4"/>
  <c r="N1052" i="4"/>
  <c r="O1052" i="4"/>
  <c r="I1053" i="4"/>
  <c r="J1053" i="4"/>
  <c r="L1053" i="4"/>
  <c r="M1053" i="4"/>
  <c r="N1053" i="4"/>
  <c r="O1053" i="4"/>
  <c r="I1054" i="4"/>
  <c r="J1054" i="4"/>
  <c r="L1054" i="4"/>
  <c r="M1054" i="4"/>
  <c r="N1054" i="4"/>
  <c r="O1054" i="4"/>
  <c r="I1055" i="4"/>
  <c r="J1055" i="4"/>
  <c r="L1055" i="4"/>
  <c r="M1055" i="4"/>
  <c r="N1055" i="4"/>
  <c r="O1055" i="4"/>
  <c r="I1056" i="4"/>
  <c r="J1056" i="4"/>
  <c r="L1056" i="4"/>
  <c r="M1056" i="4"/>
  <c r="N1056" i="4"/>
  <c r="O1056" i="4"/>
  <c r="I1057" i="4"/>
  <c r="J1057" i="4"/>
  <c r="L1057" i="4"/>
  <c r="M1057" i="4"/>
  <c r="N1057" i="4"/>
  <c r="O1057" i="4"/>
  <c r="I1058" i="4"/>
  <c r="J1058" i="4"/>
  <c r="L1058" i="4"/>
  <c r="M1058" i="4"/>
  <c r="N1058" i="4"/>
  <c r="O1058" i="4"/>
  <c r="I1059" i="4"/>
  <c r="J1059" i="4"/>
  <c r="L1059" i="4"/>
  <c r="M1059" i="4"/>
  <c r="N1059" i="4"/>
  <c r="O1059" i="4"/>
  <c r="I1060" i="4"/>
  <c r="J1060" i="4"/>
  <c r="L1060" i="4"/>
  <c r="M1060" i="4"/>
  <c r="N1060" i="4"/>
  <c r="O1060" i="4"/>
  <c r="I1061" i="4"/>
  <c r="J1061" i="4"/>
  <c r="L1061" i="4"/>
  <c r="M1061" i="4"/>
  <c r="N1061" i="4"/>
  <c r="O1061" i="4"/>
  <c r="I1062" i="4"/>
  <c r="J1062" i="4"/>
  <c r="L1062" i="4"/>
  <c r="M1062" i="4"/>
  <c r="N1062" i="4"/>
  <c r="O1062" i="4"/>
  <c r="I1063" i="4"/>
  <c r="J1063" i="4"/>
  <c r="L1063" i="4"/>
  <c r="M1063" i="4"/>
  <c r="N1063" i="4"/>
  <c r="O1063" i="4"/>
  <c r="I1064" i="4"/>
  <c r="J1064" i="4"/>
  <c r="L1064" i="4"/>
  <c r="M1064" i="4"/>
  <c r="N1064" i="4"/>
  <c r="O1064" i="4"/>
  <c r="I1065" i="4"/>
  <c r="J1065" i="4"/>
  <c r="L1065" i="4"/>
  <c r="M1065" i="4"/>
  <c r="N1065" i="4"/>
  <c r="O1065" i="4"/>
  <c r="I1066" i="4"/>
  <c r="J1066" i="4"/>
  <c r="L1066" i="4"/>
  <c r="M1066" i="4"/>
  <c r="N1066" i="4"/>
  <c r="O1066" i="4"/>
  <c r="I1067" i="4"/>
  <c r="J1067" i="4"/>
  <c r="L1067" i="4"/>
  <c r="M1067" i="4"/>
  <c r="N1067" i="4"/>
  <c r="O1067" i="4"/>
  <c r="I1068" i="4"/>
  <c r="J1068" i="4"/>
  <c r="L1068" i="4"/>
  <c r="M1068" i="4"/>
  <c r="N1068" i="4"/>
  <c r="O1068" i="4"/>
  <c r="I1069" i="4"/>
  <c r="J1069" i="4"/>
  <c r="L1069" i="4"/>
  <c r="M1069" i="4"/>
  <c r="N1069" i="4"/>
  <c r="O1069" i="4"/>
  <c r="I1070" i="4"/>
  <c r="J1070" i="4"/>
  <c r="L1070" i="4"/>
  <c r="M1070" i="4"/>
  <c r="N1070" i="4"/>
  <c r="O1070" i="4"/>
  <c r="I1071" i="4"/>
  <c r="J1071" i="4"/>
  <c r="L1071" i="4"/>
  <c r="M1071" i="4"/>
  <c r="N1071" i="4"/>
  <c r="O1071" i="4"/>
  <c r="I1072" i="4"/>
  <c r="J1072" i="4"/>
  <c r="L1072" i="4"/>
  <c r="M1072" i="4"/>
  <c r="N1072" i="4"/>
  <c r="O1072" i="4"/>
  <c r="I1073" i="4"/>
  <c r="J1073" i="4"/>
  <c r="L1073" i="4"/>
  <c r="M1073" i="4"/>
  <c r="N1073" i="4"/>
  <c r="O1073" i="4"/>
  <c r="I1074" i="4"/>
  <c r="J1074" i="4"/>
  <c r="L1074" i="4"/>
  <c r="M1074" i="4"/>
  <c r="N1074" i="4"/>
  <c r="O1074" i="4"/>
  <c r="I1075" i="4"/>
  <c r="J1075" i="4"/>
  <c r="L1075" i="4"/>
  <c r="M1075" i="4"/>
  <c r="N1075" i="4"/>
  <c r="O1075" i="4"/>
  <c r="I1076" i="4"/>
  <c r="J1076" i="4"/>
  <c r="L1076" i="4"/>
  <c r="M1076" i="4"/>
  <c r="N1076" i="4"/>
  <c r="O1076" i="4"/>
  <c r="I1077" i="4"/>
  <c r="J1077" i="4"/>
  <c r="L1077" i="4"/>
  <c r="M1077" i="4"/>
  <c r="N1077" i="4"/>
  <c r="O1077" i="4"/>
  <c r="I1078" i="4"/>
  <c r="J1078" i="4"/>
  <c r="L1078" i="4"/>
  <c r="M1078" i="4"/>
  <c r="N1078" i="4"/>
  <c r="O1078" i="4"/>
  <c r="I1079" i="4"/>
  <c r="J1079" i="4"/>
  <c r="L1079" i="4"/>
  <c r="M1079" i="4"/>
  <c r="N1079" i="4"/>
  <c r="O1079" i="4"/>
  <c r="I1080" i="4"/>
  <c r="J1080" i="4"/>
  <c r="L1080" i="4"/>
  <c r="M1080" i="4"/>
  <c r="N1080" i="4"/>
  <c r="O1080" i="4"/>
  <c r="I1081" i="4"/>
  <c r="J1081" i="4"/>
  <c r="L1081" i="4"/>
  <c r="M1081" i="4"/>
  <c r="N1081" i="4"/>
  <c r="O1081" i="4"/>
  <c r="I1082" i="4"/>
  <c r="J1082" i="4"/>
  <c r="L1082" i="4"/>
  <c r="M1082" i="4"/>
  <c r="N1082" i="4"/>
  <c r="O1082" i="4"/>
  <c r="I1083" i="4"/>
  <c r="J1083" i="4"/>
  <c r="L1083" i="4"/>
  <c r="M1083" i="4"/>
  <c r="N1083" i="4"/>
  <c r="O1083" i="4"/>
  <c r="I1084" i="4"/>
  <c r="J1084" i="4"/>
  <c r="L1084" i="4"/>
  <c r="M1084" i="4"/>
  <c r="N1084" i="4"/>
  <c r="O1084" i="4"/>
  <c r="I1085" i="4"/>
  <c r="J1085" i="4"/>
  <c r="L1085" i="4"/>
  <c r="M1085" i="4"/>
  <c r="N1085" i="4"/>
  <c r="O1085" i="4"/>
  <c r="I1086" i="4"/>
  <c r="J1086" i="4"/>
  <c r="L1086" i="4"/>
  <c r="M1086" i="4"/>
  <c r="N1086" i="4"/>
  <c r="O1086" i="4"/>
  <c r="I1087" i="4"/>
  <c r="J1087" i="4"/>
  <c r="L1087" i="4"/>
  <c r="M1087" i="4"/>
  <c r="N1087" i="4"/>
  <c r="O1087" i="4"/>
  <c r="I1088" i="4"/>
  <c r="J1088" i="4"/>
  <c r="L1088" i="4"/>
  <c r="M1088" i="4"/>
  <c r="N1088" i="4"/>
  <c r="O1088" i="4"/>
  <c r="I1089" i="4"/>
  <c r="J1089" i="4"/>
  <c r="L1089" i="4"/>
  <c r="M1089" i="4"/>
  <c r="N1089" i="4"/>
  <c r="O1089" i="4"/>
  <c r="I1090" i="4"/>
  <c r="J1090" i="4"/>
  <c r="L1090" i="4"/>
  <c r="M1090" i="4"/>
  <c r="N1090" i="4"/>
  <c r="O1090" i="4"/>
  <c r="I1091" i="4"/>
  <c r="J1091" i="4"/>
  <c r="L1091" i="4"/>
  <c r="M1091" i="4"/>
  <c r="N1091" i="4"/>
  <c r="O1091" i="4"/>
  <c r="I1092" i="4"/>
  <c r="J1092" i="4"/>
  <c r="L1092" i="4"/>
  <c r="M1092" i="4"/>
  <c r="N1092" i="4"/>
  <c r="O1092" i="4"/>
  <c r="I1093" i="4"/>
  <c r="J1093" i="4"/>
  <c r="L1093" i="4"/>
  <c r="M1093" i="4"/>
  <c r="N1093" i="4"/>
  <c r="O1093" i="4"/>
  <c r="I1094" i="4"/>
  <c r="J1094" i="4"/>
  <c r="L1094" i="4"/>
  <c r="M1094" i="4"/>
  <c r="N1094" i="4"/>
  <c r="O1094"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18" i="4"/>
  <c r="I101" i="3"/>
  <c r="I88" i="3"/>
  <c r="J88" i="3"/>
  <c r="K88" i="3"/>
  <c r="L88" i="3"/>
  <c r="M88" i="3"/>
  <c r="N88" i="3"/>
  <c r="O88" i="3"/>
  <c r="P88" i="3"/>
  <c r="I89" i="3"/>
  <c r="J89" i="3"/>
  <c r="K89" i="3"/>
  <c r="L89" i="3"/>
  <c r="M89" i="3"/>
  <c r="N89" i="3"/>
  <c r="O89" i="3"/>
  <c r="P89" i="3"/>
  <c r="I90" i="3"/>
  <c r="J90" i="3"/>
  <c r="K90" i="3"/>
  <c r="L90" i="3"/>
  <c r="M90" i="3"/>
  <c r="N90" i="3"/>
  <c r="O90" i="3"/>
  <c r="P90" i="3"/>
  <c r="I91" i="3"/>
  <c r="J91" i="3"/>
  <c r="K91" i="3"/>
  <c r="L91" i="3"/>
  <c r="M91" i="3"/>
  <c r="N91" i="3"/>
  <c r="O91" i="3"/>
  <c r="P91" i="3"/>
  <c r="I92" i="3"/>
  <c r="J92" i="3"/>
  <c r="K92" i="3"/>
  <c r="L92" i="3"/>
  <c r="M92" i="3"/>
  <c r="N92" i="3"/>
  <c r="O92" i="3"/>
  <c r="P92" i="3"/>
  <c r="I93" i="3"/>
  <c r="J93" i="3"/>
  <c r="K93" i="3"/>
  <c r="L93" i="3"/>
  <c r="M93" i="3"/>
  <c r="N93" i="3"/>
  <c r="O93" i="3"/>
  <c r="P93" i="3"/>
  <c r="I94" i="3"/>
  <c r="J94" i="3"/>
  <c r="K94" i="3"/>
  <c r="L94" i="3"/>
  <c r="M94" i="3"/>
  <c r="N94" i="3"/>
  <c r="O94" i="3"/>
  <c r="P94" i="3"/>
  <c r="I95" i="3"/>
  <c r="J95" i="3"/>
  <c r="K95" i="3"/>
  <c r="L95" i="3"/>
  <c r="M95" i="3"/>
  <c r="N95" i="3"/>
  <c r="O95" i="3"/>
  <c r="P95" i="3"/>
  <c r="I96" i="3"/>
  <c r="J96" i="3"/>
  <c r="K96" i="3"/>
  <c r="L96" i="3"/>
  <c r="M96" i="3"/>
  <c r="N96" i="3"/>
  <c r="O96" i="3"/>
  <c r="P96" i="3"/>
  <c r="I97" i="3"/>
  <c r="J97" i="3"/>
  <c r="K97" i="3"/>
  <c r="L97" i="3"/>
  <c r="M97" i="3"/>
  <c r="N97" i="3"/>
  <c r="O97" i="3"/>
  <c r="P97" i="3"/>
  <c r="I98" i="3"/>
  <c r="J98" i="3"/>
  <c r="K98" i="3"/>
  <c r="L98" i="3"/>
  <c r="M98" i="3"/>
  <c r="N98" i="3"/>
  <c r="O98" i="3"/>
  <c r="P98" i="3"/>
  <c r="I99" i="3"/>
  <c r="J99" i="3"/>
  <c r="K99" i="3"/>
  <c r="L99" i="3"/>
  <c r="M99" i="3"/>
  <c r="N99" i="3"/>
  <c r="O99" i="3"/>
  <c r="P99" i="3"/>
  <c r="I100" i="3"/>
  <c r="J100" i="3"/>
  <c r="K100" i="3"/>
  <c r="L100" i="3"/>
  <c r="M100" i="3"/>
  <c r="N100" i="3"/>
  <c r="O100" i="3"/>
  <c r="P100" i="3"/>
  <c r="J101" i="3"/>
  <c r="K101" i="3"/>
  <c r="L101" i="3"/>
  <c r="M101" i="3"/>
  <c r="N101" i="3"/>
  <c r="O101" i="3"/>
  <c r="P101" i="3"/>
  <c r="I102" i="3"/>
  <c r="J102" i="3"/>
  <c r="K102" i="3"/>
  <c r="L102" i="3"/>
  <c r="M102" i="3"/>
  <c r="N102" i="3"/>
  <c r="O102" i="3"/>
  <c r="P10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22" i="3"/>
  <c r="I21" i="3"/>
  <c r="K179" i="2"/>
  <c r="L179" i="2"/>
  <c r="M179" i="2"/>
  <c r="N179" i="2"/>
  <c r="O179" i="2"/>
  <c r="P179" i="2"/>
  <c r="K180" i="2"/>
  <c r="L180" i="2"/>
  <c r="M180" i="2"/>
  <c r="N180" i="2"/>
  <c r="O180" i="2"/>
  <c r="P180" i="2"/>
  <c r="K181" i="2"/>
  <c r="L181" i="2"/>
  <c r="M181" i="2"/>
  <c r="N181" i="2"/>
  <c r="O181" i="2"/>
  <c r="P181" i="2"/>
  <c r="K182" i="2"/>
  <c r="L182" i="2"/>
  <c r="M182" i="2"/>
  <c r="N182" i="2"/>
  <c r="O182" i="2"/>
  <c r="P182" i="2"/>
  <c r="K183" i="2"/>
  <c r="L183" i="2"/>
  <c r="M183" i="2"/>
  <c r="N183" i="2"/>
  <c r="O183" i="2"/>
  <c r="P183" i="2"/>
  <c r="K184" i="2"/>
  <c r="L184" i="2"/>
  <c r="M184" i="2"/>
  <c r="N184" i="2"/>
  <c r="O184" i="2"/>
  <c r="P184" i="2"/>
  <c r="K185" i="2"/>
  <c r="L185" i="2"/>
  <c r="M185" i="2"/>
  <c r="N185" i="2"/>
  <c r="O185" i="2"/>
  <c r="P185" i="2"/>
  <c r="K186" i="2"/>
  <c r="L186" i="2"/>
  <c r="M186" i="2"/>
  <c r="N186" i="2"/>
  <c r="O186" i="2"/>
  <c r="P186" i="2"/>
  <c r="K187" i="2"/>
  <c r="L187" i="2"/>
  <c r="M187" i="2"/>
  <c r="N187" i="2"/>
  <c r="O187" i="2"/>
  <c r="P187" i="2"/>
  <c r="K188" i="2"/>
  <c r="L188" i="2"/>
  <c r="M188" i="2"/>
  <c r="N188" i="2"/>
  <c r="O188" i="2"/>
  <c r="P188" i="2"/>
  <c r="K189" i="2"/>
  <c r="L189" i="2"/>
  <c r="M189" i="2"/>
  <c r="N189" i="2"/>
  <c r="O189" i="2"/>
  <c r="P189" i="2"/>
  <c r="K190" i="2"/>
  <c r="L190" i="2"/>
  <c r="M190" i="2"/>
  <c r="N190" i="2"/>
  <c r="O190" i="2"/>
  <c r="P190" i="2"/>
  <c r="K191" i="2"/>
  <c r="L191" i="2"/>
  <c r="M191" i="2"/>
  <c r="N191" i="2"/>
  <c r="O191" i="2"/>
  <c r="P191" i="2"/>
  <c r="K192" i="2"/>
  <c r="L192" i="2"/>
  <c r="M192" i="2"/>
  <c r="N192" i="2"/>
  <c r="O192" i="2"/>
  <c r="P192" i="2"/>
  <c r="K193" i="2"/>
  <c r="L193" i="2"/>
  <c r="M193" i="2"/>
  <c r="N193" i="2"/>
  <c r="O193" i="2"/>
  <c r="P193" i="2"/>
  <c r="K194" i="2"/>
  <c r="L194" i="2"/>
  <c r="M194" i="2"/>
  <c r="N194" i="2"/>
  <c r="O194" i="2"/>
  <c r="P194" i="2"/>
  <c r="K195" i="2"/>
  <c r="L195" i="2"/>
  <c r="M195" i="2"/>
  <c r="N195" i="2"/>
  <c r="O195" i="2"/>
  <c r="P195" i="2"/>
  <c r="K196" i="2"/>
  <c r="L196" i="2"/>
  <c r="M196" i="2"/>
  <c r="N196" i="2"/>
  <c r="O196" i="2"/>
  <c r="P196" i="2"/>
  <c r="K197" i="2"/>
  <c r="L197" i="2"/>
  <c r="M197" i="2"/>
  <c r="N197" i="2"/>
  <c r="O197" i="2"/>
  <c r="P197" i="2"/>
  <c r="K198" i="2"/>
  <c r="L198" i="2"/>
  <c r="M198" i="2"/>
  <c r="N198" i="2"/>
  <c r="O198" i="2"/>
  <c r="P198" i="2"/>
  <c r="K199" i="2"/>
  <c r="L199" i="2"/>
  <c r="M199" i="2"/>
  <c r="N199" i="2"/>
  <c r="O199" i="2"/>
  <c r="P199" i="2"/>
  <c r="K200" i="2"/>
  <c r="L200" i="2"/>
  <c r="M200" i="2"/>
  <c r="N200" i="2"/>
  <c r="O200" i="2"/>
  <c r="P200" i="2"/>
  <c r="K201" i="2"/>
  <c r="L201" i="2"/>
  <c r="M201" i="2"/>
  <c r="N201" i="2"/>
  <c r="O201" i="2"/>
  <c r="P201" i="2"/>
  <c r="K202" i="2"/>
  <c r="L202" i="2"/>
  <c r="M202" i="2"/>
  <c r="N202" i="2"/>
  <c r="O202" i="2"/>
  <c r="P202" i="2"/>
  <c r="K203" i="2"/>
  <c r="L203" i="2"/>
  <c r="M203" i="2"/>
  <c r="N203" i="2"/>
  <c r="O203" i="2"/>
  <c r="P203" i="2"/>
  <c r="K204" i="2"/>
  <c r="L204" i="2"/>
  <c r="M204" i="2"/>
  <c r="N204" i="2"/>
  <c r="O204" i="2"/>
  <c r="P204" i="2"/>
  <c r="K205" i="2"/>
  <c r="L205" i="2"/>
  <c r="M205" i="2"/>
  <c r="N205" i="2"/>
  <c r="O205" i="2"/>
  <c r="P205" i="2"/>
  <c r="K206" i="2"/>
  <c r="L206" i="2"/>
  <c r="M206" i="2"/>
  <c r="N206" i="2"/>
  <c r="O206" i="2"/>
  <c r="P206" i="2"/>
  <c r="K207" i="2"/>
  <c r="L207" i="2"/>
  <c r="M207" i="2"/>
  <c r="N207" i="2"/>
  <c r="O207" i="2"/>
  <c r="P207" i="2"/>
  <c r="K208" i="2"/>
  <c r="L208" i="2"/>
  <c r="M208" i="2"/>
  <c r="N208" i="2"/>
  <c r="O208" i="2"/>
  <c r="P208" i="2"/>
  <c r="K209" i="2"/>
  <c r="L209" i="2"/>
  <c r="M209" i="2"/>
  <c r="N209" i="2"/>
  <c r="O209" i="2"/>
  <c r="P209" i="2"/>
  <c r="K210" i="2"/>
  <c r="L210" i="2"/>
  <c r="M210" i="2"/>
  <c r="N210" i="2"/>
  <c r="O210" i="2"/>
  <c r="P210" i="2"/>
  <c r="K211" i="2"/>
  <c r="L211" i="2"/>
  <c r="M211" i="2"/>
  <c r="N211" i="2"/>
  <c r="O211" i="2"/>
  <c r="P211" i="2"/>
  <c r="K212" i="2"/>
  <c r="L212" i="2"/>
  <c r="M212" i="2"/>
  <c r="N212" i="2"/>
  <c r="O212" i="2"/>
  <c r="P212" i="2"/>
  <c r="K213" i="2"/>
  <c r="L213" i="2"/>
  <c r="M213" i="2"/>
  <c r="N213" i="2"/>
  <c r="O213" i="2"/>
  <c r="P213" i="2"/>
  <c r="K214" i="2"/>
  <c r="L214" i="2"/>
  <c r="M214" i="2"/>
  <c r="N214" i="2"/>
  <c r="O214" i="2"/>
  <c r="P214" i="2"/>
  <c r="K215" i="2"/>
  <c r="L215" i="2"/>
  <c r="M215" i="2"/>
  <c r="N215" i="2"/>
  <c r="O215" i="2"/>
  <c r="P215" i="2"/>
  <c r="K216" i="2"/>
  <c r="L216" i="2"/>
  <c r="M216" i="2"/>
  <c r="N216" i="2"/>
  <c r="O216" i="2"/>
  <c r="P216" i="2"/>
  <c r="K217" i="2"/>
  <c r="L217" i="2"/>
  <c r="M217" i="2"/>
  <c r="N217" i="2"/>
  <c r="O217" i="2"/>
  <c r="P217" i="2"/>
  <c r="K218" i="2"/>
  <c r="L218" i="2"/>
  <c r="M218" i="2"/>
  <c r="N218" i="2"/>
  <c r="O218" i="2"/>
  <c r="P218" i="2"/>
  <c r="K219" i="2"/>
  <c r="L219" i="2"/>
  <c r="M219" i="2"/>
  <c r="N219" i="2"/>
  <c r="O219" i="2"/>
  <c r="P219" i="2"/>
  <c r="K220" i="2"/>
  <c r="L220" i="2"/>
  <c r="M220" i="2"/>
  <c r="N220" i="2"/>
  <c r="O220" i="2"/>
  <c r="P220" i="2"/>
  <c r="K221" i="2"/>
  <c r="L221" i="2"/>
  <c r="M221" i="2"/>
  <c r="N221" i="2"/>
  <c r="O221" i="2"/>
  <c r="P221" i="2"/>
  <c r="K222" i="2"/>
  <c r="L222" i="2"/>
  <c r="M222" i="2"/>
  <c r="N222" i="2"/>
  <c r="O222" i="2"/>
  <c r="P222" i="2"/>
  <c r="K223" i="2"/>
  <c r="L223" i="2"/>
  <c r="M223" i="2"/>
  <c r="N223" i="2"/>
  <c r="O223" i="2"/>
  <c r="P223" i="2"/>
  <c r="K224" i="2"/>
  <c r="L224" i="2"/>
  <c r="M224" i="2"/>
  <c r="N224" i="2"/>
  <c r="O224" i="2"/>
  <c r="P224" i="2"/>
  <c r="K225" i="2"/>
  <c r="L225" i="2"/>
  <c r="M225" i="2"/>
  <c r="N225" i="2"/>
  <c r="O225" i="2"/>
  <c r="P225" i="2"/>
  <c r="K226" i="2"/>
  <c r="L226" i="2"/>
  <c r="M226" i="2"/>
  <c r="N226" i="2"/>
  <c r="O226" i="2"/>
  <c r="P226" i="2"/>
  <c r="K227" i="2"/>
  <c r="L227" i="2"/>
  <c r="M227" i="2"/>
  <c r="N227" i="2"/>
  <c r="O227" i="2"/>
  <c r="P227"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178" i="2"/>
  <c r="J45" i="7" l="1"/>
  <c r="F2" i="5"/>
  <c r="I189" i="1"/>
  <c r="J189" i="1"/>
  <c r="L189" i="1"/>
  <c r="M189" i="1"/>
  <c r="N189" i="1"/>
  <c r="O189" i="1"/>
  <c r="I190" i="1"/>
  <c r="J190" i="1"/>
  <c r="L190" i="1"/>
  <c r="M190" i="1"/>
  <c r="N190" i="1"/>
  <c r="O190" i="1"/>
  <c r="I191" i="1"/>
  <c r="J191" i="1"/>
  <c r="L191" i="1"/>
  <c r="M191" i="1"/>
  <c r="N191" i="1"/>
  <c r="O191" i="1"/>
  <c r="I192" i="1"/>
  <c r="J192" i="1"/>
  <c r="L192" i="1"/>
  <c r="M192" i="1"/>
  <c r="N192" i="1"/>
  <c r="O192" i="1"/>
  <c r="I193" i="1"/>
  <c r="J193" i="1"/>
  <c r="L193" i="1"/>
  <c r="M193" i="1"/>
  <c r="N193" i="1"/>
  <c r="O193" i="1"/>
  <c r="I194" i="1"/>
  <c r="J194" i="1"/>
  <c r="L194" i="1"/>
  <c r="M194" i="1"/>
  <c r="N194" i="1"/>
  <c r="O194" i="1"/>
  <c r="I195" i="1"/>
  <c r="J195" i="1"/>
  <c r="L195" i="1"/>
  <c r="M195" i="1"/>
  <c r="N195" i="1"/>
  <c r="O195" i="1"/>
  <c r="I196" i="1"/>
  <c r="J196" i="1"/>
  <c r="L196" i="1"/>
  <c r="M196" i="1"/>
  <c r="N196" i="1"/>
  <c r="O196" i="1"/>
  <c r="I197" i="1"/>
  <c r="J197" i="1"/>
  <c r="L197" i="1"/>
  <c r="M197" i="1"/>
  <c r="N197" i="1"/>
  <c r="O197" i="1"/>
  <c r="I198" i="1"/>
  <c r="J198" i="1"/>
  <c r="L198" i="1"/>
  <c r="M198" i="1"/>
  <c r="N198" i="1"/>
  <c r="O198" i="1"/>
  <c r="I199" i="1"/>
  <c r="J199" i="1"/>
  <c r="L199" i="1"/>
  <c r="M199" i="1"/>
  <c r="N199" i="1"/>
  <c r="O199" i="1"/>
  <c r="I200" i="1"/>
  <c r="J200" i="1"/>
  <c r="L200" i="1"/>
  <c r="M200" i="1"/>
  <c r="N200" i="1"/>
  <c r="O200" i="1"/>
  <c r="I201" i="1"/>
  <c r="J201" i="1"/>
  <c r="L201" i="1"/>
  <c r="M201" i="1"/>
  <c r="N201" i="1"/>
  <c r="O201" i="1"/>
  <c r="I202" i="1"/>
  <c r="J202" i="1"/>
  <c r="L202" i="1"/>
  <c r="M202" i="1"/>
  <c r="N202" i="1"/>
  <c r="O202" i="1"/>
  <c r="I203" i="1"/>
  <c r="J203" i="1"/>
  <c r="L203" i="1"/>
  <c r="M203" i="1"/>
  <c r="N203" i="1"/>
  <c r="O203" i="1"/>
  <c r="I204" i="1"/>
  <c r="J204" i="1"/>
  <c r="L204" i="1"/>
  <c r="M204" i="1"/>
  <c r="N204" i="1"/>
  <c r="O204" i="1"/>
  <c r="I205" i="1"/>
  <c r="J205" i="1"/>
  <c r="L205" i="1"/>
  <c r="M205" i="1"/>
  <c r="N205" i="1"/>
  <c r="O205" i="1"/>
  <c r="I206" i="1"/>
  <c r="J206" i="1"/>
  <c r="L206" i="1"/>
  <c r="M206" i="1"/>
  <c r="N206" i="1"/>
  <c r="O206" i="1"/>
  <c r="I207" i="1"/>
  <c r="J207" i="1"/>
  <c r="L207" i="1"/>
  <c r="M207" i="1"/>
  <c r="N207" i="1"/>
  <c r="O207" i="1"/>
  <c r="I208" i="1"/>
  <c r="J208" i="1"/>
  <c r="L208" i="1"/>
  <c r="M208" i="1"/>
  <c r="N208" i="1"/>
  <c r="O208" i="1"/>
  <c r="I209" i="1"/>
  <c r="J209" i="1"/>
  <c r="L209" i="1"/>
  <c r="M209" i="1"/>
  <c r="N209" i="1"/>
  <c r="O209" i="1"/>
  <c r="I210" i="1"/>
  <c r="J210" i="1"/>
  <c r="L210" i="1"/>
  <c r="M210" i="1"/>
  <c r="N210" i="1"/>
  <c r="O210" i="1"/>
  <c r="I211" i="1"/>
  <c r="J211" i="1"/>
  <c r="L211" i="1"/>
  <c r="M211" i="1"/>
  <c r="N211" i="1"/>
  <c r="O211" i="1"/>
  <c r="I212" i="1"/>
  <c r="J212" i="1"/>
  <c r="L212" i="1"/>
  <c r="M212" i="1"/>
  <c r="N212" i="1"/>
  <c r="O212" i="1"/>
  <c r="I213" i="1"/>
  <c r="J213" i="1"/>
  <c r="L213" i="1"/>
  <c r="M213" i="1"/>
  <c r="N213" i="1"/>
  <c r="O213" i="1"/>
  <c r="I214" i="1"/>
  <c r="J214" i="1"/>
  <c r="L214" i="1"/>
  <c r="M214" i="1"/>
  <c r="N214" i="1"/>
  <c r="O214" i="1"/>
  <c r="I215" i="1"/>
  <c r="J215" i="1"/>
  <c r="L215" i="1"/>
  <c r="M215" i="1"/>
  <c r="N215" i="1"/>
  <c r="O215" i="1"/>
  <c r="I216" i="1"/>
  <c r="J216" i="1"/>
  <c r="L216" i="1"/>
  <c r="M216" i="1"/>
  <c r="N216" i="1"/>
  <c r="O216" i="1"/>
  <c r="I217" i="1"/>
  <c r="J217" i="1"/>
  <c r="L217" i="1"/>
  <c r="M217" i="1"/>
  <c r="N217" i="1"/>
  <c r="O217" i="1"/>
  <c r="I218" i="1"/>
  <c r="J218" i="1"/>
  <c r="L218" i="1"/>
  <c r="M218" i="1"/>
  <c r="N218" i="1"/>
  <c r="O218" i="1"/>
  <c r="I219" i="1"/>
  <c r="J219" i="1"/>
  <c r="L219" i="1"/>
  <c r="M219" i="1"/>
  <c r="N219" i="1"/>
  <c r="O219" i="1"/>
  <c r="I220" i="1"/>
  <c r="J220" i="1"/>
  <c r="L220" i="1"/>
  <c r="M220" i="1"/>
  <c r="N220" i="1"/>
  <c r="O220" i="1"/>
  <c r="I221" i="1"/>
  <c r="J221" i="1"/>
  <c r="L221" i="1"/>
  <c r="M221" i="1"/>
  <c r="N221" i="1"/>
  <c r="O221" i="1"/>
  <c r="I222" i="1"/>
  <c r="J222" i="1"/>
  <c r="L222" i="1"/>
  <c r="M222" i="1"/>
  <c r="N222" i="1"/>
  <c r="O222" i="1"/>
  <c r="I223" i="1"/>
  <c r="J223" i="1"/>
  <c r="L223" i="1"/>
  <c r="M223" i="1"/>
  <c r="N223" i="1"/>
  <c r="O223" i="1"/>
  <c r="I224" i="1"/>
  <c r="J224" i="1"/>
  <c r="L224" i="1"/>
  <c r="M224" i="1"/>
  <c r="N224" i="1"/>
  <c r="O224" i="1"/>
  <c r="I225" i="1"/>
  <c r="J225" i="1"/>
  <c r="L225" i="1"/>
  <c r="M225" i="1"/>
  <c r="N225" i="1"/>
  <c r="O225" i="1"/>
  <c r="I226" i="1"/>
  <c r="J226" i="1"/>
  <c r="L226" i="1"/>
  <c r="M226" i="1"/>
  <c r="N226" i="1"/>
  <c r="O226" i="1"/>
  <c r="I227" i="1"/>
  <c r="J227" i="1"/>
  <c r="L227" i="1"/>
  <c r="M227" i="1"/>
  <c r="N227" i="1"/>
  <c r="O227" i="1"/>
  <c r="I228" i="1"/>
  <c r="J228" i="1"/>
  <c r="L228" i="1"/>
  <c r="M228" i="1"/>
  <c r="N228" i="1"/>
  <c r="O228" i="1"/>
  <c r="I229" i="1"/>
  <c r="J229" i="1"/>
  <c r="L229" i="1"/>
  <c r="M229" i="1"/>
  <c r="N229" i="1"/>
  <c r="O229" i="1"/>
  <c r="I230" i="1"/>
  <c r="J230" i="1"/>
  <c r="L230" i="1"/>
  <c r="M230" i="1"/>
  <c r="N230" i="1"/>
  <c r="O230" i="1"/>
  <c r="I231" i="1"/>
  <c r="J231" i="1"/>
  <c r="L231" i="1"/>
  <c r="M231" i="1"/>
  <c r="N231" i="1"/>
  <c r="O231" i="1"/>
  <c r="I232" i="1"/>
  <c r="J232" i="1"/>
  <c r="L232" i="1"/>
  <c r="M232" i="1"/>
  <c r="N232" i="1"/>
  <c r="O232" i="1"/>
  <c r="I233" i="1"/>
  <c r="J233" i="1"/>
  <c r="L233" i="1"/>
  <c r="M233" i="1"/>
  <c r="N233" i="1"/>
  <c r="O233" i="1"/>
  <c r="I234" i="1"/>
  <c r="J234" i="1"/>
  <c r="L234" i="1"/>
  <c r="M234" i="1"/>
  <c r="N234" i="1"/>
  <c r="O234" i="1"/>
  <c r="I235" i="1"/>
  <c r="J235" i="1"/>
  <c r="L235" i="1"/>
  <c r="M235" i="1"/>
  <c r="N235" i="1"/>
  <c r="O235" i="1"/>
  <c r="I236" i="1"/>
  <c r="J236" i="1"/>
  <c r="L236" i="1"/>
  <c r="M236" i="1"/>
  <c r="N236" i="1"/>
  <c r="O236" i="1"/>
  <c r="I237" i="1"/>
  <c r="J237" i="1"/>
  <c r="L237" i="1"/>
  <c r="M237" i="1"/>
  <c r="N237" i="1"/>
  <c r="O237" i="1"/>
  <c r="I238" i="1"/>
  <c r="J238" i="1"/>
  <c r="L238" i="1"/>
  <c r="M238" i="1"/>
  <c r="N238" i="1"/>
  <c r="O238" i="1"/>
  <c r="I239" i="1"/>
  <c r="J239" i="1"/>
  <c r="L239" i="1"/>
  <c r="M239" i="1"/>
  <c r="N239" i="1"/>
  <c r="O239" i="1"/>
  <c r="I240" i="1"/>
  <c r="J240" i="1"/>
  <c r="L240" i="1"/>
  <c r="M240" i="1"/>
  <c r="N240" i="1"/>
  <c r="O240" i="1"/>
  <c r="I241" i="1"/>
  <c r="J241" i="1"/>
  <c r="L241" i="1"/>
  <c r="M241" i="1"/>
  <c r="N241" i="1"/>
  <c r="O241" i="1"/>
  <c r="I242" i="1"/>
  <c r="J242" i="1"/>
  <c r="L242" i="1"/>
  <c r="M242" i="1"/>
  <c r="N242" i="1"/>
  <c r="O242" i="1"/>
  <c r="I243" i="1"/>
  <c r="J243" i="1"/>
  <c r="L243" i="1"/>
  <c r="M243" i="1"/>
  <c r="N243" i="1"/>
  <c r="O243" i="1"/>
  <c r="I244" i="1"/>
  <c r="J244" i="1"/>
  <c r="L244" i="1"/>
  <c r="M244" i="1"/>
  <c r="N244" i="1"/>
  <c r="O244" i="1"/>
  <c r="I245" i="1"/>
  <c r="J245" i="1"/>
  <c r="L245" i="1"/>
  <c r="M245" i="1"/>
  <c r="N245" i="1"/>
  <c r="O245" i="1"/>
  <c r="I246" i="1"/>
  <c r="J246" i="1"/>
  <c r="L246" i="1"/>
  <c r="M246" i="1"/>
  <c r="N246" i="1"/>
  <c r="O246" i="1"/>
  <c r="I247" i="1"/>
  <c r="J247" i="1"/>
  <c r="L247" i="1"/>
  <c r="M247" i="1"/>
  <c r="N247" i="1"/>
  <c r="O247" i="1"/>
  <c r="I248" i="1"/>
  <c r="J248" i="1"/>
  <c r="L248" i="1"/>
  <c r="M248" i="1"/>
  <c r="N248" i="1"/>
  <c r="O248" i="1"/>
  <c r="I249" i="1"/>
  <c r="J249" i="1"/>
  <c r="L249" i="1"/>
  <c r="M249" i="1"/>
  <c r="N249" i="1"/>
  <c r="O249" i="1"/>
  <c r="I250" i="1"/>
  <c r="J250" i="1"/>
  <c r="L250" i="1"/>
  <c r="M250" i="1"/>
  <c r="N250" i="1"/>
  <c r="O250" i="1"/>
  <c r="I251" i="1"/>
  <c r="J251" i="1"/>
  <c r="L251" i="1"/>
  <c r="M251" i="1"/>
  <c r="N251" i="1"/>
  <c r="O251" i="1"/>
  <c r="I252" i="1"/>
  <c r="J252" i="1"/>
  <c r="L252" i="1"/>
  <c r="M252" i="1"/>
  <c r="N252" i="1"/>
  <c r="O252" i="1"/>
  <c r="I253" i="1"/>
  <c r="J253" i="1"/>
  <c r="L253" i="1"/>
  <c r="M253" i="1"/>
  <c r="N253" i="1"/>
  <c r="O253" i="1"/>
  <c r="I254" i="1"/>
  <c r="J254" i="1"/>
  <c r="L254" i="1"/>
  <c r="M254" i="1"/>
  <c r="N254" i="1"/>
  <c r="O254" i="1"/>
  <c r="I255" i="1"/>
  <c r="J255" i="1"/>
  <c r="L255" i="1"/>
  <c r="M255" i="1"/>
  <c r="N255" i="1"/>
  <c r="O255" i="1"/>
  <c r="I256" i="1"/>
  <c r="J256" i="1"/>
  <c r="L256" i="1"/>
  <c r="M256" i="1"/>
  <c r="N256" i="1"/>
  <c r="O256" i="1"/>
  <c r="I257" i="1"/>
  <c r="J257" i="1"/>
  <c r="L257" i="1"/>
  <c r="M257" i="1"/>
  <c r="N257" i="1"/>
  <c r="O257" i="1"/>
  <c r="I258" i="1"/>
  <c r="J258" i="1"/>
  <c r="L258" i="1"/>
  <c r="M258" i="1"/>
  <c r="N258" i="1"/>
  <c r="O258" i="1"/>
  <c r="I259" i="1"/>
  <c r="J259" i="1"/>
  <c r="L259" i="1"/>
  <c r="M259" i="1"/>
  <c r="N259" i="1"/>
  <c r="O259" i="1"/>
  <c r="I260" i="1"/>
  <c r="J260" i="1"/>
  <c r="L260" i="1"/>
  <c r="M260" i="1"/>
  <c r="N260" i="1"/>
  <c r="O260" i="1"/>
  <c r="I261" i="1"/>
  <c r="J261" i="1"/>
  <c r="L261" i="1"/>
  <c r="M261" i="1"/>
  <c r="N261" i="1"/>
  <c r="O261" i="1"/>
  <c r="I262" i="1"/>
  <c r="J262" i="1"/>
  <c r="L262" i="1"/>
  <c r="M262" i="1"/>
  <c r="N262" i="1"/>
  <c r="O262" i="1"/>
  <c r="I263" i="1"/>
  <c r="J263" i="1"/>
  <c r="L263" i="1"/>
  <c r="M263" i="1"/>
  <c r="N263" i="1"/>
  <c r="O263" i="1"/>
  <c r="I264" i="1"/>
  <c r="J264" i="1"/>
  <c r="L264" i="1"/>
  <c r="M264" i="1"/>
  <c r="N264" i="1"/>
  <c r="O264" i="1"/>
  <c r="I265" i="1"/>
  <c r="J265" i="1"/>
  <c r="L265" i="1"/>
  <c r="M265" i="1"/>
  <c r="N265" i="1"/>
  <c r="O265" i="1"/>
  <c r="I266" i="1"/>
  <c r="J266" i="1"/>
  <c r="L266" i="1"/>
  <c r="M266" i="1"/>
  <c r="N266" i="1"/>
  <c r="O266" i="1"/>
  <c r="I267" i="1"/>
  <c r="J267" i="1"/>
  <c r="L267" i="1"/>
  <c r="M267" i="1"/>
  <c r="N267" i="1"/>
  <c r="O267"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I188" i="1"/>
  <c r="J188" i="1"/>
  <c r="L188" i="1"/>
  <c r="M188" i="1"/>
  <c r="N188" i="1"/>
  <c r="O188" i="1"/>
  <c r="H189" i="1"/>
  <c r="H188" i="1"/>
  <c r="H187" i="1"/>
  <c r="I187" i="1"/>
  <c r="J187" i="1"/>
  <c r="L187" i="1"/>
  <c r="M187" i="1"/>
  <c r="N187" i="1"/>
  <c r="O187" i="1"/>
  <c r="L185" i="1"/>
  <c r="F9" i="9" l="1"/>
  <c r="AT14" i="9" l="1"/>
  <c r="AI22" i="9"/>
  <c r="AI17" i="9"/>
  <c r="N16" i="9"/>
  <c r="P8" i="9"/>
  <c r="Q8" i="9"/>
  <c r="M26" i="9"/>
  <c r="C7" i="9" l="1"/>
  <c r="G17" i="9"/>
  <c r="E9" i="9"/>
  <c r="H8" i="9"/>
  <c r="H7" i="9"/>
  <c r="P13" i="5"/>
  <c r="H17" i="9" l="1"/>
  <c r="I8" i="9"/>
  <c r="C8" i="9" s="1"/>
  <c r="G9" i="9"/>
  <c r="C9" i="9" l="1"/>
  <c r="C5" i="9" s="1"/>
  <c r="C17" i="9"/>
  <c r="C16" i="9" s="1"/>
  <c r="C20" i="9" l="1"/>
  <c r="C10" i="9"/>
  <c r="C38" i="7"/>
  <c r="C8" i="7"/>
  <c r="C7" i="7"/>
  <c r="N168" i="2"/>
  <c r="N166" i="2"/>
  <c r="N165" i="2"/>
  <c r="N163" i="2"/>
  <c r="N161" i="2"/>
  <c r="N159" i="2"/>
  <c r="H186" i="1"/>
  <c r="H185"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7" i="1"/>
  <c r="F14" i="1"/>
  <c r="H16" i="1" s="1"/>
  <c r="C51" i="7"/>
  <c r="E51" i="7"/>
  <c r="E15" i="4"/>
  <c r="D15" i="4"/>
  <c r="D1" i="5" s="1"/>
  <c r="E1" i="5"/>
  <c r="F18" i="3"/>
  <c r="E18" i="3"/>
  <c r="E19" i="2"/>
  <c r="E14" i="1"/>
  <c r="D14" i="1"/>
  <c r="I43" i="7"/>
  <c r="E8" i="7"/>
  <c r="E37" i="7"/>
  <c r="E38" i="7"/>
  <c r="E7" i="7"/>
  <c r="F15" i="4"/>
  <c r="I42" i="7" s="1"/>
  <c r="G18" i="3"/>
  <c r="G19" i="2"/>
  <c r="P9" i="5"/>
  <c r="F1229" i="5"/>
  <c r="N9" i="5"/>
  <c r="I18" i="4"/>
  <c r="J18" i="4"/>
  <c r="L18" i="4"/>
  <c r="M18" i="4"/>
  <c r="N18" i="4"/>
  <c r="O18" i="4"/>
  <c r="I19" i="4"/>
  <c r="J19" i="4"/>
  <c r="L19" i="4"/>
  <c r="M19" i="4"/>
  <c r="N19" i="4"/>
  <c r="O19" i="4"/>
  <c r="I20" i="4"/>
  <c r="J20" i="4"/>
  <c r="L20" i="4"/>
  <c r="M20" i="4"/>
  <c r="N20" i="4"/>
  <c r="O20" i="4"/>
  <c r="I21" i="4"/>
  <c r="J21" i="4"/>
  <c r="L21" i="4"/>
  <c r="M21" i="4"/>
  <c r="N21" i="4"/>
  <c r="O21" i="4"/>
  <c r="I22" i="4"/>
  <c r="J22" i="4"/>
  <c r="L22" i="4"/>
  <c r="M22" i="4"/>
  <c r="N22" i="4"/>
  <c r="O22" i="4"/>
  <c r="I23" i="4"/>
  <c r="J23" i="4"/>
  <c r="L23" i="4"/>
  <c r="M23" i="4"/>
  <c r="N23" i="4"/>
  <c r="O23" i="4"/>
  <c r="I24" i="4"/>
  <c r="J24" i="4"/>
  <c r="L24" i="4"/>
  <c r="M24" i="4"/>
  <c r="N24" i="4"/>
  <c r="O24" i="4"/>
  <c r="I25" i="4"/>
  <c r="J25" i="4"/>
  <c r="L25" i="4"/>
  <c r="M25" i="4"/>
  <c r="N25" i="4"/>
  <c r="O25" i="4"/>
  <c r="I26" i="4"/>
  <c r="J26" i="4"/>
  <c r="L26" i="4"/>
  <c r="M26" i="4"/>
  <c r="N26" i="4"/>
  <c r="O26" i="4"/>
  <c r="I27" i="4"/>
  <c r="J27" i="4"/>
  <c r="L27" i="4"/>
  <c r="M27" i="4"/>
  <c r="N27" i="4"/>
  <c r="O27" i="4"/>
  <c r="I28" i="4"/>
  <c r="J28" i="4"/>
  <c r="L28" i="4"/>
  <c r="M28" i="4"/>
  <c r="N28" i="4"/>
  <c r="O28" i="4"/>
  <c r="I29" i="4"/>
  <c r="J29" i="4"/>
  <c r="L29" i="4"/>
  <c r="M29" i="4"/>
  <c r="N29" i="4"/>
  <c r="O29" i="4"/>
  <c r="I30" i="4"/>
  <c r="J30" i="4"/>
  <c r="L30" i="4"/>
  <c r="M30" i="4"/>
  <c r="N30" i="4"/>
  <c r="O30" i="4"/>
  <c r="I31" i="4"/>
  <c r="J31" i="4"/>
  <c r="L31" i="4"/>
  <c r="M31" i="4"/>
  <c r="N31" i="4"/>
  <c r="O31" i="4"/>
  <c r="I32" i="4"/>
  <c r="J32" i="4"/>
  <c r="L32" i="4"/>
  <c r="M32" i="4"/>
  <c r="N32" i="4"/>
  <c r="O32" i="4"/>
  <c r="I33" i="4"/>
  <c r="J33" i="4"/>
  <c r="L33" i="4"/>
  <c r="M33" i="4"/>
  <c r="N33" i="4"/>
  <c r="O33" i="4"/>
  <c r="I34" i="4"/>
  <c r="J34" i="4"/>
  <c r="L34" i="4"/>
  <c r="M34" i="4"/>
  <c r="N34" i="4"/>
  <c r="O34" i="4"/>
  <c r="I35" i="4"/>
  <c r="J35" i="4"/>
  <c r="L35" i="4"/>
  <c r="M35" i="4"/>
  <c r="N35" i="4"/>
  <c r="O35" i="4"/>
  <c r="I36" i="4"/>
  <c r="J36" i="4"/>
  <c r="L36" i="4"/>
  <c r="M36" i="4"/>
  <c r="N36" i="4"/>
  <c r="O36" i="4"/>
  <c r="I37" i="4"/>
  <c r="J37" i="4"/>
  <c r="L37" i="4"/>
  <c r="M37" i="4"/>
  <c r="N37" i="4"/>
  <c r="O37" i="4"/>
  <c r="I38" i="4"/>
  <c r="J38" i="4"/>
  <c r="L38" i="4"/>
  <c r="M38" i="4"/>
  <c r="N38" i="4"/>
  <c r="O38" i="4"/>
  <c r="I39" i="4"/>
  <c r="J39" i="4"/>
  <c r="L39" i="4"/>
  <c r="M39" i="4"/>
  <c r="N39" i="4"/>
  <c r="O39" i="4"/>
  <c r="I40" i="4"/>
  <c r="J40" i="4"/>
  <c r="L40" i="4"/>
  <c r="M40" i="4"/>
  <c r="N40" i="4"/>
  <c r="O40" i="4"/>
  <c r="I41" i="4"/>
  <c r="J41" i="4"/>
  <c r="L41" i="4"/>
  <c r="M41" i="4"/>
  <c r="N41" i="4"/>
  <c r="O41" i="4"/>
  <c r="I42" i="4"/>
  <c r="J42" i="4"/>
  <c r="L42" i="4"/>
  <c r="M42" i="4"/>
  <c r="N42" i="4"/>
  <c r="O42" i="4"/>
  <c r="I43" i="4"/>
  <c r="J43" i="4"/>
  <c r="L43" i="4"/>
  <c r="M43" i="4"/>
  <c r="N43" i="4"/>
  <c r="O43" i="4"/>
  <c r="I44" i="4"/>
  <c r="J44" i="4"/>
  <c r="L44" i="4"/>
  <c r="M44" i="4"/>
  <c r="N44" i="4"/>
  <c r="O44" i="4"/>
  <c r="I45" i="4"/>
  <c r="J45" i="4"/>
  <c r="L45" i="4"/>
  <c r="M45" i="4"/>
  <c r="N45" i="4"/>
  <c r="O45" i="4"/>
  <c r="I46" i="4"/>
  <c r="J46" i="4"/>
  <c r="L46" i="4"/>
  <c r="M46" i="4"/>
  <c r="N46" i="4"/>
  <c r="O46" i="4"/>
  <c r="I47" i="4"/>
  <c r="J47" i="4"/>
  <c r="L47" i="4"/>
  <c r="M47" i="4"/>
  <c r="N47" i="4"/>
  <c r="O47" i="4"/>
  <c r="I48" i="4"/>
  <c r="J48" i="4"/>
  <c r="L48" i="4"/>
  <c r="M48" i="4"/>
  <c r="N48" i="4"/>
  <c r="O48" i="4"/>
  <c r="I49" i="4"/>
  <c r="J49" i="4"/>
  <c r="L49" i="4"/>
  <c r="M49" i="4"/>
  <c r="N49" i="4"/>
  <c r="O49" i="4"/>
  <c r="I50" i="4"/>
  <c r="J50" i="4"/>
  <c r="L50" i="4"/>
  <c r="M50" i="4"/>
  <c r="N50" i="4"/>
  <c r="O50" i="4"/>
  <c r="I51" i="4"/>
  <c r="J51" i="4"/>
  <c r="L51" i="4"/>
  <c r="M51" i="4"/>
  <c r="N51" i="4"/>
  <c r="O51" i="4"/>
  <c r="I52" i="4"/>
  <c r="J52" i="4"/>
  <c r="L52" i="4"/>
  <c r="M52" i="4"/>
  <c r="N52" i="4"/>
  <c r="O52" i="4"/>
  <c r="I53" i="4"/>
  <c r="J53" i="4"/>
  <c r="L53" i="4"/>
  <c r="M53" i="4"/>
  <c r="N53" i="4"/>
  <c r="O53" i="4"/>
  <c r="I54" i="4"/>
  <c r="J54" i="4"/>
  <c r="L54" i="4"/>
  <c r="M54" i="4"/>
  <c r="N54" i="4"/>
  <c r="O54" i="4"/>
  <c r="I55" i="4"/>
  <c r="J55" i="4"/>
  <c r="L55" i="4"/>
  <c r="M55" i="4"/>
  <c r="N55" i="4"/>
  <c r="O55" i="4"/>
  <c r="I56" i="4"/>
  <c r="J56" i="4"/>
  <c r="L56" i="4"/>
  <c r="M56" i="4"/>
  <c r="N56" i="4"/>
  <c r="O56" i="4"/>
  <c r="I57" i="4"/>
  <c r="J57" i="4"/>
  <c r="L57" i="4"/>
  <c r="M57" i="4"/>
  <c r="N57" i="4"/>
  <c r="O57" i="4"/>
  <c r="I58" i="4"/>
  <c r="J58" i="4"/>
  <c r="L58" i="4"/>
  <c r="M58" i="4"/>
  <c r="N58" i="4"/>
  <c r="O58" i="4"/>
  <c r="I59" i="4"/>
  <c r="J59" i="4"/>
  <c r="L59" i="4"/>
  <c r="M59" i="4"/>
  <c r="N59" i="4"/>
  <c r="O59" i="4"/>
  <c r="I60" i="4"/>
  <c r="J60" i="4"/>
  <c r="L60" i="4"/>
  <c r="M60" i="4"/>
  <c r="N60" i="4"/>
  <c r="O60" i="4"/>
  <c r="I61" i="4"/>
  <c r="J61" i="4"/>
  <c r="L61" i="4"/>
  <c r="M61" i="4"/>
  <c r="N61" i="4"/>
  <c r="O61" i="4"/>
  <c r="I62" i="4"/>
  <c r="J62" i="4"/>
  <c r="L62" i="4"/>
  <c r="M62" i="4"/>
  <c r="N62" i="4"/>
  <c r="O62" i="4"/>
  <c r="I63" i="4"/>
  <c r="J63" i="4"/>
  <c r="L63" i="4"/>
  <c r="M63" i="4"/>
  <c r="N63" i="4"/>
  <c r="O63" i="4"/>
  <c r="I64" i="4"/>
  <c r="J64" i="4"/>
  <c r="L64" i="4"/>
  <c r="M64" i="4"/>
  <c r="N64" i="4"/>
  <c r="O64" i="4"/>
  <c r="I65" i="4"/>
  <c r="J65" i="4"/>
  <c r="L65" i="4"/>
  <c r="M65" i="4"/>
  <c r="N65" i="4"/>
  <c r="O65" i="4"/>
  <c r="I66" i="4"/>
  <c r="J66" i="4"/>
  <c r="L66" i="4"/>
  <c r="M66" i="4"/>
  <c r="N66" i="4"/>
  <c r="O66" i="4"/>
  <c r="I67" i="4"/>
  <c r="J67" i="4"/>
  <c r="L67" i="4"/>
  <c r="M67" i="4"/>
  <c r="N67" i="4"/>
  <c r="O67" i="4"/>
  <c r="I68" i="4"/>
  <c r="J68" i="4"/>
  <c r="L68" i="4"/>
  <c r="M68" i="4"/>
  <c r="N68" i="4"/>
  <c r="O68" i="4"/>
  <c r="I69" i="4"/>
  <c r="J69" i="4"/>
  <c r="L69" i="4"/>
  <c r="M69" i="4"/>
  <c r="N69" i="4"/>
  <c r="O69" i="4"/>
  <c r="I70" i="4"/>
  <c r="J70" i="4"/>
  <c r="L70" i="4"/>
  <c r="M70" i="4"/>
  <c r="N70" i="4"/>
  <c r="O70" i="4"/>
  <c r="I71" i="4"/>
  <c r="J71" i="4"/>
  <c r="L71" i="4"/>
  <c r="M71" i="4"/>
  <c r="N71" i="4"/>
  <c r="O71" i="4"/>
  <c r="I72" i="4"/>
  <c r="J72" i="4"/>
  <c r="L72" i="4"/>
  <c r="M72" i="4"/>
  <c r="N72" i="4"/>
  <c r="O72" i="4"/>
  <c r="I73" i="4"/>
  <c r="J73" i="4"/>
  <c r="L73" i="4"/>
  <c r="M73" i="4"/>
  <c r="N73" i="4"/>
  <c r="O73" i="4"/>
  <c r="I74" i="4"/>
  <c r="J74" i="4"/>
  <c r="L74" i="4"/>
  <c r="M74" i="4"/>
  <c r="N74" i="4"/>
  <c r="O74" i="4"/>
  <c r="I75" i="4"/>
  <c r="J75" i="4"/>
  <c r="L75" i="4"/>
  <c r="M75" i="4"/>
  <c r="N75" i="4"/>
  <c r="O75" i="4"/>
  <c r="I76" i="4"/>
  <c r="J76" i="4"/>
  <c r="L76" i="4"/>
  <c r="M76" i="4"/>
  <c r="N76" i="4"/>
  <c r="O76" i="4"/>
  <c r="I77" i="4"/>
  <c r="J77" i="4"/>
  <c r="L77" i="4"/>
  <c r="M77" i="4"/>
  <c r="N77" i="4"/>
  <c r="O77" i="4"/>
  <c r="I78" i="4"/>
  <c r="J78" i="4"/>
  <c r="L78" i="4"/>
  <c r="M78" i="4"/>
  <c r="N78" i="4"/>
  <c r="O78" i="4"/>
  <c r="I79" i="4"/>
  <c r="J79" i="4"/>
  <c r="L79" i="4"/>
  <c r="M79" i="4"/>
  <c r="N79" i="4"/>
  <c r="O79" i="4"/>
  <c r="I80" i="4"/>
  <c r="J80" i="4"/>
  <c r="L80" i="4"/>
  <c r="M80" i="4"/>
  <c r="N80" i="4"/>
  <c r="O80" i="4"/>
  <c r="I81" i="4"/>
  <c r="J81" i="4"/>
  <c r="L81" i="4"/>
  <c r="M81" i="4"/>
  <c r="N81" i="4"/>
  <c r="O81" i="4"/>
  <c r="I82" i="4"/>
  <c r="J82" i="4"/>
  <c r="L82" i="4"/>
  <c r="M82" i="4"/>
  <c r="N82" i="4"/>
  <c r="O82" i="4"/>
  <c r="I83" i="4"/>
  <c r="J83" i="4"/>
  <c r="L83" i="4"/>
  <c r="M83" i="4"/>
  <c r="N83" i="4"/>
  <c r="O83" i="4"/>
  <c r="I84" i="4"/>
  <c r="J84" i="4"/>
  <c r="L84" i="4"/>
  <c r="M84" i="4"/>
  <c r="N84" i="4"/>
  <c r="O84" i="4"/>
  <c r="I85" i="4"/>
  <c r="J85" i="4"/>
  <c r="L85" i="4"/>
  <c r="M85" i="4"/>
  <c r="N85" i="4"/>
  <c r="O85" i="4"/>
  <c r="I86" i="4"/>
  <c r="J86" i="4"/>
  <c r="L86" i="4"/>
  <c r="M86" i="4"/>
  <c r="N86" i="4"/>
  <c r="O86" i="4"/>
  <c r="I87" i="4"/>
  <c r="J87" i="4"/>
  <c r="L87" i="4"/>
  <c r="M87" i="4"/>
  <c r="N87" i="4"/>
  <c r="O87" i="4"/>
  <c r="I88" i="4"/>
  <c r="J88" i="4"/>
  <c r="L88" i="4"/>
  <c r="M88" i="4"/>
  <c r="N88" i="4"/>
  <c r="O88" i="4"/>
  <c r="I89" i="4"/>
  <c r="J89" i="4"/>
  <c r="L89" i="4"/>
  <c r="M89" i="4"/>
  <c r="N89" i="4"/>
  <c r="O89" i="4"/>
  <c r="I90" i="4"/>
  <c r="J90" i="4"/>
  <c r="L90" i="4"/>
  <c r="M90" i="4"/>
  <c r="N90" i="4"/>
  <c r="O90" i="4"/>
  <c r="I91" i="4"/>
  <c r="J91" i="4"/>
  <c r="L91" i="4"/>
  <c r="M91" i="4"/>
  <c r="N91" i="4"/>
  <c r="O91" i="4"/>
  <c r="I92" i="4"/>
  <c r="J92" i="4"/>
  <c r="L92" i="4"/>
  <c r="M92" i="4"/>
  <c r="N92" i="4"/>
  <c r="O92" i="4"/>
  <c r="I93" i="4"/>
  <c r="J93" i="4"/>
  <c r="L93" i="4"/>
  <c r="M93" i="4"/>
  <c r="N93" i="4"/>
  <c r="O93" i="4"/>
  <c r="I94" i="4"/>
  <c r="J94" i="4"/>
  <c r="L94" i="4"/>
  <c r="M94" i="4"/>
  <c r="N94" i="4"/>
  <c r="O94" i="4"/>
  <c r="I95" i="4"/>
  <c r="J95" i="4"/>
  <c r="L95" i="4"/>
  <c r="M95" i="4"/>
  <c r="N95" i="4"/>
  <c r="O95" i="4"/>
  <c r="I96" i="4"/>
  <c r="J96" i="4"/>
  <c r="L96" i="4"/>
  <c r="M96" i="4"/>
  <c r="N96" i="4"/>
  <c r="O96" i="4"/>
  <c r="I97" i="4"/>
  <c r="J97" i="4"/>
  <c r="L97" i="4"/>
  <c r="M97" i="4"/>
  <c r="N97" i="4"/>
  <c r="O97" i="4"/>
  <c r="I98" i="4"/>
  <c r="J98" i="4"/>
  <c r="L98" i="4"/>
  <c r="M98" i="4"/>
  <c r="N98" i="4"/>
  <c r="O98" i="4"/>
  <c r="I99" i="4"/>
  <c r="J99" i="4"/>
  <c r="L99" i="4"/>
  <c r="M99" i="4"/>
  <c r="N99" i="4"/>
  <c r="O99" i="4"/>
  <c r="I100" i="4"/>
  <c r="J100" i="4"/>
  <c r="L100" i="4"/>
  <c r="M100" i="4"/>
  <c r="N100" i="4"/>
  <c r="O100" i="4"/>
  <c r="I101" i="4"/>
  <c r="J101" i="4"/>
  <c r="L101" i="4"/>
  <c r="M101" i="4"/>
  <c r="N101" i="4"/>
  <c r="O101" i="4"/>
  <c r="I102" i="4"/>
  <c r="J102" i="4"/>
  <c r="L102" i="4"/>
  <c r="M102" i="4"/>
  <c r="N102" i="4"/>
  <c r="O102" i="4"/>
  <c r="I103" i="4"/>
  <c r="J103" i="4"/>
  <c r="L103" i="4"/>
  <c r="M103" i="4"/>
  <c r="N103" i="4"/>
  <c r="O103" i="4"/>
  <c r="I104" i="4"/>
  <c r="J104" i="4"/>
  <c r="L104" i="4"/>
  <c r="M104" i="4"/>
  <c r="N104" i="4"/>
  <c r="O104" i="4"/>
  <c r="I105" i="4"/>
  <c r="J105" i="4"/>
  <c r="L105" i="4"/>
  <c r="M105" i="4"/>
  <c r="N105" i="4"/>
  <c r="O105" i="4"/>
  <c r="I106" i="4"/>
  <c r="J106" i="4"/>
  <c r="L106" i="4"/>
  <c r="M106" i="4"/>
  <c r="N106" i="4"/>
  <c r="O106" i="4"/>
  <c r="I107" i="4"/>
  <c r="J107" i="4"/>
  <c r="L107" i="4"/>
  <c r="M107" i="4"/>
  <c r="N107" i="4"/>
  <c r="O107" i="4"/>
  <c r="I108" i="4"/>
  <c r="J108" i="4"/>
  <c r="L108" i="4"/>
  <c r="M108" i="4"/>
  <c r="N108" i="4"/>
  <c r="O108" i="4"/>
  <c r="I109" i="4"/>
  <c r="J109" i="4"/>
  <c r="L109" i="4"/>
  <c r="M109" i="4"/>
  <c r="N109" i="4"/>
  <c r="O109" i="4"/>
  <c r="I110" i="4"/>
  <c r="J110" i="4"/>
  <c r="L110" i="4"/>
  <c r="M110" i="4"/>
  <c r="N110" i="4"/>
  <c r="O110" i="4"/>
  <c r="I111" i="4"/>
  <c r="J111" i="4"/>
  <c r="L111" i="4"/>
  <c r="M111" i="4"/>
  <c r="N111" i="4"/>
  <c r="O111" i="4"/>
  <c r="I112" i="4"/>
  <c r="J112" i="4"/>
  <c r="L112" i="4"/>
  <c r="M112" i="4"/>
  <c r="N112" i="4"/>
  <c r="O112" i="4"/>
  <c r="I113" i="4"/>
  <c r="J113" i="4"/>
  <c r="L113" i="4"/>
  <c r="M113" i="4"/>
  <c r="N113" i="4"/>
  <c r="O113" i="4"/>
  <c r="I114" i="4"/>
  <c r="J114" i="4"/>
  <c r="L114" i="4"/>
  <c r="M114" i="4"/>
  <c r="N114" i="4"/>
  <c r="O114" i="4"/>
  <c r="I115" i="4"/>
  <c r="J115" i="4"/>
  <c r="L115" i="4"/>
  <c r="M115" i="4"/>
  <c r="N115" i="4"/>
  <c r="O115" i="4"/>
  <c r="I116" i="4"/>
  <c r="J116" i="4"/>
  <c r="L116" i="4"/>
  <c r="M116" i="4"/>
  <c r="N116" i="4"/>
  <c r="O116" i="4"/>
  <c r="I117" i="4"/>
  <c r="J117" i="4"/>
  <c r="L117" i="4"/>
  <c r="M117" i="4"/>
  <c r="N117" i="4"/>
  <c r="O117" i="4"/>
  <c r="I118" i="4"/>
  <c r="J118" i="4"/>
  <c r="L118" i="4"/>
  <c r="M118" i="4"/>
  <c r="N118" i="4"/>
  <c r="O118" i="4"/>
  <c r="I119" i="4"/>
  <c r="J119" i="4"/>
  <c r="L119" i="4"/>
  <c r="M119" i="4"/>
  <c r="N119" i="4"/>
  <c r="O119" i="4"/>
  <c r="I120" i="4"/>
  <c r="J120" i="4"/>
  <c r="L120" i="4"/>
  <c r="M120" i="4"/>
  <c r="N120" i="4"/>
  <c r="O120" i="4"/>
  <c r="I121" i="4"/>
  <c r="J121" i="4"/>
  <c r="L121" i="4"/>
  <c r="M121" i="4"/>
  <c r="N121" i="4"/>
  <c r="O121" i="4"/>
  <c r="I122" i="4"/>
  <c r="J122" i="4"/>
  <c r="L122" i="4"/>
  <c r="M122" i="4"/>
  <c r="N122" i="4"/>
  <c r="O122" i="4"/>
  <c r="I123" i="4"/>
  <c r="J123" i="4"/>
  <c r="L123" i="4"/>
  <c r="M123" i="4"/>
  <c r="N123" i="4"/>
  <c r="O123" i="4"/>
  <c r="I124" i="4"/>
  <c r="J124" i="4"/>
  <c r="L124" i="4"/>
  <c r="M124" i="4"/>
  <c r="N124" i="4"/>
  <c r="O124" i="4"/>
  <c r="I125" i="4"/>
  <c r="J125" i="4"/>
  <c r="L125" i="4"/>
  <c r="M125" i="4"/>
  <c r="N125" i="4"/>
  <c r="O125" i="4"/>
  <c r="I126" i="4"/>
  <c r="J126" i="4"/>
  <c r="L126" i="4"/>
  <c r="M126" i="4"/>
  <c r="N126" i="4"/>
  <c r="O126" i="4"/>
  <c r="I127" i="4"/>
  <c r="J127" i="4"/>
  <c r="L127" i="4"/>
  <c r="M127" i="4"/>
  <c r="N127" i="4"/>
  <c r="O127" i="4"/>
  <c r="I128" i="4"/>
  <c r="J128" i="4"/>
  <c r="L128" i="4"/>
  <c r="M128" i="4"/>
  <c r="N128" i="4"/>
  <c r="O128" i="4"/>
  <c r="I129" i="4"/>
  <c r="J129" i="4"/>
  <c r="L129" i="4"/>
  <c r="M129" i="4"/>
  <c r="N129" i="4"/>
  <c r="O129" i="4"/>
  <c r="I130" i="4"/>
  <c r="J130" i="4"/>
  <c r="L130" i="4"/>
  <c r="M130" i="4"/>
  <c r="N130" i="4"/>
  <c r="O130" i="4"/>
  <c r="I131" i="4"/>
  <c r="J131" i="4"/>
  <c r="L131" i="4"/>
  <c r="M131" i="4"/>
  <c r="N131" i="4"/>
  <c r="O131" i="4"/>
  <c r="I132" i="4"/>
  <c r="J132" i="4"/>
  <c r="L132" i="4"/>
  <c r="M132" i="4"/>
  <c r="N132" i="4"/>
  <c r="O132" i="4"/>
  <c r="I133" i="4"/>
  <c r="J133" i="4"/>
  <c r="L133" i="4"/>
  <c r="M133" i="4"/>
  <c r="N133" i="4"/>
  <c r="O133" i="4"/>
  <c r="I134" i="4"/>
  <c r="J134" i="4"/>
  <c r="L134" i="4"/>
  <c r="M134" i="4"/>
  <c r="N134" i="4"/>
  <c r="O134" i="4"/>
  <c r="I135" i="4"/>
  <c r="J135" i="4"/>
  <c r="L135" i="4"/>
  <c r="M135" i="4"/>
  <c r="N135" i="4"/>
  <c r="O135" i="4"/>
  <c r="I136" i="4"/>
  <c r="J136" i="4"/>
  <c r="L136" i="4"/>
  <c r="M136" i="4"/>
  <c r="N136" i="4"/>
  <c r="O136" i="4"/>
  <c r="I137" i="4"/>
  <c r="J137" i="4"/>
  <c r="L137" i="4"/>
  <c r="M137" i="4"/>
  <c r="N137" i="4"/>
  <c r="O137" i="4"/>
  <c r="I138" i="4"/>
  <c r="J138" i="4"/>
  <c r="L138" i="4"/>
  <c r="M138" i="4"/>
  <c r="N138" i="4"/>
  <c r="O138" i="4"/>
  <c r="I139" i="4"/>
  <c r="J139" i="4"/>
  <c r="L139" i="4"/>
  <c r="M139" i="4"/>
  <c r="N139" i="4"/>
  <c r="O139" i="4"/>
  <c r="I140" i="4"/>
  <c r="J140" i="4"/>
  <c r="L140" i="4"/>
  <c r="M140" i="4"/>
  <c r="N140" i="4"/>
  <c r="O140" i="4"/>
  <c r="I141" i="4"/>
  <c r="J141" i="4"/>
  <c r="L141" i="4"/>
  <c r="M141" i="4"/>
  <c r="N141" i="4"/>
  <c r="O141" i="4"/>
  <c r="I142" i="4"/>
  <c r="J142" i="4"/>
  <c r="L142" i="4"/>
  <c r="M142" i="4"/>
  <c r="N142" i="4"/>
  <c r="O142" i="4"/>
  <c r="I143" i="4"/>
  <c r="J143" i="4"/>
  <c r="L143" i="4"/>
  <c r="M143" i="4"/>
  <c r="N143" i="4"/>
  <c r="O143" i="4"/>
  <c r="I144" i="4"/>
  <c r="J144" i="4"/>
  <c r="L144" i="4"/>
  <c r="M144" i="4"/>
  <c r="N144" i="4"/>
  <c r="O144" i="4"/>
  <c r="I145" i="4"/>
  <c r="J145" i="4"/>
  <c r="L145" i="4"/>
  <c r="M145" i="4"/>
  <c r="N145" i="4"/>
  <c r="O145" i="4"/>
  <c r="I146" i="4"/>
  <c r="J146" i="4"/>
  <c r="L146" i="4"/>
  <c r="M146" i="4"/>
  <c r="N146" i="4"/>
  <c r="O146" i="4"/>
  <c r="I147" i="4"/>
  <c r="J147" i="4"/>
  <c r="L147" i="4"/>
  <c r="M147" i="4"/>
  <c r="N147" i="4"/>
  <c r="O147" i="4"/>
  <c r="I148" i="4"/>
  <c r="J148" i="4"/>
  <c r="L148" i="4"/>
  <c r="M148" i="4"/>
  <c r="N148" i="4"/>
  <c r="O148" i="4"/>
  <c r="I149" i="4"/>
  <c r="J149" i="4"/>
  <c r="L149" i="4"/>
  <c r="M149" i="4"/>
  <c r="N149" i="4"/>
  <c r="O149" i="4"/>
  <c r="I150" i="4"/>
  <c r="J150" i="4"/>
  <c r="L150" i="4"/>
  <c r="M150" i="4"/>
  <c r="N150" i="4"/>
  <c r="O150" i="4"/>
  <c r="I151" i="4"/>
  <c r="J151" i="4"/>
  <c r="L151" i="4"/>
  <c r="M151" i="4"/>
  <c r="N151" i="4"/>
  <c r="O151" i="4"/>
  <c r="I152" i="4"/>
  <c r="J152" i="4"/>
  <c r="L152" i="4"/>
  <c r="M152" i="4"/>
  <c r="N152" i="4"/>
  <c r="O152" i="4"/>
  <c r="I153" i="4"/>
  <c r="J153" i="4"/>
  <c r="L153" i="4"/>
  <c r="M153" i="4"/>
  <c r="N153" i="4"/>
  <c r="O153" i="4"/>
  <c r="I154" i="4"/>
  <c r="J154" i="4"/>
  <c r="L154" i="4"/>
  <c r="M154" i="4"/>
  <c r="N154" i="4"/>
  <c r="O154" i="4"/>
  <c r="I155" i="4"/>
  <c r="J155" i="4"/>
  <c r="L155" i="4"/>
  <c r="M155" i="4"/>
  <c r="N155" i="4"/>
  <c r="O155" i="4"/>
  <c r="I156" i="4"/>
  <c r="J156" i="4"/>
  <c r="L156" i="4"/>
  <c r="M156" i="4"/>
  <c r="N156" i="4"/>
  <c r="O156" i="4"/>
  <c r="I157" i="4"/>
  <c r="J157" i="4"/>
  <c r="L157" i="4"/>
  <c r="M157" i="4"/>
  <c r="N157" i="4"/>
  <c r="O157" i="4"/>
  <c r="I158" i="4"/>
  <c r="J158" i="4"/>
  <c r="L158" i="4"/>
  <c r="M158" i="4"/>
  <c r="N158" i="4"/>
  <c r="O158" i="4"/>
  <c r="I159" i="4"/>
  <c r="J159" i="4"/>
  <c r="L159" i="4"/>
  <c r="M159" i="4"/>
  <c r="N159" i="4"/>
  <c r="O159" i="4"/>
  <c r="I160" i="4"/>
  <c r="J160" i="4"/>
  <c r="L160" i="4"/>
  <c r="M160" i="4"/>
  <c r="N160" i="4"/>
  <c r="O160" i="4"/>
  <c r="I161" i="4"/>
  <c r="J161" i="4"/>
  <c r="L161" i="4"/>
  <c r="M161" i="4"/>
  <c r="N161" i="4"/>
  <c r="O161" i="4"/>
  <c r="I162" i="4"/>
  <c r="J162" i="4"/>
  <c r="L162" i="4"/>
  <c r="M162" i="4"/>
  <c r="N162" i="4"/>
  <c r="O162" i="4"/>
  <c r="I163" i="4"/>
  <c r="J163" i="4"/>
  <c r="L163" i="4"/>
  <c r="M163" i="4"/>
  <c r="N163" i="4"/>
  <c r="O163" i="4"/>
  <c r="I164" i="4"/>
  <c r="J164" i="4"/>
  <c r="L164" i="4"/>
  <c r="M164" i="4"/>
  <c r="N164" i="4"/>
  <c r="O164" i="4"/>
  <c r="I165" i="4"/>
  <c r="J165" i="4"/>
  <c r="L165" i="4"/>
  <c r="M165" i="4"/>
  <c r="N165" i="4"/>
  <c r="O165" i="4"/>
  <c r="I166" i="4"/>
  <c r="J166" i="4"/>
  <c r="L166" i="4"/>
  <c r="M166" i="4"/>
  <c r="N166" i="4"/>
  <c r="O166" i="4"/>
  <c r="I167" i="4"/>
  <c r="J167" i="4"/>
  <c r="L167" i="4"/>
  <c r="M167" i="4"/>
  <c r="N167" i="4"/>
  <c r="O167" i="4"/>
  <c r="I168" i="4"/>
  <c r="J168" i="4"/>
  <c r="L168" i="4"/>
  <c r="M168" i="4"/>
  <c r="N168" i="4"/>
  <c r="O168" i="4"/>
  <c r="I169" i="4"/>
  <c r="J169" i="4"/>
  <c r="L169" i="4"/>
  <c r="M169" i="4"/>
  <c r="N169" i="4"/>
  <c r="O169" i="4"/>
  <c r="I170" i="4"/>
  <c r="J170" i="4"/>
  <c r="L170" i="4"/>
  <c r="M170" i="4"/>
  <c r="N170" i="4"/>
  <c r="O170" i="4"/>
  <c r="I171" i="4"/>
  <c r="J171" i="4"/>
  <c r="L171" i="4"/>
  <c r="M171" i="4"/>
  <c r="N171" i="4"/>
  <c r="O171" i="4"/>
  <c r="I172" i="4"/>
  <c r="J172" i="4"/>
  <c r="L172" i="4"/>
  <c r="M172" i="4"/>
  <c r="N172" i="4"/>
  <c r="O172" i="4"/>
  <c r="I173" i="4"/>
  <c r="J173" i="4"/>
  <c r="L173" i="4"/>
  <c r="M173" i="4"/>
  <c r="N173" i="4"/>
  <c r="O173" i="4"/>
  <c r="I174" i="4"/>
  <c r="J174" i="4"/>
  <c r="L174" i="4"/>
  <c r="M174" i="4"/>
  <c r="N174" i="4"/>
  <c r="O174" i="4"/>
  <c r="I175" i="4"/>
  <c r="J175" i="4"/>
  <c r="L175" i="4"/>
  <c r="M175" i="4"/>
  <c r="N175" i="4"/>
  <c r="O175" i="4"/>
  <c r="I176" i="4"/>
  <c r="J176" i="4"/>
  <c r="L176" i="4"/>
  <c r="M176" i="4"/>
  <c r="N176" i="4"/>
  <c r="O176" i="4"/>
  <c r="I177" i="4"/>
  <c r="J177" i="4"/>
  <c r="L177" i="4"/>
  <c r="M177" i="4"/>
  <c r="N177" i="4"/>
  <c r="O177" i="4"/>
  <c r="I178" i="4"/>
  <c r="J178" i="4"/>
  <c r="L178" i="4"/>
  <c r="M178" i="4"/>
  <c r="N178" i="4"/>
  <c r="O178" i="4"/>
  <c r="I179" i="4"/>
  <c r="J179" i="4"/>
  <c r="L179" i="4"/>
  <c r="M179" i="4"/>
  <c r="N179" i="4"/>
  <c r="O179" i="4"/>
  <c r="I180" i="4"/>
  <c r="J180" i="4"/>
  <c r="L180" i="4"/>
  <c r="M180" i="4"/>
  <c r="N180" i="4"/>
  <c r="O180" i="4"/>
  <c r="I181" i="4"/>
  <c r="J181" i="4"/>
  <c r="L181" i="4"/>
  <c r="M181" i="4"/>
  <c r="N181" i="4"/>
  <c r="O181" i="4"/>
  <c r="I182" i="4"/>
  <c r="J182" i="4"/>
  <c r="L182" i="4"/>
  <c r="M182" i="4"/>
  <c r="N182" i="4"/>
  <c r="O182" i="4"/>
  <c r="I183" i="4"/>
  <c r="J183" i="4"/>
  <c r="L183" i="4"/>
  <c r="M183" i="4"/>
  <c r="N183" i="4"/>
  <c r="O183" i="4"/>
  <c r="I184" i="4"/>
  <c r="J184" i="4"/>
  <c r="L184" i="4"/>
  <c r="M184" i="4"/>
  <c r="N184" i="4"/>
  <c r="O184" i="4"/>
  <c r="I185" i="4"/>
  <c r="J185" i="4"/>
  <c r="L185" i="4"/>
  <c r="M185" i="4"/>
  <c r="N185" i="4"/>
  <c r="O185" i="4"/>
  <c r="I186" i="4"/>
  <c r="J186" i="4"/>
  <c r="L186" i="4"/>
  <c r="M186" i="4"/>
  <c r="N186" i="4"/>
  <c r="O186" i="4"/>
  <c r="I187" i="4"/>
  <c r="J187" i="4"/>
  <c r="L187" i="4"/>
  <c r="M187" i="4"/>
  <c r="N187" i="4"/>
  <c r="O187" i="4"/>
  <c r="I188" i="4"/>
  <c r="J188" i="4"/>
  <c r="L188" i="4"/>
  <c r="M188" i="4"/>
  <c r="N188" i="4"/>
  <c r="O188" i="4"/>
  <c r="I189" i="4"/>
  <c r="J189" i="4"/>
  <c r="L189" i="4"/>
  <c r="M189" i="4"/>
  <c r="N189" i="4"/>
  <c r="O189" i="4"/>
  <c r="I190" i="4"/>
  <c r="J190" i="4"/>
  <c r="L190" i="4"/>
  <c r="M190" i="4"/>
  <c r="N190" i="4"/>
  <c r="O190" i="4"/>
  <c r="I191" i="4"/>
  <c r="J191" i="4"/>
  <c r="L191" i="4"/>
  <c r="M191" i="4"/>
  <c r="N191" i="4"/>
  <c r="O191" i="4"/>
  <c r="I192" i="4"/>
  <c r="J192" i="4"/>
  <c r="L192" i="4"/>
  <c r="M192" i="4"/>
  <c r="N192" i="4"/>
  <c r="O192" i="4"/>
  <c r="I193" i="4"/>
  <c r="J193" i="4"/>
  <c r="L193" i="4"/>
  <c r="M193" i="4"/>
  <c r="N193" i="4"/>
  <c r="O193" i="4"/>
  <c r="I194" i="4"/>
  <c r="J194" i="4"/>
  <c r="L194" i="4"/>
  <c r="M194" i="4"/>
  <c r="N194" i="4"/>
  <c r="O194" i="4"/>
  <c r="I195" i="4"/>
  <c r="J195" i="4"/>
  <c r="L195" i="4"/>
  <c r="M195" i="4"/>
  <c r="N195" i="4"/>
  <c r="O195" i="4"/>
  <c r="I196" i="4"/>
  <c r="J196" i="4"/>
  <c r="L196" i="4"/>
  <c r="M196" i="4"/>
  <c r="N196" i="4"/>
  <c r="O196" i="4"/>
  <c r="I197" i="4"/>
  <c r="J197" i="4"/>
  <c r="L197" i="4"/>
  <c r="M197" i="4"/>
  <c r="N197" i="4"/>
  <c r="O197" i="4"/>
  <c r="I198" i="4"/>
  <c r="J198" i="4"/>
  <c r="L198" i="4"/>
  <c r="M198" i="4"/>
  <c r="N198" i="4"/>
  <c r="O198" i="4"/>
  <c r="I199" i="4"/>
  <c r="J199" i="4"/>
  <c r="L199" i="4"/>
  <c r="M199" i="4"/>
  <c r="N199" i="4"/>
  <c r="O199" i="4"/>
  <c r="I200" i="4"/>
  <c r="J200" i="4"/>
  <c r="L200" i="4"/>
  <c r="M200" i="4"/>
  <c r="N200" i="4"/>
  <c r="O200" i="4"/>
  <c r="I201" i="4"/>
  <c r="J201" i="4"/>
  <c r="L201" i="4"/>
  <c r="M201" i="4"/>
  <c r="N201" i="4"/>
  <c r="O201" i="4"/>
  <c r="I202" i="4"/>
  <c r="J202" i="4"/>
  <c r="L202" i="4"/>
  <c r="M202" i="4"/>
  <c r="N202" i="4"/>
  <c r="O202" i="4"/>
  <c r="I203" i="4"/>
  <c r="J203" i="4"/>
  <c r="L203" i="4"/>
  <c r="M203" i="4"/>
  <c r="N203" i="4"/>
  <c r="O203" i="4"/>
  <c r="I204" i="4"/>
  <c r="J204" i="4"/>
  <c r="L204" i="4"/>
  <c r="M204" i="4"/>
  <c r="N204" i="4"/>
  <c r="O204" i="4"/>
  <c r="I205" i="4"/>
  <c r="J205" i="4"/>
  <c r="L205" i="4"/>
  <c r="M205" i="4"/>
  <c r="N205" i="4"/>
  <c r="O205" i="4"/>
  <c r="I206" i="4"/>
  <c r="J206" i="4"/>
  <c r="L206" i="4"/>
  <c r="M206" i="4"/>
  <c r="N206" i="4"/>
  <c r="O206" i="4"/>
  <c r="I207" i="4"/>
  <c r="J207" i="4"/>
  <c r="L207" i="4"/>
  <c r="M207" i="4"/>
  <c r="N207" i="4"/>
  <c r="O207" i="4"/>
  <c r="I208" i="4"/>
  <c r="J208" i="4"/>
  <c r="L208" i="4"/>
  <c r="M208" i="4"/>
  <c r="N208" i="4"/>
  <c r="O208" i="4"/>
  <c r="I209" i="4"/>
  <c r="J209" i="4"/>
  <c r="L209" i="4"/>
  <c r="M209" i="4"/>
  <c r="N209" i="4"/>
  <c r="O209" i="4"/>
  <c r="I210" i="4"/>
  <c r="J210" i="4"/>
  <c r="L210" i="4"/>
  <c r="M210" i="4"/>
  <c r="N210" i="4"/>
  <c r="O210" i="4"/>
  <c r="I211" i="4"/>
  <c r="J211" i="4"/>
  <c r="L211" i="4"/>
  <c r="M211" i="4"/>
  <c r="N211" i="4"/>
  <c r="O211" i="4"/>
  <c r="I212" i="4"/>
  <c r="J212" i="4"/>
  <c r="L212" i="4"/>
  <c r="M212" i="4"/>
  <c r="N212" i="4"/>
  <c r="O212" i="4"/>
  <c r="I213" i="4"/>
  <c r="J213" i="4"/>
  <c r="L213" i="4"/>
  <c r="M213" i="4"/>
  <c r="N213" i="4"/>
  <c r="O213" i="4"/>
  <c r="I214" i="4"/>
  <c r="J214" i="4"/>
  <c r="L214" i="4"/>
  <c r="M214" i="4"/>
  <c r="N214" i="4"/>
  <c r="O214" i="4"/>
  <c r="I215" i="4"/>
  <c r="J215" i="4"/>
  <c r="L215" i="4"/>
  <c r="M215" i="4"/>
  <c r="N215" i="4"/>
  <c r="O215" i="4"/>
  <c r="I216" i="4"/>
  <c r="J216" i="4"/>
  <c r="L216" i="4"/>
  <c r="M216" i="4"/>
  <c r="N216" i="4"/>
  <c r="O216" i="4"/>
  <c r="I217" i="4"/>
  <c r="J217" i="4"/>
  <c r="L217" i="4"/>
  <c r="M217" i="4"/>
  <c r="N217" i="4"/>
  <c r="O217" i="4"/>
  <c r="I218" i="4"/>
  <c r="J218" i="4"/>
  <c r="L218" i="4"/>
  <c r="M218" i="4"/>
  <c r="N218" i="4"/>
  <c r="O218" i="4"/>
  <c r="I219" i="4"/>
  <c r="J219" i="4"/>
  <c r="L219" i="4"/>
  <c r="M219" i="4"/>
  <c r="N219" i="4"/>
  <c r="O219" i="4"/>
  <c r="I220" i="4"/>
  <c r="J220" i="4"/>
  <c r="L220" i="4"/>
  <c r="M220" i="4"/>
  <c r="N220" i="4"/>
  <c r="O220" i="4"/>
  <c r="I221" i="4"/>
  <c r="J221" i="4"/>
  <c r="L221" i="4"/>
  <c r="M221" i="4"/>
  <c r="N221" i="4"/>
  <c r="O221" i="4"/>
  <c r="I222" i="4"/>
  <c r="J222" i="4"/>
  <c r="L222" i="4"/>
  <c r="M222" i="4"/>
  <c r="N222" i="4"/>
  <c r="O222" i="4"/>
  <c r="I223" i="4"/>
  <c r="J223" i="4"/>
  <c r="L223" i="4"/>
  <c r="M223" i="4"/>
  <c r="N223" i="4"/>
  <c r="O223" i="4"/>
  <c r="I224" i="4"/>
  <c r="J224" i="4"/>
  <c r="L224" i="4"/>
  <c r="M224" i="4"/>
  <c r="N224" i="4"/>
  <c r="O224" i="4"/>
  <c r="I225" i="4"/>
  <c r="J225" i="4"/>
  <c r="L225" i="4"/>
  <c r="M225" i="4"/>
  <c r="N225" i="4"/>
  <c r="O225" i="4"/>
  <c r="I226" i="4"/>
  <c r="J226" i="4"/>
  <c r="L226" i="4"/>
  <c r="M226" i="4"/>
  <c r="N226" i="4"/>
  <c r="O226" i="4"/>
  <c r="I227" i="4"/>
  <c r="J227" i="4"/>
  <c r="L227" i="4"/>
  <c r="M227" i="4"/>
  <c r="N227" i="4"/>
  <c r="O227" i="4"/>
  <c r="I228" i="4"/>
  <c r="J228" i="4"/>
  <c r="L228" i="4"/>
  <c r="M228" i="4"/>
  <c r="N228" i="4"/>
  <c r="O228" i="4"/>
  <c r="I229" i="4"/>
  <c r="J229" i="4"/>
  <c r="L229" i="4"/>
  <c r="M229" i="4"/>
  <c r="N229" i="4"/>
  <c r="O229" i="4"/>
  <c r="I230" i="4"/>
  <c r="J230" i="4"/>
  <c r="L230" i="4"/>
  <c r="M230" i="4"/>
  <c r="N230" i="4"/>
  <c r="O230" i="4"/>
  <c r="I231" i="4"/>
  <c r="J231" i="4"/>
  <c r="L231" i="4"/>
  <c r="M231" i="4"/>
  <c r="N231" i="4"/>
  <c r="O231" i="4"/>
  <c r="I232" i="4"/>
  <c r="J232" i="4"/>
  <c r="L232" i="4"/>
  <c r="M232" i="4"/>
  <c r="N232" i="4"/>
  <c r="O232" i="4"/>
  <c r="I233" i="4"/>
  <c r="J233" i="4"/>
  <c r="L233" i="4"/>
  <c r="M233" i="4"/>
  <c r="N233" i="4"/>
  <c r="O233" i="4"/>
  <c r="I234" i="4"/>
  <c r="J234" i="4"/>
  <c r="L234" i="4"/>
  <c r="M234" i="4"/>
  <c r="N234" i="4"/>
  <c r="O234" i="4"/>
  <c r="I235" i="4"/>
  <c r="J235" i="4"/>
  <c r="L235" i="4"/>
  <c r="M235" i="4"/>
  <c r="N235" i="4"/>
  <c r="O235" i="4"/>
  <c r="I236" i="4"/>
  <c r="J236" i="4"/>
  <c r="L236" i="4"/>
  <c r="M236" i="4"/>
  <c r="N236" i="4"/>
  <c r="O236" i="4"/>
  <c r="I237" i="4"/>
  <c r="J237" i="4"/>
  <c r="L237" i="4"/>
  <c r="M237" i="4"/>
  <c r="N237" i="4"/>
  <c r="O237" i="4"/>
  <c r="I238" i="4"/>
  <c r="J238" i="4"/>
  <c r="L238" i="4"/>
  <c r="M238" i="4"/>
  <c r="N238" i="4"/>
  <c r="O238" i="4"/>
  <c r="I239" i="4"/>
  <c r="J239" i="4"/>
  <c r="L239" i="4"/>
  <c r="M239" i="4"/>
  <c r="N239" i="4"/>
  <c r="O239" i="4"/>
  <c r="I240" i="4"/>
  <c r="J240" i="4"/>
  <c r="L240" i="4"/>
  <c r="M240" i="4"/>
  <c r="N240" i="4"/>
  <c r="O240" i="4"/>
  <c r="I241" i="4"/>
  <c r="J241" i="4"/>
  <c r="L241" i="4"/>
  <c r="M241" i="4"/>
  <c r="N241" i="4"/>
  <c r="O241" i="4"/>
  <c r="I242" i="4"/>
  <c r="J242" i="4"/>
  <c r="L242" i="4"/>
  <c r="M242" i="4"/>
  <c r="N242" i="4"/>
  <c r="O242" i="4"/>
  <c r="I243" i="4"/>
  <c r="J243" i="4"/>
  <c r="L243" i="4"/>
  <c r="M243" i="4"/>
  <c r="N243" i="4"/>
  <c r="O243" i="4"/>
  <c r="I244" i="4"/>
  <c r="J244" i="4"/>
  <c r="L244" i="4"/>
  <c r="M244" i="4"/>
  <c r="N244" i="4"/>
  <c r="O244" i="4"/>
  <c r="I245" i="4"/>
  <c r="J245" i="4"/>
  <c r="L245" i="4"/>
  <c r="M245" i="4"/>
  <c r="N245" i="4"/>
  <c r="O245" i="4"/>
  <c r="I246" i="4"/>
  <c r="J246" i="4"/>
  <c r="L246" i="4"/>
  <c r="M246" i="4"/>
  <c r="N246" i="4"/>
  <c r="O246" i="4"/>
  <c r="I247" i="4"/>
  <c r="J247" i="4"/>
  <c r="L247" i="4"/>
  <c r="M247" i="4"/>
  <c r="N247" i="4"/>
  <c r="O247" i="4"/>
  <c r="I248" i="4"/>
  <c r="J248" i="4"/>
  <c r="L248" i="4"/>
  <c r="M248" i="4"/>
  <c r="N248" i="4"/>
  <c r="O248" i="4"/>
  <c r="I249" i="4"/>
  <c r="J249" i="4"/>
  <c r="L249" i="4"/>
  <c r="M249" i="4"/>
  <c r="N249" i="4"/>
  <c r="O249" i="4"/>
  <c r="I250" i="4"/>
  <c r="J250" i="4"/>
  <c r="L250" i="4"/>
  <c r="M250" i="4"/>
  <c r="N250" i="4"/>
  <c r="O250" i="4"/>
  <c r="I251" i="4"/>
  <c r="J251" i="4"/>
  <c r="L251" i="4"/>
  <c r="M251" i="4"/>
  <c r="N251" i="4"/>
  <c r="O251" i="4"/>
  <c r="I252" i="4"/>
  <c r="J252" i="4"/>
  <c r="L252" i="4"/>
  <c r="M252" i="4"/>
  <c r="N252" i="4"/>
  <c r="O252" i="4"/>
  <c r="I253" i="4"/>
  <c r="J253" i="4"/>
  <c r="L253" i="4"/>
  <c r="M253" i="4"/>
  <c r="N253" i="4"/>
  <c r="O253" i="4"/>
  <c r="I254" i="4"/>
  <c r="J254" i="4"/>
  <c r="L254" i="4"/>
  <c r="M254" i="4"/>
  <c r="N254" i="4"/>
  <c r="O254" i="4"/>
  <c r="I255" i="4"/>
  <c r="J255" i="4"/>
  <c r="L255" i="4"/>
  <c r="M255" i="4"/>
  <c r="N255" i="4"/>
  <c r="O255" i="4"/>
  <c r="I256" i="4"/>
  <c r="J256" i="4"/>
  <c r="L256" i="4"/>
  <c r="M256" i="4"/>
  <c r="N256" i="4"/>
  <c r="O256" i="4"/>
  <c r="I257" i="4"/>
  <c r="J257" i="4"/>
  <c r="L257" i="4"/>
  <c r="M257" i="4"/>
  <c r="N257" i="4"/>
  <c r="O257" i="4"/>
  <c r="I258" i="4"/>
  <c r="J258" i="4"/>
  <c r="L258" i="4"/>
  <c r="M258" i="4"/>
  <c r="N258" i="4"/>
  <c r="O258" i="4"/>
  <c r="I259" i="4"/>
  <c r="J259" i="4"/>
  <c r="L259" i="4"/>
  <c r="M259" i="4"/>
  <c r="N259" i="4"/>
  <c r="O259" i="4"/>
  <c r="I260" i="4"/>
  <c r="J260" i="4"/>
  <c r="L260" i="4"/>
  <c r="M260" i="4"/>
  <c r="N260" i="4"/>
  <c r="O260" i="4"/>
  <c r="I261" i="4"/>
  <c r="J261" i="4"/>
  <c r="L261" i="4"/>
  <c r="M261" i="4"/>
  <c r="N261" i="4"/>
  <c r="O261" i="4"/>
  <c r="I262" i="4"/>
  <c r="J262" i="4"/>
  <c r="L262" i="4"/>
  <c r="M262" i="4"/>
  <c r="N262" i="4"/>
  <c r="O262" i="4"/>
  <c r="I263" i="4"/>
  <c r="J263" i="4"/>
  <c r="L263" i="4"/>
  <c r="M263" i="4"/>
  <c r="N263" i="4"/>
  <c r="O263" i="4"/>
  <c r="I264" i="4"/>
  <c r="J264" i="4"/>
  <c r="L264" i="4"/>
  <c r="M264" i="4"/>
  <c r="N264" i="4"/>
  <c r="O264" i="4"/>
  <c r="I265" i="4"/>
  <c r="J265" i="4"/>
  <c r="L265" i="4"/>
  <c r="M265" i="4"/>
  <c r="N265" i="4"/>
  <c r="O265" i="4"/>
  <c r="I266" i="4"/>
  <c r="J266" i="4"/>
  <c r="L266" i="4"/>
  <c r="M266" i="4"/>
  <c r="N266" i="4"/>
  <c r="O266" i="4"/>
  <c r="I267" i="4"/>
  <c r="J267" i="4"/>
  <c r="L267" i="4"/>
  <c r="M267" i="4"/>
  <c r="N267" i="4"/>
  <c r="O267" i="4"/>
  <c r="I268" i="4"/>
  <c r="J268" i="4"/>
  <c r="L268" i="4"/>
  <c r="M268" i="4"/>
  <c r="N268" i="4"/>
  <c r="O268" i="4"/>
  <c r="I269" i="4"/>
  <c r="J269" i="4"/>
  <c r="L269" i="4"/>
  <c r="M269" i="4"/>
  <c r="N269" i="4"/>
  <c r="O269" i="4"/>
  <c r="I270" i="4"/>
  <c r="J270" i="4"/>
  <c r="L270" i="4"/>
  <c r="M270" i="4"/>
  <c r="N270" i="4"/>
  <c r="O270" i="4"/>
  <c r="I271" i="4"/>
  <c r="J271" i="4"/>
  <c r="L271" i="4"/>
  <c r="M271" i="4"/>
  <c r="N271" i="4"/>
  <c r="O271" i="4"/>
  <c r="I272" i="4"/>
  <c r="J272" i="4"/>
  <c r="L272" i="4"/>
  <c r="M272" i="4"/>
  <c r="N272" i="4"/>
  <c r="O272" i="4"/>
  <c r="I273" i="4"/>
  <c r="J273" i="4"/>
  <c r="L273" i="4"/>
  <c r="M273" i="4"/>
  <c r="N273" i="4"/>
  <c r="O273" i="4"/>
  <c r="I274" i="4"/>
  <c r="J274" i="4"/>
  <c r="L274" i="4"/>
  <c r="M274" i="4"/>
  <c r="N274" i="4"/>
  <c r="O274" i="4"/>
  <c r="I275" i="4"/>
  <c r="J275" i="4"/>
  <c r="L275" i="4"/>
  <c r="M275" i="4"/>
  <c r="N275" i="4"/>
  <c r="O275" i="4"/>
  <c r="I276" i="4"/>
  <c r="J276" i="4"/>
  <c r="L276" i="4"/>
  <c r="M276" i="4"/>
  <c r="N276" i="4"/>
  <c r="O276" i="4"/>
  <c r="I277" i="4"/>
  <c r="J277" i="4"/>
  <c r="L277" i="4"/>
  <c r="M277" i="4"/>
  <c r="N277" i="4"/>
  <c r="O277" i="4"/>
  <c r="I278" i="4"/>
  <c r="J278" i="4"/>
  <c r="L278" i="4"/>
  <c r="M278" i="4"/>
  <c r="N278" i="4"/>
  <c r="O278" i="4"/>
  <c r="I279" i="4"/>
  <c r="J279" i="4"/>
  <c r="L279" i="4"/>
  <c r="M279" i="4"/>
  <c r="N279" i="4"/>
  <c r="O279" i="4"/>
  <c r="I280" i="4"/>
  <c r="J280" i="4"/>
  <c r="L280" i="4"/>
  <c r="M280" i="4"/>
  <c r="N280" i="4"/>
  <c r="O280" i="4"/>
  <c r="I281" i="4"/>
  <c r="J281" i="4"/>
  <c r="L281" i="4"/>
  <c r="M281" i="4"/>
  <c r="N281" i="4"/>
  <c r="O281" i="4"/>
  <c r="I282" i="4"/>
  <c r="J282" i="4"/>
  <c r="L282" i="4"/>
  <c r="M282" i="4"/>
  <c r="N282" i="4"/>
  <c r="O282" i="4"/>
  <c r="I283" i="4"/>
  <c r="J283" i="4"/>
  <c r="L283" i="4"/>
  <c r="M283" i="4"/>
  <c r="N283" i="4"/>
  <c r="O283" i="4"/>
  <c r="I284" i="4"/>
  <c r="J284" i="4"/>
  <c r="L284" i="4"/>
  <c r="M284" i="4"/>
  <c r="N284" i="4"/>
  <c r="O284" i="4"/>
  <c r="I285" i="4"/>
  <c r="J285" i="4"/>
  <c r="L285" i="4"/>
  <c r="M285" i="4"/>
  <c r="N285" i="4"/>
  <c r="O285" i="4"/>
  <c r="I286" i="4"/>
  <c r="J286" i="4"/>
  <c r="L286" i="4"/>
  <c r="M286" i="4"/>
  <c r="N286" i="4"/>
  <c r="O286" i="4"/>
  <c r="I287" i="4"/>
  <c r="J287" i="4"/>
  <c r="L287" i="4"/>
  <c r="M287" i="4"/>
  <c r="N287" i="4"/>
  <c r="O287" i="4"/>
  <c r="I288" i="4"/>
  <c r="J288" i="4"/>
  <c r="L288" i="4"/>
  <c r="M288" i="4"/>
  <c r="N288" i="4"/>
  <c r="O288" i="4"/>
  <c r="I289" i="4"/>
  <c r="J289" i="4"/>
  <c r="L289" i="4"/>
  <c r="M289" i="4"/>
  <c r="N289" i="4"/>
  <c r="O289" i="4"/>
  <c r="I290" i="4"/>
  <c r="J290" i="4"/>
  <c r="L290" i="4"/>
  <c r="M290" i="4"/>
  <c r="N290" i="4"/>
  <c r="O290" i="4"/>
  <c r="I291" i="4"/>
  <c r="J291" i="4"/>
  <c r="L291" i="4"/>
  <c r="M291" i="4"/>
  <c r="N291" i="4"/>
  <c r="O291" i="4"/>
  <c r="I292" i="4"/>
  <c r="J292" i="4"/>
  <c r="L292" i="4"/>
  <c r="M292" i="4"/>
  <c r="N292" i="4"/>
  <c r="O292" i="4"/>
  <c r="I293" i="4"/>
  <c r="J293" i="4"/>
  <c r="L293" i="4"/>
  <c r="M293" i="4"/>
  <c r="N293" i="4"/>
  <c r="O293" i="4"/>
  <c r="I294" i="4"/>
  <c r="J294" i="4"/>
  <c r="L294" i="4"/>
  <c r="M294" i="4"/>
  <c r="N294" i="4"/>
  <c r="O294" i="4"/>
  <c r="I295" i="4"/>
  <c r="J295" i="4"/>
  <c r="L295" i="4"/>
  <c r="M295" i="4"/>
  <c r="N295" i="4"/>
  <c r="O295" i="4"/>
  <c r="I296" i="4"/>
  <c r="J296" i="4"/>
  <c r="L296" i="4"/>
  <c r="M296" i="4"/>
  <c r="N296" i="4"/>
  <c r="O296" i="4"/>
  <c r="I297" i="4"/>
  <c r="J297" i="4"/>
  <c r="L297" i="4"/>
  <c r="M297" i="4"/>
  <c r="N297" i="4"/>
  <c r="O297" i="4"/>
  <c r="I298" i="4"/>
  <c r="J298" i="4"/>
  <c r="L298" i="4"/>
  <c r="M298" i="4"/>
  <c r="N298" i="4"/>
  <c r="O298" i="4"/>
  <c r="I299" i="4"/>
  <c r="J299" i="4"/>
  <c r="L299" i="4"/>
  <c r="M299" i="4"/>
  <c r="N299" i="4"/>
  <c r="O299" i="4"/>
  <c r="I300" i="4"/>
  <c r="J300" i="4"/>
  <c r="L300" i="4"/>
  <c r="M300" i="4"/>
  <c r="N300" i="4"/>
  <c r="O300" i="4"/>
  <c r="I301" i="4"/>
  <c r="J301" i="4"/>
  <c r="L301" i="4"/>
  <c r="M301" i="4"/>
  <c r="N301" i="4"/>
  <c r="O301" i="4"/>
  <c r="I302" i="4"/>
  <c r="J302" i="4"/>
  <c r="L302" i="4"/>
  <c r="M302" i="4"/>
  <c r="N302" i="4"/>
  <c r="O302" i="4"/>
  <c r="I303" i="4"/>
  <c r="J303" i="4"/>
  <c r="L303" i="4"/>
  <c r="M303" i="4"/>
  <c r="N303" i="4"/>
  <c r="O303" i="4"/>
  <c r="I304" i="4"/>
  <c r="J304" i="4"/>
  <c r="L304" i="4"/>
  <c r="M304" i="4"/>
  <c r="N304" i="4"/>
  <c r="O304" i="4"/>
  <c r="I305" i="4"/>
  <c r="J305" i="4"/>
  <c r="L305" i="4"/>
  <c r="M305" i="4"/>
  <c r="N305" i="4"/>
  <c r="O305" i="4"/>
  <c r="I306" i="4"/>
  <c r="J306" i="4"/>
  <c r="L306" i="4"/>
  <c r="M306" i="4"/>
  <c r="N306" i="4"/>
  <c r="O306" i="4"/>
  <c r="I307" i="4"/>
  <c r="J307" i="4"/>
  <c r="L307" i="4"/>
  <c r="M307" i="4"/>
  <c r="N307" i="4"/>
  <c r="O307" i="4"/>
  <c r="I308" i="4"/>
  <c r="J308" i="4"/>
  <c r="L308" i="4"/>
  <c r="M308" i="4"/>
  <c r="N308" i="4"/>
  <c r="O308" i="4"/>
  <c r="I309" i="4"/>
  <c r="J309" i="4"/>
  <c r="L309" i="4"/>
  <c r="M309" i="4"/>
  <c r="N309" i="4"/>
  <c r="O309" i="4"/>
  <c r="I310" i="4"/>
  <c r="J310" i="4"/>
  <c r="L310" i="4"/>
  <c r="M310" i="4"/>
  <c r="N310" i="4"/>
  <c r="O310" i="4"/>
  <c r="I311" i="4"/>
  <c r="J311" i="4"/>
  <c r="L311" i="4"/>
  <c r="M311" i="4"/>
  <c r="N311" i="4"/>
  <c r="O311" i="4"/>
  <c r="I312" i="4"/>
  <c r="J312" i="4"/>
  <c r="L312" i="4"/>
  <c r="M312" i="4"/>
  <c r="N312" i="4"/>
  <c r="O312" i="4"/>
  <c r="I313" i="4"/>
  <c r="J313" i="4"/>
  <c r="L313" i="4"/>
  <c r="M313" i="4"/>
  <c r="N313" i="4"/>
  <c r="O313" i="4"/>
  <c r="I314" i="4"/>
  <c r="J314" i="4"/>
  <c r="L314" i="4"/>
  <c r="M314" i="4"/>
  <c r="N314" i="4"/>
  <c r="O314" i="4"/>
  <c r="I315" i="4"/>
  <c r="J315" i="4"/>
  <c r="L315" i="4"/>
  <c r="M315" i="4"/>
  <c r="N315" i="4"/>
  <c r="O315" i="4"/>
  <c r="I316" i="4"/>
  <c r="J316" i="4"/>
  <c r="L316" i="4"/>
  <c r="M316" i="4"/>
  <c r="N316" i="4"/>
  <c r="O316" i="4"/>
  <c r="I317" i="4"/>
  <c r="J317" i="4"/>
  <c r="L317" i="4"/>
  <c r="M317" i="4"/>
  <c r="N317" i="4"/>
  <c r="O317" i="4"/>
  <c r="I318" i="4"/>
  <c r="J318" i="4"/>
  <c r="L318" i="4"/>
  <c r="M318" i="4"/>
  <c r="N318" i="4"/>
  <c r="O318" i="4"/>
  <c r="I319" i="4"/>
  <c r="J319" i="4"/>
  <c r="L319" i="4"/>
  <c r="M319" i="4"/>
  <c r="N319" i="4"/>
  <c r="O319" i="4"/>
  <c r="I320" i="4"/>
  <c r="J320" i="4"/>
  <c r="L320" i="4"/>
  <c r="M320" i="4"/>
  <c r="N320" i="4"/>
  <c r="O320" i="4"/>
  <c r="I321" i="4"/>
  <c r="J321" i="4"/>
  <c r="L321" i="4"/>
  <c r="M321" i="4"/>
  <c r="N321" i="4"/>
  <c r="O321" i="4"/>
  <c r="I322" i="4"/>
  <c r="J322" i="4"/>
  <c r="L322" i="4"/>
  <c r="M322" i="4"/>
  <c r="N322" i="4"/>
  <c r="O322" i="4"/>
  <c r="I323" i="4"/>
  <c r="J323" i="4"/>
  <c r="L323" i="4"/>
  <c r="M323" i="4"/>
  <c r="N323" i="4"/>
  <c r="O323" i="4"/>
  <c r="I324" i="4"/>
  <c r="J324" i="4"/>
  <c r="L324" i="4"/>
  <c r="M324" i="4"/>
  <c r="N324" i="4"/>
  <c r="O324" i="4"/>
  <c r="I325" i="4"/>
  <c r="J325" i="4"/>
  <c r="L325" i="4"/>
  <c r="M325" i="4"/>
  <c r="N325" i="4"/>
  <c r="O325" i="4"/>
  <c r="I326" i="4"/>
  <c r="J326" i="4"/>
  <c r="L326" i="4"/>
  <c r="M326" i="4"/>
  <c r="N326" i="4"/>
  <c r="O326" i="4"/>
  <c r="I327" i="4"/>
  <c r="J327" i="4"/>
  <c r="L327" i="4"/>
  <c r="M327" i="4"/>
  <c r="N327" i="4"/>
  <c r="O327" i="4"/>
  <c r="I328" i="4"/>
  <c r="J328" i="4"/>
  <c r="L328" i="4"/>
  <c r="M328" i="4"/>
  <c r="N328" i="4"/>
  <c r="O328" i="4"/>
  <c r="I329" i="4"/>
  <c r="J329" i="4"/>
  <c r="L329" i="4"/>
  <c r="M329" i="4"/>
  <c r="N329" i="4"/>
  <c r="O329" i="4"/>
  <c r="I330" i="4"/>
  <c r="J330" i="4"/>
  <c r="L330" i="4"/>
  <c r="M330" i="4"/>
  <c r="N330" i="4"/>
  <c r="O330" i="4"/>
  <c r="I331" i="4"/>
  <c r="J331" i="4"/>
  <c r="L331" i="4"/>
  <c r="M331" i="4"/>
  <c r="N331" i="4"/>
  <c r="O331" i="4"/>
  <c r="I332" i="4"/>
  <c r="J332" i="4"/>
  <c r="L332" i="4"/>
  <c r="M332" i="4"/>
  <c r="N332" i="4"/>
  <c r="O332" i="4"/>
  <c r="I333" i="4"/>
  <c r="J333" i="4"/>
  <c r="L333" i="4"/>
  <c r="M333" i="4"/>
  <c r="N333" i="4"/>
  <c r="O333" i="4"/>
  <c r="I334" i="4"/>
  <c r="J334" i="4"/>
  <c r="L334" i="4"/>
  <c r="M334" i="4"/>
  <c r="N334" i="4"/>
  <c r="O334" i="4"/>
  <c r="I335" i="4"/>
  <c r="J335" i="4"/>
  <c r="L335" i="4"/>
  <c r="M335" i="4"/>
  <c r="N335" i="4"/>
  <c r="O335" i="4"/>
  <c r="I336" i="4"/>
  <c r="J336" i="4"/>
  <c r="L336" i="4"/>
  <c r="M336" i="4"/>
  <c r="N336" i="4"/>
  <c r="O336" i="4"/>
  <c r="I337" i="4"/>
  <c r="J337" i="4"/>
  <c r="L337" i="4"/>
  <c r="M337" i="4"/>
  <c r="N337" i="4"/>
  <c r="O337" i="4"/>
  <c r="I338" i="4"/>
  <c r="J338" i="4"/>
  <c r="L338" i="4"/>
  <c r="M338" i="4"/>
  <c r="N338" i="4"/>
  <c r="O338" i="4"/>
  <c r="I339" i="4"/>
  <c r="J339" i="4"/>
  <c r="L339" i="4"/>
  <c r="M339" i="4"/>
  <c r="N339" i="4"/>
  <c r="O339" i="4"/>
  <c r="I340" i="4"/>
  <c r="J340" i="4"/>
  <c r="L340" i="4"/>
  <c r="M340" i="4"/>
  <c r="N340" i="4"/>
  <c r="O340" i="4"/>
  <c r="I341" i="4"/>
  <c r="J341" i="4"/>
  <c r="L341" i="4"/>
  <c r="M341" i="4"/>
  <c r="N341" i="4"/>
  <c r="O341" i="4"/>
  <c r="I342" i="4"/>
  <c r="J342" i="4"/>
  <c r="L342" i="4"/>
  <c r="M342" i="4"/>
  <c r="N342" i="4"/>
  <c r="O342" i="4"/>
  <c r="I343" i="4"/>
  <c r="J343" i="4"/>
  <c r="L343" i="4"/>
  <c r="M343" i="4"/>
  <c r="N343" i="4"/>
  <c r="O343" i="4"/>
  <c r="I344" i="4"/>
  <c r="J344" i="4"/>
  <c r="L344" i="4"/>
  <c r="M344" i="4"/>
  <c r="N344" i="4"/>
  <c r="O344" i="4"/>
  <c r="I345" i="4"/>
  <c r="J345" i="4"/>
  <c r="L345" i="4"/>
  <c r="M345" i="4"/>
  <c r="N345" i="4"/>
  <c r="O345" i="4"/>
  <c r="I346" i="4"/>
  <c r="J346" i="4"/>
  <c r="L346" i="4"/>
  <c r="M346" i="4"/>
  <c r="N346" i="4"/>
  <c r="O346" i="4"/>
  <c r="I347" i="4"/>
  <c r="J347" i="4"/>
  <c r="L347" i="4"/>
  <c r="M347" i="4"/>
  <c r="N347" i="4"/>
  <c r="O347" i="4"/>
  <c r="I348" i="4"/>
  <c r="J348" i="4"/>
  <c r="L348" i="4"/>
  <c r="M348" i="4"/>
  <c r="N348" i="4"/>
  <c r="O348" i="4"/>
  <c r="I349" i="4"/>
  <c r="J349" i="4"/>
  <c r="L349" i="4"/>
  <c r="M349" i="4"/>
  <c r="N349" i="4"/>
  <c r="O349" i="4"/>
  <c r="I350" i="4"/>
  <c r="J350" i="4"/>
  <c r="L350" i="4"/>
  <c r="M350" i="4"/>
  <c r="N350" i="4"/>
  <c r="O350" i="4"/>
  <c r="I351" i="4"/>
  <c r="J351" i="4"/>
  <c r="L351" i="4"/>
  <c r="M351" i="4"/>
  <c r="N351" i="4"/>
  <c r="O351" i="4"/>
  <c r="I352" i="4"/>
  <c r="J352" i="4"/>
  <c r="L352" i="4"/>
  <c r="M352" i="4"/>
  <c r="N352" i="4"/>
  <c r="O352" i="4"/>
  <c r="I353" i="4"/>
  <c r="J353" i="4"/>
  <c r="L353" i="4"/>
  <c r="M353" i="4"/>
  <c r="N353" i="4"/>
  <c r="O353" i="4"/>
  <c r="I354" i="4"/>
  <c r="J354" i="4"/>
  <c r="L354" i="4"/>
  <c r="M354" i="4"/>
  <c r="N354" i="4"/>
  <c r="O354" i="4"/>
  <c r="I355" i="4"/>
  <c r="J355" i="4"/>
  <c r="L355" i="4"/>
  <c r="M355" i="4"/>
  <c r="N355" i="4"/>
  <c r="O355" i="4"/>
  <c r="I356" i="4"/>
  <c r="J356" i="4"/>
  <c r="L356" i="4"/>
  <c r="M356" i="4"/>
  <c r="N356" i="4"/>
  <c r="O356" i="4"/>
  <c r="I357" i="4"/>
  <c r="J357" i="4"/>
  <c r="L357" i="4"/>
  <c r="M357" i="4"/>
  <c r="N357" i="4"/>
  <c r="O357" i="4"/>
  <c r="I358" i="4"/>
  <c r="J358" i="4"/>
  <c r="L358" i="4"/>
  <c r="M358" i="4"/>
  <c r="N358" i="4"/>
  <c r="O358" i="4"/>
  <c r="I359" i="4"/>
  <c r="J359" i="4"/>
  <c r="L359" i="4"/>
  <c r="M359" i="4"/>
  <c r="N359" i="4"/>
  <c r="O359" i="4"/>
  <c r="I360" i="4"/>
  <c r="J360" i="4"/>
  <c r="L360" i="4"/>
  <c r="M360" i="4"/>
  <c r="N360" i="4"/>
  <c r="O360" i="4"/>
  <c r="I361" i="4"/>
  <c r="J361" i="4"/>
  <c r="L361" i="4"/>
  <c r="M361" i="4"/>
  <c r="N361" i="4"/>
  <c r="O361" i="4"/>
  <c r="I362" i="4"/>
  <c r="J362" i="4"/>
  <c r="L362" i="4"/>
  <c r="M362" i="4"/>
  <c r="N362" i="4"/>
  <c r="O362" i="4"/>
  <c r="I363" i="4"/>
  <c r="J363" i="4"/>
  <c r="L363" i="4"/>
  <c r="M363" i="4"/>
  <c r="N363" i="4"/>
  <c r="O363" i="4"/>
  <c r="I364" i="4"/>
  <c r="J364" i="4"/>
  <c r="L364" i="4"/>
  <c r="M364" i="4"/>
  <c r="N364" i="4"/>
  <c r="O364" i="4"/>
  <c r="I365" i="4"/>
  <c r="J365" i="4"/>
  <c r="L365" i="4"/>
  <c r="M365" i="4"/>
  <c r="N365" i="4"/>
  <c r="O365" i="4"/>
  <c r="I366" i="4"/>
  <c r="J366" i="4"/>
  <c r="L366" i="4"/>
  <c r="M366" i="4"/>
  <c r="N366" i="4"/>
  <c r="O366" i="4"/>
  <c r="I367" i="4"/>
  <c r="J367" i="4"/>
  <c r="L367" i="4"/>
  <c r="M367" i="4"/>
  <c r="N367" i="4"/>
  <c r="O367" i="4"/>
  <c r="I368" i="4"/>
  <c r="J368" i="4"/>
  <c r="L368" i="4"/>
  <c r="M368" i="4"/>
  <c r="N368" i="4"/>
  <c r="O368" i="4"/>
  <c r="I369" i="4"/>
  <c r="J369" i="4"/>
  <c r="L369" i="4"/>
  <c r="M369" i="4"/>
  <c r="N369" i="4"/>
  <c r="O369" i="4"/>
  <c r="I370" i="4"/>
  <c r="J370" i="4"/>
  <c r="L370" i="4"/>
  <c r="M370" i="4"/>
  <c r="N370" i="4"/>
  <c r="O370" i="4"/>
  <c r="I371" i="4"/>
  <c r="J371" i="4"/>
  <c r="L371" i="4"/>
  <c r="M371" i="4"/>
  <c r="N371" i="4"/>
  <c r="O371" i="4"/>
  <c r="I372" i="4"/>
  <c r="J372" i="4"/>
  <c r="L372" i="4"/>
  <c r="M372" i="4"/>
  <c r="N372" i="4"/>
  <c r="O372" i="4"/>
  <c r="I373" i="4"/>
  <c r="J373" i="4"/>
  <c r="L373" i="4"/>
  <c r="M373" i="4"/>
  <c r="N373" i="4"/>
  <c r="O373" i="4"/>
  <c r="I374" i="4"/>
  <c r="J374" i="4"/>
  <c r="L374" i="4"/>
  <c r="M374" i="4"/>
  <c r="N374" i="4"/>
  <c r="O374" i="4"/>
  <c r="I375" i="4"/>
  <c r="J375" i="4"/>
  <c r="L375" i="4"/>
  <c r="M375" i="4"/>
  <c r="N375" i="4"/>
  <c r="O375" i="4"/>
  <c r="I376" i="4"/>
  <c r="J376" i="4"/>
  <c r="L376" i="4"/>
  <c r="M376" i="4"/>
  <c r="N376" i="4"/>
  <c r="O376" i="4"/>
  <c r="I377" i="4"/>
  <c r="J377" i="4"/>
  <c r="L377" i="4"/>
  <c r="M377" i="4"/>
  <c r="N377" i="4"/>
  <c r="O377" i="4"/>
  <c r="I378" i="4"/>
  <c r="J378" i="4"/>
  <c r="L378" i="4"/>
  <c r="M378" i="4"/>
  <c r="N378" i="4"/>
  <c r="O378" i="4"/>
  <c r="I379" i="4"/>
  <c r="J379" i="4"/>
  <c r="L379" i="4"/>
  <c r="M379" i="4"/>
  <c r="N379" i="4"/>
  <c r="O379" i="4"/>
  <c r="I380" i="4"/>
  <c r="J380" i="4"/>
  <c r="L380" i="4"/>
  <c r="M380" i="4"/>
  <c r="N380" i="4"/>
  <c r="O380" i="4"/>
  <c r="I381" i="4"/>
  <c r="J381" i="4"/>
  <c r="L381" i="4"/>
  <c r="M381" i="4"/>
  <c r="N381" i="4"/>
  <c r="O381" i="4"/>
  <c r="I382" i="4"/>
  <c r="J382" i="4"/>
  <c r="L382" i="4"/>
  <c r="M382" i="4"/>
  <c r="N382" i="4"/>
  <c r="O382" i="4"/>
  <c r="I383" i="4"/>
  <c r="J383" i="4"/>
  <c r="L383" i="4"/>
  <c r="M383" i="4"/>
  <c r="N383" i="4"/>
  <c r="O383" i="4"/>
  <c r="I384" i="4"/>
  <c r="J384" i="4"/>
  <c r="L384" i="4"/>
  <c r="M384" i="4"/>
  <c r="N384" i="4"/>
  <c r="O384" i="4"/>
  <c r="I385" i="4"/>
  <c r="J385" i="4"/>
  <c r="L385" i="4"/>
  <c r="M385" i="4"/>
  <c r="N385" i="4"/>
  <c r="O385" i="4"/>
  <c r="I386" i="4"/>
  <c r="J386" i="4"/>
  <c r="L386" i="4"/>
  <c r="M386" i="4"/>
  <c r="N386" i="4"/>
  <c r="O386" i="4"/>
  <c r="I387" i="4"/>
  <c r="J387" i="4"/>
  <c r="L387" i="4"/>
  <c r="M387" i="4"/>
  <c r="N387" i="4"/>
  <c r="O387" i="4"/>
  <c r="I388" i="4"/>
  <c r="J388" i="4"/>
  <c r="L388" i="4"/>
  <c r="M388" i="4"/>
  <c r="N388" i="4"/>
  <c r="O388" i="4"/>
  <c r="I389" i="4"/>
  <c r="J389" i="4"/>
  <c r="L389" i="4"/>
  <c r="M389" i="4"/>
  <c r="N389" i="4"/>
  <c r="O389" i="4"/>
  <c r="I390" i="4"/>
  <c r="J390" i="4"/>
  <c r="L390" i="4"/>
  <c r="M390" i="4"/>
  <c r="N390" i="4"/>
  <c r="O390" i="4"/>
  <c r="I391" i="4"/>
  <c r="J391" i="4"/>
  <c r="L391" i="4"/>
  <c r="M391" i="4"/>
  <c r="N391" i="4"/>
  <c r="O391" i="4"/>
  <c r="I392" i="4"/>
  <c r="J392" i="4"/>
  <c r="L392" i="4"/>
  <c r="M392" i="4"/>
  <c r="N392" i="4"/>
  <c r="O392" i="4"/>
  <c r="I393" i="4"/>
  <c r="J393" i="4"/>
  <c r="L393" i="4"/>
  <c r="M393" i="4"/>
  <c r="N393" i="4"/>
  <c r="O393" i="4"/>
  <c r="I394" i="4"/>
  <c r="J394" i="4"/>
  <c r="L394" i="4"/>
  <c r="M394" i="4"/>
  <c r="N394" i="4"/>
  <c r="O394" i="4"/>
  <c r="I395" i="4"/>
  <c r="J395" i="4"/>
  <c r="L395" i="4"/>
  <c r="M395" i="4"/>
  <c r="N395" i="4"/>
  <c r="O395" i="4"/>
  <c r="I396" i="4"/>
  <c r="J396" i="4"/>
  <c r="L396" i="4"/>
  <c r="M396" i="4"/>
  <c r="N396" i="4"/>
  <c r="O396" i="4"/>
  <c r="I397" i="4"/>
  <c r="J397" i="4"/>
  <c r="L397" i="4"/>
  <c r="M397" i="4"/>
  <c r="N397" i="4"/>
  <c r="O397" i="4"/>
  <c r="I398" i="4"/>
  <c r="J398" i="4"/>
  <c r="L398" i="4"/>
  <c r="M398" i="4"/>
  <c r="N398" i="4"/>
  <c r="O398" i="4"/>
  <c r="I399" i="4"/>
  <c r="J399" i="4"/>
  <c r="L399" i="4"/>
  <c r="M399" i="4"/>
  <c r="N399" i="4"/>
  <c r="O399" i="4"/>
  <c r="I400" i="4"/>
  <c r="J400" i="4"/>
  <c r="L400" i="4"/>
  <c r="M400" i="4"/>
  <c r="N400" i="4"/>
  <c r="O400" i="4"/>
  <c r="I401" i="4"/>
  <c r="J401" i="4"/>
  <c r="L401" i="4"/>
  <c r="M401" i="4"/>
  <c r="N401" i="4"/>
  <c r="O401" i="4"/>
  <c r="I402" i="4"/>
  <c r="J402" i="4"/>
  <c r="L402" i="4"/>
  <c r="M402" i="4"/>
  <c r="N402" i="4"/>
  <c r="O402" i="4"/>
  <c r="I403" i="4"/>
  <c r="J403" i="4"/>
  <c r="L403" i="4"/>
  <c r="M403" i="4"/>
  <c r="N403" i="4"/>
  <c r="O403" i="4"/>
  <c r="I404" i="4"/>
  <c r="J404" i="4"/>
  <c r="L404" i="4"/>
  <c r="M404" i="4"/>
  <c r="N404" i="4"/>
  <c r="O404" i="4"/>
  <c r="I405" i="4"/>
  <c r="J405" i="4"/>
  <c r="L405" i="4"/>
  <c r="M405" i="4"/>
  <c r="N405" i="4"/>
  <c r="O405" i="4"/>
  <c r="I406" i="4"/>
  <c r="J406" i="4"/>
  <c r="L406" i="4"/>
  <c r="M406" i="4"/>
  <c r="N406" i="4"/>
  <c r="O406" i="4"/>
  <c r="I407" i="4"/>
  <c r="J407" i="4"/>
  <c r="L407" i="4"/>
  <c r="M407" i="4"/>
  <c r="N407" i="4"/>
  <c r="O407" i="4"/>
  <c r="I408" i="4"/>
  <c r="J408" i="4"/>
  <c r="L408" i="4"/>
  <c r="M408" i="4"/>
  <c r="N408" i="4"/>
  <c r="O408" i="4"/>
  <c r="I409" i="4"/>
  <c r="J409" i="4"/>
  <c r="L409" i="4"/>
  <c r="M409" i="4"/>
  <c r="N409" i="4"/>
  <c r="O409" i="4"/>
  <c r="I410" i="4"/>
  <c r="J410" i="4"/>
  <c r="L410" i="4"/>
  <c r="M410" i="4"/>
  <c r="N410" i="4"/>
  <c r="O410" i="4"/>
  <c r="I411" i="4"/>
  <c r="J411" i="4"/>
  <c r="L411" i="4"/>
  <c r="M411" i="4"/>
  <c r="N411" i="4"/>
  <c r="O411" i="4"/>
  <c r="I412" i="4"/>
  <c r="J412" i="4"/>
  <c r="L412" i="4"/>
  <c r="M412" i="4"/>
  <c r="N412" i="4"/>
  <c r="O412" i="4"/>
  <c r="I413" i="4"/>
  <c r="J413" i="4"/>
  <c r="L413" i="4"/>
  <c r="M413" i="4"/>
  <c r="N413" i="4"/>
  <c r="O413" i="4"/>
  <c r="I414" i="4"/>
  <c r="J414" i="4"/>
  <c r="L414" i="4"/>
  <c r="M414" i="4"/>
  <c r="N414" i="4"/>
  <c r="O414" i="4"/>
  <c r="I415" i="4"/>
  <c r="J415" i="4"/>
  <c r="L415" i="4"/>
  <c r="M415" i="4"/>
  <c r="N415" i="4"/>
  <c r="O415" i="4"/>
  <c r="I416" i="4"/>
  <c r="J416" i="4"/>
  <c r="L416" i="4"/>
  <c r="M416" i="4"/>
  <c r="N416" i="4"/>
  <c r="O416" i="4"/>
  <c r="I417" i="4"/>
  <c r="J417" i="4"/>
  <c r="L417" i="4"/>
  <c r="M417" i="4"/>
  <c r="N417" i="4"/>
  <c r="O417" i="4"/>
  <c r="I418" i="4"/>
  <c r="J418" i="4"/>
  <c r="L418" i="4"/>
  <c r="M418" i="4"/>
  <c r="N418" i="4"/>
  <c r="O418" i="4"/>
  <c r="I419" i="4"/>
  <c r="J419" i="4"/>
  <c r="L419" i="4"/>
  <c r="M419" i="4"/>
  <c r="N419" i="4"/>
  <c r="O419" i="4"/>
  <c r="I420" i="4"/>
  <c r="J420" i="4"/>
  <c r="L420" i="4"/>
  <c r="M420" i="4"/>
  <c r="N420" i="4"/>
  <c r="O420" i="4"/>
  <c r="I421" i="4"/>
  <c r="J421" i="4"/>
  <c r="L421" i="4"/>
  <c r="M421" i="4"/>
  <c r="N421" i="4"/>
  <c r="O421" i="4"/>
  <c r="I422" i="4"/>
  <c r="J422" i="4"/>
  <c r="L422" i="4"/>
  <c r="M422" i="4"/>
  <c r="N422" i="4"/>
  <c r="O422" i="4"/>
  <c r="I423" i="4"/>
  <c r="J423" i="4"/>
  <c r="L423" i="4"/>
  <c r="M423" i="4"/>
  <c r="N423" i="4"/>
  <c r="O423" i="4"/>
  <c r="I424" i="4"/>
  <c r="J424" i="4"/>
  <c r="L424" i="4"/>
  <c r="M424" i="4"/>
  <c r="N424" i="4"/>
  <c r="O424" i="4"/>
  <c r="I425" i="4"/>
  <c r="J425" i="4"/>
  <c r="L425" i="4"/>
  <c r="M425" i="4"/>
  <c r="N425" i="4"/>
  <c r="O425" i="4"/>
  <c r="I426" i="4"/>
  <c r="J426" i="4"/>
  <c r="L426" i="4"/>
  <c r="M426" i="4"/>
  <c r="N426" i="4"/>
  <c r="O426" i="4"/>
  <c r="I427" i="4"/>
  <c r="J427" i="4"/>
  <c r="L427" i="4"/>
  <c r="M427" i="4"/>
  <c r="N427" i="4"/>
  <c r="O427" i="4"/>
  <c r="I428" i="4"/>
  <c r="J428" i="4"/>
  <c r="L428" i="4"/>
  <c r="M428" i="4"/>
  <c r="N428" i="4"/>
  <c r="O428" i="4"/>
  <c r="I429" i="4"/>
  <c r="J429" i="4"/>
  <c r="L429" i="4"/>
  <c r="M429" i="4"/>
  <c r="N429" i="4"/>
  <c r="O429" i="4"/>
  <c r="I430" i="4"/>
  <c r="J430" i="4"/>
  <c r="L430" i="4"/>
  <c r="M430" i="4"/>
  <c r="N430" i="4"/>
  <c r="O430" i="4"/>
  <c r="I431" i="4"/>
  <c r="J431" i="4"/>
  <c r="L431" i="4"/>
  <c r="M431" i="4"/>
  <c r="N431" i="4"/>
  <c r="O431" i="4"/>
  <c r="I432" i="4"/>
  <c r="J432" i="4"/>
  <c r="L432" i="4"/>
  <c r="M432" i="4"/>
  <c r="N432" i="4"/>
  <c r="O432" i="4"/>
  <c r="I433" i="4"/>
  <c r="J433" i="4"/>
  <c r="L433" i="4"/>
  <c r="M433" i="4"/>
  <c r="N433" i="4"/>
  <c r="O433" i="4"/>
  <c r="I434" i="4"/>
  <c r="J434" i="4"/>
  <c r="L434" i="4"/>
  <c r="M434" i="4"/>
  <c r="N434" i="4"/>
  <c r="O434" i="4"/>
  <c r="I435" i="4"/>
  <c r="J435" i="4"/>
  <c r="L435" i="4"/>
  <c r="M435" i="4"/>
  <c r="N435" i="4"/>
  <c r="O435" i="4"/>
  <c r="I436" i="4"/>
  <c r="J436" i="4"/>
  <c r="L436" i="4"/>
  <c r="M436" i="4"/>
  <c r="N436" i="4"/>
  <c r="O436" i="4"/>
  <c r="I437" i="4"/>
  <c r="J437" i="4"/>
  <c r="L437" i="4"/>
  <c r="M437" i="4"/>
  <c r="N437" i="4"/>
  <c r="O437" i="4"/>
  <c r="I438" i="4"/>
  <c r="J438" i="4"/>
  <c r="L438" i="4"/>
  <c r="M438" i="4"/>
  <c r="N438" i="4"/>
  <c r="O438" i="4"/>
  <c r="I439" i="4"/>
  <c r="J439" i="4"/>
  <c r="L439" i="4"/>
  <c r="M439" i="4"/>
  <c r="N439" i="4"/>
  <c r="O439" i="4"/>
  <c r="I440" i="4"/>
  <c r="J440" i="4"/>
  <c r="L440" i="4"/>
  <c r="M440" i="4"/>
  <c r="N440" i="4"/>
  <c r="O440" i="4"/>
  <c r="I441" i="4"/>
  <c r="J441" i="4"/>
  <c r="L441" i="4"/>
  <c r="M441" i="4"/>
  <c r="N441" i="4"/>
  <c r="O441" i="4"/>
  <c r="I442" i="4"/>
  <c r="J442" i="4"/>
  <c r="L442" i="4"/>
  <c r="M442" i="4"/>
  <c r="N442" i="4"/>
  <c r="O442" i="4"/>
  <c r="I443" i="4"/>
  <c r="J443" i="4"/>
  <c r="L443" i="4"/>
  <c r="M443" i="4"/>
  <c r="N443" i="4"/>
  <c r="O443" i="4"/>
  <c r="I444" i="4"/>
  <c r="J444" i="4"/>
  <c r="L444" i="4"/>
  <c r="M444" i="4"/>
  <c r="N444" i="4"/>
  <c r="O444" i="4"/>
  <c r="I445" i="4"/>
  <c r="J445" i="4"/>
  <c r="L445" i="4"/>
  <c r="M445" i="4"/>
  <c r="N445" i="4"/>
  <c r="O445" i="4"/>
  <c r="I446" i="4"/>
  <c r="J446" i="4"/>
  <c r="L446" i="4"/>
  <c r="M446" i="4"/>
  <c r="N446" i="4"/>
  <c r="O446" i="4"/>
  <c r="I447" i="4"/>
  <c r="J447" i="4"/>
  <c r="L447" i="4"/>
  <c r="M447" i="4"/>
  <c r="N447" i="4"/>
  <c r="O447" i="4"/>
  <c r="I448" i="4"/>
  <c r="J448" i="4"/>
  <c r="L448" i="4"/>
  <c r="M448" i="4"/>
  <c r="N448" i="4"/>
  <c r="O448" i="4"/>
  <c r="I449" i="4"/>
  <c r="J449" i="4"/>
  <c r="L449" i="4"/>
  <c r="M449" i="4"/>
  <c r="N449" i="4"/>
  <c r="O449" i="4"/>
  <c r="I450" i="4"/>
  <c r="J450" i="4"/>
  <c r="L450" i="4"/>
  <c r="M450" i="4"/>
  <c r="N450" i="4"/>
  <c r="O450" i="4"/>
  <c r="I451" i="4"/>
  <c r="J451" i="4"/>
  <c r="L451" i="4"/>
  <c r="M451" i="4"/>
  <c r="N451" i="4"/>
  <c r="O451" i="4"/>
  <c r="I452" i="4"/>
  <c r="J452" i="4"/>
  <c r="L452" i="4"/>
  <c r="M452" i="4"/>
  <c r="N452" i="4"/>
  <c r="O452" i="4"/>
  <c r="I453" i="4"/>
  <c r="J453" i="4"/>
  <c r="L453" i="4"/>
  <c r="M453" i="4"/>
  <c r="N453" i="4"/>
  <c r="O453" i="4"/>
  <c r="I454" i="4"/>
  <c r="J454" i="4"/>
  <c r="L454" i="4"/>
  <c r="M454" i="4"/>
  <c r="N454" i="4"/>
  <c r="O454" i="4"/>
  <c r="I455" i="4"/>
  <c r="J455" i="4"/>
  <c r="L455" i="4"/>
  <c r="M455" i="4"/>
  <c r="N455" i="4"/>
  <c r="O455" i="4"/>
  <c r="I456" i="4"/>
  <c r="J456" i="4"/>
  <c r="L456" i="4"/>
  <c r="M456" i="4"/>
  <c r="N456" i="4"/>
  <c r="O456" i="4"/>
  <c r="I457" i="4"/>
  <c r="J457" i="4"/>
  <c r="L457" i="4"/>
  <c r="M457" i="4"/>
  <c r="N457" i="4"/>
  <c r="O457" i="4"/>
  <c r="I458" i="4"/>
  <c r="J458" i="4"/>
  <c r="L458" i="4"/>
  <c r="M458" i="4"/>
  <c r="N458" i="4"/>
  <c r="O458" i="4"/>
  <c r="I459" i="4"/>
  <c r="J459" i="4"/>
  <c r="L459" i="4"/>
  <c r="M459" i="4"/>
  <c r="N459" i="4"/>
  <c r="O459" i="4"/>
  <c r="I460" i="4"/>
  <c r="J460" i="4"/>
  <c r="L460" i="4"/>
  <c r="M460" i="4"/>
  <c r="N460" i="4"/>
  <c r="O460" i="4"/>
  <c r="I461" i="4"/>
  <c r="J461" i="4"/>
  <c r="L461" i="4"/>
  <c r="M461" i="4"/>
  <c r="N461" i="4"/>
  <c r="O461" i="4"/>
  <c r="I462" i="4"/>
  <c r="J462" i="4"/>
  <c r="L462" i="4"/>
  <c r="M462" i="4"/>
  <c r="N462" i="4"/>
  <c r="O462" i="4"/>
  <c r="I463" i="4"/>
  <c r="J463" i="4"/>
  <c r="L463" i="4"/>
  <c r="M463" i="4"/>
  <c r="N463" i="4"/>
  <c r="O463" i="4"/>
  <c r="I464" i="4"/>
  <c r="J464" i="4"/>
  <c r="L464" i="4"/>
  <c r="M464" i="4"/>
  <c r="N464" i="4"/>
  <c r="O464" i="4"/>
  <c r="I465" i="4"/>
  <c r="J465" i="4"/>
  <c r="L465" i="4"/>
  <c r="M465" i="4"/>
  <c r="N465" i="4"/>
  <c r="O465" i="4"/>
  <c r="I466" i="4"/>
  <c r="J466" i="4"/>
  <c r="L466" i="4"/>
  <c r="M466" i="4"/>
  <c r="N466" i="4"/>
  <c r="O466" i="4"/>
  <c r="I467" i="4"/>
  <c r="J467" i="4"/>
  <c r="L467" i="4"/>
  <c r="M467" i="4"/>
  <c r="N467" i="4"/>
  <c r="O467" i="4"/>
  <c r="I468" i="4"/>
  <c r="J468" i="4"/>
  <c r="L468" i="4"/>
  <c r="M468" i="4"/>
  <c r="N468" i="4"/>
  <c r="O468" i="4"/>
  <c r="I469" i="4"/>
  <c r="J469" i="4"/>
  <c r="L469" i="4"/>
  <c r="M469" i="4"/>
  <c r="N469" i="4"/>
  <c r="O469" i="4"/>
  <c r="I470" i="4"/>
  <c r="J470" i="4"/>
  <c r="L470" i="4"/>
  <c r="M470" i="4"/>
  <c r="N470" i="4"/>
  <c r="O470" i="4"/>
  <c r="I471" i="4"/>
  <c r="J471" i="4"/>
  <c r="L471" i="4"/>
  <c r="M471" i="4"/>
  <c r="N471" i="4"/>
  <c r="O471" i="4"/>
  <c r="I472" i="4"/>
  <c r="J472" i="4"/>
  <c r="L472" i="4"/>
  <c r="M472" i="4"/>
  <c r="N472" i="4"/>
  <c r="O472" i="4"/>
  <c r="I473" i="4"/>
  <c r="J473" i="4"/>
  <c r="L473" i="4"/>
  <c r="M473" i="4"/>
  <c r="N473" i="4"/>
  <c r="O473" i="4"/>
  <c r="I474" i="4"/>
  <c r="J474" i="4"/>
  <c r="L474" i="4"/>
  <c r="M474" i="4"/>
  <c r="N474" i="4"/>
  <c r="O474" i="4"/>
  <c r="I475" i="4"/>
  <c r="J475" i="4"/>
  <c r="L475" i="4"/>
  <c r="M475" i="4"/>
  <c r="N475" i="4"/>
  <c r="O475" i="4"/>
  <c r="I476" i="4"/>
  <c r="J476" i="4"/>
  <c r="L476" i="4"/>
  <c r="M476" i="4"/>
  <c r="N476" i="4"/>
  <c r="O476" i="4"/>
  <c r="I477" i="4"/>
  <c r="J477" i="4"/>
  <c r="L477" i="4"/>
  <c r="M477" i="4"/>
  <c r="N477" i="4"/>
  <c r="O477" i="4"/>
  <c r="I478" i="4"/>
  <c r="J478" i="4"/>
  <c r="L478" i="4"/>
  <c r="M478" i="4"/>
  <c r="N478" i="4"/>
  <c r="O478" i="4"/>
  <c r="I479" i="4"/>
  <c r="J479" i="4"/>
  <c r="L479" i="4"/>
  <c r="M479" i="4"/>
  <c r="N479" i="4"/>
  <c r="O479" i="4"/>
  <c r="I480" i="4"/>
  <c r="J480" i="4"/>
  <c r="L480" i="4"/>
  <c r="M480" i="4"/>
  <c r="N480" i="4"/>
  <c r="O480" i="4"/>
  <c r="I481" i="4"/>
  <c r="J481" i="4"/>
  <c r="L481" i="4"/>
  <c r="M481" i="4"/>
  <c r="N481" i="4"/>
  <c r="O481" i="4"/>
  <c r="I482" i="4"/>
  <c r="J482" i="4"/>
  <c r="L482" i="4"/>
  <c r="M482" i="4"/>
  <c r="N482" i="4"/>
  <c r="O482" i="4"/>
  <c r="I483" i="4"/>
  <c r="J483" i="4"/>
  <c r="L483" i="4"/>
  <c r="M483" i="4"/>
  <c r="N483" i="4"/>
  <c r="O483" i="4"/>
  <c r="I484" i="4"/>
  <c r="J484" i="4"/>
  <c r="L484" i="4"/>
  <c r="M484" i="4"/>
  <c r="N484" i="4"/>
  <c r="O484" i="4"/>
  <c r="I485" i="4"/>
  <c r="J485" i="4"/>
  <c r="L485" i="4"/>
  <c r="M485" i="4"/>
  <c r="N485" i="4"/>
  <c r="O485" i="4"/>
  <c r="I486" i="4"/>
  <c r="J486" i="4"/>
  <c r="L486" i="4"/>
  <c r="M486" i="4"/>
  <c r="N486" i="4"/>
  <c r="O486" i="4"/>
  <c r="I487" i="4"/>
  <c r="J487" i="4"/>
  <c r="L487" i="4"/>
  <c r="M487" i="4"/>
  <c r="N487" i="4"/>
  <c r="O487" i="4"/>
  <c r="I488" i="4"/>
  <c r="J488" i="4"/>
  <c r="L488" i="4"/>
  <c r="M488" i="4"/>
  <c r="N488" i="4"/>
  <c r="O488" i="4"/>
  <c r="I489" i="4"/>
  <c r="J489" i="4"/>
  <c r="L489" i="4"/>
  <c r="M489" i="4"/>
  <c r="N489" i="4"/>
  <c r="O489" i="4"/>
  <c r="I490" i="4"/>
  <c r="J490" i="4"/>
  <c r="L490" i="4"/>
  <c r="M490" i="4"/>
  <c r="N490" i="4"/>
  <c r="O490" i="4"/>
  <c r="I491" i="4"/>
  <c r="J491" i="4"/>
  <c r="L491" i="4"/>
  <c r="M491" i="4"/>
  <c r="N491" i="4"/>
  <c r="O491" i="4"/>
  <c r="I492" i="4"/>
  <c r="J492" i="4"/>
  <c r="L492" i="4"/>
  <c r="M492" i="4"/>
  <c r="N492" i="4"/>
  <c r="O492" i="4"/>
  <c r="I493" i="4"/>
  <c r="J493" i="4"/>
  <c r="L493" i="4"/>
  <c r="M493" i="4"/>
  <c r="N493" i="4"/>
  <c r="O493" i="4"/>
  <c r="I494" i="4"/>
  <c r="J494" i="4"/>
  <c r="L494" i="4"/>
  <c r="M494" i="4"/>
  <c r="N494" i="4"/>
  <c r="O494" i="4"/>
  <c r="I495" i="4"/>
  <c r="J495" i="4"/>
  <c r="L495" i="4"/>
  <c r="M495" i="4"/>
  <c r="N495" i="4"/>
  <c r="O495" i="4"/>
  <c r="I496" i="4"/>
  <c r="J496" i="4"/>
  <c r="L496" i="4"/>
  <c r="M496" i="4"/>
  <c r="N496" i="4"/>
  <c r="O496" i="4"/>
  <c r="I497" i="4"/>
  <c r="J497" i="4"/>
  <c r="L497" i="4"/>
  <c r="M497" i="4"/>
  <c r="N497" i="4"/>
  <c r="O497" i="4"/>
  <c r="I498" i="4"/>
  <c r="J498" i="4"/>
  <c r="L498" i="4"/>
  <c r="M498" i="4"/>
  <c r="N498" i="4"/>
  <c r="O498" i="4"/>
  <c r="I499" i="4"/>
  <c r="J499" i="4"/>
  <c r="L499" i="4"/>
  <c r="M499" i="4"/>
  <c r="N499" i="4"/>
  <c r="O499" i="4"/>
  <c r="I500" i="4"/>
  <c r="J500" i="4"/>
  <c r="L500" i="4"/>
  <c r="M500" i="4"/>
  <c r="N500" i="4"/>
  <c r="O500" i="4"/>
  <c r="I501" i="4"/>
  <c r="J501" i="4"/>
  <c r="L501" i="4"/>
  <c r="M501" i="4"/>
  <c r="N501" i="4"/>
  <c r="O501" i="4"/>
  <c r="I502" i="4"/>
  <c r="J502" i="4"/>
  <c r="L502" i="4"/>
  <c r="M502" i="4"/>
  <c r="N502" i="4"/>
  <c r="O502" i="4"/>
  <c r="I503" i="4"/>
  <c r="J503" i="4"/>
  <c r="L503" i="4"/>
  <c r="M503" i="4"/>
  <c r="N503" i="4"/>
  <c r="O503" i="4"/>
  <c r="I504" i="4"/>
  <c r="J504" i="4"/>
  <c r="L504" i="4"/>
  <c r="M504" i="4"/>
  <c r="N504" i="4"/>
  <c r="O504" i="4"/>
  <c r="I505" i="4"/>
  <c r="J505" i="4"/>
  <c r="L505" i="4"/>
  <c r="M505" i="4"/>
  <c r="N505" i="4"/>
  <c r="O505" i="4"/>
  <c r="I506" i="4"/>
  <c r="J506" i="4"/>
  <c r="L506" i="4"/>
  <c r="M506" i="4"/>
  <c r="N506" i="4"/>
  <c r="O506" i="4"/>
  <c r="I507" i="4"/>
  <c r="J507" i="4"/>
  <c r="L507" i="4"/>
  <c r="M507" i="4"/>
  <c r="N507" i="4"/>
  <c r="O507" i="4"/>
  <c r="I508" i="4"/>
  <c r="J508" i="4"/>
  <c r="L508" i="4"/>
  <c r="M508" i="4"/>
  <c r="N508" i="4"/>
  <c r="O508" i="4"/>
  <c r="I509" i="4"/>
  <c r="J509" i="4"/>
  <c r="L509" i="4"/>
  <c r="M509" i="4"/>
  <c r="N509" i="4"/>
  <c r="O509" i="4"/>
  <c r="I510" i="4"/>
  <c r="J510" i="4"/>
  <c r="L510" i="4"/>
  <c r="M510" i="4"/>
  <c r="N510" i="4"/>
  <c r="O510" i="4"/>
  <c r="I511" i="4"/>
  <c r="J511" i="4"/>
  <c r="L511" i="4"/>
  <c r="M511" i="4"/>
  <c r="N511" i="4"/>
  <c r="O511" i="4"/>
  <c r="I512" i="4"/>
  <c r="J512" i="4"/>
  <c r="L512" i="4"/>
  <c r="M512" i="4"/>
  <c r="N512" i="4"/>
  <c r="O512" i="4"/>
  <c r="I513" i="4"/>
  <c r="J513" i="4"/>
  <c r="L513" i="4"/>
  <c r="M513" i="4"/>
  <c r="N513" i="4"/>
  <c r="O513" i="4"/>
  <c r="I514" i="4"/>
  <c r="J514" i="4"/>
  <c r="L514" i="4"/>
  <c r="M514" i="4"/>
  <c r="N514" i="4"/>
  <c r="O514" i="4"/>
  <c r="I515" i="4"/>
  <c r="J515" i="4"/>
  <c r="L515" i="4"/>
  <c r="M515" i="4"/>
  <c r="N515" i="4"/>
  <c r="O515" i="4"/>
  <c r="I516" i="4"/>
  <c r="J516" i="4"/>
  <c r="L516" i="4"/>
  <c r="M516" i="4"/>
  <c r="N516" i="4"/>
  <c r="O516" i="4"/>
  <c r="I517" i="4"/>
  <c r="J517" i="4"/>
  <c r="L517" i="4"/>
  <c r="M517" i="4"/>
  <c r="N517" i="4"/>
  <c r="O517" i="4"/>
  <c r="I518" i="4"/>
  <c r="J518" i="4"/>
  <c r="L518" i="4"/>
  <c r="M518" i="4"/>
  <c r="N518" i="4"/>
  <c r="O518" i="4"/>
  <c r="I519" i="4"/>
  <c r="J519" i="4"/>
  <c r="L519" i="4"/>
  <c r="M519" i="4"/>
  <c r="N519" i="4"/>
  <c r="O519" i="4"/>
  <c r="I520" i="4"/>
  <c r="J520" i="4"/>
  <c r="L520" i="4"/>
  <c r="M520" i="4"/>
  <c r="N520" i="4"/>
  <c r="O520" i="4"/>
  <c r="I521" i="4"/>
  <c r="J521" i="4"/>
  <c r="L521" i="4"/>
  <c r="M521" i="4"/>
  <c r="N521" i="4"/>
  <c r="O521" i="4"/>
  <c r="I522" i="4"/>
  <c r="J522" i="4"/>
  <c r="L522" i="4"/>
  <c r="M522" i="4"/>
  <c r="N522" i="4"/>
  <c r="O522" i="4"/>
  <c r="I523" i="4"/>
  <c r="J523" i="4"/>
  <c r="L523" i="4"/>
  <c r="M523" i="4"/>
  <c r="N523" i="4"/>
  <c r="O523" i="4"/>
  <c r="I524" i="4"/>
  <c r="J524" i="4"/>
  <c r="L524" i="4"/>
  <c r="M524" i="4"/>
  <c r="N524" i="4"/>
  <c r="O524" i="4"/>
  <c r="I525" i="4"/>
  <c r="J525" i="4"/>
  <c r="L525" i="4"/>
  <c r="M525" i="4"/>
  <c r="N525" i="4"/>
  <c r="O525" i="4"/>
  <c r="I526" i="4"/>
  <c r="J526" i="4"/>
  <c r="L526" i="4"/>
  <c r="M526" i="4"/>
  <c r="N526" i="4"/>
  <c r="O526" i="4"/>
  <c r="I527" i="4"/>
  <c r="J527" i="4"/>
  <c r="L527" i="4"/>
  <c r="M527" i="4"/>
  <c r="N527" i="4"/>
  <c r="O527" i="4"/>
  <c r="I528" i="4"/>
  <c r="J528" i="4"/>
  <c r="L528" i="4"/>
  <c r="M528" i="4"/>
  <c r="N528" i="4"/>
  <c r="O528" i="4"/>
  <c r="I529" i="4"/>
  <c r="J529" i="4"/>
  <c r="L529" i="4"/>
  <c r="M529" i="4"/>
  <c r="N529" i="4"/>
  <c r="O529" i="4"/>
  <c r="I530" i="4"/>
  <c r="J530" i="4"/>
  <c r="L530" i="4"/>
  <c r="M530" i="4"/>
  <c r="N530" i="4"/>
  <c r="O530" i="4"/>
  <c r="I531" i="4"/>
  <c r="J531" i="4"/>
  <c r="L531" i="4"/>
  <c r="M531" i="4"/>
  <c r="N531" i="4"/>
  <c r="O531" i="4"/>
  <c r="I532" i="4"/>
  <c r="J532" i="4"/>
  <c r="L532" i="4"/>
  <c r="M532" i="4"/>
  <c r="N532" i="4"/>
  <c r="O532" i="4"/>
  <c r="I533" i="4"/>
  <c r="J533" i="4"/>
  <c r="L533" i="4"/>
  <c r="M533" i="4"/>
  <c r="N533" i="4"/>
  <c r="O533" i="4"/>
  <c r="I534" i="4"/>
  <c r="J534" i="4"/>
  <c r="L534" i="4"/>
  <c r="M534" i="4"/>
  <c r="N534" i="4"/>
  <c r="O534" i="4"/>
  <c r="I535" i="4"/>
  <c r="J535" i="4"/>
  <c r="L535" i="4"/>
  <c r="M535" i="4"/>
  <c r="N535" i="4"/>
  <c r="O535" i="4"/>
  <c r="I536" i="4"/>
  <c r="J536" i="4"/>
  <c r="L536" i="4"/>
  <c r="M536" i="4"/>
  <c r="N536" i="4"/>
  <c r="O536" i="4"/>
  <c r="I537" i="4"/>
  <c r="J537" i="4"/>
  <c r="L537" i="4"/>
  <c r="M537" i="4"/>
  <c r="N537" i="4"/>
  <c r="O537" i="4"/>
  <c r="I538" i="4"/>
  <c r="J538" i="4"/>
  <c r="L538" i="4"/>
  <c r="M538" i="4"/>
  <c r="N538" i="4"/>
  <c r="O538" i="4"/>
  <c r="I539" i="4"/>
  <c r="J539" i="4"/>
  <c r="L539" i="4"/>
  <c r="M539" i="4"/>
  <c r="N539" i="4"/>
  <c r="O539" i="4"/>
  <c r="I540" i="4"/>
  <c r="J540" i="4"/>
  <c r="L540" i="4"/>
  <c r="M540" i="4"/>
  <c r="N540" i="4"/>
  <c r="O540" i="4"/>
  <c r="I541" i="4"/>
  <c r="J541" i="4"/>
  <c r="L541" i="4"/>
  <c r="M541" i="4"/>
  <c r="N541" i="4"/>
  <c r="O541" i="4"/>
  <c r="I542" i="4"/>
  <c r="J542" i="4"/>
  <c r="L542" i="4"/>
  <c r="M542" i="4"/>
  <c r="N542" i="4"/>
  <c r="O542" i="4"/>
  <c r="I543" i="4"/>
  <c r="J543" i="4"/>
  <c r="L543" i="4"/>
  <c r="M543" i="4"/>
  <c r="N543" i="4"/>
  <c r="O543" i="4"/>
  <c r="I544" i="4"/>
  <c r="J544" i="4"/>
  <c r="L544" i="4"/>
  <c r="M544" i="4"/>
  <c r="N544" i="4"/>
  <c r="O544" i="4"/>
  <c r="I545" i="4"/>
  <c r="J545" i="4"/>
  <c r="L545" i="4"/>
  <c r="M545" i="4"/>
  <c r="N545" i="4"/>
  <c r="O545" i="4"/>
  <c r="I546" i="4"/>
  <c r="J546" i="4"/>
  <c r="L546" i="4"/>
  <c r="M546" i="4"/>
  <c r="N546" i="4"/>
  <c r="O546" i="4"/>
  <c r="I547" i="4"/>
  <c r="J547" i="4"/>
  <c r="L547" i="4"/>
  <c r="M547" i="4"/>
  <c r="N547" i="4"/>
  <c r="O547" i="4"/>
  <c r="I548" i="4"/>
  <c r="J548" i="4"/>
  <c r="L548" i="4"/>
  <c r="M548" i="4"/>
  <c r="N548" i="4"/>
  <c r="O548" i="4"/>
  <c r="I549" i="4"/>
  <c r="J549" i="4"/>
  <c r="L549" i="4"/>
  <c r="M549" i="4"/>
  <c r="N549" i="4"/>
  <c r="O549" i="4"/>
  <c r="I550" i="4"/>
  <c r="J550" i="4"/>
  <c r="L550" i="4"/>
  <c r="M550" i="4"/>
  <c r="N550" i="4"/>
  <c r="O550" i="4"/>
  <c r="I551" i="4"/>
  <c r="J551" i="4"/>
  <c r="L551" i="4"/>
  <c r="M551" i="4"/>
  <c r="N551" i="4"/>
  <c r="O551" i="4"/>
  <c r="I552" i="4"/>
  <c r="J552" i="4"/>
  <c r="L552" i="4"/>
  <c r="M552" i="4"/>
  <c r="N552" i="4"/>
  <c r="O552" i="4"/>
  <c r="I553" i="4"/>
  <c r="J553" i="4"/>
  <c r="L553" i="4"/>
  <c r="M553" i="4"/>
  <c r="N553" i="4"/>
  <c r="O553" i="4"/>
  <c r="I554" i="4"/>
  <c r="J554" i="4"/>
  <c r="L554" i="4"/>
  <c r="M554" i="4"/>
  <c r="N554" i="4"/>
  <c r="O554" i="4"/>
  <c r="I555" i="4"/>
  <c r="J555" i="4"/>
  <c r="L555" i="4"/>
  <c r="M555" i="4"/>
  <c r="N555" i="4"/>
  <c r="O555" i="4"/>
  <c r="I556" i="4"/>
  <c r="J556" i="4"/>
  <c r="L556" i="4"/>
  <c r="M556" i="4"/>
  <c r="N556" i="4"/>
  <c r="O556" i="4"/>
  <c r="I557" i="4"/>
  <c r="J557" i="4"/>
  <c r="L557" i="4"/>
  <c r="M557" i="4"/>
  <c r="N557" i="4"/>
  <c r="O557" i="4"/>
  <c r="I558" i="4"/>
  <c r="J558" i="4"/>
  <c r="L558" i="4"/>
  <c r="M558" i="4"/>
  <c r="N558" i="4"/>
  <c r="O558" i="4"/>
  <c r="I559" i="4"/>
  <c r="J559" i="4"/>
  <c r="L559" i="4"/>
  <c r="M559" i="4"/>
  <c r="N559" i="4"/>
  <c r="O559" i="4"/>
  <c r="I560" i="4"/>
  <c r="J560" i="4"/>
  <c r="L560" i="4"/>
  <c r="M560" i="4"/>
  <c r="N560" i="4"/>
  <c r="O560" i="4"/>
  <c r="I561" i="4"/>
  <c r="J561" i="4"/>
  <c r="L561" i="4"/>
  <c r="M561" i="4"/>
  <c r="N561" i="4"/>
  <c r="O561" i="4"/>
  <c r="I562" i="4"/>
  <c r="J562" i="4"/>
  <c r="L562" i="4"/>
  <c r="M562" i="4"/>
  <c r="N562" i="4"/>
  <c r="O562" i="4"/>
  <c r="I563" i="4"/>
  <c r="J563" i="4"/>
  <c r="L563" i="4"/>
  <c r="M563" i="4"/>
  <c r="N563" i="4"/>
  <c r="O563" i="4"/>
  <c r="I564" i="4"/>
  <c r="J564" i="4"/>
  <c r="L564" i="4"/>
  <c r="M564" i="4"/>
  <c r="N564" i="4"/>
  <c r="O564" i="4"/>
  <c r="I565" i="4"/>
  <c r="J565" i="4"/>
  <c r="L565" i="4"/>
  <c r="M565" i="4"/>
  <c r="N565" i="4"/>
  <c r="O565" i="4"/>
  <c r="I566" i="4"/>
  <c r="J566" i="4"/>
  <c r="L566" i="4"/>
  <c r="M566" i="4"/>
  <c r="N566" i="4"/>
  <c r="O566" i="4"/>
  <c r="I567" i="4"/>
  <c r="J567" i="4"/>
  <c r="L567" i="4"/>
  <c r="M567" i="4"/>
  <c r="N567" i="4"/>
  <c r="O567" i="4"/>
  <c r="I568" i="4"/>
  <c r="J568" i="4"/>
  <c r="L568" i="4"/>
  <c r="M568" i="4"/>
  <c r="N568" i="4"/>
  <c r="O568" i="4"/>
  <c r="I569" i="4"/>
  <c r="J569" i="4"/>
  <c r="L569" i="4"/>
  <c r="M569" i="4"/>
  <c r="N569" i="4"/>
  <c r="O569" i="4"/>
  <c r="I570" i="4"/>
  <c r="J570" i="4"/>
  <c r="L570" i="4"/>
  <c r="M570" i="4"/>
  <c r="N570" i="4"/>
  <c r="O570" i="4"/>
  <c r="I571" i="4"/>
  <c r="J571" i="4"/>
  <c r="L571" i="4"/>
  <c r="M571" i="4"/>
  <c r="N571" i="4"/>
  <c r="O571" i="4"/>
  <c r="I572" i="4"/>
  <c r="J572" i="4"/>
  <c r="L572" i="4"/>
  <c r="M572" i="4"/>
  <c r="N572" i="4"/>
  <c r="O572" i="4"/>
  <c r="I573" i="4"/>
  <c r="J573" i="4"/>
  <c r="L573" i="4"/>
  <c r="M573" i="4"/>
  <c r="N573" i="4"/>
  <c r="O573" i="4"/>
  <c r="I574" i="4"/>
  <c r="J574" i="4"/>
  <c r="L574" i="4"/>
  <c r="M574" i="4"/>
  <c r="N574" i="4"/>
  <c r="O574" i="4"/>
  <c r="I575" i="4"/>
  <c r="J575" i="4"/>
  <c r="L575" i="4"/>
  <c r="M575" i="4"/>
  <c r="N575" i="4"/>
  <c r="O575" i="4"/>
  <c r="I576" i="4"/>
  <c r="J576" i="4"/>
  <c r="L576" i="4"/>
  <c r="M576" i="4"/>
  <c r="N576" i="4"/>
  <c r="O576" i="4"/>
  <c r="I577" i="4"/>
  <c r="J577" i="4"/>
  <c r="L577" i="4"/>
  <c r="M577" i="4"/>
  <c r="N577" i="4"/>
  <c r="O577" i="4"/>
  <c r="I578" i="4"/>
  <c r="J578" i="4"/>
  <c r="L578" i="4"/>
  <c r="M578" i="4"/>
  <c r="N578" i="4"/>
  <c r="O578" i="4"/>
  <c r="I579" i="4"/>
  <c r="J579" i="4"/>
  <c r="L579" i="4"/>
  <c r="M579" i="4"/>
  <c r="N579" i="4"/>
  <c r="O579" i="4"/>
  <c r="I580" i="4"/>
  <c r="J580" i="4"/>
  <c r="L580" i="4"/>
  <c r="M580" i="4"/>
  <c r="N580" i="4"/>
  <c r="O580" i="4"/>
  <c r="I581" i="4"/>
  <c r="J581" i="4"/>
  <c r="L581" i="4"/>
  <c r="M581" i="4"/>
  <c r="N581" i="4"/>
  <c r="O581" i="4"/>
  <c r="I582" i="4"/>
  <c r="J582" i="4"/>
  <c r="L582" i="4"/>
  <c r="M582" i="4"/>
  <c r="N582" i="4"/>
  <c r="O582" i="4"/>
  <c r="I583" i="4"/>
  <c r="J583" i="4"/>
  <c r="L583" i="4"/>
  <c r="M583" i="4"/>
  <c r="N583" i="4"/>
  <c r="O583" i="4"/>
  <c r="I584" i="4"/>
  <c r="J584" i="4"/>
  <c r="L584" i="4"/>
  <c r="M584" i="4"/>
  <c r="N584" i="4"/>
  <c r="O584" i="4"/>
  <c r="I585" i="4"/>
  <c r="J585" i="4"/>
  <c r="L585" i="4"/>
  <c r="M585" i="4"/>
  <c r="N585" i="4"/>
  <c r="O585" i="4"/>
  <c r="I586" i="4"/>
  <c r="J586" i="4"/>
  <c r="L586" i="4"/>
  <c r="M586" i="4"/>
  <c r="N586" i="4"/>
  <c r="O586" i="4"/>
  <c r="I587" i="4"/>
  <c r="J587" i="4"/>
  <c r="L587" i="4"/>
  <c r="M587" i="4"/>
  <c r="N587" i="4"/>
  <c r="O587" i="4"/>
  <c r="I588" i="4"/>
  <c r="J588" i="4"/>
  <c r="L588" i="4"/>
  <c r="M588" i="4"/>
  <c r="N588" i="4"/>
  <c r="O588" i="4"/>
  <c r="I589" i="4"/>
  <c r="J589" i="4"/>
  <c r="L589" i="4"/>
  <c r="M589" i="4"/>
  <c r="N589" i="4"/>
  <c r="O589" i="4"/>
  <c r="I590" i="4"/>
  <c r="J590" i="4"/>
  <c r="L590" i="4"/>
  <c r="M590" i="4"/>
  <c r="N590" i="4"/>
  <c r="O590" i="4"/>
  <c r="I591" i="4"/>
  <c r="J591" i="4"/>
  <c r="L591" i="4"/>
  <c r="M591" i="4"/>
  <c r="N591" i="4"/>
  <c r="O591" i="4"/>
  <c r="I592" i="4"/>
  <c r="J592" i="4"/>
  <c r="L592" i="4"/>
  <c r="M592" i="4"/>
  <c r="N592" i="4"/>
  <c r="O592" i="4"/>
  <c r="I593" i="4"/>
  <c r="J593" i="4"/>
  <c r="L593" i="4"/>
  <c r="M593" i="4"/>
  <c r="N593" i="4"/>
  <c r="O593" i="4"/>
  <c r="I594" i="4"/>
  <c r="J594" i="4"/>
  <c r="L594" i="4"/>
  <c r="M594" i="4"/>
  <c r="N594" i="4"/>
  <c r="O594" i="4"/>
  <c r="I595" i="4"/>
  <c r="J595" i="4"/>
  <c r="L595" i="4"/>
  <c r="M595" i="4"/>
  <c r="N595" i="4"/>
  <c r="O595" i="4"/>
  <c r="I596" i="4"/>
  <c r="J596" i="4"/>
  <c r="L596" i="4"/>
  <c r="M596" i="4"/>
  <c r="N596" i="4"/>
  <c r="O596" i="4"/>
  <c r="I597" i="4"/>
  <c r="J597" i="4"/>
  <c r="L597" i="4"/>
  <c r="M597" i="4"/>
  <c r="N597" i="4"/>
  <c r="O597" i="4"/>
  <c r="I598" i="4"/>
  <c r="J598" i="4"/>
  <c r="L598" i="4"/>
  <c r="M598" i="4"/>
  <c r="N598" i="4"/>
  <c r="O598" i="4"/>
  <c r="I599" i="4"/>
  <c r="J599" i="4"/>
  <c r="L599" i="4"/>
  <c r="M599" i="4"/>
  <c r="N599" i="4"/>
  <c r="O599" i="4"/>
  <c r="I600" i="4"/>
  <c r="J600" i="4"/>
  <c r="L600" i="4"/>
  <c r="M600" i="4"/>
  <c r="N600" i="4"/>
  <c r="O600" i="4"/>
  <c r="I601" i="4"/>
  <c r="J601" i="4"/>
  <c r="L601" i="4"/>
  <c r="M601" i="4"/>
  <c r="N601" i="4"/>
  <c r="O601" i="4"/>
  <c r="I602" i="4"/>
  <c r="J602" i="4"/>
  <c r="L602" i="4"/>
  <c r="M602" i="4"/>
  <c r="N602" i="4"/>
  <c r="O602" i="4"/>
  <c r="I603" i="4"/>
  <c r="J603" i="4"/>
  <c r="L603" i="4"/>
  <c r="M603" i="4"/>
  <c r="N603" i="4"/>
  <c r="O603" i="4"/>
  <c r="I604" i="4"/>
  <c r="J604" i="4"/>
  <c r="L604" i="4"/>
  <c r="M604" i="4"/>
  <c r="N604" i="4"/>
  <c r="O604" i="4"/>
  <c r="I605" i="4"/>
  <c r="J605" i="4"/>
  <c r="L605" i="4"/>
  <c r="M605" i="4"/>
  <c r="N605" i="4"/>
  <c r="O605" i="4"/>
  <c r="I606" i="4"/>
  <c r="J606" i="4"/>
  <c r="L606" i="4"/>
  <c r="M606" i="4"/>
  <c r="N606" i="4"/>
  <c r="O606" i="4"/>
  <c r="I607" i="4"/>
  <c r="J607" i="4"/>
  <c r="L607" i="4"/>
  <c r="M607" i="4"/>
  <c r="N607" i="4"/>
  <c r="O607" i="4"/>
  <c r="I608" i="4"/>
  <c r="J608" i="4"/>
  <c r="L608" i="4"/>
  <c r="M608" i="4"/>
  <c r="N608" i="4"/>
  <c r="O608" i="4"/>
  <c r="I609" i="4"/>
  <c r="J609" i="4"/>
  <c r="L609" i="4"/>
  <c r="M609" i="4"/>
  <c r="N609" i="4"/>
  <c r="O609" i="4"/>
  <c r="I610" i="4"/>
  <c r="J610" i="4"/>
  <c r="L610" i="4"/>
  <c r="M610" i="4"/>
  <c r="N610" i="4"/>
  <c r="O610" i="4"/>
  <c r="I611" i="4"/>
  <c r="J611" i="4"/>
  <c r="L611" i="4"/>
  <c r="M611" i="4"/>
  <c r="N611" i="4"/>
  <c r="O611" i="4"/>
  <c r="I612" i="4"/>
  <c r="J612" i="4"/>
  <c r="L612" i="4"/>
  <c r="M612" i="4"/>
  <c r="N612" i="4"/>
  <c r="O612" i="4"/>
  <c r="I613" i="4"/>
  <c r="J613" i="4"/>
  <c r="L613" i="4"/>
  <c r="M613" i="4"/>
  <c r="N613" i="4"/>
  <c r="O613" i="4"/>
  <c r="I614" i="4"/>
  <c r="J614" i="4"/>
  <c r="L614" i="4"/>
  <c r="M614" i="4"/>
  <c r="N614" i="4"/>
  <c r="O614" i="4"/>
  <c r="I615" i="4"/>
  <c r="J615" i="4"/>
  <c r="L615" i="4"/>
  <c r="M615" i="4"/>
  <c r="N615" i="4"/>
  <c r="O615" i="4"/>
  <c r="I616" i="4"/>
  <c r="J616" i="4"/>
  <c r="L616" i="4"/>
  <c r="M616" i="4"/>
  <c r="N616" i="4"/>
  <c r="O616" i="4"/>
  <c r="I617" i="4"/>
  <c r="J617" i="4"/>
  <c r="L617" i="4"/>
  <c r="M617" i="4"/>
  <c r="N617" i="4"/>
  <c r="O617" i="4"/>
  <c r="I618" i="4"/>
  <c r="J618" i="4"/>
  <c r="L618" i="4"/>
  <c r="M618" i="4"/>
  <c r="N618" i="4"/>
  <c r="O618" i="4"/>
  <c r="I619" i="4"/>
  <c r="J619" i="4"/>
  <c r="L619" i="4"/>
  <c r="M619" i="4"/>
  <c r="N619" i="4"/>
  <c r="O619" i="4"/>
  <c r="I620" i="4"/>
  <c r="J620" i="4"/>
  <c r="L620" i="4"/>
  <c r="M620" i="4"/>
  <c r="N620" i="4"/>
  <c r="O620" i="4"/>
  <c r="I621" i="4"/>
  <c r="J621" i="4"/>
  <c r="L621" i="4"/>
  <c r="M621" i="4"/>
  <c r="N621" i="4"/>
  <c r="O621" i="4"/>
  <c r="I622" i="4"/>
  <c r="J622" i="4"/>
  <c r="L622" i="4"/>
  <c r="M622" i="4"/>
  <c r="N622" i="4"/>
  <c r="O622" i="4"/>
  <c r="I623" i="4"/>
  <c r="J623" i="4"/>
  <c r="L623" i="4"/>
  <c r="M623" i="4"/>
  <c r="N623" i="4"/>
  <c r="O623" i="4"/>
  <c r="I624" i="4"/>
  <c r="J624" i="4"/>
  <c r="L624" i="4"/>
  <c r="M624" i="4"/>
  <c r="N624" i="4"/>
  <c r="O624" i="4"/>
  <c r="I625" i="4"/>
  <c r="J625" i="4"/>
  <c r="L625" i="4"/>
  <c r="M625" i="4"/>
  <c r="N625" i="4"/>
  <c r="O625" i="4"/>
  <c r="I626" i="4"/>
  <c r="J626" i="4"/>
  <c r="L626" i="4"/>
  <c r="M626" i="4"/>
  <c r="N626" i="4"/>
  <c r="O626" i="4"/>
  <c r="I627" i="4"/>
  <c r="J627" i="4"/>
  <c r="L627" i="4"/>
  <c r="M627" i="4"/>
  <c r="N627" i="4"/>
  <c r="O627" i="4"/>
  <c r="I628" i="4"/>
  <c r="J628" i="4"/>
  <c r="L628" i="4"/>
  <c r="M628" i="4"/>
  <c r="N628" i="4"/>
  <c r="O628" i="4"/>
  <c r="I629" i="4"/>
  <c r="J629" i="4"/>
  <c r="L629" i="4"/>
  <c r="M629" i="4"/>
  <c r="N629" i="4"/>
  <c r="O629" i="4"/>
  <c r="I630" i="4"/>
  <c r="J630" i="4"/>
  <c r="L630" i="4"/>
  <c r="M630" i="4"/>
  <c r="N630" i="4"/>
  <c r="O630" i="4"/>
  <c r="I631" i="4"/>
  <c r="J631" i="4"/>
  <c r="L631" i="4"/>
  <c r="M631" i="4"/>
  <c r="N631" i="4"/>
  <c r="O631" i="4"/>
  <c r="I632" i="4"/>
  <c r="J632" i="4"/>
  <c r="L632" i="4"/>
  <c r="M632" i="4"/>
  <c r="N632" i="4"/>
  <c r="O632" i="4"/>
  <c r="I633" i="4"/>
  <c r="J633" i="4"/>
  <c r="L633" i="4"/>
  <c r="M633" i="4"/>
  <c r="N633" i="4"/>
  <c r="O633" i="4"/>
  <c r="I634" i="4"/>
  <c r="J634" i="4"/>
  <c r="L634" i="4"/>
  <c r="M634" i="4"/>
  <c r="N634" i="4"/>
  <c r="O634" i="4"/>
  <c r="I635" i="4"/>
  <c r="J635" i="4"/>
  <c r="L635" i="4"/>
  <c r="M635" i="4"/>
  <c r="N635" i="4"/>
  <c r="O635" i="4"/>
  <c r="I636" i="4"/>
  <c r="J636" i="4"/>
  <c r="L636" i="4"/>
  <c r="M636" i="4"/>
  <c r="N636" i="4"/>
  <c r="O636" i="4"/>
  <c r="I637" i="4"/>
  <c r="J637" i="4"/>
  <c r="L637" i="4"/>
  <c r="M637" i="4"/>
  <c r="N637" i="4"/>
  <c r="O637" i="4"/>
  <c r="I638" i="4"/>
  <c r="J638" i="4"/>
  <c r="L638" i="4"/>
  <c r="M638" i="4"/>
  <c r="N638" i="4"/>
  <c r="O638" i="4"/>
  <c r="I639" i="4"/>
  <c r="J639" i="4"/>
  <c r="L639" i="4"/>
  <c r="M639" i="4"/>
  <c r="N639" i="4"/>
  <c r="O639" i="4"/>
  <c r="I640" i="4"/>
  <c r="J640" i="4"/>
  <c r="L640" i="4"/>
  <c r="M640" i="4"/>
  <c r="N640" i="4"/>
  <c r="O640" i="4"/>
  <c r="I641" i="4"/>
  <c r="J641" i="4"/>
  <c r="L641" i="4"/>
  <c r="M641" i="4"/>
  <c r="N641" i="4"/>
  <c r="O641" i="4"/>
  <c r="I642" i="4"/>
  <c r="J642" i="4"/>
  <c r="L642" i="4"/>
  <c r="M642" i="4"/>
  <c r="N642" i="4"/>
  <c r="O642" i="4"/>
  <c r="I643" i="4"/>
  <c r="J643" i="4"/>
  <c r="L643" i="4"/>
  <c r="M643" i="4"/>
  <c r="N643" i="4"/>
  <c r="O643" i="4"/>
  <c r="I644" i="4"/>
  <c r="J644" i="4"/>
  <c r="L644" i="4"/>
  <c r="M644" i="4"/>
  <c r="N644" i="4"/>
  <c r="O644" i="4"/>
  <c r="I645" i="4"/>
  <c r="J645" i="4"/>
  <c r="L645" i="4"/>
  <c r="M645" i="4"/>
  <c r="N645" i="4"/>
  <c r="O645" i="4"/>
  <c r="I646" i="4"/>
  <c r="J646" i="4"/>
  <c r="L646" i="4"/>
  <c r="M646" i="4"/>
  <c r="N646" i="4"/>
  <c r="O646" i="4"/>
  <c r="I647" i="4"/>
  <c r="J647" i="4"/>
  <c r="L647" i="4"/>
  <c r="M647" i="4"/>
  <c r="N647" i="4"/>
  <c r="O647" i="4"/>
  <c r="I648" i="4"/>
  <c r="J648" i="4"/>
  <c r="L648" i="4"/>
  <c r="M648" i="4"/>
  <c r="N648" i="4"/>
  <c r="O648" i="4"/>
  <c r="I649" i="4"/>
  <c r="J649" i="4"/>
  <c r="L649" i="4"/>
  <c r="M649" i="4"/>
  <c r="N649" i="4"/>
  <c r="O649" i="4"/>
  <c r="I650" i="4"/>
  <c r="J650" i="4"/>
  <c r="L650" i="4"/>
  <c r="M650" i="4"/>
  <c r="N650" i="4"/>
  <c r="O650" i="4"/>
  <c r="I651" i="4"/>
  <c r="J651" i="4"/>
  <c r="L651" i="4"/>
  <c r="M651" i="4"/>
  <c r="N651" i="4"/>
  <c r="O651" i="4"/>
  <c r="I652" i="4"/>
  <c r="J652" i="4"/>
  <c r="L652" i="4"/>
  <c r="M652" i="4"/>
  <c r="N652" i="4"/>
  <c r="O652" i="4"/>
  <c r="I653" i="4"/>
  <c r="J653" i="4"/>
  <c r="L653" i="4"/>
  <c r="M653" i="4"/>
  <c r="N653" i="4"/>
  <c r="O653" i="4"/>
  <c r="I654" i="4"/>
  <c r="J654" i="4"/>
  <c r="L654" i="4"/>
  <c r="M654" i="4"/>
  <c r="N654" i="4"/>
  <c r="O654" i="4"/>
  <c r="I655" i="4"/>
  <c r="J655" i="4"/>
  <c r="L655" i="4"/>
  <c r="M655" i="4"/>
  <c r="N655" i="4"/>
  <c r="O655" i="4"/>
  <c r="I656" i="4"/>
  <c r="J656" i="4"/>
  <c r="L656" i="4"/>
  <c r="M656" i="4"/>
  <c r="N656" i="4"/>
  <c r="O656" i="4"/>
  <c r="I657" i="4"/>
  <c r="J657" i="4"/>
  <c r="L657" i="4"/>
  <c r="M657" i="4"/>
  <c r="N657" i="4"/>
  <c r="O657" i="4"/>
  <c r="I658" i="4"/>
  <c r="J658" i="4"/>
  <c r="L658" i="4"/>
  <c r="M658" i="4"/>
  <c r="N658" i="4"/>
  <c r="O658" i="4"/>
  <c r="I659" i="4"/>
  <c r="J659" i="4"/>
  <c r="L659" i="4"/>
  <c r="M659" i="4"/>
  <c r="N659" i="4"/>
  <c r="O659" i="4"/>
  <c r="I660" i="4"/>
  <c r="J660" i="4"/>
  <c r="L660" i="4"/>
  <c r="M660" i="4"/>
  <c r="N660" i="4"/>
  <c r="O660" i="4"/>
  <c r="I661" i="4"/>
  <c r="J661" i="4"/>
  <c r="L661" i="4"/>
  <c r="M661" i="4"/>
  <c r="N661" i="4"/>
  <c r="O661" i="4"/>
  <c r="I662" i="4"/>
  <c r="J662" i="4"/>
  <c r="L662" i="4"/>
  <c r="M662" i="4"/>
  <c r="N662" i="4"/>
  <c r="O662" i="4"/>
  <c r="I663" i="4"/>
  <c r="J663" i="4"/>
  <c r="L663" i="4"/>
  <c r="M663" i="4"/>
  <c r="N663" i="4"/>
  <c r="O663" i="4"/>
  <c r="I664" i="4"/>
  <c r="J664" i="4"/>
  <c r="L664" i="4"/>
  <c r="M664" i="4"/>
  <c r="N664" i="4"/>
  <c r="O664" i="4"/>
  <c r="I665" i="4"/>
  <c r="J665" i="4"/>
  <c r="L665" i="4"/>
  <c r="M665" i="4"/>
  <c r="N665" i="4"/>
  <c r="O665" i="4"/>
  <c r="I666" i="4"/>
  <c r="J666" i="4"/>
  <c r="L666" i="4"/>
  <c r="M666" i="4"/>
  <c r="N666" i="4"/>
  <c r="O666" i="4"/>
  <c r="I667" i="4"/>
  <c r="J667" i="4"/>
  <c r="L667" i="4"/>
  <c r="M667" i="4"/>
  <c r="N667" i="4"/>
  <c r="O667" i="4"/>
  <c r="I668" i="4"/>
  <c r="J668" i="4"/>
  <c r="L668" i="4"/>
  <c r="M668" i="4"/>
  <c r="N668" i="4"/>
  <c r="O668" i="4"/>
  <c r="I669" i="4"/>
  <c r="J669" i="4"/>
  <c r="L669" i="4"/>
  <c r="M669" i="4"/>
  <c r="N669" i="4"/>
  <c r="O669" i="4"/>
  <c r="I670" i="4"/>
  <c r="J670" i="4"/>
  <c r="L670" i="4"/>
  <c r="M670" i="4"/>
  <c r="N670" i="4"/>
  <c r="O670" i="4"/>
  <c r="I671" i="4"/>
  <c r="J671" i="4"/>
  <c r="L671" i="4"/>
  <c r="M671" i="4"/>
  <c r="N671" i="4"/>
  <c r="O671" i="4"/>
  <c r="I672" i="4"/>
  <c r="J672" i="4"/>
  <c r="L672" i="4"/>
  <c r="M672" i="4"/>
  <c r="N672" i="4"/>
  <c r="O672" i="4"/>
  <c r="I673" i="4"/>
  <c r="J673" i="4"/>
  <c r="L673" i="4"/>
  <c r="M673" i="4"/>
  <c r="N673" i="4"/>
  <c r="O673" i="4"/>
  <c r="I674" i="4"/>
  <c r="J674" i="4"/>
  <c r="L674" i="4"/>
  <c r="M674" i="4"/>
  <c r="N674" i="4"/>
  <c r="O674" i="4"/>
  <c r="I675" i="4"/>
  <c r="J675" i="4"/>
  <c r="L675" i="4"/>
  <c r="M675" i="4"/>
  <c r="N675" i="4"/>
  <c r="O675" i="4"/>
  <c r="I676" i="4"/>
  <c r="J676" i="4"/>
  <c r="L676" i="4"/>
  <c r="M676" i="4"/>
  <c r="N676" i="4"/>
  <c r="O676" i="4"/>
  <c r="I677" i="4"/>
  <c r="J677" i="4"/>
  <c r="L677" i="4"/>
  <c r="M677" i="4"/>
  <c r="N677" i="4"/>
  <c r="O677" i="4"/>
  <c r="I678" i="4"/>
  <c r="J678" i="4"/>
  <c r="L678" i="4"/>
  <c r="M678" i="4"/>
  <c r="N678" i="4"/>
  <c r="O678" i="4"/>
  <c r="I679" i="4"/>
  <c r="J679" i="4"/>
  <c r="L679" i="4"/>
  <c r="M679" i="4"/>
  <c r="N679" i="4"/>
  <c r="O679" i="4"/>
  <c r="I680" i="4"/>
  <c r="J680" i="4"/>
  <c r="L680" i="4"/>
  <c r="M680" i="4"/>
  <c r="N680" i="4"/>
  <c r="O680" i="4"/>
  <c r="I681" i="4"/>
  <c r="J681" i="4"/>
  <c r="L681" i="4"/>
  <c r="M681" i="4"/>
  <c r="N681" i="4"/>
  <c r="O681" i="4"/>
  <c r="I682" i="4"/>
  <c r="J682" i="4"/>
  <c r="L682" i="4"/>
  <c r="M682" i="4"/>
  <c r="N682" i="4"/>
  <c r="O682" i="4"/>
  <c r="I683" i="4"/>
  <c r="J683" i="4"/>
  <c r="L683" i="4"/>
  <c r="M683" i="4"/>
  <c r="N683" i="4"/>
  <c r="O683" i="4"/>
  <c r="I684" i="4"/>
  <c r="J684" i="4"/>
  <c r="L684" i="4"/>
  <c r="M684" i="4"/>
  <c r="N684" i="4"/>
  <c r="O684" i="4"/>
  <c r="I685" i="4"/>
  <c r="J685" i="4"/>
  <c r="L685" i="4"/>
  <c r="M685" i="4"/>
  <c r="N685" i="4"/>
  <c r="O685" i="4"/>
  <c r="I686" i="4"/>
  <c r="J686" i="4"/>
  <c r="L686" i="4"/>
  <c r="M686" i="4"/>
  <c r="N686" i="4"/>
  <c r="O686" i="4"/>
  <c r="I687" i="4"/>
  <c r="J687" i="4"/>
  <c r="L687" i="4"/>
  <c r="M687" i="4"/>
  <c r="N687" i="4"/>
  <c r="O687" i="4"/>
  <c r="I688" i="4"/>
  <c r="J688" i="4"/>
  <c r="L688" i="4"/>
  <c r="M688" i="4"/>
  <c r="N688" i="4"/>
  <c r="O688" i="4"/>
  <c r="I689" i="4"/>
  <c r="J689" i="4"/>
  <c r="L689" i="4"/>
  <c r="M689" i="4"/>
  <c r="N689" i="4"/>
  <c r="O689" i="4"/>
  <c r="I690" i="4"/>
  <c r="J690" i="4"/>
  <c r="L690" i="4"/>
  <c r="M690" i="4"/>
  <c r="N690" i="4"/>
  <c r="O690" i="4"/>
  <c r="I691" i="4"/>
  <c r="J691" i="4"/>
  <c r="L691" i="4"/>
  <c r="M691" i="4"/>
  <c r="N691" i="4"/>
  <c r="O691" i="4"/>
  <c r="I692" i="4"/>
  <c r="J692" i="4"/>
  <c r="L692" i="4"/>
  <c r="M692" i="4"/>
  <c r="N692" i="4"/>
  <c r="O692" i="4"/>
  <c r="I693" i="4"/>
  <c r="J693" i="4"/>
  <c r="L693" i="4"/>
  <c r="M693" i="4"/>
  <c r="N693" i="4"/>
  <c r="O693" i="4"/>
  <c r="I694" i="4"/>
  <c r="J694" i="4"/>
  <c r="L694" i="4"/>
  <c r="M694" i="4"/>
  <c r="N694" i="4"/>
  <c r="O694" i="4"/>
  <c r="I695" i="4"/>
  <c r="J695" i="4"/>
  <c r="L695" i="4"/>
  <c r="M695" i="4"/>
  <c r="N695" i="4"/>
  <c r="O695" i="4"/>
  <c r="I696" i="4"/>
  <c r="J696" i="4"/>
  <c r="L696" i="4"/>
  <c r="M696" i="4"/>
  <c r="N696" i="4"/>
  <c r="O696" i="4"/>
  <c r="I697" i="4"/>
  <c r="J697" i="4"/>
  <c r="L697" i="4"/>
  <c r="M697" i="4"/>
  <c r="N697" i="4"/>
  <c r="O697" i="4"/>
  <c r="I698" i="4"/>
  <c r="J698" i="4"/>
  <c r="L698" i="4"/>
  <c r="M698" i="4"/>
  <c r="N698" i="4"/>
  <c r="O698" i="4"/>
  <c r="I699" i="4"/>
  <c r="J699" i="4"/>
  <c r="L699" i="4"/>
  <c r="M699" i="4"/>
  <c r="N699" i="4"/>
  <c r="O699" i="4"/>
  <c r="I700" i="4"/>
  <c r="J700" i="4"/>
  <c r="L700" i="4"/>
  <c r="M700" i="4"/>
  <c r="N700" i="4"/>
  <c r="O700" i="4"/>
  <c r="I701" i="4"/>
  <c r="J701" i="4"/>
  <c r="L701" i="4"/>
  <c r="M701" i="4"/>
  <c r="N701" i="4"/>
  <c r="O701" i="4"/>
  <c r="I702" i="4"/>
  <c r="J702" i="4"/>
  <c r="L702" i="4"/>
  <c r="M702" i="4"/>
  <c r="N702" i="4"/>
  <c r="O702" i="4"/>
  <c r="I703" i="4"/>
  <c r="J703" i="4"/>
  <c r="L703" i="4"/>
  <c r="M703" i="4"/>
  <c r="N703" i="4"/>
  <c r="O703" i="4"/>
  <c r="I704" i="4"/>
  <c r="J704" i="4"/>
  <c r="L704" i="4"/>
  <c r="M704" i="4"/>
  <c r="N704" i="4"/>
  <c r="O704" i="4"/>
  <c r="I705" i="4"/>
  <c r="J705" i="4"/>
  <c r="L705" i="4"/>
  <c r="M705" i="4"/>
  <c r="N705" i="4"/>
  <c r="O705" i="4"/>
  <c r="I706" i="4"/>
  <c r="J706" i="4"/>
  <c r="L706" i="4"/>
  <c r="M706" i="4"/>
  <c r="N706" i="4"/>
  <c r="O706" i="4"/>
  <c r="I707" i="4"/>
  <c r="J707" i="4"/>
  <c r="L707" i="4"/>
  <c r="M707" i="4"/>
  <c r="N707" i="4"/>
  <c r="O707" i="4"/>
  <c r="I708" i="4"/>
  <c r="J708" i="4"/>
  <c r="L708" i="4"/>
  <c r="M708" i="4"/>
  <c r="N708" i="4"/>
  <c r="O708" i="4"/>
  <c r="I709" i="4"/>
  <c r="J709" i="4"/>
  <c r="L709" i="4"/>
  <c r="M709" i="4"/>
  <c r="N709" i="4"/>
  <c r="O709" i="4"/>
  <c r="I710" i="4"/>
  <c r="J710" i="4"/>
  <c r="L710" i="4"/>
  <c r="M710" i="4"/>
  <c r="N710" i="4"/>
  <c r="O710" i="4"/>
  <c r="I711" i="4"/>
  <c r="J711" i="4"/>
  <c r="L711" i="4"/>
  <c r="M711" i="4"/>
  <c r="N711" i="4"/>
  <c r="O711" i="4"/>
  <c r="I712" i="4"/>
  <c r="J712" i="4"/>
  <c r="L712" i="4"/>
  <c r="M712" i="4"/>
  <c r="N712" i="4"/>
  <c r="O712" i="4"/>
  <c r="I713" i="4"/>
  <c r="J713" i="4"/>
  <c r="L713" i="4"/>
  <c r="M713" i="4"/>
  <c r="N713" i="4"/>
  <c r="O713" i="4"/>
  <c r="I714" i="4"/>
  <c r="J714" i="4"/>
  <c r="L714" i="4"/>
  <c r="M714" i="4"/>
  <c r="N714" i="4"/>
  <c r="O714" i="4"/>
  <c r="I715" i="4"/>
  <c r="J715" i="4"/>
  <c r="L715" i="4"/>
  <c r="M715" i="4"/>
  <c r="N715" i="4"/>
  <c r="O715" i="4"/>
  <c r="I716" i="4"/>
  <c r="J716" i="4"/>
  <c r="L716" i="4"/>
  <c r="M716" i="4"/>
  <c r="N716" i="4"/>
  <c r="O716" i="4"/>
  <c r="I717" i="4"/>
  <c r="J717" i="4"/>
  <c r="L717" i="4"/>
  <c r="M717" i="4"/>
  <c r="N717" i="4"/>
  <c r="O717" i="4"/>
  <c r="I718" i="4"/>
  <c r="J718" i="4"/>
  <c r="L718" i="4"/>
  <c r="M718" i="4"/>
  <c r="N718" i="4"/>
  <c r="O718" i="4"/>
  <c r="I719" i="4"/>
  <c r="J719" i="4"/>
  <c r="L719" i="4"/>
  <c r="M719" i="4"/>
  <c r="N719" i="4"/>
  <c r="O719" i="4"/>
  <c r="I720" i="4"/>
  <c r="J720" i="4"/>
  <c r="L720" i="4"/>
  <c r="M720" i="4"/>
  <c r="N720" i="4"/>
  <c r="O720" i="4"/>
  <c r="I721" i="4"/>
  <c r="J721" i="4"/>
  <c r="L721" i="4"/>
  <c r="M721" i="4"/>
  <c r="N721" i="4"/>
  <c r="O721" i="4"/>
  <c r="I722" i="4"/>
  <c r="J722" i="4"/>
  <c r="L722" i="4"/>
  <c r="M722" i="4"/>
  <c r="N722" i="4"/>
  <c r="O722" i="4"/>
  <c r="I723" i="4"/>
  <c r="J723" i="4"/>
  <c r="L723" i="4"/>
  <c r="M723" i="4"/>
  <c r="N723" i="4"/>
  <c r="O723" i="4"/>
  <c r="I724" i="4"/>
  <c r="J724" i="4"/>
  <c r="L724" i="4"/>
  <c r="M724" i="4"/>
  <c r="N724" i="4"/>
  <c r="O724" i="4"/>
  <c r="I725" i="4"/>
  <c r="J725" i="4"/>
  <c r="L725" i="4"/>
  <c r="M725" i="4"/>
  <c r="N725" i="4"/>
  <c r="O725" i="4"/>
  <c r="I726" i="4"/>
  <c r="J726" i="4"/>
  <c r="L726" i="4"/>
  <c r="M726" i="4"/>
  <c r="N726" i="4"/>
  <c r="O726" i="4"/>
  <c r="I727" i="4"/>
  <c r="J727" i="4"/>
  <c r="L727" i="4"/>
  <c r="M727" i="4"/>
  <c r="N727" i="4"/>
  <c r="O727" i="4"/>
  <c r="I728" i="4"/>
  <c r="J728" i="4"/>
  <c r="L728" i="4"/>
  <c r="M728" i="4"/>
  <c r="N728" i="4"/>
  <c r="O728" i="4"/>
  <c r="I729" i="4"/>
  <c r="J729" i="4"/>
  <c r="L729" i="4"/>
  <c r="M729" i="4"/>
  <c r="N729" i="4"/>
  <c r="O729" i="4"/>
  <c r="I730" i="4"/>
  <c r="J730" i="4"/>
  <c r="L730" i="4"/>
  <c r="M730" i="4"/>
  <c r="N730" i="4"/>
  <c r="O730" i="4"/>
  <c r="I731" i="4"/>
  <c r="J731" i="4"/>
  <c r="L731" i="4"/>
  <c r="M731" i="4"/>
  <c r="N731" i="4"/>
  <c r="O731" i="4"/>
  <c r="I732" i="4"/>
  <c r="J732" i="4"/>
  <c r="L732" i="4"/>
  <c r="M732" i="4"/>
  <c r="N732" i="4"/>
  <c r="O732" i="4"/>
  <c r="I733" i="4"/>
  <c r="J733" i="4"/>
  <c r="L733" i="4"/>
  <c r="M733" i="4"/>
  <c r="N733" i="4"/>
  <c r="O733" i="4"/>
  <c r="I734" i="4"/>
  <c r="J734" i="4"/>
  <c r="L734" i="4"/>
  <c r="M734" i="4"/>
  <c r="N734" i="4"/>
  <c r="O734" i="4"/>
  <c r="I735" i="4"/>
  <c r="J735" i="4"/>
  <c r="L735" i="4"/>
  <c r="M735" i="4"/>
  <c r="N735" i="4"/>
  <c r="O735" i="4"/>
  <c r="I736" i="4"/>
  <c r="J736" i="4"/>
  <c r="L736" i="4"/>
  <c r="M736" i="4"/>
  <c r="N736" i="4"/>
  <c r="O736" i="4"/>
  <c r="I737" i="4"/>
  <c r="J737" i="4"/>
  <c r="L737" i="4"/>
  <c r="M737" i="4"/>
  <c r="N737" i="4"/>
  <c r="O737" i="4"/>
  <c r="I738" i="4"/>
  <c r="J738" i="4"/>
  <c r="L738" i="4"/>
  <c r="M738" i="4"/>
  <c r="N738" i="4"/>
  <c r="O738" i="4"/>
  <c r="I739" i="4"/>
  <c r="J739" i="4"/>
  <c r="L739" i="4"/>
  <c r="M739" i="4"/>
  <c r="N739" i="4"/>
  <c r="O739" i="4"/>
  <c r="I740" i="4"/>
  <c r="J740" i="4"/>
  <c r="L740" i="4"/>
  <c r="M740" i="4"/>
  <c r="N740" i="4"/>
  <c r="O740" i="4"/>
  <c r="I741" i="4"/>
  <c r="J741" i="4"/>
  <c r="L741" i="4"/>
  <c r="M741" i="4"/>
  <c r="N741" i="4"/>
  <c r="O741" i="4"/>
  <c r="I742" i="4"/>
  <c r="J742" i="4"/>
  <c r="L742" i="4"/>
  <c r="M742" i="4"/>
  <c r="N742" i="4"/>
  <c r="O742" i="4"/>
  <c r="I743" i="4"/>
  <c r="J743" i="4"/>
  <c r="L743" i="4"/>
  <c r="M743" i="4"/>
  <c r="N743" i="4"/>
  <c r="O743" i="4"/>
  <c r="I744" i="4"/>
  <c r="J744" i="4"/>
  <c r="L744" i="4"/>
  <c r="M744" i="4"/>
  <c r="N744" i="4"/>
  <c r="O744" i="4"/>
  <c r="I745" i="4"/>
  <c r="J745" i="4"/>
  <c r="L745" i="4"/>
  <c r="M745" i="4"/>
  <c r="N745" i="4"/>
  <c r="O745" i="4"/>
  <c r="I746" i="4"/>
  <c r="J746" i="4"/>
  <c r="L746" i="4"/>
  <c r="M746" i="4"/>
  <c r="N746" i="4"/>
  <c r="O746" i="4"/>
  <c r="I747" i="4"/>
  <c r="J747" i="4"/>
  <c r="L747" i="4"/>
  <c r="M747" i="4"/>
  <c r="N747" i="4"/>
  <c r="O747" i="4"/>
  <c r="I748" i="4"/>
  <c r="J748" i="4"/>
  <c r="L748" i="4"/>
  <c r="M748" i="4"/>
  <c r="N748" i="4"/>
  <c r="O748" i="4"/>
  <c r="I749" i="4"/>
  <c r="J749" i="4"/>
  <c r="L749" i="4"/>
  <c r="M749" i="4"/>
  <c r="N749" i="4"/>
  <c r="O749" i="4"/>
  <c r="I750" i="4"/>
  <c r="J750" i="4"/>
  <c r="L750" i="4"/>
  <c r="M750" i="4"/>
  <c r="N750" i="4"/>
  <c r="O750" i="4"/>
  <c r="I751" i="4"/>
  <c r="J751" i="4"/>
  <c r="L751" i="4"/>
  <c r="M751" i="4"/>
  <c r="N751" i="4"/>
  <c r="O751" i="4"/>
  <c r="I752" i="4"/>
  <c r="J752" i="4"/>
  <c r="L752" i="4"/>
  <c r="M752" i="4"/>
  <c r="N752" i="4"/>
  <c r="O752" i="4"/>
  <c r="I753" i="4"/>
  <c r="J753" i="4"/>
  <c r="L753" i="4"/>
  <c r="M753" i="4"/>
  <c r="N753" i="4"/>
  <c r="O753" i="4"/>
  <c r="I754" i="4"/>
  <c r="J754" i="4"/>
  <c r="L754" i="4"/>
  <c r="M754" i="4"/>
  <c r="N754" i="4"/>
  <c r="O754" i="4"/>
  <c r="I755" i="4"/>
  <c r="J755" i="4"/>
  <c r="L755" i="4"/>
  <c r="M755" i="4"/>
  <c r="N755" i="4"/>
  <c r="O755" i="4"/>
  <c r="I756" i="4"/>
  <c r="J756" i="4"/>
  <c r="L756" i="4"/>
  <c r="M756" i="4"/>
  <c r="N756" i="4"/>
  <c r="O756" i="4"/>
  <c r="I757" i="4"/>
  <c r="J757" i="4"/>
  <c r="L757" i="4"/>
  <c r="M757" i="4"/>
  <c r="N757" i="4"/>
  <c r="O757" i="4"/>
  <c r="I758" i="4"/>
  <c r="J758" i="4"/>
  <c r="L758" i="4"/>
  <c r="M758" i="4"/>
  <c r="N758" i="4"/>
  <c r="O758" i="4"/>
  <c r="I759" i="4"/>
  <c r="J759" i="4"/>
  <c r="L759" i="4"/>
  <c r="M759" i="4"/>
  <c r="N759" i="4"/>
  <c r="O759" i="4"/>
  <c r="I760" i="4"/>
  <c r="J760" i="4"/>
  <c r="L760" i="4"/>
  <c r="M760" i="4"/>
  <c r="N760" i="4"/>
  <c r="O760" i="4"/>
  <c r="I761" i="4"/>
  <c r="J761" i="4"/>
  <c r="L761" i="4"/>
  <c r="M761" i="4"/>
  <c r="N761" i="4"/>
  <c r="O761" i="4"/>
  <c r="I762" i="4"/>
  <c r="J762" i="4"/>
  <c r="L762" i="4"/>
  <c r="M762" i="4"/>
  <c r="N762" i="4"/>
  <c r="O762" i="4"/>
  <c r="I763" i="4"/>
  <c r="J763" i="4"/>
  <c r="L763" i="4"/>
  <c r="M763" i="4"/>
  <c r="N763" i="4"/>
  <c r="O763" i="4"/>
  <c r="I764" i="4"/>
  <c r="J764" i="4"/>
  <c r="L764" i="4"/>
  <c r="M764" i="4"/>
  <c r="N764" i="4"/>
  <c r="O764" i="4"/>
  <c r="I765" i="4"/>
  <c r="J765" i="4"/>
  <c r="L765" i="4"/>
  <c r="M765" i="4"/>
  <c r="N765" i="4"/>
  <c r="O765" i="4"/>
  <c r="I766" i="4"/>
  <c r="J766" i="4"/>
  <c r="L766" i="4"/>
  <c r="M766" i="4"/>
  <c r="N766" i="4"/>
  <c r="O766" i="4"/>
  <c r="I767" i="4"/>
  <c r="J767" i="4"/>
  <c r="L767" i="4"/>
  <c r="M767" i="4"/>
  <c r="N767" i="4"/>
  <c r="O767" i="4"/>
  <c r="I768" i="4"/>
  <c r="J768" i="4"/>
  <c r="L768" i="4"/>
  <c r="M768" i="4"/>
  <c r="N768" i="4"/>
  <c r="O768" i="4"/>
  <c r="I769" i="4"/>
  <c r="J769" i="4"/>
  <c r="L769" i="4"/>
  <c r="M769" i="4"/>
  <c r="N769" i="4"/>
  <c r="O769" i="4"/>
  <c r="I770" i="4"/>
  <c r="J770" i="4"/>
  <c r="L770" i="4"/>
  <c r="M770" i="4"/>
  <c r="N770" i="4"/>
  <c r="O770" i="4"/>
  <c r="I771" i="4"/>
  <c r="J771" i="4"/>
  <c r="L771" i="4"/>
  <c r="M771" i="4"/>
  <c r="N771" i="4"/>
  <c r="O771" i="4"/>
  <c r="I772" i="4"/>
  <c r="J772" i="4"/>
  <c r="L772" i="4"/>
  <c r="M772" i="4"/>
  <c r="N772" i="4"/>
  <c r="O772" i="4"/>
  <c r="I773" i="4"/>
  <c r="J773" i="4"/>
  <c r="L773" i="4"/>
  <c r="M773" i="4"/>
  <c r="N773" i="4"/>
  <c r="O773" i="4"/>
  <c r="I774" i="4"/>
  <c r="J774" i="4"/>
  <c r="L774" i="4"/>
  <c r="M774" i="4"/>
  <c r="N774" i="4"/>
  <c r="O774" i="4"/>
  <c r="I775" i="4"/>
  <c r="J775" i="4"/>
  <c r="L775" i="4"/>
  <c r="M775" i="4"/>
  <c r="N775" i="4"/>
  <c r="O775" i="4"/>
  <c r="I776" i="4"/>
  <c r="J776" i="4"/>
  <c r="L776" i="4"/>
  <c r="M776" i="4"/>
  <c r="N776" i="4"/>
  <c r="O776" i="4"/>
  <c r="I777" i="4"/>
  <c r="J777" i="4"/>
  <c r="L777" i="4"/>
  <c r="M777" i="4"/>
  <c r="N777" i="4"/>
  <c r="O777" i="4"/>
  <c r="I778" i="4"/>
  <c r="J778" i="4"/>
  <c r="L778" i="4"/>
  <c r="M778" i="4"/>
  <c r="N778" i="4"/>
  <c r="O778" i="4"/>
  <c r="I779" i="4"/>
  <c r="J779" i="4"/>
  <c r="L779" i="4"/>
  <c r="M779" i="4"/>
  <c r="N779" i="4"/>
  <c r="O779" i="4"/>
  <c r="I780" i="4"/>
  <c r="J780" i="4"/>
  <c r="L780" i="4"/>
  <c r="M780" i="4"/>
  <c r="N780" i="4"/>
  <c r="O780" i="4"/>
  <c r="I781" i="4"/>
  <c r="J781" i="4"/>
  <c r="L781" i="4"/>
  <c r="M781" i="4"/>
  <c r="N781" i="4"/>
  <c r="O781" i="4"/>
  <c r="I782" i="4"/>
  <c r="J782" i="4"/>
  <c r="L782" i="4"/>
  <c r="M782" i="4"/>
  <c r="N782" i="4"/>
  <c r="O782" i="4"/>
  <c r="I783" i="4"/>
  <c r="J783" i="4"/>
  <c r="L783" i="4"/>
  <c r="M783" i="4"/>
  <c r="N783" i="4"/>
  <c r="O783" i="4"/>
  <c r="I784" i="4"/>
  <c r="J784" i="4"/>
  <c r="L784" i="4"/>
  <c r="M784" i="4"/>
  <c r="N784" i="4"/>
  <c r="O784" i="4"/>
  <c r="I785" i="4"/>
  <c r="J785" i="4"/>
  <c r="L785" i="4"/>
  <c r="M785" i="4"/>
  <c r="N785" i="4"/>
  <c r="O785" i="4"/>
  <c r="I786" i="4"/>
  <c r="J786" i="4"/>
  <c r="L786" i="4"/>
  <c r="M786" i="4"/>
  <c r="N786" i="4"/>
  <c r="O786" i="4"/>
  <c r="I787" i="4"/>
  <c r="J787" i="4"/>
  <c r="L787" i="4"/>
  <c r="M787" i="4"/>
  <c r="N787" i="4"/>
  <c r="O787" i="4"/>
  <c r="I788" i="4"/>
  <c r="J788" i="4"/>
  <c r="L788" i="4"/>
  <c r="M788" i="4"/>
  <c r="N788" i="4"/>
  <c r="O788" i="4"/>
  <c r="I789" i="4"/>
  <c r="J789" i="4"/>
  <c r="L789" i="4"/>
  <c r="M789" i="4"/>
  <c r="N789" i="4"/>
  <c r="O789" i="4"/>
  <c r="I790" i="4"/>
  <c r="J790" i="4"/>
  <c r="L790" i="4"/>
  <c r="M790" i="4"/>
  <c r="N790" i="4"/>
  <c r="O790" i="4"/>
  <c r="I791" i="4"/>
  <c r="J791" i="4"/>
  <c r="L791" i="4"/>
  <c r="M791" i="4"/>
  <c r="N791" i="4"/>
  <c r="O791" i="4"/>
  <c r="I792" i="4"/>
  <c r="J792" i="4"/>
  <c r="L792" i="4"/>
  <c r="M792" i="4"/>
  <c r="N792" i="4"/>
  <c r="O792" i="4"/>
  <c r="I793" i="4"/>
  <c r="J793" i="4"/>
  <c r="L793" i="4"/>
  <c r="M793" i="4"/>
  <c r="N793" i="4"/>
  <c r="O793" i="4"/>
  <c r="I794" i="4"/>
  <c r="J794" i="4"/>
  <c r="L794" i="4"/>
  <c r="M794" i="4"/>
  <c r="N794" i="4"/>
  <c r="O794" i="4"/>
  <c r="I795" i="4"/>
  <c r="J795" i="4"/>
  <c r="L795" i="4"/>
  <c r="M795" i="4"/>
  <c r="N795" i="4"/>
  <c r="O795" i="4"/>
  <c r="I796" i="4"/>
  <c r="J796" i="4"/>
  <c r="L796" i="4"/>
  <c r="M796" i="4"/>
  <c r="N796" i="4"/>
  <c r="O796" i="4"/>
  <c r="I797" i="4"/>
  <c r="J797" i="4"/>
  <c r="L797" i="4"/>
  <c r="M797" i="4"/>
  <c r="N797" i="4"/>
  <c r="O797" i="4"/>
  <c r="I798" i="4"/>
  <c r="J798" i="4"/>
  <c r="L798" i="4"/>
  <c r="M798" i="4"/>
  <c r="N798" i="4"/>
  <c r="O798" i="4"/>
  <c r="I799" i="4"/>
  <c r="J799" i="4"/>
  <c r="L799" i="4"/>
  <c r="M799" i="4"/>
  <c r="N799" i="4"/>
  <c r="O799" i="4"/>
  <c r="I800" i="4"/>
  <c r="J800" i="4"/>
  <c r="L800" i="4"/>
  <c r="M800" i="4"/>
  <c r="N800" i="4"/>
  <c r="O800" i="4"/>
  <c r="I801" i="4"/>
  <c r="J801" i="4"/>
  <c r="L801" i="4"/>
  <c r="M801" i="4"/>
  <c r="N801" i="4"/>
  <c r="O801" i="4"/>
  <c r="I802" i="4"/>
  <c r="J802" i="4"/>
  <c r="L802" i="4"/>
  <c r="M802" i="4"/>
  <c r="N802" i="4"/>
  <c r="O802" i="4"/>
  <c r="I803" i="4"/>
  <c r="J803" i="4"/>
  <c r="L803" i="4"/>
  <c r="M803" i="4"/>
  <c r="N803" i="4"/>
  <c r="O803" i="4"/>
  <c r="I804" i="4"/>
  <c r="J804" i="4"/>
  <c r="L804" i="4"/>
  <c r="M804" i="4"/>
  <c r="N804" i="4"/>
  <c r="O804" i="4"/>
  <c r="I805" i="4"/>
  <c r="J805" i="4"/>
  <c r="L805" i="4"/>
  <c r="M805" i="4"/>
  <c r="N805" i="4"/>
  <c r="O805" i="4"/>
  <c r="I806" i="4"/>
  <c r="J806" i="4"/>
  <c r="L806" i="4"/>
  <c r="M806" i="4"/>
  <c r="N806" i="4"/>
  <c r="O806" i="4"/>
  <c r="I807" i="4"/>
  <c r="J807" i="4"/>
  <c r="L807" i="4"/>
  <c r="M807" i="4"/>
  <c r="N807" i="4"/>
  <c r="O807" i="4"/>
  <c r="I808" i="4"/>
  <c r="J808" i="4"/>
  <c r="L808" i="4"/>
  <c r="M808" i="4"/>
  <c r="N808" i="4"/>
  <c r="O808" i="4"/>
  <c r="I809" i="4"/>
  <c r="J809" i="4"/>
  <c r="L809" i="4"/>
  <c r="M809" i="4"/>
  <c r="N809" i="4"/>
  <c r="O809" i="4"/>
  <c r="I810" i="4"/>
  <c r="J810" i="4"/>
  <c r="L810" i="4"/>
  <c r="M810" i="4"/>
  <c r="N810" i="4"/>
  <c r="O810" i="4"/>
  <c r="I811" i="4"/>
  <c r="J811" i="4"/>
  <c r="L811" i="4"/>
  <c r="M811" i="4"/>
  <c r="N811" i="4"/>
  <c r="O811" i="4"/>
  <c r="I812" i="4"/>
  <c r="J812" i="4"/>
  <c r="L812" i="4"/>
  <c r="M812" i="4"/>
  <c r="N812" i="4"/>
  <c r="O812" i="4"/>
  <c r="I813" i="4"/>
  <c r="J813" i="4"/>
  <c r="L813" i="4"/>
  <c r="M813" i="4"/>
  <c r="N813" i="4"/>
  <c r="O813" i="4"/>
  <c r="I814" i="4"/>
  <c r="J814" i="4"/>
  <c r="L814" i="4"/>
  <c r="M814" i="4"/>
  <c r="N814" i="4"/>
  <c r="O814" i="4"/>
  <c r="I815" i="4"/>
  <c r="J815" i="4"/>
  <c r="L815" i="4"/>
  <c r="M815" i="4"/>
  <c r="N815" i="4"/>
  <c r="O815" i="4"/>
  <c r="I816" i="4"/>
  <c r="J816" i="4"/>
  <c r="L816" i="4"/>
  <c r="M816" i="4"/>
  <c r="N816" i="4"/>
  <c r="O816" i="4"/>
  <c r="I817" i="4"/>
  <c r="J817" i="4"/>
  <c r="L817" i="4"/>
  <c r="M817" i="4"/>
  <c r="N817" i="4"/>
  <c r="O817" i="4"/>
  <c r="I818" i="4"/>
  <c r="J818" i="4"/>
  <c r="L818" i="4"/>
  <c r="M818" i="4"/>
  <c r="N818" i="4"/>
  <c r="O818" i="4"/>
  <c r="I819" i="4"/>
  <c r="J819" i="4"/>
  <c r="L819" i="4"/>
  <c r="M819" i="4"/>
  <c r="N819" i="4"/>
  <c r="O819" i="4"/>
  <c r="I820" i="4"/>
  <c r="J820" i="4"/>
  <c r="L820" i="4"/>
  <c r="M820" i="4"/>
  <c r="N820" i="4"/>
  <c r="O820" i="4"/>
  <c r="I821" i="4"/>
  <c r="J821" i="4"/>
  <c r="L821" i="4"/>
  <c r="M821" i="4"/>
  <c r="N821" i="4"/>
  <c r="O821" i="4"/>
  <c r="I822" i="4"/>
  <c r="J822" i="4"/>
  <c r="L822" i="4"/>
  <c r="M822" i="4"/>
  <c r="N822" i="4"/>
  <c r="O822" i="4"/>
  <c r="I823" i="4"/>
  <c r="J823" i="4"/>
  <c r="L823" i="4"/>
  <c r="M823" i="4"/>
  <c r="N823" i="4"/>
  <c r="O823" i="4"/>
  <c r="I824" i="4"/>
  <c r="J824" i="4"/>
  <c r="L824" i="4"/>
  <c r="M824" i="4"/>
  <c r="N824" i="4"/>
  <c r="O824" i="4"/>
  <c r="I825" i="4"/>
  <c r="J825" i="4"/>
  <c r="L825" i="4"/>
  <c r="M825" i="4"/>
  <c r="N825" i="4"/>
  <c r="O825" i="4"/>
  <c r="I826" i="4"/>
  <c r="J826" i="4"/>
  <c r="L826" i="4"/>
  <c r="M826" i="4"/>
  <c r="N826" i="4"/>
  <c r="O826" i="4"/>
  <c r="I827" i="4"/>
  <c r="J827" i="4"/>
  <c r="L827" i="4"/>
  <c r="M827" i="4"/>
  <c r="N827" i="4"/>
  <c r="O827" i="4"/>
  <c r="I828" i="4"/>
  <c r="J828" i="4"/>
  <c r="L828" i="4"/>
  <c r="M828" i="4"/>
  <c r="N828" i="4"/>
  <c r="O828" i="4"/>
  <c r="I829" i="4"/>
  <c r="J829" i="4"/>
  <c r="L829" i="4"/>
  <c r="M829" i="4"/>
  <c r="N829" i="4"/>
  <c r="O829" i="4"/>
  <c r="I830" i="4"/>
  <c r="J830" i="4"/>
  <c r="L830" i="4"/>
  <c r="M830" i="4"/>
  <c r="N830" i="4"/>
  <c r="O830" i="4"/>
  <c r="I831" i="4"/>
  <c r="J831" i="4"/>
  <c r="L831" i="4"/>
  <c r="M831" i="4"/>
  <c r="N831" i="4"/>
  <c r="O831" i="4"/>
  <c r="I832" i="4"/>
  <c r="J832" i="4"/>
  <c r="L832" i="4"/>
  <c r="M832" i="4"/>
  <c r="N832" i="4"/>
  <c r="O832" i="4"/>
  <c r="I833" i="4"/>
  <c r="J833" i="4"/>
  <c r="L833" i="4"/>
  <c r="M833" i="4"/>
  <c r="N833" i="4"/>
  <c r="O833" i="4"/>
  <c r="I834" i="4"/>
  <c r="J834" i="4"/>
  <c r="L834" i="4"/>
  <c r="M834" i="4"/>
  <c r="N834" i="4"/>
  <c r="O834" i="4"/>
  <c r="I835" i="4"/>
  <c r="J835" i="4"/>
  <c r="L835" i="4"/>
  <c r="M835" i="4"/>
  <c r="N835" i="4"/>
  <c r="O835" i="4"/>
  <c r="I836" i="4"/>
  <c r="J836" i="4"/>
  <c r="L836" i="4"/>
  <c r="M836" i="4"/>
  <c r="N836" i="4"/>
  <c r="O836" i="4"/>
  <c r="I837" i="4"/>
  <c r="J837" i="4"/>
  <c r="L837" i="4"/>
  <c r="M837" i="4"/>
  <c r="N837" i="4"/>
  <c r="O837" i="4"/>
  <c r="I838" i="4"/>
  <c r="J838" i="4"/>
  <c r="L838" i="4"/>
  <c r="M838" i="4"/>
  <c r="N838" i="4"/>
  <c r="O838" i="4"/>
  <c r="I839" i="4"/>
  <c r="J839" i="4"/>
  <c r="L839" i="4"/>
  <c r="M839" i="4"/>
  <c r="N839" i="4"/>
  <c r="O839" i="4"/>
  <c r="I840" i="4"/>
  <c r="J840" i="4"/>
  <c r="L840" i="4"/>
  <c r="M840" i="4"/>
  <c r="N840" i="4"/>
  <c r="O840" i="4"/>
  <c r="I841" i="4"/>
  <c r="J841" i="4"/>
  <c r="L841" i="4"/>
  <c r="M841" i="4"/>
  <c r="N841" i="4"/>
  <c r="O841" i="4"/>
  <c r="I842" i="4"/>
  <c r="J842" i="4"/>
  <c r="L842" i="4"/>
  <c r="M842" i="4"/>
  <c r="N842" i="4"/>
  <c r="O842" i="4"/>
  <c r="I843" i="4"/>
  <c r="J843" i="4"/>
  <c r="L843" i="4"/>
  <c r="M843" i="4"/>
  <c r="N843" i="4"/>
  <c r="O843" i="4"/>
  <c r="I844" i="4"/>
  <c r="J844" i="4"/>
  <c r="L844" i="4"/>
  <c r="M844" i="4"/>
  <c r="N844" i="4"/>
  <c r="O844" i="4"/>
  <c r="I845" i="4"/>
  <c r="J845" i="4"/>
  <c r="L845" i="4"/>
  <c r="M845" i="4"/>
  <c r="N845" i="4"/>
  <c r="O845" i="4"/>
  <c r="I846" i="4"/>
  <c r="J846" i="4"/>
  <c r="L846" i="4"/>
  <c r="M846" i="4"/>
  <c r="N846" i="4"/>
  <c r="O846" i="4"/>
  <c r="I847" i="4"/>
  <c r="J847" i="4"/>
  <c r="L847" i="4"/>
  <c r="M847" i="4"/>
  <c r="N847" i="4"/>
  <c r="O847" i="4"/>
  <c r="I848" i="4"/>
  <c r="J848" i="4"/>
  <c r="L848" i="4"/>
  <c r="M848" i="4"/>
  <c r="N848" i="4"/>
  <c r="O848" i="4"/>
  <c r="I849" i="4"/>
  <c r="J849" i="4"/>
  <c r="L849" i="4"/>
  <c r="M849" i="4"/>
  <c r="N849" i="4"/>
  <c r="O849" i="4"/>
  <c r="I850" i="4"/>
  <c r="J850" i="4"/>
  <c r="L850" i="4"/>
  <c r="M850" i="4"/>
  <c r="N850" i="4"/>
  <c r="O850" i="4"/>
  <c r="I851" i="4"/>
  <c r="J851" i="4"/>
  <c r="L851" i="4"/>
  <c r="M851" i="4"/>
  <c r="N851" i="4"/>
  <c r="O851" i="4"/>
  <c r="I852" i="4"/>
  <c r="J852" i="4"/>
  <c r="L852" i="4"/>
  <c r="M852" i="4"/>
  <c r="N852" i="4"/>
  <c r="O852" i="4"/>
  <c r="I853" i="4"/>
  <c r="J853" i="4"/>
  <c r="L853" i="4"/>
  <c r="M853" i="4"/>
  <c r="N853" i="4"/>
  <c r="O853" i="4"/>
  <c r="I854" i="4"/>
  <c r="J854" i="4"/>
  <c r="L854" i="4"/>
  <c r="M854" i="4"/>
  <c r="N854" i="4"/>
  <c r="O854" i="4"/>
  <c r="I855" i="4"/>
  <c r="J855" i="4"/>
  <c r="L855" i="4"/>
  <c r="M855" i="4"/>
  <c r="N855" i="4"/>
  <c r="O855" i="4"/>
  <c r="I856" i="4"/>
  <c r="J856" i="4"/>
  <c r="L856" i="4"/>
  <c r="M856" i="4"/>
  <c r="N856" i="4"/>
  <c r="O856" i="4"/>
  <c r="I857" i="4"/>
  <c r="J857" i="4"/>
  <c r="L857" i="4"/>
  <c r="M857" i="4"/>
  <c r="N857" i="4"/>
  <c r="O857" i="4"/>
  <c r="I858" i="4"/>
  <c r="J858" i="4"/>
  <c r="L858" i="4"/>
  <c r="M858" i="4"/>
  <c r="N858" i="4"/>
  <c r="O858" i="4"/>
  <c r="I859" i="4"/>
  <c r="J859" i="4"/>
  <c r="L859" i="4"/>
  <c r="M859" i="4"/>
  <c r="N859" i="4"/>
  <c r="O859" i="4"/>
  <c r="I860" i="4"/>
  <c r="J860" i="4"/>
  <c r="L860" i="4"/>
  <c r="M860" i="4"/>
  <c r="N860" i="4"/>
  <c r="O860" i="4"/>
  <c r="I861" i="4"/>
  <c r="J861" i="4"/>
  <c r="L861" i="4"/>
  <c r="M861" i="4"/>
  <c r="N861" i="4"/>
  <c r="O861" i="4"/>
  <c r="O17" i="4"/>
  <c r="N17" i="4"/>
  <c r="M17" i="4"/>
  <c r="L17" i="4"/>
  <c r="J17" i="4"/>
  <c r="I17" i="4"/>
  <c r="J30" i="3"/>
  <c r="J87" i="3"/>
  <c r="J21" i="3"/>
  <c r="K21" i="3"/>
  <c r="L21" i="3"/>
  <c r="M21" i="3"/>
  <c r="N21" i="3"/>
  <c r="O21" i="3"/>
  <c r="P21" i="3"/>
  <c r="J22" i="3"/>
  <c r="K22" i="3"/>
  <c r="L22" i="3"/>
  <c r="M22" i="3"/>
  <c r="N22" i="3"/>
  <c r="O22" i="3"/>
  <c r="P22" i="3"/>
  <c r="J23" i="3"/>
  <c r="K23" i="3"/>
  <c r="L23" i="3"/>
  <c r="M23" i="3"/>
  <c r="N23" i="3"/>
  <c r="O23" i="3"/>
  <c r="P23" i="3"/>
  <c r="J24" i="3"/>
  <c r="K24" i="3"/>
  <c r="L24" i="3"/>
  <c r="M24" i="3"/>
  <c r="N24" i="3"/>
  <c r="O24" i="3"/>
  <c r="P24" i="3"/>
  <c r="J25" i="3"/>
  <c r="K25" i="3"/>
  <c r="L25" i="3"/>
  <c r="M25" i="3"/>
  <c r="N25" i="3"/>
  <c r="O25" i="3"/>
  <c r="P25" i="3"/>
  <c r="J26" i="3"/>
  <c r="K26" i="3"/>
  <c r="L26" i="3"/>
  <c r="M26" i="3"/>
  <c r="N26" i="3"/>
  <c r="O26" i="3"/>
  <c r="P26" i="3"/>
  <c r="J27" i="3"/>
  <c r="K27" i="3"/>
  <c r="L27" i="3"/>
  <c r="M27" i="3"/>
  <c r="N27" i="3"/>
  <c r="O27" i="3"/>
  <c r="P27" i="3"/>
  <c r="J28" i="3"/>
  <c r="K28" i="3"/>
  <c r="L28" i="3"/>
  <c r="M28" i="3"/>
  <c r="N28" i="3"/>
  <c r="O28" i="3"/>
  <c r="P28" i="3"/>
  <c r="J29" i="3"/>
  <c r="K29" i="3"/>
  <c r="L29" i="3"/>
  <c r="M29" i="3"/>
  <c r="N29" i="3"/>
  <c r="O29" i="3"/>
  <c r="P29" i="3"/>
  <c r="K30" i="3"/>
  <c r="L30" i="3"/>
  <c r="M30" i="3"/>
  <c r="N30" i="3"/>
  <c r="O30" i="3"/>
  <c r="P30" i="3"/>
  <c r="J31" i="3"/>
  <c r="K31" i="3"/>
  <c r="L31" i="3"/>
  <c r="M31" i="3"/>
  <c r="N31" i="3"/>
  <c r="O31" i="3"/>
  <c r="P31" i="3"/>
  <c r="J32" i="3"/>
  <c r="K32" i="3"/>
  <c r="L32" i="3"/>
  <c r="M32" i="3"/>
  <c r="N32" i="3"/>
  <c r="O32" i="3"/>
  <c r="P32" i="3"/>
  <c r="J33" i="3"/>
  <c r="K33" i="3"/>
  <c r="L33" i="3"/>
  <c r="M33" i="3"/>
  <c r="N33" i="3"/>
  <c r="O33" i="3"/>
  <c r="P33" i="3"/>
  <c r="J34" i="3"/>
  <c r="K34" i="3"/>
  <c r="L34" i="3"/>
  <c r="M34" i="3"/>
  <c r="N34" i="3"/>
  <c r="O34" i="3"/>
  <c r="P34" i="3"/>
  <c r="J35" i="3"/>
  <c r="K35" i="3"/>
  <c r="L35" i="3"/>
  <c r="M35" i="3"/>
  <c r="N35" i="3"/>
  <c r="O35" i="3"/>
  <c r="P35" i="3"/>
  <c r="J36" i="3"/>
  <c r="K36" i="3"/>
  <c r="L36" i="3"/>
  <c r="M36" i="3"/>
  <c r="N36" i="3"/>
  <c r="O36" i="3"/>
  <c r="P36" i="3"/>
  <c r="J37" i="3"/>
  <c r="K37" i="3"/>
  <c r="L37" i="3"/>
  <c r="M37" i="3"/>
  <c r="N37" i="3"/>
  <c r="O37" i="3"/>
  <c r="P37" i="3"/>
  <c r="J38" i="3"/>
  <c r="K38" i="3"/>
  <c r="L38" i="3"/>
  <c r="M38" i="3"/>
  <c r="N38" i="3"/>
  <c r="O38" i="3"/>
  <c r="P38" i="3"/>
  <c r="J39" i="3"/>
  <c r="K39" i="3"/>
  <c r="L39" i="3"/>
  <c r="M39" i="3"/>
  <c r="N39" i="3"/>
  <c r="O39" i="3"/>
  <c r="P39" i="3"/>
  <c r="J40" i="3"/>
  <c r="K40" i="3"/>
  <c r="L40" i="3"/>
  <c r="M40" i="3"/>
  <c r="N40" i="3"/>
  <c r="O40" i="3"/>
  <c r="P40" i="3"/>
  <c r="J41" i="3"/>
  <c r="K41" i="3"/>
  <c r="L41" i="3"/>
  <c r="M41" i="3"/>
  <c r="N41" i="3"/>
  <c r="O41" i="3"/>
  <c r="P41" i="3"/>
  <c r="J42" i="3"/>
  <c r="K42" i="3"/>
  <c r="L42" i="3"/>
  <c r="M42" i="3"/>
  <c r="N42" i="3"/>
  <c r="O42" i="3"/>
  <c r="P42" i="3"/>
  <c r="J43" i="3"/>
  <c r="K43" i="3"/>
  <c r="L43" i="3"/>
  <c r="M43" i="3"/>
  <c r="N43" i="3"/>
  <c r="O43" i="3"/>
  <c r="P43" i="3"/>
  <c r="J44" i="3"/>
  <c r="K44" i="3"/>
  <c r="L44" i="3"/>
  <c r="M44" i="3"/>
  <c r="N44" i="3"/>
  <c r="O44" i="3"/>
  <c r="P44" i="3"/>
  <c r="J45" i="3"/>
  <c r="K45" i="3"/>
  <c r="L45" i="3"/>
  <c r="M45" i="3"/>
  <c r="N45" i="3"/>
  <c r="O45" i="3"/>
  <c r="P45" i="3"/>
  <c r="J46" i="3"/>
  <c r="K46" i="3"/>
  <c r="L46" i="3"/>
  <c r="M46" i="3"/>
  <c r="N46" i="3"/>
  <c r="O46" i="3"/>
  <c r="P46" i="3"/>
  <c r="J47" i="3"/>
  <c r="K47" i="3"/>
  <c r="L47" i="3"/>
  <c r="M47" i="3"/>
  <c r="N47" i="3"/>
  <c r="O47" i="3"/>
  <c r="P47" i="3"/>
  <c r="J48" i="3"/>
  <c r="K48" i="3"/>
  <c r="L48" i="3"/>
  <c r="M48" i="3"/>
  <c r="N48" i="3"/>
  <c r="O48" i="3"/>
  <c r="P48" i="3"/>
  <c r="J49" i="3"/>
  <c r="K49" i="3"/>
  <c r="L49" i="3"/>
  <c r="M49" i="3"/>
  <c r="N49" i="3"/>
  <c r="O49" i="3"/>
  <c r="P49" i="3"/>
  <c r="J50" i="3"/>
  <c r="K50" i="3"/>
  <c r="L50" i="3"/>
  <c r="M50" i="3"/>
  <c r="N50" i="3"/>
  <c r="O50" i="3"/>
  <c r="P50" i="3"/>
  <c r="J51" i="3"/>
  <c r="K51" i="3"/>
  <c r="L51" i="3"/>
  <c r="M51" i="3"/>
  <c r="N51" i="3"/>
  <c r="O51" i="3"/>
  <c r="P51" i="3"/>
  <c r="J52" i="3"/>
  <c r="K52" i="3"/>
  <c r="L52" i="3"/>
  <c r="M52" i="3"/>
  <c r="N52" i="3"/>
  <c r="O52" i="3"/>
  <c r="P52" i="3"/>
  <c r="J53" i="3"/>
  <c r="K53" i="3"/>
  <c r="L53" i="3"/>
  <c r="M53" i="3"/>
  <c r="N53" i="3"/>
  <c r="O53" i="3"/>
  <c r="P53" i="3"/>
  <c r="J54" i="3"/>
  <c r="K54" i="3"/>
  <c r="L54" i="3"/>
  <c r="M54" i="3"/>
  <c r="N54" i="3"/>
  <c r="O54" i="3"/>
  <c r="P54" i="3"/>
  <c r="J55" i="3"/>
  <c r="K55" i="3"/>
  <c r="L55" i="3"/>
  <c r="M55" i="3"/>
  <c r="N55" i="3"/>
  <c r="O55" i="3"/>
  <c r="P55" i="3"/>
  <c r="J56" i="3"/>
  <c r="K56" i="3"/>
  <c r="L56" i="3"/>
  <c r="M56" i="3"/>
  <c r="N56" i="3"/>
  <c r="O56" i="3"/>
  <c r="P56" i="3"/>
  <c r="J57" i="3"/>
  <c r="K57" i="3"/>
  <c r="L57" i="3"/>
  <c r="M57" i="3"/>
  <c r="N57" i="3"/>
  <c r="O57" i="3"/>
  <c r="P57" i="3"/>
  <c r="J58" i="3"/>
  <c r="K58" i="3"/>
  <c r="L58" i="3"/>
  <c r="M58" i="3"/>
  <c r="N58" i="3"/>
  <c r="O58" i="3"/>
  <c r="P58" i="3"/>
  <c r="J59" i="3"/>
  <c r="K59" i="3"/>
  <c r="L59" i="3"/>
  <c r="M59" i="3"/>
  <c r="N59" i="3"/>
  <c r="O59" i="3"/>
  <c r="P59" i="3"/>
  <c r="J60" i="3"/>
  <c r="K60" i="3"/>
  <c r="L60" i="3"/>
  <c r="M60" i="3"/>
  <c r="N60" i="3"/>
  <c r="O60" i="3"/>
  <c r="P60" i="3"/>
  <c r="J61" i="3"/>
  <c r="K61" i="3"/>
  <c r="L61" i="3"/>
  <c r="M61" i="3"/>
  <c r="N61" i="3"/>
  <c r="O61" i="3"/>
  <c r="P61" i="3"/>
  <c r="J62" i="3"/>
  <c r="K62" i="3"/>
  <c r="L62" i="3"/>
  <c r="M62" i="3"/>
  <c r="N62" i="3"/>
  <c r="O62" i="3"/>
  <c r="P62" i="3"/>
  <c r="J63" i="3"/>
  <c r="K63" i="3"/>
  <c r="L63" i="3"/>
  <c r="M63" i="3"/>
  <c r="N63" i="3"/>
  <c r="O63" i="3"/>
  <c r="P63" i="3"/>
  <c r="J64" i="3"/>
  <c r="K64" i="3"/>
  <c r="L64" i="3"/>
  <c r="M64" i="3"/>
  <c r="N64" i="3"/>
  <c r="O64" i="3"/>
  <c r="P64" i="3"/>
  <c r="J65" i="3"/>
  <c r="K65" i="3"/>
  <c r="L65" i="3"/>
  <c r="M65" i="3"/>
  <c r="N65" i="3"/>
  <c r="O65" i="3"/>
  <c r="P65" i="3"/>
  <c r="J66" i="3"/>
  <c r="K66" i="3"/>
  <c r="L66" i="3"/>
  <c r="M66" i="3"/>
  <c r="N66" i="3"/>
  <c r="O66" i="3"/>
  <c r="P66" i="3"/>
  <c r="J67" i="3"/>
  <c r="K67" i="3"/>
  <c r="L67" i="3"/>
  <c r="M67" i="3"/>
  <c r="N67" i="3"/>
  <c r="O67" i="3"/>
  <c r="P67" i="3"/>
  <c r="J68" i="3"/>
  <c r="K68" i="3"/>
  <c r="L68" i="3"/>
  <c r="M68" i="3"/>
  <c r="N68" i="3"/>
  <c r="O68" i="3"/>
  <c r="P68" i="3"/>
  <c r="J69" i="3"/>
  <c r="K69" i="3"/>
  <c r="L69" i="3"/>
  <c r="M69" i="3"/>
  <c r="N69" i="3"/>
  <c r="O69" i="3"/>
  <c r="P69" i="3"/>
  <c r="J70" i="3"/>
  <c r="K70" i="3"/>
  <c r="L70" i="3"/>
  <c r="M70" i="3"/>
  <c r="N70" i="3"/>
  <c r="O70" i="3"/>
  <c r="P70" i="3"/>
  <c r="J71" i="3"/>
  <c r="K71" i="3"/>
  <c r="L71" i="3"/>
  <c r="M71" i="3"/>
  <c r="N71" i="3"/>
  <c r="O71" i="3"/>
  <c r="P71" i="3"/>
  <c r="J72" i="3"/>
  <c r="K72" i="3"/>
  <c r="L72" i="3"/>
  <c r="M72" i="3"/>
  <c r="N72" i="3"/>
  <c r="O72" i="3"/>
  <c r="P72" i="3"/>
  <c r="J73" i="3"/>
  <c r="K73" i="3"/>
  <c r="L73" i="3"/>
  <c r="M73" i="3"/>
  <c r="N73" i="3"/>
  <c r="O73" i="3"/>
  <c r="P73" i="3"/>
  <c r="J74" i="3"/>
  <c r="K74" i="3"/>
  <c r="L74" i="3"/>
  <c r="M74" i="3"/>
  <c r="N74" i="3"/>
  <c r="O74" i="3"/>
  <c r="P74" i="3"/>
  <c r="J75" i="3"/>
  <c r="K75" i="3"/>
  <c r="L75" i="3"/>
  <c r="M75" i="3"/>
  <c r="N75" i="3"/>
  <c r="O75" i="3"/>
  <c r="P75" i="3"/>
  <c r="J76" i="3"/>
  <c r="K76" i="3"/>
  <c r="L76" i="3"/>
  <c r="M76" i="3"/>
  <c r="N76" i="3"/>
  <c r="O76" i="3"/>
  <c r="P76" i="3"/>
  <c r="J77" i="3"/>
  <c r="K77" i="3"/>
  <c r="L77" i="3"/>
  <c r="M77" i="3"/>
  <c r="N77" i="3"/>
  <c r="O77" i="3"/>
  <c r="P77" i="3"/>
  <c r="J78" i="3"/>
  <c r="K78" i="3"/>
  <c r="L78" i="3"/>
  <c r="M78" i="3"/>
  <c r="N78" i="3"/>
  <c r="O78" i="3"/>
  <c r="P78" i="3"/>
  <c r="J79" i="3"/>
  <c r="K79" i="3"/>
  <c r="L79" i="3"/>
  <c r="M79" i="3"/>
  <c r="N79" i="3"/>
  <c r="O79" i="3"/>
  <c r="P79" i="3"/>
  <c r="J80" i="3"/>
  <c r="K80" i="3"/>
  <c r="L80" i="3"/>
  <c r="M80" i="3"/>
  <c r="N80" i="3"/>
  <c r="O80" i="3"/>
  <c r="P80" i="3"/>
  <c r="J81" i="3"/>
  <c r="K81" i="3"/>
  <c r="L81" i="3"/>
  <c r="M81" i="3"/>
  <c r="N81" i="3"/>
  <c r="O81" i="3"/>
  <c r="P81" i="3"/>
  <c r="J82" i="3"/>
  <c r="K82" i="3"/>
  <c r="L82" i="3"/>
  <c r="M82" i="3"/>
  <c r="N82" i="3"/>
  <c r="O82" i="3"/>
  <c r="P82" i="3"/>
  <c r="J83" i="3"/>
  <c r="K83" i="3"/>
  <c r="L83" i="3"/>
  <c r="M83" i="3"/>
  <c r="N83" i="3"/>
  <c r="O83" i="3"/>
  <c r="P83" i="3"/>
  <c r="J84" i="3"/>
  <c r="K84" i="3"/>
  <c r="L84" i="3"/>
  <c r="M84" i="3"/>
  <c r="N84" i="3"/>
  <c r="O84" i="3"/>
  <c r="P84" i="3"/>
  <c r="J85" i="3"/>
  <c r="K85" i="3"/>
  <c r="L85" i="3"/>
  <c r="M85" i="3"/>
  <c r="N85" i="3"/>
  <c r="O85" i="3"/>
  <c r="P85" i="3"/>
  <c r="J86" i="3"/>
  <c r="K86" i="3"/>
  <c r="L86" i="3"/>
  <c r="M86" i="3"/>
  <c r="N86" i="3"/>
  <c r="O86" i="3"/>
  <c r="P86" i="3"/>
  <c r="K87" i="3"/>
  <c r="L87" i="3"/>
  <c r="M87" i="3"/>
  <c r="N87" i="3"/>
  <c r="O87" i="3"/>
  <c r="P87" i="3"/>
  <c r="P20" i="3"/>
  <c r="O20" i="3"/>
  <c r="N20" i="3"/>
  <c r="M20" i="3"/>
  <c r="L20" i="3"/>
  <c r="K20" i="3"/>
  <c r="J20" i="3"/>
  <c r="M29" i="2"/>
  <c r="N25" i="2"/>
  <c r="J42" i="2"/>
  <c r="J22" i="2"/>
  <c r="K22" i="2"/>
  <c r="L22" i="2"/>
  <c r="M22" i="2"/>
  <c r="O22" i="2"/>
  <c r="P22" i="2"/>
  <c r="J23" i="2"/>
  <c r="K23" i="2"/>
  <c r="L23" i="2"/>
  <c r="M23" i="2"/>
  <c r="N23" i="2"/>
  <c r="O23" i="2"/>
  <c r="P23" i="2"/>
  <c r="J24" i="2"/>
  <c r="K24" i="2"/>
  <c r="L24" i="2"/>
  <c r="M24" i="2"/>
  <c r="N24" i="2"/>
  <c r="O24" i="2"/>
  <c r="P24" i="2"/>
  <c r="J25" i="2"/>
  <c r="K25" i="2"/>
  <c r="L25" i="2"/>
  <c r="M25" i="2"/>
  <c r="O25" i="2"/>
  <c r="P25" i="2"/>
  <c r="J26" i="2"/>
  <c r="K26" i="2"/>
  <c r="L26" i="2"/>
  <c r="M26" i="2"/>
  <c r="N26" i="2"/>
  <c r="O26" i="2"/>
  <c r="P26" i="2"/>
  <c r="J27" i="2"/>
  <c r="K27" i="2"/>
  <c r="L27" i="2"/>
  <c r="M27" i="2"/>
  <c r="O27" i="2"/>
  <c r="P27" i="2"/>
  <c r="J28" i="2"/>
  <c r="K28" i="2"/>
  <c r="L28" i="2"/>
  <c r="M28" i="2"/>
  <c r="O28" i="2"/>
  <c r="P28" i="2"/>
  <c r="J29" i="2"/>
  <c r="K29" i="2"/>
  <c r="L29" i="2"/>
  <c r="O29" i="2"/>
  <c r="P29" i="2"/>
  <c r="J30" i="2"/>
  <c r="K30" i="2"/>
  <c r="L30" i="2"/>
  <c r="M30" i="2"/>
  <c r="N30" i="2"/>
  <c r="O30" i="2"/>
  <c r="P30" i="2"/>
  <c r="J31" i="2"/>
  <c r="K31" i="2"/>
  <c r="L31" i="2"/>
  <c r="M31" i="2"/>
  <c r="N31" i="2"/>
  <c r="O31" i="2"/>
  <c r="P31" i="2"/>
  <c r="J32" i="2"/>
  <c r="K32" i="2"/>
  <c r="L32" i="2"/>
  <c r="M32" i="2"/>
  <c r="N32" i="2"/>
  <c r="O32" i="2"/>
  <c r="P32" i="2"/>
  <c r="J33" i="2"/>
  <c r="K33" i="2"/>
  <c r="L33" i="2"/>
  <c r="M33" i="2"/>
  <c r="O33" i="2"/>
  <c r="P33" i="2"/>
  <c r="J34" i="2"/>
  <c r="K34" i="2"/>
  <c r="L34" i="2"/>
  <c r="M34" i="2"/>
  <c r="N34" i="2"/>
  <c r="O34" i="2"/>
  <c r="P34" i="2"/>
  <c r="J35" i="2"/>
  <c r="K35" i="2"/>
  <c r="L35" i="2"/>
  <c r="M35" i="2"/>
  <c r="N35" i="2"/>
  <c r="O35" i="2"/>
  <c r="P35" i="2"/>
  <c r="J36" i="2"/>
  <c r="K36" i="2"/>
  <c r="L36" i="2"/>
  <c r="M36" i="2"/>
  <c r="N36" i="2"/>
  <c r="O36" i="2"/>
  <c r="P36" i="2"/>
  <c r="J37" i="2"/>
  <c r="K37" i="2"/>
  <c r="L37" i="2"/>
  <c r="M37" i="2"/>
  <c r="N37" i="2"/>
  <c r="O37" i="2"/>
  <c r="P37" i="2"/>
  <c r="J38" i="2"/>
  <c r="K38" i="2"/>
  <c r="L38" i="2"/>
  <c r="M38" i="2"/>
  <c r="O38" i="2"/>
  <c r="P38" i="2"/>
  <c r="J39" i="2"/>
  <c r="K39" i="2"/>
  <c r="L39" i="2"/>
  <c r="M39" i="2"/>
  <c r="N39" i="2"/>
  <c r="O39" i="2"/>
  <c r="P39" i="2"/>
  <c r="J40" i="2"/>
  <c r="K40" i="2"/>
  <c r="L40" i="2"/>
  <c r="M40" i="2"/>
  <c r="O40" i="2"/>
  <c r="P40" i="2"/>
  <c r="J41" i="2"/>
  <c r="K41" i="2"/>
  <c r="L41" i="2"/>
  <c r="M41" i="2"/>
  <c r="N41" i="2"/>
  <c r="O41" i="2"/>
  <c r="P41" i="2"/>
  <c r="K42" i="2"/>
  <c r="L42" i="2"/>
  <c r="M42" i="2"/>
  <c r="N42" i="2"/>
  <c r="O42" i="2"/>
  <c r="P42" i="2"/>
  <c r="J43" i="2"/>
  <c r="K43" i="2"/>
  <c r="L43" i="2"/>
  <c r="M43" i="2"/>
  <c r="N43" i="2"/>
  <c r="O43" i="2"/>
  <c r="P43" i="2"/>
  <c r="J44" i="2"/>
  <c r="K44" i="2"/>
  <c r="L44" i="2"/>
  <c r="M44" i="2"/>
  <c r="N44" i="2"/>
  <c r="O44" i="2"/>
  <c r="P44" i="2"/>
  <c r="J45" i="2"/>
  <c r="K45" i="2"/>
  <c r="L45" i="2"/>
  <c r="M45" i="2"/>
  <c r="O45" i="2"/>
  <c r="P45" i="2"/>
  <c r="J46" i="2"/>
  <c r="K46" i="2"/>
  <c r="L46" i="2"/>
  <c r="M46" i="2"/>
  <c r="O46" i="2"/>
  <c r="P46" i="2"/>
  <c r="J47" i="2"/>
  <c r="K47" i="2"/>
  <c r="L47" i="2"/>
  <c r="M47" i="2"/>
  <c r="O47" i="2"/>
  <c r="P47" i="2"/>
  <c r="J48" i="2"/>
  <c r="K48" i="2"/>
  <c r="L48" i="2"/>
  <c r="M48" i="2"/>
  <c r="N48" i="2"/>
  <c r="O48" i="2"/>
  <c r="P48" i="2"/>
  <c r="J49" i="2"/>
  <c r="K49" i="2"/>
  <c r="L49" i="2"/>
  <c r="M49" i="2"/>
  <c r="O49" i="2"/>
  <c r="P49" i="2"/>
  <c r="J50" i="2"/>
  <c r="K50" i="2"/>
  <c r="L50" i="2"/>
  <c r="M50" i="2"/>
  <c r="O50" i="2"/>
  <c r="P50" i="2"/>
  <c r="J51" i="2"/>
  <c r="K51" i="2"/>
  <c r="L51" i="2"/>
  <c r="M51" i="2"/>
  <c r="N51" i="2"/>
  <c r="O51" i="2"/>
  <c r="P51" i="2"/>
  <c r="J52" i="2"/>
  <c r="K52" i="2"/>
  <c r="L52" i="2"/>
  <c r="M52" i="2"/>
  <c r="N52" i="2"/>
  <c r="O52" i="2"/>
  <c r="P52" i="2"/>
  <c r="J53" i="2"/>
  <c r="K53" i="2"/>
  <c r="L53" i="2"/>
  <c r="M53" i="2"/>
  <c r="N53" i="2"/>
  <c r="O53" i="2"/>
  <c r="P53" i="2"/>
  <c r="J54" i="2"/>
  <c r="K54" i="2"/>
  <c r="L54" i="2"/>
  <c r="M54" i="2"/>
  <c r="N54" i="2"/>
  <c r="O54" i="2"/>
  <c r="P54" i="2"/>
  <c r="J55" i="2"/>
  <c r="K55" i="2"/>
  <c r="L55" i="2"/>
  <c r="M55" i="2"/>
  <c r="N55" i="2"/>
  <c r="O55" i="2"/>
  <c r="P55" i="2"/>
  <c r="J56" i="2"/>
  <c r="K56" i="2"/>
  <c r="L56" i="2"/>
  <c r="M56" i="2"/>
  <c r="O56" i="2"/>
  <c r="P56" i="2"/>
  <c r="J57" i="2"/>
  <c r="K57" i="2"/>
  <c r="L57" i="2"/>
  <c r="M57" i="2"/>
  <c r="O57" i="2"/>
  <c r="P57" i="2"/>
  <c r="J58" i="2"/>
  <c r="K58" i="2"/>
  <c r="L58" i="2"/>
  <c r="M58" i="2"/>
  <c r="N58" i="2"/>
  <c r="O58" i="2"/>
  <c r="P58" i="2"/>
  <c r="J59" i="2"/>
  <c r="K59" i="2"/>
  <c r="L59" i="2"/>
  <c r="M59" i="2"/>
  <c r="O59" i="2"/>
  <c r="P59" i="2"/>
  <c r="J60" i="2"/>
  <c r="K60" i="2"/>
  <c r="L60" i="2"/>
  <c r="M60" i="2"/>
  <c r="O60" i="2"/>
  <c r="P60" i="2"/>
  <c r="J61" i="2"/>
  <c r="K61" i="2"/>
  <c r="L61" i="2"/>
  <c r="M61" i="2"/>
  <c r="O61" i="2"/>
  <c r="P61" i="2"/>
  <c r="J62" i="2"/>
  <c r="K62" i="2"/>
  <c r="L62" i="2"/>
  <c r="M62" i="2"/>
  <c r="O62" i="2"/>
  <c r="P62" i="2"/>
  <c r="J63" i="2"/>
  <c r="K63" i="2"/>
  <c r="L63" i="2"/>
  <c r="M63" i="2"/>
  <c r="O63" i="2"/>
  <c r="P63" i="2"/>
  <c r="J64" i="2"/>
  <c r="K64" i="2"/>
  <c r="L64" i="2"/>
  <c r="M64" i="2"/>
  <c r="N64" i="2"/>
  <c r="O64" i="2"/>
  <c r="P64" i="2"/>
  <c r="J65" i="2"/>
  <c r="K65" i="2"/>
  <c r="L65" i="2"/>
  <c r="M65" i="2"/>
  <c r="O65" i="2"/>
  <c r="P65" i="2"/>
  <c r="J66" i="2"/>
  <c r="K66" i="2"/>
  <c r="L66" i="2"/>
  <c r="M66" i="2"/>
  <c r="N66" i="2"/>
  <c r="O66" i="2"/>
  <c r="P66" i="2"/>
  <c r="J67" i="2"/>
  <c r="K67" i="2"/>
  <c r="L67" i="2"/>
  <c r="M67" i="2"/>
  <c r="O67" i="2"/>
  <c r="P67" i="2"/>
  <c r="J68" i="2"/>
  <c r="K68" i="2"/>
  <c r="L68" i="2"/>
  <c r="M68" i="2"/>
  <c r="N68" i="2"/>
  <c r="O68" i="2"/>
  <c r="P68" i="2"/>
  <c r="J69" i="2"/>
  <c r="K69" i="2"/>
  <c r="L69" i="2"/>
  <c r="M69" i="2"/>
  <c r="O69" i="2"/>
  <c r="P69" i="2"/>
  <c r="J70" i="2"/>
  <c r="K70" i="2"/>
  <c r="L70" i="2"/>
  <c r="M70" i="2"/>
  <c r="N70" i="2"/>
  <c r="O70" i="2"/>
  <c r="P70" i="2"/>
  <c r="J71" i="2"/>
  <c r="K71" i="2"/>
  <c r="L71" i="2"/>
  <c r="M71" i="2"/>
  <c r="O71" i="2"/>
  <c r="P71" i="2"/>
  <c r="J72" i="2"/>
  <c r="K72" i="2"/>
  <c r="L72" i="2"/>
  <c r="M72" i="2"/>
  <c r="N72" i="2"/>
  <c r="O72" i="2"/>
  <c r="P72" i="2"/>
  <c r="J73" i="2"/>
  <c r="K73" i="2"/>
  <c r="L73" i="2"/>
  <c r="M73" i="2"/>
  <c r="N73" i="2"/>
  <c r="O73" i="2"/>
  <c r="P73" i="2"/>
  <c r="J74" i="2"/>
  <c r="K74" i="2"/>
  <c r="L74" i="2"/>
  <c r="M74" i="2"/>
  <c r="O74" i="2"/>
  <c r="P74" i="2"/>
  <c r="J75" i="2"/>
  <c r="K75" i="2"/>
  <c r="L75" i="2"/>
  <c r="M75" i="2"/>
  <c r="N75" i="2"/>
  <c r="O75" i="2"/>
  <c r="P75" i="2"/>
  <c r="J76" i="2"/>
  <c r="K76" i="2"/>
  <c r="L76" i="2"/>
  <c r="M76" i="2"/>
  <c r="N76" i="2"/>
  <c r="O76" i="2"/>
  <c r="P76" i="2"/>
  <c r="J77" i="2"/>
  <c r="K77" i="2"/>
  <c r="L77" i="2"/>
  <c r="M77" i="2"/>
  <c r="N77" i="2"/>
  <c r="O77" i="2"/>
  <c r="P77" i="2"/>
  <c r="J78" i="2"/>
  <c r="K78" i="2"/>
  <c r="L78" i="2"/>
  <c r="M78" i="2"/>
  <c r="O78" i="2"/>
  <c r="P78" i="2"/>
  <c r="J79" i="2"/>
  <c r="K79" i="2"/>
  <c r="L79" i="2"/>
  <c r="M79" i="2"/>
  <c r="O79" i="2"/>
  <c r="P79" i="2"/>
  <c r="J80" i="2"/>
  <c r="K80" i="2"/>
  <c r="L80" i="2"/>
  <c r="M80" i="2"/>
  <c r="O80" i="2"/>
  <c r="P80" i="2"/>
  <c r="J81" i="2"/>
  <c r="K81" i="2"/>
  <c r="L81" i="2"/>
  <c r="M81" i="2"/>
  <c r="N81" i="2"/>
  <c r="O81" i="2"/>
  <c r="P81" i="2"/>
  <c r="J82" i="2"/>
  <c r="K82" i="2"/>
  <c r="L82" i="2"/>
  <c r="M82" i="2"/>
  <c r="O82" i="2"/>
  <c r="P82" i="2"/>
  <c r="J83" i="2"/>
  <c r="K83" i="2"/>
  <c r="L83" i="2"/>
  <c r="M83" i="2"/>
  <c r="O83" i="2"/>
  <c r="P83" i="2"/>
  <c r="J84" i="2"/>
  <c r="K84" i="2"/>
  <c r="L84" i="2"/>
  <c r="M84" i="2"/>
  <c r="N84" i="2"/>
  <c r="O84" i="2"/>
  <c r="P84" i="2"/>
  <c r="J85" i="2"/>
  <c r="K85" i="2"/>
  <c r="L85" i="2"/>
  <c r="M85" i="2"/>
  <c r="N85" i="2"/>
  <c r="O85" i="2"/>
  <c r="P85" i="2"/>
  <c r="J86" i="2"/>
  <c r="K86" i="2"/>
  <c r="L86" i="2"/>
  <c r="M86" i="2"/>
  <c r="O86" i="2"/>
  <c r="P86" i="2"/>
  <c r="J87" i="2"/>
  <c r="K87" i="2"/>
  <c r="L87" i="2"/>
  <c r="M87" i="2"/>
  <c r="O87" i="2"/>
  <c r="P87" i="2"/>
  <c r="J88" i="2"/>
  <c r="K88" i="2"/>
  <c r="L88" i="2"/>
  <c r="M88" i="2"/>
  <c r="N88" i="2"/>
  <c r="O88" i="2"/>
  <c r="P88" i="2"/>
  <c r="J89" i="2"/>
  <c r="K89" i="2"/>
  <c r="L89" i="2"/>
  <c r="M89" i="2"/>
  <c r="N89" i="2"/>
  <c r="O89" i="2"/>
  <c r="P89" i="2"/>
  <c r="J90" i="2"/>
  <c r="K90" i="2"/>
  <c r="L90" i="2"/>
  <c r="M90" i="2"/>
  <c r="O90" i="2"/>
  <c r="P90" i="2"/>
  <c r="J91" i="2"/>
  <c r="K91" i="2"/>
  <c r="L91" i="2"/>
  <c r="M91" i="2"/>
  <c r="N91" i="2"/>
  <c r="O91" i="2"/>
  <c r="P91" i="2"/>
  <c r="J92" i="2"/>
  <c r="K92" i="2"/>
  <c r="L92" i="2"/>
  <c r="M92" i="2"/>
  <c r="O92" i="2"/>
  <c r="P92" i="2"/>
  <c r="J93" i="2"/>
  <c r="K93" i="2"/>
  <c r="L93" i="2"/>
  <c r="M93" i="2"/>
  <c r="N93" i="2"/>
  <c r="O93" i="2"/>
  <c r="P93" i="2"/>
  <c r="J94" i="2"/>
  <c r="K94" i="2"/>
  <c r="L94" i="2"/>
  <c r="M94" i="2"/>
  <c r="O94" i="2"/>
  <c r="P94" i="2"/>
  <c r="J95" i="2"/>
  <c r="K95" i="2"/>
  <c r="L95" i="2"/>
  <c r="M95" i="2"/>
  <c r="N95" i="2"/>
  <c r="O95" i="2"/>
  <c r="P95" i="2"/>
  <c r="J96" i="2"/>
  <c r="K96" i="2"/>
  <c r="L96" i="2"/>
  <c r="M96" i="2"/>
  <c r="N96" i="2"/>
  <c r="O96" i="2"/>
  <c r="P96" i="2"/>
  <c r="J97" i="2"/>
  <c r="K97" i="2"/>
  <c r="L97" i="2"/>
  <c r="M97" i="2"/>
  <c r="N97" i="2"/>
  <c r="O97" i="2"/>
  <c r="P97" i="2"/>
  <c r="J98" i="2"/>
  <c r="K98" i="2"/>
  <c r="L98" i="2"/>
  <c r="M98" i="2"/>
  <c r="O98" i="2"/>
  <c r="P98" i="2"/>
  <c r="J99" i="2"/>
  <c r="K99" i="2"/>
  <c r="L99" i="2"/>
  <c r="M99" i="2"/>
  <c r="N99" i="2"/>
  <c r="O99" i="2"/>
  <c r="P99" i="2"/>
  <c r="J100" i="2"/>
  <c r="K100" i="2"/>
  <c r="L100" i="2"/>
  <c r="M100" i="2"/>
  <c r="O100" i="2"/>
  <c r="P100" i="2"/>
  <c r="J101" i="2"/>
  <c r="K101" i="2"/>
  <c r="L101" i="2"/>
  <c r="M101" i="2"/>
  <c r="O101" i="2"/>
  <c r="P101" i="2"/>
  <c r="J102" i="2"/>
  <c r="K102" i="2"/>
  <c r="L102" i="2"/>
  <c r="M102" i="2"/>
  <c r="O102" i="2"/>
  <c r="P102" i="2"/>
  <c r="J103" i="2"/>
  <c r="K103" i="2"/>
  <c r="L103" i="2"/>
  <c r="M103" i="2"/>
  <c r="O103" i="2"/>
  <c r="P103" i="2"/>
  <c r="J104" i="2"/>
  <c r="K104" i="2"/>
  <c r="L104" i="2"/>
  <c r="M104" i="2"/>
  <c r="O104" i="2"/>
  <c r="P104" i="2"/>
  <c r="J105" i="2"/>
  <c r="K105" i="2"/>
  <c r="L105" i="2"/>
  <c r="M105" i="2"/>
  <c r="N105" i="2"/>
  <c r="O105" i="2"/>
  <c r="P105" i="2"/>
  <c r="J106" i="2"/>
  <c r="K106" i="2"/>
  <c r="L106" i="2"/>
  <c r="M106" i="2"/>
  <c r="N106" i="2"/>
  <c r="O106" i="2"/>
  <c r="P106" i="2"/>
  <c r="J107" i="2"/>
  <c r="K107" i="2"/>
  <c r="L107" i="2"/>
  <c r="M107" i="2"/>
  <c r="N107" i="2"/>
  <c r="O107" i="2"/>
  <c r="P107" i="2"/>
  <c r="J108" i="2"/>
  <c r="K108" i="2"/>
  <c r="L108" i="2"/>
  <c r="M108" i="2"/>
  <c r="O108" i="2"/>
  <c r="P108" i="2"/>
  <c r="J109" i="2"/>
  <c r="K109" i="2"/>
  <c r="L109" i="2"/>
  <c r="M109" i="2"/>
  <c r="O109" i="2"/>
  <c r="P109" i="2"/>
  <c r="J110" i="2"/>
  <c r="K110" i="2"/>
  <c r="L110" i="2"/>
  <c r="M110" i="2"/>
  <c r="O110" i="2"/>
  <c r="P110" i="2"/>
  <c r="J111" i="2"/>
  <c r="K111" i="2"/>
  <c r="L111" i="2"/>
  <c r="M111" i="2"/>
  <c r="N111" i="2"/>
  <c r="O111" i="2"/>
  <c r="P111" i="2"/>
  <c r="J112" i="2"/>
  <c r="K112" i="2"/>
  <c r="L112" i="2"/>
  <c r="M112" i="2"/>
  <c r="O112" i="2"/>
  <c r="P112" i="2"/>
  <c r="J113" i="2"/>
  <c r="K113" i="2"/>
  <c r="L113" i="2"/>
  <c r="M113" i="2"/>
  <c r="N113" i="2"/>
  <c r="O113" i="2"/>
  <c r="P113" i="2"/>
  <c r="J114" i="2"/>
  <c r="K114" i="2"/>
  <c r="L114" i="2"/>
  <c r="M114" i="2"/>
  <c r="O114" i="2"/>
  <c r="P114" i="2"/>
  <c r="J115" i="2"/>
  <c r="K115" i="2"/>
  <c r="L115" i="2"/>
  <c r="M115" i="2"/>
  <c r="O115" i="2"/>
  <c r="P115" i="2"/>
  <c r="J116" i="2"/>
  <c r="K116" i="2"/>
  <c r="L116" i="2"/>
  <c r="M116" i="2"/>
  <c r="N116" i="2"/>
  <c r="O116" i="2"/>
  <c r="P116" i="2"/>
  <c r="J117" i="2"/>
  <c r="K117" i="2"/>
  <c r="L117" i="2"/>
  <c r="M117" i="2"/>
  <c r="N117" i="2"/>
  <c r="O117" i="2"/>
  <c r="P117" i="2"/>
  <c r="J118" i="2"/>
  <c r="K118" i="2"/>
  <c r="L118" i="2"/>
  <c r="M118" i="2"/>
  <c r="O118" i="2"/>
  <c r="P118" i="2"/>
  <c r="J119" i="2"/>
  <c r="K119" i="2"/>
  <c r="L119" i="2"/>
  <c r="M119" i="2"/>
  <c r="N119" i="2"/>
  <c r="O119" i="2"/>
  <c r="P119" i="2"/>
  <c r="J120" i="2"/>
  <c r="K120" i="2"/>
  <c r="L120" i="2"/>
  <c r="M120" i="2"/>
  <c r="N120" i="2"/>
  <c r="O120" i="2"/>
  <c r="P120" i="2"/>
  <c r="J121" i="2"/>
  <c r="K121" i="2"/>
  <c r="L121" i="2"/>
  <c r="M121" i="2"/>
  <c r="N121" i="2"/>
  <c r="O121" i="2"/>
  <c r="P121" i="2"/>
  <c r="J122" i="2"/>
  <c r="K122" i="2"/>
  <c r="L122" i="2"/>
  <c r="M122" i="2"/>
  <c r="O122" i="2"/>
  <c r="P122" i="2"/>
  <c r="J123" i="2"/>
  <c r="K123" i="2"/>
  <c r="L123" i="2"/>
  <c r="M123" i="2"/>
  <c r="N123" i="2"/>
  <c r="O123" i="2"/>
  <c r="P123" i="2"/>
  <c r="J124" i="2"/>
  <c r="K124" i="2"/>
  <c r="L124" i="2"/>
  <c r="M124" i="2"/>
  <c r="O124" i="2"/>
  <c r="P124" i="2"/>
  <c r="J125" i="2"/>
  <c r="K125" i="2"/>
  <c r="L125" i="2"/>
  <c r="M125" i="2"/>
  <c r="N125" i="2"/>
  <c r="O125" i="2"/>
  <c r="P125" i="2"/>
  <c r="J126" i="2"/>
  <c r="K126" i="2"/>
  <c r="L126" i="2"/>
  <c r="M126" i="2"/>
  <c r="N126" i="2"/>
  <c r="O126" i="2"/>
  <c r="P126" i="2"/>
  <c r="J127" i="2"/>
  <c r="K127" i="2"/>
  <c r="L127" i="2"/>
  <c r="M127" i="2"/>
  <c r="O127" i="2"/>
  <c r="P127" i="2"/>
  <c r="J128" i="2"/>
  <c r="K128" i="2"/>
  <c r="L128" i="2"/>
  <c r="M128" i="2"/>
  <c r="O128" i="2"/>
  <c r="P128" i="2"/>
  <c r="J129" i="2"/>
  <c r="K129" i="2"/>
  <c r="L129" i="2"/>
  <c r="M129" i="2"/>
  <c r="N129" i="2"/>
  <c r="O129" i="2"/>
  <c r="P129" i="2"/>
  <c r="J130" i="2"/>
  <c r="K130" i="2"/>
  <c r="L130" i="2"/>
  <c r="M130" i="2"/>
  <c r="N130" i="2"/>
  <c r="O130" i="2"/>
  <c r="P130" i="2"/>
  <c r="J131" i="2"/>
  <c r="K131" i="2"/>
  <c r="L131" i="2"/>
  <c r="M131" i="2"/>
  <c r="N131" i="2"/>
  <c r="O131" i="2"/>
  <c r="P131" i="2"/>
  <c r="J132" i="2"/>
  <c r="K132" i="2"/>
  <c r="L132" i="2"/>
  <c r="M132" i="2"/>
  <c r="O132" i="2"/>
  <c r="P132" i="2"/>
  <c r="J133" i="2"/>
  <c r="K133" i="2"/>
  <c r="L133" i="2"/>
  <c r="M133" i="2"/>
  <c r="O133" i="2"/>
  <c r="P133" i="2"/>
  <c r="J134" i="2"/>
  <c r="K134" i="2"/>
  <c r="L134" i="2"/>
  <c r="M134" i="2"/>
  <c r="O134" i="2"/>
  <c r="P134" i="2"/>
  <c r="J135" i="2"/>
  <c r="K135" i="2"/>
  <c r="L135" i="2"/>
  <c r="M135" i="2"/>
  <c r="N135" i="2"/>
  <c r="O135" i="2"/>
  <c r="P135" i="2"/>
  <c r="J136" i="2"/>
  <c r="K136" i="2"/>
  <c r="L136" i="2"/>
  <c r="M136" i="2"/>
  <c r="N136" i="2"/>
  <c r="O136" i="2"/>
  <c r="P136" i="2"/>
  <c r="J137" i="2"/>
  <c r="K137" i="2"/>
  <c r="L137" i="2"/>
  <c r="M137" i="2"/>
  <c r="O137" i="2"/>
  <c r="P137" i="2"/>
  <c r="J138" i="2"/>
  <c r="K138" i="2"/>
  <c r="L138" i="2"/>
  <c r="M138" i="2"/>
  <c r="O138" i="2"/>
  <c r="P138" i="2"/>
  <c r="J139" i="2"/>
  <c r="K139" i="2"/>
  <c r="L139" i="2"/>
  <c r="M139" i="2"/>
  <c r="N139" i="2"/>
  <c r="O139" i="2"/>
  <c r="P139" i="2"/>
  <c r="J140" i="2"/>
  <c r="K140" i="2"/>
  <c r="L140" i="2"/>
  <c r="M140" i="2"/>
  <c r="N140" i="2"/>
  <c r="O140" i="2"/>
  <c r="P140" i="2"/>
  <c r="J141" i="2"/>
  <c r="K141" i="2"/>
  <c r="L141" i="2"/>
  <c r="M141" i="2"/>
  <c r="N141" i="2"/>
  <c r="O141" i="2"/>
  <c r="P141" i="2"/>
  <c r="J142" i="2"/>
  <c r="K142" i="2"/>
  <c r="L142" i="2"/>
  <c r="M142" i="2"/>
  <c r="O142" i="2"/>
  <c r="P142" i="2"/>
  <c r="J143" i="2"/>
  <c r="K143" i="2"/>
  <c r="L143" i="2"/>
  <c r="M143" i="2"/>
  <c r="N143" i="2"/>
  <c r="O143" i="2"/>
  <c r="P143" i="2"/>
  <c r="J144" i="2"/>
  <c r="K144" i="2"/>
  <c r="L144" i="2"/>
  <c r="M144" i="2"/>
  <c r="N144" i="2"/>
  <c r="O144" i="2"/>
  <c r="P144" i="2"/>
  <c r="J145" i="2"/>
  <c r="K145" i="2"/>
  <c r="L145" i="2"/>
  <c r="M145" i="2"/>
  <c r="N145" i="2"/>
  <c r="O145" i="2"/>
  <c r="P145" i="2"/>
  <c r="J146" i="2"/>
  <c r="K146" i="2"/>
  <c r="L146" i="2"/>
  <c r="M146" i="2"/>
  <c r="N146" i="2"/>
  <c r="O146" i="2"/>
  <c r="P146" i="2"/>
  <c r="J147" i="2"/>
  <c r="K147" i="2"/>
  <c r="L147" i="2"/>
  <c r="M147" i="2"/>
  <c r="N147" i="2"/>
  <c r="O147" i="2"/>
  <c r="P147" i="2"/>
  <c r="J148" i="2"/>
  <c r="K148" i="2"/>
  <c r="L148" i="2"/>
  <c r="M148" i="2"/>
  <c r="O148" i="2"/>
  <c r="P148" i="2"/>
  <c r="J149" i="2"/>
  <c r="K149" i="2"/>
  <c r="L149" i="2"/>
  <c r="M149" i="2"/>
  <c r="O149" i="2"/>
  <c r="P149" i="2"/>
  <c r="J150" i="2"/>
  <c r="K150" i="2"/>
  <c r="L150" i="2"/>
  <c r="M150" i="2"/>
  <c r="O150" i="2"/>
  <c r="P150" i="2"/>
  <c r="J151" i="2"/>
  <c r="K151" i="2"/>
  <c r="L151" i="2"/>
  <c r="M151" i="2"/>
  <c r="O151" i="2"/>
  <c r="P151" i="2"/>
  <c r="J152" i="2"/>
  <c r="K152" i="2"/>
  <c r="L152" i="2"/>
  <c r="M152" i="2"/>
  <c r="N152" i="2"/>
  <c r="O152" i="2"/>
  <c r="P152" i="2"/>
  <c r="J153" i="2"/>
  <c r="K153" i="2"/>
  <c r="L153" i="2"/>
  <c r="M153" i="2"/>
  <c r="N153" i="2"/>
  <c r="O153" i="2"/>
  <c r="P153" i="2"/>
  <c r="J154" i="2"/>
  <c r="K154" i="2"/>
  <c r="L154" i="2"/>
  <c r="M154" i="2"/>
  <c r="N154" i="2"/>
  <c r="O154" i="2"/>
  <c r="P154" i="2"/>
  <c r="J155" i="2"/>
  <c r="K155" i="2"/>
  <c r="L155" i="2"/>
  <c r="M155" i="2"/>
  <c r="O155" i="2"/>
  <c r="P155" i="2"/>
  <c r="J156" i="2"/>
  <c r="K156" i="2"/>
  <c r="L156" i="2"/>
  <c r="M156" i="2"/>
  <c r="O156" i="2"/>
  <c r="P156" i="2"/>
  <c r="J157" i="2"/>
  <c r="K157" i="2"/>
  <c r="L157" i="2"/>
  <c r="M157" i="2"/>
  <c r="N157" i="2"/>
  <c r="O157" i="2"/>
  <c r="P157" i="2"/>
  <c r="J158" i="2"/>
  <c r="K158" i="2"/>
  <c r="L158" i="2"/>
  <c r="M158" i="2"/>
  <c r="O158" i="2"/>
  <c r="P158" i="2"/>
  <c r="J159" i="2"/>
  <c r="K159" i="2"/>
  <c r="L159" i="2"/>
  <c r="M159" i="2"/>
  <c r="O159" i="2"/>
  <c r="P159" i="2"/>
  <c r="J160" i="2"/>
  <c r="K160" i="2"/>
  <c r="L160" i="2"/>
  <c r="M160" i="2"/>
  <c r="N160" i="2"/>
  <c r="O160" i="2"/>
  <c r="P160" i="2"/>
  <c r="J161" i="2"/>
  <c r="K161" i="2"/>
  <c r="L161" i="2"/>
  <c r="M161" i="2"/>
  <c r="O161" i="2"/>
  <c r="P161" i="2"/>
  <c r="J162" i="2"/>
  <c r="K162" i="2"/>
  <c r="L162" i="2"/>
  <c r="M162" i="2"/>
  <c r="N162" i="2"/>
  <c r="O162" i="2"/>
  <c r="P162" i="2"/>
  <c r="J163" i="2"/>
  <c r="K163" i="2"/>
  <c r="L163" i="2"/>
  <c r="M163" i="2"/>
  <c r="O163" i="2"/>
  <c r="P163" i="2"/>
  <c r="J164" i="2"/>
  <c r="K164" i="2"/>
  <c r="L164" i="2"/>
  <c r="M164" i="2"/>
  <c r="N164" i="2"/>
  <c r="O164" i="2"/>
  <c r="P164" i="2"/>
  <c r="J165" i="2"/>
  <c r="K165" i="2"/>
  <c r="L165" i="2"/>
  <c r="M165" i="2"/>
  <c r="O165" i="2"/>
  <c r="P165" i="2"/>
  <c r="J166" i="2"/>
  <c r="K166" i="2"/>
  <c r="L166" i="2"/>
  <c r="M166" i="2"/>
  <c r="O166" i="2"/>
  <c r="P166" i="2"/>
  <c r="J167" i="2"/>
  <c r="K167" i="2"/>
  <c r="L167" i="2"/>
  <c r="M167" i="2"/>
  <c r="N167" i="2"/>
  <c r="O167" i="2"/>
  <c r="P167" i="2"/>
  <c r="J168" i="2"/>
  <c r="K168" i="2"/>
  <c r="L168" i="2"/>
  <c r="M168" i="2"/>
  <c r="O168" i="2"/>
  <c r="P168" i="2"/>
  <c r="J169" i="2"/>
  <c r="K169" i="2"/>
  <c r="L169" i="2"/>
  <c r="M169" i="2"/>
  <c r="N169" i="2"/>
  <c r="O169" i="2"/>
  <c r="P169" i="2"/>
  <c r="J170" i="2"/>
  <c r="K170" i="2"/>
  <c r="L170" i="2"/>
  <c r="M170" i="2"/>
  <c r="N170" i="2"/>
  <c r="O170" i="2"/>
  <c r="P170" i="2"/>
  <c r="J171" i="2"/>
  <c r="K171" i="2"/>
  <c r="L171" i="2"/>
  <c r="M171" i="2"/>
  <c r="N171" i="2"/>
  <c r="O171" i="2"/>
  <c r="P171" i="2"/>
  <c r="J172" i="2"/>
  <c r="K172" i="2"/>
  <c r="L172" i="2"/>
  <c r="M172" i="2"/>
  <c r="N172" i="2"/>
  <c r="O172" i="2"/>
  <c r="P172" i="2"/>
  <c r="J173" i="2"/>
  <c r="K173" i="2"/>
  <c r="L173" i="2"/>
  <c r="M173" i="2"/>
  <c r="N173" i="2"/>
  <c r="O173" i="2"/>
  <c r="P173" i="2"/>
  <c r="J174" i="2"/>
  <c r="K174" i="2"/>
  <c r="L174" i="2"/>
  <c r="M174" i="2"/>
  <c r="N174" i="2"/>
  <c r="O174" i="2"/>
  <c r="P174" i="2"/>
  <c r="J175" i="2"/>
  <c r="K175" i="2"/>
  <c r="L175" i="2"/>
  <c r="M175" i="2"/>
  <c r="N175" i="2"/>
  <c r="O175" i="2"/>
  <c r="P175" i="2"/>
  <c r="J176" i="2"/>
  <c r="K176" i="2"/>
  <c r="L176" i="2"/>
  <c r="M176" i="2"/>
  <c r="N176" i="2"/>
  <c r="O176" i="2"/>
  <c r="P176" i="2"/>
  <c r="J177" i="2"/>
  <c r="K177" i="2"/>
  <c r="L177" i="2"/>
  <c r="M177" i="2"/>
  <c r="N177" i="2"/>
  <c r="O177" i="2"/>
  <c r="P177" i="2"/>
  <c r="J178" i="2"/>
  <c r="K178" i="2"/>
  <c r="L178" i="2"/>
  <c r="M178" i="2"/>
  <c r="N178" i="2"/>
  <c r="O178" i="2"/>
  <c r="P178" i="2"/>
  <c r="P21" i="2"/>
  <c r="O21" i="2"/>
  <c r="N21" i="2"/>
  <c r="M21" i="2"/>
  <c r="L21" i="2"/>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6" i="1"/>
  <c r="K21" i="2"/>
  <c r="J21" i="2"/>
  <c r="I17" i="1"/>
  <c r="J17" i="1"/>
  <c r="L17" i="1"/>
  <c r="M17" i="1"/>
  <c r="N17" i="1"/>
  <c r="I18" i="1"/>
  <c r="J18" i="1"/>
  <c r="L18" i="1"/>
  <c r="M18" i="1"/>
  <c r="N18" i="1"/>
  <c r="I19" i="1"/>
  <c r="J19" i="1"/>
  <c r="L19" i="1"/>
  <c r="M19" i="1"/>
  <c r="N19" i="1"/>
  <c r="I20" i="1"/>
  <c r="J20" i="1"/>
  <c r="L20" i="1"/>
  <c r="M20" i="1"/>
  <c r="N20" i="1"/>
  <c r="I21" i="1"/>
  <c r="J21" i="1"/>
  <c r="L21" i="1"/>
  <c r="M21" i="1"/>
  <c r="N21" i="1"/>
  <c r="I22" i="1"/>
  <c r="J22" i="1"/>
  <c r="L22" i="1"/>
  <c r="M22" i="1"/>
  <c r="N22" i="1"/>
  <c r="I23" i="1"/>
  <c r="J23" i="1"/>
  <c r="L23" i="1"/>
  <c r="M23" i="1"/>
  <c r="N23" i="1"/>
  <c r="I24" i="1"/>
  <c r="J24" i="1"/>
  <c r="L24" i="1"/>
  <c r="M24" i="1"/>
  <c r="N24" i="1"/>
  <c r="I25" i="1"/>
  <c r="J25" i="1"/>
  <c r="L25" i="1"/>
  <c r="M25" i="1"/>
  <c r="N25" i="1"/>
  <c r="I26" i="1"/>
  <c r="J26" i="1"/>
  <c r="L26" i="1"/>
  <c r="M26" i="1"/>
  <c r="N26" i="1"/>
  <c r="I27" i="1"/>
  <c r="J27" i="1"/>
  <c r="L27" i="1"/>
  <c r="M27" i="1"/>
  <c r="N27" i="1"/>
  <c r="I28" i="1"/>
  <c r="J28" i="1"/>
  <c r="L28" i="1"/>
  <c r="M28" i="1"/>
  <c r="N28" i="1"/>
  <c r="I29" i="1"/>
  <c r="J29" i="1"/>
  <c r="L29" i="1"/>
  <c r="M29" i="1"/>
  <c r="N29" i="1"/>
  <c r="I30" i="1"/>
  <c r="J30" i="1"/>
  <c r="L30" i="1"/>
  <c r="M30" i="1"/>
  <c r="N30" i="1"/>
  <c r="I31" i="1"/>
  <c r="J31" i="1"/>
  <c r="L31" i="1"/>
  <c r="M31" i="1"/>
  <c r="N31" i="1"/>
  <c r="I32" i="1"/>
  <c r="J32" i="1"/>
  <c r="L32" i="1"/>
  <c r="M32" i="1"/>
  <c r="N32" i="1"/>
  <c r="I33" i="1"/>
  <c r="J33" i="1"/>
  <c r="L33" i="1"/>
  <c r="M33" i="1"/>
  <c r="N33" i="1"/>
  <c r="I34" i="1"/>
  <c r="J34" i="1"/>
  <c r="L34" i="1"/>
  <c r="M34" i="1"/>
  <c r="N34" i="1"/>
  <c r="I35" i="1"/>
  <c r="J35" i="1"/>
  <c r="L35" i="1"/>
  <c r="M35" i="1"/>
  <c r="N35" i="1"/>
  <c r="I36" i="1"/>
  <c r="J36" i="1"/>
  <c r="L36" i="1"/>
  <c r="M36" i="1"/>
  <c r="N36" i="1"/>
  <c r="I37" i="1"/>
  <c r="J37" i="1"/>
  <c r="L37" i="1"/>
  <c r="M37" i="1"/>
  <c r="N37" i="1"/>
  <c r="I38" i="1"/>
  <c r="J38" i="1"/>
  <c r="L38" i="1"/>
  <c r="M38" i="1"/>
  <c r="N38" i="1"/>
  <c r="I39" i="1"/>
  <c r="J39" i="1"/>
  <c r="L39" i="1"/>
  <c r="M39" i="1"/>
  <c r="N39" i="1"/>
  <c r="I40" i="1"/>
  <c r="J40" i="1"/>
  <c r="L40" i="1"/>
  <c r="M40" i="1"/>
  <c r="N40" i="1"/>
  <c r="I41" i="1"/>
  <c r="J41" i="1"/>
  <c r="L41" i="1"/>
  <c r="M41" i="1"/>
  <c r="N41" i="1"/>
  <c r="I42" i="1"/>
  <c r="J42" i="1"/>
  <c r="L42" i="1"/>
  <c r="M42" i="1"/>
  <c r="N42" i="1"/>
  <c r="I43" i="1"/>
  <c r="J43" i="1"/>
  <c r="L43" i="1"/>
  <c r="M43" i="1"/>
  <c r="N43" i="1"/>
  <c r="I44" i="1"/>
  <c r="J44" i="1"/>
  <c r="L44" i="1"/>
  <c r="M44" i="1"/>
  <c r="N44" i="1"/>
  <c r="I45" i="1"/>
  <c r="J45" i="1"/>
  <c r="L45" i="1"/>
  <c r="M45" i="1"/>
  <c r="N45" i="1"/>
  <c r="I46" i="1"/>
  <c r="J46" i="1"/>
  <c r="L46" i="1"/>
  <c r="M46" i="1"/>
  <c r="N46" i="1"/>
  <c r="I47" i="1"/>
  <c r="J47" i="1"/>
  <c r="L47" i="1"/>
  <c r="M47" i="1"/>
  <c r="N47" i="1"/>
  <c r="I48" i="1"/>
  <c r="J48" i="1"/>
  <c r="L48" i="1"/>
  <c r="M48" i="1"/>
  <c r="N48" i="1"/>
  <c r="I49" i="1"/>
  <c r="J49" i="1"/>
  <c r="L49" i="1"/>
  <c r="M49" i="1"/>
  <c r="N49" i="1"/>
  <c r="I50" i="1"/>
  <c r="J50" i="1"/>
  <c r="L50" i="1"/>
  <c r="M50" i="1"/>
  <c r="N50" i="1"/>
  <c r="I51" i="1"/>
  <c r="J51" i="1"/>
  <c r="L51" i="1"/>
  <c r="M51" i="1"/>
  <c r="N51" i="1"/>
  <c r="I52" i="1"/>
  <c r="J52" i="1"/>
  <c r="L52" i="1"/>
  <c r="M52" i="1"/>
  <c r="N52" i="1"/>
  <c r="I53" i="1"/>
  <c r="J53" i="1"/>
  <c r="L53" i="1"/>
  <c r="M53" i="1"/>
  <c r="N53" i="1"/>
  <c r="I54" i="1"/>
  <c r="J54" i="1"/>
  <c r="L54" i="1"/>
  <c r="M54" i="1"/>
  <c r="N54" i="1"/>
  <c r="I55" i="1"/>
  <c r="J55" i="1"/>
  <c r="L55" i="1"/>
  <c r="M55" i="1"/>
  <c r="N55" i="1"/>
  <c r="I56" i="1"/>
  <c r="J56" i="1"/>
  <c r="L56" i="1"/>
  <c r="M56" i="1"/>
  <c r="N56" i="1"/>
  <c r="I57" i="1"/>
  <c r="J57" i="1"/>
  <c r="L57" i="1"/>
  <c r="M57" i="1"/>
  <c r="N57" i="1"/>
  <c r="I58" i="1"/>
  <c r="J58" i="1"/>
  <c r="L58" i="1"/>
  <c r="M58" i="1"/>
  <c r="N58" i="1"/>
  <c r="I59" i="1"/>
  <c r="J59" i="1"/>
  <c r="L59" i="1"/>
  <c r="M59" i="1"/>
  <c r="N59" i="1"/>
  <c r="I60" i="1"/>
  <c r="J60" i="1"/>
  <c r="L60" i="1"/>
  <c r="M60" i="1"/>
  <c r="N60" i="1"/>
  <c r="I61" i="1"/>
  <c r="J61" i="1"/>
  <c r="L61" i="1"/>
  <c r="M61" i="1"/>
  <c r="N61" i="1"/>
  <c r="I62" i="1"/>
  <c r="J62" i="1"/>
  <c r="L62" i="1"/>
  <c r="M62" i="1"/>
  <c r="N62" i="1"/>
  <c r="I63" i="1"/>
  <c r="J63" i="1"/>
  <c r="L63" i="1"/>
  <c r="M63" i="1"/>
  <c r="N63" i="1"/>
  <c r="I64" i="1"/>
  <c r="J64" i="1"/>
  <c r="L64" i="1"/>
  <c r="M64" i="1"/>
  <c r="N64" i="1"/>
  <c r="I65" i="1"/>
  <c r="J65" i="1"/>
  <c r="L65" i="1"/>
  <c r="M65" i="1"/>
  <c r="N65" i="1"/>
  <c r="I66" i="1"/>
  <c r="J66" i="1"/>
  <c r="L66" i="1"/>
  <c r="M66" i="1"/>
  <c r="N66" i="1"/>
  <c r="I67" i="1"/>
  <c r="J67" i="1"/>
  <c r="L67" i="1"/>
  <c r="M67" i="1"/>
  <c r="N67" i="1"/>
  <c r="I68" i="1"/>
  <c r="J68" i="1"/>
  <c r="L68" i="1"/>
  <c r="M68" i="1"/>
  <c r="N68" i="1"/>
  <c r="I69" i="1"/>
  <c r="J69" i="1"/>
  <c r="L69" i="1"/>
  <c r="M69" i="1"/>
  <c r="N69" i="1"/>
  <c r="I70" i="1"/>
  <c r="J70" i="1"/>
  <c r="L70" i="1"/>
  <c r="M70" i="1"/>
  <c r="N70" i="1"/>
  <c r="I71" i="1"/>
  <c r="J71" i="1"/>
  <c r="L71" i="1"/>
  <c r="M71" i="1"/>
  <c r="N71" i="1"/>
  <c r="I72" i="1"/>
  <c r="J72" i="1"/>
  <c r="L72" i="1"/>
  <c r="M72" i="1"/>
  <c r="N72" i="1"/>
  <c r="I73" i="1"/>
  <c r="J73" i="1"/>
  <c r="L73" i="1"/>
  <c r="M73" i="1"/>
  <c r="N73" i="1"/>
  <c r="I74" i="1"/>
  <c r="J74" i="1"/>
  <c r="L74" i="1"/>
  <c r="M74" i="1"/>
  <c r="N74" i="1"/>
  <c r="I75" i="1"/>
  <c r="J75" i="1"/>
  <c r="L75" i="1"/>
  <c r="M75" i="1"/>
  <c r="N75" i="1"/>
  <c r="I76" i="1"/>
  <c r="J76" i="1"/>
  <c r="L76" i="1"/>
  <c r="M76" i="1"/>
  <c r="N76" i="1"/>
  <c r="I77" i="1"/>
  <c r="J77" i="1"/>
  <c r="L77" i="1"/>
  <c r="M77" i="1"/>
  <c r="N77" i="1"/>
  <c r="I78" i="1"/>
  <c r="J78" i="1"/>
  <c r="L78" i="1"/>
  <c r="M78" i="1"/>
  <c r="N78" i="1"/>
  <c r="I79" i="1"/>
  <c r="J79" i="1"/>
  <c r="L79" i="1"/>
  <c r="M79" i="1"/>
  <c r="N79" i="1"/>
  <c r="I80" i="1"/>
  <c r="J80" i="1"/>
  <c r="L80" i="1"/>
  <c r="M80" i="1"/>
  <c r="N80" i="1"/>
  <c r="I81" i="1"/>
  <c r="J81" i="1"/>
  <c r="L81" i="1"/>
  <c r="M81" i="1"/>
  <c r="N81" i="1"/>
  <c r="I82" i="1"/>
  <c r="J82" i="1"/>
  <c r="L82" i="1"/>
  <c r="M82" i="1"/>
  <c r="N82" i="1"/>
  <c r="I83" i="1"/>
  <c r="J83" i="1"/>
  <c r="L83" i="1"/>
  <c r="M83" i="1"/>
  <c r="N83" i="1"/>
  <c r="I84" i="1"/>
  <c r="J84" i="1"/>
  <c r="L84" i="1"/>
  <c r="M84" i="1"/>
  <c r="N84" i="1"/>
  <c r="I85" i="1"/>
  <c r="J85" i="1"/>
  <c r="L85" i="1"/>
  <c r="M85" i="1"/>
  <c r="N85" i="1"/>
  <c r="I86" i="1"/>
  <c r="J86" i="1"/>
  <c r="L86" i="1"/>
  <c r="M86" i="1"/>
  <c r="N86" i="1"/>
  <c r="I87" i="1"/>
  <c r="J87" i="1"/>
  <c r="L87" i="1"/>
  <c r="M87" i="1"/>
  <c r="N87" i="1"/>
  <c r="I88" i="1"/>
  <c r="J88" i="1"/>
  <c r="L88" i="1"/>
  <c r="M88" i="1"/>
  <c r="N88" i="1"/>
  <c r="I89" i="1"/>
  <c r="J89" i="1"/>
  <c r="L89" i="1"/>
  <c r="M89" i="1"/>
  <c r="N89" i="1"/>
  <c r="I90" i="1"/>
  <c r="J90" i="1"/>
  <c r="L90" i="1"/>
  <c r="M90" i="1"/>
  <c r="N90" i="1"/>
  <c r="I91" i="1"/>
  <c r="J91" i="1"/>
  <c r="L91" i="1"/>
  <c r="M91" i="1"/>
  <c r="N91" i="1"/>
  <c r="I92" i="1"/>
  <c r="J92" i="1"/>
  <c r="L92" i="1"/>
  <c r="M92" i="1"/>
  <c r="N92" i="1"/>
  <c r="I93" i="1"/>
  <c r="J93" i="1"/>
  <c r="L93" i="1"/>
  <c r="M93" i="1"/>
  <c r="N93" i="1"/>
  <c r="I94" i="1"/>
  <c r="J94" i="1"/>
  <c r="L94" i="1"/>
  <c r="M94" i="1"/>
  <c r="N94" i="1"/>
  <c r="I95" i="1"/>
  <c r="J95" i="1"/>
  <c r="L95" i="1"/>
  <c r="M95" i="1"/>
  <c r="N95" i="1"/>
  <c r="I96" i="1"/>
  <c r="J96" i="1"/>
  <c r="L96" i="1"/>
  <c r="M96" i="1"/>
  <c r="N96" i="1"/>
  <c r="I97" i="1"/>
  <c r="J97" i="1"/>
  <c r="L97" i="1"/>
  <c r="M97" i="1"/>
  <c r="N97" i="1"/>
  <c r="I98" i="1"/>
  <c r="J98" i="1"/>
  <c r="L98" i="1"/>
  <c r="M98" i="1"/>
  <c r="N98" i="1"/>
  <c r="I99" i="1"/>
  <c r="J99" i="1"/>
  <c r="L99" i="1"/>
  <c r="M99" i="1"/>
  <c r="N99" i="1"/>
  <c r="I100" i="1"/>
  <c r="J100" i="1"/>
  <c r="L100" i="1"/>
  <c r="M100" i="1"/>
  <c r="N100" i="1"/>
  <c r="I101" i="1"/>
  <c r="J101" i="1"/>
  <c r="L101" i="1"/>
  <c r="M101" i="1"/>
  <c r="N101" i="1"/>
  <c r="I102" i="1"/>
  <c r="J102" i="1"/>
  <c r="L102" i="1"/>
  <c r="M102" i="1"/>
  <c r="N102" i="1"/>
  <c r="I103" i="1"/>
  <c r="J103" i="1"/>
  <c r="L103" i="1"/>
  <c r="M103" i="1"/>
  <c r="N103" i="1"/>
  <c r="I104" i="1"/>
  <c r="J104" i="1"/>
  <c r="L104" i="1"/>
  <c r="M104" i="1"/>
  <c r="N104" i="1"/>
  <c r="I105" i="1"/>
  <c r="J105" i="1"/>
  <c r="L105" i="1"/>
  <c r="M105" i="1"/>
  <c r="N105" i="1"/>
  <c r="I106" i="1"/>
  <c r="J106" i="1"/>
  <c r="L106" i="1"/>
  <c r="M106" i="1"/>
  <c r="N106" i="1"/>
  <c r="I107" i="1"/>
  <c r="J107" i="1"/>
  <c r="L107" i="1"/>
  <c r="M107" i="1"/>
  <c r="N107" i="1"/>
  <c r="I108" i="1"/>
  <c r="J108" i="1"/>
  <c r="L108" i="1"/>
  <c r="M108" i="1"/>
  <c r="N108" i="1"/>
  <c r="I109" i="1"/>
  <c r="J109" i="1"/>
  <c r="L109" i="1"/>
  <c r="M109" i="1"/>
  <c r="N109" i="1"/>
  <c r="I110" i="1"/>
  <c r="J110" i="1"/>
  <c r="L110" i="1"/>
  <c r="M110" i="1"/>
  <c r="N110" i="1"/>
  <c r="I111" i="1"/>
  <c r="J111" i="1"/>
  <c r="L111" i="1"/>
  <c r="M111" i="1"/>
  <c r="N111" i="1"/>
  <c r="I112" i="1"/>
  <c r="J112" i="1"/>
  <c r="L112" i="1"/>
  <c r="M112" i="1"/>
  <c r="N112" i="1"/>
  <c r="I113" i="1"/>
  <c r="J113" i="1"/>
  <c r="L113" i="1"/>
  <c r="M113" i="1"/>
  <c r="N113" i="1"/>
  <c r="I114" i="1"/>
  <c r="J114" i="1"/>
  <c r="L114" i="1"/>
  <c r="M114" i="1"/>
  <c r="N114" i="1"/>
  <c r="I115" i="1"/>
  <c r="J115" i="1"/>
  <c r="L115" i="1"/>
  <c r="M115" i="1"/>
  <c r="N115" i="1"/>
  <c r="I116" i="1"/>
  <c r="J116" i="1"/>
  <c r="L116" i="1"/>
  <c r="M116" i="1"/>
  <c r="N116" i="1"/>
  <c r="I117" i="1"/>
  <c r="J117" i="1"/>
  <c r="L117" i="1"/>
  <c r="M117" i="1"/>
  <c r="N117" i="1"/>
  <c r="I118" i="1"/>
  <c r="J118" i="1"/>
  <c r="L118" i="1"/>
  <c r="M118" i="1"/>
  <c r="N118" i="1"/>
  <c r="I119" i="1"/>
  <c r="J119" i="1"/>
  <c r="L119" i="1"/>
  <c r="M119" i="1"/>
  <c r="N119" i="1"/>
  <c r="I120" i="1"/>
  <c r="J120" i="1"/>
  <c r="L120" i="1"/>
  <c r="M120" i="1"/>
  <c r="N120" i="1"/>
  <c r="I121" i="1"/>
  <c r="J121" i="1"/>
  <c r="L121" i="1"/>
  <c r="M121" i="1"/>
  <c r="N121" i="1"/>
  <c r="I122" i="1"/>
  <c r="J122" i="1"/>
  <c r="L122" i="1"/>
  <c r="M122" i="1"/>
  <c r="N122" i="1"/>
  <c r="I123" i="1"/>
  <c r="J123" i="1"/>
  <c r="L123" i="1"/>
  <c r="M123" i="1"/>
  <c r="N123" i="1"/>
  <c r="I124" i="1"/>
  <c r="J124" i="1"/>
  <c r="L124" i="1"/>
  <c r="M124" i="1"/>
  <c r="N124" i="1"/>
  <c r="I125" i="1"/>
  <c r="J125" i="1"/>
  <c r="L125" i="1"/>
  <c r="M125" i="1"/>
  <c r="N125" i="1"/>
  <c r="I126" i="1"/>
  <c r="J126" i="1"/>
  <c r="L126" i="1"/>
  <c r="M126" i="1"/>
  <c r="N126" i="1"/>
  <c r="I127" i="1"/>
  <c r="J127" i="1"/>
  <c r="L127" i="1"/>
  <c r="M127" i="1"/>
  <c r="N127" i="1"/>
  <c r="I128" i="1"/>
  <c r="J128" i="1"/>
  <c r="L128" i="1"/>
  <c r="M128" i="1"/>
  <c r="N128" i="1"/>
  <c r="I129" i="1"/>
  <c r="J129" i="1"/>
  <c r="L129" i="1"/>
  <c r="M129" i="1"/>
  <c r="N129" i="1"/>
  <c r="I130" i="1"/>
  <c r="J130" i="1"/>
  <c r="L130" i="1"/>
  <c r="M130" i="1"/>
  <c r="N130" i="1"/>
  <c r="I131" i="1"/>
  <c r="J131" i="1"/>
  <c r="L131" i="1"/>
  <c r="M131" i="1"/>
  <c r="N131" i="1"/>
  <c r="I132" i="1"/>
  <c r="J132" i="1"/>
  <c r="L132" i="1"/>
  <c r="M132" i="1"/>
  <c r="N132" i="1"/>
  <c r="I133" i="1"/>
  <c r="J133" i="1"/>
  <c r="L133" i="1"/>
  <c r="M133" i="1"/>
  <c r="N133" i="1"/>
  <c r="I134" i="1"/>
  <c r="J134" i="1"/>
  <c r="L134" i="1"/>
  <c r="M134" i="1"/>
  <c r="N134" i="1"/>
  <c r="I135" i="1"/>
  <c r="J135" i="1"/>
  <c r="L135" i="1"/>
  <c r="M135" i="1"/>
  <c r="N135" i="1"/>
  <c r="I136" i="1"/>
  <c r="J136" i="1"/>
  <c r="L136" i="1"/>
  <c r="M136" i="1"/>
  <c r="N136" i="1"/>
  <c r="I137" i="1"/>
  <c r="J137" i="1"/>
  <c r="L137" i="1"/>
  <c r="M137" i="1"/>
  <c r="N137" i="1"/>
  <c r="I138" i="1"/>
  <c r="J138" i="1"/>
  <c r="L138" i="1"/>
  <c r="M138" i="1"/>
  <c r="N138" i="1"/>
  <c r="I139" i="1"/>
  <c r="J139" i="1"/>
  <c r="L139" i="1"/>
  <c r="M139" i="1"/>
  <c r="N139" i="1"/>
  <c r="I140" i="1"/>
  <c r="J140" i="1"/>
  <c r="L140" i="1"/>
  <c r="M140" i="1"/>
  <c r="N140" i="1"/>
  <c r="I141" i="1"/>
  <c r="J141" i="1"/>
  <c r="L141" i="1"/>
  <c r="M141" i="1"/>
  <c r="N141" i="1"/>
  <c r="I142" i="1"/>
  <c r="J142" i="1"/>
  <c r="L142" i="1"/>
  <c r="M142" i="1"/>
  <c r="N142" i="1"/>
  <c r="I143" i="1"/>
  <c r="J143" i="1"/>
  <c r="L143" i="1"/>
  <c r="M143" i="1"/>
  <c r="N143" i="1"/>
  <c r="I144" i="1"/>
  <c r="J144" i="1"/>
  <c r="L144" i="1"/>
  <c r="M144" i="1"/>
  <c r="N144" i="1"/>
  <c r="I145" i="1"/>
  <c r="J145" i="1"/>
  <c r="L145" i="1"/>
  <c r="M145" i="1"/>
  <c r="N145" i="1"/>
  <c r="I146" i="1"/>
  <c r="J146" i="1"/>
  <c r="L146" i="1"/>
  <c r="M146" i="1"/>
  <c r="N146" i="1"/>
  <c r="I147" i="1"/>
  <c r="J147" i="1"/>
  <c r="L147" i="1"/>
  <c r="M147" i="1"/>
  <c r="N147" i="1"/>
  <c r="I148" i="1"/>
  <c r="J148" i="1"/>
  <c r="L148" i="1"/>
  <c r="M148" i="1"/>
  <c r="N148" i="1"/>
  <c r="I149" i="1"/>
  <c r="J149" i="1"/>
  <c r="L149" i="1"/>
  <c r="M149" i="1"/>
  <c r="N149" i="1"/>
  <c r="I150" i="1"/>
  <c r="J150" i="1"/>
  <c r="L150" i="1"/>
  <c r="M150" i="1"/>
  <c r="N150" i="1"/>
  <c r="I151" i="1"/>
  <c r="J151" i="1"/>
  <c r="L151" i="1"/>
  <c r="M151" i="1"/>
  <c r="N151" i="1"/>
  <c r="I152" i="1"/>
  <c r="J152" i="1"/>
  <c r="L152" i="1"/>
  <c r="M152" i="1"/>
  <c r="N152" i="1"/>
  <c r="I153" i="1"/>
  <c r="J153" i="1"/>
  <c r="L153" i="1"/>
  <c r="M153" i="1"/>
  <c r="N153" i="1"/>
  <c r="I154" i="1"/>
  <c r="J154" i="1"/>
  <c r="L154" i="1"/>
  <c r="M154" i="1"/>
  <c r="N154" i="1"/>
  <c r="I155" i="1"/>
  <c r="J155" i="1"/>
  <c r="L155" i="1"/>
  <c r="M155" i="1"/>
  <c r="N155" i="1"/>
  <c r="I156" i="1"/>
  <c r="J156" i="1"/>
  <c r="L156" i="1"/>
  <c r="M156" i="1"/>
  <c r="N156" i="1"/>
  <c r="I157" i="1"/>
  <c r="J157" i="1"/>
  <c r="L157" i="1"/>
  <c r="M157" i="1"/>
  <c r="N157" i="1"/>
  <c r="I158" i="1"/>
  <c r="J158" i="1"/>
  <c r="L158" i="1"/>
  <c r="M158" i="1"/>
  <c r="N158" i="1"/>
  <c r="I159" i="1"/>
  <c r="J159" i="1"/>
  <c r="L159" i="1"/>
  <c r="M159" i="1"/>
  <c r="N159" i="1"/>
  <c r="I160" i="1"/>
  <c r="J160" i="1"/>
  <c r="L160" i="1"/>
  <c r="M160" i="1"/>
  <c r="N160" i="1"/>
  <c r="I161" i="1"/>
  <c r="J161" i="1"/>
  <c r="L161" i="1"/>
  <c r="M161" i="1"/>
  <c r="N161" i="1"/>
  <c r="I162" i="1"/>
  <c r="J162" i="1"/>
  <c r="L162" i="1"/>
  <c r="M162" i="1"/>
  <c r="N162" i="1"/>
  <c r="I163" i="1"/>
  <c r="J163" i="1"/>
  <c r="L163" i="1"/>
  <c r="M163" i="1"/>
  <c r="N163" i="1"/>
  <c r="I164" i="1"/>
  <c r="J164" i="1"/>
  <c r="L164" i="1"/>
  <c r="M164" i="1"/>
  <c r="N164" i="1"/>
  <c r="I165" i="1"/>
  <c r="J165" i="1"/>
  <c r="L165" i="1"/>
  <c r="M165" i="1"/>
  <c r="N165" i="1"/>
  <c r="I166" i="1"/>
  <c r="J166" i="1"/>
  <c r="L166" i="1"/>
  <c r="M166" i="1"/>
  <c r="N166" i="1"/>
  <c r="I167" i="1"/>
  <c r="J167" i="1"/>
  <c r="L167" i="1"/>
  <c r="M167" i="1"/>
  <c r="N167" i="1"/>
  <c r="I168" i="1"/>
  <c r="J168" i="1"/>
  <c r="L168" i="1"/>
  <c r="M168" i="1"/>
  <c r="N168" i="1"/>
  <c r="I169" i="1"/>
  <c r="J169" i="1"/>
  <c r="L169" i="1"/>
  <c r="M169" i="1"/>
  <c r="N169" i="1"/>
  <c r="I170" i="1"/>
  <c r="J170" i="1"/>
  <c r="L170" i="1"/>
  <c r="M170" i="1"/>
  <c r="N170" i="1"/>
  <c r="I171" i="1"/>
  <c r="J171" i="1"/>
  <c r="L171" i="1"/>
  <c r="M171" i="1"/>
  <c r="N171" i="1"/>
  <c r="I172" i="1"/>
  <c r="J172" i="1"/>
  <c r="L172" i="1"/>
  <c r="M172" i="1"/>
  <c r="N172" i="1"/>
  <c r="I173" i="1"/>
  <c r="J173" i="1"/>
  <c r="L173" i="1"/>
  <c r="M173" i="1"/>
  <c r="N173" i="1"/>
  <c r="I174" i="1"/>
  <c r="J174" i="1"/>
  <c r="L174" i="1"/>
  <c r="M174" i="1"/>
  <c r="N174" i="1"/>
  <c r="I175" i="1"/>
  <c r="J175" i="1"/>
  <c r="L175" i="1"/>
  <c r="M175" i="1"/>
  <c r="N175" i="1"/>
  <c r="I176" i="1"/>
  <c r="J176" i="1"/>
  <c r="L176" i="1"/>
  <c r="M176" i="1"/>
  <c r="N176" i="1"/>
  <c r="I177" i="1"/>
  <c r="J177" i="1"/>
  <c r="L177" i="1"/>
  <c r="M177" i="1"/>
  <c r="N177" i="1"/>
  <c r="I178" i="1"/>
  <c r="J178" i="1"/>
  <c r="L178" i="1"/>
  <c r="M178" i="1"/>
  <c r="N178" i="1"/>
  <c r="I179" i="1"/>
  <c r="J179" i="1"/>
  <c r="L179" i="1"/>
  <c r="M179" i="1"/>
  <c r="N179" i="1"/>
  <c r="I180" i="1"/>
  <c r="J180" i="1"/>
  <c r="L180" i="1"/>
  <c r="M180" i="1"/>
  <c r="N180" i="1"/>
  <c r="I181" i="1"/>
  <c r="J181" i="1"/>
  <c r="L181" i="1"/>
  <c r="M181" i="1"/>
  <c r="N181" i="1"/>
  <c r="I182" i="1"/>
  <c r="J182" i="1"/>
  <c r="L182" i="1"/>
  <c r="M182" i="1"/>
  <c r="N182" i="1"/>
  <c r="I183" i="1"/>
  <c r="J183" i="1"/>
  <c r="L183" i="1"/>
  <c r="M183" i="1"/>
  <c r="N183" i="1"/>
  <c r="I184" i="1"/>
  <c r="J184" i="1"/>
  <c r="L184" i="1"/>
  <c r="M184" i="1"/>
  <c r="N184" i="1"/>
  <c r="I185" i="1"/>
  <c r="J185" i="1"/>
  <c r="M185" i="1"/>
  <c r="N185" i="1"/>
  <c r="I186" i="1"/>
  <c r="J186" i="1"/>
  <c r="L186" i="1"/>
  <c r="M186" i="1"/>
  <c r="N186" i="1"/>
  <c r="J16" i="1"/>
  <c r="M16" i="1"/>
  <c r="L16" i="1"/>
  <c r="I16" i="1"/>
  <c r="I45" i="7" l="1"/>
  <c r="E50" i="7"/>
  <c r="E52" i="7" s="1"/>
  <c r="C50" i="7"/>
  <c r="P12" i="5"/>
  <c r="P14" i="5" s="1"/>
  <c r="I21" i="2"/>
  <c r="N156" i="2"/>
  <c r="N158" i="2"/>
  <c r="I44" i="7"/>
  <c r="F42" i="7"/>
  <c r="F1230" i="5"/>
  <c r="E5" i="7" l="1"/>
  <c r="I46" i="7" s="1"/>
  <c r="N155" i="2"/>
  <c r="C52" i="7"/>
  <c r="I55" i="7"/>
  <c r="I56" i="7" s="1"/>
  <c r="N151" i="2" l="1"/>
  <c r="N149" i="2"/>
  <c r="N150" i="2"/>
  <c r="N148" i="2" l="1"/>
  <c r="N142" i="2" l="1"/>
  <c r="N138" i="2"/>
  <c r="N137" i="2" l="1"/>
  <c r="N133" i="2"/>
  <c r="N134" i="2" l="1"/>
  <c r="N128" i="2" l="1"/>
  <c r="N132" i="2"/>
  <c r="N127" i="2" l="1"/>
  <c r="N124" i="2" l="1"/>
  <c r="N122" i="2" l="1"/>
  <c r="N118" i="2" l="1"/>
  <c r="N115" i="2"/>
  <c r="N114" i="2" l="1"/>
  <c r="N112" i="2" l="1"/>
  <c r="N109" i="2"/>
  <c r="N110" i="2" l="1"/>
  <c r="N108" i="2" l="1"/>
  <c r="N101" i="2" l="1"/>
  <c r="N103" i="2"/>
  <c r="N104" i="2"/>
  <c r="N102" i="2" l="1"/>
  <c r="N100" i="2" l="1"/>
  <c r="N98" i="2" l="1"/>
  <c r="N94" i="2" l="1"/>
  <c r="N92" i="2" l="1"/>
  <c r="N87" i="2" l="1"/>
  <c r="N90" i="2"/>
  <c r="N86" i="2" l="1"/>
  <c r="N83" i="2"/>
  <c r="N82" i="2" l="1"/>
  <c r="N79" i="2"/>
  <c r="N80" i="2" l="1"/>
  <c r="N78" i="2" l="1"/>
  <c r="N74" i="2" l="1"/>
  <c r="N71" i="2" l="1"/>
  <c r="N69" i="2" l="1"/>
  <c r="N67" i="2" l="1"/>
  <c r="N65" i="2" l="1"/>
  <c r="N63" i="2" l="1"/>
  <c r="N62" i="2"/>
  <c r="N60" i="2"/>
  <c r="N61" i="2" l="1"/>
  <c r="N57" i="2" l="1"/>
  <c r="N59" i="2"/>
  <c r="N50" i="2" l="1"/>
  <c r="N56" i="2"/>
  <c r="N46" i="2" l="1"/>
  <c r="N49" i="2"/>
  <c r="N47" i="2" l="1"/>
  <c r="N45" i="2" l="1"/>
  <c r="N40" i="2" l="1"/>
  <c r="N38" i="2" l="1"/>
  <c r="N28" i="2" l="1"/>
  <c r="N33" i="2"/>
  <c r="N29" i="2" l="1"/>
  <c r="N27" i="2" l="1"/>
  <c r="F19" i="2" l="1"/>
  <c r="N22" i="2"/>
  <c r="C44" i="7"/>
  <c r="E42" i="7" l="1"/>
  <c r="G42" i="7" l="1"/>
  <c r="E44" i="7"/>
  <c r="G44" i="7" s="1"/>
</calcChain>
</file>

<file path=xl/sharedStrings.xml><?xml version="1.0" encoding="utf-8"?>
<sst xmlns="http://schemas.openxmlformats.org/spreadsheetml/2006/main" count="9101" uniqueCount="1057">
  <si>
    <t>Name :- AJAY KUMAR GUPTA</t>
  </si>
  <si>
    <t>Joint Holder :- -</t>
  </si>
  <si>
    <t>FLAT NO D-07 ISHWAR PARADISE ASHOKA MARG</t>
  </si>
  <si>
    <t>NASHIK BEHIND INOX THEATRE</t>
  </si>
  <si>
    <t>NASHIK-422011</t>
  </si>
  <si>
    <t>MAHARASHTRA-INDIA</t>
  </si>
  <si>
    <t>Customer ID :- 837058342</t>
  </si>
  <si>
    <t>IFSC Code :- UTIB0000115</t>
  </si>
  <si>
    <t>MICR Code :- 422211002</t>
  </si>
  <si>
    <t xml:space="preserve">Nominee Registered :- Y                                                                                                   </t>
  </si>
  <si>
    <t>Registered Mobile No :- XXXXXX4014</t>
  </si>
  <si>
    <t>Registered Email ID :- g.XXXXay@yahoo.com</t>
  </si>
  <si>
    <t>PAN :- ACLPG1926E</t>
  </si>
  <si>
    <t>Statement of Account No - 910010047943167 for the period (From : 01-04-2023 To : 31-12-2023)</t>
  </si>
  <si>
    <t>SRL NO</t>
  </si>
  <si>
    <t>Tran Date</t>
  </si>
  <si>
    <t>PARTICULARS</t>
  </si>
  <si>
    <t>DR</t>
  </si>
  <si>
    <t>CR</t>
  </si>
  <si>
    <t>BAL</t>
  </si>
  <si>
    <t>UPI/P2A/345797693295/SACHIN BA/Kotak Mah/Diesal</t>
  </si>
  <si>
    <t>UPI/P2M/345789552921/MANISH HE/Yes Bank /Amle</t>
  </si>
  <si>
    <t>UPI/P2M/345726651875/SAGAR SWE/Yes Bank /sweets</t>
  </si>
  <si>
    <t>INB/NEFT/AXIR230915974036/Ajay Kum/STATE B/Housin</t>
  </si>
  <si>
    <t>UPI/P2M/346037289751/SHAGUN TR/Yes Bank /Ice cre</t>
  </si>
  <si>
    <t>BRN-PYMT-CARD-4111460000883615</t>
  </si>
  <si>
    <t>UPI/P2A/347498540738/SANGITA R/State Ban/Teeth i</t>
  </si>
  <si>
    <t>ATM-CASH-AXIS/BPRH265601/7630/180423/NASHIK</t>
  </si>
  <si>
    <t>CASH-AXIS-RVSL/180423/21:04</t>
  </si>
  <si>
    <t>ATM-CASH-AXIS/BPRH265601/7631/180423/NASHIK</t>
  </si>
  <si>
    <t>CASH-AXIS-RVSL/180423/21:06</t>
  </si>
  <si>
    <t>UPI/P2A/311016102687/AMOL DHON/Kotak Mah/Diesal</t>
  </si>
  <si>
    <t>ATM-CASH-AXIS/SPCN11530/8513/220423/SINNAR</t>
  </si>
  <si>
    <t>UPI/P2M/347819751793/MedPlus/Yes Bank /Payment</t>
  </si>
  <si>
    <t>NBSM/9904449/Maha Electricity(BILLDESK)/</t>
  </si>
  <si>
    <t>BRN-SALARY PAYMENT-BY SALARY</t>
  </si>
  <si>
    <t>UPI/P2A/348115026783/RAVINDRA /Bank of B/Chairs</t>
  </si>
  <si>
    <t>UPI/P2M/311752138542/NICE MENS/Federal B/Verifie</t>
  </si>
  <si>
    <t>UPI/P2M/348842268290/VIDYA ASH/Yes Bank /Food</t>
  </si>
  <si>
    <t>NBSM/11040337/PAYU.IN/</t>
  </si>
  <si>
    <t>UPI/P2M/348925721765/KUNAL EAK/Yes Bank /Mill</t>
  </si>
  <si>
    <t>UPI/P2A/348994803589/Mr. Santo/Bank of M/Diesal</t>
  </si>
  <si>
    <t>UPI/P2M/348994029424/VIDYA ASH/Yes Bank /Food</t>
  </si>
  <si>
    <t>UPI/P2M/349058129718/KUNAL EAK/Yes Bank /Milk</t>
  </si>
  <si>
    <t>UPI/P2M/349001553223/VIDYA ASH/Yes Bank /Foid</t>
  </si>
  <si>
    <t>INB/NEFT/AXIR231240101528/Ajay Gup/HDFC BA/Transf</t>
  </si>
  <si>
    <t>UPI/P2M/349111963867/VIDYA ASH/Yes Bank /Food</t>
  </si>
  <si>
    <t>UPI/P2M/349131509053/SAGAR SWE/Yes Bank /Sweet</t>
  </si>
  <si>
    <t>UPI/P2M/349294394043/KUNAL EAK/Yes Bank /Milk</t>
  </si>
  <si>
    <t>UPI/P2M/349593909332/PROP KALP/Yes Bank /Pen</t>
  </si>
  <si>
    <t>INB/NEFT/AXIR231292336053/VM Assoc/ICICI B/Vitami</t>
  </si>
  <si>
    <t>INB/IFT/Sunita Gupta/TPARTY TRANSFER</t>
  </si>
  <si>
    <t>AXISDIRECT/I086350/18-05-2023/11:05</t>
  </si>
  <si>
    <t>UPI/P2M/314100961993/SARTHAK P/Paytm Pay/Diesal</t>
  </si>
  <si>
    <t>UPI/P2M/350970568276/MedPlus/Yes Bank /Payment</t>
  </si>
  <si>
    <t>ATM-CASH-AXIS/APRH62902/114/240523/NASHIK</t>
  </si>
  <si>
    <t>NBSM/13973061/Maha Electricity(BILLDESK)/</t>
  </si>
  <si>
    <t>ECS/UTIBDE65298972202305/PMSBY RENEWAL TAGIC</t>
  </si>
  <si>
    <t>UPI/P2A/315628731402/Shemale N/State Ban/Diesal</t>
  </si>
  <si>
    <t>INB/IFT/AAYUSH KUMAR GUPTA/TPARTY TRANSFER</t>
  </si>
  <si>
    <t>INB/IFT/PRAVEEN SURESH DESHMUKH/TPARTY TRANSFER</t>
  </si>
  <si>
    <t>INB/NEFT/AXIR231593867603/Ajay Gup/HDFC BA/Transf</t>
  </si>
  <si>
    <t>UPI/P2M/315940042211/SAGAR SWE/Paytm Pay/Icecrea</t>
  </si>
  <si>
    <t>INB/IFT/Aayush Gupta/TPARTY TRANSFER</t>
  </si>
  <si>
    <t>UPI/P2M/352768180779/SHAGUN TR/Yes Bank /Iccecre</t>
  </si>
  <si>
    <t>MOB/TPFT/PRAVEEN SURESH /115010100130301</t>
  </si>
  <si>
    <t>UPI/P2M/317070962892/SARTHAK P/Paytm Pay/Diesal</t>
  </si>
  <si>
    <t>NBSM/17981141/Maha Electricity(BILLDESK)/</t>
  </si>
  <si>
    <t>IFT/CB0031877393/440002600490002023/JINDAL SAW LI</t>
  </si>
  <si>
    <t>UPI/P2M/318284279675/BharatPe /YesBank_Y/Pay to</t>
  </si>
  <si>
    <t>910010047943167:Int.Pd:01-04-2023 to 30-06-2023</t>
  </si>
  <si>
    <t>UPI/P2M/318583889534/Ashoka mi/Paytm Pay/Idli</t>
  </si>
  <si>
    <t>UPI/P2M/318582290148/KARTIKI P/Paytm Pay/Foid</t>
  </si>
  <si>
    <t>UPI/P2A/355108036718/Mr PRAKAS/Bank of M/Medicen</t>
  </si>
  <si>
    <t>UPI/P2M/318557670569/SHIVRAM B/Federal B/Pay to</t>
  </si>
  <si>
    <t>UPI/P2M/318628157199/SALMAN SA/Paytm Pay/Tea</t>
  </si>
  <si>
    <t>UPI/P2M/318657320027/SHIVRAM B/Federal B/Pay to</t>
  </si>
  <si>
    <t>UPI/P2M/318993081355/EHCC/HDFC BANK/Hosoital</t>
  </si>
  <si>
    <t>UPI/P2A/319030848851/DINESH SA/Canara Ba/Auto</t>
  </si>
  <si>
    <t>UPI/P2M/355628362474/AMOL SANT/Yes Bank /Vegitab</t>
  </si>
  <si>
    <t>UPI/P2A/319147144010/SAMEER VA/Federal B/Diesal</t>
  </si>
  <si>
    <t>NEFT/SBIN123191905507/Mr  AJAY /STATE BAN//ATTN//</t>
  </si>
  <si>
    <t>INB/IFT/PRAMOD SHARMA S/O S N SHARMA/TPARTY TRAN</t>
  </si>
  <si>
    <t>IFT/CB0032796708/NORMAL2023071743507855/AXIS MUTU</t>
  </si>
  <si>
    <t>ATM-CASH-AXIS/DECN360801/6277/170723/GAYA</t>
  </si>
  <si>
    <t>NEFT/IBKL230717007348/LIC OF IN/IDBI BANK/LIC ANN</t>
  </si>
  <si>
    <t>UPI/P2M/320286098781/SALMAN SA/Paytm Pay/Tea</t>
  </si>
  <si>
    <t>UPI/P2M/356846043907/SAGAR SWE/Yes Bank /Breakfa</t>
  </si>
  <si>
    <t>UPI/P2A/320269990682/NISHA PAN/Indian Ov/From su</t>
  </si>
  <si>
    <t>NBSM/22750254/Maha Electricity(BILLDESK)/</t>
  </si>
  <si>
    <t>UPI/P2M/320900149046/SARTHAK P/Paytm Pay/Diesal</t>
  </si>
  <si>
    <t>IFT/CB0033328878/440003816590002023/JINDAL SAW LI</t>
  </si>
  <si>
    <t>INB/23347823/INTERNET TAX PAYMENT/</t>
  </si>
  <si>
    <t>NBSM/23675866/PAYTM MOBILE SOLUTIONS PVT LTD/</t>
  </si>
  <si>
    <t>NBSM/24109946/PAYU.IN/</t>
  </si>
  <si>
    <t>NBSM/24303013/GOVERNMENT OF MAHARASHTRA(BILLDESK)</t>
  </si>
  <si>
    <t>UPI/P2A/358876628098/GANESH RA/State Ban/Diesal</t>
  </si>
  <si>
    <t>UPI/P2M/322368476565/Yog Chait/ICICI Ban/Yoga pa</t>
  </si>
  <si>
    <t>ATM-CASH-AXIS/BPRH265601/5426/110823/NASHIK</t>
  </si>
  <si>
    <t>UPI/P2M/322759601099/khatabook/ICICI Ban/Vegitab</t>
  </si>
  <si>
    <t>UPI/P2M/359616644178/KRUSHIKES/Yes Bank /Jarda</t>
  </si>
  <si>
    <t>UPI/P2M/359799806103/CAPTAIN P/Yes Bank /Diesal</t>
  </si>
  <si>
    <t>ATM-CASH/Trimbak  M Cl/Trimbak  M Cl/210823</t>
  </si>
  <si>
    <t>UPI/P2M/360040419302/Mrs SHILP/Yes Bank /Tea</t>
  </si>
  <si>
    <t>TRF/JINDAL SAW LIMITED/transfer</t>
  </si>
  <si>
    <t>NEFT/IR/AXOIR32366073380/Ajay Kumar Gupta/STATE BANK OF INDIA/House Loan</t>
  </si>
  <si>
    <t>NEFT/IR/AXOIR32366074498/Ajay Gupta/HDFC BANK/Transfer from Axis</t>
  </si>
  <si>
    <t>NBSM/26909971/Maha Electricity(BILLDESK)/</t>
  </si>
  <si>
    <t>IMPS/P2A/323811561023/921020012776704/260823</t>
  </si>
  <si>
    <t>NBSM/27271827/PAYTM MOBILE SOLUTIONS PVT LTD/</t>
  </si>
  <si>
    <t>NEFT/IR/AXOIR32408328549/Ajay Gupta/HDFC BANK/Transfer from Axis</t>
  </si>
  <si>
    <t>INB/IFT/Archit Gupta/TPARTY TRANSFER</t>
  </si>
  <si>
    <t>UPI/P2M/324190225582/Mr Asaram/Paytm Pay/Vegitab</t>
  </si>
  <si>
    <t>UPI/P2M/324196871090/MEDPLUS A/Paytm Pay/Medicen</t>
  </si>
  <si>
    <t>ATM-CASH-AXIS/BPRH265601/8549/300823/NASHIK</t>
  </si>
  <si>
    <t>NEFT/IR/AXOIR32424691968/Ajay Gupta/HDFC BANK/from Axis</t>
  </si>
  <si>
    <t>UPI/P2M/360848110032/SAGAR SWE/Yes Bank /Sweet</t>
  </si>
  <si>
    <t>UPI/P2M/324451088598/Shri Ram /Axis Bank/Cloths</t>
  </si>
  <si>
    <t>UPI/P2M/324790892145/JAINFILLINGSTATION   /Petro</t>
  </si>
  <si>
    <t>NEFT/IR/AXOIR32524351649/Ajay Gupta/HDFC BANK/Transfer from Axis Bank</t>
  </si>
  <si>
    <t>UPI/P2M/325461382412/ARAGHYODHAM NISARGA A/Yoga/Bank of Maharashtra</t>
  </si>
  <si>
    <t>UPI/P2M/325442713257/Yog Chaitanya Sadhana/Ayurve/ICICI Bank</t>
  </si>
  <si>
    <t>NEFT/N256232639966325/AJAY KUMA/HDFC BANK/from HDF</t>
  </si>
  <si>
    <t>UPI/P2M/325937310930/MEDPLUS ASHOKAMARG   /Paste/Paytm Payments Bank</t>
  </si>
  <si>
    <t>UPI/P2M/362929812456/NEW TRISHA MEDICAL   /Medice/Yes Bank Ltd</t>
  </si>
  <si>
    <t>UPI/P2M/326412228972/MEDPLUS ASHOKAMARG   /Honey/Paytm Payments Bank</t>
  </si>
  <si>
    <t>UPI/P2M/363256285803/MANSUR MEHAMUD KHAN  /Fruit/Yes Bank Ltd</t>
  </si>
  <si>
    <t>NBSM/30919834/Maha Electricity(BILLDESK)/</t>
  </si>
  <si>
    <t>NBSM/31701106/PAYTM MOBILE SOLUTIONS PVT LTD/</t>
  </si>
  <si>
    <t>910010047943167:Int.Pd:01-07-2023 to 30-09-2023</t>
  </si>
  <si>
    <t>UPI/P2M/327533286850/Yog Chaitanya Sadhana/Naturo/ICICI Bank</t>
  </si>
  <si>
    <t>UPI/P2M/328273626000/KESHAV GIRLS COLLECTI/Dupott/Paytm Payments Bank</t>
  </si>
  <si>
    <t>UPI/P2M/328224682893/BRIJWASI KESHAV MILK /Peda/HDFC BANK LTD</t>
  </si>
  <si>
    <t>UPI/P2M/328293583227/BRIJWASI KESHAV MILK /Sweet/HDFC BANK LTD</t>
  </si>
  <si>
    <t>UPI/P2A/365066797819/GANESH RADHAKISAN MAR/Deisal/State Bank Of India</t>
  </si>
  <si>
    <t>UPI/P2M/328444028949/ARAGHYODHAM NISARGA A/Yoga/Bank of Maharashtra</t>
  </si>
  <si>
    <t>ATM-CASH-AXIS/BPRH265601/5847/111023/NASHIK</t>
  </si>
  <si>
    <t>UPI/P2M/328655582435/BHARAT SHIVAJI SALVE /Vegita/Paytm Payments Bank</t>
  </si>
  <si>
    <t>NBSM/34174220/UNIQUE IDENTIFICATION AUTHORITY(RAZ</t>
  </si>
  <si>
    <t>UPI/P2M/328895824617/VIJAY                /Jaradh/Paytm Payments Bank</t>
  </si>
  <si>
    <t>UPI/P2A/328852843483/Bajir                /Channa/Airtel Payments Bank</t>
  </si>
  <si>
    <t>UPI/P2M/328864915992/BHARAT SHIVAJI SALVE /Fruits/Paytm Payments Bank</t>
  </si>
  <si>
    <t>UPI/P2M/366056282177/PROP KALPESH KANAIYA /Printo/Yes Bank Ltd</t>
  </si>
  <si>
    <t>UPI/P2M/329422159834/MEDPLUS ASHOKAMARG   /Medplu/Paytm Payments Bank</t>
  </si>
  <si>
    <t>NBSM/35224089/Maha Electricity(BILLDESK)/</t>
  </si>
  <si>
    <t>ATM-CASH-AXIS/BPRH265601/7854/251023/NASHIK</t>
  </si>
  <si>
    <t>UPI/P2A/330088594609/MUKESH KHARE         /Auto/Punjab National Bank</t>
  </si>
  <si>
    <t>UPI/P2M/330261187358/BharatPe Merchant    /Pay to/YesBank_Yespay</t>
  </si>
  <si>
    <t>UPI/P2M/366903967564/KRUSHIKESH P BHADANE /Jardha/Yes Bank Ltd</t>
  </si>
  <si>
    <t>UPI/P2M/367089274469/Mr RAMESH PUNDLIK CHI/Salune/Yes Bank Ltd</t>
  </si>
  <si>
    <t>ATM-CASH-AXIS/BPRH265601/9857/041123/NASHIK</t>
  </si>
  <si>
    <t>UPI/P2M/367731414074/SACHIN HARIBHAU DHARK/Deep c/Yes Bank Ltd</t>
  </si>
  <si>
    <t>NBSM/37447262/TECHPROCESS SOLUTIONS LTD/</t>
  </si>
  <si>
    <t>NBSM/37452806/AMAZON PAY INDIA PRIVATET LIMITED(P</t>
  </si>
  <si>
    <t>UPI/P2M/367886574793/SHAGUN TRADERSMr     /Ice cr/Yes Bank Ltd</t>
  </si>
  <si>
    <t>ATM-CASH/SBI SHIVAJI NAGAR/NASHIK/101123</t>
  </si>
  <si>
    <t>UPI/P2M/332041095553/JEET PHARMACO AND MIN/Medice/Paytm Payments Bank</t>
  </si>
  <si>
    <t>NBSM/39088818/Maha Electricity(BILLDESK)/</t>
  </si>
  <si>
    <t>UPI/P2M/369467904333/VIMAL BABAN AGALE    /Jarda/Yes Bank Ltd</t>
  </si>
  <si>
    <t>UPI/P2M/332824222793/JYOTI BHARAT SALVE   /Fruits/Paytm Payments Bank</t>
  </si>
  <si>
    <t>UPI/P2A/333268183431/MUKESH KU/Axis Bank/UPI/</t>
  </si>
  <si>
    <t>UPI/P2A/333268251676/MUKESH KU/Axis Bank/hdfc/</t>
  </si>
  <si>
    <t>UPI/P2M/370293910921/Mr RAMESH PUNDLIK CHI/Salune/Yes Bank Ltd</t>
  </si>
  <si>
    <t>ATM-CASH-AXIS/BPRH265601/4705/051223/NASHIK</t>
  </si>
  <si>
    <t>UPI/P2M/370797069027/VIMAL BABAN AGALE    /Jarda/Yes Bank Ltd</t>
  </si>
  <si>
    <t>UPI/P2M/334405517504/BHAVNA               /Jarda/Paytm Payments Bank</t>
  </si>
  <si>
    <t>UPI/P2M/334561630401/CHANDRA PRAKASH SHARM/Jardha/Paytm Payments Bank</t>
  </si>
  <si>
    <t>UPI/P2M/334722415957/PRAKASH CHAND JESWANI/Photoc/Paytm Payments Bank</t>
  </si>
  <si>
    <t>NEFT/N351232789015170/AJAY KUMAR GUPTA/HDFC BANK/Trf frm Ajay Axis</t>
  </si>
  <si>
    <t>UPI/P2M/372117300056/Apna Sweets          /Namkee/Yes Bank Ltd</t>
  </si>
  <si>
    <t>UPI/P2M/335604754837/BHAUSAHEB MOTIRAM GA /Veguta/Paytm Payments Bank</t>
  </si>
  <si>
    <t>NBSM/42689806/Maha Electricity(BILLDESK)/</t>
  </si>
  <si>
    <t>ATM-CASH-AXIS/BPRH265601/7782/231223/NASHIK</t>
  </si>
  <si>
    <t>UPI/P2M/372488320880/BHAUSAHEB MOTIRAM GAR/Vegita/Yes Bank Ltd</t>
  </si>
  <si>
    <t>UPI/P2M/335922235553/MEDPLUS ASHOKAMARG   /35149/Paytm Payments Bank</t>
  </si>
  <si>
    <t>ATM-CASH-AXIS/BPRH265601/8613/281223/NASHIK</t>
  </si>
  <si>
    <t>UPI/P2A/372854054633/TEJSHRI SACHIN DUSANE/Ring/HDFC BANK LTD</t>
  </si>
  <si>
    <t>UPI/P2A/373114492466/DEEPA SAKIT DUSANE   /Stone/HDFC BANK LTD</t>
  </si>
  <si>
    <t>910010047943167:Int.Pd:01-10-2023 to 31-12-2023</t>
  </si>
  <si>
    <t>**This is a computer generated statement and does not require a signature</t>
  </si>
  <si>
    <t>IIC3891043               TRANSFER FROM 32718635441</t>
  </si>
  <si>
    <t xml:space="preserve">   BY TRANSFER-INB Payment towards loan repayment--</t>
  </si>
  <si>
    <t>6514251187CT000OTNT7               TRANSFER FROM 4</t>
  </si>
  <si>
    <t xml:space="preserve">   BY TRANSFER-INB -For 19260165--</t>
  </si>
  <si>
    <t>6514135092CT000MZYM5               TRANSFER FROM 4</t>
  </si>
  <si>
    <t>NEFT INB: IRX6370467                               / Ajay Kumar Gupta</t>
  </si>
  <si>
    <t xml:space="preserve">   TO TRANSFER-INB NEFT UTR NO: SBIN123360950794--Ajay Kumar Gupta</t>
  </si>
  <si>
    <t xml:space="preserve">   CREDIT INTEREST---</t>
  </si>
  <si>
    <t xml:space="preserve">TRANSFER TO 38660007037                           </t>
  </si>
  <si>
    <t xml:space="preserve">   TO TRANSFER-TRFD TO SURAJ ESTATE DEVELOPERS LTD IPO ALLOTMENT--</t>
  </si>
  <si>
    <t>NEFT INB: IRX6100091                               / Ajay Kumar Gupta</t>
  </si>
  <si>
    <t xml:space="preserve">   TO TRANSFER-INB NEFT UTR NO: SBIN223354942604--Ajay Kumar Gupta</t>
  </si>
  <si>
    <t>6513794634CT000HMOK3               TRANSFER FROM 4</t>
  </si>
  <si>
    <t>YSBI2174802179IGAQOUQAR4               TRANSFER TO</t>
  </si>
  <si>
    <t xml:space="preserve">   TO TRANSFER-INB SBICARD FOR BILLDESK      SBICARD Payments--</t>
  </si>
  <si>
    <t>6513536363CT000DTOT2               TRANSFER FROM 4</t>
  </si>
  <si>
    <t xml:space="preserve">IIC3482728               TRANSFER TO 32718635441  </t>
  </si>
  <si>
    <t xml:space="preserve">   TO TRANSFER-INB Payment towards loan repayment--</t>
  </si>
  <si>
    <t>NEFT INB: IRX5743693                               / Ajay Kumar Gupta</t>
  </si>
  <si>
    <t xml:space="preserve">   TO TRANSFER-INB NEFT UTR NO: SBIN223348243701--Ajay Kumar Gupta</t>
  </si>
  <si>
    <t xml:space="preserve">TRANSFER TO 41128839515                           </t>
  </si>
  <si>
    <t xml:space="preserve">   TO TRANSFER-ForTrading--</t>
  </si>
  <si>
    <t>LTA3BLBQDPT8HBGMOAITBPLB7               TRANSFER T</t>
  </si>
  <si>
    <t xml:space="preserve">   TO TRANSFER-INB IMPS/P2A/334616946794/XXXXXXX930HDFCnull--</t>
  </si>
  <si>
    <t>TRANSFER FROM 4697254044306</t>
  </si>
  <si>
    <t xml:space="preserve">   BY TRANSFER-NEFT*YESB0000001*YESIG33460311493*INDIAN CLEARING--</t>
  </si>
  <si>
    <t xml:space="preserve">TRANSFER TO 32718635441                           </t>
  </si>
  <si>
    <t xml:space="preserve">   TO TRANSFER-SBILT12122023135917188300-Loan repayment--</t>
  </si>
  <si>
    <t xml:space="preserve">TRANSFER FROM 51090483730                         </t>
  </si>
  <si>
    <t xml:space="preserve">   BY TRANSFER-TRANSFER FROM--</t>
  </si>
  <si>
    <t>6513223260CTZ8202491               TRANSFER FROM 4</t>
  </si>
  <si>
    <t xml:space="preserve">TRANSFER TO 31842374252                           </t>
  </si>
  <si>
    <t xml:space="preserve">IIC3256631               TRANSFER TO 32718635441  </t>
  </si>
  <si>
    <t>6512950262CTZ7508264               TRANSFER FROM 4</t>
  </si>
  <si>
    <t xml:space="preserve">   WITHDRAWAL TRANSFER---</t>
  </si>
  <si>
    <t xml:space="preserve">IIC3095625               TRANSFER TO 32718635441  </t>
  </si>
  <si>
    <t>6512763421CTZ6957138               TRANSFER FROM 4</t>
  </si>
  <si>
    <t xml:space="preserve">   BULK POSTING-ACHCr NACH00000000057384 STYLAM1stInt23--</t>
  </si>
  <si>
    <t>6512690611CTZ6791905               TRANSFER FROM 4</t>
  </si>
  <si>
    <t xml:space="preserve">   TO TRANSFER-TRFD TO INDIAN RENEWABLE ENER1GY DEV AGNCY ALLOTME--</t>
  </si>
  <si>
    <t xml:space="preserve">IIC2861225               TRANSFER TO 32718635441  </t>
  </si>
  <si>
    <t>YSBI2152014558IGAQMGNQS5               TRANSFER TO</t>
  </si>
  <si>
    <t>6512445076CTZ5957263               TRANSFER FROM 4</t>
  </si>
  <si>
    <t>6512393837CTZ5809292               TRANSFER FROM 4</t>
  </si>
  <si>
    <t>6512030001CTZ4836419               TRANSFER FROM 4</t>
  </si>
  <si>
    <t xml:space="preserve">   BULK POSTING-ACHCr SBIN00882000011904 TCS2NDINTDIV07--</t>
  </si>
  <si>
    <t xml:space="preserve">   BULK POSTING-ACHCr ICIC02491000005006 INFOSYS LIMITE--</t>
  </si>
  <si>
    <t>TRANSFER FROM 4697225044301</t>
  </si>
  <si>
    <t xml:space="preserve">   BY TRANSFER-NEFT*UBIN0905666*001109235628*AJAY KUMAR GUPTA HUF--</t>
  </si>
  <si>
    <t>6511479970CTZ2755387               TRANSFER FROM 4</t>
  </si>
  <si>
    <t>IIC2218026               TRANSFER FROM 32718635441</t>
  </si>
  <si>
    <t xml:space="preserve">TRANSFER TO 51104607054                           </t>
  </si>
  <si>
    <t xml:space="preserve">   TO TRANSFER-SBILT22102023193124012636-Deposit--</t>
  </si>
  <si>
    <t>IIC1965407               TRANSFER FROM 32718635441</t>
  </si>
  <si>
    <t xml:space="preserve">   BY TRANSFER-INB Deposit / Investment--</t>
  </si>
  <si>
    <t>IIC1835052               TRANSFER FROM 32718635441</t>
  </si>
  <si>
    <t xml:space="preserve">   BY TRANSFER-INB Payment of education fee--</t>
  </si>
  <si>
    <t xml:space="preserve">IT00SQUAN8               TRANSFER TO 38852739960  </t>
  </si>
  <si>
    <t xml:space="preserve">   TO TRANSFER-INB Payment of education fee--</t>
  </si>
  <si>
    <t>YSBI2108669698IGAQHPMIQ8               TRANSFER TO</t>
  </si>
  <si>
    <t>6510350270CTY9505871               TRANSFER FROM 4</t>
  </si>
  <si>
    <t xml:space="preserve">   BULK POSTING-ACHCr ICIC03217000005737 BRL FIN DIV 22--</t>
  </si>
  <si>
    <t xml:space="preserve">   BULK POSTING-ACHCr NACH00000000025450 JRAL Fin Div 2--</t>
  </si>
  <si>
    <t xml:space="preserve">   ATM WDL-ATM CASH 9577  SBI SHIVAJI NAGAR ATM NASHIK--</t>
  </si>
  <si>
    <t xml:space="preserve">   BULK POSTING-ACHCr NACH00000000061871 MIL Fin Div 20--</t>
  </si>
  <si>
    <t>YSBI2082212999IGAQEWBTN6               TRANSFER TO</t>
  </si>
  <si>
    <t>6509578041CTY7160595               TRANSFER FROM 4</t>
  </si>
  <si>
    <t xml:space="preserve">   DEBIT-ATMCard AMC  652294*6987--</t>
  </si>
  <si>
    <t>6509369100CTY6450565               TRANSFER FROM 4</t>
  </si>
  <si>
    <t>TRANSFER FROM 4697196044301</t>
  </si>
  <si>
    <t xml:space="preserve">   BY TRANSFER-NEFT*UTIB0000004*AXISP00424223803*NSE CLEARING LIM--</t>
  </si>
  <si>
    <t>IIC0999297               TRANSFER FROM 32718635441</t>
  </si>
  <si>
    <t>IIC0994300               TRANSFER FROM 32718635441</t>
  </si>
  <si>
    <t>IIC0994290               TRANSFER FROM 32718635441</t>
  </si>
  <si>
    <t xml:space="preserve">IIC0918892               TRANSFER TO 32718635441  </t>
  </si>
  <si>
    <t>6509076138CTY5766213               TRANSFER FROM 4</t>
  </si>
  <si>
    <t xml:space="preserve">   TO TRANSFER-SBILT08092023064019877540-Deposit or Inv--</t>
  </si>
  <si>
    <t>6509002081CTY5606016               TRANSFER FROM 4</t>
  </si>
  <si>
    <t xml:space="preserve">   TO TRANSFER-TRFD TO RISHABH INSTRUMENTS LTD IPO ALLOTMENT--</t>
  </si>
  <si>
    <t xml:space="preserve">IIC0639835               TRANSFER TO 32718635441  </t>
  </si>
  <si>
    <t>6508650813CTY4556318               TRANSFER FROM 4</t>
  </si>
  <si>
    <t>6508499164CTY4124307               TRANSFER FROM 4</t>
  </si>
  <si>
    <t>IIC0426902               TRANSFER FROM 32718635441</t>
  </si>
  <si>
    <t>NEFT INB: IRW7872614                               / Ajay Kumar Gupta</t>
  </si>
  <si>
    <t xml:space="preserve">   TO TRANSFER-INB NEFT UTR NO: SBIN423223756583--Ajay Kumar Gupta</t>
  </si>
  <si>
    <t>6507697708CTY1817402               TRANSFER FROM 4</t>
  </si>
  <si>
    <t>100004364001235IGAQACFDX7               TRANSFER T</t>
  </si>
  <si>
    <t xml:space="preserve">   TO TRANSFER-INB IRCTC-RAILWAY TICKET BOOK Railway Ticket Booki--</t>
  </si>
  <si>
    <t>6507655384CTY1639300               TRANSFER FROM 4</t>
  </si>
  <si>
    <t>6507606618CTY1477227               TRANSFER FROM 4</t>
  </si>
  <si>
    <t xml:space="preserve">   BULK POSTING-ACHCr UTIB01853000028122 TCS1STINTDIV07--</t>
  </si>
  <si>
    <t xml:space="preserve">   BULK POSTING-ACHCr HDFC01160000010513 PaushakDiv2022--</t>
  </si>
  <si>
    <t>6507355775CTY0616825               TRANSFER FROM 4</t>
  </si>
  <si>
    <t>NEFT INB: IRW7094432                               / Ajay Kumar Gupta</t>
  </si>
  <si>
    <t xml:space="preserve">   TO TRANSFER-INB NEFT UTR NO: SBIN123213509185--Ajay Kumar Gupta</t>
  </si>
  <si>
    <t>IIB9788460               TRANSFER FROM 32718635441</t>
  </si>
  <si>
    <t>6507302733CTY0446779               TRANSFER FROM 4</t>
  </si>
  <si>
    <t>YSBI2008918542IGAPXVZET8               TRANSFER TO</t>
  </si>
  <si>
    <t>6506899613CTX9331230               TRANSFER FROM 4</t>
  </si>
  <si>
    <t xml:space="preserve">   BULK POSTING-ACHCr NACH00000000057636 MAWANA SUGARS--</t>
  </si>
  <si>
    <t>IGAPWSDNF9ICZ8446575               TRANSFER TO 319</t>
  </si>
  <si>
    <t xml:space="preserve">   TO TRANSFER-INB Commission of IGAPWSDNF9---</t>
  </si>
  <si>
    <t>6002554109IGAPWSDNF9               TRANSFER TO 317</t>
  </si>
  <si>
    <t xml:space="preserve">   TO TRANSFER-INB IRCTC Retiring Room Booki--</t>
  </si>
  <si>
    <t>IIB9347211               TRANSFER FROM 32718635441</t>
  </si>
  <si>
    <t xml:space="preserve">   BY TRANSFER-INB Credit card payment--</t>
  </si>
  <si>
    <t>CMP00000000682469890AOJY240135               TRANS</t>
  </si>
  <si>
    <t xml:space="preserve">   TO TRANSFER-CMP SBI CAPS--</t>
  </si>
  <si>
    <t>6506147038CTX6898368               TRANSFER FROM 4</t>
  </si>
  <si>
    <t xml:space="preserve">   BULK POSTING-ACHCr UTIB01853000028122 TCS FINDIV 030--</t>
  </si>
  <si>
    <t>TRANSFER FROM 3199967044305</t>
  </si>
  <si>
    <t xml:space="preserve">   BY TRANSFER-NEFT*KKBK0000958*KKBKH23179159219*MARUTI INTERIOR--</t>
  </si>
  <si>
    <t xml:space="preserve">IIB8695782               TRANSFER TO 32718635441  </t>
  </si>
  <si>
    <t>6505821497CTX5583074               TRANSFER FROM 4</t>
  </si>
  <si>
    <t>YSBI1955450045IGAPTJWVV9               TRANSFER TO</t>
  </si>
  <si>
    <t xml:space="preserve">   BULK POSTING-ACHCr UTIB00862000018061 IIL FINAL 2022--</t>
  </si>
  <si>
    <t>IIB8464838               TRANSFER FROM 32718635441</t>
  </si>
  <si>
    <t>IIB8402515               TRANSFER FROM 32718635441</t>
  </si>
  <si>
    <t>CMP00000000667185969AOJI483369               TRANS</t>
  </si>
  <si>
    <t>IIB8169986               TRANSFER FROM 32718635441</t>
  </si>
  <si>
    <t>6504928154CTX2539155               TRANSFER FROM 4</t>
  </si>
  <si>
    <t>IIB8049885               TRANSFER FROM 32718635441</t>
  </si>
  <si>
    <t>6504889095CTX2369247               TRANSFER FROM 4</t>
  </si>
  <si>
    <t>6504851594CTX2209893               TRANSFER FROM 4</t>
  </si>
  <si>
    <t>6504816650CTX2058732               TRANSFER FROM 4</t>
  </si>
  <si>
    <t>6504630524CTX1370418               TRANSFER FROM 4</t>
  </si>
  <si>
    <t>YSBI1891515209IGAPPCVJO4               TRANSFER TO</t>
  </si>
  <si>
    <t>6504374486CTX0412280               TRANSFER FROM 4</t>
  </si>
  <si>
    <t>6504223720CTW9833700               TRANSFER FROM 4</t>
  </si>
  <si>
    <t>6504184340CTW9668902               TRANSFER FROM 4</t>
  </si>
  <si>
    <t>6504141132CTW9502868               TRANSFER FROM 4</t>
  </si>
  <si>
    <t xml:space="preserve">   TO TRANSFER-TRFD TO MANKIND PHARMA LTD IPO ALLOTMENT--</t>
  </si>
  <si>
    <t>6504023356CTW8820042               TRANSFER FROM 4</t>
  </si>
  <si>
    <t>IIB7146807               TRANSFER FROM 32718635441</t>
  </si>
  <si>
    <t>6503910734CTW8203019               TRANSFER FROM 4</t>
  </si>
  <si>
    <t>IIB7031794               TRANSFER FROM 32718635441</t>
  </si>
  <si>
    <t xml:space="preserve">   BULK POSTING-ACHCr KKBK00188000018285 DHAMPUR SUGAR--</t>
  </si>
  <si>
    <t xml:space="preserve">IIB6951312               TRANSFER TO 32718635441  </t>
  </si>
  <si>
    <t>IIB6951402               TRANSFER FROM 32718635441</t>
  </si>
  <si>
    <t>6503677670CTW7273599               TRANSFER FROM 4</t>
  </si>
  <si>
    <t>6503644322CTW7125901               TRANSFER FROM 4</t>
  </si>
  <si>
    <t xml:space="preserve">IIB6794633               TRANSFER TO 32718635441  </t>
  </si>
  <si>
    <t>YSBI1843207721IGAPLILQC0               TRANSFER TO</t>
  </si>
  <si>
    <t xml:space="preserve">   TO TRANSFER-SBILT13042023084220295270-Loan repayment--</t>
  </si>
  <si>
    <t xml:space="preserve">   BULK POSTING-ACHCr HDFC01984000016202 DWARIKESH INTD--</t>
  </si>
  <si>
    <t>6503407916CTW6110905               TRANSFER FROM 4</t>
  </si>
  <si>
    <t>6503375120CTW5943163               TRANSFER FROM 4</t>
  </si>
  <si>
    <t>6503260805CTW5438690               TRANSFER FROM 4</t>
  </si>
  <si>
    <t>IIB6318597               TRANSFER FROM 32718635441</t>
  </si>
  <si>
    <t>Balance</t>
  </si>
  <si>
    <t>Credit</t>
  </si>
  <si>
    <t xml:space="preserve">        Debit</t>
  </si>
  <si>
    <t>Ref No./Cheque No.</t>
  </si>
  <si>
    <t>Description</t>
  </si>
  <si>
    <t>Value Date</t>
  </si>
  <si>
    <t>Txn Date</t>
  </si>
  <si>
    <t>End Date            :</t>
  </si>
  <si>
    <t>Start Date          :</t>
  </si>
  <si>
    <t>Balance on 1 Apr 2023        :</t>
  </si>
  <si>
    <t xml:space="preserve">Yes </t>
  </si>
  <si>
    <t>Nomination Registered    :</t>
  </si>
  <si>
    <t>_422002020</t>
  </si>
  <si>
    <t>MICR (Magnetic Ink Character Recognition)  Code        :</t>
  </si>
  <si>
    <t>SBIN0011669</t>
  </si>
  <si>
    <t>IFS (Indian Financial System) Code         :</t>
  </si>
  <si>
    <t>_85190853479</t>
  </si>
  <si>
    <t>CIF No.          :</t>
  </si>
  <si>
    <t>MOD Balance      :</t>
  </si>
  <si>
    <t>Interest Rate(% p.a.):</t>
  </si>
  <si>
    <t>Drawing Power      :</t>
  </si>
  <si>
    <t>SHIVAJI NAGAR, NASIK</t>
  </si>
  <si>
    <t>Branch             :</t>
  </si>
  <si>
    <t>SBCHQ-SBP-GEN-PUB-IND-ALL-INR</t>
  </si>
  <si>
    <t>Account Description:</t>
  </si>
  <si>
    <t>_00000020010697703</t>
  </si>
  <si>
    <t>Account Number     :</t>
  </si>
  <si>
    <t xml:space="preserve">Date               :                </t>
  </si>
  <si>
    <t>Nashik</t>
  </si>
  <si>
    <t xml:space="preserve">                                    </t>
  </si>
  <si>
    <t>NASIK-422101</t>
  </si>
  <si>
    <t>ASHOKA MARG NASIK ROAD</t>
  </si>
  <si>
    <t>FLAT NO D-07 ISHWAR PARADISE</t>
  </si>
  <si>
    <t>Address            :</t>
  </si>
  <si>
    <t>Mr. AJAY  KUMAR  GUPTA</t>
  </si>
  <si>
    <t xml:space="preserve">Account Name       :                </t>
  </si>
  <si>
    <t>_00000032718635441</t>
  </si>
  <si>
    <t>SBI SURAKSHIT HL MAXGN AUG 12</t>
  </si>
  <si>
    <t xml:space="preserve">No </t>
  </si>
  <si>
    <t xml:space="preserve">IIB6318597               TRANSFER TO 20010697703  </t>
  </si>
  <si>
    <t xml:space="preserve">   BY TRANSFER-NEFT*UTIB0000115*AXIR230915974036*AJAY KUMAR GUPTA--</t>
  </si>
  <si>
    <t>TRANSFER FROM 3199964044308</t>
  </si>
  <si>
    <t xml:space="preserve">   DEPOSIT TRANSFER---</t>
  </si>
  <si>
    <t xml:space="preserve">TRANSFER FROM 20010697703                         </t>
  </si>
  <si>
    <t xml:space="preserve">   BY TRANSFER-SBILT13042023084220295270-Loan repayment--</t>
  </si>
  <si>
    <t>IIB6794633               TRANSFER FROM 20010697703</t>
  </si>
  <si>
    <t xml:space="preserve">IIB6951402               TRANSFER TO 20010697703  </t>
  </si>
  <si>
    <t>IIB6951312               TRANSFER FROM 20010697703</t>
  </si>
  <si>
    <t xml:space="preserve">   TO TRANSFER-INB Deposit / Investment--</t>
  </si>
  <si>
    <t xml:space="preserve">IIB7031794               TRANSFER TO 20010697703  </t>
  </si>
  <si>
    <t xml:space="preserve">IIB7146807               TRANSFER TO 20010697703  </t>
  </si>
  <si>
    <t xml:space="preserve">   DEBIT INTEREST---</t>
  </si>
  <si>
    <t xml:space="preserve">IIB8049885               TRANSFER TO 20010697703  </t>
  </si>
  <si>
    <t xml:space="preserve">IIB8169986               TRANSFER TO 20010697703  </t>
  </si>
  <si>
    <t xml:space="preserve">IIB8402515               TRANSFER TO 20010697703  </t>
  </si>
  <si>
    <t xml:space="preserve">IIB8464838               TRANSFER TO 20010697703  </t>
  </si>
  <si>
    <t>IIB8695782               TRANSFER FROM 20010697703</t>
  </si>
  <si>
    <t xml:space="preserve">   TO TRANSFER-INB NEFT UTR NO: SBIN123191905507--AJAY KUMAR GUPTA</t>
  </si>
  <si>
    <t>NEFT INB: IRW5728101                               / AJAY KUMAR GUPTA</t>
  </si>
  <si>
    <t xml:space="preserve">   TO TRANSFER-INB Credit card payment--</t>
  </si>
  <si>
    <t xml:space="preserve">IIB9347211               TRANSFER TO 20010697703  </t>
  </si>
  <si>
    <t xml:space="preserve">IIB9788460               TRANSFER TO 20010697703  </t>
  </si>
  <si>
    <t xml:space="preserve">   TO TRANSFER-INB NEFT UTR NO: SBIN123213282053--Sunita Gupta</t>
  </si>
  <si>
    <t>NEFT INB: IRW7078841                               / Sunita Gupta</t>
  </si>
  <si>
    <t xml:space="preserve">   TO TRANSFER-INB NEFT UTR NO: SBIN123213306776--Ajay Kumar Gupta</t>
  </si>
  <si>
    <t>NEFT INB: IRW7080126                               / Ajay Kumar Gupta</t>
  </si>
  <si>
    <t xml:space="preserve">   TO TRANSFER-INB NEFT UTR NO: SBIN323214823530--Ajay Kumar Gupta</t>
  </si>
  <si>
    <t>NEFT INB: IRW7212363                               / Ajay Kumar Gupta</t>
  </si>
  <si>
    <t xml:space="preserve">   TO TRANSFER-INB NEFT UTR NO: SBIN423215673440--Ajay Kumar Gupta</t>
  </si>
  <si>
    <t>NEFT INB: IRW7293534                               / Ajay Kumar Gupta</t>
  </si>
  <si>
    <t xml:space="preserve">   TO TRANSFER-INB NEFT UTR NO: SBIN223217438050--Ajay Kumar Gupta</t>
  </si>
  <si>
    <t>NEFT INB: IRW7472424                               / Ajay Kumar Gupta</t>
  </si>
  <si>
    <t xml:space="preserve">   TO TRANSFER-INB NEFT UTR NO: SBIN423219506319--Ajay Kumar Gupta</t>
  </si>
  <si>
    <t>NEFT INB: IRW7614691                               / Ajay Kumar Gupta</t>
  </si>
  <si>
    <t xml:space="preserve">   TO TRANSFER-INB NEFT UTR NO: SBIN423230587703--Ajay Kumar Gupta</t>
  </si>
  <si>
    <t>NEFT INB: IRW8240391                               / Ajay Kumar Gupta</t>
  </si>
  <si>
    <t xml:space="preserve">   TO TRANSFER-INB NEFT UTR NO: SBIN523231563697--Ajay Kumar Gupta</t>
  </si>
  <si>
    <t>NEFT INB: IRW8298482                               / Ajay Kumar Gupta</t>
  </si>
  <si>
    <t xml:space="preserve">   BY TRANSFER-NEFT*UTIB0000115*AXOIR32366073380*AJAY KUMAR GUPTA--</t>
  </si>
  <si>
    <t>TRANSFER FROM 4697176044305</t>
  </si>
  <si>
    <t xml:space="preserve">IIC0426902               TRANSFER TO 20010697703  </t>
  </si>
  <si>
    <t>IIC0639835               TRANSFER FROM 20010697703</t>
  </si>
  <si>
    <t>IIC0918892               TRANSFER FROM 20010697703</t>
  </si>
  <si>
    <t xml:space="preserve">IIC0994290               TRANSFER TO 20010697703  </t>
  </si>
  <si>
    <t xml:space="preserve">IIC0994300               TRANSFER TO 20010697703  </t>
  </si>
  <si>
    <t xml:space="preserve">IIC0999297               TRANSFER TO 20010697703  </t>
  </si>
  <si>
    <t xml:space="preserve">   BY TRANSFER-NEFT*HDFC0000001*N255232639871634*AJAY KUMAR GUPTA--</t>
  </si>
  <si>
    <t>TRANSFER FROM 4697201044308</t>
  </si>
  <si>
    <t xml:space="preserve">IIC1835052               TRANSFER TO 20010697703  </t>
  </si>
  <si>
    <t xml:space="preserve">IIC1965407               TRANSFER TO 20010697703  </t>
  </si>
  <si>
    <t xml:space="preserve">   TO TRANSFER-INB NEFT UTR NO: SBIN223296246482--Ajay Kumar Gupta</t>
  </si>
  <si>
    <t>NEFT INB: IRX2448244                               / Ajay Kumar Gupta</t>
  </si>
  <si>
    <t xml:space="preserve">IIC2218026               TRANSFER TO 20010697703  </t>
  </si>
  <si>
    <t xml:space="preserve">   TO TRANSFER-INB NEFT UTR NO: SBIN423304369896--Ajay Kumar Gupta</t>
  </si>
  <si>
    <t>NEFT INB: IRX2847544                               / Ajay Kumar Gupta</t>
  </si>
  <si>
    <t xml:space="preserve">   BY TRANSFER-RTGS UTR NO: HDFCR52023103150344939--AJAY KUMAR GUPTA</t>
  </si>
  <si>
    <t>TRANSFER FROM 3199856044300 / AJAY KUMAR GUPTA</t>
  </si>
  <si>
    <t xml:space="preserve">   BY TRANSFER-NEFT*HDFC0000001*N306232716343009*AJAY KUMAR GUPTA--</t>
  </si>
  <si>
    <t>TRANSFER FROM 4697257044303</t>
  </si>
  <si>
    <t xml:space="preserve">   TO TRANSFER-INB NEFT UTR NO: SBIN123310294550--Ajay Kumar Gupta</t>
  </si>
  <si>
    <t>NEFT INB: IRX3339417                               / Ajay Kumar Gupta</t>
  </si>
  <si>
    <t xml:space="preserve">   BY TRANSFER-NEFT*HDFC0000001*N317232738102386*AJAY KUMAR GUPTA--</t>
  </si>
  <si>
    <t>TRANSFER FROM 3199419044300</t>
  </si>
  <si>
    <t xml:space="preserve">   BY TRANSFER-NEFT*HDFC0000001*N321232743060950*AJAY KUMAR GUPTA--</t>
  </si>
  <si>
    <t>TRANSFER FROM 4697205044304</t>
  </si>
  <si>
    <t>IIC2861225               TRANSFER FROM 20010697703</t>
  </si>
  <si>
    <t xml:space="preserve">   TO TRANSFER-INB NEFT UTR NO: SBIN323335872056--Ajay Kumar Gupta</t>
  </si>
  <si>
    <t>NEFT INB: IRX4838746                               / Ajay Kumar Gupta</t>
  </si>
  <si>
    <t>IIC3095625               TRANSFER FROM 20010697703</t>
  </si>
  <si>
    <t xml:space="preserve">   TO TRANSFER-INB NEFT UTR NO: SBIN523338840590--Ajay Kumar Gupta</t>
  </si>
  <si>
    <t>NEFT INB: IRX5047074                               / Ajay Kumar Gupta</t>
  </si>
  <si>
    <t>IIC3256631               TRANSFER FROM 20010697703</t>
  </si>
  <si>
    <t xml:space="preserve">   BY TRANSFER-SBILT12122023135917188300-Loan repayment--</t>
  </si>
  <si>
    <t>IIC3482728               TRANSFER FROM 20010697703</t>
  </si>
  <si>
    <t xml:space="preserve">IIC3891043               TRANSFER TO 20010697703  </t>
  </si>
  <si>
    <t>Account Branch :KOTA - RAJASTHAN</t>
  </si>
  <si>
    <t>MR.     AJAY KUMAR GUPTA</t>
  </si>
  <si>
    <t>Address :SHOWROOM NO. 13-14</t>
  </si>
  <si>
    <t>11 NEW MARKET</t>
  </si>
  <si>
    <t>MAIN JHALAWAR ROAD</t>
  </si>
  <si>
    <t>ABHINANDAN NEW MARKET</t>
  </si>
  <si>
    <t>.</t>
  </si>
  <si>
    <t>RAWATBHATA</t>
  </si>
  <si>
    <t>City :KOTA</t>
  </si>
  <si>
    <t>RAWATBHATTA BAZAR 323307</t>
  </si>
  <si>
    <t>State :RAJASTHAN</t>
  </si>
  <si>
    <t>Phone no. :18002026161</t>
  </si>
  <si>
    <t>Email :</t>
  </si>
  <si>
    <t>JOINT HOLDERS :</t>
  </si>
  <si>
    <t>OD Limit :0   Currency :INR</t>
  </si>
  <si>
    <t>Cust ID :2600484</t>
  </si>
  <si>
    <t>Nomination  :  Registered</t>
  </si>
  <si>
    <t>Account No :01671000085930   VRM POTENTIAL</t>
  </si>
  <si>
    <t>Statement From  :  01/04/2023         To  :  31/12/2023</t>
  </si>
  <si>
    <t>A/C Open Date :01/06/2005</t>
  </si>
  <si>
    <t>Account Status :Regular</t>
  </si>
  <si>
    <t>RTGS/NEFT IFSC :HDFC0000167   MICR :324240002</t>
  </si>
  <si>
    <t>Date</t>
  </si>
  <si>
    <t>Narration</t>
  </si>
  <si>
    <t>Value Dt</t>
  </si>
  <si>
    <t>Withdrawal Amt.</t>
  </si>
  <si>
    <t>Deposit Amt.</t>
  </si>
  <si>
    <t>Closing Balance</t>
  </si>
  <si>
    <t>NET PI TO HSL SEC A/C 347707-00602340029392</t>
  </si>
  <si>
    <t>NET PO FROM HSL A/C 347707-00602340029392</t>
  </si>
  <si>
    <t>ACH D- TP ACH INVESTOCAFE-1111407380</t>
  </si>
  <si>
    <t>ACH D- TP ACH INVESTOCAFE-1111407381</t>
  </si>
  <si>
    <t>ACH D- TP ACH INVESTOCAFE-1111407382</t>
  </si>
  <si>
    <t>ACH D- TP ACH INVESTOCAFE-1116440799</t>
  </si>
  <si>
    <t>ACH D- TP ACH INVESTOCAFE-1116440800</t>
  </si>
  <si>
    <t>O/MF-HSBC MF      -O416    -000000101236</t>
  </si>
  <si>
    <t>NET PAYIN TO BSE MF A/C -57500000389146- FROM A/C -01671000085930- UCC -347707-57500000389146</t>
  </si>
  <si>
    <t>ACH C- STEEL AUTHORITY OF I-000000000000</t>
  </si>
  <si>
    <t>DEPOSITORY CHARGES MAR23 - 40227714</t>
  </si>
  <si>
    <t>ACH D- TP ACH INVESTOCAFE-1121518334</t>
  </si>
  <si>
    <t>ACH D- TP ACH INVESTOCAFE-1121518335</t>
  </si>
  <si>
    <t>ACH D- TP ACH INVESTOCAFE-1121518336</t>
  </si>
  <si>
    <t>50100128155413-TPT-MONEY RETURNED TO AAYUSH-AAYUSH KUMAR GUPTA</t>
  </si>
  <si>
    <t>ACH D- TP ACH INVESTOCAFE-1122935617</t>
  </si>
  <si>
    <t>ACH D- TP ACH INVESTOCAFE-1122935618</t>
  </si>
  <si>
    <t>UPI-SUNITA GUPTA-AJAYGUPTANEL1@YBL-HDFC0000167-348023861893-TRANSFER FROM AKG</t>
  </si>
  <si>
    <t>O/MF-ICICI PRU MF -PSIG    -000000101236</t>
  </si>
  <si>
    <t>.ACH DEBIT RETURN CHARGES 010323 010323-MIR2411185005629</t>
  </si>
  <si>
    <t>.ACH DEBIT RETURN CHARGES 010323 010323-MIR2411184909776</t>
  </si>
  <si>
    <t>.ACH DEBIT RETURN CHARGES 010323 010323-MIR2411184961200</t>
  </si>
  <si>
    <t>STAR HEALTH AN-2023 221111 1671046</t>
  </si>
  <si>
    <t>ACH D- TP ACH INVESTOCAFE-1134082383</t>
  </si>
  <si>
    <t>ACH D- TP ACH INVESTOCAFE-1134082384</t>
  </si>
  <si>
    <t>ACH D- TP ACH INVESTOCAFE-1134082385</t>
  </si>
  <si>
    <t>00012050001396HLY INT-IN0020210178</t>
  </si>
  <si>
    <t>NEFT CR-UTIB0000115-AJAY KUMAR GUPTA-AJAY GUPTA-AXIR231240101528</t>
  </si>
  <si>
    <t>ACH D- TP ACH INVESTOCAFE-1140483790</t>
  </si>
  <si>
    <t>ACH D- TP ACH INVESTOCAFE-1140483791</t>
  </si>
  <si>
    <t>ACH C- HCL 1INTDIV 2023 24-303288</t>
  </si>
  <si>
    <t>01671000060094-TPT-MNY RTRN TO AKG-SUNITA GUPTA</t>
  </si>
  <si>
    <t>O-MF-HSBC MF-O-O416-000000101236</t>
  </si>
  <si>
    <t>JANMAR23 INSTAALERTCHG 49 SMS 220323-MIR2413016189705</t>
  </si>
  <si>
    <t>ACH D- TP ACH INVESTOCAFE-1144264766</t>
  </si>
  <si>
    <t>ACH D- TP ACH INVESTOCAFE-1144264767</t>
  </si>
  <si>
    <t>DEPOSITORY CHARGES APR23 - 40227714</t>
  </si>
  <si>
    <t>ACH D- TP ACH INVESTOCAFE-1145740898</t>
  </si>
  <si>
    <t>ACH C- ORACLEFINANCIALSER-00000000000000</t>
  </si>
  <si>
    <t>00012050001396HLY INT-IN0020200286</t>
  </si>
  <si>
    <t>ACH C- SANOFIINDI DIV PYMT-71PR23051805A</t>
  </si>
  <si>
    <t>ACH D- TP ACH INVESTOCAFE-1147861201</t>
  </si>
  <si>
    <t>ACH D- TP ACH INVESTOCAFE-1147861202</t>
  </si>
  <si>
    <t>50100128155413-TPT-BORROW FROM AAYUSH-AAYUSH KUMAR GUPTA</t>
  </si>
  <si>
    <t>ADVANCED EN DIV232400000000000000004060</t>
  </si>
  <si>
    <t>O-MF-ICICI PRU-P-PSIG-000000101236</t>
  </si>
  <si>
    <t>ACH D- TP ACH INVESTOCAFE-1160122736</t>
  </si>
  <si>
    <t>ACH D- TP ACH INVESTOCAFE-1160122737</t>
  </si>
  <si>
    <t>ACH D- TP ACH INVESTOCAFE-1160122738</t>
  </si>
  <si>
    <t>ACH D- TP ACH INVESTOCAFE-1166741287</t>
  </si>
  <si>
    <t>ACH D- TP ACH INVESTOCAFE-1166741288</t>
  </si>
  <si>
    <t>NEFT CR-UTIB0000115-AJAY KUMAR GUPTA-AJAY GUPTA-AXIR231593867603</t>
  </si>
  <si>
    <t>NEFT CR-YESB0000004-INDIAN CLEARING CORPORATION LIMITED-AJAYKUMARGUPTA-YESB31605516647</t>
  </si>
  <si>
    <t>50100128155413-TPT-MONY RTRN TO AAYUSH-AAYUSH KUMAR GUPTA</t>
  </si>
  <si>
    <t>ACH D- TP ACH INVESTOCAFE-1171027505</t>
  </si>
  <si>
    <t>ACH D- TP ACH INVESTOCAFE-1171027506</t>
  </si>
  <si>
    <t>DEPOSITORY CHARGES MAY23 - 40227714</t>
  </si>
  <si>
    <t>ACH C- IIL FINAL 2022 23-57747</t>
  </si>
  <si>
    <t>ACH D- TP ACH INVESTOCAFE-1172140002</t>
  </si>
  <si>
    <t>ACH D- TP ACH INVESTOCAFE-1173228407</t>
  </si>
  <si>
    <t>ACH D- TP ACH INVESTOCAFE-1173228408</t>
  </si>
  <si>
    <t>APCOTEX IND DIV 222300000000000000006770</t>
  </si>
  <si>
    <t>ACH C- JSAW DIV-2023-0057233</t>
  </si>
  <si>
    <t>50100128155413-TPT-BORROW FROM AKG-AAYUSH KUMAR GUPTA</t>
  </si>
  <si>
    <t>00012050001396HLY INT-IN0020220110</t>
  </si>
  <si>
    <t>ACH C- CANARA BANK-5216218</t>
  </si>
  <si>
    <t>CREDIT INTEREST CAPITALISED</t>
  </si>
  <si>
    <t>ACH D- TP ACH INVESTOCAFE-1185012925</t>
  </si>
  <si>
    <t>ACH D- TP ACH INVESTOCAFE-1185012926</t>
  </si>
  <si>
    <t>ACH D- TP ACH INVESTOCAFE-1185012927</t>
  </si>
  <si>
    <t>ACH C- TCS FINDIV 030723-775453</t>
  </si>
  <si>
    <t>ACH C- INFOSYS LIMITED-34190913</t>
  </si>
  <si>
    <t>UPI-SALMAN SALMAN SALMAN-PAYTMQR1ODBGBH003@PAYTM-PYTM0123456-318560194138-REA</t>
  </si>
  <si>
    <t>50100128155413-TPT-RETRUN FROM AAYUSH-AAYUSH KUMAR GUPTA</t>
  </si>
  <si>
    <t>00012050001396HLY INT-IN0020200377</t>
  </si>
  <si>
    <t>ACH D- TP ACH INVESTOCAFE-1192357928</t>
  </si>
  <si>
    <t>ACH D- TP ACH INVESTOCAFE-1192357929</t>
  </si>
  <si>
    <t>ACH C- TATASTEELDIV2023-1412759</t>
  </si>
  <si>
    <t>IMPS-319219958217-CASHFREE PAYMENTS IN-NSPB-XXXXXXXX0008-BAV</t>
  </si>
  <si>
    <t>IMPS-319219959131-CASHFREE PAYMENTS IN-NSPB-XXXXXXXX0008-BAV</t>
  </si>
  <si>
    <t>FT- NIPPON INDIA PHARMA FUND - HD99 128609921 41196088676 1858466375</t>
  </si>
  <si>
    <t>FT- ICICI PRUDENTIAL MUTUAL FUND RED A/C - RED  - ESG- 6730672</t>
  </si>
  <si>
    <t>ACH D- TP ACH INVESTOCAFE-1197453781</t>
  </si>
  <si>
    <t>ACH D- TP ACH INVESTOCAFE-1197453782</t>
  </si>
  <si>
    <t>ACH D- TP ACH INVESTOCAFE-1197807472</t>
  </si>
  <si>
    <t>DEPOSITORY CHARGES JUN23 - 40227714</t>
  </si>
  <si>
    <t>APRJUN23 INSTAALERTCHG 62 SMS 220523-MIR2419960408697</t>
  </si>
  <si>
    <t>00012050001396HLY INT-IN0020210236</t>
  </si>
  <si>
    <t>00012050001396HLY INT-IN0020210111</t>
  </si>
  <si>
    <t>ACH C- ALUFLUORIDE LIMITED-2652</t>
  </si>
  <si>
    <t>ACH C- AACL FNL2223 210723-92804</t>
  </si>
  <si>
    <t>ACH D- TP ACH INVESTOCAFE-1199491938</t>
  </si>
  <si>
    <t>ACH D- TP ACH INVESTOCAFE-1199491939</t>
  </si>
  <si>
    <t>01671000060094-TPT-BORROW FRM SUNITA TO AKG-SUNITA GUPTA</t>
  </si>
  <si>
    <t>ACH C- LTIMINDTREE FNL22 23-223239</t>
  </si>
  <si>
    <t>UPI-AAYUSH KUMAR GUPTA-9970054014@YBL-HDFC0000456-357202875221-BORROW FROM AJAY</t>
  </si>
  <si>
    <t>NEFT CR-CITI0100000-HSBC MF-REDEMPTION PAYOUT ACCOUNT-AJAY KUMAR GUPTA-CITIN23397061233</t>
  </si>
  <si>
    <t>2507050444 HDFC LIFE INSUR FIN DIV22 23</t>
  </si>
  <si>
    <t>50100128155413-TPT-MONEY RETURNED-AAYUSH KUMAR GUPTA</t>
  </si>
  <si>
    <t>01671000060094-TPT-MONEY RETURNED-SUNITA GUPTA</t>
  </si>
  <si>
    <t>ACH C- BAJAJ FINSERV LIMITE-4164040</t>
  </si>
  <si>
    <t>ACH C- HCL 2ND INTDIV23 24-386357</t>
  </si>
  <si>
    <t>ACH D- TP ACH INVESTOCAFE-1210299574</t>
  </si>
  <si>
    <t>ACH D- TP ACH INVESTOCAFE-1210299575</t>
  </si>
  <si>
    <t>ACH D- TP ACH INVESTOCAFE-1210299576</t>
  </si>
  <si>
    <t>NEFT CR-SBIN0011669-MR  AJAY KUMAR GUPTA-AJAY KUMAR GUPTA-SBIN123213306776</t>
  </si>
  <si>
    <t>50100542230922-TPT-BORROW FROM AJAY-ARCHIT GUPTA</t>
  </si>
  <si>
    <t>NEFT CR-SBIN0011669-MR  AJAY KUMAR GUPTA-AJAY KUMAR GUPTA-SBIN123213509185</t>
  </si>
  <si>
    <t>ACH C- ATULLTDFNLDIV2022 23-21431</t>
  </si>
  <si>
    <t>NEFT CR-SBIN0011669-MR  AJAY KUMAR GUPTA-AJAY KUMAR GUPTA-SBIN323214823530</t>
  </si>
  <si>
    <t>NEFT CR-SBIN0011669-MR  AJAY KUMAR GUPTA-AJAY KUMAR GUPTA-SBIN423215673440</t>
  </si>
  <si>
    <t>01671000060094-TPT-BORROW FROM AJAY GUPTA-SUNITA GUPTA</t>
  </si>
  <si>
    <t>NEFT CR-SBIN0011669-MR  AJAY KUMAR GUPTA-AJAY KUMAR GUPTA-SBIN223217438050</t>
  </si>
  <si>
    <t>50100128155413-TPT-BORW FROM AJAY-AAYUSH KUMAR GUPTA</t>
  </si>
  <si>
    <t>01671000060094-TPT-BORROW FROM AJAY-SUNITA GUPTA</t>
  </si>
  <si>
    <t>UPI-AAYUSH KUMAR GUPTA-9970054014@YBL-HDFC0000456-358542458244-BORROW FROM AKG</t>
  </si>
  <si>
    <t>UPI-SUNITA GUPTA-AJAYGUPTANEL1@YBL-HDFC0000167-358583940060-BORROW FROM AJAY</t>
  </si>
  <si>
    <t>ACH C- TCS1STINTDIV070823-758521</t>
  </si>
  <si>
    <t>ACH D- TP ACH INVESTOCAFE-1217072991</t>
  </si>
  <si>
    <t>ACH D- TP ACH INVESTOCAFE-1217072990</t>
  </si>
  <si>
    <t>NEFT CR-SBIN0011669-MR  AJAY KUMAR GUPTA-AJAY KUMAR GUPTA-SBIN423219506319</t>
  </si>
  <si>
    <t>50100128155413-TPT-BORROW FROM AJAY-AAYUSH KUMAR GUPTA</t>
  </si>
  <si>
    <t>ACH C- DEEPAK NITRITE 22 23-207350</t>
  </si>
  <si>
    <t>NEFT CR-SBIN0011669-MR  AJAY KUMAR GUPTA-AJAY KUMAR GUPTA-SBIN423223756583</t>
  </si>
  <si>
    <t>1008912122 TECH MAHINDRA LT FIN DIV22 23</t>
  </si>
  <si>
    <t>ACH D- TP ACH INVESTOCAFE-1223386026</t>
  </si>
  <si>
    <t>ACH D- TP ACH INVESTOCAFE-1223386027</t>
  </si>
  <si>
    <t>ACH D- TP ACH INVESTOCAFE-1223558521</t>
  </si>
  <si>
    <t>01671000060094-TPT-BORROW FROM AKG-SUNITA GUPTA</t>
  </si>
  <si>
    <t>NEFT CR-SBIN0011669-MR  AJAY KUMAR GUPTA-AJAY KUMAR GUPTA-SBIN423230587703</t>
  </si>
  <si>
    <t>DEPOSITORY CHARGES JUL23 - 40227714</t>
  </si>
  <si>
    <t>ADVANCED EN DIV22 2300000000000000004622</t>
  </si>
  <si>
    <t>NEFT CR-SBIN0011669-MR  AJAY KUMAR GUPTA-AJAY KUMAR GUPTA-SBIN523231563697</t>
  </si>
  <si>
    <t>ACH D- TP ACH INVESTOCAFE-1225107817</t>
  </si>
  <si>
    <t>ACH D- TP ACH INVESTOCAFE-1225107818</t>
  </si>
  <si>
    <t>ACH C- SRF LIMITED-4683014</t>
  </si>
  <si>
    <t>LAL PATHLAB DIV23 2400000000000000011273</t>
  </si>
  <si>
    <t>UPI-ANKIT  SHUKLA-ANKITSHUKLA27281@YBL-SBIN0015515-360137124122-PAYMENT FROM PHONE</t>
  </si>
  <si>
    <t>NEFT CR-UTIB0000115-AJAY KUMAR GUPTA-AJAY GUPTA-AXOIR32366074498</t>
  </si>
  <si>
    <t>50100542230922-TPT-BORROW FROM AKG-ARCHIT GUPTA</t>
  </si>
  <si>
    <t>ACH C- PI INDUSTRIES LTD-3129628</t>
  </si>
  <si>
    <t>01671000060094-TPT-FROM AKG-SUNITA GUPTA</t>
  </si>
  <si>
    <t>O-MF-SBI MF-L-L103G-000000101236</t>
  </si>
  <si>
    <t>01671000060094-TPT-FRM AKG-SUNITA GUPTA</t>
  </si>
  <si>
    <t>ACH C- RELIANCE INDUSTRIES-231726157</t>
  </si>
  <si>
    <t>NEFT CR-UTIB0000115-AJAY KUMAR GUPTA-AJAY GUPTA-AXOIR32408328549</t>
  </si>
  <si>
    <t>NET PO FROM HSL A/C 347707-50200085415108</t>
  </si>
  <si>
    <t>00012050001396HLY INT-IN0020220078</t>
  </si>
  <si>
    <t>50100128155413-TPT-FROM AKG-AAYUSH KUMAR GUPTA</t>
  </si>
  <si>
    <t>NEFT CR-UTIB0000115-AJAY KUMAR GUPTA-AJAY GUPTA-AXOIR32424691968</t>
  </si>
  <si>
    <t>50100542230922-TPT-FROM AKG-ARCHIT GUPTA</t>
  </si>
  <si>
    <t>ACH C- ICICI BANK LTD.-5365152</t>
  </si>
  <si>
    <t>ACH C- SPIL FINAL 2022 2023-250111</t>
  </si>
  <si>
    <t>ACH D- TP ACH INVESTOCAFE-1237515120</t>
  </si>
  <si>
    <t>ACH D- TP ACH INVESTOCAFE-1237515121</t>
  </si>
  <si>
    <t>ACH D- TP ACH INVESTOCAFE-1237515122</t>
  </si>
  <si>
    <t>ACH C- NGLFINECHEMLIMITE-0000IN300476402</t>
  </si>
  <si>
    <t>ACH C- DIVISLABORATORIES-000000000000028</t>
  </si>
  <si>
    <t>00012050001396HLY INT-IN0020210145</t>
  </si>
  <si>
    <t>ACH D- TP ACH INVESTOCAFE-1245142109</t>
  </si>
  <si>
    <t>ACH D- TP ACH INVESTOCAFE-1245142108</t>
  </si>
  <si>
    <t>00012050001396HLY INT-IN0020200195</t>
  </si>
  <si>
    <t>NEFT CR-UTIB0000115-AJAY KUMAR GUPTA-AJAY GUPTA-AXOIR32524351649</t>
  </si>
  <si>
    <t>ISAQMC-JAN-MAR23-101236 310723-MIR2425184783281</t>
  </si>
  <si>
    <t>CHQ DEP - MICR - 15 - NASHIK TBG-MAHARAS: JINDAL  SAW  EMPOLYEES GR  GRATUTTY  SCHEME :CANARA BANK</t>
  </si>
  <si>
    <t>00012050001396HLY INT-IN0020200427</t>
  </si>
  <si>
    <t>50100542230922-TPT-FRM AKG-ARCHIT GUPTA</t>
  </si>
  <si>
    <t>NEFT DR-SBIN0011669-AJAY KUMAR GUPTA-NETBANK, MUM-N255232639871634-FROM HDFC BANK</t>
  </si>
  <si>
    <t>NEFT DR-UTIB0001538-AJAY KUMAR GUPTA-NETBANK, MUM-N256232639966325-FROM HDFC</t>
  </si>
  <si>
    <t>NEFT CR-UTIB0000004-NSE CLEARING LIMITED-AJAY  KUMAR GUPTA-AXISP00424321458</t>
  </si>
  <si>
    <t>UPI-HAFIZUDDIN DILAWARKH-9687029171@YBL-BKID0002757-325647672046-PAYMENT FROM PHONE</t>
  </si>
  <si>
    <t>UPI-HAFIZUDDIN DILAWARKH-9687029171@YBL-BKID0002757-325610646151-PAYMENT FROM PHONE</t>
  </si>
  <si>
    <t>DR LAL PATH DIV22 2300000000000000011273</t>
  </si>
  <si>
    <t>ACH D- TP ACH INVESTOCAFE-1249596863</t>
  </si>
  <si>
    <t>ACH D- TP ACH INVESTOCAFE-1249596864</t>
  </si>
  <si>
    <t>ATW-512967XXXXXX8595-S1ANMN04-NASHIK</t>
  </si>
  <si>
    <t>DEPOSITORY CHARGES AUG23 - 40227714</t>
  </si>
  <si>
    <t>SGB2324B/2400024050875565-50200036338578</t>
  </si>
  <si>
    <t>57500000009262-5542697D-AJAY KUMAR</t>
  </si>
  <si>
    <t>57500000009262-628426UJ-AJAY KUMAR</t>
  </si>
  <si>
    <t>ACH D- TP ACH INVESTOCAFE-1250953229</t>
  </si>
  <si>
    <t>ACH D- TP ACH INVESTOCAFE-1250953230</t>
  </si>
  <si>
    <t>YHDF2090680216/BILLDKINDIANCLEARING</t>
  </si>
  <si>
    <t>GARWARE TEC DIV22 2300000000000000003107</t>
  </si>
  <si>
    <t>ACH C- HINDWAREHOMEINNOVA-00000000000000</t>
  </si>
  <si>
    <t>ACH C- JRAL FIN DIV 2022 23-11431</t>
  </si>
  <si>
    <t>ACH C- HINDUJA GLOBAL SOLUT-4015717</t>
  </si>
  <si>
    <t>DEPOSITORY CHARGES SEP23 - 40227714</t>
  </si>
  <si>
    <t>ACH C- POWER MECH PROJECTS-704947</t>
  </si>
  <si>
    <t>ACH C- BLACKROSEINDUSTRIE-0000IN30047640</t>
  </si>
  <si>
    <t>NEFT CR-SBIN0011669-MR  AJAY KUMAR GUPTA-AJAY KUMAR GUPTA-SBIN223296246482</t>
  </si>
  <si>
    <t>50100128155413-TPT-GIFT TO AAYUSH-AAYUSH KUMAR GUPTA</t>
  </si>
  <si>
    <t>UPI-PRAMOD SHARMA SO S N-9822767780@YBL-UTIB0000629-329967839361-PAYMENT FROM PHONE</t>
  </si>
  <si>
    <t>ACH C- HCL 3RD INTDIV23 24-282047</t>
  </si>
  <si>
    <t>IMPS-330414606544-TAPITS TECHNOLOGIES-ICIC-XXXXXXXX8888-HDFCLIFENB</t>
  </si>
  <si>
    <t>NEFT CR-SBIN0011669-MR  AJAY KUMAR GUPTA-AJAY KUMAR GUPTA-SBIN423304369896</t>
  </si>
  <si>
    <t>RTGS DR-SBIN0011669-AJAY KUMAR GUPTA-NETBANK, MUM-HDFCR52023103150344939-FROM HDFC</t>
  </si>
  <si>
    <t>CC 000552260XXXXXX5783 AUTOPAY SI-TAD</t>
  </si>
  <si>
    <t>YHDF2129588943/BILLDKINDIANCLEARING</t>
  </si>
  <si>
    <t>YHDF2130776968/BILLDKINDIANCLEARING</t>
  </si>
  <si>
    <t>JULSEP23 INSTAALERTCHG 102 SMS 031023-MIR2430528284901</t>
  </si>
  <si>
    <t>NEFT DR-SBIN0011669-AJAY KUMAR GUPTA-NETBANK, MUM-N306232716343009-FROM HDFC BANK AKG</t>
  </si>
  <si>
    <t>NEFT CR-SBIN0011669-MR  AJAY KUMAR GUPTA-AJAY KUMAR GUPTA-SBIN123310294550</t>
  </si>
  <si>
    <t>50100542230922-TPT-GIFT TO ARCHIT-ARCHIT GUPTA</t>
  </si>
  <si>
    <t>0611057191 LTIMINDTREE LIMITED INT DIV 2</t>
  </si>
  <si>
    <t>ACH C- INFOSYS LIMITED-37459561</t>
  </si>
  <si>
    <t>ACH C- TCS2NDINTDIV071123-991067</t>
  </si>
  <si>
    <t>ISAQMC-APR-JUN23-101236 031023-MIR2431350134475</t>
  </si>
  <si>
    <t>NEFT CR-IDFB0010204-BEACON TRUSTEESHIP LIMITED-AJAY  KUMAR GUPTA-IDFBH23313837989</t>
  </si>
  <si>
    <t>ACH D- INDIAN CLEARING CORP-P25847605X05</t>
  </si>
  <si>
    <t>50100542230922-TPT-MONEY RETRNED TO AKG-ARCHIT GUPTA</t>
  </si>
  <si>
    <t>01671000060094-TPT-MONEY RETRN TO AKG-SUNITA GUPTA</t>
  </si>
  <si>
    <t>NEFT DR-SBIN0011669-AJAY KUMAR GUPTA-NETBANK, MUM-N317232738102386-TRN TO SBI LOAN AC</t>
  </si>
  <si>
    <t>01671000060094-TPT-BORW FROM AKG-SUNITA GUPTA</t>
  </si>
  <si>
    <t>DEPOSITORY CHARGES OCT23 - 40227714</t>
  </si>
  <si>
    <t>01671000060094-TPT-MONEY RETURN TO AJAY-SUNITA GUPTA</t>
  </si>
  <si>
    <t>01671000060094-TPT-TRANSFER FROM SUNITA-SUNITA GUPTA</t>
  </si>
  <si>
    <t>NEFT DR-SBIN0011669-AJAY KUMAR GUPTA-NETBANK, MUM-N321232743060950-TRF FRM AKG HDFC</t>
  </si>
  <si>
    <t>2111445819 TECH MAHINDRA LIMITED INT DIV</t>
  </si>
  <si>
    <t>STYLAM IND DIV22 2300000000000000001936</t>
  </si>
  <si>
    <t>ISAQMC-JUL-SEP23-101236 261023-MIR2433505665443</t>
  </si>
  <si>
    <t>01671000060094-TPT-MNY RTRN FROM SUNITA TO AKG-SUNITA GUPTA</t>
  </si>
  <si>
    <t>50100128155413-TPT-BORROW FROM AAYUSH TO AKG-AAYUSH KUMAR GUPTA</t>
  </si>
  <si>
    <t>NEFT CR-SBIN0011669-MR  AJAY KUMAR GUPTA-AJAY KUMAR GUPTA-SBIN323335872056</t>
  </si>
  <si>
    <t>50100542230922-TPT-TRANSFER FROM AJAY-ARCHIT GUPTA</t>
  </si>
  <si>
    <t>NEFT CR-SBIN0011669-MR  AJAY KUMAR GUPTA-AJAY KUMAR GUPTA-SBIN523338840590</t>
  </si>
  <si>
    <t>UPI-GAURAV DILIP UGALE-7276896266@AXL-HDFC0009255-370637869047-PAYMENT FROM PHONE</t>
  </si>
  <si>
    <t>ACH C- POWER FINANCE CORPOR-11951104</t>
  </si>
  <si>
    <t>50100542230922-TPT-FROM AKG TO ARCHIT-ARCHIT GUPTA</t>
  </si>
  <si>
    <t>DEPOSITORY CHARGES NOV23 - 40227714</t>
  </si>
  <si>
    <t>UPI-AAYUSH KUMAR GUPTA-9970054014@AXL-HDFC0000456-371131486874-TRANSFER FROM AAYU</t>
  </si>
  <si>
    <t>UPI-AAYUSH KUMAR GUPTA-9970054014@YBL-HDFC0000456-371248964667-RETURNED TO AAYUSH</t>
  </si>
  <si>
    <t>NEFT CR-YESB0000001-INDIAN CLEARING CORPORATION LIMITED-AJAYKUMARGUPTA-YESIG33460349852</t>
  </si>
  <si>
    <t>IMPS-334616946794-AJAY  KUMAR GUPTA-SBIN-XXXXXXX7703-NULL</t>
  </si>
  <si>
    <t>50100128155413-TPT-TRANSFER FROM AJAY HDFC-AAYUSH KUMAR GUPTA</t>
  </si>
  <si>
    <t>NEFT CR-SBIN0011669-MR  AJAY KUMAR GUPTA-AJAY KUMAR GUPTA-SBIN223348243701</t>
  </si>
  <si>
    <t>50100128155413-TPT-FROM HDFC AKG-AAYUSH KUMAR GUPTA</t>
  </si>
  <si>
    <t>50100542230922-TPT-FROM HDFC AKG-ARCHIT GUPTA</t>
  </si>
  <si>
    <t>NEFT DR-UTIB0000115-AJAY KUMAR GUPTA-NETBANK, MUM-N351232789015170-TRF FRM AJAY AXIS</t>
  </si>
  <si>
    <t>NEFT CR-SBIN0011669-MR  AJAY KUMAR GUPTA-AJAY KUMAR GUPTA-SBIN223354942604</t>
  </si>
  <si>
    <t>YHDF2179306566/BILLDKINDIANCLEARING</t>
  </si>
  <si>
    <t>UPI-TEJSHRI SACHIN DUSAN-TEJSHRIDUSANE@YBL-HDFC0009519-372494888901-RING</t>
  </si>
  <si>
    <t>NEFT CR-SBIN0011669-MR  AJAY KUMAR GUPTA-AJAY KUMAR GUPTA-SBIN123360950794</t>
  </si>
  <si>
    <t>AXIS 3167</t>
  </si>
  <si>
    <t>SBI 3479</t>
  </si>
  <si>
    <t>Account No</t>
  </si>
  <si>
    <t>SBI 5441</t>
  </si>
  <si>
    <t>HDFC 5930</t>
  </si>
  <si>
    <t>TX Date</t>
  </si>
  <si>
    <t>Particulars</t>
  </si>
  <si>
    <t>Ref</t>
  </si>
  <si>
    <t>Kya hai?</t>
  </si>
  <si>
    <t>Contra</t>
  </si>
  <si>
    <t>SIP</t>
  </si>
  <si>
    <t>Payment to Aayush</t>
  </si>
  <si>
    <t>Salary</t>
  </si>
  <si>
    <t>Transfer to Sunita Gupta</t>
  </si>
  <si>
    <t>Bank Charges</t>
  </si>
  <si>
    <t>MF Redemption</t>
  </si>
  <si>
    <t>HSL</t>
  </si>
  <si>
    <t>HDFC Sec Interest</t>
  </si>
  <si>
    <t>Personal</t>
  </si>
  <si>
    <t>ATM Withdrawal</t>
  </si>
  <si>
    <t>Payment to Archit</t>
  </si>
  <si>
    <t>Dividend Income</t>
  </si>
  <si>
    <t>Gratuity Receipt</t>
  </si>
  <si>
    <t>Salary JUL AUG</t>
  </si>
  <si>
    <t>LTA</t>
  </si>
  <si>
    <t>Leave Encashment</t>
  </si>
  <si>
    <t>97 Days</t>
  </si>
  <si>
    <t>59.5 Days</t>
  </si>
  <si>
    <t>Bonus</t>
  </si>
  <si>
    <t>2022-23</t>
  </si>
  <si>
    <t>CAR Reimbursement</t>
  </si>
  <si>
    <t>2023-24</t>
  </si>
  <si>
    <t>Gratuity</t>
  </si>
  <si>
    <t>Earnings</t>
  </si>
  <si>
    <t>14 Days</t>
  </si>
  <si>
    <t>Amount</t>
  </si>
  <si>
    <t>Recoveries</t>
  </si>
  <si>
    <t>PF</t>
  </si>
  <si>
    <t>Prof Tax</t>
  </si>
  <si>
    <t>Income Tax (Tentative)</t>
  </si>
  <si>
    <t>Extra Availed Leave</t>
  </si>
  <si>
    <t>Cash Advance</t>
  </si>
  <si>
    <t>Uniform Charges</t>
  </si>
  <si>
    <t>Actual In bank</t>
  </si>
  <si>
    <t>As per statement</t>
  </si>
  <si>
    <t>Holded Amount</t>
  </si>
  <si>
    <t>Diff</t>
  </si>
  <si>
    <t>Full and Final</t>
  </si>
  <si>
    <t>Transfer from Sunita Gupta</t>
  </si>
  <si>
    <t>Payment from Aayush</t>
  </si>
  <si>
    <t>Payment from Archit</t>
  </si>
  <si>
    <t>--&gt;</t>
  </si>
  <si>
    <t>Bank of India</t>
  </si>
  <si>
    <t>INDUSTRIAL AREA KOTA Branch</t>
  </si>
  <si>
    <t>Account statement</t>
  </si>
  <si>
    <t>Name                AJAY KUMAR GUPTA</t>
  </si>
  <si>
    <t>Account No.      662113100016699</t>
  </si>
  <si>
    <t>Account Type   Savings Account</t>
  </si>
  <si>
    <t>Customer Id      007154451</t>
  </si>
  <si>
    <t>All Amounts in INR</t>
  </si>
  <si>
    <t>No.</t>
  </si>
  <si>
    <t>ChequeNo.</t>
  </si>
  <si>
    <t>Cr/Dr</t>
  </si>
  <si>
    <t>Amount(INR)</t>
  </si>
  <si>
    <t>Balance(INR)</t>
  </si>
  <si>
    <t>662113100016699:SBInt.Pd:01-02-2023 to 26-04-2023</t>
  </si>
  <si>
    <t>DORMANT ACCOUNT TRANSFER DEBIT</t>
  </si>
  <si>
    <t>662113100016699 DORMANT ACCOUNT REFUND</t>
  </si>
  <si>
    <t>BY CASH-6621-INDUSTRIAL AREA KOTA</t>
  </si>
  <si>
    <t>Any discrepancy in this document of accounts should be notified to the bank within a period of 30 days of receipt</t>
  </si>
  <si>
    <t>of this statement. It will be treated that the entries/contents of this statement are checked and found correct by</t>
  </si>
  <si>
    <t>you, if no such complaint is made within the period stated above.</t>
  </si>
  <si>
    <t>BOI 6699</t>
  </si>
  <si>
    <t>Bank Interest</t>
  </si>
  <si>
    <t>Cash Deposit</t>
  </si>
  <si>
    <t>Bank Loan Interest</t>
  </si>
  <si>
    <t>IPO</t>
  </si>
  <si>
    <t>UPI</t>
  </si>
  <si>
    <t>Electricity</t>
  </si>
  <si>
    <t>Credit card</t>
  </si>
  <si>
    <t>SA Tax</t>
  </si>
  <si>
    <t>Ajay Kumar Gupta</t>
  </si>
  <si>
    <t>Ajay Gupta Bank Summary</t>
  </si>
  <si>
    <t>All Banks</t>
  </si>
  <si>
    <t>Opening Balances</t>
  </si>
  <si>
    <t>₹</t>
  </si>
  <si>
    <t>BOI</t>
  </si>
  <si>
    <t>HDFC</t>
  </si>
  <si>
    <t>SBI OD</t>
  </si>
  <si>
    <t>SBI BANK</t>
  </si>
  <si>
    <t>AXIS</t>
  </si>
  <si>
    <t>Opening Balance</t>
  </si>
  <si>
    <t>Basic</t>
  </si>
  <si>
    <t>HRA</t>
  </si>
  <si>
    <t>Special Allowance</t>
  </si>
  <si>
    <t>Child Education Allow</t>
  </si>
  <si>
    <t xml:space="preserve">Ee PF contribution </t>
  </si>
  <si>
    <t>Prof Tax - split period</t>
  </si>
  <si>
    <t>TDS</t>
  </si>
  <si>
    <t xml:space="preserve">Reg. repayment (Advance) </t>
  </si>
  <si>
    <t>Mess Deductions</t>
  </si>
  <si>
    <t>Other Allowance</t>
  </si>
  <si>
    <t>Total Earnings</t>
  </si>
  <si>
    <t>Total Deductions</t>
  </si>
  <si>
    <t>Net Pay</t>
  </si>
  <si>
    <t>Round off</t>
  </si>
  <si>
    <t>BF Basic Arrear</t>
  </si>
  <si>
    <t>BF HRA Arrear</t>
  </si>
  <si>
    <t>Cf PF Monthly</t>
  </si>
  <si>
    <t>Car Reimb</t>
  </si>
  <si>
    <t>Extra Availed leave</t>
  </si>
  <si>
    <t>Amount (Rs)</t>
  </si>
  <si>
    <t>Leave encashment received (A)</t>
  </si>
  <si>
    <t>Less: Exemption under Section 10(10AA) –   (B) Least of the following:</t>
  </si>
  <si>
    <t>i) Amount notified by the Government** Rs 25,00,000 (C)</t>
  </si>
  <si>
    <t>ii) Actual leave encashment amount (D)</t>
  </si>
  <si>
    <t>iii) Average salary* of last 10 months (E)</t>
  </si>
  <si>
    <t>iv) Salary per day *unutilised leave (considering maximum 30 days leave per year) for every year of completed service (F)</t>
  </si>
  <si>
    <t>Leave encashment taxable – (A) – (B)</t>
  </si>
  <si>
    <t>Salary per day</t>
  </si>
  <si>
    <t>No. Of days</t>
  </si>
  <si>
    <t>Taxable</t>
  </si>
  <si>
    <t>Last salary (basic + DA)* number of years of employment* 15/26;</t>
  </si>
  <si>
    <t>Rs. 20 lakhs (which has been hiked from Rs. 10 Lakh as per the amendment);</t>
  </si>
  <si>
    <t>Gratuity Actually received</t>
  </si>
  <si>
    <t>Less: Exemption  –   (B) Least of the following:</t>
  </si>
  <si>
    <t>Gratuity received (A)</t>
  </si>
  <si>
    <t>No of Years of Service</t>
  </si>
  <si>
    <t>Last Drawn Salary</t>
  </si>
  <si>
    <t>Total Earnings as per 26AS</t>
  </si>
  <si>
    <t>-</t>
  </si>
  <si>
    <t>UPI/P2M/400157635770/Mr Asaram Narayan Dol/Flower/Paytm Payments Bank</t>
  </si>
  <si>
    <t>NEFT/SBIN424001928513/Mr  AJAY KUMAR GUPTA/STATE BANK OF INDIA//ATTN//INB//Deposit / Investm</t>
  </si>
  <si>
    <t>UPI/P2M/437345398310/RK  CO               /Diesal/Yes Bank Ltd</t>
  </si>
  <si>
    <t>ATM-CASH-AXIS/BPRH265601/824/080124/NASHIK</t>
  </si>
  <si>
    <t>UPI/P2M/437511912923/KUNAL EAKNATH MAKUNE /Ghee/Yes Bank Ltd</t>
  </si>
  <si>
    <t>UPI/P2M/401340496740/BHARAT SHIVAJI SALVE /Vegita/Paytm Payments Bank</t>
  </si>
  <si>
    <t>BRN-FLEXI DEPOSIT PRIN TFR FROM 922040082210879</t>
  </si>
  <si>
    <t>BRN-FLEXI DEPOSIT PRIN TFR FROM 922040082211018</t>
  </si>
  <si>
    <t>BRN-FLEXI DEPOSIT PRIN TFR FROM 922040082211081</t>
  </si>
  <si>
    <t>IFT/CB0040537255/NORMAL2024011951382291/AXIS MUTUA/AJAY  GUPTA/UTIB0000115</t>
  </si>
  <si>
    <t>IFT/CB0040536817/NORMAL2024011951386845/AXIS MUTUA/AJAY  GUPTA/UTIB0000115</t>
  </si>
  <si>
    <t>UPI/P2M/438586202197/SHIVBHOLA VEGETABLE  /Vegita/Yes Bank Ltd</t>
  </si>
  <si>
    <t>IFT/CB0040535819/RMFRED/1891185932/PHGP/170124/NIP/AJAY  GUPTA/UTIB0000115</t>
  </si>
  <si>
    <t>ATM-CASH-AXIS/BPRH265601/2138/190124/NASHIK</t>
  </si>
  <si>
    <t>UPI/P2M/438820698716/PhonePe              /Paymen/Yes Bank Ltd</t>
  </si>
  <si>
    <t>Rent for 2023-24:-Locker No:47</t>
  </si>
  <si>
    <t>UPI/P2M/439028411017/PhonePe              /Paymen/Yes Bank Ltd</t>
  </si>
  <si>
    <t>UPI/P2M/439071167472/PROP KALPESH KANAIYA /Photoc/Yes Bank Ltd</t>
  </si>
  <si>
    <t>UPI/P2M/402409022996/Mrs JYOTSNA SWAPNIL P/Pay to/Federal Bank</t>
  </si>
  <si>
    <t>UPI/P2A/439666583162/Mr. KANAKRAJ MANIKAM /Car re/Bank of Maharashtra</t>
  </si>
  <si>
    <t>UPI/P2M/439943200861/SHIVBHOLA VEGETABLE  /Vegita/Yes Bank Ltd</t>
  </si>
  <si>
    <t>UPI/P2M/403472602299/SHABANA KHATUN       /Taxi d/INDUSIND BANK</t>
  </si>
  <si>
    <t>UPI/P2M/440100205593/JIOIN APP DIRECT     /Paymen/Yes Bank Ltd</t>
  </si>
  <si>
    <t>UPI/P2A/440490290145/SHILPA AMIT CHANDAK  /Paymen/State Bank Of India</t>
  </si>
  <si>
    <t>UPI/P2A/440405240912/Mr KANAKRAJ MANIKAM P/Car re/Bank of Maharashtra</t>
  </si>
  <si>
    <t>UPI/P2M/440521810386/SHIVBHOLA VEGETABLE  /Vegita/Yes Bank Ltd</t>
  </si>
  <si>
    <t>MOB/TPFT/Sunita Gupta/919010088767042</t>
  </si>
  <si>
    <t>ATM-CASH-AXIS/BPRH265601/6369/090224/NASHIK</t>
  </si>
  <si>
    <t>UPI/P2M/440747901250/SHIVBHOLA VEGETABLE E/Vegita/Yes Bank Ltd</t>
  </si>
  <si>
    <t>UPI/P2M/404147627726/VIJAY                /Jarda/Paytm Payments Bank</t>
  </si>
  <si>
    <t>UPI/P2M/441181441017/KUNAL EAKNATH MAKUNE /Milk/Yes Bank Ltd</t>
  </si>
  <si>
    <t>INB/IFT/SUNITA GUPTA/TPARTY TRANSFER</t>
  </si>
  <si>
    <t>ATM-CASH-AXIS/BPRH265601/7376/140224/NASHIK</t>
  </si>
  <si>
    <t>UPI/P2M/441135497810/PROP KALPESH KANAIYA /Printo/Yes Bank Ltd</t>
  </si>
  <si>
    <t>UPI/P2M/404692846842/POOJA  JAIN          /Pay to/Federal Bank</t>
  </si>
  <si>
    <t>UPI/P2M/405010050113/Shubham Filling Stati/Petrol/Paytm Payments Bank</t>
  </si>
  <si>
    <t>UPI/P2M/441687967591/PhonePe              /Paymen/Yes Bank Ltd</t>
  </si>
  <si>
    <t>NEFT/SBIN424051633691/EMPLOYEE PROVIDENT FUND ORGA/STATE BANK OF INDIA//URGENT/RS0000070000000//BUL</t>
  </si>
  <si>
    <t>NEFT/IR/AXOIR40511620660/Ajay Gupta/STATE BANK OF INDIA/Transfer from Axis Bank</t>
  </si>
  <si>
    <t>NEFT/IR/AXOIR40511622501/Ajay Gupta/HDFC BANK/Trabsfer from Axis Bank</t>
  </si>
  <si>
    <t>NBSM/50062393/Maha Electricity(BILLDESK)/</t>
  </si>
  <si>
    <t>NBSM/50062611/Maha Electricity(BILLDESK)/</t>
  </si>
  <si>
    <t>UPI/P2M/442012392643/SANGITA RAJENDRA MUTH/Teeth/Yes Bank Ltd</t>
  </si>
  <si>
    <t>UPI/P2M/442126021992/Md  Anvar            /Sandwi/Yes Bank Ltd</t>
  </si>
  <si>
    <t>UPI/P2M/442148744034/RAJBAHOR JAYSWAL     /Juuce/Yes Bank Ltd</t>
  </si>
  <si>
    <t>UPI/P2M/405565904316/Namah IMPS           /Water/Paytm Payments Bank</t>
  </si>
  <si>
    <t>INB/IFT/Ishwar paradise co op Hsg society  Ltd/T</t>
  </si>
  <si>
    <t>NEFT/IR/AXOIR40594209012/Ajay Gupta/HDFC BANK/tRANSFER FROM aXIS TO HDFC</t>
  </si>
  <si>
    <t>UPI/P2A/406013028144/ANITA PRAVIN ASWALE  /Paymen/Punjab National Bank</t>
  </si>
  <si>
    <t>UPI/P2A/406386013755/ANITA PRAVIN ASWALE  /Paymen/Punjab National Bank</t>
  </si>
  <si>
    <t>ATM-CASH-AXIS/BPRH265601/652/030324/NASHIK</t>
  </si>
  <si>
    <t>UPI/P2A/406452693577/KAMAL                /Auto/Indian Overseas Bank</t>
  </si>
  <si>
    <t>UPI/P2A/443110253808/AJAY KUMAR GUPTA     /From a/HDFC BANK LTD</t>
  </si>
  <si>
    <t>UPI/P2M/443562329168/VIJAY GORAKHNATH KALE/Zarda/Yes Bank Ltd</t>
  </si>
  <si>
    <t>UPI/P2M/407281664500/Bramhadev Rammurat Du/Zarda/Paytm Payments Bank</t>
  </si>
  <si>
    <t>UPI/P2A/443904796650/AJAY KUMA/HDFC BANK/Transfer/</t>
  </si>
  <si>
    <t>UPI/P2M/444134018828/VIJAY GORAKHNATH KALE/Zardha/Yes Bank Ltd</t>
  </si>
  <si>
    <t>UPI/P2M/444108061395/BHAUSAHEB MOTIRAM GAR/Fruits/Yes Bank Ltd</t>
  </si>
  <si>
    <t>UPI/P2M/407623701272/J T B S              /Ticket/Yes Bank Ltd</t>
  </si>
  <si>
    <t>UPI/P2M/407791484656/MEDPLUS ASHOKAMARG   /Medice/HDFC BANK LTD</t>
  </si>
  <si>
    <t>UPI/P2M/444628933298/SHIVSHAHI AMRUTTULLY /Tea/Yes Bank Ltd</t>
  </si>
  <si>
    <t>UPI/P2M/444753637301/RAHUL SHEKH          /Juice/Yes Bank Ltd</t>
  </si>
  <si>
    <t>UPI/P2M/444917428812/RAJBAHOR JAYSWAL     /Juuce/Yes Bank Ltd</t>
  </si>
  <si>
    <t>UPI/P2A/444978919701/BHARAT DATTATRAY KHAT/Paymen/Union Bank of India</t>
  </si>
  <si>
    <t>UPI/P2A/408355496298/ANITA PRAVIN ASWALE  /Paymen/Punjab National Bank</t>
  </si>
  <si>
    <t>UPI/P2M/408436828686/ASHOK DEVIDAS CHAVAN /Pay to/Federal Bank</t>
  </si>
  <si>
    <t>NBSM/53631937/Maha Electricity(BILLDESK)/</t>
  </si>
  <si>
    <t>UPI/P2M/445123378205/SHAGUN TRADERSMr     /Ice cr/Yes Bank Ltd</t>
  </si>
  <si>
    <t>UPI/P2M/445238525463/Mr RAMESH PUNDLIK CHI/Hair c/Yes Bank Ltd</t>
  </si>
  <si>
    <t>ATM-CASH-AXIS/BPRH265601/4748/270324/NASHIK</t>
  </si>
  <si>
    <t>UPI/P2A/409035057378/SACHIN GENERAL STORES/Paymen/Deogiri Nagari Sahak</t>
  </si>
  <si>
    <t>UPI/P2M/409131170570/Pramod Bhaskar Kapase/Cup/Yes Bank Ltd</t>
  </si>
  <si>
    <t>UPI/P2M/409144292980/ASHOK HOSIERY        /Underw/HDFC BANK LTD</t>
  </si>
  <si>
    <t>INB/54458263/INTERNET TAX PAYMENT/</t>
  </si>
  <si>
    <t>SB:910010047943167:Int.Pd:01-01-2024 to 31-03-2024</t>
  </si>
  <si>
    <t>ACH D- TP ACH INVESTOCAFE-1332707455</t>
  </si>
  <si>
    <t>NEFT CR-SBIN0011669-MR  AJAY KUMAR GUPTA-AJAY KUMAR GUPTA-SBIN224004466265</t>
  </si>
  <si>
    <t>NEFT CR-SBIN0011669-MR  AJAY KUMAR GUPTA-AJAY KUMAR GUPTA-SBIN424005471489</t>
  </si>
  <si>
    <t>01671000060094-TPT-MNY RTRN FROM SUNITA TO AJAY-SUNITA GUPTA</t>
  </si>
  <si>
    <t>DEPOSITORY CHARGES DEC23 - 40227714</t>
  </si>
  <si>
    <t>NEFT CR-SBIN0011669-MR  AJAY KUMAR GUPTA-AJAY KUMAR GUPTA-SBIN324013860186</t>
  </si>
  <si>
    <t>UPI-SHANTANU GUPTA-9314144568-2@YBL-BARB0KESKOT-437906721965-PAYMENT FROM PHONE</t>
  </si>
  <si>
    <t>ACH D- SMALLCASE-INH8V2ZKM8D1</t>
  </si>
  <si>
    <t>01671000060094-TPT-MONEY RETURN FROM SUNITA TO AJAY-SUNITA GUPTA</t>
  </si>
  <si>
    <t>NEFT CR-SBIN0011669-MR  AJAY KUMAR GUPTA-AJAY KUMAR GUPTA-SBIN224018057920</t>
  </si>
  <si>
    <t>FT- SBI MUTUAL FUND - SBIRED  11770227 103G</t>
  </si>
  <si>
    <t>YHDF2209475552/BILLDKINDIANCLEARING</t>
  </si>
  <si>
    <t>OCTDEC23 INSTAALERTCHG 38 SMS 050124-MIR2401934716494</t>
  </si>
  <si>
    <t>UPI-SHANTANU  GUPTA-9314144568@YBL-SBIN0031857-439006702682-PAYMENT FROM PHONE</t>
  </si>
  <si>
    <t>.ACH DEBIT RETURN CHARGES 170124 170124-MIR2402553526263</t>
  </si>
  <si>
    <t>ISAQMC-OCT-DEC23-101236 250124-MIR2403063545379</t>
  </si>
  <si>
    <t>ACH D- TP ACH INVESTOCAFE-1363560212</t>
  </si>
  <si>
    <t>ACH D- TP ACH INVESTOCAFE-1363560213</t>
  </si>
  <si>
    <t>UPI-SHILPA AMIT CHANDAK-CHANDAK.SHILPA@YBL-SBIN0012712-440497909320-PAYMENT FROM PHONE</t>
  </si>
  <si>
    <t>DEPOSITORY CHARGES JAN24 - 40227714</t>
  </si>
  <si>
    <t>ACH C- SUNPHARMA INT2023 24-152817</t>
  </si>
  <si>
    <t>NEFT CR-UTIB0000115-AJAY KUMAR GUPTA-AJAY GUPTA-AXOIR40511622501</t>
  </si>
  <si>
    <t>SGB2324D/2400024050923271-50200036338578</t>
  </si>
  <si>
    <t>DEBIT CARD ANNUAL FEE-FEB-2024 170224-MIR2405234774752</t>
  </si>
  <si>
    <t>LAL PATHLAB DIV23 2400000000000000010179</t>
  </si>
  <si>
    <t>ACH C- ADVANI HOTELS AND RE-065233300015</t>
  </si>
  <si>
    <t>ACH C- OIL AND NATURAL GAS-1358663</t>
  </si>
  <si>
    <t>NEFT CR-UTIB0000115-AJAY KUMAR GUPTA-AJAY GUPTA-AXOIR40594209012</t>
  </si>
  <si>
    <t>ACH C- SRF LIMITED-5074442</t>
  </si>
  <si>
    <t>ACH C- POWER FINANCE CORPOR-12687403</t>
  </si>
  <si>
    <t>ACH C- PI INDUSTRIES LTD-3339527</t>
  </si>
  <si>
    <t>ACH C- APOLLO HOSP.IDIV2024-AHLIN3004764</t>
  </si>
  <si>
    <t>50100128155413-TPT-MONEY RETURNED TO AKG-AAYUSH KUMAR GUPTA</t>
  </si>
  <si>
    <t>FT- 478284962-00990640001266 - INDIAN CLEARING CORPORATION LTD- ICCL USE SETTLEMENT A/C -</t>
  </si>
  <si>
    <t>FT- 489283130-00990640001266 - INDIAN CLEARING CORPORATION LTD- ICCL USE SETTLEMENT A/C -</t>
  </si>
  <si>
    <t>FT- 473712857-00990640001266 - INDIAN CLEARING CORPORATION LTD- ICCL USE SETTLEMENT A/C -</t>
  </si>
  <si>
    <t>FT- 488033062-00990640001266 - INDIAN CLEARING CORPORATION LTD- ICCL USE SETTLEMENT A/C -</t>
  </si>
  <si>
    <t>FT- 481597487-00990640001266 - INDIAN CLEARING CORPORATION LTD- ICCL USE SETTLEMENT A/C -</t>
  </si>
  <si>
    <t>UPI-AJAY KUMAR GUPTA-AJAYGUPTANEL3@YBL-UTIB0000115-443110253808-FROM AXIS ACCOUNT</t>
  </si>
  <si>
    <t>01671000060094-TPT-MONEY RETURN FRM SUNI TO AKG-SUNITA GUPTA</t>
  </si>
  <si>
    <t>UPI-AAYUSH KUMAR GUPTA-9970054014@AXL-HDFC0000456-443693565719-TRANSFER FROM AKG</t>
  </si>
  <si>
    <t>UPI-AJAY KUMAR GUPTA-AJAYGUPTANEL3@YBL-UTIB0000115-443904796650-TRANSFER BACK TO A</t>
  </si>
  <si>
    <t>UPI-AAYUSH KUMAR GUPTA-9970054014@AXL-HDFC0000456-443983561883-RETURN FROM AAYUSH</t>
  </si>
  <si>
    <t>UPI-AAYUSH KUMAR GUPTA-9970054014@AXL-HDFC0000456-443973513039-MONEY RETURNED FRO</t>
  </si>
  <si>
    <t>DEPOSITORY CHARGES FEB24 - 40227714</t>
  </si>
  <si>
    <t>YHDF2270511290/BILLDKINDIANCLEARING</t>
  </si>
  <si>
    <t>UPI-ARCHIT  GUPTA-8668331033@AXL-SBIN0011669-444458612419-PAYMENT FROM PHONE</t>
  </si>
  <si>
    <t>UPI-XXXXXX0922-HDFC0000001-407891942657-PAYMENT FROM PHONE</t>
  </si>
  <si>
    <t>UPI-XXXXXX0922-HDFC0000001-407897139670-PAYMENT FROM PHONE</t>
  </si>
  <si>
    <t>ACH C- SANOFI INDIA DIV PMT-71PR24032008</t>
  </si>
  <si>
    <t>00012050001396HLY INT-IN0020230093</t>
  </si>
  <si>
    <t>YHDF2277031397/BILLDKINDIANCLEARING</t>
  </si>
  <si>
    <t>57500000009262-1073586390-AJAY KUMA</t>
  </si>
  <si>
    <t>ACH C- POWER FINANCE CORPOR-13794371</t>
  </si>
  <si>
    <t>_00000032718709979</t>
  </si>
  <si>
    <t>MAXGAIN SURAKSHA</t>
  </si>
  <si>
    <t>INTEREST---</t>
  </si>
  <si>
    <t xml:space="preserve"> </t>
  </si>
  <si>
    <t xml:space="preserve">IIC4223827               TRANSFER TO 20010697703  </t>
  </si>
  <si>
    <t xml:space="preserve">   TO TRANSFER-INB NEFT UTR NO: SBIN324013860186--Ajay Kumar Gupta</t>
  </si>
  <si>
    <t>NEFT INB: IRX7701395                               / Ajay Kumar Gupta</t>
  </si>
  <si>
    <t xml:space="preserve">   TO TRANSFER-INB NEFT UTR NO: SBIN224018057920--Ajay Kumar Gupta</t>
  </si>
  <si>
    <t>NEFT INB: IRX7925240                               / Ajay Kumar Gupta</t>
  </si>
  <si>
    <t xml:space="preserve">IIC4476141               TRANSFER TO 20010697703  </t>
  </si>
  <si>
    <t>IIC4476150               TRANSFER FROM 20010697703</t>
  </si>
  <si>
    <t xml:space="preserve">IIC4978875               TRANSFER TO 20010697703  </t>
  </si>
  <si>
    <t>IIC5298224               TRANSFER FROM 20010697703</t>
  </si>
  <si>
    <t xml:space="preserve">IIC5445549               TRANSFER TO 20010697703  </t>
  </si>
  <si>
    <t>IIC5600418               TRANSFER FROM 20010697703</t>
  </si>
  <si>
    <t xml:space="preserve">   TO TRANSFER-INB NEFT UTR NO: SBIN424001928513--AJAY KUMAR GUPTA</t>
  </si>
  <si>
    <t>NEFT INB: IRX6807052                               / AJAY KUMAR GUPTA</t>
  </si>
  <si>
    <t xml:space="preserve">   TO TRANSFER-INB NEFT UTR NO: SBIN224004466265--Ajay Kumar Gupta</t>
  </si>
  <si>
    <t>NEFT INB: IRX7018647                               / Ajay Kumar Gupta</t>
  </si>
  <si>
    <t xml:space="preserve">   TO TRANSFER-INB NEFT UTR NO: SBIN424005471489--Ajay Kumar Gupta</t>
  </si>
  <si>
    <t>NEFT INB: IRX7159698                               / Ajay Kumar Gupta</t>
  </si>
  <si>
    <t xml:space="preserve">   TO TRANSFER-INB NEFT UTR NO: SBIN424005475251--NRI Ajay</t>
  </si>
  <si>
    <t>NEFT INB: IRX7159964                               / NRI Ajay</t>
  </si>
  <si>
    <t>CMP00000000781423729AOM8930729               TRANS</t>
  </si>
  <si>
    <t>IIC4223827               TRANSFER FROM 32718635441</t>
  </si>
  <si>
    <t>YSBI2208754161IGAQSXCIZ5               TRANSFER TO</t>
  </si>
  <si>
    <t>6501279979CT00AGJVB1               TRANSFER FROM 4</t>
  </si>
  <si>
    <t>IIC4476141               TRANSFER FROM 32718635441</t>
  </si>
  <si>
    <t xml:space="preserve">IIC4476150               TRANSFER TO 32718635441  </t>
  </si>
  <si>
    <t>6502019227CT00APTZA4               TRANSFER FROM 4</t>
  </si>
  <si>
    <t>CMP00000000796080928AOMJ817650               TRANS</t>
  </si>
  <si>
    <t>IIC4978875               TRANSFER FROM 32718635441</t>
  </si>
  <si>
    <t>6502859936CT00AZRZS6               TRANSFER FROM 4</t>
  </si>
  <si>
    <t>6502942780CT00BASCJ6               TRANSFER FROM 4</t>
  </si>
  <si>
    <t xml:space="preserve">   BY TRANSFER-NEFT*UTIB0000115*AXOIR40511620660*AJAY KUMAR GUPTA--</t>
  </si>
  <si>
    <t>TRANSFER FROM 4697178044303</t>
  </si>
  <si>
    <t>YSBI2240430796IGAQWTZTS1               TRANSFER TO</t>
  </si>
  <si>
    <t xml:space="preserve">IIC5298224               TRANSFER TO 32718635441  </t>
  </si>
  <si>
    <t>6600118947CT00BIEEK5               TRANSFER FROM 4</t>
  </si>
  <si>
    <t xml:space="preserve">   BULK POSTING-ACHCr UTIB00434000014276 ENGINEERS INDI--</t>
  </si>
  <si>
    <t>100004810205401IGAQXEBXB2               TRANSFER T</t>
  </si>
  <si>
    <t>6600346802CT00BKTNH7               TRANSFER FROM 4</t>
  </si>
  <si>
    <t>IIC5445549               TRANSFER FROM 32718635441</t>
  </si>
  <si>
    <t xml:space="preserve">   TO TRANSFER-INB NEFT UTR NO: SBIN324061157023--NRI Ajay</t>
  </si>
  <si>
    <t>NEFT INB: IRY0650979                               / NRI Ajay</t>
  </si>
  <si>
    <t xml:space="preserve">IIC5600418               TRANSFER TO 32718635441  </t>
  </si>
  <si>
    <t>100004838759772IGAQYTYXO9               TRANSFER T</t>
  </si>
  <si>
    <t xml:space="preserve">   BY TRANSFER-INB Refund of IGAQYTYXO9---</t>
  </si>
  <si>
    <t xml:space="preserve">1000048387597722000013872IXGBECLWD8               </t>
  </si>
  <si>
    <t xml:space="preserve">   BY TRANSFER-INB Commission refund of IXGBECLWD8---</t>
  </si>
  <si>
    <t>IXGBECLWD8IXGBECOPA7               TRANSFER FROM 3</t>
  </si>
  <si>
    <t xml:space="preserve">   TO TRANSFER-INB IRCTC--</t>
  </si>
  <si>
    <t>NliqGdm3nxV200IGAQZIAEE6               TRANSFER TO</t>
  </si>
  <si>
    <t>6601742722CT00BZWGS8               TRANSFER FROM 4</t>
  </si>
  <si>
    <t xml:space="preserve">   TO TRANSFER-INB Borrow by Amit--</t>
  </si>
  <si>
    <t xml:space="preserve">IHS0697511               TRANSFER TO 30783988618  </t>
  </si>
  <si>
    <t>YSBI2270443000IGAQZMNRI0               TRANSFER TO</t>
  </si>
  <si>
    <t xml:space="preserve">   BY TRANSFER-UPI/CR/408096320462/SHILPA A/SBIN/chandak.sh/Payme--</t>
  </si>
  <si>
    <t>TRANSFER FROM 4897735162098</t>
  </si>
  <si>
    <t xml:space="preserve">   BY TRANSFER-UPI/CR/408079475322/SHILPA A/SBIN/chandak.sh/Payme--</t>
  </si>
  <si>
    <t>100004868576473IGARAIUNL3               TRANSFER T</t>
  </si>
  <si>
    <t>Statement of Account for the period 01/04/2023 to 31/03/2024</t>
  </si>
  <si>
    <t>NEFT/SBIN424005475251/SBIN/Mr AJAY KUMAR GUPTA</t>
  </si>
  <si>
    <t>662113100016699:SBInt.Pd:01-11-2023 to 31-01-2024</t>
  </si>
  <si>
    <t>Min Bal Charge+Serv.TAX December23</t>
  </si>
  <si>
    <t>NEFT/SBIN324061157023/SBIN/Mr AJAY KUMAR GUPTA</t>
  </si>
  <si>
    <r>
      <t>Beware of fictitious offers, messages/SMS about lottery winnings, cheap fund offers, employment offers, scholarship offers, offer of emigration visas, offer of admission to reputed universities abroad and similar such offers from fraudsters either within the country or from abroad.</t>
    </r>
    <r>
      <rPr>
        <sz val="11"/>
        <color rgb="FFFF0000"/>
        <rFont val="Calibri"/>
        <family val="2"/>
        <scheme val="minor"/>
      </rPr>
      <t xml:space="preserve"> </t>
    </r>
  </si>
  <si>
    <r>
      <t>For any support or clarification please contact Call Centre No.1800 220 229, 1800 103 1906 , 022 40919191.</t>
    </r>
    <r>
      <rPr>
        <sz val="11"/>
        <color rgb="FF0000FF"/>
        <rFont val="Calibri"/>
        <family val="2"/>
        <scheme val="minor"/>
      </rPr>
      <t xml:space="preserve"> </t>
    </r>
  </si>
  <si>
    <t>EPF Withdrawal</t>
  </si>
  <si>
    <t>Maintenance</t>
  </si>
  <si>
    <t>Payment to sunita</t>
  </si>
  <si>
    <t>Payment from sunita</t>
  </si>
  <si>
    <t>Advance Tax Payment</t>
  </si>
  <si>
    <t>SIP - 10000</t>
  </si>
  <si>
    <t>SIP - 2000</t>
  </si>
  <si>
    <t>SIP - 2500</t>
  </si>
  <si>
    <t>Account of Statements from 01-04-2023 to 31-03-2024</t>
  </si>
  <si>
    <t>Suspense</t>
  </si>
  <si>
    <t>Closing Balances</t>
  </si>
  <si>
    <t>01-04-2023 to 31-03-2024</t>
  </si>
  <si>
    <t>Misc Income</t>
  </si>
  <si>
    <t>Transfer to Archit Gupta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</si>
</sst>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43" formatCode="_ * #,##0.00_ ;_ * \-#,##0.00_ ;_ * &quot;-&quot;??_ ;_ @_ "/>
    <numFmt numFmtId="164" formatCode="_(* #,##0.00_);_(* \(#,##0.00\);_(* &quot;-&quot;??_);_(@_)"/>
    <numFmt numFmtId="165" formatCode="_(* #,##0_);_(* \(#,##0\);_(* &quot;-&quot;??_);_(@_)"/>
    <numFmt numFmtId="166" formatCode="_(* #,##0.0_);_(* \(#,##0.0\);_(* &quot;-&quot;??_);_(@_)"/>
    <numFmt numFmtId="167" formatCode="_ * #,##0_ ;_ * \-#,##0_ ;_ * &quot;-&quot;??_ ;_ @_ "/>
  </numFmts>
  <fonts count="1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b/>
      <sz val="11"/>
      <color theme="1"/>
      <name val="Calibri"/>
      <family val="2"/>
      <scheme val="minor"/>
    </font>
    <font>
      <b/>
      <sz val="11"/>
      <color rgb="FFFF0000"/>
      <name val="Calibri"/>
      <family val="2"/>
      <scheme val="minor"/>
    </font>
    <font>
      <b/>
      <sz val="11"/>
      <color rgb="FF0000FF"/>
      <name val="Calibri"/>
      <family val="2"/>
      <scheme val="minor"/>
    </font>
    <font>
      <b/>
      <sz val="11"/>
      <color rgb="FF314259"/>
      <name val="Arial"/>
      <family val="2"/>
    </font>
    <font>
      <sz val="11"/>
      <color rgb="FF314259"/>
      <name val="Arial"/>
      <family val="2"/>
    </font>
    <font>
      <sz val="11"/>
      <color rgb="FFFF0000"/>
      <name val="Calibri"/>
      <family val="2"/>
      <scheme val="minor"/>
    </font>
    <font>
      <b/>
      <sz val="15"/>
      <color rgb="FFFFFFFF"/>
      <name val="Arial"/>
      <family val="2"/>
    </font>
    <font>
      <sz val="11"/>
      <color rgb="FF0000FF"/>
      <name val="Calibri"/>
      <family val="2"/>
      <scheme val="minor"/>
    </font>
  </fonts>
  <fills count="10">
    <fill>
      <patternFill patternType="none"/>
    </fill>
    <fill>
      <patternFill patternType="gray125"/>
    </fill>
    <fill>
      <patternFill patternType="solid">
        <fgColor rgb="FF000080"/>
        <bgColor indexed="64"/>
      </patternFill>
    </fill>
    <fill>
      <patternFill patternType="solid">
        <fgColor rgb="FFC0C0C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5" tint="0.39997558519241921"/>
        <bgColor indexed="64"/>
      </patternFill>
    </fill>
  </fills>
  <borders count="21">
    <border>
      <left/>
      <right/>
      <top/>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top/>
      <bottom/>
      <diagonal/>
    </border>
    <border>
      <left/>
      <right style="thin">
        <color rgb="FFCCCCCC"/>
      </right>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double">
        <color indexed="64"/>
      </bottom>
      <diagonal/>
    </border>
  </borders>
  <cellStyleXfs count="10">
    <xf numFmtId="0" fontId="0" fillId="0" borderId="0"/>
    <xf numFmtId="164" fontId="6" fillId="0" borderId="0" applyFont="0" applyFill="0" applyBorder="0" applyAlignment="0" applyProtection="0"/>
    <xf numFmtId="0" fontId="5" fillId="0" borderId="0"/>
    <xf numFmtId="0" fontId="4" fillId="0" borderId="0"/>
    <xf numFmtId="0" fontId="3" fillId="0" borderId="0"/>
    <xf numFmtId="43" fontId="3"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0" fontId="6" fillId="0" borderId="0"/>
  </cellStyleXfs>
  <cellXfs count="92">
    <xf numFmtId="0" fontId="0" fillId="0" borderId="0" xfId="0"/>
    <xf numFmtId="14" fontId="0" fillId="0" borderId="0" xfId="0" applyNumberFormat="1"/>
    <xf numFmtId="165" fontId="0" fillId="0" borderId="0" xfId="1" applyNumberFormat="1" applyFont="1"/>
    <xf numFmtId="0" fontId="5" fillId="0" borderId="0" xfId="2"/>
    <xf numFmtId="3" fontId="5" fillId="0" borderId="0" xfId="2" applyNumberFormat="1"/>
    <xf numFmtId="15" fontId="5" fillId="0" borderId="0" xfId="2" applyNumberFormat="1"/>
    <xf numFmtId="4" fontId="5" fillId="0" borderId="0" xfId="2" applyNumberFormat="1"/>
    <xf numFmtId="165" fontId="0" fillId="0" borderId="0" xfId="0" applyNumberFormat="1"/>
    <xf numFmtId="2" fontId="5" fillId="0" borderId="0" xfId="2" applyNumberFormat="1"/>
    <xf numFmtId="165" fontId="5" fillId="0" borderId="0" xfId="1" applyNumberFormat="1" applyFont="1"/>
    <xf numFmtId="165" fontId="7" fillId="0" borderId="0" xfId="1" applyNumberFormat="1" applyFont="1"/>
    <xf numFmtId="0" fontId="8" fillId="0" borderId="0" xfId="0" applyFont="1"/>
    <xf numFmtId="0" fontId="7" fillId="0" borderId="0" xfId="0" applyFont="1"/>
    <xf numFmtId="43" fontId="0" fillId="0" borderId="0" xfId="0" applyNumberFormat="1"/>
    <xf numFmtId="6" fontId="0" fillId="0" borderId="0" xfId="0" applyNumberFormat="1"/>
    <xf numFmtId="0" fontId="0" fillId="0" borderId="13" xfId="0" applyBorder="1" applyAlignment="1">
      <alignment horizontal="center"/>
    </xf>
    <xf numFmtId="4" fontId="0" fillId="0" borderId="0" xfId="0" applyNumberFormat="1"/>
    <xf numFmtId="0" fontId="0" fillId="0" borderId="17" xfId="0" applyBorder="1" applyAlignment="1">
      <alignment horizontal="center"/>
    </xf>
    <xf numFmtId="0" fontId="0" fillId="0" borderId="18" xfId="0" applyBorder="1" applyAlignment="1">
      <alignment horizontal="center"/>
    </xf>
    <xf numFmtId="0" fontId="0" fillId="0" borderId="18" xfId="0" applyBorder="1"/>
    <xf numFmtId="0" fontId="0" fillId="0" borderId="19" xfId="0" applyBorder="1"/>
    <xf numFmtId="4" fontId="0" fillId="0" borderId="17" xfId="0" applyNumberFormat="1" applyBorder="1" applyAlignment="1">
      <alignment horizontal="center"/>
    </xf>
    <xf numFmtId="165" fontId="0" fillId="0" borderId="18" xfId="1" applyNumberFormat="1" applyFont="1" applyBorder="1"/>
    <xf numFmtId="165" fontId="0" fillId="0" borderId="20" xfId="0" applyNumberFormat="1" applyBorder="1"/>
    <xf numFmtId="0" fontId="12" fillId="0" borderId="0" xfId="0" applyFont="1" applyAlignment="1">
      <alignment vertical="center"/>
    </xf>
    <xf numFmtId="0" fontId="12" fillId="0" borderId="0" xfId="0" applyFont="1" applyAlignment="1">
      <alignment vertical="top"/>
    </xf>
    <xf numFmtId="0" fontId="13" fillId="0" borderId="0" xfId="0" applyFont="1" applyAlignment="1">
      <alignment vertical="center"/>
    </xf>
    <xf numFmtId="165" fontId="12" fillId="0" borderId="0" xfId="1" applyNumberFormat="1" applyFont="1" applyBorder="1" applyAlignment="1">
      <alignment vertical="center"/>
    </xf>
    <xf numFmtId="165" fontId="12" fillId="0" borderId="0" xfId="1" applyNumberFormat="1" applyFont="1" applyBorder="1" applyAlignment="1">
      <alignment vertical="top"/>
    </xf>
    <xf numFmtId="165" fontId="13" fillId="0" borderId="0" xfId="1" applyNumberFormat="1" applyFont="1" applyBorder="1" applyAlignment="1">
      <alignment vertical="center"/>
    </xf>
    <xf numFmtId="164" fontId="8" fillId="0" borderId="0" xfId="1" applyFont="1"/>
    <xf numFmtId="165" fontId="12" fillId="0" borderId="0" xfId="0" applyNumberFormat="1" applyFont="1" applyAlignment="1">
      <alignment vertical="center"/>
    </xf>
    <xf numFmtId="166" fontId="0" fillId="4" borderId="0" xfId="1" applyNumberFormat="1" applyFont="1" applyFill="1"/>
    <xf numFmtId="165" fontId="0" fillId="5" borderId="0" xfId="1" applyNumberFormat="1" applyFont="1" applyFill="1"/>
    <xf numFmtId="165" fontId="0" fillId="6" borderId="0" xfId="1" applyNumberFormat="1" applyFont="1" applyFill="1"/>
    <xf numFmtId="165" fontId="0" fillId="7" borderId="0" xfId="1" applyNumberFormat="1" applyFont="1" applyFill="1"/>
    <xf numFmtId="165" fontId="0" fillId="8" borderId="0" xfId="1" applyNumberFormat="1" applyFont="1" applyFill="1"/>
    <xf numFmtId="165" fontId="0" fillId="9" borderId="0" xfId="1" applyNumberFormat="1" applyFont="1" applyFill="1"/>
    <xf numFmtId="0" fontId="3" fillId="0" borderId="0" xfId="4"/>
    <xf numFmtId="15" fontId="3" fillId="0" borderId="0" xfId="4" applyNumberFormat="1"/>
    <xf numFmtId="167" fontId="0" fillId="0" borderId="0" xfId="5" applyNumberFormat="1" applyFont="1"/>
    <xf numFmtId="167" fontId="0" fillId="0" borderId="0" xfId="7" applyNumberFormat="1" applyFont="1"/>
    <xf numFmtId="0" fontId="1" fillId="0" borderId="0" xfId="8"/>
    <xf numFmtId="0" fontId="1" fillId="0" borderId="7" xfId="8" applyBorder="1"/>
    <xf numFmtId="0" fontId="1" fillId="0" borderId="8" xfId="8" applyBorder="1"/>
    <xf numFmtId="0" fontId="1" fillId="0" borderId="4" xfId="8" applyBorder="1"/>
    <xf numFmtId="0" fontId="1" fillId="0" borderId="5" xfId="8" applyBorder="1"/>
    <xf numFmtId="0" fontId="1" fillId="0" borderId="6" xfId="8" applyBorder="1"/>
    <xf numFmtId="0" fontId="9" fillId="0" borderId="12" xfId="8" applyFont="1" applyBorder="1" applyAlignment="1">
      <alignment horizontal="center" vertical="center" wrapText="1"/>
    </xf>
    <xf numFmtId="0" fontId="1" fillId="0" borderId="12" xfId="8" applyBorder="1" applyAlignment="1">
      <alignment wrapText="1"/>
    </xf>
    <xf numFmtId="22" fontId="1" fillId="0" borderId="12" xfId="8" applyNumberFormat="1" applyBorder="1" applyAlignment="1">
      <alignment horizontal="left" wrapText="1"/>
    </xf>
    <xf numFmtId="4" fontId="1" fillId="0" borderId="12" xfId="8" applyNumberFormat="1" applyBorder="1" applyAlignment="1">
      <alignment wrapText="1"/>
    </xf>
    <xf numFmtId="0" fontId="1" fillId="0" borderId="0" xfId="8" applyAlignment="1">
      <alignment wrapText="1"/>
    </xf>
    <xf numFmtId="164" fontId="5" fillId="0" borderId="0" xfId="1" applyFont="1"/>
    <xf numFmtId="164" fontId="0" fillId="0" borderId="0" xfId="1" applyFont="1"/>
    <xf numFmtId="0" fontId="6" fillId="0" borderId="0" xfId="0" applyFont="1"/>
    <xf numFmtId="4" fontId="1" fillId="0" borderId="0" xfId="8" applyNumberFormat="1"/>
    <xf numFmtId="165" fontId="0" fillId="0" borderId="18" xfId="0" applyNumberFormat="1" applyBorder="1"/>
    <xf numFmtId="0" fontId="6" fillId="0" borderId="0" xfId="9"/>
    <xf numFmtId="165" fontId="6" fillId="0" borderId="0" xfId="9" applyNumberFormat="1"/>
    <xf numFmtId="4" fontId="6" fillId="0" borderId="0" xfId="9" applyNumberFormat="1"/>
    <xf numFmtId="165" fontId="6" fillId="0" borderId="0" xfId="1" applyNumberFormat="1" applyFont="1"/>
    <xf numFmtId="0" fontId="7" fillId="5" borderId="0" xfId="9" applyFont="1" applyFill="1"/>
    <xf numFmtId="0" fontId="7" fillId="8" borderId="0" xfId="9" applyFont="1" applyFill="1"/>
    <xf numFmtId="0" fontId="7" fillId="6" borderId="0" xfId="9" applyFont="1" applyFill="1"/>
    <xf numFmtId="0" fontId="7" fillId="7" borderId="0" xfId="9" applyFont="1" applyFill="1"/>
    <xf numFmtId="0" fontId="7" fillId="9" borderId="0" xfId="9" applyFont="1" applyFill="1"/>
    <xf numFmtId="17" fontId="6" fillId="0" borderId="0" xfId="9" applyNumberFormat="1"/>
    <xf numFmtId="0" fontId="0" fillId="0" borderId="0" xfId="0"/>
    <xf numFmtId="0" fontId="9" fillId="0" borderId="9" xfId="8" applyFont="1" applyBorder="1" applyAlignment="1">
      <alignment horizontal="left" vertical="center" wrapText="1"/>
    </xf>
    <xf numFmtId="0" fontId="9" fillId="0" borderId="10" xfId="8" applyFont="1" applyBorder="1" applyAlignment="1">
      <alignment horizontal="left" vertical="center" wrapText="1"/>
    </xf>
    <xf numFmtId="0" fontId="9" fillId="0" borderId="11" xfId="8" applyFont="1" applyBorder="1" applyAlignment="1">
      <alignment horizontal="left" vertical="center" wrapText="1"/>
    </xf>
    <xf numFmtId="0" fontId="1" fillId="0" borderId="0" xfId="8"/>
    <xf numFmtId="0" fontId="15" fillId="2" borderId="1" xfId="8" applyFont="1" applyFill="1" applyBorder="1" applyAlignment="1">
      <alignment horizontal="center" vertical="center" wrapText="1"/>
    </xf>
    <xf numFmtId="0" fontId="15" fillId="2" borderId="2" xfId="8" applyFont="1" applyFill="1" applyBorder="1" applyAlignment="1">
      <alignment horizontal="center" vertical="center" wrapText="1"/>
    </xf>
    <xf numFmtId="0" fontId="15" fillId="2" borderId="3" xfId="8" applyFont="1" applyFill="1" applyBorder="1" applyAlignment="1">
      <alignment horizontal="center" vertical="center" wrapText="1"/>
    </xf>
    <xf numFmtId="0" fontId="15" fillId="2" borderId="4" xfId="8" applyFont="1" applyFill="1" applyBorder="1" applyAlignment="1">
      <alignment horizontal="center" vertical="center" wrapText="1"/>
    </xf>
    <xf numFmtId="0" fontId="15" fillId="2" borderId="5" xfId="8" applyFont="1" applyFill="1" applyBorder="1" applyAlignment="1">
      <alignment horizontal="center" vertical="center" wrapText="1"/>
    </xf>
    <xf numFmtId="0" fontId="15" fillId="2" borderId="6" xfId="8" applyFont="1" applyFill="1" applyBorder="1" applyAlignment="1">
      <alignment horizontal="center" vertical="center" wrapText="1"/>
    </xf>
    <xf numFmtId="0" fontId="9" fillId="0" borderId="9" xfId="8" applyFont="1" applyBorder="1" applyAlignment="1">
      <alignment horizontal="center" vertical="center" wrapText="1"/>
    </xf>
    <xf numFmtId="0" fontId="9" fillId="0" borderId="10" xfId="8" applyFont="1" applyBorder="1" applyAlignment="1">
      <alignment horizontal="center" vertical="center" wrapText="1"/>
    </xf>
    <xf numFmtId="0" fontId="9" fillId="0" borderId="11" xfId="8" applyFont="1" applyBorder="1" applyAlignment="1">
      <alignment horizontal="center" vertical="center" wrapText="1"/>
    </xf>
    <xf numFmtId="0" fontId="1" fillId="3" borderId="0" xfId="8" applyFill="1" applyAlignment="1">
      <alignment vertical="top" wrapText="1"/>
    </xf>
    <xf numFmtId="0" fontId="10" fillId="0" borderId="0" xfId="8" applyFont="1" applyAlignment="1">
      <alignment wrapText="1"/>
    </xf>
    <xf numFmtId="0" fontId="11" fillId="0" borderId="0" xfId="8" applyFont="1" applyAlignment="1">
      <alignment horizontal="center" wrapText="1"/>
    </xf>
    <xf numFmtId="0" fontId="0" fillId="0" borderId="0" xfId="0" applyAlignment="1">
      <alignment horizontal="center" wrapText="1"/>
    </xf>
    <xf numFmtId="0" fontId="8" fillId="0" borderId="0" xfId="0" applyFont="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6" fillId="0" borderId="0" xfId="9" applyAlignment="1">
      <alignment horizontal="center"/>
    </xf>
    <xf numFmtId="0" fontId="6" fillId="0" borderId="0" xfId="9" applyAlignment="1">
      <alignment horizontal="center" wrapText="1"/>
    </xf>
  </cellXfs>
  <cellStyles count="10">
    <cellStyle name="Comma" xfId="1" builtinId="3"/>
    <cellStyle name="Comma 2" xfId="5" xr:uid="{9D1B5562-B386-4E99-B869-5962F7491F7E}"/>
    <cellStyle name="Comma 3" xfId="7" xr:uid="{864BA67C-5E17-433C-9AE0-60D10F86470E}"/>
    <cellStyle name="Normal" xfId="0" builtinId="0"/>
    <cellStyle name="Normal 2" xfId="2" xr:uid="{C3F6FBCA-F876-492D-AB60-BE9728419BE6}"/>
    <cellStyle name="Normal 3" xfId="3" xr:uid="{0B227314-0763-4793-B334-3C191EAD5F03}"/>
    <cellStyle name="Normal 4" xfId="4" xr:uid="{1246DEE8-A39A-42DD-BB39-6D0B86F4D1DD}"/>
    <cellStyle name="Normal 5" xfId="6" xr:uid="{0C9A1E24-2AD4-40B5-8CBF-F6DB99192853}"/>
    <cellStyle name="Normal 6" xfId="8" xr:uid="{C49CCF5A-7A33-494A-925E-409248C70959}"/>
    <cellStyle name="Normal 7" xfId="9" xr:uid="{47C41252-40B0-47B3-B485-3EC5E33BEE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Archit\Returns\Ajay%20Gupta\31.03.2024\Bank%20Accounts\Salary.xlsx" TargetMode="External"/><Relationship Id="rId1" Type="http://schemas.openxmlformats.org/officeDocument/2006/relationships/externalLinkPath" Target="Sal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ary"/>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6BB4-8ADD-46CC-8E02-2A6C424FB69A}">
  <dimension ref="A1:O267"/>
  <sheetViews>
    <sheetView topLeftCell="E13" workbookViewId="0">
      <selection activeCell="F14" sqref="F14"/>
    </sheetView>
  </sheetViews>
  <sheetFormatPr defaultRowHeight="13.2" x14ac:dyDescent="0.25"/>
  <cols>
    <col min="2" max="2" width="10.33203125" bestFit="1" customWidth="1"/>
    <col min="3" max="3" width="48.33203125" bestFit="1" customWidth="1"/>
    <col min="4" max="4" width="15.44140625" bestFit="1" customWidth="1"/>
    <col min="5" max="5" width="15.88671875" bestFit="1" customWidth="1"/>
    <col min="6" max="6" width="15.77734375" bestFit="1" customWidth="1"/>
    <col min="7" max="7" width="12.77734375" bestFit="1" customWidth="1"/>
    <col min="8" max="8" width="9.44140625" bestFit="1" customWidth="1"/>
    <col min="9" max="9" width="10.33203125" bestFit="1" customWidth="1"/>
    <col min="10" max="10" width="47.88671875" bestFit="1" customWidth="1"/>
    <col min="11" max="11" width="47.88671875" customWidth="1"/>
    <col min="12" max="14" width="9.44140625" bestFit="1" customWidth="1"/>
    <col min="258" max="258" width="10.33203125" bestFit="1" customWidth="1"/>
    <col min="260" max="260" width="46.5546875" bestFit="1" customWidth="1"/>
    <col min="261" max="261" width="15.44140625" bestFit="1" customWidth="1"/>
    <col min="262" max="262" width="15.88671875" bestFit="1" customWidth="1"/>
    <col min="263" max="263" width="15.77734375" bestFit="1" customWidth="1"/>
    <col min="514" max="514" width="10.33203125" bestFit="1" customWidth="1"/>
    <col min="516" max="516" width="46.5546875" bestFit="1" customWidth="1"/>
    <col min="517" max="517" width="15.44140625" bestFit="1" customWidth="1"/>
    <col min="518" max="518" width="15.88671875" bestFit="1" customWidth="1"/>
    <col min="519" max="519" width="15.77734375" bestFit="1" customWidth="1"/>
    <col min="770" max="770" width="10.33203125" bestFit="1" customWidth="1"/>
    <col min="772" max="772" width="46.5546875" bestFit="1" customWidth="1"/>
    <col min="773" max="773" width="15.44140625" bestFit="1" customWidth="1"/>
    <col min="774" max="774" width="15.88671875" bestFit="1" customWidth="1"/>
    <col min="775" max="775" width="15.77734375" bestFit="1" customWidth="1"/>
    <col min="1026" max="1026" width="10.33203125" bestFit="1" customWidth="1"/>
    <col min="1028" max="1028" width="46.5546875" bestFit="1" customWidth="1"/>
    <col min="1029" max="1029" width="15.44140625" bestFit="1" customWidth="1"/>
    <col min="1030" max="1030" width="15.88671875" bestFit="1" customWidth="1"/>
    <col min="1031" max="1031" width="15.77734375" bestFit="1" customWidth="1"/>
    <col min="1282" max="1282" width="10.33203125" bestFit="1" customWidth="1"/>
    <col min="1284" max="1284" width="46.5546875" bestFit="1" customWidth="1"/>
    <col min="1285" max="1285" width="15.44140625" bestFit="1" customWidth="1"/>
    <col min="1286" max="1286" width="15.88671875" bestFit="1" customWidth="1"/>
    <col min="1287" max="1287" width="15.77734375" bestFit="1" customWidth="1"/>
    <col min="1538" max="1538" width="10.33203125" bestFit="1" customWidth="1"/>
    <col min="1540" max="1540" width="46.5546875" bestFit="1" customWidth="1"/>
    <col min="1541" max="1541" width="15.44140625" bestFit="1" customWidth="1"/>
    <col min="1542" max="1542" width="15.88671875" bestFit="1" customWidth="1"/>
    <col min="1543" max="1543" width="15.77734375" bestFit="1" customWidth="1"/>
    <col min="1794" max="1794" width="10.33203125" bestFit="1" customWidth="1"/>
    <col min="1796" max="1796" width="46.5546875" bestFit="1" customWidth="1"/>
    <col min="1797" max="1797" width="15.44140625" bestFit="1" customWidth="1"/>
    <col min="1798" max="1798" width="15.88671875" bestFit="1" customWidth="1"/>
    <col min="1799" max="1799" width="15.77734375" bestFit="1" customWidth="1"/>
    <col min="2050" max="2050" width="10.33203125" bestFit="1" customWidth="1"/>
    <col min="2052" max="2052" width="46.5546875" bestFit="1" customWidth="1"/>
    <col min="2053" max="2053" width="15.44140625" bestFit="1" customWidth="1"/>
    <col min="2054" max="2054" width="15.88671875" bestFit="1" customWidth="1"/>
    <col min="2055" max="2055" width="15.77734375" bestFit="1" customWidth="1"/>
    <col min="2306" max="2306" width="10.33203125" bestFit="1" customWidth="1"/>
    <col min="2308" max="2308" width="46.5546875" bestFit="1" customWidth="1"/>
    <col min="2309" max="2309" width="15.44140625" bestFit="1" customWidth="1"/>
    <col min="2310" max="2310" width="15.88671875" bestFit="1" customWidth="1"/>
    <col min="2311" max="2311" width="15.77734375" bestFit="1" customWidth="1"/>
    <col min="2562" max="2562" width="10.33203125" bestFit="1" customWidth="1"/>
    <col min="2564" max="2564" width="46.5546875" bestFit="1" customWidth="1"/>
    <col min="2565" max="2565" width="15.44140625" bestFit="1" customWidth="1"/>
    <col min="2566" max="2566" width="15.88671875" bestFit="1" customWidth="1"/>
    <col min="2567" max="2567" width="15.77734375" bestFit="1" customWidth="1"/>
    <col min="2818" max="2818" width="10.33203125" bestFit="1" customWidth="1"/>
    <col min="2820" max="2820" width="46.5546875" bestFit="1" customWidth="1"/>
    <col min="2821" max="2821" width="15.44140625" bestFit="1" customWidth="1"/>
    <col min="2822" max="2822" width="15.88671875" bestFit="1" customWidth="1"/>
    <col min="2823" max="2823" width="15.77734375" bestFit="1" customWidth="1"/>
    <col min="3074" max="3074" width="10.33203125" bestFit="1" customWidth="1"/>
    <col min="3076" max="3076" width="46.5546875" bestFit="1" customWidth="1"/>
    <col min="3077" max="3077" width="15.44140625" bestFit="1" customWidth="1"/>
    <col min="3078" max="3078" width="15.88671875" bestFit="1" customWidth="1"/>
    <col min="3079" max="3079" width="15.77734375" bestFit="1" customWidth="1"/>
    <col min="3330" max="3330" width="10.33203125" bestFit="1" customWidth="1"/>
    <col min="3332" max="3332" width="46.5546875" bestFit="1" customWidth="1"/>
    <col min="3333" max="3333" width="15.44140625" bestFit="1" customWidth="1"/>
    <col min="3334" max="3334" width="15.88671875" bestFit="1" customWidth="1"/>
    <col min="3335" max="3335" width="15.77734375" bestFit="1" customWidth="1"/>
    <col min="3586" max="3586" width="10.33203125" bestFit="1" customWidth="1"/>
    <col min="3588" max="3588" width="46.5546875" bestFit="1" customWidth="1"/>
    <col min="3589" max="3589" width="15.44140625" bestFit="1" customWidth="1"/>
    <col min="3590" max="3590" width="15.88671875" bestFit="1" customWidth="1"/>
    <col min="3591" max="3591" width="15.77734375" bestFit="1" customWidth="1"/>
    <col min="3842" max="3842" width="10.33203125" bestFit="1" customWidth="1"/>
    <col min="3844" max="3844" width="46.5546875" bestFit="1" customWidth="1"/>
    <col min="3845" max="3845" width="15.44140625" bestFit="1" customWidth="1"/>
    <col min="3846" max="3846" width="15.88671875" bestFit="1" customWidth="1"/>
    <col min="3847" max="3847" width="15.77734375" bestFit="1" customWidth="1"/>
    <col min="4098" max="4098" width="10.33203125" bestFit="1" customWidth="1"/>
    <col min="4100" max="4100" width="46.5546875" bestFit="1" customWidth="1"/>
    <col min="4101" max="4101" width="15.44140625" bestFit="1" customWidth="1"/>
    <col min="4102" max="4102" width="15.88671875" bestFit="1" customWidth="1"/>
    <col min="4103" max="4103" width="15.77734375" bestFit="1" customWidth="1"/>
    <col min="4354" max="4354" width="10.33203125" bestFit="1" customWidth="1"/>
    <col min="4356" max="4356" width="46.5546875" bestFit="1" customWidth="1"/>
    <col min="4357" max="4357" width="15.44140625" bestFit="1" customWidth="1"/>
    <col min="4358" max="4358" width="15.88671875" bestFit="1" customWidth="1"/>
    <col min="4359" max="4359" width="15.77734375" bestFit="1" customWidth="1"/>
    <col min="4610" max="4610" width="10.33203125" bestFit="1" customWidth="1"/>
    <col min="4612" max="4612" width="46.5546875" bestFit="1" customWidth="1"/>
    <col min="4613" max="4613" width="15.44140625" bestFit="1" customWidth="1"/>
    <col min="4614" max="4614" width="15.88671875" bestFit="1" customWidth="1"/>
    <col min="4615" max="4615" width="15.77734375" bestFit="1" customWidth="1"/>
    <col min="4866" max="4866" width="10.33203125" bestFit="1" customWidth="1"/>
    <col min="4868" max="4868" width="46.5546875" bestFit="1" customWidth="1"/>
    <col min="4869" max="4869" width="15.44140625" bestFit="1" customWidth="1"/>
    <col min="4870" max="4870" width="15.88671875" bestFit="1" customWidth="1"/>
    <col min="4871" max="4871" width="15.77734375" bestFit="1" customWidth="1"/>
    <col min="5122" max="5122" width="10.33203125" bestFit="1" customWidth="1"/>
    <col min="5124" max="5124" width="46.5546875" bestFit="1" customWidth="1"/>
    <col min="5125" max="5125" width="15.44140625" bestFit="1" customWidth="1"/>
    <col min="5126" max="5126" width="15.88671875" bestFit="1" customWidth="1"/>
    <col min="5127" max="5127" width="15.77734375" bestFit="1" customWidth="1"/>
    <col min="5378" max="5378" width="10.33203125" bestFit="1" customWidth="1"/>
    <col min="5380" max="5380" width="46.5546875" bestFit="1" customWidth="1"/>
    <col min="5381" max="5381" width="15.44140625" bestFit="1" customWidth="1"/>
    <col min="5382" max="5382" width="15.88671875" bestFit="1" customWidth="1"/>
    <col min="5383" max="5383" width="15.77734375" bestFit="1" customWidth="1"/>
    <col min="5634" max="5634" width="10.33203125" bestFit="1" customWidth="1"/>
    <col min="5636" max="5636" width="46.5546875" bestFit="1" customWidth="1"/>
    <col min="5637" max="5637" width="15.44140625" bestFit="1" customWidth="1"/>
    <col min="5638" max="5638" width="15.88671875" bestFit="1" customWidth="1"/>
    <col min="5639" max="5639" width="15.77734375" bestFit="1" customWidth="1"/>
    <col min="5890" max="5890" width="10.33203125" bestFit="1" customWidth="1"/>
    <col min="5892" max="5892" width="46.5546875" bestFit="1" customWidth="1"/>
    <col min="5893" max="5893" width="15.44140625" bestFit="1" customWidth="1"/>
    <col min="5894" max="5894" width="15.88671875" bestFit="1" customWidth="1"/>
    <col min="5895" max="5895" width="15.77734375" bestFit="1" customWidth="1"/>
    <col min="6146" max="6146" width="10.33203125" bestFit="1" customWidth="1"/>
    <col min="6148" max="6148" width="46.5546875" bestFit="1" customWidth="1"/>
    <col min="6149" max="6149" width="15.44140625" bestFit="1" customWidth="1"/>
    <col min="6150" max="6150" width="15.88671875" bestFit="1" customWidth="1"/>
    <col min="6151" max="6151" width="15.77734375" bestFit="1" customWidth="1"/>
    <col min="6402" max="6402" width="10.33203125" bestFit="1" customWidth="1"/>
    <col min="6404" max="6404" width="46.5546875" bestFit="1" customWidth="1"/>
    <col min="6405" max="6405" width="15.44140625" bestFit="1" customWidth="1"/>
    <col min="6406" max="6406" width="15.88671875" bestFit="1" customWidth="1"/>
    <col min="6407" max="6407" width="15.77734375" bestFit="1" customWidth="1"/>
    <col min="6658" max="6658" width="10.33203125" bestFit="1" customWidth="1"/>
    <col min="6660" max="6660" width="46.5546875" bestFit="1" customWidth="1"/>
    <col min="6661" max="6661" width="15.44140625" bestFit="1" customWidth="1"/>
    <col min="6662" max="6662" width="15.88671875" bestFit="1" customWidth="1"/>
    <col min="6663" max="6663" width="15.77734375" bestFit="1" customWidth="1"/>
    <col min="6914" max="6914" width="10.33203125" bestFit="1" customWidth="1"/>
    <col min="6916" max="6916" width="46.5546875" bestFit="1" customWidth="1"/>
    <col min="6917" max="6917" width="15.44140625" bestFit="1" customWidth="1"/>
    <col min="6918" max="6918" width="15.88671875" bestFit="1" customWidth="1"/>
    <col min="6919" max="6919" width="15.77734375" bestFit="1" customWidth="1"/>
    <col min="7170" max="7170" width="10.33203125" bestFit="1" customWidth="1"/>
    <col min="7172" max="7172" width="46.5546875" bestFit="1" customWidth="1"/>
    <col min="7173" max="7173" width="15.44140625" bestFit="1" customWidth="1"/>
    <col min="7174" max="7174" width="15.88671875" bestFit="1" customWidth="1"/>
    <col min="7175" max="7175" width="15.77734375" bestFit="1" customWidth="1"/>
    <col min="7426" max="7426" width="10.33203125" bestFit="1" customWidth="1"/>
    <col min="7428" max="7428" width="46.5546875" bestFit="1" customWidth="1"/>
    <col min="7429" max="7429" width="15.44140625" bestFit="1" customWidth="1"/>
    <col min="7430" max="7430" width="15.88671875" bestFit="1" customWidth="1"/>
    <col min="7431" max="7431" width="15.77734375" bestFit="1" customWidth="1"/>
    <col min="7682" max="7682" width="10.33203125" bestFit="1" customWidth="1"/>
    <col min="7684" max="7684" width="46.5546875" bestFit="1" customWidth="1"/>
    <col min="7685" max="7685" width="15.44140625" bestFit="1" customWidth="1"/>
    <col min="7686" max="7686" width="15.88671875" bestFit="1" customWidth="1"/>
    <col min="7687" max="7687" width="15.77734375" bestFit="1" customWidth="1"/>
    <col min="7938" max="7938" width="10.33203125" bestFit="1" customWidth="1"/>
    <col min="7940" max="7940" width="46.5546875" bestFit="1" customWidth="1"/>
    <col min="7941" max="7941" width="15.44140625" bestFit="1" customWidth="1"/>
    <col min="7942" max="7942" width="15.88671875" bestFit="1" customWidth="1"/>
    <col min="7943" max="7943" width="15.77734375" bestFit="1" customWidth="1"/>
    <col min="8194" max="8194" width="10.33203125" bestFit="1" customWidth="1"/>
    <col min="8196" max="8196" width="46.5546875" bestFit="1" customWidth="1"/>
    <col min="8197" max="8197" width="15.44140625" bestFit="1" customWidth="1"/>
    <col min="8198" max="8198" width="15.88671875" bestFit="1" customWidth="1"/>
    <col min="8199" max="8199" width="15.77734375" bestFit="1" customWidth="1"/>
    <col min="8450" max="8450" width="10.33203125" bestFit="1" customWidth="1"/>
    <col min="8452" max="8452" width="46.5546875" bestFit="1" customWidth="1"/>
    <col min="8453" max="8453" width="15.44140625" bestFit="1" customWidth="1"/>
    <col min="8454" max="8454" width="15.88671875" bestFit="1" customWidth="1"/>
    <col min="8455" max="8455" width="15.77734375" bestFit="1" customWidth="1"/>
    <col min="8706" max="8706" width="10.33203125" bestFit="1" customWidth="1"/>
    <col min="8708" max="8708" width="46.5546875" bestFit="1" customWidth="1"/>
    <col min="8709" max="8709" width="15.44140625" bestFit="1" customWidth="1"/>
    <col min="8710" max="8710" width="15.88671875" bestFit="1" customWidth="1"/>
    <col min="8711" max="8711" width="15.77734375" bestFit="1" customWidth="1"/>
    <col min="8962" max="8962" width="10.33203125" bestFit="1" customWidth="1"/>
    <col min="8964" max="8964" width="46.5546875" bestFit="1" customWidth="1"/>
    <col min="8965" max="8965" width="15.44140625" bestFit="1" customWidth="1"/>
    <col min="8966" max="8966" width="15.88671875" bestFit="1" customWidth="1"/>
    <col min="8967" max="8967" width="15.77734375" bestFit="1" customWidth="1"/>
    <col min="9218" max="9218" width="10.33203125" bestFit="1" customWidth="1"/>
    <col min="9220" max="9220" width="46.5546875" bestFit="1" customWidth="1"/>
    <col min="9221" max="9221" width="15.44140625" bestFit="1" customWidth="1"/>
    <col min="9222" max="9222" width="15.88671875" bestFit="1" customWidth="1"/>
    <col min="9223" max="9223" width="15.77734375" bestFit="1" customWidth="1"/>
    <col min="9474" max="9474" width="10.33203125" bestFit="1" customWidth="1"/>
    <col min="9476" max="9476" width="46.5546875" bestFit="1" customWidth="1"/>
    <col min="9477" max="9477" width="15.44140625" bestFit="1" customWidth="1"/>
    <col min="9478" max="9478" width="15.88671875" bestFit="1" customWidth="1"/>
    <col min="9479" max="9479" width="15.77734375" bestFit="1" customWidth="1"/>
    <col min="9730" max="9730" width="10.33203125" bestFit="1" customWidth="1"/>
    <col min="9732" max="9732" width="46.5546875" bestFit="1" customWidth="1"/>
    <col min="9733" max="9733" width="15.44140625" bestFit="1" customWidth="1"/>
    <col min="9734" max="9734" width="15.88671875" bestFit="1" customWidth="1"/>
    <col min="9735" max="9735" width="15.77734375" bestFit="1" customWidth="1"/>
    <col min="9986" max="9986" width="10.33203125" bestFit="1" customWidth="1"/>
    <col min="9988" max="9988" width="46.5546875" bestFit="1" customWidth="1"/>
    <col min="9989" max="9989" width="15.44140625" bestFit="1" customWidth="1"/>
    <col min="9990" max="9990" width="15.88671875" bestFit="1" customWidth="1"/>
    <col min="9991" max="9991" width="15.77734375" bestFit="1" customWidth="1"/>
    <col min="10242" max="10242" width="10.33203125" bestFit="1" customWidth="1"/>
    <col min="10244" max="10244" width="46.5546875" bestFit="1" customWidth="1"/>
    <col min="10245" max="10245" width="15.44140625" bestFit="1" customWidth="1"/>
    <col min="10246" max="10246" width="15.88671875" bestFit="1" customWidth="1"/>
    <col min="10247" max="10247" width="15.77734375" bestFit="1" customWidth="1"/>
    <col min="10498" max="10498" width="10.33203125" bestFit="1" customWidth="1"/>
    <col min="10500" max="10500" width="46.5546875" bestFit="1" customWidth="1"/>
    <col min="10501" max="10501" width="15.44140625" bestFit="1" customWidth="1"/>
    <col min="10502" max="10502" width="15.88671875" bestFit="1" customWidth="1"/>
    <col min="10503" max="10503" width="15.77734375" bestFit="1" customWidth="1"/>
    <col min="10754" max="10754" width="10.33203125" bestFit="1" customWidth="1"/>
    <col min="10756" max="10756" width="46.5546875" bestFit="1" customWidth="1"/>
    <col min="10757" max="10757" width="15.44140625" bestFit="1" customWidth="1"/>
    <col min="10758" max="10758" width="15.88671875" bestFit="1" customWidth="1"/>
    <col min="10759" max="10759" width="15.77734375" bestFit="1" customWidth="1"/>
    <col min="11010" max="11010" width="10.33203125" bestFit="1" customWidth="1"/>
    <col min="11012" max="11012" width="46.5546875" bestFit="1" customWidth="1"/>
    <col min="11013" max="11013" width="15.44140625" bestFit="1" customWidth="1"/>
    <col min="11014" max="11014" width="15.88671875" bestFit="1" customWidth="1"/>
    <col min="11015" max="11015" width="15.77734375" bestFit="1" customWidth="1"/>
    <col min="11266" max="11266" width="10.33203125" bestFit="1" customWidth="1"/>
    <col min="11268" max="11268" width="46.5546875" bestFit="1" customWidth="1"/>
    <col min="11269" max="11269" width="15.44140625" bestFit="1" customWidth="1"/>
    <col min="11270" max="11270" width="15.88671875" bestFit="1" customWidth="1"/>
    <col min="11271" max="11271" width="15.77734375" bestFit="1" customWidth="1"/>
    <col min="11522" max="11522" width="10.33203125" bestFit="1" customWidth="1"/>
    <col min="11524" max="11524" width="46.5546875" bestFit="1" customWidth="1"/>
    <col min="11525" max="11525" width="15.44140625" bestFit="1" customWidth="1"/>
    <col min="11526" max="11526" width="15.88671875" bestFit="1" customWidth="1"/>
    <col min="11527" max="11527" width="15.77734375" bestFit="1" customWidth="1"/>
    <col min="11778" max="11778" width="10.33203125" bestFit="1" customWidth="1"/>
    <col min="11780" max="11780" width="46.5546875" bestFit="1" customWidth="1"/>
    <col min="11781" max="11781" width="15.44140625" bestFit="1" customWidth="1"/>
    <col min="11782" max="11782" width="15.88671875" bestFit="1" customWidth="1"/>
    <col min="11783" max="11783" width="15.77734375" bestFit="1" customWidth="1"/>
    <col min="12034" max="12034" width="10.33203125" bestFit="1" customWidth="1"/>
    <col min="12036" max="12036" width="46.5546875" bestFit="1" customWidth="1"/>
    <col min="12037" max="12037" width="15.44140625" bestFit="1" customWidth="1"/>
    <col min="12038" max="12038" width="15.88671875" bestFit="1" customWidth="1"/>
    <col min="12039" max="12039" width="15.77734375" bestFit="1" customWidth="1"/>
    <col min="12290" max="12290" width="10.33203125" bestFit="1" customWidth="1"/>
    <col min="12292" max="12292" width="46.5546875" bestFit="1" customWidth="1"/>
    <col min="12293" max="12293" width="15.44140625" bestFit="1" customWidth="1"/>
    <col min="12294" max="12294" width="15.88671875" bestFit="1" customWidth="1"/>
    <col min="12295" max="12295" width="15.77734375" bestFit="1" customWidth="1"/>
    <col min="12546" max="12546" width="10.33203125" bestFit="1" customWidth="1"/>
    <col min="12548" max="12548" width="46.5546875" bestFit="1" customWidth="1"/>
    <col min="12549" max="12549" width="15.44140625" bestFit="1" customWidth="1"/>
    <col min="12550" max="12550" width="15.88671875" bestFit="1" customWidth="1"/>
    <col min="12551" max="12551" width="15.77734375" bestFit="1" customWidth="1"/>
    <col min="12802" max="12802" width="10.33203125" bestFit="1" customWidth="1"/>
    <col min="12804" max="12804" width="46.5546875" bestFit="1" customWidth="1"/>
    <col min="12805" max="12805" width="15.44140625" bestFit="1" customWidth="1"/>
    <col min="12806" max="12806" width="15.88671875" bestFit="1" customWidth="1"/>
    <col min="12807" max="12807" width="15.77734375" bestFit="1" customWidth="1"/>
    <col min="13058" max="13058" width="10.33203125" bestFit="1" customWidth="1"/>
    <col min="13060" max="13060" width="46.5546875" bestFit="1" customWidth="1"/>
    <col min="13061" max="13061" width="15.44140625" bestFit="1" customWidth="1"/>
    <col min="13062" max="13062" width="15.88671875" bestFit="1" customWidth="1"/>
    <col min="13063" max="13063" width="15.77734375" bestFit="1" customWidth="1"/>
    <col min="13314" max="13314" width="10.33203125" bestFit="1" customWidth="1"/>
    <col min="13316" max="13316" width="46.5546875" bestFit="1" customWidth="1"/>
    <col min="13317" max="13317" width="15.44140625" bestFit="1" customWidth="1"/>
    <col min="13318" max="13318" width="15.88671875" bestFit="1" customWidth="1"/>
    <col min="13319" max="13319" width="15.77734375" bestFit="1" customWidth="1"/>
    <col min="13570" max="13570" width="10.33203125" bestFit="1" customWidth="1"/>
    <col min="13572" max="13572" width="46.5546875" bestFit="1" customWidth="1"/>
    <col min="13573" max="13573" width="15.44140625" bestFit="1" customWidth="1"/>
    <col min="13574" max="13574" width="15.88671875" bestFit="1" customWidth="1"/>
    <col min="13575" max="13575" width="15.77734375" bestFit="1" customWidth="1"/>
    <col min="13826" max="13826" width="10.33203125" bestFit="1" customWidth="1"/>
    <col min="13828" max="13828" width="46.5546875" bestFit="1" customWidth="1"/>
    <col min="13829" max="13829" width="15.44140625" bestFit="1" customWidth="1"/>
    <col min="13830" max="13830" width="15.88671875" bestFit="1" customWidth="1"/>
    <col min="13831" max="13831" width="15.77734375" bestFit="1" customWidth="1"/>
    <col min="14082" max="14082" width="10.33203125" bestFit="1" customWidth="1"/>
    <col min="14084" max="14084" width="46.5546875" bestFit="1" customWidth="1"/>
    <col min="14085" max="14085" width="15.44140625" bestFit="1" customWidth="1"/>
    <col min="14086" max="14086" width="15.88671875" bestFit="1" customWidth="1"/>
    <col min="14087" max="14087" width="15.77734375" bestFit="1" customWidth="1"/>
    <col min="14338" max="14338" width="10.33203125" bestFit="1" customWidth="1"/>
    <col min="14340" max="14340" width="46.5546875" bestFit="1" customWidth="1"/>
    <col min="14341" max="14341" width="15.44140625" bestFit="1" customWidth="1"/>
    <col min="14342" max="14342" width="15.88671875" bestFit="1" customWidth="1"/>
    <col min="14343" max="14343" width="15.77734375" bestFit="1" customWidth="1"/>
    <col min="14594" max="14594" width="10.33203125" bestFit="1" customWidth="1"/>
    <col min="14596" max="14596" width="46.5546875" bestFit="1" customWidth="1"/>
    <col min="14597" max="14597" width="15.44140625" bestFit="1" customWidth="1"/>
    <col min="14598" max="14598" width="15.88671875" bestFit="1" customWidth="1"/>
    <col min="14599" max="14599" width="15.77734375" bestFit="1" customWidth="1"/>
    <col min="14850" max="14850" width="10.33203125" bestFit="1" customWidth="1"/>
    <col min="14852" max="14852" width="46.5546875" bestFit="1" customWidth="1"/>
    <col min="14853" max="14853" width="15.44140625" bestFit="1" customWidth="1"/>
    <col min="14854" max="14854" width="15.88671875" bestFit="1" customWidth="1"/>
    <col min="14855" max="14855" width="15.77734375" bestFit="1" customWidth="1"/>
    <col min="15106" max="15106" width="10.33203125" bestFit="1" customWidth="1"/>
    <col min="15108" max="15108" width="46.5546875" bestFit="1" customWidth="1"/>
    <col min="15109" max="15109" width="15.44140625" bestFit="1" customWidth="1"/>
    <col min="15110" max="15110" width="15.88671875" bestFit="1" customWidth="1"/>
    <col min="15111" max="15111" width="15.77734375" bestFit="1" customWidth="1"/>
    <col min="15362" max="15362" width="10.33203125" bestFit="1" customWidth="1"/>
    <col min="15364" max="15364" width="46.5546875" bestFit="1" customWidth="1"/>
    <col min="15365" max="15365" width="15.44140625" bestFit="1" customWidth="1"/>
    <col min="15366" max="15366" width="15.88671875" bestFit="1" customWidth="1"/>
    <col min="15367" max="15367" width="15.77734375" bestFit="1" customWidth="1"/>
    <col min="15618" max="15618" width="10.33203125" bestFit="1" customWidth="1"/>
    <col min="15620" max="15620" width="46.5546875" bestFit="1" customWidth="1"/>
    <col min="15621" max="15621" width="15.44140625" bestFit="1" customWidth="1"/>
    <col min="15622" max="15622" width="15.88671875" bestFit="1" customWidth="1"/>
    <col min="15623" max="15623" width="15.77734375" bestFit="1" customWidth="1"/>
    <col min="15874" max="15874" width="10.33203125" bestFit="1" customWidth="1"/>
    <col min="15876" max="15876" width="46.5546875" bestFit="1" customWidth="1"/>
    <col min="15877" max="15877" width="15.44140625" bestFit="1" customWidth="1"/>
    <col min="15878" max="15878" width="15.88671875" bestFit="1" customWidth="1"/>
    <col min="15879" max="15879" width="15.77734375" bestFit="1" customWidth="1"/>
    <col min="16130" max="16130" width="10.33203125" bestFit="1" customWidth="1"/>
    <col min="16132" max="16132" width="46.5546875" bestFit="1" customWidth="1"/>
    <col min="16133" max="16133" width="15.44140625" bestFit="1" customWidth="1"/>
    <col min="16134" max="16134" width="15.88671875" bestFit="1" customWidth="1"/>
    <col min="16135" max="16135" width="15.77734375" bestFit="1" customWidth="1"/>
  </cols>
  <sheetData>
    <row r="1" spans="1:15" x14ac:dyDescent="0.25">
      <c r="A1" s="68" t="s">
        <v>0</v>
      </c>
      <c r="B1" s="68"/>
      <c r="C1" s="68"/>
      <c r="D1" s="68"/>
      <c r="E1" s="68"/>
      <c r="F1" s="68"/>
      <c r="G1" s="68"/>
      <c r="H1" s="68"/>
      <c r="I1" s="68"/>
      <c r="J1" s="68"/>
    </row>
    <row r="2" spans="1:15" x14ac:dyDescent="0.25">
      <c r="A2" s="68" t="s">
        <v>1</v>
      </c>
      <c r="B2" s="68"/>
      <c r="C2" s="68"/>
      <c r="D2" s="68"/>
      <c r="E2" s="68"/>
      <c r="F2" s="68"/>
      <c r="G2" s="68"/>
      <c r="H2" s="68"/>
      <c r="I2" s="68"/>
      <c r="J2" s="68"/>
    </row>
    <row r="3" spans="1:15" x14ac:dyDescent="0.25">
      <c r="A3" s="68" t="s">
        <v>2</v>
      </c>
      <c r="B3" s="68"/>
      <c r="C3" s="68"/>
      <c r="D3" s="68"/>
      <c r="E3" s="68"/>
      <c r="F3" s="68"/>
      <c r="G3" s="68"/>
      <c r="H3" s="68"/>
      <c r="I3" s="68"/>
      <c r="J3" s="68"/>
    </row>
    <row r="4" spans="1:15" x14ac:dyDescent="0.25">
      <c r="A4" s="68" t="s">
        <v>3</v>
      </c>
      <c r="B4" s="68"/>
      <c r="C4" s="68"/>
      <c r="D4" s="68"/>
      <c r="E4" s="68"/>
      <c r="F4" s="68"/>
      <c r="G4" s="68"/>
      <c r="H4" s="68"/>
      <c r="I4" s="68"/>
      <c r="J4" s="68"/>
    </row>
    <row r="5" spans="1:15" x14ac:dyDescent="0.25">
      <c r="A5" s="68" t="s">
        <v>4</v>
      </c>
      <c r="B5" s="68"/>
      <c r="C5" s="68"/>
      <c r="D5" s="68"/>
      <c r="E5" s="68"/>
      <c r="F5" s="68"/>
      <c r="G5" s="68"/>
      <c r="H5" s="68"/>
      <c r="I5" s="68"/>
      <c r="J5" s="68"/>
    </row>
    <row r="6" spans="1:15" x14ac:dyDescent="0.25">
      <c r="A6" s="68" t="s">
        <v>5</v>
      </c>
      <c r="B6" s="68"/>
      <c r="C6" s="68"/>
      <c r="D6" s="68"/>
      <c r="E6" s="68"/>
      <c r="F6" s="68"/>
      <c r="G6" s="68"/>
      <c r="H6" s="68"/>
      <c r="I6" s="68"/>
      <c r="J6" s="68"/>
    </row>
    <row r="7" spans="1:15" x14ac:dyDescent="0.25">
      <c r="A7" t="s">
        <v>6</v>
      </c>
    </row>
    <row r="8" spans="1:15" x14ac:dyDescent="0.25">
      <c r="A8" t="s">
        <v>7</v>
      </c>
    </row>
    <row r="9" spans="1:15" x14ac:dyDescent="0.25">
      <c r="A9" t="s">
        <v>8</v>
      </c>
    </row>
    <row r="10" spans="1:15" x14ac:dyDescent="0.25">
      <c r="A10" t="s">
        <v>9</v>
      </c>
    </row>
    <row r="11" spans="1:15" x14ac:dyDescent="0.25">
      <c r="A11" t="s">
        <v>10</v>
      </c>
    </row>
    <row r="12" spans="1:15" x14ac:dyDescent="0.25">
      <c r="A12" t="s">
        <v>11</v>
      </c>
    </row>
    <row r="13" spans="1:15" x14ac:dyDescent="0.25">
      <c r="A13" t="s">
        <v>12</v>
      </c>
    </row>
    <row r="14" spans="1:15" x14ac:dyDescent="0.25">
      <c r="A14" t="s">
        <v>13</v>
      </c>
      <c r="D14" s="7">
        <f>SUBTOTAL(9,D16:D186)</f>
        <v>2424706.6700000004</v>
      </c>
      <c r="E14" s="7">
        <f>SUBTOTAL(9,E16:E186)</f>
        <v>2267777.92</v>
      </c>
      <c r="F14" s="7">
        <f>F16+D16</f>
        <v>188100.16</v>
      </c>
    </row>
    <row r="15" spans="1:15" ht="14.4" x14ac:dyDescent="0.3">
      <c r="A15" t="s">
        <v>14</v>
      </c>
      <c r="B15" t="s">
        <v>15</v>
      </c>
      <c r="C15" t="s">
        <v>16</v>
      </c>
      <c r="D15" t="s">
        <v>17</v>
      </c>
      <c r="E15" t="s">
        <v>18</v>
      </c>
      <c r="F15" t="s">
        <v>19</v>
      </c>
      <c r="G15" s="3" t="s">
        <v>717</v>
      </c>
      <c r="I15" s="3" t="s">
        <v>720</v>
      </c>
      <c r="J15" t="s">
        <v>721</v>
      </c>
      <c r="K15" s="3" t="s">
        <v>722</v>
      </c>
      <c r="L15" s="3" t="s">
        <v>17</v>
      </c>
      <c r="M15" t="s">
        <v>18</v>
      </c>
      <c r="N15" s="3" t="s">
        <v>329</v>
      </c>
      <c r="O15" s="3" t="s">
        <v>717</v>
      </c>
    </row>
    <row r="16" spans="1:15" x14ac:dyDescent="0.25">
      <c r="A16">
        <v>1</v>
      </c>
      <c r="B16" s="1">
        <v>45018</v>
      </c>
      <c r="C16" t="s">
        <v>20</v>
      </c>
      <c r="D16" s="2">
        <v>3400</v>
      </c>
      <c r="E16" s="2">
        <v>0</v>
      </c>
      <c r="F16" s="2">
        <v>184700.16</v>
      </c>
      <c r="G16" t="s">
        <v>715</v>
      </c>
      <c r="H16" s="7">
        <f>F14-D16+E16-F16</f>
        <v>0</v>
      </c>
      <c r="I16" s="1">
        <f>B16</f>
        <v>45018</v>
      </c>
      <c r="J16" s="7" t="str">
        <f>C16</f>
        <v>UPI/P2A/345797693295/SACHIN BA/Kotak Mah/Diesal</v>
      </c>
      <c r="K16" s="7"/>
      <c r="L16" s="7">
        <f>D16</f>
        <v>3400</v>
      </c>
      <c r="M16" s="7">
        <f>E16</f>
        <v>0</v>
      </c>
      <c r="N16" s="7">
        <f>F16</f>
        <v>184700.16</v>
      </c>
      <c r="O16" s="7" t="str">
        <f>G16</f>
        <v>AXIS 3167</v>
      </c>
    </row>
    <row r="17" spans="1:15" x14ac:dyDescent="0.25">
      <c r="A17">
        <v>2</v>
      </c>
      <c r="B17" s="1">
        <v>45018</v>
      </c>
      <c r="C17" t="s">
        <v>21</v>
      </c>
      <c r="D17" s="2">
        <v>230</v>
      </c>
      <c r="E17" s="2">
        <v>0</v>
      </c>
      <c r="F17" s="2">
        <v>184470.16</v>
      </c>
      <c r="G17" t="s">
        <v>715</v>
      </c>
      <c r="H17" s="7">
        <f>F16-D17+E17-F17</f>
        <v>0</v>
      </c>
      <c r="I17" s="1">
        <f t="shared" ref="I17:I80" si="0">B17</f>
        <v>45018</v>
      </c>
      <c r="J17" s="7" t="str">
        <f t="shared" ref="J17:J80" si="1">C17</f>
        <v>UPI/P2M/345789552921/MANISH HE/Yes Bank /Amle</v>
      </c>
      <c r="K17" s="7"/>
      <c r="L17" s="7">
        <f t="shared" ref="L17:L80" si="2">D17</f>
        <v>230</v>
      </c>
      <c r="M17" s="7">
        <f t="shared" ref="M17:M80" si="3">E17</f>
        <v>0</v>
      </c>
      <c r="N17" s="7">
        <f t="shared" ref="N17:N80" si="4">F17</f>
        <v>184470.16</v>
      </c>
      <c r="O17" s="7" t="str">
        <f t="shared" ref="O17:O80" si="5">G17</f>
        <v>AXIS 3167</v>
      </c>
    </row>
    <row r="18" spans="1:15" x14ac:dyDescent="0.25">
      <c r="A18">
        <v>3</v>
      </c>
      <c r="B18" s="1">
        <v>45018</v>
      </c>
      <c r="C18" t="s">
        <v>22</v>
      </c>
      <c r="D18" s="2">
        <v>416</v>
      </c>
      <c r="E18" s="2">
        <v>0</v>
      </c>
      <c r="F18" s="2">
        <v>184054.16</v>
      </c>
      <c r="G18" t="s">
        <v>715</v>
      </c>
      <c r="H18" s="7">
        <f t="shared" ref="H18:H81" si="6">F17-D18+E18-F18</f>
        <v>0</v>
      </c>
      <c r="I18" s="1">
        <f t="shared" si="0"/>
        <v>45018</v>
      </c>
      <c r="J18" s="7" t="str">
        <f t="shared" si="1"/>
        <v>UPI/P2M/345726651875/SAGAR SWE/Yes Bank /sweets</v>
      </c>
      <c r="K18" s="7"/>
      <c r="L18" s="7">
        <f t="shared" si="2"/>
        <v>416</v>
      </c>
      <c r="M18" s="7">
        <f t="shared" si="3"/>
        <v>0</v>
      </c>
      <c r="N18" s="7">
        <f t="shared" si="4"/>
        <v>184054.16</v>
      </c>
      <c r="O18" s="7" t="str">
        <f t="shared" si="5"/>
        <v>AXIS 3167</v>
      </c>
    </row>
    <row r="19" spans="1:15" x14ac:dyDescent="0.25">
      <c r="A19">
        <v>4</v>
      </c>
      <c r="B19" s="1">
        <v>45018</v>
      </c>
      <c r="C19" t="s">
        <v>23</v>
      </c>
      <c r="D19" s="2">
        <v>100000</v>
      </c>
      <c r="E19" s="2">
        <v>0</v>
      </c>
      <c r="F19" s="2">
        <v>84054.16</v>
      </c>
      <c r="G19" t="s">
        <v>715</v>
      </c>
      <c r="H19" s="7">
        <f t="shared" si="6"/>
        <v>0</v>
      </c>
      <c r="I19" s="1">
        <f t="shared" si="0"/>
        <v>45018</v>
      </c>
      <c r="J19" s="7" t="str">
        <f t="shared" si="1"/>
        <v>INB/NEFT/AXIR230915974036/Ajay Kum/STATE B/Housin</v>
      </c>
      <c r="K19" s="7"/>
      <c r="L19" s="7">
        <f t="shared" si="2"/>
        <v>100000</v>
      </c>
      <c r="M19" s="7">
        <f t="shared" si="3"/>
        <v>0</v>
      </c>
      <c r="N19" s="7">
        <f t="shared" si="4"/>
        <v>84054.16</v>
      </c>
      <c r="O19" s="7" t="str">
        <f t="shared" si="5"/>
        <v>AXIS 3167</v>
      </c>
    </row>
    <row r="20" spans="1:15" x14ac:dyDescent="0.25">
      <c r="A20">
        <v>5</v>
      </c>
      <c r="B20" s="1">
        <v>45020</v>
      </c>
      <c r="C20" t="s">
        <v>24</v>
      </c>
      <c r="D20" s="2">
        <v>115</v>
      </c>
      <c r="E20" s="2">
        <v>0</v>
      </c>
      <c r="F20" s="2">
        <v>83939.16</v>
      </c>
      <c r="G20" t="s">
        <v>715</v>
      </c>
      <c r="H20" s="7">
        <f t="shared" si="6"/>
        <v>0</v>
      </c>
      <c r="I20" s="1">
        <f t="shared" si="0"/>
        <v>45020</v>
      </c>
      <c r="J20" s="7" t="str">
        <f t="shared" si="1"/>
        <v>UPI/P2M/346037289751/SHAGUN TR/Yes Bank /Ice cre</v>
      </c>
      <c r="K20" s="7"/>
      <c r="L20" s="7">
        <f t="shared" si="2"/>
        <v>115</v>
      </c>
      <c r="M20" s="7">
        <f t="shared" si="3"/>
        <v>0</v>
      </c>
      <c r="N20" s="7">
        <f t="shared" si="4"/>
        <v>83939.16</v>
      </c>
      <c r="O20" s="7" t="str">
        <f t="shared" si="5"/>
        <v>AXIS 3167</v>
      </c>
    </row>
    <row r="21" spans="1:15" x14ac:dyDescent="0.25">
      <c r="A21">
        <v>6</v>
      </c>
      <c r="B21" s="1">
        <v>45023</v>
      </c>
      <c r="C21" t="s">
        <v>25</v>
      </c>
      <c r="D21" s="2">
        <v>10917.37</v>
      </c>
      <c r="E21" s="2">
        <v>0</v>
      </c>
      <c r="F21" s="2">
        <v>73021.789999999994</v>
      </c>
      <c r="G21" t="s">
        <v>715</v>
      </c>
      <c r="H21" s="7">
        <f t="shared" si="6"/>
        <v>0</v>
      </c>
      <c r="I21" s="1">
        <f t="shared" si="0"/>
        <v>45023</v>
      </c>
      <c r="J21" s="7" t="str">
        <f t="shared" si="1"/>
        <v>BRN-PYMT-CARD-4111460000883615</v>
      </c>
      <c r="K21" s="7"/>
      <c r="L21" s="7">
        <f t="shared" si="2"/>
        <v>10917.37</v>
      </c>
      <c r="M21" s="7">
        <f t="shared" si="3"/>
        <v>0</v>
      </c>
      <c r="N21" s="7">
        <f t="shared" si="4"/>
        <v>73021.789999999994</v>
      </c>
      <c r="O21" s="7" t="str">
        <f t="shared" si="5"/>
        <v>AXIS 3167</v>
      </c>
    </row>
    <row r="22" spans="1:15" x14ac:dyDescent="0.25">
      <c r="A22">
        <v>7</v>
      </c>
      <c r="B22" s="1">
        <v>45034</v>
      </c>
      <c r="C22" t="s">
        <v>26</v>
      </c>
      <c r="D22" s="2">
        <v>15000</v>
      </c>
      <c r="E22" s="2">
        <v>0</v>
      </c>
      <c r="F22" s="2">
        <v>58021.79</v>
      </c>
      <c r="G22" t="s">
        <v>715</v>
      </c>
      <c r="H22" s="7">
        <f t="shared" si="6"/>
        <v>0</v>
      </c>
      <c r="I22" s="1">
        <f t="shared" si="0"/>
        <v>45034</v>
      </c>
      <c r="J22" s="7" t="str">
        <f t="shared" si="1"/>
        <v>UPI/P2A/347498540738/SANGITA R/State Ban/Teeth i</v>
      </c>
      <c r="K22" s="7"/>
      <c r="L22" s="7">
        <f t="shared" si="2"/>
        <v>15000</v>
      </c>
      <c r="M22" s="7">
        <f t="shared" si="3"/>
        <v>0</v>
      </c>
      <c r="N22" s="7">
        <f t="shared" si="4"/>
        <v>58021.79</v>
      </c>
      <c r="O22" s="7" t="str">
        <f t="shared" si="5"/>
        <v>AXIS 3167</v>
      </c>
    </row>
    <row r="23" spans="1:15" x14ac:dyDescent="0.25">
      <c r="A23">
        <v>8</v>
      </c>
      <c r="B23" s="1">
        <v>45034</v>
      </c>
      <c r="C23" t="s">
        <v>27</v>
      </c>
      <c r="D23" s="2">
        <v>20000</v>
      </c>
      <c r="E23" s="2">
        <v>0</v>
      </c>
      <c r="F23" s="2">
        <v>38021.79</v>
      </c>
      <c r="G23" t="s">
        <v>715</v>
      </c>
      <c r="H23" s="7">
        <f t="shared" si="6"/>
        <v>0</v>
      </c>
      <c r="I23" s="1">
        <f t="shared" si="0"/>
        <v>45034</v>
      </c>
      <c r="J23" s="7" t="str">
        <f t="shared" si="1"/>
        <v>ATM-CASH-AXIS/BPRH265601/7630/180423/NASHIK</v>
      </c>
      <c r="K23" s="7"/>
      <c r="L23" s="7">
        <f t="shared" si="2"/>
        <v>20000</v>
      </c>
      <c r="M23" s="7">
        <f t="shared" si="3"/>
        <v>0</v>
      </c>
      <c r="N23" s="7">
        <f t="shared" si="4"/>
        <v>38021.79</v>
      </c>
      <c r="O23" s="7" t="str">
        <f t="shared" si="5"/>
        <v>AXIS 3167</v>
      </c>
    </row>
    <row r="24" spans="1:15" x14ac:dyDescent="0.25">
      <c r="A24">
        <v>9</v>
      </c>
      <c r="B24" s="1">
        <v>45034</v>
      </c>
      <c r="C24" t="s">
        <v>28</v>
      </c>
      <c r="D24" s="2">
        <v>0</v>
      </c>
      <c r="E24" s="2">
        <v>20000</v>
      </c>
      <c r="F24" s="2">
        <v>58021.79</v>
      </c>
      <c r="G24" t="s">
        <v>715</v>
      </c>
      <c r="H24" s="7">
        <f t="shared" si="6"/>
        <v>0</v>
      </c>
      <c r="I24" s="1">
        <f t="shared" si="0"/>
        <v>45034</v>
      </c>
      <c r="J24" s="7" t="str">
        <f t="shared" si="1"/>
        <v>CASH-AXIS-RVSL/180423/21:04</v>
      </c>
      <c r="K24" s="7"/>
      <c r="L24" s="7">
        <f t="shared" si="2"/>
        <v>0</v>
      </c>
      <c r="M24" s="7">
        <f t="shared" si="3"/>
        <v>20000</v>
      </c>
      <c r="N24" s="7">
        <f t="shared" si="4"/>
        <v>58021.79</v>
      </c>
      <c r="O24" s="7" t="str">
        <f t="shared" si="5"/>
        <v>AXIS 3167</v>
      </c>
    </row>
    <row r="25" spans="1:15" x14ac:dyDescent="0.25">
      <c r="A25">
        <v>10</v>
      </c>
      <c r="B25" s="1">
        <v>45034</v>
      </c>
      <c r="C25" t="s">
        <v>29</v>
      </c>
      <c r="D25" s="2">
        <v>10000</v>
      </c>
      <c r="E25" s="2">
        <v>0</v>
      </c>
      <c r="F25" s="2">
        <v>48021.79</v>
      </c>
      <c r="G25" t="s">
        <v>715</v>
      </c>
      <c r="H25" s="7">
        <f t="shared" si="6"/>
        <v>0</v>
      </c>
      <c r="I25" s="1">
        <f t="shared" si="0"/>
        <v>45034</v>
      </c>
      <c r="J25" s="7" t="str">
        <f t="shared" si="1"/>
        <v>ATM-CASH-AXIS/BPRH265601/7631/180423/NASHIK</v>
      </c>
      <c r="K25" s="7"/>
      <c r="L25" s="7">
        <f t="shared" si="2"/>
        <v>10000</v>
      </c>
      <c r="M25" s="7">
        <f t="shared" si="3"/>
        <v>0</v>
      </c>
      <c r="N25" s="7">
        <f t="shared" si="4"/>
        <v>48021.79</v>
      </c>
      <c r="O25" s="7" t="str">
        <f t="shared" si="5"/>
        <v>AXIS 3167</v>
      </c>
    </row>
    <row r="26" spans="1:15" x14ac:dyDescent="0.25">
      <c r="A26">
        <v>11</v>
      </c>
      <c r="B26" s="1">
        <v>45034</v>
      </c>
      <c r="C26" t="s">
        <v>30</v>
      </c>
      <c r="D26" s="2">
        <v>0</v>
      </c>
      <c r="E26" s="2">
        <v>10000</v>
      </c>
      <c r="F26" s="2">
        <v>58021.79</v>
      </c>
      <c r="G26" t="s">
        <v>715</v>
      </c>
      <c r="H26" s="7">
        <f t="shared" si="6"/>
        <v>0</v>
      </c>
      <c r="I26" s="1">
        <f t="shared" si="0"/>
        <v>45034</v>
      </c>
      <c r="J26" s="7" t="str">
        <f t="shared" si="1"/>
        <v>CASH-AXIS-RVSL/180423/21:06</v>
      </c>
      <c r="K26" s="7"/>
      <c r="L26" s="7">
        <f t="shared" si="2"/>
        <v>0</v>
      </c>
      <c r="M26" s="7">
        <f t="shared" si="3"/>
        <v>10000</v>
      </c>
      <c r="N26" s="7">
        <f t="shared" si="4"/>
        <v>58021.79</v>
      </c>
      <c r="O26" s="7" t="str">
        <f t="shared" si="5"/>
        <v>AXIS 3167</v>
      </c>
    </row>
    <row r="27" spans="1:15" x14ac:dyDescent="0.25">
      <c r="A27">
        <v>12</v>
      </c>
      <c r="B27" s="1">
        <v>45036</v>
      </c>
      <c r="C27" t="s">
        <v>31</v>
      </c>
      <c r="D27" s="2">
        <v>3450</v>
      </c>
      <c r="E27" s="2">
        <v>0</v>
      </c>
      <c r="F27" s="2">
        <v>54571.79</v>
      </c>
      <c r="G27" t="s">
        <v>715</v>
      </c>
      <c r="H27" s="7">
        <f t="shared" si="6"/>
        <v>0</v>
      </c>
      <c r="I27" s="1">
        <f t="shared" si="0"/>
        <v>45036</v>
      </c>
      <c r="J27" s="7" t="str">
        <f t="shared" si="1"/>
        <v>UPI/P2A/311016102687/AMOL DHON/Kotak Mah/Diesal</v>
      </c>
      <c r="K27" s="7"/>
      <c r="L27" s="7">
        <f t="shared" si="2"/>
        <v>3450</v>
      </c>
      <c r="M27" s="7">
        <f t="shared" si="3"/>
        <v>0</v>
      </c>
      <c r="N27" s="7">
        <f t="shared" si="4"/>
        <v>54571.79</v>
      </c>
      <c r="O27" s="7" t="str">
        <f t="shared" si="5"/>
        <v>AXIS 3167</v>
      </c>
    </row>
    <row r="28" spans="1:15" x14ac:dyDescent="0.25">
      <c r="A28">
        <v>13</v>
      </c>
      <c r="B28" s="1">
        <v>45038</v>
      </c>
      <c r="C28" t="s">
        <v>32</v>
      </c>
      <c r="D28" s="2">
        <v>20000</v>
      </c>
      <c r="E28" s="2">
        <v>0</v>
      </c>
      <c r="F28" s="2">
        <v>34571.79</v>
      </c>
      <c r="G28" t="s">
        <v>715</v>
      </c>
      <c r="H28" s="7">
        <f t="shared" si="6"/>
        <v>0</v>
      </c>
      <c r="I28" s="1">
        <f t="shared" si="0"/>
        <v>45038</v>
      </c>
      <c r="J28" s="7" t="str">
        <f t="shared" si="1"/>
        <v>ATM-CASH-AXIS/SPCN11530/8513/220423/SINNAR</v>
      </c>
      <c r="K28" s="7"/>
      <c r="L28" s="7">
        <f t="shared" si="2"/>
        <v>20000</v>
      </c>
      <c r="M28" s="7">
        <f t="shared" si="3"/>
        <v>0</v>
      </c>
      <c r="N28" s="7">
        <f t="shared" si="4"/>
        <v>34571.79</v>
      </c>
      <c r="O28" s="7" t="str">
        <f t="shared" si="5"/>
        <v>AXIS 3167</v>
      </c>
    </row>
    <row r="29" spans="1:15" x14ac:dyDescent="0.25">
      <c r="A29">
        <v>14</v>
      </c>
      <c r="B29" s="1">
        <v>45038</v>
      </c>
      <c r="C29" t="s">
        <v>33</v>
      </c>
      <c r="D29" s="2">
        <v>104.5</v>
      </c>
      <c r="E29" s="2">
        <v>0</v>
      </c>
      <c r="F29" s="2">
        <v>34467.29</v>
      </c>
      <c r="G29" t="s">
        <v>715</v>
      </c>
      <c r="H29" s="7">
        <f t="shared" si="6"/>
        <v>0</v>
      </c>
      <c r="I29" s="1">
        <f t="shared" si="0"/>
        <v>45038</v>
      </c>
      <c r="J29" s="7" t="str">
        <f t="shared" si="1"/>
        <v>UPI/P2M/347819751793/MedPlus/Yes Bank /Payment</v>
      </c>
      <c r="K29" s="7"/>
      <c r="L29" s="7">
        <f t="shared" si="2"/>
        <v>104.5</v>
      </c>
      <c r="M29" s="7">
        <f t="shared" si="3"/>
        <v>0</v>
      </c>
      <c r="N29" s="7">
        <f t="shared" si="4"/>
        <v>34467.29</v>
      </c>
      <c r="O29" s="7" t="str">
        <f t="shared" si="5"/>
        <v>AXIS 3167</v>
      </c>
    </row>
    <row r="30" spans="1:15" x14ac:dyDescent="0.25">
      <c r="A30">
        <v>15</v>
      </c>
      <c r="B30" s="1">
        <v>45040</v>
      </c>
      <c r="C30" t="s">
        <v>34</v>
      </c>
      <c r="D30" s="2">
        <v>1670</v>
      </c>
      <c r="E30" s="2">
        <v>0</v>
      </c>
      <c r="F30" s="2">
        <v>32797.29</v>
      </c>
      <c r="G30" t="s">
        <v>715</v>
      </c>
      <c r="H30" s="7">
        <f t="shared" si="6"/>
        <v>0</v>
      </c>
      <c r="I30" s="1">
        <f t="shared" si="0"/>
        <v>45040</v>
      </c>
      <c r="J30" s="7" t="str">
        <f t="shared" si="1"/>
        <v>NBSM/9904449/Maha Electricity(BILLDESK)/</v>
      </c>
      <c r="K30" s="7"/>
      <c r="L30" s="7">
        <f t="shared" si="2"/>
        <v>1670</v>
      </c>
      <c r="M30" s="7">
        <f t="shared" si="3"/>
        <v>0</v>
      </c>
      <c r="N30" s="7">
        <f t="shared" si="4"/>
        <v>32797.29</v>
      </c>
      <c r="O30" s="7" t="str">
        <f t="shared" si="5"/>
        <v>AXIS 3167</v>
      </c>
    </row>
    <row r="31" spans="1:15" x14ac:dyDescent="0.25">
      <c r="A31">
        <v>16</v>
      </c>
      <c r="B31" s="1">
        <v>45041</v>
      </c>
      <c r="C31" t="s">
        <v>35</v>
      </c>
      <c r="D31" s="2">
        <v>0</v>
      </c>
      <c r="E31" s="2">
        <v>5000</v>
      </c>
      <c r="F31" s="2">
        <v>37797.29</v>
      </c>
      <c r="G31" t="s">
        <v>715</v>
      </c>
      <c r="H31" s="7">
        <f t="shared" si="6"/>
        <v>0</v>
      </c>
      <c r="I31" s="1">
        <f t="shared" si="0"/>
        <v>45041</v>
      </c>
      <c r="J31" s="7" t="str">
        <f t="shared" si="1"/>
        <v>BRN-SALARY PAYMENT-BY SALARY</v>
      </c>
      <c r="K31" s="7"/>
      <c r="L31" s="7">
        <f t="shared" si="2"/>
        <v>0</v>
      </c>
      <c r="M31" s="7">
        <f t="shared" si="3"/>
        <v>5000</v>
      </c>
      <c r="N31" s="7">
        <f t="shared" si="4"/>
        <v>37797.29</v>
      </c>
      <c r="O31" s="7" t="str">
        <f t="shared" si="5"/>
        <v>AXIS 3167</v>
      </c>
    </row>
    <row r="32" spans="1:15" x14ac:dyDescent="0.25">
      <c r="A32">
        <v>17</v>
      </c>
      <c r="B32" s="1">
        <v>45041</v>
      </c>
      <c r="C32" t="s">
        <v>36</v>
      </c>
      <c r="D32" s="2">
        <v>6000</v>
      </c>
      <c r="E32" s="2">
        <v>0</v>
      </c>
      <c r="F32" s="2">
        <v>31797.29</v>
      </c>
      <c r="G32" t="s">
        <v>715</v>
      </c>
      <c r="H32" s="7">
        <f t="shared" si="6"/>
        <v>0</v>
      </c>
      <c r="I32" s="1">
        <f t="shared" si="0"/>
        <v>45041</v>
      </c>
      <c r="J32" s="7" t="str">
        <f t="shared" si="1"/>
        <v>UPI/P2A/348115026783/RAVINDRA /Bank of B/Chairs</v>
      </c>
      <c r="K32" s="7"/>
      <c r="L32" s="7">
        <f t="shared" si="2"/>
        <v>6000</v>
      </c>
      <c r="M32" s="7">
        <f t="shared" si="3"/>
        <v>0</v>
      </c>
      <c r="N32" s="7">
        <f t="shared" si="4"/>
        <v>31797.29</v>
      </c>
      <c r="O32" s="7" t="str">
        <f t="shared" si="5"/>
        <v>AXIS 3167</v>
      </c>
    </row>
    <row r="33" spans="1:15" x14ac:dyDescent="0.25">
      <c r="A33">
        <v>18</v>
      </c>
      <c r="B33" s="1">
        <v>45043</v>
      </c>
      <c r="C33" t="s">
        <v>37</v>
      </c>
      <c r="D33" s="2">
        <v>2500</v>
      </c>
      <c r="E33" s="2">
        <v>0</v>
      </c>
      <c r="F33" s="2">
        <v>29297.29</v>
      </c>
      <c r="G33" t="s">
        <v>715</v>
      </c>
      <c r="H33" s="7">
        <f t="shared" si="6"/>
        <v>0</v>
      </c>
      <c r="I33" s="1">
        <f t="shared" si="0"/>
        <v>45043</v>
      </c>
      <c r="J33" s="7" t="str">
        <f t="shared" si="1"/>
        <v>UPI/P2M/311752138542/NICE MENS/Federal B/Verifie</v>
      </c>
      <c r="K33" s="7"/>
      <c r="L33" s="7">
        <f t="shared" si="2"/>
        <v>2500</v>
      </c>
      <c r="M33" s="7">
        <f t="shared" si="3"/>
        <v>0</v>
      </c>
      <c r="N33" s="7">
        <f t="shared" si="4"/>
        <v>29297.29</v>
      </c>
      <c r="O33" s="7" t="str">
        <f t="shared" si="5"/>
        <v>AXIS 3167</v>
      </c>
    </row>
    <row r="34" spans="1:15" x14ac:dyDescent="0.25">
      <c r="A34">
        <v>19</v>
      </c>
      <c r="B34" s="1">
        <v>45048</v>
      </c>
      <c r="C34" t="s">
        <v>38</v>
      </c>
      <c r="D34" s="2">
        <v>126</v>
      </c>
      <c r="E34" s="2">
        <v>0</v>
      </c>
      <c r="F34" s="2">
        <v>29171.29</v>
      </c>
      <c r="G34" t="s">
        <v>715</v>
      </c>
      <c r="H34" s="7">
        <f t="shared" si="6"/>
        <v>0</v>
      </c>
      <c r="I34" s="1">
        <f t="shared" si="0"/>
        <v>45048</v>
      </c>
      <c r="J34" s="7" t="str">
        <f t="shared" si="1"/>
        <v>UPI/P2M/348842268290/VIDYA ASH/Yes Bank /Food</v>
      </c>
      <c r="K34" s="7"/>
      <c r="L34" s="7">
        <f t="shared" si="2"/>
        <v>126</v>
      </c>
      <c r="M34" s="7">
        <f t="shared" si="3"/>
        <v>0</v>
      </c>
      <c r="N34" s="7">
        <f t="shared" si="4"/>
        <v>29171.29</v>
      </c>
      <c r="O34" s="7" t="str">
        <f t="shared" si="5"/>
        <v>AXIS 3167</v>
      </c>
    </row>
    <row r="35" spans="1:15" x14ac:dyDescent="0.25">
      <c r="A35">
        <v>20</v>
      </c>
      <c r="B35" s="1">
        <v>45048</v>
      </c>
      <c r="C35" t="s">
        <v>39</v>
      </c>
      <c r="D35" s="2">
        <v>2880</v>
      </c>
      <c r="E35" s="2">
        <v>0</v>
      </c>
      <c r="F35" s="2">
        <v>26291.29</v>
      </c>
      <c r="G35" t="s">
        <v>715</v>
      </c>
      <c r="H35" s="7">
        <f t="shared" si="6"/>
        <v>0</v>
      </c>
      <c r="I35" s="1">
        <f t="shared" si="0"/>
        <v>45048</v>
      </c>
      <c r="J35" s="7" t="str">
        <f t="shared" si="1"/>
        <v>NBSM/11040337/PAYU.IN/</v>
      </c>
      <c r="K35" s="7"/>
      <c r="L35" s="7">
        <f t="shared" si="2"/>
        <v>2880</v>
      </c>
      <c r="M35" s="7">
        <f t="shared" si="3"/>
        <v>0</v>
      </c>
      <c r="N35" s="7">
        <f t="shared" si="4"/>
        <v>26291.29</v>
      </c>
      <c r="O35" s="7" t="str">
        <f t="shared" si="5"/>
        <v>AXIS 3167</v>
      </c>
    </row>
    <row r="36" spans="1:15" x14ac:dyDescent="0.25">
      <c r="A36">
        <v>21</v>
      </c>
      <c r="B36" s="1">
        <v>45049</v>
      </c>
      <c r="C36" t="s">
        <v>40</v>
      </c>
      <c r="D36" s="2">
        <v>25</v>
      </c>
      <c r="E36" s="2">
        <v>0</v>
      </c>
      <c r="F36" s="2">
        <v>26266.29</v>
      </c>
      <c r="G36" t="s">
        <v>715</v>
      </c>
      <c r="H36" s="7">
        <f t="shared" si="6"/>
        <v>0</v>
      </c>
      <c r="I36" s="1">
        <f t="shared" si="0"/>
        <v>45049</v>
      </c>
      <c r="J36" s="7" t="str">
        <f t="shared" si="1"/>
        <v>UPI/P2M/348925721765/KUNAL EAK/Yes Bank /Mill</v>
      </c>
      <c r="K36" s="7"/>
      <c r="L36" s="7">
        <f t="shared" si="2"/>
        <v>25</v>
      </c>
      <c r="M36" s="7">
        <f t="shared" si="3"/>
        <v>0</v>
      </c>
      <c r="N36" s="7">
        <f t="shared" si="4"/>
        <v>26266.29</v>
      </c>
      <c r="O36" s="7" t="str">
        <f t="shared" si="5"/>
        <v>AXIS 3167</v>
      </c>
    </row>
    <row r="37" spans="1:15" x14ac:dyDescent="0.25">
      <c r="A37">
        <v>22</v>
      </c>
      <c r="B37" s="1">
        <v>45049</v>
      </c>
      <c r="C37" t="s">
        <v>41</v>
      </c>
      <c r="D37" s="2">
        <v>3200</v>
      </c>
      <c r="E37" s="2">
        <v>0</v>
      </c>
      <c r="F37" s="2">
        <v>23066.29</v>
      </c>
      <c r="G37" t="s">
        <v>715</v>
      </c>
      <c r="H37" s="7">
        <f t="shared" si="6"/>
        <v>0</v>
      </c>
      <c r="I37" s="1">
        <f t="shared" si="0"/>
        <v>45049</v>
      </c>
      <c r="J37" s="7" t="str">
        <f t="shared" si="1"/>
        <v>UPI/P2A/348994803589/Mr. Santo/Bank of M/Diesal</v>
      </c>
      <c r="K37" s="7"/>
      <c r="L37" s="7">
        <f t="shared" si="2"/>
        <v>3200</v>
      </c>
      <c r="M37" s="7">
        <f t="shared" si="3"/>
        <v>0</v>
      </c>
      <c r="N37" s="7">
        <f t="shared" si="4"/>
        <v>23066.29</v>
      </c>
      <c r="O37" s="7" t="str">
        <f t="shared" si="5"/>
        <v>AXIS 3167</v>
      </c>
    </row>
    <row r="38" spans="1:15" x14ac:dyDescent="0.25">
      <c r="A38">
        <v>23</v>
      </c>
      <c r="B38" s="1">
        <v>45049</v>
      </c>
      <c r="C38" t="s">
        <v>42</v>
      </c>
      <c r="D38" s="2">
        <v>120</v>
      </c>
      <c r="E38" s="2">
        <v>0</v>
      </c>
      <c r="F38" s="2">
        <v>22946.29</v>
      </c>
      <c r="G38" t="s">
        <v>715</v>
      </c>
      <c r="H38" s="7">
        <f t="shared" si="6"/>
        <v>0</v>
      </c>
      <c r="I38" s="1">
        <f t="shared" si="0"/>
        <v>45049</v>
      </c>
      <c r="J38" s="7" t="str">
        <f t="shared" si="1"/>
        <v>UPI/P2M/348994029424/VIDYA ASH/Yes Bank /Food</v>
      </c>
      <c r="K38" s="7"/>
      <c r="L38" s="7">
        <f t="shared" si="2"/>
        <v>120</v>
      </c>
      <c r="M38" s="7">
        <f t="shared" si="3"/>
        <v>0</v>
      </c>
      <c r="N38" s="7">
        <f t="shared" si="4"/>
        <v>22946.29</v>
      </c>
      <c r="O38" s="7" t="str">
        <f t="shared" si="5"/>
        <v>AXIS 3167</v>
      </c>
    </row>
    <row r="39" spans="1:15" x14ac:dyDescent="0.25">
      <c r="A39">
        <v>24</v>
      </c>
      <c r="B39" s="1">
        <v>45050</v>
      </c>
      <c r="C39" t="s">
        <v>43</v>
      </c>
      <c r="D39" s="2">
        <v>25</v>
      </c>
      <c r="E39" s="2">
        <v>0</v>
      </c>
      <c r="F39" s="2">
        <v>22921.29</v>
      </c>
      <c r="G39" t="s">
        <v>715</v>
      </c>
      <c r="H39" s="7">
        <f t="shared" si="6"/>
        <v>0</v>
      </c>
      <c r="I39" s="1">
        <f t="shared" si="0"/>
        <v>45050</v>
      </c>
      <c r="J39" s="7" t="str">
        <f t="shared" si="1"/>
        <v>UPI/P2M/349058129718/KUNAL EAK/Yes Bank /Milk</v>
      </c>
      <c r="K39" s="7"/>
      <c r="L39" s="7">
        <f t="shared" si="2"/>
        <v>25</v>
      </c>
      <c r="M39" s="7">
        <f t="shared" si="3"/>
        <v>0</v>
      </c>
      <c r="N39" s="7">
        <f t="shared" si="4"/>
        <v>22921.29</v>
      </c>
      <c r="O39" s="7" t="str">
        <f t="shared" si="5"/>
        <v>AXIS 3167</v>
      </c>
    </row>
    <row r="40" spans="1:15" x14ac:dyDescent="0.25">
      <c r="A40">
        <v>25</v>
      </c>
      <c r="B40" s="1">
        <v>45050</v>
      </c>
      <c r="C40" t="s">
        <v>44</v>
      </c>
      <c r="D40" s="2">
        <v>126</v>
      </c>
      <c r="E40" s="2">
        <v>0</v>
      </c>
      <c r="F40" s="2">
        <v>22795.29</v>
      </c>
      <c r="G40" t="s">
        <v>715</v>
      </c>
      <c r="H40" s="7">
        <f t="shared" si="6"/>
        <v>0</v>
      </c>
      <c r="I40" s="1">
        <f t="shared" si="0"/>
        <v>45050</v>
      </c>
      <c r="J40" s="7" t="str">
        <f t="shared" si="1"/>
        <v>UPI/P2M/349001553223/VIDYA ASH/Yes Bank /Foid</v>
      </c>
      <c r="K40" s="7"/>
      <c r="L40" s="7">
        <f t="shared" si="2"/>
        <v>126</v>
      </c>
      <c r="M40" s="7">
        <f t="shared" si="3"/>
        <v>0</v>
      </c>
      <c r="N40" s="7">
        <f t="shared" si="4"/>
        <v>22795.29</v>
      </c>
      <c r="O40" s="7" t="str">
        <f t="shared" si="5"/>
        <v>AXIS 3167</v>
      </c>
    </row>
    <row r="41" spans="1:15" x14ac:dyDescent="0.25">
      <c r="A41">
        <v>26</v>
      </c>
      <c r="B41" s="1">
        <v>45050</v>
      </c>
      <c r="C41" t="s">
        <v>35</v>
      </c>
      <c r="D41" s="2">
        <v>0</v>
      </c>
      <c r="E41" s="2">
        <v>162890</v>
      </c>
      <c r="F41" s="2">
        <v>185685.29</v>
      </c>
      <c r="G41" t="s">
        <v>715</v>
      </c>
      <c r="H41" s="7">
        <f t="shared" si="6"/>
        <v>0</v>
      </c>
      <c r="I41" s="1">
        <f t="shared" si="0"/>
        <v>45050</v>
      </c>
      <c r="J41" s="7" t="str">
        <f t="shared" si="1"/>
        <v>BRN-SALARY PAYMENT-BY SALARY</v>
      </c>
      <c r="K41" s="7"/>
      <c r="L41" s="7">
        <f t="shared" si="2"/>
        <v>0</v>
      </c>
      <c r="M41" s="7">
        <f t="shared" si="3"/>
        <v>162890</v>
      </c>
      <c r="N41" s="7">
        <f t="shared" si="4"/>
        <v>185685.29</v>
      </c>
      <c r="O41" s="7" t="str">
        <f t="shared" si="5"/>
        <v>AXIS 3167</v>
      </c>
    </row>
    <row r="42" spans="1:15" x14ac:dyDescent="0.25">
      <c r="A42">
        <v>27</v>
      </c>
      <c r="B42" s="1">
        <v>45050</v>
      </c>
      <c r="C42" t="s">
        <v>45</v>
      </c>
      <c r="D42" s="2">
        <v>75000</v>
      </c>
      <c r="E42" s="2">
        <v>0</v>
      </c>
      <c r="F42" s="2">
        <v>110685.29</v>
      </c>
      <c r="G42" t="s">
        <v>715</v>
      </c>
      <c r="H42" s="7">
        <f t="shared" si="6"/>
        <v>0</v>
      </c>
      <c r="I42" s="1">
        <f t="shared" si="0"/>
        <v>45050</v>
      </c>
      <c r="J42" s="7" t="str">
        <f t="shared" si="1"/>
        <v>INB/NEFT/AXIR231240101528/Ajay Gup/HDFC BA/Transf</v>
      </c>
      <c r="K42" s="7"/>
      <c r="L42" s="7">
        <f t="shared" si="2"/>
        <v>75000</v>
      </c>
      <c r="M42" s="7">
        <f t="shared" si="3"/>
        <v>0</v>
      </c>
      <c r="N42" s="7">
        <f t="shared" si="4"/>
        <v>110685.29</v>
      </c>
      <c r="O42" s="7" t="str">
        <f t="shared" si="5"/>
        <v>AXIS 3167</v>
      </c>
    </row>
    <row r="43" spans="1:15" x14ac:dyDescent="0.25">
      <c r="A43">
        <v>28</v>
      </c>
      <c r="B43" s="1">
        <v>45051</v>
      </c>
      <c r="C43" t="s">
        <v>46</v>
      </c>
      <c r="D43" s="2">
        <v>126</v>
      </c>
      <c r="E43" s="2">
        <v>0</v>
      </c>
      <c r="F43" s="2">
        <v>110559.29</v>
      </c>
      <c r="G43" t="s">
        <v>715</v>
      </c>
      <c r="H43" s="7">
        <f t="shared" si="6"/>
        <v>0</v>
      </c>
      <c r="I43" s="1">
        <f t="shared" si="0"/>
        <v>45051</v>
      </c>
      <c r="J43" s="7" t="str">
        <f t="shared" si="1"/>
        <v>UPI/P2M/349111963867/VIDYA ASH/Yes Bank /Food</v>
      </c>
      <c r="K43" s="7"/>
      <c r="L43" s="7">
        <f t="shared" si="2"/>
        <v>126</v>
      </c>
      <c r="M43" s="7">
        <f t="shared" si="3"/>
        <v>0</v>
      </c>
      <c r="N43" s="7">
        <f t="shared" si="4"/>
        <v>110559.29</v>
      </c>
      <c r="O43" s="7" t="str">
        <f t="shared" si="5"/>
        <v>AXIS 3167</v>
      </c>
    </row>
    <row r="44" spans="1:15" x14ac:dyDescent="0.25">
      <c r="A44">
        <v>29</v>
      </c>
      <c r="B44" s="1">
        <v>45051</v>
      </c>
      <c r="C44" t="s">
        <v>47</v>
      </c>
      <c r="D44" s="2">
        <v>60</v>
      </c>
      <c r="E44" s="2">
        <v>0</v>
      </c>
      <c r="F44" s="2">
        <v>110499.29</v>
      </c>
      <c r="G44" t="s">
        <v>715</v>
      </c>
      <c r="H44" s="7">
        <f t="shared" si="6"/>
        <v>0</v>
      </c>
      <c r="I44" s="1">
        <f t="shared" si="0"/>
        <v>45051</v>
      </c>
      <c r="J44" s="7" t="str">
        <f t="shared" si="1"/>
        <v>UPI/P2M/349131509053/SAGAR SWE/Yes Bank /Sweet</v>
      </c>
      <c r="K44" s="7"/>
      <c r="L44" s="7">
        <f t="shared" si="2"/>
        <v>60</v>
      </c>
      <c r="M44" s="7">
        <f t="shared" si="3"/>
        <v>0</v>
      </c>
      <c r="N44" s="7">
        <f t="shared" si="4"/>
        <v>110499.29</v>
      </c>
      <c r="O44" s="7" t="str">
        <f t="shared" si="5"/>
        <v>AXIS 3167</v>
      </c>
    </row>
    <row r="45" spans="1:15" x14ac:dyDescent="0.25">
      <c r="A45">
        <v>30</v>
      </c>
      <c r="B45" s="1">
        <v>45052</v>
      </c>
      <c r="C45" t="s">
        <v>48</v>
      </c>
      <c r="D45" s="2">
        <v>50</v>
      </c>
      <c r="E45" s="2">
        <v>0</v>
      </c>
      <c r="F45" s="2">
        <v>110449.29</v>
      </c>
      <c r="G45" t="s">
        <v>715</v>
      </c>
      <c r="H45" s="7">
        <f t="shared" si="6"/>
        <v>0</v>
      </c>
      <c r="I45" s="1">
        <f t="shared" si="0"/>
        <v>45052</v>
      </c>
      <c r="J45" s="7" t="str">
        <f t="shared" si="1"/>
        <v>UPI/P2M/349294394043/KUNAL EAK/Yes Bank /Milk</v>
      </c>
      <c r="K45" s="7"/>
      <c r="L45" s="7">
        <f t="shared" si="2"/>
        <v>50</v>
      </c>
      <c r="M45" s="7">
        <f t="shared" si="3"/>
        <v>0</v>
      </c>
      <c r="N45" s="7">
        <f t="shared" si="4"/>
        <v>110449.29</v>
      </c>
      <c r="O45" s="7" t="str">
        <f t="shared" si="5"/>
        <v>AXIS 3167</v>
      </c>
    </row>
    <row r="46" spans="1:15" x14ac:dyDescent="0.25">
      <c r="A46">
        <v>31</v>
      </c>
      <c r="B46" s="1">
        <v>45054</v>
      </c>
      <c r="C46" t="s">
        <v>25</v>
      </c>
      <c r="D46" s="2">
        <v>28611.119999999999</v>
      </c>
      <c r="E46" s="2">
        <v>0</v>
      </c>
      <c r="F46" s="2">
        <v>81838.17</v>
      </c>
      <c r="G46" t="s">
        <v>715</v>
      </c>
      <c r="H46" s="7">
        <f t="shared" si="6"/>
        <v>0</v>
      </c>
      <c r="I46" s="1">
        <f t="shared" si="0"/>
        <v>45054</v>
      </c>
      <c r="J46" s="7" t="str">
        <f t="shared" si="1"/>
        <v>BRN-PYMT-CARD-4111460000883615</v>
      </c>
      <c r="K46" s="7"/>
      <c r="L46" s="7">
        <f t="shared" si="2"/>
        <v>28611.119999999999</v>
      </c>
      <c r="M46" s="7">
        <f t="shared" si="3"/>
        <v>0</v>
      </c>
      <c r="N46" s="7">
        <f t="shared" si="4"/>
        <v>81838.17</v>
      </c>
      <c r="O46" s="7" t="str">
        <f t="shared" si="5"/>
        <v>AXIS 3167</v>
      </c>
    </row>
    <row r="47" spans="1:15" x14ac:dyDescent="0.25">
      <c r="A47">
        <v>32</v>
      </c>
      <c r="B47" s="1">
        <v>45055</v>
      </c>
      <c r="C47" t="s">
        <v>49</v>
      </c>
      <c r="D47" s="2">
        <v>70</v>
      </c>
      <c r="E47" s="2">
        <v>0</v>
      </c>
      <c r="F47" s="2">
        <v>81768.17</v>
      </c>
      <c r="G47" t="s">
        <v>715</v>
      </c>
      <c r="H47" s="7">
        <f t="shared" si="6"/>
        <v>0</v>
      </c>
      <c r="I47" s="1">
        <f t="shared" si="0"/>
        <v>45055</v>
      </c>
      <c r="J47" s="7" t="str">
        <f t="shared" si="1"/>
        <v>UPI/P2M/349593909332/PROP KALP/Yes Bank /Pen</v>
      </c>
      <c r="K47" s="7"/>
      <c r="L47" s="7">
        <f t="shared" si="2"/>
        <v>70</v>
      </c>
      <c r="M47" s="7">
        <f t="shared" si="3"/>
        <v>0</v>
      </c>
      <c r="N47" s="7">
        <f t="shared" si="4"/>
        <v>81768.17</v>
      </c>
      <c r="O47" s="7" t="str">
        <f t="shared" si="5"/>
        <v>AXIS 3167</v>
      </c>
    </row>
    <row r="48" spans="1:15" x14ac:dyDescent="0.25">
      <c r="A48">
        <v>33</v>
      </c>
      <c r="B48" s="1">
        <v>45055</v>
      </c>
      <c r="C48" t="s">
        <v>50</v>
      </c>
      <c r="D48" s="2">
        <v>29750</v>
      </c>
      <c r="E48" s="2">
        <v>0</v>
      </c>
      <c r="F48" s="2">
        <v>52018.17</v>
      </c>
      <c r="G48" t="s">
        <v>715</v>
      </c>
      <c r="H48" s="7">
        <f t="shared" si="6"/>
        <v>0</v>
      </c>
      <c r="I48" s="1">
        <f t="shared" si="0"/>
        <v>45055</v>
      </c>
      <c r="J48" s="7" t="str">
        <f t="shared" si="1"/>
        <v>INB/NEFT/AXIR231292336053/VM Assoc/ICICI B/Vitami</v>
      </c>
      <c r="K48" s="7"/>
      <c r="L48" s="7">
        <f t="shared" si="2"/>
        <v>29750</v>
      </c>
      <c r="M48" s="7">
        <f t="shared" si="3"/>
        <v>0</v>
      </c>
      <c r="N48" s="7">
        <f t="shared" si="4"/>
        <v>52018.17</v>
      </c>
      <c r="O48" s="7" t="str">
        <f t="shared" si="5"/>
        <v>AXIS 3167</v>
      </c>
    </row>
    <row r="49" spans="1:15" x14ac:dyDescent="0.25">
      <c r="A49">
        <v>34</v>
      </c>
      <c r="B49" s="1">
        <v>45056</v>
      </c>
      <c r="C49" t="s">
        <v>51</v>
      </c>
      <c r="D49" s="2">
        <v>10000</v>
      </c>
      <c r="E49" s="2">
        <v>0</v>
      </c>
      <c r="F49" s="2">
        <v>42018.17</v>
      </c>
      <c r="G49" t="s">
        <v>715</v>
      </c>
      <c r="H49" s="7">
        <f t="shared" si="6"/>
        <v>0</v>
      </c>
      <c r="I49" s="1">
        <f t="shared" si="0"/>
        <v>45056</v>
      </c>
      <c r="J49" s="7" t="str">
        <f t="shared" si="1"/>
        <v>INB/IFT/Sunita Gupta/TPARTY TRANSFER</v>
      </c>
      <c r="K49" s="7"/>
      <c r="L49" s="7">
        <f t="shared" si="2"/>
        <v>10000</v>
      </c>
      <c r="M49" s="7">
        <f t="shared" si="3"/>
        <v>0</v>
      </c>
      <c r="N49" s="7">
        <f t="shared" si="4"/>
        <v>42018.17</v>
      </c>
      <c r="O49" s="7" t="str">
        <f t="shared" si="5"/>
        <v>AXIS 3167</v>
      </c>
    </row>
    <row r="50" spans="1:15" x14ac:dyDescent="0.25">
      <c r="A50">
        <v>35</v>
      </c>
      <c r="B50" s="1">
        <v>45064</v>
      </c>
      <c r="C50" t="s">
        <v>52</v>
      </c>
      <c r="D50" s="2">
        <v>663.16</v>
      </c>
      <c r="E50" s="2">
        <v>0</v>
      </c>
      <c r="F50" s="2">
        <v>41355.01</v>
      </c>
      <c r="G50" t="s">
        <v>715</v>
      </c>
      <c r="H50" s="7">
        <f t="shared" si="6"/>
        <v>0</v>
      </c>
      <c r="I50" s="1">
        <f t="shared" si="0"/>
        <v>45064</v>
      </c>
      <c r="J50" s="7" t="str">
        <f t="shared" si="1"/>
        <v>AXISDIRECT/I086350/18-05-2023/11:05</v>
      </c>
      <c r="K50" s="7"/>
      <c r="L50" s="7">
        <f t="shared" si="2"/>
        <v>663.16</v>
      </c>
      <c r="M50" s="7">
        <f t="shared" si="3"/>
        <v>0</v>
      </c>
      <c r="N50" s="7">
        <f t="shared" si="4"/>
        <v>41355.01</v>
      </c>
      <c r="O50" s="7" t="str">
        <f t="shared" si="5"/>
        <v>AXIS 3167</v>
      </c>
    </row>
    <row r="51" spans="1:15" x14ac:dyDescent="0.25">
      <c r="A51">
        <v>36</v>
      </c>
      <c r="B51" s="1">
        <v>45067</v>
      </c>
      <c r="C51" t="s">
        <v>53</v>
      </c>
      <c r="D51" s="2">
        <v>3550</v>
      </c>
      <c r="E51" s="2">
        <v>0</v>
      </c>
      <c r="F51" s="2">
        <v>37805.01</v>
      </c>
      <c r="G51" t="s">
        <v>715</v>
      </c>
      <c r="H51" s="7">
        <f t="shared" si="6"/>
        <v>0</v>
      </c>
      <c r="I51" s="1">
        <f t="shared" si="0"/>
        <v>45067</v>
      </c>
      <c r="J51" s="7" t="str">
        <f t="shared" si="1"/>
        <v>UPI/P2M/314100961993/SARTHAK P/Paytm Pay/Diesal</v>
      </c>
      <c r="K51" s="7"/>
      <c r="L51" s="7">
        <f t="shared" si="2"/>
        <v>3550</v>
      </c>
      <c r="M51" s="7">
        <f t="shared" si="3"/>
        <v>0</v>
      </c>
      <c r="N51" s="7">
        <f t="shared" si="4"/>
        <v>37805.01</v>
      </c>
      <c r="O51" s="7" t="str">
        <f t="shared" si="5"/>
        <v>AXIS 3167</v>
      </c>
    </row>
    <row r="52" spans="1:15" x14ac:dyDescent="0.25">
      <c r="A52">
        <v>37</v>
      </c>
      <c r="B52" s="1">
        <v>45069</v>
      </c>
      <c r="C52" t="s">
        <v>54</v>
      </c>
      <c r="D52" s="2">
        <v>209</v>
      </c>
      <c r="E52" s="2">
        <v>0</v>
      </c>
      <c r="F52" s="2">
        <v>37596.01</v>
      </c>
      <c r="G52" t="s">
        <v>715</v>
      </c>
      <c r="H52" s="7">
        <f t="shared" si="6"/>
        <v>0</v>
      </c>
      <c r="I52" s="1">
        <f t="shared" si="0"/>
        <v>45069</v>
      </c>
      <c r="J52" s="7" t="str">
        <f t="shared" si="1"/>
        <v>UPI/P2M/350970568276/MedPlus/Yes Bank /Payment</v>
      </c>
      <c r="K52" s="7"/>
      <c r="L52" s="7">
        <f t="shared" si="2"/>
        <v>209</v>
      </c>
      <c r="M52" s="7">
        <f t="shared" si="3"/>
        <v>0</v>
      </c>
      <c r="N52" s="7">
        <f t="shared" si="4"/>
        <v>37596.01</v>
      </c>
      <c r="O52" s="7" t="str">
        <f t="shared" si="5"/>
        <v>AXIS 3167</v>
      </c>
    </row>
    <row r="53" spans="1:15" x14ac:dyDescent="0.25">
      <c r="A53">
        <v>38</v>
      </c>
      <c r="B53" s="1">
        <v>45070</v>
      </c>
      <c r="C53" t="s">
        <v>55</v>
      </c>
      <c r="D53" s="2">
        <v>15000</v>
      </c>
      <c r="E53" s="2">
        <v>0</v>
      </c>
      <c r="F53" s="2">
        <v>22596.01</v>
      </c>
      <c r="G53" t="s">
        <v>715</v>
      </c>
      <c r="H53" s="7">
        <f t="shared" si="6"/>
        <v>0</v>
      </c>
      <c r="I53" s="1">
        <f t="shared" si="0"/>
        <v>45070</v>
      </c>
      <c r="J53" s="7" t="str">
        <f t="shared" si="1"/>
        <v>ATM-CASH-AXIS/APRH62902/114/240523/NASHIK</v>
      </c>
      <c r="K53" s="7"/>
      <c r="L53" s="7">
        <f t="shared" si="2"/>
        <v>15000</v>
      </c>
      <c r="M53" s="7">
        <f t="shared" si="3"/>
        <v>0</v>
      </c>
      <c r="N53" s="7">
        <f t="shared" si="4"/>
        <v>22596.01</v>
      </c>
      <c r="O53" s="7" t="str">
        <f t="shared" si="5"/>
        <v>AXIS 3167</v>
      </c>
    </row>
    <row r="54" spans="1:15" x14ac:dyDescent="0.25">
      <c r="A54">
        <v>39</v>
      </c>
      <c r="B54" s="1">
        <v>45070</v>
      </c>
      <c r="C54" t="s">
        <v>56</v>
      </c>
      <c r="D54" s="2">
        <v>2230</v>
      </c>
      <c r="E54" s="2">
        <v>0</v>
      </c>
      <c r="F54" s="2">
        <v>20366.009999999998</v>
      </c>
      <c r="G54" t="s">
        <v>715</v>
      </c>
      <c r="H54" s="7">
        <f t="shared" si="6"/>
        <v>0</v>
      </c>
      <c r="I54" s="1">
        <f t="shared" si="0"/>
        <v>45070</v>
      </c>
      <c r="J54" s="7" t="str">
        <f t="shared" si="1"/>
        <v>NBSM/13973061/Maha Electricity(BILLDESK)/</v>
      </c>
      <c r="K54" s="7"/>
      <c r="L54" s="7">
        <f t="shared" si="2"/>
        <v>2230</v>
      </c>
      <c r="M54" s="7">
        <f t="shared" si="3"/>
        <v>0</v>
      </c>
      <c r="N54" s="7">
        <f t="shared" si="4"/>
        <v>20366.009999999998</v>
      </c>
      <c r="O54" s="7" t="str">
        <f t="shared" si="5"/>
        <v>AXIS 3167</v>
      </c>
    </row>
    <row r="55" spans="1:15" x14ac:dyDescent="0.25">
      <c r="A55">
        <v>40</v>
      </c>
      <c r="B55" s="1">
        <v>45072</v>
      </c>
      <c r="C55" t="s">
        <v>57</v>
      </c>
      <c r="D55" s="2">
        <v>20</v>
      </c>
      <c r="E55" s="2">
        <v>0</v>
      </c>
      <c r="F55" s="2">
        <v>20346.009999999998</v>
      </c>
      <c r="G55" t="s">
        <v>715</v>
      </c>
      <c r="H55" s="7">
        <f t="shared" si="6"/>
        <v>0</v>
      </c>
      <c r="I55" s="1">
        <f t="shared" si="0"/>
        <v>45072</v>
      </c>
      <c r="J55" s="7" t="str">
        <f t="shared" si="1"/>
        <v>ECS/UTIBDE65298972202305/PMSBY RENEWAL TAGIC</v>
      </c>
      <c r="K55" s="7"/>
      <c r="L55" s="7">
        <f t="shared" si="2"/>
        <v>20</v>
      </c>
      <c r="M55" s="7">
        <f t="shared" si="3"/>
        <v>0</v>
      </c>
      <c r="N55" s="7">
        <f t="shared" si="4"/>
        <v>20346.009999999998</v>
      </c>
      <c r="O55" s="7" t="str">
        <f t="shared" si="5"/>
        <v>AXIS 3167</v>
      </c>
    </row>
    <row r="56" spans="1:15" x14ac:dyDescent="0.25">
      <c r="A56">
        <v>41</v>
      </c>
      <c r="B56" s="1">
        <v>45082</v>
      </c>
      <c r="C56" t="s">
        <v>58</v>
      </c>
      <c r="D56" s="2">
        <v>3300</v>
      </c>
      <c r="E56" s="2">
        <v>0</v>
      </c>
      <c r="F56" s="2">
        <v>17046.009999999998</v>
      </c>
      <c r="G56" t="s">
        <v>715</v>
      </c>
      <c r="H56" s="7">
        <f t="shared" si="6"/>
        <v>0</v>
      </c>
      <c r="I56" s="1">
        <f t="shared" si="0"/>
        <v>45082</v>
      </c>
      <c r="J56" s="7" t="str">
        <f t="shared" si="1"/>
        <v>UPI/P2A/315628731402/Shemale N/State Ban/Diesal</v>
      </c>
      <c r="K56" s="7"/>
      <c r="L56" s="7">
        <f t="shared" si="2"/>
        <v>3300</v>
      </c>
      <c r="M56" s="7">
        <f t="shared" si="3"/>
        <v>0</v>
      </c>
      <c r="N56" s="7">
        <f t="shared" si="4"/>
        <v>17046.009999999998</v>
      </c>
      <c r="O56" s="7" t="str">
        <f t="shared" si="5"/>
        <v>AXIS 3167</v>
      </c>
    </row>
    <row r="57" spans="1:15" x14ac:dyDescent="0.25">
      <c r="A57">
        <v>42</v>
      </c>
      <c r="B57" s="1">
        <v>45082</v>
      </c>
      <c r="C57" t="s">
        <v>59</v>
      </c>
      <c r="D57" s="2">
        <v>0</v>
      </c>
      <c r="E57" s="2">
        <v>20000</v>
      </c>
      <c r="F57" s="2">
        <v>37046.01</v>
      </c>
      <c r="G57" t="s">
        <v>715</v>
      </c>
      <c r="H57" s="7">
        <f t="shared" si="6"/>
        <v>0</v>
      </c>
      <c r="I57" s="1">
        <f t="shared" si="0"/>
        <v>45082</v>
      </c>
      <c r="J57" s="7" t="str">
        <f t="shared" si="1"/>
        <v>INB/IFT/AAYUSH KUMAR GUPTA/TPARTY TRANSFER</v>
      </c>
      <c r="K57" s="7"/>
      <c r="L57" s="7">
        <f t="shared" si="2"/>
        <v>0</v>
      </c>
      <c r="M57" s="7">
        <f t="shared" si="3"/>
        <v>20000</v>
      </c>
      <c r="N57" s="7">
        <f t="shared" si="4"/>
        <v>37046.01</v>
      </c>
      <c r="O57" s="7" t="str">
        <f t="shared" si="5"/>
        <v>AXIS 3167</v>
      </c>
    </row>
    <row r="58" spans="1:15" x14ac:dyDescent="0.25">
      <c r="A58">
        <v>43</v>
      </c>
      <c r="B58" s="1">
        <v>45082</v>
      </c>
      <c r="C58" t="s">
        <v>60</v>
      </c>
      <c r="D58" s="2">
        <v>20000</v>
      </c>
      <c r="E58" s="2">
        <v>0</v>
      </c>
      <c r="F58" s="2">
        <v>17046.009999999998</v>
      </c>
      <c r="G58" t="s">
        <v>715</v>
      </c>
      <c r="H58" s="7">
        <f t="shared" si="6"/>
        <v>0</v>
      </c>
      <c r="I58" s="1">
        <f t="shared" si="0"/>
        <v>45082</v>
      </c>
      <c r="J58" s="7" t="str">
        <f t="shared" si="1"/>
        <v>INB/IFT/PRAVEEN SURESH DESHMUKH/TPARTY TRANSFER</v>
      </c>
      <c r="K58" s="7"/>
      <c r="L58" s="7">
        <f t="shared" si="2"/>
        <v>20000</v>
      </c>
      <c r="M58" s="7">
        <f t="shared" si="3"/>
        <v>0</v>
      </c>
      <c r="N58" s="7">
        <f t="shared" si="4"/>
        <v>17046.009999999998</v>
      </c>
      <c r="O58" s="7" t="str">
        <f t="shared" si="5"/>
        <v>AXIS 3167</v>
      </c>
    </row>
    <row r="59" spans="1:15" x14ac:dyDescent="0.25">
      <c r="A59">
        <v>44</v>
      </c>
      <c r="B59" s="1">
        <v>45084</v>
      </c>
      <c r="C59" t="s">
        <v>35</v>
      </c>
      <c r="D59" s="2">
        <v>0</v>
      </c>
      <c r="E59" s="2">
        <v>197693</v>
      </c>
      <c r="F59" s="2">
        <v>214739.01</v>
      </c>
      <c r="G59" t="s">
        <v>715</v>
      </c>
      <c r="H59" s="7">
        <f t="shared" si="6"/>
        <v>0</v>
      </c>
      <c r="I59" s="1">
        <f t="shared" si="0"/>
        <v>45084</v>
      </c>
      <c r="J59" s="7" t="str">
        <f t="shared" si="1"/>
        <v>BRN-SALARY PAYMENT-BY SALARY</v>
      </c>
      <c r="K59" s="7"/>
      <c r="L59" s="7">
        <f t="shared" si="2"/>
        <v>0</v>
      </c>
      <c r="M59" s="7">
        <f t="shared" si="3"/>
        <v>197693</v>
      </c>
      <c r="N59" s="7">
        <f t="shared" si="4"/>
        <v>214739.01</v>
      </c>
      <c r="O59" s="7" t="str">
        <f t="shared" si="5"/>
        <v>AXIS 3167</v>
      </c>
    </row>
    <row r="60" spans="1:15" x14ac:dyDescent="0.25">
      <c r="A60">
        <v>45</v>
      </c>
      <c r="B60" s="1">
        <v>45085</v>
      </c>
      <c r="C60" t="s">
        <v>61</v>
      </c>
      <c r="D60" s="2">
        <v>75000</v>
      </c>
      <c r="E60" s="2">
        <v>0</v>
      </c>
      <c r="F60" s="2">
        <v>139739.01</v>
      </c>
      <c r="G60" t="s">
        <v>715</v>
      </c>
      <c r="H60" s="7">
        <f t="shared" si="6"/>
        <v>0</v>
      </c>
      <c r="I60" s="1">
        <f t="shared" si="0"/>
        <v>45085</v>
      </c>
      <c r="J60" s="7" t="str">
        <f t="shared" si="1"/>
        <v>INB/NEFT/AXIR231593867603/Ajay Gup/HDFC BA/Transf</v>
      </c>
      <c r="K60" s="7"/>
      <c r="L60" s="7">
        <f t="shared" si="2"/>
        <v>75000</v>
      </c>
      <c r="M60" s="7">
        <f t="shared" si="3"/>
        <v>0</v>
      </c>
      <c r="N60" s="7">
        <f t="shared" si="4"/>
        <v>139739.01</v>
      </c>
      <c r="O60" s="7" t="str">
        <f t="shared" si="5"/>
        <v>AXIS 3167</v>
      </c>
    </row>
    <row r="61" spans="1:15" x14ac:dyDescent="0.25">
      <c r="A61">
        <v>46</v>
      </c>
      <c r="B61" s="1">
        <v>45085</v>
      </c>
      <c r="C61" t="s">
        <v>25</v>
      </c>
      <c r="D61" s="2">
        <v>34470.86</v>
      </c>
      <c r="E61" s="2">
        <v>0</v>
      </c>
      <c r="F61" s="2">
        <v>105268.15</v>
      </c>
      <c r="G61" t="s">
        <v>715</v>
      </c>
      <c r="H61" s="7">
        <f t="shared" si="6"/>
        <v>0</v>
      </c>
      <c r="I61" s="1">
        <f t="shared" si="0"/>
        <v>45085</v>
      </c>
      <c r="J61" s="7" t="str">
        <f t="shared" si="1"/>
        <v>BRN-PYMT-CARD-4111460000883615</v>
      </c>
      <c r="K61" s="7"/>
      <c r="L61" s="7">
        <f t="shared" si="2"/>
        <v>34470.86</v>
      </c>
      <c r="M61" s="7">
        <f t="shared" si="3"/>
        <v>0</v>
      </c>
      <c r="N61" s="7">
        <f t="shared" si="4"/>
        <v>105268.15</v>
      </c>
      <c r="O61" s="7" t="str">
        <f t="shared" si="5"/>
        <v>AXIS 3167</v>
      </c>
    </row>
    <row r="62" spans="1:15" x14ac:dyDescent="0.25">
      <c r="A62">
        <v>47</v>
      </c>
      <c r="B62" s="1">
        <v>45085</v>
      </c>
      <c r="C62" t="s">
        <v>62</v>
      </c>
      <c r="D62" s="2">
        <v>99</v>
      </c>
      <c r="E62" s="2">
        <v>0</v>
      </c>
      <c r="F62" s="2">
        <v>105169.15</v>
      </c>
      <c r="G62" t="s">
        <v>715</v>
      </c>
      <c r="H62" s="7">
        <f t="shared" si="6"/>
        <v>0</v>
      </c>
      <c r="I62" s="1">
        <f t="shared" si="0"/>
        <v>45085</v>
      </c>
      <c r="J62" s="7" t="str">
        <f t="shared" si="1"/>
        <v>UPI/P2M/315940042211/SAGAR SWE/Paytm Pay/Icecrea</v>
      </c>
      <c r="K62" s="7"/>
      <c r="L62" s="7">
        <f t="shared" si="2"/>
        <v>99</v>
      </c>
      <c r="M62" s="7">
        <f t="shared" si="3"/>
        <v>0</v>
      </c>
      <c r="N62" s="7">
        <f t="shared" si="4"/>
        <v>105169.15</v>
      </c>
      <c r="O62" s="7" t="str">
        <f t="shared" si="5"/>
        <v>AXIS 3167</v>
      </c>
    </row>
    <row r="63" spans="1:15" x14ac:dyDescent="0.25">
      <c r="A63">
        <v>48</v>
      </c>
      <c r="B63" s="1">
        <v>45086</v>
      </c>
      <c r="C63" t="s">
        <v>63</v>
      </c>
      <c r="D63" s="2">
        <v>20000</v>
      </c>
      <c r="E63" s="2">
        <v>0</v>
      </c>
      <c r="F63" s="2">
        <v>85169.15</v>
      </c>
      <c r="G63" t="s">
        <v>715</v>
      </c>
      <c r="H63" s="7">
        <f t="shared" si="6"/>
        <v>0</v>
      </c>
      <c r="I63" s="1">
        <f t="shared" si="0"/>
        <v>45086</v>
      </c>
      <c r="J63" s="7" t="str">
        <f t="shared" si="1"/>
        <v>INB/IFT/Aayush Gupta/TPARTY TRANSFER</v>
      </c>
      <c r="K63" s="7"/>
      <c r="L63" s="7">
        <f t="shared" si="2"/>
        <v>20000</v>
      </c>
      <c r="M63" s="7">
        <f t="shared" si="3"/>
        <v>0</v>
      </c>
      <c r="N63" s="7">
        <f t="shared" si="4"/>
        <v>85169.15</v>
      </c>
      <c r="O63" s="7" t="str">
        <f t="shared" si="5"/>
        <v>AXIS 3167</v>
      </c>
    </row>
    <row r="64" spans="1:15" x14ac:dyDescent="0.25">
      <c r="A64">
        <v>49</v>
      </c>
      <c r="B64" s="1">
        <v>45087</v>
      </c>
      <c r="C64" t="s">
        <v>64</v>
      </c>
      <c r="D64" s="2">
        <v>60</v>
      </c>
      <c r="E64" s="2">
        <v>0</v>
      </c>
      <c r="F64" s="2">
        <v>85109.15</v>
      </c>
      <c r="G64" t="s">
        <v>715</v>
      </c>
      <c r="H64" s="7">
        <f t="shared" si="6"/>
        <v>0</v>
      </c>
      <c r="I64" s="1">
        <f t="shared" si="0"/>
        <v>45087</v>
      </c>
      <c r="J64" s="7" t="str">
        <f t="shared" si="1"/>
        <v>UPI/P2M/352768180779/SHAGUN TR/Yes Bank /Iccecre</v>
      </c>
      <c r="K64" s="7"/>
      <c r="L64" s="7">
        <f t="shared" si="2"/>
        <v>60</v>
      </c>
      <c r="M64" s="7">
        <f t="shared" si="3"/>
        <v>0</v>
      </c>
      <c r="N64" s="7">
        <f t="shared" si="4"/>
        <v>85109.15</v>
      </c>
      <c r="O64" s="7" t="str">
        <f t="shared" si="5"/>
        <v>AXIS 3167</v>
      </c>
    </row>
    <row r="65" spans="1:15" x14ac:dyDescent="0.25">
      <c r="A65">
        <v>50</v>
      </c>
      <c r="B65" s="1">
        <v>45093</v>
      </c>
      <c r="C65" t="s">
        <v>65</v>
      </c>
      <c r="D65" s="2">
        <v>0</v>
      </c>
      <c r="E65" s="2">
        <v>20000</v>
      </c>
      <c r="F65" s="2">
        <v>105109.15</v>
      </c>
      <c r="G65" t="s">
        <v>715</v>
      </c>
      <c r="H65" s="7">
        <f t="shared" si="6"/>
        <v>0</v>
      </c>
      <c r="I65" s="1">
        <f t="shared" si="0"/>
        <v>45093</v>
      </c>
      <c r="J65" s="7" t="str">
        <f t="shared" si="1"/>
        <v>MOB/TPFT/PRAVEEN SURESH /115010100130301</v>
      </c>
      <c r="K65" s="7"/>
      <c r="L65" s="7">
        <f t="shared" si="2"/>
        <v>0</v>
      </c>
      <c r="M65" s="7">
        <f t="shared" si="3"/>
        <v>20000</v>
      </c>
      <c r="N65" s="7">
        <f t="shared" si="4"/>
        <v>105109.15</v>
      </c>
      <c r="O65" s="7" t="str">
        <f t="shared" si="5"/>
        <v>AXIS 3167</v>
      </c>
    </row>
    <row r="66" spans="1:15" x14ac:dyDescent="0.25">
      <c r="A66">
        <v>51</v>
      </c>
      <c r="B66" s="1">
        <v>45096</v>
      </c>
      <c r="C66" t="s">
        <v>66</v>
      </c>
      <c r="D66" s="2">
        <v>3302</v>
      </c>
      <c r="E66" s="2">
        <v>0</v>
      </c>
      <c r="F66" s="2">
        <v>101807.15</v>
      </c>
      <c r="G66" t="s">
        <v>715</v>
      </c>
      <c r="H66" s="7">
        <f t="shared" si="6"/>
        <v>0</v>
      </c>
      <c r="I66" s="1">
        <f t="shared" si="0"/>
        <v>45096</v>
      </c>
      <c r="J66" s="7" t="str">
        <f t="shared" si="1"/>
        <v>UPI/P2M/317070962892/SARTHAK P/Paytm Pay/Diesal</v>
      </c>
      <c r="K66" s="7"/>
      <c r="L66" s="7">
        <f t="shared" si="2"/>
        <v>3302</v>
      </c>
      <c r="M66" s="7">
        <f t="shared" si="3"/>
        <v>0</v>
      </c>
      <c r="N66" s="7">
        <f t="shared" si="4"/>
        <v>101807.15</v>
      </c>
      <c r="O66" s="7" t="str">
        <f t="shared" si="5"/>
        <v>AXIS 3167</v>
      </c>
    </row>
    <row r="67" spans="1:15" x14ac:dyDescent="0.25">
      <c r="A67">
        <v>52</v>
      </c>
      <c r="B67" s="1">
        <v>45100</v>
      </c>
      <c r="C67" t="s">
        <v>67</v>
      </c>
      <c r="D67" s="2">
        <v>2950</v>
      </c>
      <c r="E67" s="2">
        <v>0</v>
      </c>
      <c r="F67" s="2">
        <v>98857.15</v>
      </c>
      <c r="G67" t="s">
        <v>715</v>
      </c>
      <c r="H67" s="7">
        <f t="shared" si="6"/>
        <v>0</v>
      </c>
      <c r="I67" s="1">
        <f t="shared" si="0"/>
        <v>45100</v>
      </c>
      <c r="J67" s="7" t="str">
        <f t="shared" si="1"/>
        <v>NBSM/17981141/Maha Electricity(BILLDESK)/</v>
      </c>
      <c r="K67" s="7"/>
      <c r="L67" s="7">
        <f t="shared" si="2"/>
        <v>2950</v>
      </c>
      <c r="M67" s="7">
        <f t="shared" si="3"/>
        <v>0</v>
      </c>
      <c r="N67" s="7">
        <f t="shared" si="4"/>
        <v>98857.15</v>
      </c>
      <c r="O67" s="7" t="str">
        <f t="shared" si="5"/>
        <v>AXIS 3167</v>
      </c>
    </row>
    <row r="68" spans="1:15" x14ac:dyDescent="0.25">
      <c r="A68">
        <v>53</v>
      </c>
      <c r="B68" s="1">
        <v>45103</v>
      </c>
      <c r="C68" t="s">
        <v>68</v>
      </c>
      <c r="D68" s="2">
        <v>0</v>
      </c>
      <c r="E68" s="2">
        <v>1950</v>
      </c>
      <c r="F68" s="2">
        <v>100807.15</v>
      </c>
      <c r="G68" t="s">
        <v>715</v>
      </c>
      <c r="H68" s="7">
        <f t="shared" si="6"/>
        <v>0</v>
      </c>
      <c r="I68" s="1">
        <f t="shared" si="0"/>
        <v>45103</v>
      </c>
      <c r="J68" s="7" t="str">
        <f t="shared" si="1"/>
        <v>IFT/CB0031877393/440002600490002023/JINDAL SAW LI</v>
      </c>
      <c r="K68" s="7"/>
      <c r="L68" s="7">
        <f t="shared" si="2"/>
        <v>0</v>
      </c>
      <c r="M68" s="7">
        <f t="shared" si="3"/>
        <v>1950</v>
      </c>
      <c r="N68" s="7">
        <f t="shared" si="4"/>
        <v>100807.15</v>
      </c>
      <c r="O68" s="7" t="str">
        <f t="shared" si="5"/>
        <v>AXIS 3167</v>
      </c>
    </row>
    <row r="69" spans="1:15" x14ac:dyDescent="0.25">
      <c r="A69">
        <v>54</v>
      </c>
      <c r="B69" s="1">
        <v>45108</v>
      </c>
      <c r="C69" t="s">
        <v>69</v>
      </c>
      <c r="D69" s="2">
        <v>50</v>
      </c>
      <c r="E69" s="2">
        <v>0</v>
      </c>
      <c r="F69" s="2">
        <v>100757.15</v>
      </c>
      <c r="G69" t="s">
        <v>715</v>
      </c>
      <c r="H69" s="7">
        <f t="shared" si="6"/>
        <v>0</v>
      </c>
      <c r="I69" s="1">
        <f t="shared" si="0"/>
        <v>45108</v>
      </c>
      <c r="J69" s="7" t="str">
        <f t="shared" si="1"/>
        <v>UPI/P2M/318284279675/BharatPe /YesBank_Y/Pay to</v>
      </c>
      <c r="K69" s="7"/>
      <c r="L69" s="7">
        <f t="shared" si="2"/>
        <v>50</v>
      </c>
      <c r="M69" s="7">
        <f t="shared" si="3"/>
        <v>0</v>
      </c>
      <c r="N69" s="7">
        <f t="shared" si="4"/>
        <v>100757.15</v>
      </c>
      <c r="O69" s="7" t="str">
        <f t="shared" si="5"/>
        <v>AXIS 3167</v>
      </c>
    </row>
    <row r="70" spans="1:15" x14ac:dyDescent="0.25">
      <c r="A70">
        <v>55</v>
      </c>
      <c r="B70" s="1">
        <v>45108</v>
      </c>
      <c r="C70" t="s">
        <v>70</v>
      </c>
      <c r="D70" s="2">
        <v>0</v>
      </c>
      <c r="E70" s="2">
        <v>473</v>
      </c>
      <c r="F70" s="2">
        <v>101230.15</v>
      </c>
      <c r="G70" t="s">
        <v>715</v>
      </c>
      <c r="H70" s="7">
        <f t="shared" si="6"/>
        <v>0</v>
      </c>
      <c r="I70" s="1">
        <f t="shared" si="0"/>
        <v>45108</v>
      </c>
      <c r="J70" s="7" t="str">
        <f t="shared" si="1"/>
        <v>910010047943167:Int.Pd:01-04-2023 to 30-06-2023</v>
      </c>
      <c r="K70" s="7"/>
      <c r="L70" s="7">
        <f t="shared" si="2"/>
        <v>0</v>
      </c>
      <c r="M70" s="7">
        <f t="shared" si="3"/>
        <v>473</v>
      </c>
      <c r="N70" s="7">
        <f t="shared" si="4"/>
        <v>101230.15</v>
      </c>
      <c r="O70" s="7" t="str">
        <f t="shared" si="5"/>
        <v>AXIS 3167</v>
      </c>
    </row>
    <row r="71" spans="1:15" x14ac:dyDescent="0.25">
      <c r="A71">
        <v>56</v>
      </c>
      <c r="B71" s="1">
        <v>45111</v>
      </c>
      <c r="C71" t="s">
        <v>71</v>
      </c>
      <c r="D71" s="2">
        <v>50</v>
      </c>
      <c r="E71" s="2">
        <v>0</v>
      </c>
      <c r="F71" s="2">
        <v>101180.15</v>
      </c>
      <c r="G71" t="s">
        <v>715</v>
      </c>
      <c r="H71" s="7">
        <f t="shared" si="6"/>
        <v>0</v>
      </c>
      <c r="I71" s="1">
        <f t="shared" si="0"/>
        <v>45111</v>
      </c>
      <c r="J71" s="7" t="str">
        <f t="shared" si="1"/>
        <v>UPI/P2M/318583889534/Ashoka mi/Paytm Pay/Idli</v>
      </c>
      <c r="K71" s="7"/>
      <c r="L71" s="7">
        <f t="shared" si="2"/>
        <v>50</v>
      </c>
      <c r="M71" s="7">
        <f t="shared" si="3"/>
        <v>0</v>
      </c>
      <c r="N71" s="7">
        <f t="shared" si="4"/>
        <v>101180.15</v>
      </c>
      <c r="O71" s="7" t="str">
        <f t="shared" si="5"/>
        <v>AXIS 3167</v>
      </c>
    </row>
    <row r="72" spans="1:15" x14ac:dyDescent="0.25">
      <c r="A72">
        <v>57</v>
      </c>
      <c r="B72" s="1">
        <v>45111</v>
      </c>
      <c r="C72" t="s">
        <v>72</v>
      </c>
      <c r="D72" s="2">
        <v>86</v>
      </c>
      <c r="E72" s="2">
        <v>0</v>
      </c>
      <c r="F72" s="2">
        <v>101094.15</v>
      </c>
      <c r="G72" t="s">
        <v>715</v>
      </c>
      <c r="H72" s="7">
        <f t="shared" si="6"/>
        <v>0</v>
      </c>
      <c r="I72" s="1">
        <f t="shared" si="0"/>
        <v>45111</v>
      </c>
      <c r="J72" s="7" t="str">
        <f t="shared" si="1"/>
        <v>UPI/P2M/318582290148/KARTIKI P/Paytm Pay/Foid</v>
      </c>
      <c r="K72" s="7"/>
      <c r="L72" s="7">
        <f t="shared" si="2"/>
        <v>86</v>
      </c>
      <c r="M72" s="7">
        <f t="shared" si="3"/>
        <v>0</v>
      </c>
      <c r="N72" s="7">
        <f t="shared" si="4"/>
        <v>101094.15</v>
      </c>
      <c r="O72" s="7" t="str">
        <f t="shared" si="5"/>
        <v>AXIS 3167</v>
      </c>
    </row>
    <row r="73" spans="1:15" x14ac:dyDescent="0.25">
      <c r="A73">
        <v>58</v>
      </c>
      <c r="B73" s="1">
        <v>45111</v>
      </c>
      <c r="C73" t="s">
        <v>73</v>
      </c>
      <c r="D73" s="2">
        <v>284</v>
      </c>
      <c r="E73" s="2">
        <v>0</v>
      </c>
      <c r="F73" s="2">
        <v>100810.15</v>
      </c>
      <c r="G73" t="s">
        <v>715</v>
      </c>
      <c r="H73" s="7">
        <f t="shared" si="6"/>
        <v>0</v>
      </c>
      <c r="I73" s="1">
        <f t="shared" si="0"/>
        <v>45111</v>
      </c>
      <c r="J73" s="7" t="str">
        <f t="shared" si="1"/>
        <v>UPI/P2A/355108036718/Mr PRAKAS/Bank of M/Medicen</v>
      </c>
      <c r="K73" s="7"/>
      <c r="L73" s="7">
        <f t="shared" si="2"/>
        <v>284</v>
      </c>
      <c r="M73" s="7">
        <f t="shared" si="3"/>
        <v>0</v>
      </c>
      <c r="N73" s="7">
        <f t="shared" si="4"/>
        <v>100810.15</v>
      </c>
      <c r="O73" s="7" t="str">
        <f t="shared" si="5"/>
        <v>AXIS 3167</v>
      </c>
    </row>
    <row r="74" spans="1:15" x14ac:dyDescent="0.25">
      <c r="A74">
        <v>59</v>
      </c>
      <c r="B74" s="1">
        <v>45111</v>
      </c>
      <c r="C74" t="s">
        <v>74</v>
      </c>
      <c r="D74" s="2">
        <v>50</v>
      </c>
      <c r="E74" s="2">
        <v>0</v>
      </c>
      <c r="F74" s="2">
        <v>100760.15</v>
      </c>
      <c r="G74" t="s">
        <v>715</v>
      </c>
      <c r="H74" s="7">
        <f t="shared" si="6"/>
        <v>0</v>
      </c>
      <c r="I74" s="1">
        <f t="shared" si="0"/>
        <v>45111</v>
      </c>
      <c r="J74" s="7" t="str">
        <f t="shared" si="1"/>
        <v>UPI/P2M/318557670569/SHIVRAM B/Federal B/Pay to</v>
      </c>
      <c r="K74" s="7"/>
      <c r="L74" s="7">
        <f t="shared" si="2"/>
        <v>50</v>
      </c>
      <c r="M74" s="7">
        <f t="shared" si="3"/>
        <v>0</v>
      </c>
      <c r="N74" s="7">
        <f t="shared" si="4"/>
        <v>100760.15</v>
      </c>
      <c r="O74" s="7" t="str">
        <f t="shared" si="5"/>
        <v>AXIS 3167</v>
      </c>
    </row>
    <row r="75" spans="1:15" x14ac:dyDescent="0.25">
      <c r="A75">
        <v>60</v>
      </c>
      <c r="B75" s="1">
        <v>45112</v>
      </c>
      <c r="C75" t="s">
        <v>75</v>
      </c>
      <c r="D75" s="2">
        <v>10</v>
      </c>
      <c r="E75" s="2">
        <v>0</v>
      </c>
      <c r="F75" s="2">
        <v>100750.15</v>
      </c>
      <c r="G75" t="s">
        <v>715</v>
      </c>
      <c r="H75" s="7">
        <f t="shared" si="6"/>
        <v>0</v>
      </c>
      <c r="I75" s="1">
        <f t="shared" si="0"/>
        <v>45112</v>
      </c>
      <c r="J75" s="7" t="str">
        <f t="shared" si="1"/>
        <v>UPI/P2M/318628157199/SALMAN SA/Paytm Pay/Tea</v>
      </c>
      <c r="K75" s="7"/>
      <c r="L75" s="7">
        <f t="shared" si="2"/>
        <v>10</v>
      </c>
      <c r="M75" s="7">
        <f t="shared" si="3"/>
        <v>0</v>
      </c>
      <c r="N75" s="7">
        <f t="shared" si="4"/>
        <v>100750.15</v>
      </c>
      <c r="O75" s="7" t="str">
        <f t="shared" si="5"/>
        <v>AXIS 3167</v>
      </c>
    </row>
    <row r="76" spans="1:15" x14ac:dyDescent="0.25">
      <c r="A76">
        <v>61</v>
      </c>
      <c r="B76" s="1">
        <v>45112</v>
      </c>
      <c r="C76" t="s">
        <v>76</v>
      </c>
      <c r="D76" s="2">
        <v>10</v>
      </c>
      <c r="E76" s="2">
        <v>0</v>
      </c>
      <c r="F76" s="2">
        <v>100740.15</v>
      </c>
      <c r="G76" t="s">
        <v>715</v>
      </c>
      <c r="H76" s="7">
        <f t="shared" si="6"/>
        <v>0</v>
      </c>
      <c r="I76" s="1">
        <f t="shared" si="0"/>
        <v>45112</v>
      </c>
      <c r="J76" s="7" t="str">
        <f t="shared" si="1"/>
        <v>UPI/P2M/318657320027/SHIVRAM B/Federal B/Pay to</v>
      </c>
      <c r="K76" s="7"/>
      <c r="L76" s="7">
        <f t="shared" si="2"/>
        <v>10</v>
      </c>
      <c r="M76" s="7">
        <f t="shared" si="3"/>
        <v>0</v>
      </c>
      <c r="N76" s="7">
        <f t="shared" si="4"/>
        <v>100740.15</v>
      </c>
      <c r="O76" s="7" t="str">
        <f t="shared" si="5"/>
        <v>AXIS 3167</v>
      </c>
    </row>
    <row r="77" spans="1:15" x14ac:dyDescent="0.25">
      <c r="A77">
        <v>62</v>
      </c>
      <c r="B77" s="1">
        <v>45115</v>
      </c>
      <c r="C77" t="s">
        <v>77</v>
      </c>
      <c r="D77" s="2">
        <v>41100</v>
      </c>
      <c r="E77" s="2">
        <v>0</v>
      </c>
      <c r="F77" s="2">
        <v>59640.15</v>
      </c>
      <c r="G77" t="s">
        <v>715</v>
      </c>
      <c r="H77" s="7">
        <f t="shared" si="6"/>
        <v>0</v>
      </c>
      <c r="I77" s="1">
        <f t="shared" si="0"/>
        <v>45115</v>
      </c>
      <c r="J77" s="7" t="str">
        <f t="shared" si="1"/>
        <v>UPI/P2M/318993081355/EHCC/HDFC BANK/Hosoital</v>
      </c>
      <c r="K77" s="7"/>
      <c r="L77" s="7">
        <f t="shared" si="2"/>
        <v>41100</v>
      </c>
      <c r="M77" s="7">
        <f t="shared" si="3"/>
        <v>0</v>
      </c>
      <c r="N77" s="7">
        <f t="shared" si="4"/>
        <v>59640.15</v>
      </c>
      <c r="O77" s="7" t="str">
        <f t="shared" si="5"/>
        <v>AXIS 3167</v>
      </c>
    </row>
    <row r="78" spans="1:15" x14ac:dyDescent="0.25">
      <c r="A78">
        <v>63</v>
      </c>
      <c r="B78" s="1">
        <v>45116</v>
      </c>
      <c r="C78" t="s">
        <v>78</v>
      </c>
      <c r="D78" s="2">
        <v>120</v>
      </c>
      <c r="E78" s="2">
        <v>0</v>
      </c>
      <c r="F78" s="2">
        <v>59520.15</v>
      </c>
      <c r="G78" t="s">
        <v>715</v>
      </c>
      <c r="H78" s="7">
        <f t="shared" si="6"/>
        <v>0</v>
      </c>
      <c r="I78" s="1">
        <f t="shared" si="0"/>
        <v>45116</v>
      </c>
      <c r="J78" s="7" t="str">
        <f t="shared" si="1"/>
        <v>UPI/P2A/319030848851/DINESH SA/Canara Ba/Auto</v>
      </c>
      <c r="K78" s="7"/>
      <c r="L78" s="7">
        <f t="shared" si="2"/>
        <v>120</v>
      </c>
      <c r="M78" s="7">
        <f t="shared" si="3"/>
        <v>0</v>
      </c>
      <c r="N78" s="7">
        <f t="shared" si="4"/>
        <v>59520.15</v>
      </c>
      <c r="O78" s="7" t="str">
        <f t="shared" si="5"/>
        <v>AXIS 3167</v>
      </c>
    </row>
    <row r="79" spans="1:15" x14ac:dyDescent="0.25">
      <c r="A79">
        <v>64</v>
      </c>
      <c r="B79" s="1">
        <v>45116</v>
      </c>
      <c r="C79" t="s">
        <v>79</v>
      </c>
      <c r="D79" s="2">
        <v>50</v>
      </c>
      <c r="E79" s="2">
        <v>0</v>
      </c>
      <c r="F79" s="2">
        <v>59470.15</v>
      </c>
      <c r="G79" t="s">
        <v>715</v>
      </c>
      <c r="H79" s="7">
        <f t="shared" si="6"/>
        <v>0</v>
      </c>
      <c r="I79" s="1">
        <f t="shared" si="0"/>
        <v>45116</v>
      </c>
      <c r="J79" s="7" t="str">
        <f t="shared" si="1"/>
        <v>UPI/P2M/355628362474/AMOL SANT/Yes Bank /Vegitab</v>
      </c>
      <c r="K79" s="7"/>
      <c r="L79" s="7">
        <f t="shared" si="2"/>
        <v>50</v>
      </c>
      <c r="M79" s="7">
        <f t="shared" si="3"/>
        <v>0</v>
      </c>
      <c r="N79" s="7">
        <f t="shared" si="4"/>
        <v>59470.15</v>
      </c>
      <c r="O79" s="7" t="str">
        <f t="shared" si="5"/>
        <v>AXIS 3167</v>
      </c>
    </row>
    <row r="80" spans="1:15" x14ac:dyDescent="0.25">
      <c r="A80">
        <v>65</v>
      </c>
      <c r="B80" s="1">
        <v>45117</v>
      </c>
      <c r="C80" t="s">
        <v>25</v>
      </c>
      <c r="D80" s="2">
        <v>11927.25</v>
      </c>
      <c r="E80" s="2">
        <v>0</v>
      </c>
      <c r="F80" s="2">
        <v>47542.9</v>
      </c>
      <c r="G80" t="s">
        <v>715</v>
      </c>
      <c r="H80" s="7">
        <f t="shared" si="6"/>
        <v>0</v>
      </c>
      <c r="I80" s="1">
        <f t="shared" si="0"/>
        <v>45117</v>
      </c>
      <c r="J80" s="7" t="str">
        <f t="shared" si="1"/>
        <v>BRN-PYMT-CARD-4111460000883615</v>
      </c>
      <c r="K80" s="7"/>
      <c r="L80" s="7">
        <f t="shared" si="2"/>
        <v>11927.25</v>
      </c>
      <c r="M80" s="7">
        <f t="shared" si="3"/>
        <v>0</v>
      </c>
      <c r="N80" s="7">
        <f t="shared" si="4"/>
        <v>47542.9</v>
      </c>
      <c r="O80" s="7" t="str">
        <f t="shared" si="5"/>
        <v>AXIS 3167</v>
      </c>
    </row>
    <row r="81" spans="1:15" x14ac:dyDescent="0.25">
      <c r="A81">
        <v>66</v>
      </c>
      <c r="B81" s="1">
        <v>45117</v>
      </c>
      <c r="C81" t="s">
        <v>80</v>
      </c>
      <c r="D81" s="2">
        <v>3400</v>
      </c>
      <c r="E81" s="2">
        <v>0</v>
      </c>
      <c r="F81" s="2">
        <v>44142.9</v>
      </c>
      <c r="G81" t="s">
        <v>715</v>
      </c>
      <c r="H81" s="7">
        <f t="shared" si="6"/>
        <v>0</v>
      </c>
      <c r="I81" s="1">
        <f t="shared" ref="I81:I144" si="7">B81</f>
        <v>45117</v>
      </c>
      <c r="J81" s="7" t="str">
        <f t="shared" ref="J81:J144" si="8">C81</f>
        <v>UPI/P2A/319147144010/SAMEER VA/Federal B/Diesal</v>
      </c>
      <c r="K81" s="7"/>
      <c r="L81" s="7">
        <f t="shared" ref="L81:L144" si="9">D81</f>
        <v>3400</v>
      </c>
      <c r="M81" s="7">
        <f t="shared" ref="M81:M144" si="10">E81</f>
        <v>0</v>
      </c>
      <c r="N81" s="7">
        <f t="shared" ref="N81:N144" si="11">F81</f>
        <v>44142.9</v>
      </c>
      <c r="O81" s="7" t="str">
        <f t="shared" ref="O81:O144" si="12">G81</f>
        <v>AXIS 3167</v>
      </c>
    </row>
    <row r="82" spans="1:15" x14ac:dyDescent="0.25">
      <c r="A82">
        <v>67</v>
      </c>
      <c r="B82" s="1">
        <v>45117</v>
      </c>
      <c r="C82" t="s">
        <v>81</v>
      </c>
      <c r="D82" s="2">
        <v>0</v>
      </c>
      <c r="E82" s="2">
        <v>100000</v>
      </c>
      <c r="F82" s="2">
        <v>144142.9</v>
      </c>
      <c r="G82" t="s">
        <v>715</v>
      </c>
      <c r="H82" s="7">
        <f t="shared" ref="H82:H145" si="13">F81-D82+E82-F82</f>
        <v>0</v>
      </c>
      <c r="I82" s="1">
        <f t="shared" si="7"/>
        <v>45117</v>
      </c>
      <c r="J82" s="7" t="str">
        <f t="shared" si="8"/>
        <v>NEFT/SBIN123191905507/Mr  AJAY /STATE BAN//ATTN//</v>
      </c>
      <c r="K82" s="7"/>
      <c r="L82" s="7">
        <f t="shared" si="9"/>
        <v>0</v>
      </c>
      <c r="M82" s="7">
        <f t="shared" si="10"/>
        <v>100000</v>
      </c>
      <c r="N82" s="7">
        <f t="shared" si="11"/>
        <v>144142.9</v>
      </c>
      <c r="O82" s="7" t="str">
        <f t="shared" si="12"/>
        <v>AXIS 3167</v>
      </c>
    </row>
    <row r="83" spans="1:15" x14ac:dyDescent="0.25">
      <c r="A83">
        <v>68</v>
      </c>
      <c r="B83" s="1">
        <v>45118</v>
      </c>
      <c r="C83" t="s">
        <v>82</v>
      </c>
      <c r="D83" s="2">
        <v>60000</v>
      </c>
      <c r="E83" s="2">
        <v>0</v>
      </c>
      <c r="F83" s="2">
        <v>84142.9</v>
      </c>
      <c r="G83" t="s">
        <v>715</v>
      </c>
      <c r="H83" s="7">
        <f t="shared" si="13"/>
        <v>0</v>
      </c>
      <c r="I83" s="1">
        <f t="shared" si="7"/>
        <v>45118</v>
      </c>
      <c r="J83" s="7" t="str">
        <f t="shared" si="8"/>
        <v>INB/IFT/PRAMOD SHARMA S/O S N SHARMA/TPARTY TRAN</v>
      </c>
      <c r="K83" s="7"/>
      <c r="L83" s="7">
        <f t="shared" si="9"/>
        <v>60000</v>
      </c>
      <c r="M83" s="7">
        <f t="shared" si="10"/>
        <v>0</v>
      </c>
      <c r="N83" s="7">
        <f t="shared" si="11"/>
        <v>84142.9</v>
      </c>
      <c r="O83" s="7" t="str">
        <f t="shared" si="12"/>
        <v>AXIS 3167</v>
      </c>
    </row>
    <row r="84" spans="1:15" x14ac:dyDescent="0.25">
      <c r="A84">
        <v>69</v>
      </c>
      <c r="B84" s="1">
        <v>45124</v>
      </c>
      <c r="C84" t="s">
        <v>83</v>
      </c>
      <c r="D84" s="2">
        <v>0</v>
      </c>
      <c r="E84" s="2">
        <v>30448.31</v>
      </c>
      <c r="F84" s="2">
        <v>114591.21</v>
      </c>
      <c r="G84" t="s">
        <v>715</v>
      </c>
      <c r="H84" s="7">
        <f t="shared" si="13"/>
        <v>0</v>
      </c>
      <c r="I84" s="1">
        <f t="shared" si="7"/>
        <v>45124</v>
      </c>
      <c r="J84" s="7" t="str">
        <f t="shared" si="8"/>
        <v>IFT/CB0032796708/NORMAL2023071743507855/AXIS MUTU</v>
      </c>
      <c r="K84" s="7"/>
      <c r="L84" s="7">
        <f t="shared" si="9"/>
        <v>0</v>
      </c>
      <c r="M84" s="7">
        <f t="shared" si="10"/>
        <v>30448.31</v>
      </c>
      <c r="N84" s="7">
        <f t="shared" si="11"/>
        <v>114591.21</v>
      </c>
      <c r="O84" s="7" t="str">
        <f t="shared" si="12"/>
        <v>AXIS 3167</v>
      </c>
    </row>
    <row r="85" spans="1:15" x14ac:dyDescent="0.25">
      <c r="A85">
        <v>70</v>
      </c>
      <c r="B85" s="1">
        <v>45124</v>
      </c>
      <c r="C85" t="s">
        <v>84</v>
      </c>
      <c r="D85" s="2">
        <v>10000</v>
      </c>
      <c r="E85" s="2">
        <v>0</v>
      </c>
      <c r="F85" s="2">
        <v>104591.21</v>
      </c>
      <c r="G85" t="s">
        <v>715</v>
      </c>
      <c r="H85" s="7">
        <f t="shared" si="13"/>
        <v>0</v>
      </c>
      <c r="I85" s="1">
        <f t="shared" si="7"/>
        <v>45124</v>
      </c>
      <c r="J85" s="7" t="str">
        <f t="shared" si="8"/>
        <v>ATM-CASH-AXIS/DECN360801/6277/170723/GAYA</v>
      </c>
      <c r="K85" s="7"/>
      <c r="L85" s="7">
        <f t="shared" si="9"/>
        <v>10000</v>
      </c>
      <c r="M85" s="7">
        <f t="shared" si="10"/>
        <v>0</v>
      </c>
      <c r="N85" s="7">
        <f t="shared" si="11"/>
        <v>104591.21</v>
      </c>
      <c r="O85" s="7" t="str">
        <f t="shared" si="12"/>
        <v>AXIS 3167</v>
      </c>
    </row>
    <row r="86" spans="1:15" x14ac:dyDescent="0.25">
      <c r="A86">
        <v>71</v>
      </c>
      <c r="B86" s="1">
        <v>45124</v>
      </c>
      <c r="C86" t="s">
        <v>85</v>
      </c>
      <c r="D86" s="2">
        <v>0</v>
      </c>
      <c r="E86" s="2">
        <v>7229</v>
      </c>
      <c r="F86" s="2">
        <v>111820.21</v>
      </c>
      <c r="G86" t="s">
        <v>715</v>
      </c>
      <c r="H86" s="7">
        <f t="shared" si="13"/>
        <v>0</v>
      </c>
      <c r="I86" s="1">
        <f t="shared" si="7"/>
        <v>45124</v>
      </c>
      <c r="J86" s="7" t="str">
        <f t="shared" si="8"/>
        <v>NEFT/IBKL230717007348/LIC OF IN/IDBI BANK/LIC ANN</v>
      </c>
      <c r="K86" s="7"/>
      <c r="L86" s="7">
        <f t="shared" si="9"/>
        <v>0</v>
      </c>
      <c r="M86" s="7">
        <f t="shared" si="10"/>
        <v>7229</v>
      </c>
      <c r="N86" s="7">
        <f t="shared" si="11"/>
        <v>111820.21</v>
      </c>
      <c r="O86" s="7" t="str">
        <f t="shared" si="12"/>
        <v>AXIS 3167</v>
      </c>
    </row>
    <row r="87" spans="1:15" x14ac:dyDescent="0.25">
      <c r="A87">
        <v>72</v>
      </c>
      <c r="B87" s="1">
        <v>45128</v>
      </c>
      <c r="C87" t="s">
        <v>86</v>
      </c>
      <c r="D87" s="2">
        <v>10</v>
      </c>
      <c r="E87" s="2">
        <v>0</v>
      </c>
      <c r="F87" s="2">
        <v>111810.21</v>
      </c>
      <c r="G87" t="s">
        <v>715</v>
      </c>
      <c r="H87" s="7">
        <f t="shared" si="13"/>
        <v>0</v>
      </c>
      <c r="I87" s="1">
        <f t="shared" si="7"/>
        <v>45128</v>
      </c>
      <c r="J87" s="7" t="str">
        <f t="shared" si="8"/>
        <v>UPI/P2M/320286098781/SALMAN SA/Paytm Pay/Tea</v>
      </c>
      <c r="K87" s="7"/>
      <c r="L87" s="7">
        <f t="shared" si="9"/>
        <v>10</v>
      </c>
      <c r="M87" s="7">
        <f t="shared" si="10"/>
        <v>0</v>
      </c>
      <c r="N87" s="7">
        <f t="shared" si="11"/>
        <v>111810.21</v>
      </c>
      <c r="O87" s="7" t="str">
        <f t="shared" si="12"/>
        <v>AXIS 3167</v>
      </c>
    </row>
    <row r="88" spans="1:15" x14ac:dyDescent="0.25">
      <c r="A88">
        <v>73</v>
      </c>
      <c r="B88" s="1">
        <v>45128</v>
      </c>
      <c r="C88" t="s">
        <v>87</v>
      </c>
      <c r="D88" s="2">
        <v>111</v>
      </c>
      <c r="E88" s="2">
        <v>0</v>
      </c>
      <c r="F88" s="2">
        <v>111699.21</v>
      </c>
      <c r="G88" t="s">
        <v>715</v>
      </c>
      <c r="H88" s="7">
        <f t="shared" si="13"/>
        <v>0</v>
      </c>
      <c r="I88" s="1">
        <f t="shared" si="7"/>
        <v>45128</v>
      </c>
      <c r="J88" s="7" t="str">
        <f t="shared" si="8"/>
        <v>UPI/P2M/356846043907/SAGAR SWE/Yes Bank /Breakfa</v>
      </c>
      <c r="K88" s="7"/>
      <c r="L88" s="7">
        <f t="shared" si="9"/>
        <v>111</v>
      </c>
      <c r="M88" s="7">
        <f t="shared" si="10"/>
        <v>0</v>
      </c>
      <c r="N88" s="7">
        <f t="shared" si="11"/>
        <v>111699.21</v>
      </c>
      <c r="O88" s="7" t="str">
        <f t="shared" si="12"/>
        <v>AXIS 3167</v>
      </c>
    </row>
    <row r="89" spans="1:15" x14ac:dyDescent="0.25">
      <c r="A89">
        <v>74</v>
      </c>
      <c r="B89" s="1">
        <v>45128</v>
      </c>
      <c r="C89" t="s">
        <v>88</v>
      </c>
      <c r="D89" s="2">
        <v>120</v>
      </c>
      <c r="E89" s="2">
        <v>0</v>
      </c>
      <c r="F89" s="2">
        <v>111579.21</v>
      </c>
      <c r="G89" t="s">
        <v>715</v>
      </c>
      <c r="H89" s="7">
        <f t="shared" si="13"/>
        <v>0</v>
      </c>
      <c r="I89" s="1">
        <f t="shared" si="7"/>
        <v>45128</v>
      </c>
      <c r="J89" s="7" t="str">
        <f t="shared" si="8"/>
        <v>UPI/P2A/320269990682/NISHA PAN/Indian Ov/From su</v>
      </c>
      <c r="K89" s="7"/>
      <c r="L89" s="7">
        <f t="shared" si="9"/>
        <v>120</v>
      </c>
      <c r="M89" s="7">
        <f t="shared" si="10"/>
        <v>0</v>
      </c>
      <c r="N89" s="7">
        <f t="shared" si="11"/>
        <v>111579.21</v>
      </c>
      <c r="O89" s="7" t="str">
        <f t="shared" si="12"/>
        <v>AXIS 3167</v>
      </c>
    </row>
    <row r="90" spans="1:15" x14ac:dyDescent="0.25">
      <c r="A90">
        <v>75</v>
      </c>
      <c r="B90" s="1">
        <v>45133</v>
      </c>
      <c r="C90" t="s">
        <v>89</v>
      </c>
      <c r="D90" s="2">
        <v>1470</v>
      </c>
      <c r="E90" s="2">
        <v>0</v>
      </c>
      <c r="F90" s="2">
        <v>110109.21</v>
      </c>
      <c r="G90" t="s">
        <v>715</v>
      </c>
      <c r="H90" s="7">
        <f t="shared" si="13"/>
        <v>0</v>
      </c>
      <c r="I90" s="1">
        <f t="shared" si="7"/>
        <v>45133</v>
      </c>
      <c r="J90" s="7" t="str">
        <f t="shared" si="8"/>
        <v>NBSM/22750254/Maha Electricity(BILLDESK)/</v>
      </c>
      <c r="K90" s="7"/>
      <c r="L90" s="7">
        <f t="shared" si="9"/>
        <v>1470</v>
      </c>
      <c r="M90" s="7">
        <f t="shared" si="10"/>
        <v>0</v>
      </c>
      <c r="N90" s="7">
        <f t="shared" si="11"/>
        <v>110109.21</v>
      </c>
      <c r="O90" s="7" t="str">
        <f t="shared" si="12"/>
        <v>AXIS 3167</v>
      </c>
    </row>
    <row r="91" spans="1:15" x14ac:dyDescent="0.25">
      <c r="A91">
        <v>76</v>
      </c>
      <c r="B91" s="1">
        <v>45135</v>
      </c>
      <c r="C91" t="s">
        <v>90</v>
      </c>
      <c r="D91" s="2">
        <v>3300</v>
      </c>
      <c r="E91" s="2">
        <v>0</v>
      </c>
      <c r="F91" s="2">
        <v>106809.21</v>
      </c>
      <c r="G91" t="s">
        <v>715</v>
      </c>
      <c r="H91" s="7">
        <f t="shared" si="13"/>
        <v>0</v>
      </c>
      <c r="I91" s="1">
        <f t="shared" si="7"/>
        <v>45135</v>
      </c>
      <c r="J91" s="7" t="str">
        <f t="shared" si="8"/>
        <v>UPI/P2M/320900149046/SARTHAK P/Paytm Pay/Diesal</v>
      </c>
      <c r="K91" s="7"/>
      <c r="L91" s="7">
        <f t="shared" si="9"/>
        <v>3300</v>
      </c>
      <c r="M91" s="7">
        <f t="shared" si="10"/>
        <v>0</v>
      </c>
      <c r="N91" s="7">
        <f t="shared" si="11"/>
        <v>106809.21</v>
      </c>
      <c r="O91" s="7" t="str">
        <f t="shared" si="12"/>
        <v>AXIS 3167</v>
      </c>
    </row>
    <row r="92" spans="1:15" x14ac:dyDescent="0.25">
      <c r="A92">
        <v>77</v>
      </c>
      <c r="B92" s="1">
        <v>45136</v>
      </c>
      <c r="C92" t="s">
        <v>91</v>
      </c>
      <c r="D92" s="2">
        <v>0</v>
      </c>
      <c r="E92" s="2">
        <v>3300</v>
      </c>
      <c r="F92" s="2">
        <v>110109.21</v>
      </c>
      <c r="G92" t="s">
        <v>715</v>
      </c>
      <c r="H92" s="7">
        <f t="shared" si="13"/>
        <v>0</v>
      </c>
      <c r="I92" s="1">
        <f t="shared" si="7"/>
        <v>45136</v>
      </c>
      <c r="J92" s="7" t="str">
        <f t="shared" si="8"/>
        <v>IFT/CB0033328878/440003816590002023/JINDAL SAW LI</v>
      </c>
      <c r="K92" s="7"/>
      <c r="L92" s="7">
        <f t="shared" si="9"/>
        <v>0</v>
      </c>
      <c r="M92" s="7">
        <f t="shared" si="10"/>
        <v>3300</v>
      </c>
      <c r="N92" s="7">
        <f t="shared" si="11"/>
        <v>110109.21</v>
      </c>
      <c r="O92" s="7" t="str">
        <f t="shared" si="12"/>
        <v>AXIS 3167</v>
      </c>
    </row>
    <row r="93" spans="1:15" x14ac:dyDescent="0.25">
      <c r="A93">
        <v>78</v>
      </c>
      <c r="B93" s="1">
        <v>45137</v>
      </c>
      <c r="C93" t="s">
        <v>92</v>
      </c>
      <c r="D93" s="2">
        <v>32000</v>
      </c>
      <c r="E93" s="2">
        <v>0</v>
      </c>
      <c r="F93" s="2">
        <v>78109.210000000006</v>
      </c>
      <c r="G93" t="s">
        <v>715</v>
      </c>
      <c r="H93" s="7">
        <f t="shared" si="13"/>
        <v>0</v>
      </c>
      <c r="I93" s="1">
        <f t="shared" si="7"/>
        <v>45137</v>
      </c>
      <c r="J93" s="7" t="str">
        <f t="shared" si="8"/>
        <v>INB/23347823/INTERNET TAX PAYMENT/</v>
      </c>
      <c r="K93" s="7"/>
      <c r="L93" s="7">
        <f t="shared" si="9"/>
        <v>32000</v>
      </c>
      <c r="M93" s="7">
        <f t="shared" si="10"/>
        <v>0</v>
      </c>
      <c r="N93" s="7">
        <f t="shared" si="11"/>
        <v>78109.210000000006</v>
      </c>
      <c r="O93" s="7" t="str">
        <f t="shared" si="12"/>
        <v>AXIS 3167</v>
      </c>
    </row>
    <row r="94" spans="1:15" x14ac:dyDescent="0.25">
      <c r="A94">
        <v>79</v>
      </c>
      <c r="B94" s="1">
        <v>45139</v>
      </c>
      <c r="C94" t="s">
        <v>93</v>
      </c>
      <c r="D94" s="2">
        <v>992.81</v>
      </c>
      <c r="E94" s="2">
        <v>0</v>
      </c>
      <c r="F94" s="2">
        <v>77116.399999999994</v>
      </c>
      <c r="G94" t="s">
        <v>715</v>
      </c>
      <c r="H94" s="7">
        <f t="shared" si="13"/>
        <v>0</v>
      </c>
      <c r="I94" s="1">
        <f t="shared" si="7"/>
        <v>45139</v>
      </c>
      <c r="J94" s="7" t="str">
        <f t="shared" si="8"/>
        <v>NBSM/23675866/PAYTM MOBILE SOLUTIONS PVT LTD/</v>
      </c>
      <c r="K94" s="7"/>
      <c r="L94" s="7">
        <f t="shared" si="9"/>
        <v>992.81</v>
      </c>
      <c r="M94" s="7">
        <f t="shared" si="10"/>
        <v>0</v>
      </c>
      <c r="N94" s="7">
        <f t="shared" si="11"/>
        <v>77116.399999999994</v>
      </c>
      <c r="O94" s="7" t="str">
        <f t="shared" si="12"/>
        <v>AXIS 3167</v>
      </c>
    </row>
    <row r="95" spans="1:15" x14ac:dyDescent="0.25">
      <c r="A95">
        <v>80</v>
      </c>
      <c r="B95" s="1">
        <v>45142</v>
      </c>
      <c r="C95" t="s">
        <v>94</v>
      </c>
      <c r="D95" s="2">
        <v>390.55</v>
      </c>
      <c r="E95" s="2">
        <v>0</v>
      </c>
      <c r="F95" s="2">
        <v>76725.850000000006</v>
      </c>
      <c r="G95" t="s">
        <v>715</v>
      </c>
      <c r="H95" s="7">
        <f t="shared" si="13"/>
        <v>0</v>
      </c>
      <c r="I95" s="1">
        <f t="shared" si="7"/>
        <v>45142</v>
      </c>
      <c r="J95" s="7" t="str">
        <f t="shared" si="8"/>
        <v>NBSM/24109946/PAYU.IN/</v>
      </c>
      <c r="K95" s="7"/>
      <c r="L95" s="7">
        <f t="shared" si="9"/>
        <v>390.55</v>
      </c>
      <c r="M95" s="7">
        <f t="shared" si="10"/>
        <v>0</v>
      </c>
      <c r="N95" s="7">
        <f t="shared" si="11"/>
        <v>76725.850000000006</v>
      </c>
      <c r="O95" s="7" t="str">
        <f t="shared" si="12"/>
        <v>AXIS 3167</v>
      </c>
    </row>
    <row r="96" spans="1:15" x14ac:dyDescent="0.25">
      <c r="A96">
        <v>81</v>
      </c>
      <c r="B96" s="1">
        <v>45143</v>
      </c>
      <c r="C96" t="s">
        <v>95</v>
      </c>
      <c r="D96" s="2">
        <v>500</v>
      </c>
      <c r="E96" s="2">
        <v>0</v>
      </c>
      <c r="F96" s="2">
        <v>76225.850000000006</v>
      </c>
      <c r="G96" t="s">
        <v>715</v>
      </c>
      <c r="H96" s="7">
        <f t="shared" si="13"/>
        <v>0</v>
      </c>
      <c r="I96" s="1">
        <f t="shared" si="7"/>
        <v>45143</v>
      </c>
      <c r="J96" s="7" t="str">
        <f t="shared" si="8"/>
        <v>NBSM/24303013/GOVERNMENT OF MAHARASHTRA(BILLDESK)</v>
      </c>
      <c r="K96" s="7"/>
      <c r="L96" s="7">
        <f t="shared" si="9"/>
        <v>500</v>
      </c>
      <c r="M96" s="7">
        <f t="shared" si="10"/>
        <v>0</v>
      </c>
      <c r="N96" s="7">
        <f t="shared" si="11"/>
        <v>76225.850000000006</v>
      </c>
      <c r="O96" s="7" t="str">
        <f t="shared" si="12"/>
        <v>AXIS 3167</v>
      </c>
    </row>
    <row r="97" spans="1:15" x14ac:dyDescent="0.25">
      <c r="A97">
        <v>82</v>
      </c>
      <c r="B97" s="1">
        <v>45145</v>
      </c>
      <c r="C97" t="s">
        <v>25</v>
      </c>
      <c r="D97" s="2">
        <v>5288.93</v>
      </c>
      <c r="E97" s="2">
        <v>0</v>
      </c>
      <c r="F97" s="2">
        <v>70936.92</v>
      </c>
      <c r="G97" t="s">
        <v>715</v>
      </c>
      <c r="H97" s="7">
        <f t="shared" si="13"/>
        <v>0</v>
      </c>
      <c r="I97" s="1">
        <f t="shared" si="7"/>
        <v>45145</v>
      </c>
      <c r="J97" s="7" t="str">
        <f t="shared" si="8"/>
        <v>BRN-PYMT-CARD-4111460000883615</v>
      </c>
      <c r="K97" s="7"/>
      <c r="L97" s="7">
        <f t="shared" si="9"/>
        <v>5288.93</v>
      </c>
      <c r="M97" s="7">
        <f t="shared" si="10"/>
        <v>0</v>
      </c>
      <c r="N97" s="7">
        <f t="shared" si="11"/>
        <v>70936.92</v>
      </c>
      <c r="O97" s="7" t="str">
        <f t="shared" si="12"/>
        <v>AXIS 3167</v>
      </c>
    </row>
    <row r="98" spans="1:15" x14ac:dyDescent="0.25">
      <c r="A98">
        <v>83</v>
      </c>
      <c r="B98" s="1">
        <v>45148</v>
      </c>
      <c r="C98" t="s">
        <v>96</v>
      </c>
      <c r="D98" s="2">
        <v>3500</v>
      </c>
      <c r="E98" s="2">
        <v>0</v>
      </c>
      <c r="F98" s="2">
        <v>67436.92</v>
      </c>
      <c r="G98" t="s">
        <v>715</v>
      </c>
      <c r="H98" s="7">
        <f t="shared" si="13"/>
        <v>0</v>
      </c>
      <c r="I98" s="1">
        <f t="shared" si="7"/>
        <v>45148</v>
      </c>
      <c r="J98" s="7" t="str">
        <f t="shared" si="8"/>
        <v>UPI/P2A/358876628098/GANESH RA/State Ban/Diesal</v>
      </c>
      <c r="K98" s="7"/>
      <c r="L98" s="7">
        <f t="shared" si="9"/>
        <v>3500</v>
      </c>
      <c r="M98" s="7">
        <f t="shared" si="10"/>
        <v>0</v>
      </c>
      <c r="N98" s="7">
        <f t="shared" si="11"/>
        <v>67436.92</v>
      </c>
      <c r="O98" s="7" t="str">
        <f t="shared" si="12"/>
        <v>AXIS 3167</v>
      </c>
    </row>
    <row r="99" spans="1:15" x14ac:dyDescent="0.25">
      <c r="A99">
        <v>84</v>
      </c>
      <c r="B99" s="1">
        <v>45149</v>
      </c>
      <c r="C99" t="s">
        <v>97</v>
      </c>
      <c r="D99" s="2">
        <v>330</v>
      </c>
      <c r="E99" s="2">
        <v>0</v>
      </c>
      <c r="F99" s="2">
        <v>67106.92</v>
      </c>
      <c r="G99" t="s">
        <v>715</v>
      </c>
      <c r="H99" s="7">
        <f t="shared" si="13"/>
        <v>0</v>
      </c>
      <c r="I99" s="1">
        <f t="shared" si="7"/>
        <v>45149</v>
      </c>
      <c r="J99" s="7" t="str">
        <f t="shared" si="8"/>
        <v>UPI/P2M/322368476565/Yog Chait/ICICI Ban/Yoga pa</v>
      </c>
      <c r="K99" s="7"/>
      <c r="L99" s="7">
        <f t="shared" si="9"/>
        <v>330</v>
      </c>
      <c r="M99" s="7">
        <f t="shared" si="10"/>
        <v>0</v>
      </c>
      <c r="N99" s="7">
        <f t="shared" si="11"/>
        <v>67106.92</v>
      </c>
      <c r="O99" s="7" t="str">
        <f t="shared" si="12"/>
        <v>AXIS 3167</v>
      </c>
    </row>
    <row r="100" spans="1:15" x14ac:dyDescent="0.25">
      <c r="A100">
        <v>85</v>
      </c>
      <c r="B100" s="1">
        <v>45149</v>
      </c>
      <c r="C100" t="s">
        <v>98</v>
      </c>
      <c r="D100" s="2">
        <v>10000</v>
      </c>
      <c r="E100" s="2">
        <v>0</v>
      </c>
      <c r="F100" s="2">
        <v>57106.92</v>
      </c>
      <c r="G100" t="s">
        <v>715</v>
      </c>
      <c r="H100" s="7">
        <f t="shared" si="13"/>
        <v>0</v>
      </c>
      <c r="I100" s="1">
        <f t="shared" si="7"/>
        <v>45149</v>
      </c>
      <c r="J100" s="7" t="str">
        <f t="shared" si="8"/>
        <v>ATM-CASH-AXIS/BPRH265601/5426/110823/NASHIK</v>
      </c>
      <c r="K100" s="7"/>
      <c r="L100" s="7">
        <f t="shared" si="9"/>
        <v>10000</v>
      </c>
      <c r="M100" s="7">
        <f t="shared" si="10"/>
        <v>0</v>
      </c>
      <c r="N100" s="7">
        <f t="shared" si="11"/>
        <v>57106.92</v>
      </c>
      <c r="O100" s="7" t="str">
        <f t="shared" si="12"/>
        <v>AXIS 3167</v>
      </c>
    </row>
    <row r="101" spans="1:15" x14ac:dyDescent="0.25">
      <c r="A101">
        <v>86</v>
      </c>
      <c r="B101" s="1">
        <v>45153</v>
      </c>
      <c r="C101" t="s">
        <v>99</v>
      </c>
      <c r="D101" s="2">
        <v>165</v>
      </c>
      <c r="E101" s="2">
        <v>0</v>
      </c>
      <c r="F101" s="2">
        <v>56941.919999999998</v>
      </c>
      <c r="G101" t="s">
        <v>715</v>
      </c>
      <c r="H101" s="7">
        <f t="shared" si="13"/>
        <v>0</v>
      </c>
      <c r="I101" s="1">
        <f t="shared" si="7"/>
        <v>45153</v>
      </c>
      <c r="J101" s="7" t="str">
        <f t="shared" si="8"/>
        <v>UPI/P2M/322759601099/khatabook/ICICI Ban/Vegitab</v>
      </c>
      <c r="K101" s="7"/>
      <c r="L101" s="7">
        <f t="shared" si="9"/>
        <v>165</v>
      </c>
      <c r="M101" s="7">
        <f t="shared" si="10"/>
        <v>0</v>
      </c>
      <c r="N101" s="7">
        <f t="shared" si="11"/>
        <v>56941.919999999998</v>
      </c>
      <c r="O101" s="7" t="str">
        <f t="shared" si="12"/>
        <v>AXIS 3167</v>
      </c>
    </row>
    <row r="102" spans="1:15" x14ac:dyDescent="0.25">
      <c r="A102">
        <v>87</v>
      </c>
      <c r="B102" s="1">
        <v>45156</v>
      </c>
      <c r="C102" t="s">
        <v>100</v>
      </c>
      <c r="D102" s="2">
        <v>50</v>
      </c>
      <c r="E102" s="2">
        <v>0</v>
      </c>
      <c r="F102" s="2">
        <v>56891.92</v>
      </c>
      <c r="G102" t="s">
        <v>715</v>
      </c>
      <c r="H102" s="7">
        <f t="shared" si="13"/>
        <v>0</v>
      </c>
      <c r="I102" s="1">
        <f t="shared" si="7"/>
        <v>45156</v>
      </c>
      <c r="J102" s="7" t="str">
        <f t="shared" si="8"/>
        <v>UPI/P2M/359616644178/KRUSHIKES/Yes Bank /Jarda</v>
      </c>
      <c r="K102" s="7"/>
      <c r="L102" s="7">
        <f t="shared" si="9"/>
        <v>50</v>
      </c>
      <c r="M102" s="7">
        <f t="shared" si="10"/>
        <v>0</v>
      </c>
      <c r="N102" s="7">
        <f t="shared" si="11"/>
        <v>56891.92</v>
      </c>
      <c r="O102" s="7" t="str">
        <f t="shared" si="12"/>
        <v>AXIS 3167</v>
      </c>
    </row>
    <row r="103" spans="1:15" x14ac:dyDescent="0.25">
      <c r="A103">
        <v>88</v>
      </c>
      <c r="B103" s="1">
        <v>45157</v>
      </c>
      <c r="C103" t="s">
        <v>101</v>
      </c>
      <c r="D103" s="2">
        <v>3000</v>
      </c>
      <c r="E103" s="2">
        <v>0</v>
      </c>
      <c r="F103" s="2">
        <v>53891.92</v>
      </c>
      <c r="G103" t="s">
        <v>715</v>
      </c>
      <c r="H103" s="7">
        <f t="shared" si="13"/>
        <v>0</v>
      </c>
      <c r="I103" s="1">
        <f t="shared" si="7"/>
        <v>45157</v>
      </c>
      <c r="J103" s="7" t="str">
        <f t="shared" si="8"/>
        <v>UPI/P2M/359799806103/CAPTAIN P/Yes Bank /Diesal</v>
      </c>
      <c r="K103" s="7"/>
      <c r="L103" s="7">
        <f t="shared" si="9"/>
        <v>3000</v>
      </c>
      <c r="M103" s="7">
        <f t="shared" si="10"/>
        <v>0</v>
      </c>
      <c r="N103" s="7">
        <f t="shared" si="11"/>
        <v>53891.92</v>
      </c>
      <c r="O103" s="7" t="str">
        <f t="shared" si="12"/>
        <v>AXIS 3167</v>
      </c>
    </row>
    <row r="104" spans="1:15" x14ac:dyDescent="0.25">
      <c r="A104">
        <v>89</v>
      </c>
      <c r="B104" s="1">
        <v>45159</v>
      </c>
      <c r="C104" t="s">
        <v>102</v>
      </c>
      <c r="D104" s="2">
        <v>5000</v>
      </c>
      <c r="E104" s="2">
        <v>0</v>
      </c>
      <c r="F104" s="2">
        <v>48891.92</v>
      </c>
      <c r="G104" t="s">
        <v>715</v>
      </c>
      <c r="H104" s="7">
        <f t="shared" si="13"/>
        <v>0</v>
      </c>
      <c r="I104" s="1">
        <f t="shared" si="7"/>
        <v>45159</v>
      </c>
      <c r="J104" s="7" t="str">
        <f t="shared" si="8"/>
        <v>ATM-CASH/Trimbak  M Cl/Trimbak  M Cl/210823</v>
      </c>
      <c r="K104" s="7"/>
      <c r="L104" s="7">
        <f t="shared" si="9"/>
        <v>5000</v>
      </c>
      <c r="M104" s="7">
        <f t="shared" si="10"/>
        <v>0</v>
      </c>
      <c r="N104" s="7">
        <f t="shared" si="11"/>
        <v>48891.92</v>
      </c>
      <c r="O104" s="7" t="str">
        <f t="shared" si="12"/>
        <v>AXIS 3167</v>
      </c>
    </row>
    <row r="105" spans="1:15" x14ac:dyDescent="0.25">
      <c r="A105">
        <v>90</v>
      </c>
      <c r="B105" s="1">
        <v>45160</v>
      </c>
      <c r="C105" t="s">
        <v>103</v>
      </c>
      <c r="D105" s="2">
        <v>30</v>
      </c>
      <c r="E105" s="2">
        <v>0</v>
      </c>
      <c r="F105" s="2">
        <v>48861.919999999998</v>
      </c>
      <c r="G105" t="s">
        <v>715</v>
      </c>
      <c r="H105" s="7">
        <f t="shared" si="13"/>
        <v>0</v>
      </c>
      <c r="I105" s="1">
        <f t="shared" si="7"/>
        <v>45160</v>
      </c>
      <c r="J105" s="7" t="str">
        <f t="shared" si="8"/>
        <v>UPI/P2M/360040419302/Mrs SHILP/Yes Bank /Tea</v>
      </c>
      <c r="K105" s="7"/>
      <c r="L105" s="7">
        <f t="shared" si="9"/>
        <v>30</v>
      </c>
      <c r="M105" s="7">
        <f t="shared" si="10"/>
        <v>0</v>
      </c>
      <c r="N105" s="7">
        <f t="shared" si="11"/>
        <v>48861.919999999998</v>
      </c>
      <c r="O105" s="7" t="str">
        <f t="shared" si="12"/>
        <v>AXIS 3167</v>
      </c>
    </row>
    <row r="106" spans="1:15" x14ac:dyDescent="0.25">
      <c r="A106">
        <v>91</v>
      </c>
      <c r="B106" s="1">
        <v>45162</v>
      </c>
      <c r="C106" t="s">
        <v>104</v>
      </c>
      <c r="D106" s="2">
        <v>0</v>
      </c>
      <c r="E106" s="2">
        <v>1512412</v>
      </c>
      <c r="F106" s="2">
        <v>1561273.92</v>
      </c>
      <c r="G106" t="s">
        <v>715</v>
      </c>
      <c r="H106" s="7">
        <f t="shared" si="13"/>
        <v>0</v>
      </c>
      <c r="I106" s="1">
        <f t="shared" si="7"/>
        <v>45162</v>
      </c>
      <c r="J106" s="7" t="str">
        <f t="shared" si="8"/>
        <v>TRF/JINDAL SAW LIMITED/transfer</v>
      </c>
      <c r="K106" s="7"/>
      <c r="L106" s="7">
        <f t="shared" si="9"/>
        <v>0</v>
      </c>
      <c r="M106" s="7">
        <f t="shared" si="10"/>
        <v>1512412</v>
      </c>
      <c r="N106" s="7">
        <f t="shared" si="11"/>
        <v>1561273.92</v>
      </c>
      <c r="O106" s="7" t="str">
        <f t="shared" si="12"/>
        <v>AXIS 3167</v>
      </c>
    </row>
    <row r="107" spans="1:15" x14ac:dyDescent="0.25">
      <c r="A107">
        <v>92</v>
      </c>
      <c r="B107" s="1">
        <v>45162</v>
      </c>
      <c r="C107" t="s">
        <v>105</v>
      </c>
      <c r="D107" s="2">
        <v>500000</v>
      </c>
      <c r="E107" s="2">
        <v>0</v>
      </c>
      <c r="F107" s="2">
        <v>1061273.92</v>
      </c>
      <c r="G107" t="s">
        <v>715</v>
      </c>
      <c r="H107" s="7">
        <f t="shared" si="13"/>
        <v>0</v>
      </c>
      <c r="I107" s="1">
        <f t="shared" si="7"/>
        <v>45162</v>
      </c>
      <c r="J107" s="7" t="str">
        <f t="shared" si="8"/>
        <v>NEFT/IR/AXOIR32366073380/Ajay Kumar Gupta/STATE BANK OF INDIA/House Loan</v>
      </c>
      <c r="K107" s="7"/>
      <c r="L107" s="7">
        <f t="shared" si="9"/>
        <v>500000</v>
      </c>
      <c r="M107" s="7">
        <f t="shared" si="10"/>
        <v>0</v>
      </c>
      <c r="N107" s="7">
        <f t="shared" si="11"/>
        <v>1061273.92</v>
      </c>
      <c r="O107" s="7" t="str">
        <f t="shared" si="12"/>
        <v>AXIS 3167</v>
      </c>
    </row>
    <row r="108" spans="1:15" x14ac:dyDescent="0.25">
      <c r="A108">
        <v>93</v>
      </c>
      <c r="B108" s="1">
        <v>45162</v>
      </c>
      <c r="C108" t="s">
        <v>106</v>
      </c>
      <c r="D108" s="2">
        <v>500000</v>
      </c>
      <c r="E108" s="2">
        <v>0</v>
      </c>
      <c r="F108" s="2">
        <v>561273.92000000004</v>
      </c>
      <c r="G108" t="s">
        <v>715</v>
      </c>
      <c r="H108" s="7">
        <f t="shared" si="13"/>
        <v>0</v>
      </c>
      <c r="I108" s="1">
        <f t="shared" si="7"/>
        <v>45162</v>
      </c>
      <c r="J108" s="7" t="str">
        <f t="shared" si="8"/>
        <v>NEFT/IR/AXOIR32366074498/Ajay Gupta/HDFC BANK/Transfer from Axis</v>
      </c>
      <c r="K108" s="7"/>
      <c r="L108" s="7">
        <f t="shared" si="9"/>
        <v>500000</v>
      </c>
      <c r="M108" s="7">
        <f t="shared" si="10"/>
        <v>0</v>
      </c>
      <c r="N108" s="7">
        <f t="shared" si="11"/>
        <v>561273.92000000004</v>
      </c>
      <c r="O108" s="7" t="str">
        <f t="shared" si="12"/>
        <v>AXIS 3167</v>
      </c>
    </row>
    <row r="109" spans="1:15" x14ac:dyDescent="0.25">
      <c r="A109">
        <v>94</v>
      </c>
      <c r="B109" s="1">
        <v>45163</v>
      </c>
      <c r="C109" t="s">
        <v>107</v>
      </c>
      <c r="D109" s="2">
        <v>1800</v>
      </c>
      <c r="E109" s="2">
        <v>0</v>
      </c>
      <c r="F109" s="2">
        <v>559473.92000000004</v>
      </c>
      <c r="G109" t="s">
        <v>715</v>
      </c>
      <c r="H109" s="7">
        <f t="shared" si="13"/>
        <v>0</v>
      </c>
      <c r="I109" s="1">
        <f t="shared" si="7"/>
        <v>45163</v>
      </c>
      <c r="J109" s="7" t="str">
        <f t="shared" si="8"/>
        <v>NBSM/26909971/Maha Electricity(BILLDESK)/</v>
      </c>
      <c r="K109" s="7"/>
      <c r="L109" s="7">
        <f t="shared" si="9"/>
        <v>1800</v>
      </c>
      <c r="M109" s="7">
        <f t="shared" si="10"/>
        <v>0</v>
      </c>
      <c r="N109" s="7">
        <f t="shared" si="11"/>
        <v>559473.92000000004</v>
      </c>
      <c r="O109" s="7" t="str">
        <f t="shared" si="12"/>
        <v>AXIS 3167</v>
      </c>
    </row>
    <row r="110" spans="1:15" x14ac:dyDescent="0.25">
      <c r="A110">
        <v>95</v>
      </c>
      <c r="B110" s="1">
        <v>45164</v>
      </c>
      <c r="C110" t="s">
        <v>108</v>
      </c>
      <c r="D110" s="2">
        <v>0</v>
      </c>
      <c r="E110" s="2">
        <v>1.61</v>
      </c>
      <c r="F110" s="2">
        <v>559475.53</v>
      </c>
      <c r="G110" t="s">
        <v>715</v>
      </c>
      <c r="H110" s="7">
        <f t="shared" si="13"/>
        <v>0</v>
      </c>
      <c r="I110" s="1">
        <f t="shared" si="7"/>
        <v>45164</v>
      </c>
      <c r="J110" s="7" t="str">
        <f t="shared" si="8"/>
        <v>IMPS/P2A/323811561023/921020012776704/260823</v>
      </c>
      <c r="K110" s="7"/>
      <c r="L110" s="7">
        <f t="shared" si="9"/>
        <v>0</v>
      </c>
      <c r="M110" s="7">
        <f t="shared" si="10"/>
        <v>1.61</v>
      </c>
      <c r="N110" s="7">
        <f t="shared" si="11"/>
        <v>559475.53</v>
      </c>
      <c r="O110" s="7" t="str">
        <f t="shared" si="12"/>
        <v>AXIS 3167</v>
      </c>
    </row>
    <row r="111" spans="1:15" x14ac:dyDescent="0.25">
      <c r="A111">
        <v>96</v>
      </c>
      <c r="B111" s="1">
        <v>45166</v>
      </c>
      <c r="C111" t="s">
        <v>109</v>
      </c>
      <c r="D111" s="2">
        <v>992.81</v>
      </c>
      <c r="E111" s="2">
        <v>0</v>
      </c>
      <c r="F111" s="2">
        <v>558482.72</v>
      </c>
      <c r="G111" t="s">
        <v>715</v>
      </c>
      <c r="H111" s="7">
        <f t="shared" si="13"/>
        <v>0</v>
      </c>
      <c r="I111" s="1">
        <f t="shared" si="7"/>
        <v>45166</v>
      </c>
      <c r="J111" s="7" t="str">
        <f t="shared" si="8"/>
        <v>NBSM/27271827/PAYTM MOBILE SOLUTIONS PVT LTD/</v>
      </c>
      <c r="K111" s="7"/>
      <c r="L111" s="7">
        <f t="shared" si="9"/>
        <v>992.81</v>
      </c>
      <c r="M111" s="7">
        <f t="shared" si="10"/>
        <v>0</v>
      </c>
      <c r="N111" s="7">
        <f t="shared" si="11"/>
        <v>558482.72</v>
      </c>
      <c r="O111" s="7" t="str">
        <f t="shared" si="12"/>
        <v>AXIS 3167</v>
      </c>
    </row>
    <row r="112" spans="1:15" x14ac:dyDescent="0.25">
      <c r="A112">
        <v>97</v>
      </c>
      <c r="B112" s="1">
        <v>45166</v>
      </c>
      <c r="C112" t="s">
        <v>110</v>
      </c>
      <c r="D112" s="2">
        <v>200000</v>
      </c>
      <c r="E112" s="2">
        <v>0</v>
      </c>
      <c r="F112" s="2">
        <v>358482.72</v>
      </c>
      <c r="G112" t="s">
        <v>715</v>
      </c>
      <c r="H112" s="7">
        <f t="shared" si="13"/>
        <v>0</v>
      </c>
      <c r="I112" s="1">
        <f t="shared" si="7"/>
        <v>45166</v>
      </c>
      <c r="J112" s="7" t="str">
        <f t="shared" si="8"/>
        <v>NEFT/IR/AXOIR32408328549/Ajay Gupta/HDFC BANK/Transfer from Axis</v>
      </c>
      <c r="K112" s="7"/>
      <c r="L112" s="7">
        <f t="shared" si="9"/>
        <v>200000</v>
      </c>
      <c r="M112" s="7">
        <f t="shared" si="10"/>
        <v>0</v>
      </c>
      <c r="N112" s="7">
        <f t="shared" si="11"/>
        <v>358482.72</v>
      </c>
      <c r="O112" s="7" t="str">
        <f t="shared" si="12"/>
        <v>AXIS 3167</v>
      </c>
    </row>
    <row r="113" spans="1:15" x14ac:dyDescent="0.25">
      <c r="A113">
        <v>98</v>
      </c>
      <c r="B113" s="1">
        <v>45166</v>
      </c>
      <c r="C113" t="s">
        <v>51</v>
      </c>
      <c r="D113" s="2">
        <v>25000</v>
      </c>
      <c r="E113" s="2">
        <v>0</v>
      </c>
      <c r="F113" s="2">
        <v>333482.71999999997</v>
      </c>
      <c r="G113" t="s">
        <v>715</v>
      </c>
      <c r="H113" s="7">
        <f t="shared" si="13"/>
        <v>0</v>
      </c>
      <c r="I113" s="1">
        <f t="shared" si="7"/>
        <v>45166</v>
      </c>
      <c r="J113" s="7" t="str">
        <f t="shared" si="8"/>
        <v>INB/IFT/Sunita Gupta/TPARTY TRANSFER</v>
      </c>
      <c r="K113" s="7"/>
      <c r="L113" s="7">
        <f t="shared" si="9"/>
        <v>25000</v>
      </c>
      <c r="M113" s="7">
        <f t="shared" si="10"/>
        <v>0</v>
      </c>
      <c r="N113" s="7">
        <f t="shared" si="11"/>
        <v>333482.71999999997</v>
      </c>
      <c r="O113" s="7" t="str">
        <f t="shared" si="12"/>
        <v>AXIS 3167</v>
      </c>
    </row>
    <row r="114" spans="1:15" x14ac:dyDescent="0.25">
      <c r="A114">
        <v>99</v>
      </c>
      <c r="B114" s="1">
        <v>45166</v>
      </c>
      <c r="C114" t="s">
        <v>111</v>
      </c>
      <c r="D114" s="2">
        <v>5000</v>
      </c>
      <c r="E114" s="2">
        <v>0</v>
      </c>
      <c r="F114" s="2">
        <v>328482.71999999997</v>
      </c>
      <c r="G114" t="s">
        <v>715</v>
      </c>
      <c r="H114" s="7">
        <f t="shared" si="13"/>
        <v>0</v>
      </c>
      <c r="I114" s="1">
        <f t="shared" si="7"/>
        <v>45166</v>
      </c>
      <c r="J114" s="7" t="str">
        <f t="shared" si="8"/>
        <v>INB/IFT/Archit Gupta/TPARTY TRANSFER</v>
      </c>
      <c r="K114" s="7"/>
      <c r="L114" s="7">
        <f t="shared" si="9"/>
        <v>5000</v>
      </c>
      <c r="M114" s="7">
        <f t="shared" si="10"/>
        <v>0</v>
      </c>
      <c r="N114" s="7">
        <f t="shared" si="11"/>
        <v>328482.71999999997</v>
      </c>
      <c r="O114" s="7" t="str">
        <f t="shared" si="12"/>
        <v>AXIS 3167</v>
      </c>
    </row>
    <row r="115" spans="1:15" x14ac:dyDescent="0.25">
      <c r="A115">
        <v>100</v>
      </c>
      <c r="B115" s="1">
        <v>45167</v>
      </c>
      <c r="C115" t="s">
        <v>112</v>
      </c>
      <c r="D115" s="2">
        <v>20</v>
      </c>
      <c r="E115" s="2">
        <v>0</v>
      </c>
      <c r="F115" s="2">
        <v>328462.71999999997</v>
      </c>
      <c r="G115" t="s">
        <v>715</v>
      </c>
      <c r="H115" s="7">
        <f t="shared" si="13"/>
        <v>0</v>
      </c>
      <c r="I115" s="1">
        <f t="shared" si="7"/>
        <v>45167</v>
      </c>
      <c r="J115" s="7" t="str">
        <f t="shared" si="8"/>
        <v>UPI/P2M/324190225582/Mr Asaram/Paytm Pay/Vegitab</v>
      </c>
      <c r="K115" s="7"/>
      <c r="L115" s="7">
        <f t="shared" si="9"/>
        <v>20</v>
      </c>
      <c r="M115" s="7">
        <f t="shared" si="10"/>
        <v>0</v>
      </c>
      <c r="N115" s="7">
        <f t="shared" si="11"/>
        <v>328462.71999999997</v>
      </c>
      <c r="O115" s="7" t="str">
        <f t="shared" si="12"/>
        <v>AXIS 3167</v>
      </c>
    </row>
    <row r="116" spans="1:15" x14ac:dyDescent="0.25">
      <c r="A116">
        <v>101</v>
      </c>
      <c r="B116" s="1">
        <v>45167</v>
      </c>
      <c r="C116" t="s">
        <v>113</v>
      </c>
      <c r="D116" s="2">
        <v>609.84</v>
      </c>
      <c r="E116" s="2">
        <v>0</v>
      </c>
      <c r="F116" s="2">
        <v>327852.88</v>
      </c>
      <c r="G116" t="s">
        <v>715</v>
      </c>
      <c r="H116" s="7">
        <f t="shared" si="13"/>
        <v>0</v>
      </c>
      <c r="I116" s="1">
        <f t="shared" si="7"/>
        <v>45167</v>
      </c>
      <c r="J116" s="7" t="str">
        <f t="shared" si="8"/>
        <v>UPI/P2M/324196871090/MEDPLUS A/Paytm Pay/Medicen</v>
      </c>
      <c r="K116" s="7"/>
      <c r="L116" s="7">
        <f t="shared" si="9"/>
        <v>609.84</v>
      </c>
      <c r="M116" s="7">
        <f t="shared" si="10"/>
        <v>0</v>
      </c>
      <c r="N116" s="7">
        <f t="shared" si="11"/>
        <v>327852.88</v>
      </c>
      <c r="O116" s="7" t="str">
        <f t="shared" si="12"/>
        <v>AXIS 3167</v>
      </c>
    </row>
    <row r="117" spans="1:15" x14ac:dyDescent="0.25">
      <c r="A117">
        <v>102</v>
      </c>
      <c r="B117" s="1">
        <v>45168</v>
      </c>
      <c r="C117" t="s">
        <v>114</v>
      </c>
      <c r="D117" s="2">
        <v>20000</v>
      </c>
      <c r="E117" s="2">
        <v>0</v>
      </c>
      <c r="F117" s="2">
        <v>307852.88</v>
      </c>
      <c r="G117" t="s">
        <v>715</v>
      </c>
      <c r="H117" s="7">
        <f t="shared" si="13"/>
        <v>0</v>
      </c>
      <c r="I117" s="1">
        <f t="shared" si="7"/>
        <v>45168</v>
      </c>
      <c r="J117" s="7" t="str">
        <f t="shared" si="8"/>
        <v>ATM-CASH-AXIS/BPRH265601/8549/300823/NASHIK</v>
      </c>
      <c r="K117" s="7"/>
      <c r="L117" s="7">
        <f t="shared" si="9"/>
        <v>20000</v>
      </c>
      <c r="M117" s="7">
        <f t="shared" si="10"/>
        <v>0</v>
      </c>
      <c r="N117" s="7">
        <f t="shared" si="11"/>
        <v>307852.88</v>
      </c>
      <c r="O117" s="7" t="str">
        <f t="shared" si="12"/>
        <v>AXIS 3167</v>
      </c>
    </row>
    <row r="118" spans="1:15" x14ac:dyDescent="0.25">
      <c r="A118">
        <v>103</v>
      </c>
      <c r="B118" s="1">
        <v>45168</v>
      </c>
      <c r="C118" t="s">
        <v>115</v>
      </c>
      <c r="D118" s="2">
        <v>150000</v>
      </c>
      <c r="E118" s="2">
        <v>0</v>
      </c>
      <c r="F118" s="2">
        <v>157852.88</v>
      </c>
      <c r="G118" t="s">
        <v>715</v>
      </c>
      <c r="H118" s="7">
        <f t="shared" si="13"/>
        <v>0</v>
      </c>
      <c r="I118" s="1">
        <f t="shared" si="7"/>
        <v>45168</v>
      </c>
      <c r="J118" s="7" t="str">
        <f t="shared" si="8"/>
        <v>NEFT/IR/AXOIR32424691968/Ajay Gupta/HDFC BANK/from Axis</v>
      </c>
      <c r="K118" s="7"/>
      <c r="L118" s="7">
        <f t="shared" si="9"/>
        <v>150000</v>
      </c>
      <c r="M118" s="7">
        <f t="shared" si="10"/>
        <v>0</v>
      </c>
      <c r="N118" s="7">
        <f t="shared" si="11"/>
        <v>157852.88</v>
      </c>
      <c r="O118" s="7" t="str">
        <f t="shared" si="12"/>
        <v>AXIS 3167</v>
      </c>
    </row>
    <row r="119" spans="1:15" x14ac:dyDescent="0.25">
      <c r="A119">
        <v>104</v>
      </c>
      <c r="B119" s="1">
        <v>45168</v>
      </c>
      <c r="C119" t="s">
        <v>116</v>
      </c>
      <c r="D119" s="2">
        <v>1080</v>
      </c>
      <c r="E119" s="2">
        <v>0</v>
      </c>
      <c r="F119" s="2">
        <v>156772.88</v>
      </c>
      <c r="G119" t="s">
        <v>715</v>
      </c>
      <c r="H119" s="7">
        <f t="shared" si="13"/>
        <v>0</v>
      </c>
      <c r="I119" s="1">
        <f t="shared" si="7"/>
        <v>45168</v>
      </c>
      <c r="J119" s="7" t="str">
        <f t="shared" si="8"/>
        <v>UPI/P2M/360848110032/SAGAR SWE/Yes Bank /Sweet</v>
      </c>
      <c r="K119" s="7"/>
      <c r="L119" s="7">
        <f t="shared" si="9"/>
        <v>1080</v>
      </c>
      <c r="M119" s="7">
        <f t="shared" si="10"/>
        <v>0</v>
      </c>
      <c r="N119" s="7">
        <f t="shared" si="11"/>
        <v>156772.88</v>
      </c>
      <c r="O119" s="7" t="str">
        <f t="shared" si="12"/>
        <v>AXIS 3167</v>
      </c>
    </row>
    <row r="120" spans="1:15" x14ac:dyDescent="0.25">
      <c r="A120">
        <v>105</v>
      </c>
      <c r="B120" s="1">
        <v>45170</v>
      </c>
      <c r="C120" t="s">
        <v>117</v>
      </c>
      <c r="D120" s="2">
        <v>3850</v>
      </c>
      <c r="E120" s="2">
        <v>0</v>
      </c>
      <c r="F120" s="2">
        <v>152922.88</v>
      </c>
      <c r="G120" t="s">
        <v>715</v>
      </c>
      <c r="H120" s="7">
        <f t="shared" si="13"/>
        <v>0</v>
      </c>
      <c r="I120" s="1">
        <f t="shared" si="7"/>
        <v>45170</v>
      </c>
      <c r="J120" s="7" t="str">
        <f t="shared" si="8"/>
        <v>UPI/P2M/324451088598/Shri Ram /Axis Bank/Cloths</v>
      </c>
      <c r="K120" s="7"/>
      <c r="L120" s="7">
        <f t="shared" si="9"/>
        <v>3850</v>
      </c>
      <c r="M120" s="7">
        <f t="shared" si="10"/>
        <v>0</v>
      </c>
      <c r="N120" s="7">
        <f t="shared" si="11"/>
        <v>152922.88</v>
      </c>
      <c r="O120" s="7" t="str">
        <f t="shared" si="12"/>
        <v>AXIS 3167</v>
      </c>
    </row>
    <row r="121" spans="1:15" x14ac:dyDescent="0.25">
      <c r="A121">
        <v>106</v>
      </c>
      <c r="B121" s="1">
        <v>45173</v>
      </c>
      <c r="C121" t="s">
        <v>118</v>
      </c>
      <c r="D121" s="2">
        <v>2400.84</v>
      </c>
      <c r="E121" s="2">
        <v>0</v>
      </c>
      <c r="F121" s="2">
        <v>150522.04</v>
      </c>
      <c r="G121" t="s">
        <v>715</v>
      </c>
      <c r="H121" s="7">
        <f t="shared" si="13"/>
        <v>0</v>
      </c>
      <c r="I121" s="1">
        <f t="shared" si="7"/>
        <v>45173</v>
      </c>
      <c r="J121" s="7" t="str">
        <f t="shared" si="8"/>
        <v>UPI/P2M/324790892145/JAINFILLINGSTATION   /Petro</v>
      </c>
      <c r="K121" s="7"/>
      <c r="L121" s="7">
        <f t="shared" si="9"/>
        <v>2400.84</v>
      </c>
      <c r="M121" s="7">
        <f t="shared" si="10"/>
        <v>0</v>
      </c>
      <c r="N121" s="7">
        <f t="shared" si="11"/>
        <v>150522.04</v>
      </c>
      <c r="O121" s="7" t="str">
        <f t="shared" si="12"/>
        <v>AXIS 3167</v>
      </c>
    </row>
    <row r="122" spans="1:15" x14ac:dyDescent="0.25">
      <c r="A122">
        <v>107</v>
      </c>
      <c r="B122" s="1">
        <v>45176</v>
      </c>
      <c r="C122" t="s">
        <v>25</v>
      </c>
      <c r="D122" s="2">
        <v>68959.710000000006</v>
      </c>
      <c r="E122" s="2">
        <v>0</v>
      </c>
      <c r="F122" s="2">
        <v>81562.33</v>
      </c>
      <c r="G122" t="s">
        <v>715</v>
      </c>
      <c r="H122" s="7">
        <f t="shared" si="13"/>
        <v>0</v>
      </c>
      <c r="I122" s="1">
        <f t="shared" si="7"/>
        <v>45176</v>
      </c>
      <c r="J122" s="7" t="str">
        <f t="shared" si="8"/>
        <v>BRN-PYMT-CARD-4111460000883615</v>
      </c>
      <c r="K122" s="7"/>
      <c r="L122" s="7">
        <f t="shared" si="9"/>
        <v>68959.710000000006</v>
      </c>
      <c r="M122" s="7">
        <f t="shared" si="10"/>
        <v>0</v>
      </c>
      <c r="N122" s="7">
        <f t="shared" si="11"/>
        <v>81562.33</v>
      </c>
      <c r="O122" s="7" t="str">
        <f t="shared" si="12"/>
        <v>AXIS 3167</v>
      </c>
    </row>
    <row r="123" spans="1:15" x14ac:dyDescent="0.25">
      <c r="A123">
        <v>108</v>
      </c>
      <c r="B123" s="1">
        <v>45178</v>
      </c>
      <c r="C123" t="s">
        <v>119</v>
      </c>
      <c r="D123" s="2">
        <v>60000</v>
      </c>
      <c r="E123" s="2">
        <v>0</v>
      </c>
      <c r="F123" s="2">
        <v>21562.33</v>
      </c>
      <c r="G123" t="s">
        <v>715</v>
      </c>
      <c r="H123" s="7">
        <f t="shared" si="13"/>
        <v>0</v>
      </c>
      <c r="I123" s="1">
        <f t="shared" si="7"/>
        <v>45178</v>
      </c>
      <c r="J123" s="7" t="str">
        <f t="shared" si="8"/>
        <v>NEFT/IR/AXOIR32524351649/Ajay Gupta/HDFC BANK/Transfer from Axis Bank</v>
      </c>
      <c r="K123" s="7"/>
      <c r="L123" s="7">
        <f t="shared" si="9"/>
        <v>60000</v>
      </c>
      <c r="M123" s="7">
        <f t="shared" si="10"/>
        <v>0</v>
      </c>
      <c r="N123" s="7">
        <f t="shared" si="11"/>
        <v>21562.33</v>
      </c>
      <c r="O123" s="7" t="str">
        <f t="shared" si="12"/>
        <v>AXIS 3167</v>
      </c>
    </row>
    <row r="124" spans="1:15" x14ac:dyDescent="0.25">
      <c r="A124">
        <v>109</v>
      </c>
      <c r="B124" s="1">
        <v>45180</v>
      </c>
      <c r="C124" t="s">
        <v>120</v>
      </c>
      <c r="D124" s="2">
        <v>2000</v>
      </c>
      <c r="E124" s="2">
        <v>0</v>
      </c>
      <c r="F124" s="2">
        <v>19562.330000000002</v>
      </c>
      <c r="G124" t="s">
        <v>715</v>
      </c>
      <c r="H124" s="7">
        <f t="shared" si="13"/>
        <v>0</v>
      </c>
      <c r="I124" s="1">
        <f t="shared" si="7"/>
        <v>45180</v>
      </c>
      <c r="J124" s="7" t="str">
        <f t="shared" si="8"/>
        <v>UPI/P2M/325461382412/ARAGHYODHAM NISARGA A/Yoga/Bank of Maharashtra</v>
      </c>
      <c r="K124" s="7"/>
      <c r="L124" s="7">
        <f t="shared" si="9"/>
        <v>2000</v>
      </c>
      <c r="M124" s="7">
        <f t="shared" si="10"/>
        <v>0</v>
      </c>
      <c r="N124" s="7">
        <f t="shared" si="11"/>
        <v>19562.330000000002</v>
      </c>
      <c r="O124" s="7" t="str">
        <f t="shared" si="12"/>
        <v>AXIS 3167</v>
      </c>
    </row>
    <row r="125" spans="1:15" x14ac:dyDescent="0.25">
      <c r="A125">
        <v>110</v>
      </c>
      <c r="B125" s="1">
        <v>45180</v>
      </c>
      <c r="C125" t="s">
        <v>121</v>
      </c>
      <c r="D125" s="2">
        <v>418</v>
      </c>
      <c r="E125" s="2">
        <v>0</v>
      </c>
      <c r="F125" s="2">
        <v>19144.330000000002</v>
      </c>
      <c r="G125" t="s">
        <v>715</v>
      </c>
      <c r="H125" s="7">
        <f t="shared" si="13"/>
        <v>0</v>
      </c>
      <c r="I125" s="1">
        <f t="shared" si="7"/>
        <v>45180</v>
      </c>
      <c r="J125" s="7" t="str">
        <f t="shared" si="8"/>
        <v>UPI/P2M/325442713257/Yog Chaitanya Sadhana/Ayurve/ICICI Bank</v>
      </c>
      <c r="K125" s="7"/>
      <c r="L125" s="7">
        <f t="shared" si="9"/>
        <v>418</v>
      </c>
      <c r="M125" s="7">
        <f t="shared" si="10"/>
        <v>0</v>
      </c>
      <c r="N125" s="7">
        <f t="shared" si="11"/>
        <v>19144.330000000002</v>
      </c>
      <c r="O125" s="7" t="str">
        <f t="shared" si="12"/>
        <v>AXIS 3167</v>
      </c>
    </row>
    <row r="126" spans="1:15" x14ac:dyDescent="0.25">
      <c r="A126">
        <v>111</v>
      </c>
      <c r="B126" s="1">
        <v>45182</v>
      </c>
      <c r="C126" t="s">
        <v>122</v>
      </c>
      <c r="D126" s="2">
        <v>0</v>
      </c>
      <c r="E126" s="2">
        <v>100000</v>
      </c>
      <c r="F126" s="2">
        <v>119144.33</v>
      </c>
      <c r="G126" t="s">
        <v>715</v>
      </c>
      <c r="H126" s="7">
        <f t="shared" si="13"/>
        <v>0</v>
      </c>
      <c r="I126" s="1">
        <f t="shared" si="7"/>
        <v>45182</v>
      </c>
      <c r="J126" s="7" t="str">
        <f t="shared" si="8"/>
        <v>NEFT/N256232639966325/AJAY KUMA/HDFC BANK/from HDF</v>
      </c>
      <c r="K126" s="7"/>
      <c r="L126" s="7">
        <f t="shared" si="9"/>
        <v>0</v>
      </c>
      <c r="M126" s="7">
        <f t="shared" si="10"/>
        <v>100000</v>
      </c>
      <c r="N126" s="7">
        <f t="shared" si="11"/>
        <v>119144.33</v>
      </c>
      <c r="O126" s="7" t="str">
        <f t="shared" si="12"/>
        <v>AXIS 3167</v>
      </c>
    </row>
    <row r="127" spans="1:15" x14ac:dyDescent="0.25">
      <c r="A127">
        <v>112</v>
      </c>
      <c r="B127" s="1">
        <v>45185</v>
      </c>
      <c r="C127" t="s">
        <v>123</v>
      </c>
      <c r="D127" s="2">
        <v>144.68</v>
      </c>
      <c r="E127" s="2">
        <v>0</v>
      </c>
      <c r="F127" s="2">
        <v>118999.65</v>
      </c>
      <c r="G127" t="s">
        <v>715</v>
      </c>
      <c r="H127" s="7">
        <f t="shared" si="13"/>
        <v>0</v>
      </c>
      <c r="I127" s="1">
        <f t="shared" si="7"/>
        <v>45185</v>
      </c>
      <c r="J127" s="7" t="str">
        <f t="shared" si="8"/>
        <v>UPI/P2M/325937310930/MEDPLUS ASHOKAMARG   /Paste/Paytm Payments Bank</v>
      </c>
      <c r="K127" s="7"/>
      <c r="L127" s="7">
        <f t="shared" si="9"/>
        <v>144.68</v>
      </c>
      <c r="M127" s="7">
        <f t="shared" si="10"/>
        <v>0</v>
      </c>
      <c r="N127" s="7">
        <f t="shared" si="11"/>
        <v>118999.65</v>
      </c>
      <c r="O127" s="7" t="str">
        <f t="shared" si="12"/>
        <v>AXIS 3167</v>
      </c>
    </row>
    <row r="128" spans="1:15" x14ac:dyDescent="0.25">
      <c r="A128">
        <v>113</v>
      </c>
      <c r="B128" s="1">
        <v>45189</v>
      </c>
      <c r="C128" t="s">
        <v>124</v>
      </c>
      <c r="D128" s="2">
        <v>236</v>
      </c>
      <c r="E128" s="2">
        <v>0</v>
      </c>
      <c r="F128" s="2">
        <v>118763.65</v>
      </c>
      <c r="G128" t="s">
        <v>715</v>
      </c>
      <c r="H128" s="7">
        <f t="shared" si="13"/>
        <v>0</v>
      </c>
      <c r="I128" s="1">
        <f t="shared" si="7"/>
        <v>45189</v>
      </c>
      <c r="J128" s="7" t="str">
        <f t="shared" si="8"/>
        <v>UPI/P2M/362929812456/NEW TRISHA MEDICAL   /Medice/Yes Bank Ltd</v>
      </c>
      <c r="K128" s="7"/>
      <c r="L128" s="7">
        <f t="shared" si="9"/>
        <v>236</v>
      </c>
      <c r="M128" s="7">
        <f t="shared" si="10"/>
        <v>0</v>
      </c>
      <c r="N128" s="7">
        <f t="shared" si="11"/>
        <v>118763.65</v>
      </c>
      <c r="O128" s="7" t="str">
        <f t="shared" si="12"/>
        <v>AXIS 3167</v>
      </c>
    </row>
    <row r="129" spans="1:15" x14ac:dyDescent="0.25">
      <c r="A129">
        <v>114</v>
      </c>
      <c r="B129" s="1">
        <v>45190</v>
      </c>
      <c r="C129" t="s">
        <v>125</v>
      </c>
      <c r="D129" s="2">
        <v>249</v>
      </c>
      <c r="E129" s="2">
        <v>0</v>
      </c>
      <c r="F129" s="2">
        <v>118514.65</v>
      </c>
      <c r="G129" t="s">
        <v>715</v>
      </c>
      <c r="H129" s="7">
        <f t="shared" si="13"/>
        <v>0</v>
      </c>
      <c r="I129" s="1">
        <f t="shared" si="7"/>
        <v>45190</v>
      </c>
      <c r="J129" s="7" t="str">
        <f t="shared" si="8"/>
        <v>UPI/P2M/326412228972/MEDPLUS ASHOKAMARG   /Honey/Paytm Payments Bank</v>
      </c>
      <c r="K129" s="7"/>
      <c r="L129" s="7">
        <f t="shared" si="9"/>
        <v>249</v>
      </c>
      <c r="M129" s="7">
        <f t="shared" si="10"/>
        <v>0</v>
      </c>
      <c r="N129" s="7">
        <f t="shared" si="11"/>
        <v>118514.65</v>
      </c>
      <c r="O129" s="7" t="str">
        <f t="shared" si="12"/>
        <v>AXIS 3167</v>
      </c>
    </row>
    <row r="130" spans="1:15" x14ac:dyDescent="0.25">
      <c r="A130">
        <v>115</v>
      </c>
      <c r="B130" s="1">
        <v>45192</v>
      </c>
      <c r="C130" t="s">
        <v>126</v>
      </c>
      <c r="D130" s="2">
        <v>50</v>
      </c>
      <c r="E130" s="2">
        <v>0</v>
      </c>
      <c r="F130" s="2">
        <v>118464.65</v>
      </c>
      <c r="G130" t="s">
        <v>715</v>
      </c>
      <c r="H130" s="7">
        <f t="shared" si="13"/>
        <v>0</v>
      </c>
      <c r="I130" s="1">
        <f t="shared" si="7"/>
        <v>45192</v>
      </c>
      <c r="J130" s="7" t="str">
        <f t="shared" si="8"/>
        <v>UPI/P2M/363256285803/MANSUR MEHAMUD KHAN  /Fruit/Yes Bank Ltd</v>
      </c>
      <c r="K130" s="7"/>
      <c r="L130" s="7">
        <f t="shared" si="9"/>
        <v>50</v>
      </c>
      <c r="M130" s="7">
        <f t="shared" si="10"/>
        <v>0</v>
      </c>
      <c r="N130" s="7">
        <f t="shared" si="11"/>
        <v>118464.65</v>
      </c>
      <c r="O130" s="7" t="str">
        <f t="shared" si="12"/>
        <v>AXIS 3167</v>
      </c>
    </row>
    <row r="131" spans="1:15" x14ac:dyDescent="0.25">
      <c r="A131">
        <v>116</v>
      </c>
      <c r="B131" s="1">
        <v>45192</v>
      </c>
      <c r="C131" t="s">
        <v>127</v>
      </c>
      <c r="D131" s="2">
        <v>1530</v>
      </c>
      <c r="E131" s="2">
        <v>0</v>
      </c>
      <c r="F131" s="2">
        <v>116934.65</v>
      </c>
      <c r="G131" t="s">
        <v>715</v>
      </c>
      <c r="H131" s="7">
        <f t="shared" si="13"/>
        <v>0</v>
      </c>
      <c r="I131" s="1">
        <f t="shared" si="7"/>
        <v>45192</v>
      </c>
      <c r="J131" s="7" t="str">
        <f t="shared" si="8"/>
        <v>NBSM/30919834/Maha Electricity(BILLDESK)/</v>
      </c>
      <c r="K131" s="7"/>
      <c r="L131" s="7">
        <f t="shared" si="9"/>
        <v>1530</v>
      </c>
      <c r="M131" s="7">
        <f t="shared" si="10"/>
        <v>0</v>
      </c>
      <c r="N131" s="7">
        <f t="shared" si="11"/>
        <v>116934.65</v>
      </c>
      <c r="O131" s="7" t="str">
        <f t="shared" si="12"/>
        <v>AXIS 3167</v>
      </c>
    </row>
    <row r="132" spans="1:15" x14ac:dyDescent="0.25">
      <c r="A132">
        <v>117</v>
      </c>
      <c r="B132" s="1">
        <v>45198</v>
      </c>
      <c r="C132" t="s">
        <v>128</v>
      </c>
      <c r="D132" s="2">
        <v>992.81</v>
      </c>
      <c r="E132" s="2">
        <v>0</v>
      </c>
      <c r="F132" s="2">
        <v>115941.84</v>
      </c>
      <c r="G132" t="s">
        <v>715</v>
      </c>
      <c r="H132" s="7">
        <f t="shared" si="13"/>
        <v>0</v>
      </c>
      <c r="I132" s="1">
        <f t="shared" si="7"/>
        <v>45198</v>
      </c>
      <c r="J132" s="7" t="str">
        <f t="shared" si="8"/>
        <v>NBSM/31701106/PAYTM MOBILE SOLUTIONS PVT LTD/</v>
      </c>
      <c r="K132" s="7"/>
      <c r="L132" s="7">
        <f t="shared" si="9"/>
        <v>992.81</v>
      </c>
      <c r="M132" s="7">
        <f t="shared" si="10"/>
        <v>0</v>
      </c>
      <c r="N132" s="7">
        <f t="shared" si="11"/>
        <v>115941.84</v>
      </c>
      <c r="O132" s="7" t="str">
        <f t="shared" si="12"/>
        <v>AXIS 3167</v>
      </c>
    </row>
    <row r="133" spans="1:15" x14ac:dyDescent="0.25">
      <c r="A133">
        <v>118</v>
      </c>
      <c r="B133" s="1">
        <v>45200</v>
      </c>
      <c r="C133" t="s">
        <v>129</v>
      </c>
      <c r="D133" s="2">
        <v>0</v>
      </c>
      <c r="E133" s="2">
        <v>905</v>
      </c>
      <c r="F133" s="2">
        <v>116846.84</v>
      </c>
      <c r="G133" t="s">
        <v>715</v>
      </c>
      <c r="H133" s="7">
        <f t="shared" si="13"/>
        <v>0</v>
      </c>
      <c r="I133" s="1">
        <f t="shared" si="7"/>
        <v>45200</v>
      </c>
      <c r="J133" s="7" t="str">
        <f t="shared" si="8"/>
        <v>910010047943167:Int.Pd:01-07-2023 to 30-09-2023</v>
      </c>
      <c r="K133" s="7"/>
      <c r="L133" s="7">
        <f t="shared" si="9"/>
        <v>0</v>
      </c>
      <c r="M133" s="7">
        <f t="shared" si="10"/>
        <v>905</v>
      </c>
      <c r="N133" s="7">
        <f t="shared" si="11"/>
        <v>116846.84</v>
      </c>
      <c r="O133" s="7" t="str">
        <f t="shared" si="12"/>
        <v>AXIS 3167</v>
      </c>
    </row>
    <row r="134" spans="1:15" x14ac:dyDescent="0.25">
      <c r="A134">
        <v>119</v>
      </c>
      <c r="B134" s="1">
        <v>45201</v>
      </c>
      <c r="C134" t="s">
        <v>130</v>
      </c>
      <c r="D134" s="2">
        <v>356</v>
      </c>
      <c r="E134" s="2">
        <v>0</v>
      </c>
      <c r="F134" s="2">
        <v>116490.84</v>
      </c>
      <c r="G134" t="s">
        <v>715</v>
      </c>
      <c r="H134" s="7">
        <f t="shared" si="13"/>
        <v>0</v>
      </c>
      <c r="I134" s="1">
        <f t="shared" si="7"/>
        <v>45201</v>
      </c>
      <c r="J134" s="7" t="str">
        <f t="shared" si="8"/>
        <v>UPI/P2M/327533286850/Yog Chaitanya Sadhana/Naturo/ICICI Bank</v>
      </c>
      <c r="K134" s="7"/>
      <c r="L134" s="7">
        <f t="shared" si="9"/>
        <v>356</v>
      </c>
      <c r="M134" s="7">
        <f t="shared" si="10"/>
        <v>0</v>
      </c>
      <c r="N134" s="7">
        <f t="shared" si="11"/>
        <v>116490.84</v>
      </c>
      <c r="O134" s="7" t="str">
        <f t="shared" si="12"/>
        <v>AXIS 3167</v>
      </c>
    </row>
    <row r="135" spans="1:15" x14ac:dyDescent="0.25">
      <c r="A135">
        <v>120</v>
      </c>
      <c r="B135" s="1">
        <v>45208</v>
      </c>
      <c r="C135" t="s">
        <v>25</v>
      </c>
      <c r="D135" s="2">
        <v>9198.4699999999993</v>
      </c>
      <c r="E135" s="2">
        <v>0</v>
      </c>
      <c r="F135" s="2">
        <v>107292.37</v>
      </c>
      <c r="G135" t="s">
        <v>715</v>
      </c>
      <c r="H135" s="7">
        <f t="shared" si="13"/>
        <v>0</v>
      </c>
      <c r="I135" s="1">
        <f t="shared" si="7"/>
        <v>45208</v>
      </c>
      <c r="J135" s="7" t="str">
        <f t="shared" si="8"/>
        <v>BRN-PYMT-CARD-4111460000883615</v>
      </c>
      <c r="K135" s="7"/>
      <c r="L135" s="7">
        <f t="shared" si="9"/>
        <v>9198.4699999999993</v>
      </c>
      <c r="M135" s="7">
        <f t="shared" si="10"/>
        <v>0</v>
      </c>
      <c r="N135" s="7">
        <f t="shared" si="11"/>
        <v>107292.37</v>
      </c>
      <c r="O135" s="7" t="str">
        <f t="shared" si="12"/>
        <v>AXIS 3167</v>
      </c>
    </row>
    <row r="136" spans="1:15" x14ac:dyDescent="0.25">
      <c r="A136">
        <v>121</v>
      </c>
      <c r="B136" s="1">
        <v>45208</v>
      </c>
      <c r="C136" t="s">
        <v>131</v>
      </c>
      <c r="D136" s="2">
        <v>450</v>
      </c>
      <c r="E136" s="2">
        <v>0</v>
      </c>
      <c r="F136" s="2">
        <v>106842.37</v>
      </c>
      <c r="G136" t="s">
        <v>715</v>
      </c>
      <c r="H136" s="7">
        <f t="shared" si="13"/>
        <v>0</v>
      </c>
      <c r="I136" s="1">
        <f t="shared" si="7"/>
        <v>45208</v>
      </c>
      <c r="J136" s="7" t="str">
        <f t="shared" si="8"/>
        <v>UPI/P2M/328273626000/KESHAV GIRLS COLLECTI/Dupott/Paytm Payments Bank</v>
      </c>
      <c r="K136" s="7"/>
      <c r="L136" s="7">
        <f t="shared" si="9"/>
        <v>450</v>
      </c>
      <c r="M136" s="7">
        <f t="shared" si="10"/>
        <v>0</v>
      </c>
      <c r="N136" s="7">
        <f t="shared" si="11"/>
        <v>106842.37</v>
      </c>
      <c r="O136" s="7" t="str">
        <f t="shared" si="12"/>
        <v>AXIS 3167</v>
      </c>
    </row>
    <row r="137" spans="1:15" x14ac:dyDescent="0.25">
      <c r="A137">
        <v>122</v>
      </c>
      <c r="B137" s="1">
        <v>45208</v>
      </c>
      <c r="C137" t="s">
        <v>132</v>
      </c>
      <c r="D137" s="2">
        <v>675</v>
      </c>
      <c r="E137" s="2">
        <v>0</v>
      </c>
      <c r="F137" s="2">
        <v>106167.37</v>
      </c>
      <c r="G137" t="s">
        <v>715</v>
      </c>
      <c r="H137" s="7">
        <f t="shared" si="13"/>
        <v>0</v>
      </c>
      <c r="I137" s="1">
        <f t="shared" si="7"/>
        <v>45208</v>
      </c>
      <c r="J137" s="7" t="str">
        <f t="shared" si="8"/>
        <v>UPI/P2M/328224682893/BRIJWASI KESHAV MILK /Peda/HDFC BANK LTD</v>
      </c>
      <c r="K137" s="7"/>
      <c r="L137" s="7">
        <f t="shared" si="9"/>
        <v>675</v>
      </c>
      <c r="M137" s="7">
        <f t="shared" si="10"/>
        <v>0</v>
      </c>
      <c r="N137" s="7">
        <f t="shared" si="11"/>
        <v>106167.37</v>
      </c>
      <c r="O137" s="7" t="str">
        <f t="shared" si="12"/>
        <v>AXIS 3167</v>
      </c>
    </row>
    <row r="138" spans="1:15" x14ac:dyDescent="0.25">
      <c r="A138">
        <v>123</v>
      </c>
      <c r="B138" s="1">
        <v>45208</v>
      </c>
      <c r="C138" t="s">
        <v>133</v>
      </c>
      <c r="D138" s="2">
        <v>250</v>
      </c>
      <c r="E138" s="2">
        <v>0</v>
      </c>
      <c r="F138" s="2">
        <v>105917.37</v>
      </c>
      <c r="G138" t="s">
        <v>715</v>
      </c>
      <c r="H138" s="7">
        <f t="shared" si="13"/>
        <v>0</v>
      </c>
      <c r="I138" s="1">
        <f t="shared" si="7"/>
        <v>45208</v>
      </c>
      <c r="J138" s="7" t="str">
        <f t="shared" si="8"/>
        <v>UPI/P2M/328293583227/BRIJWASI KESHAV MILK /Sweet/HDFC BANK LTD</v>
      </c>
      <c r="K138" s="7"/>
      <c r="L138" s="7">
        <f t="shared" si="9"/>
        <v>250</v>
      </c>
      <c r="M138" s="7">
        <f t="shared" si="10"/>
        <v>0</v>
      </c>
      <c r="N138" s="7">
        <f t="shared" si="11"/>
        <v>105917.37</v>
      </c>
      <c r="O138" s="7" t="str">
        <f t="shared" si="12"/>
        <v>AXIS 3167</v>
      </c>
    </row>
    <row r="139" spans="1:15" x14ac:dyDescent="0.25">
      <c r="A139">
        <v>124</v>
      </c>
      <c r="B139" s="1">
        <v>45210</v>
      </c>
      <c r="C139" t="s">
        <v>134</v>
      </c>
      <c r="D139" s="2">
        <v>3000</v>
      </c>
      <c r="E139" s="2">
        <v>0</v>
      </c>
      <c r="F139" s="2">
        <v>102917.37</v>
      </c>
      <c r="G139" t="s">
        <v>715</v>
      </c>
      <c r="H139" s="7">
        <f t="shared" si="13"/>
        <v>0</v>
      </c>
      <c r="I139" s="1">
        <f t="shared" si="7"/>
        <v>45210</v>
      </c>
      <c r="J139" s="7" t="str">
        <f t="shared" si="8"/>
        <v>UPI/P2A/365066797819/GANESH RADHAKISAN MAR/Deisal/State Bank Of India</v>
      </c>
      <c r="K139" s="7"/>
      <c r="L139" s="7">
        <f t="shared" si="9"/>
        <v>3000</v>
      </c>
      <c r="M139" s="7">
        <f t="shared" si="10"/>
        <v>0</v>
      </c>
      <c r="N139" s="7">
        <f t="shared" si="11"/>
        <v>102917.37</v>
      </c>
      <c r="O139" s="7" t="str">
        <f t="shared" si="12"/>
        <v>AXIS 3167</v>
      </c>
    </row>
    <row r="140" spans="1:15" x14ac:dyDescent="0.25">
      <c r="A140">
        <v>125</v>
      </c>
      <c r="B140" s="1">
        <v>45210</v>
      </c>
      <c r="C140" t="s">
        <v>135</v>
      </c>
      <c r="D140" s="2">
        <v>1000</v>
      </c>
      <c r="E140" s="2">
        <v>0</v>
      </c>
      <c r="F140" s="2">
        <v>101917.37</v>
      </c>
      <c r="G140" t="s">
        <v>715</v>
      </c>
      <c r="H140" s="7">
        <f t="shared" si="13"/>
        <v>0</v>
      </c>
      <c r="I140" s="1">
        <f t="shared" si="7"/>
        <v>45210</v>
      </c>
      <c r="J140" s="7" t="str">
        <f t="shared" si="8"/>
        <v>UPI/P2M/328444028949/ARAGHYODHAM NISARGA A/Yoga/Bank of Maharashtra</v>
      </c>
      <c r="K140" s="7"/>
      <c r="L140" s="7">
        <f t="shared" si="9"/>
        <v>1000</v>
      </c>
      <c r="M140" s="7">
        <f t="shared" si="10"/>
        <v>0</v>
      </c>
      <c r="N140" s="7">
        <f t="shared" si="11"/>
        <v>101917.37</v>
      </c>
      <c r="O140" s="7" t="str">
        <f t="shared" si="12"/>
        <v>AXIS 3167</v>
      </c>
    </row>
    <row r="141" spans="1:15" x14ac:dyDescent="0.25">
      <c r="A141">
        <v>126</v>
      </c>
      <c r="B141" s="1">
        <v>45210</v>
      </c>
      <c r="C141" t="s">
        <v>136</v>
      </c>
      <c r="D141" s="2">
        <v>10000</v>
      </c>
      <c r="E141" s="2">
        <v>0</v>
      </c>
      <c r="F141" s="2">
        <v>91917.37</v>
      </c>
      <c r="G141" t="s">
        <v>715</v>
      </c>
      <c r="H141" s="7">
        <f t="shared" si="13"/>
        <v>0</v>
      </c>
      <c r="I141" s="1">
        <f t="shared" si="7"/>
        <v>45210</v>
      </c>
      <c r="J141" s="7" t="str">
        <f t="shared" si="8"/>
        <v>ATM-CASH-AXIS/BPRH265601/5847/111023/NASHIK</v>
      </c>
      <c r="K141" s="7"/>
      <c r="L141" s="7">
        <f t="shared" si="9"/>
        <v>10000</v>
      </c>
      <c r="M141" s="7">
        <f t="shared" si="10"/>
        <v>0</v>
      </c>
      <c r="N141" s="7">
        <f t="shared" si="11"/>
        <v>91917.37</v>
      </c>
      <c r="O141" s="7" t="str">
        <f t="shared" si="12"/>
        <v>AXIS 3167</v>
      </c>
    </row>
    <row r="142" spans="1:15" x14ac:dyDescent="0.25">
      <c r="A142">
        <v>127</v>
      </c>
      <c r="B142" s="1">
        <v>45212</v>
      </c>
      <c r="C142" t="s">
        <v>137</v>
      </c>
      <c r="D142" s="2">
        <v>100</v>
      </c>
      <c r="E142" s="2">
        <v>0</v>
      </c>
      <c r="F142" s="2">
        <v>91817.37</v>
      </c>
      <c r="G142" t="s">
        <v>715</v>
      </c>
      <c r="H142" s="7">
        <f t="shared" si="13"/>
        <v>0</v>
      </c>
      <c r="I142" s="1">
        <f t="shared" si="7"/>
        <v>45212</v>
      </c>
      <c r="J142" s="7" t="str">
        <f t="shared" si="8"/>
        <v>UPI/P2M/328655582435/BHARAT SHIVAJI SALVE /Vegita/Paytm Payments Bank</v>
      </c>
      <c r="K142" s="7"/>
      <c r="L142" s="7">
        <f t="shared" si="9"/>
        <v>100</v>
      </c>
      <c r="M142" s="7">
        <f t="shared" si="10"/>
        <v>0</v>
      </c>
      <c r="N142" s="7">
        <f t="shared" si="11"/>
        <v>91817.37</v>
      </c>
      <c r="O142" s="7" t="str">
        <f t="shared" si="12"/>
        <v>AXIS 3167</v>
      </c>
    </row>
    <row r="143" spans="1:15" x14ac:dyDescent="0.25">
      <c r="A143">
        <v>128</v>
      </c>
      <c r="B143" s="1">
        <v>45214</v>
      </c>
      <c r="C143" t="s">
        <v>138</v>
      </c>
      <c r="D143" s="2">
        <v>50</v>
      </c>
      <c r="E143" s="2">
        <v>0</v>
      </c>
      <c r="F143" s="2">
        <v>91767.37</v>
      </c>
      <c r="G143" t="s">
        <v>715</v>
      </c>
      <c r="H143" s="7">
        <f t="shared" si="13"/>
        <v>0</v>
      </c>
      <c r="I143" s="1">
        <f t="shared" si="7"/>
        <v>45214</v>
      </c>
      <c r="J143" s="7" t="str">
        <f t="shared" si="8"/>
        <v>NBSM/34174220/UNIQUE IDENTIFICATION AUTHORITY(RAZ</v>
      </c>
      <c r="K143" s="7"/>
      <c r="L143" s="7">
        <f t="shared" si="9"/>
        <v>50</v>
      </c>
      <c r="M143" s="7">
        <f t="shared" si="10"/>
        <v>0</v>
      </c>
      <c r="N143" s="7">
        <f t="shared" si="11"/>
        <v>91767.37</v>
      </c>
      <c r="O143" s="7" t="str">
        <f t="shared" si="12"/>
        <v>AXIS 3167</v>
      </c>
    </row>
    <row r="144" spans="1:15" x14ac:dyDescent="0.25">
      <c r="A144">
        <v>129</v>
      </c>
      <c r="B144" s="1">
        <v>45214</v>
      </c>
      <c r="C144" t="s">
        <v>139</v>
      </c>
      <c r="D144" s="2">
        <v>50</v>
      </c>
      <c r="E144" s="2">
        <v>0</v>
      </c>
      <c r="F144" s="2">
        <v>91717.37</v>
      </c>
      <c r="G144" t="s">
        <v>715</v>
      </c>
      <c r="H144" s="7">
        <f t="shared" si="13"/>
        <v>0</v>
      </c>
      <c r="I144" s="1">
        <f t="shared" si="7"/>
        <v>45214</v>
      </c>
      <c r="J144" s="7" t="str">
        <f t="shared" si="8"/>
        <v>UPI/P2M/328895824617/VIJAY                /Jaradh/Paytm Payments Bank</v>
      </c>
      <c r="K144" s="7"/>
      <c r="L144" s="7">
        <f t="shared" si="9"/>
        <v>50</v>
      </c>
      <c r="M144" s="7">
        <f t="shared" si="10"/>
        <v>0</v>
      </c>
      <c r="N144" s="7">
        <f t="shared" si="11"/>
        <v>91717.37</v>
      </c>
      <c r="O144" s="7" t="str">
        <f t="shared" si="12"/>
        <v>AXIS 3167</v>
      </c>
    </row>
    <row r="145" spans="1:15" x14ac:dyDescent="0.25">
      <c r="A145">
        <v>130</v>
      </c>
      <c r="B145" s="1">
        <v>45214</v>
      </c>
      <c r="C145" t="s">
        <v>140</v>
      </c>
      <c r="D145" s="2">
        <v>50</v>
      </c>
      <c r="E145" s="2">
        <v>0</v>
      </c>
      <c r="F145" s="2">
        <v>91667.37</v>
      </c>
      <c r="G145" t="s">
        <v>715</v>
      </c>
      <c r="H145" s="7">
        <f t="shared" si="13"/>
        <v>0</v>
      </c>
      <c r="I145" s="1">
        <f t="shared" ref="I145:I186" si="14">B145</f>
        <v>45214</v>
      </c>
      <c r="J145" s="7" t="str">
        <f t="shared" ref="J145:J186" si="15">C145</f>
        <v>UPI/P2A/328852843483/Bajir                /Channa/Airtel Payments Bank</v>
      </c>
      <c r="K145" s="7"/>
      <c r="L145" s="7">
        <f t="shared" ref="L145:L186" si="16">D145</f>
        <v>50</v>
      </c>
      <c r="M145" s="7">
        <f t="shared" ref="M145:M186" si="17">E145</f>
        <v>0</v>
      </c>
      <c r="N145" s="7">
        <f t="shared" ref="N145:N186" si="18">F145</f>
        <v>91667.37</v>
      </c>
      <c r="O145" s="7" t="str">
        <f t="shared" ref="O145:O186" si="19">G145</f>
        <v>AXIS 3167</v>
      </c>
    </row>
    <row r="146" spans="1:15" x14ac:dyDescent="0.25">
      <c r="A146">
        <v>131</v>
      </c>
      <c r="B146" s="1">
        <v>45214</v>
      </c>
      <c r="C146" t="s">
        <v>141</v>
      </c>
      <c r="D146" s="2">
        <v>170</v>
      </c>
      <c r="E146" s="2">
        <v>0</v>
      </c>
      <c r="F146" s="2">
        <v>91497.37</v>
      </c>
      <c r="G146" t="s">
        <v>715</v>
      </c>
      <c r="H146" s="7">
        <f t="shared" ref="H146:H184" si="20">F145-D146+E146-F146</f>
        <v>0</v>
      </c>
      <c r="I146" s="1">
        <f t="shared" si="14"/>
        <v>45214</v>
      </c>
      <c r="J146" s="7" t="str">
        <f t="shared" si="15"/>
        <v>UPI/P2M/328864915992/BHARAT SHIVAJI SALVE /Fruits/Paytm Payments Bank</v>
      </c>
      <c r="K146" s="7"/>
      <c r="L146" s="7">
        <f t="shared" si="16"/>
        <v>170</v>
      </c>
      <c r="M146" s="7">
        <f t="shared" si="17"/>
        <v>0</v>
      </c>
      <c r="N146" s="7">
        <f t="shared" si="18"/>
        <v>91497.37</v>
      </c>
      <c r="O146" s="7" t="str">
        <f t="shared" si="19"/>
        <v>AXIS 3167</v>
      </c>
    </row>
    <row r="147" spans="1:15" x14ac:dyDescent="0.25">
      <c r="A147">
        <v>132</v>
      </c>
      <c r="B147" s="1">
        <v>45220</v>
      </c>
      <c r="C147" t="s">
        <v>142</v>
      </c>
      <c r="D147" s="2">
        <v>40</v>
      </c>
      <c r="E147" s="2">
        <v>0</v>
      </c>
      <c r="F147" s="2">
        <v>91457.37</v>
      </c>
      <c r="G147" t="s">
        <v>715</v>
      </c>
      <c r="H147" s="7">
        <f t="shared" si="20"/>
        <v>0</v>
      </c>
      <c r="I147" s="1">
        <f t="shared" si="14"/>
        <v>45220</v>
      </c>
      <c r="J147" s="7" t="str">
        <f t="shared" si="15"/>
        <v>UPI/P2M/366056282177/PROP KALPESH KANAIYA /Printo/Yes Bank Ltd</v>
      </c>
      <c r="K147" s="7"/>
      <c r="L147" s="7">
        <f t="shared" si="16"/>
        <v>40</v>
      </c>
      <c r="M147" s="7">
        <f t="shared" si="17"/>
        <v>0</v>
      </c>
      <c r="N147" s="7">
        <f t="shared" si="18"/>
        <v>91457.37</v>
      </c>
      <c r="O147" s="7" t="str">
        <f t="shared" si="19"/>
        <v>AXIS 3167</v>
      </c>
    </row>
    <row r="148" spans="1:15" x14ac:dyDescent="0.25">
      <c r="A148">
        <v>133</v>
      </c>
      <c r="B148" s="1">
        <v>45220</v>
      </c>
      <c r="C148" t="s">
        <v>143</v>
      </c>
      <c r="D148" s="2">
        <v>229.51</v>
      </c>
      <c r="E148" s="2">
        <v>0</v>
      </c>
      <c r="F148" s="2">
        <v>91227.86</v>
      </c>
      <c r="G148" t="s">
        <v>715</v>
      </c>
      <c r="H148" s="7">
        <f t="shared" si="20"/>
        <v>0</v>
      </c>
      <c r="I148" s="1">
        <f t="shared" si="14"/>
        <v>45220</v>
      </c>
      <c r="J148" s="7" t="str">
        <f t="shared" si="15"/>
        <v>UPI/P2M/329422159834/MEDPLUS ASHOKAMARG   /Medplu/Paytm Payments Bank</v>
      </c>
      <c r="K148" s="7"/>
      <c r="L148" s="7">
        <f t="shared" si="16"/>
        <v>229.51</v>
      </c>
      <c r="M148" s="7">
        <f t="shared" si="17"/>
        <v>0</v>
      </c>
      <c r="N148" s="7">
        <f t="shared" si="18"/>
        <v>91227.86</v>
      </c>
      <c r="O148" s="7" t="str">
        <f t="shared" si="19"/>
        <v>AXIS 3167</v>
      </c>
    </row>
    <row r="149" spans="1:15" x14ac:dyDescent="0.25">
      <c r="A149">
        <v>134</v>
      </c>
      <c r="B149" s="1">
        <v>45222</v>
      </c>
      <c r="C149" t="s">
        <v>144</v>
      </c>
      <c r="D149" s="2">
        <v>2240</v>
      </c>
      <c r="E149" s="2">
        <v>0</v>
      </c>
      <c r="F149" s="2">
        <v>88987.86</v>
      </c>
      <c r="G149" t="s">
        <v>715</v>
      </c>
      <c r="H149" s="7">
        <f t="shared" si="20"/>
        <v>0</v>
      </c>
      <c r="I149" s="1">
        <f t="shared" si="14"/>
        <v>45222</v>
      </c>
      <c r="J149" s="7" t="str">
        <f t="shared" si="15"/>
        <v>NBSM/35224089/Maha Electricity(BILLDESK)/</v>
      </c>
      <c r="K149" s="7"/>
      <c r="L149" s="7">
        <f t="shared" si="16"/>
        <v>2240</v>
      </c>
      <c r="M149" s="7">
        <f t="shared" si="17"/>
        <v>0</v>
      </c>
      <c r="N149" s="7">
        <f t="shared" si="18"/>
        <v>88987.86</v>
      </c>
      <c r="O149" s="7" t="str">
        <f t="shared" si="19"/>
        <v>AXIS 3167</v>
      </c>
    </row>
    <row r="150" spans="1:15" x14ac:dyDescent="0.25">
      <c r="A150">
        <v>135</v>
      </c>
      <c r="B150" s="1">
        <v>45224</v>
      </c>
      <c r="C150" t="s">
        <v>145</v>
      </c>
      <c r="D150" s="2">
        <v>10000</v>
      </c>
      <c r="E150" s="2">
        <v>0</v>
      </c>
      <c r="F150" s="2">
        <v>78987.86</v>
      </c>
      <c r="G150" t="s">
        <v>715</v>
      </c>
      <c r="H150" s="7">
        <f t="shared" si="20"/>
        <v>0</v>
      </c>
      <c r="I150" s="1">
        <f t="shared" si="14"/>
        <v>45224</v>
      </c>
      <c r="J150" s="7" t="str">
        <f t="shared" si="15"/>
        <v>ATM-CASH-AXIS/BPRH265601/7854/251023/NASHIK</v>
      </c>
      <c r="K150" s="7"/>
      <c r="L150" s="7">
        <f t="shared" si="16"/>
        <v>10000</v>
      </c>
      <c r="M150" s="7">
        <f t="shared" si="17"/>
        <v>0</v>
      </c>
      <c r="N150" s="7">
        <f t="shared" si="18"/>
        <v>78987.86</v>
      </c>
      <c r="O150" s="7" t="str">
        <f t="shared" si="19"/>
        <v>AXIS 3167</v>
      </c>
    </row>
    <row r="151" spans="1:15" x14ac:dyDescent="0.25">
      <c r="A151">
        <v>136</v>
      </c>
      <c r="B151" s="1">
        <v>45226</v>
      </c>
      <c r="C151" t="s">
        <v>146</v>
      </c>
      <c r="D151" s="2">
        <v>50</v>
      </c>
      <c r="E151" s="2">
        <v>0</v>
      </c>
      <c r="F151" s="2">
        <v>78937.86</v>
      </c>
      <c r="G151" t="s">
        <v>715</v>
      </c>
      <c r="H151" s="7">
        <f t="shared" si="20"/>
        <v>0</v>
      </c>
      <c r="I151" s="1">
        <f t="shared" si="14"/>
        <v>45226</v>
      </c>
      <c r="J151" s="7" t="str">
        <f t="shared" si="15"/>
        <v>UPI/P2A/330088594609/MUKESH KHARE         /Auto/Punjab National Bank</v>
      </c>
      <c r="K151" s="7"/>
      <c r="L151" s="7">
        <f t="shared" si="16"/>
        <v>50</v>
      </c>
      <c r="M151" s="7">
        <f t="shared" si="17"/>
        <v>0</v>
      </c>
      <c r="N151" s="7">
        <f t="shared" si="18"/>
        <v>78937.86</v>
      </c>
      <c r="O151" s="7" t="str">
        <f t="shared" si="19"/>
        <v>AXIS 3167</v>
      </c>
    </row>
    <row r="152" spans="1:15" x14ac:dyDescent="0.25">
      <c r="A152">
        <v>137</v>
      </c>
      <c r="B152" s="1">
        <v>45228</v>
      </c>
      <c r="C152" t="s">
        <v>147</v>
      </c>
      <c r="D152" s="2">
        <v>136</v>
      </c>
      <c r="E152" s="2">
        <v>0</v>
      </c>
      <c r="F152" s="2">
        <v>78801.86</v>
      </c>
      <c r="G152" t="s">
        <v>715</v>
      </c>
      <c r="H152" s="7">
        <f t="shared" si="20"/>
        <v>0</v>
      </c>
      <c r="I152" s="1">
        <f t="shared" si="14"/>
        <v>45228</v>
      </c>
      <c r="J152" s="7" t="str">
        <f t="shared" si="15"/>
        <v>UPI/P2M/330261187358/BharatPe Merchant    /Pay to/YesBank_Yespay</v>
      </c>
      <c r="K152" s="7"/>
      <c r="L152" s="7">
        <f t="shared" si="16"/>
        <v>136</v>
      </c>
      <c r="M152" s="7">
        <f t="shared" si="17"/>
        <v>0</v>
      </c>
      <c r="N152" s="7">
        <f t="shared" si="18"/>
        <v>78801.86</v>
      </c>
      <c r="O152" s="7" t="str">
        <f t="shared" si="19"/>
        <v>AXIS 3167</v>
      </c>
    </row>
    <row r="153" spans="1:15" x14ac:dyDescent="0.25">
      <c r="A153">
        <v>138</v>
      </c>
      <c r="B153" s="1">
        <v>45229</v>
      </c>
      <c r="C153" t="s">
        <v>148</v>
      </c>
      <c r="D153" s="2">
        <v>50</v>
      </c>
      <c r="E153" s="2">
        <v>0</v>
      </c>
      <c r="F153" s="2">
        <v>78751.86</v>
      </c>
      <c r="G153" t="s">
        <v>715</v>
      </c>
      <c r="H153" s="7">
        <f t="shared" si="20"/>
        <v>0</v>
      </c>
      <c r="I153" s="1">
        <f t="shared" si="14"/>
        <v>45229</v>
      </c>
      <c r="J153" s="7" t="str">
        <f t="shared" si="15"/>
        <v>UPI/P2M/366903967564/KRUSHIKESH P BHADANE /Jardha/Yes Bank Ltd</v>
      </c>
      <c r="K153" s="7"/>
      <c r="L153" s="7">
        <f t="shared" si="16"/>
        <v>50</v>
      </c>
      <c r="M153" s="7">
        <f t="shared" si="17"/>
        <v>0</v>
      </c>
      <c r="N153" s="7">
        <f t="shared" si="18"/>
        <v>78751.86</v>
      </c>
      <c r="O153" s="7" t="str">
        <f t="shared" si="19"/>
        <v>AXIS 3167</v>
      </c>
    </row>
    <row r="154" spans="1:15" x14ac:dyDescent="0.25">
      <c r="A154">
        <v>139</v>
      </c>
      <c r="B154" s="1">
        <v>45230</v>
      </c>
      <c r="C154" t="s">
        <v>149</v>
      </c>
      <c r="D154" s="2">
        <v>100</v>
      </c>
      <c r="E154" s="2">
        <v>0</v>
      </c>
      <c r="F154" s="2">
        <v>78651.86</v>
      </c>
      <c r="G154" t="s">
        <v>715</v>
      </c>
      <c r="H154" s="7">
        <f t="shared" si="20"/>
        <v>0</v>
      </c>
      <c r="I154" s="1">
        <f t="shared" si="14"/>
        <v>45230</v>
      </c>
      <c r="J154" s="7" t="str">
        <f t="shared" si="15"/>
        <v>UPI/P2M/367089274469/Mr RAMESH PUNDLIK CHI/Salune/Yes Bank Ltd</v>
      </c>
      <c r="K154" s="7"/>
      <c r="L154" s="7">
        <f t="shared" si="16"/>
        <v>100</v>
      </c>
      <c r="M154" s="7">
        <f t="shared" si="17"/>
        <v>0</v>
      </c>
      <c r="N154" s="7">
        <f t="shared" si="18"/>
        <v>78651.86</v>
      </c>
      <c r="O154" s="7" t="str">
        <f t="shared" si="19"/>
        <v>AXIS 3167</v>
      </c>
    </row>
    <row r="155" spans="1:15" x14ac:dyDescent="0.25">
      <c r="A155">
        <v>140</v>
      </c>
      <c r="B155" s="1">
        <v>45234</v>
      </c>
      <c r="C155" t="s">
        <v>150</v>
      </c>
      <c r="D155" s="2">
        <v>10000</v>
      </c>
      <c r="E155" s="2">
        <v>0</v>
      </c>
      <c r="F155" s="2">
        <v>68651.86</v>
      </c>
      <c r="G155" t="s">
        <v>715</v>
      </c>
      <c r="H155" s="7">
        <f t="shared" si="20"/>
        <v>0</v>
      </c>
      <c r="I155" s="1">
        <f t="shared" si="14"/>
        <v>45234</v>
      </c>
      <c r="J155" s="7" t="str">
        <f t="shared" si="15"/>
        <v>ATM-CASH-AXIS/BPRH265601/9857/041123/NASHIK</v>
      </c>
      <c r="K155" s="7"/>
      <c r="L155" s="7">
        <f t="shared" si="16"/>
        <v>10000</v>
      </c>
      <c r="M155" s="7">
        <f t="shared" si="17"/>
        <v>0</v>
      </c>
      <c r="N155" s="7">
        <f t="shared" si="18"/>
        <v>68651.86</v>
      </c>
      <c r="O155" s="7" t="str">
        <f t="shared" si="19"/>
        <v>AXIS 3167</v>
      </c>
    </row>
    <row r="156" spans="1:15" x14ac:dyDescent="0.25">
      <c r="A156">
        <v>141</v>
      </c>
      <c r="B156" s="1">
        <v>45237</v>
      </c>
      <c r="C156" t="s">
        <v>25</v>
      </c>
      <c r="D156" s="2">
        <v>4947.78</v>
      </c>
      <c r="E156" s="2">
        <v>0</v>
      </c>
      <c r="F156" s="2">
        <v>63704.08</v>
      </c>
      <c r="G156" t="s">
        <v>715</v>
      </c>
      <c r="H156" s="7">
        <f t="shared" si="20"/>
        <v>0</v>
      </c>
      <c r="I156" s="1">
        <f t="shared" si="14"/>
        <v>45237</v>
      </c>
      <c r="J156" s="7" t="str">
        <f t="shared" si="15"/>
        <v>BRN-PYMT-CARD-4111460000883615</v>
      </c>
      <c r="K156" s="7"/>
      <c r="L156" s="7">
        <f t="shared" si="16"/>
        <v>4947.78</v>
      </c>
      <c r="M156" s="7">
        <f t="shared" si="17"/>
        <v>0</v>
      </c>
      <c r="N156" s="7">
        <f t="shared" si="18"/>
        <v>63704.08</v>
      </c>
      <c r="O156" s="7" t="str">
        <f t="shared" si="19"/>
        <v>AXIS 3167</v>
      </c>
    </row>
    <row r="157" spans="1:15" x14ac:dyDescent="0.25">
      <c r="A157">
        <v>142</v>
      </c>
      <c r="B157" s="1">
        <v>45237</v>
      </c>
      <c r="C157" t="s">
        <v>151</v>
      </c>
      <c r="D157" s="2">
        <v>1300</v>
      </c>
      <c r="E157" s="2">
        <v>0</v>
      </c>
      <c r="F157" s="2">
        <v>62404.08</v>
      </c>
      <c r="G157" t="s">
        <v>715</v>
      </c>
      <c r="H157" s="7">
        <f t="shared" si="20"/>
        <v>0</v>
      </c>
      <c r="I157" s="1">
        <f t="shared" si="14"/>
        <v>45237</v>
      </c>
      <c r="J157" s="7" t="str">
        <f t="shared" si="15"/>
        <v>UPI/P2M/367731414074/SACHIN HARIBHAU DHARK/Deep c/Yes Bank Ltd</v>
      </c>
      <c r="K157" s="7"/>
      <c r="L157" s="7">
        <f t="shared" si="16"/>
        <v>1300</v>
      </c>
      <c r="M157" s="7">
        <f t="shared" si="17"/>
        <v>0</v>
      </c>
      <c r="N157" s="7">
        <f t="shared" si="18"/>
        <v>62404.08</v>
      </c>
      <c r="O157" s="7" t="str">
        <f t="shared" si="19"/>
        <v>AXIS 3167</v>
      </c>
    </row>
    <row r="158" spans="1:15" x14ac:dyDescent="0.25">
      <c r="A158">
        <v>143</v>
      </c>
      <c r="B158" s="1">
        <v>45238</v>
      </c>
      <c r="C158" t="s">
        <v>152</v>
      </c>
      <c r="D158" s="2">
        <v>16660</v>
      </c>
      <c r="E158" s="2">
        <v>0</v>
      </c>
      <c r="F158" s="2">
        <v>45744.08</v>
      </c>
      <c r="G158" t="s">
        <v>715</v>
      </c>
      <c r="H158" s="7">
        <f t="shared" si="20"/>
        <v>0</v>
      </c>
      <c r="I158" s="1">
        <f t="shared" si="14"/>
        <v>45238</v>
      </c>
      <c r="J158" s="7" t="str">
        <f t="shared" si="15"/>
        <v>NBSM/37447262/TECHPROCESS SOLUTIONS LTD/</v>
      </c>
      <c r="K158" s="7"/>
      <c r="L158" s="7">
        <f t="shared" si="16"/>
        <v>16660</v>
      </c>
      <c r="M158" s="7">
        <f t="shared" si="17"/>
        <v>0</v>
      </c>
      <c r="N158" s="7">
        <f t="shared" si="18"/>
        <v>45744.08</v>
      </c>
      <c r="O158" s="7" t="str">
        <f t="shared" si="19"/>
        <v>AXIS 3167</v>
      </c>
    </row>
    <row r="159" spans="1:15" x14ac:dyDescent="0.25">
      <c r="A159">
        <v>144</v>
      </c>
      <c r="B159" s="1">
        <v>45238</v>
      </c>
      <c r="C159" t="s">
        <v>153</v>
      </c>
      <c r="D159" s="2">
        <v>1699</v>
      </c>
      <c r="E159" s="2">
        <v>0</v>
      </c>
      <c r="F159" s="2">
        <v>44045.08</v>
      </c>
      <c r="G159" t="s">
        <v>715</v>
      </c>
      <c r="H159" s="7">
        <f t="shared" si="20"/>
        <v>0</v>
      </c>
      <c r="I159" s="1">
        <f t="shared" si="14"/>
        <v>45238</v>
      </c>
      <c r="J159" s="7" t="str">
        <f t="shared" si="15"/>
        <v>NBSM/37452806/AMAZON PAY INDIA PRIVATET LIMITED(P</v>
      </c>
      <c r="K159" s="7"/>
      <c r="L159" s="7">
        <f t="shared" si="16"/>
        <v>1699</v>
      </c>
      <c r="M159" s="7">
        <f t="shared" si="17"/>
        <v>0</v>
      </c>
      <c r="N159" s="7">
        <f t="shared" si="18"/>
        <v>44045.08</v>
      </c>
      <c r="O159" s="7" t="str">
        <f t="shared" si="19"/>
        <v>AXIS 3167</v>
      </c>
    </row>
    <row r="160" spans="1:15" x14ac:dyDescent="0.25">
      <c r="A160">
        <v>145</v>
      </c>
      <c r="B160" s="1">
        <v>45238</v>
      </c>
      <c r="C160" t="s">
        <v>154</v>
      </c>
      <c r="D160" s="2">
        <v>105</v>
      </c>
      <c r="E160" s="2">
        <v>0</v>
      </c>
      <c r="F160" s="2">
        <v>43940.08</v>
      </c>
      <c r="G160" t="s">
        <v>715</v>
      </c>
      <c r="H160" s="7">
        <f t="shared" si="20"/>
        <v>0</v>
      </c>
      <c r="I160" s="1">
        <f t="shared" si="14"/>
        <v>45238</v>
      </c>
      <c r="J160" s="7" t="str">
        <f t="shared" si="15"/>
        <v>UPI/P2M/367886574793/SHAGUN TRADERSMr     /Ice cr/Yes Bank Ltd</v>
      </c>
      <c r="K160" s="7"/>
      <c r="L160" s="7">
        <f t="shared" si="16"/>
        <v>105</v>
      </c>
      <c r="M160" s="7">
        <f t="shared" si="17"/>
        <v>0</v>
      </c>
      <c r="N160" s="7">
        <f t="shared" si="18"/>
        <v>43940.08</v>
      </c>
      <c r="O160" s="7" t="str">
        <f t="shared" si="19"/>
        <v>AXIS 3167</v>
      </c>
    </row>
    <row r="161" spans="1:15" x14ac:dyDescent="0.25">
      <c r="A161">
        <v>146</v>
      </c>
      <c r="B161" s="1">
        <v>45240</v>
      </c>
      <c r="C161" t="s">
        <v>155</v>
      </c>
      <c r="D161" s="2">
        <v>10000</v>
      </c>
      <c r="E161" s="2">
        <v>0</v>
      </c>
      <c r="F161" s="2">
        <v>33940.080000000002</v>
      </c>
      <c r="G161" t="s">
        <v>715</v>
      </c>
      <c r="H161" s="7">
        <f t="shared" si="20"/>
        <v>0</v>
      </c>
      <c r="I161" s="1">
        <f t="shared" si="14"/>
        <v>45240</v>
      </c>
      <c r="J161" s="7" t="str">
        <f t="shared" si="15"/>
        <v>ATM-CASH/SBI SHIVAJI NAGAR/NASHIK/101123</v>
      </c>
      <c r="K161" s="7"/>
      <c r="L161" s="7">
        <f t="shared" si="16"/>
        <v>10000</v>
      </c>
      <c r="M161" s="7">
        <f t="shared" si="17"/>
        <v>0</v>
      </c>
      <c r="N161" s="7">
        <f t="shared" si="18"/>
        <v>33940.080000000002</v>
      </c>
      <c r="O161" s="7" t="str">
        <f t="shared" si="19"/>
        <v>AXIS 3167</v>
      </c>
    </row>
    <row r="162" spans="1:15" x14ac:dyDescent="0.25">
      <c r="A162">
        <v>147</v>
      </c>
      <c r="B162" s="1">
        <v>45246</v>
      </c>
      <c r="C162" t="s">
        <v>156</v>
      </c>
      <c r="D162" s="2">
        <v>195</v>
      </c>
      <c r="E162" s="2">
        <v>0</v>
      </c>
      <c r="F162" s="2">
        <v>33745.08</v>
      </c>
      <c r="G162" t="s">
        <v>715</v>
      </c>
      <c r="H162" s="7">
        <f t="shared" si="20"/>
        <v>0</v>
      </c>
      <c r="I162" s="1">
        <f t="shared" si="14"/>
        <v>45246</v>
      </c>
      <c r="J162" s="7" t="str">
        <f t="shared" si="15"/>
        <v>UPI/P2M/332041095553/JEET PHARMACO AND MIN/Medice/Paytm Payments Bank</v>
      </c>
      <c r="K162" s="7"/>
      <c r="L162" s="7">
        <f t="shared" si="16"/>
        <v>195</v>
      </c>
      <c r="M162" s="7">
        <f t="shared" si="17"/>
        <v>0</v>
      </c>
      <c r="N162" s="7">
        <f t="shared" si="18"/>
        <v>33745.08</v>
      </c>
      <c r="O162" s="7" t="str">
        <f t="shared" si="19"/>
        <v>AXIS 3167</v>
      </c>
    </row>
    <row r="163" spans="1:15" x14ac:dyDescent="0.25">
      <c r="A163">
        <v>148</v>
      </c>
      <c r="B163" s="1">
        <v>45253</v>
      </c>
      <c r="C163" t="s">
        <v>157</v>
      </c>
      <c r="D163" s="2">
        <v>2100</v>
      </c>
      <c r="E163" s="2">
        <v>0</v>
      </c>
      <c r="F163" s="2">
        <v>31645.08</v>
      </c>
      <c r="G163" t="s">
        <v>715</v>
      </c>
      <c r="H163" s="7">
        <f t="shared" si="20"/>
        <v>0</v>
      </c>
      <c r="I163" s="1">
        <f t="shared" si="14"/>
        <v>45253</v>
      </c>
      <c r="J163" s="7" t="str">
        <f t="shared" si="15"/>
        <v>NBSM/39088818/Maha Electricity(BILLDESK)/</v>
      </c>
      <c r="K163" s="7"/>
      <c r="L163" s="7">
        <f t="shared" si="16"/>
        <v>2100</v>
      </c>
      <c r="M163" s="7">
        <f t="shared" si="17"/>
        <v>0</v>
      </c>
      <c r="N163" s="7">
        <f t="shared" si="18"/>
        <v>31645.08</v>
      </c>
      <c r="O163" s="7" t="str">
        <f t="shared" si="19"/>
        <v>AXIS 3167</v>
      </c>
    </row>
    <row r="164" spans="1:15" x14ac:dyDescent="0.25">
      <c r="A164">
        <v>149</v>
      </c>
      <c r="B164" s="1">
        <v>45254</v>
      </c>
      <c r="C164" t="s">
        <v>158</v>
      </c>
      <c r="D164" s="2">
        <v>50</v>
      </c>
      <c r="E164" s="2">
        <v>0</v>
      </c>
      <c r="F164" s="2">
        <v>31595.08</v>
      </c>
      <c r="G164" t="s">
        <v>715</v>
      </c>
      <c r="H164" s="7">
        <f t="shared" si="20"/>
        <v>0</v>
      </c>
      <c r="I164" s="1">
        <f t="shared" si="14"/>
        <v>45254</v>
      </c>
      <c r="J164" s="7" t="str">
        <f t="shared" si="15"/>
        <v>UPI/P2M/369467904333/VIMAL BABAN AGALE    /Jarda/Yes Bank Ltd</v>
      </c>
      <c r="K164" s="7"/>
      <c r="L164" s="7">
        <f t="shared" si="16"/>
        <v>50</v>
      </c>
      <c r="M164" s="7">
        <f t="shared" si="17"/>
        <v>0</v>
      </c>
      <c r="N164" s="7">
        <f t="shared" si="18"/>
        <v>31595.08</v>
      </c>
      <c r="O164" s="7" t="str">
        <f t="shared" si="19"/>
        <v>AXIS 3167</v>
      </c>
    </row>
    <row r="165" spans="1:15" x14ac:dyDescent="0.25">
      <c r="A165">
        <v>150</v>
      </c>
      <c r="B165" s="1">
        <v>45254</v>
      </c>
      <c r="C165" t="s">
        <v>159</v>
      </c>
      <c r="D165" s="2">
        <v>240</v>
      </c>
      <c r="E165" s="2">
        <v>0</v>
      </c>
      <c r="F165" s="2">
        <v>31355.08</v>
      </c>
      <c r="G165" t="s">
        <v>715</v>
      </c>
      <c r="H165" s="7">
        <f t="shared" si="20"/>
        <v>0</v>
      </c>
      <c r="I165" s="1">
        <f t="shared" si="14"/>
        <v>45254</v>
      </c>
      <c r="J165" s="7" t="str">
        <f t="shared" si="15"/>
        <v>UPI/P2M/332824222793/JYOTI BHARAT SALVE   /Fruits/Paytm Payments Bank</v>
      </c>
      <c r="K165" s="7"/>
      <c r="L165" s="7">
        <f t="shared" si="16"/>
        <v>240</v>
      </c>
      <c r="M165" s="7">
        <f t="shared" si="17"/>
        <v>0</v>
      </c>
      <c r="N165" s="7">
        <f t="shared" si="18"/>
        <v>31355.08</v>
      </c>
      <c r="O165" s="7" t="str">
        <f t="shared" si="19"/>
        <v>AXIS 3167</v>
      </c>
    </row>
    <row r="166" spans="1:15" x14ac:dyDescent="0.25">
      <c r="A166">
        <v>151</v>
      </c>
      <c r="B166" s="1">
        <v>45258</v>
      </c>
      <c r="C166" t="s">
        <v>160</v>
      </c>
      <c r="D166" s="2">
        <v>0</v>
      </c>
      <c r="E166" s="2">
        <v>2000</v>
      </c>
      <c r="F166" s="2">
        <v>33355.08</v>
      </c>
      <c r="G166" t="s">
        <v>715</v>
      </c>
      <c r="H166" s="7">
        <f t="shared" si="20"/>
        <v>0</v>
      </c>
      <c r="I166" s="1">
        <f t="shared" si="14"/>
        <v>45258</v>
      </c>
      <c r="J166" s="7" t="str">
        <f t="shared" si="15"/>
        <v>UPI/P2A/333268183431/MUKESH KU/Axis Bank/UPI/</v>
      </c>
      <c r="K166" s="7"/>
      <c r="L166" s="7">
        <f t="shared" si="16"/>
        <v>0</v>
      </c>
      <c r="M166" s="7">
        <f t="shared" si="17"/>
        <v>2000</v>
      </c>
      <c r="N166" s="7">
        <f t="shared" si="18"/>
        <v>33355.08</v>
      </c>
      <c r="O166" s="7" t="str">
        <f t="shared" si="19"/>
        <v>AXIS 3167</v>
      </c>
    </row>
    <row r="167" spans="1:15" x14ac:dyDescent="0.25">
      <c r="A167">
        <v>152</v>
      </c>
      <c r="B167" s="1">
        <v>45258</v>
      </c>
      <c r="C167" t="s">
        <v>161</v>
      </c>
      <c r="D167" s="2">
        <v>0</v>
      </c>
      <c r="E167" s="2">
        <v>23000</v>
      </c>
      <c r="F167" s="2">
        <v>56355.08</v>
      </c>
      <c r="G167" t="s">
        <v>715</v>
      </c>
      <c r="H167" s="7">
        <f t="shared" si="20"/>
        <v>0</v>
      </c>
      <c r="I167" s="1">
        <f t="shared" si="14"/>
        <v>45258</v>
      </c>
      <c r="J167" s="7" t="str">
        <f t="shared" si="15"/>
        <v>UPI/P2A/333268251676/MUKESH KU/Axis Bank/hdfc/</v>
      </c>
      <c r="K167" s="7"/>
      <c r="L167" s="7">
        <f t="shared" si="16"/>
        <v>0</v>
      </c>
      <c r="M167" s="7">
        <f t="shared" si="17"/>
        <v>23000</v>
      </c>
      <c r="N167" s="7">
        <f t="shared" si="18"/>
        <v>56355.08</v>
      </c>
      <c r="O167" s="7" t="str">
        <f t="shared" si="19"/>
        <v>AXIS 3167</v>
      </c>
    </row>
    <row r="168" spans="1:15" x14ac:dyDescent="0.25">
      <c r="A168">
        <v>153</v>
      </c>
      <c r="B168" s="1">
        <v>45262</v>
      </c>
      <c r="C168" t="s">
        <v>162</v>
      </c>
      <c r="D168" s="2">
        <v>100</v>
      </c>
      <c r="E168" s="2">
        <v>0</v>
      </c>
      <c r="F168" s="2">
        <v>56255.08</v>
      </c>
      <c r="G168" t="s">
        <v>715</v>
      </c>
      <c r="H168" s="7">
        <f t="shared" si="20"/>
        <v>0</v>
      </c>
      <c r="I168" s="1">
        <f t="shared" si="14"/>
        <v>45262</v>
      </c>
      <c r="J168" s="7" t="str">
        <f t="shared" si="15"/>
        <v>UPI/P2M/370293910921/Mr RAMESH PUNDLIK CHI/Salune/Yes Bank Ltd</v>
      </c>
      <c r="K168" s="7"/>
      <c r="L168" s="7">
        <f t="shared" si="16"/>
        <v>100</v>
      </c>
      <c r="M168" s="7">
        <f t="shared" si="17"/>
        <v>0</v>
      </c>
      <c r="N168" s="7">
        <f t="shared" si="18"/>
        <v>56255.08</v>
      </c>
      <c r="O168" s="7" t="str">
        <f t="shared" si="19"/>
        <v>AXIS 3167</v>
      </c>
    </row>
    <row r="169" spans="1:15" x14ac:dyDescent="0.25">
      <c r="A169">
        <v>154</v>
      </c>
      <c r="B169" s="1">
        <v>45265</v>
      </c>
      <c r="C169" t="s">
        <v>163</v>
      </c>
      <c r="D169" s="2">
        <v>10000</v>
      </c>
      <c r="E169" s="2">
        <v>0</v>
      </c>
      <c r="F169" s="2">
        <v>46255.08</v>
      </c>
      <c r="G169" t="s">
        <v>715</v>
      </c>
      <c r="H169" s="7">
        <f t="shared" si="20"/>
        <v>0</v>
      </c>
      <c r="I169" s="1">
        <f t="shared" si="14"/>
        <v>45265</v>
      </c>
      <c r="J169" s="7" t="str">
        <f t="shared" si="15"/>
        <v>ATM-CASH-AXIS/BPRH265601/4705/051223/NASHIK</v>
      </c>
      <c r="K169" s="7"/>
      <c r="L169" s="7">
        <f t="shared" si="16"/>
        <v>10000</v>
      </c>
      <c r="M169" s="7">
        <f t="shared" si="17"/>
        <v>0</v>
      </c>
      <c r="N169" s="7">
        <f t="shared" si="18"/>
        <v>46255.08</v>
      </c>
      <c r="O169" s="7" t="str">
        <f t="shared" si="19"/>
        <v>AXIS 3167</v>
      </c>
    </row>
    <row r="170" spans="1:15" x14ac:dyDescent="0.25">
      <c r="A170">
        <v>155</v>
      </c>
      <c r="B170" s="1">
        <v>45267</v>
      </c>
      <c r="C170" t="s">
        <v>164</v>
      </c>
      <c r="D170" s="2">
        <v>50</v>
      </c>
      <c r="E170" s="2">
        <v>0</v>
      </c>
      <c r="F170" s="2">
        <v>46205.08</v>
      </c>
      <c r="G170" t="s">
        <v>715</v>
      </c>
      <c r="H170" s="7">
        <f t="shared" si="20"/>
        <v>0</v>
      </c>
      <c r="I170" s="1">
        <f t="shared" si="14"/>
        <v>45267</v>
      </c>
      <c r="J170" s="7" t="str">
        <f t="shared" si="15"/>
        <v>UPI/P2M/370797069027/VIMAL BABAN AGALE    /Jarda/Yes Bank Ltd</v>
      </c>
      <c r="K170" s="7"/>
      <c r="L170" s="7">
        <f t="shared" si="16"/>
        <v>50</v>
      </c>
      <c r="M170" s="7">
        <f t="shared" si="17"/>
        <v>0</v>
      </c>
      <c r="N170" s="7">
        <f t="shared" si="18"/>
        <v>46205.08</v>
      </c>
      <c r="O170" s="7" t="str">
        <f t="shared" si="19"/>
        <v>AXIS 3167</v>
      </c>
    </row>
    <row r="171" spans="1:15" x14ac:dyDescent="0.25">
      <c r="A171">
        <v>156</v>
      </c>
      <c r="B171" s="1">
        <v>45268</v>
      </c>
      <c r="C171" t="s">
        <v>25</v>
      </c>
      <c r="D171" s="2">
        <v>17767.18</v>
      </c>
      <c r="E171" s="2">
        <v>0</v>
      </c>
      <c r="F171" s="2">
        <v>28437.9</v>
      </c>
      <c r="G171" t="s">
        <v>715</v>
      </c>
      <c r="H171" s="7">
        <f t="shared" si="20"/>
        <v>0</v>
      </c>
      <c r="I171" s="1">
        <f t="shared" si="14"/>
        <v>45268</v>
      </c>
      <c r="J171" s="7" t="str">
        <f t="shared" si="15"/>
        <v>BRN-PYMT-CARD-4111460000883615</v>
      </c>
      <c r="K171" s="7"/>
      <c r="L171" s="7">
        <f t="shared" si="16"/>
        <v>17767.18</v>
      </c>
      <c r="M171" s="7">
        <f t="shared" si="17"/>
        <v>0</v>
      </c>
      <c r="N171" s="7">
        <f t="shared" si="18"/>
        <v>28437.9</v>
      </c>
      <c r="O171" s="7" t="str">
        <f t="shared" si="19"/>
        <v>AXIS 3167</v>
      </c>
    </row>
    <row r="172" spans="1:15" x14ac:dyDescent="0.25">
      <c r="A172">
        <v>157</v>
      </c>
      <c r="B172" s="1">
        <v>45270</v>
      </c>
      <c r="C172" t="s">
        <v>165</v>
      </c>
      <c r="D172" s="2">
        <v>10</v>
      </c>
      <c r="E172" s="2">
        <v>0</v>
      </c>
      <c r="F172" s="2">
        <v>28427.9</v>
      </c>
      <c r="G172" t="s">
        <v>715</v>
      </c>
      <c r="H172" s="7">
        <f t="shared" si="20"/>
        <v>0</v>
      </c>
      <c r="I172" s="1">
        <f t="shared" si="14"/>
        <v>45270</v>
      </c>
      <c r="J172" s="7" t="str">
        <f t="shared" si="15"/>
        <v>UPI/P2M/334405517504/BHAVNA               /Jarda/Paytm Payments Bank</v>
      </c>
      <c r="K172" s="7"/>
      <c r="L172" s="7">
        <f t="shared" si="16"/>
        <v>10</v>
      </c>
      <c r="M172" s="7">
        <f t="shared" si="17"/>
        <v>0</v>
      </c>
      <c r="N172" s="7">
        <f t="shared" si="18"/>
        <v>28427.9</v>
      </c>
      <c r="O172" s="7" t="str">
        <f t="shared" si="19"/>
        <v>AXIS 3167</v>
      </c>
    </row>
    <row r="173" spans="1:15" x14ac:dyDescent="0.25">
      <c r="A173">
        <v>158</v>
      </c>
      <c r="B173" s="1">
        <v>45271</v>
      </c>
      <c r="C173" t="s">
        <v>166</v>
      </c>
      <c r="D173" s="2">
        <v>10</v>
      </c>
      <c r="E173" s="2">
        <v>0</v>
      </c>
      <c r="F173" s="2">
        <v>28417.9</v>
      </c>
      <c r="G173" t="s">
        <v>715</v>
      </c>
      <c r="H173" s="7">
        <f t="shared" si="20"/>
        <v>0</v>
      </c>
      <c r="I173" s="1">
        <f t="shared" si="14"/>
        <v>45271</v>
      </c>
      <c r="J173" s="7" t="str">
        <f t="shared" si="15"/>
        <v>UPI/P2M/334561630401/CHANDRA PRAKASH SHARM/Jardha/Paytm Payments Bank</v>
      </c>
      <c r="K173" s="7"/>
      <c r="L173" s="7">
        <f t="shared" si="16"/>
        <v>10</v>
      </c>
      <c r="M173" s="7">
        <f t="shared" si="17"/>
        <v>0</v>
      </c>
      <c r="N173" s="7">
        <f t="shared" si="18"/>
        <v>28417.9</v>
      </c>
      <c r="O173" s="7" t="str">
        <f t="shared" si="19"/>
        <v>AXIS 3167</v>
      </c>
    </row>
    <row r="174" spans="1:15" x14ac:dyDescent="0.25">
      <c r="A174">
        <v>159</v>
      </c>
      <c r="B174" s="1">
        <v>45273</v>
      </c>
      <c r="C174" t="s">
        <v>167</v>
      </c>
      <c r="D174" s="2">
        <v>6</v>
      </c>
      <c r="E174" s="2">
        <v>0</v>
      </c>
      <c r="F174" s="2">
        <v>28411.9</v>
      </c>
      <c r="G174" t="s">
        <v>715</v>
      </c>
      <c r="H174" s="7">
        <f t="shared" si="20"/>
        <v>0</v>
      </c>
      <c r="I174" s="1">
        <f t="shared" si="14"/>
        <v>45273</v>
      </c>
      <c r="J174" s="7" t="str">
        <f t="shared" si="15"/>
        <v>UPI/P2M/334722415957/PRAKASH CHAND JESWANI/Photoc/Paytm Payments Bank</v>
      </c>
      <c r="K174" s="7"/>
      <c r="L174" s="7">
        <f t="shared" si="16"/>
        <v>6</v>
      </c>
      <c r="M174" s="7">
        <f t="shared" si="17"/>
        <v>0</v>
      </c>
      <c r="N174" s="7">
        <f t="shared" si="18"/>
        <v>28411.9</v>
      </c>
      <c r="O174" s="7" t="str">
        <f t="shared" si="19"/>
        <v>AXIS 3167</v>
      </c>
    </row>
    <row r="175" spans="1:15" x14ac:dyDescent="0.25">
      <c r="A175">
        <v>160</v>
      </c>
      <c r="B175" s="1">
        <v>45277</v>
      </c>
      <c r="C175" t="s">
        <v>51</v>
      </c>
      <c r="D175" s="2">
        <v>10000</v>
      </c>
      <c r="E175" s="2">
        <v>0</v>
      </c>
      <c r="F175" s="2">
        <v>18411.900000000001</v>
      </c>
      <c r="G175" t="s">
        <v>715</v>
      </c>
      <c r="H175" s="7">
        <f t="shared" si="20"/>
        <v>0</v>
      </c>
      <c r="I175" s="1">
        <f t="shared" si="14"/>
        <v>45277</v>
      </c>
      <c r="J175" s="7" t="str">
        <f t="shared" si="15"/>
        <v>INB/IFT/Sunita Gupta/TPARTY TRANSFER</v>
      </c>
      <c r="K175" s="7"/>
      <c r="L175" s="7">
        <f t="shared" si="16"/>
        <v>10000</v>
      </c>
      <c r="M175" s="7">
        <f t="shared" si="17"/>
        <v>0</v>
      </c>
      <c r="N175" s="7">
        <f t="shared" si="18"/>
        <v>18411.900000000001</v>
      </c>
      <c r="O175" s="7" t="str">
        <f t="shared" si="19"/>
        <v>AXIS 3167</v>
      </c>
    </row>
    <row r="176" spans="1:15" x14ac:dyDescent="0.25">
      <c r="A176">
        <v>161</v>
      </c>
      <c r="B176" s="1">
        <v>45277</v>
      </c>
      <c r="C176" t="s">
        <v>168</v>
      </c>
      <c r="D176" s="2">
        <v>0</v>
      </c>
      <c r="E176" s="2">
        <v>50000</v>
      </c>
      <c r="F176" s="2">
        <v>68411.899999999994</v>
      </c>
      <c r="G176" t="s">
        <v>715</v>
      </c>
      <c r="H176" s="7">
        <f t="shared" si="20"/>
        <v>0</v>
      </c>
      <c r="I176" s="1">
        <f t="shared" si="14"/>
        <v>45277</v>
      </c>
      <c r="J176" s="7" t="str">
        <f t="shared" si="15"/>
        <v>NEFT/N351232789015170/AJAY KUMAR GUPTA/HDFC BANK/Trf frm Ajay Axis</v>
      </c>
      <c r="K176" s="7"/>
      <c r="L176" s="7">
        <f t="shared" si="16"/>
        <v>0</v>
      </c>
      <c r="M176" s="7">
        <f t="shared" si="17"/>
        <v>50000</v>
      </c>
      <c r="N176" s="7">
        <f t="shared" si="18"/>
        <v>68411.899999999994</v>
      </c>
      <c r="O176" s="7" t="str">
        <f t="shared" si="19"/>
        <v>AXIS 3167</v>
      </c>
    </row>
    <row r="177" spans="1:15" x14ac:dyDescent="0.25">
      <c r="A177">
        <v>162</v>
      </c>
      <c r="B177" s="1">
        <v>45281</v>
      </c>
      <c r="C177" t="s">
        <v>169</v>
      </c>
      <c r="D177" s="2">
        <v>195</v>
      </c>
      <c r="E177" s="2">
        <v>0</v>
      </c>
      <c r="F177" s="2">
        <v>68216.899999999994</v>
      </c>
      <c r="G177" t="s">
        <v>715</v>
      </c>
      <c r="H177" s="7">
        <f t="shared" si="20"/>
        <v>0</v>
      </c>
      <c r="I177" s="1">
        <f t="shared" si="14"/>
        <v>45281</v>
      </c>
      <c r="J177" s="7" t="str">
        <f t="shared" si="15"/>
        <v>UPI/P2M/372117300056/Apna Sweets          /Namkee/Yes Bank Ltd</v>
      </c>
      <c r="K177" s="7"/>
      <c r="L177" s="7">
        <f t="shared" si="16"/>
        <v>195</v>
      </c>
      <c r="M177" s="7">
        <f t="shared" si="17"/>
        <v>0</v>
      </c>
      <c r="N177" s="7">
        <f t="shared" si="18"/>
        <v>68216.899999999994</v>
      </c>
      <c r="O177" s="7" t="str">
        <f t="shared" si="19"/>
        <v>AXIS 3167</v>
      </c>
    </row>
    <row r="178" spans="1:15" x14ac:dyDescent="0.25">
      <c r="A178">
        <v>163</v>
      </c>
      <c r="B178" s="1">
        <v>45282</v>
      </c>
      <c r="C178" t="s">
        <v>170</v>
      </c>
      <c r="D178" s="2">
        <v>300</v>
      </c>
      <c r="E178" s="2">
        <v>0</v>
      </c>
      <c r="F178" s="2">
        <v>67916.899999999994</v>
      </c>
      <c r="G178" t="s">
        <v>715</v>
      </c>
      <c r="H178" s="7">
        <f t="shared" si="20"/>
        <v>0</v>
      </c>
      <c r="I178" s="1">
        <f t="shared" si="14"/>
        <v>45282</v>
      </c>
      <c r="J178" s="7" t="str">
        <f t="shared" si="15"/>
        <v>UPI/P2M/335604754837/BHAUSAHEB MOTIRAM GA /Veguta/Paytm Payments Bank</v>
      </c>
      <c r="K178" s="7"/>
      <c r="L178" s="7">
        <f t="shared" si="16"/>
        <v>300</v>
      </c>
      <c r="M178" s="7">
        <f t="shared" si="17"/>
        <v>0</v>
      </c>
      <c r="N178" s="7">
        <f t="shared" si="18"/>
        <v>67916.899999999994</v>
      </c>
      <c r="O178" s="7" t="str">
        <f t="shared" si="19"/>
        <v>AXIS 3167</v>
      </c>
    </row>
    <row r="179" spans="1:15" x14ac:dyDescent="0.25">
      <c r="A179">
        <v>164</v>
      </c>
      <c r="B179" s="1">
        <v>45283</v>
      </c>
      <c r="C179" t="s">
        <v>171</v>
      </c>
      <c r="D179" s="2">
        <v>1650</v>
      </c>
      <c r="E179" s="2">
        <v>0</v>
      </c>
      <c r="F179" s="2">
        <v>66266.899999999994</v>
      </c>
      <c r="G179" t="s">
        <v>715</v>
      </c>
      <c r="H179" s="7">
        <f t="shared" si="20"/>
        <v>0</v>
      </c>
      <c r="I179" s="1">
        <f t="shared" si="14"/>
        <v>45283</v>
      </c>
      <c r="J179" s="7" t="str">
        <f t="shared" si="15"/>
        <v>NBSM/42689806/Maha Electricity(BILLDESK)/</v>
      </c>
      <c r="K179" s="7"/>
      <c r="L179" s="7">
        <f t="shared" si="16"/>
        <v>1650</v>
      </c>
      <c r="M179" s="7">
        <f t="shared" si="17"/>
        <v>0</v>
      </c>
      <c r="N179" s="7">
        <f t="shared" si="18"/>
        <v>66266.899999999994</v>
      </c>
      <c r="O179" s="7" t="str">
        <f t="shared" si="19"/>
        <v>AXIS 3167</v>
      </c>
    </row>
    <row r="180" spans="1:15" x14ac:dyDescent="0.25">
      <c r="A180">
        <v>165</v>
      </c>
      <c r="B180" s="1">
        <v>45283</v>
      </c>
      <c r="C180" t="s">
        <v>172</v>
      </c>
      <c r="D180" s="2">
        <v>10000</v>
      </c>
      <c r="E180" s="2">
        <v>0</v>
      </c>
      <c r="F180" s="2">
        <v>56266.9</v>
      </c>
      <c r="G180" t="s">
        <v>715</v>
      </c>
      <c r="H180" s="7">
        <f t="shared" si="20"/>
        <v>0</v>
      </c>
      <c r="I180" s="1">
        <f t="shared" si="14"/>
        <v>45283</v>
      </c>
      <c r="J180" s="7" t="str">
        <f t="shared" si="15"/>
        <v>ATM-CASH-AXIS/BPRH265601/7782/231223/NASHIK</v>
      </c>
      <c r="K180" s="7"/>
      <c r="L180" s="7">
        <f t="shared" si="16"/>
        <v>10000</v>
      </c>
      <c r="M180" s="7">
        <f t="shared" si="17"/>
        <v>0</v>
      </c>
      <c r="N180" s="7">
        <f t="shared" si="18"/>
        <v>56266.9</v>
      </c>
      <c r="O180" s="7" t="str">
        <f t="shared" si="19"/>
        <v>AXIS 3167</v>
      </c>
    </row>
    <row r="181" spans="1:15" x14ac:dyDescent="0.25">
      <c r="A181">
        <v>166</v>
      </c>
      <c r="B181" s="1">
        <v>45284</v>
      </c>
      <c r="C181" t="s">
        <v>173</v>
      </c>
      <c r="D181" s="2">
        <v>20</v>
      </c>
      <c r="E181" s="2">
        <v>0</v>
      </c>
      <c r="F181" s="2">
        <v>56246.9</v>
      </c>
      <c r="G181" t="s">
        <v>715</v>
      </c>
      <c r="H181" s="7">
        <f t="shared" si="20"/>
        <v>0</v>
      </c>
      <c r="I181" s="1">
        <f t="shared" si="14"/>
        <v>45284</v>
      </c>
      <c r="J181" s="7" t="str">
        <f t="shared" si="15"/>
        <v>UPI/P2M/372488320880/BHAUSAHEB MOTIRAM GAR/Vegita/Yes Bank Ltd</v>
      </c>
      <c r="K181" s="7"/>
      <c r="L181" s="7">
        <f t="shared" si="16"/>
        <v>20</v>
      </c>
      <c r="M181" s="7">
        <f t="shared" si="17"/>
        <v>0</v>
      </c>
      <c r="N181" s="7">
        <f t="shared" si="18"/>
        <v>56246.9</v>
      </c>
      <c r="O181" s="7" t="str">
        <f t="shared" si="19"/>
        <v>AXIS 3167</v>
      </c>
    </row>
    <row r="182" spans="1:15" x14ac:dyDescent="0.25">
      <c r="A182">
        <v>167</v>
      </c>
      <c r="B182" s="1">
        <v>45285</v>
      </c>
      <c r="C182" t="s">
        <v>174</v>
      </c>
      <c r="D182" s="2">
        <v>351.49</v>
      </c>
      <c r="E182" s="2">
        <v>0</v>
      </c>
      <c r="F182" s="2">
        <v>55895.41</v>
      </c>
      <c r="G182" t="s">
        <v>715</v>
      </c>
      <c r="H182" s="7">
        <f t="shared" si="20"/>
        <v>0</v>
      </c>
      <c r="I182" s="1">
        <f t="shared" si="14"/>
        <v>45285</v>
      </c>
      <c r="J182" s="7" t="str">
        <f t="shared" si="15"/>
        <v>UPI/P2M/335922235553/MEDPLUS ASHOKAMARG   /35149/Paytm Payments Bank</v>
      </c>
      <c r="K182" s="7"/>
      <c r="L182" s="7">
        <f t="shared" si="16"/>
        <v>351.49</v>
      </c>
      <c r="M182" s="7">
        <f t="shared" si="17"/>
        <v>0</v>
      </c>
      <c r="N182" s="7">
        <f t="shared" si="18"/>
        <v>55895.41</v>
      </c>
      <c r="O182" s="7" t="str">
        <f t="shared" si="19"/>
        <v>AXIS 3167</v>
      </c>
    </row>
    <row r="183" spans="1:15" x14ac:dyDescent="0.25">
      <c r="A183">
        <v>168</v>
      </c>
      <c r="B183" s="1">
        <v>45288</v>
      </c>
      <c r="C183" t="s">
        <v>175</v>
      </c>
      <c r="D183" s="2">
        <v>10000</v>
      </c>
      <c r="E183" s="2">
        <v>0</v>
      </c>
      <c r="F183" s="2">
        <v>45895.41</v>
      </c>
      <c r="G183" t="s">
        <v>715</v>
      </c>
      <c r="H183" s="7">
        <f t="shared" si="20"/>
        <v>0</v>
      </c>
      <c r="I183" s="1">
        <f t="shared" si="14"/>
        <v>45288</v>
      </c>
      <c r="J183" s="7" t="str">
        <f t="shared" si="15"/>
        <v>ATM-CASH-AXIS/BPRH265601/8613/281223/NASHIK</v>
      </c>
      <c r="K183" s="7"/>
      <c r="L183" s="7">
        <f t="shared" si="16"/>
        <v>10000</v>
      </c>
      <c r="M183" s="7">
        <f t="shared" si="17"/>
        <v>0</v>
      </c>
      <c r="N183" s="7">
        <f t="shared" si="18"/>
        <v>45895.41</v>
      </c>
      <c r="O183" s="7" t="str">
        <f t="shared" si="19"/>
        <v>AXIS 3167</v>
      </c>
    </row>
    <row r="184" spans="1:15" x14ac:dyDescent="0.25">
      <c r="A184">
        <v>169</v>
      </c>
      <c r="B184" s="1">
        <v>45288</v>
      </c>
      <c r="C184" t="s">
        <v>176</v>
      </c>
      <c r="D184" s="2">
        <v>5000</v>
      </c>
      <c r="E184" s="2">
        <v>0</v>
      </c>
      <c r="F184" s="2">
        <v>40895.410000000003</v>
      </c>
      <c r="G184" t="s">
        <v>715</v>
      </c>
      <c r="H184" s="7">
        <f t="shared" si="20"/>
        <v>0</v>
      </c>
      <c r="I184" s="1">
        <f t="shared" si="14"/>
        <v>45288</v>
      </c>
      <c r="J184" s="7" t="str">
        <f t="shared" si="15"/>
        <v>UPI/P2A/372854054633/TEJSHRI SACHIN DUSANE/Ring/HDFC BANK LTD</v>
      </c>
      <c r="K184" s="7"/>
      <c r="L184" s="7">
        <f t="shared" si="16"/>
        <v>5000</v>
      </c>
      <c r="M184" s="7">
        <f t="shared" si="17"/>
        <v>0</v>
      </c>
      <c r="N184" s="7">
        <f t="shared" si="18"/>
        <v>40895.410000000003</v>
      </c>
      <c r="O184" s="7" t="str">
        <f t="shared" si="19"/>
        <v>AXIS 3167</v>
      </c>
    </row>
    <row r="185" spans="1:15" x14ac:dyDescent="0.25">
      <c r="A185">
        <v>170</v>
      </c>
      <c r="B185" s="1">
        <v>45291</v>
      </c>
      <c r="C185" t="s">
        <v>177</v>
      </c>
      <c r="D185" s="2">
        <v>10200</v>
      </c>
      <c r="E185" s="2">
        <v>0</v>
      </c>
      <c r="F185" s="2">
        <v>30695.41</v>
      </c>
      <c r="G185" t="s">
        <v>715</v>
      </c>
      <c r="H185" s="7">
        <f>F184-D185+E185-F185</f>
        <v>0</v>
      </c>
      <c r="I185" s="1">
        <f t="shared" si="14"/>
        <v>45291</v>
      </c>
      <c r="J185" s="7" t="str">
        <f t="shared" si="15"/>
        <v>UPI/P2A/373114492466/DEEPA SAKIT DUSANE   /Stone/HDFC BANK LTD</v>
      </c>
      <c r="K185" s="7"/>
      <c r="L185" s="7">
        <f>D185</f>
        <v>10200</v>
      </c>
      <c r="M185" s="7">
        <f t="shared" si="17"/>
        <v>0</v>
      </c>
      <c r="N185" s="7">
        <f t="shared" si="18"/>
        <v>30695.41</v>
      </c>
      <c r="O185" s="7" t="str">
        <f t="shared" si="19"/>
        <v>AXIS 3167</v>
      </c>
    </row>
    <row r="186" spans="1:15" x14ac:dyDescent="0.25">
      <c r="A186">
        <v>172</v>
      </c>
      <c r="B186" s="1">
        <v>45292</v>
      </c>
      <c r="C186" t="s">
        <v>178</v>
      </c>
      <c r="D186" s="2">
        <v>0</v>
      </c>
      <c r="E186" s="2">
        <v>476</v>
      </c>
      <c r="F186" s="2">
        <v>31171.41</v>
      </c>
      <c r="G186" t="s">
        <v>715</v>
      </c>
      <c r="H186" s="7">
        <f>F185-D186+E186-F186</f>
        <v>0</v>
      </c>
      <c r="I186" s="1">
        <f t="shared" si="14"/>
        <v>45292</v>
      </c>
      <c r="J186" s="7" t="str">
        <f t="shared" si="15"/>
        <v>910010047943167:Int.Pd:01-10-2023 to 31-12-2023</v>
      </c>
      <c r="K186" s="7"/>
      <c r="L186" s="7">
        <f t="shared" si="16"/>
        <v>0</v>
      </c>
      <c r="M186" s="7">
        <f t="shared" si="17"/>
        <v>476</v>
      </c>
      <c r="N186" s="7">
        <f t="shared" si="18"/>
        <v>31171.41</v>
      </c>
      <c r="O186" s="7" t="str">
        <f t="shared" si="19"/>
        <v>AXIS 3167</v>
      </c>
    </row>
    <row r="187" spans="1:15" x14ac:dyDescent="0.25">
      <c r="A187">
        <v>171</v>
      </c>
      <c r="B187" s="1">
        <v>45292</v>
      </c>
      <c r="C187" t="s">
        <v>846</v>
      </c>
      <c r="D187" s="2">
        <v>20</v>
      </c>
      <c r="E187" s="2">
        <v>0</v>
      </c>
      <c r="F187" s="2">
        <v>30675.41</v>
      </c>
      <c r="G187" t="s">
        <v>715</v>
      </c>
      <c r="H187" s="7">
        <f>F186-D187+E187-F187</f>
        <v>476</v>
      </c>
      <c r="I187" s="1">
        <f t="shared" ref="I187" si="21">B187</f>
        <v>45292</v>
      </c>
      <c r="J187" s="7" t="str">
        <f t="shared" ref="J187" si="22">C187</f>
        <v>UPI/P2M/400157635770/Mr Asaram Narayan Dol/Flower/Paytm Payments Bank</v>
      </c>
      <c r="K187" s="7"/>
      <c r="L187" s="7">
        <f t="shared" ref="L187" si="23">D187</f>
        <v>20</v>
      </c>
      <c r="M187" s="7">
        <f t="shared" ref="M187" si="24">E187</f>
        <v>0</v>
      </c>
      <c r="N187" s="7">
        <f t="shared" ref="N187" si="25">F187</f>
        <v>30675.41</v>
      </c>
      <c r="O187" s="7" t="str">
        <f t="shared" ref="O187" si="26">G187</f>
        <v>AXIS 3167</v>
      </c>
    </row>
    <row r="188" spans="1:15" x14ac:dyDescent="0.25">
      <c r="A188">
        <v>173</v>
      </c>
      <c r="B188" s="1">
        <v>45292</v>
      </c>
      <c r="C188" t="s">
        <v>847</v>
      </c>
      <c r="D188" s="2">
        <v>0</v>
      </c>
      <c r="E188" s="2">
        <v>100000</v>
      </c>
      <c r="F188" s="2">
        <v>131151.41</v>
      </c>
      <c r="G188" t="s">
        <v>715</v>
      </c>
      <c r="H188" s="7">
        <f>F187-D188+E188-F188</f>
        <v>-476</v>
      </c>
      <c r="I188" s="1">
        <f t="shared" ref="I188" si="27">B188</f>
        <v>45292</v>
      </c>
      <c r="J188" s="7" t="str">
        <f t="shared" ref="J188" si="28">C188</f>
        <v>NEFT/SBIN424001928513/Mr  AJAY KUMAR GUPTA/STATE BANK OF INDIA//ATTN//INB//Deposit / Investm</v>
      </c>
      <c r="K188" s="7"/>
      <c r="L188" s="7">
        <f t="shared" ref="L188" si="29">D188</f>
        <v>0</v>
      </c>
      <c r="M188" s="7">
        <f t="shared" ref="M188" si="30">E188</f>
        <v>100000</v>
      </c>
      <c r="N188" s="7">
        <f t="shared" ref="N188" si="31">F188</f>
        <v>131151.41</v>
      </c>
      <c r="O188" s="7" t="str">
        <f t="shared" ref="O188" si="32">G188</f>
        <v>AXIS 3167</v>
      </c>
    </row>
    <row r="189" spans="1:15" x14ac:dyDescent="0.25">
      <c r="A189">
        <v>174</v>
      </c>
      <c r="B189" s="1">
        <v>45296</v>
      </c>
      <c r="C189" t="s">
        <v>51</v>
      </c>
      <c r="D189" s="2">
        <v>40000</v>
      </c>
      <c r="E189" s="2">
        <v>0</v>
      </c>
      <c r="F189" s="2">
        <v>91151.41</v>
      </c>
      <c r="G189" t="s">
        <v>715</v>
      </c>
      <c r="H189" s="7">
        <f>F188-D189+E189-F189</f>
        <v>0</v>
      </c>
      <c r="I189" s="1">
        <f t="shared" ref="I189:I252" si="33">B189</f>
        <v>45296</v>
      </c>
      <c r="J189" s="7" t="str">
        <f t="shared" ref="J189:J252" si="34">C189</f>
        <v>INB/IFT/Sunita Gupta/TPARTY TRANSFER</v>
      </c>
      <c r="K189" s="7"/>
      <c r="L189" s="7">
        <f t="shared" ref="L189:L252" si="35">D189</f>
        <v>40000</v>
      </c>
      <c r="M189" s="7">
        <f t="shared" ref="M189:M252" si="36">E189</f>
        <v>0</v>
      </c>
      <c r="N189" s="7">
        <f t="shared" ref="N189:N252" si="37">F189</f>
        <v>91151.41</v>
      </c>
      <c r="O189" s="7" t="str">
        <f t="shared" ref="O189:O252" si="38">G189</f>
        <v>AXIS 3167</v>
      </c>
    </row>
    <row r="190" spans="1:15" x14ac:dyDescent="0.25">
      <c r="A190">
        <v>175</v>
      </c>
      <c r="B190" s="1">
        <v>45298</v>
      </c>
      <c r="C190" t="s">
        <v>848</v>
      </c>
      <c r="D190" s="2">
        <v>3400</v>
      </c>
      <c r="E190" s="2">
        <v>0</v>
      </c>
      <c r="F190" s="2">
        <v>87751.41</v>
      </c>
      <c r="G190" t="s">
        <v>715</v>
      </c>
      <c r="H190" s="7">
        <f t="shared" ref="H190:H253" si="39">F189-D190+E190-F190</f>
        <v>0</v>
      </c>
      <c r="I190" s="1">
        <f t="shared" si="33"/>
        <v>45298</v>
      </c>
      <c r="J190" s="7" t="str">
        <f t="shared" si="34"/>
        <v>UPI/P2M/437345398310/RK  CO               /Diesal/Yes Bank Ltd</v>
      </c>
      <c r="K190" s="7"/>
      <c r="L190" s="7">
        <f t="shared" si="35"/>
        <v>3400</v>
      </c>
      <c r="M190" s="7">
        <f t="shared" si="36"/>
        <v>0</v>
      </c>
      <c r="N190" s="7">
        <f t="shared" si="37"/>
        <v>87751.41</v>
      </c>
      <c r="O190" s="7" t="str">
        <f t="shared" si="38"/>
        <v>AXIS 3167</v>
      </c>
    </row>
    <row r="191" spans="1:15" x14ac:dyDescent="0.25">
      <c r="A191">
        <v>176</v>
      </c>
      <c r="B191" s="1">
        <v>45299</v>
      </c>
      <c r="C191" t="s">
        <v>25</v>
      </c>
      <c r="D191" s="2">
        <v>37610.07</v>
      </c>
      <c r="E191" s="2">
        <v>0</v>
      </c>
      <c r="F191" s="2">
        <v>50141.34</v>
      </c>
      <c r="G191" t="s">
        <v>715</v>
      </c>
      <c r="H191" s="7">
        <f t="shared" si="39"/>
        <v>0</v>
      </c>
      <c r="I191" s="1">
        <f t="shared" si="33"/>
        <v>45299</v>
      </c>
      <c r="J191" s="7" t="str">
        <f t="shared" si="34"/>
        <v>BRN-PYMT-CARD-4111460000883615</v>
      </c>
      <c r="K191" s="7"/>
      <c r="L191" s="7">
        <f t="shared" si="35"/>
        <v>37610.07</v>
      </c>
      <c r="M191" s="7">
        <f t="shared" si="36"/>
        <v>0</v>
      </c>
      <c r="N191" s="7">
        <f t="shared" si="37"/>
        <v>50141.34</v>
      </c>
      <c r="O191" s="7" t="str">
        <f t="shared" si="38"/>
        <v>AXIS 3167</v>
      </c>
    </row>
    <row r="192" spans="1:15" x14ac:dyDescent="0.25">
      <c r="A192">
        <v>177</v>
      </c>
      <c r="B192" s="1">
        <v>45299</v>
      </c>
      <c r="C192" t="s">
        <v>849</v>
      </c>
      <c r="D192" s="2">
        <v>10000</v>
      </c>
      <c r="E192" s="2">
        <v>0</v>
      </c>
      <c r="F192" s="2">
        <v>40141.339999999997</v>
      </c>
      <c r="G192" t="s">
        <v>715</v>
      </c>
      <c r="H192" s="7">
        <f t="shared" si="39"/>
        <v>0</v>
      </c>
      <c r="I192" s="1">
        <f t="shared" si="33"/>
        <v>45299</v>
      </c>
      <c r="J192" s="7" t="str">
        <f t="shared" si="34"/>
        <v>ATM-CASH-AXIS/BPRH265601/824/080124/NASHIK</v>
      </c>
      <c r="K192" s="7"/>
      <c r="L192" s="7">
        <f t="shared" si="35"/>
        <v>10000</v>
      </c>
      <c r="M192" s="7">
        <f t="shared" si="36"/>
        <v>0</v>
      </c>
      <c r="N192" s="7">
        <f t="shared" si="37"/>
        <v>40141.339999999997</v>
      </c>
      <c r="O192" s="7" t="str">
        <f t="shared" si="38"/>
        <v>AXIS 3167</v>
      </c>
    </row>
    <row r="193" spans="1:15" x14ac:dyDescent="0.25">
      <c r="A193">
        <v>178</v>
      </c>
      <c r="B193" s="1">
        <v>45300</v>
      </c>
      <c r="C193" t="s">
        <v>850</v>
      </c>
      <c r="D193" s="2">
        <v>2500</v>
      </c>
      <c r="E193" s="2">
        <v>0</v>
      </c>
      <c r="F193" s="2">
        <v>37641.339999999997</v>
      </c>
      <c r="G193" t="s">
        <v>715</v>
      </c>
      <c r="H193" s="7">
        <f t="shared" si="39"/>
        <v>0</v>
      </c>
      <c r="I193" s="1">
        <f t="shared" si="33"/>
        <v>45300</v>
      </c>
      <c r="J193" s="7" t="str">
        <f t="shared" si="34"/>
        <v>UPI/P2M/437511912923/KUNAL EAKNATH MAKUNE /Ghee/Yes Bank Ltd</v>
      </c>
      <c r="K193" s="7"/>
      <c r="L193" s="7">
        <f t="shared" si="35"/>
        <v>2500</v>
      </c>
      <c r="M193" s="7">
        <f t="shared" si="36"/>
        <v>0</v>
      </c>
      <c r="N193" s="7">
        <f t="shared" si="37"/>
        <v>37641.339999999997</v>
      </c>
      <c r="O193" s="7" t="str">
        <f t="shared" si="38"/>
        <v>AXIS 3167</v>
      </c>
    </row>
    <row r="194" spans="1:15" x14ac:dyDescent="0.25">
      <c r="A194">
        <v>179</v>
      </c>
      <c r="B194" s="1">
        <v>45304</v>
      </c>
      <c r="C194" t="s">
        <v>851</v>
      </c>
      <c r="D194" s="2">
        <v>300</v>
      </c>
      <c r="E194" s="2">
        <v>0</v>
      </c>
      <c r="F194" s="2">
        <v>37341.339999999997</v>
      </c>
      <c r="G194" t="s">
        <v>715</v>
      </c>
      <c r="H194" s="7">
        <f t="shared" si="39"/>
        <v>0</v>
      </c>
      <c r="I194" s="1">
        <f t="shared" si="33"/>
        <v>45304</v>
      </c>
      <c r="J194" s="7" t="str">
        <f t="shared" si="34"/>
        <v>UPI/P2M/401340496740/BHARAT SHIVAJI SALVE /Vegita/Paytm Payments Bank</v>
      </c>
      <c r="K194" s="7"/>
      <c r="L194" s="7">
        <f t="shared" si="35"/>
        <v>300</v>
      </c>
      <c r="M194" s="7">
        <f t="shared" si="36"/>
        <v>0</v>
      </c>
      <c r="N194" s="7">
        <f t="shared" si="37"/>
        <v>37341.339999999997</v>
      </c>
      <c r="O194" s="7" t="str">
        <f t="shared" si="38"/>
        <v>AXIS 3167</v>
      </c>
    </row>
    <row r="195" spans="1:15" x14ac:dyDescent="0.25">
      <c r="A195">
        <v>180</v>
      </c>
      <c r="B195" s="1">
        <v>45305</v>
      </c>
      <c r="C195" t="s">
        <v>852</v>
      </c>
      <c r="D195" s="2">
        <v>0</v>
      </c>
      <c r="E195" s="2">
        <v>10793</v>
      </c>
      <c r="F195" s="2">
        <v>48134.34</v>
      </c>
      <c r="G195" t="s">
        <v>715</v>
      </c>
      <c r="H195" s="7">
        <f t="shared" si="39"/>
        <v>0</v>
      </c>
      <c r="I195" s="1">
        <f t="shared" si="33"/>
        <v>45305</v>
      </c>
      <c r="J195" s="7" t="str">
        <f t="shared" si="34"/>
        <v>BRN-FLEXI DEPOSIT PRIN TFR FROM 922040082210879</v>
      </c>
      <c r="K195" s="7"/>
      <c r="L195" s="7">
        <f t="shared" si="35"/>
        <v>0</v>
      </c>
      <c r="M195" s="7">
        <f t="shared" si="36"/>
        <v>10793</v>
      </c>
      <c r="N195" s="7">
        <f t="shared" si="37"/>
        <v>48134.34</v>
      </c>
      <c r="O195" s="7" t="str">
        <f t="shared" si="38"/>
        <v>AXIS 3167</v>
      </c>
    </row>
    <row r="196" spans="1:15" x14ac:dyDescent="0.25">
      <c r="A196">
        <v>181</v>
      </c>
      <c r="B196" s="1">
        <v>45310</v>
      </c>
      <c r="C196" t="s">
        <v>853</v>
      </c>
      <c r="D196" s="2">
        <v>0</v>
      </c>
      <c r="E196" s="2">
        <v>10802</v>
      </c>
      <c r="F196" s="2">
        <v>58936.34</v>
      </c>
      <c r="G196" t="s">
        <v>715</v>
      </c>
      <c r="H196" s="7">
        <f t="shared" si="39"/>
        <v>0</v>
      </c>
      <c r="I196" s="1">
        <f t="shared" si="33"/>
        <v>45310</v>
      </c>
      <c r="J196" s="7" t="str">
        <f t="shared" si="34"/>
        <v>BRN-FLEXI DEPOSIT PRIN TFR FROM 922040082211018</v>
      </c>
      <c r="K196" s="7"/>
      <c r="L196" s="7">
        <f t="shared" si="35"/>
        <v>0</v>
      </c>
      <c r="M196" s="7">
        <f t="shared" si="36"/>
        <v>10802</v>
      </c>
      <c r="N196" s="7">
        <f t="shared" si="37"/>
        <v>58936.34</v>
      </c>
      <c r="O196" s="7" t="str">
        <f t="shared" si="38"/>
        <v>AXIS 3167</v>
      </c>
    </row>
    <row r="197" spans="1:15" x14ac:dyDescent="0.25">
      <c r="A197">
        <v>182</v>
      </c>
      <c r="B197" s="1">
        <v>45310</v>
      </c>
      <c r="C197" t="s">
        <v>854</v>
      </c>
      <c r="D197" s="2">
        <v>0</v>
      </c>
      <c r="E197" s="2">
        <v>10802</v>
      </c>
      <c r="F197" s="2">
        <v>69738.34</v>
      </c>
      <c r="G197" t="s">
        <v>715</v>
      </c>
      <c r="H197" s="7">
        <f t="shared" si="39"/>
        <v>0</v>
      </c>
      <c r="I197" s="1">
        <f t="shared" si="33"/>
        <v>45310</v>
      </c>
      <c r="J197" s="7" t="str">
        <f t="shared" si="34"/>
        <v>BRN-FLEXI DEPOSIT PRIN TFR FROM 922040082211081</v>
      </c>
      <c r="K197" s="7"/>
      <c r="L197" s="7">
        <f t="shared" si="35"/>
        <v>0</v>
      </c>
      <c r="M197" s="7">
        <f t="shared" si="36"/>
        <v>10802</v>
      </c>
      <c r="N197" s="7">
        <f t="shared" si="37"/>
        <v>69738.34</v>
      </c>
      <c r="O197" s="7" t="str">
        <f t="shared" si="38"/>
        <v>AXIS 3167</v>
      </c>
    </row>
    <row r="198" spans="1:15" x14ac:dyDescent="0.25">
      <c r="A198">
        <v>183</v>
      </c>
      <c r="B198" s="1">
        <v>45310</v>
      </c>
      <c r="C198" t="s">
        <v>855</v>
      </c>
      <c r="D198" s="2">
        <v>0</v>
      </c>
      <c r="E198" s="2">
        <v>28774.7</v>
      </c>
      <c r="F198" s="2">
        <v>98513.04</v>
      </c>
      <c r="G198" t="s">
        <v>715</v>
      </c>
      <c r="H198" s="7">
        <f t="shared" si="39"/>
        <v>0</v>
      </c>
      <c r="I198" s="1">
        <f t="shared" si="33"/>
        <v>45310</v>
      </c>
      <c r="J198" s="7" t="str">
        <f t="shared" si="34"/>
        <v>IFT/CB0040537255/NORMAL2024011951382291/AXIS MUTUA/AJAY  GUPTA/UTIB0000115</v>
      </c>
      <c r="K198" s="7"/>
      <c r="L198" s="7">
        <f t="shared" si="35"/>
        <v>0</v>
      </c>
      <c r="M198" s="7">
        <f t="shared" si="36"/>
        <v>28774.7</v>
      </c>
      <c r="N198" s="7">
        <f t="shared" si="37"/>
        <v>98513.04</v>
      </c>
      <c r="O198" s="7" t="str">
        <f t="shared" si="38"/>
        <v>AXIS 3167</v>
      </c>
    </row>
    <row r="199" spans="1:15" x14ac:dyDescent="0.25">
      <c r="A199">
        <v>184</v>
      </c>
      <c r="B199" s="1">
        <v>45310</v>
      </c>
      <c r="C199" t="s">
        <v>856</v>
      </c>
      <c r="D199" s="2">
        <v>0</v>
      </c>
      <c r="E199" s="2">
        <v>70860.89</v>
      </c>
      <c r="F199" s="2">
        <v>169373.93</v>
      </c>
      <c r="G199" t="s">
        <v>715</v>
      </c>
      <c r="H199" s="7">
        <f t="shared" si="39"/>
        <v>0</v>
      </c>
      <c r="I199" s="1">
        <f t="shared" si="33"/>
        <v>45310</v>
      </c>
      <c r="J199" s="7" t="str">
        <f t="shared" si="34"/>
        <v>IFT/CB0040536817/NORMAL2024011951386845/AXIS MUTUA/AJAY  GUPTA/UTIB0000115</v>
      </c>
      <c r="K199" s="7"/>
      <c r="L199" s="7">
        <f t="shared" si="35"/>
        <v>0</v>
      </c>
      <c r="M199" s="7">
        <f t="shared" si="36"/>
        <v>70860.89</v>
      </c>
      <c r="N199" s="7">
        <f t="shared" si="37"/>
        <v>169373.93</v>
      </c>
      <c r="O199" s="7" t="str">
        <f t="shared" si="38"/>
        <v>AXIS 3167</v>
      </c>
    </row>
    <row r="200" spans="1:15" x14ac:dyDescent="0.25">
      <c r="A200">
        <v>185</v>
      </c>
      <c r="B200" s="1">
        <v>45310</v>
      </c>
      <c r="C200" t="s">
        <v>857</v>
      </c>
      <c r="D200" s="2">
        <v>100</v>
      </c>
      <c r="E200" s="2">
        <v>0</v>
      </c>
      <c r="F200" s="2">
        <v>169273.93</v>
      </c>
      <c r="G200" t="s">
        <v>715</v>
      </c>
      <c r="H200" s="7">
        <f t="shared" si="39"/>
        <v>0</v>
      </c>
      <c r="I200" s="1">
        <f t="shared" si="33"/>
        <v>45310</v>
      </c>
      <c r="J200" s="7" t="str">
        <f t="shared" si="34"/>
        <v>UPI/P2M/438586202197/SHIVBHOLA VEGETABLE  /Vegita/Yes Bank Ltd</v>
      </c>
      <c r="K200" s="7"/>
      <c r="L200" s="7">
        <f t="shared" si="35"/>
        <v>100</v>
      </c>
      <c r="M200" s="7">
        <f t="shared" si="36"/>
        <v>0</v>
      </c>
      <c r="N200" s="7">
        <f t="shared" si="37"/>
        <v>169273.93</v>
      </c>
      <c r="O200" s="7" t="str">
        <f t="shared" si="38"/>
        <v>AXIS 3167</v>
      </c>
    </row>
    <row r="201" spans="1:15" x14ac:dyDescent="0.25">
      <c r="A201">
        <v>186</v>
      </c>
      <c r="B201" s="1">
        <v>45310</v>
      </c>
      <c r="C201" t="s">
        <v>858</v>
      </c>
      <c r="D201" s="2">
        <v>0</v>
      </c>
      <c r="E201" s="2">
        <v>16056.49</v>
      </c>
      <c r="F201" s="2">
        <v>185330.42</v>
      </c>
      <c r="G201" t="s">
        <v>715</v>
      </c>
      <c r="H201" s="7">
        <f t="shared" si="39"/>
        <v>0</v>
      </c>
      <c r="I201" s="1">
        <f t="shared" si="33"/>
        <v>45310</v>
      </c>
      <c r="J201" s="7" t="str">
        <f t="shared" si="34"/>
        <v>IFT/CB0040535819/RMFRED/1891185932/PHGP/170124/NIP/AJAY  GUPTA/UTIB0000115</v>
      </c>
      <c r="K201" s="7"/>
      <c r="L201" s="7">
        <f t="shared" si="35"/>
        <v>0</v>
      </c>
      <c r="M201" s="7">
        <f t="shared" si="36"/>
        <v>16056.49</v>
      </c>
      <c r="N201" s="7">
        <f t="shared" si="37"/>
        <v>185330.42</v>
      </c>
      <c r="O201" s="7" t="str">
        <f t="shared" si="38"/>
        <v>AXIS 3167</v>
      </c>
    </row>
    <row r="202" spans="1:15" x14ac:dyDescent="0.25">
      <c r="A202">
        <v>187</v>
      </c>
      <c r="B202" s="1">
        <v>45310</v>
      </c>
      <c r="C202" t="s">
        <v>859</v>
      </c>
      <c r="D202" s="2">
        <v>10000</v>
      </c>
      <c r="E202" s="2">
        <v>0</v>
      </c>
      <c r="F202" s="2">
        <v>175330.42</v>
      </c>
      <c r="G202" t="s">
        <v>715</v>
      </c>
      <c r="H202" s="7">
        <f t="shared" si="39"/>
        <v>0</v>
      </c>
      <c r="I202" s="1">
        <f t="shared" si="33"/>
        <v>45310</v>
      </c>
      <c r="J202" s="7" t="str">
        <f t="shared" si="34"/>
        <v>ATM-CASH-AXIS/BPRH265601/2138/190124/NASHIK</v>
      </c>
      <c r="K202" s="7"/>
      <c r="L202" s="7">
        <f t="shared" si="35"/>
        <v>10000</v>
      </c>
      <c r="M202" s="7">
        <f t="shared" si="36"/>
        <v>0</v>
      </c>
      <c r="N202" s="7">
        <f t="shared" si="37"/>
        <v>175330.42</v>
      </c>
      <c r="O202" s="7" t="str">
        <f t="shared" si="38"/>
        <v>AXIS 3167</v>
      </c>
    </row>
    <row r="203" spans="1:15" x14ac:dyDescent="0.25">
      <c r="A203">
        <v>188</v>
      </c>
      <c r="B203" s="1">
        <v>45313</v>
      </c>
      <c r="C203" t="s">
        <v>860</v>
      </c>
      <c r="D203" s="2">
        <v>121</v>
      </c>
      <c r="E203" s="2">
        <v>0</v>
      </c>
      <c r="F203" s="2">
        <v>175209.42</v>
      </c>
      <c r="G203" t="s">
        <v>715</v>
      </c>
      <c r="H203" s="7">
        <f t="shared" si="39"/>
        <v>0</v>
      </c>
      <c r="I203" s="1">
        <f t="shared" si="33"/>
        <v>45313</v>
      </c>
      <c r="J203" s="7" t="str">
        <f t="shared" si="34"/>
        <v>UPI/P2M/438820698716/PhonePe              /Paymen/Yes Bank Ltd</v>
      </c>
      <c r="K203" s="7"/>
      <c r="L203" s="7">
        <f t="shared" si="35"/>
        <v>121</v>
      </c>
      <c r="M203" s="7">
        <f t="shared" si="36"/>
        <v>0</v>
      </c>
      <c r="N203" s="7">
        <f t="shared" si="37"/>
        <v>175209.42</v>
      </c>
      <c r="O203" s="7" t="str">
        <f t="shared" si="38"/>
        <v>AXIS 3167</v>
      </c>
    </row>
    <row r="204" spans="1:15" x14ac:dyDescent="0.25">
      <c r="A204">
        <v>189</v>
      </c>
      <c r="B204" s="1">
        <v>45315</v>
      </c>
      <c r="C204" t="s">
        <v>861</v>
      </c>
      <c r="D204" s="2">
        <v>5007.33</v>
      </c>
      <c r="E204" s="2">
        <v>0</v>
      </c>
      <c r="F204" s="2">
        <v>170202.09</v>
      </c>
      <c r="G204" t="s">
        <v>715</v>
      </c>
      <c r="H204" s="7">
        <f t="shared" si="39"/>
        <v>0</v>
      </c>
      <c r="I204" s="1">
        <f t="shared" si="33"/>
        <v>45315</v>
      </c>
      <c r="J204" s="7" t="str">
        <f t="shared" si="34"/>
        <v>Rent for 2023-24:-Locker No:47</v>
      </c>
      <c r="K204" s="7"/>
      <c r="L204" s="7">
        <f t="shared" si="35"/>
        <v>5007.33</v>
      </c>
      <c r="M204" s="7">
        <f t="shared" si="36"/>
        <v>0</v>
      </c>
      <c r="N204" s="7">
        <f t="shared" si="37"/>
        <v>170202.09</v>
      </c>
      <c r="O204" s="7" t="str">
        <f t="shared" si="38"/>
        <v>AXIS 3167</v>
      </c>
    </row>
    <row r="205" spans="1:15" x14ac:dyDescent="0.25">
      <c r="A205">
        <v>190</v>
      </c>
      <c r="B205" s="1">
        <v>45315</v>
      </c>
      <c r="C205" t="s">
        <v>862</v>
      </c>
      <c r="D205" s="2">
        <v>1950</v>
      </c>
      <c r="E205" s="2">
        <v>0</v>
      </c>
      <c r="F205" s="2">
        <v>168252.09</v>
      </c>
      <c r="G205" t="s">
        <v>715</v>
      </c>
      <c r="H205" s="7">
        <f t="shared" si="39"/>
        <v>0</v>
      </c>
      <c r="I205" s="1">
        <f t="shared" si="33"/>
        <v>45315</v>
      </c>
      <c r="J205" s="7" t="str">
        <f t="shared" si="34"/>
        <v>UPI/P2M/439028411017/PhonePe              /Paymen/Yes Bank Ltd</v>
      </c>
      <c r="K205" s="7"/>
      <c r="L205" s="7">
        <f t="shared" si="35"/>
        <v>1950</v>
      </c>
      <c r="M205" s="7">
        <f t="shared" si="36"/>
        <v>0</v>
      </c>
      <c r="N205" s="7">
        <f t="shared" si="37"/>
        <v>168252.09</v>
      </c>
      <c r="O205" s="7" t="str">
        <f t="shared" si="38"/>
        <v>AXIS 3167</v>
      </c>
    </row>
    <row r="206" spans="1:15" x14ac:dyDescent="0.25">
      <c r="A206">
        <v>191</v>
      </c>
      <c r="B206" s="1">
        <v>45315</v>
      </c>
      <c r="C206" t="s">
        <v>863</v>
      </c>
      <c r="D206" s="2">
        <v>10</v>
      </c>
      <c r="E206" s="2">
        <v>0</v>
      </c>
      <c r="F206" s="2">
        <v>168242.09</v>
      </c>
      <c r="G206" t="s">
        <v>715</v>
      </c>
      <c r="H206" s="7">
        <f t="shared" si="39"/>
        <v>0</v>
      </c>
      <c r="I206" s="1">
        <f t="shared" si="33"/>
        <v>45315</v>
      </c>
      <c r="J206" s="7" t="str">
        <f t="shared" si="34"/>
        <v>UPI/P2M/439071167472/PROP KALPESH KANAIYA /Photoc/Yes Bank Ltd</v>
      </c>
      <c r="K206" s="7"/>
      <c r="L206" s="7">
        <f t="shared" si="35"/>
        <v>10</v>
      </c>
      <c r="M206" s="7">
        <f t="shared" si="36"/>
        <v>0</v>
      </c>
      <c r="N206" s="7">
        <f t="shared" si="37"/>
        <v>168242.09</v>
      </c>
      <c r="O206" s="7" t="str">
        <f t="shared" si="38"/>
        <v>AXIS 3167</v>
      </c>
    </row>
    <row r="207" spans="1:15" x14ac:dyDescent="0.25">
      <c r="A207">
        <v>192</v>
      </c>
      <c r="B207" s="1">
        <v>45315</v>
      </c>
      <c r="C207" t="s">
        <v>864</v>
      </c>
      <c r="D207" s="2">
        <v>50</v>
      </c>
      <c r="E207" s="2">
        <v>0</v>
      </c>
      <c r="F207" s="2">
        <v>168192.09</v>
      </c>
      <c r="G207" t="s">
        <v>715</v>
      </c>
      <c r="H207" s="7">
        <f t="shared" si="39"/>
        <v>0</v>
      </c>
      <c r="I207" s="1">
        <f t="shared" si="33"/>
        <v>45315</v>
      </c>
      <c r="J207" s="7" t="str">
        <f t="shared" si="34"/>
        <v>UPI/P2M/402409022996/Mrs JYOTSNA SWAPNIL P/Pay to/Federal Bank</v>
      </c>
      <c r="K207" s="7"/>
      <c r="L207" s="7">
        <f t="shared" si="35"/>
        <v>50</v>
      </c>
      <c r="M207" s="7">
        <f t="shared" si="36"/>
        <v>0</v>
      </c>
      <c r="N207" s="7">
        <f t="shared" si="37"/>
        <v>168192.09</v>
      </c>
      <c r="O207" s="7" t="str">
        <f t="shared" si="38"/>
        <v>AXIS 3167</v>
      </c>
    </row>
    <row r="208" spans="1:15" x14ac:dyDescent="0.25">
      <c r="A208">
        <v>193</v>
      </c>
      <c r="B208" s="1">
        <v>45321</v>
      </c>
      <c r="C208" t="s">
        <v>865</v>
      </c>
      <c r="D208" s="2">
        <v>18200</v>
      </c>
      <c r="E208" s="2">
        <v>0</v>
      </c>
      <c r="F208" s="2">
        <v>149992.09</v>
      </c>
      <c r="G208" t="s">
        <v>715</v>
      </c>
      <c r="H208" s="7">
        <f t="shared" si="39"/>
        <v>0</v>
      </c>
      <c r="I208" s="1">
        <f t="shared" si="33"/>
        <v>45321</v>
      </c>
      <c r="J208" s="7" t="str">
        <f t="shared" si="34"/>
        <v>UPI/P2A/439666583162/Mr. KANAKRAJ MANIKAM /Car re/Bank of Maharashtra</v>
      </c>
      <c r="K208" s="7"/>
      <c r="L208" s="7">
        <f t="shared" si="35"/>
        <v>18200</v>
      </c>
      <c r="M208" s="7">
        <f t="shared" si="36"/>
        <v>0</v>
      </c>
      <c r="N208" s="7">
        <f t="shared" si="37"/>
        <v>149992.09</v>
      </c>
      <c r="O208" s="7" t="str">
        <f t="shared" si="38"/>
        <v>AXIS 3167</v>
      </c>
    </row>
    <row r="209" spans="1:15" x14ac:dyDescent="0.25">
      <c r="A209">
        <v>194</v>
      </c>
      <c r="B209" s="1">
        <v>45324</v>
      </c>
      <c r="C209" t="s">
        <v>866</v>
      </c>
      <c r="D209" s="2">
        <v>20</v>
      </c>
      <c r="E209" s="2">
        <v>0</v>
      </c>
      <c r="F209" s="2">
        <v>149972.09</v>
      </c>
      <c r="G209" t="s">
        <v>715</v>
      </c>
      <c r="H209" s="7">
        <f t="shared" si="39"/>
        <v>0</v>
      </c>
      <c r="I209" s="1">
        <f t="shared" si="33"/>
        <v>45324</v>
      </c>
      <c r="J209" s="7" t="str">
        <f t="shared" si="34"/>
        <v>UPI/P2M/439943200861/SHIVBHOLA VEGETABLE  /Vegita/Yes Bank Ltd</v>
      </c>
      <c r="K209" s="7"/>
      <c r="L209" s="7">
        <f t="shared" si="35"/>
        <v>20</v>
      </c>
      <c r="M209" s="7">
        <f t="shared" si="36"/>
        <v>0</v>
      </c>
      <c r="N209" s="7">
        <f t="shared" si="37"/>
        <v>149972.09</v>
      </c>
      <c r="O209" s="7" t="str">
        <f t="shared" si="38"/>
        <v>AXIS 3167</v>
      </c>
    </row>
    <row r="210" spans="1:15" x14ac:dyDescent="0.25">
      <c r="A210">
        <v>195</v>
      </c>
      <c r="B210" s="1">
        <v>45325</v>
      </c>
      <c r="C210" t="s">
        <v>867</v>
      </c>
      <c r="D210" s="2">
        <v>596</v>
      </c>
      <c r="E210" s="2">
        <v>0</v>
      </c>
      <c r="F210" s="2">
        <v>149376.09</v>
      </c>
      <c r="G210" t="s">
        <v>715</v>
      </c>
      <c r="H210" s="7">
        <f t="shared" si="39"/>
        <v>0</v>
      </c>
      <c r="I210" s="1">
        <f t="shared" si="33"/>
        <v>45325</v>
      </c>
      <c r="J210" s="7" t="str">
        <f t="shared" si="34"/>
        <v>UPI/P2M/403472602299/SHABANA KHATUN       /Taxi d/INDUSIND BANK</v>
      </c>
      <c r="K210" s="7"/>
      <c r="L210" s="7">
        <f t="shared" si="35"/>
        <v>596</v>
      </c>
      <c r="M210" s="7">
        <f t="shared" si="36"/>
        <v>0</v>
      </c>
      <c r="N210" s="7">
        <f t="shared" si="37"/>
        <v>149376.09</v>
      </c>
      <c r="O210" s="7" t="str">
        <f t="shared" si="38"/>
        <v>AXIS 3167</v>
      </c>
    </row>
    <row r="211" spans="1:15" x14ac:dyDescent="0.25">
      <c r="A211">
        <v>196</v>
      </c>
      <c r="B211" s="1">
        <v>45326</v>
      </c>
      <c r="C211" t="s">
        <v>868</v>
      </c>
      <c r="D211" s="2">
        <v>302</v>
      </c>
      <c r="E211" s="2">
        <v>0</v>
      </c>
      <c r="F211" s="2">
        <v>149074.09</v>
      </c>
      <c r="G211" t="s">
        <v>715</v>
      </c>
      <c r="H211" s="7">
        <f t="shared" si="39"/>
        <v>0</v>
      </c>
      <c r="I211" s="1">
        <f t="shared" si="33"/>
        <v>45326</v>
      </c>
      <c r="J211" s="7" t="str">
        <f t="shared" si="34"/>
        <v>UPI/P2M/440100205593/JIOIN APP DIRECT     /Paymen/Yes Bank Ltd</v>
      </c>
      <c r="K211" s="7"/>
      <c r="L211" s="7">
        <f t="shared" si="35"/>
        <v>302</v>
      </c>
      <c r="M211" s="7">
        <f t="shared" si="36"/>
        <v>0</v>
      </c>
      <c r="N211" s="7">
        <f t="shared" si="37"/>
        <v>149074.09</v>
      </c>
      <c r="O211" s="7" t="str">
        <f t="shared" si="38"/>
        <v>AXIS 3167</v>
      </c>
    </row>
    <row r="212" spans="1:15" x14ac:dyDescent="0.25">
      <c r="A212">
        <v>197</v>
      </c>
      <c r="B212" s="1">
        <v>45329</v>
      </c>
      <c r="C212" t="s">
        <v>25</v>
      </c>
      <c r="D212" s="2">
        <v>14997.15</v>
      </c>
      <c r="E212" s="2">
        <v>0</v>
      </c>
      <c r="F212" s="2">
        <v>134076.94</v>
      </c>
      <c r="G212" t="s">
        <v>715</v>
      </c>
      <c r="H212" s="7">
        <f t="shared" si="39"/>
        <v>0</v>
      </c>
      <c r="I212" s="1">
        <f t="shared" si="33"/>
        <v>45329</v>
      </c>
      <c r="J212" s="7" t="str">
        <f t="shared" si="34"/>
        <v>BRN-PYMT-CARD-4111460000883615</v>
      </c>
      <c r="K212" s="7"/>
      <c r="L212" s="7">
        <f t="shared" si="35"/>
        <v>14997.15</v>
      </c>
      <c r="M212" s="7">
        <f t="shared" si="36"/>
        <v>0</v>
      </c>
      <c r="N212" s="7">
        <f t="shared" si="37"/>
        <v>134076.94</v>
      </c>
      <c r="O212" s="7" t="str">
        <f t="shared" si="38"/>
        <v>AXIS 3167</v>
      </c>
    </row>
    <row r="213" spans="1:15" x14ac:dyDescent="0.25">
      <c r="A213">
        <v>198</v>
      </c>
      <c r="B213" s="1">
        <v>45329</v>
      </c>
      <c r="C213" t="s">
        <v>869</v>
      </c>
      <c r="D213" s="2">
        <v>35000</v>
      </c>
      <c r="E213" s="2">
        <v>0</v>
      </c>
      <c r="F213" s="2">
        <v>99076.94</v>
      </c>
      <c r="G213" t="s">
        <v>715</v>
      </c>
      <c r="H213" s="7">
        <f t="shared" si="39"/>
        <v>0</v>
      </c>
      <c r="I213" s="1">
        <f t="shared" si="33"/>
        <v>45329</v>
      </c>
      <c r="J213" s="7" t="str">
        <f t="shared" si="34"/>
        <v>UPI/P2A/440490290145/SHILPA AMIT CHANDAK  /Paymen/State Bank Of India</v>
      </c>
      <c r="K213" s="7"/>
      <c r="L213" s="7">
        <f t="shared" si="35"/>
        <v>35000</v>
      </c>
      <c r="M213" s="7">
        <f t="shared" si="36"/>
        <v>0</v>
      </c>
      <c r="N213" s="7">
        <f t="shared" si="37"/>
        <v>99076.94</v>
      </c>
      <c r="O213" s="7" t="str">
        <f t="shared" si="38"/>
        <v>AXIS 3167</v>
      </c>
    </row>
    <row r="214" spans="1:15" x14ac:dyDescent="0.25">
      <c r="A214">
        <v>199</v>
      </c>
      <c r="B214" s="1">
        <v>45329</v>
      </c>
      <c r="C214" t="s">
        <v>870</v>
      </c>
      <c r="D214" s="2">
        <v>6700</v>
      </c>
      <c r="E214" s="2">
        <v>0</v>
      </c>
      <c r="F214" s="2">
        <v>92376.94</v>
      </c>
      <c r="G214" t="s">
        <v>715</v>
      </c>
      <c r="H214" s="7">
        <f t="shared" si="39"/>
        <v>0</v>
      </c>
      <c r="I214" s="1">
        <f t="shared" si="33"/>
        <v>45329</v>
      </c>
      <c r="J214" s="7" t="str">
        <f t="shared" si="34"/>
        <v>UPI/P2A/440405240912/Mr KANAKRAJ MANIKAM P/Car re/Bank of Maharashtra</v>
      </c>
      <c r="K214" s="7"/>
      <c r="L214" s="7">
        <f t="shared" si="35"/>
        <v>6700</v>
      </c>
      <c r="M214" s="7">
        <f t="shared" si="36"/>
        <v>0</v>
      </c>
      <c r="N214" s="7">
        <f t="shared" si="37"/>
        <v>92376.94</v>
      </c>
      <c r="O214" s="7" t="str">
        <f t="shared" si="38"/>
        <v>AXIS 3167</v>
      </c>
    </row>
    <row r="215" spans="1:15" x14ac:dyDescent="0.25">
      <c r="A215">
        <v>200</v>
      </c>
      <c r="B215" s="1">
        <v>45330</v>
      </c>
      <c r="C215" t="s">
        <v>871</v>
      </c>
      <c r="D215" s="2">
        <v>70</v>
      </c>
      <c r="E215" s="2">
        <v>0</v>
      </c>
      <c r="F215" s="2">
        <v>92306.94</v>
      </c>
      <c r="G215" t="s">
        <v>715</v>
      </c>
      <c r="H215" s="7">
        <f t="shared" si="39"/>
        <v>0</v>
      </c>
      <c r="I215" s="1">
        <f t="shared" si="33"/>
        <v>45330</v>
      </c>
      <c r="J215" s="7" t="str">
        <f t="shared" si="34"/>
        <v>UPI/P2M/440521810386/SHIVBHOLA VEGETABLE  /Vegita/Yes Bank Ltd</v>
      </c>
      <c r="K215" s="7"/>
      <c r="L215" s="7">
        <f t="shared" si="35"/>
        <v>70</v>
      </c>
      <c r="M215" s="7">
        <f t="shared" si="36"/>
        <v>0</v>
      </c>
      <c r="N215" s="7">
        <f t="shared" si="37"/>
        <v>92306.94</v>
      </c>
      <c r="O215" s="7" t="str">
        <f t="shared" si="38"/>
        <v>AXIS 3167</v>
      </c>
    </row>
    <row r="216" spans="1:15" x14ac:dyDescent="0.25">
      <c r="A216">
        <v>201</v>
      </c>
      <c r="B216" s="1">
        <v>45331</v>
      </c>
      <c r="C216" t="s">
        <v>872</v>
      </c>
      <c r="D216" s="2">
        <v>20000</v>
      </c>
      <c r="E216" s="2">
        <v>0</v>
      </c>
      <c r="F216" s="2">
        <v>72306.94</v>
      </c>
      <c r="G216" t="s">
        <v>715</v>
      </c>
      <c r="H216" s="7">
        <f t="shared" si="39"/>
        <v>0</v>
      </c>
      <c r="I216" s="1">
        <f t="shared" si="33"/>
        <v>45331</v>
      </c>
      <c r="J216" s="7" t="str">
        <f t="shared" si="34"/>
        <v>MOB/TPFT/Sunita Gupta/919010088767042</v>
      </c>
      <c r="K216" s="7"/>
      <c r="L216" s="7">
        <f t="shared" si="35"/>
        <v>20000</v>
      </c>
      <c r="M216" s="7">
        <f t="shared" si="36"/>
        <v>0</v>
      </c>
      <c r="N216" s="7">
        <f t="shared" si="37"/>
        <v>72306.94</v>
      </c>
      <c r="O216" s="7" t="str">
        <f t="shared" si="38"/>
        <v>AXIS 3167</v>
      </c>
    </row>
    <row r="217" spans="1:15" x14ac:dyDescent="0.25">
      <c r="A217">
        <v>202</v>
      </c>
      <c r="B217" s="1">
        <v>45331</v>
      </c>
      <c r="C217" t="s">
        <v>873</v>
      </c>
      <c r="D217" s="2">
        <v>10000</v>
      </c>
      <c r="E217" s="2">
        <v>0</v>
      </c>
      <c r="F217" s="2">
        <v>62306.94</v>
      </c>
      <c r="G217" t="s">
        <v>715</v>
      </c>
      <c r="H217" s="7">
        <f t="shared" si="39"/>
        <v>0</v>
      </c>
      <c r="I217" s="1">
        <f t="shared" si="33"/>
        <v>45331</v>
      </c>
      <c r="J217" s="7" t="str">
        <f t="shared" si="34"/>
        <v>ATM-CASH-AXIS/BPRH265601/6369/090224/NASHIK</v>
      </c>
      <c r="K217" s="7"/>
      <c r="L217" s="7">
        <f t="shared" si="35"/>
        <v>10000</v>
      </c>
      <c r="M217" s="7">
        <f t="shared" si="36"/>
        <v>0</v>
      </c>
      <c r="N217" s="7">
        <f t="shared" si="37"/>
        <v>62306.94</v>
      </c>
      <c r="O217" s="7" t="str">
        <f t="shared" si="38"/>
        <v>AXIS 3167</v>
      </c>
    </row>
    <row r="218" spans="1:15" x14ac:dyDescent="0.25">
      <c r="A218">
        <v>203</v>
      </c>
      <c r="B218" s="1">
        <v>45332</v>
      </c>
      <c r="C218" t="s">
        <v>874</v>
      </c>
      <c r="D218" s="2">
        <v>20</v>
      </c>
      <c r="E218" s="2">
        <v>0</v>
      </c>
      <c r="F218" s="2">
        <v>62286.94</v>
      </c>
      <c r="G218" t="s">
        <v>715</v>
      </c>
      <c r="H218" s="7">
        <f t="shared" si="39"/>
        <v>0</v>
      </c>
      <c r="I218" s="1">
        <f t="shared" si="33"/>
        <v>45332</v>
      </c>
      <c r="J218" s="7" t="str">
        <f t="shared" si="34"/>
        <v>UPI/P2M/440747901250/SHIVBHOLA VEGETABLE E/Vegita/Yes Bank Ltd</v>
      </c>
      <c r="K218" s="7"/>
      <c r="L218" s="7">
        <f t="shared" si="35"/>
        <v>20</v>
      </c>
      <c r="M218" s="7">
        <f t="shared" si="36"/>
        <v>0</v>
      </c>
      <c r="N218" s="7">
        <f t="shared" si="37"/>
        <v>62286.94</v>
      </c>
      <c r="O218" s="7" t="str">
        <f t="shared" si="38"/>
        <v>AXIS 3167</v>
      </c>
    </row>
    <row r="219" spans="1:15" x14ac:dyDescent="0.25">
      <c r="A219">
        <v>204</v>
      </c>
      <c r="B219" s="1">
        <v>45332</v>
      </c>
      <c r="C219" t="s">
        <v>875</v>
      </c>
      <c r="D219" s="2">
        <v>100</v>
      </c>
      <c r="E219" s="2">
        <v>0</v>
      </c>
      <c r="F219" s="2">
        <v>62186.94</v>
      </c>
      <c r="G219" t="s">
        <v>715</v>
      </c>
      <c r="H219" s="7">
        <f t="shared" si="39"/>
        <v>0</v>
      </c>
      <c r="I219" s="1">
        <f t="shared" si="33"/>
        <v>45332</v>
      </c>
      <c r="J219" s="7" t="str">
        <f t="shared" si="34"/>
        <v>UPI/P2M/404147627726/VIJAY                /Jarda/Paytm Payments Bank</v>
      </c>
      <c r="K219" s="7"/>
      <c r="L219" s="7">
        <f t="shared" si="35"/>
        <v>100</v>
      </c>
      <c r="M219" s="7">
        <f t="shared" si="36"/>
        <v>0</v>
      </c>
      <c r="N219" s="7">
        <f t="shared" si="37"/>
        <v>62186.94</v>
      </c>
      <c r="O219" s="7" t="str">
        <f t="shared" si="38"/>
        <v>AXIS 3167</v>
      </c>
    </row>
    <row r="220" spans="1:15" x14ac:dyDescent="0.25">
      <c r="A220">
        <v>205</v>
      </c>
      <c r="B220" s="1">
        <v>45336</v>
      </c>
      <c r="C220" t="s">
        <v>876</v>
      </c>
      <c r="D220" s="2">
        <v>25</v>
      </c>
      <c r="E220" s="2">
        <v>0</v>
      </c>
      <c r="F220" s="2">
        <v>62161.94</v>
      </c>
      <c r="G220" t="s">
        <v>715</v>
      </c>
      <c r="H220" s="7">
        <f t="shared" si="39"/>
        <v>0</v>
      </c>
      <c r="I220" s="1">
        <f t="shared" si="33"/>
        <v>45336</v>
      </c>
      <c r="J220" s="7" t="str">
        <f t="shared" si="34"/>
        <v>UPI/P2M/441181441017/KUNAL EAKNATH MAKUNE /Milk/Yes Bank Ltd</v>
      </c>
      <c r="K220" s="7"/>
      <c r="L220" s="7">
        <f t="shared" si="35"/>
        <v>25</v>
      </c>
      <c r="M220" s="7">
        <f t="shared" si="36"/>
        <v>0</v>
      </c>
      <c r="N220" s="7">
        <f t="shared" si="37"/>
        <v>62161.94</v>
      </c>
      <c r="O220" s="7" t="str">
        <f t="shared" si="38"/>
        <v>AXIS 3167</v>
      </c>
    </row>
    <row r="221" spans="1:15" x14ac:dyDescent="0.25">
      <c r="A221">
        <v>206</v>
      </c>
      <c r="B221" s="1">
        <v>45336</v>
      </c>
      <c r="C221" t="s">
        <v>877</v>
      </c>
      <c r="D221" s="2">
        <v>0</v>
      </c>
      <c r="E221" s="2">
        <v>20000</v>
      </c>
      <c r="F221" s="2">
        <v>82161.94</v>
      </c>
      <c r="G221" t="s">
        <v>715</v>
      </c>
      <c r="H221" s="7">
        <f t="shared" si="39"/>
        <v>0</v>
      </c>
      <c r="I221" s="1">
        <f t="shared" si="33"/>
        <v>45336</v>
      </c>
      <c r="J221" s="7" t="str">
        <f t="shared" si="34"/>
        <v>INB/IFT/SUNITA GUPTA/TPARTY TRANSFER</v>
      </c>
      <c r="K221" s="7"/>
      <c r="L221" s="7">
        <f t="shared" si="35"/>
        <v>0</v>
      </c>
      <c r="M221" s="7">
        <f t="shared" si="36"/>
        <v>20000</v>
      </c>
      <c r="N221" s="7">
        <f t="shared" si="37"/>
        <v>82161.94</v>
      </c>
      <c r="O221" s="7" t="str">
        <f t="shared" si="38"/>
        <v>AXIS 3167</v>
      </c>
    </row>
    <row r="222" spans="1:15" x14ac:dyDescent="0.25">
      <c r="A222">
        <v>207</v>
      </c>
      <c r="B222" s="1">
        <v>45336</v>
      </c>
      <c r="C222" t="s">
        <v>878</v>
      </c>
      <c r="D222" s="2">
        <v>20000</v>
      </c>
      <c r="E222" s="2">
        <v>0</v>
      </c>
      <c r="F222" s="2">
        <v>62161.94</v>
      </c>
      <c r="G222" t="s">
        <v>715</v>
      </c>
      <c r="H222" s="7">
        <f t="shared" si="39"/>
        <v>0</v>
      </c>
      <c r="I222" s="1">
        <f t="shared" si="33"/>
        <v>45336</v>
      </c>
      <c r="J222" s="7" t="str">
        <f t="shared" si="34"/>
        <v>ATM-CASH-AXIS/BPRH265601/7376/140224/NASHIK</v>
      </c>
      <c r="K222" s="7"/>
      <c r="L222" s="7">
        <f t="shared" si="35"/>
        <v>20000</v>
      </c>
      <c r="M222" s="7">
        <f t="shared" si="36"/>
        <v>0</v>
      </c>
      <c r="N222" s="7">
        <f t="shared" si="37"/>
        <v>62161.94</v>
      </c>
      <c r="O222" s="7" t="str">
        <f t="shared" si="38"/>
        <v>AXIS 3167</v>
      </c>
    </row>
    <row r="223" spans="1:15" x14ac:dyDescent="0.25">
      <c r="A223">
        <v>208</v>
      </c>
      <c r="B223" s="1">
        <v>45336</v>
      </c>
      <c r="C223" t="s">
        <v>879</v>
      </c>
      <c r="D223" s="2">
        <v>4</v>
      </c>
      <c r="E223" s="2">
        <v>0</v>
      </c>
      <c r="F223" s="2">
        <v>62157.94</v>
      </c>
      <c r="G223" t="s">
        <v>715</v>
      </c>
      <c r="H223" s="7">
        <f t="shared" si="39"/>
        <v>0</v>
      </c>
      <c r="I223" s="1">
        <f t="shared" si="33"/>
        <v>45336</v>
      </c>
      <c r="J223" s="7" t="str">
        <f t="shared" si="34"/>
        <v>UPI/P2M/441135497810/PROP KALPESH KANAIYA /Printo/Yes Bank Ltd</v>
      </c>
      <c r="K223" s="7"/>
      <c r="L223" s="7">
        <f t="shared" si="35"/>
        <v>4</v>
      </c>
      <c r="M223" s="7">
        <f t="shared" si="36"/>
        <v>0</v>
      </c>
      <c r="N223" s="7">
        <f t="shared" si="37"/>
        <v>62157.94</v>
      </c>
      <c r="O223" s="7" t="str">
        <f t="shared" si="38"/>
        <v>AXIS 3167</v>
      </c>
    </row>
    <row r="224" spans="1:15" x14ac:dyDescent="0.25">
      <c r="A224">
        <v>209</v>
      </c>
      <c r="B224" s="1">
        <v>45337</v>
      </c>
      <c r="C224" t="s">
        <v>880</v>
      </c>
      <c r="D224" s="2">
        <v>15</v>
      </c>
      <c r="E224" s="2">
        <v>0</v>
      </c>
      <c r="F224" s="2">
        <v>62142.94</v>
      </c>
      <c r="G224" t="s">
        <v>715</v>
      </c>
      <c r="H224" s="7">
        <f t="shared" si="39"/>
        <v>0</v>
      </c>
      <c r="I224" s="1">
        <f t="shared" si="33"/>
        <v>45337</v>
      </c>
      <c r="J224" s="7" t="str">
        <f t="shared" si="34"/>
        <v>UPI/P2M/404692846842/POOJA  JAIN          /Pay to/Federal Bank</v>
      </c>
      <c r="K224" s="7"/>
      <c r="L224" s="7">
        <f t="shared" si="35"/>
        <v>15</v>
      </c>
      <c r="M224" s="7">
        <f t="shared" si="36"/>
        <v>0</v>
      </c>
      <c r="N224" s="7">
        <f t="shared" si="37"/>
        <v>62142.94</v>
      </c>
      <c r="O224" s="7" t="str">
        <f t="shared" si="38"/>
        <v>AXIS 3167</v>
      </c>
    </row>
    <row r="225" spans="1:15" x14ac:dyDescent="0.25">
      <c r="A225">
        <v>210</v>
      </c>
      <c r="B225" s="1">
        <v>45341</v>
      </c>
      <c r="C225" t="s">
        <v>881</v>
      </c>
      <c r="D225" s="2">
        <v>254</v>
      </c>
      <c r="E225" s="2">
        <v>0</v>
      </c>
      <c r="F225" s="2">
        <v>61888.94</v>
      </c>
      <c r="G225" t="s">
        <v>715</v>
      </c>
      <c r="H225" s="7">
        <f t="shared" si="39"/>
        <v>0</v>
      </c>
      <c r="I225" s="1">
        <f t="shared" si="33"/>
        <v>45341</v>
      </c>
      <c r="J225" s="7" t="str">
        <f t="shared" si="34"/>
        <v>UPI/P2M/405010050113/Shubham Filling Stati/Petrol/Paytm Payments Bank</v>
      </c>
      <c r="K225" s="7"/>
      <c r="L225" s="7">
        <f t="shared" si="35"/>
        <v>254</v>
      </c>
      <c r="M225" s="7">
        <f t="shared" si="36"/>
        <v>0</v>
      </c>
      <c r="N225" s="7">
        <f t="shared" si="37"/>
        <v>61888.94</v>
      </c>
      <c r="O225" s="7" t="str">
        <f t="shared" si="38"/>
        <v>AXIS 3167</v>
      </c>
    </row>
    <row r="226" spans="1:15" x14ac:dyDescent="0.25">
      <c r="A226">
        <v>211</v>
      </c>
      <c r="B226" s="1">
        <v>45341</v>
      </c>
      <c r="C226" t="s">
        <v>882</v>
      </c>
      <c r="D226" s="2">
        <v>200</v>
      </c>
      <c r="E226" s="2">
        <v>0</v>
      </c>
      <c r="F226" s="2">
        <v>61688.94</v>
      </c>
      <c r="G226" t="s">
        <v>715</v>
      </c>
      <c r="H226" s="7">
        <f t="shared" si="39"/>
        <v>0</v>
      </c>
      <c r="I226" s="1">
        <f t="shared" si="33"/>
        <v>45341</v>
      </c>
      <c r="J226" s="7" t="str">
        <f t="shared" si="34"/>
        <v>UPI/P2M/441687967591/PhonePe              /Paymen/Yes Bank Ltd</v>
      </c>
      <c r="K226" s="7"/>
      <c r="L226" s="7">
        <f t="shared" si="35"/>
        <v>200</v>
      </c>
      <c r="M226" s="7">
        <f t="shared" si="36"/>
        <v>0</v>
      </c>
      <c r="N226" s="7">
        <f t="shared" si="37"/>
        <v>61688.94</v>
      </c>
      <c r="O226" s="7" t="str">
        <f t="shared" si="38"/>
        <v>AXIS 3167</v>
      </c>
    </row>
    <row r="227" spans="1:15" x14ac:dyDescent="0.25">
      <c r="A227">
        <v>212</v>
      </c>
      <c r="B227" s="1">
        <v>45342</v>
      </c>
      <c r="C227" t="s">
        <v>883</v>
      </c>
      <c r="D227" s="2">
        <v>0</v>
      </c>
      <c r="E227" s="2">
        <v>700000</v>
      </c>
      <c r="F227" s="2">
        <v>761688.94</v>
      </c>
      <c r="G227" t="s">
        <v>715</v>
      </c>
      <c r="H227" s="7">
        <f t="shared" si="39"/>
        <v>0</v>
      </c>
      <c r="I227" s="1">
        <f t="shared" si="33"/>
        <v>45342</v>
      </c>
      <c r="J227" s="7" t="str">
        <f t="shared" si="34"/>
        <v>NEFT/SBIN424051633691/EMPLOYEE PROVIDENT FUND ORGA/STATE BANK OF INDIA//URGENT/RS0000070000000//BUL</v>
      </c>
      <c r="K227" s="7"/>
      <c r="L227" s="7">
        <f t="shared" si="35"/>
        <v>0</v>
      </c>
      <c r="M227" s="7">
        <f t="shared" si="36"/>
        <v>700000</v>
      </c>
      <c r="N227" s="7">
        <f t="shared" si="37"/>
        <v>761688.94</v>
      </c>
      <c r="O227" s="7" t="str">
        <f t="shared" si="38"/>
        <v>AXIS 3167</v>
      </c>
    </row>
    <row r="228" spans="1:15" x14ac:dyDescent="0.25">
      <c r="A228">
        <v>213</v>
      </c>
      <c r="B228" s="1">
        <v>45342</v>
      </c>
      <c r="C228" t="s">
        <v>884</v>
      </c>
      <c r="D228" s="2">
        <v>200000</v>
      </c>
      <c r="E228" s="2">
        <v>0</v>
      </c>
      <c r="F228" s="2">
        <v>561688.93999999994</v>
      </c>
      <c r="G228" t="s">
        <v>715</v>
      </c>
      <c r="H228" s="7">
        <f t="shared" si="39"/>
        <v>0</v>
      </c>
      <c r="I228" s="1">
        <f t="shared" si="33"/>
        <v>45342</v>
      </c>
      <c r="J228" s="7" t="str">
        <f t="shared" si="34"/>
        <v>NEFT/IR/AXOIR40511620660/Ajay Gupta/STATE BANK OF INDIA/Transfer from Axis Bank</v>
      </c>
      <c r="K228" s="7"/>
      <c r="L228" s="7">
        <f t="shared" si="35"/>
        <v>200000</v>
      </c>
      <c r="M228" s="7">
        <f t="shared" si="36"/>
        <v>0</v>
      </c>
      <c r="N228" s="7">
        <f t="shared" si="37"/>
        <v>561688.93999999994</v>
      </c>
      <c r="O228" s="7" t="str">
        <f t="shared" si="38"/>
        <v>AXIS 3167</v>
      </c>
    </row>
    <row r="229" spans="1:15" x14ac:dyDescent="0.25">
      <c r="A229">
        <v>214</v>
      </c>
      <c r="B229" s="1">
        <v>45342</v>
      </c>
      <c r="C229" t="s">
        <v>885</v>
      </c>
      <c r="D229" s="2">
        <v>200000</v>
      </c>
      <c r="E229" s="2">
        <v>0</v>
      </c>
      <c r="F229" s="2">
        <v>361688.94</v>
      </c>
      <c r="G229" t="s">
        <v>715</v>
      </c>
      <c r="H229" s="7">
        <f t="shared" si="39"/>
        <v>0</v>
      </c>
      <c r="I229" s="1">
        <f t="shared" si="33"/>
        <v>45342</v>
      </c>
      <c r="J229" s="7" t="str">
        <f t="shared" si="34"/>
        <v>NEFT/IR/AXOIR40511622501/Ajay Gupta/HDFC BANK/Trabsfer from Axis Bank</v>
      </c>
      <c r="K229" s="7"/>
      <c r="L229" s="7">
        <f t="shared" si="35"/>
        <v>200000</v>
      </c>
      <c r="M229" s="7">
        <f t="shared" si="36"/>
        <v>0</v>
      </c>
      <c r="N229" s="7">
        <f t="shared" si="37"/>
        <v>361688.94</v>
      </c>
      <c r="O229" s="7" t="str">
        <f t="shared" si="38"/>
        <v>AXIS 3167</v>
      </c>
    </row>
    <row r="230" spans="1:15" x14ac:dyDescent="0.25">
      <c r="A230">
        <v>215</v>
      </c>
      <c r="B230" s="1">
        <v>45345</v>
      </c>
      <c r="C230" t="s">
        <v>886</v>
      </c>
      <c r="D230" s="2">
        <v>1550</v>
      </c>
      <c r="E230" s="2">
        <v>0</v>
      </c>
      <c r="F230" s="2">
        <v>360138.94</v>
      </c>
      <c r="G230" t="s">
        <v>715</v>
      </c>
      <c r="H230" s="7">
        <f t="shared" si="39"/>
        <v>0</v>
      </c>
      <c r="I230" s="1">
        <f t="shared" si="33"/>
        <v>45345</v>
      </c>
      <c r="J230" s="7" t="str">
        <f t="shared" si="34"/>
        <v>NBSM/50062393/Maha Electricity(BILLDESK)/</v>
      </c>
      <c r="K230" s="7"/>
      <c r="L230" s="7">
        <f t="shared" si="35"/>
        <v>1550</v>
      </c>
      <c r="M230" s="7">
        <f t="shared" si="36"/>
        <v>0</v>
      </c>
      <c r="N230" s="7">
        <f t="shared" si="37"/>
        <v>360138.94</v>
      </c>
      <c r="O230" s="7" t="str">
        <f t="shared" si="38"/>
        <v>AXIS 3167</v>
      </c>
    </row>
    <row r="231" spans="1:15" x14ac:dyDescent="0.25">
      <c r="A231">
        <v>216</v>
      </c>
      <c r="B231" s="1">
        <v>45345</v>
      </c>
      <c r="C231" t="s">
        <v>887</v>
      </c>
      <c r="D231" s="2">
        <v>370</v>
      </c>
      <c r="E231" s="2">
        <v>0</v>
      </c>
      <c r="F231" s="2">
        <v>359768.94</v>
      </c>
      <c r="G231" t="s">
        <v>715</v>
      </c>
      <c r="H231" s="7">
        <f t="shared" si="39"/>
        <v>0</v>
      </c>
      <c r="I231" s="1">
        <f t="shared" si="33"/>
        <v>45345</v>
      </c>
      <c r="J231" s="7" t="str">
        <f t="shared" si="34"/>
        <v>NBSM/50062611/Maha Electricity(BILLDESK)/</v>
      </c>
      <c r="K231" s="7"/>
      <c r="L231" s="7">
        <f t="shared" si="35"/>
        <v>370</v>
      </c>
      <c r="M231" s="7">
        <f t="shared" si="36"/>
        <v>0</v>
      </c>
      <c r="N231" s="7">
        <f t="shared" si="37"/>
        <v>359768.94</v>
      </c>
      <c r="O231" s="7" t="str">
        <f t="shared" si="38"/>
        <v>AXIS 3167</v>
      </c>
    </row>
    <row r="232" spans="1:15" x14ac:dyDescent="0.25">
      <c r="A232">
        <v>217</v>
      </c>
      <c r="B232" s="1">
        <v>45345</v>
      </c>
      <c r="C232" t="s">
        <v>888</v>
      </c>
      <c r="D232" s="2">
        <v>400</v>
      </c>
      <c r="E232" s="2">
        <v>0</v>
      </c>
      <c r="F232" s="2">
        <v>359368.94</v>
      </c>
      <c r="G232" t="s">
        <v>715</v>
      </c>
      <c r="H232" s="7">
        <f t="shared" si="39"/>
        <v>0</v>
      </c>
      <c r="I232" s="1">
        <f t="shared" si="33"/>
        <v>45345</v>
      </c>
      <c r="J232" s="7" t="str">
        <f t="shared" si="34"/>
        <v>UPI/P2M/442012392643/SANGITA RAJENDRA MUTH/Teeth/Yes Bank Ltd</v>
      </c>
      <c r="K232" s="7"/>
      <c r="L232" s="7">
        <f t="shared" si="35"/>
        <v>400</v>
      </c>
      <c r="M232" s="7">
        <f t="shared" si="36"/>
        <v>0</v>
      </c>
      <c r="N232" s="7">
        <f t="shared" si="37"/>
        <v>359368.94</v>
      </c>
      <c r="O232" s="7" t="str">
        <f t="shared" si="38"/>
        <v>AXIS 3167</v>
      </c>
    </row>
    <row r="233" spans="1:15" x14ac:dyDescent="0.25">
      <c r="A233">
        <v>218</v>
      </c>
      <c r="B233" s="1">
        <v>45346</v>
      </c>
      <c r="C233" t="s">
        <v>889</v>
      </c>
      <c r="D233" s="2">
        <v>30</v>
      </c>
      <c r="E233" s="2">
        <v>0</v>
      </c>
      <c r="F233" s="2">
        <v>359338.94</v>
      </c>
      <c r="G233" t="s">
        <v>715</v>
      </c>
      <c r="H233" s="7">
        <f t="shared" si="39"/>
        <v>0</v>
      </c>
      <c r="I233" s="1">
        <f t="shared" si="33"/>
        <v>45346</v>
      </c>
      <c r="J233" s="7" t="str">
        <f t="shared" si="34"/>
        <v>UPI/P2M/442126021992/Md  Anvar            /Sandwi/Yes Bank Ltd</v>
      </c>
      <c r="K233" s="7"/>
      <c r="L233" s="7">
        <f t="shared" si="35"/>
        <v>30</v>
      </c>
      <c r="M233" s="7">
        <f t="shared" si="36"/>
        <v>0</v>
      </c>
      <c r="N233" s="7">
        <f t="shared" si="37"/>
        <v>359338.94</v>
      </c>
      <c r="O233" s="7" t="str">
        <f t="shared" si="38"/>
        <v>AXIS 3167</v>
      </c>
    </row>
    <row r="234" spans="1:15" x14ac:dyDescent="0.25">
      <c r="A234">
        <v>219</v>
      </c>
      <c r="B234" s="1">
        <v>45346</v>
      </c>
      <c r="C234" t="s">
        <v>890</v>
      </c>
      <c r="D234" s="2">
        <v>15</v>
      </c>
      <c r="E234" s="2">
        <v>0</v>
      </c>
      <c r="F234" s="2">
        <v>359323.94</v>
      </c>
      <c r="G234" t="s">
        <v>715</v>
      </c>
      <c r="H234" s="7">
        <f t="shared" si="39"/>
        <v>0</v>
      </c>
      <c r="I234" s="1">
        <f t="shared" si="33"/>
        <v>45346</v>
      </c>
      <c r="J234" s="7" t="str">
        <f t="shared" si="34"/>
        <v>UPI/P2M/442148744034/RAJBAHOR JAYSWAL     /Juuce/Yes Bank Ltd</v>
      </c>
      <c r="K234" s="7"/>
      <c r="L234" s="7">
        <f t="shared" si="35"/>
        <v>15</v>
      </c>
      <c r="M234" s="7">
        <f t="shared" si="36"/>
        <v>0</v>
      </c>
      <c r="N234" s="7">
        <f t="shared" si="37"/>
        <v>359323.94</v>
      </c>
      <c r="O234" s="7" t="str">
        <f t="shared" si="38"/>
        <v>AXIS 3167</v>
      </c>
    </row>
    <row r="235" spans="1:15" x14ac:dyDescent="0.25">
      <c r="A235">
        <v>220</v>
      </c>
      <c r="B235" s="1">
        <v>45346</v>
      </c>
      <c r="C235" t="s">
        <v>891</v>
      </c>
      <c r="D235" s="2">
        <v>15</v>
      </c>
      <c r="E235" s="2">
        <v>0</v>
      </c>
      <c r="F235" s="2">
        <v>359308.94</v>
      </c>
      <c r="G235" t="s">
        <v>715</v>
      </c>
      <c r="H235" s="7">
        <f t="shared" si="39"/>
        <v>0</v>
      </c>
      <c r="I235" s="1">
        <f t="shared" si="33"/>
        <v>45346</v>
      </c>
      <c r="J235" s="7" t="str">
        <f t="shared" si="34"/>
        <v>UPI/P2M/405565904316/Namah IMPS           /Water/Paytm Payments Bank</v>
      </c>
      <c r="K235" s="7"/>
      <c r="L235" s="7">
        <f t="shared" si="35"/>
        <v>15</v>
      </c>
      <c r="M235" s="7">
        <f t="shared" si="36"/>
        <v>0</v>
      </c>
      <c r="N235" s="7">
        <f t="shared" si="37"/>
        <v>359308.94</v>
      </c>
      <c r="O235" s="7" t="str">
        <f t="shared" si="38"/>
        <v>AXIS 3167</v>
      </c>
    </row>
    <row r="236" spans="1:15" x14ac:dyDescent="0.25">
      <c r="A236">
        <v>221</v>
      </c>
      <c r="B236" s="1">
        <v>45347</v>
      </c>
      <c r="C236" t="s">
        <v>892</v>
      </c>
      <c r="D236" s="2">
        <v>15000</v>
      </c>
      <c r="E236" s="2">
        <v>0</v>
      </c>
      <c r="F236" s="2">
        <v>344308.94</v>
      </c>
      <c r="G236" t="s">
        <v>715</v>
      </c>
      <c r="H236" s="7">
        <f t="shared" si="39"/>
        <v>0</v>
      </c>
      <c r="I236" s="1">
        <f t="shared" si="33"/>
        <v>45347</v>
      </c>
      <c r="J236" s="7" t="str">
        <f t="shared" si="34"/>
        <v>INB/IFT/Ishwar paradise co op Hsg society  Ltd/T</v>
      </c>
      <c r="K236" s="7"/>
      <c r="L236" s="7">
        <f t="shared" si="35"/>
        <v>15000</v>
      </c>
      <c r="M236" s="7">
        <f t="shared" si="36"/>
        <v>0</v>
      </c>
      <c r="N236" s="7">
        <f t="shared" si="37"/>
        <v>344308.94</v>
      </c>
      <c r="O236" s="7" t="str">
        <f t="shared" si="38"/>
        <v>AXIS 3167</v>
      </c>
    </row>
    <row r="237" spans="1:15" x14ac:dyDescent="0.25">
      <c r="A237">
        <v>222</v>
      </c>
      <c r="B237" s="1">
        <v>45350</v>
      </c>
      <c r="C237" t="s">
        <v>893</v>
      </c>
      <c r="D237" s="2">
        <v>100000</v>
      </c>
      <c r="E237" s="2">
        <v>0</v>
      </c>
      <c r="F237" s="2">
        <v>244308.94</v>
      </c>
      <c r="G237" t="s">
        <v>715</v>
      </c>
      <c r="H237" s="7">
        <f t="shared" si="39"/>
        <v>0</v>
      </c>
      <c r="I237" s="1">
        <f t="shared" si="33"/>
        <v>45350</v>
      </c>
      <c r="J237" s="7" t="str">
        <f t="shared" si="34"/>
        <v>NEFT/IR/AXOIR40594209012/Ajay Gupta/HDFC BANK/tRANSFER FROM aXIS TO HDFC</v>
      </c>
      <c r="K237" s="7"/>
      <c r="L237" s="7">
        <f t="shared" si="35"/>
        <v>100000</v>
      </c>
      <c r="M237" s="7">
        <f t="shared" si="36"/>
        <v>0</v>
      </c>
      <c r="N237" s="7">
        <f t="shared" si="37"/>
        <v>244308.94</v>
      </c>
      <c r="O237" s="7" t="str">
        <f t="shared" si="38"/>
        <v>AXIS 3167</v>
      </c>
    </row>
    <row r="238" spans="1:15" x14ac:dyDescent="0.25">
      <c r="A238">
        <v>223</v>
      </c>
      <c r="B238" s="1">
        <v>45350</v>
      </c>
      <c r="C238" t="s">
        <v>51</v>
      </c>
      <c r="D238" s="2">
        <v>100000</v>
      </c>
      <c r="E238" s="2">
        <v>0</v>
      </c>
      <c r="F238" s="2">
        <v>144308.94</v>
      </c>
      <c r="G238" t="s">
        <v>715</v>
      </c>
      <c r="H238" s="7">
        <f t="shared" si="39"/>
        <v>0</v>
      </c>
      <c r="I238" s="1">
        <f t="shared" si="33"/>
        <v>45350</v>
      </c>
      <c r="J238" s="7" t="str">
        <f t="shared" si="34"/>
        <v>INB/IFT/Sunita Gupta/TPARTY TRANSFER</v>
      </c>
      <c r="K238" s="7"/>
      <c r="L238" s="7">
        <f t="shared" si="35"/>
        <v>100000</v>
      </c>
      <c r="M238" s="7">
        <f t="shared" si="36"/>
        <v>0</v>
      </c>
      <c r="N238" s="7">
        <f t="shared" si="37"/>
        <v>144308.94</v>
      </c>
      <c r="O238" s="7" t="str">
        <f t="shared" si="38"/>
        <v>AXIS 3167</v>
      </c>
    </row>
    <row r="239" spans="1:15" x14ac:dyDescent="0.25">
      <c r="A239">
        <v>224</v>
      </c>
      <c r="B239" s="1">
        <v>45351</v>
      </c>
      <c r="C239" t="s">
        <v>894</v>
      </c>
      <c r="D239" s="2">
        <v>400</v>
      </c>
      <c r="E239" s="2">
        <v>0</v>
      </c>
      <c r="F239" s="2">
        <v>143908.94</v>
      </c>
      <c r="G239" t="s">
        <v>715</v>
      </c>
      <c r="H239" s="7">
        <f t="shared" si="39"/>
        <v>0</v>
      </c>
      <c r="I239" s="1">
        <f t="shared" si="33"/>
        <v>45351</v>
      </c>
      <c r="J239" s="7" t="str">
        <f t="shared" si="34"/>
        <v>UPI/P2A/406013028144/ANITA PRAVIN ASWALE  /Paymen/Punjab National Bank</v>
      </c>
      <c r="K239" s="7"/>
      <c r="L239" s="7">
        <f t="shared" si="35"/>
        <v>400</v>
      </c>
      <c r="M239" s="7">
        <f t="shared" si="36"/>
        <v>0</v>
      </c>
      <c r="N239" s="7">
        <f t="shared" si="37"/>
        <v>143908.94</v>
      </c>
      <c r="O239" s="7" t="str">
        <f t="shared" si="38"/>
        <v>AXIS 3167</v>
      </c>
    </row>
    <row r="240" spans="1:15" x14ac:dyDescent="0.25">
      <c r="A240">
        <v>225</v>
      </c>
      <c r="B240" s="1">
        <v>45354</v>
      </c>
      <c r="C240" t="s">
        <v>877</v>
      </c>
      <c r="D240" s="2">
        <v>0</v>
      </c>
      <c r="E240" s="2">
        <v>100000</v>
      </c>
      <c r="F240" s="2">
        <v>243908.94</v>
      </c>
      <c r="G240" t="s">
        <v>715</v>
      </c>
      <c r="H240" s="7">
        <f t="shared" si="39"/>
        <v>0</v>
      </c>
      <c r="I240" s="1">
        <f t="shared" si="33"/>
        <v>45354</v>
      </c>
      <c r="J240" s="7" t="str">
        <f t="shared" si="34"/>
        <v>INB/IFT/SUNITA GUPTA/TPARTY TRANSFER</v>
      </c>
      <c r="K240" s="7"/>
      <c r="L240" s="7">
        <f t="shared" si="35"/>
        <v>0</v>
      </c>
      <c r="M240" s="7">
        <f t="shared" si="36"/>
        <v>100000</v>
      </c>
      <c r="N240" s="7">
        <f t="shared" si="37"/>
        <v>243908.94</v>
      </c>
      <c r="O240" s="7" t="str">
        <f t="shared" si="38"/>
        <v>AXIS 3167</v>
      </c>
    </row>
    <row r="241" spans="1:15" x14ac:dyDescent="0.25">
      <c r="A241">
        <v>226</v>
      </c>
      <c r="B241" s="1">
        <v>45354</v>
      </c>
      <c r="C241" t="s">
        <v>895</v>
      </c>
      <c r="D241" s="2">
        <v>350</v>
      </c>
      <c r="E241" s="2">
        <v>0</v>
      </c>
      <c r="F241" s="2">
        <v>243558.94</v>
      </c>
      <c r="G241" t="s">
        <v>715</v>
      </c>
      <c r="H241" s="7">
        <f t="shared" si="39"/>
        <v>0</v>
      </c>
      <c r="I241" s="1">
        <f t="shared" si="33"/>
        <v>45354</v>
      </c>
      <c r="J241" s="7" t="str">
        <f t="shared" si="34"/>
        <v>UPI/P2A/406386013755/ANITA PRAVIN ASWALE  /Paymen/Punjab National Bank</v>
      </c>
      <c r="K241" s="7"/>
      <c r="L241" s="7">
        <f t="shared" si="35"/>
        <v>350</v>
      </c>
      <c r="M241" s="7">
        <f t="shared" si="36"/>
        <v>0</v>
      </c>
      <c r="N241" s="7">
        <f t="shared" si="37"/>
        <v>243558.94</v>
      </c>
      <c r="O241" s="7" t="str">
        <f t="shared" si="38"/>
        <v>AXIS 3167</v>
      </c>
    </row>
    <row r="242" spans="1:15" x14ac:dyDescent="0.25">
      <c r="A242">
        <v>227</v>
      </c>
      <c r="B242" s="1">
        <v>45354</v>
      </c>
      <c r="C242" t="s">
        <v>896</v>
      </c>
      <c r="D242" s="2">
        <v>10000</v>
      </c>
      <c r="E242" s="2">
        <v>0</v>
      </c>
      <c r="F242" s="2">
        <v>233558.94</v>
      </c>
      <c r="G242" t="s">
        <v>715</v>
      </c>
      <c r="H242" s="7">
        <f t="shared" si="39"/>
        <v>0</v>
      </c>
      <c r="I242" s="1">
        <f t="shared" si="33"/>
        <v>45354</v>
      </c>
      <c r="J242" s="7" t="str">
        <f t="shared" si="34"/>
        <v>ATM-CASH-AXIS/BPRH265601/652/030324/NASHIK</v>
      </c>
      <c r="K242" s="7"/>
      <c r="L242" s="7">
        <f t="shared" si="35"/>
        <v>10000</v>
      </c>
      <c r="M242" s="7">
        <f t="shared" si="36"/>
        <v>0</v>
      </c>
      <c r="N242" s="7">
        <f t="shared" si="37"/>
        <v>233558.94</v>
      </c>
      <c r="O242" s="7" t="str">
        <f t="shared" si="38"/>
        <v>AXIS 3167</v>
      </c>
    </row>
    <row r="243" spans="1:15" x14ac:dyDescent="0.25">
      <c r="A243">
        <v>228</v>
      </c>
      <c r="B243" s="1">
        <v>45355</v>
      </c>
      <c r="C243" t="s">
        <v>897</v>
      </c>
      <c r="D243" s="2">
        <v>60</v>
      </c>
      <c r="E243" s="2">
        <v>0</v>
      </c>
      <c r="F243" s="2">
        <v>233498.94</v>
      </c>
      <c r="G243" t="s">
        <v>715</v>
      </c>
      <c r="H243" s="7">
        <f t="shared" si="39"/>
        <v>0</v>
      </c>
      <c r="I243" s="1">
        <f t="shared" si="33"/>
        <v>45355</v>
      </c>
      <c r="J243" s="7" t="str">
        <f t="shared" si="34"/>
        <v>UPI/P2A/406452693577/KAMAL                /Auto/Indian Overseas Bank</v>
      </c>
      <c r="K243" s="7"/>
      <c r="L243" s="7">
        <f t="shared" si="35"/>
        <v>60</v>
      </c>
      <c r="M243" s="7">
        <f t="shared" si="36"/>
        <v>0</v>
      </c>
      <c r="N243" s="7">
        <f t="shared" si="37"/>
        <v>233498.94</v>
      </c>
      <c r="O243" s="7" t="str">
        <f t="shared" si="38"/>
        <v>AXIS 3167</v>
      </c>
    </row>
    <row r="244" spans="1:15" x14ac:dyDescent="0.25">
      <c r="A244">
        <v>229</v>
      </c>
      <c r="B244" s="1">
        <v>45356</v>
      </c>
      <c r="C244" t="s">
        <v>898</v>
      </c>
      <c r="D244" s="2">
        <v>20000</v>
      </c>
      <c r="E244" s="2">
        <v>0</v>
      </c>
      <c r="F244" s="2">
        <v>213498.94</v>
      </c>
      <c r="G244" t="s">
        <v>715</v>
      </c>
      <c r="H244" s="7">
        <f t="shared" si="39"/>
        <v>0</v>
      </c>
      <c r="I244" s="1">
        <f t="shared" si="33"/>
        <v>45356</v>
      </c>
      <c r="J244" s="7" t="str">
        <f t="shared" si="34"/>
        <v>UPI/P2A/443110253808/AJAY KUMAR GUPTA     /From a/HDFC BANK LTD</v>
      </c>
      <c r="K244" s="7"/>
      <c r="L244" s="7">
        <f t="shared" si="35"/>
        <v>20000</v>
      </c>
      <c r="M244" s="7">
        <f t="shared" si="36"/>
        <v>0</v>
      </c>
      <c r="N244" s="7">
        <f t="shared" si="37"/>
        <v>213498.94</v>
      </c>
      <c r="O244" s="7" t="str">
        <f t="shared" si="38"/>
        <v>AXIS 3167</v>
      </c>
    </row>
    <row r="245" spans="1:15" x14ac:dyDescent="0.25">
      <c r="A245">
        <v>230</v>
      </c>
      <c r="B245" s="1">
        <v>45360</v>
      </c>
      <c r="C245" t="s">
        <v>899</v>
      </c>
      <c r="D245" s="2">
        <v>100</v>
      </c>
      <c r="E245" s="2">
        <v>0</v>
      </c>
      <c r="F245" s="2">
        <v>213398.94</v>
      </c>
      <c r="G245" t="s">
        <v>715</v>
      </c>
      <c r="H245" s="7">
        <f t="shared" si="39"/>
        <v>0</v>
      </c>
      <c r="I245" s="1">
        <f t="shared" si="33"/>
        <v>45360</v>
      </c>
      <c r="J245" s="7" t="str">
        <f t="shared" si="34"/>
        <v>UPI/P2M/443562329168/VIJAY GORAKHNATH KALE/Zarda/Yes Bank Ltd</v>
      </c>
      <c r="K245" s="7"/>
      <c r="L245" s="7">
        <f t="shared" si="35"/>
        <v>100</v>
      </c>
      <c r="M245" s="7">
        <f t="shared" si="36"/>
        <v>0</v>
      </c>
      <c r="N245" s="7">
        <f t="shared" si="37"/>
        <v>213398.94</v>
      </c>
      <c r="O245" s="7" t="str">
        <f t="shared" si="38"/>
        <v>AXIS 3167</v>
      </c>
    </row>
    <row r="246" spans="1:15" x14ac:dyDescent="0.25">
      <c r="A246">
        <v>231</v>
      </c>
      <c r="B246" s="1">
        <v>45362</v>
      </c>
      <c r="C246" t="s">
        <v>25</v>
      </c>
      <c r="D246" s="2">
        <v>109133.99</v>
      </c>
      <c r="E246" s="2">
        <v>0</v>
      </c>
      <c r="F246" s="2">
        <v>104264.95</v>
      </c>
      <c r="G246" t="s">
        <v>715</v>
      </c>
      <c r="H246" s="7">
        <f t="shared" si="39"/>
        <v>0</v>
      </c>
      <c r="I246" s="1">
        <f t="shared" si="33"/>
        <v>45362</v>
      </c>
      <c r="J246" s="7" t="str">
        <f t="shared" si="34"/>
        <v>BRN-PYMT-CARD-4111460000883615</v>
      </c>
      <c r="K246" s="7"/>
      <c r="L246" s="7">
        <f t="shared" si="35"/>
        <v>109133.99</v>
      </c>
      <c r="M246" s="7">
        <f t="shared" si="36"/>
        <v>0</v>
      </c>
      <c r="N246" s="7">
        <f t="shared" si="37"/>
        <v>104264.95</v>
      </c>
      <c r="O246" s="7" t="str">
        <f t="shared" si="38"/>
        <v>AXIS 3167</v>
      </c>
    </row>
    <row r="247" spans="1:15" x14ac:dyDescent="0.25">
      <c r="A247">
        <v>232</v>
      </c>
      <c r="B247" s="1">
        <v>45363</v>
      </c>
      <c r="C247" t="s">
        <v>900</v>
      </c>
      <c r="D247" s="2">
        <v>40</v>
      </c>
      <c r="E247" s="2">
        <v>0</v>
      </c>
      <c r="F247" s="2">
        <v>104224.95</v>
      </c>
      <c r="G247" t="s">
        <v>715</v>
      </c>
      <c r="H247" s="7">
        <f t="shared" si="39"/>
        <v>0</v>
      </c>
      <c r="I247" s="1">
        <f t="shared" si="33"/>
        <v>45363</v>
      </c>
      <c r="J247" s="7" t="str">
        <f t="shared" si="34"/>
        <v>UPI/P2M/407281664500/Bramhadev Rammurat Du/Zarda/Paytm Payments Bank</v>
      </c>
      <c r="K247" s="7"/>
      <c r="L247" s="7">
        <f t="shared" si="35"/>
        <v>40</v>
      </c>
      <c r="M247" s="7">
        <f t="shared" si="36"/>
        <v>0</v>
      </c>
      <c r="N247" s="7">
        <f t="shared" si="37"/>
        <v>104224.95</v>
      </c>
      <c r="O247" s="7" t="str">
        <f t="shared" si="38"/>
        <v>AXIS 3167</v>
      </c>
    </row>
    <row r="248" spans="1:15" x14ac:dyDescent="0.25">
      <c r="A248">
        <v>233</v>
      </c>
      <c r="B248" s="1">
        <v>45364</v>
      </c>
      <c r="C248" t="s">
        <v>901</v>
      </c>
      <c r="D248" s="2">
        <v>0</v>
      </c>
      <c r="E248" s="2">
        <v>20000</v>
      </c>
      <c r="F248" s="2">
        <v>124224.95</v>
      </c>
      <c r="G248" t="s">
        <v>715</v>
      </c>
      <c r="H248" s="7">
        <f t="shared" si="39"/>
        <v>0</v>
      </c>
      <c r="I248" s="1">
        <f t="shared" si="33"/>
        <v>45364</v>
      </c>
      <c r="J248" s="7" t="str">
        <f t="shared" si="34"/>
        <v>UPI/P2A/443904796650/AJAY KUMA/HDFC BANK/Transfer/</v>
      </c>
      <c r="K248" s="7"/>
      <c r="L248" s="7">
        <f t="shared" si="35"/>
        <v>0</v>
      </c>
      <c r="M248" s="7">
        <f t="shared" si="36"/>
        <v>20000</v>
      </c>
      <c r="N248" s="7">
        <f t="shared" si="37"/>
        <v>124224.95</v>
      </c>
      <c r="O248" s="7" t="str">
        <f t="shared" si="38"/>
        <v>AXIS 3167</v>
      </c>
    </row>
    <row r="249" spans="1:15" x14ac:dyDescent="0.25">
      <c r="A249">
        <v>234</v>
      </c>
      <c r="B249" s="1">
        <v>45366</v>
      </c>
      <c r="C249" t="s">
        <v>902</v>
      </c>
      <c r="D249" s="2">
        <v>100</v>
      </c>
      <c r="E249" s="2">
        <v>0</v>
      </c>
      <c r="F249" s="2">
        <v>124124.95</v>
      </c>
      <c r="G249" t="s">
        <v>715</v>
      </c>
      <c r="H249" s="7">
        <f t="shared" si="39"/>
        <v>0</v>
      </c>
      <c r="I249" s="1">
        <f t="shared" si="33"/>
        <v>45366</v>
      </c>
      <c r="J249" s="7" t="str">
        <f t="shared" si="34"/>
        <v>UPI/P2M/444134018828/VIJAY GORAKHNATH KALE/Zardha/Yes Bank Ltd</v>
      </c>
      <c r="K249" s="7"/>
      <c r="L249" s="7">
        <f t="shared" si="35"/>
        <v>100</v>
      </c>
      <c r="M249" s="7">
        <f t="shared" si="36"/>
        <v>0</v>
      </c>
      <c r="N249" s="7">
        <f t="shared" si="37"/>
        <v>124124.95</v>
      </c>
      <c r="O249" s="7" t="str">
        <f t="shared" si="38"/>
        <v>AXIS 3167</v>
      </c>
    </row>
    <row r="250" spans="1:15" x14ac:dyDescent="0.25">
      <c r="A250">
        <v>235</v>
      </c>
      <c r="B250" s="1">
        <v>45366</v>
      </c>
      <c r="C250" t="s">
        <v>903</v>
      </c>
      <c r="D250" s="2">
        <v>65</v>
      </c>
      <c r="E250" s="2">
        <v>0</v>
      </c>
      <c r="F250" s="2">
        <v>124059.95</v>
      </c>
      <c r="G250" t="s">
        <v>715</v>
      </c>
      <c r="H250" s="7">
        <f t="shared" si="39"/>
        <v>0</v>
      </c>
      <c r="I250" s="1">
        <f t="shared" si="33"/>
        <v>45366</v>
      </c>
      <c r="J250" s="7" t="str">
        <f t="shared" si="34"/>
        <v>UPI/P2M/444108061395/BHAUSAHEB MOTIRAM GAR/Fruits/Yes Bank Ltd</v>
      </c>
      <c r="K250" s="7"/>
      <c r="L250" s="7">
        <f t="shared" si="35"/>
        <v>65</v>
      </c>
      <c r="M250" s="7">
        <f t="shared" si="36"/>
        <v>0</v>
      </c>
      <c r="N250" s="7">
        <f t="shared" si="37"/>
        <v>124059.95</v>
      </c>
      <c r="O250" s="7" t="str">
        <f t="shared" si="38"/>
        <v>AXIS 3167</v>
      </c>
    </row>
    <row r="251" spans="1:15" x14ac:dyDescent="0.25">
      <c r="A251">
        <v>236</v>
      </c>
      <c r="B251" s="1">
        <v>45367</v>
      </c>
      <c r="C251" t="s">
        <v>904</v>
      </c>
      <c r="D251" s="2">
        <v>17</v>
      </c>
      <c r="E251" s="2">
        <v>0</v>
      </c>
      <c r="F251" s="2">
        <v>124042.95</v>
      </c>
      <c r="G251" t="s">
        <v>715</v>
      </c>
      <c r="H251" s="7">
        <f t="shared" si="39"/>
        <v>0</v>
      </c>
      <c r="I251" s="1">
        <f t="shared" si="33"/>
        <v>45367</v>
      </c>
      <c r="J251" s="7" t="str">
        <f t="shared" si="34"/>
        <v>UPI/P2M/407623701272/J T B S              /Ticket/Yes Bank Ltd</v>
      </c>
      <c r="K251" s="7"/>
      <c r="L251" s="7">
        <f t="shared" si="35"/>
        <v>17</v>
      </c>
      <c r="M251" s="7">
        <f t="shared" si="36"/>
        <v>0</v>
      </c>
      <c r="N251" s="7">
        <f t="shared" si="37"/>
        <v>124042.95</v>
      </c>
      <c r="O251" s="7" t="str">
        <f t="shared" si="38"/>
        <v>AXIS 3167</v>
      </c>
    </row>
    <row r="252" spans="1:15" x14ac:dyDescent="0.25">
      <c r="A252">
        <v>237</v>
      </c>
      <c r="B252" s="1">
        <v>45368</v>
      </c>
      <c r="C252" t="s">
        <v>905</v>
      </c>
      <c r="D252" s="2">
        <v>456.09</v>
      </c>
      <c r="E252" s="2">
        <v>0</v>
      </c>
      <c r="F252" s="2">
        <v>123586.86</v>
      </c>
      <c r="G252" t="s">
        <v>715</v>
      </c>
      <c r="H252" s="7">
        <f t="shared" si="39"/>
        <v>0</v>
      </c>
      <c r="I252" s="1">
        <f t="shared" si="33"/>
        <v>45368</v>
      </c>
      <c r="J252" s="7" t="str">
        <f t="shared" si="34"/>
        <v>UPI/P2M/407791484656/MEDPLUS ASHOKAMARG   /Medice/HDFC BANK LTD</v>
      </c>
      <c r="K252" s="7"/>
      <c r="L252" s="7">
        <f t="shared" si="35"/>
        <v>456.09</v>
      </c>
      <c r="M252" s="7">
        <f t="shared" si="36"/>
        <v>0</v>
      </c>
      <c r="N252" s="7">
        <f t="shared" si="37"/>
        <v>123586.86</v>
      </c>
      <c r="O252" s="7" t="str">
        <f t="shared" si="38"/>
        <v>AXIS 3167</v>
      </c>
    </row>
    <row r="253" spans="1:15" x14ac:dyDescent="0.25">
      <c r="A253">
        <v>238</v>
      </c>
      <c r="B253" s="1">
        <v>45371</v>
      </c>
      <c r="C253" t="s">
        <v>906</v>
      </c>
      <c r="D253" s="2">
        <v>10</v>
      </c>
      <c r="E253" s="2">
        <v>0</v>
      </c>
      <c r="F253" s="2">
        <v>123576.86</v>
      </c>
      <c r="G253" t="s">
        <v>715</v>
      </c>
      <c r="H253" s="7">
        <f t="shared" si="39"/>
        <v>0</v>
      </c>
      <c r="I253" s="1">
        <f t="shared" ref="I253:I267" si="40">B253</f>
        <v>45371</v>
      </c>
      <c r="J253" s="7" t="str">
        <f t="shared" ref="J253:J267" si="41">C253</f>
        <v>UPI/P2M/444628933298/SHIVSHAHI AMRUTTULLY /Tea/Yes Bank Ltd</v>
      </c>
      <c r="K253" s="7"/>
      <c r="L253" s="7">
        <f t="shared" ref="L253:L267" si="42">D253</f>
        <v>10</v>
      </c>
      <c r="M253" s="7">
        <f t="shared" ref="M253:M267" si="43">E253</f>
        <v>0</v>
      </c>
      <c r="N253" s="7">
        <f t="shared" ref="N253:N267" si="44">F253</f>
        <v>123576.86</v>
      </c>
      <c r="O253" s="7" t="str">
        <f t="shared" ref="O253:O267" si="45">G253</f>
        <v>AXIS 3167</v>
      </c>
    </row>
    <row r="254" spans="1:15" x14ac:dyDescent="0.25">
      <c r="A254">
        <v>239</v>
      </c>
      <c r="B254" s="1">
        <v>45372</v>
      </c>
      <c r="C254" t="s">
        <v>907</v>
      </c>
      <c r="D254" s="2">
        <v>40</v>
      </c>
      <c r="E254" s="2">
        <v>0</v>
      </c>
      <c r="F254" s="2">
        <v>123536.86</v>
      </c>
      <c r="G254" t="s">
        <v>715</v>
      </c>
      <c r="H254" s="7">
        <f t="shared" ref="H254:H267" si="46">F253-D254+E254-F254</f>
        <v>0</v>
      </c>
      <c r="I254" s="1">
        <f t="shared" si="40"/>
        <v>45372</v>
      </c>
      <c r="J254" s="7" t="str">
        <f t="shared" si="41"/>
        <v>UPI/P2M/444753637301/RAHUL SHEKH          /Juice/Yes Bank Ltd</v>
      </c>
      <c r="K254" s="7"/>
      <c r="L254" s="7">
        <f t="shared" si="42"/>
        <v>40</v>
      </c>
      <c r="M254" s="7">
        <f t="shared" si="43"/>
        <v>0</v>
      </c>
      <c r="N254" s="7">
        <f t="shared" si="44"/>
        <v>123536.86</v>
      </c>
      <c r="O254" s="7" t="str">
        <f t="shared" si="45"/>
        <v>AXIS 3167</v>
      </c>
    </row>
    <row r="255" spans="1:15" x14ac:dyDescent="0.25">
      <c r="A255">
        <v>240</v>
      </c>
      <c r="B255" s="1">
        <v>45374</v>
      </c>
      <c r="C255" t="s">
        <v>908</v>
      </c>
      <c r="D255" s="2">
        <v>15</v>
      </c>
      <c r="E255" s="2">
        <v>0</v>
      </c>
      <c r="F255" s="2">
        <v>123521.86</v>
      </c>
      <c r="G255" t="s">
        <v>715</v>
      </c>
      <c r="H255" s="7">
        <f t="shared" si="46"/>
        <v>0</v>
      </c>
      <c r="I255" s="1">
        <f t="shared" si="40"/>
        <v>45374</v>
      </c>
      <c r="J255" s="7" t="str">
        <f t="shared" si="41"/>
        <v>UPI/P2M/444917428812/RAJBAHOR JAYSWAL     /Juuce/Yes Bank Ltd</v>
      </c>
      <c r="K255" s="7"/>
      <c r="L255" s="7">
        <f t="shared" si="42"/>
        <v>15</v>
      </c>
      <c r="M255" s="7">
        <f t="shared" si="43"/>
        <v>0</v>
      </c>
      <c r="N255" s="7">
        <f t="shared" si="44"/>
        <v>123521.86</v>
      </c>
      <c r="O255" s="7" t="str">
        <f t="shared" si="45"/>
        <v>AXIS 3167</v>
      </c>
    </row>
    <row r="256" spans="1:15" x14ac:dyDescent="0.25">
      <c r="A256">
        <v>241</v>
      </c>
      <c r="B256" s="1">
        <v>45374</v>
      </c>
      <c r="C256" t="s">
        <v>909</v>
      </c>
      <c r="D256" s="2">
        <v>2000</v>
      </c>
      <c r="E256" s="2">
        <v>0</v>
      </c>
      <c r="F256" s="2">
        <v>121521.86</v>
      </c>
      <c r="G256" t="s">
        <v>715</v>
      </c>
      <c r="H256" s="7">
        <f t="shared" si="46"/>
        <v>0</v>
      </c>
      <c r="I256" s="1">
        <f t="shared" si="40"/>
        <v>45374</v>
      </c>
      <c r="J256" s="7" t="str">
        <f t="shared" si="41"/>
        <v>UPI/P2A/444978919701/BHARAT DATTATRAY KHAT/Paymen/Union Bank of India</v>
      </c>
      <c r="K256" s="7"/>
      <c r="L256" s="7">
        <f t="shared" si="42"/>
        <v>2000</v>
      </c>
      <c r="M256" s="7">
        <f t="shared" si="43"/>
        <v>0</v>
      </c>
      <c r="N256" s="7">
        <f t="shared" si="44"/>
        <v>121521.86</v>
      </c>
      <c r="O256" s="7" t="str">
        <f t="shared" si="45"/>
        <v>AXIS 3167</v>
      </c>
    </row>
    <row r="257" spans="1:15" x14ac:dyDescent="0.25">
      <c r="A257">
        <v>242</v>
      </c>
      <c r="B257" s="1">
        <v>45374</v>
      </c>
      <c r="C257" t="s">
        <v>910</v>
      </c>
      <c r="D257" s="2">
        <v>460</v>
      </c>
      <c r="E257" s="2">
        <v>0</v>
      </c>
      <c r="F257" s="2">
        <v>121061.86</v>
      </c>
      <c r="G257" t="s">
        <v>715</v>
      </c>
      <c r="H257" s="7">
        <f t="shared" si="46"/>
        <v>0</v>
      </c>
      <c r="I257" s="1">
        <f t="shared" si="40"/>
        <v>45374</v>
      </c>
      <c r="J257" s="7" t="str">
        <f t="shared" si="41"/>
        <v>UPI/P2A/408355496298/ANITA PRAVIN ASWALE  /Paymen/Punjab National Bank</v>
      </c>
      <c r="K257" s="7"/>
      <c r="L257" s="7">
        <f t="shared" si="42"/>
        <v>460</v>
      </c>
      <c r="M257" s="7">
        <f t="shared" si="43"/>
        <v>0</v>
      </c>
      <c r="N257" s="7">
        <f t="shared" si="44"/>
        <v>121061.86</v>
      </c>
      <c r="O257" s="7" t="str">
        <f t="shared" si="45"/>
        <v>AXIS 3167</v>
      </c>
    </row>
    <row r="258" spans="1:15" x14ac:dyDescent="0.25">
      <c r="A258">
        <v>243</v>
      </c>
      <c r="B258" s="1">
        <v>45375</v>
      </c>
      <c r="C258" t="s">
        <v>911</v>
      </c>
      <c r="D258" s="2">
        <v>100</v>
      </c>
      <c r="E258" s="2">
        <v>0</v>
      </c>
      <c r="F258" s="2">
        <v>120961.86</v>
      </c>
      <c r="G258" t="s">
        <v>715</v>
      </c>
      <c r="H258" s="7">
        <f t="shared" si="46"/>
        <v>0</v>
      </c>
      <c r="I258" s="1">
        <f t="shared" si="40"/>
        <v>45375</v>
      </c>
      <c r="J258" s="7" t="str">
        <f t="shared" si="41"/>
        <v>UPI/P2M/408436828686/ASHOK DEVIDAS CHAVAN /Pay to/Federal Bank</v>
      </c>
      <c r="K258" s="7"/>
      <c r="L258" s="7">
        <f t="shared" si="42"/>
        <v>100</v>
      </c>
      <c r="M258" s="7">
        <f t="shared" si="43"/>
        <v>0</v>
      </c>
      <c r="N258" s="7">
        <f t="shared" si="44"/>
        <v>120961.86</v>
      </c>
      <c r="O258" s="7" t="str">
        <f t="shared" si="45"/>
        <v>AXIS 3167</v>
      </c>
    </row>
    <row r="259" spans="1:15" x14ac:dyDescent="0.25">
      <c r="A259">
        <v>244</v>
      </c>
      <c r="B259" s="1">
        <v>45375</v>
      </c>
      <c r="C259" t="s">
        <v>912</v>
      </c>
      <c r="D259" s="2">
        <v>1560</v>
      </c>
      <c r="E259" s="2">
        <v>0</v>
      </c>
      <c r="F259" s="2">
        <v>119401.86</v>
      </c>
      <c r="G259" t="s">
        <v>715</v>
      </c>
      <c r="H259" s="7">
        <f t="shared" si="46"/>
        <v>0</v>
      </c>
      <c r="I259" s="1">
        <f t="shared" si="40"/>
        <v>45375</v>
      </c>
      <c r="J259" s="7" t="str">
        <f t="shared" si="41"/>
        <v>NBSM/53631937/Maha Electricity(BILLDESK)/</v>
      </c>
      <c r="K259" s="7"/>
      <c r="L259" s="7">
        <f t="shared" si="42"/>
        <v>1560</v>
      </c>
      <c r="M259" s="7">
        <f t="shared" si="43"/>
        <v>0</v>
      </c>
      <c r="N259" s="7">
        <f t="shared" si="44"/>
        <v>119401.86</v>
      </c>
      <c r="O259" s="7" t="str">
        <f t="shared" si="45"/>
        <v>AXIS 3167</v>
      </c>
    </row>
    <row r="260" spans="1:15" x14ac:dyDescent="0.25">
      <c r="A260">
        <v>245</v>
      </c>
      <c r="B260" s="1">
        <v>45376</v>
      </c>
      <c r="C260" t="s">
        <v>913</v>
      </c>
      <c r="D260" s="2">
        <v>70</v>
      </c>
      <c r="E260" s="2">
        <v>0</v>
      </c>
      <c r="F260" s="2">
        <v>119331.86</v>
      </c>
      <c r="G260" t="s">
        <v>715</v>
      </c>
      <c r="H260" s="7">
        <f t="shared" si="46"/>
        <v>0</v>
      </c>
      <c r="I260" s="1">
        <f t="shared" si="40"/>
        <v>45376</v>
      </c>
      <c r="J260" s="7" t="str">
        <f t="shared" si="41"/>
        <v>UPI/P2M/445123378205/SHAGUN TRADERSMr     /Ice cr/Yes Bank Ltd</v>
      </c>
      <c r="K260" s="7"/>
      <c r="L260" s="7">
        <f t="shared" si="42"/>
        <v>70</v>
      </c>
      <c r="M260" s="7">
        <f t="shared" si="43"/>
        <v>0</v>
      </c>
      <c r="N260" s="7">
        <f t="shared" si="44"/>
        <v>119331.86</v>
      </c>
      <c r="O260" s="7" t="str">
        <f t="shared" si="45"/>
        <v>AXIS 3167</v>
      </c>
    </row>
    <row r="261" spans="1:15" x14ac:dyDescent="0.25">
      <c r="A261">
        <v>246</v>
      </c>
      <c r="B261" s="1">
        <v>45377</v>
      </c>
      <c r="C261" t="s">
        <v>914</v>
      </c>
      <c r="D261" s="2">
        <v>100</v>
      </c>
      <c r="E261" s="2">
        <v>0</v>
      </c>
      <c r="F261" s="2">
        <v>119231.86</v>
      </c>
      <c r="G261" t="s">
        <v>715</v>
      </c>
      <c r="H261" s="7">
        <f t="shared" si="46"/>
        <v>0</v>
      </c>
      <c r="I261" s="1">
        <f t="shared" si="40"/>
        <v>45377</v>
      </c>
      <c r="J261" s="7" t="str">
        <f t="shared" si="41"/>
        <v>UPI/P2M/445238525463/Mr RAMESH PUNDLIK CHI/Hair c/Yes Bank Ltd</v>
      </c>
      <c r="K261" s="7"/>
      <c r="L261" s="7">
        <f t="shared" si="42"/>
        <v>100</v>
      </c>
      <c r="M261" s="7">
        <f t="shared" si="43"/>
        <v>0</v>
      </c>
      <c r="N261" s="7">
        <f t="shared" si="44"/>
        <v>119231.86</v>
      </c>
      <c r="O261" s="7" t="str">
        <f t="shared" si="45"/>
        <v>AXIS 3167</v>
      </c>
    </row>
    <row r="262" spans="1:15" x14ac:dyDescent="0.25">
      <c r="A262">
        <v>247</v>
      </c>
      <c r="B262" s="1">
        <v>45378</v>
      </c>
      <c r="C262" t="s">
        <v>915</v>
      </c>
      <c r="D262" s="2">
        <v>10000</v>
      </c>
      <c r="E262" s="2">
        <v>0</v>
      </c>
      <c r="F262" s="2">
        <v>109231.86</v>
      </c>
      <c r="G262" t="s">
        <v>715</v>
      </c>
      <c r="H262" s="7">
        <f t="shared" si="46"/>
        <v>0</v>
      </c>
      <c r="I262" s="1">
        <f t="shared" si="40"/>
        <v>45378</v>
      </c>
      <c r="J262" s="7" t="str">
        <f t="shared" si="41"/>
        <v>ATM-CASH-AXIS/BPRH265601/4748/270324/NASHIK</v>
      </c>
      <c r="K262" s="7"/>
      <c r="L262" s="7">
        <f t="shared" si="42"/>
        <v>10000</v>
      </c>
      <c r="M262" s="7">
        <f t="shared" si="43"/>
        <v>0</v>
      </c>
      <c r="N262" s="7">
        <f t="shared" si="44"/>
        <v>109231.86</v>
      </c>
      <c r="O262" s="7" t="str">
        <f t="shared" si="45"/>
        <v>AXIS 3167</v>
      </c>
    </row>
    <row r="263" spans="1:15" x14ac:dyDescent="0.25">
      <c r="A263">
        <v>248</v>
      </c>
      <c r="B263" s="1">
        <v>45381</v>
      </c>
      <c r="C263" t="s">
        <v>916</v>
      </c>
      <c r="D263" s="2">
        <v>60</v>
      </c>
      <c r="E263" s="2">
        <v>0</v>
      </c>
      <c r="F263" s="2">
        <v>109171.86</v>
      </c>
      <c r="G263" t="s">
        <v>715</v>
      </c>
      <c r="H263" s="7">
        <f t="shared" si="46"/>
        <v>0</v>
      </c>
      <c r="I263" s="1">
        <f t="shared" si="40"/>
        <v>45381</v>
      </c>
      <c r="J263" s="7" t="str">
        <f t="shared" si="41"/>
        <v>UPI/P2A/409035057378/SACHIN GENERAL STORES/Paymen/Deogiri Nagari Sahak</v>
      </c>
      <c r="K263" s="7"/>
      <c r="L263" s="7">
        <f t="shared" si="42"/>
        <v>60</v>
      </c>
      <c r="M263" s="7">
        <f t="shared" si="43"/>
        <v>0</v>
      </c>
      <c r="N263" s="7">
        <f t="shared" si="44"/>
        <v>109171.86</v>
      </c>
      <c r="O263" s="7" t="str">
        <f t="shared" si="45"/>
        <v>AXIS 3167</v>
      </c>
    </row>
    <row r="264" spans="1:15" x14ac:dyDescent="0.25">
      <c r="A264">
        <v>249</v>
      </c>
      <c r="B264" s="1">
        <v>45382</v>
      </c>
      <c r="C264" t="s">
        <v>917</v>
      </c>
      <c r="D264" s="2">
        <v>700</v>
      </c>
      <c r="E264" s="2">
        <v>0</v>
      </c>
      <c r="F264" s="2">
        <v>108471.86</v>
      </c>
      <c r="G264" t="s">
        <v>715</v>
      </c>
      <c r="H264" s="7">
        <f t="shared" si="46"/>
        <v>0</v>
      </c>
      <c r="I264" s="1">
        <f t="shared" si="40"/>
        <v>45382</v>
      </c>
      <c r="J264" s="7" t="str">
        <f t="shared" si="41"/>
        <v>UPI/P2M/409131170570/Pramod Bhaskar Kapase/Cup/Yes Bank Ltd</v>
      </c>
      <c r="K264" s="7"/>
      <c r="L264" s="7">
        <f t="shared" si="42"/>
        <v>700</v>
      </c>
      <c r="M264" s="7">
        <f t="shared" si="43"/>
        <v>0</v>
      </c>
      <c r="N264" s="7">
        <f t="shared" si="44"/>
        <v>108471.86</v>
      </c>
      <c r="O264" s="7" t="str">
        <f t="shared" si="45"/>
        <v>AXIS 3167</v>
      </c>
    </row>
    <row r="265" spans="1:15" x14ac:dyDescent="0.25">
      <c r="A265">
        <v>250</v>
      </c>
      <c r="B265" s="1">
        <v>45382</v>
      </c>
      <c r="C265" t="s">
        <v>918</v>
      </c>
      <c r="D265" s="2">
        <v>910</v>
      </c>
      <c r="E265" s="2">
        <v>0</v>
      </c>
      <c r="F265" s="2">
        <v>107561.86</v>
      </c>
      <c r="G265" t="s">
        <v>715</v>
      </c>
      <c r="H265" s="7">
        <f t="shared" si="46"/>
        <v>0</v>
      </c>
      <c r="I265" s="1">
        <f t="shared" si="40"/>
        <v>45382</v>
      </c>
      <c r="J265" s="7" t="str">
        <f t="shared" si="41"/>
        <v>UPI/P2M/409144292980/ASHOK HOSIERY        /Underw/HDFC BANK LTD</v>
      </c>
      <c r="K265" s="7"/>
      <c r="L265" s="7">
        <f t="shared" si="42"/>
        <v>910</v>
      </c>
      <c r="M265" s="7">
        <f t="shared" si="43"/>
        <v>0</v>
      </c>
      <c r="N265" s="7">
        <f t="shared" si="44"/>
        <v>107561.86</v>
      </c>
      <c r="O265" s="7" t="str">
        <f t="shared" si="45"/>
        <v>AXIS 3167</v>
      </c>
    </row>
    <row r="266" spans="1:15" x14ac:dyDescent="0.25">
      <c r="A266">
        <v>251</v>
      </c>
      <c r="B266" s="1">
        <v>45382</v>
      </c>
      <c r="C266" t="s">
        <v>919</v>
      </c>
      <c r="D266" s="2">
        <v>18000</v>
      </c>
      <c r="E266" s="2">
        <v>0</v>
      </c>
      <c r="F266" s="2">
        <v>89561.86</v>
      </c>
      <c r="G266" t="s">
        <v>715</v>
      </c>
      <c r="H266" s="7">
        <f t="shared" si="46"/>
        <v>0</v>
      </c>
      <c r="I266" s="1">
        <f t="shared" si="40"/>
        <v>45382</v>
      </c>
      <c r="J266" s="7" t="str">
        <f t="shared" si="41"/>
        <v>INB/54458263/INTERNET TAX PAYMENT/</v>
      </c>
      <c r="K266" s="7"/>
      <c r="L266" s="7">
        <f t="shared" si="42"/>
        <v>18000</v>
      </c>
      <c r="M266" s="7">
        <f t="shared" si="43"/>
        <v>0</v>
      </c>
      <c r="N266" s="7">
        <f t="shared" si="44"/>
        <v>89561.86</v>
      </c>
      <c r="O266" s="7" t="str">
        <f t="shared" si="45"/>
        <v>AXIS 3167</v>
      </c>
    </row>
    <row r="267" spans="1:15" x14ac:dyDescent="0.25">
      <c r="A267">
        <v>252</v>
      </c>
      <c r="B267" s="1">
        <v>45382</v>
      </c>
      <c r="C267" t="s">
        <v>920</v>
      </c>
      <c r="D267" s="2">
        <v>0</v>
      </c>
      <c r="E267" s="2">
        <v>1054</v>
      </c>
      <c r="F267" s="2">
        <v>90615.86</v>
      </c>
      <c r="G267" t="s">
        <v>715</v>
      </c>
      <c r="H267" s="7">
        <f t="shared" si="46"/>
        <v>0</v>
      </c>
      <c r="I267" s="1">
        <f t="shared" si="40"/>
        <v>45382</v>
      </c>
      <c r="J267" s="7" t="str">
        <f t="shared" si="41"/>
        <v>SB:910010047943167:Int.Pd:01-01-2024 to 31-03-2024</v>
      </c>
      <c r="K267" s="7"/>
      <c r="L267" s="7">
        <f t="shared" si="42"/>
        <v>0</v>
      </c>
      <c r="M267" s="7">
        <f t="shared" si="43"/>
        <v>1054</v>
      </c>
      <c r="N267" s="7">
        <f t="shared" si="44"/>
        <v>90615.86</v>
      </c>
      <c r="O267" s="7" t="str">
        <f t="shared" si="45"/>
        <v>AXIS 3167</v>
      </c>
    </row>
  </sheetData>
  <autoFilter ref="A15:O267" xr:uid="{129C6BB4-8ADD-46CC-8E02-2A6C424FB69A}"/>
  <mergeCells count="6">
    <mergeCell ref="A6:J6"/>
    <mergeCell ref="A1:J1"/>
    <mergeCell ref="A2:J2"/>
    <mergeCell ref="A3:J3"/>
    <mergeCell ref="A4:J4"/>
    <mergeCell ref="A5:J5"/>
  </mergeCells>
  <pageMargins left="0.75" right="0.75" top="1" bottom="1" header="0.5" footer="0.5"/>
  <pageSetup orientation="portrait" horizontalDpi="300" verticalDpi="30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E8FF0-2FF6-475F-ABF0-44D7253BFAD4}">
  <dimension ref="A1:H35"/>
  <sheetViews>
    <sheetView showGridLines="0" topLeftCell="A15" workbookViewId="0">
      <selection activeCell="G21" sqref="G21"/>
    </sheetView>
  </sheetViews>
  <sheetFormatPr defaultRowHeight="14.4" x14ac:dyDescent="0.3"/>
  <cols>
    <col min="1" max="1" width="6.44140625" style="42" customWidth="1"/>
    <col min="2" max="2" width="24.88671875" style="42" customWidth="1"/>
    <col min="3" max="3" width="35.5546875" style="42" bestFit="1" customWidth="1"/>
    <col min="4" max="4" width="16.77734375" style="42" customWidth="1"/>
    <col min="5" max="5" width="8.88671875" style="42" customWidth="1"/>
    <col min="6" max="6" width="19.6640625" style="42" customWidth="1"/>
    <col min="7" max="7" width="19.21875" style="42" customWidth="1"/>
    <col min="8" max="16384" width="8.88671875" style="42"/>
  </cols>
  <sheetData>
    <row r="1" spans="1:7" x14ac:dyDescent="0.3">
      <c r="A1" s="72" t="s">
        <v>766</v>
      </c>
      <c r="B1" s="72"/>
      <c r="C1" s="72"/>
      <c r="D1" s="72"/>
      <c r="E1" s="72"/>
      <c r="F1" s="72"/>
      <c r="G1" s="72"/>
    </row>
    <row r="2" spans="1:7" x14ac:dyDescent="0.3">
      <c r="A2" s="73" t="s">
        <v>767</v>
      </c>
      <c r="B2" s="74"/>
      <c r="C2" s="74"/>
      <c r="D2" s="74"/>
      <c r="E2" s="74"/>
      <c r="F2" s="74"/>
      <c r="G2" s="75"/>
    </row>
    <row r="3" spans="1:7" x14ac:dyDescent="0.3">
      <c r="A3" s="76"/>
      <c r="B3" s="77"/>
      <c r="C3" s="77"/>
      <c r="D3" s="77"/>
      <c r="E3" s="77"/>
      <c r="F3" s="77"/>
      <c r="G3" s="78"/>
    </row>
    <row r="4" spans="1:7" x14ac:dyDescent="0.3">
      <c r="A4" s="43"/>
      <c r="G4" s="44"/>
    </row>
    <row r="5" spans="1:7" ht="14.4" customHeight="1" x14ac:dyDescent="0.3">
      <c r="A5" s="79" t="s">
        <v>768</v>
      </c>
      <c r="B5" s="80"/>
      <c r="C5" s="80"/>
      <c r="D5" s="80"/>
      <c r="E5" s="80"/>
      <c r="F5" s="80"/>
      <c r="G5" s="81"/>
    </row>
    <row r="6" spans="1:7" x14ac:dyDescent="0.3">
      <c r="A6" s="43"/>
      <c r="G6" s="44"/>
    </row>
    <row r="7" spans="1:7" ht="14.4" customHeight="1" x14ac:dyDescent="0.3">
      <c r="A7" s="79" t="s">
        <v>769</v>
      </c>
      <c r="B7" s="80"/>
      <c r="C7" s="80"/>
      <c r="D7" s="80"/>
      <c r="E7" s="80"/>
      <c r="F7" s="80"/>
      <c r="G7" s="81"/>
    </row>
    <row r="8" spans="1:7" x14ac:dyDescent="0.3">
      <c r="A8" s="43"/>
      <c r="G8" s="44"/>
    </row>
    <row r="9" spans="1:7" ht="14.4" customHeight="1" x14ac:dyDescent="0.3">
      <c r="A9" s="69" t="s">
        <v>770</v>
      </c>
      <c r="B9" s="70"/>
      <c r="C9" s="70"/>
      <c r="D9" s="70"/>
      <c r="E9" s="70"/>
      <c r="F9" s="70"/>
      <c r="G9" s="71"/>
    </row>
    <row r="10" spans="1:7" ht="14.4" customHeight="1" x14ac:dyDescent="0.3">
      <c r="A10" s="69" t="s">
        <v>771</v>
      </c>
      <c r="B10" s="70"/>
      <c r="C10" s="70"/>
      <c r="D10" s="70"/>
      <c r="E10" s="70"/>
      <c r="F10" s="70"/>
      <c r="G10" s="71"/>
    </row>
    <row r="11" spans="1:7" ht="14.4" customHeight="1" x14ac:dyDescent="0.3">
      <c r="A11" s="69" t="s">
        <v>772</v>
      </c>
      <c r="B11" s="70"/>
      <c r="C11" s="70"/>
      <c r="D11" s="70"/>
      <c r="E11" s="70"/>
      <c r="F11" s="70"/>
      <c r="G11" s="71"/>
    </row>
    <row r="12" spans="1:7" ht="14.4" customHeight="1" x14ac:dyDescent="0.3">
      <c r="A12" s="69" t="s">
        <v>773</v>
      </c>
      <c r="B12" s="70"/>
      <c r="C12" s="70"/>
      <c r="D12" s="70"/>
      <c r="E12" s="70"/>
      <c r="F12" s="70"/>
      <c r="G12" s="71"/>
    </row>
    <row r="13" spans="1:7" ht="14.4" customHeight="1" x14ac:dyDescent="0.3">
      <c r="A13" s="69" t="s">
        <v>1036</v>
      </c>
      <c r="B13" s="70"/>
      <c r="C13" s="70"/>
      <c r="D13" s="70"/>
      <c r="E13" s="70"/>
      <c r="F13" s="70"/>
      <c r="G13" s="71"/>
    </row>
    <row r="14" spans="1:7" x14ac:dyDescent="0.3">
      <c r="A14" s="43"/>
      <c r="G14" s="44"/>
    </row>
    <row r="15" spans="1:7" ht="14.4" customHeight="1" x14ac:dyDescent="0.3">
      <c r="A15" s="69" t="s">
        <v>774</v>
      </c>
      <c r="B15" s="70"/>
      <c r="C15" s="70"/>
      <c r="D15" s="70"/>
      <c r="E15" s="70"/>
      <c r="F15" s="70"/>
      <c r="G15" s="71"/>
    </row>
    <row r="16" spans="1:7" x14ac:dyDescent="0.3">
      <c r="A16" s="45"/>
      <c r="B16" s="46"/>
      <c r="C16" s="46"/>
      <c r="D16" s="46"/>
      <c r="E16" s="46"/>
      <c r="F16" s="46"/>
      <c r="G16" s="47"/>
    </row>
    <row r="17" spans="1:8" x14ac:dyDescent="0.3">
      <c r="A17" s="48" t="s">
        <v>775</v>
      </c>
      <c r="B17" s="48" t="s">
        <v>335</v>
      </c>
      <c r="C17" s="48" t="s">
        <v>333</v>
      </c>
      <c r="D17" s="48" t="s">
        <v>776</v>
      </c>
      <c r="E17" s="48" t="s">
        <v>777</v>
      </c>
      <c r="F17" s="48" t="s">
        <v>778</v>
      </c>
      <c r="G17" s="48" t="s">
        <v>779</v>
      </c>
    </row>
    <row r="18" spans="1:8" x14ac:dyDescent="0.3">
      <c r="A18" s="43"/>
      <c r="G18" s="44"/>
    </row>
    <row r="19" spans="1:8" ht="28.8" x14ac:dyDescent="0.3">
      <c r="A19" s="49">
        <v>1</v>
      </c>
      <c r="B19" s="50">
        <v>45043.353472222225</v>
      </c>
      <c r="C19" s="49" t="s">
        <v>780</v>
      </c>
      <c r="D19" s="49"/>
      <c r="E19" s="49" t="s">
        <v>18</v>
      </c>
      <c r="F19" s="49">
        <v>55</v>
      </c>
      <c r="G19" s="51">
        <v>8641</v>
      </c>
      <c r="H19" s="56">
        <f>G19-F19</f>
        <v>8586</v>
      </c>
    </row>
    <row r="20" spans="1:8" x14ac:dyDescent="0.3">
      <c r="A20" s="49">
        <v>2</v>
      </c>
      <c r="B20" s="50">
        <v>45043.492361111108</v>
      </c>
      <c r="C20" s="49" t="s">
        <v>781</v>
      </c>
      <c r="D20" s="49"/>
      <c r="E20" s="49" t="s">
        <v>17</v>
      </c>
      <c r="F20" s="51">
        <v>8641</v>
      </c>
      <c r="G20" s="49">
        <v>0</v>
      </c>
    </row>
    <row r="21" spans="1:8" ht="28.8" x14ac:dyDescent="0.3">
      <c r="A21" s="49">
        <v>3</v>
      </c>
      <c r="B21" s="50">
        <v>45287.77847222222</v>
      </c>
      <c r="C21" s="49" t="s">
        <v>782</v>
      </c>
      <c r="D21" s="49"/>
      <c r="E21" s="49" t="s">
        <v>18</v>
      </c>
      <c r="F21" s="51">
        <v>8814</v>
      </c>
      <c r="G21" s="51">
        <v>8814</v>
      </c>
    </row>
    <row r="22" spans="1:8" x14ac:dyDescent="0.3">
      <c r="A22" s="49">
        <v>4</v>
      </c>
      <c r="B22" s="50">
        <v>45288.574305555558</v>
      </c>
      <c r="C22" s="49" t="s">
        <v>783</v>
      </c>
      <c r="D22" s="49"/>
      <c r="E22" s="49" t="s">
        <v>18</v>
      </c>
      <c r="F22" s="51">
        <v>1000</v>
      </c>
      <c r="G22" s="51">
        <v>9814</v>
      </c>
    </row>
    <row r="23" spans="1:8" ht="28.8" x14ac:dyDescent="0.3">
      <c r="A23" s="49">
        <v>5</v>
      </c>
      <c r="B23" s="50">
        <v>45296.759722222225</v>
      </c>
      <c r="C23" s="49" t="s">
        <v>1037</v>
      </c>
      <c r="D23" s="49"/>
      <c r="E23" s="49" t="s">
        <v>18</v>
      </c>
      <c r="F23" s="51">
        <v>1000</v>
      </c>
      <c r="G23" s="51">
        <v>10814</v>
      </c>
    </row>
    <row r="24" spans="1:8" ht="28.8" x14ac:dyDescent="0.3">
      <c r="A24" s="49">
        <v>6</v>
      </c>
      <c r="B24" s="50">
        <v>45326.623611111114</v>
      </c>
      <c r="C24" s="49" t="s">
        <v>1038</v>
      </c>
      <c r="D24" s="49"/>
      <c r="E24" s="49" t="s">
        <v>18</v>
      </c>
      <c r="F24" s="49">
        <v>29</v>
      </c>
      <c r="G24" s="51">
        <v>10843</v>
      </c>
    </row>
    <row r="25" spans="1:8" x14ac:dyDescent="0.3">
      <c r="A25" s="49">
        <v>7</v>
      </c>
      <c r="B25" s="50">
        <v>45337.279166666667</v>
      </c>
      <c r="C25" s="49" t="s">
        <v>1039</v>
      </c>
      <c r="D25" s="49"/>
      <c r="E25" s="49" t="s">
        <v>17</v>
      </c>
      <c r="F25" s="49">
        <v>118</v>
      </c>
      <c r="G25" s="51">
        <v>10725</v>
      </c>
    </row>
    <row r="26" spans="1:8" ht="28.8" x14ac:dyDescent="0.3">
      <c r="A26" s="49">
        <v>8</v>
      </c>
      <c r="B26" s="50">
        <v>45352.722916666666</v>
      </c>
      <c r="C26" s="49" t="s">
        <v>1040</v>
      </c>
      <c r="D26" s="49"/>
      <c r="E26" s="49" t="s">
        <v>18</v>
      </c>
      <c r="F26" s="51">
        <v>5000</v>
      </c>
      <c r="G26" s="51">
        <v>15725</v>
      </c>
    </row>
    <row r="28" spans="1:8" ht="14.4" customHeight="1" x14ac:dyDescent="0.3">
      <c r="A28" s="82" t="s">
        <v>784</v>
      </c>
      <c r="B28" s="82"/>
      <c r="C28" s="82"/>
      <c r="D28" s="82"/>
      <c r="E28" s="82"/>
      <c r="F28" s="82"/>
      <c r="G28" s="82"/>
    </row>
    <row r="29" spans="1:8" ht="14.4" customHeight="1" x14ac:dyDescent="0.3">
      <c r="A29" s="82" t="s">
        <v>785</v>
      </c>
      <c r="B29" s="82"/>
      <c r="C29" s="82"/>
      <c r="D29" s="82"/>
      <c r="E29" s="82"/>
      <c r="F29" s="82"/>
      <c r="G29" s="82"/>
    </row>
    <row r="30" spans="1:8" ht="14.4" customHeight="1" x14ac:dyDescent="0.3">
      <c r="A30" s="82" t="s">
        <v>786</v>
      </c>
      <c r="B30" s="82"/>
      <c r="C30" s="82"/>
      <c r="D30" s="82"/>
      <c r="E30" s="82"/>
      <c r="F30" s="82"/>
      <c r="G30" s="82"/>
    </row>
    <row r="33" spans="1:7" ht="28.8" customHeight="1" x14ac:dyDescent="0.3">
      <c r="A33" s="83" t="s">
        <v>1041</v>
      </c>
      <c r="B33" s="83"/>
      <c r="C33" s="83"/>
      <c r="D33" s="83"/>
      <c r="E33" s="83"/>
      <c r="F33" s="83"/>
      <c r="G33" s="83"/>
    </row>
    <row r="34" spans="1:7" x14ac:dyDescent="0.3">
      <c r="A34" s="52"/>
    </row>
    <row r="35" spans="1:7" ht="14.4" customHeight="1" x14ac:dyDescent="0.3">
      <c r="A35" s="84" t="s">
        <v>1042</v>
      </c>
      <c r="B35" s="84"/>
      <c r="C35" s="84"/>
      <c r="D35" s="84"/>
      <c r="E35" s="84"/>
      <c r="F35" s="84"/>
      <c r="G35" s="84"/>
    </row>
  </sheetData>
  <autoFilter ref="A17:G26" xr:uid="{8E3D0F1B-BD2A-4B8F-A3CB-2F47C7711835}"/>
  <mergeCells count="15">
    <mergeCell ref="A30:G30"/>
    <mergeCell ref="A33:G33"/>
    <mergeCell ref="A35:G35"/>
    <mergeCell ref="A11:G11"/>
    <mergeCell ref="A12:G12"/>
    <mergeCell ref="A13:G13"/>
    <mergeCell ref="A15:G15"/>
    <mergeCell ref="A28:G28"/>
    <mergeCell ref="A29:G29"/>
    <mergeCell ref="A10:G10"/>
    <mergeCell ref="A1:G1"/>
    <mergeCell ref="A2:G3"/>
    <mergeCell ref="A5:G5"/>
    <mergeCell ref="A7:G7"/>
    <mergeCell ref="A9:G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71A1B-19C7-47E6-BD04-ABEB52A9EB3D}">
  <dimension ref="A1:P1094"/>
  <sheetViews>
    <sheetView topLeftCell="C13" workbookViewId="0">
      <selection activeCell="F14" sqref="F14"/>
    </sheetView>
  </sheetViews>
  <sheetFormatPr defaultColWidth="11.5546875" defaultRowHeight="13.2" x14ac:dyDescent="0.25"/>
  <cols>
    <col min="1" max="1" width="10.33203125" bestFit="1" customWidth="1"/>
    <col min="2" max="2" width="45" customWidth="1"/>
    <col min="3" max="3" width="10.33203125" bestFit="1" customWidth="1"/>
    <col min="4" max="6" width="18.77734375" customWidth="1"/>
    <col min="10" max="10" width="43.77734375" bestFit="1" customWidth="1"/>
    <col min="256" max="256" width="10.33203125" bestFit="1" customWidth="1"/>
    <col min="257" max="257" width="45" customWidth="1"/>
    <col min="258" max="258" width="18.77734375" customWidth="1"/>
    <col min="259" max="259" width="10.33203125" bestFit="1" customWidth="1"/>
    <col min="260" max="262" width="18.77734375" customWidth="1"/>
    <col min="512" max="512" width="10.33203125" bestFit="1" customWidth="1"/>
    <col min="513" max="513" width="45" customWidth="1"/>
    <col min="514" max="514" width="18.77734375" customWidth="1"/>
    <col min="515" max="515" width="10.33203125" bestFit="1" customWidth="1"/>
    <col min="516" max="518" width="18.77734375" customWidth="1"/>
    <col min="768" max="768" width="10.33203125" bestFit="1" customWidth="1"/>
    <col min="769" max="769" width="45" customWidth="1"/>
    <col min="770" max="770" width="18.77734375" customWidth="1"/>
    <col min="771" max="771" width="10.33203125" bestFit="1" customWidth="1"/>
    <col min="772" max="774" width="18.77734375" customWidth="1"/>
    <col min="1024" max="1024" width="10.33203125" bestFit="1" customWidth="1"/>
    <col min="1025" max="1025" width="45" customWidth="1"/>
    <col min="1026" max="1026" width="18.77734375" customWidth="1"/>
    <col min="1027" max="1027" width="10.33203125" bestFit="1" customWidth="1"/>
    <col min="1028" max="1030" width="18.77734375" customWidth="1"/>
    <col min="1280" max="1280" width="10.33203125" bestFit="1" customWidth="1"/>
    <col min="1281" max="1281" width="45" customWidth="1"/>
    <col min="1282" max="1282" width="18.77734375" customWidth="1"/>
    <col min="1283" max="1283" width="10.33203125" bestFit="1" customWidth="1"/>
    <col min="1284" max="1286" width="18.77734375" customWidth="1"/>
    <col min="1536" max="1536" width="10.33203125" bestFit="1" customWidth="1"/>
    <col min="1537" max="1537" width="45" customWidth="1"/>
    <col min="1538" max="1538" width="18.77734375" customWidth="1"/>
    <col min="1539" max="1539" width="10.33203125" bestFit="1" customWidth="1"/>
    <col min="1540" max="1542" width="18.77734375" customWidth="1"/>
    <col min="1792" max="1792" width="10.33203125" bestFit="1" customWidth="1"/>
    <col min="1793" max="1793" width="45" customWidth="1"/>
    <col min="1794" max="1794" width="18.77734375" customWidth="1"/>
    <col min="1795" max="1795" width="10.33203125" bestFit="1" customWidth="1"/>
    <col min="1796" max="1798" width="18.77734375" customWidth="1"/>
    <col min="2048" max="2048" width="10.33203125" bestFit="1" customWidth="1"/>
    <col min="2049" max="2049" width="45" customWidth="1"/>
    <col min="2050" max="2050" width="18.77734375" customWidth="1"/>
    <col min="2051" max="2051" width="10.33203125" bestFit="1" customWidth="1"/>
    <col min="2052" max="2054" width="18.77734375" customWidth="1"/>
    <col min="2304" max="2304" width="10.33203125" bestFit="1" customWidth="1"/>
    <col min="2305" max="2305" width="45" customWidth="1"/>
    <col min="2306" max="2306" width="18.77734375" customWidth="1"/>
    <col min="2307" max="2307" width="10.33203125" bestFit="1" customWidth="1"/>
    <col min="2308" max="2310" width="18.77734375" customWidth="1"/>
    <col min="2560" max="2560" width="10.33203125" bestFit="1" customWidth="1"/>
    <col min="2561" max="2561" width="45" customWidth="1"/>
    <col min="2562" max="2562" width="18.77734375" customWidth="1"/>
    <col min="2563" max="2563" width="10.33203125" bestFit="1" customWidth="1"/>
    <col min="2564" max="2566" width="18.77734375" customWidth="1"/>
    <col min="2816" max="2816" width="10.33203125" bestFit="1" customWidth="1"/>
    <col min="2817" max="2817" width="45" customWidth="1"/>
    <col min="2818" max="2818" width="18.77734375" customWidth="1"/>
    <col min="2819" max="2819" width="10.33203125" bestFit="1" customWidth="1"/>
    <col min="2820" max="2822" width="18.77734375" customWidth="1"/>
    <col min="3072" max="3072" width="10.33203125" bestFit="1" customWidth="1"/>
    <col min="3073" max="3073" width="45" customWidth="1"/>
    <col min="3074" max="3074" width="18.77734375" customWidth="1"/>
    <col min="3075" max="3075" width="10.33203125" bestFit="1" customWidth="1"/>
    <col min="3076" max="3078" width="18.77734375" customWidth="1"/>
    <col min="3328" max="3328" width="10.33203125" bestFit="1" customWidth="1"/>
    <col min="3329" max="3329" width="45" customWidth="1"/>
    <col min="3330" max="3330" width="18.77734375" customWidth="1"/>
    <col min="3331" max="3331" width="10.33203125" bestFit="1" customWidth="1"/>
    <col min="3332" max="3334" width="18.77734375" customWidth="1"/>
    <col min="3584" max="3584" width="10.33203125" bestFit="1" customWidth="1"/>
    <col min="3585" max="3585" width="45" customWidth="1"/>
    <col min="3586" max="3586" width="18.77734375" customWidth="1"/>
    <col min="3587" max="3587" width="10.33203125" bestFit="1" customWidth="1"/>
    <col min="3588" max="3590" width="18.77734375" customWidth="1"/>
    <col min="3840" max="3840" width="10.33203125" bestFit="1" customWidth="1"/>
    <col min="3841" max="3841" width="45" customWidth="1"/>
    <col min="3842" max="3842" width="18.77734375" customWidth="1"/>
    <col min="3843" max="3843" width="10.33203125" bestFit="1" customWidth="1"/>
    <col min="3844" max="3846" width="18.77734375" customWidth="1"/>
    <col min="4096" max="4096" width="10.33203125" bestFit="1" customWidth="1"/>
    <col min="4097" max="4097" width="45" customWidth="1"/>
    <col min="4098" max="4098" width="18.77734375" customWidth="1"/>
    <col min="4099" max="4099" width="10.33203125" bestFit="1" customWidth="1"/>
    <col min="4100" max="4102" width="18.77734375" customWidth="1"/>
    <col min="4352" max="4352" width="10.33203125" bestFit="1" customWidth="1"/>
    <col min="4353" max="4353" width="45" customWidth="1"/>
    <col min="4354" max="4354" width="18.77734375" customWidth="1"/>
    <col min="4355" max="4355" width="10.33203125" bestFit="1" customWidth="1"/>
    <col min="4356" max="4358" width="18.77734375" customWidth="1"/>
    <col min="4608" max="4608" width="10.33203125" bestFit="1" customWidth="1"/>
    <col min="4609" max="4609" width="45" customWidth="1"/>
    <col min="4610" max="4610" width="18.77734375" customWidth="1"/>
    <col min="4611" max="4611" width="10.33203125" bestFit="1" customWidth="1"/>
    <col min="4612" max="4614" width="18.77734375" customWidth="1"/>
    <col min="4864" max="4864" width="10.33203125" bestFit="1" customWidth="1"/>
    <col min="4865" max="4865" width="45" customWidth="1"/>
    <col min="4866" max="4866" width="18.77734375" customWidth="1"/>
    <col min="4867" max="4867" width="10.33203125" bestFit="1" customWidth="1"/>
    <col min="4868" max="4870" width="18.77734375" customWidth="1"/>
    <col min="5120" max="5120" width="10.33203125" bestFit="1" customWidth="1"/>
    <col min="5121" max="5121" width="45" customWidth="1"/>
    <col min="5122" max="5122" width="18.77734375" customWidth="1"/>
    <col min="5123" max="5123" width="10.33203125" bestFit="1" customWidth="1"/>
    <col min="5124" max="5126" width="18.77734375" customWidth="1"/>
    <col min="5376" max="5376" width="10.33203125" bestFit="1" customWidth="1"/>
    <col min="5377" max="5377" width="45" customWidth="1"/>
    <col min="5378" max="5378" width="18.77734375" customWidth="1"/>
    <col min="5379" max="5379" width="10.33203125" bestFit="1" customWidth="1"/>
    <col min="5380" max="5382" width="18.77734375" customWidth="1"/>
    <col min="5632" max="5632" width="10.33203125" bestFit="1" customWidth="1"/>
    <col min="5633" max="5633" width="45" customWidth="1"/>
    <col min="5634" max="5634" width="18.77734375" customWidth="1"/>
    <col min="5635" max="5635" width="10.33203125" bestFit="1" customWidth="1"/>
    <col min="5636" max="5638" width="18.77734375" customWidth="1"/>
    <col min="5888" max="5888" width="10.33203125" bestFit="1" customWidth="1"/>
    <col min="5889" max="5889" width="45" customWidth="1"/>
    <col min="5890" max="5890" width="18.77734375" customWidth="1"/>
    <col min="5891" max="5891" width="10.33203125" bestFit="1" customWidth="1"/>
    <col min="5892" max="5894" width="18.77734375" customWidth="1"/>
    <col min="6144" max="6144" width="10.33203125" bestFit="1" customWidth="1"/>
    <col min="6145" max="6145" width="45" customWidth="1"/>
    <col min="6146" max="6146" width="18.77734375" customWidth="1"/>
    <col min="6147" max="6147" width="10.33203125" bestFit="1" customWidth="1"/>
    <col min="6148" max="6150" width="18.77734375" customWidth="1"/>
    <col min="6400" max="6400" width="10.33203125" bestFit="1" customWidth="1"/>
    <col min="6401" max="6401" width="45" customWidth="1"/>
    <col min="6402" max="6402" width="18.77734375" customWidth="1"/>
    <col min="6403" max="6403" width="10.33203125" bestFit="1" customWidth="1"/>
    <col min="6404" max="6406" width="18.77734375" customWidth="1"/>
    <col min="6656" max="6656" width="10.33203125" bestFit="1" customWidth="1"/>
    <col min="6657" max="6657" width="45" customWidth="1"/>
    <col min="6658" max="6658" width="18.77734375" customWidth="1"/>
    <col min="6659" max="6659" width="10.33203125" bestFit="1" customWidth="1"/>
    <col min="6660" max="6662" width="18.77734375" customWidth="1"/>
    <col min="6912" max="6912" width="10.33203125" bestFit="1" customWidth="1"/>
    <col min="6913" max="6913" width="45" customWidth="1"/>
    <col min="6914" max="6914" width="18.77734375" customWidth="1"/>
    <col min="6915" max="6915" width="10.33203125" bestFit="1" customWidth="1"/>
    <col min="6916" max="6918" width="18.77734375" customWidth="1"/>
    <col min="7168" max="7168" width="10.33203125" bestFit="1" customWidth="1"/>
    <col min="7169" max="7169" width="45" customWidth="1"/>
    <col min="7170" max="7170" width="18.77734375" customWidth="1"/>
    <col min="7171" max="7171" width="10.33203125" bestFit="1" customWidth="1"/>
    <col min="7172" max="7174" width="18.77734375" customWidth="1"/>
    <col min="7424" max="7424" width="10.33203125" bestFit="1" customWidth="1"/>
    <col min="7425" max="7425" width="45" customWidth="1"/>
    <col min="7426" max="7426" width="18.77734375" customWidth="1"/>
    <col min="7427" max="7427" width="10.33203125" bestFit="1" customWidth="1"/>
    <col min="7428" max="7430" width="18.77734375" customWidth="1"/>
    <col min="7680" max="7680" width="10.33203125" bestFit="1" customWidth="1"/>
    <col min="7681" max="7681" width="45" customWidth="1"/>
    <col min="7682" max="7682" width="18.77734375" customWidth="1"/>
    <col min="7683" max="7683" width="10.33203125" bestFit="1" customWidth="1"/>
    <col min="7684" max="7686" width="18.77734375" customWidth="1"/>
    <col min="7936" max="7936" width="10.33203125" bestFit="1" customWidth="1"/>
    <col min="7937" max="7937" width="45" customWidth="1"/>
    <col min="7938" max="7938" width="18.77734375" customWidth="1"/>
    <col min="7939" max="7939" width="10.33203125" bestFit="1" customWidth="1"/>
    <col min="7940" max="7942" width="18.77734375" customWidth="1"/>
    <col min="8192" max="8192" width="10.33203125" bestFit="1" customWidth="1"/>
    <col min="8193" max="8193" width="45" customWidth="1"/>
    <col min="8194" max="8194" width="18.77734375" customWidth="1"/>
    <col min="8195" max="8195" width="10.33203125" bestFit="1" customWidth="1"/>
    <col min="8196" max="8198" width="18.77734375" customWidth="1"/>
    <col min="8448" max="8448" width="10.33203125" bestFit="1" customWidth="1"/>
    <col min="8449" max="8449" width="45" customWidth="1"/>
    <col min="8450" max="8450" width="18.77734375" customWidth="1"/>
    <col min="8451" max="8451" width="10.33203125" bestFit="1" customWidth="1"/>
    <col min="8452" max="8454" width="18.77734375" customWidth="1"/>
    <col min="8704" max="8704" width="10.33203125" bestFit="1" customWidth="1"/>
    <col min="8705" max="8705" width="45" customWidth="1"/>
    <col min="8706" max="8706" width="18.77734375" customWidth="1"/>
    <col min="8707" max="8707" width="10.33203125" bestFit="1" customWidth="1"/>
    <col min="8708" max="8710" width="18.77734375" customWidth="1"/>
    <col min="8960" max="8960" width="10.33203125" bestFit="1" customWidth="1"/>
    <col min="8961" max="8961" width="45" customWidth="1"/>
    <col min="8962" max="8962" width="18.77734375" customWidth="1"/>
    <col min="8963" max="8963" width="10.33203125" bestFit="1" customWidth="1"/>
    <col min="8964" max="8966" width="18.77734375" customWidth="1"/>
    <col min="9216" max="9216" width="10.33203125" bestFit="1" customWidth="1"/>
    <col min="9217" max="9217" width="45" customWidth="1"/>
    <col min="9218" max="9218" width="18.77734375" customWidth="1"/>
    <col min="9219" max="9219" width="10.33203125" bestFit="1" customWidth="1"/>
    <col min="9220" max="9222" width="18.77734375" customWidth="1"/>
    <col min="9472" max="9472" width="10.33203125" bestFit="1" customWidth="1"/>
    <col min="9473" max="9473" width="45" customWidth="1"/>
    <col min="9474" max="9474" width="18.77734375" customWidth="1"/>
    <col min="9475" max="9475" width="10.33203125" bestFit="1" customWidth="1"/>
    <col min="9476" max="9478" width="18.77734375" customWidth="1"/>
    <col min="9728" max="9728" width="10.33203125" bestFit="1" customWidth="1"/>
    <col min="9729" max="9729" width="45" customWidth="1"/>
    <col min="9730" max="9730" width="18.77734375" customWidth="1"/>
    <col min="9731" max="9731" width="10.33203125" bestFit="1" customWidth="1"/>
    <col min="9732" max="9734" width="18.77734375" customWidth="1"/>
    <col min="9984" max="9984" width="10.33203125" bestFit="1" customWidth="1"/>
    <col min="9985" max="9985" width="45" customWidth="1"/>
    <col min="9986" max="9986" width="18.77734375" customWidth="1"/>
    <col min="9987" max="9987" width="10.33203125" bestFit="1" customWidth="1"/>
    <col min="9988" max="9990" width="18.77734375" customWidth="1"/>
    <col min="10240" max="10240" width="10.33203125" bestFit="1" customWidth="1"/>
    <col min="10241" max="10241" width="45" customWidth="1"/>
    <col min="10242" max="10242" width="18.77734375" customWidth="1"/>
    <col min="10243" max="10243" width="10.33203125" bestFit="1" customWidth="1"/>
    <col min="10244" max="10246" width="18.77734375" customWidth="1"/>
    <col min="10496" max="10496" width="10.33203125" bestFit="1" customWidth="1"/>
    <col min="10497" max="10497" width="45" customWidth="1"/>
    <col min="10498" max="10498" width="18.77734375" customWidth="1"/>
    <col min="10499" max="10499" width="10.33203125" bestFit="1" customWidth="1"/>
    <col min="10500" max="10502" width="18.77734375" customWidth="1"/>
    <col min="10752" max="10752" width="10.33203125" bestFit="1" customWidth="1"/>
    <col min="10753" max="10753" width="45" customWidth="1"/>
    <col min="10754" max="10754" width="18.77734375" customWidth="1"/>
    <col min="10755" max="10755" width="10.33203125" bestFit="1" customWidth="1"/>
    <col min="10756" max="10758" width="18.77734375" customWidth="1"/>
    <col min="11008" max="11008" width="10.33203125" bestFit="1" customWidth="1"/>
    <col min="11009" max="11009" width="45" customWidth="1"/>
    <col min="11010" max="11010" width="18.77734375" customWidth="1"/>
    <col min="11011" max="11011" width="10.33203125" bestFit="1" customWidth="1"/>
    <col min="11012" max="11014" width="18.77734375" customWidth="1"/>
    <col min="11264" max="11264" width="10.33203125" bestFit="1" customWidth="1"/>
    <col min="11265" max="11265" width="45" customWidth="1"/>
    <col min="11266" max="11266" width="18.77734375" customWidth="1"/>
    <col min="11267" max="11267" width="10.33203125" bestFit="1" customWidth="1"/>
    <col min="11268" max="11270" width="18.77734375" customWidth="1"/>
    <col min="11520" max="11520" width="10.33203125" bestFit="1" customWidth="1"/>
    <col min="11521" max="11521" width="45" customWidth="1"/>
    <col min="11522" max="11522" width="18.77734375" customWidth="1"/>
    <col min="11523" max="11523" width="10.33203125" bestFit="1" customWidth="1"/>
    <col min="11524" max="11526" width="18.77734375" customWidth="1"/>
    <col min="11776" max="11776" width="10.33203125" bestFit="1" customWidth="1"/>
    <col min="11777" max="11777" width="45" customWidth="1"/>
    <col min="11778" max="11778" width="18.77734375" customWidth="1"/>
    <col min="11779" max="11779" width="10.33203125" bestFit="1" customWidth="1"/>
    <col min="11780" max="11782" width="18.77734375" customWidth="1"/>
    <col min="12032" max="12032" width="10.33203125" bestFit="1" customWidth="1"/>
    <col min="12033" max="12033" width="45" customWidth="1"/>
    <col min="12034" max="12034" width="18.77734375" customWidth="1"/>
    <col min="12035" max="12035" width="10.33203125" bestFit="1" customWidth="1"/>
    <col min="12036" max="12038" width="18.77734375" customWidth="1"/>
    <col min="12288" max="12288" width="10.33203125" bestFit="1" customWidth="1"/>
    <col min="12289" max="12289" width="45" customWidth="1"/>
    <col min="12290" max="12290" width="18.77734375" customWidth="1"/>
    <col min="12291" max="12291" width="10.33203125" bestFit="1" customWidth="1"/>
    <col min="12292" max="12294" width="18.77734375" customWidth="1"/>
    <col min="12544" max="12544" width="10.33203125" bestFit="1" customWidth="1"/>
    <col min="12545" max="12545" width="45" customWidth="1"/>
    <col min="12546" max="12546" width="18.77734375" customWidth="1"/>
    <col min="12547" max="12547" width="10.33203125" bestFit="1" customWidth="1"/>
    <col min="12548" max="12550" width="18.77734375" customWidth="1"/>
    <col min="12800" max="12800" width="10.33203125" bestFit="1" customWidth="1"/>
    <col min="12801" max="12801" width="45" customWidth="1"/>
    <col min="12802" max="12802" width="18.77734375" customWidth="1"/>
    <col min="12803" max="12803" width="10.33203125" bestFit="1" customWidth="1"/>
    <col min="12804" max="12806" width="18.77734375" customWidth="1"/>
    <col min="13056" max="13056" width="10.33203125" bestFit="1" customWidth="1"/>
    <col min="13057" max="13057" width="45" customWidth="1"/>
    <col min="13058" max="13058" width="18.77734375" customWidth="1"/>
    <col min="13059" max="13059" width="10.33203125" bestFit="1" customWidth="1"/>
    <col min="13060" max="13062" width="18.77734375" customWidth="1"/>
    <col min="13312" max="13312" width="10.33203125" bestFit="1" customWidth="1"/>
    <col min="13313" max="13313" width="45" customWidth="1"/>
    <col min="13314" max="13314" width="18.77734375" customWidth="1"/>
    <col min="13315" max="13315" width="10.33203125" bestFit="1" customWidth="1"/>
    <col min="13316" max="13318" width="18.77734375" customWidth="1"/>
    <col min="13568" max="13568" width="10.33203125" bestFit="1" customWidth="1"/>
    <col min="13569" max="13569" width="45" customWidth="1"/>
    <col min="13570" max="13570" width="18.77734375" customWidth="1"/>
    <col min="13571" max="13571" width="10.33203125" bestFit="1" customWidth="1"/>
    <col min="13572" max="13574" width="18.77734375" customWidth="1"/>
    <col min="13824" max="13824" width="10.33203125" bestFit="1" customWidth="1"/>
    <col min="13825" max="13825" width="45" customWidth="1"/>
    <col min="13826" max="13826" width="18.77734375" customWidth="1"/>
    <col min="13827" max="13827" width="10.33203125" bestFit="1" customWidth="1"/>
    <col min="13828" max="13830" width="18.77734375" customWidth="1"/>
    <col min="14080" max="14080" width="10.33203125" bestFit="1" customWidth="1"/>
    <col min="14081" max="14081" width="45" customWidth="1"/>
    <col min="14082" max="14082" width="18.77734375" customWidth="1"/>
    <col min="14083" max="14083" width="10.33203125" bestFit="1" customWidth="1"/>
    <col min="14084" max="14086" width="18.77734375" customWidth="1"/>
    <col min="14336" max="14336" width="10.33203125" bestFit="1" customWidth="1"/>
    <col min="14337" max="14337" width="45" customWidth="1"/>
    <col min="14338" max="14338" width="18.77734375" customWidth="1"/>
    <col min="14339" max="14339" width="10.33203125" bestFit="1" customWidth="1"/>
    <col min="14340" max="14342" width="18.77734375" customWidth="1"/>
    <col min="14592" max="14592" width="10.33203125" bestFit="1" customWidth="1"/>
    <col min="14593" max="14593" width="45" customWidth="1"/>
    <col min="14594" max="14594" width="18.77734375" customWidth="1"/>
    <col min="14595" max="14595" width="10.33203125" bestFit="1" customWidth="1"/>
    <col min="14596" max="14598" width="18.77734375" customWidth="1"/>
    <col min="14848" max="14848" width="10.33203125" bestFit="1" customWidth="1"/>
    <col min="14849" max="14849" width="45" customWidth="1"/>
    <col min="14850" max="14850" width="18.77734375" customWidth="1"/>
    <col min="14851" max="14851" width="10.33203125" bestFit="1" customWidth="1"/>
    <col min="14852" max="14854" width="18.77734375" customWidth="1"/>
    <col min="15104" max="15104" width="10.33203125" bestFit="1" customWidth="1"/>
    <col min="15105" max="15105" width="45" customWidth="1"/>
    <col min="15106" max="15106" width="18.77734375" customWidth="1"/>
    <col min="15107" max="15107" width="10.33203125" bestFit="1" customWidth="1"/>
    <col min="15108" max="15110" width="18.77734375" customWidth="1"/>
    <col min="15360" max="15360" width="10.33203125" bestFit="1" customWidth="1"/>
    <col min="15361" max="15361" width="45" customWidth="1"/>
    <col min="15362" max="15362" width="18.77734375" customWidth="1"/>
    <col min="15363" max="15363" width="10.33203125" bestFit="1" customWidth="1"/>
    <col min="15364" max="15366" width="18.77734375" customWidth="1"/>
    <col min="15616" max="15616" width="10.33203125" bestFit="1" customWidth="1"/>
    <col min="15617" max="15617" width="45" customWidth="1"/>
    <col min="15618" max="15618" width="18.77734375" customWidth="1"/>
    <col min="15619" max="15619" width="10.33203125" bestFit="1" customWidth="1"/>
    <col min="15620" max="15622" width="18.77734375" customWidth="1"/>
    <col min="15872" max="15872" width="10.33203125" bestFit="1" customWidth="1"/>
    <col min="15873" max="15873" width="45" customWidth="1"/>
    <col min="15874" max="15874" width="18.77734375" customWidth="1"/>
    <col min="15875" max="15875" width="10.33203125" bestFit="1" customWidth="1"/>
    <col min="15876" max="15878" width="18.77734375" customWidth="1"/>
    <col min="16128" max="16128" width="10.33203125" bestFit="1" customWidth="1"/>
    <col min="16129" max="16129" width="45" customWidth="1"/>
    <col min="16130" max="16130" width="18.77734375" customWidth="1"/>
    <col min="16131" max="16131" width="10.33203125" bestFit="1" customWidth="1"/>
    <col min="16132" max="16134" width="18.77734375" customWidth="1"/>
  </cols>
  <sheetData>
    <row r="1" spans="1:15" x14ac:dyDescent="0.25">
      <c r="D1" t="s">
        <v>444</v>
      </c>
    </row>
    <row r="2" spans="1:15" x14ac:dyDescent="0.25">
      <c r="A2" t="s">
        <v>445</v>
      </c>
      <c r="D2" t="s">
        <v>446</v>
      </c>
    </row>
    <row r="3" spans="1:15" x14ac:dyDescent="0.25">
      <c r="A3" t="s">
        <v>447</v>
      </c>
      <c r="D3" t="s">
        <v>448</v>
      </c>
    </row>
    <row r="4" spans="1:15" x14ac:dyDescent="0.25">
      <c r="A4" t="s">
        <v>449</v>
      </c>
      <c r="D4" t="s">
        <v>450</v>
      </c>
    </row>
    <row r="5" spans="1:15" x14ac:dyDescent="0.25">
      <c r="A5" t="s">
        <v>451</v>
      </c>
      <c r="D5" t="s">
        <v>452</v>
      </c>
    </row>
    <row r="6" spans="1:15" x14ac:dyDescent="0.25">
      <c r="A6" t="s">
        <v>453</v>
      </c>
      <c r="D6" t="s">
        <v>454</v>
      </c>
    </row>
    <row r="7" spans="1:15" x14ac:dyDescent="0.25">
      <c r="D7" t="s">
        <v>455</v>
      </c>
    </row>
    <row r="8" spans="1:15" x14ac:dyDescent="0.25">
      <c r="D8" t="s">
        <v>456</v>
      </c>
    </row>
    <row r="9" spans="1:15" x14ac:dyDescent="0.25">
      <c r="A9" t="s">
        <v>457</v>
      </c>
      <c r="D9" t="s">
        <v>458</v>
      </c>
    </row>
    <row r="10" spans="1:15" x14ac:dyDescent="0.25">
      <c r="D10" t="s">
        <v>459</v>
      </c>
    </row>
    <row r="11" spans="1:15" x14ac:dyDescent="0.25">
      <c r="A11" t="s">
        <v>460</v>
      </c>
      <c r="D11" t="s">
        <v>461</v>
      </c>
    </row>
    <row r="12" spans="1:15" x14ac:dyDescent="0.25">
      <c r="A12" t="s">
        <v>462</v>
      </c>
      <c r="D12" t="s">
        <v>463</v>
      </c>
    </row>
    <row r="13" spans="1:15" x14ac:dyDescent="0.25">
      <c r="D13" t="s">
        <v>464</v>
      </c>
    </row>
    <row r="14" spans="1:15" x14ac:dyDescent="0.25">
      <c r="D14" t="s">
        <v>465</v>
      </c>
    </row>
    <row r="15" spans="1:15" x14ac:dyDescent="0.25">
      <c r="D15" s="7">
        <f>SUM(D17:D861)</f>
        <v>7665777.5900000045</v>
      </c>
      <c r="E15" s="7">
        <f>SUM(E17:E861)</f>
        <v>7690470.0199999986</v>
      </c>
      <c r="F15" s="7">
        <f>F17+D17</f>
        <v>32408.51</v>
      </c>
    </row>
    <row r="16" spans="1:15" ht="14.4" x14ac:dyDescent="0.3">
      <c r="A16" t="s">
        <v>466</v>
      </c>
      <c r="B16" t="s">
        <v>467</v>
      </c>
      <c r="C16" t="s">
        <v>468</v>
      </c>
      <c r="D16" t="s">
        <v>469</v>
      </c>
      <c r="E16" t="s">
        <v>470</v>
      </c>
      <c r="F16" t="s">
        <v>471</v>
      </c>
      <c r="G16" s="3" t="s">
        <v>717</v>
      </c>
      <c r="I16" s="3" t="s">
        <v>720</v>
      </c>
      <c r="J16" t="s">
        <v>721</v>
      </c>
      <c r="K16" s="3" t="s">
        <v>722</v>
      </c>
      <c r="L16" s="3" t="s">
        <v>17</v>
      </c>
      <c r="M16" t="s">
        <v>18</v>
      </c>
      <c r="N16" s="3" t="s">
        <v>329</v>
      </c>
      <c r="O16" s="3" t="s">
        <v>717</v>
      </c>
    </row>
    <row r="17" spans="1:16" x14ac:dyDescent="0.25">
      <c r="A17" s="1">
        <v>45019</v>
      </c>
      <c r="B17" t="s">
        <v>472</v>
      </c>
      <c r="C17" s="1">
        <v>45019</v>
      </c>
      <c r="D17" s="2">
        <v>881.67</v>
      </c>
      <c r="E17" s="2">
        <v>0</v>
      </c>
      <c r="F17" s="2">
        <v>31526.84</v>
      </c>
      <c r="G17" t="s">
        <v>719</v>
      </c>
      <c r="I17" s="1">
        <f>A17</f>
        <v>45019</v>
      </c>
      <c r="J17" s="1" t="str">
        <f>B17</f>
        <v>NET PI TO HSL SEC A/C 347707-00602340029392</v>
      </c>
      <c r="L17" s="7">
        <f>D17</f>
        <v>881.67</v>
      </c>
      <c r="M17" s="7">
        <f>E17</f>
        <v>0</v>
      </c>
      <c r="N17" s="7">
        <f>F17</f>
        <v>31526.84</v>
      </c>
      <c r="O17" s="7" t="str">
        <f>G17</f>
        <v>HDFC 5930</v>
      </c>
      <c r="P17" s="7"/>
    </row>
    <row r="18" spans="1:16" x14ac:dyDescent="0.25">
      <c r="A18" s="1">
        <v>45019</v>
      </c>
      <c r="B18" t="s">
        <v>473</v>
      </c>
      <c r="C18" s="1">
        <v>45019</v>
      </c>
      <c r="D18" s="2">
        <v>0</v>
      </c>
      <c r="E18" s="2">
        <v>3799.47</v>
      </c>
      <c r="F18" s="2">
        <v>35326.31</v>
      </c>
      <c r="G18" t="s">
        <v>719</v>
      </c>
      <c r="H18" s="7">
        <f>F17-D18+E18-F18</f>
        <v>0</v>
      </c>
      <c r="I18" s="1">
        <f t="shared" ref="I18:I81" si="0">A18</f>
        <v>45019</v>
      </c>
      <c r="J18" s="1" t="str">
        <f t="shared" ref="J18:J81" si="1">B18</f>
        <v>NET PO FROM HSL A/C 347707-00602340029392</v>
      </c>
      <c r="L18" s="7">
        <f t="shared" ref="L18:L81" si="2">D18</f>
        <v>0</v>
      </c>
      <c r="M18" s="7">
        <f t="shared" ref="M18:M81" si="3">E18</f>
        <v>3799.47</v>
      </c>
      <c r="N18" s="7">
        <f t="shared" ref="N18:N81" si="4">F18</f>
        <v>35326.31</v>
      </c>
      <c r="O18" s="7" t="str">
        <f t="shared" ref="O18:O81" si="5">G18</f>
        <v>HDFC 5930</v>
      </c>
    </row>
    <row r="19" spans="1:16" x14ac:dyDescent="0.25">
      <c r="A19" s="1">
        <v>45020</v>
      </c>
      <c r="B19" t="s">
        <v>474</v>
      </c>
      <c r="C19" s="1">
        <v>45020</v>
      </c>
      <c r="D19" s="2">
        <v>1500</v>
      </c>
      <c r="E19" s="2">
        <v>0</v>
      </c>
      <c r="F19" s="2">
        <v>33826.31</v>
      </c>
      <c r="G19" t="s">
        <v>719</v>
      </c>
      <c r="H19" s="7">
        <f t="shared" ref="H19:H82" si="6">F18-D19+E19-F19</f>
        <v>0</v>
      </c>
      <c r="I19" s="1">
        <f t="shared" si="0"/>
        <v>45020</v>
      </c>
      <c r="J19" s="1" t="str">
        <f t="shared" si="1"/>
        <v>ACH D- TP ACH INVESTOCAFE-1111407380</v>
      </c>
      <c r="L19" s="7">
        <f t="shared" si="2"/>
        <v>1500</v>
      </c>
      <c r="M19" s="7">
        <f t="shared" si="3"/>
        <v>0</v>
      </c>
      <c r="N19" s="7">
        <f t="shared" si="4"/>
        <v>33826.31</v>
      </c>
      <c r="O19" s="7" t="str">
        <f t="shared" si="5"/>
        <v>HDFC 5930</v>
      </c>
    </row>
    <row r="20" spans="1:16" x14ac:dyDescent="0.25">
      <c r="A20" s="1">
        <v>45020</v>
      </c>
      <c r="B20" t="s">
        <v>475</v>
      </c>
      <c r="C20" s="1">
        <v>45020</v>
      </c>
      <c r="D20" s="2">
        <v>2000</v>
      </c>
      <c r="E20" s="2">
        <v>0</v>
      </c>
      <c r="F20" s="2">
        <v>31826.31</v>
      </c>
      <c r="G20" t="s">
        <v>719</v>
      </c>
      <c r="H20" s="7">
        <f t="shared" si="6"/>
        <v>0</v>
      </c>
      <c r="I20" s="1">
        <f t="shared" si="0"/>
        <v>45020</v>
      </c>
      <c r="J20" s="1" t="str">
        <f t="shared" si="1"/>
        <v>ACH D- TP ACH INVESTOCAFE-1111407381</v>
      </c>
      <c r="L20" s="7">
        <f t="shared" si="2"/>
        <v>2000</v>
      </c>
      <c r="M20" s="7">
        <f t="shared" si="3"/>
        <v>0</v>
      </c>
      <c r="N20" s="7">
        <f t="shared" si="4"/>
        <v>31826.31</v>
      </c>
      <c r="O20" s="7" t="str">
        <f t="shared" si="5"/>
        <v>HDFC 5930</v>
      </c>
    </row>
    <row r="21" spans="1:16" x14ac:dyDescent="0.25">
      <c r="A21" s="1">
        <v>45020</v>
      </c>
      <c r="B21" t="s">
        <v>476</v>
      </c>
      <c r="C21" s="1">
        <v>45020</v>
      </c>
      <c r="D21" s="2">
        <v>2000</v>
      </c>
      <c r="E21" s="2">
        <v>0</v>
      </c>
      <c r="F21" s="2">
        <v>29826.31</v>
      </c>
      <c r="G21" t="s">
        <v>719</v>
      </c>
      <c r="H21" s="7">
        <f t="shared" si="6"/>
        <v>0</v>
      </c>
      <c r="I21" s="1">
        <f t="shared" si="0"/>
        <v>45020</v>
      </c>
      <c r="J21" s="1" t="str">
        <f t="shared" si="1"/>
        <v>ACH D- TP ACH INVESTOCAFE-1111407382</v>
      </c>
      <c r="L21" s="7">
        <f t="shared" si="2"/>
        <v>2000</v>
      </c>
      <c r="M21" s="7">
        <f t="shared" si="3"/>
        <v>0</v>
      </c>
      <c r="N21" s="7">
        <f t="shared" si="4"/>
        <v>29826.31</v>
      </c>
      <c r="O21" s="7" t="str">
        <f t="shared" si="5"/>
        <v>HDFC 5930</v>
      </c>
    </row>
    <row r="22" spans="1:16" x14ac:dyDescent="0.25">
      <c r="A22" s="1">
        <v>45021</v>
      </c>
      <c r="B22" t="s">
        <v>472</v>
      </c>
      <c r="C22" s="1">
        <v>45021</v>
      </c>
      <c r="D22" s="2">
        <v>591.52</v>
      </c>
      <c r="E22" s="2">
        <v>0</v>
      </c>
      <c r="F22" s="2">
        <v>29234.79</v>
      </c>
      <c r="G22" t="s">
        <v>719</v>
      </c>
      <c r="H22" s="7">
        <f t="shared" si="6"/>
        <v>0</v>
      </c>
      <c r="I22" s="1">
        <f t="shared" si="0"/>
        <v>45021</v>
      </c>
      <c r="J22" s="1" t="str">
        <f t="shared" si="1"/>
        <v>NET PI TO HSL SEC A/C 347707-00602340029392</v>
      </c>
      <c r="L22" s="7">
        <f t="shared" si="2"/>
        <v>591.52</v>
      </c>
      <c r="M22" s="7">
        <f t="shared" si="3"/>
        <v>0</v>
      </c>
      <c r="N22" s="7">
        <f t="shared" si="4"/>
        <v>29234.79</v>
      </c>
      <c r="O22" s="7" t="str">
        <f t="shared" si="5"/>
        <v>HDFC 5930</v>
      </c>
    </row>
    <row r="23" spans="1:16" x14ac:dyDescent="0.25">
      <c r="A23" s="1">
        <v>45021</v>
      </c>
      <c r="B23" t="s">
        <v>472</v>
      </c>
      <c r="C23" s="1">
        <v>45021</v>
      </c>
      <c r="D23" s="2">
        <v>15603.7</v>
      </c>
      <c r="E23" s="2">
        <v>0</v>
      </c>
      <c r="F23" s="2">
        <v>13631.09</v>
      </c>
      <c r="G23" t="s">
        <v>719</v>
      </c>
      <c r="H23" s="7">
        <f t="shared" si="6"/>
        <v>0</v>
      </c>
      <c r="I23" s="1">
        <f t="shared" si="0"/>
        <v>45021</v>
      </c>
      <c r="J23" s="1" t="str">
        <f t="shared" si="1"/>
        <v>NET PI TO HSL SEC A/C 347707-00602340029392</v>
      </c>
      <c r="L23" s="7">
        <f t="shared" si="2"/>
        <v>15603.7</v>
      </c>
      <c r="M23" s="7">
        <f t="shared" si="3"/>
        <v>0</v>
      </c>
      <c r="N23" s="7">
        <f t="shared" si="4"/>
        <v>13631.09</v>
      </c>
      <c r="O23" s="7" t="str">
        <f t="shared" si="5"/>
        <v>HDFC 5930</v>
      </c>
    </row>
    <row r="24" spans="1:16" x14ac:dyDescent="0.25">
      <c r="A24" s="1">
        <v>45022</v>
      </c>
      <c r="B24" t="s">
        <v>473</v>
      </c>
      <c r="C24" s="1">
        <v>45022</v>
      </c>
      <c r="D24" s="2">
        <v>0</v>
      </c>
      <c r="E24" s="2">
        <v>7926.99</v>
      </c>
      <c r="F24" s="2">
        <v>21558.080000000002</v>
      </c>
      <c r="G24" t="s">
        <v>719</v>
      </c>
      <c r="H24" s="7">
        <f t="shared" si="6"/>
        <v>0</v>
      </c>
      <c r="I24" s="1">
        <f t="shared" si="0"/>
        <v>45022</v>
      </c>
      <c r="J24" s="1" t="str">
        <f t="shared" si="1"/>
        <v>NET PO FROM HSL A/C 347707-00602340029392</v>
      </c>
      <c r="L24" s="7">
        <f t="shared" si="2"/>
        <v>0</v>
      </c>
      <c r="M24" s="7">
        <f t="shared" si="3"/>
        <v>7926.99</v>
      </c>
      <c r="N24" s="7">
        <f t="shared" si="4"/>
        <v>21558.080000000002</v>
      </c>
      <c r="O24" s="7" t="str">
        <f t="shared" si="5"/>
        <v>HDFC 5930</v>
      </c>
    </row>
    <row r="25" spans="1:16" x14ac:dyDescent="0.25">
      <c r="A25" s="1">
        <v>45022</v>
      </c>
      <c r="B25" t="s">
        <v>472</v>
      </c>
      <c r="C25" s="1">
        <v>45022</v>
      </c>
      <c r="D25" s="2">
        <v>288.07</v>
      </c>
      <c r="E25" s="2">
        <v>0</v>
      </c>
      <c r="F25" s="2">
        <v>21270.01</v>
      </c>
      <c r="G25" t="s">
        <v>719</v>
      </c>
      <c r="H25" s="7">
        <f t="shared" si="6"/>
        <v>0</v>
      </c>
      <c r="I25" s="1">
        <f t="shared" si="0"/>
        <v>45022</v>
      </c>
      <c r="J25" s="1" t="str">
        <f t="shared" si="1"/>
        <v>NET PI TO HSL SEC A/C 347707-00602340029392</v>
      </c>
      <c r="L25" s="7">
        <f t="shared" si="2"/>
        <v>288.07</v>
      </c>
      <c r="M25" s="7">
        <f t="shared" si="3"/>
        <v>0</v>
      </c>
      <c r="N25" s="7">
        <f t="shared" si="4"/>
        <v>21270.01</v>
      </c>
      <c r="O25" s="7" t="str">
        <f t="shared" si="5"/>
        <v>HDFC 5930</v>
      </c>
    </row>
    <row r="26" spans="1:16" x14ac:dyDescent="0.25">
      <c r="A26" s="1">
        <v>45022</v>
      </c>
      <c r="B26" t="s">
        <v>473</v>
      </c>
      <c r="C26" s="1">
        <v>45022</v>
      </c>
      <c r="D26" s="2">
        <v>0</v>
      </c>
      <c r="E26" s="2">
        <v>661.41</v>
      </c>
      <c r="F26" s="2">
        <v>21931.42</v>
      </c>
      <c r="G26" t="s">
        <v>719</v>
      </c>
      <c r="H26" s="7">
        <f t="shared" si="6"/>
        <v>0</v>
      </c>
      <c r="I26" s="1">
        <f t="shared" si="0"/>
        <v>45022</v>
      </c>
      <c r="J26" s="1" t="str">
        <f t="shared" si="1"/>
        <v>NET PO FROM HSL A/C 347707-00602340029392</v>
      </c>
      <c r="L26" s="7">
        <f t="shared" si="2"/>
        <v>0</v>
      </c>
      <c r="M26" s="7">
        <f t="shared" si="3"/>
        <v>661.41</v>
      </c>
      <c r="N26" s="7">
        <f t="shared" si="4"/>
        <v>21931.42</v>
      </c>
      <c r="O26" s="7" t="str">
        <f t="shared" si="5"/>
        <v>HDFC 5930</v>
      </c>
    </row>
    <row r="27" spans="1:16" x14ac:dyDescent="0.25">
      <c r="A27" s="1">
        <v>45024</v>
      </c>
      <c r="B27" t="s">
        <v>477</v>
      </c>
      <c r="C27" s="1">
        <v>45024</v>
      </c>
      <c r="D27" s="2">
        <v>2000</v>
      </c>
      <c r="E27" s="2">
        <v>0</v>
      </c>
      <c r="F27" s="2">
        <v>19931.419999999998</v>
      </c>
      <c r="G27" t="s">
        <v>719</v>
      </c>
      <c r="H27" s="7">
        <f t="shared" si="6"/>
        <v>0</v>
      </c>
      <c r="I27" s="1">
        <f t="shared" si="0"/>
        <v>45024</v>
      </c>
      <c r="J27" s="1" t="str">
        <f t="shared" si="1"/>
        <v>ACH D- TP ACH INVESTOCAFE-1116440799</v>
      </c>
      <c r="L27" s="7">
        <f t="shared" si="2"/>
        <v>2000</v>
      </c>
      <c r="M27" s="7">
        <f t="shared" si="3"/>
        <v>0</v>
      </c>
      <c r="N27" s="7">
        <f t="shared" si="4"/>
        <v>19931.419999999998</v>
      </c>
      <c r="O27" s="7" t="str">
        <f t="shared" si="5"/>
        <v>HDFC 5930</v>
      </c>
    </row>
    <row r="28" spans="1:16" x14ac:dyDescent="0.25">
      <c r="A28" s="1">
        <v>45024</v>
      </c>
      <c r="B28" t="s">
        <v>478</v>
      </c>
      <c r="C28" s="1">
        <v>45024</v>
      </c>
      <c r="D28" s="2">
        <v>2500</v>
      </c>
      <c r="E28" s="2">
        <v>0</v>
      </c>
      <c r="F28" s="2">
        <v>17431.419999999998</v>
      </c>
      <c r="G28" t="s">
        <v>719</v>
      </c>
      <c r="H28" s="7">
        <f t="shared" si="6"/>
        <v>0</v>
      </c>
      <c r="I28" s="1">
        <f t="shared" si="0"/>
        <v>45024</v>
      </c>
      <c r="J28" s="1" t="str">
        <f t="shared" si="1"/>
        <v>ACH D- TP ACH INVESTOCAFE-1116440800</v>
      </c>
      <c r="L28" s="7">
        <f t="shared" si="2"/>
        <v>2500</v>
      </c>
      <c r="M28" s="7">
        <f t="shared" si="3"/>
        <v>0</v>
      </c>
      <c r="N28" s="7">
        <f t="shared" si="4"/>
        <v>17431.419999999998</v>
      </c>
      <c r="O28" s="7" t="str">
        <f t="shared" si="5"/>
        <v>HDFC 5930</v>
      </c>
    </row>
    <row r="29" spans="1:16" x14ac:dyDescent="0.25">
      <c r="A29" s="1">
        <v>45026</v>
      </c>
      <c r="B29" t="s">
        <v>479</v>
      </c>
      <c r="C29" s="1">
        <v>45026</v>
      </c>
      <c r="D29" s="2">
        <v>4000</v>
      </c>
      <c r="E29" s="2">
        <v>0</v>
      </c>
      <c r="F29" s="2">
        <v>13431.42</v>
      </c>
      <c r="G29" t="s">
        <v>719</v>
      </c>
      <c r="H29" s="7">
        <f t="shared" si="6"/>
        <v>0</v>
      </c>
      <c r="I29" s="1">
        <f t="shared" si="0"/>
        <v>45026</v>
      </c>
      <c r="J29" s="1" t="str">
        <f t="shared" si="1"/>
        <v>O/MF-HSBC MF      -O416    -000000101236</v>
      </c>
      <c r="L29" s="7">
        <f t="shared" si="2"/>
        <v>4000</v>
      </c>
      <c r="M29" s="7">
        <f t="shared" si="3"/>
        <v>0</v>
      </c>
      <c r="N29" s="7">
        <f t="shared" si="4"/>
        <v>13431.42</v>
      </c>
      <c r="O29" s="7" t="str">
        <f t="shared" si="5"/>
        <v>HDFC 5930</v>
      </c>
    </row>
    <row r="30" spans="1:16" x14ac:dyDescent="0.25">
      <c r="A30" s="1">
        <v>45026</v>
      </c>
      <c r="B30" t="s">
        <v>480</v>
      </c>
      <c r="C30" s="1">
        <v>45026</v>
      </c>
      <c r="D30" s="2">
        <v>3000</v>
      </c>
      <c r="E30" s="2">
        <v>0</v>
      </c>
      <c r="F30" s="2">
        <v>10431.42</v>
      </c>
      <c r="G30" t="s">
        <v>719</v>
      </c>
      <c r="H30" s="7">
        <f t="shared" si="6"/>
        <v>0</v>
      </c>
      <c r="I30" s="1">
        <f t="shared" si="0"/>
        <v>45026</v>
      </c>
      <c r="J30" s="1" t="str">
        <f t="shared" si="1"/>
        <v>NET PAYIN TO BSE MF A/C -57500000389146- FROM A/C -01671000085930- UCC -347707-57500000389146</v>
      </c>
      <c r="L30" s="7">
        <f t="shared" si="2"/>
        <v>3000</v>
      </c>
      <c r="M30" s="7">
        <f t="shared" si="3"/>
        <v>0</v>
      </c>
      <c r="N30" s="7">
        <f t="shared" si="4"/>
        <v>10431.42</v>
      </c>
      <c r="O30" s="7" t="str">
        <f t="shared" si="5"/>
        <v>HDFC 5930</v>
      </c>
    </row>
    <row r="31" spans="1:16" x14ac:dyDescent="0.25">
      <c r="A31" s="1">
        <v>45026</v>
      </c>
      <c r="B31" t="s">
        <v>480</v>
      </c>
      <c r="C31" s="1">
        <v>45026</v>
      </c>
      <c r="D31" s="2">
        <v>3000</v>
      </c>
      <c r="E31" s="2">
        <v>0</v>
      </c>
      <c r="F31" s="2">
        <v>7431.42</v>
      </c>
      <c r="G31" t="s">
        <v>719</v>
      </c>
      <c r="H31" s="7">
        <f t="shared" si="6"/>
        <v>0</v>
      </c>
      <c r="I31" s="1">
        <f t="shared" si="0"/>
        <v>45026</v>
      </c>
      <c r="J31" s="1" t="str">
        <f t="shared" si="1"/>
        <v>NET PAYIN TO BSE MF A/C -57500000389146- FROM A/C -01671000085930- UCC -347707-57500000389146</v>
      </c>
      <c r="L31" s="7">
        <f t="shared" si="2"/>
        <v>3000</v>
      </c>
      <c r="M31" s="7">
        <f t="shared" si="3"/>
        <v>0</v>
      </c>
      <c r="N31" s="7">
        <f t="shared" si="4"/>
        <v>7431.42</v>
      </c>
      <c r="O31" s="7" t="str">
        <f t="shared" si="5"/>
        <v>HDFC 5930</v>
      </c>
    </row>
    <row r="32" spans="1:16" x14ac:dyDescent="0.25">
      <c r="A32" s="1">
        <v>45026</v>
      </c>
      <c r="B32" t="s">
        <v>473</v>
      </c>
      <c r="C32" s="1">
        <v>45026</v>
      </c>
      <c r="D32" s="2">
        <v>0</v>
      </c>
      <c r="E32" s="2">
        <v>19098.12</v>
      </c>
      <c r="F32" s="2">
        <v>26529.54</v>
      </c>
      <c r="G32" t="s">
        <v>719</v>
      </c>
      <c r="H32" s="7">
        <f t="shared" si="6"/>
        <v>0</v>
      </c>
      <c r="I32" s="1">
        <f t="shared" si="0"/>
        <v>45026</v>
      </c>
      <c r="J32" s="1" t="str">
        <f t="shared" si="1"/>
        <v>NET PO FROM HSL A/C 347707-00602340029392</v>
      </c>
      <c r="L32" s="7">
        <f t="shared" si="2"/>
        <v>0</v>
      </c>
      <c r="M32" s="7">
        <f t="shared" si="3"/>
        <v>19098.12</v>
      </c>
      <c r="N32" s="7">
        <f t="shared" si="4"/>
        <v>26529.54</v>
      </c>
      <c r="O32" s="7" t="str">
        <f t="shared" si="5"/>
        <v>HDFC 5930</v>
      </c>
    </row>
    <row r="33" spans="1:15" x14ac:dyDescent="0.25">
      <c r="A33" s="1">
        <v>45026</v>
      </c>
      <c r="B33" t="s">
        <v>481</v>
      </c>
      <c r="C33" s="1">
        <v>45026</v>
      </c>
      <c r="D33" s="2">
        <v>0</v>
      </c>
      <c r="E33" s="2">
        <v>100</v>
      </c>
      <c r="F33" s="2">
        <v>26629.54</v>
      </c>
      <c r="G33" t="s">
        <v>719</v>
      </c>
      <c r="H33" s="7">
        <f t="shared" si="6"/>
        <v>0</v>
      </c>
      <c r="I33" s="1">
        <f t="shared" si="0"/>
        <v>45026</v>
      </c>
      <c r="J33" s="1" t="str">
        <f t="shared" si="1"/>
        <v>ACH C- STEEL AUTHORITY OF I-000000000000</v>
      </c>
      <c r="L33" s="7">
        <f t="shared" si="2"/>
        <v>0</v>
      </c>
      <c r="M33" s="7">
        <f t="shared" si="3"/>
        <v>100</v>
      </c>
      <c r="N33" s="7">
        <f t="shared" si="4"/>
        <v>26629.54</v>
      </c>
      <c r="O33" s="7" t="str">
        <f t="shared" si="5"/>
        <v>HDFC 5930</v>
      </c>
    </row>
    <row r="34" spans="1:15" x14ac:dyDescent="0.25">
      <c r="A34" s="1">
        <v>45026</v>
      </c>
      <c r="B34" t="s">
        <v>472</v>
      </c>
      <c r="C34" s="1">
        <v>45026</v>
      </c>
      <c r="D34" s="2">
        <v>1153.56</v>
      </c>
      <c r="E34" s="2">
        <v>0</v>
      </c>
      <c r="F34" s="2">
        <v>25475.98</v>
      </c>
      <c r="G34" t="s">
        <v>719</v>
      </c>
      <c r="H34" s="7">
        <f t="shared" si="6"/>
        <v>0</v>
      </c>
      <c r="I34" s="1">
        <f t="shared" si="0"/>
        <v>45026</v>
      </c>
      <c r="J34" s="1" t="str">
        <f t="shared" si="1"/>
        <v>NET PI TO HSL SEC A/C 347707-00602340029392</v>
      </c>
      <c r="L34" s="7">
        <f t="shared" si="2"/>
        <v>1153.56</v>
      </c>
      <c r="M34" s="7">
        <f t="shared" si="3"/>
        <v>0</v>
      </c>
      <c r="N34" s="7">
        <f t="shared" si="4"/>
        <v>25475.98</v>
      </c>
      <c r="O34" s="7" t="str">
        <f t="shared" si="5"/>
        <v>HDFC 5930</v>
      </c>
    </row>
    <row r="35" spans="1:15" x14ac:dyDescent="0.25">
      <c r="A35" s="1">
        <v>45026</v>
      </c>
      <c r="B35" t="s">
        <v>472</v>
      </c>
      <c r="C35" s="1">
        <v>45026</v>
      </c>
      <c r="D35" s="2">
        <v>2752.88</v>
      </c>
      <c r="E35" s="2">
        <v>0</v>
      </c>
      <c r="F35" s="2">
        <v>22723.1</v>
      </c>
      <c r="G35" t="s">
        <v>719</v>
      </c>
      <c r="H35" s="7">
        <f t="shared" si="6"/>
        <v>0</v>
      </c>
      <c r="I35" s="1">
        <f t="shared" si="0"/>
        <v>45026</v>
      </c>
      <c r="J35" s="1" t="str">
        <f t="shared" si="1"/>
        <v>NET PI TO HSL SEC A/C 347707-00602340029392</v>
      </c>
      <c r="L35" s="7">
        <f t="shared" si="2"/>
        <v>2752.88</v>
      </c>
      <c r="M35" s="7">
        <f t="shared" si="3"/>
        <v>0</v>
      </c>
      <c r="N35" s="7">
        <f t="shared" si="4"/>
        <v>22723.1</v>
      </c>
      <c r="O35" s="7" t="str">
        <f t="shared" si="5"/>
        <v>HDFC 5930</v>
      </c>
    </row>
    <row r="36" spans="1:15" x14ac:dyDescent="0.25">
      <c r="A36" s="1">
        <v>45026</v>
      </c>
      <c r="B36" t="s">
        <v>473</v>
      </c>
      <c r="C36" s="1">
        <v>45026</v>
      </c>
      <c r="D36" s="2">
        <v>0</v>
      </c>
      <c r="E36" s="2">
        <v>4701.4799999999996</v>
      </c>
      <c r="F36" s="2">
        <v>27424.58</v>
      </c>
      <c r="G36" t="s">
        <v>719</v>
      </c>
      <c r="H36" s="7">
        <f t="shared" si="6"/>
        <v>0</v>
      </c>
      <c r="I36" s="1">
        <f t="shared" si="0"/>
        <v>45026</v>
      </c>
      <c r="J36" s="1" t="str">
        <f t="shared" si="1"/>
        <v>NET PO FROM HSL A/C 347707-00602340029392</v>
      </c>
      <c r="L36" s="7">
        <f t="shared" si="2"/>
        <v>0</v>
      </c>
      <c r="M36" s="7">
        <f t="shared" si="3"/>
        <v>4701.4799999999996</v>
      </c>
      <c r="N36" s="7">
        <f t="shared" si="4"/>
        <v>27424.58</v>
      </c>
      <c r="O36" s="7" t="str">
        <f t="shared" si="5"/>
        <v>HDFC 5930</v>
      </c>
    </row>
    <row r="37" spans="1:15" x14ac:dyDescent="0.25">
      <c r="A37" s="1">
        <v>45027</v>
      </c>
      <c r="B37" t="s">
        <v>472</v>
      </c>
      <c r="C37" s="1">
        <v>45027</v>
      </c>
      <c r="D37" s="2">
        <v>287.81</v>
      </c>
      <c r="E37" s="2">
        <v>0</v>
      </c>
      <c r="F37" s="2">
        <v>27136.77</v>
      </c>
      <c r="G37" t="s">
        <v>719</v>
      </c>
      <c r="H37" s="7">
        <f t="shared" si="6"/>
        <v>0</v>
      </c>
      <c r="I37" s="1">
        <f t="shared" si="0"/>
        <v>45027</v>
      </c>
      <c r="J37" s="1" t="str">
        <f t="shared" si="1"/>
        <v>NET PI TO HSL SEC A/C 347707-00602340029392</v>
      </c>
      <c r="L37" s="7">
        <f t="shared" si="2"/>
        <v>287.81</v>
      </c>
      <c r="M37" s="7">
        <f t="shared" si="3"/>
        <v>0</v>
      </c>
      <c r="N37" s="7">
        <f t="shared" si="4"/>
        <v>27136.77</v>
      </c>
      <c r="O37" s="7" t="str">
        <f t="shared" si="5"/>
        <v>HDFC 5930</v>
      </c>
    </row>
    <row r="38" spans="1:15" x14ac:dyDescent="0.25">
      <c r="A38" s="1">
        <v>45027</v>
      </c>
      <c r="B38" t="s">
        <v>473</v>
      </c>
      <c r="C38" s="1">
        <v>45027</v>
      </c>
      <c r="D38" s="2">
        <v>0</v>
      </c>
      <c r="E38" s="2">
        <v>1542.96</v>
      </c>
      <c r="F38" s="2">
        <v>28679.73</v>
      </c>
      <c r="G38" t="s">
        <v>719</v>
      </c>
      <c r="H38" s="7">
        <f t="shared" si="6"/>
        <v>0</v>
      </c>
      <c r="I38" s="1">
        <f t="shared" si="0"/>
        <v>45027</v>
      </c>
      <c r="J38" s="1" t="str">
        <f t="shared" si="1"/>
        <v>NET PO FROM HSL A/C 347707-00602340029392</v>
      </c>
      <c r="L38" s="7">
        <f t="shared" si="2"/>
        <v>0</v>
      </c>
      <c r="M38" s="7">
        <f t="shared" si="3"/>
        <v>1542.96</v>
      </c>
      <c r="N38" s="7">
        <f t="shared" si="4"/>
        <v>28679.73</v>
      </c>
      <c r="O38" s="7" t="str">
        <f t="shared" si="5"/>
        <v>HDFC 5930</v>
      </c>
    </row>
    <row r="39" spans="1:15" x14ac:dyDescent="0.25">
      <c r="A39" s="1">
        <v>45028</v>
      </c>
      <c r="B39" t="s">
        <v>472</v>
      </c>
      <c r="C39" s="1">
        <v>45028</v>
      </c>
      <c r="D39" s="2">
        <v>288.57</v>
      </c>
      <c r="E39" s="2">
        <v>0</v>
      </c>
      <c r="F39" s="2">
        <v>28391.16</v>
      </c>
      <c r="G39" t="s">
        <v>719</v>
      </c>
      <c r="H39" s="7">
        <f t="shared" si="6"/>
        <v>0</v>
      </c>
      <c r="I39" s="1">
        <f t="shared" si="0"/>
        <v>45028</v>
      </c>
      <c r="J39" s="1" t="str">
        <f t="shared" si="1"/>
        <v>NET PI TO HSL SEC A/C 347707-00602340029392</v>
      </c>
      <c r="L39" s="7">
        <f t="shared" si="2"/>
        <v>288.57</v>
      </c>
      <c r="M39" s="7">
        <f t="shared" si="3"/>
        <v>0</v>
      </c>
      <c r="N39" s="7">
        <f t="shared" si="4"/>
        <v>28391.16</v>
      </c>
      <c r="O39" s="7" t="str">
        <f t="shared" si="5"/>
        <v>HDFC 5930</v>
      </c>
    </row>
    <row r="40" spans="1:15" x14ac:dyDescent="0.25">
      <c r="A40" s="1">
        <v>45028</v>
      </c>
      <c r="B40" t="s">
        <v>473</v>
      </c>
      <c r="C40" s="1">
        <v>45028</v>
      </c>
      <c r="D40" s="2">
        <v>0</v>
      </c>
      <c r="E40" s="2">
        <v>6276.96</v>
      </c>
      <c r="F40" s="2">
        <v>34668.120000000003</v>
      </c>
      <c r="G40" t="s">
        <v>719</v>
      </c>
      <c r="H40" s="7">
        <f t="shared" si="6"/>
        <v>0</v>
      </c>
      <c r="I40" s="1">
        <f t="shared" si="0"/>
        <v>45028</v>
      </c>
      <c r="J40" s="1" t="str">
        <f t="shared" si="1"/>
        <v>NET PO FROM HSL A/C 347707-00602340029392</v>
      </c>
      <c r="L40" s="7">
        <f t="shared" si="2"/>
        <v>0</v>
      </c>
      <c r="M40" s="7">
        <f t="shared" si="3"/>
        <v>6276.96</v>
      </c>
      <c r="N40" s="7">
        <f t="shared" si="4"/>
        <v>34668.120000000003</v>
      </c>
      <c r="O40" s="7" t="str">
        <f t="shared" si="5"/>
        <v>HDFC 5930</v>
      </c>
    </row>
    <row r="41" spans="1:15" x14ac:dyDescent="0.25">
      <c r="A41" s="1">
        <v>45029</v>
      </c>
      <c r="B41" t="s">
        <v>482</v>
      </c>
      <c r="C41" s="1">
        <v>45029</v>
      </c>
      <c r="D41" s="2">
        <v>660.8</v>
      </c>
      <c r="E41" s="2">
        <v>0</v>
      </c>
      <c r="F41" s="2">
        <v>34007.32</v>
      </c>
      <c r="G41" t="s">
        <v>719</v>
      </c>
      <c r="H41" s="7">
        <f t="shared" si="6"/>
        <v>0</v>
      </c>
      <c r="I41" s="1">
        <f t="shared" si="0"/>
        <v>45029</v>
      </c>
      <c r="J41" s="1" t="str">
        <f t="shared" si="1"/>
        <v>DEPOSITORY CHARGES MAR23 - 40227714</v>
      </c>
      <c r="L41" s="7">
        <f t="shared" si="2"/>
        <v>660.8</v>
      </c>
      <c r="M41" s="7">
        <f t="shared" si="3"/>
        <v>0</v>
      </c>
      <c r="N41" s="7">
        <f t="shared" si="4"/>
        <v>34007.32</v>
      </c>
      <c r="O41" s="7" t="str">
        <f t="shared" si="5"/>
        <v>HDFC 5930</v>
      </c>
    </row>
    <row r="42" spans="1:15" x14ac:dyDescent="0.25">
      <c r="A42" s="1">
        <v>45029</v>
      </c>
      <c r="B42" t="s">
        <v>472</v>
      </c>
      <c r="C42" s="1">
        <v>45029</v>
      </c>
      <c r="D42" s="2">
        <v>291.66000000000003</v>
      </c>
      <c r="E42" s="2">
        <v>0</v>
      </c>
      <c r="F42" s="2">
        <v>33715.660000000003</v>
      </c>
      <c r="G42" t="s">
        <v>719</v>
      </c>
      <c r="H42" s="7">
        <f t="shared" si="6"/>
        <v>0</v>
      </c>
      <c r="I42" s="1">
        <f t="shared" si="0"/>
        <v>45029</v>
      </c>
      <c r="J42" s="1" t="str">
        <f t="shared" si="1"/>
        <v>NET PI TO HSL SEC A/C 347707-00602340029392</v>
      </c>
      <c r="L42" s="7">
        <f t="shared" si="2"/>
        <v>291.66000000000003</v>
      </c>
      <c r="M42" s="7">
        <f t="shared" si="3"/>
        <v>0</v>
      </c>
      <c r="N42" s="7">
        <f t="shared" si="4"/>
        <v>33715.660000000003</v>
      </c>
      <c r="O42" s="7" t="str">
        <f t="shared" si="5"/>
        <v>HDFC 5930</v>
      </c>
    </row>
    <row r="43" spans="1:15" x14ac:dyDescent="0.25">
      <c r="A43" s="1">
        <v>45030</v>
      </c>
      <c r="B43" t="s">
        <v>472</v>
      </c>
      <c r="C43" s="1">
        <v>45030</v>
      </c>
      <c r="D43" s="2">
        <v>32591.86</v>
      </c>
      <c r="E43" s="2">
        <v>0</v>
      </c>
      <c r="F43" s="2">
        <v>1123.8</v>
      </c>
      <c r="G43" t="s">
        <v>719</v>
      </c>
      <c r="H43" s="7">
        <f t="shared" si="6"/>
        <v>2.9558577807620168E-12</v>
      </c>
      <c r="I43" s="1">
        <f t="shared" si="0"/>
        <v>45030</v>
      </c>
      <c r="J43" s="1" t="str">
        <f t="shared" si="1"/>
        <v>NET PI TO HSL SEC A/C 347707-00602340029392</v>
      </c>
      <c r="L43" s="7">
        <f t="shared" si="2"/>
        <v>32591.86</v>
      </c>
      <c r="M43" s="7">
        <f t="shared" si="3"/>
        <v>0</v>
      </c>
      <c r="N43" s="7">
        <f t="shared" si="4"/>
        <v>1123.8</v>
      </c>
      <c r="O43" s="7" t="str">
        <f t="shared" si="5"/>
        <v>HDFC 5930</v>
      </c>
    </row>
    <row r="44" spans="1:15" x14ac:dyDescent="0.25">
      <c r="A44" s="1">
        <v>45030</v>
      </c>
      <c r="B44" t="s">
        <v>473</v>
      </c>
      <c r="C44" s="1">
        <v>45029</v>
      </c>
      <c r="D44" s="2">
        <v>0</v>
      </c>
      <c r="E44" s="2">
        <v>9620.14</v>
      </c>
      <c r="F44" s="2">
        <v>10743.94</v>
      </c>
      <c r="G44" t="s">
        <v>719</v>
      </c>
      <c r="H44" s="7">
        <f t="shared" si="6"/>
        <v>0</v>
      </c>
      <c r="I44" s="1">
        <f t="shared" si="0"/>
        <v>45030</v>
      </c>
      <c r="J44" s="1" t="str">
        <f t="shared" si="1"/>
        <v>NET PO FROM HSL A/C 347707-00602340029392</v>
      </c>
      <c r="L44" s="7">
        <f t="shared" si="2"/>
        <v>0</v>
      </c>
      <c r="M44" s="7">
        <f t="shared" si="3"/>
        <v>9620.14</v>
      </c>
      <c r="N44" s="7">
        <f t="shared" si="4"/>
        <v>10743.94</v>
      </c>
      <c r="O44" s="7" t="str">
        <f t="shared" si="5"/>
        <v>HDFC 5930</v>
      </c>
    </row>
    <row r="45" spans="1:15" x14ac:dyDescent="0.25">
      <c r="A45" s="1">
        <v>45033</v>
      </c>
      <c r="B45" t="s">
        <v>480</v>
      </c>
      <c r="C45" s="1">
        <v>45033</v>
      </c>
      <c r="D45" s="2">
        <v>3000</v>
      </c>
      <c r="E45" s="2">
        <v>0</v>
      </c>
      <c r="F45" s="2">
        <v>7743.94</v>
      </c>
      <c r="G45" t="s">
        <v>719</v>
      </c>
      <c r="H45" s="7">
        <f t="shared" si="6"/>
        <v>0</v>
      </c>
      <c r="I45" s="1">
        <f t="shared" si="0"/>
        <v>45033</v>
      </c>
      <c r="J45" s="1" t="str">
        <f t="shared" si="1"/>
        <v>NET PAYIN TO BSE MF A/C -57500000389146- FROM A/C -01671000085930- UCC -347707-57500000389146</v>
      </c>
      <c r="L45" s="7">
        <f t="shared" si="2"/>
        <v>3000</v>
      </c>
      <c r="M45" s="7">
        <f t="shared" si="3"/>
        <v>0</v>
      </c>
      <c r="N45" s="7">
        <f t="shared" si="4"/>
        <v>7743.94</v>
      </c>
      <c r="O45" s="7" t="str">
        <f t="shared" si="5"/>
        <v>HDFC 5930</v>
      </c>
    </row>
    <row r="46" spans="1:15" x14ac:dyDescent="0.25">
      <c r="A46" s="1">
        <v>45033</v>
      </c>
      <c r="B46" t="s">
        <v>483</v>
      </c>
      <c r="C46" s="1">
        <v>45033</v>
      </c>
      <c r="D46" s="2">
        <v>1500</v>
      </c>
      <c r="E46" s="2">
        <v>0</v>
      </c>
      <c r="F46" s="2">
        <v>6243.94</v>
      </c>
      <c r="G46" t="s">
        <v>719</v>
      </c>
      <c r="H46" s="7">
        <f t="shared" si="6"/>
        <v>0</v>
      </c>
      <c r="I46" s="1">
        <f t="shared" si="0"/>
        <v>45033</v>
      </c>
      <c r="J46" s="1" t="str">
        <f t="shared" si="1"/>
        <v>ACH D- TP ACH INVESTOCAFE-1121518334</v>
      </c>
      <c r="L46" s="7">
        <f t="shared" si="2"/>
        <v>1500</v>
      </c>
      <c r="M46" s="7">
        <f t="shared" si="3"/>
        <v>0</v>
      </c>
      <c r="N46" s="7">
        <f t="shared" si="4"/>
        <v>6243.94</v>
      </c>
      <c r="O46" s="7" t="str">
        <f t="shared" si="5"/>
        <v>HDFC 5930</v>
      </c>
    </row>
    <row r="47" spans="1:15" x14ac:dyDescent="0.25">
      <c r="A47" s="1">
        <v>45033</v>
      </c>
      <c r="B47" t="s">
        <v>484</v>
      </c>
      <c r="C47" s="1">
        <v>45033</v>
      </c>
      <c r="D47" s="2">
        <v>2000</v>
      </c>
      <c r="E47" s="2">
        <v>0</v>
      </c>
      <c r="F47" s="2">
        <v>4243.9399999999996</v>
      </c>
      <c r="G47" t="s">
        <v>719</v>
      </c>
      <c r="H47" s="7">
        <f t="shared" si="6"/>
        <v>0</v>
      </c>
      <c r="I47" s="1">
        <f t="shared" si="0"/>
        <v>45033</v>
      </c>
      <c r="J47" s="1" t="str">
        <f t="shared" si="1"/>
        <v>ACH D- TP ACH INVESTOCAFE-1121518335</v>
      </c>
      <c r="L47" s="7">
        <f t="shared" si="2"/>
        <v>2000</v>
      </c>
      <c r="M47" s="7">
        <f t="shared" si="3"/>
        <v>0</v>
      </c>
      <c r="N47" s="7">
        <f t="shared" si="4"/>
        <v>4243.9399999999996</v>
      </c>
      <c r="O47" s="7" t="str">
        <f t="shared" si="5"/>
        <v>HDFC 5930</v>
      </c>
    </row>
    <row r="48" spans="1:15" x14ac:dyDescent="0.25">
      <c r="A48" s="1">
        <v>45033</v>
      </c>
      <c r="B48" t="s">
        <v>485</v>
      </c>
      <c r="C48" s="1">
        <v>45033</v>
      </c>
      <c r="D48" s="2">
        <v>2000</v>
      </c>
      <c r="E48" s="2">
        <v>0</v>
      </c>
      <c r="F48" s="2">
        <v>2243.94</v>
      </c>
      <c r="G48" t="s">
        <v>719</v>
      </c>
      <c r="H48" s="7">
        <f t="shared" si="6"/>
        <v>0</v>
      </c>
      <c r="I48" s="1">
        <f t="shared" si="0"/>
        <v>45033</v>
      </c>
      <c r="J48" s="1" t="str">
        <f t="shared" si="1"/>
        <v>ACH D- TP ACH INVESTOCAFE-1121518336</v>
      </c>
      <c r="L48" s="7">
        <f t="shared" si="2"/>
        <v>2000</v>
      </c>
      <c r="M48" s="7">
        <f t="shared" si="3"/>
        <v>0</v>
      </c>
      <c r="N48" s="7">
        <f t="shared" si="4"/>
        <v>2243.94</v>
      </c>
      <c r="O48" s="7" t="str">
        <f t="shared" si="5"/>
        <v>HDFC 5930</v>
      </c>
    </row>
    <row r="49" spans="1:15" x14ac:dyDescent="0.25">
      <c r="A49" s="1">
        <v>45033</v>
      </c>
      <c r="B49" t="s">
        <v>472</v>
      </c>
      <c r="C49" s="1">
        <v>45033</v>
      </c>
      <c r="D49" s="2">
        <v>1115</v>
      </c>
      <c r="E49" s="2">
        <v>0</v>
      </c>
      <c r="F49" s="2">
        <v>1128.94</v>
      </c>
      <c r="G49" t="s">
        <v>719</v>
      </c>
      <c r="H49" s="7">
        <f t="shared" si="6"/>
        <v>0</v>
      </c>
      <c r="I49" s="1">
        <f t="shared" si="0"/>
        <v>45033</v>
      </c>
      <c r="J49" s="1" t="str">
        <f t="shared" si="1"/>
        <v>NET PI TO HSL SEC A/C 347707-00602340029392</v>
      </c>
      <c r="L49" s="7">
        <f t="shared" si="2"/>
        <v>1115</v>
      </c>
      <c r="M49" s="7">
        <f t="shared" si="3"/>
        <v>0</v>
      </c>
      <c r="N49" s="7">
        <f t="shared" si="4"/>
        <v>1128.94</v>
      </c>
      <c r="O49" s="7" t="str">
        <f t="shared" si="5"/>
        <v>HDFC 5930</v>
      </c>
    </row>
    <row r="50" spans="1:15" x14ac:dyDescent="0.25">
      <c r="A50" s="1">
        <v>45034</v>
      </c>
      <c r="B50" t="s">
        <v>472</v>
      </c>
      <c r="C50" s="1">
        <v>45034</v>
      </c>
      <c r="D50" s="2">
        <v>774.94</v>
      </c>
      <c r="E50" s="2">
        <v>0</v>
      </c>
      <c r="F50" s="2">
        <v>354</v>
      </c>
      <c r="G50" t="s">
        <v>719</v>
      </c>
      <c r="H50" s="7">
        <f t="shared" si="6"/>
        <v>0</v>
      </c>
      <c r="I50" s="1">
        <f t="shared" si="0"/>
        <v>45034</v>
      </c>
      <c r="J50" s="1" t="str">
        <f t="shared" si="1"/>
        <v>NET PI TO HSL SEC A/C 347707-00602340029392</v>
      </c>
      <c r="L50" s="7">
        <f t="shared" si="2"/>
        <v>774.94</v>
      </c>
      <c r="M50" s="7">
        <f t="shared" si="3"/>
        <v>0</v>
      </c>
      <c r="N50" s="7">
        <f t="shared" si="4"/>
        <v>354</v>
      </c>
      <c r="O50" s="7" t="str">
        <f t="shared" si="5"/>
        <v>HDFC 5930</v>
      </c>
    </row>
    <row r="51" spans="1:15" x14ac:dyDescent="0.25">
      <c r="A51" s="1">
        <v>45034</v>
      </c>
      <c r="B51" t="s">
        <v>473</v>
      </c>
      <c r="C51" s="1">
        <v>45033</v>
      </c>
      <c r="D51" s="2">
        <v>0</v>
      </c>
      <c r="E51" s="2">
        <v>9335.99</v>
      </c>
      <c r="F51" s="2">
        <v>9689.99</v>
      </c>
      <c r="G51" t="s">
        <v>719</v>
      </c>
      <c r="H51" s="7">
        <f t="shared" si="6"/>
        <v>0</v>
      </c>
      <c r="I51" s="1">
        <f t="shared" si="0"/>
        <v>45034</v>
      </c>
      <c r="J51" s="1" t="str">
        <f t="shared" si="1"/>
        <v>NET PO FROM HSL A/C 347707-00602340029392</v>
      </c>
      <c r="L51" s="7">
        <f t="shared" si="2"/>
        <v>0</v>
      </c>
      <c r="M51" s="7">
        <f t="shared" si="3"/>
        <v>9335.99</v>
      </c>
      <c r="N51" s="7">
        <f t="shared" si="4"/>
        <v>9689.99</v>
      </c>
      <c r="O51" s="7" t="str">
        <f t="shared" si="5"/>
        <v>HDFC 5930</v>
      </c>
    </row>
    <row r="52" spans="1:15" x14ac:dyDescent="0.25">
      <c r="A52" s="1">
        <v>45034</v>
      </c>
      <c r="B52" t="s">
        <v>486</v>
      </c>
      <c r="C52" s="1">
        <v>45034</v>
      </c>
      <c r="D52" s="2">
        <v>0</v>
      </c>
      <c r="E52" s="2">
        <v>25000</v>
      </c>
      <c r="F52" s="2">
        <v>34689.99</v>
      </c>
      <c r="G52" t="s">
        <v>719</v>
      </c>
      <c r="H52" s="7">
        <f t="shared" si="6"/>
        <v>0</v>
      </c>
      <c r="I52" s="1">
        <f t="shared" si="0"/>
        <v>45034</v>
      </c>
      <c r="J52" s="1" t="str">
        <f t="shared" si="1"/>
        <v>50100128155413-TPT-MONEY RETURNED TO AAYUSH-AAYUSH KUMAR GUPTA</v>
      </c>
      <c r="L52" s="7">
        <f t="shared" si="2"/>
        <v>0</v>
      </c>
      <c r="M52" s="7">
        <f t="shared" si="3"/>
        <v>25000</v>
      </c>
      <c r="N52" s="7">
        <f t="shared" si="4"/>
        <v>34689.99</v>
      </c>
      <c r="O52" s="7" t="str">
        <f t="shared" si="5"/>
        <v>HDFC 5930</v>
      </c>
    </row>
    <row r="53" spans="1:15" x14ac:dyDescent="0.25">
      <c r="A53" s="1">
        <v>45034</v>
      </c>
      <c r="B53" t="s">
        <v>472</v>
      </c>
      <c r="C53" s="1">
        <v>45034</v>
      </c>
      <c r="D53" s="2">
        <v>322.54000000000002</v>
      </c>
      <c r="E53" s="2">
        <v>0</v>
      </c>
      <c r="F53" s="2">
        <v>34367.449999999997</v>
      </c>
      <c r="G53" t="s">
        <v>719</v>
      </c>
      <c r="H53" s="7">
        <f t="shared" si="6"/>
        <v>0</v>
      </c>
      <c r="I53" s="1">
        <f t="shared" si="0"/>
        <v>45034</v>
      </c>
      <c r="J53" s="1" t="str">
        <f t="shared" si="1"/>
        <v>NET PI TO HSL SEC A/C 347707-00602340029392</v>
      </c>
      <c r="L53" s="7">
        <f t="shared" si="2"/>
        <v>322.54000000000002</v>
      </c>
      <c r="M53" s="7">
        <f t="shared" si="3"/>
        <v>0</v>
      </c>
      <c r="N53" s="7">
        <f t="shared" si="4"/>
        <v>34367.449999999997</v>
      </c>
      <c r="O53" s="7" t="str">
        <f t="shared" si="5"/>
        <v>HDFC 5930</v>
      </c>
    </row>
    <row r="54" spans="1:15" x14ac:dyDescent="0.25">
      <c r="A54" s="1">
        <v>45034</v>
      </c>
      <c r="B54" t="s">
        <v>473</v>
      </c>
      <c r="C54" s="1">
        <v>45034</v>
      </c>
      <c r="D54" s="2">
        <v>0</v>
      </c>
      <c r="E54" s="2">
        <v>2480.71</v>
      </c>
      <c r="F54" s="2">
        <v>36848.160000000003</v>
      </c>
      <c r="G54" t="s">
        <v>719</v>
      </c>
      <c r="H54" s="7">
        <f t="shared" si="6"/>
        <v>0</v>
      </c>
      <c r="I54" s="1">
        <f t="shared" si="0"/>
        <v>45034</v>
      </c>
      <c r="J54" s="1" t="str">
        <f t="shared" si="1"/>
        <v>NET PO FROM HSL A/C 347707-00602340029392</v>
      </c>
      <c r="L54" s="7">
        <f t="shared" si="2"/>
        <v>0</v>
      </c>
      <c r="M54" s="7">
        <f t="shared" si="3"/>
        <v>2480.71</v>
      </c>
      <c r="N54" s="7">
        <f t="shared" si="4"/>
        <v>36848.160000000003</v>
      </c>
      <c r="O54" s="7" t="str">
        <f t="shared" si="5"/>
        <v>HDFC 5930</v>
      </c>
    </row>
    <row r="55" spans="1:15" x14ac:dyDescent="0.25">
      <c r="A55" s="1">
        <v>45035</v>
      </c>
      <c r="B55" t="s">
        <v>473</v>
      </c>
      <c r="C55" s="1">
        <v>45035</v>
      </c>
      <c r="D55" s="2">
        <v>0</v>
      </c>
      <c r="E55" s="2">
        <v>13964.24</v>
      </c>
      <c r="F55" s="2">
        <v>50812.4</v>
      </c>
      <c r="G55" t="s">
        <v>719</v>
      </c>
      <c r="H55" s="7">
        <f t="shared" si="6"/>
        <v>0</v>
      </c>
      <c r="I55" s="1">
        <f t="shared" si="0"/>
        <v>45035</v>
      </c>
      <c r="J55" s="1" t="str">
        <f t="shared" si="1"/>
        <v>NET PO FROM HSL A/C 347707-00602340029392</v>
      </c>
      <c r="L55" s="7">
        <f t="shared" si="2"/>
        <v>0</v>
      </c>
      <c r="M55" s="7">
        <f t="shared" si="3"/>
        <v>13964.24</v>
      </c>
      <c r="N55" s="7">
        <f t="shared" si="4"/>
        <v>50812.4</v>
      </c>
      <c r="O55" s="7" t="str">
        <f t="shared" si="5"/>
        <v>HDFC 5930</v>
      </c>
    </row>
    <row r="56" spans="1:15" x14ac:dyDescent="0.25">
      <c r="A56" s="1">
        <v>45035</v>
      </c>
      <c r="B56" t="s">
        <v>472</v>
      </c>
      <c r="C56" s="1">
        <v>45035</v>
      </c>
      <c r="D56" s="2">
        <v>317.08</v>
      </c>
      <c r="E56" s="2">
        <v>0</v>
      </c>
      <c r="F56" s="2">
        <v>50495.32</v>
      </c>
      <c r="G56" t="s">
        <v>719</v>
      </c>
      <c r="H56" s="7">
        <f t="shared" si="6"/>
        <v>0</v>
      </c>
      <c r="I56" s="1">
        <f t="shared" si="0"/>
        <v>45035</v>
      </c>
      <c r="J56" s="1" t="str">
        <f t="shared" si="1"/>
        <v>NET PI TO HSL SEC A/C 347707-00602340029392</v>
      </c>
      <c r="L56" s="7">
        <f t="shared" si="2"/>
        <v>317.08</v>
      </c>
      <c r="M56" s="7">
        <f t="shared" si="3"/>
        <v>0</v>
      </c>
      <c r="N56" s="7">
        <f t="shared" si="4"/>
        <v>50495.32</v>
      </c>
      <c r="O56" s="7" t="str">
        <f t="shared" si="5"/>
        <v>HDFC 5930</v>
      </c>
    </row>
    <row r="57" spans="1:15" x14ac:dyDescent="0.25">
      <c r="A57" s="1">
        <v>45035</v>
      </c>
      <c r="B57" t="s">
        <v>472</v>
      </c>
      <c r="C57" s="1">
        <v>45035</v>
      </c>
      <c r="D57" s="2">
        <v>2092.4</v>
      </c>
      <c r="E57" s="2">
        <v>0</v>
      </c>
      <c r="F57" s="2">
        <v>48402.92</v>
      </c>
      <c r="G57" t="s">
        <v>719</v>
      </c>
      <c r="H57" s="7">
        <f t="shared" si="6"/>
        <v>0</v>
      </c>
      <c r="I57" s="1">
        <f t="shared" si="0"/>
        <v>45035</v>
      </c>
      <c r="J57" s="1" t="str">
        <f t="shared" si="1"/>
        <v>NET PI TO HSL SEC A/C 347707-00602340029392</v>
      </c>
      <c r="L57" s="7">
        <f t="shared" si="2"/>
        <v>2092.4</v>
      </c>
      <c r="M57" s="7">
        <f t="shared" si="3"/>
        <v>0</v>
      </c>
      <c r="N57" s="7">
        <f t="shared" si="4"/>
        <v>48402.92</v>
      </c>
      <c r="O57" s="7" t="str">
        <f t="shared" si="5"/>
        <v>HDFC 5930</v>
      </c>
    </row>
    <row r="58" spans="1:15" x14ac:dyDescent="0.25">
      <c r="A58" s="1">
        <v>45036</v>
      </c>
      <c r="B58" t="s">
        <v>473</v>
      </c>
      <c r="C58" s="1">
        <v>45036</v>
      </c>
      <c r="D58" s="2">
        <v>0</v>
      </c>
      <c r="E58" s="2">
        <v>7676.51</v>
      </c>
      <c r="F58" s="2">
        <v>56079.43</v>
      </c>
      <c r="G58" t="s">
        <v>719</v>
      </c>
      <c r="H58" s="7">
        <f t="shared" si="6"/>
        <v>0</v>
      </c>
      <c r="I58" s="1">
        <f t="shared" si="0"/>
        <v>45036</v>
      </c>
      <c r="J58" s="1" t="str">
        <f t="shared" si="1"/>
        <v>NET PO FROM HSL A/C 347707-00602340029392</v>
      </c>
      <c r="L58" s="7">
        <f t="shared" si="2"/>
        <v>0</v>
      </c>
      <c r="M58" s="7">
        <f t="shared" si="3"/>
        <v>7676.51</v>
      </c>
      <c r="N58" s="7">
        <f t="shared" si="4"/>
        <v>56079.43</v>
      </c>
      <c r="O58" s="7" t="str">
        <f t="shared" si="5"/>
        <v>HDFC 5930</v>
      </c>
    </row>
    <row r="59" spans="1:15" x14ac:dyDescent="0.25">
      <c r="A59" s="1">
        <v>45036</v>
      </c>
      <c r="B59" t="s">
        <v>472</v>
      </c>
      <c r="C59" s="1">
        <v>45036</v>
      </c>
      <c r="D59" s="2">
        <v>316.05</v>
      </c>
      <c r="E59" s="2">
        <v>0</v>
      </c>
      <c r="F59" s="2">
        <v>55763.38</v>
      </c>
      <c r="G59" t="s">
        <v>719</v>
      </c>
      <c r="H59" s="7">
        <f t="shared" si="6"/>
        <v>0</v>
      </c>
      <c r="I59" s="1">
        <f t="shared" si="0"/>
        <v>45036</v>
      </c>
      <c r="J59" s="1" t="str">
        <f t="shared" si="1"/>
        <v>NET PI TO HSL SEC A/C 347707-00602340029392</v>
      </c>
      <c r="L59" s="7">
        <f t="shared" si="2"/>
        <v>316.05</v>
      </c>
      <c r="M59" s="7">
        <f t="shared" si="3"/>
        <v>0</v>
      </c>
      <c r="N59" s="7">
        <f t="shared" si="4"/>
        <v>55763.38</v>
      </c>
      <c r="O59" s="7" t="str">
        <f t="shared" si="5"/>
        <v>HDFC 5930</v>
      </c>
    </row>
    <row r="60" spans="1:15" x14ac:dyDescent="0.25">
      <c r="A60" s="1">
        <v>45036</v>
      </c>
      <c r="B60" t="s">
        <v>472</v>
      </c>
      <c r="C60" s="1">
        <v>45036</v>
      </c>
      <c r="D60" s="2">
        <v>3812.7</v>
      </c>
      <c r="E60" s="2">
        <v>0</v>
      </c>
      <c r="F60" s="2">
        <v>51950.68</v>
      </c>
      <c r="G60" t="s">
        <v>719</v>
      </c>
      <c r="H60" s="7">
        <f t="shared" si="6"/>
        <v>0</v>
      </c>
      <c r="I60" s="1">
        <f t="shared" si="0"/>
        <v>45036</v>
      </c>
      <c r="J60" s="1" t="str">
        <f t="shared" si="1"/>
        <v>NET PI TO HSL SEC A/C 347707-00602340029392</v>
      </c>
      <c r="L60" s="7">
        <f t="shared" si="2"/>
        <v>3812.7</v>
      </c>
      <c r="M60" s="7">
        <f t="shared" si="3"/>
        <v>0</v>
      </c>
      <c r="N60" s="7">
        <f t="shared" si="4"/>
        <v>51950.68</v>
      </c>
      <c r="O60" s="7" t="str">
        <f t="shared" si="5"/>
        <v>HDFC 5930</v>
      </c>
    </row>
    <row r="61" spans="1:15" x14ac:dyDescent="0.25">
      <c r="A61" s="1">
        <v>45036</v>
      </c>
      <c r="B61" t="s">
        <v>473</v>
      </c>
      <c r="C61" s="1">
        <v>45036</v>
      </c>
      <c r="D61" s="2">
        <v>0</v>
      </c>
      <c r="E61" s="2">
        <v>65.680000000000007</v>
      </c>
      <c r="F61" s="2">
        <v>52016.36</v>
      </c>
      <c r="G61" t="s">
        <v>719</v>
      </c>
      <c r="H61" s="7">
        <f t="shared" si="6"/>
        <v>0</v>
      </c>
      <c r="I61" s="1">
        <f t="shared" si="0"/>
        <v>45036</v>
      </c>
      <c r="J61" s="1" t="str">
        <f t="shared" si="1"/>
        <v>NET PO FROM HSL A/C 347707-00602340029392</v>
      </c>
      <c r="L61" s="7">
        <f t="shared" si="2"/>
        <v>0</v>
      </c>
      <c r="M61" s="7">
        <f t="shared" si="3"/>
        <v>65.680000000000007</v>
      </c>
      <c r="N61" s="7">
        <f t="shared" si="4"/>
        <v>52016.36</v>
      </c>
      <c r="O61" s="7" t="str">
        <f t="shared" si="5"/>
        <v>HDFC 5930</v>
      </c>
    </row>
    <row r="62" spans="1:15" x14ac:dyDescent="0.25">
      <c r="A62" s="1">
        <v>45037</v>
      </c>
      <c r="B62" t="s">
        <v>480</v>
      </c>
      <c r="C62" s="1">
        <v>45037</v>
      </c>
      <c r="D62" s="2">
        <v>3000</v>
      </c>
      <c r="E62" s="2">
        <v>0</v>
      </c>
      <c r="F62" s="2">
        <v>49016.36</v>
      </c>
      <c r="G62" t="s">
        <v>719</v>
      </c>
      <c r="H62" s="7">
        <f t="shared" si="6"/>
        <v>0</v>
      </c>
      <c r="I62" s="1">
        <f t="shared" si="0"/>
        <v>45037</v>
      </c>
      <c r="J62" s="1" t="str">
        <f t="shared" si="1"/>
        <v>NET PAYIN TO BSE MF A/C -57500000389146- FROM A/C -01671000085930- UCC -347707-57500000389146</v>
      </c>
      <c r="L62" s="7">
        <f t="shared" si="2"/>
        <v>3000</v>
      </c>
      <c r="M62" s="7">
        <f t="shared" si="3"/>
        <v>0</v>
      </c>
      <c r="N62" s="7">
        <f t="shared" si="4"/>
        <v>49016.36</v>
      </c>
      <c r="O62" s="7" t="str">
        <f t="shared" si="5"/>
        <v>HDFC 5930</v>
      </c>
    </row>
    <row r="63" spans="1:15" x14ac:dyDescent="0.25">
      <c r="A63" s="1">
        <v>45037</v>
      </c>
      <c r="B63" t="s">
        <v>487</v>
      </c>
      <c r="C63" s="1">
        <v>45037</v>
      </c>
      <c r="D63" s="2">
        <v>2000</v>
      </c>
      <c r="E63" s="2">
        <v>0</v>
      </c>
      <c r="F63" s="2">
        <v>47016.36</v>
      </c>
      <c r="G63" t="s">
        <v>719</v>
      </c>
      <c r="H63" s="7">
        <f t="shared" si="6"/>
        <v>0</v>
      </c>
      <c r="I63" s="1">
        <f t="shared" si="0"/>
        <v>45037</v>
      </c>
      <c r="J63" s="1" t="str">
        <f t="shared" si="1"/>
        <v>ACH D- TP ACH INVESTOCAFE-1122935617</v>
      </c>
      <c r="L63" s="7">
        <f t="shared" si="2"/>
        <v>2000</v>
      </c>
      <c r="M63" s="7">
        <f t="shared" si="3"/>
        <v>0</v>
      </c>
      <c r="N63" s="7">
        <f t="shared" si="4"/>
        <v>47016.36</v>
      </c>
      <c r="O63" s="7" t="str">
        <f t="shared" si="5"/>
        <v>HDFC 5930</v>
      </c>
    </row>
    <row r="64" spans="1:15" x14ac:dyDescent="0.25">
      <c r="A64" s="1">
        <v>45037</v>
      </c>
      <c r="B64" t="s">
        <v>488</v>
      </c>
      <c r="C64" s="1">
        <v>45037</v>
      </c>
      <c r="D64" s="2">
        <v>2500</v>
      </c>
      <c r="E64" s="2">
        <v>0</v>
      </c>
      <c r="F64" s="2">
        <v>44516.36</v>
      </c>
      <c r="G64" t="s">
        <v>719</v>
      </c>
      <c r="H64" s="7">
        <f t="shared" si="6"/>
        <v>0</v>
      </c>
      <c r="I64" s="1">
        <f t="shared" si="0"/>
        <v>45037</v>
      </c>
      <c r="J64" s="1" t="str">
        <f t="shared" si="1"/>
        <v>ACH D- TP ACH INVESTOCAFE-1122935618</v>
      </c>
      <c r="L64" s="7">
        <f t="shared" si="2"/>
        <v>2500</v>
      </c>
      <c r="M64" s="7">
        <f t="shared" si="3"/>
        <v>0</v>
      </c>
      <c r="N64" s="7">
        <f t="shared" si="4"/>
        <v>44516.36</v>
      </c>
      <c r="O64" s="7" t="str">
        <f t="shared" si="5"/>
        <v>HDFC 5930</v>
      </c>
    </row>
    <row r="65" spans="1:15" x14ac:dyDescent="0.25">
      <c r="A65" s="1">
        <v>45037</v>
      </c>
      <c r="B65" t="s">
        <v>472</v>
      </c>
      <c r="C65" s="1">
        <v>45037</v>
      </c>
      <c r="D65" s="2">
        <v>314.17</v>
      </c>
      <c r="E65" s="2">
        <v>0</v>
      </c>
      <c r="F65" s="2">
        <v>44202.19</v>
      </c>
      <c r="G65" t="s">
        <v>719</v>
      </c>
      <c r="H65" s="7">
        <f t="shared" si="6"/>
        <v>0</v>
      </c>
      <c r="I65" s="1">
        <f t="shared" si="0"/>
        <v>45037</v>
      </c>
      <c r="J65" s="1" t="str">
        <f t="shared" si="1"/>
        <v>NET PI TO HSL SEC A/C 347707-00602340029392</v>
      </c>
      <c r="L65" s="7">
        <f t="shared" si="2"/>
        <v>314.17</v>
      </c>
      <c r="M65" s="7">
        <f t="shared" si="3"/>
        <v>0</v>
      </c>
      <c r="N65" s="7">
        <f t="shared" si="4"/>
        <v>44202.19</v>
      </c>
      <c r="O65" s="7" t="str">
        <f t="shared" si="5"/>
        <v>HDFC 5930</v>
      </c>
    </row>
    <row r="66" spans="1:15" x14ac:dyDescent="0.25">
      <c r="A66" s="1">
        <v>45037</v>
      </c>
      <c r="B66" t="s">
        <v>472</v>
      </c>
      <c r="C66" s="1">
        <v>45037</v>
      </c>
      <c r="D66" s="2">
        <v>11742.09</v>
      </c>
      <c r="E66" s="2">
        <v>0</v>
      </c>
      <c r="F66" s="2">
        <v>32460.1</v>
      </c>
      <c r="G66" t="s">
        <v>719</v>
      </c>
      <c r="H66" s="7">
        <f t="shared" si="6"/>
        <v>0</v>
      </c>
      <c r="I66" s="1">
        <f t="shared" si="0"/>
        <v>45037</v>
      </c>
      <c r="J66" s="1" t="str">
        <f t="shared" si="1"/>
        <v>NET PI TO HSL SEC A/C 347707-00602340029392</v>
      </c>
      <c r="L66" s="7">
        <f t="shared" si="2"/>
        <v>11742.09</v>
      </c>
      <c r="M66" s="7">
        <f t="shared" si="3"/>
        <v>0</v>
      </c>
      <c r="N66" s="7">
        <f t="shared" si="4"/>
        <v>32460.1</v>
      </c>
      <c r="O66" s="7" t="str">
        <f t="shared" si="5"/>
        <v>HDFC 5930</v>
      </c>
    </row>
    <row r="67" spans="1:15" x14ac:dyDescent="0.25">
      <c r="A67" s="1">
        <v>45037</v>
      </c>
      <c r="B67" t="s">
        <v>473</v>
      </c>
      <c r="C67" s="1">
        <v>45037</v>
      </c>
      <c r="D67" s="2">
        <v>0</v>
      </c>
      <c r="E67" s="2">
        <v>8132.17</v>
      </c>
      <c r="F67" s="2">
        <v>40592.269999999997</v>
      </c>
      <c r="G67" t="s">
        <v>719</v>
      </c>
      <c r="H67" s="7">
        <f t="shared" si="6"/>
        <v>0</v>
      </c>
      <c r="I67" s="1">
        <f t="shared" si="0"/>
        <v>45037</v>
      </c>
      <c r="J67" s="1" t="str">
        <f t="shared" si="1"/>
        <v>NET PO FROM HSL A/C 347707-00602340029392</v>
      </c>
      <c r="L67" s="7">
        <f t="shared" si="2"/>
        <v>0</v>
      </c>
      <c r="M67" s="7">
        <f t="shared" si="3"/>
        <v>8132.17</v>
      </c>
      <c r="N67" s="7">
        <f t="shared" si="4"/>
        <v>40592.269999999997</v>
      </c>
      <c r="O67" s="7" t="str">
        <f t="shared" si="5"/>
        <v>HDFC 5930</v>
      </c>
    </row>
    <row r="68" spans="1:15" x14ac:dyDescent="0.25">
      <c r="A68" s="1">
        <v>45040</v>
      </c>
      <c r="B68" t="s">
        <v>489</v>
      </c>
      <c r="C68" s="1">
        <v>45040</v>
      </c>
      <c r="D68" s="2">
        <v>5000</v>
      </c>
      <c r="E68" s="2">
        <v>0</v>
      </c>
      <c r="F68" s="2">
        <v>35592.269999999997</v>
      </c>
      <c r="G68" t="s">
        <v>719</v>
      </c>
      <c r="H68" s="7">
        <f t="shared" si="6"/>
        <v>0</v>
      </c>
      <c r="I68" s="1">
        <f t="shared" si="0"/>
        <v>45040</v>
      </c>
      <c r="J68" s="1" t="str">
        <f t="shared" si="1"/>
        <v>UPI-SUNITA GUPTA-AJAYGUPTANEL1@YBL-HDFC0000167-348023861893-TRANSFER FROM AKG</v>
      </c>
      <c r="L68" s="7">
        <f t="shared" si="2"/>
        <v>5000</v>
      </c>
      <c r="M68" s="7">
        <f t="shared" si="3"/>
        <v>0</v>
      </c>
      <c r="N68" s="7">
        <f t="shared" si="4"/>
        <v>35592.269999999997</v>
      </c>
      <c r="O68" s="7" t="str">
        <f t="shared" si="5"/>
        <v>HDFC 5930</v>
      </c>
    </row>
    <row r="69" spans="1:15" x14ac:dyDescent="0.25">
      <c r="A69" s="1">
        <v>45040</v>
      </c>
      <c r="B69" t="s">
        <v>472</v>
      </c>
      <c r="C69" s="1">
        <v>45040</v>
      </c>
      <c r="D69" s="2">
        <v>925.14</v>
      </c>
      <c r="E69" s="2">
        <v>0</v>
      </c>
      <c r="F69" s="2">
        <v>34667.129999999997</v>
      </c>
      <c r="G69" t="s">
        <v>719</v>
      </c>
      <c r="H69" s="7">
        <f t="shared" si="6"/>
        <v>0</v>
      </c>
      <c r="I69" s="1">
        <f t="shared" si="0"/>
        <v>45040</v>
      </c>
      <c r="J69" s="1" t="str">
        <f t="shared" si="1"/>
        <v>NET PI TO HSL SEC A/C 347707-00602340029392</v>
      </c>
      <c r="L69" s="7">
        <f t="shared" si="2"/>
        <v>925.14</v>
      </c>
      <c r="M69" s="7">
        <f t="shared" si="3"/>
        <v>0</v>
      </c>
      <c r="N69" s="7">
        <f t="shared" si="4"/>
        <v>34667.129999999997</v>
      </c>
      <c r="O69" s="7" t="str">
        <f t="shared" si="5"/>
        <v>HDFC 5930</v>
      </c>
    </row>
    <row r="70" spans="1:15" x14ac:dyDescent="0.25">
      <c r="A70" s="1">
        <v>45040</v>
      </c>
      <c r="B70" t="s">
        <v>472</v>
      </c>
      <c r="C70" s="1">
        <v>45040</v>
      </c>
      <c r="D70" s="2">
        <v>244.28</v>
      </c>
      <c r="E70" s="2">
        <v>0</v>
      </c>
      <c r="F70" s="2">
        <v>34422.85</v>
      </c>
      <c r="G70" t="s">
        <v>719</v>
      </c>
      <c r="H70" s="7">
        <f t="shared" si="6"/>
        <v>0</v>
      </c>
      <c r="I70" s="1">
        <f t="shared" si="0"/>
        <v>45040</v>
      </c>
      <c r="J70" s="1" t="str">
        <f t="shared" si="1"/>
        <v>NET PI TO HSL SEC A/C 347707-00602340029392</v>
      </c>
      <c r="L70" s="7">
        <f t="shared" si="2"/>
        <v>244.28</v>
      </c>
      <c r="M70" s="7">
        <f t="shared" si="3"/>
        <v>0</v>
      </c>
      <c r="N70" s="7">
        <f t="shared" si="4"/>
        <v>34422.85</v>
      </c>
      <c r="O70" s="7" t="str">
        <f t="shared" si="5"/>
        <v>HDFC 5930</v>
      </c>
    </row>
    <row r="71" spans="1:15" x14ac:dyDescent="0.25">
      <c r="A71" s="1">
        <v>45040</v>
      </c>
      <c r="B71" t="s">
        <v>473</v>
      </c>
      <c r="C71" s="1">
        <v>45040</v>
      </c>
      <c r="D71" s="2">
        <v>0</v>
      </c>
      <c r="E71" s="2">
        <v>6888.24</v>
      </c>
      <c r="F71" s="2">
        <v>41311.089999999997</v>
      </c>
      <c r="G71" t="s">
        <v>719</v>
      </c>
      <c r="H71" s="7">
        <f t="shared" si="6"/>
        <v>0</v>
      </c>
      <c r="I71" s="1">
        <f t="shared" si="0"/>
        <v>45040</v>
      </c>
      <c r="J71" s="1" t="str">
        <f t="shared" si="1"/>
        <v>NET PO FROM HSL A/C 347707-00602340029392</v>
      </c>
      <c r="L71" s="7">
        <f t="shared" si="2"/>
        <v>0</v>
      </c>
      <c r="M71" s="7">
        <f t="shared" si="3"/>
        <v>6888.24</v>
      </c>
      <c r="N71" s="7">
        <f t="shared" si="4"/>
        <v>41311.089999999997</v>
      </c>
      <c r="O71" s="7" t="str">
        <f t="shared" si="5"/>
        <v>HDFC 5930</v>
      </c>
    </row>
    <row r="72" spans="1:15" x14ac:dyDescent="0.25">
      <c r="A72" s="1">
        <v>45041</v>
      </c>
      <c r="B72" t="s">
        <v>490</v>
      </c>
      <c r="C72" s="1">
        <v>45041</v>
      </c>
      <c r="D72" s="2">
        <v>3000</v>
      </c>
      <c r="E72" s="2">
        <v>0</v>
      </c>
      <c r="F72" s="2">
        <v>38311.089999999997</v>
      </c>
      <c r="G72" t="s">
        <v>719</v>
      </c>
      <c r="H72" s="7">
        <f t="shared" si="6"/>
        <v>0</v>
      </c>
      <c r="I72" s="1">
        <f t="shared" si="0"/>
        <v>45041</v>
      </c>
      <c r="J72" s="1" t="str">
        <f t="shared" si="1"/>
        <v>O/MF-ICICI PRU MF -PSIG    -000000101236</v>
      </c>
      <c r="L72" s="7">
        <f t="shared" si="2"/>
        <v>3000</v>
      </c>
      <c r="M72" s="7">
        <f t="shared" si="3"/>
        <v>0</v>
      </c>
      <c r="N72" s="7">
        <f t="shared" si="4"/>
        <v>38311.089999999997</v>
      </c>
      <c r="O72" s="7" t="str">
        <f t="shared" si="5"/>
        <v>HDFC 5930</v>
      </c>
    </row>
    <row r="73" spans="1:15" x14ac:dyDescent="0.25">
      <c r="A73" s="1">
        <v>45041</v>
      </c>
      <c r="B73" t="s">
        <v>473</v>
      </c>
      <c r="C73" s="1">
        <v>45041</v>
      </c>
      <c r="D73" s="2">
        <v>0</v>
      </c>
      <c r="E73" s="2">
        <v>3690.26</v>
      </c>
      <c r="F73" s="2">
        <v>42001.35</v>
      </c>
      <c r="G73" t="s">
        <v>719</v>
      </c>
      <c r="H73" s="7">
        <f t="shared" si="6"/>
        <v>0</v>
      </c>
      <c r="I73" s="1">
        <f t="shared" si="0"/>
        <v>45041</v>
      </c>
      <c r="J73" s="1" t="str">
        <f t="shared" si="1"/>
        <v>NET PO FROM HSL A/C 347707-00602340029392</v>
      </c>
      <c r="L73" s="7">
        <f t="shared" si="2"/>
        <v>0</v>
      </c>
      <c r="M73" s="7">
        <f t="shared" si="3"/>
        <v>3690.26</v>
      </c>
      <c r="N73" s="7">
        <f t="shared" si="4"/>
        <v>42001.35</v>
      </c>
      <c r="O73" s="7" t="str">
        <f t="shared" si="5"/>
        <v>HDFC 5930</v>
      </c>
    </row>
    <row r="74" spans="1:15" x14ac:dyDescent="0.25">
      <c r="A74" s="1">
        <v>45041</v>
      </c>
      <c r="B74" t="s">
        <v>473</v>
      </c>
      <c r="C74" s="1">
        <v>45041</v>
      </c>
      <c r="D74" s="2">
        <v>0</v>
      </c>
      <c r="E74" s="2">
        <v>7612.22</v>
      </c>
      <c r="F74" s="2">
        <v>49613.57</v>
      </c>
      <c r="G74" t="s">
        <v>719</v>
      </c>
      <c r="H74" s="7">
        <f t="shared" si="6"/>
        <v>0</v>
      </c>
      <c r="I74" s="1">
        <f t="shared" si="0"/>
        <v>45041</v>
      </c>
      <c r="J74" s="1" t="str">
        <f t="shared" si="1"/>
        <v>NET PO FROM HSL A/C 347707-00602340029392</v>
      </c>
      <c r="L74" s="7">
        <f t="shared" si="2"/>
        <v>0</v>
      </c>
      <c r="M74" s="7">
        <f t="shared" si="3"/>
        <v>7612.22</v>
      </c>
      <c r="N74" s="7">
        <f t="shared" si="4"/>
        <v>49613.57</v>
      </c>
      <c r="O74" s="7" t="str">
        <f t="shared" si="5"/>
        <v>HDFC 5930</v>
      </c>
    </row>
    <row r="75" spans="1:15" x14ac:dyDescent="0.25">
      <c r="A75" s="1">
        <v>45042</v>
      </c>
      <c r="B75" t="s">
        <v>491</v>
      </c>
      <c r="C75" s="1">
        <v>45042</v>
      </c>
      <c r="D75" s="2">
        <v>590</v>
      </c>
      <c r="E75" s="2">
        <v>0</v>
      </c>
      <c r="F75" s="2">
        <v>49023.57</v>
      </c>
      <c r="G75" t="s">
        <v>719</v>
      </c>
      <c r="H75" s="7">
        <f t="shared" si="6"/>
        <v>0</v>
      </c>
      <c r="I75" s="1">
        <f t="shared" si="0"/>
        <v>45042</v>
      </c>
      <c r="J75" s="1" t="str">
        <f t="shared" si="1"/>
        <v>.ACH DEBIT RETURN CHARGES 010323 010323-MIR2411185005629</v>
      </c>
      <c r="L75" s="7">
        <f t="shared" si="2"/>
        <v>590</v>
      </c>
      <c r="M75" s="7">
        <f t="shared" si="3"/>
        <v>0</v>
      </c>
      <c r="N75" s="7">
        <f t="shared" si="4"/>
        <v>49023.57</v>
      </c>
      <c r="O75" s="7" t="str">
        <f t="shared" si="5"/>
        <v>HDFC 5930</v>
      </c>
    </row>
    <row r="76" spans="1:15" x14ac:dyDescent="0.25">
      <c r="A76" s="1">
        <v>45042</v>
      </c>
      <c r="B76" t="s">
        <v>492</v>
      </c>
      <c r="C76" s="1">
        <v>45042</v>
      </c>
      <c r="D76" s="2">
        <v>649</v>
      </c>
      <c r="E76" s="2">
        <v>0</v>
      </c>
      <c r="F76" s="2">
        <v>48374.57</v>
      </c>
      <c r="G76" t="s">
        <v>719</v>
      </c>
      <c r="H76" s="7">
        <f t="shared" si="6"/>
        <v>0</v>
      </c>
      <c r="I76" s="1">
        <f t="shared" si="0"/>
        <v>45042</v>
      </c>
      <c r="J76" s="1" t="str">
        <f t="shared" si="1"/>
        <v>.ACH DEBIT RETURN CHARGES 010323 010323-MIR2411184909776</v>
      </c>
      <c r="L76" s="7">
        <f t="shared" si="2"/>
        <v>649</v>
      </c>
      <c r="M76" s="7">
        <f t="shared" si="3"/>
        <v>0</v>
      </c>
      <c r="N76" s="7">
        <f t="shared" si="4"/>
        <v>48374.57</v>
      </c>
      <c r="O76" s="7" t="str">
        <f t="shared" si="5"/>
        <v>HDFC 5930</v>
      </c>
    </row>
    <row r="77" spans="1:15" x14ac:dyDescent="0.25">
      <c r="A77" s="1">
        <v>45042</v>
      </c>
      <c r="B77" t="s">
        <v>493</v>
      </c>
      <c r="C77" s="1">
        <v>45042</v>
      </c>
      <c r="D77" s="2">
        <v>531</v>
      </c>
      <c r="E77" s="2">
        <v>0</v>
      </c>
      <c r="F77" s="2">
        <v>47843.57</v>
      </c>
      <c r="G77" t="s">
        <v>719</v>
      </c>
      <c r="H77" s="7">
        <f t="shared" si="6"/>
        <v>0</v>
      </c>
      <c r="I77" s="1">
        <f t="shared" si="0"/>
        <v>45042</v>
      </c>
      <c r="J77" s="1" t="str">
        <f t="shared" si="1"/>
        <v>.ACH DEBIT RETURN CHARGES 010323 010323-MIR2411184961200</v>
      </c>
      <c r="L77" s="7">
        <f t="shared" si="2"/>
        <v>531</v>
      </c>
      <c r="M77" s="7">
        <f t="shared" si="3"/>
        <v>0</v>
      </c>
      <c r="N77" s="7">
        <f t="shared" si="4"/>
        <v>47843.57</v>
      </c>
      <c r="O77" s="7" t="str">
        <f t="shared" si="5"/>
        <v>HDFC 5930</v>
      </c>
    </row>
    <row r="78" spans="1:15" x14ac:dyDescent="0.25">
      <c r="A78" s="1">
        <v>45042</v>
      </c>
      <c r="B78" t="s">
        <v>472</v>
      </c>
      <c r="C78" s="1">
        <v>45042</v>
      </c>
      <c r="D78" s="2">
        <v>17070.22</v>
      </c>
      <c r="E78" s="2">
        <v>0</v>
      </c>
      <c r="F78" s="2">
        <v>30773.35</v>
      </c>
      <c r="G78" t="s">
        <v>719</v>
      </c>
      <c r="H78" s="7">
        <f t="shared" si="6"/>
        <v>0</v>
      </c>
      <c r="I78" s="1">
        <f t="shared" si="0"/>
        <v>45042</v>
      </c>
      <c r="J78" s="1" t="str">
        <f t="shared" si="1"/>
        <v>NET PI TO HSL SEC A/C 347707-00602340029392</v>
      </c>
      <c r="L78" s="7">
        <f t="shared" si="2"/>
        <v>17070.22</v>
      </c>
      <c r="M78" s="7">
        <f t="shared" si="3"/>
        <v>0</v>
      </c>
      <c r="N78" s="7">
        <f t="shared" si="4"/>
        <v>30773.35</v>
      </c>
      <c r="O78" s="7" t="str">
        <f t="shared" si="5"/>
        <v>HDFC 5930</v>
      </c>
    </row>
    <row r="79" spans="1:15" x14ac:dyDescent="0.25">
      <c r="A79" s="1">
        <v>45043</v>
      </c>
      <c r="B79" t="s">
        <v>472</v>
      </c>
      <c r="C79" s="1">
        <v>45043</v>
      </c>
      <c r="D79" s="2">
        <v>283.68</v>
      </c>
      <c r="E79" s="2">
        <v>0</v>
      </c>
      <c r="F79" s="2">
        <v>30489.67</v>
      </c>
      <c r="G79" t="s">
        <v>719</v>
      </c>
      <c r="H79" s="7">
        <f t="shared" si="6"/>
        <v>0</v>
      </c>
      <c r="I79" s="1">
        <f t="shared" si="0"/>
        <v>45043</v>
      </c>
      <c r="J79" s="1" t="str">
        <f t="shared" si="1"/>
        <v>NET PI TO HSL SEC A/C 347707-00602340029392</v>
      </c>
      <c r="L79" s="7">
        <f t="shared" si="2"/>
        <v>283.68</v>
      </c>
      <c r="M79" s="7">
        <f t="shared" si="3"/>
        <v>0</v>
      </c>
      <c r="N79" s="7">
        <f t="shared" si="4"/>
        <v>30489.67</v>
      </c>
      <c r="O79" s="7" t="str">
        <f t="shared" si="5"/>
        <v>HDFC 5930</v>
      </c>
    </row>
    <row r="80" spans="1:15" x14ac:dyDescent="0.25">
      <c r="A80" s="1">
        <v>45043</v>
      </c>
      <c r="B80" t="s">
        <v>472</v>
      </c>
      <c r="C80" s="1">
        <v>45043</v>
      </c>
      <c r="D80" s="2">
        <v>2823.3</v>
      </c>
      <c r="E80" s="2">
        <v>0</v>
      </c>
      <c r="F80" s="2">
        <v>27666.37</v>
      </c>
      <c r="G80" t="s">
        <v>719</v>
      </c>
      <c r="H80" s="7">
        <f t="shared" si="6"/>
        <v>0</v>
      </c>
      <c r="I80" s="1">
        <f t="shared" si="0"/>
        <v>45043</v>
      </c>
      <c r="J80" s="1" t="str">
        <f t="shared" si="1"/>
        <v>NET PI TO HSL SEC A/C 347707-00602340029392</v>
      </c>
      <c r="L80" s="7">
        <f t="shared" si="2"/>
        <v>2823.3</v>
      </c>
      <c r="M80" s="7">
        <f t="shared" si="3"/>
        <v>0</v>
      </c>
      <c r="N80" s="7">
        <f t="shared" si="4"/>
        <v>27666.37</v>
      </c>
      <c r="O80" s="7" t="str">
        <f t="shared" si="5"/>
        <v>HDFC 5930</v>
      </c>
    </row>
    <row r="81" spans="1:15" x14ac:dyDescent="0.25">
      <c r="A81" s="1">
        <v>45044</v>
      </c>
      <c r="B81" t="s">
        <v>480</v>
      </c>
      <c r="C81" s="1">
        <v>45044</v>
      </c>
      <c r="D81" s="2">
        <v>3000</v>
      </c>
      <c r="E81" s="2">
        <v>0</v>
      </c>
      <c r="F81" s="2">
        <v>24666.37</v>
      </c>
      <c r="G81" t="s">
        <v>719</v>
      </c>
      <c r="H81" s="7">
        <f t="shared" si="6"/>
        <v>0</v>
      </c>
      <c r="I81" s="1">
        <f t="shared" si="0"/>
        <v>45044</v>
      </c>
      <c r="J81" s="1" t="str">
        <f t="shared" si="1"/>
        <v>NET PAYIN TO BSE MF A/C -57500000389146- FROM A/C -01671000085930- UCC -347707-57500000389146</v>
      </c>
      <c r="L81" s="7">
        <f t="shared" si="2"/>
        <v>3000</v>
      </c>
      <c r="M81" s="7">
        <f t="shared" si="3"/>
        <v>0</v>
      </c>
      <c r="N81" s="7">
        <f t="shared" si="4"/>
        <v>24666.37</v>
      </c>
      <c r="O81" s="7" t="str">
        <f t="shared" si="5"/>
        <v>HDFC 5930</v>
      </c>
    </row>
    <row r="82" spans="1:15" x14ac:dyDescent="0.25">
      <c r="A82" s="1">
        <v>45044</v>
      </c>
      <c r="B82" t="s">
        <v>472</v>
      </c>
      <c r="C82" s="1">
        <v>45044</v>
      </c>
      <c r="D82" s="2">
        <v>287.54000000000002</v>
      </c>
      <c r="E82" s="2">
        <v>0</v>
      </c>
      <c r="F82" s="2">
        <v>24378.83</v>
      </c>
      <c r="G82" t="s">
        <v>719</v>
      </c>
      <c r="H82" s="7">
        <f t="shared" si="6"/>
        <v>0</v>
      </c>
      <c r="I82" s="1">
        <f t="shared" ref="I82:I145" si="7">A82</f>
        <v>45044</v>
      </c>
      <c r="J82" s="1" t="str">
        <f t="shared" ref="J82:J145" si="8">B82</f>
        <v>NET PI TO HSL SEC A/C 347707-00602340029392</v>
      </c>
      <c r="L82" s="7">
        <f t="shared" ref="L82:L145" si="9">D82</f>
        <v>287.54000000000002</v>
      </c>
      <c r="M82" s="7">
        <f t="shared" ref="M82:M145" si="10">E82</f>
        <v>0</v>
      </c>
      <c r="N82" s="7">
        <f t="shared" ref="N82:N145" si="11">F82</f>
        <v>24378.83</v>
      </c>
      <c r="O82" s="7" t="str">
        <f t="shared" ref="O82:O145" si="12">G82</f>
        <v>HDFC 5930</v>
      </c>
    </row>
    <row r="83" spans="1:15" x14ac:dyDescent="0.25">
      <c r="A83" s="1">
        <v>45044</v>
      </c>
      <c r="B83" t="s">
        <v>473</v>
      </c>
      <c r="C83" s="1">
        <v>45044</v>
      </c>
      <c r="D83" s="2">
        <v>0</v>
      </c>
      <c r="E83" s="2">
        <v>3516.79</v>
      </c>
      <c r="F83" s="2">
        <v>27895.62</v>
      </c>
      <c r="G83" t="s">
        <v>719</v>
      </c>
      <c r="H83" s="7">
        <f t="shared" ref="H83:H146" si="13">F82-D83+E83-F83</f>
        <v>0</v>
      </c>
      <c r="I83" s="1">
        <f t="shared" si="7"/>
        <v>45044</v>
      </c>
      <c r="J83" s="1" t="str">
        <f t="shared" si="8"/>
        <v>NET PO FROM HSL A/C 347707-00602340029392</v>
      </c>
      <c r="L83" s="7">
        <f t="shared" si="9"/>
        <v>0</v>
      </c>
      <c r="M83" s="7">
        <f t="shared" si="10"/>
        <v>3516.79</v>
      </c>
      <c r="N83" s="7">
        <f t="shared" si="11"/>
        <v>27895.62</v>
      </c>
      <c r="O83" s="7" t="str">
        <f t="shared" si="12"/>
        <v>HDFC 5930</v>
      </c>
    </row>
    <row r="84" spans="1:15" x14ac:dyDescent="0.25">
      <c r="A84" s="1">
        <v>45045</v>
      </c>
      <c r="B84" t="s">
        <v>494</v>
      </c>
      <c r="C84" s="1">
        <v>45045</v>
      </c>
      <c r="D84" s="2">
        <v>0</v>
      </c>
      <c r="E84" s="2">
        <v>16094</v>
      </c>
      <c r="F84" s="2">
        <v>43989.62</v>
      </c>
      <c r="G84" t="s">
        <v>719</v>
      </c>
      <c r="H84" s="7">
        <f t="shared" si="13"/>
        <v>0</v>
      </c>
      <c r="I84" s="1">
        <f t="shared" si="7"/>
        <v>45045</v>
      </c>
      <c r="J84" s="1" t="str">
        <f t="shared" si="8"/>
        <v>STAR HEALTH AN-2023 221111 1671046</v>
      </c>
      <c r="L84" s="7">
        <f t="shared" si="9"/>
        <v>0</v>
      </c>
      <c r="M84" s="7">
        <f t="shared" si="10"/>
        <v>16094</v>
      </c>
      <c r="N84" s="7">
        <f t="shared" si="11"/>
        <v>43989.62</v>
      </c>
      <c r="O84" s="7" t="str">
        <f t="shared" si="12"/>
        <v>HDFC 5930</v>
      </c>
    </row>
    <row r="85" spans="1:15" x14ac:dyDescent="0.25">
      <c r="A85" s="1">
        <v>45047</v>
      </c>
      <c r="B85" t="s">
        <v>495</v>
      </c>
      <c r="C85" s="1">
        <v>45047</v>
      </c>
      <c r="D85" s="2">
        <v>1500</v>
      </c>
      <c r="E85" s="2">
        <v>0</v>
      </c>
      <c r="F85" s="2">
        <v>42489.62</v>
      </c>
      <c r="G85" t="s">
        <v>719</v>
      </c>
      <c r="H85" s="7">
        <f t="shared" si="13"/>
        <v>0</v>
      </c>
      <c r="I85" s="1">
        <f t="shared" si="7"/>
        <v>45047</v>
      </c>
      <c r="J85" s="1" t="str">
        <f t="shared" si="8"/>
        <v>ACH D- TP ACH INVESTOCAFE-1134082383</v>
      </c>
      <c r="L85" s="7">
        <f t="shared" si="9"/>
        <v>1500</v>
      </c>
      <c r="M85" s="7">
        <f t="shared" si="10"/>
        <v>0</v>
      </c>
      <c r="N85" s="7">
        <f t="shared" si="11"/>
        <v>42489.62</v>
      </c>
      <c r="O85" s="7" t="str">
        <f t="shared" si="12"/>
        <v>HDFC 5930</v>
      </c>
    </row>
    <row r="86" spans="1:15" x14ac:dyDescent="0.25">
      <c r="A86" s="1">
        <v>45047</v>
      </c>
      <c r="B86" t="s">
        <v>496</v>
      </c>
      <c r="C86" s="1">
        <v>45047</v>
      </c>
      <c r="D86" s="2">
        <v>2000</v>
      </c>
      <c r="E86" s="2">
        <v>0</v>
      </c>
      <c r="F86" s="2">
        <v>40489.620000000003</v>
      </c>
      <c r="G86" t="s">
        <v>719</v>
      </c>
      <c r="H86" s="7">
        <f t="shared" si="13"/>
        <v>0</v>
      </c>
      <c r="I86" s="1">
        <f t="shared" si="7"/>
        <v>45047</v>
      </c>
      <c r="J86" s="1" t="str">
        <f t="shared" si="8"/>
        <v>ACH D- TP ACH INVESTOCAFE-1134082384</v>
      </c>
      <c r="L86" s="7">
        <f t="shared" si="9"/>
        <v>2000</v>
      </c>
      <c r="M86" s="7">
        <f t="shared" si="10"/>
        <v>0</v>
      </c>
      <c r="N86" s="7">
        <f t="shared" si="11"/>
        <v>40489.620000000003</v>
      </c>
      <c r="O86" s="7" t="str">
        <f t="shared" si="12"/>
        <v>HDFC 5930</v>
      </c>
    </row>
    <row r="87" spans="1:15" x14ac:dyDescent="0.25">
      <c r="A87" s="1">
        <v>45047</v>
      </c>
      <c r="B87" t="s">
        <v>497</v>
      </c>
      <c r="C87" s="1">
        <v>45047</v>
      </c>
      <c r="D87" s="2">
        <v>2000</v>
      </c>
      <c r="E87" s="2">
        <v>0</v>
      </c>
      <c r="F87" s="2">
        <v>38489.620000000003</v>
      </c>
      <c r="G87" t="s">
        <v>719</v>
      </c>
      <c r="H87" s="7">
        <f t="shared" si="13"/>
        <v>0</v>
      </c>
      <c r="I87" s="1">
        <f t="shared" si="7"/>
        <v>45047</v>
      </c>
      <c r="J87" s="1" t="str">
        <f t="shared" si="8"/>
        <v>ACH D- TP ACH INVESTOCAFE-1134082385</v>
      </c>
      <c r="L87" s="7">
        <f t="shared" si="9"/>
        <v>2000</v>
      </c>
      <c r="M87" s="7">
        <f t="shared" si="10"/>
        <v>0</v>
      </c>
      <c r="N87" s="7">
        <f t="shared" si="11"/>
        <v>38489.620000000003</v>
      </c>
      <c r="O87" s="7" t="str">
        <f t="shared" si="12"/>
        <v>HDFC 5930</v>
      </c>
    </row>
    <row r="88" spans="1:15" x14ac:dyDescent="0.25">
      <c r="A88" s="1">
        <v>45048</v>
      </c>
      <c r="B88" t="s">
        <v>498</v>
      </c>
      <c r="C88" s="1">
        <v>45048</v>
      </c>
      <c r="D88" s="2">
        <v>0</v>
      </c>
      <c r="E88" s="2">
        <v>595.13</v>
      </c>
      <c r="F88" s="2">
        <v>39084.75</v>
      </c>
      <c r="G88" t="s">
        <v>719</v>
      </c>
      <c r="H88" s="7">
        <f t="shared" si="13"/>
        <v>0</v>
      </c>
      <c r="I88" s="1">
        <f t="shared" si="7"/>
        <v>45048</v>
      </c>
      <c r="J88" s="1" t="str">
        <f t="shared" si="8"/>
        <v>00012050001396HLY INT-IN0020210178</v>
      </c>
      <c r="L88" s="7">
        <f t="shared" si="9"/>
        <v>0</v>
      </c>
      <c r="M88" s="7">
        <f t="shared" si="10"/>
        <v>595.13</v>
      </c>
      <c r="N88" s="7">
        <f t="shared" si="11"/>
        <v>39084.75</v>
      </c>
      <c r="O88" s="7" t="str">
        <f t="shared" si="12"/>
        <v>HDFC 5930</v>
      </c>
    </row>
    <row r="89" spans="1:15" x14ac:dyDescent="0.25">
      <c r="A89" s="1">
        <v>45048</v>
      </c>
      <c r="B89" t="s">
        <v>472</v>
      </c>
      <c r="C89" s="1">
        <v>45048</v>
      </c>
      <c r="D89" s="2">
        <v>7245.03</v>
      </c>
      <c r="E89" s="2">
        <v>0</v>
      </c>
      <c r="F89" s="2">
        <v>31839.72</v>
      </c>
      <c r="G89" t="s">
        <v>719</v>
      </c>
      <c r="H89" s="7">
        <f t="shared" si="13"/>
        <v>0</v>
      </c>
      <c r="I89" s="1">
        <f t="shared" si="7"/>
        <v>45048</v>
      </c>
      <c r="J89" s="1" t="str">
        <f t="shared" si="8"/>
        <v>NET PI TO HSL SEC A/C 347707-00602340029392</v>
      </c>
      <c r="L89" s="7">
        <f t="shared" si="9"/>
        <v>7245.03</v>
      </c>
      <c r="M89" s="7">
        <f t="shared" si="10"/>
        <v>0</v>
      </c>
      <c r="N89" s="7">
        <f t="shared" si="11"/>
        <v>31839.72</v>
      </c>
      <c r="O89" s="7" t="str">
        <f t="shared" si="12"/>
        <v>HDFC 5930</v>
      </c>
    </row>
    <row r="90" spans="1:15" x14ac:dyDescent="0.25">
      <c r="A90" s="1">
        <v>45049</v>
      </c>
      <c r="B90" t="s">
        <v>472</v>
      </c>
      <c r="C90" s="1">
        <v>45049</v>
      </c>
      <c r="D90" s="2">
        <v>4761.16</v>
      </c>
      <c r="E90" s="2">
        <v>0</v>
      </c>
      <c r="F90" s="2">
        <v>27078.560000000001</v>
      </c>
      <c r="G90" t="s">
        <v>719</v>
      </c>
      <c r="H90" s="7">
        <f t="shared" si="13"/>
        <v>0</v>
      </c>
      <c r="I90" s="1">
        <f t="shared" si="7"/>
        <v>45049</v>
      </c>
      <c r="J90" s="1" t="str">
        <f t="shared" si="8"/>
        <v>NET PI TO HSL SEC A/C 347707-00602340029392</v>
      </c>
      <c r="L90" s="7">
        <f t="shared" si="9"/>
        <v>4761.16</v>
      </c>
      <c r="M90" s="7">
        <f t="shared" si="10"/>
        <v>0</v>
      </c>
      <c r="N90" s="7">
        <f t="shared" si="11"/>
        <v>27078.560000000001</v>
      </c>
      <c r="O90" s="7" t="str">
        <f t="shared" si="12"/>
        <v>HDFC 5930</v>
      </c>
    </row>
    <row r="91" spans="1:15" x14ac:dyDescent="0.25">
      <c r="A91" s="1">
        <v>45049</v>
      </c>
      <c r="B91" t="s">
        <v>472</v>
      </c>
      <c r="C91" s="1">
        <v>45049</v>
      </c>
      <c r="D91" s="2">
        <v>8350.76</v>
      </c>
      <c r="E91" s="2">
        <v>0</v>
      </c>
      <c r="F91" s="2">
        <v>18727.8</v>
      </c>
      <c r="G91" t="s">
        <v>719</v>
      </c>
      <c r="H91" s="7">
        <f t="shared" si="13"/>
        <v>0</v>
      </c>
      <c r="I91" s="1">
        <f t="shared" si="7"/>
        <v>45049</v>
      </c>
      <c r="J91" s="1" t="str">
        <f t="shared" si="8"/>
        <v>NET PI TO HSL SEC A/C 347707-00602340029392</v>
      </c>
      <c r="L91" s="7">
        <f t="shared" si="9"/>
        <v>8350.76</v>
      </c>
      <c r="M91" s="7">
        <f t="shared" si="10"/>
        <v>0</v>
      </c>
      <c r="N91" s="7">
        <f t="shared" si="11"/>
        <v>18727.8</v>
      </c>
      <c r="O91" s="7" t="str">
        <f t="shared" si="12"/>
        <v>HDFC 5930</v>
      </c>
    </row>
    <row r="92" spans="1:15" x14ac:dyDescent="0.25">
      <c r="A92" s="1">
        <v>45049</v>
      </c>
      <c r="B92" t="s">
        <v>473</v>
      </c>
      <c r="C92" s="1">
        <v>45048</v>
      </c>
      <c r="D92" s="2">
        <v>0</v>
      </c>
      <c r="E92" s="2">
        <v>8350.76</v>
      </c>
      <c r="F92" s="2">
        <v>27078.560000000001</v>
      </c>
      <c r="G92" t="s">
        <v>719</v>
      </c>
      <c r="H92" s="7">
        <f t="shared" si="13"/>
        <v>0</v>
      </c>
      <c r="I92" s="1">
        <f t="shared" si="7"/>
        <v>45049</v>
      </c>
      <c r="J92" s="1" t="str">
        <f t="shared" si="8"/>
        <v>NET PO FROM HSL A/C 347707-00602340029392</v>
      </c>
      <c r="L92" s="7">
        <f t="shared" si="9"/>
        <v>0</v>
      </c>
      <c r="M92" s="7">
        <f t="shared" si="10"/>
        <v>8350.76</v>
      </c>
      <c r="N92" s="7">
        <f t="shared" si="11"/>
        <v>27078.560000000001</v>
      </c>
      <c r="O92" s="7" t="str">
        <f t="shared" si="12"/>
        <v>HDFC 5930</v>
      </c>
    </row>
    <row r="93" spans="1:15" x14ac:dyDescent="0.25">
      <c r="A93" s="1">
        <v>45049</v>
      </c>
      <c r="B93" t="s">
        <v>472</v>
      </c>
      <c r="C93" s="1">
        <v>45049</v>
      </c>
      <c r="D93" s="2">
        <v>293.17</v>
      </c>
      <c r="E93" s="2">
        <v>0</v>
      </c>
      <c r="F93" s="2">
        <v>26785.39</v>
      </c>
      <c r="G93" t="s">
        <v>719</v>
      </c>
      <c r="H93" s="7">
        <f t="shared" si="13"/>
        <v>0</v>
      </c>
      <c r="I93" s="1">
        <f t="shared" si="7"/>
        <v>45049</v>
      </c>
      <c r="J93" s="1" t="str">
        <f t="shared" si="8"/>
        <v>NET PI TO HSL SEC A/C 347707-00602340029392</v>
      </c>
      <c r="L93" s="7">
        <f t="shared" si="9"/>
        <v>293.17</v>
      </c>
      <c r="M93" s="7">
        <f t="shared" si="10"/>
        <v>0</v>
      </c>
      <c r="N93" s="7">
        <f t="shared" si="11"/>
        <v>26785.39</v>
      </c>
      <c r="O93" s="7" t="str">
        <f t="shared" si="12"/>
        <v>HDFC 5930</v>
      </c>
    </row>
    <row r="94" spans="1:15" x14ac:dyDescent="0.25">
      <c r="A94" s="1">
        <v>45049</v>
      </c>
      <c r="B94" t="s">
        <v>472</v>
      </c>
      <c r="C94" s="1">
        <v>45049</v>
      </c>
      <c r="D94" s="2">
        <v>244.61</v>
      </c>
      <c r="E94" s="2">
        <v>0</v>
      </c>
      <c r="F94" s="2">
        <v>26540.78</v>
      </c>
      <c r="G94" t="s">
        <v>719</v>
      </c>
      <c r="H94" s="7">
        <f t="shared" si="13"/>
        <v>0</v>
      </c>
      <c r="I94" s="1">
        <f t="shared" si="7"/>
        <v>45049</v>
      </c>
      <c r="J94" s="1" t="str">
        <f t="shared" si="8"/>
        <v>NET PI TO HSL SEC A/C 347707-00602340029392</v>
      </c>
      <c r="L94" s="7">
        <f t="shared" si="9"/>
        <v>244.61</v>
      </c>
      <c r="M94" s="7">
        <f t="shared" si="10"/>
        <v>0</v>
      </c>
      <c r="N94" s="7">
        <f t="shared" si="11"/>
        <v>26540.78</v>
      </c>
      <c r="O94" s="7" t="str">
        <f t="shared" si="12"/>
        <v>HDFC 5930</v>
      </c>
    </row>
    <row r="95" spans="1:15" x14ac:dyDescent="0.25">
      <c r="A95" s="1">
        <v>45050</v>
      </c>
      <c r="B95" t="s">
        <v>472</v>
      </c>
      <c r="C95" s="1">
        <v>45050</v>
      </c>
      <c r="D95" s="2">
        <v>299.17</v>
      </c>
      <c r="E95" s="2">
        <v>0</v>
      </c>
      <c r="F95" s="2">
        <v>26241.61</v>
      </c>
      <c r="G95" t="s">
        <v>719</v>
      </c>
      <c r="H95" s="7">
        <f t="shared" si="13"/>
        <v>0</v>
      </c>
      <c r="I95" s="1">
        <f t="shared" si="7"/>
        <v>45050</v>
      </c>
      <c r="J95" s="1" t="str">
        <f t="shared" si="8"/>
        <v>NET PI TO HSL SEC A/C 347707-00602340029392</v>
      </c>
      <c r="L95" s="7">
        <f t="shared" si="9"/>
        <v>299.17</v>
      </c>
      <c r="M95" s="7">
        <f t="shared" si="10"/>
        <v>0</v>
      </c>
      <c r="N95" s="7">
        <f t="shared" si="11"/>
        <v>26241.61</v>
      </c>
      <c r="O95" s="7" t="str">
        <f t="shared" si="12"/>
        <v>HDFC 5930</v>
      </c>
    </row>
    <row r="96" spans="1:15" x14ac:dyDescent="0.25">
      <c r="A96" s="1">
        <v>45050</v>
      </c>
      <c r="B96" t="s">
        <v>499</v>
      </c>
      <c r="C96" s="1">
        <v>45050</v>
      </c>
      <c r="D96" s="2">
        <v>0</v>
      </c>
      <c r="E96" s="2">
        <v>75000</v>
      </c>
      <c r="F96" s="2">
        <v>101241.61</v>
      </c>
      <c r="G96" t="s">
        <v>719</v>
      </c>
      <c r="H96" s="7">
        <f t="shared" si="13"/>
        <v>0</v>
      </c>
      <c r="I96" s="1">
        <f t="shared" si="7"/>
        <v>45050</v>
      </c>
      <c r="J96" s="1" t="str">
        <f t="shared" si="8"/>
        <v>NEFT CR-UTIB0000115-AJAY KUMAR GUPTA-AJAY GUPTA-AXIR231240101528</v>
      </c>
      <c r="L96" s="7">
        <f t="shared" si="9"/>
        <v>0</v>
      </c>
      <c r="M96" s="7">
        <f t="shared" si="10"/>
        <v>75000</v>
      </c>
      <c r="N96" s="7">
        <f t="shared" si="11"/>
        <v>101241.61</v>
      </c>
      <c r="O96" s="7" t="str">
        <f t="shared" si="12"/>
        <v>HDFC 5930</v>
      </c>
    </row>
    <row r="97" spans="1:15" x14ac:dyDescent="0.25">
      <c r="A97" s="1">
        <v>45050</v>
      </c>
      <c r="B97" t="s">
        <v>473</v>
      </c>
      <c r="C97" s="1">
        <v>45050</v>
      </c>
      <c r="D97" s="2">
        <v>0</v>
      </c>
      <c r="E97" s="2">
        <v>6021.11</v>
      </c>
      <c r="F97" s="2">
        <v>107262.72</v>
      </c>
      <c r="G97" t="s">
        <v>719</v>
      </c>
      <c r="H97" s="7">
        <f t="shared" si="13"/>
        <v>0</v>
      </c>
      <c r="I97" s="1">
        <f t="shared" si="7"/>
        <v>45050</v>
      </c>
      <c r="J97" s="1" t="str">
        <f t="shared" si="8"/>
        <v>NET PO FROM HSL A/C 347707-00602340029392</v>
      </c>
      <c r="L97" s="7">
        <f t="shared" si="9"/>
        <v>0</v>
      </c>
      <c r="M97" s="7">
        <f t="shared" si="10"/>
        <v>6021.11</v>
      </c>
      <c r="N97" s="7">
        <f t="shared" si="11"/>
        <v>107262.72</v>
      </c>
      <c r="O97" s="7" t="str">
        <f t="shared" si="12"/>
        <v>HDFC 5930</v>
      </c>
    </row>
    <row r="98" spans="1:15" x14ac:dyDescent="0.25">
      <c r="A98" s="1">
        <v>45051</v>
      </c>
      <c r="B98" t="s">
        <v>472</v>
      </c>
      <c r="C98" s="1">
        <v>45051</v>
      </c>
      <c r="D98" s="2">
        <v>302.14</v>
      </c>
      <c r="E98" s="2">
        <v>0</v>
      </c>
      <c r="F98" s="2">
        <v>106960.58</v>
      </c>
      <c r="G98" t="s">
        <v>719</v>
      </c>
      <c r="H98" s="7">
        <f t="shared" si="13"/>
        <v>0</v>
      </c>
      <c r="I98" s="1">
        <f t="shared" si="7"/>
        <v>45051</v>
      </c>
      <c r="J98" s="1" t="str">
        <f t="shared" si="8"/>
        <v>NET PI TO HSL SEC A/C 347707-00602340029392</v>
      </c>
      <c r="L98" s="7">
        <f t="shared" si="9"/>
        <v>302.14</v>
      </c>
      <c r="M98" s="7">
        <f t="shared" si="10"/>
        <v>0</v>
      </c>
      <c r="N98" s="7">
        <f t="shared" si="11"/>
        <v>106960.58</v>
      </c>
      <c r="O98" s="7" t="str">
        <f t="shared" si="12"/>
        <v>HDFC 5930</v>
      </c>
    </row>
    <row r="99" spans="1:15" x14ac:dyDescent="0.25">
      <c r="A99" s="1">
        <v>45051</v>
      </c>
      <c r="B99" t="s">
        <v>472</v>
      </c>
      <c r="C99" s="1">
        <v>45051</v>
      </c>
      <c r="D99" s="2">
        <v>39500.480000000003</v>
      </c>
      <c r="E99" s="2">
        <v>0</v>
      </c>
      <c r="F99" s="2">
        <v>67460.100000000006</v>
      </c>
      <c r="G99" t="s">
        <v>719</v>
      </c>
      <c r="H99" s="7">
        <f t="shared" si="13"/>
        <v>0</v>
      </c>
      <c r="I99" s="1">
        <f t="shared" si="7"/>
        <v>45051</v>
      </c>
      <c r="J99" s="1" t="str">
        <f t="shared" si="8"/>
        <v>NET PI TO HSL SEC A/C 347707-00602340029392</v>
      </c>
      <c r="L99" s="7">
        <f t="shared" si="9"/>
        <v>39500.480000000003</v>
      </c>
      <c r="M99" s="7">
        <f t="shared" si="10"/>
        <v>0</v>
      </c>
      <c r="N99" s="7">
        <f t="shared" si="11"/>
        <v>67460.100000000006</v>
      </c>
      <c r="O99" s="7" t="str">
        <f t="shared" si="12"/>
        <v>HDFC 5930</v>
      </c>
    </row>
    <row r="100" spans="1:15" x14ac:dyDescent="0.25">
      <c r="A100" s="1">
        <v>45051</v>
      </c>
      <c r="B100" t="s">
        <v>472</v>
      </c>
      <c r="C100" s="1">
        <v>45051</v>
      </c>
      <c r="D100" s="2">
        <v>697.38</v>
      </c>
      <c r="E100" s="2">
        <v>0</v>
      </c>
      <c r="F100" s="2">
        <v>66762.720000000001</v>
      </c>
      <c r="G100" t="s">
        <v>719</v>
      </c>
      <c r="H100" s="7">
        <f t="shared" si="13"/>
        <v>0</v>
      </c>
      <c r="I100" s="1">
        <f t="shared" si="7"/>
        <v>45051</v>
      </c>
      <c r="J100" s="1" t="str">
        <f t="shared" si="8"/>
        <v>NET PI TO HSL SEC A/C 347707-00602340029392</v>
      </c>
      <c r="L100" s="7">
        <f t="shared" si="9"/>
        <v>697.38</v>
      </c>
      <c r="M100" s="7">
        <f t="shared" si="10"/>
        <v>0</v>
      </c>
      <c r="N100" s="7">
        <f t="shared" si="11"/>
        <v>66762.720000000001</v>
      </c>
      <c r="O100" s="7" t="str">
        <f t="shared" si="12"/>
        <v>HDFC 5930</v>
      </c>
    </row>
    <row r="101" spans="1:15" x14ac:dyDescent="0.25">
      <c r="A101" s="1">
        <v>45052</v>
      </c>
      <c r="B101" t="s">
        <v>473</v>
      </c>
      <c r="C101" s="1">
        <v>45051</v>
      </c>
      <c r="D101" s="2">
        <v>0</v>
      </c>
      <c r="E101" s="2">
        <v>697.38</v>
      </c>
      <c r="F101" s="2">
        <v>67460.100000000006</v>
      </c>
      <c r="G101" t="s">
        <v>719</v>
      </c>
      <c r="H101" s="7">
        <f t="shared" si="13"/>
        <v>0</v>
      </c>
      <c r="I101" s="1">
        <f t="shared" si="7"/>
        <v>45052</v>
      </c>
      <c r="J101" s="1" t="str">
        <f t="shared" si="8"/>
        <v>NET PO FROM HSL A/C 347707-00602340029392</v>
      </c>
      <c r="L101" s="7">
        <f t="shared" si="9"/>
        <v>0</v>
      </c>
      <c r="M101" s="7">
        <f t="shared" si="10"/>
        <v>697.38</v>
      </c>
      <c r="N101" s="7">
        <f t="shared" si="11"/>
        <v>67460.100000000006</v>
      </c>
      <c r="O101" s="7" t="str">
        <f t="shared" si="12"/>
        <v>HDFC 5930</v>
      </c>
    </row>
    <row r="102" spans="1:15" x14ac:dyDescent="0.25">
      <c r="A102" s="1">
        <v>45054</v>
      </c>
      <c r="B102" t="s">
        <v>480</v>
      </c>
      <c r="C102" s="1">
        <v>45054</v>
      </c>
      <c r="D102" s="2">
        <v>3000</v>
      </c>
      <c r="E102" s="2">
        <v>0</v>
      </c>
      <c r="F102" s="2">
        <v>64460.1</v>
      </c>
      <c r="G102" t="s">
        <v>719</v>
      </c>
      <c r="H102" s="7">
        <f t="shared" si="13"/>
        <v>0</v>
      </c>
      <c r="I102" s="1">
        <f t="shared" si="7"/>
        <v>45054</v>
      </c>
      <c r="J102" s="1" t="str">
        <f t="shared" si="8"/>
        <v>NET PAYIN TO BSE MF A/C -57500000389146- FROM A/C -01671000085930- UCC -347707-57500000389146</v>
      </c>
      <c r="L102" s="7">
        <f t="shared" si="9"/>
        <v>3000</v>
      </c>
      <c r="M102" s="7">
        <f t="shared" si="10"/>
        <v>0</v>
      </c>
      <c r="N102" s="7">
        <f t="shared" si="11"/>
        <v>64460.1</v>
      </c>
      <c r="O102" s="7" t="str">
        <f t="shared" si="12"/>
        <v>HDFC 5930</v>
      </c>
    </row>
    <row r="103" spans="1:15" x14ac:dyDescent="0.25">
      <c r="A103" s="1">
        <v>45054</v>
      </c>
      <c r="B103" t="s">
        <v>472</v>
      </c>
      <c r="C103" s="1">
        <v>45054</v>
      </c>
      <c r="D103" s="2">
        <v>259.07</v>
      </c>
      <c r="E103" s="2">
        <v>0</v>
      </c>
      <c r="F103" s="2">
        <v>64201.03</v>
      </c>
      <c r="G103" t="s">
        <v>719</v>
      </c>
      <c r="H103" s="7">
        <f t="shared" si="13"/>
        <v>0</v>
      </c>
      <c r="I103" s="1">
        <f t="shared" si="7"/>
        <v>45054</v>
      </c>
      <c r="J103" s="1" t="str">
        <f t="shared" si="8"/>
        <v>NET PI TO HSL SEC A/C 347707-00602340029392</v>
      </c>
      <c r="L103" s="7">
        <f t="shared" si="9"/>
        <v>259.07</v>
      </c>
      <c r="M103" s="7">
        <f t="shared" si="10"/>
        <v>0</v>
      </c>
      <c r="N103" s="7">
        <f t="shared" si="11"/>
        <v>64201.03</v>
      </c>
      <c r="O103" s="7" t="str">
        <f t="shared" si="12"/>
        <v>HDFC 5930</v>
      </c>
    </row>
    <row r="104" spans="1:15" x14ac:dyDescent="0.25">
      <c r="A104" s="1">
        <v>45054</v>
      </c>
      <c r="B104" t="s">
        <v>500</v>
      </c>
      <c r="C104" s="1">
        <v>45054</v>
      </c>
      <c r="D104" s="2">
        <v>2000</v>
      </c>
      <c r="E104" s="2">
        <v>0</v>
      </c>
      <c r="F104" s="2">
        <v>62201.03</v>
      </c>
      <c r="G104" t="s">
        <v>719</v>
      </c>
      <c r="H104" s="7">
        <f t="shared" si="13"/>
        <v>0</v>
      </c>
      <c r="I104" s="1">
        <f t="shared" si="7"/>
        <v>45054</v>
      </c>
      <c r="J104" s="1" t="str">
        <f t="shared" si="8"/>
        <v>ACH D- TP ACH INVESTOCAFE-1140483790</v>
      </c>
      <c r="L104" s="7">
        <f t="shared" si="9"/>
        <v>2000</v>
      </c>
      <c r="M104" s="7">
        <f t="shared" si="10"/>
        <v>0</v>
      </c>
      <c r="N104" s="7">
        <f t="shared" si="11"/>
        <v>62201.03</v>
      </c>
      <c r="O104" s="7" t="str">
        <f t="shared" si="12"/>
        <v>HDFC 5930</v>
      </c>
    </row>
    <row r="105" spans="1:15" x14ac:dyDescent="0.25">
      <c r="A105" s="1">
        <v>45054</v>
      </c>
      <c r="B105" t="s">
        <v>501</v>
      </c>
      <c r="C105" s="1">
        <v>45054</v>
      </c>
      <c r="D105" s="2">
        <v>2500</v>
      </c>
      <c r="E105" s="2">
        <v>0</v>
      </c>
      <c r="F105" s="2">
        <v>59701.03</v>
      </c>
      <c r="G105" t="s">
        <v>719</v>
      </c>
      <c r="H105" s="7">
        <f t="shared" si="13"/>
        <v>0</v>
      </c>
      <c r="I105" s="1">
        <f t="shared" si="7"/>
        <v>45054</v>
      </c>
      <c r="J105" s="1" t="str">
        <f t="shared" si="8"/>
        <v>ACH D- TP ACH INVESTOCAFE-1140483791</v>
      </c>
      <c r="L105" s="7">
        <f t="shared" si="9"/>
        <v>2500</v>
      </c>
      <c r="M105" s="7">
        <f t="shared" si="10"/>
        <v>0</v>
      </c>
      <c r="N105" s="7">
        <f t="shared" si="11"/>
        <v>59701.03</v>
      </c>
      <c r="O105" s="7" t="str">
        <f t="shared" si="12"/>
        <v>HDFC 5930</v>
      </c>
    </row>
    <row r="106" spans="1:15" x14ac:dyDescent="0.25">
      <c r="A106" s="1">
        <v>45054</v>
      </c>
      <c r="B106" t="s">
        <v>473</v>
      </c>
      <c r="C106" s="1">
        <v>45054</v>
      </c>
      <c r="D106" s="2">
        <v>0</v>
      </c>
      <c r="E106" s="2">
        <v>262.52</v>
      </c>
      <c r="F106" s="2">
        <v>59963.55</v>
      </c>
      <c r="G106" t="s">
        <v>719</v>
      </c>
      <c r="H106" s="7">
        <f t="shared" si="13"/>
        <v>0</v>
      </c>
      <c r="I106" s="1">
        <f t="shared" si="7"/>
        <v>45054</v>
      </c>
      <c r="J106" s="1" t="str">
        <f t="shared" si="8"/>
        <v>NET PO FROM HSL A/C 347707-00602340029392</v>
      </c>
      <c r="L106" s="7">
        <f t="shared" si="9"/>
        <v>0</v>
      </c>
      <c r="M106" s="7">
        <f t="shared" si="10"/>
        <v>262.52</v>
      </c>
      <c r="N106" s="7">
        <f t="shared" si="11"/>
        <v>59963.55</v>
      </c>
      <c r="O106" s="7" t="str">
        <f t="shared" si="12"/>
        <v>HDFC 5930</v>
      </c>
    </row>
    <row r="107" spans="1:15" x14ac:dyDescent="0.25">
      <c r="A107" s="1">
        <v>45054</v>
      </c>
      <c r="B107" t="s">
        <v>473</v>
      </c>
      <c r="C107" s="1">
        <v>45054</v>
      </c>
      <c r="D107" s="2">
        <v>0</v>
      </c>
      <c r="E107" s="2">
        <v>3591.17</v>
      </c>
      <c r="F107" s="2">
        <v>63554.720000000001</v>
      </c>
      <c r="G107" t="s">
        <v>719</v>
      </c>
      <c r="H107" s="7">
        <f t="shared" si="13"/>
        <v>0</v>
      </c>
      <c r="I107" s="1">
        <f t="shared" si="7"/>
        <v>45054</v>
      </c>
      <c r="J107" s="1" t="str">
        <f t="shared" si="8"/>
        <v>NET PO FROM HSL A/C 347707-00602340029392</v>
      </c>
      <c r="L107" s="7">
        <f t="shared" si="9"/>
        <v>0</v>
      </c>
      <c r="M107" s="7">
        <f t="shared" si="10"/>
        <v>3591.17</v>
      </c>
      <c r="N107" s="7">
        <f t="shared" si="11"/>
        <v>63554.720000000001</v>
      </c>
      <c r="O107" s="7" t="str">
        <f t="shared" si="12"/>
        <v>HDFC 5930</v>
      </c>
    </row>
    <row r="108" spans="1:15" x14ac:dyDescent="0.25">
      <c r="A108" s="1">
        <v>45055</v>
      </c>
      <c r="B108" t="s">
        <v>502</v>
      </c>
      <c r="C108" s="1">
        <v>45055</v>
      </c>
      <c r="D108" s="2">
        <v>0</v>
      </c>
      <c r="E108" s="2">
        <v>900</v>
      </c>
      <c r="F108" s="2">
        <v>64454.720000000001</v>
      </c>
      <c r="G108" t="s">
        <v>719</v>
      </c>
      <c r="H108" s="7">
        <f t="shared" si="13"/>
        <v>0</v>
      </c>
      <c r="I108" s="1">
        <f t="shared" si="7"/>
        <v>45055</v>
      </c>
      <c r="J108" s="1" t="str">
        <f t="shared" si="8"/>
        <v>ACH C- HCL 1INTDIV 2023 24-303288</v>
      </c>
      <c r="L108" s="7">
        <f t="shared" si="9"/>
        <v>0</v>
      </c>
      <c r="M108" s="7">
        <f t="shared" si="10"/>
        <v>900</v>
      </c>
      <c r="N108" s="7">
        <f t="shared" si="11"/>
        <v>64454.720000000001</v>
      </c>
      <c r="O108" s="7" t="str">
        <f t="shared" si="12"/>
        <v>HDFC 5930</v>
      </c>
    </row>
    <row r="109" spans="1:15" x14ac:dyDescent="0.25">
      <c r="A109" s="1">
        <v>45055</v>
      </c>
      <c r="B109" t="s">
        <v>472</v>
      </c>
      <c r="C109" s="1">
        <v>45055</v>
      </c>
      <c r="D109" s="2">
        <v>283.83999999999997</v>
      </c>
      <c r="E109" s="2">
        <v>0</v>
      </c>
      <c r="F109" s="2">
        <v>64170.879999999997</v>
      </c>
      <c r="G109" t="s">
        <v>719</v>
      </c>
      <c r="H109" s="7">
        <f t="shared" si="13"/>
        <v>0</v>
      </c>
      <c r="I109" s="1">
        <f t="shared" si="7"/>
        <v>45055</v>
      </c>
      <c r="J109" s="1" t="str">
        <f t="shared" si="8"/>
        <v>NET PI TO HSL SEC A/C 347707-00602340029392</v>
      </c>
      <c r="L109" s="7">
        <f t="shared" si="9"/>
        <v>283.83999999999997</v>
      </c>
      <c r="M109" s="7">
        <f t="shared" si="10"/>
        <v>0</v>
      </c>
      <c r="N109" s="7">
        <f t="shared" si="11"/>
        <v>64170.879999999997</v>
      </c>
      <c r="O109" s="7" t="str">
        <f t="shared" si="12"/>
        <v>HDFC 5930</v>
      </c>
    </row>
    <row r="110" spans="1:15" x14ac:dyDescent="0.25">
      <c r="A110" s="1">
        <v>45055</v>
      </c>
      <c r="B110" t="s">
        <v>503</v>
      </c>
      <c r="C110" s="1">
        <v>45055</v>
      </c>
      <c r="D110" s="2">
        <v>0</v>
      </c>
      <c r="E110" s="2">
        <v>10000</v>
      </c>
      <c r="F110" s="2">
        <v>74170.880000000005</v>
      </c>
      <c r="G110" t="s">
        <v>719</v>
      </c>
      <c r="H110" s="7">
        <f t="shared" si="13"/>
        <v>0</v>
      </c>
      <c r="I110" s="1">
        <f t="shared" si="7"/>
        <v>45055</v>
      </c>
      <c r="J110" s="1" t="str">
        <f t="shared" si="8"/>
        <v>01671000060094-TPT-MNY RTRN TO AKG-SUNITA GUPTA</v>
      </c>
      <c r="L110" s="7">
        <f t="shared" si="9"/>
        <v>0</v>
      </c>
      <c r="M110" s="7">
        <f t="shared" si="10"/>
        <v>10000</v>
      </c>
      <c r="N110" s="7">
        <f t="shared" si="11"/>
        <v>74170.880000000005</v>
      </c>
      <c r="O110" s="7" t="str">
        <f t="shared" si="12"/>
        <v>HDFC 5930</v>
      </c>
    </row>
    <row r="111" spans="1:15" x14ac:dyDescent="0.25">
      <c r="A111" s="1">
        <v>45055</v>
      </c>
      <c r="B111" t="s">
        <v>472</v>
      </c>
      <c r="C111" s="1">
        <v>45055</v>
      </c>
      <c r="D111" s="2">
        <v>38230.86</v>
      </c>
      <c r="E111" s="2">
        <v>0</v>
      </c>
      <c r="F111" s="2">
        <v>35940.019999999997</v>
      </c>
      <c r="G111" t="s">
        <v>719</v>
      </c>
      <c r="H111" s="7">
        <f t="shared" si="13"/>
        <v>0</v>
      </c>
      <c r="I111" s="1">
        <f t="shared" si="7"/>
        <v>45055</v>
      </c>
      <c r="J111" s="1" t="str">
        <f t="shared" si="8"/>
        <v>NET PI TO HSL SEC A/C 347707-00602340029392</v>
      </c>
      <c r="L111" s="7">
        <f t="shared" si="9"/>
        <v>38230.86</v>
      </c>
      <c r="M111" s="7">
        <f t="shared" si="10"/>
        <v>0</v>
      </c>
      <c r="N111" s="7">
        <f t="shared" si="11"/>
        <v>35940.019999999997</v>
      </c>
      <c r="O111" s="7" t="str">
        <f t="shared" si="12"/>
        <v>HDFC 5930</v>
      </c>
    </row>
    <row r="112" spans="1:15" x14ac:dyDescent="0.25">
      <c r="A112" s="1">
        <v>45055</v>
      </c>
      <c r="B112" t="s">
        <v>472</v>
      </c>
      <c r="C112" s="1">
        <v>45055</v>
      </c>
      <c r="D112" s="2">
        <v>9485.2999999999993</v>
      </c>
      <c r="E112" s="2">
        <v>0</v>
      </c>
      <c r="F112" s="2">
        <v>26454.720000000001</v>
      </c>
      <c r="G112" t="s">
        <v>719</v>
      </c>
      <c r="H112" s="7">
        <f t="shared" si="13"/>
        <v>0</v>
      </c>
      <c r="I112" s="1">
        <f t="shared" si="7"/>
        <v>45055</v>
      </c>
      <c r="J112" s="1" t="str">
        <f t="shared" si="8"/>
        <v>NET PI TO HSL SEC A/C 347707-00602340029392</v>
      </c>
      <c r="L112" s="7">
        <f t="shared" si="9"/>
        <v>9485.2999999999993</v>
      </c>
      <c r="M112" s="7">
        <f t="shared" si="10"/>
        <v>0</v>
      </c>
      <c r="N112" s="7">
        <f t="shared" si="11"/>
        <v>26454.720000000001</v>
      </c>
      <c r="O112" s="7" t="str">
        <f t="shared" si="12"/>
        <v>HDFC 5930</v>
      </c>
    </row>
    <row r="113" spans="1:15" x14ac:dyDescent="0.25">
      <c r="A113" s="1">
        <v>45055</v>
      </c>
      <c r="B113" t="s">
        <v>473</v>
      </c>
      <c r="C113" s="1">
        <v>45055</v>
      </c>
      <c r="D113" s="2">
        <v>0</v>
      </c>
      <c r="E113" s="2">
        <v>9485.2999999999993</v>
      </c>
      <c r="F113" s="2">
        <v>35940.019999999997</v>
      </c>
      <c r="G113" t="s">
        <v>719</v>
      </c>
      <c r="H113" s="7">
        <f t="shared" si="13"/>
        <v>0</v>
      </c>
      <c r="I113" s="1">
        <f t="shared" si="7"/>
        <v>45055</v>
      </c>
      <c r="J113" s="1" t="str">
        <f t="shared" si="8"/>
        <v>NET PO FROM HSL A/C 347707-00602340029392</v>
      </c>
      <c r="L113" s="7">
        <f t="shared" si="9"/>
        <v>0</v>
      </c>
      <c r="M113" s="7">
        <f t="shared" si="10"/>
        <v>9485.2999999999993</v>
      </c>
      <c r="N113" s="7">
        <f t="shared" si="11"/>
        <v>35940.019999999997</v>
      </c>
      <c r="O113" s="7" t="str">
        <f t="shared" si="12"/>
        <v>HDFC 5930</v>
      </c>
    </row>
    <row r="114" spans="1:15" x14ac:dyDescent="0.25">
      <c r="A114" s="1">
        <v>45056</v>
      </c>
      <c r="B114" t="s">
        <v>504</v>
      </c>
      <c r="C114" s="1">
        <v>45056</v>
      </c>
      <c r="D114" s="2">
        <v>4000</v>
      </c>
      <c r="E114" s="2">
        <v>0</v>
      </c>
      <c r="F114" s="2">
        <v>31940.02</v>
      </c>
      <c r="G114" t="s">
        <v>719</v>
      </c>
      <c r="H114" s="7">
        <f t="shared" si="13"/>
        <v>0</v>
      </c>
      <c r="I114" s="1">
        <f t="shared" si="7"/>
        <v>45056</v>
      </c>
      <c r="J114" s="1" t="str">
        <f t="shared" si="8"/>
        <v>O-MF-HSBC MF-O-O416-000000101236</v>
      </c>
      <c r="L114" s="7">
        <f t="shared" si="9"/>
        <v>4000</v>
      </c>
      <c r="M114" s="7">
        <f t="shared" si="10"/>
        <v>0</v>
      </c>
      <c r="N114" s="7">
        <f t="shared" si="11"/>
        <v>31940.02</v>
      </c>
      <c r="O114" s="7" t="str">
        <f t="shared" si="12"/>
        <v>HDFC 5930</v>
      </c>
    </row>
    <row r="115" spans="1:15" x14ac:dyDescent="0.25">
      <c r="A115" s="1">
        <v>45056</v>
      </c>
      <c r="B115" t="s">
        <v>480</v>
      </c>
      <c r="C115" s="1">
        <v>45056</v>
      </c>
      <c r="D115" s="2">
        <v>3000</v>
      </c>
      <c r="E115" s="2">
        <v>0</v>
      </c>
      <c r="F115" s="2">
        <v>28940.02</v>
      </c>
      <c r="G115" t="s">
        <v>719</v>
      </c>
      <c r="H115" s="7">
        <f t="shared" si="13"/>
        <v>0</v>
      </c>
      <c r="I115" s="1">
        <f t="shared" si="7"/>
        <v>45056</v>
      </c>
      <c r="J115" s="1" t="str">
        <f t="shared" si="8"/>
        <v>NET PAYIN TO BSE MF A/C -57500000389146- FROM A/C -01671000085930- UCC -347707-57500000389146</v>
      </c>
      <c r="L115" s="7">
        <f t="shared" si="9"/>
        <v>3000</v>
      </c>
      <c r="M115" s="7">
        <f t="shared" si="10"/>
        <v>0</v>
      </c>
      <c r="N115" s="7">
        <f t="shared" si="11"/>
        <v>28940.02</v>
      </c>
      <c r="O115" s="7" t="str">
        <f t="shared" si="12"/>
        <v>HDFC 5930</v>
      </c>
    </row>
    <row r="116" spans="1:15" x14ac:dyDescent="0.25">
      <c r="A116" s="1">
        <v>45056</v>
      </c>
      <c r="B116" t="s">
        <v>473</v>
      </c>
      <c r="C116" s="1">
        <v>45056</v>
      </c>
      <c r="D116" s="2">
        <v>0</v>
      </c>
      <c r="E116" s="2">
        <v>17747.259999999998</v>
      </c>
      <c r="F116" s="2">
        <v>46687.28</v>
      </c>
      <c r="G116" t="s">
        <v>719</v>
      </c>
      <c r="H116" s="7">
        <f t="shared" si="13"/>
        <v>0</v>
      </c>
      <c r="I116" s="1">
        <f t="shared" si="7"/>
        <v>45056</v>
      </c>
      <c r="J116" s="1" t="str">
        <f t="shared" si="8"/>
        <v>NET PO FROM HSL A/C 347707-00602340029392</v>
      </c>
      <c r="L116" s="7">
        <f t="shared" si="9"/>
        <v>0</v>
      </c>
      <c r="M116" s="7">
        <f t="shared" si="10"/>
        <v>17747.259999999998</v>
      </c>
      <c r="N116" s="7">
        <f t="shared" si="11"/>
        <v>46687.28</v>
      </c>
      <c r="O116" s="7" t="str">
        <f t="shared" si="12"/>
        <v>HDFC 5930</v>
      </c>
    </row>
    <row r="117" spans="1:15" x14ac:dyDescent="0.25">
      <c r="A117" s="1">
        <v>45056</v>
      </c>
      <c r="B117" t="s">
        <v>472</v>
      </c>
      <c r="C117" s="1">
        <v>45056</v>
      </c>
      <c r="D117" s="2">
        <v>264.98</v>
      </c>
      <c r="E117" s="2">
        <v>0</v>
      </c>
      <c r="F117" s="2">
        <v>46422.3</v>
      </c>
      <c r="G117" t="s">
        <v>719</v>
      </c>
      <c r="H117" s="7">
        <f t="shared" si="13"/>
        <v>0</v>
      </c>
      <c r="I117" s="1">
        <f t="shared" si="7"/>
        <v>45056</v>
      </c>
      <c r="J117" s="1" t="str">
        <f t="shared" si="8"/>
        <v>NET PI TO HSL SEC A/C 347707-00602340029392</v>
      </c>
      <c r="L117" s="7">
        <f t="shared" si="9"/>
        <v>264.98</v>
      </c>
      <c r="M117" s="7">
        <f t="shared" si="10"/>
        <v>0</v>
      </c>
      <c r="N117" s="7">
        <f t="shared" si="11"/>
        <v>46422.3</v>
      </c>
      <c r="O117" s="7" t="str">
        <f t="shared" si="12"/>
        <v>HDFC 5930</v>
      </c>
    </row>
    <row r="118" spans="1:15" x14ac:dyDescent="0.25">
      <c r="A118" s="1">
        <v>45056</v>
      </c>
      <c r="B118" t="s">
        <v>472</v>
      </c>
      <c r="C118" s="1">
        <v>45056</v>
      </c>
      <c r="D118" s="2">
        <v>343.47</v>
      </c>
      <c r="E118" s="2">
        <v>0</v>
      </c>
      <c r="F118" s="2">
        <v>46078.83</v>
      </c>
      <c r="G118" t="s">
        <v>719</v>
      </c>
      <c r="H118" s="7">
        <f t="shared" si="13"/>
        <v>0</v>
      </c>
      <c r="I118" s="1">
        <f t="shared" si="7"/>
        <v>45056</v>
      </c>
      <c r="J118" s="1" t="str">
        <f t="shared" si="8"/>
        <v>NET PI TO HSL SEC A/C 347707-00602340029392</v>
      </c>
      <c r="L118" s="7">
        <f t="shared" si="9"/>
        <v>343.47</v>
      </c>
      <c r="M118" s="7">
        <f t="shared" si="10"/>
        <v>0</v>
      </c>
      <c r="N118" s="7">
        <f t="shared" si="11"/>
        <v>46078.83</v>
      </c>
      <c r="O118" s="7" t="str">
        <f t="shared" si="12"/>
        <v>HDFC 5930</v>
      </c>
    </row>
    <row r="119" spans="1:15" x14ac:dyDescent="0.25">
      <c r="A119" s="1">
        <v>45056</v>
      </c>
      <c r="B119" t="s">
        <v>473</v>
      </c>
      <c r="C119" s="1">
        <v>45056</v>
      </c>
      <c r="D119" s="2">
        <v>0</v>
      </c>
      <c r="E119" s="2">
        <v>2851.22</v>
      </c>
      <c r="F119" s="2">
        <v>48930.05</v>
      </c>
      <c r="G119" t="s">
        <v>719</v>
      </c>
      <c r="H119" s="7">
        <f t="shared" si="13"/>
        <v>0</v>
      </c>
      <c r="I119" s="1">
        <f t="shared" si="7"/>
        <v>45056</v>
      </c>
      <c r="J119" s="1" t="str">
        <f t="shared" si="8"/>
        <v>NET PO FROM HSL A/C 347707-00602340029392</v>
      </c>
      <c r="L119" s="7">
        <f t="shared" si="9"/>
        <v>0</v>
      </c>
      <c r="M119" s="7">
        <f t="shared" si="10"/>
        <v>2851.22</v>
      </c>
      <c r="N119" s="7">
        <f t="shared" si="11"/>
        <v>48930.05</v>
      </c>
      <c r="O119" s="7" t="str">
        <f t="shared" si="12"/>
        <v>HDFC 5930</v>
      </c>
    </row>
    <row r="120" spans="1:15" x14ac:dyDescent="0.25">
      <c r="A120" s="1">
        <v>45056</v>
      </c>
      <c r="B120" t="s">
        <v>472</v>
      </c>
      <c r="C120" s="1">
        <v>45056</v>
      </c>
      <c r="D120" s="2">
        <v>4457.67</v>
      </c>
      <c r="E120" s="2">
        <v>0</v>
      </c>
      <c r="F120" s="2">
        <v>44472.38</v>
      </c>
      <c r="G120" t="s">
        <v>719</v>
      </c>
      <c r="H120" s="7">
        <f t="shared" si="13"/>
        <v>0</v>
      </c>
      <c r="I120" s="1">
        <f t="shared" si="7"/>
        <v>45056</v>
      </c>
      <c r="J120" s="1" t="str">
        <f t="shared" si="8"/>
        <v>NET PI TO HSL SEC A/C 347707-00602340029392</v>
      </c>
      <c r="L120" s="7">
        <f t="shared" si="9"/>
        <v>4457.67</v>
      </c>
      <c r="M120" s="7">
        <f t="shared" si="10"/>
        <v>0</v>
      </c>
      <c r="N120" s="7">
        <f t="shared" si="11"/>
        <v>44472.38</v>
      </c>
      <c r="O120" s="7" t="str">
        <f t="shared" si="12"/>
        <v>HDFC 5930</v>
      </c>
    </row>
    <row r="121" spans="1:15" x14ac:dyDescent="0.25">
      <c r="A121" s="1">
        <v>45056</v>
      </c>
      <c r="B121" t="s">
        <v>473</v>
      </c>
      <c r="C121" s="1">
        <v>45056</v>
      </c>
      <c r="D121" s="2">
        <v>0</v>
      </c>
      <c r="E121" s="2">
        <v>4457.67</v>
      </c>
      <c r="F121" s="2">
        <v>48930.05</v>
      </c>
      <c r="G121" t="s">
        <v>719</v>
      </c>
      <c r="H121" s="7">
        <f t="shared" si="13"/>
        <v>0</v>
      </c>
      <c r="I121" s="1">
        <f t="shared" si="7"/>
        <v>45056</v>
      </c>
      <c r="J121" s="1" t="str">
        <f t="shared" si="8"/>
        <v>NET PO FROM HSL A/C 347707-00602340029392</v>
      </c>
      <c r="L121" s="7">
        <f t="shared" si="9"/>
        <v>0</v>
      </c>
      <c r="M121" s="7">
        <f t="shared" si="10"/>
        <v>4457.67</v>
      </c>
      <c r="N121" s="7">
        <f t="shared" si="11"/>
        <v>48930.05</v>
      </c>
      <c r="O121" s="7" t="str">
        <f t="shared" si="12"/>
        <v>HDFC 5930</v>
      </c>
    </row>
    <row r="122" spans="1:15" x14ac:dyDescent="0.25">
      <c r="A122" s="1">
        <v>45057</v>
      </c>
      <c r="B122" t="s">
        <v>505</v>
      </c>
      <c r="C122" s="1">
        <v>45057</v>
      </c>
      <c r="D122" s="2">
        <v>11.56</v>
      </c>
      <c r="E122" s="2">
        <v>0</v>
      </c>
      <c r="F122" s="2">
        <v>48918.49</v>
      </c>
      <c r="G122" t="s">
        <v>719</v>
      </c>
      <c r="H122" s="7">
        <f t="shared" si="13"/>
        <v>0</v>
      </c>
      <c r="I122" s="1">
        <f t="shared" si="7"/>
        <v>45057</v>
      </c>
      <c r="J122" s="1" t="str">
        <f t="shared" si="8"/>
        <v>JANMAR23 INSTAALERTCHG 49 SMS 220323-MIR2413016189705</v>
      </c>
      <c r="L122" s="7">
        <f t="shared" si="9"/>
        <v>11.56</v>
      </c>
      <c r="M122" s="7">
        <f t="shared" si="10"/>
        <v>0</v>
      </c>
      <c r="N122" s="7">
        <f t="shared" si="11"/>
        <v>48918.49</v>
      </c>
      <c r="O122" s="7" t="str">
        <f t="shared" si="12"/>
        <v>HDFC 5930</v>
      </c>
    </row>
    <row r="123" spans="1:15" x14ac:dyDescent="0.25">
      <c r="A123" s="1">
        <v>45057</v>
      </c>
      <c r="B123" t="s">
        <v>472</v>
      </c>
      <c r="C123" s="1">
        <v>45057</v>
      </c>
      <c r="D123" s="2">
        <v>266.39</v>
      </c>
      <c r="E123" s="2">
        <v>0</v>
      </c>
      <c r="F123" s="2">
        <v>48652.1</v>
      </c>
      <c r="G123" t="s">
        <v>719</v>
      </c>
      <c r="H123" s="7">
        <f t="shared" si="13"/>
        <v>0</v>
      </c>
      <c r="I123" s="1">
        <f t="shared" si="7"/>
        <v>45057</v>
      </c>
      <c r="J123" s="1" t="str">
        <f t="shared" si="8"/>
        <v>NET PI TO HSL SEC A/C 347707-00602340029392</v>
      </c>
      <c r="L123" s="7">
        <f t="shared" si="9"/>
        <v>266.39</v>
      </c>
      <c r="M123" s="7">
        <f t="shared" si="10"/>
        <v>0</v>
      </c>
      <c r="N123" s="7">
        <f t="shared" si="11"/>
        <v>48652.1</v>
      </c>
      <c r="O123" s="7" t="str">
        <f t="shared" si="12"/>
        <v>HDFC 5930</v>
      </c>
    </row>
    <row r="124" spans="1:15" x14ac:dyDescent="0.25">
      <c r="A124" s="1">
        <v>45057</v>
      </c>
      <c r="B124" t="s">
        <v>472</v>
      </c>
      <c r="C124" s="1">
        <v>45057</v>
      </c>
      <c r="D124" s="2">
        <v>5543.91</v>
      </c>
      <c r="E124" s="2">
        <v>0</v>
      </c>
      <c r="F124" s="2">
        <v>43108.19</v>
      </c>
      <c r="G124" t="s">
        <v>719</v>
      </c>
      <c r="H124" s="7">
        <f t="shared" si="13"/>
        <v>0</v>
      </c>
      <c r="I124" s="1">
        <f t="shared" si="7"/>
        <v>45057</v>
      </c>
      <c r="J124" s="1" t="str">
        <f t="shared" si="8"/>
        <v>NET PI TO HSL SEC A/C 347707-00602340029392</v>
      </c>
      <c r="L124" s="7">
        <f t="shared" si="9"/>
        <v>5543.91</v>
      </c>
      <c r="M124" s="7">
        <f t="shared" si="10"/>
        <v>0</v>
      </c>
      <c r="N124" s="7">
        <f t="shared" si="11"/>
        <v>43108.19</v>
      </c>
      <c r="O124" s="7" t="str">
        <f t="shared" si="12"/>
        <v>HDFC 5930</v>
      </c>
    </row>
    <row r="125" spans="1:15" x14ac:dyDescent="0.25">
      <c r="A125" s="1">
        <v>45058</v>
      </c>
      <c r="B125" t="s">
        <v>472</v>
      </c>
      <c r="C125" s="1">
        <v>45058</v>
      </c>
      <c r="D125" s="2">
        <v>398.35</v>
      </c>
      <c r="E125" s="2">
        <v>0</v>
      </c>
      <c r="F125" s="2">
        <v>42709.84</v>
      </c>
      <c r="G125" t="s">
        <v>719</v>
      </c>
      <c r="H125" s="7">
        <f t="shared" si="13"/>
        <v>0</v>
      </c>
      <c r="I125" s="1">
        <f t="shared" si="7"/>
        <v>45058</v>
      </c>
      <c r="J125" s="1" t="str">
        <f t="shared" si="8"/>
        <v>NET PI TO HSL SEC A/C 347707-00602340029392</v>
      </c>
      <c r="L125" s="7">
        <f t="shared" si="9"/>
        <v>398.35</v>
      </c>
      <c r="M125" s="7">
        <f t="shared" si="10"/>
        <v>0</v>
      </c>
      <c r="N125" s="7">
        <f t="shared" si="11"/>
        <v>42709.84</v>
      </c>
      <c r="O125" s="7" t="str">
        <f t="shared" si="12"/>
        <v>HDFC 5930</v>
      </c>
    </row>
    <row r="126" spans="1:15" x14ac:dyDescent="0.25">
      <c r="A126" s="1">
        <v>45058</v>
      </c>
      <c r="B126" t="s">
        <v>473</v>
      </c>
      <c r="C126" s="1">
        <v>45057</v>
      </c>
      <c r="D126" s="2">
        <v>0</v>
      </c>
      <c r="E126" s="2">
        <v>398.35</v>
      </c>
      <c r="F126" s="2">
        <v>43108.19</v>
      </c>
      <c r="G126" t="s">
        <v>719</v>
      </c>
      <c r="H126" s="7">
        <f t="shared" si="13"/>
        <v>0</v>
      </c>
      <c r="I126" s="1">
        <f t="shared" si="7"/>
        <v>45058</v>
      </c>
      <c r="J126" s="1" t="str">
        <f t="shared" si="8"/>
        <v>NET PO FROM HSL A/C 347707-00602340029392</v>
      </c>
      <c r="L126" s="7">
        <f t="shared" si="9"/>
        <v>0</v>
      </c>
      <c r="M126" s="7">
        <f t="shared" si="10"/>
        <v>398.35</v>
      </c>
      <c r="N126" s="7">
        <f t="shared" si="11"/>
        <v>43108.19</v>
      </c>
      <c r="O126" s="7" t="str">
        <f t="shared" si="12"/>
        <v>HDFC 5930</v>
      </c>
    </row>
    <row r="127" spans="1:15" x14ac:dyDescent="0.25">
      <c r="A127" s="1">
        <v>45058</v>
      </c>
      <c r="B127" t="s">
        <v>472</v>
      </c>
      <c r="C127" s="1">
        <v>45058</v>
      </c>
      <c r="D127" s="2">
        <v>263.64999999999998</v>
      </c>
      <c r="E127" s="2">
        <v>0</v>
      </c>
      <c r="F127" s="2">
        <v>42844.54</v>
      </c>
      <c r="G127" t="s">
        <v>719</v>
      </c>
      <c r="H127" s="7">
        <f t="shared" si="13"/>
        <v>0</v>
      </c>
      <c r="I127" s="1">
        <f t="shared" si="7"/>
        <v>45058</v>
      </c>
      <c r="J127" s="1" t="str">
        <f t="shared" si="8"/>
        <v>NET PI TO HSL SEC A/C 347707-00602340029392</v>
      </c>
      <c r="L127" s="7">
        <f t="shared" si="9"/>
        <v>263.64999999999998</v>
      </c>
      <c r="M127" s="7">
        <f t="shared" si="10"/>
        <v>0</v>
      </c>
      <c r="N127" s="7">
        <f t="shared" si="11"/>
        <v>42844.54</v>
      </c>
      <c r="O127" s="7" t="str">
        <f t="shared" si="12"/>
        <v>HDFC 5930</v>
      </c>
    </row>
    <row r="128" spans="1:15" x14ac:dyDescent="0.25">
      <c r="A128" s="1">
        <v>45058</v>
      </c>
      <c r="B128" t="s">
        <v>472</v>
      </c>
      <c r="C128" s="1">
        <v>45058</v>
      </c>
      <c r="D128" s="2">
        <v>975.1</v>
      </c>
      <c r="E128" s="2">
        <v>0</v>
      </c>
      <c r="F128" s="2">
        <v>41869.440000000002</v>
      </c>
      <c r="G128" t="s">
        <v>719</v>
      </c>
      <c r="H128" s="7">
        <f t="shared" si="13"/>
        <v>0</v>
      </c>
      <c r="I128" s="1">
        <f t="shared" si="7"/>
        <v>45058</v>
      </c>
      <c r="J128" s="1" t="str">
        <f t="shared" si="8"/>
        <v>NET PI TO HSL SEC A/C 347707-00602340029392</v>
      </c>
      <c r="L128" s="7">
        <f t="shared" si="9"/>
        <v>975.1</v>
      </c>
      <c r="M128" s="7">
        <f t="shared" si="10"/>
        <v>0</v>
      </c>
      <c r="N128" s="7">
        <f t="shared" si="11"/>
        <v>41869.440000000002</v>
      </c>
      <c r="O128" s="7" t="str">
        <f t="shared" si="12"/>
        <v>HDFC 5930</v>
      </c>
    </row>
    <row r="129" spans="1:15" x14ac:dyDescent="0.25">
      <c r="A129" s="1">
        <v>45058</v>
      </c>
      <c r="B129" t="s">
        <v>473</v>
      </c>
      <c r="C129" s="1">
        <v>45058</v>
      </c>
      <c r="D129" s="2">
        <v>0</v>
      </c>
      <c r="E129" s="2">
        <v>730.66</v>
      </c>
      <c r="F129" s="2">
        <v>42600.1</v>
      </c>
      <c r="G129" t="s">
        <v>719</v>
      </c>
      <c r="H129" s="7">
        <f t="shared" si="13"/>
        <v>0</v>
      </c>
      <c r="I129" s="1">
        <f t="shared" si="7"/>
        <v>45058</v>
      </c>
      <c r="J129" s="1" t="str">
        <f t="shared" si="8"/>
        <v>NET PO FROM HSL A/C 347707-00602340029392</v>
      </c>
      <c r="L129" s="7">
        <f t="shared" si="9"/>
        <v>0</v>
      </c>
      <c r="M129" s="7">
        <f t="shared" si="10"/>
        <v>730.66</v>
      </c>
      <c r="N129" s="7">
        <f t="shared" si="11"/>
        <v>42600.1</v>
      </c>
      <c r="O129" s="7" t="str">
        <f t="shared" si="12"/>
        <v>HDFC 5930</v>
      </c>
    </row>
    <row r="130" spans="1:15" x14ac:dyDescent="0.25">
      <c r="A130" s="1">
        <v>45058</v>
      </c>
      <c r="B130" t="s">
        <v>472</v>
      </c>
      <c r="C130" s="1">
        <v>45058</v>
      </c>
      <c r="D130" s="2">
        <v>341.13</v>
      </c>
      <c r="E130" s="2">
        <v>0</v>
      </c>
      <c r="F130" s="2">
        <v>42258.97</v>
      </c>
      <c r="G130" t="s">
        <v>719</v>
      </c>
      <c r="H130" s="7">
        <f t="shared" si="13"/>
        <v>0</v>
      </c>
      <c r="I130" s="1">
        <f t="shared" si="7"/>
        <v>45058</v>
      </c>
      <c r="J130" s="1" t="str">
        <f t="shared" si="8"/>
        <v>NET PI TO HSL SEC A/C 347707-00602340029392</v>
      </c>
      <c r="L130" s="7">
        <f t="shared" si="9"/>
        <v>341.13</v>
      </c>
      <c r="M130" s="7">
        <f t="shared" si="10"/>
        <v>0</v>
      </c>
      <c r="N130" s="7">
        <f t="shared" si="11"/>
        <v>42258.97</v>
      </c>
      <c r="O130" s="7" t="str">
        <f t="shared" si="12"/>
        <v>HDFC 5930</v>
      </c>
    </row>
    <row r="131" spans="1:15" x14ac:dyDescent="0.25">
      <c r="A131" s="1">
        <v>45058</v>
      </c>
      <c r="B131" t="s">
        <v>473</v>
      </c>
      <c r="C131" s="1">
        <v>45058</v>
      </c>
      <c r="D131" s="2">
        <v>0</v>
      </c>
      <c r="E131" s="2">
        <v>341.13</v>
      </c>
      <c r="F131" s="2">
        <v>42600.1</v>
      </c>
      <c r="G131" t="s">
        <v>719</v>
      </c>
      <c r="H131" s="7">
        <f t="shared" si="13"/>
        <v>0</v>
      </c>
      <c r="I131" s="1">
        <f t="shared" si="7"/>
        <v>45058</v>
      </c>
      <c r="J131" s="1" t="str">
        <f t="shared" si="8"/>
        <v>NET PO FROM HSL A/C 347707-00602340029392</v>
      </c>
      <c r="L131" s="7">
        <f t="shared" si="9"/>
        <v>0</v>
      </c>
      <c r="M131" s="7">
        <f t="shared" si="10"/>
        <v>341.13</v>
      </c>
      <c r="N131" s="7">
        <f t="shared" si="11"/>
        <v>42600.1</v>
      </c>
      <c r="O131" s="7" t="str">
        <f t="shared" si="12"/>
        <v>HDFC 5930</v>
      </c>
    </row>
    <row r="132" spans="1:15" x14ac:dyDescent="0.25">
      <c r="A132" s="1">
        <v>45061</v>
      </c>
      <c r="B132" t="s">
        <v>480</v>
      </c>
      <c r="C132" s="1">
        <v>45061</v>
      </c>
      <c r="D132" s="2">
        <v>3000</v>
      </c>
      <c r="E132" s="2">
        <v>0</v>
      </c>
      <c r="F132" s="2">
        <v>39600.1</v>
      </c>
      <c r="G132" t="s">
        <v>719</v>
      </c>
      <c r="H132" s="7">
        <f t="shared" si="13"/>
        <v>0</v>
      </c>
      <c r="I132" s="1">
        <f t="shared" si="7"/>
        <v>45061</v>
      </c>
      <c r="J132" s="1" t="str">
        <f t="shared" si="8"/>
        <v>NET PAYIN TO BSE MF A/C -57500000389146- FROM A/C -01671000085930- UCC -347707-57500000389146</v>
      </c>
      <c r="L132" s="7">
        <f t="shared" si="9"/>
        <v>3000</v>
      </c>
      <c r="M132" s="7">
        <f t="shared" si="10"/>
        <v>0</v>
      </c>
      <c r="N132" s="7">
        <f t="shared" si="11"/>
        <v>39600.1</v>
      </c>
      <c r="O132" s="7" t="str">
        <f t="shared" si="12"/>
        <v>HDFC 5930</v>
      </c>
    </row>
    <row r="133" spans="1:15" x14ac:dyDescent="0.25">
      <c r="A133" s="1">
        <v>45061</v>
      </c>
      <c r="B133" t="s">
        <v>506</v>
      </c>
      <c r="C133" s="1">
        <v>45061</v>
      </c>
      <c r="D133" s="2">
        <v>1500</v>
      </c>
      <c r="E133" s="2">
        <v>0</v>
      </c>
      <c r="F133" s="2">
        <v>38100.1</v>
      </c>
      <c r="G133" t="s">
        <v>719</v>
      </c>
      <c r="H133" s="7">
        <f t="shared" si="13"/>
        <v>0</v>
      </c>
      <c r="I133" s="1">
        <f t="shared" si="7"/>
        <v>45061</v>
      </c>
      <c r="J133" s="1" t="str">
        <f t="shared" si="8"/>
        <v>ACH D- TP ACH INVESTOCAFE-1144264766</v>
      </c>
      <c r="L133" s="7">
        <f t="shared" si="9"/>
        <v>1500</v>
      </c>
      <c r="M133" s="7">
        <f t="shared" si="10"/>
        <v>0</v>
      </c>
      <c r="N133" s="7">
        <f t="shared" si="11"/>
        <v>38100.1</v>
      </c>
      <c r="O133" s="7" t="str">
        <f t="shared" si="12"/>
        <v>HDFC 5930</v>
      </c>
    </row>
    <row r="134" spans="1:15" x14ac:dyDescent="0.25">
      <c r="A134" s="1">
        <v>45061</v>
      </c>
      <c r="B134" t="s">
        <v>507</v>
      </c>
      <c r="C134" s="1">
        <v>45061</v>
      </c>
      <c r="D134" s="2">
        <v>2000</v>
      </c>
      <c r="E134" s="2">
        <v>0</v>
      </c>
      <c r="F134" s="2">
        <v>36100.1</v>
      </c>
      <c r="G134" t="s">
        <v>719</v>
      </c>
      <c r="H134" s="7">
        <f t="shared" si="13"/>
        <v>0</v>
      </c>
      <c r="I134" s="1">
        <f t="shared" si="7"/>
        <v>45061</v>
      </c>
      <c r="J134" s="1" t="str">
        <f t="shared" si="8"/>
        <v>ACH D- TP ACH INVESTOCAFE-1144264767</v>
      </c>
      <c r="L134" s="7">
        <f t="shared" si="9"/>
        <v>2000</v>
      </c>
      <c r="M134" s="7">
        <f t="shared" si="10"/>
        <v>0</v>
      </c>
      <c r="N134" s="7">
        <f t="shared" si="11"/>
        <v>36100.1</v>
      </c>
      <c r="O134" s="7" t="str">
        <f t="shared" si="12"/>
        <v>HDFC 5930</v>
      </c>
    </row>
    <row r="135" spans="1:15" x14ac:dyDescent="0.25">
      <c r="A135" s="1">
        <v>45061</v>
      </c>
      <c r="B135" t="s">
        <v>472</v>
      </c>
      <c r="C135" s="1">
        <v>45061</v>
      </c>
      <c r="D135" s="2">
        <v>806.37</v>
      </c>
      <c r="E135" s="2">
        <v>0</v>
      </c>
      <c r="F135" s="2">
        <v>35293.730000000003</v>
      </c>
      <c r="G135" t="s">
        <v>719</v>
      </c>
      <c r="H135" s="7">
        <f t="shared" si="13"/>
        <v>0</v>
      </c>
      <c r="I135" s="1">
        <f t="shared" si="7"/>
        <v>45061</v>
      </c>
      <c r="J135" s="1" t="str">
        <f t="shared" si="8"/>
        <v>NET PI TO HSL SEC A/C 347707-00602340029392</v>
      </c>
      <c r="L135" s="7">
        <f t="shared" si="9"/>
        <v>806.37</v>
      </c>
      <c r="M135" s="7">
        <f t="shared" si="10"/>
        <v>0</v>
      </c>
      <c r="N135" s="7">
        <f t="shared" si="11"/>
        <v>35293.730000000003</v>
      </c>
      <c r="O135" s="7" t="str">
        <f t="shared" si="12"/>
        <v>HDFC 5930</v>
      </c>
    </row>
    <row r="136" spans="1:15" x14ac:dyDescent="0.25">
      <c r="A136" s="1">
        <v>45061</v>
      </c>
      <c r="B136" t="s">
        <v>472</v>
      </c>
      <c r="C136" s="1">
        <v>45061</v>
      </c>
      <c r="D136" s="2">
        <v>16661.55</v>
      </c>
      <c r="E136" s="2">
        <v>0</v>
      </c>
      <c r="F136" s="2">
        <v>18632.18</v>
      </c>
      <c r="G136" t="s">
        <v>719</v>
      </c>
      <c r="H136" s="7">
        <f t="shared" si="13"/>
        <v>0</v>
      </c>
      <c r="I136" s="1">
        <f t="shared" si="7"/>
        <v>45061</v>
      </c>
      <c r="J136" s="1" t="str">
        <f t="shared" si="8"/>
        <v>NET PI TO HSL SEC A/C 347707-00602340029392</v>
      </c>
      <c r="L136" s="7">
        <f t="shared" si="9"/>
        <v>16661.55</v>
      </c>
      <c r="M136" s="7">
        <f t="shared" si="10"/>
        <v>0</v>
      </c>
      <c r="N136" s="7">
        <f t="shared" si="11"/>
        <v>18632.18</v>
      </c>
      <c r="O136" s="7" t="str">
        <f t="shared" si="12"/>
        <v>HDFC 5930</v>
      </c>
    </row>
    <row r="137" spans="1:15" x14ac:dyDescent="0.25">
      <c r="A137" s="1">
        <v>45062</v>
      </c>
      <c r="B137" t="s">
        <v>472</v>
      </c>
      <c r="C137" s="1">
        <v>45062</v>
      </c>
      <c r="D137" s="2">
        <v>260.57</v>
      </c>
      <c r="E137" s="2">
        <v>0</v>
      </c>
      <c r="F137" s="2">
        <v>18371.61</v>
      </c>
      <c r="G137" t="s">
        <v>719</v>
      </c>
      <c r="H137" s="7">
        <f t="shared" si="13"/>
        <v>0</v>
      </c>
      <c r="I137" s="1">
        <f t="shared" si="7"/>
        <v>45062</v>
      </c>
      <c r="J137" s="1" t="str">
        <f t="shared" si="8"/>
        <v>NET PI TO HSL SEC A/C 347707-00602340029392</v>
      </c>
      <c r="L137" s="7">
        <f t="shared" si="9"/>
        <v>260.57</v>
      </c>
      <c r="M137" s="7">
        <f t="shared" si="10"/>
        <v>0</v>
      </c>
      <c r="N137" s="7">
        <f t="shared" si="11"/>
        <v>18371.61</v>
      </c>
      <c r="O137" s="7" t="str">
        <f t="shared" si="12"/>
        <v>HDFC 5930</v>
      </c>
    </row>
    <row r="138" spans="1:15" x14ac:dyDescent="0.25">
      <c r="A138" s="1">
        <v>45062</v>
      </c>
      <c r="B138" t="s">
        <v>472</v>
      </c>
      <c r="C138" s="1">
        <v>45062</v>
      </c>
      <c r="D138" s="2">
        <v>34.880000000000003</v>
      </c>
      <c r="E138" s="2">
        <v>0</v>
      </c>
      <c r="F138" s="2">
        <v>18336.73</v>
      </c>
      <c r="G138" t="s">
        <v>719</v>
      </c>
      <c r="H138" s="7">
        <f t="shared" si="13"/>
        <v>0</v>
      </c>
      <c r="I138" s="1">
        <f t="shared" si="7"/>
        <v>45062</v>
      </c>
      <c r="J138" s="1" t="str">
        <f t="shared" si="8"/>
        <v>NET PI TO HSL SEC A/C 347707-00602340029392</v>
      </c>
      <c r="L138" s="7">
        <f t="shared" si="9"/>
        <v>34.880000000000003</v>
      </c>
      <c r="M138" s="7">
        <f t="shared" si="10"/>
        <v>0</v>
      </c>
      <c r="N138" s="7">
        <f t="shared" si="11"/>
        <v>18336.73</v>
      </c>
      <c r="O138" s="7" t="str">
        <f t="shared" si="12"/>
        <v>HDFC 5930</v>
      </c>
    </row>
    <row r="139" spans="1:15" x14ac:dyDescent="0.25">
      <c r="A139" s="1">
        <v>45062</v>
      </c>
      <c r="B139" t="s">
        <v>472</v>
      </c>
      <c r="C139" s="1">
        <v>45062</v>
      </c>
      <c r="D139" s="2">
        <v>7529.71</v>
      </c>
      <c r="E139" s="2">
        <v>0</v>
      </c>
      <c r="F139" s="2">
        <v>10807.02</v>
      </c>
      <c r="G139" t="s">
        <v>719</v>
      </c>
      <c r="H139" s="7">
        <f t="shared" si="13"/>
        <v>0</v>
      </c>
      <c r="I139" s="1">
        <f t="shared" si="7"/>
        <v>45062</v>
      </c>
      <c r="J139" s="1" t="str">
        <f t="shared" si="8"/>
        <v>NET PI TO HSL SEC A/C 347707-00602340029392</v>
      </c>
      <c r="L139" s="7">
        <f t="shared" si="9"/>
        <v>7529.71</v>
      </c>
      <c r="M139" s="7">
        <f t="shared" si="10"/>
        <v>0</v>
      </c>
      <c r="N139" s="7">
        <f t="shared" si="11"/>
        <v>10807.02</v>
      </c>
      <c r="O139" s="7" t="str">
        <f t="shared" si="12"/>
        <v>HDFC 5930</v>
      </c>
    </row>
    <row r="140" spans="1:15" x14ac:dyDescent="0.25">
      <c r="A140" s="1">
        <v>45062</v>
      </c>
      <c r="B140" t="s">
        <v>473</v>
      </c>
      <c r="C140" s="1">
        <v>45062</v>
      </c>
      <c r="D140" s="2">
        <v>0</v>
      </c>
      <c r="E140" s="2">
        <v>7529.71</v>
      </c>
      <c r="F140" s="2">
        <v>18336.73</v>
      </c>
      <c r="G140" t="s">
        <v>719</v>
      </c>
      <c r="H140" s="7">
        <f t="shared" si="13"/>
        <v>0</v>
      </c>
      <c r="I140" s="1">
        <f t="shared" si="7"/>
        <v>45062</v>
      </c>
      <c r="J140" s="1" t="str">
        <f t="shared" si="8"/>
        <v>NET PO FROM HSL A/C 347707-00602340029392</v>
      </c>
      <c r="L140" s="7">
        <f t="shared" si="9"/>
        <v>0</v>
      </c>
      <c r="M140" s="7">
        <f t="shared" si="10"/>
        <v>7529.71</v>
      </c>
      <c r="N140" s="7">
        <f t="shared" si="11"/>
        <v>18336.73</v>
      </c>
      <c r="O140" s="7" t="str">
        <f t="shared" si="12"/>
        <v>HDFC 5930</v>
      </c>
    </row>
    <row r="141" spans="1:15" x14ac:dyDescent="0.25">
      <c r="A141" s="1">
        <v>45063</v>
      </c>
      <c r="B141" t="s">
        <v>473</v>
      </c>
      <c r="C141" s="1">
        <v>45063</v>
      </c>
      <c r="D141" s="2">
        <v>0</v>
      </c>
      <c r="E141" s="2">
        <v>4962.8500000000004</v>
      </c>
      <c r="F141" s="2">
        <v>23299.58</v>
      </c>
      <c r="G141" t="s">
        <v>719</v>
      </c>
      <c r="H141" s="7">
        <f t="shared" si="13"/>
        <v>0</v>
      </c>
      <c r="I141" s="1">
        <f t="shared" si="7"/>
        <v>45063</v>
      </c>
      <c r="J141" s="1" t="str">
        <f t="shared" si="8"/>
        <v>NET PO FROM HSL A/C 347707-00602340029392</v>
      </c>
      <c r="L141" s="7">
        <f t="shared" si="9"/>
        <v>0</v>
      </c>
      <c r="M141" s="7">
        <f t="shared" si="10"/>
        <v>4962.8500000000004</v>
      </c>
      <c r="N141" s="7">
        <f t="shared" si="11"/>
        <v>23299.58</v>
      </c>
      <c r="O141" s="7" t="str">
        <f t="shared" si="12"/>
        <v>HDFC 5930</v>
      </c>
    </row>
    <row r="142" spans="1:15" x14ac:dyDescent="0.25">
      <c r="A142" s="1">
        <v>45063</v>
      </c>
      <c r="B142" t="s">
        <v>508</v>
      </c>
      <c r="C142" s="1">
        <v>45063</v>
      </c>
      <c r="D142" s="2">
        <v>1062</v>
      </c>
      <c r="E142" s="2">
        <v>0</v>
      </c>
      <c r="F142" s="2">
        <v>22237.58</v>
      </c>
      <c r="G142" t="s">
        <v>719</v>
      </c>
      <c r="H142" s="7">
        <f t="shared" si="13"/>
        <v>0</v>
      </c>
      <c r="I142" s="1">
        <f t="shared" si="7"/>
        <v>45063</v>
      </c>
      <c r="J142" s="1" t="str">
        <f t="shared" si="8"/>
        <v>DEPOSITORY CHARGES APR23 - 40227714</v>
      </c>
      <c r="L142" s="7">
        <f t="shared" si="9"/>
        <v>1062</v>
      </c>
      <c r="M142" s="7">
        <f t="shared" si="10"/>
        <v>0</v>
      </c>
      <c r="N142" s="7">
        <f t="shared" si="11"/>
        <v>22237.58</v>
      </c>
      <c r="O142" s="7" t="str">
        <f t="shared" si="12"/>
        <v>HDFC 5930</v>
      </c>
    </row>
    <row r="143" spans="1:15" x14ac:dyDescent="0.25">
      <c r="A143" s="1">
        <v>45063</v>
      </c>
      <c r="B143" t="s">
        <v>509</v>
      </c>
      <c r="C143" s="1">
        <v>45063</v>
      </c>
      <c r="D143" s="2">
        <v>2000</v>
      </c>
      <c r="E143" s="2">
        <v>0</v>
      </c>
      <c r="F143" s="2">
        <v>20237.580000000002</v>
      </c>
      <c r="G143" t="s">
        <v>719</v>
      </c>
      <c r="H143" s="7">
        <f t="shared" si="13"/>
        <v>0</v>
      </c>
      <c r="I143" s="1">
        <f t="shared" si="7"/>
        <v>45063</v>
      </c>
      <c r="J143" s="1" t="str">
        <f t="shared" si="8"/>
        <v>ACH D- TP ACH INVESTOCAFE-1145740898</v>
      </c>
      <c r="L143" s="7">
        <f t="shared" si="9"/>
        <v>2000</v>
      </c>
      <c r="M143" s="7">
        <f t="shared" si="10"/>
        <v>0</v>
      </c>
      <c r="N143" s="7">
        <f t="shared" si="11"/>
        <v>20237.580000000002</v>
      </c>
      <c r="O143" s="7" t="str">
        <f t="shared" si="12"/>
        <v>HDFC 5930</v>
      </c>
    </row>
    <row r="144" spans="1:15" x14ac:dyDescent="0.25">
      <c r="A144" s="1">
        <v>45063</v>
      </c>
      <c r="B144" t="s">
        <v>472</v>
      </c>
      <c r="C144" s="1">
        <v>45063</v>
      </c>
      <c r="D144" s="2">
        <v>260.55</v>
      </c>
      <c r="E144" s="2">
        <v>0</v>
      </c>
      <c r="F144" s="2">
        <v>19977.03</v>
      </c>
      <c r="G144" t="s">
        <v>719</v>
      </c>
      <c r="H144" s="7">
        <f t="shared" si="13"/>
        <v>0</v>
      </c>
      <c r="I144" s="1">
        <f t="shared" si="7"/>
        <v>45063</v>
      </c>
      <c r="J144" s="1" t="str">
        <f t="shared" si="8"/>
        <v>NET PI TO HSL SEC A/C 347707-00602340029392</v>
      </c>
      <c r="L144" s="7">
        <f t="shared" si="9"/>
        <v>260.55</v>
      </c>
      <c r="M144" s="7">
        <f t="shared" si="10"/>
        <v>0</v>
      </c>
      <c r="N144" s="7">
        <f t="shared" si="11"/>
        <v>19977.03</v>
      </c>
      <c r="O144" s="7" t="str">
        <f t="shared" si="12"/>
        <v>HDFC 5930</v>
      </c>
    </row>
    <row r="145" spans="1:15" x14ac:dyDescent="0.25">
      <c r="A145" s="1">
        <v>45063</v>
      </c>
      <c r="B145" t="s">
        <v>472</v>
      </c>
      <c r="C145" s="1">
        <v>45063</v>
      </c>
      <c r="D145" s="2">
        <v>2542.54</v>
      </c>
      <c r="E145" s="2">
        <v>0</v>
      </c>
      <c r="F145" s="2">
        <v>17434.490000000002</v>
      </c>
      <c r="G145" t="s">
        <v>719</v>
      </c>
      <c r="H145" s="7">
        <f t="shared" si="13"/>
        <v>0</v>
      </c>
      <c r="I145" s="1">
        <f t="shared" si="7"/>
        <v>45063</v>
      </c>
      <c r="J145" s="1" t="str">
        <f t="shared" si="8"/>
        <v>NET PI TO HSL SEC A/C 347707-00602340029392</v>
      </c>
      <c r="L145" s="7">
        <f t="shared" si="9"/>
        <v>2542.54</v>
      </c>
      <c r="M145" s="7">
        <f t="shared" si="10"/>
        <v>0</v>
      </c>
      <c r="N145" s="7">
        <f t="shared" si="11"/>
        <v>17434.490000000002</v>
      </c>
      <c r="O145" s="7" t="str">
        <f t="shared" si="12"/>
        <v>HDFC 5930</v>
      </c>
    </row>
    <row r="146" spans="1:15" x14ac:dyDescent="0.25">
      <c r="A146" s="1">
        <v>45063</v>
      </c>
      <c r="B146" t="s">
        <v>473</v>
      </c>
      <c r="C146" s="1">
        <v>45063</v>
      </c>
      <c r="D146" s="2">
        <v>0</v>
      </c>
      <c r="E146" s="2">
        <v>2451.6999999999998</v>
      </c>
      <c r="F146" s="2">
        <v>19886.189999999999</v>
      </c>
      <c r="G146" t="s">
        <v>719</v>
      </c>
      <c r="H146" s="7">
        <f t="shared" si="13"/>
        <v>0</v>
      </c>
      <c r="I146" s="1">
        <f t="shared" ref="I146:I209" si="14">A146</f>
        <v>45063</v>
      </c>
      <c r="J146" s="1" t="str">
        <f t="shared" ref="J146:J209" si="15">B146</f>
        <v>NET PO FROM HSL A/C 347707-00602340029392</v>
      </c>
      <c r="L146" s="7">
        <f t="shared" ref="L146:L209" si="16">D146</f>
        <v>0</v>
      </c>
      <c r="M146" s="7">
        <f t="shared" ref="M146:M209" si="17">E146</f>
        <v>2451.6999999999998</v>
      </c>
      <c r="N146" s="7">
        <f t="shared" ref="N146:N209" si="18">F146</f>
        <v>19886.189999999999</v>
      </c>
      <c r="O146" s="7" t="str">
        <f t="shared" ref="O146:O209" si="19">G146</f>
        <v>HDFC 5930</v>
      </c>
    </row>
    <row r="147" spans="1:15" x14ac:dyDescent="0.25">
      <c r="A147" s="1">
        <v>45064</v>
      </c>
      <c r="B147" t="s">
        <v>473</v>
      </c>
      <c r="C147" s="1">
        <v>45064</v>
      </c>
      <c r="D147" s="2">
        <v>0</v>
      </c>
      <c r="E147" s="2">
        <v>5387.08</v>
      </c>
      <c r="F147" s="2">
        <v>25273.27</v>
      </c>
      <c r="G147" t="s">
        <v>719</v>
      </c>
      <c r="H147" s="7">
        <f t="shared" ref="H147:H210" si="20">F146-D147+E147-F147</f>
        <v>0</v>
      </c>
      <c r="I147" s="1">
        <f t="shared" si="14"/>
        <v>45064</v>
      </c>
      <c r="J147" s="1" t="str">
        <f t="shared" si="15"/>
        <v>NET PO FROM HSL A/C 347707-00602340029392</v>
      </c>
      <c r="L147" s="7">
        <f t="shared" si="16"/>
        <v>0</v>
      </c>
      <c r="M147" s="7">
        <f t="shared" si="17"/>
        <v>5387.08</v>
      </c>
      <c r="N147" s="7">
        <f t="shared" si="18"/>
        <v>25273.27</v>
      </c>
      <c r="O147" s="7" t="str">
        <f t="shared" si="19"/>
        <v>HDFC 5930</v>
      </c>
    </row>
    <row r="148" spans="1:15" x14ac:dyDescent="0.25">
      <c r="A148" s="1">
        <v>45064</v>
      </c>
      <c r="B148" t="s">
        <v>510</v>
      </c>
      <c r="C148" s="1">
        <v>45064</v>
      </c>
      <c r="D148" s="2">
        <v>0</v>
      </c>
      <c r="E148" s="2">
        <v>1125</v>
      </c>
      <c r="F148" s="2">
        <v>26398.27</v>
      </c>
      <c r="G148" t="s">
        <v>719</v>
      </c>
      <c r="H148" s="7">
        <f t="shared" si="20"/>
        <v>0</v>
      </c>
      <c r="I148" s="1">
        <f t="shared" si="14"/>
        <v>45064</v>
      </c>
      <c r="J148" s="1" t="str">
        <f t="shared" si="15"/>
        <v>ACH C- ORACLEFINANCIALSER-00000000000000</v>
      </c>
      <c r="L148" s="7">
        <f t="shared" si="16"/>
        <v>0</v>
      </c>
      <c r="M148" s="7">
        <f t="shared" si="17"/>
        <v>1125</v>
      </c>
      <c r="N148" s="7">
        <f t="shared" si="18"/>
        <v>26398.27</v>
      </c>
      <c r="O148" s="7" t="str">
        <f t="shared" si="19"/>
        <v>HDFC 5930</v>
      </c>
    </row>
    <row r="149" spans="1:15" x14ac:dyDescent="0.25">
      <c r="A149" s="1">
        <v>45064</v>
      </c>
      <c r="B149" t="s">
        <v>472</v>
      </c>
      <c r="C149" s="1">
        <v>45064</v>
      </c>
      <c r="D149" s="2">
        <v>259.3</v>
      </c>
      <c r="E149" s="2">
        <v>0</v>
      </c>
      <c r="F149" s="2">
        <v>26138.97</v>
      </c>
      <c r="G149" t="s">
        <v>719</v>
      </c>
      <c r="H149" s="7">
        <f t="shared" si="20"/>
        <v>0</v>
      </c>
      <c r="I149" s="1">
        <f t="shared" si="14"/>
        <v>45064</v>
      </c>
      <c r="J149" s="1" t="str">
        <f t="shared" si="15"/>
        <v>NET PI TO HSL SEC A/C 347707-00602340029392</v>
      </c>
      <c r="L149" s="7">
        <f t="shared" si="16"/>
        <v>259.3</v>
      </c>
      <c r="M149" s="7">
        <f t="shared" si="17"/>
        <v>0</v>
      </c>
      <c r="N149" s="7">
        <f t="shared" si="18"/>
        <v>26138.97</v>
      </c>
      <c r="O149" s="7" t="str">
        <f t="shared" si="19"/>
        <v>HDFC 5930</v>
      </c>
    </row>
    <row r="150" spans="1:15" x14ac:dyDescent="0.25">
      <c r="A150" s="1">
        <v>45064</v>
      </c>
      <c r="B150" t="s">
        <v>511</v>
      </c>
      <c r="C150" s="1">
        <v>45064</v>
      </c>
      <c r="D150" s="2">
        <v>0</v>
      </c>
      <c r="E150" s="2">
        <v>129.43</v>
      </c>
      <c r="F150" s="2">
        <v>26268.400000000001</v>
      </c>
      <c r="G150" t="s">
        <v>719</v>
      </c>
      <c r="H150" s="7">
        <f t="shared" si="20"/>
        <v>0</v>
      </c>
      <c r="I150" s="1">
        <f t="shared" si="14"/>
        <v>45064</v>
      </c>
      <c r="J150" s="1" t="str">
        <f t="shared" si="15"/>
        <v>00012050001396HLY INT-IN0020200286</v>
      </c>
      <c r="L150" s="7">
        <f t="shared" si="16"/>
        <v>0</v>
      </c>
      <c r="M150" s="7">
        <f t="shared" si="17"/>
        <v>129.43</v>
      </c>
      <c r="N150" s="7">
        <f t="shared" si="18"/>
        <v>26268.400000000001</v>
      </c>
      <c r="O150" s="7" t="str">
        <f t="shared" si="19"/>
        <v>HDFC 5930</v>
      </c>
    </row>
    <row r="151" spans="1:15" x14ac:dyDescent="0.25">
      <c r="A151" s="1">
        <v>45064</v>
      </c>
      <c r="B151" t="s">
        <v>472</v>
      </c>
      <c r="C151" s="1">
        <v>45064</v>
      </c>
      <c r="D151" s="2">
        <v>2544.04</v>
      </c>
      <c r="E151" s="2">
        <v>0</v>
      </c>
      <c r="F151" s="2">
        <v>23724.36</v>
      </c>
      <c r="G151" t="s">
        <v>719</v>
      </c>
      <c r="H151" s="7">
        <f t="shared" si="20"/>
        <v>0</v>
      </c>
      <c r="I151" s="1">
        <f t="shared" si="14"/>
        <v>45064</v>
      </c>
      <c r="J151" s="1" t="str">
        <f t="shared" si="15"/>
        <v>NET PI TO HSL SEC A/C 347707-00602340029392</v>
      </c>
      <c r="L151" s="7">
        <f t="shared" si="16"/>
        <v>2544.04</v>
      </c>
      <c r="M151" s="7">
        <f t="shared" si="17"/>
        <v>0</v>
      </c>
      <c r="N151" s="7">
        <f t="shared" si="18"/>
        <v>23724.36</v>
      </c>
      <c r="O151" s="7" t="str">
        <f t="shared" si="19"/>
        <v>HDFC 5930</v>
      </c>
    </row>
    <row r="152" spans="1:15" x14ac:dyDescent="0.25">
      <c r="A152" s="1">
        <v>45065</v>
      </c>
      <c r="B152" t="s">
        <v>473</v>
      </c>
      <c r="C152" s="1">
        <v>45064</v>
      </c>
      <c r="D152" s="2">
        <v>0</v>
      </c>
      <c r="E152" s="2">
        <v>625.20000000000005</v>
      </c>
      <c r="F152" s="2">
        <v>24349.56</v>
      </c>
      <c r="G152" t="s">
        <v>719</v>
      </c>
      <c r="H152" s="7">
        <f t="shared" si="20"/>
        <v>0</v>
      </c>
      <c r="I152" s="1">
        <f t="shared" si="14"/>
        <v>45065</v>
      </c>
      <c r="J152" s="1" t="str">
        <f t="shared" si="15"/>
        <v>NET PO FROM HSL A/C 347707-00602340029392</v>
      </c>
      <c r="L152" s="7">
        <f t="shared" si="16"/>
        <v>0</v>
      </c>
      <c r="M152" s="7">
        <f t="shared" si="17"/>
        <v>625.20000000000005</v>
      </c>
      <c r="N152" s="7">
        <f t="shared" si="18"/>
        <v>24349.56</v>
      </c>
      <c r="O152" s="7" t="str">
        <f t="shared" si="19"/>
        <v>HDFC 5930</v>
      </c>
    </row>
    <row r="153" spans="1:15" x14ac:dyDescent="0.25">
      <c r="A153" s="1">
        <v>45065</v>
      </c>
      <c r="B153" t="s">
        <v>472</v>
      </c>
      <c r="C153" s="1">
        <v>45065</v>
      </c>
      <c r="D153" s="2">
        <v>258.04000000000002</v>
      </c>
      <c r="E153" s="2">
        <v>0</v>
      </c>
      <c r="F153" s="2">
        <v>24091.52</v>
      </c>
      <c r="G153" t="s">
        <v>719</v>
      </c>
      <c r="H153" s="7">
        <f t="shared" si="20"/>
        <v>0</v>
      </c>
      <c r="I153" s="1">
        <f t="shared" si="14"/>
        <v>45065</v>
      </c>
      <c r="J153" s="1" t="str">
        <f t="shared" si="15"/>
        <v>NET PI TO HSL SEC A/C 347707-00602340029392</v>
      </c>
      <c r="L153" s="7">
        <f t="shared" si="16"/>
        <v>258.04000000000002</v>
      </c>
      <c r="M153" s="7">
        <f t="shared" si="17"/>
        <v>0</v>
      </c>
      <c r="N153" s="7">
        <f t="shared" si="18"/>
        <v>24091.52</v>
      </c>
      <c r="O153" s="7" t="str">
        <f t="shared" si="19"/>
        <v>HDFC 5930</v>
      </c>
    </row>
    <row r="154" spans="1:15" x14ac:dyDescent="0.25">
      <c r="A154" s="1">
        <v>45065</v>
      </c>
      <c r="B154" t="s">
        <v>472</v>
      </c>
      <c r="C154" s="1">
        <v>45065</v>
      </c>
      <c r="D154" s="2">
        <v>3838.59</v>
      </c>
      <c r="E154" s="2">
        <v>0</v>
      </c>
      <c r="F154" s="2">
        <v>20252.93</v>
      </c>
      <c r="G154" t="s">
        <v>719</v>
      </c>
      <c r="H154" s="7">
        <f t="shared" si="20"/>
        <v>0</v>
      </c>
      <c r="I154" s="1">
        <f t="shared" si="14"/>
        <v>45065</v>
      </c>
      <c r="J154" s="1" t="str">
        <f t="shared" si="15"/>
        <v>NET PI TO HSL SEC A/C 347707-00602340029392</v>
      </c>
      <c r="L154" s="7">
        <f t="shared" si="16"/>
        <v>3838.59</v>
      </c>
      <c r="M154" s="7">
        <f t="shared" si="17"/>
        <v>0</v>
      </c>
      <c r="N154" s="7">
        <f t="shared" si="18"/>
        <v>20252.93</v>
      </c>
      <c r="O154" s="7" t="str">
        <f t="shared" si="19"/>
        <v>HDFC 5930</v>
      </c>
    </row>
    <row r="155" spans="1:15" x14ac:dyDescent="0.25">
      <c r="A155" s="1">
        <v>45068</v>
      </c>
      <c r="B155" t="s">
        <v>480</v>
      </c>
      <c r="C155" s="1">
        <v>45068</v>
      </c>
      <c r="D155" s="2">
        <v>3000</v>
      </c>
      <c r="E155" s="2">
        <v>0</v>
      </c>
      <c r="F155" s="2">
        <v>17252.93</v>
      </c>
      <c r="G155" t="s">
        <v>719</v>
      </c>
      <c r="H155" s="7">
        <f t="shared" si="20"/>
        <v>0</v>
      </c>
      <c r="I155" s="1">
        <f t="shared" si="14"/>
        <v>45068</v>
      </c>
      <c r="J155" s="1" t="str">
        <f t="shared" si="15"/>
        <v>NET PAYIN TO BSE MF A/C -57500000389146- FROM A/C -01671000085930- UCC -347707-57500000389146</v>
      </c>
      <c r="L155" s="7">
        <f t="shared" si="16"/>
        <v>3000</v>
      </c>
      <c r="M155" s="7">
        <f t="shared" si="17"/>
        <v>0</v>
      </c>
      <c r="N155" s="7">
        <f t="shared" si="18"/>
        <v>17252.93</v>
      </c>
      <c r="O155" s="7" t="str">
        <f t="shared" si="19"/>
        <v>HDFC 5930</v>
      </c>
    </row>
    <row r="156" spans="1:15" x14ac:dyDescent="0.25">
      <c r="A156" s="1">
        <v>45068</v>
      </c>
      <c r="B156" t="s">
        <v>512</v>
      </c>
      <c r="C156" s="1">
        <v>45068</v>
      </c>
      <c r="D156" s="2">
        <v>0</v>
      </c>
      <c r="E156" s="2">
        <v>1885</v>
      </c>
      <c r="F156" s="2">
        <v>19137.93</v>
      </c>
      <c r="G156" t="s">
        <v>719</v>
      </c>
      <c r="H156" s="7">
        <f t="shared" si="20"/>
        <v>0</v>
      </c>
      <c r="I156" s="1">
        <f t="shared" si="14"/>
        <v>45068</v>
      </c>
      <c r="J156" s="1" t="str">
        <f t="shared" si="15"/>
        <v>ACH C- SANOFIINDI DIV PYMT-71PR23051805A</v>
      </c>
      <c r="L156" s="7">
        <f t="shared" si="16"/>
        <v>0</v>
      </c>
      <c r="M156" s="7">
        <f t="shared" si="17"/>
        <v>1885</v>
      </c>
      <c r="N156" s="7">
        <f t="shared" si="18"/>
        <v>19137.93</v>
      </c>
      <c r="O156" s="7" t="str">
        <f t="shared" si="19"/>
        <v>HDFC 5930</v>
      </c>
    </row>
    <row r="157" spans="1:15" x14ac:dyDescent="0.25">
      <c r="A157" s="1">
        <v>45068</v>
      </c>
      <c r="B157" t="s">
        <v>513</v>
      </c>
      <c r="C157" s="1">
        <v>45068</v>
      </c>
      <c r="D157" s="2">
        <v>2000</v>
      </c>
      <c r="E157" s="2">
        <v>0</v>
      </c>
      <c r="F157" s="2">
        <v>17137.93</v>
      </c>
      <c r="G157" t="s">
        <v>719</v>
      </c>
      <c r="H157" s="7">
        <f t="shared" si="20"/>
        <v>0</v>
      </c>
      <c r="I157" s="1">
        <f t="shared" si="14"/>
        <v>45068</v>
      </c>
      <c r="J157" s="1" t="str">
        <f t="shared" si="15"/>
        <v>ACH D- TP ACH INVESTOCAFE-1147861201</v>
      </c>
      <c r="L157" s="7">
        <f t="shared" si="16"/>
        <v>2000</v>
      </c>
      <c r="M157" s="7">
        <f t="shared" si="17"/>
        <v>0</v>
      </c>
      <c r="N157" s="7">
        <f t="shared" si="18"/>
        <v>17137.93</v>
      </c>
      <c r="O157" s="7" t="str">
        <f t="shared" si="19"/>
        <v>HDFC 5930</v>
      </c>
    </row>
    <row r="158" spans="1:15" x14ac:dyDescent="0.25">
      <c r="A158" s="1">
        <v>45068</v>
      </c>
      <c r="B158" t="s">
        <v>514</v>
      </c>
      <c r="C158" s="1">
        <v>45068</v>
      </c>
      <c r="D158" s="2">
        <v>2500</v>
      </c>
      <c r="E158" s="2">
        <v>0</v>
      </c>
      <c r="F158" s="2">
        <v>14637.93</v>
      </c>
      <c r="G158" t="s">
        <v>719</v>
      </c>
      <c r="H158" s="7">
        <f t="shared" si="20"/>
        <v>0</v>
      </c>
      <c r="I158" s="1">
        <f t="shared" si="14"/>
        <v>45068</v>
      </c>
      <c r="J158" s="1" t="str">
        <f t="shared" si="15"/>
        <v>ACH D- TP ACH INVESTOCAFE-1147861202</v>
      </c>
      <c r="L158" s="7">
        <f t="shared" si="16"/>
        <v>2500</v>
      </c>
      <c r="M158" s="7">
        <f t="shared" si="17"/>
        <v>0</v>
      </c>
      <c r="N158" s="7">
        <f t="shared" si="18"/>
        <v>14637.93</v>
      </c>
      <c r="O158" s="7" t="str">
        <f t="shared" si="19"/>
        <v>HDFC 5930</v>
      </c>
    </row>
    <row r="159" spans="1:15" x14ac:dyDescent="0.25">
      <c r="A159" s="1">
        <v>45068</v>
      </c>
      <c r="B159" t="s">
        <v>472</v>
      </c>
      <c r="C159" s="1">
        <v>45068</v>
      </c>
      <c r="D159" s="2">
        <v>768.45</v>
      </c>
      <c r="E159" s="2">
        <v>0</v>
      </c>
      <c r="F159" s="2">
        <v>13869.48</v>
      </c>
      <c r="G159" t="s">
        <v>719</v>
      </c>
      <c r="H159" s="7">
        <f t="shared" si="20"/>
        <v>0</v>
      </c>
      <c r="I159" s="1">
        <f t="shared" si="14"/>
        <v>45068</v>
      </c>
      <c r="J159" s="1" t="str">
        <f t="shared" si="15"/>
        <v>NET PI TO HSL SEC A/C 347707-00602340029392</v>
      </c>
      <c r="L159" s="7">
        <f t="shared" si="16"/>
        <v>768.45</v>
      </c>
      <c r="M159" s="7">
        <f t="shared" si="17"/>
        <v>0</v>
      </c>
      <c r="N159" s="7">
        <f t="shared" si="18"/>
        <v>13869.48</v>
      </c>
      <c r="O159" s="7" t="str">
        <f t="shared" si="19"/>
        <v>HDFC 5930</v>
      </c>
    </row>
    <row r="160" spans="1:15" x14ac:dyDescent="0.25">
      <c r="A160" s="1">
        <v>45068</v>
      </c>
      <c r="B160" t="s">
        <v>515</v>
      </c>
      <c r="C160" s="1">
        <v>45068</v>
      </c>
      <c r="D160" s="2">
        <v>0</v>
      </c>
      <c r="E160" s="2">
        <v>20000</v>
      </c>
      <c r="F160" s="2">
        <v>33869.480000000003</v>
      </c>
      <c r="G160" t="s">
        <v>719</v>
      </c>
      <c r="H160" s="7">
        <f t="shared" si="20"/>
        <v>0</v>
      </c>
      <c r="I160" s="1">
        <f t="shared" si="14"/>
        <v>45068</v>
      </c>
      <c r="J160" s="1" t="str">
        <f t="shared" si="15"/>
        <v>50100128155413-TPT-BORROW FROM AAYUSH-AAYUSH KUMAR GUPTA</v>
      </c>
      <c r="L160" s="7">
        <f t="shared" si="16"/>
        <v>0</v>
      </c>
      <c r="M160" s="7">
        <f t="shared" si="17"/>
        <v>20000</v>
      </c>
      <c r="N160" s="7">
        <f t="shared" si="18"/>
        <v>33869.480000000003</v>
      </c>
      <c r="O160" s="7" t="str">
        <f t="shared" si="19"/>
        <v>HDFC 5930</v>
      </c>
    </row>
    <row r="161" spans="1:15" x14ac:dyDescent="0.25">
      <c r="A161" s="1">
        <v>45068</v>
      </c>
      <c r="B161" t="s">
        <v>472</v>
      </c>
      <c r="C161" s="1">
        <v>45068</v>
      </c>
      <c r="D161" s="2">
        <v>6209.3</v>
      </c>
      <c r="E161" s="2">
        <v>0</v>
      </c>
      <c r="F161" s="2">
        <v>27660.18</v>
      </c>
      <c r="G161" t="s">
        <v>719</v>
      </c>
      <c r="H161" s="7">
        <f t="shared" si="20"/>
        <v>0</v>
      </c>
      <c r="I161" s="1">
        <f t="shared" si="14"/>
        <v>45068</v>
      </c>
      <c r="J161" s="1" t="str">
        <f t="shared" si="15"/>
        <v>NET PI TO HSL SEC A/C 347707-00602340029392</v>
      </c>
      <c r="L161" s="7">
        <f t="shared" si="16"/>
        <v>6209.3</v>
      </c>
      <c r="M161" s="7">
        <f t="shared" si="17"/>
        <v>0</v>
      </c>
      <c r="N161" s="7">
        <f t="shared" si="18"/>
        <v>27660.18</v>
      </c>
      <c r="O161" s="7" t="str">
        <f t="shared" si="19"/>
        <v>HDFC 5930</v>
      </c>
    </row>
    <row r="162" spans="1:15" x14ac:dyDescent="0.25">
      <c r="A162" s="1">
        <v>45069</v>
      </c>
      <c r="B162" t="s">
        <v>472</v>
      </c>
      <c r="C162" s="1">
        <v>45069</v>
      </c>
      <c r="D162" s="2">
        <v>253.09</v>
      </c>
      <c r="E162" s="2">
        <v>0</v>
      </c>
      <c r="F162" s="2">
        <v>27407.09</v>
      </c>
      <c r="G162" t="s">
        <v>719</v>
      </c>
      <c r="H162" s="7">
        <f t="shared" si="20"/>
        <v>0</v>
      </c>
      <c r="I162" s="1">
        <f t="shared" si="14"/>
        <v>45069</v>
      </c>
      <c r="J162" s="1" t="str">
        <f t="shared" si="15"/>
        <v>NET PI TO HSL SEC A/C 347707-00602340029392</v>
      </c>
      <c r="L162" s="7">
        <f t="shared" si="16"/>
        <v>253.09</v>
      </c>
      <c r="M162" s="7">
        <f t="shared" si="17"/>
        <v>0</v>
      </c>
      <c r="N162" s="7">
        <f t="shared" si="18"/>
        <v>27407.09</v>
      </c>
      <c r="O162" s="7" t="str">
        <f t="shared" si="19"/>
        <v>HDFC 5930</v>
      </c>
    </row>
    <row r="163" spans="1:15" x14ac:dyDescent="0.25">
      <c r="A163" s="1">
        <v>45069</v>
      </c>
      <c r="B163" t="s">
        <v>473</v>
      </c>
      <c r="C163" s="1">
        <v>45069</v>
      </c>
      <c r="D163" s="2">
        <v>0</v>
      </c>
      <c r="E163" s="2">
        <v>4358.91</v>
      </c>
      <c r="F163" s="2">
        <v>31766</v>
      </c>
      <c r="G163" t="s">
        <v>719</v>
      </c>
      <c r="H163" s="7">
        <f t="shared" si="20"/>
        <v>0</v>
      </c>
      <c r="I163" s="1">
        <f t="shared" si="14"/>
        <v>45069</v>
      </c>
      <c r="J163" s="1" t="str">
        <f t="shared" si="15"/>
        <v>NET PO FROM HSL A/C 347707-00602340029392</v>
      </c>
      <c r="L163" s="7">
        <f t="shared" si="16"/>
        <v>0</v>
      </c>
      <c r="M163" s="7">
        <f t="shared" si="17"/>
        <v>4358.91</v>
      </c>
      <c r="N163" s="7">
        <f t="shared" si="18"/>
        <v>31766</v>
      </c>
      <c r="O163" s="7" t="str">
        <f t="shared" si="19"/>
        <v>HDFC 5930</v>
      </c>
    </row>
    <row r="164" spans="1:15" x14ac:dyDescent="0.25">
      <c r="A164" s="1">
        <v>45070</v>
      </c>
      <c r="B164" t="s">
        <v>472</v>
      </c>
      <c r="C164" s="1">
        <v>45070</v>
      </c>
      <c r="D164" s="2">
        <v>255.24</v>
      </c>
      <c r="E164" s="2">
        <v>0</v>
      </c>
      <c r="F164" s="2">
        <v>31510.76</v>
      </c>
      <c r="G164" t="s">
        <v>719</v>
      </c>
      <c r="H164" s="7">
        <f t="shared" si="20"/>
        <v>0</v>
      </c>
      <c r="I164" s="1">
        <f t="shared" si="14"/>
        <v>45070</v>
      </c>
      <c r="J164" s="1" t="str">
        <f t="shared" si="15"/>
        <v>NET PI TO HSL SEC A/C 347707-00602340029392</v>
      </c>
      <c r="L164" s="7">
        <f t="shared" si="16"/>
        <v>255.24</v>
      </c>
      <c r="M164" s="7">
        <f t="shared" si="17"/>
        <v>0</v>
      </c>
      <c r="N164" s="7">
        <f t="shared" si="18"/>
        <v>31510.76</v>
      </c>
      <c r="O164" s="7" t="str">
        <f t="shared" si="19"/>
        <v>HDFC 5930</v>
      </c>
    </row>
    <row r="165" spans="1:15" x14ac:dyDescent="0.25">
      <c r="A165" s="1">
        <v>45070</v>
      </c>
      <c r="B165" t="s">
        <v>516</v>
      </c>
      <c r="C165" s="1">
        <v>45070</v>
      </c>
      <c r="D165" s="2">
        <v>0</v>
      </c>
      <c r="E165" s="2">
        <v>1160</v>
      </c>
      <c r="F165" s="2">
        <v>32670.76</v>
      </c>
      <c r="G165" t="s">
        <v>719</v>
      </c>
      <c r="H165" s="7">
        <f t="shared" si="20"/>
        <v>0</v>
      </c>
      <c r="I165" s="1">
        <f t="shared" si="14"/>
        <v>45070</v>
      </c>
      <c r="J165" s="1" t="str">
        <f t="shared" si="15"/>
        <v>ADVANCED EN DIV232400000000000000004060</v>
      </c>
      <c r="L165" s="7">
        <f t="shared" si="16"/>
        <v>0</v>
      </c>
      <c r="M165" s="7">
        <f t="shared" si="17"/>
        <v>1160</v>
      </c>
      <c r="N165" s="7">
        <f t="shared" si="18"/>
        <v>32670.76</v>
      </c>
      <c r="O165" s="7" t="str">
        <f t="shared" si="19"/>
        <v>HDFC 5930</v>
      </c>
    </row>
    <row r="166" spans="1:15" x14ac:dyDescent="0.25">
      <c r="A166" s="1">
        <v>45070</v>
      </c>
      <c r="B166" t="s">
        <v>472</v>
      </c>
      <c r="C166" s="1">
        <v>45070</v>
      </c>
      <c r="D166" s="2">
        <v>6.13</v>
      </c>
      <c r="E166" s="2">
        <v>0</v>
      </c>
      <c r="F166" s="2">
        <v>32664.63</v>
      </c>
      <c r="G166" t="s">
        <v>719</v>
      </c>
      <c r="H166" s="7">
        <f t="shared" si="20"/>
        <v>0</v>
      </c>
      <c r="I166" s="1">
        <f t="shared" si="14"/>
        <v>45070</v>
      </c>
      <c r="J166" s="1" t="str">
        <f t="shared" si="15"/>
        <v>NET PI TO HSL SEC A/C 347707-00602340029392</v>
      </c>
      <c r="L166" s="7">
        <f t="shared" si="16"/>
        <v>6.13</v>
      </c>
      <c r="M166" s="7">
        <f t="shared" si="17"/>
        <v>0</v>
      </c>
      <c r="N166" s="7">
        <f t="shared" si="18"/>
        <v>32664.63</v>
      </c>
      <c r="O166" s="7" t="str">
        <f t="shared" si="19"/>
        <v>HDFC 5930</v>
      </c>
    </row>
    <row r="167" spans="1:15" x14ac:dyDescent="0.25">
      <c r="A167" s="1">
        <v>45071</v>
      </c>
      <c r="B167" t="s">
        <v>517</v>
      </c>
      <c r="C167" s="1">
        <v>45071</v>
      </c>
      <c r="D167" s="2">
        <v>3000</v>
      </c>
      <c r="E167" s="2">
        <v>0</v>
      </c>
      <c r="F167" s="2">
        <v>29664.63</v>
      </c>
      <c r="G167" t="s">
        <v>719</v>
      </c>
      <c r="H167" s="7">
        <f t="shared" si="20"/>
        <v>0</v>
      </c>
      <c r="I167" s="1">
        <f t="shared" si="14"/>
        <v>45071</v>
      </c>
      <c r="J167" s="1" t="str">
        <f t="shared" si="15"/>
        <v>O-MF-ICICI PRU-P-PSIG-000000101236</v>
      </c>
      <c r="L167" s="7">
        <f t="shared" si="16"/>
        <v>3000</v>
      </c>
      <c r="M167" s="7">
        <f t="shared" si="17"/>
        <v>0</v>
      </c>
      <c r="N167" s="7">
        <f t="shared" si="18"/>
        <v>29664.63</v>
      </c>
      <c r="O167" s="7" t="str">
        <f t="shared" si="19"/>
        <v>HDFC 5930</v>
      </c>
    </row>
    <row r="168" spans="1:15" x14ac:dyDescent="0.25">
      <c r="A168" s="1">
        <v>45071</v>
      </c>
      <c r="B168" t="s">
        <v>472</v>
      </c>
      <c r="C168" s="1">
        <v>45071</v>
      </c>
      <c r="D168" s="2">
        <v>255.23</v>
      </c>
      <c r="E168" s="2">
        <v>0</v>
      </c>
      <c r="F168" s="2">
        <v>29409.4</v>
      </c>
      <c r="G168" t="s">
        <v>719</v>
      </c>
      <c r="H168" s="7">
        <f t="shared" si="20"/>
        <v>0</v>
      </c>
      <c r="I168" s="1">
        <f t="shared" si="14"/>
        <v>45071</v>
      </c>
      <c r="J168" s="1" t="str">
        <f t="shared" si="15"/>
        <v>NET PI TO HSL SEC A/C 347707-00602340029392</v>
      </c>
      <c r="L168" s="7">
        <f t="shared" si="16"/>
        <v>255.23</v>
      </c>
      <c r="M168" s="7">
        <f t="shared" si="17"/>
        <v>0</v>
      </c>
      <c r="N168" s="7">
        <f t="shared" si="18"/>
        <v>29409.4</v>
      </c>
      <c r="O168" s="7" t="str">
        <f t="shared" si="19"/>
        <v>HDFC 5930</v>
      </c>
    </row>
    <row r="169" spans="1:15" x14ac:dyDescent="0.25">
      <c r="A169" s="1">
        <v>45071</v>
      </c>
      <c r="B169" t="s">
        <v>473</v>
      </c>
      <c r="C169" s="1">
        <v>45071</v>
      </c>
      <c r="D169" s="2">
        <v>0</v>
      </c>
      <c r="E169" s="2">
        <v>2570.91</v>
      </c>
      <c r="F169" s="2">
        <v>31980.31</v>
      </c>
      <c r="G169" t="s">
        <v>719</v>
      </c>
      <c r="H169" s="7">
        <f t="shared" si="20"/>
        <v>0</v>
      </c>
      <c r="I169" s="1">
        <f t="shared" si="14"/>
        <v>45071</v>
      </c>
      <c r="J169" s="1" t="str">
        <f t="shared" si="15"/>
        <v>NET PO FROM HSL A/C 347707-00602340029392</v>
      </c>
      <c r="L169" s="7">
        <f t="shared" si="16"/>
        <v>0</v>
      </c>
      <c r="M169" s="7">
        <f t="shared" si="17"/>
        <v>2570.91</v>
      </c>
      <c r="N169" s="7">
        <f t="shared" si="18"/>
        <v>31980.31</v>
      </c>
      <c r="O169" s="7" t="str">
        <f t="shared" si="19"/>
        <v>HDFC 5930</v>
      </c>
    </row>
    <row r="170" spans="1:15" x14ac:dyDescent="0.25">
      <c r="A170" s="1">
        <v>45072</v>
      </c>
      <c r="B170" t="s">
        <v>472</v>
      </c>
      <c r="C170" s="1">
        <v>45072</v>
      </c>
      <c r="D170" s="2">
        <v>10937.98</v>
      </c>
      <c r="E170" s="2">
        <v>0</v>
      </c>
      <c r="F170" s="2">
        <v>21042.33</v>
      </c>
      <c r="G170" t="s">
        <v>719</v>
      </c>
      <c r="H170" s="7">
        <f t="shared" si="20"/>
        <v>0</v>
      </c>
      <c r="I170" s="1">
        <f t="shared" si="14"/>
        <v>45072</v>
      </c>
      <c r="J170" s="1" t="str">
        <f t="shared" si="15"/>
        <v>NET PI TO HSL SEC A/C 347707-00602340029392</v>
      </c>
      <c r="L170" s="7">
        <f t="shared" si="16"/>
        <v>10937.98</v>
      </c>
      <c r="M170" s="7">
        <f t="shared" si="17"/>
        <v>0</v>
      </c>
      <c r="N170" s="7">
        <f t="shared" si="18"/>
        <v>21042.33</v>
      </c>
      <c r="O170" s="7" t="str">
        <f t="shared" si="19"/>
        <v>HDFC 5930</v>
      </c>
    </row>
    <row r="171" spans="1:15" x14ac:dyDescent="0.25">
      <c r="A171" s="1">
        <v>45072</v>
      </c>
      <c r="B171" t="s">
        <v>473</v>
      </c>
      <c r="C171" s="1">
        <v>45071</v>
      </c>
      <c r="D171" s="2">
        <v>0</v>
      </c>
      <c r="E171" s="2">
        <v>8135.98</v>
      </c>
      <c r="F171" s="2">
        <v>29178.31</v>
      </c>
      <c r="G171" t="s">
        <v>719</v>
      </c>
      <c r="H171" s="7">
        <f t="shared" si="20"/>
        <v>0</v>
      </c>
      <c r="I171" s="1">
        <f t="shared" si="14"/>
        <v>45072</v>
      </c>
      <c r="J171" s="1" t="str">
        <f t="shared" si="15"/>
        <v>NET PO FROM HSL A/C 347707-00602340029392</v>
      </c>
      <c r="L171" s="7">
        <f t="shared" si="16"/>
        <v>0</v>
      </c>
      <c r="M171" s="7">
        <f t="shared" si="17"/>
        <v>8135.98</v>
      </c>
      <c r="N171" s="7">
        <f t="shared" si="18"/>
        <v>29178.31</v>
      </c>
      <c r="O171" s="7" t="str">
        <f t="shared" si="19"/>
        <v>HDFC 5930</v>
      </c>
    </row>
    <row r="172" spans="1:15" x14ac:dyDescent="0.25">
      <c r="A172" s="1">
        <v>45072</v>
      </c>
      <c r="B172" t="s">
        <v>472</v>
      </c>
      <c r="C172" s="1">
        <v>45072</v>
      </c>
      <c r="D172" s="2">
        <v>249.84</v>
      </c>
      <c r="E172" s="2">
        <v>0</v>
      </c>
      <c r="F172" s="2">
        <v>28928.47</v>
      </c>
      <c r="G172" t="s">
        <v>719</v>
      </c>
      <c r="H172" s="7">
        <f t="shared" si="20"/>
        <v>0</v>
      </c>
      <c r="I172" s="1">
        <f t="shared" si="14"/>
        <v>45072</v>
      </c>
      <c r="J172" s="1" t="str">
        <f t="shared" si="15"/>
        <v>NET PI TO HSL SEC A/C 347707-00602340029392</v>
      </c>
      <c r="L172" s="7">
        <f t="shared" si="16"/>
        <v>249.84</v>
      </c>
      <c r="M172" s="7">
        <f t="shared" si="17"/>
        <v>0</v>
      </c>
      <c r="N172" s="7">
        <f t="shared" si="18"/>
        <v>28928.47</v>
      </c>
      <c r="O172" s="7" t="str">
        <f t="shared" si="19"/>
        <v>HDFC 5930</v>
      </c>
    </row>
    <row r="173" spans="1:15" x14ac:dyDescent="0.25">
      <c r="A173" s="1">
        <v>45072</v>
      </c>
      <c r="B173" t="s">
        <v>473</v>
      </c>
      <c r="C173" s="1">
        <v>45072</v>
      </c>
      <c r="D173" s="2">
        <v>0</v>
      </c>
      <c r="E173" s="2">
        <v>2409.84</v>
      </c>
      <c r="F173" s="2">
        <v>31338.31</v>
      </c>
      <c r="G173" t="s">
        <v>719</v>
      </c>
      <c r="H173" s="7">
        <f t="shared" si="20"/>
        <v>0</v>
      </c>
      <c r="I173" s="1">
        <f t="shared" si="14"/>
        <v>45072</v>
      </c>
      <c r="J173" s="1" t="str">
        <f t="shared" si="15"/>
        <v>NET PO FROM HSL A/C 347707-00602340029392</v>
      </c>
      <c r="L173" s="7">
        <f t="shared" si="16"/>
        <v>0</v>
      </c>
      <c r="M173" s="7">
        <f t="shared" si="17"/>
        <v>2409.84</v>
      </c>
      <c r="N173" s="7">
        <f t="shared" si="18"/>
        <v>31338.31</v>
      </c>
      <c r="O173" s="7" t="str">
        <f t="shared" si="19"/>
        <v>HDFC 5930</v>
      </c>
    </row>
    <row r="174" spans="1:15" x14ac:dyDescent="0.25">
      <c r="A174" s="1">
        <v>45075</v>
      </c>
      <c r="B174" t="s">
        <v>472</v>
      </c>
      <c r="C174" s="1">
        <v>45075</v>
      </c>
      <c r="D174" s="2">
        <v>753.09</v>
      </c>
      <c r="E174" s="2">
        <v>0</v>
      </c>
      <c r="F174" s="2">
        <v>30585.22</v>
      </c>
      <c r="G174" t="s">
        <v>719</v>
      </c>
      <c r="H174" s="7">
        <f t="shared" si="20"/>
        <v>0</v>
      </c>
      <c r="I174" s="1">
        <f t="shared" si="14"/>
        <v>45075</v>
      </c>
      <c r="J174" s="1" t="str">
        <f t="shared" si="15"/>
        <v>NET PI TO HSL SEC A/C 347707-00602340029392</v>
      </c>
      <c r="L174" s="7">
        <f t="shared" si="16"/>
        <v>753.09</v>
      </c>
      <c r="M174" s="7">
        <f t="shared" si="17"/>
        <v>0</v>
      </c>
      <c r="N174" s="7">
        <f t="shared" si="18"/>
        <v>30585.22</v>
      </c>
      <c r="O174" s="7" t="str">
        <f t="shared" si="19"/>
        <v>HDFC 5930</v>
      </c>
    </row>
    <row r="175" spans="1:15" x14ac:dyDescent="0.25">
      <c r="A175" s="1">
        <v>45075</v>
      </c>
      <c r="B175" t="s">
        <v>480</v>
      </c>
      <c r="C175" s="1">
        <v>45075</v>
      </c>
      <c r="D175" s="2">
        <v>3000</v>
      </c>
      <c r="E175" s="2">
        <v>0</v>
      </c>
      <c r="F175" s="2">
        <v>27585.22</v>
      </c>
      <c r="G175" t="s">
        <v>719</v>
      </c>
      <c r="H175" s="7">
        <f t="shared" si="20"/>
        <v>0</v>
      </c>
      <c r="I175" s="1">
        <f t="shared" si="14"/>
        <v>45075</v>
      </c>
      <c r="J175" s="1" t="str">
        <f t="shared" si="15"/>
        <v>NET PAYIN TO BSE MF A/C -57500000389146- FROM A/C -01671000085930- UCC -347707-57500000389146</v>
      </c>
      <c r="L175" s="7">
        <f t="shared" si="16"/>
        <v>3000</v>
      </c>
      <c r="M175" s="7">
        <f t="shared" si="17"/>
        <v>0</v>
      </c>
      <c r="N175" s="7">
        <f t="shared" si="18"/>
        <v>27585.22</v>
      </c>
      <c r="O175" s="7" t="str">
        <f t="shared" si="19"/>
        <v>HDFC 5930</v>
      </c>
    </row>
    <row r="176" spans="1:15" x14ac:dyDescent="0.25">
      <c r="A176" s="1">
        <v>45075</v>
      </c>
      <c r="B176" t="s">
        <v>472</v>
      </c>
      <c r="C176" s="1">
        <v>45075</v>
      </c>
      <c r="D176" s="2">
        <v>12917.92</v>
      </c>
      <c r="E176" s="2">
        <v>0</v>
      </c>
      <c r="F176" s="2">
        <v>14667.3</v>
      </c>
      <c r="G176" t="s">
        <v>719</v>
      </c>
      <c r="H176" s="7">
        <f t="shared" si="20"/>
        <v>0</v>
      </c>
      <c r="I176" s="1">
        <f t="shared" si="14"/>
        <v>45075</v>
      </c>
      <c r="J176" s="1" t="str">
        <f t="shared" si="15"/>
        <v>NET PI TO HSL SEC A/C 347707-00602340029392</v>
      </c>
      <c r="L176" s="7">
        <f t="shared" si="16"/>
        <v>12917.92</v>
      </c>
      <c r="M176" s="7">
        <f t="shared" si="17"/>
        <v>0</v>
      </c>
      <c r="N176" s="7">
        <f t="shared" si="18"/>
        <v>14667.3</v>
      </c>
      <c r="O176" s="7" t="str">
        <f t="shared" si="19"/>
        <v>HDFC 5930</v>
      </c>
    </row>
    <row r="177" spans="1:15" x14ac:dyDescent="0.25">
      <c r="A177" s="1">
        <v>45076</v>
      </c>
      <c r="B177" t="s">
        <v>472</v>
      </c>
      <c r="C177" s="1">
        <v>45076</v>
      </c>
      <c r="D177" s="2">
        <v>244.66</v>
      </c>
      <c r="E177" s="2">
        <v>0</v>
      </c>
      <c r="F177" s="2">
        <v>14422.64</v>
      </c>
      <c r="G177" t="s">
        <v>719</v>
      </c>
      <c r="H177" s="7">
        <f t="shared" si="20"/>
        <v>0</v>
      </c>
      <c r="I177" s="1">
        <f t="shared" si="14"/>
        <v>45076</v>
      </c>
      <c r="J177" s="1" t="str">
        <f t="shared" si="15"/>
        <v>NET PI TO HSL SEC A/C 347707-00602340029392</v>
      </c>
      <c r="L177" s="7">
        <f t="shared" si="16"/>
        <v>244.66</v>
      </c>
      <c r="M177" s="7">
        <f t="shared" si="17"/>
        <v>0</v>
      </c>
      <c r="N177" s="7">
        <f t="shared" si="18"/>
        <v>14422.64</v>
      </c>
      <c r="O177" s="7" t="str">
        <f t="shared" si="19"/>
        <v>HDFC 5930</v>
      </c>
    </row>
    <row r="178" spans="1:15" x14ac:dyDescent="0.25">
      <c r="A178" s="1">
        <v>45076</v>
      </c>
      <c r="B178" t="s">
        <v>473</v>
      </c>
      <c r="C178" s="1">
        <v>45076</v>
      </c>
      <c r="D178" s="2">
        <v>0</v>
      </c>
      <c r="E178" s="2">
        <v>4844.03</v>
      </c>
      <c r="F178" s="2">
        <v>19266.669999999998</v>
      </c>
      <c r="G178" t="s">
        <v>719</v>
      </c>
      <c r="H178" s="7">
        <f t="shared" si="20"/>
        <v>0</v>
      </c>
      <c r="I178" s="1">
        <f t="shared" si="14"/>
        <v>45076</v>
      </c>
      <c r="J178" s="1" t="str">
        <f t="shared" si="15"/>
        <v>NET PO FROM HSL A/C 347707-00602340029392</v>
      </c>
      <c r="L178" s="7">
        <f t="shared" si="16"/>
        <v>0</v>
      </c>
      <c r="M178" s="7">
        <f t="shared" si="17"/>
        <v>4844.03</v>
      </c>
      <c r="N178" s="7">
        <f t="shared" si="18"/>
        <v>19266.669999999998</v>
      </c>
      <c r="O178" s="7" t="str">
        <f t="shared" si="19"/>
        <v>HDFC 5930</v>
      </c>
    </row>
    <row r="179" spans="1:15" x14ac:dyDescent="0.25">
      <c r="A179" s="1">
        <v>45076</v>
      </c>
      <c r="B179" t="s">
        <v>472</v>
      </c>
      <c r="C179" s="1">
        <v>45076</v>
      </c>
      <c r="D179" s="2">
        <v>7299.32</v>
      </c>
      <c r="E179" s="2">
        <v>0</v>
      </c>
      <c r="F179" s="2">
        <v>11967.35</v>
      </c>
      <c r="G179" t="s">
        <v>719</v>
      </c>
      <c r="H179" s="7">
        <f t="shared" si="20"/>
        <v>0</v>
      </c>
      <c r="I179" s="1">
        <f t="shared" si="14"/>
        <v>45076</v>
      </c>
      <c r="J179" s="1" t="str">
        <f t="shared" si="15"/>
        <v>NET PI TO HSL SEC A/C 347707-00602340029392</v>
      </c>
      <c r="L179" s="7">
        <f t="shared" si="16"/>
        <v>7299.32</v>
      </c>
      <c r="M179" s="7">
        <f t="shared" si="17"/>
        <v>0</v>
      </c>
      <c r="N179" s="7">
        <f t="shared" si="18"/>
        <v>11967.35</v>
      </c>
      <c r="O179" s="7" t="str">
        <f t="shared" si="19"/>
        <v>HDFC 5930</v>
      </c>
    </row>
    <row r="180" spans="1:15" x14ac:dyDescent="0.25">
      <c r="A180" s="1">
        <v>45076</v>
      </c>
      <c r="B180" t="s">
        <v>473</v>
      </c>
      <c r="C180" s="1">
        <v>45076</v>
      </c>
      <c r="D180" s="2">
        <v>0</v>
      </c>
      <c r="E180" s="2">
        <v>7299.32</v>
      </c>
      <c r="F180" s="2">
        <v>19266.669999999998</v>
      </c>
      <c r="G180" t="s">
        <v>719</v>
      </c>
      <c r="H180" s="7">
        <f t="shared" si="20"/>
        <v>0</v>
      </c>
      <c r="I180" s="1">
        <f t="shared" si="14"/>
        <v>45076</v>
      </c>
      <c r="J180" s="1" t="str">
        <f t="shared" si="15"/>
        <v>NET PO FROM HSL A/C 347707-00602340029392</v>
      </c>
      <c r="L180" s="7">
        <f t="shared" si="16"/>
        <v>0</v>
      </c>
      <c r="M180" s="7">
        <f t="shared" si="17"/>
        <v>7299.32</v>
      </c>
      <c r="N180" s="7">
        <f t="shared" si="18"/>
        <v>19266.669999999998</v>
      </c>
      <c r="O180" s="7" t="str">
        <f t="shared" si="19"/>
        <v>HDFC 5930</v>
      </c>
    </row>
    <row r="181" spans="1:15" x14ac:dyDescent="0.25">
      <c r="A181" s="1">
        <v>45077</v>
      </c>
      <c r="B181" t="s">
        <v>473</v>
      </c>
      <c r="C181" s="1">
        <v>45077</v>
      </c>
      <c r="D181" s="2">
        <v>0</v>
      </c>
      <c r="E181" s="2">
        <v>5992.57</v>
      </c>
      <c r="F181" s="2">
        <v>25259.24</v>
      </c>
      <c r="G181" t="s">
        <v>719</v>
      </c>
      <c r="H181" s="7">
        <f t="shared" si="20"/>
        <v>0</v>
      </c>
      <c r="I181" s="1">
        <f t="shared" si="14"/>
        <v>45077</v>
      </c>
      <c r="J181" s="1" t="str">
        <f t="shared" si="15"/>
        <v>NET PO FROM HSL A/C 347707-00602340029392</v>
      </c>
      <c r="L181" s="7">
        <f t="shared" si="16"/>
        <v>0</v>
      </c>
      <c r="M181" s="7">
        <f t="shared" si="17"/>
        <v>5992.57</v>
      </c>
      <c r="N181" s="7">
        <f t="shared" si="18"/>
        <v>25259.24</v>
      </c>
      <c r="O181" s="7" t="str">
        <f t="shared" si="19"/>
        <v>HDFC 5930</v>
      </c>
    </row>
    <row r="182" spans="1:15" x14ac:dyDescent="0.25">
      <c r="A182" s="1">
        <v>45077</v>
      </c>
      <c r="B182" t="s">
        <v>472</v>
      </c>
      <c r="C182" s="1">
        <v>45077</v>
      </c>
      <c r="D182" s="2">
        <v>1294.83</v>
      </c>
      <c r="E182" s="2">
        <v>0</v>
      </c>
      <c r="F182" s="2">
        <v>23964.41</v>
      </c>
      <c r="G182" t="s">
        <v>719</v>
      </c>
      <c r="H182" s="7">
        <f t="shared" si="20"/>
        <v>0</v>
      </c>
      <c r="I182" s="1">
        <f t="shared" si="14"/>
        <v>45077</v>
      </c>
      <c r="J182" s="1" t="str">
        <f t="shared" si="15"/>
        <v>NET PI TO HSL SEC A/C 347707-00602340029392</v>
      </c>
      <c r="L182" s="7">
        <f t="shared" si="16"/>
        <v>1294.83</v>
      </c>
      <c r="M182" s="7">
        <f t="shared" si="17"/>
        <v>0</v>
      </c>
      <c r="N182" s="7">
        <f t="shared" si="18"/>
        <v>23964.41</v>
      </c>
      <c r="O182" s="7" t="str">
        <f t="shared" si="19"/>
        <v>HDFC 5930</v>
      </c>
    </row>
    <row r="183" spans="1:15" x14ac:dyDescent="0.25">
      <c r="A183" s="1">
        <v>45077</v>
      </c>
      <c r="B183" t="s">
        <v>472</v>
      </c>
      <c r="C183" s="1">
        <v>45077</v>
      </c>
      <c r="D183" s="2">
        <v>15075.76</v>
      </c>
      <c r="E183" s="2">
        <v>0</v>
      </c>
      <c r="F183" s="2">
        <v>8888.65</v>
      </c>
      <c r="G183" t="s">
        <v>719</v>
      </c>
      <c r="H183" s="7">
        <f t="shared" si="20"/>
        <v>0</v>
      </c>
      <c r="I183" s="1">
        <f t="shared" si="14"/>
        <v>45077</v>
      </c>
      <c r="J183" s="1" t="str">
        <f t="shared" si="15"/>
        <v>NET PI TO HSL SEC A/C 347707-00602340029392</v>
      </c>
      <c r="L183" s="7">
        <f t="shared" si="16"/>
        <v>15075.76</v>
      </c>
      <c r="M183" s="7">
        <f t="shared" si="17"/>
        <v>0</v>
      </c>
      <c r="N183" s="7">
        <f t="shared" si="18"/>
        <v>8888.65</v>
      </c>
      <c r="O183" s="7" t="str">
        <f t="shared" si="19"/>
        <v>HDFC 5930</v>
      </c>
    </row>
    <row r="184" spans="1:15" x14ac:dyDescent="0.25">
      <c r="A184" s="1">
        <v>45077</v>
      </c>
      <c r="B184" t="s">
        <v>473</v>
      </c>
      <c r="C184" s="1">
        <v>45077</v>
      </c>
      <c r="D184" s="2">
        <v>0</v>
      </c>
      <c r="E184" s="2">
        <v>1294.83</v>
      </c>
      <c r="F184" s="2">
        <v>10183.48</v>
      </c>
      <c r="G184" t="s">
        <v>719</v>
      </c>
      <c r="H184" s="7">
        <f t="shared" si="20"/>
        <v>0</v>
      </c>
      <c r="I184" s="1">
        <f t="shared" si="14"/>
        <v>45077</v>
      </c>
      <c r="J184" s="1" t="str">
        <f t="shared" si="15"/>
        <v>NET PO FROM HSL A/C 347707-00602340029392</v>
      </c>
      <c r="L184" s="7">
        <f t="shared" si="16"/>
        <v>0</v>
      </c>
      <c r="M184" s="7">
        <f t="shared" si="17"/>
        <v>1294.83</v>
      </c>
      <c r="N184" s="7">
        <f t="shared" si="18"/>
        <v>10183.48</v>
      </c>
      <c r="O184" s="7" t="str">
        <f t="shared" si="19"/>
        <v>HDFC 5930</v>
      </c>
    </row>
    <row r="185" spans="1:15" x14ac:dyDescent="0.25">
      <c r="A185" s="1">
        <v>45078</v>
      </c>
      <c r="B185" t="s">
        <v>472</v>
      </c>
      <c r="C185" s="1">
        <v>45078</v>
      </c>
      <c r="D185" s="2">
        <v>231.57</v>
      </c>
      <c r="E185" s="2">
        <v>0</v>
      </c>
      <c r="F185" s="2">
        <v>9951.91</v>
      </c>
      <c r="G185" t="s">
        <v>719</v>
      </c>
      <c r="H185" s="7">
        <f t="shared" si="20"/>
        <v>0</v>
      </c>
      <c r="I185" s="1">
        <f t="shared" si="14"/>
        <v>45078</v>
      </c>
      <c r="J185" s="1" t="str">
        <f t="shared" si="15"/>
        <v>NET PI TO HSL SEC A/C 347707-00602340029392</v>
      </c>
      <c r="L185" s="7">
        <f t="shared" si="16"/>
        <v>231.57</v>
      </c>
      <c r="M185" s="7">
        <f t="shared" si="17"/>
        <v>0</v>
      </c>
      <c r="N185" s="7">
        <f t="shared" si="18"/>
        <v>9951.91</v>
      </c>
      <c r="O185" s="7" t="str">
        <f t="shared" si="19"/>
        <v>HDFC 5930</v>
      </c>
    </row>
    <row r="186" spans="1:15" x14ac:dyDescent="0.25">
      <c r="A186" s="1">
        <v>45078</v>
      </c>
      <c r="B186" t="s">
        <v>473</v>
      </c>
      <c r="C186" s="1">
        <v>45078</v>
      </c>
      <c r="D186" s="2">
        <v>0</v>
      </c>
      <c r="E186" s="2">
        <v>33477.629999999997</v>
      </c>
      <c r="F186" s="2">
        <v>43429.54</v>
      </c>
      <c r="G186" t="s">
        <v>719</v>
      </c>
      <c r="H186" s="7">
        <f t="shared" si="20"/>
        <v>0</v>
      </c>
      <c r="I186" s="1">
        <f t="shared" si="14"/>
        <v>45078</v>
      </c>
      <c r="J186" s="1" t="str">
        <f t="shared" si="15"/>
        <v>NET PO FROM HSL A/C 347707-00602340029392</v>
      </c>
      <c r="L186" s="7">
        <f t="shared" si="16"/>
        <v>0</v>
      </c>
      <c r="M186" s="7">
        <f t="shared" si="17"/>
        <v>33477.629999999997</v>
      </c>
      <c r="N186" s="7">
        <f t="shared" si="18"/>
        <v>43429.54</v>
      </c>
      <c r="O186" s="7" t="str">
        <f t="shared" si="19"/>
        <v>HDFC 5930</v>
      </c>
    </row>
    <row r="187" spans="1:15" x14ac:dyDescent="0.25">
      <c r="A187" s="1">
        <v>45078</v>
      </c>
      <c r="B187" t="s">
        <v>518</v>
      </c>
      <c r="C187" s="1">
        <v>45078</v>
      </c>
      <c r="D187" s="2">
        <v>1500</v>
      </c>
      <c r="E187" s="2">
        <v>0</v>
      </c>
      <c r="F187" s="2">
        <v>41929.54</v>
      </c>
      <c r="G187" t="s">
        <v>719</v>
      </c>
      <c r="H187" s="7">
        <f t="shared" si="20"/>
        <v>0</v>
      </c>
      <c r="I187" s="1">
        <f t="shared" si="14"/>
        <v>45078</v>
      </c>
      <c r="J187" s="1" t="str">
        <f t="shared" si="15"/>
        <v>ACH D- TP ACH INVESTOCAFE-1160122736</v>
      </c>
      <c r="L187" s="7">
        <f t="shared" si="16"/>
        <v>1500</v>
      </c>
      <c r="M187" s="7">
        <f t="shared" si="17"/>
        <v>0</v>
      </c>
      <c r="N187" s="7">
        <f t="shared" si="18"/>
        <v>41929.54</v>
      </c>
      <c r="O187" s="7" t="str">
        <f t="shared" si="19"/>
        <v>HDFC 5930</v>
      </c>
    </row>
    <row r="188" spans="1:15" x14ac:dyDescent="0.25">
      <c r="A188" s="1">
        <v>45078</v>
      </c>
      <c r="B188" t="s">
        <v>519</v>
      </c>
      <c r="C188" s="1">
        <v>45078</v>
      </c>
      <c r="D188" s="2">
        <v>2000</v>
      </c>
      <c r="E188" s="2">
        <v>0</v>
      </c>
      <c r="F188" s="2">
        <v>39929.54</v>
      </c>
      <c r="G188" t="s">
        <v>719</v>
      </c>
      <c r="H188" s="7">
        <f t="shared" si="20"/>
        <v>0</v>
      </c>
      <c r="I188" s="1">
        <f t="shared" si="14"/>
        <v>45078</v>
      </c>
      <c r="J188" s="1" t="str">
        <f t="shared" si="15"/>
        <v>ACH D- TP ACH INVESTOCAFE-1160122737</v>
      </c>
      <c r="L188" s="7">
        <f t="shared" si="16"/>
        <v>2000</v>
      </c>
      <c r="M188" s="7">
        <f t="shared" si="17"/>
        <v>0</v>
      </c>
      <c r="N188" s="7">
        <f t="shared" si="18"/>
        <v>39929.54</v>
      </c>
      <c r="O188" s="7" t="str">
        <f t="shared" si="19"/>
        <v>HDFC 5930</v>
      </c>
    </row>
    <row r="189" spans="1:15" x14ac:dyDescent="0.25">
      <c r="A189" s="1">
        <v>45078</v>
      </c>
      <c r="B189" t="s">
        <v>520</v>
      </c>
      <c r="C189" s="1">
        <v>45078</v>
      </c>
      <c r="D189" s="2">
        <v>2000</v>
      </c>
      <c r="E189" s="2">
        <v>0</v>
      </c>
      <c r="F189" s="2">
        <v>37929.54</v>
      </c>
      <c r="G189" t="s">
        <v>719</v>
      </c>
      <c r="H189" s="7">
        <f t="shared" si="20"/>
        <v>0</v>
      </c>
      <c r="I189" s="1">
        <f t="shared" si="14"/>
        <v>45078</v>
      </c>
      <c r="J189" s="1" t="str">
        <f t="shared" si="15"/>
        <v>ACH D- TP ACH INVESTOCAFE-1160122738</v>
      </c>
      <c r="L189" s="7">
        <f t="shared" si="16"/>
        <v>2000</v>
      </c>
      <c r="M189" s="7">
        <f t="shared" si="17"/>
        <v>0</v>
      </c>
      <c r="N189" s="7">
        <f t="shared" si="18"/>
        <v>37929.54</v>
      </c>
      <c r="O189" s="7" t="str">
        <f t="shared" si="19"/>
        <v>HDFC 5930</v>
      </c>
    </row>
    <row r="190" spans="1:15" x14ac:dyDescent="0.25">
      <c r="A190" s="1">
        <v>45078</v>
      </c>
      <c r="B190" t="s">
        <v>473</v>
      </c>
      <c r="C190" s="1">
        <v>45078</v>
      </c>
      <c r="D190" s="2">
        <v>0</v>
      </c>
      <c r="E190" s="2">
        <v>498.32</v>
      </c>
      <c r="F190" s="2">
        <v>38427.86</v>
      </c>
      <c r="G190" t="s">
        <v>719</v>
      </c>
      <c r="H190" s="7">
        <f t="shared" si="20"/>
        <v>0</v>
      </c>
      <c r="I190" s="1">
        <f t="shared" si="14"/>
        <v>45078</v>
      </c>
      <c r="J190" s="1" t="str">
        <f t="shared" si="15"/>
        <v>NET PO FROM HSL A/C 347707-00602340029392</v>
      </c>
      <c r="L190" s="7">
        <f t="shared" si="16"/>
        <v>0</v>
      </c>
      <c r="M190" s="7">
        <f t="shared" si="17"/>
        <v>498.32</v>
      </c>
      <c r="N190" s="7">
        <f t="shared" si="18"/>
        <v>38427.86</v>
      </c>
      <c r="O190" s="7" t="str">
        <f t="shared" si="19"/>
        <v>HDFC 5930</v>
      </c>
    </row>
    <row r="191" spans="1:15" x14ac:dyDescent="0.25">
      <c r="A191" s="1">
        <v>45078</v>
      </c>
      <c r="B191" t="s">
        <v>472</v>
      </c>
      <c r="C191" s="1">
        <v>45078</v>
      </c>
      <c r="D191" s="2">
        <v>397</v>
      </c>
      <c r="E191" s="2">
        <v>0</v>
      </c>
      <c r="F191" s="2">
        <v>38030.86</v>
      </c>
      <c r="G191" t="s">
        <v>719</v>
      </c>
      <c r="H191" s="7">
        <f t="shared" si="20"/>
        <v>0</v>
      </c>
      <c r="I191" s="1">
        <f t="shared" si="14"/>
        <v>45078</v>
      </c>
      <c r="J191" s="1" t="str">
        <f t="shared" si="15"/>
        <v>NET PI TO HSL SEC A/C 347707-00602340029392</v>
      </c>
      <c r="L191" s="7">
        <f t="shared" si="16"/>
        <v>397</v>
      </c>
      <c r="M191" s="7">
        <f t="shared" si="17"/>
        <v>0</v>
      </c>
      <c r="N191" s="7">
        <f t="shared" si="18"/>
        <v>38030.86</v>
      </c>
      <c r="O191" s="7" t="str">
        <f t="shared" si="19"/>
        <v>HDFC 5930</v>
      </c>
    </row>
    <row r="192" spans="1:15" x14ac:dyDescent="0.25">
      <c r="A192" s="1">
        <v>45079</v>
      </c>
      <c r="B192" t="s">
        <v>472</v>
      </c>
      <c r="C192" s="1">
        <v>45079</v>
      </c>
      <c r="D192" s="2">
        <v>226.31</v>
      </c>
      <c r="E192" s="2">
        <v>0</v>
      </c>
      <c r="F192" s="2">
        <v>37804.550000000003</v>
      </c>
      <c r="G192" t="s">
        <v>719</v>
      </c>
      <c r="H192" s="7">
        <f t="shared" si="20"/>
        <v>0</v>
      </c>
      <c r="I192" s="1">
        <f t="shared" si="14"/>
        <v>45079</v>
      </c>
      <c r="J192" s="1" t="str">
        <f t="shared" si="15"/>
        <v>NET PI TO HSL SEC A/C 347707-00602340029392</v>
      </c>
      <c r="L192" s="7">
        <f t="shared" si="16"/>
        <v>226.31</v>
      </c>
      <c r="M192" s="7">
        <f t="shared" si="17"/>
        <v>0</v>
      </c>
      <c r="N192" s="7">
        <f t="shared" si="18"/>
        <v>37804.550000000003</v>
      </c>
      <c r="O192" s="7" t="str">
        <f t="shared" si="19"/>
        <v>HDFC 5930</v>
      </c>
    </row>
    <row r="193" spans="1:15" x14ac:dyDescent="0.25">
      <c r="A193" s="1">
        <v>45079</v>
      </c>
      <c r="B193" t="s">
        <v>472</v>
      </c>
      <c r="C193" s="1">
        <v>45079</v>
      </c>
      <c r="D193" s="2">
        <v>348.36</v>
      </c>
      <c r="E193" s="2">
        <v>0</v>
      </c>
      <c r="F193" s="2">
        <v>37456.19</v>
      </c>
      <c r="G193" t="s">
        <v>719</v>
      </c>
      <c r="H193" s="7">
        <f t="shared" si="20"/>
        <v>0</v>
      </c>
      <c r="I193" s="1">
        <f t="shared" si="14"/>
        <v>45079</v>
      </c>
      <c r="J193" s="1" t="str">
        <f t="shared" si="15"/>
        <v>NET PI TO HSL SEC A/C 347707-00602340029392</v>
      </c>
      <c r="L193" s="7">
        <f t="shared" si="16"/>
        <v>348.36</v>
      </c>
      <c r="M193" s="7">
        <f t="shared" si="17"/>
        <v>0</v>
      </c>
      <c r="N193" s="7">
        <f t="shared" si="18"/>
        <v>37456.19</v>
      </c>
      <c r="O193" s="7" t="str">
        <f t="shared" si="19"/>
        <v>HDFC 5930</v>
      </c>
    </row>
    <row r="194" spans="1:15" x14ac:dyDescent="0.25">
      <c r="A194" s="1">
        <v>45079</v>
      </c>
      <c r="B194" t="s">
        <v>473</v>
      </c>
      <c r="C194" s="1">
        <v>45079</v>
      </c>
      <c r="D194" s="2">
        <v>0</v>
      </c>
      <c r="E194" s="2">
        <v>226.31</v>
      </c>
      <c r="F194" s="2">
        <v>37682.5</v>
      </c>
      <c r="G194" t="s">
        <v>719</v>
      </c>
      <c r="H194" s="7">
        <f t="shared" si="20"/>
        <v>0</v>
      </c>
      <c r="I194" s="1">
        <f t="shared" si="14"/>
        <v>45079</v>
      </c>
      <c r="J194" s="1" t="str">
        <f t="shared" si="15"/>
        <v>NET PO FROM HSL A/C 347707-00602340029392</v>
      </c>
      <c r="L194" s="7">
        <f t="shared" si="16"/>
        <v>0</v>
      </c>
      <c r="M194" s="7">
        <f t="shared" si="17"/>
        <v>226.31</v>
      </c>
      <c r="N194" s="7">
        <f t="shared" si="18"/>
        <v>37682.5</v>
      </c>
      <c r="O194" s="7" t="str">
        <f t="shared" si="19"/>
        <v>HDFC 5930</v>
      </c>
    </row>
    <row r="195" spans="1:15" x14ac:dyDescent="0.25">
      <c r="A195" s="1">
        <v>45082</v>
      </c>
      <c r="B195" t="s">
        <v>480</v>
      </c>
      <c r="C195" s="1">
        <v>45082</v>
      </c>
      <c r="D195" s="2">
        <v>3000</v>
      </c>
      <c r="E195" s="2">
        <v>0</v>
      </c>
      <c r="F195" s="2">
        <v>34682.5</v>
      </c>
      <c r="G195" t="s">
        <v>719</v>
      </c>
      <c r="H195" s="7">
        <f t="shared" si="20"/>
        <v>0</v>
      </c>
      <c r="I195" s="1">
        <f t="shared" si="14"/>
        <v>45082</v>
      </c>
      <c r="J195" s="1" t="str">
        <f t="shared" si="15"/>
        <v>NET PAYIN TO BSE MF A/C -57500000389146- FROM A/C -01671000085930- UCC -347707-57500000389146</v>
      </c>
      <c r="L195" s="7">
        <f t="shared" si="16"/>
        <v>3000</v>
      </c>
      <c r="M195" s="7">
        <f t="shared" si="17"/>
        <v>0</v>
      </c>
      <c r="N195" s="7">
        <f t="shared" si="18"/>
        <v>34682.5</v>
      </c>
      <c r="O195" s="7" t="str">
        <f t="shared" si="19"/>
        <v>HDFC 5930</v>
      </c>
    </row>
    <row r="196" spans="1:15" x14ac:dyDescent="0.25">
      <c r="A196" s="1">
        <v>45082</v>
      </c>
      <c r="B196" t="s">
        <v>472</v>
      </c>
      <c r="C196" s="1">
        <v>45082</v>
      </c>
      <c r="D196" s="2">
        <v>678.75</v>
      </c>
      <c r="E196" s="2">
        <v>0</v>
      </c>
      <c r="F196" s="2">
        <v>34003.75</v>
      </c>
      <c r="G196" t="s">
        <v>719</v>
      </c>
      <c r="H196" s="7">
        <f t="shared" si="20"/>
        <v>0</v>
      </c>
      <c r="I196" s="1">
        <f t="shared" si="14"/>
        <v>45082</v>
      </c>
      <c r="J196" s="1" t="str">
        <f t="shared" si="15"/>
        <v>NET PI TO HSL SEC A/C 347707-00602340029392</v>
      </c>
      <c r="L196" s="7">
        <f t="shared" si="16"/>
        <v>678.75</v>
      </c>
      <c r="M196" s="7">
        <f t="shared" si="17"/>
        <v>0</v>
      </c>
      <c r="N196" s="7">
        <f t="shared" si="18"/>
        <v>34003.75</v>
      </c>
      <c r="O196" s="7" t="str">
        <f t="shared" si="19"/>
        <v>HDFC 5930</v>
      </c>
    </row>
    <row r="197" spans="1:15" x14ac:dyDescent="0.25">
      <c r="A197" s="1">
        <v>45082</v>
      </c>
      <c r="B197" t="s">
        <v>473</v>
      </c>
      <c r="C197" s="1">
        <v>45082</v>
      </c>
      <c r="D197" s="2">
        <v>0</v>
      </c>
      <c r="E197" s="2">
        <v>265.94</v>
      </c>
      <c r="F197" s="2">
        <v>34269.69</v>
      </c>
      <c r="G197" t="s">
        <v>719</v>
      </c>
      <c r="H197" s="7">
        <f t="shared" si="20"/>
        <v>0</v>
      </c>
      <c r="I197" s="1">
        <f t="shared" si="14"/>
        <v>45082</v>
      </c>
      <c r="J197" s="1" t="str">
        <f t="shared" si="15"/>
        <v>NET PO FROM HSL A/C 347707-00602340029392</v>
      </c>
      <c r="L197" s="7">
        <f t="shared" si="16"/>
        <v>0</v>
      </c>
      <c r="M197" s="7">
        <f t="shared" si="17"/>
        <v>265.94</v>
      </c>
      <c r="N197" s="7">
        <f t="shared" si="18"/>
        <v>34269.69</v>
      </c>
      <c r="O197" s="7" t="str">
        <f t="shared" si="19"/>
        <v>HDFC 5930</v>
      </c>
    </row>
    <row r="198" spans="1:15" x14ac:dyDescent="0.25">
      <c r="A198" s="1">
        <v>45083</v>
      </c>
      <c r="B198" t="s">
        <v>472</v>
      </c>
      <c r="C198" s="1">
        <v>45083</v>
      </c>
      <c r="D198" s="2">
        <v>226.38</v>
      </c>
      <c r="E198" s="2">
        <v>0</v>
      </c>
      <c r="F198" s="2">
        <v>34043.31</v>
      </c>
      <c r="G198" t="s">
        <v>719</v>
      </c>
      <c r="H198" s="7">
        <f t="shared" si="20"/>
        <v>0</v>
      </c>
      <c r="I198" s="1">
        <f t="shared" si="14"/>
        <v>45083</v>
      </c>
      <c r="J198" s="1" t="str">
        <f t="shared" si="15"/>
        <v>NET PI TO HSL SEC A/C 347707-00602340029392</v>
      </c>
      <c r="L198" s="7">
        <f t="shared" si="16"/>
        <v>226.38</v>
      </c>
      <c r="M198" s="7">
        <f t="shared" si="17"/>
        <v>0</v>
      </c>
      <c r="N198" s="7">
        <f t="shared" si="18"/>
        <v>34043.31</v>
      </c>
      <c r="O198" s="7" t="str">
        <f t="shared" si="19"/>
        <v>HDFC 5930</v>
      </c>
    </row>
    <row r="199" spans="1:15" x14ac:dyDescent="0.25">
      <c r="A199" s="1">
        <v>45083</v>
      </c>
      <c r="B199" t="s">
        <v>472</v>
      </c>
      <c r="C199" s="1">
        <v>45083</v>
      </c>
      <c r="D199" s="2">
        <v>177.9</v>
      </c>
      <c r="E199" s="2">
        <v>0</v>
      </c>
      <c r="F199" s="2">
        <v>33865.410000000003</v>
      </c>
      <c r="G199" t="s">
        <v>719</v>
      </c>
      <c r="H199" s="7">
        <f t="shared" si="20"/>
        <v>0</v>
      </c>
      <c r="I199" s="1">
        <f t="shared" si="14"/>
        <v>45083</v>
      </c>
      <c r="J199" s="1" t="str">
        <f t="shared" si="15"/>
        <v>NET PI TO HSL SEC A/C 347707-00602340029392</v>
      </c>
      <c r="L199" s="7">
        <f t="shared" si="16"/>
        <v>177.9</v>
      </c>
      <c r="M199" s="7">
        <f t="shared" si="17"/>
        <v>0</v>
      </c>
      <c r="N199" s="7">
        <f t="shared" si="18"/>
        <v>33865.410000000003</v>
      </c>
      <c r="O199" s="7" t="str">
        <f t="shared" si="19"/>
        <v>HDFC 5930</v>
      </c>
    </row>
    <row r="200" spans="1:15" x14ac:dyDescent="0.25">
      <c r="A200" s="1">
        <v>45084</v>
      </c>
      <c r="B200" t="s">
        <v>472</v>
      </c>
      <c r="C200" s="1">
        <v>45084</v>
      </c>
      <c r="D200" s="2">
        <v>226.29</v>
      </c>
      <c r="E200" s="2">
        <v>0</v>
      </c>
      <c r="F200" s="2">
        <v>33639.120000000003</v>
      </c>
      <c r="G200" t="s">
        <v>719</v>
      </c>
      <c r="H200" s="7">
        <f t="shared" si="20"/>
        <v>0</v>
      </c>
      <c r="I200" s="1">
        <f t="shared" si="14"/>
        <v>45084</v>
      </c>
      <c r="J200" s="1" t="str">
        <f t="shared" si="15"/>
        <v>NET PI TO HSL SEC A/C 347707-00602340029392</v>
      </c>
      <c r="L200" s="7">
        <f t="shared" si="16"/>
        <v>226.29</v>
      </c>
      <c r="M200" s="7">
        <f t="shared" si="17"/>
        <v>0</v>
      </c>
      <c r="N200" s="7">
        <f t="shared" si="18"/>
        <v>33639.120000000003</v>
      </c>
      <c r="O200" s="7" t="str">
        <f t="shared" si="19"/>
        <v>HDFC 5930</v>
      </c>
    </row>
    <row r="201" spans="1:15" x14ac:dyDescent="0.25">
      <c r="A201" s="1">
        <v>45084</v>
      </c>
      <c r="B201" t="s">
        <v>521</v>
      </c>
      <c r="C201" s="1">
        <v>45084</v>
      </c>
      <c r="D201" s="2">
        <v>2000</v>
      </c>
      <c r="E201" s="2">
        <v>0</v>
      </c>
      <c r="F201" s="2">
        <v>31639.119999999999</v>
      </c>
      <c r="G201" t="s">
        <v>719</v>
      </c>
      <c r="H201" s="7">
        <f t="shared" si="20"/>
        <v>0</v>
      </c>
      <c r="I201" s="1">
        <f t="shared" si="14"/>
        <v>45084</v>
      </c>
      <c r="J201" s="1" t="str">
        <f t="shared" si="15"/>
        <v>ACH D- TP ACH INVESTOCAFE-1166741287</v>
      </c>
      <c r="L201" s="7">
        <f t="shared" si="16"/>
        <v>2000</v>
      </c>
      <c r="M201" s="7">
        <f t="shared" si="17"/>
        <v>0</v>
      </c>
      <c r="N201" s="7">
        <f t="shared" si="18"/>
        <v>31639.119999999999</v>
      </c>
      <c r="O201" s="7" t="str">
        <f t="shared" si="19"/>
        <v>HDFC 5930</v>
      </c>
    </row>
    <row r="202" spans="1:15" x14ac:dyDescent="0.25">
      <c r="A202" s="1">
        <v>45084</v>
      </c>
      <c r="B202" t="s">
        <v>522</v>
      </c>
      <c r="C202" s="1">
        <v>45084</v>
      </c>
      <c r="D202" s="2">
        <v>2500</v>
      </c>
      <c r="E202" s="2">
        <v>0</v>
      </c>
      <c r="F202" s="2">
        <v>29139.119999999999</v>
      </c>
      <c r="G202" t="s">
        <v>719</v>
      </c>
      <c r="H202" s="7">
        <f t="shared" si="20"/>
        <v>0</v>
      </c>
      <c r="I202" s="1">
        <f t="shared" si="14"/>
        <v>45084</v>
      </c>
      <c r="J202" s="1" t="str">
        <f t="shared" si="15"/>
        <v>ACH D- TP ACH INVESTOCAFE-1166741288</v>
      </c>
      <c r="L202" s="7">
        <f t="shared" si="16"/>
        <v>2500</v>
      </c>
      <c r="M202" s="7">
        <f t="shared" si="17"/>
        <v>0</v>
      </c>
      <c r="N202" s="7">
        <f t="shared" si="18"/>
        <v>29139.119999999999</v>
      </c>
      <c r="O202" s="7" t="str">
        <f t="shared" si="19"/>
        <v>HDFC 5930</v>
      </c>
    </row>
    <row r="203" spans="1:15" x14ac:dyDescent="0.25">
      <c r="A203" s="1">
        <v>45084</v>
      </c>
      <c r="B203" t="s">
        <v>473</v>
      </c>
      <c r="C203" s="1">
        <v>45084</v>
      </c>
      <c r="D203" s="2">
        <v>0</v>
      </c>
      <c r="E203" s="2">
        <v>538.78</v>
      </c>
      <c r="F203" s="2">
        <v>29677.9</v>
      </c>
      <c r="G203" t="s">
        <v>719</v>
      </c>
      <c r="H203" s="7">
        <f t="shared" si="20"/>
        <v>0</v>
      </c>
      <c r="I203" s="1">
        <f t="shared" si="14"/>
        <v>45084</v>
      </c>
      <c r="J203" s="1" t="str">
        <f t="shared" si="15"/>
        <v>NET PO FROM HSL A/C 347707-00602340029392</v>
      </c>
      <c r="L203" s="7">
        <f t="shared" si="16"/>
        <v>0</v>
      </c>
      <c r="M203" s="7">
        <f t="shared" si="17"/>
        <v>538.78</v>
      </c>
      <c r="N203" s="7">
        <f t="shared" si="18"/>
        <v>29677.9</v>
      </c>
      <c r="O203" s="7" t="str">
        <f t="shared" si="19"/>
        <v>HDFC 5930</v>
      </c>
    </row>
    <row r="204" spans="1:15" x14ac:dyDescent="0.25">
      <c r="A204" s="1">
        <v>45085</v>
      </c>
      <c r="B204" t="s">
        <v>523</v>
      </c>
      <c r="C204" s="1">
        <v>45085</v>
      </c>
      <c r="D204" s="2">
        <v>0</v>
      </c>
      <c r="E204" s="2">
        <v>75000</v>
      </c>
      <c r="F204" s="2">
        <v>104677.9</v>
      </c>
      <c r="G204" t="s">
        <v>719</v>
      </c>
      <c r="H204" s="7">
        <f t="shared" si="20"/>
        <v>0</v>
      </c>
      <c r="I204" s="1">
        <f t="shared" si="14"/>
        <v>45085</v>
      </c>
      <c r="J204" s="1" t="str">
        <f t="shared" si="15"/>
        <v>NEFT CR-UTIB0000115-AJAY KUMAR GUPTA-AJAY GUPTA-AXIR231593867603</v>
      </c>
      <c r="L204" s="7">
        <f t="shared" si="16"/>
        <v>0</v>
      </c>
      <c r="M204" s="7">
        <f t="shared" si="17"/>
        <v>75000</v>
      </c>
      <c r="N204" s="7">
        <f t="shared" si="18"/>
        <v>104677.9</v>
      </c>
      <c r="O204" s="7" t="str">
        <f t="shared" si="19"/>
        <v>HDFC 5930</v>
      </c>
    </row>
    <row r="205" spans="1:15" x14ac:dyDescent="0.25">
      <c r="A205" s="1">
        <v>45085</v>
      </c>
      <c r="B205" t="s">
        <v>480</v>
      </c>
      <c r="C205" s="1">
        <v>45085</v>
      </c>
      <c r="D205" s="2">
        <v>3000</v>
      </c>
      <c r="E205" s="2">
        <v>0</v>
      </c>
      <c r="F205" s="2">
        <v>101677.9</v>
      </c>
      <c r="G205" t="s">
        <v>719</v>
      </c>
      <c r="H205" s="7">
        <f t="shared" si="20"/>
        <v>0</v>
      </c>
      <c r="I205" s="1">
        <f t="shared" si="14"/>
        <v>45085</v>
      </c>
      <c r="J205" s="1" t="str">
        <f t="shared" si="15"/>
        <v>NET PAYIN TO BSE MF A/C -57500000389146- FROM A/C -01671000085930- UCC -347707-57500000389146</v>
      </c>
      <c r="L205" s="7">
        <f t="shared" si="16"/>
        <v>3000</v>
      </c>
      <c r="M205" s="7">
        <f t="shared" si="17"/>
        <v>0</v>
      </c>
      <c r="N205" s="7">
        <f t="shared" si="18"/>
        <v>101677.9</v>
      </c>
      <c r="O205" s="7" t="str">
        <f t="shared" si="19"/>
        <v>HDFC 5930</v>
      </c>
    </row>
    <row r="206" spans="1:15" x14ac:dyDescent="0.25">
      <c r="A206" s="1">
        <v>45085</v>
      </c>
      <c r="B206" t="s">
        <v>472</v>
      </c>
      <c r="C206" s="1">
        <v>45085</v>
      </c>
      <c r="D206" s="2">
        <v>226.56</v>
      </c>
      <c r="E206" s="2">
        <v>0</v>
      </c>
      <c r="F206" s="2">
        <v>101451.34</v>
      </c>
      <c r="G206" t="s">
        <v>719</v>
      </c>
      <c r="H206" s="7">
        <f t="shared" si="20"/>
        <v>0</v>
      </c>
      <c r="I206" s="1">
        <f t="shared" si="14"/>
        <v>45085</v>
      </c>
      <c r="J206" s="1" t="str">
        <f t="shared" si="15"/>
        <v>NET PI TO HSL SEC A/C 347707-00602340029392</v>
      </c>
      <c r="L206" s="7">
        <f t="shared" si="16"/>
        <v>226.56</v>
      </c>
      <c r="M206" s="7">
        <f t="shared" si="17"/>
        <v>0</v>
      </c>
      <c r="N206" s="7">
        <f t="shared" si="18"/>
        <v>101451.34</v>
      </c>
      <c r="O206" s="7" t="str">
        <f t="shared" si="19"/>
        <v>HDFC 5930</v>
      </c>
    </row>
    <row r="207" spans="1:15" x14ac:dyDescent="0.25">
      <c r="A207" s="1">
        <v>45085</v>
      </c>
      <c r="B207" t="s">
        <v>472</v>
      </c>
      <c r="C207" s="1">
        <v>45085</v>
      </c>
      <c r="D207" s="2">
        <v>775.22</v>
      </c>
      <c r="E207" s="2">
        <v>0</v>
      </c>
      <c r="F207" s="2">
        <v>100676.12</v>
      </c>
      <c r="G207" t="s">
        <v>719</v>
      </c>
      <c r="H207" s="7">
        <f t="shared" si="20"/>
        <v>0</v>
      </c>
      <c r="I207" s="1">
        <f t="shared" si="14"/>
        <v>45085</v>
      </c>
      <c r="J207" s="1" t="str">
        <f t="shared" si="15"/>
        <v>NET PI TO HSL SEC A/C 347707-00602340029392</v>
      </c>
      <c r="L207" s="7">
        <f t="shared" si="16"/>
        <v>775.22</v>
      </c>
      <c r="M207" s="7">
        <f t="shared" si="17"/>
        <v>0</v>
      </c>
      <c r="N207" s="7">
        <f t="shared" si="18"/>
        <v>100676.12</v>
      </c>
      <c r="O207" s="7" t="str">
        <f t="shared" si="19"/>
        <v>HDFC 5930</v>
      </c>
    </row>
    <row r="208" spans="1:15" x14ac:dyDescent="0.25">
      <c r="A208" s="1">
        <v>45085</v>
      </c>
      <c r="B208" t="s">
        <v>472</v>
      </c>
      <c r="C208" s="1">
        <v>45085</v>
      </c>
      <c r="D208" s="2">
        <v>83.92</v>
      </c>
      <c r="E208" s="2">
        <v>0</v>
      </c>
      <c r="F208" s="2">
        <v>100592.2</v>
      </c>
      <c r="G208" t="s">
        <v>719</v>
      </c>
      <c r="H208" s="7">
        <f t="shared" si="20"/>
        <v>0</v>
      </c>
      <c r="I208" s="1">
        <f t="shared" si="14"/>
        <v>45085</v>
      </c>
      <c r="J208" s="1" t="str">
        <f t="shared" si="15"/>
        <v>NET PI TO HSL SEC A/C 347707-00602340029392</v>
      </c>
      <c r="L208" s="7">
        <f t="shared" si="16"/>
        <v>83.92</v>
      </c>
      <c r="M208" s="7">
        <f t="shared" si="17"/>
        <v>0</v>
      </c>
      <c r="N208" s="7">
        <f t="shared" si="18"/>
        <v>100592.2</v>
      </c>
      <c r="O208" s="7" t="str">
        <f t="shared" si="19"/>
        <v>HDFC 5930</v>
      </c>
    </row>
    <row r="209" spans="1:15" x14ac:dyDescent="0.25">
      <c r="A209" s="1">
        <v>45086</v>
      </c>
      <c r="B209" t="s">
        <v>472</v>
      </c>
      <c r="C209" s="1">
        <v>45086</v>
      </c>
      <c r="D209" s="2">
        <v>226.18</v>
      </c>
      <c r="E209" s="2">
        <v>0</v>
      </c>
      <c r="F209" s="2">
        <v>100366.02</v>
      </c>
      <c r="G209" t="s">
        <v>719</v>
      </c>
      <c r="H209" s="7">
        <f t="shared" si="20"/>
        <v>0</v>
      </c>
      <c r="I209" s="1">
        <f t="shared" si="14"/>
        <v>45086</v>
      </c>
      <c r="J209" s="1" t="str">
        <f t="shared" si="15"/>
        <v>NET PI TO HSL SEC A/C 347707-00602340029392</v>
      </c>
      <c r="L209" s="7">
        <f t="shared" si="16"/>
        <v>226.18</v>
      </c>
      <c r="M209" s="7">
        <f t="shared" si="17"/>
        <v>0</v>
      </c>
      <c r="N209" s="7">
        <f t="shared" si="18"/>
        <v>100366.02</v>
      </c>
      <c r="O209" s="7" t="str">
        <f t="shared" si="19"/>
        <v>HDFC 5930</v>
      </c>
    </row>
    <row r="210" spans="1:15" x14ac:dyDescent="0.25">
      <c r="A210" s="1">
        <v>45086</v>
      </c>
      <c r="B210" t="s">
        <v>524</v>
      </c>
      <c r="C210" s="1">
        <v>45086</v>
      </c>
      <c r="D210" s="2">
        <v>0</v>
      </c>
      <c r="E210" s="2">
        <v>20400</v>
      </c>
      <c r="F210" s="2">
        <v>120766.02</v>
      </c>
      <c r="G210" t="s">
        <v>719</v>
      </c>
      <c r="H210" s="7">
        <f t="shared" si="20"/>
        <v>0</v>
      </c>
      <c r="I210" s="1">
        <f t="shared" ref="I210:I273" si="21">A210</f>
        <v>45086</v>
      </c>
      <c r="J210" s="1" t="str">
        <f t="shared" ref="J210:J273" si="22">B210</f>
        <v>NEFT CR-YESB0000004-INDIAN CLEARING CORPORATION LIMITED-AJAYKUMARGUPTA-YESB31605516647</v>
      </c>
      <c r="L210" s="7">
        <f t="shared" ref="L210:L273" si="23">D210</f>
        <v>0</v>
      </c>
      <c r="M210" s="7">
        <f t="shared" ref="M210:M273" si="24">E210</f>
        <v>20400</v>
      </c>
      <c r="N210" s="7">
        <f t="shared" ref="N210:N273" si="25">F210</f>
        <v>120766.02</v>
      </c>
      <c r="O210" s="7" t="str">
        <f t="shared" ref="O210:O273" si="26">G210</f>
        <v>HDFC 5930</v>
      </c>
    </row>
    <row r="211" spans="1:15" x14ac:dyDescent="0.25">
      <c r="A211" s="1">
        <v>45086</v>
      </c>
      <c r="B211" t="s">
        <v>525</v>
      </c>
      <c r="C211" s="1">
        <v>45086</v>
      </c>
      <c r="D211" s="2">
        <v>20000</v>
      </c>
      <c r="E211" s="2">
        <v>0</v>
      </c>
      <c r="F211" s="2">
        <v>100766.02</v>
      </c>
      <c r="G211" t="s">
        <v>719</v>
      </c>
      <c r="H211" s="7">
        <f t="shared" ref="H211:H274" si="27">F210-D211+E211-F211</f>
        <v>0</v>
      </c>
      <c r="I211" s="1">
        <f t="shared" si="21"/>
        <v>45086</v>
      </c>
      <c r="J211" s="1" t="str">
        <f t="shared" si="22"/>
        <v>50100128155413-TPT-MONY RTRN TO AAYUSH-AAYUSH KUMAR GUPTA</v>
      </c>
      <c r="L211" s="7">
        <f t="shared" si="23"/>
        <v>20000</v>
      </c>
      <c r="M211" s="7">
        <f t="shared" si="24"/>
        <v>0</v>
      </c>
      <c r="N211" s="7">
        <f t="shared" si="25"/>
        <v>100766.02</v>
      </c>
      <c r="O211" s="7" t="str">
        <f t="shared" si="26"/>
        <v>HDFC 5930</v>
      </c>
    </row>
    <row r="212" spans="1:15" x14ac:dyDescent="0.25">
      <c r="A212" s="1">
        <v>45086</v>
      </c>
      <c r="B212" t="s">
        <v>472</v>
      </c>
      <c r="C212" s="1">
        <v>45086</v>
      </c>
      <c r="D212" s="2">
        <v>7759.23</v>
      </c>
      <c r="E212" s="2">
        <v>0</v>
      </c>
      <c r="F212" s="2">
        <v>93006.79</v>
      </c>
      <c r="G212" t="s">
        <v>719</v>
      </c>
      <c r="H212" s="7">
        <f t="shared" si="27"/>
        <v>0</v>
      </c>
      <c r="I212" s="1">
        <f t="shared" si="21"/>
        <v>45086</v>
      </c>
      <c r="J212" s="1" t="str">
        <f t="shared" si="22"/>
        <v>NET PI TO HSL SEC A/C 347707-00602340029392</v>
      </c>
      <c r="L212" s="7">
        <f t="shared" si="23"/>
        <v>7759.23</v>
      </c>
      <c r="M212" s="7">
        <f t="shared" si="24"/>
        <v>0</v>
      </c>
      <c r="N212" s="7">
        <f t="shared" si="25"/>
        <v>93006.79</v>
      </c>
      <c r="O212" s="7" t="str">
        <f t="shared" si="26"/>
        <v>HDFC 5930</v>
      </c>
    </row>
    <row r="213" spans="1:15" x14ac:dyDescent="0.25">
      <c r="A213" s="1">
        <v>45089</v>
      </c>
      <c r="B213" t="s">
        <v>504</v>
      </c>
      <c r="C213" s="1">
        <v>45089</v>
      </c>
      <c r="D213" s="2">
        <v>4000</v>
      </c>
      <c r="E213" s="2">
        <v>0</v>
      </c>
      <c r="F213" s="2">
        <v>89006.79</v>
      </c>
      <c r="G213" t="s">
        <v>719</v>
      </c>
      <c r="H213" s="7">
        <f t="shared" si="27"/>
        <v>0</v>
      </c>
      <c r="I213" s="1">
        <f t="shared" si="21"/>
        <v>45089</v>
      </c>
      <c r="J213" s="1" t="str">
        <f t="shared" si="22"/>
        <v>O-MF-HSBC MF-O-O416-000000101236</v>
      </c>
      <c r="L213" s="7">
        <f t="shared" si="23"/>
        <v>4000</v>
      </c>
      <c r="M213" s="7">
        <f t="shared" si="24"/>
        <v>0</v>
      </c>
      <c r="N213" s="7">
        <f t="shared" si="25"/>
        <v>89006.79</v>
      </c>
      <c r="O213" s="7" t="str">
        <f t="shared" si="26"/>
        <v>HDFC 5930</v>
      </c>
    </row>
    <row r="214" spans="1:15" x14ac:dyDescent="0.25">
      <c r="A214" s="1">
        <v>45089</v>
      </c>
      <c r="B214" t="s">
        <v>480</v>
      </c>
      <c r="C214" s="1">
        <v>45089</v>
      </c>
      <c r="D214" s="2">
        <v>5000</v>
      </c>
      <c r="E214" s="2">
        <v>0</v>
      </c>
      <c r="F214" s="2">
        <v>84006.79</v>
      </c>
      <c r="G214" t="s">
        <v>719</v>
      </c>
      <c r="H214" s="7">
        <f t="shared" si="27"/>
        <v>0</v>
      </c>
      <c r="I214" s="1">
        <f t="shared" si="21"/>
        <v>45089</v>
      </c>
      <c r="J214" s="1" t="str">
        <f t="shared" si="22"/>
        <v>NET PAYIN TO BSE MF A/C -57500000389146- FROM A/C -01671000085930- UCC -347707-57500000389146</v>
      </c>
      <c r="L214" s="7">
        <f t="shared" si="23"/>
        <v>5000</v>
      </c>
      <c r="M214" s="7">
        <f t="shared" si="24"/>
        <v>0</v>
      </c>
      <c r="N214" s="7">
        <f t="shared" si="25"/>
        <v>84006.79</v>
      </c>
      <c r="O214" s="7" t="str">
        <f t="shared" si="26"/>
        <v>HDFC 5930</v>
      </c>
    </row>
    <row r="215" spans="1:15" x14ac:dyDescent="0.25">
      <c r="A215" s="1">
        <v>45089</v>
      </c>
      <c r="B215" t="s">
        <v>480</v>
      </c>
      <c r="C215" s="1">
        <v>45089</v>
      </c>
      <c r="D215" s="2">
        <v>3000</v>
      </c>
      <c r="E215" s="2">
        <v>0</v>
      </c>
      <c r="F215" s="2">
        <v>81006.789999999994</v>
      </c>
      <c r="G215" t="s">
        <v>719</v>
      </c>
      <c r="H215" s="7">
        <f t="shared" si="27"/>
        <v>0</v>
      </c>
      <c r="I215" s="1">
        <f t="shared" si="21"/>
        <v>45089</v>
      </c>
      <c r="J215" s="1" t="str">
        <f t="shared" si="22"/>
        <v>NET PAYIN TO BSE MF A/C -57500000389146- FROM A/C -01671000085930- UCC -347707-57500000389146</v>
      </c>
      <c r="L215" s="7">
        <f t="shared" si="23"/>
        <v>3000</v>
      </c>
      <c r="M215" s="7">
        <f t="shared" si="24"/>
        <v>0</v>
      </c>
      <c r="N215" s="7">
        <f t="shared" si="25"/>
        <v>81006.789999999994</v>
      </c>
      <c r="O215" s="7" t="str">
        <f t="shared" si="26"/>
        <v>HDFC 5930</v>
      </c>
    </row>
    <row r="216" spans="1:15" x14ac:dyDescent="0.25">
      <c r="A216" s="1">
        <v>45089</v>
      </c>
      <c r="B216" t="s">
        <v>472</v>
      </c>
      <c r="C216" s="1">
        <v>45089</v>
      </c>
      <c r="D216" s="2">
        <v>667.05</v>
      </c>
      <c r="E216" s="2">
        <v>0</v>
      </c>
      <c r="F216" s="2">
        <v>80339.740000000005</v>
      </c>
      <c r="G216" t="s">
        <v>719</v>
      </c>
      <c r="H216" s="7">
        <f t="shared" si="27"/>
        <v>0</v>
      </c>
      <c r="I216" s="1">
        <f t="shared" si="21"/>
        <v>45089</v>
      </c>
      <c r="J216" s="1" t="str">
        <f t="shared" si="22"/>
        <v>NET PI TO HSL SEC A/C 347707-00602340029392</v>
      </c>
      <c r="L216" s="7">
        <f t="shared" si="23"/>
        <v>667.05</v>
      </c>
      <c r="M216" s="7">
        <f t="shared" si="24"/>
        <v>0</v>
      </c>
      <c r="N216" s="7">
        <f t="shared" si="25"/>
        <v>80339.740000000005</v>
      </c>
      <c r="O216" s="7" t="str">
        <f t="shared" si="26"/>
        <v>HDFC 5930</v>
      </c>
    </row>
    <row r="217" spans="1:15" x14ac:dyDescent="0.25">
      <c r="A217" s="1">
        <v>45089</v>
      </c>
      <c r="B217" t="s">
        <v>472</v>
      </c>
      <c r="C217" s="1">
        <v>45089</v>
      </c>
      <c r="D217" s="2">
        <v>34794.36</v>
      </c>
      <c r="E217" s="2">
        <v>0</v>
      </c>
      <c r="F217" s="2">
        <v>45545.38</v>
      </c>
      <c r="G217" t="s">
        <v>719</v>
      </c>
      <c r="H217" s="7">
        <f t="shared" si="27"/>
        <v>0</v>
      </c>
      <c r="I217" s="1">
        <f t="shared" si="21"/>
        <v>45089</v>
      </c>
      <c r="J217" s="1" t="str">
        <f t="shared" si="22"/>
        <v>NET PI TO HSL SEC A/C 347707-00602340029392</v>
      </c>
      <c r="L217" s="7">
        <f t="shared" si="23"/>
        <v>34794.36</v>
      </c>
      <c r="M217" s="7">
        <f t="shared" si="24"/>
        <v>0</v>
      </c>
      <c r="N217" s="7">
        <f t="shared" si="25"/>
        <v>45545.38</v>
      </c>
      <c r="O217" s="7" t="str">
        <f t="shared" si="26"/>
        <v>HDFC 5930</v>
      </c>
    </row>
    <row r="218" spans="1:15" x14ac:dyDescent="0.25">
      <c r="A218" s="1">
        <v>45089</v>
      </c>
      <c r="B218" t="s">
        <v>472</v>
      </c>
      <c r="C218" s="1">
        <v>45089</v>
      </c>
      <c r="D218" s="2">
        <v>579.98</v>
      </c>
      <c r="E218" s="2">
        <v>0</v>
      </c>
      <c r="F218" s="2">
        <v>44965.4</v>
      </c>
      <c r="G218" t="s">
        <v>719</v>
      </c>
      <c r="H218" s="7">
        <f t="shared" si="27"/>
        <v>0</v>
      </c>
      <c r="I218" s="1">
        <f t="shared" si="21"/>
        <v>45089</v>
      </c>
      <c r="J218" s="1" t="str">
        <f t="shared" si="22"/>
        <v>NET PI TO HSL SEC A/C 347707-00602340029392</v>
      </c>
      <c r="L218" s="7">
        <f t="shared" si="23"/>
        <v>579.98</v>
      </c>
      <c r="M218" s="7">
        <f t="shared" si="24"/>
        <v>0</v>
      </c>
      <c r="N218" s="7">
        <f t="shared" si="25"/>
        <v>44965.4</v>
      </c>
      <c r="O218" s="7" t="str">
        <f t="shared" si="26"/>
        <v>HDFC 5930</v>
      </c>
    </row>
    <row r="219" spans="1:15" x14ac:dyDescent="0.25">
      <c r="A219" s="1">
        <v>45089</v>
      </c>
      <c r="B219" t="s">
        <v>473</v>
      </c>
      <c r="C219" s="1">
        <v>45089</v>
      </c>
      <c r="D219" s="2">
        <v>0</v>
      </c>
      <c r="E219" s="2">
        <v>579.98</v>
      </c>
      <c r="F219" s="2">
        <v>45545.38</v>
      </c>
      <c r="G219" t="s">
        <v>719</v>
      </c>
      <c r="H219" s="7">
        <f t="shared" si="27"/>
        <v>0</v>
      </c>
      <c r="I219" s="1">
        <f t="shared" si="21"/>
        <v>45089</v>
      </c>
      <c r="J219" s="1" t="str">
        <f t="shared" si="22"/>
        <v>NET PO FROM HSL A/C 347707-00602340029392</v>
      </c>
      <c r="L219" s="7">
        <f t="shared" si="23"/>
        <v>0</v>
      </c>
      <c r="M219" s="7">
        <f t="shared" si="24"/>
        <v>579.98</v>
      </c>
      <c r="N219" s="7">
        <f t="shared" si="25"/>
        <v>45545.38</v>
      </c>
      <c r="O219" s="7" t="str">
        <f t="shared" si="26"/>
        <v>HDFC 5930</v>
      </c>
    </row>
    <row r="220" spans="1:15" x14ac:dyDescent="0.25">
      <c r="A220" s="1">
        <v>45090</v>
      </c>
      <c r="B220" t="s">
        <v>472</v>
      </c>
      <c r="C220" s="1">
        <v>45090</v>
      </c>
      <c r="D220" s="2">
        <v>213.54</v>
      </c>
      <c r="E220" s="2">
        <v>0</v>
      </c>
      <c r="F220" s="2">
        <v>45331.839999999997</v>
      </c>
      <c r="G220" t="s">
        <v>719</v>
      </c>
      <c r="H220" s="7">
        <f t="shared" si="27"/>
        <v>0</v>
      </c>
      <c r="I220" s="1">
        <f t="shared" si="21"/>
        <v>45090</v>
      </c>
      <c r="J220" s="1" t="str">
        <f t="shared" si="22"/>
        <v>NET PI TO HSL SEC A/C 347707-00602340029392</v>
      </c>
      <c r="L220" s="7">
        <f t="shared" si="23"/>
        <v>213.54</v>
      </c>
      <c r="M220" s="7">
        <f t="shared" si="24"/>
        <v>0</v>
      </c>
      <c r="N220" s="7">
        <f t="shared" si="25"/>
        <v>45331.839999999997</v>
      </c>
      <c r="O220" s="7" t="str">
        <f t="shared" si="26"/>
        <v>HDFC 5930</v>
      </c>
    </row>
    <row r="221" spans="1:15" x14ac:dyDescent="0.25">
      <c r="A221" s="1">
        <v>45090</v>
      </c>
      <c r="B221" t="s">
        <v>472</v>
      </c>
      <c r="C221" s="1">
        <v>45090</v>
      </c>
      <c r="D221" s="2">
        <v>7898.28</v>
      </c>
      <c r="E221" s="2">
        <v>0</v>
      </c>
      <c r="F221" s="2">
        <v>37433.56</v>
      </c>
      <c r="G221" t="s">
        <v>719</v>
      </c>
      <c r="H221" s="7">
        <f t="shared" si="27"/>
        <v>0</v>
      </c>
      <c r="I221" s="1">
        <f t="shared" si="21"/>
        <v>45090</v>
      </c>
      <c r="J221" s="1" t="str">
        <f t="shared" si="22"/>
        <v>NET PI TO HSL SEC A/C 347707-00602340029392</v>
      </c>
      <c r="L221" s="7">
        <f t="shared" si="23"/>
        <v>7898.28</v>
      </c>
      <c r="M221" s="7">
        <f t="shared" si="24"/>
        <v>0</v>
      </c>
      <c r="N221" s="7">
        <f t="shared" si="25"/>
        <v>37433.56</v>
      </c>
      <c r="O221" s="7" t="str">
        <f t="shared" si="26"/>
        <v>HDFC 5930</v>
      </c>
    </row>
    <row r="222" spans="1:15" x14ac:dyDescent="0.25">
      <c r="A222" s="1">
        <v>45090</v>
      </c>
      <c r="B222" t="s">
        <v>473</v>
      </c>
      <c r="C222" s="1">
        <v>45090</v>
      </c>
      <c r="D222" s="2">
        <v>0</v>
      </c>
      <c r="E222" s="2">
        <v>12795.52</v>
      </c>
      <c r="F222" s="2">
        <v>50229.08</v>
      </c>
      <c r="G222" t="s">
        <v>719</v>
      </c>
      <c r="H222" s="7">
        <f t="shared" si="27"/>
        <v>0</v>
      </c>
      <c r="I222" s="1">
        <f t="shared" si="21"/>
        <v>45090</v>
      </c>
      <c r="J222" s="1" t="str">
        <f t="shared" si="22"/>
        <v>NET PO FROM HSL A/C 347707-00602340029392</v>
      </c>
      <c r="L222" s="7">
        <f t="shared" si="23"/>
        <v>0</v>
      </c>
      <c r="M222" s="7">
        <f t="shared" si="24"/>
        <v>12795.52</v>
      </c>
      <c r="N222" s="7">
        <f t="shared" si="25"/>
        <v>50229.08</v>
      </c>
      <c r="O222" s="7" t="str">
        <f t="shared" si="26"/>
        <v>HDFC 5930</v>
      </c>
    </row>
    <row r="223" spans="1:15" x14ac:dyDescent="0.25">
      <c r="A223" s="1">
        <v>45090</v>
      </c>
      <c r="B223" t="s">
        <v>472</v>
      </c>
      <c r="C223" s="1">
        <v>45090</v>
      </c>
      <c r="D223" s="2">
        <v>6380.26</v>
      </c>
      <c r="E223" s="2">
        <v>0</v>
      </c>
      <c r="F223" s="2">
        <v>43848.82</v>
      </c>
      <c r="G223" t="s">
        <v>719</v>
      </c>
      <c r="H223" s="7">
        <f t="shared" si="27"/>
        <v>0</v>
      </c>
      <c r="I223" s="1">
        <f t="shared" si="21"/>
        <v>45090</v>
      </c>
      <c r="J223" s="1" t="str">
        <f t="shared" si="22"/>
        <v>NET PI TO HSL SEC A/C 347707-00602340029392</v>
      </c>
      <c r="L223" s="7">
        <f t="shared" si="23"/>
        <v>6380.26</v>
      </c>
      <c r="M223" s="7">
        <f t="shared" si="24"/>
        <v>0</v>
      </c>
      <c r="N223" s="7">
        <f t="shared" si="25"/>
        <v>43848.82</v>
      </c>
      <c r="O223" s="7" t="str">
        <f t="shared" si="26"/>
        <v>HDFC 5930</v>
      </c>
    </row>
    <row r="224" spans="1:15" x14ac:dyDescent="0.25">
      <c r="A224" s="1">
        <v>45090</v>
      </c>
      <c r="B224" t="s">
        <v>473</v>
      </c>
      <c r="C224" s="1">
        <v>45090</v>
      </c>
      <c r="D224" s="2">
        <v>0</v>
      </c>
      <c r="E224" s="2">
        <v>6380.26</v>
      </c>
      <c r="F224" s="2">
        <v>50229.08</v>
      </c>
      <c r="G224" t="s">
        <v>719</v>
      </c>
      <c r="H224" s="7">
        <f t="shared" si="27"/>
        <v>0</v>
      </c>
      <c r="I224" s="1">
        <f t="shared" si="21"/>
        <v>45090</v>
      </c>
      <c r="J224" s="1" t="str">
        <f t="shared" si="22"/>
        <v>NET PO FROM HSL A/C 347707-00602340029392</v>
      </c>
      <c r="L224" s="7">
        <f t="shared" si="23"/>
        <v>0</v>
      </c>
      <c r="M224" s="7">
        <f t="shared" si="24"/>
        <v>6380.26</v>
      </c>
      <c r="N224" s="7">
        <f t="shared" si="25"/>
        <v>50229.08</v>
      </c>
      <c r="O224" s="7" t="str">
        <f t="shared" si="26"/>
        <v>HDFC 5930</v>
      </c>
    </row>
    <row r="225" spans="1:15" x14ac:dyDescent="0.25">
      <c r="A225" s="1">
        <v>45091</v>
      </c>
      <c r="B225" t="s">
        <v>480</v>
      </c>
      <c r="C225" s="1">
        <v>45091</v>
      </c>
      <c r="D225" s="2">
        <v>3000</v>
      </c>
      <c r="E225" s="2">
        <v>0</v>
      </c>
      <c r="F225" s="2">
        <v>47229.08</v>
      </c>
      <c r="G225" t="s">
        <v>719</v>
      </c>
      <c r="H225" s="7">
        <f t="shared" si="27"/>
        <v>0</v>
      </c>
      <c r="I225" s="1">
        <f t="shared" si="21"/>
        <v>45091</v>
      </c>
      <c r="J225" s="1" t="str">
        <f t="shared" si="22"/>
        <v>NET PAYIN TO BSE MF A/C -57500000389146- FROM A/C -01671000085930- UCC -347707-57500000389146</v>
      </c>
      <c r="L225" s="7">
        <f t="shared" si="23"/>
        <v>3000</v>
      </c>
      <c r="M225" s="7">
        <f t="shared" si="24"/>
        <v>0</v>
      </c>
      <c r="N225" s="7">
        <f t="shared" si="25"/>
        <v>47229.08</v>
      </c>
      <c r="O225" s="7" t="str">
        <f t="shared" si="26"/>
        <v>HDFC 5930</v>
      </c>
    </row>
    <row r="226" spans="1:15" x14ac:dyDescent="0.25">
      <c r="A226" s="1">
        <v>45091</v>
      </c>
      <c r="B226" t="s">
        <v>472</v>
      </c>
      <c r="C226" s="1">
        <v>45091</v>
      </c>
      <c r="D226" s="2">
        <v>228.76</v>
      </c>
      <c r="E226" s="2">
        <v>0</v>
      </c>
      <c r="F226" s="2">
        <v>47000.32</v>
      </c>
      <c r="G226" t="s">
        <v>719</v>
      </c>
      <c r="H226" s="7">
        <f t="shared" si="27"/>
        <v>0</v>
      </c>
      <c r="I226" s="1">
        <f t="shared" si="21"/>
        <v>45091</v>
      </c>
      <c r="J226" s="1" t="str">
        <f t="shared" si="22"/>
        <v>NET PI TO HSL SEC A/C 347707-00602340029392</v>
      </c>
      <c r="L226" s="7">
        <f t="shared" si="23"/>
        <v>228.76</v>
      </c>
      <c r="M226" s="7">
        <f t="shared" si="24"/>
        <v>0</v>
      </c>
      <c r="N226" s="7">
        <f t="shared" si="25"/>
        <v>47000.32</v>
      </c>
      <c r="O226" s="7" t="str">
        <f t="shared" si="26"/>
        <v>HDFC 5930</v>
      </c>
    </row>
    <row r="227" spans="1:15" x14ac:dyDescent="0.25">
      <c r="A227" s="1">
        <v>45091</v>
      </c>
      <c r="B227" t="s">
        <v>473</v>
      </c>
      <c r="C227" s="1">
        <v>45091</v>
      </c>
      <c r="D227" s="2">
        <v>0</v>
      </c>
      <c r="E227" s="2">
        <v>2771.03</v>
      </c>
      <c r="F227" s="2">
        <v>49771.35</v>
      </c>
      <c r="G227" t="s">
        <v>719</v>
      </c>
      <c r="H227" s="7">
        <f t="shared" si="27"/>
        <v>0</v>
      </c>
      <c r="I227" s="1">
        <f t="shared" si="21"/>
        <v>45091</v>
      </c>
      <c r="J227" s="1" t="str">
        <f t="shared" si="22"/>
        <v>NET PO FROM HSL A/C 347707-00602340029392</v>
      </c>
      <c r="L227" s="7">
        <f t="shared" si="23"/>
        <v>0</v>
      </c>
      <c r="M227" s="7">
        <f t="shared" si="24"/>
        <v>2771.03</v>
      </c>
      <c r="N227" s="7">
        <f t="shared" si="25"/>
        <v>49771.35</v>
      </c>
      <c r="O227" s="7" t="str">
        <f t="shared" si="26"/>
        <v>HDFC 5930</v>
      </c>
    </row>
    <row r="228" spans="1:15" x14ac:dyDescent="0.25">
      <c r="A228" s="1">
        <v>45092</v>
      </c>
      <c r="B228" t="s">
        <v>473</v>
      </c>
      <c r="C228" s="1">
        <v>45092</v>
      </c>
      <c r="D228" s="2">
        <v>0</v>
      </c>
      <c r="E228" s="2">
        <v>35058.39</v>
      </c>
      <c r="F228" s="2">
        <v>84829.74</v>
      </c>
      <c r="G228" t="s">
        <v>719</v>
      </c>
      <c r="H228" s="7">
        <f t="shared" si="27"/>
        <v>0</v>
      </c>
      <c r="I228" s="1">
        <f t="shared" si="21"/>
        <v>45092</v>
      </c>
      <c r="J228" s="1" t="str">
        <f t="shared" si="22"/>
        <v>NET PO FROM HSL A/C 347707-00602340029392</v>
      </c>
      <c r="L228" s="7">
        <f t="shared" si="23"/>
        <v>0</v>
      </c>
      <c r="M228" s="7">
        <f t="shared" si="24"/>
        <v>35058.39</v>
      </c>
      <c r="N228" s="7">
        <f t="shared" si="25"/>
        <v>84829.74</v>
      </c>
      <c r="O228" s="7" t="str">
        <f t="shared" si="26"/>
        <v>HDFC 5930</v>
      </c>
    </row>
    <row r="229" spans="1:15" x14ac:dyDescent="0.25">
      <c r="A229" s="1">
        <v>45092</v>
      </c>
      <c r="B229" t="s">
        <v>526</v>
      </c>
      <c r="C229" s="1">
        <v>45092</v>
      </c>
      <c r="D229" s="2">
        <v>1500</v>
      </c>
      <c r="E229" s="2">
        <v>0</v>
      </c>
      <c r="F229" s="2">
        <v>83329.740000000005</v>
      </c>
      <c r="G229" t="s">
        <v>719</v>
      </c>
      <c r="H229" s="7">
        <f t="shared" si="27"/>
        <v>0</v>
      </c>
      <c r="I229" s="1">
        <f t="shared" si="21"/>
        <v>45092</v>
      </c>
      <c r="J229" s="1" t="str">
        <f t="shared" si="22"/>
        <v>ACH D- TP ACH INVESTOCAFE-1171027505</v>
      </c>
      <c r="L229" s="7">
        <f t="shared" si="23"/>
        <v>1500</v>
      </c>
      <c r="M229" s="7">
        <f t="shared" si="24"/>
        <v>0</v>
      </c>
      <c r="N229" s="7">
        <f t="shared" si="25"/>
        <v>83329.740000000005</v>
      </c>
      <c r="O229" s="7" t="str">
        <f t="shared" si="26"/>
        <v>HDFC 5930</v>
      </c>
    </row>
    <row r="230" spans="1:15" x14ac:dyDescent="0.25">
      <c r="A230" s="1">
        <v>45092</v>
      </c>
      <c r="B230" t="s">
        <v>527</v>
      </c>
      <c r="C230" s="1">
        <v>45092</v>
      </c>
      <c r="D230" s="2">
        <v>2000</v>
      </c>
      <c r="E230" s="2">
        <v>0</v>
      </c>
      <c r="F230" s="2">
        <v>81329.740000000005</v>
      </c>
      <c r="G230" t="s">
        <v>719</v>
      </c>
      <c r="H230" s="7">
        <f t="shared" si="27"/>
        <v>0</v>
      </c>
      <c r="I230" s="1">
        <f t="shared" si="21"/>
        <v>45092</v>
      </c>
      <c r="J230" s="1" t="str">
        <f t="shared" si="22"/>
        <v>ACH D- TP ACH INVESTOCAFE-1171027506</v>
      </c>
      <c r="L230" s="7">
        <f t="shared" si="23"/>
        <v>2000</v>
      </c>
      <c r="M230" s="7">
        <f t="shared" si="24"/>
        <v>0</v>
      </c>
      <c r="N230" s="7">
        <f t="shared" si="25"/>
        <v>81329.740000000005</v>
      </c>
      <c r="O230" s="7" t="str">
        <f t="shared" si="26"/>
        <v>HDFC 5930</v>
      </c>
    </row>
    <row r="231" spans="1:15" x14ac:dyDescent="0.25">
      <c r="A231" s="1">
        <v>45092</v>
      </c>
      <c r="B231" t="s">
        <v>472</v>
      </c>
      <c r="C231" s="1">
        <v>45092</v>
      </c>
      <c r="D231" s="2">
        <v>1413.73</v>
      </c>
      <c r="E231" s="2">
        <v>0</v>
      </c>
      <c r="F231" s="2">
        <v>79916.009999999995</v>
      </c>
      <c r="G231" t="s">
        <v>719</v>
      </c>
      <c r="H231" s="7">
        <f t="shared" si="27"/>
        <v>0</v>
      </c>
      <c r="I231" s="1">
        <f t="shared" si="21"/>
        <v>45092</v>
      </c>
      <c r="J231" s="1" t="str">
        <f t="shared" si="22"/>
        <v>NET PI TO HSL SEC A/C 347707-00602340029392</v>
      </c>
      <c r="L231" s="7">
        <f t="shared" si="23"/>
        <v>1413.73</v>
      </c>
      <c r="M231" s="7">
        <f t="shared" si="24"/>
        <v>0</v>
      </c>
      <c r="N231" s="7">
        <f t="shared" si="25"/>
        <v>79916.009999999995</v>
      </c>
      <c r="O231" s="7" t="str">
        <f t="shared" si="26"/>
        <v>HDFC 5930</v>
      </c>
    </row>
    <row r="232" spans="1:15" x14ac:dyDescent="0.25">
      <c r="A232" s="1">
        <v>45092</v>
      </c>
      <c r="B232" t="s">
        <v>473</v>
      </c>
      <c r="C232" s="1">
        <v>45092</v>
      </c>
      <c r="D232" s="2">
        <v>0</v>
      </c>
      <c r="E232" s="2">
        <v>295.23</v>
      </c>
      <c r="F232" s="2">
        <v>80211.240000000005</v>
      </c>
      <c r="G232" t="s">
        <v>719</v>
      </c>
      <c r="H232" s="7">
        <f t="shared" si="27"/>
        <v>0</v>
      </c>
      <c r="I232" s="1">
        <f t="shared" si="21"/>
        <v>45092</v>
      </c>
      <c r="J232" s="1" t="str">
        <f t="shared" si="22"/>
        <v>NET PO FROM HSL A/C 347707-00602340029392</v>
      </c>
      <c r="L232" s="7">
        <f t="shared" si="23"/>
        <v>0</v>
      </c>
      <c r="M232" s="7">
        <f t="shared" si="24"/>
        <v>295.23</v>
      </c>
      <c r="N232" s="7">
        <f t="shared" si="25"/>
        <v>80211.240000000005</v>
      </c>
      <c r="O232" s="7" t="str">
        <f t="shared" si="26"/>
        <v>HDFC 5930</v>
      </c>
    </row>
    <row r="233" spans="1:15" x14ac:dyDescent="0.25">
      <c r="A233" s="1">
        <v>45093</v>
      </c>
      <c r="B233" t="s">
        <v>473</v>
      </c>
      <c r="C233" s="1">
        <v>45092</v>
      </c>
      <c r="D233" s="2">
        <v>0</v>
      </c>
      <c r="E233" s="2">
        <v>1441.18</v>
      </c>
      <c r="F233" s="2">
        <v>81652.42</v>
      </c>
      <c r="G233" t="s">
        <v>719</v>
      </c>
      <c r="H233" s="7">
        <f t="shared" si="27"/>
        <v>0</v>
      </c>
      <c r="I233" s="1">
        <f t="shared" si="21"/>
        <v>45093</v>
      </c>
      <c r="J233" s="1" t="str">
        <f t="shared" si="22"/>
        <v>NET PO FROM HSL A/C 347707-00602340029392</v>
      </c>
      <c r="L233" s="7">
        <f t="shared" si="23"/>
        <v>0</v>
      </c>
      <c r="M233" s="7">
        <f t="shared" si="24"/>
        <v>1441.18</v>
      </c>
      <c r="N233" s="7">
        <f t="shared" si="25"/>
        <v>81652.42</v>
      </c>
      <c r="O233" s="7" t="str">
        <f t="shared" si="26"/>
        <v>HDFC 5930</v>
      </c>
    </row>
    <row r="234" spans="1:15" x14ac:dyDescent="0.25">
      <c r="A234" s="1">
        <v>45093</v>
      </c>
      <c r="B234" t="s">
        <v>528</v>
      </c>
      <c r="C234" s="1">
        <v>45093</v>
      </c>
      <c r="D234" s="2">
        <v>1227.2</v>
      </c>
      <c r="E234" s="2">
        <v>0</v>
      </c>
      <c r="F234" s="2">
        <v>80425.22</v>
      </c>
      <c r="G234" t="s">
        <v>719</v>
      </c>
      <c r="H234" s="7">
        <f t="shared" si="27"/>
        <v>0</v>
      </c>
      <c r="I234" s="1">
        <f t="shared" si="21"/>
        <v>45093</v>
      </c>
      <c r="J234" s="1" t="str">
        <f t="shared" si="22"/>
        <v>DEPOSITORY CHARGES MAY23 - 40227714</v>
      </c>
      <c r="L234" s="7">
        <f t="shared" si="23"/>
        <v>1227.2</v>
      </c>
      <c r="M234" s="7">
        <f t="shared" si="24"/>
        <v>0</v>
      </c>
      <c r="N234" s="7">
        <f t="shared" si="25"/>
        <v>80425.22</v>
      </c>
      <c r="O234" s="7" t="str">
        <f t="shared" si="26"/>
        <v>HDFC 5930</v>
      </c>
    </row>
    <row r="235" spans="1:15" x14ac:dyDescent="0.25">
      <c r="A235" s="1">
        <v>45093</v>
      </c>
      <c r="B235" t="s">
        <v>472</v>
      </c>
      <c r="C235" s="1">
        <v>45093</v>
      </c>
      <c r="D235" s="2">
        <v>221.11</v>
      </c>
      <c r="E235" s="2">
        <v>0</v>
      </c>
      <c r="F235" s="2">
        <v>80204.11</v>
      </c>
      <c r="G235" t="s">
        <v>719</v>
      </c>
      <c r="H235" s="7">
        <f t="shared" si="27"/>
        <v>0</v>
      </c>
      <c r="I235" s="1">
        <f t="shared" si="21"/>
        <v>45093</v>
      </c>
      <c r="J235" s="1" t="str">
        <f t="shared" si="22"/>
        <v>NET PI TO HSL SEC A/C 347707-00602340029392</v>
      </c>
      <c r="L235" s="7">
        <f t="shared" si="23"/>
        <v>221.11</v>
      </c>
      <c r="M235" s="7">
        <f t="shared" si="24"/>
        <v>0</v>
      </c>
      <c r="N235" s="7">
        <f t="shared" si="25"/>
        <v>80204.11</v>
      </c>
      <c r="O235" s="7" t="str">
        <f t="shared" si="26"/>
        <v>HDFC 5930</v>
      </c>
    </row>
    <row r="236" spans="1:15" x14ac:dyDescent="0.25">
      <c r="A236" s="1">
        <v>45093</v>
      </c>
      <c r="B236" t="s">
        <v>529</v>
      </c>
      <c r="C236" s="1">
        <v>45093</v>
      </c>
      <c r="D236" s="2">
        <v>0</v>
      </c>
      <c r="E236" s="2">
        <v>80</v>
      </c>
      <c r="F236" s="2">
        <v>80284.11</v>
      </c>
      <c r="G236" t="s">
        <v>719</v>
      </c>
      <c r="H236" s="7">
        <f t="shared" si="27"/>
        <v>0</v>
      </c>
      <c r="I236" s="1">
        <f t="shared" si="21"/>
        <v>45093</v>
      </c>
      <c r="J236" s="1" t="str">
        <f t="shared" si="22"/>
        <v>ACH C- IIL FINAL 2022 23-57747</v>
      </c>
      <c r="L236" s="7">
        <f t="shared" si="23"/>
        <v>0</v>
      </c>
      <c r="M236" s="7">
        <f t="shared" si="24"/>
        <v>80</v>
      </c>
      <c r="N236" s="7">
        <f t="shared" si="25"/>
        <v>80284.11</v>
      </c>
      <c r="O236" s="7" t="str">
        <f t="shared" si="26"/>
        <v>HDFC 5930</v>
      </c>
    </row>
    <row r="237" spans="1:15" x14ac:dyDescent="0.25">
      <c r="A237" s="1">
        <v>45093</v>
      </c>
      <c r="B237" t="s">
        <v>472</v>
      </c>
      <c r="C237" s="1">
        <v>45093</v>
      </c>
      <c r="D237" s="2">
        <v>8293.81</v>
      </c>
      <c r="E237" s="2">
        <v>0</v>
      </c>
      <c r="F237" s="2">
        <v>71990.3</v>
      </c>
      <c r="G237" t="s">
        <v>719</v>
      </c>
      <c r="H237" s="7">
        <f t="shared" si="27"/>
        <v>0</v>
      </c>
      <c r="I237" s="1">
        <f t="shared" si="21"/>
        <v>45093</v>
      </c>
      <c r="J237" s="1" t="str">
        <f t="shared" si="22"/>
        <v>NET PI TO HSL SEC A/C 347707-00602340029392</v>
      </c>
      <c r="L237" s="7">
        <f t="shared" si="23"/>
        <v>8293.81</v>
      </c>
      <c r="M237" s="7">
        <f t="shared" si="24"/>
        <v>0</v>
      </c>
      <c r="N237" s="7">
        <f t="shared" si="25"/>
        <v>71990.3</v>
      </c>
      <c r="O237" s="7" t="str">
        <f t="shared" si="26"/>
        <v>HDFC 5930</v>
      </c>
    </row>
    <row r="238" spans="1:15" x14ac:dyDescent="0.25">
      <c r="A238" s="1">
        <v>45094</v>
      </c>
      <c r="B238" t="s">
        <v>472</v>
      </c>
      <c r="C238" s="1">
        <v>45094</v>
      </c>
      <c r="D238" s="2">
        <v>5713.58</v>
      </c>
      <c r="E238" s="2">
        <v>0</v>
      </c>
      <c r="F238" s="2">
        <v>66276.72</v>
      </c>
      <c r="G238" t="s">
        <v>719</v>
      </c>
      <c r="H238" s="7">
        <f t="shared" si="27"/>
        <v>0</v>
      </c>
      <c r="I238" s="1">
        <f t="shared" si="21"/>
        <v>45094</v>
      </c>
      <c r="J238" s="1" t="str">
        <f t="shared" si="22"/>
        <v>NET PI TO HSL SEC A/C 347707-00602340029392</v>
      </c>
      <c r="L238" s="7">
        <f t="shared" si="23"/>
        <v>5713.58</v>
      </c>
      <c r="M238" s="7">
        <f t="shared" si="24"/>
        <v>0</v>
      </c>
      <c r="N238" s="7">
        <f t="shared" si="25"/>
        <v>66276.72</v>
      </c>
      <c r="O238" s="7" t="str">
        <f t="shared" si="26"/>
        <v>HDFC 5930</v>
      </c>
    </row>
    <row r="239" spans="1:15" x14ac:dyDescent="0.25">
      <c r="A239" s="1">
        <v>45096</v>
      </c>
      <c r="B239" t="s">
        <v>472</v>
      </c>
      <c r="C239" s="1">
        <v>45096</v>
      </c>
      <c r="D239" s="2">
        <v>654.87</v>
      </c>
      <c r="E239" s="2">
        <v>0</v>
      </c>
      <c r="F239" s="2">
        <v>65621.850000000006</v>
      </c>
      <c r="G239" t="s">
        <v>719</v>
      </c>
      <c r="H239" s="7">
        <f t="shared" si="27"/>
        <v>0</v>
      </c>
      <c r="I239" s="1">
        <f t="shared" si="21"/>
        <v>45096</v>
      </c>
      <c r="J239" s="1" t="str">
        <f t="shared" si="22"/>
        <v>NET PI TO HSL SEC A/C 347707-00602340029392</v>
      </c>
      <c r="L239" s="7">
        <f t="shared" si="23"/>
        <v>654.87</v>
      </c>
      <c r="M239" s="7">
        <f t="shared" si="24"/>
        <v>0</v>
      </c>
      <c r="N239" s="7">
        <f t="shared" si="25"/>
        <v>65621.850000000006</v>
      </c>
      <c r="O239" s="7" t="str">
        <f t="shared" si="26"/>
        <v>HDFC 5930</v>
      </c>
    </row>
    <row r="240" spans="1:15" x14ac:dyDescent="0.25">
      <c r="A240" s="1">
        <v>45096</v>
      </c>
      <c r="B240" t="s">
        <v>530</v>
      </c>
      <c r="C240" s="1">
        <v>45096</v>
      </c>
      <c r="D240" s="2">
        <v>2000</v>
      </c>
      <c r="E240" s="2">
        <v>0</v>
      </c>
      <c r="F240" s="2">
        <v>63621.85</v>
      </c>
      <c r="G240" t="s">
        <v>719</v>
      </c>
      <c r="H240" s="7">
        <f t="shared" si="27"/>
        <v>0</v>
      </c>
      <c r="I240" s="1">
        <f t="shared" si="21"/>
        <v>45096</v>
      </c>
      <c r="J240" s="1" t="str">
        <f t="shared" si="22"/>
        <v>ACH D- TP ACH INVESTOCAFE-1172140002</v>
      </c>
      <c r="L240" s="7">
        <f t="shared" si="23"/>
        <v>2000</v>
      </c>
      <c r="M240" s="7">
        <f t="shared" si="24"/>
        <v>0</v>
      </c>
      <c r="N240" s="7">
        <f t="shared" si="25"/>
        <v>63621.85</v>
      </c>
      <c r="O240" s="7" t="str">
        <f t="shared" si="26"/>
        <v>HDFC 5930</v>
      </c>
    </row>
    <row r="241" spans="1:15" x14ac:dyDescent="0.25">
      <c r="A241" s="1">
        <v>45096</v>
      </c>
      <c r="B241" t="s">
        <v>472</v>
      </c>
      <c r="C241" s="1">
        <v>45096</v>
      </c>
      <c r="D241" s="2">
        <v>4452.9399999999996</v>
      </c>
      <c r="E241" s="2">
        <v>0</v>
      </c>
      <c r="F241" s="2">
        <v>59168.91</v>
      </c>
      <c r="G241" t="s">
        <v>719</v>
      </c>
      <c r="H241" s="7">
        <f t="shared" si="27"/>
        <v>0</v>
      </c>
      <c r="I241" s="1">
        <f t="shared" si="21"/>
        <v>45096</v>
      </c>
      <c r="J241" s="1" t="str">
        <f t="shared" si="22"/>
        <v>NET PI TO HSL SEC A/C 347707-00602340029392</v>
      </c>
      <c r="L241" s="7">
        <f t="shared" si="23"/>
        <v>4452.9399999999996</v>
      </c>
      <c r="M241" s="7">
        <f t="shared" si="24"/>
        <v>0</v>
      </c>
      <c r="N241" s="7">
        <f t="shared" si="25"/>
        <v>59168.91</v>
      </c>
      <c r="O241" s="7" t="str">
        <f t="shared" si="26"/>
        <v>HDFC 5930</v>
      </c>
    </row>
    <row r="242" spans="1:15" x14ac:dyDescent="0.25">
      <c r="A242" s="1">
        <v>45096</v>
      </c>
      <c r="B242" t="s">
        <v>473</v>
      </c>
      <c r="C242" s="1">
        <v>45096</v>
      </c>
      <c r="D242" s="2">
        <v>0</v>
      </c>
      <c r="E242" s="2">
        <v>1289.47</v>
      </c>
      <c r="F242" s="2">
        <v>60458.38</v>
      </c>
      <c r="G242" t="s">
        <v>719</v>
      </c>
      <c r="H242" s="7">
        <f t="shared" si="27"/>
        <v>0</v>
      </c>
      <c r="I242" s="1">
        <f t="shared" si="21"/>
        <v>45096</v>
      </c>
      <c r="J242" s="1" t="str">
        <f t="shared" si="22"/>
        <v>NET PO FROM HSL A/C 347707-00602340029392</v>
      </c>
      <c r="L242" s="7">
        <f t="shared" si="23"/>
        <v>0</v>
      </c>
      <c r="M242" s="7">
        <f t="shared" si="24"/>
        <v>1289.47</v>
      </c>
      <c r="N242" s="7">
        <f t="shared" si="25"/>
        <v>60458.38</v>
      </c>
      <c r="O242" s="7" t="str">
        <f t="shared" si="26"/>
        <v>HDFC 5930</v>
      </c>
    </row>
    <row r="243" spans="1:15" x14ac:dyDescent="0.25">
      <c r="A243" s="1">
        <v>45097</v>
      </c>
      <c r="B243" t="s">
        <v>472</v>
      </c>
      <c r="C243" s="1">
        <v>45097</v>
      </c>
      <c r="D243" s="2">
        <v>218.93</v>
      </c>
      <c r="E243" s="2">
        <v>0</v>
      </c>
      <c r="F243" s="2">
        <v>60239.45</v>
      </c>
      <c r="G243" t="s">
        <v>719</v>
      </c>
      <c r="H243" s="7">
        <f t="shared" si="27"/>
        <v>0</v>
      </c>
      <c r="I243" s="1">
        <f t="shared" si="21"/>
        <v>45097</v>
      </c>
      <c r="J243" s="1" t="str">
        <f t="shared" si="22"/>
        <v>NET PI TO HSL SEC A/C 347707-00602340029392</v>
      </c>
      <c r="L243" s="7">
        <f t="shared" si="23"/>
        <v>218.93</v>
      </c>
      <c r="M243" s="7">
        <f t="shared" si="24"/>
        <v>0</v>
      </c>
      <c r="N243" s="7">
        <f t="shared" si="25"/>
        <v>60239.45</v>
      </c>
      <c r="O243" s="7" t="str">
        <f t="shared" si="26"/>
        <v>HDFC 5930</v>
      </c>
    </row>
    <row r="244" spans="1:15" x14ac:dyDescent="0.25">
      <c r="A244" s="1">
        <v>45097</v>
      </c>
      <c r="B244" t="s">
        <v>473</v>
      </c>
      <c r="C244" s="1">
        <v>45097</v>
      </c>
      <c r="D244" s="2">
        <v>0</v>
      </c>
      <c r="E244" s="2">
        <v>21.33</v>
      </c>
      <c r="F244" s="2">
        <v>60260.78</v>
      </c>
      <c r="G244" t="s">
        <v>719</v>
      </c>
      <c r="H244" s="7">
        <f t="shared" si="27"/>
        <v>0</v>
      </c>
      <c r="I244" s="1">
        <f t="shared" si="21"/>
        <v>45097</v>
      </c>
      <c r="J244" s="1" t="str">
        <f t="shared" si="22"/>
        <v>NET PO FROM HSL A/C 347707-00602340029392</v>
      </c>
      <c r="L244" s="7">
        <f t="shared" si="23"/>
        <v>0</v>
      </c>
      <c r="M244" s="7">
        <f t="shared" si="24"/>
        <v>21.33</v>
      </c>
      <c r="N244" s="7">
        <f t="shared" si="25"/>
        <v>60260.78</v>
      </c>
      <c r="O244" s="7" t="str">
        <f t="shared" si="26"/>
        <v>HDFC 5930</v>
      </c>
    </row>
    <row r="245" spans="1:15" x14ac:dyDescent="0.25">
      <c r="A245" s="1">
        <v>45098</v>
      </c>
      <c r="B245" t="s">
        <v>480</v>
      </c>
      <c r="C245" s="1">
        <v>45098</v>
      </c>
      <c r="D245" s="2">
        <v>3000</v>
      </c>
      <c r="E245" s="2">
        <v>0</v>
      </c>
      <c r="F245" s="2">
        <v>57260.78</v>
      </c>
      <c r="G245" t="s">
        <v>719</v>
      </c>
      <c r="H245" s="7">
        <f t="shared" si="27"/>
        <v>0</v>
      </c>
      <c r="I245" s="1">
        <f t="shared" si="21"/>
        <v>45098</v>
      </c>
      <c r="J245" s="1" t="str">
        <f t="shared" si="22"/>
        <v>NET PAYIN TO BSE MF A/C -57500000389146- FROM A/C -01671000085930- UCC -347707-57500000389146</v>
      </c>
      <c r="L245" s="7">
        <f t="shared" si="23"/>
        <v>3000</v>
      </c>
      <c r="M245" s="7">
        <f t="shared" si="24"/>
        <v>0</v>
      </c>
      <c r="N245" s="7">
        <f t="shared" si="25"/>
        <v>57260.78</v>
      </c>
      <c r="O245" s="7" t="str">
        <f t="shared" si="26"/>
        <v>HDFC 5930</v>
      </c>
    </row>
    <row r="246" spans="1:15" x14ac:dyDescent="0.25">
      <c r="A246" s="1">
        <v>45098</v>
      </c>
      <c r="B246" t="s">
        <v>472</v>
      </c>
      <c r="C246" s="1">
        <v>45098</v>
      </c>
      <c r="D246" s="2">
        <v>218.94</v>
      </c>
      <c r="E246" s="2">
        <v>0</v>
      </c>
      <c r="F246" s="2">
        <v>57041.84</v>
      </c>
      <c r="G246" t="s">
        <v>719</v>
      </c>
      <c r="H246" s="7">
        <f t="shared" si="27"/>
        <v>0</v>
      </c>
      <c r="I246" s="1">
        <f t="shared" si="21"/>
        <v>45098</v>
      </c>
      <c r="J246" s="1" t="str">
        <f t="shared" si="22"/>
        <v>NET PI TO HSL SEC A/C 347707-00602340029392</v>
      </c>
      <c r="L246" s="7">
        <f t="shared" si="23"/>
        <v>218.94</v>
      </c>
      <c r="M246" s="7">
        <f t="shared" si="24"/>
        <v>0</v>
      </c>
      <c r="N246" s="7">
        <f t="shared" si="25"/>
        <v>57041.84</v>
      </c>
      <c r="O246" s="7" t="str">
        <f t="shared" si="26"/>
        <v>HDFC 5930</v>
      </c>
    </row>
    <row r="247" spans="1:15" x14ac:dyDescent="0.25">
      <c r="A247" s="1">
        <v>45098</v>
      </c>
      <c r="B247" t="s">
        <v>531</v>
      </c>
      <c r="C247" s="1">
        <v>45098</v>
      </c>
      <c r="D247" s="2">
        <v>2000</v>
      </c>
      <c r="E247" s="2">
        <v>0</v>
      </c>
      <c r="F247" s="2">
        <v>55041.84</v>
      </c>
      <c r="G247" t="s">
        <v>719</v>
      </c>
      <c r="H247" s="7">
        <f t="shared" si="27"/>
        <v>0</v>
      </c>
      <c r="I247" s="1">
        <f t="shared" si="21"/>
        <v>45098</v>
      </c>
      <c r="J247" s="1" t="str">
        <f t="shared" si="22"/>
        <v>ACH D- TP ACH INVESTOCAFE-1173228407</v>
      </c>
      <c r="L247" s="7">
        <f t="shared" si="23"/>
        <v>2000</v>
      </c>
      <c r="M247" s="7">
        <f t="shared" si="24"/>
        <v>0</v>
      </c>
      <c r="N247" s="7">
        <f t="shared" si="25"/>
        <v>55041.84</v>
      </c>
      <c r="O247" s="7" t="str">
        <f t="shared" si="26"/>
        <v>HDFC 5930</v>
      </c>
    </row>
    <row r="248" spans="1:15" x14ac:dyDescent="0.25">
      <c r="A248" s="1">
        <v>45098</v>
      </c>
      <c r="B248" t="s">
        <v>532</v>
      </c>
      <c r="C248" s="1">
        <v>45098</v>
      </c>
      <c r="D248" s="2">
        <v>2500</v>
      </c>
      <c r="E248" s="2">
        <v>0</v>
      </c>
      <c r="F248" s="2">
        <v>52541.84</v>
      </c>
      <c r="G248" t="s">
        <v>719</v>
      </c>
      <c r="H248" s="7">
        <f t="shared" si="27"/>
        <v>0</v>
      </c>
      <c r="I248" s="1">
        <f t="shared" si="21"/>
        <v>45098</v>
      </c>
      <c r="J248" s="1" t="str">
        <f t="shared" si="22"/>
        <v>ACH D- TP ACH INVESTOCAFE-1173228408</v>
      </c>
      <c r="L248" s="7">
        <f t="shared" si="23"/>
        <v>2500</v>
      </c>
      <c r="M248" s="7">
        <f t="shared" si="24"/>
        <v>0</v>
      </c>
      <c r="N248" s="7">
        <f t="shared" si="25"/>
        <v>52541.84</v>
      </c>
      <c r="O248" s="7" t="str">
        <f t="shared" si="26"/>
        <v>HDFC 5930</v>
      </c>
    </row>
    <row r="249" spans="1:15" x14ac:dyDescent="0.25">
      <c r="A249" s="1">
        <v>45098</v>
      </c>
      <c r="B249" t="s">
        <v>472</v>
      </c>
      <c r="C249" s="1">
        <v>45098</v>
      </c>
      <c r="D249" s="2">
        <v>12347.88</v>
      </c>
      <c r="E249" s="2">
        <v>0</v>
      </c>
      <c r="F249" s="2">
        <v>40193.96</v>
      </c>
      <c r="G249" t="s">
        <v>719</v>
      </c>
      <c r="H249" s="7">
        <f t="shared" si="27"/>
        <v>0</v>
      </c>
      <c r="I249" s="1">
        <f t="shared" si="21"/>
        <v>45098</v>
      </c>
      <c r="J249" s="1" t="str">
        <f t="shared" si="22"/>
        <v>NET PI TO HSL SEC A/C 347707-00602340029392</v>
      </c>
      <c r="L249" s="7">
        <f t="shared" si="23"/>
        <v>12347.88</v>
      </c>
      <c r="M249" s="7">
        <f t="shared" si="24"/>
        <v>0</v>
      </c>
      <c r="N249" s="7">
        <f t="shared" si="25"/>
        <v>40193.96</v>
      </c>
      <c r="O249" s="7" t="str">
        <f t="shared" si="26"/>
        <v>HDFC 5930</v>
      </c>
    </row>
    <row r="250" spans="1:15" x14ac:dyDescent="0.25">
      <c r="A250" s="1">
        <v>45098</v>
      </c>
      <c r="B250" t="s">
        <v>473</v>
      </c>
      <c r="C250" s="1">
        <v>45098</v>
      </c>
      <c r="D250" s="2">
        <v>0</v>
      </c>
      <c r="E250" s="2">
        <v>11130.12</v>
      </c>
      <c r="F250" s="2">
        <v>51324.08</v>
      </c>
      <c r="G250" t="s">
        <v>719</v>
      </c>
      <c r="H250" s="7">
        <f t="shared" si="27"/>
        <v>0</v>
      </c>
      <c r="I250" s="1">
        <f t="shared" si="21"/>
        <v>45098</v>
      </c>
      <c r="J250" s="1" t="str">
        <f t="shared" si="22"/>
        <v>NET PO FROM HSL A/C 347707-00602340029392</v>
      </c>
      <c r="L250" s="7">
        <f t="shared" si="23"/>
        <v>0</v>
      </c>
      <c r="M250" s="7">
        <f t="shared" si="24"/>
        <v>11130.12</v>
      </c>
      <c r="N250" s="7">
        <f t="shared" si="25"/>
        <v>51324.08</v>
      </c>
      <c r="O250" s="7" t="str">
        <f t="shared" si="26"/>
        <v>HDFC 5930</v>
      </c>
    </row>
    <row r="251" spans="1:15" x14ac:dyDescent="0.25">
      <c r="A251" s="1">
        <v>45099</v>
      </c>
      <c r="B251" t="s">
        <v>472</v>
      </c>
      <c r="C251" s="1">
        <v>45099</v>
      </c>
      <c r="D251" s="2">
        <v>212.85</v>
      </c>
      <c r="E251" s="2">
        <v>0</v>
      </c>
      <c r="F251" s="2">
        <v>51111.23</v>
      </c>
      <c r="G251" t="s">
        <v>719</v>
      </c>
      <c r="H251" s="7">
        <f t="shared" si="27"/>
        <v>0</v>
      </c>
      <c r="I251" s="1">
        <f t="shared" si="21"/>
        <v>45099</v>
      </c>
      <c r="J251" s="1" t="str">
        <f t="shared" si="22"/>
        <v>NET PI TO HSL SEC A/C 347707-00602340029392</v>
      </c>
      <c r="L251" s="7">
        <f t="shared" si="23"/>
        <v>212.85</v>
      </c>
      <c r="M251" s="7">
        <f t="shared" si="24"/>
        <v>0</v>
      </c>
      <c r="N251" s="7">
        <f t="shared" si="25"/>
        <v>51111.23</v>
      </c>
      <c r="O251" s="7" t="str">
        <f t="shared" si="26"/>
        <v>HDFC 5930</v>
      </c>
    </row>
    <row r="252" spans="1:15" x14ac:dyDescent="0.25">
      <c r="A252" s="1">
        <v>45099</v>
      </c>
      <c r="B252" t="s">
        <v>533</v>
      </c>
      <c r="C252" s="1">
        <v>45099</v>
      </c>
      <c r="D252" s="2">
        <v>0</v>
      </c>
      <c r="E252" s="2">
        <v>700</v>
      </c>
      <c r="F252" s="2">
        <v>51811.23</v>
      </c>
      <c r="G252" t="s">
        <v>719</v>
      </c>
      <c r="H252" s="7">
        <f t="shared" si="27"/>
        <v>0</v>
      </c>
      <c r="I252" s="1">
        <f t="shared" si="21"/>
        <v>45099</v>
      </c>
      <c r="J252" s="1" t="str">
        <f t="shared" si="22"/>
        <v>APCOTEX IND DIV 222300000000000000006770</v>
      </c>
      <c r="L252" s="7">
        <f t="shared" si="23"/>
        <v>0</v>
      </c>
      <c r="M252" s="7">
        <f t="shared" si="24"/>
        <v>700</v>
      </c>
      <c r="N252" s="7">
        <f t="shared" si="25"/>
        <v>51811.23</v>
      </c>
      <c r="O252" s="7" t="str">
        <f t="shared" si="26"/>
        <v>HDFC 5930</v>
      </c>
    </row>
    <row r="253" spans="1:15" x14ac:dyDescent="0.25">
      <c r="A253" s="1">
        <v>45099</v>
      </c>
      <c r="B253" t="s">
        <v>472</v>
      </c>
      <c r="C253" s="1">
        <v>45099</v>
      </c>
      <c r="D253" s="2">
        <v>15053.91</v>
      </c>
      <c r="E253" s="2">
        <v>0</v>
      </c>
      <c r="F253" s="2">
        <v>36757.32</v>
      </c>
      <c r="G253" t="s">
        <v>719</v>
      </c>
      <c r="H253" s="7">
        <f t="shared" si="27"/>
        <v>0</v>
      </c>
      <c r="I253" s="1">
        <f t="shared" si="21"/>
        <v>45099</v>
      </c>
      <c r="J253" s="1" t="str">
        <f t="shared" si="22"/>
        <v>NET PI TO HSL SEC A/C 347707-00602340029392</v>
      </c>
      <c r="L253" s="7">
        <f t="shared" si="23"/>
        <v>15053.91</v>
      </c>
      <c r="M253" s="7">
        <f t="shared" si="24"/>
        <v>0</v>
      </c>
      <c r="N253" s="7">
        <f t="shared" si="25"/>
        <v>36757.32</v>
      </c>
      <c r="O253" s="7" t="str">
        <f t="shared" si="26"/>
        <v>HDFC 5930</v>
      </c>
    </row>
    <row r="254" spans="1:15" x14ac:dyDescent="0.25">
      <c r="A254" s="1">
        <v>45100</v>
      </c>
      <c r="B254" t="s">
        <v>473</v>
      </c>
      <c r="C254" s="1">
        <v>45099</v>
      </c>
      <c r="D254" s="2">
        <v>0</v>
      </c>
      <c r="E254" s="2">
        <v>1624.79</v>
      </c>
      <c r="F254" s="2">
        <v>38382.11</v>
      </c>
      <c r="G254" t="s">
        <v>719</v>
      </c>
      <c r="H254" s="7">
        <f t="shared" si="27"/>
        <v>0</v>
      </c>
      <c r="I254" s="1">
        <f t="shared" si="21"/>
        <v>45100</v>
      </c>
      <c r="J254" s="1" t="str">
        <f t="shared" si="22"/>
        <v>NET PO FROM HSL A/C 347707-00602340029392</v>
      </c>
      <c r="L254" s="7">
        <f t="shared" si="23"/>
        <v>0</v>
      </c>
      <c r="M254" s="7">
        <f t="shared" si="24"/>
        <v>1624.79</v>
      </c>
      <c r="N254" s="7">
        <f t="shared" si="25"/>
        <v>38382.11</v>
      </c>
      <c r="O254" s="7" t="str">
        <f t="shared" si="26"/>
        <v>HDFC 5930</v>
      </c>
    </row>
    <row r="255" spans="1:15" x14ac:dyDescent="0.25">
      <c r="A255" s="1">
        <v>45100</v>
      </c>
      <c r="B255" t="s">
        <v>472</v>
      </c>
      <c r="C255" s="1">
        <v>45100</v>
      </c>
      <c r="D255" s="2">
        <v>209.4</v>
      </c>
      <c r="E255" s="2">
        <v>0</v>
      </c>
      <c r="F255" s="2">
        <v>38172.71</v>
      </c>
      <c r="G255" t="s">
        <v>719</v>
      </c>
      <c r="H255" s="7">
        <f t="shared" si="27"/>
        <v>0</v>
      </c>
      <c r="I255" s="1">
        <f t="shared" si="21"/>
        <v>45100</v>
      </c>
      <c r="J255" s="1" t="str">
        <f t="shared" si="22"/>
        <v>NET PI TO HSL SEC A/C 347707-00602340029392</v>
      </c>
      <c r="L255" s="7">
        <f t="shared" si="23"/>
        <v>209.4</v>
      </c>
      <c r="M255" s="7">
        <f t="shared" si="24"/>
        <v>0</v>
      </c>
      <c r="N255" s="7">
        <f t="shared" si="25"/>
        <v>38172.71</v>
      </c>
      <c r="O255" s="7" t="str">
        <f t="shared" si="26"/>
        <v>HDFC 5930</v>
      </c>
    </row>
    <row r="256" spans="1:15" x14ac:dyDescent="0.25">
      <c r="A256" s="1">
        <v>45100</v>
      </c>
      <c r="B256" t="s">
        <v>472</v>
      </c>
      <c r="C256" s="1">
        <v>45100</v>
      </c>
      <c r="D256" s="2">
        <v>3169.23</v>
      </c>
      <c r="E256" s="2">
        <v>0</v>
      </c>
      <c r="F256" s="2">
        <v>35003.480000000003</v>
      </c>
      <c r="G256" t="s">
        <v>719</v>
      </c>
      <c r="H256" s="7">
        <f t="shared" si="27"/>
        <v>0</v>
      </c>
      <c r="I256" s="1">
        <f t="shared" si="21"/>
        <v>45100</v>
      </c>
      <c r="J256" s="1" t="str">
        <f t="shared" si="22"/>
        <v>NET PI TO HSL SEC A/C 347707-00602340029392</v>
      </c>
      <c r="L256" s="7">
        <f t="shared" si="23"/>
        <v>3169.23</v>
      </c>
      <c r="M256" s="7">
        <f t="shared" si="24"/>
        <v>0</v>
      </c>
      <c r="N256" s="7">
        <f t="shared" si="25"/>
        <v>35003.480000000003</v>
      </c>
      <c r="O256" s="7" t="str">
        <f t="shared" si="26"/>
        <v>HDFC 5930</v>
      </c>
    </row>
    <row r="257" spans="1:15" x14ac:dyDescent="0.25">
      <c r="A257" s="1">
        <v>45100</v>
      </c>
      <c r="B257" t="s">
        <v>472</v>
      </c>
      <c r="C257" s="1">
        <v>45100</v>
      </c>
      <c r="D257" s="2">
        <v>8234.7800000000007</v>
      </c>
      <c r="E257" s="2">
        <v>0</v>
      </c>
      <c r="F257" s="2">
        <v>26768.7</v>
      </c>
      <c r="G257" t="s">
        <v>719</v>
      </c>
      <c r="H257" s="7">
        <f t="shared" si="27"/>
        <v>0</v>
      </c>
      <c r="I257" s="1">
        <f t="shared" si="21"/>
        <v>45100</v>
      </c>
      <c r="J257" s="1" t="str">
        <f t="shared" si="22"/>
        <v>NET PI TO HSL SEC A/C 347707-00602340029392</v>
      </c>
      <c r="L257" s="7">
        <f t="shared" si="23"/>
        <v>8234.7800000000007</v>
      </c>
      <c r="M257" s="7">
        <f t="shared" si="24"/>
        <v>0</v>
      </c>
      <c r="N257" s="7">
        <f t="shared" si="25"/>
        <v>26768.7</v>
      </c>
      <c r="O257" s="7" t="str">
        <f t="shared" si="26"/>
        <v>HDFC 5930</v>
      </c>
    </row>
    <row r="258" spans="1:15" x14ac:dyDescent="0.25">
      <c r="A258" s="1">
        <v>45101</v>
      </c>
      <c r="B258" t="s">
        <v>473</v>
      </c>
      <c r="C258" s="1">
        <v>45100</v>
      </c>
      <c r="D258" s="2">
        <v>0</v>
      </c>
      <c r="E258" s="2">
        <v>8234.7800000000007</v>
      </c>
      <c r="F258" s="2">
        <v>35003.480000000003</v>
      </c>
      <c r="G258" t="s">
        <v>719</v>
      </c>
      <c r="H258" s="7">
        <f t="shared" si="27"/>
        <v>0</v>
      </c>
      <c r="I258" s="1">
        <f t="shared" si="21"/>
        <v>45101</v>
      </c>
      <c r="J258" s="1" t="str">
        <f t="shared" si="22"/>
        <v>NET PO FROM HSL A/C 347707-00602340029392</v>
      </c>
      <c r="L258" s="7">
        <f t="shared" si="23"/>
        <v>0</v>
      </c>
      <c r="M258" s="7">
        <f t="shared" si="24"/>
        <v>8234.7800000000007</v>
      </c>
      <c r="N258" s="7">
        <f t="shared" si="25"/>
        <v>35003.480000000003</v>
      </c>
      <c r="O258" s="7" t="str">
        <f t="shared" si="26"/>
        <v>HDFC 5930</v>
      </c>
    </row>
    <row r="259" spans="1:15" x14ac:dyDescent="0.25">
      <c r="A259" s="1">
        <v>45103</v>
      </c>
      <c r="B259" t="s">
        <v>517</v>
      </c>
      <c r="C259" s="1">
        <v>45103</v>
      </c>
      <c r="D259" s="2">
        <v>3000</v>
      </c>
      <c r="E259" s="2">
        <v>0</v>
      </c>
      <c r="F259" s="2">
        <v>32003.48</v>
      </c>
      <c r="G259" t="s">
        <v>719</v>
      </c>
      <c r="H259" s="7">
        <f t="shared" si="27"/>
        <v>0</v>
      </c>
      <c r="I259" s="1">
        <f t="shared" si="21"/>
        <v>45103</v>
      </c>
      <c r="J259" s="1" t="str">
        <f t="shared" si="22"/>
        <v>O-MF-ICICI PRU-P-PSIG-000000101236</v>
      </c>
      <c r="L259" s="7">
        <f t="shared" si="23"/>
        <v>3000</v>
      </c>
      <c r="M259" s="7">
        <f t="shared" si="24"/>
        <v>0</v>
      </c>
      <c r="N259" s="7">
        <f t="shared" si="25"/>
        <v>32003.48</v>
      </c>
      <c r="O259" s="7" t="str">
        <f t="shared" si="26"/>
        <v>HDFC 5930</v>
      </c>
    </row>
    <row r="260" spans="1:15" x14ac:dyDescent="0.25">
      <c r="A260" s="1">
        <v>45103</v>
      </c>
      <c r="B260" t="s">
        <v>472</v>
      </c>
      <c r="C260" s="1">
        <v>45103</v>
      </c>
      <c r="D260" s="2">
        <v>652.29</v>
      </c>
      <c r="E260" s="2">
        <v>0</v>
      </c>
      <c r="F260" s="2">
        <v>31351.19</v>
      </c>
      <c r="G260" t="s">
        <v>719</v>
      </c>
      <c r="H260" s="7">
        <f t="shared" si="27"/>
        <v>0</v>
      </c>
      <c r="I260" s="1">
        <f t="shared" si="21"/>
        <v>45103</v>
      </c>
      <c r="J260" s="1" t="str">
        <f t="shared" si="22"/>
        <v>NET PI TO HSL SEC A/C 347707-00602340029392</v>
      </c>
      <c r="L260" s="7">
        <f t="shared" si="23"/>
        <v>652.29</v>
      </c>
      <c r="M260" s="7">
        <f t="shared" si="24"/>
        <v>0</v>
      </c>
      <c r="N260" s="7">
        <f t="shared" si="25"/>
        <v>31351.19</v>
      </c>
      <c r="O260" s="7" t="str">
        <f t="shared" si="26"/>
        <v>HDFC 5930</v>
      </c>
    </row>
    <row r="261" spans="1:15" x14ac:dyDescent="0.25">
      <c r="A261" s="1">
        <v>45103</v>
      </c>
      <c r="B261" t="s">
        <v>534</v>
      </c>
      <c r="C261" s="1">
        <v>45103</v>
      </c>
      <c r="D261" s="2">
        <v>0</v>
      </c>
      <c r="E261" s="2">
        <v>1290</v>
      </c>
      <c r="F261" s="2">
        <v>32641.19</v>
      </c>
      <c r="G261" t="s">
        <v>719</v>
      </c>
      <c r="H261" s="7">
        <f t="shared" si="27"/>
        <v>0</v>
      </c>
      <c r="I261" s="1">
        <f t="shared" si="21"/>
        <v>45103</v>
      </c>
      <c r="J261" s="1" t="str">
        <f t="shared" si="22"/>
        <v>ACH C- JSAW DIV-2023-0057233</v>
      </c>
      <c r="L261" s="7">
        <f t="shared" si="23"/>
        <v>0</v>
      </c>
      <c r="M261" s="7">
        <f t="shared" si="24"/>
        <v>1290</v>
      </c>
      <c r="N261" s="7">
        <f t="shared" si="25"/>
        <v>32641.19</v>
      </c>
      <c r="O261" s="7" t="str">
        <f t="shared" si="26"/>
        <v>HDFC 5930</v>
      </c>
    </row>
    <row r="262" spans="1:15" x14ac:dyDescent="0.25">
      <c r="A262" s="1">
        <v>45103</v>
      </c>
      <c r="B262" t="s">
        <v>472</v>
      </c>
      <c r="C262" s="1">
        <v>45103</v>
      </c>
      <c r="D262" s="2">
        <v>8457.3799999999992</v>
      </c>
      <c r="E262" s="2">
        <v>0</v>
      </c>
      <c r="F262" s="2">
        <v>24183.81</v>
      </c>
      <c r="G262" t="s">
        <v>719</v>
      </c>
      <c r="H262" s="7">
        <f t="shared" si="27"/>
        <v>0</v>
      </c>
      <c r="I262" s="1">
        <f t="shared" si="21"/>
        <v>45103</v>
      </c>
      <c r="J262" s="1" t="str">
        <f t="shared" si="22"/>
        <v>NET PI TO HSL SEC A/C 347707-00602340029392</v>
      </c>
      <c r="L262" s="7">
        <f t="shared" si="23"/>
        <v>8457.3799999999992</v>
      </c>
      <c r="M262" s="7">
        <f t="shared" si="24"/>
        <v>0</v>
      </c>
      <c r="N262" s="7">
        <f t="shared" si="25"/>
        <v>24183.81</v>
      </c>
      <c r="O262" s="7" t="str">
        <f t="shared" si="26"/>
        <v>HDFC 5930</v>
      </c>
    </row>
    <row r="263" spans="1:15" x14ac:dyDescent="0.25">
      <c r="A263" s="1">
        <v>45103</v>
      </c>
      <c r="B263" t="s">
        <v>535</v>
      </c>
      <c r="C263" s="1">
        <v>45103</v>
      </c>
      <c r="D263" s="2">
        <v>10000</v>
      </c>
      <c r="E263" s="2">
        <v>0</v>
      </c>
      <c r="F263" s="2">
        <v>14183.81</v>
      </c>
      <c r="G263" t="s">
        <v>719</v>
      </c>
      <c r="H263" s="7">
        <f t="shared" si="27"/>
        <v>0</v>
      </c>
      <c r="I263" s="1">
        <f t="shared" si="21"/>
        <v>45103</v>
      </c>
      <c r="J263" s="1" t="str">
        <f t="shared" si="22"/>
        <v>50100128155413-TPT-BORROW FROM AKG-AAYUSH KUMAR GUPTA</v>
      </c>
      <c r="L263" s="7">
        <f t="shared" si="23"/>
        <v>10000</v>
      </c>
      <c r="M263" s="7">
        <f t="shared" si="24"/>
        <v>0</v>
      </c>
      <c r="N263" s="7">
        <f t="shared" si="25"/>
        <v>14183.81</v>
      </c>
      <c r="O263" s="7" t="str">
        <f t="shared" si="26"/>
        <v>HDFC 5930</v>
      </c>
    </row>
    <row r="264" spans="1:15" x14ac:dyDescent="0.25">
      <c r="A264" s="1">
        <v>45103</v>
      </c>
      <c r="B264" t="s">
        <v>472</v>
      </c>
      <c r="C264" s="1">
        <v>45103</v>
      </c>
      <c r="D264" s="2">
        <v>1142.6199999999999</v>
      </c>
      <c r="E264" s="2">
        <v>0</v>
      </c>
      <c r="F264" s="2">
        <v>13041.19</v>
      </c>
      <c r="G264" t="s">
        <v>719</v>
      </c>
      <c r="H264" s="7">
        <f t="shared" si="27"/>
        <v>0</v>
      </c>
      <c r="I264" s="1">
        <f t="shared" si="21"/>
        <v>45103</v>
      </c>
      <c r="J264" s="1" t="str">
        <f t="shared" si="22"/>
        <v>NET PI TO HSL SEC A/C 347707-00602340029392</v>
      </c>
      <c r="L264" s="7">
        <f t="shared" si="23"/>
        <v>1142.6199999999999</v>
      </c>
      <c r="M264" s="7">
        <f t="shared" si="24"/>
        <v>0</v>
      </c>
      <c r="N264" s="7">
        <f t="shared" si="25"/>
        <v>13041.19</v>
      </c>
      <c r="O264" s="7" t="str">
        <f t="shared" si="26"/>
        <v>HDFC 5930</v>
      </c>
    </row>
    <row r="265" spans="1:15" x14ac:dyDescent="0.25">
      <c r="A265" s="1">
        <v>45103</v>
      </c>
      <c r="B265" t="s">
        <v>473</v>
      </c>
      <c r="C265" s="1">
        <v>45103</v>
      </c>
      <c r="D265" s="2">
        <v>0</v>
      </c>
      <c r="E265" s="2">
        <v>1142.6199999999999</v>
      </c>
      <c r="F265" s="2">
        <v>14183.81</v>
      </c>
      <c r="G265" t="s">
        <v>719</v>
      </c>
      <c r="H265" s="7">
        <f t="shared" si="27"/>
        <v>0</v>
      </c>
      <c r="I265" s="1">
        <f t="shared" si="21"/>
        <v>45103</v>
      </c>
      <c r="J265" s="1" t="str">
        <f t="shared" si="22"/>
        <v>NET PO FROM HSL A/C 347707-00602340029392</v>
      </c>
      <c r="L265" s="7">
        <f t="shared" si="23"/>
        <v>0</v>
      </c>
      <c r="M265" s="7">
        <f t="shared" si="24"/>
        <v>1142.6199999999999</v>
      </c>
      <c r="N265" s="7">
        <f t="shared" si="25"/>
        <v>14183.81</v>
      </c>
      <c r="O265" s="7" t="str">
        <f t="shared" si="26"/>
        <v>HDFC 5930</v>
      </c>
    </row>
    <row r="266" spans="1:15" x14ac:dyDescent="0.25">
      <c r="A266" s="1">
        <v>45104</v>
      </c>
      <c r="B266" t="s">
        <v>472</v>
      </c>
      <c r="C266" s="1">
        <v>45104</v>
      </c>
      <c r="D266" s="2">
        <v>215.85</v>
      </c>
      <c r="E266" s="2">
        <v>0</v>
      </c>
      <c r="F266" s="2">
        <v>13967.96</v>
      </c>
      <c r="G266" t="s">
        <v>719</v>
      </c>
      <c r="H266" s="7">
        <f t="shared" si="27"/>
        <v>0</v>
      </c>
      <c r="I266" s="1">
        <f t="shared" si="21"/>
        <v>45104</v>
      </c>
      <c r="J266" s="1" t="str">
        <f t="shared" si="22"/>
        <v>NET PI TO HSL SEC A/C 347707-00602340029392</v>
      </c>
      <c r="L266" s="7">
        <f t="shared" si="23"/>
        <v>215.85</v>
      </c>
      <c r="M266" s="7">
        <f t="shared" si="24"/>
        <v>0</v>
      </c>
      <c r="N266" s="7">
        <f t="shared" si="25"/>
        <v>13967.96</v>
      </c>
      <c r="O266" s="7" t="str">
        <f t="shared" si="26"/>
        <v>HDFC 5930</v>
      </c>
    </row>
    <row r="267" spans="1:15" x14ac:dyDescent="0.25">
      <c r="A267" s="1">
        <v>45104</v>
      </c>
      <c r="B267" t="s">
        <v>536</v>
      </c>
      <c r="C267" s="1">
        <v>45104</v>
      </c>
      <c r="D267" s="2">
        <v>0</v>
      </c>
      <c r="E267" s="2">
        <v>676.13</v>
      </c>
      <c r="F267" s="2">
        <v>14644.09</v>
      </c>
      <c r="G267" t="s">
        <v>719</v>
      </c>
      <c r="H267" s="7">
        <f t="shared" si="27"/>
        <v>0</v>
      </c>
      <c r="I267" s="1">
        <f t="shared" si="21"/>
        <v>45104</v>
      </c>
      <c r="J267" s="1" t="str">
        <f t="shared" si="22"/>
        <v>00012050001396HLY INT-IN0020220110</v>
      </c>
      <c r="L267" s="7">
        <f t="shared" si="23"/>
        <v>0</v>
      </c>
      <c r="M267" s="7">
        <f t="shared" si="24"/>
        <v>676.13</v>
      </c>
      <c r="N267" s="7">
        <f t="shared" si="25"/>
        <v>14644.09</v>
      </c>
      <c r="O267" s="7" t="str">
        <f t="shared" si="26"/>
        <v>HDFC 5930</v>
      </c>
    </row>
    <row r="268" spans="1:15" x14ac:dyDescent="0.25">
      <c r="A268" s="1">
        <v>45104</v>
      </c>
      <c r="B268" t="s">
        <v>472</v>
      </c>
      <c r="C268" s="1">
        <v>45104</v>
      </c>
      <c r="D268" s="2">
        <v>308.14</v>
      </c>
      <c r="E268" s="2">
        <v>0</v>
      </c>
      <c r="F268" s="2">
        <v>14335.95</v>
      </c>
      <c r="G268" t="s">
        <v>719</v>
      </c>
      <c r="H268" s="7">
        <f t="shared" si="27"/>
        <v>0</v>
      </c>
      <c r="I268" s="1">
        <f t="shared" si="21"/>
        <v>45104</v>
      </c>
      <c r="J268" s="1" t="str">
        <f t="shared" si="22"/>
        <v>NET PI TO HSL SEC A/C 347707-00602340029392</v>
      </c>
      <c r="L268" s="7">
        <f t="shared" si="23"/>
        <v>308.14</v>
      </c>
      <c r="M268" s="7">
        <f t="shared" si="24"/>
        <v>0</v>
      </c>
      <c r="N268" s="7">
        <f t="shared" si="25"/>
        <v>14335.95</v>
      </c>
      <c r="O268" s="7" t="str">
        <f t="shared" si="26"/>
        <v>HDFC 5930</v>
      </c>
    </row>
    <row r="269" spans="1:15" x14ac:dyDescent="0.25">
      <c r="A269" s="1">
        <v>45104</v>
      </c>
      <c r="B269" t="s">
        <v>472</v>
      </c>
      <c r="C269" s="1">
        <v>45104</v>
      </c>
      <c r="D269" s="2">
        <v>7683.34</v>
      </c>
      <c r="E269" s="2">
        <v>0</v>
      </c>
      <c r="F269" s="2">
        <v>6652.61</v>
      </c>
      <c r="G269" t="s">
        <v>719</v>
      </c>
      <c r="H269" s="7">
        <f t="shared" si="27"/>
        <v>0</v>
      </c>
      <c r="I269" s="1">
        <f t="shared" si="21"/>
        <v>45104</v>
      </c>
      <c r="J269" s="1" t="str">
        <f t="shared" si="22"/>
        <v>NET PI TO HSL SEC A/C 347707-00602340029392</v>
      </c>
      <c r="L269" s="7">
        <f t="shared" si="23"/>
        <v>7683.34</v>
      </c>
      <c r="M269" s="7">
        <f t="shared" si="24"/>
        <v>0</v>
      </c>
      <c r="N269" s="7">
        <f t="shared" si="25"/>
        <v>6652.61</v>
      </c>
      <c r="O269" s="7" t="str">
        <f t="shared" si="26"/>
        <v>HDFC 5930</v>
      </c>
    </row>
    <row r="270" spans="1:15" x14ac:dyDescent="0.25">
      <c r="A270" s="1">
        <v>45104</v>
      </c>
      <c r="B270" t="s">
        <v>473</v>
      </c>
      <c r="C270" s="1">
        <v>45104</v>
      </c>
      <c r="D270" s="2">
        <v>0</v>
      </c>
      <c r="E270" s="2">
        <v>7683.34</v>
      </c>
      <c r="F270" s="2">
        <v>14335.95</v>
      </c>
      <c r="G270" t="s">
        <v>719</v>
      </c>
      <c r="H270" s="7">
        <f t="shared" si="27"/>
        <v>0</v>
      </c>
      <c r="I270" s="1">
        <f t="shared" si="21"/>
        <v>45104</v>
      </c>
      <c r="J270" s="1" t="str">
        <f t="shared" si="22"/>
        <v>NET PO FROM HSL A/C 347707-00602340029392</v>
      </c>
      <c r="L270" s="7">
        <f t="shared" si="23"/>
        <v>0</v>
      </c>
      <c r="M270" s="7">
        <f t="shared" si="24"/>
        <v>7683.34</v>
      </c>
      <c r="N270" s="7">
        <f t="shared" si="25"/>
        <v>14335.95</v>
      </c>
      <c r="O270" s="7" t="str">
        <f t="shared" si="26"/>
        <v>HDFC 5930</v>
      </c>
    </row>
    <row r="271" spans="1:15" x14ac:dyDescent="0.25">
      <c r="A271" s="1">
        <v>45105</v>
      </c>
      <c r="B271" t="s">
        <v>480</v>
      </c>
      <c r="C271" s="1">
        <v>45105</v>
      </c>
      <c r="D271" s="2">
        <v>3000</v>
      </c>
      <c r="E271" s="2">
        <v>0</v>
      </c>
      <c r="F271" s="2">
        <v>11335.95</v>
      </c>
      <c r="G271" t="s">
        <v>719</v>
      </c>
      <c r="H271" s="7">
        <f t="shared" si="27"/>
        <v>0</v>
      </c>
      <c r="I271" s="1">
        <f t="shared" si="21"/>
        <v>45105</v>
      </c>
      <c r="J271" s="1" t="str">
        <f t="shared" si="22"/>
        <v>NET PAYIN TO BSE MF A/C -57500000389146- FROM A/C -01671000085930- UCC -347707-57500000389146</v>
      </c>
      <c r="L271" s="7">
        <f t="shared" si="23"/>
        <v>3000</v>
      </c>
      <c r="M271" s="7">
        <f t="shared" si="24"/>
        <v>0</v>
      </c>
      <c r="N271" s="7">
        <f t="shared" si="25"/>
        <v>11335.95</v>
      </c>
      <c r="O271" s="7" t="str">
        <f t="shared" si="26"/>
        <v>HDFC 5930</v>
      </c>
    </row>
    <row r="272" spans="1:15" x14ac:dyDescent="0.25">
      <c r="A272" s="1">
        <v>45105</v>
      </c>
      <c r="B272" t="s">
        <v>472</v>
      </c>
      <c r="C272" s="1">
        <v>45105</v>
      </c>
      <c r="D272" s="2">
        <v>215.7</v>
      </c>
      <c r="E272" s="2">
        <v>0</v>
      </c>
      <c r="F272" s="2">
        <v>11120.25</v>
      </c>
      <c r="G272" t="s">
        <v>719</v>
      </c>
      <c r="H272" s="7">
        <f t="shared" si="27"/>
        <v>0</v>
      </c>
      <c r="I272" s="1">
        <f t="shared" si="21"/>
        <v>45105</v>
      </c>
      <c r="J272" s="1" t="str">
        <f t="shared" si="22"/>
        <v>NET PI TO HSL SEC A/C 347707-00602340029392</v>
      </c>
      <c r="L272" s="7">
        <f t="shared" si="23"/>
        <v>215.7</v>
      </c>
      <c r="M272" s="7">
        <f t="shared" si="24"/>
        <v>0</v>
      </c>
      <c r="N272" s="7">
        <f t="shared" si="25"/>
        <v>11120.25</v>
      </c>
      <c r="O272" s="7" t="str">
        <f t="shared" si="26"/>
        <v>HDFC 5930</v>
      </c>
    </row>
    <row r="273" spans="1:15" x14ac:dyDescent="0.25">
      <c r="A273" s="1">
        <v>45105</v>
      </c>
      <c r="B273" t="s">
        <v>473</v>
      </c>
      <c r="C273" s="1">
        <v>45105</v>
      </c>
      <c r="D273" s="2">
        <v>0</v>
      </c>
      <c r="E273" s="2">
        <v>12961.34</v>
      </c>
      <c r="F273" s="2">
        <v>24081.59</v>
      </c>
      <c r="G273" t="s">
        <v>719</v>
      </c>
      <c r="H273" s="7">
        <f t="shared" si="27"/>
        <v>0</v>
      </c>
      <c r="I273" s="1">
        <f t="shared" si="21"/>
        <v>45105</v>
      </c>
      <c r="J273" s="1" t="str">
        <f t="shared" si="22"/>
        <v>NET PO FROM HSL A/C 347707-00602340029392</v>
      </c>
      <c r="L273" s="7">
        <f t="shared" si="23"/>
        <v>0</v>
      </c>
      <c r="M273" s="7">
        <f t="shared" si="24"/>
        <v>12961.34</v>
      </c>
      <c r="N273" s="7">
        <f t="shared" si="25"/>
        <v>24081.59</v>
      </c>
      <c r="O273" s="7" t="str">
        <f t="shared" si="26"/>
        <v>HDFC 5930</v>
      </c>
    </row>
    <row r="274" spans="1:15" x14ac:dyDescent="0.25">
      <c r="A274" s="1">
        <v>45106</v>
      </c>
      <c r="B274" t="s">
        <v>472</v>
      </c>
      <c r="C274" s="1">
        <v>45106</v>
      </c>
      <c r="D274" s="2">
        <v>5067.33</v>
      </c>
      <c r="E274" s="2">
        <v>0</v>
      </c>
      <c r="F274" s="2">
        <v>19014.259999999998</v>
      </c>
      <c r="G274" t="s">
        <v>719</v>
      </c>
      <c r="H274" s="7">
        <f t="shared" si="27"/>
        <v>0</v>
      </c>
      <c r="I274" s="1">
        <f t="shared" ref="I274:I337" si="28">A274</f>
        <v>45106</v>
      </c>
      <c r="J274" s="1" t="str">
        <f t="shared" ref="J274:J337" si="29">B274</f>
        <v>NET PI TO HSL SEC A/C 347707-00602340029392</v>
      </c>
      <c r="L274" s="7">
        <f t="shared" ref="L274:L337" si="30">D274</f>
        <v>5067.33</v>
      </c>
      <c r="M274" s="7">
        <f t="shared" ref="M274:M337" si="31">E274</f>
        <v>0</v>
      </c>
      <c r="N274" s="7">
        <f t="shared" ref="N274:N337" si="32">F274</f>
        <v>19014.259999999998</v>
      </c>
      <c r="O274" s="7" t="str">
        <f t="shared" ref="O274:O337" si="33">G274</f>
        <v>HDFC 5930</v>
      </c>
    </row>
    <row r="275" spans="1:15" x14ac:dyDescent="0.25">
      <c r="A275" s="1">
        <v>45106</v>
      </c>
      <c r="B275" t="s">
        <v>473</v>
      </c>
      <c r="C275" s="1">
        <v>45105</v>
      </c>
      <c r="D275" s="2">
        <v>0</v>
      </c>
      <c r="E275" s="2">
        <v>6006.32</v>
      </c>
      <c r="F275" s="2">
        <v>25020.58</v>
      </c>
      <c r="G275" t="s">
        <v>719</v>
      </c>
      <c r="H275" s="7">
        <f t="shared" ref="H275:H338" si="34">F274-D275+E275-F275</f>
        <v>0</v>
      </c>
      <c r="I275" s="1">
        <f t="shared" si="28"/>
        <v>45106</v>
      </c>
      <c r="J275" s="1" t="str">
        <f t="shared" si="29"/>
        <v>NET PO FROM HSL A/C 347707-00602340029392</v>
      </c>
      <c r="L275" s="7">
        <f t="shared" si="30"/>
        <v>0</v>
      </c>
      <c r="M275" s="7">
        <f t="shared" si="31"/>
        <v>6006.32</v>
      </c>
      <c r="N275" s="7">
        <f t="shared" si="32"/>
        <v>25020.58</v>
      </c>
      <c r="O275" s="7" t="str">
        <f t="shared" si="33"/>
        <v>HDFC 5930</v>
      </c>
    </row>
    <row r="276" spans="1:15" x14ac:dyDescent="0.25">
      <c r="A276" s="1">
        <v>45107</v>
      </c>
      <c r="B276" t="s">
        <v>472</v>
      </c>
      <c r="C276" s="1">
        <v>45107</v>
      </c>
      <c r="D276" s="2">
        <v>426.4</v>
      </c>
      <c r="E276" s="2">
        <v>0</v>
      </c>
      <c r="F276" s="2">
        <v>24594.18</v>
      </c>
      <c r="G276" t="s">
        <v>719</v>
      </c>
      <c r="H276" s="7">
        <f t="shared" si="34"/>
        <v>0</v>
      </c>
      <c r="I276" s="1">
        <f t="shared" si="28"/>
        <v>45107</v>
      </c>
      <c r="J276" s="1" t="str">
        <f t="shared" si="29"/>
        <v>NET PI TO HSL SEC A/C 347707-00602340029392</v>
      </c>
      <c r="L276" s="7">
        <f t="shared" si="30"/>
        <v>426.4</v>
      </c>
      <c r="M276" s="7">
        <f t="shared" si="31"/>
        <v>0</v>
      </c>
      <c r="N276" s="7">
        <f t="shared" si="32"/>
        <v>24594.18</v>
      </c>
      <c r="O276" s="7" t="str">
        <f t="shared" si="33"/>
        <v>HDFC 5930</v>
      </c>
    </row>
    <row r="277" spans="1:15" x14ac:dyDescent="0.25">
      <c r="A277" s="1">
        <v>45107</v>
      </c>
      <c r="B277" t="s">
        <v>537</v>
      </c>
      <c r="C277" s="1">
        <v>45107</v>
      </c>
      <c r="D277" s="2">
        <v>0</v>
      </c>
      <c r="E277" s="2">
        <v>600</v>
      </c>
      <c r="F277" s="2">
        <v>25194.18</v>
      </c>
      <c r="G277" t="s">
        <v>719</v>
      </c>
      <c r="H277" s="7">
        <f t="shared" si="34"/>
        <v>0</v>
      </c>
      <c r="I277" s="1">
        <f t="shared" si="28"/>
        <v>45107</v>
      </c>
      <c r="J277" s="1" t="str">
        <f t="shared" si="29"/>
        <v>ACH C- CANARA BANK-5216218</v>
      </c>
      <c r="L277" s="7">
        <f t="shared" si="30"/>
        <v>0</v>
      </c>
      <c r="M277" s="7">
        <f t="shared" si="31"/>
        <v>600</v>
      </c>
      <c r="N277" s="7">
        <f t="shared" si="32"/>
        <v>25194.18</v>
      </c>
      <c r="O277" s="7" t="str">
        <f t="shared" si="33"/>
        <v>HDFC 5930</v>
      </c>
    </row>
    <row r="278" spans="1:15" x14ac:dyDescent="0.25">
      <c r="A278" s="1">
        <v>45107</v>
      </c>
      <c r="B278" t="s">
        <v>472</v>
      </c>
      <c r="C278" s="1">
        <v>45107</v>
      </c>
      <c r="D278" s="2">
        <v>10807.15</v>
      </c>
      <c r="E278" s="2">
        <v>0</v>
      </c>
      <c r="F278" s="2">
        <v>14387.03</v>
      </c>
      <c r="G278" t="s">
        <v>719</v>
      </c>
      <c r="H278" s="7">
        <f t="shared" si="34"/>
        <v>0</v>
      </c>
      <c r="I278" s="1">
        <f t="shared" si="28"/>
        <v>45107</v>
      </c>
      <c r="J278" s="1" t="str">
        <f t="shared" si="29"/>
        <v>NET PI TO HSL SEC A/C 347707-00602340029392</v>
      </c>
      <c r="L278" s="7">
        <f t="shared" si="30"/>
        <v>10807.15</v>
      </c>
      <c r="M278" s="7">
        <f t="shared" si="31"/>
        <v>0</v>
      </c>
      <c r="N278" s="7">
        <f t="shared" si="32"/>
        <v>14387.03</v>
      </c>
      <c r="O278" s="7" t="str">
        <f t="shared" si="33"/>
        <v>HDFC 5930</v>
      </c>
    </row>
    <row r="279" spans="1:15" x14ac:dyDescent="0.25">
      <c r="A279" s="1">
        <v>45107</v>
      </c>
      <c r="B279" t="s">
        <v>538</v>
      </c>
      <c r="C279" s="1">
        <v>45107</v>
      </c>
      <c r="D279" s="2">
        <v>0</v>
      </c>
      <c r="E279" s="2">
        <v>292</v>
      </c>
      <c r="F279" s="2">
        <v>14679.03</v>
      </c>
      <c r="G279" t="s">
        <v>719</v>
      </c>
      <c r="H279" s="7">
        <f t="shared" si="34"/>
        <v>0</v>
      </c>
      <c r="I279" s="1">
        <f t="shared" si="28"/>
        <v>45107</v>
      </c>
      <c r="J279" s="1" t="str">
        <f t="shared" si="29"/>
        <v>CREDIT INTEREST CAPITALISED</v>
      </c>
      <c r="L279" s="7">
        <f t="shared" si="30"/>
        <v>0</v>
      </c>
      <c r="M279" s="7">
        <f t="shared" si="31"/>
        <v>292</v>
      </c>
      <c r="N279" s="7">
        <f t="shared" si="32"/>
        <v>14679.03</v>
      </c>
      <c r="O279" s="7" t="str">
        <f t="shared" si="33"/>
        <v>HDFC 5930</v>
      </c>
    </row>
    <row r="280" spans="1:15" x14ac:dyDescent="0.25">
      <c r="A280" s="1">
        <v>45108</v>
      </c>
      <c r="B280" t="s">
        <v>473</v>
      </c>
      <c r="C280" s="1">
        <v>45108</v>
      </c>
      <c r="D280" s="2">
        <v>0</v>
      </c>
      <c r="E280" s="2">
        <v>958.42</v>
      </c>
      <c r="F280" s="2">
        <v>15637.45</v>
      </c>
      <c r="G280" t="s">
        <v>719</v>
      </c>
      <c r="H280" s="7">
        <f t="shared" si="34"/>
        <v>0</v>
      </c>
      <c r="I280" s="1">
        <f t="shared" si="28"/>
        <v>45108</v>
      </c>
      <c r="J280" s="1" t="str">
        <f t="shared" si="29"/>
        <v>NET PO FROM HSL A/C 347707-00602340029392</v>
      </c>
      <c r="L280" s="7">
        <f t="shared" si="30"/>
        <v>0</v>
      </c>
      <c r="M280" s="7">
        <f t="shared" si="31"/>
        <v>958.42</v>
      </c>
      <c r="N280" s="7">
        <f t="shared" si="32"/>
        <v>15637.45</v>
      </c>
      <c r="O280" s="7" t="str">
        <f t="shared" si="33"/>
        <v>HDFC 5930</v>
      </c>
    </row>
    <row r="281" spans="1:15" x14ac:dyDescent="0.25">
      <c r="A281" s="1">
        <v>45108</v>
      </c>
      <c r="B281" t="s">
        <v>472</v>
      </c>
      <c r="C281" s="1">
        <v>45108</v>
      </c>
      <c r="D281" s="2">
        <v>2361.29</v>
      </c>
      <c r="E281" s="2">
        <v>0</v>
      </c>
      <c r="F281" s="2">
        <v>13276.16</v>
      </c>
      <c r="G281" t="s">
        <v>719</v>
      </c>
      <c r="H281" s="7">
        <f t="shared" si="34"/>
        <v>0</v>
      </c>
      <c r="I281" s="1">
        <f t="shared" si="28"/>
        <v>45108</v>
      </c>
      <c r="J281" s="1" t="str">
        <f t="shared" si="29"/>
        <v>NET PI TO HSL SEC A/C 347707-00602340029392</v>
      </c>
      <c r="L281" s="7">
        <f t="shared" si="30"/>
        <v>2361.29</v>
      </c>
      <c r="M281" s="7">
        <f t="shared" si="31"/>
        <v>0</v>
      </c>
      <c r="N281" s="7">
        <f t="shared" si="32"/>
        <v>13276.16</v>
      </c>
      <c r="O281" s="7" t="str">
        <f t="shared" si="33"/>
        <v>HDFC 5930</v>
      </c>
    </row>
    <row r="282" spans="1:15" x14ac:dyDescent="0.25">
      <c r="A282" s="1">
        <v>45108</v>
      </c>
      <c r="B282" t="s">
        <v>473</v>
      </c>
      <c r="C282" s="1">
        <v>45108</v>
      </c>
      <c r="D282" s="2">
        <v>0</v>
      </c>
      <c r="E282" s="2">
        <v>2361.29</v>
      </c>
      <c r="F282" s="2">
        <v>15637.45</v>
      </c>
      <c r="G282" t="s">
        <v>719</v>
      </c>
      <c r="H282" s="7">
        <f t="shared" si="34"/>
        <v>0</v>
      </c>
      <c r="I282" s="1">
        <f t="shared" si="28"/>
        <v>45108</v>
      </c>
      <c r="J282" s="1" t="str">
        <f t="shared" si="29"/>
        <v>NET PO FROM HSL A/C 347707-00602340029392</v>
      </c>
      <c r="L282" s="7">
        <f t="shared" si="30"/>
        <v>0</v>
      </c>
      <c r="M282" s="7">
        <f t="shared" si="31"/>
        <v>2361.29</v>
      </c>
      <c r="N282" s="7">
        <f t="shared" si="32"/>
        <v>15637.45</v>
      </c>
      <c r="O282" s="7" t="str">
        <f t="shared" si="33"/>
        <v>HDFC 5930</v>
      </c>
    </row>
    <row r="283" spans="1:15" x14ac:dyDescent="0.25">
      <c r="A283" s="1">
        <v>45108</v>
      </c>
      <c r="B283" t="s">
        <v>539</v>
      </c>
      <c r="C283" s="1">
        <v>45108</v>
      </c>
      <c r="D283" s="2">
        <v>1500</v>
      </c>
      <c r="E283" s="2">
        <v>0</v>
      </c>
      <c r="F283" s="2">
        <v>14137.45</v>
      </c>
      <c r="G283" t="s">
        <v>719</v>
      </c>
      <c r="H283" s="7">
        <f t="shared" si="34"/>
        <v>0</v>
      </c>
      <c r="I283" s="1">
        <f t="shared" si="28"/>
        <v>45108</v>
      </c>
      <c r="J283" s="1" t="str">
        <f t="shared" si="29"/>
        <v>ACH D- TP ACH INVESTOCAFE-1185012925</v>
      </c>
      <c r="L283" s="7">
        <f t="shared" si="30"/>
        <v>1500</v>
      </c>
      <c r="M283" s="7">
        <f t="shared" si="31"/>
        <v>0</v>
      </c>
      <c r="N283" s="7">
        <f t="shared" si="32"/>
        <v>14137.45</v>
      </c>
      <c r="O283" s="7" t="str">
        <f t="shared" si="33"/>
        <v>HDFC 5930</v>
      </c>
    </row>
    <row r="284" spans="1:15" x14ac:dyDescent="0.25">
      <c r="A284" s="1">
        <v>45108</v>
      </c>
      <c r="B284" t="s">
        <v>540</v>
      </c>
      <c r="C284" s="1">
        <v>45108</v>
      </c>
      <c r="D284" s="2">
        <v>2000</v>
      </c>
      <c r="E284" s="2">
        <v>0</v>
      </c>
      <c r="F284" s="2">
        <v>12137.45</v>
      </c>
      <c r="G284" t="s">
        <v>719</v>
      </c>
      <c r="H284" s="7">
        <f t="shared" si="34"/>
        <v>0</v>
      </c>
      <c r="I284" s="1">
        <f t="shared" si="28"/>
        <v>45108</v>
      </c>
      <c r="J284" s="1" t="str">
        <f t="shared" si="29"/>
        <v>ACH D- TP ACH INVESTOCAFE-1185012926</v>
      </c>
      <c r="L284" s="7">
        <f t="shared" si="30"/>
        <v>2000</v>
      </c>
      <c r="M284" s="7">
        <f t="shared" si="31"/>
        <v>0</v>
      </c>
      <c r="N284" s="7">
        <f t="shared" si="32"/>
        <v>12137.45</v>
      </c>
      <c r="O284" s="7" t="str">
        <f t="shared" si="33"/>
        <v>HDFC 5930</v>
      </c>
    </row>
    <row r="285" spans="1:15" x14ac:dyDescent="0.25">
      <c r="A285" s="1">
        <v>45108</v>
      </c>
      <c r="B285" t="s">
        <v>541</v>
      </c>
      <c r="C285" s="1">
        <v>45108</v>
      </c>
      <c r="D285" s="2">
        <v>2000</v>
      </c>
      <c r="E285" s="2">
        <v>0</v>
      </c>
      <c r="F285" s="2">
        <v>10137.450000000001</v>
      </c>
      <c r="G285" t="s">
        <v>719</v>
      </c>
      <c r="H285" s="7">
        <f t="shared" si="34"/>
        <v>0</v>
      </c>
      <c r="I285" s="1">
        <f t="shared" si="28"/>
        <v>45108</v>
      </c>
      <c r="J285" s="1" t="str">
        <f t="shared" si="29"/>
        <v>ACH D- TP ACH INVESTOCAFE-1185012927</v>
      </c>
      <c r="L285" s="7">
        <f t="shared" si="30"/>
        <v>2000</v>
      </c>
      <c r="M285" s="7">
        <f t="shared" si="31"/>
        <v>0</v>
      </c>
      <c r="N285" s="7">
        <f t="shared" si="32"/>
        <v>10137.450000000001</v>
      </c>
      <c r="O285" s="7" t="str">
        <f t="shared" si="33"/>
        <v>HDFC 5930</v>
      </c>
    </row>
    <row r="286" spans="1:15" x14ac:dyDescent="0.25">
      <c r="A286" s="1">
        <v>45110</v>
      </c>
      <c r="B286" t="s">
        <v>472</v>
      </c>
      <c r="C286" s="1">
        <v>45110</v>
      </c>
      <c r="D286" s="2">
        <v>641.01</v>
      </c>
      <c r="E286" s="2">
        <v>0</v>
      </c>
      <c r="F286" s="2">
        <v>9496.44</v>
      </c>
      <c r="G286" t="s">
        <v>719</v>
      </c>
      <c r="H286" s="7">
        <f t="shared" si="34"/>
        <v>0</v>
      </c>
      <c r="I286" s="1">
        <f t="shared" si="28"/>
        <v>45110</v>
      </c>
      <c r="J286" s="1" t="str">
        <f t="shared" si="29"/>
        <v>NET PI TO HSL SEC A/C 347707-00602340029392</v>
      </c>
      <c r="L286" s="7">
        <f t="shared" si="30"/>
        <v>641.01</v>
      </c>
      <c r="M286" s="7">
        <f t="shared" si="31"/>
        <v>0</v>
      </c>
      <c r="N286" s="7">
        <f t="shared" si="32"/>
        <v>9496.44</v>
      </c>
      <c r="O286" s="7" t="str">
        <f t="shared" si="33"/>
        <v>HDFC 5930</v>
      </c>
    </row>
    <row r="287" spans="1:15" x14ac:dyDescent="0.25">
      <c r="A287" s="1">
        <v>45110</v>
      </c>
      <c r="B287" t="s">
        <v>542</v>
      </c>
      <c r="C287" s="1">
        <v>45110</v>
      </c>
      <c r="D287" s="2">
        <v>0</v>
      </c>
      <c r="E287" s="2">
        <v>168</v>
      </c>
      <c r="F287" s="2">
        <v>9664.44</v>
      </c>
      <c r="G287" t="s">
        <v>719</v>
      </c>
      <c r="H287" s="7">
        <f t="shared" si="34"/>
        <v>0</v>
      </c>
      <c r="I287" s="1">
        <f t="shared" si="28"/>
        <v>45110</v>
      </c>
      <c r="J287" s="1" t="str">
        <f t="shared" si="29"/>
        <v>ACH C- TCS FINDIV 030723-775453</v>
      </c>
      <c r="L287" s="7">
        <f t="shared" si="30"/>
        <v>0</v>
      </c>
      <c r="M287" s="7">
        <f t="shared" si="31"/>
        <v>168</v>
      </c>
      <c r="N287" s="7">
        <f t="shared" si="32"/>
        <v>9664.44</v>
      </c>
      <c r="O287" s="7" t="str">
        <f t="shared" si="33"/>
        <v>HDFC 5930</v>
      </c>
    </row>
    <row r="288" spans="1:15" x14ac:dyDescent="0.25">
      <c r="A288" s="1">
        <v>45110</v>
      </c>
      <c r="B288" t="s">
        <v>543</v>
      </c>
      <c r="C288" s="1">
        <v>45110</v>
      </c>
      <c r="D288" s="2">
        <v>0</v>
      </c>
      <c r="E288" s="2">
        <v>1750</v>
      </c>
      <c r="F288" s="2">
        <v>11414.44</v>
      </c>
      <c r="G288" t="s">
        <v>719</v>
      </c>
      <c r="H288" s="7">
        <f t="shared" si="34"/>
        <v>0</v>
      </c>
      <c r="I288" s="1">
        <f t="shared" si="28"/>
        <v>45110</v>
      </c>
      <c r="J288" s="1" t="str">
        <f t="shared" si="29"/>
        <v>ACH C- INFOSYS LIMITED-34190913</v>
      </c>
      <c r="L288" s="7">
        <f t="shared" si="30"/>
        <v>0</v>
      </c>
      <c r="M288" s="7">
        <f t="shared" si="31"/>
        <v>1750</v>
      </c>
      <c r="N288" s="7">
        <f t="shared" si="32"/>
        <v>11414.44</v>
      </c>
      <c r="O288" s="7" t="str">
        <f t="shared" si="33"/>
        <v>HDFC 5930</v>
      </c>
    </row>
    <row r="289" spans="1:15" x14ac:dyDescent="0.25">
      <c r="A289" s="1">
        <v>45110</v>
      </c>
      <c r="B289" t="s">
        <v>472</v>
      </c>
      <c r="C289" s="1">
        <v>45110</v>
      </c>
      <c r="D289" s="2">
        <v>72.14</v>
      </c>
      <c r="E289" s="2">
        <v>0</v>
      </c>
      <c r="F289" s="2">
        <v>11342.3</v>
      </c>
      <c r="G289" t="s">
        <v>719</v>
      </c>
      <c r="H289" s="7">
        <f t="shared" si="34"/>
        <v>0</v>
      </c>
      <c r="I289" s="1">
        <f t="shared" si="28"/>
        <v>45110</v>
      </c>
      <c r="J289" s="1" t="str">
        <f t="shared" si="29"/>
        <v>NET PI TO HSL SEC A/C 347707-00602340029392</v>
      </c>
      <c r="L289" s="7">
        <f t="shared" si="30"/>
        <v>72.14</v>
      </c>
      <c r="M289" s="7">
        <f t="shared" si="31"/>
        <v>0</v>
      </c>
      <c r="N289" s="7">
        <f t="shared" si="32"/>
        <v>11342.3</v>
      </c>
      <c r="O289" s="7" t="str">
        <f t="shared" si="33"/>
        <v>HDFC 5930</v>
      </c>
    </row>
    <row r="290" spans="1:15" x14ac:dyDescent="0.25">
      <c r="A290" s="1">
        <v>45111</v>
      </c>
      <c r="B290" t="s">
        <v>472</v>
      </c>
      <c r="C290" s="1">
        <v>45111</v>
      </c>
      <c r="D290" s="2">
        <v>213.63</v>
      </c>
      <c r="E290" s="2">
        <v>0</v>
      </c>
      <c r="F290" s="2">
        <v>11128.67</v>
      </c>
      <c r="G290" t="s">
        <v>719</v>
      </c>
      <c r="H290" s="7">
        <f t="shared" si="34"/>
        <v>0</v>
      </c>
      <c r="I290" s="1">
        <f t="shared" si="28"/>
        <v>45111</v>
      </c>
      <c r="J290" s="1" t="str">
        <f t="shared" si="29"/>
        <v>NET PI TO HSL SEC A/C 347707-00602340029392</v>
      </c>
      <c r="L290" s="7">
        <f t="shared" si="30"/>
        <v>213.63</v>
      </c>
      <c r="M290" s="7">
        <f t="shared" si="31"/>
        <v>0</v>
      </c>
      <c r="N290" s="7">
        <f t="shared" si="32"/>
        <v>11128.67</v>
      </c>
      <c r="O290" s="7" t="str">
        <f t="shared" si="33"/>
        <v>HDFC 5930</v>
      </c>
    </row>
    <row r="291" spans="1:15" x14ac:dyDescent="0.25">
      <c r="A291" s="1">
        <v>45111</v>
      </c>
      <c r="B291" t="s">
        <v>473</v>
      </c>
      <c r="C291" s="1">
        <v>45111</v>
      </c>
      <c r="D291" s="2">
        <v>0</v>
      </c>
      <c r="E291" s="2">
        <v>12974.33</v>
      </c>
      <c r="F291" s="2">
        <v>24103</v>
      </c>
      <c r="G291" t="s">
        <v>719</v>
      </c>
      <c r="H291" s="7">
        <f t="shared" si="34"/>
        <v>0</v>
      </c>
      <c r="I291" s="1">
        <f t="shared" si="28"/>
        <v>45111</v>
      </c>
      <c r="J291" s="1" t="str">
        <f t="shared" si="29"/>
        <v>NET PO FROM HSL A/C 347707-00602340029392</v>
      </c>
      <c r="L291" s="7">
        <f t="shared" si="30"/>
        <v>0</v>
      </c>
      <c r="M291" s="7">
        <f t="shared" si="31"/>
        <v>12974.33</v>
      </c>
      <c r="N291" s="7">
        <f t="shared" si="32"/>
        <v>24103</v>
      </c>
      <c r="O291" s="7" t="str">
        <f t="shared" si="33"/>
        <v>HDFC 5930</v>
      </c>
    </row>
    <row r="292" spans="1:15" x14ac:dyDescent="0.25">
      <c r="A292" s="1">
        <v>45111</v>
      </c>
      <c r="B292" t="s">
        <v>544</v>
      </c>
      <c r="C292" s="1">
        <v>45111</v>
      </c>
      <c r="D292" s="2">
        <v>10</v>
      </c>
      <c r="E292" s="2">
        <v>0</v>
      </c>
      <c r="F292" s="2">
        <v>24093</v>
      </c>
      <c r="G292" t="s">
        <v>719</v>
      </c>
      <c r="H292" s="7">
        <f t="shared" si="34"/>
        <v>0</v>
      </c>
      <c r="I292" s="1">
        <f t="shared" si="28"/>
        <v>45111</v>
      </c>
      <c r="J292" s="1" t="str">
        <f t="shared" si="29"/>
        <v>UPI-SALMAN SALMAN SALMAN-PAYTMQR1ODBGBH003@PAYTM-PYTM0123456-318560194138-REA</v>
      </c>
      <c r="L292" s="7">
        <f t="shared" si="30"/>
        <v>10</v>
      </c>
      <c r="M292" s="7">
        <f t="shared" si="31"/>
        <v>0</v>
      </c>
      <c r="N292" s="7">
        <f t="shared" si="32"/>
        <v>24093</v>
      </c>
      <c r="O292" s="7" t="str">
        <f t="shared" si="33"/>
        <v>HDFC 5930</v>
      </c>
    </row>
    <row r="293" spans="1:15" x14ac:dyDescent="0.25">
      <c r="A293" s="1">
        <v>45111</v>
      </c>
      <c r="B293" t="s">
        <v>472</v>
      </c>
      <c r="C293" s="1">
        <v>45111</v>
      </c>
      <c r="D293" s="2">
        <v>752.9</v>
      </c>
      <c r="E293" s="2">
        <v>0</v>
      </c>
      <c r="F293" s="2">
        <v>23340.1</v>
      </c>
      <c r="G293" t="s">
        <v>719</v>
      </c>
      <c r="H293" s="7">
        <f t="shared" si="34"/>
        <v>0</v>
      </c>
      <c r="I293" s="1">
        <f t="shared" si="28"/>
        <v>45111</v>
      </c>
      <c r="J293" s="1" t="str">
        <f t="shared" si="29"/>
        <v>NET PI TO HSL SEC A/C 347707-00602340029392</v>
      </c>
      <c r="L293" s="7">
        <f t="shared" si="30"/>
        <v>752.9</v>
      </c>
      <c r="M293" s="7">
        <f t="shared" si="31"/>
        <v>0</v>
      </c>
      <c r="N293" s="7">
        <f t="shared" si="32"/>
        <v>23340.1</v>
      </c>
      <c r="O293" s="7" t="str">
        <f t="shared" si="33"/>
        <v>HDFC 5930</v>
      </c>
    </row>
    <row r="294" spans="1:15" x14ac:dyDescent="0.25">
      <c r="A294" s="1">
        <v>45112</v>
      </c>
      <c r="B294" t="s">
        <v>473</v>
      </c>
      <c r="C294" s="1">
        <v>45111</v>
      </c>
      <c r="D294" s="2">
        <v>0</v>
      </c>
      <c r="E294" s="2">
        <v>8625.26</v>
      </c>
      <c r="F294" s="2">
        <v>31965.360000000001</v>
      </c>
      <c r="G294" t="s">
        <v>719</v>
      </c>
      <c r="H294" s="7">
        <f t="shared" si="34"/>
        <v>0</v>
      </c>
      <c r="I294" s="1">
        <f t="shared" si="28"/>
        <v>45112</v>
      </c>
      <c r="J294" s="1" t="str">
        <f t="shared" si="29"/>
        <v>NET PO FROM HSL A/C 347707-00602340029392</v>
      </c>
      <c r="L294" s="7">
        <f t="shared" si="30"/>
        <v>0</v>
      </c>
      <c r="M294" s="7">
        <f t="shared" si="31"/>
        <v>8625.26</v>
      </c>
      <c r="N294" s="7">
        <f t="shared" si="32"/>
        <v>31965.360000000001</v>
      </c>
      <c r="O294" s="7" t="str">
        <f t="shared" si="33"/>
        <v>HDFC 5930</v>
      </c>
    </row>
    <row r="295" spans="1:15" x14ac:dyDescent="0.25">
      <c r="A295" s="1">
        <v>45112</v>
      </c>
      <c r="B295" t="s">
        <v>545</v>
      </c>
      <c r="C295" s="1">
        <v>45112</v>
      </c>
      <c r="D295" s="2">
        <v>0</v>
      </c>
      <c r="E295" s="2">
        <v>20000</v>
      </c>
      <c r="F295" s="2">
        <v>51965.36</v>
      </c>
      <c r="G295" t="s">
        <v>719</v>
      </c>
      <c r="H295" s="7">
        <f t="shared" si="34"/>
        <v>0</v>
      </c>
      <c r="I295" s="1">
        <f t="shared" si="28"/>
        <v>45112</v>
      </c>
      <c r="J295" s="1" t="str">
        <f t="shared" si="29"/>
        <v>50100128155413-TPT-RETRUN FROM AAYUSH-AAYUSH KUMAR GUPTA</v>
      </c>
      <c r="L295" s="7">
        <f t="shared" si="30"/>
        <v>0</v>
      </c>
      <c r="M295" s="7">
        <f t="shared" si="31"/>
        <v>20000</v>
      </c>
      <c r="N295" s="7">
        <f t="shared" si="32"/>
        <v>51965.36</v>
      </c>
      <c r="O295" s="7" t="str">
        <f t="shared" si="33"/>
        <v>HDFC 5930</v>
      </c>
    </row>
    <row r="296" spans="1:15" x14ac:dyDescent="0.25">
      <c r="A296" s="1">
        <v>45112</v>
      </c>
      <c r="B296" t="s">
        <v>480</v>
      </c>
      <c r="C296" s="1">
        <v>45112</v>
      </c>
      <c r="D296" s="2">
        <v>3000</v>
      </c>
      <c r="E296" s="2">
        <v>0</v>
      </c>
      <c r="F296" s="2">
        <v>48965.36</v>
      </c>
      <c r="G296" t="s">
        <v>719</v>
      </c>
      <c r="H296" s="7">
        <f t="shared" si="34"/>
        <v>0</v>
      </c>
      <c r="I296" s="1">
        <f t="shared" si="28"/>
        <v>45112</v>
      </c>
      <c r="J296" s="1" t="str">
        <f t="shared" si="29"/>
        <v>NET PAYIN TO BSE MF A/C -57500000389146- FROM A/C -01671000085930- UCC -347707-57500000389146</v>
      </c>
      <c r="L296" s="7">
        <f t="shared" si="30"/>
        <v>3000</v>
      </c>
      <c r="M296" s="7">
        <f t="shared" si="31"/>
        <v>0</v>
      </c>
      <c r="N296" s="7">
        <f t="shared" si="32"/>
        <v>48965.36</v>
      </c>
      <c r="O296" s="7" t="str">
        <f t="shared" si="33"/>
        <v>HDFC 5930</v>
      </c>
    </row>
    <row r="297" spans="1:15" x14ac:dyDescent="0.25">
      <c r="A297" s="1">
        <v>45112</v>
      </c>
      <c r="B297" t="s">
        <v>472</v>
      </c>
      <c r="C297" s="1">
        <v>45112</v>
      </c>
      <c r="D297" s="2">
        <v>213.26</v>
      </c>
      <c r="E297" s="2">
        <v>0</v>
      </c>
      <c r="F297" s="2">
        <v>48752.1</v>
      </c>
      <c r="G297" t="s">
        <v>719</v>
      </c>
      <c r="H297" s="7">
        <f t="shared" si="34"/>
        <v>0</v>
      </c>
      <c r="I297" s="1">
        <f t="shared" si="28"/>
        <v>45112</v>
      </c>
      <c r="J297" s="1" t="str">
        <f t="shared" si="29"/>
        <v>NET PI TO HSL SEC A/C 347707-00602340029392</v>
      </c>
      <c r="L297" s="7">
        <f t="shared" si="30"/>
        <v>213.26</v>
      </c>
      <c r="M297" s="7">
        <f t="shared" si="31"/>
        <v>0</v>
      </c>
      <c r="N297" s="7">
        <f t="shared" si="32"/>
        <v>48752.1</v>
      </c>
      <c r="O297" s="7" t="str">
        <f t="shared" si="33"/>
        <v>HDFC 5930</v>
      </c>
    </row>
    <row r="298" spans="1:15" x14ac:dyDescent="0.25">
      <c r="A298" s="1">
        <v>45112</v>
      </c>
      <c r="B298" t="s">
        <v>546</v>
      </c>
      <c r="C298" s="1">
        <v>45112</v>
      </c>
      <c r="D298" s="2">
        <v>0</v>
      </c>
      <c r="E298" s="2">
        <v>125</v>
      </c>
      <c r="F298" s="2">
        <v>48877.1</v>
      </c>
      <c r="G298" t="s">
        <v>719</v>
      </c>
      <c r="H298" s="7">
        <f t="shared" si="34"/>
        <v>0</v>
      </c>
      <c r="I298" s="1">
        <f t="shared" si="28"/>
        <v>45112</v>
      </c>
      <c r="J298" s="1" t="str">
        <f t="shared" si="29"/>
        <v>00012050001396HLY INT-IN0020200377</v>
      </c>
      <c r="L298" s="7">
        <f t="shared" si="30"/>
        <v>0</v>
      </c>
      <c r="M298" s="7">
        <f t="shared" si="31"/>
        <v>125</v>
      </c>
      <c r="N298" s="7">
        <f t="shared" si="32"/>
        <v>48877.1</v>
      </c>
      <c r="O298" s="7" t="str">
        <f t="shared" si="33"/>
        <v>HDFC 5930</v>
      </c>
    </row>
    <row r="299" spans="1:15" x14ac:dyDescent="0.25">
      <c r="A299" s="1">
        <v>45112</v>
      </c>
      <c r="B299" t="s">
        <v>472</v>
      </c>
      <c r="C299" s="1">
        <v>45112</v>
      </c>
      <c r="D299" s="2">
        <v>7565.09</v>
      </c>
      <c r="E299" s="2">
        <v>0</v>
      </c>
      <c r="F299" s="2">
        <v>41312.01</v>
      </c>
      <c r="G299" t="s">
        <v>719</v>
      </c>
      <c r="H299" s="7">
        <f t="shared" si="34"/>
        <v>0</v>
      </c>
      <c r="I299" s="1">
        <f t="shared" si="28"/>
        <v>45112</v>
      </c>
      <c r="J299" s="1" t="str">
        <f t="shared" si="29"/>
        <v>NET PI TO HSL SEC A/C 347707-00602340029392</v>
      </c>
      <c r="L299" s="7">
        <f t="shared" si="30"/>
        <v>7565.09</v>
      </c>
      <c r="M299" s="7">
        <f t="shared" si="31"/>
        <v>0</v>
      </c>
      <c r="N299" s="7">
        <f t="shared" si="32"/>
        <v>41312.01</v>
      </c>
      <c r="O299" s="7" t="str">
        <f t="shared" si="33"/>
        <v>HDFC 5930</v>
      </c>
    </row>
    <row r="300" spans="1:15" x14ac:dyDescent="0.25">
      <c r="A300" s="1">
        <v>45112</v>
      </c>
      <c r="B300" t="s">
        <v>473</v>
      </c>
      <c r="C300" s="1">
        <v>45112</v>
      </c>
      <c r="D300" s="2">
        <v>0</v>
      </c>
      <c r="E300" s="2">
        <v>2325.5</v>
      </c>
      <c r="F300" s="2">
        <v>43637.51</v>
      </c>
      <c r="G300" t="s">
        <v>719</v>
      </c>
      <c r="H300" s="7">
        <f t="shared" si="34"/>
        <v>0</v>
      </c>
      <c r="I300" s="1">
        <f t="shared" si="28"/>
        <v>45112</v>
      </c>
      <c r="J300" s="1" t="str">
        <f t="shared" si="29"/>
        <v>NET PO FROM HSL A/C 347707-00602340029392</v>
      </c>
      <c r="L300" s="7">
        <f t="shared" si="30"/>
        <v>0</v>
      </c>
      <c r="M300" s="7">
        <f t="shared" si="31"/>
        <v>2325.5</v>
      </c>
      <c r="N300" s="7">
        <f t="shared" si="32"/>
        <v>43637.51</v>
      </c>
      <c r="O300" s="7" t="str">
        <f t="shared" si="33"/>
        <v>HDFC 5930</v>
      </c>
    </row>
    <row r="301" spans="1:15" x14ac:dyDescent="0.25">
      <c r="A301" s="1">
        <v>45113</v>
      </c>
      <c r="B301" t="s">
        <v>472</v>
      </c>
      <c r="C301" s="1">
        <v>45113</v>
      </c>
      <c r="D301" s="2">
        <v>209.53</v>
      </c>
      <c r="E301" s="2">
        <v>0</v>
      </c>
      <c r="F301" s="2">
        <v>43427.98</v>
      </c>
      <c r="G301" t="s">
        <v>719</v>
      </c>
      <c r="H301" s="7">
        <f t="shared" si="34"/>
        <v>0</v>
      </c>
      <c r="I301" s="1">
        <f t="shared" si="28"/>
        <v>45113</v>
      </c>
      <c r="J301" s="1" t="str">
        <f t="shared" si="29"/>
        <v>NET PI TO HSL SEC A/C 347707-00602340029392</v>
      </c>
      <c r="L301" s="7">
        <f t="shared" si="30"/>
        <v>209.53</v>
      </c>
      <c r="M301" s="7">
        <f t="shared" si="31"/>
        <v>0</v>
      </c>
      <c r="N301" s="7">
        <f t="shared" si="32"/>
        <v>43427.98</v>
      </c>
      <c r="O301" s="7" t="str">
        <f t="shared" si="33"/>
        <v>HDFC 5930</v>
      </c>
    </row>
    <row r="302" spans="1:15" x14ac:dyDescent="0.25">
      <c r="A302" s="1">
        <v>45113</v>
      </c>
      <c r="B302" t="s">
        <v>473</v>
      </c>
      <c r="C302" s="1">
        <v>45113</v>
      </c>
      <c r="D302" s="2">
        <v>0</v>
      </c>
      <c r="E302" s="2">
        <v>894.59</v>
      </c>
      <c r="F302" s="2">
        <v>44322.57</v>
      </c>
      <c r="G302" t="s">
        <v>719</v>
      </c>
      <c r="H302" s="7">
        <f t="shared" si="34"/>
        <v>0</v>
      </c>
      <c r="I302" s="1">
        <f t="shared" si="28"/>
        <v>45113</v>
      </c>
      <c r="J302" s="1" t="str">
        <f t="shared" si="29"/>
        <v>NET PO FROM HSL A/C 347707-00602340029392</v>
      </c>
      <c r="L302" s="7">
        <f t="shared" si="30"/>
        <v>0</v>
      </c>
      <c r="M302" s="7">
        <f t="shared" si="31"/>
        <v>894.59</v>
      </c>
      <c r="N302" s="7">
        <f t="shared" si="32"/>
        <v>44322.57</v>
      </c>
      <c r="O302" s="7" t="str">
        <f t="shared" si="33"/>
        <v>HDFC 5930</v>
      </c>
    </row>
    <row r="303" spans="1:15" x14ac:dyDescent="0.25">
      <c r="A303" s="1">
        <v>45114</v>
      </c>
      <c r="B303" t="s">
        <v>472</v>
      </c>
      <c r="C303" s="1">
        <v>45114</v>
      </c>
      <c r="D303" s="2">
        <v>220.76</v>
      </c>
      <c r="E303" s="2">
        <v>0</v>
      </c>
      <c r="F303" s="2">
        <v>44101.81</v>
      </c>
      <c r="G303" t="s">
        <v>719</v>
      </c>
      <c r="H303" s="7">
        <f t="shared" si="34"/>
        <v>0</v>
      </c>
      <c r="I303" s="1">
        <f t="shared" si="28"/>
        <v>45114</v>
      </c>
      <c r="J303" s="1" t="str">
        <f t="shared" si="29"/>
        <v>NET PI TO HSL SEC A/C 347707-00602340029392</v>
      </c>
      <c r="L303" s="7">
        <f t="shared" si="30"/>
        <v>220.76</v>
      </c>
      <c r="M303" s="7">
        <f t="shared" si="31"/>
        <v>0</v>
      </c>
      <c r="N303" s="7">
        <f t="shared" si="32"/>
        <v>44101.81</v>
      </c>
      <c r="O303" s="7" t="str">
        <f t="shared" si="33"/>
        <v>HDFC 5930</v>
      </c>
    </row>
    <row r="304" spans="1:15" x14ac:dyDescent="0.25">
      <c r="A304" s="1">
        <v>45114</v>
      </c>
      <c r="B304" t="s">
        <v>473</v>
      </c>
      <c r="C304" s="1">
        <v>45114</v>
      </c>
      <c r="D304" s="2">
        <v>0</v>
      </c>
      <c r="E304" s="2">
        <v>9232.0499999999993</v>
      </c>
      <c r="F304" s="2">
        <v>53333.86</v>
      </c>
      <c r="G304" t="s">
        <v>719</v>
      </c>
      <c r="H304" s="7">
        <f t="shared" si="34"/>
        <v>0</v>
      </c>
      <c r="I304" s="1">
        <f t="shared" si="28"/>
        <v>45114</v>
      </c>
      <c r="J304" s="1" t="str">
        <f t="shared" si="29"/>
        <v>NET PO FROM HSL A/C 347707-00602340029392</v>
      </c>
      <c r="L304" s="7">
        <f t="shared" si="30"/>
        <v>0</v>
      </c>
      <c r="M304" s="7">
        <f t="shared" si="31"/>
        <v>9232.0499999999993</v>
      </c>
      <c r="N304" s="7">
        <f t="shared" si="32"/>
        <v>53333.86</v>
      </c>
      <c r="O304" s="7" t="str">
        <f t="shared" si="33"/>
        <v>HDFC 5930</v>
      </c>
    </row>
    <row r="305" spans="1:15" x14ac:dyDescent="0.25">
      <c r="A305" s="1">
        <v>45114</v>
      </c>
      <c r="B305" t="s">
        <v>547</v>
      </c>
      <c r="C305" s="1">
        <v>45114</v>
      </c>
      <c r="D305" s="2">
        <v>2000</v>
      </c>
      <c r="E305" s="2">
        <v>0</v>
      </c>
      <c r="F305" s="2">
        <v>51333.86</v>
      </c>
      <c r="G305" t="s">
        <v>719</v>
      </c>
      <c r="H305" s="7">
        <f t="shared" si="34"/>
        <v>0</v>
      </c>
      <c r="I305" s="1">
        <f t="shared" si="28"/>
        <v>45114</v>
      </c>
      <c r="J305" s="1" t="str">
        <f t="shared" si="29"/>
        <v>ACH D- TP ACH INVESTOCAFE-1192357928</v>
      </c>
      <c r="L305" s="7">
        <f t="shared" si="30"/>
        <v>2000</v>
      </c>
      <c r="M305" s="7">
        <f t="shared" si="31"/>
        <v>0</v>
      </c>
      <c r="N305" s="7">
        <f t="shared" si="32"/>
        <v>51333.86</v>
      </c>
      <c r="O305" s="7" t="str">
        <f t="shared" si="33"/>
        <v>HDFC 5930</v>
      </c>
    </row>
    <row r="306" spans="1:15" x14ac:dyDescent="0.25">
      <c r="A306" s="1">
        <v>45114</v>
      </c>
      <c r="B306" t="s">
        <v>548</v>
      </c>
      <c r="C306" s="1">
        <v>45114</v>
      </c>
      <c r="D306" s="2">
        <v>2500</v>
      </c>
      <c r="E306" s="2">
        <v>0</v>
      </c>
      <c r="F306" s="2">
        <v>48833.86</v>
      </c>
      <c r="G306" t="s">
        <v>719</v>
      </c>
      <c r="H306" s="7">
        <f t="shared" si="34"/>
        <v>0</v>
      </c>
      <c r="I306" s="1">
        <f t="shared" si="28"/>
        <v>45114</v>
      </c>
      <c r="J306" s="1" t="str">
        <f t="shared" si="29"/>
        <v>ACH D- TP ACH INVESTOCAFE-1192357929</v>
      </c>
      <c r="L306" s="7">
        <f t="shared" si="30"/>
        <v>2500</v>
      </c>
      <c r="M306" s="7">
        <f t="shared" si="31"/>
        <v>0</v>
      </c>
      <c r="N306" s="7">
        <f t="shared" si="32"/>
        <v>48833.86</v>
      </c>
      <c r="O306" s="7" t="str">
        <f t="shared" si="33"/>
        <v>HDFC 5930</v>
      </c>
    </row>
    <row r="307" spans="1:15" x14ac:dyDescent="0.25">
      <c r="A307" s="1">
        <v>45114</v>
      </c>
      <c r="B307" t="s">
        <v>472</v>
      </c>
      <c r="C307" s="1">
        <v>45114</v>
      </c>
      <c r="D307" s="2">
        <v>6808.25</v>
      </c>
      <c r="E307" s="2">
        <v>0</v>
      </c>
      <c r="F307" s="2">
        <v>42025.61</v>
      </c>
      <c r="G307" t="s">
        <v>719</v>
      </c>
      <c r="H307" s="7">
        <f t="shared" si="34"/>
        <v>0</v>
      </c>
      <c r="I307" s="1">
        <f t="shared" si="28"/>
        <v>45114</v>
      </c>
      <c r="J307" s="1" t="str">
        <f t="shared" si="29"/>
        <v>NET PI TO HSL SEC A/C 347707-00602340029392</v>
      </c>
      <c r="L307" s="7">
        <f t="shared" si="30"/>
        <v>6808.25</v>
      </c>
      <c r="M307" s="7">
        <f t="shared" si="31"/>
        <v>0</v>
      </c>
      <c r="N307" s="7">
        <f t="shared" si="32"/>
        <v>42025.61</v>
      </c>
      <c r="O307" s="7" t="str">
        <f t="shared" si="33"/>
        <v>HDFC 5930</v>
      </c>
    </row>
    <row r="308" spans="1:15" x14ac:dyDescent="0.25">
      <c r="A308" s="1">
        <v>45114</v>
      </c>
      <c r="B308" t="s">
        <v>472</v>
      </c>
      <c r="C308" s="1">
        <v>45114</v>
      </c>
      <c r="D308" s="2">
        <v>7200.23</v>
      </c>
      <c r="E308" s="2">
        <v>0</v>
      </c>
      <c r="F308" s="2">
        <v>34825.379999999997</v>
      </c>
      <c r="G308" t="s">
        <v>719</v>
      </c>
      <c r="H308" s="7">
        <f t="shared" si="34"/>
        <v>0</v>
      </c>
      <c r="I308" s="1">
        <f t="shared" si="28"/>
        <v>45114</v>
      </c>
      <c r="J308" s="1" t="str">
        <f t="shared" si="29"/>
        <v>NET PI TO HSL SEC A/C 347707-00602340029392</v>
      </c>
      <c r="L308" s="7">
        <f t="shared" si="30"/>
        <v>7200.23</v>
      </c>
      <c r="M308" s="7">
        <f t="shared" si="31"/>
        <v>0</v>
      </c>
      <c r="N308" s="7">
        <f t="shared" si="32"/>
        <v>34825.379999999997</v>
      </c>
      <c r="O308" s="7" t="str">
        <f t="shared" si="33"/>
        <v>HDFC 5930</v>
      </c>
    </row>
    <row r="309" spans="1:15" x14ac:dyDescent="0.25">
      <c r="A309" s="1">
        <v>45114</v>
      </c>
      <c r="B309" t="s">
        <v>473</v>
      </c>
      <c r="C309" s="1">
        <v>45114</v>
      </c>
      <c r="D309" s="2">
        <v>0</v>
      </c>
      <c r="E309" s="2">
        <v>9318.14</v>
      </c>
      <c r="F309" s="2">
        <v>44143.519999999997</v>
      </c>
      <c r="G309" t="s">
        <v>719</v>
      </c>
      <c r="H309" s="7">
        <f t="shared" si="34"/>
        <v>0</v>
      </c>
      <c r="I309" s="1">
        <f t="shared" si="28"/>
        <v>45114</v>
      </c>
      <c r="J309" s="1" t="str">
        <f t="shared" si="29"/>
        <v>NET PO FROM HSL A/C 347707-00602340029392</v>
      </c>
      <c r="L309" s="7">
        <f t="shared" si="30"/>
        <v>0</v>
      </c>
      <c r="M309" s="7">
        <f t="shared" si="31"/>
        <v>9318.14</v>
      </c>
      <c r="N309" s="7">
        <f t="shared" si="32"/>
        <v>44143.519999999997</v>
      </c>
      <c r="O309" s="7" t="str">
        <f t="shared" si="33"/>
        <v>HDFC 5930</v>
      </c>
    </row>
    <row r="310" spans="1:15" x14ac:dyDescent="0.25">
      <c r="A310" s="1">
        <v>45117</v>
      </c>
      <c r="B310" t="s">
        <v>504</v>
      </c>
      <c r="C310" s="1">
        <v>45117</v>
      </c>
      <c r="D310" s="2">
        <v>4000</v>
      </c>
      <c r="E310" s="2">
        <v>0</v>
      </c>
      <c r="F310" s="2">
        <v>40143.519999999997</v>
      </c>
      <c r="G310" t="s">
        <v>719</v>
      </c>
      <c r="H310" s="7">
        <f t="shared" si="34"/>
        <v>0</v>
      </c>
      <c r="I310" s="1">
        <f t="shared" si="28"/>
        <v>45117</v>
      </c>
      <c r="J310" s="1" t="str">
        <f t="shared" si="29"/>
        <v>O-MF-HSBC MF-O-O416-000000101236</v>
      </c>
      <c r="L310" s="7">
        <f t="shared" si="30"/>
        <v>4000</v>
      </c>
      <c r="M310" s="7">
        <f t="shared" si="31"/>
        <v>0</v>
      </c>
      <c r="N310" s="7">
        <f t="shared" si="32"/>
        <v>40143.519999999997</v>
      </c>
      <c r="O310" s="7" t="str">
        <f t="shared" si="33"/>
        <v>HDFC 5930</v>
      </c>
    </row>
    <row r="311" spans="1:15" x14ac:dyDescent="0.25">
      <c r="A311" s="1">
        <v>45117</v>
      </c>
      <c r="B311" t="s">
        <v>480</v>
      </c>
      <c r="C311" s="1">
        <v>45117</v>
      </c>
      <c r="D311" s="2">
        <v>5000</v>
      </c>
      <c r="E311" s="2">
        <v>0</v>
      </c>
      <c r="F311" s="2">
        <v>35143.519999999997</v>
      </c>
      <c r="G311" t="s">
        <v>719</v>
      </c>
      <c r="H311" s="7">
        <f t="shared" si="34"/>
        <v>0</v>
      </c>
      <c r="I311" s="1">
        <f t="shared" si="28"/>
        <v>45117</v>
      </c>
      <c r="J311" s="1" t="str">
        <f t="shared" si="29"/>
        <v>NET PAYIN TO BSE MF A/C -57500000389146- FROM A/C -01671000085930- UCC -347707-57500000389146</v>
      </c>
      <c r="L311" s="7">
        <f t="shared" si="30"/>
        <v>5000</v>
      </c>
      <c r="M311" s="7">
        <f t="shared" si="31"/>
        <v>0</v>
      </c>
      <c r="N311" s="7">
        <f t="shared" si="32"/>
        <v>35143.519999999997</v>
      </c>
      <c r="O311" s="7" t="str">
        <f t="shared" si="33"/>
        <v>HDFC 5930</v>
      </c>
    </row>
    <row r="312" spans="1:15" x14ac:dyDescent="0.25">
      <c r="A312" s="1">
        <v>45117</v>
      </c>
      <c r="B312" t="s">
        <v>480</v>
      </c>
      <c r="C312" s="1">
        <v>45117</v>
      </c>
      <c r="D312" s="2">
        <v>3000</v>
      </c>
      <c r="E312" s="2">
        <v>0</v>
      </c>
      <c r="F312" s="2">
        <v>32143.52</v>
      </c>
      <c r="G312" t="s">
        <v>719</v>
      </c>
      <c r="H312" s="7">
        <f t="shared" si="34"/>
        <v>0</v>
      </c>
      <c r="I312" s="1">
        <f t="shared" si="28"/>
        <v>45117</v>
      </c>
      <c r="J312" s="1" t="str">
        <f t="shared" si="29"/>
        <v>NET PAYIN TO BSE MF A/C -57500000389146- FROM A/C -01671000085930- UCC -347707-57500000389146</v>
      </c>
      <c r="L312" s="7">
        <f t="shared" si="30"/>
        <v>3000</v>
      </c>
      <c r="M312" s="7">
        <f t="shared" si="31"/>
        <v>0</v>
      </c>
      <c r="N312" s="7">
        <f t="shared" si="32"/>
        <v>32143.52</v>
      </c>
      <c r="O312" s="7" t="str">
        <f t="shared" si="33"/>
        <v>HDFC 5930</v>
      </c>
    </row>
    <row r="313" spans="1:15" x14ac:dyDescent="0.25">
      <c r="A313" s="1">
        <v>45117</v>
      </c>
      <c r="B313" t="s">
        <v>480</v>
      </c>
      <c r="C313" s="1">
        <v>45117</v>
      </c>
      <c r="D313" s="2">
        <v>3000</v>
      </c>
      <c r="E313" s="2">
        <v>0</v>
      </c>
      <c r="F313" s="2">
        <v>29143.52</v>
      </c>
      <c r="G313" t="s">
        <v>719</v>
      </c>
      <c r="H313" s="7">
        <f t="shared" si="34"/>
        <v>0</v>
      </c>
      <c r="I313" s="1">
        <f t="shared" si="28"/>
        <v>45117</v>
      </c>
      <c r="J313" s="1" t="str">
        <f t="shared" si="29"/>
        <v>NET PAYIN TO BSE MF A/C -57500000389146- FROM A/C -01671000085930- UCC -347707-57500000389146</v>
      </c>
      <c r="L313" s="7">
        <f t="shared" si="30"/>
        <v>3000</v>
      </c>
      <c r="M313" s="7">
        <f t="shared" si="31"/>
        <v>0</v>
      </c>
      <c r="N313" s="7">
        <f t="shared" si="32"/>
        <v>29143.52</v>
      </c>
      <c r="O313" s="7" t="str">
        <f t="shared" si="33"/>
        <v>HDFC 5930</v>
      </c>
    </row>
    <row r="314" spans="1:15" x14ac:dyDescent="0.25">
      <c r="A314" s="1">
        <v>45117</v>
      </c>
      <c r="B314" t="s">
        <v>472</v>
      </c>
      <c r="C314" s="1">
        <v>45117</v>
      </c>
      <c r="D314" s="2">
        <v>652.23</v>
      </c>
      <c r="E314" s="2">
        <v>0</v>
      </c>
      <c r="F314" s="2">
        <v>28491.29</v>
      </c>
      <c r="G314" t="s">
        <v>719</v>
      </c>
      <c r="H314" s="7">
        <f t="shared" si="34"/>
        <v>0</v>
      </c>
      <c r="I314" s="1">
        <f t="shared" si="28"/>
        <v>45117</v>
      </c>
      <c r="J314" s="1" t="str">
        <f t="shared" si="29"/>
        <v>NET PI TO HSL SEC A/C 347707-00602340029392</v>
      </c>
      <c r="L314" s="7">
        <f t="shared" si="30"/>
        <v>652.23</v>
      </c>
      <c r="M314" s="7">
        <f t="shared" si="31"/>
        <v>0</v>
      </c>
      <c r="N314" s="7">
        <f t="shared" si="32"/>
        <v>28491.29</v>
      </c>
      <c r="O314" s="7" t="str">
        <f t="shared" si="33"/>
        <v>HDFC 5930</v>
      </c>
    </row>
    <row r="315" spans="1:15" x14ac:dyDescent="0.25">
      <c r="A315" s="1">
        <v>45117</v>
      </c>
      <c r="B315" t="s">
        <v>549</v>
      </c>
      <c r="C315" s="1">
        <v>45117</v>
      </c>
      <c r="D315" s="2">
        <v>0</v>
      </c>
      <c r="E315" s="2">
        <v>720</v>
      </c>
      <c r="F315" s="2">
        <v>29211.29</v>
      </c>
      <c r="G315" t="s">
        <v>719</v>
      </c>
      <c r="H315" s="7">
        <f t="shared" si="34"/>
        <v>0</v>
      </c>
      <c r="I315" s="1">
        <f t="shared" si="28"/>
        <v>45117</v>
      </c>
      <c r="J315" s="1" t="str">
        <f t="shared" si="29"/>
        <v>ACH C- TATASTEELDIV2023-1412759</v>
      </c>
      <c r="L315" s="7">
        <f t="shared" si="30"/>
        <v>0</v>
      </c>
      <c r="M315" s="7">
        <f t="shared" si="31"/>
        <v>720</v>
      </c>
      <c r="N315" s="7">
        <f t="shared" si="32"/>
        <v>29211.29</v>
      </c>
      <c r="O315" s="7" t="str">
        <f t="shared" si="33"/>
        <v>HDFC 5930</v>
      </c>
    </row>
    <row r="316" spans="1:15" x14ac:dyDescent="0.25">
      <c r="A316" s="1">
        <v>45117</v>
      </c>
      <c r="B316" t="s">
        <v>472</v>
      </c>
      <c r="C316" s="1">
        <v>45117</v>
      </c>
      <c r="D316" s="2">
        <v>532.85</v>
      </c>
      <c r="E316" s="2">
        <v>0</v>
      </c>
      <c r="F316" s="2">
        <v>28678.44</v>
      </c>
      <c r="G316" t="s">
        <v>719</v>
      </c>
      <c r="H316" s="7">
        <f t="shared" si="34"/>
        <v>0</v>
      </c>
      <c r="I316" s="1">
        <f t="shared" si="28"/>
        <v>45117</v>
      </c>
      <c r="J316" s="1" t="str">
        <f t="shared" si="29"/>
        <v>NET PI TO HSL SEC A/C 347707-00602340029392</v>
      </c>
      <c r="L316" s="7">
        <f t="shared" si="30"/>
        <v>532.85</v>
      </c>
      <c r="M316" s="7">
        <f t="shared" si="31"/>
        <v>0</v>
      </c>
      <c r="N316" s="7">
        <f t="shared" si="32"/>
        <v>28678.44</v>
      </c>
      <c r="O316" s="7" t="str">
        <f t="shared" si="33"/>
        <v>HDFC 5930</v>
      </c>
    </row>
    <row r="317" spans="1:15" x14ac:dyDescent="0.25">
      <c r="A317" s="1">
        <v>45118</v>
      </c>
      <c r="B317" t="s">
        <v>472</v>
      </c>
      <c r="C317" s="1">
        <v>45118</v>
      </c>
      <c r="D317" s="2">
        <v>225.77</v>
      </c>
      <c r="E317" s="2">
        <v>0</v>
      </c>
      <c r="F317" s="2">
        <v>28452.67</v>
      </c>
      <c r="G317" t="s">
        <v>719</v>
      </c>
      <c r="H317" s="7">
        <f t="shared" si="34"/>
        <v>0</v>
      </c>
      <c r="I317" s="1">
        <f t="shared" si="28"/>
        <v>45118</v>
      </c>
      <c r="J317" s="1" t="str">
        <f t="shared" si="29"/>
        <v>NET PI TO HSL SEC A/C 347707-00602340029392</v>
      </c>
      <c r="L317" s="7">
        <f t="shared" si="30"/>
        <v>225.77</v>
      </c>
      <c r="M317" s="7">
        <f t="shared" si="31"/>
        <v>0</v>
      </c>
      <c r="N317" s="7">
        <f t="shared" si="32"/>
        <v>28452.67</v>
      </c>
      <c r="O317" s="7" t="str">
        <f t="shared" si="33"/>
        <v>HDFC 5930</v>
      </c>
    </row>
    <row r="318" spans="1:15" x14ac:dyDescent="0.25">
      <c r="A318" s="1">
        <v>45118</v>
      </c>
      <c r="B318" t="s">
        <v>550</v>
      </c>
      <c r="C318" s="1">
        <v>45118</v>
      </c>
      <c r="D318" s="2">
        <v>0</v>
      </c>
      <c r="E318" s="2">
        <v>1.01</v>
      </c>
      <c r="F318" s="2">
        <v>28453.68</v>
      </c>
      <c r="G318" t="s">
        <v>719</v>
      </c>
      <c r="H318" s="7">
        <f t="shared" si="34"/>
        <v>0</v>
      </c>
      <c r="I318" s="1">
        <f t="shared" si="28"/>
        <v>45118</v>
      </c>
      <c r="J318" s="1" t="str">
        <f t="shared" si="29"/>
        <v>IMPS-319219958217-CASHFREE PAYMENTS IN-NSPB-XXXXXXXX0008-BAV</v>
      </c>
      <c r="L318" s="7">
        <f t="shared" si="30"/>
        <v>0</v>
      </c>
      <c r="M318" s="7">
        <f t="shared" si="31"/>
        <v>1.01</v>
      </c>
      <c r="N318" s="7">
        <f t="shared" si="32"/>
        <v>28453.68</v>
      </c>
      <c r="O318" s="7" t="str">
        <f t="shared" si="33"/>
        <v>HDFC 5930</v>
      </c>
    </row>
    <row r="319" spans="1:15" x14ac:dyDescent="0.25">
      <c r="A319" s="1">
        <v>45118</v>
      </c>
      <c r="B319" t="s">
        <v>551</v>
      </c>
      <c r="C319" s="1">
        <v>45118</v>
      </c>
      <c r="D319" s="2">
        <v>0</v>
      </c>
      <c r="E319" s="2">
        <v>1.01</v>
      </c>
      <c r="F319" s="2">
        <v>28454.69</v>
      </c>
      <c r="G319" t="s">
        <v>719</v>
      </c>
      <c r="H319" s="7">
        <f t="shared" si="34"/>
        <v>0</v>
      </c>
      <c r="I319" s="1">
        <f t="shared" si="28"/>
        <v>45118</v>
      </c>
      <c r="J319" s="1" t="str">
        <f t="shared" si="29"/>
        <v>IMPS-319219959131-CASHFREE PAYMENTS IN-NSPB-XXXXXXXX0008-BAV</v>
      </c>
      <c r="L319" s="7">
        <f t="shared" si="30"/>
        <v>0</v>
      </c>
      <c r="M319" s="7">
        <f t="shared" si="31"/>
        <v>1.01</v>
      </c>
      <c r="N319" s="7">
        <f t="shared" si="32"/>
        <v>28454.69</v>
      </c>
      <c r="O319" s="7" t="str">
        <f t="shared" si="33"/>
        <v>HDFC 5930</v>
      </c>
    </row>
    <row r="320" spans="1:15" x14ac:dyDescent="0.25">
      <c r="A320" s="1">
        <v>45118</v>
      </c>
      <c r="B320" t="s">
        <v>472</v>
      </c>
      <c r="C320" s="1">
        <v>45118</v>
      </c>
      <c r="D320" s="2">
        <v>1011.73</v>
      </c>
      <c r="E320" s="2">
        <v>0</v>
      </c>
      <c r="F320" s="2">
        <v>27442.959999999999</v>
      </c>
      <c r="G320" t="s">
        <v>719</v>
      </c>
      <c r="H320" s="7">
        <f t="shared" si="34"/>
        <v>0</v>
      </c>
      <c r="I320" s="1">
        <f t="shared" si="28"/>
        <v>45118</v>
      </c>
      <c r="J320" s="1" t="str">
        <f t="shared" si="29"/>
        <v>NET PI TO HSL SEC A/C 347707-00602340029392</v>
      </c>
      <c r="L320" s="7">
        <f t="shared" si="30"/>
        <v>1011.73</v>
      </c>
      <c r="M320" s="7">
        <f t="shared" si="31"/>
        <v>0</v>
      </c>
      <c r="N320" s="7">
        <f t="shared" si="32"/>
        <v>27442.959999999999</v>
      </c>
      <c r="O320" s="7" t="str">
        <f t="shared" si="33"/>
        <v>HDFC 5930</v>
      </c>
    </row>
    <row r="321" spans="1:15" x14ac:dyDescent="0.25">
      <c r="A321" s="1">
        <v>45118</v>
      </c>
      <c r="B321" t="s">
        <v>472</v>
      </c>
      <c r="C321" s="1">
        <v>45118</v>
      </c>
      <c r="D321" s="2">
        <v>1109.2</v>
      </c>
      <c r="E321" s="2">
        <v>0</v>
      </c>
      <c r="F321" s="2">
        <v>26333.759999999998</v>
      </c>
      <c r="G321" t="s">
        <v>719</v>
      </c>
      <c r="H321" s="7">
        <f t="shared" si="34"/>
        <v>0</v>
      </c>
      <c r="I321" s="1">
        <f t="shared" si="28"/>
        <v>45118</v>
      </c>
      <c r="J321" s="1" t="str">
        <f t="shared" si="29"/>
        <v>NET PI TO HSL SEC A/C 347707-00602340029392</v>
      </c>
      <c r="L321" s="7">
        <f t="shared" si="30"/>
        <v>1109.2</v>
      </c>
      <c r="M321" s="7">
        <f t="shared" si="31"/>
        <v>0</v>
      </c>
      <c r="N321" s="7">
        <f t="shared" si="32"/>
        <v>26333.759999999998</v>
      </c>
      <c r="O321" s="7" t="str">
        <f t="shared" si="33"/>
        <v>HDFC 5930</v>
      </c>
    </row>
    <row r="322" spans="1:15" x14ac:dyDescent="0.25">
      <c r="A322" s="1">
        <v>45118</v>
      </c>
      <c r="B322" t="s">
        <v>473</v>
      </c>
      <c r="C322" s="1">
        <v>45118</v>
      </c>
      <c r="D322" s="2">
        <v>0</v>
      </c>
      <c r="E322" s="2">
        <v>6835.98</v>
      </c>
      <c r="F322" s="2">
        <v>33169.74</v>
      </c>
      <c r="G322" t="s">
        <v>719</v>
      </c>
      <c r="H322" s="7">
        <f t="shared" si="34"/>
        <v>0</v>
      </c>
      <c r="I322" s="1">
        <f t="shared" si="28"/>
        <v>45118</v>
      </c>
      <c r="J322" s="1" t="str">
        <f t="shared" si="29"/>
        <v>NET PO FROM HSL A/C 347707-00602340029392</v>
      </c>
      <c r="L322" s="7">
        <f t="shared" si="30"/>
        <v>0</v>
      </c>
      <c r="M322" s="7">
        <f t="shared" si="31"/>
        <v>6835.98</v>
      </c>
      <c r="N322" s="7">
        <f t="shared" si="32"/>
        <v>33169.74</v>
      </c>
      <c r="O322" s="7" t="str">
        <f t="shared" si="33"/>
        <v>HDFC 5930</v>
      </c>
    </row>
    <row r="323" spans="1:15" x14ac:dyDescent="0.25">
      <c r="A323" s="1">
        <v>45119</v>
      </c>
      <c r="B323" t="s">
        <v>472</v>
      </c>
      <c r="C323" s="1">
        <v>45119</v>
      </c>
      <c r="D323" s="2">
        <v>225.27</v>
      </c>
      <c r="E323" s="2">
        <v>0</v>
      </c>
      <c r="F323" s="2">
        <v>32944.47</v>
      </c>
      <c r="G323" t="s">
        <v>719</v>
      </c>
      <c r="H323" s="7">
        <f t="shared" si="34"/>
        <v>0</v>
      </c>
      <c r="I323" s="1">
        <f t="shared" si="28"/>
        <v>45119</v>
      </c>
      <c r="J323" s="1" t="str">
        <f t="shared" si="29"/>
        <v>NET PI TO HSL SEC A/C 347707-00602340029392</v>
      </c>
      <c r="L323" s="7">
        <f t="shared" si="30"/>
        <v>225.27</v>
      </c>
      <c r="M323" s="7">
        <f t="shared" si="31"/>
        <v>0</v>
      </c>
      <c r="N323" s="7">
        <f t="shared" si="32"/>
        <v>32944.47</v>
      </c>
      <c r="O323" s="7" t="str">
        <f t="shared" si="33"/>
        <v>HDFC 5930</v>
      </c>
    </row>
    <row r="324" spans="1:15" x14ac:dyDescent="0.25">
      <c r="A324" s="1">
        <v>45119</v>
      </c>
      <c r="B324" t="s">
        <v>472</v>
      </c>
      <c r="C324" s="1">
        <v>45119</v>
      </c>
      <c r="D324" s="2">
        <v>5074.1499999999996</v>
      </c>
      <c r="E324" s="2">
        <v>0</v>
      </c>
      <c r="F324" s="2">
        <v>27870.32</v>
      </c>
      <c r="G324" t="s">
        <v>719</v>
      </c>
      <c r="H324" s="7">
        <f t="shared" si="34"/>
        <v>0</v>
      </c>
      <c r="I324" s="1">
        <f t="shared" si="28"/>
        <v>45119</v>
      </c>
      <c r="J324" s="1" t="str">
        <f t="shared" si="29"/>
        <v>NET PI TO HSL SEC A/C 347707-00602340029392</v>
      </c>
      <c r="L324" s="7">
        <f t="shared" si="30"/>
        <v>5074.1499999999996</v>
      </c>
      <c r="M324" s="7">
        <f t="shared" si="31"/>
        <v>0</v>
      </c>
      <c r="N324" s="7">
        <f t="shared" si="32"/>
        <v>27870.32</v>
      </c>
      <c r="O324" s="7" t="str">
        <f t="shared" si="33"/>
        <v>HDFC 5930</v>
      </c>
    </row>
    <row r="325" spans="1:15" x14ac:dyDescent="0.25">
      <c r="A325" s="1">
        <v>45120</v>
      </c>
      <c r="B325" t="s">
        <v>473</v>
      </c>
      <c r="C325" s="1">
        <v>45119</v>
      </c>
      <c r="D325" s="2">
        <v>0</v>
      </c>
      <c r="E325" s="2">
        <v>2193.36</v>
      </c>
      <c r="F325" s="2">
        <v>30063.68</v>
      </c>
      <c r="G325" t="s">
        <v>719</v>
      </c>
      <c r="H325" s="7">
        <f t="shared" si="34"/>
        <v>0</v>
      </c>
      <c r="I325" s="1">
        <f t="shared" si="28"/>
        <v>45120</v>
      </c>
      <c r="J325" s="1" t="str">
        <f t="shared" si="29"/>
        <v>NET PO FROM HSL A/C 347707-00602340029392</v>
      </c>
      <c r="L325" s="7">
        <f t="shared" si="30"/>
        <v>0</v>
      </c>
      <c r="M325" s="7">
        <f t="shared" si="31"/>
        <v>2193.36</v>
      </c>
      <c r="N325" s="7">
        <f t="shared" si="32"/>
        <v>30063.68</v>
      </c>
      <c r="O325" s="7" t="str">
        <f t="shared" si="33"/>
        <v>HDFC 5930</v>
      </c>
    </row>
    <row r="326" spans="1:15" x14ac:dyDescent="0.25">
      <c r="A326" s="1">
        <v>45120</v>
      </c>
      <c r="B326" t="s">
        <v>472</v>
      </c>
      <c r="C326" s="1">
        <v>45120</v>
      </c>
      <c r="D326" s="2">
        <v>222.77</v>
      </c>
      <c r="E326" s="2">
        <v>0</v>
      </c>
      <c r="F326" s="2">
        <v>29840.91</v>
      </c>
      <c r="G326" t="s">
        <v>719</v>
      </c>
      <c r="H326" s="7">
        <f t="shared" si="34"/>
        <v>0</v>
      </c>
      <c r="I326" s="1">
        <f t="shared" si="28"/>
        <v>45120</v>
      </c>
      <c r="J326" s="1" t="str">
        <f t="shared" si="29"/>
        <v>NET PI TO HSL SEC A/C 347707-00602340029392</v>
      </c>
      <c r="L326" s="7">
        <f t="shared" si="30"/>
        <v>222.77</v>
      </c>
      <c r="M326" s="7">
        <f t="shared" si="31"/>
        <v>0</v>
      </c>
      <c r="N326" s="7">
        <f t="shared" si="32"/>
        <v>29840.91</v>
      </c>
      <c r="O326" s="7" t="str">
        <f t="shared" si="33"/>
        <v>HDFC 5930</v>
      </c>
    </row>
    <row r="327" spans="1:15" x14ac:dyDescent="0.25">
      <c r="A327" s="1">
        <v>45121</v>
      </c>
      <c r="B327" t="s">
        <v>473</v>
      </c>
      <c r="C327" s="1">
        <v>45120</v>
      </c>
      <c r="D327" s="2">
        <v>0</v>
      </c>
      <c r="E327" s="2">
        <v>2791.79</v>
      </c>
      <c r="F327" s="2">
        <v>32632.7</v>
      </c>
      <c r="G327" t="s">
        <v>719</v>
      </c>
      <c r="H327" s="7">
        <f t="shared" si="34"/>
        <v>0</v>
      </c>
      <c r="I327" s="1">
        <f t="shared" si="28"/>
        <v>45121</v>
      </c>
      <c r="J327" s="1" t="str">
        <f t="shared" si="29"/>
        <v>NET PO FROM HSL A/C 347707-00602340029392</v>
      </c>
      <c r="L327" s="7">
        <f t="shared" si="30"/>
        <v>0</v>
      </c>
      <c r="M327" s="7">
        <f t="shared" si="31"/>
        <v>2791.79</v>
      </c>
      <c r="N327" s="7">
        <f t="shared" si="32"/>
        <v>32632.7</v>
      </c>
      <c r="O327" s="7" t="str">
        <f t="shared" si="33"/>
        <v>HDFC 5930</v>
      </c>
    </row>
    <row r="328" spans="1:15" x14ac:dyDescent="0.25">
      <c r="A328" s="1">
        <v>45121</v>
      </c>
      <c r="B328" t="s">
        <v>552</v>
      </c>
      <c r="C328" s="1">
        <v>45121</v>
      </c>
      <c r="D328" s="2">
        <v>0</v>
      </c>
      <c r="E328" s="2">
        <v>24650.14</v>
      </c>
      <c r="F328" s="2">
        <v>57282.84</v>
      </c>
      <c r="G328" t="s">
        <v>719</v>
      </c>
      <c r="H328" s="7">
        <f t="shared" si="34"/>
        <v>0</v>
      </c>
      <c r="I328" s="1">
        <f t="shared" si="28"/>
        <v>45121</v>
      </c>
      <c r="J328" s="1" t="str">
        <f t="shared" si="29"/>
        <v>FT- NIPPON INDIA PHARMA FUND - HD99 128609921 41196088676 1858466375</v>
      </c>
      <c r="L328" s="7">
        <f t="shared" si="30"/>
        <v>0</v>
      </c>
      <c r="M328" s="7">
        <f t="shared" si="31"/>
        <v>24650.14</v>
      </c>
      <c r="N328" s="7">
        <f t="shared" si="32"/>
        <v>57282.84</v>
      </c>
      <c r="O328" s="7" t="str">
        <f t="shared" si="33"/>
        <v>HDFC 5930</v>
      </c>
    </row>
    <row r="329" spans="1:15" x14ac:dyDescent="0.25">
      <c r="A329" s="1">
        <v>45121</v>
      </c>
      <c r="B329" t="s">
        <v>553</v>
      </c>
      <c r="C329" s="1">
        <v>45121</v>
      </c>
      <c r="D329" s="2">
        <v>0</v>
      </c>
      <c r="E329" s="2">
        <v>4343.9399999999996</v>
      </c>
      <c r="F329" s="2">
        <v>61626.78</v>
      </c>
      <c r="G329" t="s">
        <v>719</v>
      </c>
      <c r="H329" s="7">
        <f t="shared" si="34"/>
        <v>0</v>
      </c>
      <c r="I329" s="1">
        <f t="shared" si="28"/>
        <v>45121</v>
      </c>
      <c r="J329" s="1" t="str">
        <f t="shared" si="29"/>
        <v>FT- ICICI PRUDENTIAL MUTUAL FUND RED A/C - RED  - ESG- 6730672</v>
      </c>
      <c r="L329" s="7">
        <f t="shared" si="30"/>
        <v>0</v>
      </c>
      <c r="M329" s="7">
        <f t="shared" si="31"/>
        <v>4343.9399999999996</v>
      </c>
      <c r="N329" s="7">
        <f t="shared" si="32"/>
        <v>61626.78</v>
      </c>
      <c r="O329" s="7" t="str">
        <f t="shared" si="33"/>
        <v>HDFC 5930</v>
      </c>
    </row>
    <row r="330" spans="1:15" x14ac:dyDescent="0.25">
      <c r="A330" s="1">
        <v>45121</v>
      </c>
      <c r="B330" t="s">
        <v>480</v>
      </c>
      <c r="C330" s="1">
        <v>45121</v>
      </c>
      <c r="D330" s="2">
        <v>3000</v>
      </c>
      <c r="E330" s="2">
        <v>0</v>
      </c>
      <c r="F330" s="2">
        <v>58626.78</v>
      </c>
      <c r="G330" t="s">
        <v>719</v>
      </c>
      <c r="H330" s="7">
        <f t="shared" si="34"/>
        <v>0</v>
      </c>
      <c r="I330" s="1">
        <f t="shared" si="28"/>
        <v>45121</v>
      </c>
      <c r="J330" s="1" t="str">
        <f t="shared" si="29"/>
        <v>NET PAYIN TO BSE MF A/C -57500000389146- FROM A/C -01671000085930- UCC -347707-57500000389146</v>
      </c>
      <c r="L330" s="7">
        <f t="shared" si="30"/>
        <v>3000</v>
      </c>
      <c r="M330" s="7">
        <f t="shared" si="31"/>
        <v>0</v>
      </c>
      <c r="N330" s="7">
        <f t="shared" si="32"/>
        <v>58626.78</v>
      </c>
      <c r="O330" s="7" t="str">
        <f t="shared" si="33"/>
        <v>HDFC 5930</v>
      </c>
    </row>
    <row r="331" spans="1:15" x14ac:dyDescent="0.25">
      <c r="A331" s="1">
        <v>45121</v>
      </c>
      <c r="B331" t="s">
        <v>473</v>
      </c>
      <c r="C331" s="1">
        <v>45121</v>
      </c>
      <c r="D331" s="2">
        <v>0</v>
      </c>
      <c r="E331" s="2">
        <v>7555.3</v>
      </c>
      <c r="F331" s="2">
        <v>66182.080000000002</v>
      </c>
      <c r="G331" t="s">
        <v>719</v>
      </c>
      <c r="H331" s="7">
        <f t="shared" si="34"/>
        <v>0</v>
      </c>
      <c r="I331" s="1">
        <f t="shared" si="28"/>
        <v>45121</v>
      </c>
      <c r="J331" s="1" t="str">
        <f t="shared" si="29"/>
        <v>NET PO FROM HSL A/C 347707-00602340029392</v>
      </c>
      <c r="L331" s="7">
        <f t="shared" si="30"/>
        <v>0</v>
      </c>
      <c r="M331" s="7">
        <f t="shared" si="31"/>
        <v>7555.3</v>
      </c>
      <c r="N331" s="7">
        <f t="shared" si="32"/>
        <v>66182.080000000002</v>
      </c>
      <c r="O331" s="7" t="str">
        <f t="shared" si="33"/>
        <v>HDFC 5930</v>
      </c>
    </row>
    <row r="332" spans="1:15" x14ac:dyDescent="0.25">
      <c r="A332" s="1">
        <v>45121</v>
      </c>
      <c r="B332" t="s">
        <v>472</v>
      </c>
      <c r="C332" s="1">
        <v>45121</v>
      </c>
      <c r="D332" s="2">
        <v>11789.55</v>
      </c>
      <c r="E332" s="2">
        <v>0</v>
      </c>
      <c r="F332" s="2">
        <v>54392.53</v>
      </c>
      <c r="G332" t="s">
        <v>719</v>
      </c>
      <c r="H332" s="7">
        <f t="shared" si="34"/>
        <v>0</v>
      </c>
      <c r="I332" s="1">
        <f t="shared" si="28"/>
        <v>45121</v>
      </c>
      <c r="J332" s="1" t="str">
        <f t="shared" si="29"/>
        <v>NET PI TO HSL SEC A/C 347707-00602340029392</v>
      </c>
      <c r="L332" s="7">
        <f t="shared" si="30"/>
        <v>11789.55</v>
      </c>
      <c r="M332" s="7">
        <f t="shared" si="31"/>
        <v>0</v>
      </c>
      <c r="N332" s="7">
        <f t="shared" si="32"/>
        <v>54392.53</v>
      </c>
      <c r="O332" s="7" t="str">
        <f t="shared" si="33"/>
        <v>HDFC 5930</v>
      </c>
    </row>
    <row r="333" spans="1:15" x14ac:dyDescent="0.25">
      <c r="A333" s="1">
        <v>45122</v>
      </c>
      <c r="B333" t="s">
        <v>472</v>
      </c>
      <c r="C333" s="1">
        <v>45122</v>
      </c>
      <c r="D333" s="2">
        <v>14406.5</v>
      </c>
      <c r="E333" s="2">
        <v>0</v>
      </c>
      <c r="F333" s="2">
        <v>39986.03</v>
      </c>
      <c r="G333" t="s">
        <v>719</v>
      </c>
      <c r="H333" s="7">
        <f t="shared" si="34"/>
        <v>0</v>
      </c>
      <c r="I333" s="1">
        <f t="shared" si="28"/>
        <v>45122</v>
      </c>
      <c r="J333" s="1" t="str">
        <f t="shared" si="29"/>
        <v>NET PI TO HSL SEC A/C 347707-00602340029392</v>
      </c>
      <c r="L333" s="7">
        <f t="shared" si="30"/>
        <v>14406.5</v>
      </c>
      <c r="M333" s="7">
        <f t="shared" si="31"/>
        <v>0</v>
      </c>
      <c r="N333" s="7">
        <f t="shared" si="32"/>
        <v>39986.03</v>
      </c>
      <c r="O333" s="7" t="str">
        <f t="shared" si="33"/>
        <v>HDFC 5930</v>
      </c>
    </row>
    <row r="334" spans="1:15" x14ac:dyDescent="0.25">
      <c r="A334" s="1">
        <v>45122</v>
      </c>
      <c r="B334" t="s">
        <v>473</v>
      </c>
      <c r="C334" s="1">
        <v>45121</v>
      </c>
      <c r="D334" s="2">
        <v>0</v>
      </c>
      <c r="E334" s="2">
        <v>17397.509999999998</v>
      </c>
      <c r="F334" s="2">
        <v>57383.54</v>
      </c>
      <c r="G334" t="s">
        <v>719</v>
      </c>
      <c r="H334" s="7">
        <f t="shared" si="34"/>
        <v>0</v>
      </c>
      <c r="I334" s="1">
        <f t="shared" si="28"/>
        <v>45122</v>
      </c>
      <c r="J334" s="1" t="str">
        <f t="shared" si="29"/>
        <v>NET PO FROM HSL A/C 347707-00602340029392</v>
      </c>
      <c r="L334" s="7">
        <f t="shared" si="30"/>
        <v>0</v>
      </c>
      <c r="M334" s="7">
        <f t="shared" si="31"/>
        <v>17397.509999999998</v>
      </c>
      <c r="N334" s="7">
        <f t="shared" si="32"/>
        <v>57383.54</v>
      </c>
      <c r="O334" s="7" t="str">
        <f t="shared" si="33"/>
        <v>HDFC 5930</v>
      </c>
    </row>
    <row r="335" spans="1:15" x14ac:dyDescent="0.25">
      <c r="A335" s="1">
        <v>45122</v>
      </c>
      <c r="B335" t="s">
        <v>554</v>
      </c>
      <c r="C335" s="1">
        <v>45122</v>
      </c>
      <c r="D335" s="2">
        <v>1500</v>
      </c>
      <c r="E335" s="2">
        <v>0</v>
      </c>
      <c r="F335" s="2">
        <v>55883.54</v>
      </c>
      <c r="G335" t="s">
        <v>719</v>
      </c>
      <c r="H335" s="7">
        <f t="shared" si="34"/>
        <v>0</v>
      </c>
      <c r="I335" s="1">
        <f t="shared" si="28"/>
        <v>45122</v>
      </c>
      <c r="J335" s="1" t="str">
        <f t="shared" si="29"/>
        <v>ACH D- TP ACH INVESTOCAFE-1197453781</v>
      </c>
      <c r="L335" s="7">
        <f t="shared" si="30"/>
        <v>1500</v>
      </c>
      <c r="M335" s="7">
        <f t="shared" si="31"/>
        <v>0</v>
      </c>
      <c r="N335" s="7">
        <f t="shared" si="32"/>
        <v>55883.54</v>
      </c>
      <c r="O335" s="7" t="str">
        <f t="shared" si="33"/>
        <v>HDFC 5930</v>
      </c>
    </row>
    <row r="336" spans="1:15" x14ac:dyDescent="0.25">
      <c r="A336" s="1">
        <v>45122</v>
      </c>
      <c r="B336" t="s">
        <v>555</v>
      </c>
      <c r="C336" s="1">
        <v>45122</v>
      </c>
      <c r="D336" s="2">
        <v>2000</v>
      </c>
      <c r="E336" s="2">
        <v>0</v>
      </c>
      <c r="F336" s="2">
        <v>53883.54</v>
      </c>
      <c r="G336" t="s">
        <v>719</v>
      </c>
      <c r="H336" s="7">
        <f t="shared" si="34"/>
        <v>0</v>
      </c>
      <c r="I336" s="1">
        <f t="shared" si="28"/>
        <v>45122</v>
      </c>
      <c r="J336" s="1" t="str">
        <f t="shared" si="29"/>
        <v>ACH D- TP ACH INVESTOCAFE-1197453782</v>
      </c>
      <c r="L336" s="7">
        <f t="shared" si="30"/>
        <v>2000</v>
      </c>
      <c r="M336" s="7">
        <f t="shared" si="31"/>
        <v>0</v>
      </c>
      <c r="N336" s="7">
        <f t="shared" si="32"/>
        <v>53883.54</v>
      </c>
      <c r="O336" s="7" t="str">
        <f t="shared" si="33"/>
        <v>HDFC 5930</v>
      </c>
    </row>
    <row r="337" spans="1:15" x14ac:dyDescent="0.25">
      <c r="A337" s="1">
        <v>45124</v>
      </c>
      <c r="B337" t="s">
        <v>472</v>
      </c>
      <c r="C337" s="1">
        <v>45124</v>
      </c>
      <c r="D337" s="2">
        <v>665.67</v>
      </c>
      <c r="E337" s="2">
        <v>0</v>
      </c>
      <c r="F337" s="2">
        <v>53217.87</v>
      </c>
      <c r="G337" t="s">
        <v>719</v>
      </c>
      <c r="H337" s="7">
        <f t="shared" si="34"/>
        <v>0</v>
      </c>
      <c r="I337" s="1">
        <f t="shared" si="28"/>
        <v>45124</v>
      </c>
      <c r="J337" s="1" t="str">
        <f t="shared" si="29"/>
        <v>NET PI TO HSL SEC A/C 347707-00602340029392</v>
      </c>
      <c r="L337" s="7">
        <f t="shared" si="30"/>
        <v>665.67</v>
      </c>
      <c r="M337" s="7">
        <f t="shared" si="31"/>
        <v>0</v>
      </c>
      <c r="N337" s="7">
        <f t="shared" si="32"/>
        <v>53217.87</v>
      </c>
      <c r="O337" s="7" t="str">
        <f t="shared" si="33"/>
        <v>HDFC 5930</v>
      </c>
    </row>
    <row r="338" spans="1:15" x14ac:dyDescent="0.25">
      <c r="A338" s="1">
        <v>45124</v>
      </c>
      <c r="B338" t="s">
        <v>556</v>
      </c>
      <c r="C338" s="1">
        <v>45124</v>
      </c>
      <c r="D338" s="2">
        <v>2000</v>
      </c>
      <c r="E338" s="2">
        <v>0</v>
      </c>
      <c r="F338" s="2">
        <v>51217.87</v>
      </c>
      <c r="G338" t="s">
        <v>719</v>
      </c>
      <c r="H338" s="7">
        <f t="shared" si="34"/>
        <v>0</v>
      </c>
      <c r="I338" s="1">
        <f t="shared" ref="I338:I401" si="35">A338</f>
        <v>45124</v>
      </c>
      <c r="J338" s="1" t="str">
        <f t="shared" ref="J338:J401" si="36">B338</f>
        <v>ACH D- TP ACH INVESTOCAFE-1197807472</v>
      </c>
      <c r="L338" s="7">
        <f t="shared" ref="L338:L401" si="37">D338</f>
        <v>2000</v>
      </c>
      <c r="M338" s="7">
        <f t="shared" ref="M338:M401" si="38">E338</f>
        <v>0</v>
      </c>
      <c r="N338" s="7">
        <f t="shared" ref="N338:N401" si="39">F338</f>
        <v>51217.87</v>
      </c>
      <c r="O338" s="7" t="str">
        <f t="shared" ref="O338:O401" si="40">G338</f>
        <v>HDFC 5930</v>
      </c>
    </row>
    <row r="339" spans="1:15" x14ac:dyDescent="0.25">
      <c r="A339" s="1">
        <v>45124</v>
      </c>
      <c r="B339" t="s">
        <v>473</v>
      </c>
      <c r="C339" s="1">
        <v>45124</v>
      </c>
      <c r="D339" s="2">
        <v>0</v>
      </c>
      <c r="E339" s="2">
        <v>10026.1</v>
      </c>
      <c r="F339" s="2">
        <v>61243.97</v>
      </c>
      <c r="G339" t="s">
        <v>719</v>
      </c>
      <c r="H339" s="7">
        <f t="shared" ref="H339:H402" si="41">F338-D339+E339-F339</f>
        <v>0</v>
      </c>
      <c r="I339" s="1">
        <f t="shared" si="35"/>
        <v>45124</v>
      </c>
      <c r="J339" s="1" t="str">
        <f t="shared" si="36"/>
        <v>NET PO FROM HSL A/C 347707-00602340029392</v>
      </c>
      <c r="L339" s="7">
        <f t="shared" si="37"/>
        <v>0</v>
      </c>
      <c r="M339" s="7">
        <f t="shared" si="38"/>
        <v>10026.1</v>
      </c>
      <c r="N339" s="7">
        <f t="shared" si="39"/>
        <v>61243.97</v>
      </c>
      <c r="O339" s="7" t="str">
        <f t="shared" si="40"/>
        <v>HDFC 5930</v>
      </c>
    </row>
    <row r="340" spans="1:15" x14ac:dyDescent="0.25">
      <c r="A340" s="1">
        <v>45124</v>
      </c>
      <c r="B340" t="s">
        <v>473</v>
      </c>
      <c r="C340" s="1">
        <v>45124</v>
      </c>
      <c r="D340" s="2">
        <v>0</v>
      </c>
      <c r="E340" s="2">
        <v>2655</v>
      </c>
      <c r="F340" s="2">
        <v>63898.97</v>
      </c>
      <c r="G340" t="s">
        <v>719</v>
      </c>
      <c r="H340" s="7">
        <f t="shared" si="41"/>
        <v>0</v>
      </c>
      <c r="I340" s="1">
        <f t="shared" si="35"/>
        <v>45124</v>
      </c>
      <c r="J340" s="1" t="str">
        <f t="shared" si="36"/>
        <v>NET PO FROM HSL A/C 347707-00602340029392</v>
      </c>
      <c r="L340" s="7">
        <f t="shared" si="37"/>
        <v>0</v>
      </c>
      <c r="M340" s="7">
        <f t="shared" si="38"/>
        <v>2655</v>
      </c>
      <c r="N340" s="7">
        <f t="shared" si="39"/>
        <v>63898.97</v>
      </c>
      <c r="O340" s="7" t="str">
        <f t="shared" si="40"/>
        <v>HDFC 5930</v>
      </c>
    </row>
    <row r="341" spans="1:15" x14ac:dyDescent="0.25">
      <c r="A341" s="1">
        <v>45125</v>
      </c>
      <c r="B341" t="s">
        <v>557</v>
      </c>
      <c r="C341" s="1">
        <v>45125</v>
      </c>
      <c r="D341" s="2">
        <v>1038.4000000000001</v>
      </c>
      <c r="E341" s="2">
        <v>0</v>
      </c>
      <c r="F341" s="2">
        <v>62860.57</v>
      </c>
      <c r="G341" t="s">
        <v>719</v>
      </c>
      <c r="H341" s="7">
        <f t="shared" si="41"/>
        <v>0</v>
      </c>
      <c r="I341" s="1">
        <f t="shared" si="35"/>
        <v>45125</v>
      </c>
      <c r="J341" s="1" t="str">
        <f t="shared" si="36"/>
        <v>DEPOSITORY CHARGES JUN23 - 40227714</v>
      </c>
      <c r="L341" s="7">
        <f t="shared" si="37"/>
        <v>1038.4000000000001</v>
      </c>
      <c r="M341" s="7">
        <f t="shared" si="38"/>
        <v>0</v>
      </c>
      <c r="N341" s="7">
        <f t="shared" si="39"/>
        <v>62860.57</v>
      </c>
      <c r="O341" s="7" t="str">
        <f t="shared" si="40"/>
        <v>HDFC 5930</v>
      </c>
    </row>
    <row r="342" spans="1:15" x14ac:dyDescent="0.25">
      <c r="A342" s="1">
        <v>45125</v>
      </c>
      <c r="B342" t="s">
        <v>558</v>
      </c>
      <c r="C342" s="1">
        <v>45125</v>
      </c>
      <c r="D342" s="2">
        <v>14.64</v>
      </c>
      <c r="E342" s="2">
        <v>0</v>
      </c>
      <c r="F342" s="2">
        <v>62845.93</v>
      </c>
      <c r="G342" t="s">
        <v>719</v>
      </c>
      <c r="H342" s="7">
        <f t="shared" si="41"/>
        <v>0</v>
      </c>
      <c r="I342" s="1">
        <f t="shared" si="35"/>
        <v>45125</v>
      </c>
      <c r="J342" s="1" t="str">
        <f t="shared" si="36"/>
        <v>APRJUN23 INSTAALERTCHG 62 SMS 220523-MIR2419960408697</v>
      </c>
      <c r="L342" s="7">
        <f t="shared" si="37"/>
        <v>14.64</v>
      </c>
      <c r="M342" s="7">
        <f t="shared" si="38"/>
        <v>0</v>
      </c>
      <c r="N342" s="7">
        <f t="shared" si="39"/>
        <v>62845.93</v>
      </c>
      <c r="O342" s="7" t="str">
        <f t="shared" si="40"/>
        <v>HDFC 5930</v>
      </c>
    </row>
    <row r="343" spans="1:15" x14ac:dyDescent="0.25">
      <c r="A343" s="1">
        <v>45125</v>
      </c>
      <c r="B343" t="s">
        <v>472</v>
      </c>
      <c r="C343" s="1">
        <v>45125</v>
      </c>
      <c r="D343" s="2">
        <v>9829.5499999999993</v>
      </c>
      <c r="E343" s="2">
        <v>0</v>
      </c>
      <c r="F343" s="2">
        <v>53016.38</v>
      </c>
      <c r="G343" t="s">
        <v>719</v>
      </c>
      <c r="H343" s="7">
        <f t="shared" si="41"/>
        <v>0</v>
      </c>
      <c r="I343" s="1">
        <f t="shared" si="35"/>
        <v>45125</v>
      </c>
      <c r="J343" s="1" t="str">
        <f t="shared" si="36"/>
        <v>NET PI TO HSL SEC A/C 347707-00602340029392</v>
      </c>
      <c r="L343" s="7">
        <f t="shared" si="37"/>
        <v>9829.5499999999993</v>
      </c>
      <c r="M343" s="7">
        <f t="shared" si="38"/>
        <v>0</v>
      </c>
      <c r="N343" s="7">
        <f t="shared" si="39"/>
        <v>53016.38</v>
      </c>
      <c r="O343" s="7" t="str">
        <f t="shared" si="40"/>
        <v>HDFC 5930</v>
      </c>
    </row>
    <row r="344" spans="1:15" x14ac:dyDescent="0.25">
      <c r="A344" s="1">
        <v>45125</v>
      </c>
      <c r="B344" t="s">
        <v>559</v>
      </c>
      <c r="C344" s="1">
        <v>45125</v>
      </c>
      <c r="D344" s="2">
        <v>0</v>
      </c>
      <c r="E344" s="2">
        <v>1196.5</v>
      </c>
      <c r="F344" s="2">
        <v>54212.88</v>
      </c>
      <c r="G344" t="s">
        <v>719</v>
      </c>
      <c r="H344" s="7">
        <f t="shared" si="41"/>
        <v>0</v>
      </c>
      <c r="I344" s="1">
        <f t="shared" si="35"/>
        <v>45125</v>
      </c>
      <c r="J344" s="1" t="str">
        <f t="shared" si="36"/>
        <v>00012050001396HLY INT-IN0020210236</v>
      </c>
      <c r="L344" s="7">
        <f t="shared" si="37"/>
        <v>0</v>
      </c>
      <c r="M344" s="7">
        <f t="shared" si="38"/>
        <v>1196.5</v>
      </c>
      <c r="N344" s="7">
        <f t="shared" si="39"/>
        <v>54212.88</v>
      </c>
      <c r="O344" s="7" t="str">
        <f t="shared" si="40"/>
        <v>HDFC 5930</v>
      </c>
    </row>
    <row r="345" spans="1:15" x14ac:dyDescent="0.25">
      <c r="A345" s="1">
        <v>45126</v>
      </c>
      <c r="B345" t="s">
        <v>473</v>
      </c>
      <c r="C345" s="1">
        <v>45125</v>
      </c>
      <c r="D345" s="2">
        <v>0</v>
      </c>
      <c r="E345" s="2">
        <v>3572.99</v>
      </c>
      <c r="F345" s="2">
        <v>57785.87</v>
      </c>
      <c r="G345" t="s">
        <v>719</v>
      </c>
      <c r="H345" s="7">
        <f t="shared" si="41"/>
        <v>0</v>
      </c>
      <c r="I345" s="1">
        <f t="shared" si="35"/>
        <v>45126</v>
      </c>
      <c r="J345" s="1" t="str">
        <f t="shared" si="36"/>
        <v>NET PO FROM HSL A/C 347707-00602340029392</v>
      </c>
      <c r="L345" s="7">
        <f t="shared" si="37"/>
        <v>0</v>
      </c>
      <c r="M345" s="7">
        <f t="shared" si="38"/>
        <v>3572.99</v>
      </c>
      <c r="N345" s="7">
        <f t="shared" si="39"/>
        <v>57785.87</v>
      </c>
      <c r="O345" s="7" t="str">
        <f t="shared" si="40"/>
        <v>HDFC 5930</v>
      </c>
    </row>
    <row r="346" spans="1:15" x14ac:dyDescent="0.25">
      <c r="A346" s="1">
        <v>45126</v>
      </c>
      <c r="B346" t="s">
        <v>472</v>
      </c>
      <c r="C346" s="1">
        <v>45126</v>
      </c>
      <c r="D346" s="2">
        <v>237.72</v>
      </c>
      <c r="E346" s="2">
        <v>0</v>
      </c>
      <c r="F346" s="2">
        <v>57548.15</v>
      </c>
      <c r="G346" t="s">
        <v>719</v>
      </c>
      <c r="H346" s="7">
        <f t="shared" si="41"/>
        <v>0</v>
      </c>
      <c r="I346" s="1">
        <f t="shared" si="35"/>
        <v>45126</v>
      </c>
      <c r="J346" s="1" t="str">
        <f t="shared" si="36"/>
        <v>NET PI TO HSL SEC A/C 347707-00602340029392</v>
      </c>
      <c r="L346" s="7">
        <f t="shared" si="37"/>
        <v>237.72</v>
      </c>
      <c r="M346" s="7">
        <f t="shared" si="38"/>
        <v>0</v>
      </c>
      <c r="N346" s="7">
        <f t="shared" si="39"/>
        <v>57548.15</v>
      </c>
      <c r="O346" s="7" t="str">
        <f t="shared" si="40"/>
        <v>HDFC 5930</v>
      </c>
    </row>
    <row r="347" spans="1:15" x14ac:dyDescent="0.25">
      <c r="A347" s="1">
        <v>45126</v>
      </c>
      <c r="B347" t="s">
        <v>473</v>
      </c>
      <c r="C347" s="1">
        <v>45126</v>
      </c>
      <c r="D347" s="2">
        <v>0</v>
      </c>
      <c r="E347" s="2">
        <v>153.26</v>
      </c>
      <c r="F347" s="2">
        <v>57701.41</v>
      </c>
      <c r="G347" t="s">
        <v>719</v>
      </c>
      <c r="H347" s="7">
        <f t="shared" si="41"/>
        <v>0</v>
      </c>
      <c r="I347" s="1">
        <f t="shared" si="35"/>
        <v>45126</v>
      </c>
      <c r="J347" s="1" t="str">
        <f t="shared" si="36"/>
        <v>NET PO FROM HSL A/C 347707-00602340029392</v>
      </c>
      <c r="L347" s="7">
        <f t="shared" si="37"/>
        <v>0</v>
      </c>
      <c r="M347" s="7">
        <f t="shared" si="38"/>
        <v>153.26</v>
      </c>
      <c r="N347" s="7">
        <f t="shared" si="39"/>
        <v>57701.41</v>
      </c>
      <c r="O347" s="7" t="str">
        <f t="shared" si="40"/>
        <v>HDFC 5930</v>
      </c>
    </row>
    <row r="348" spans="1:15" x14ac:dyDescent="0.25">
      <c r="A348" s="1">
        <v>45127</v>
      </c>
      <c r="B348" t="s">
        <v>480</v>
      </c>
      <c r="C348" s="1">
        <v>45127</v>
      </c>
      <c r="D348" s="2">
        <v>5000</v>
      </c>
      <c r="E348" s="2">
        <v>0</v>
      </c>
      <c r="F348" s="2">
        <v>52701.41</v>
      </c>
      <c r="G348" t="s">
        <v>719</v>
      </c>
      <c r="H348" s="7">
        <f t="shared" si="41"/>
        <v>0</v>
      </c>
      <c r="I348" s="1">
        <f t="shared" si="35"/>
        <v>45127</v>
      </c>
      <c r="J348" s="1" t="str">
        <f t="shared" si="36"/>
        <v>NET PAYIN TO BSE MF A/C -57500000389146- FROM A/C -01671000085930- UCC -347707-57500000389146</v>
      </c>
      <c r="L348" s="7">
        <f t="shared" si="37"/>
        <v>5000</v>
      </c>
      <c r="M348" s="7">
        <f t="shared" si="38"/>
        <v>0</v>
      </c>
      <c r="N348" s="7">
        <f t="shared" si="39"/>
        <v>52701.41</v>
      </c>
      <c r="O348" s="7" t="str">
        <f t="shared" si="40"/>
        <v>HDFC 5930</v>
      </c>
    </row>
    <row r="349" spans="1:15" x14ac:dyDescent="0.25">
      <c r="A349" s="1">
        <v>45127</v>
      </c>
      <c r="B349" t="s">
        <v>480</v>
      </c>
      <c r="C349" s="1">
        <v>45127</v>
      </c>
      <c r="D349" s="2">
        <v>5000</v>
      </c>
      <c r="E349" s="2">
        <v>0</v>
      </c>
      <c r="F349" s="2">
        <v>47701.41</v>
      </c>
      <c r="G349" t="s">
        <v>719</v>
      </c>
      <c r="H349" s="7">
        <f t="shared" si="41"/>
        <v>0</v>
      </c>
      <c r="I349" s="1">
        <f t="shared" si="35"/>
        <v>45127</v>
      </c>
      <c r="J349" s="1" t="str">
        <f t="shared" si="36"/>
        <v>NET PAYIN TO BSE MF A/C -57500000389146- FROM A/C -01671000085930- UCC -347707-57500000389146</v>
      </c>
      <c r="L349" s="7">
        <f t="shared" si="37"/>
        <v>5000</v>
      </c>
      <c r="M349" s="7">
        <f t="shared" si="38"/>
        <v>0</v>
      </c>
      <c r="N349" s="7">
        <f t="shared" si="39"/>
        <v>47701.41</v>
      </c>
      <c r="O349" s="7" t="str">
        <f t="shared" si="40"/>
        <v>HDFC 5930</v>
      </c>
    </row>
    <row r="350" spans="1:15" x14ac:dyDescent="0.25">
      <c r="A350" s="1">
        <v>45127</v>
      </c>
      <c r="B350" t="s">
        <v>472</v>
      </c>
      <c r="C350" s="1">
        <v>45127</v>
      </c>
      <c r="D350" s="2">
        <v>237.8</v>
      </c>
      <c r="E350" s="2">
        <v>0</v>
      </c>
      <c r="F350" s="2">
        <v>47463.61</v>
      </c>
      <c r="G350" t="s">
        <v>719</v>
      </c>
      <c r="H350" s="7">
        <f t="shared" si="41"/>
        <v>0</v>
      </c>
      <c r="I350" s="1">
        <f t="shared" si="35"/>
        <v>45127</v>
      </c>
      <c r="J350" s="1" t="str">
        <f t="shared" si="36"/>
        <v>NET PI TO HSL SEC A/C 347707-00602340029392</v>
      </c>
      <c r="L350" s="7">
        <f t="shared" si="37"/>
        <v>237.8</v>
      </c>
      <c r="M350" s="7">
        <f t="shared" si="38"/>
        <v>0</v>
      </c>
      <c r="N350" s="7">
        <f t="shared" si="39"/>
        <v>47463.61</v>
      </c>
      <c r="O350" s="7" t="str">
        <f t="shared" si="40"/>
        <v>HDFC 5930</v>
      </c>
    </row>
    <row r="351" spans="1:15" x14ac:dyDescent="0.25">
      <c r="A351" s="1">
        <v>45127</v>
      </c>
      <c r="B351" t="s">
        <v>560</v>
      </c>
      <c r="C351" s="1">
        <v>45127</v>
      </c>
      <c r="D351" s="2">
        <v>0</v>
      </c>
      <c r="E351" s="2">
        <v>300.44</v>
      </c>
      <c r="F351" s="2">
        <v>47764.05</v>
      </c>
      <c r="G351" t="s">
        <v>719</v>
      </c>
      <c r="H351" s="7">
        <f t="shared" si="41"/>
        <v>0</v>
      </c>
      <c r="I351" s="1">
        <f t="shared" si="35"/>
        <v>45127</v>
      </c>
      <c r="J351" s="1" t="str">
        <f t="shared" si="36"/>
        <v>00012050001396HLY INT-IN0020210111</v>
      </c>
      <c r="L351" s="7">
        <f t="shared" si="37"/>
        <v>0</v>
      </c>
      <c r="M351" s="7">
        <f t="shared" si="38"/>
        <v>300.44</v>
      </c>
      <c r="N351" s="7">
        <f t="shared" si="39"/>
        <v>47764.05</v>
      </c>
      <c r="O351" s="7" t="str">
        <f t="shared" si="40"/>
        <v>HDFC 5930</v>
      </c>
    </row>
    <row r="352" spans="1:15" x14ac:dyDescent="0.25">
      <c r="A352" s="1">
        <v>45127</v>
      </c>
      <c r="B352" t="s">
        <v>472</v>
      </c>
      <c r="C352" s="1">
        <v>45127</v>
      </c>
      <c r="D352" s="2">
        <v>17903.91</v>
      </c>
      <c r="E352" s="2">
        <v>0</v>
      </c>
      <c r="F352" s="2">
        <v>29860.14</v>
      </c>
      <c r="G352" t="s">
        <v>719</v>
      </c>
      <c r="H352" s="7">
        <f t="shared" si="41"/>
        <v>0</v>
      </c>
      <c r="I352" s="1">
        <f t="shared" si="35"/>
        <v>45127</v>
      </c>
      <c r="J352" s="1" t="str">
        <f t="shared" si="36"/>
        <v>NET PI TO HSL SEC A/C 347707-00602340029392</v>
      </c>
      <c r="L352" s="7">
        <f t="shared" si="37"/>
        <v>17903.91</v>
      </c>
      <c r="M352" s="7">
        <f t="shared" si="38"/>
        <v>0</v>
      </c>
      <c r="N352" s="7">
        <f t="shared" si="39"/>
        <v>29860.14</v>
      </c>
      <c r="O352" s="7" t="str">
        <f t="shared" si="40"/>
        <v>HDFC 5930</v>
      </c>
    </row>
    <row r="353" spans="1:15" x14ac:dyDescent="0.25">
      <c r="A353" s="1">
        <v>45128</v>
      </c>
      <c r="B353" t="s">
        <v>480</v>
      </c>
      <c r="C353" s="1">
        <v>45128</v>
      </c>
      <c r="D353" s="2">
        <v>3000</v>
      </c>
      <c r="E353" s="2">
        <v>0</v>
      </c>
      <c r="F353" s="2">
        <v>26860.14</v>
      </c>
      <c r="G353" t="s">
        <v>719</v>
      </c>
      <c r="H353" s="7">
        <f t="shared" si="41"/>
        <v>0</v>
      </c>
      <c r="I353" s="1">
        <f t="shared" si="35"/>
        <v>45128</v>
      </c>
      <c r="J353" s="1" t="str">
        <f t="shared" si="36"/>
        <v>NET PAYIN TO BSE MF A/C -57500000389146- FROM A/C -01671000085930- UCC -347707-57500000389146</v>
      </c>
      <c r="L353" s="7">
        <f t="shared" si="37"/>
        <v>3000</v>
      </c>
      <c r="M353" s="7">
        <f t="shared" si="38"/>
        <v>0</v>
      </c>
      <c r="N353" s="7">
        <f t="shared" si="39"/>
        <v>26860.14</v>
      </c>
      <c r="O353" s="7" t="str">
        <f t="shared" si="40"/>
        <v>HDFC 5930</v>
      </c>
    </row>
    <row r="354" spans="1:15" x14ac:dyDescent="0.25">
      <c r="A354" s="1">
        <v>45128</v>
      </c>
      <c r="B354" t="s">
        <v>472</v>
      </c>
      <c r="C354" s="1">
        <v>45128</v>
      </c>
      <c r="D354" s="2">
        <v>228.97</v>
      </c>
      <c r="E354" s="2">
        <v>0</v>
      </c>
      <c r="F354" s="2">
        <v>26631.17</v>
      </c>
      <c r="G354" t="s">
        <v>719</v>
      </c>
      <c r="H354" s="7">
        <f t="shared" si="41"/>
        <v>0</v>
      </c>
      <c r="I354" s="1">
        <f t="shared" si="35"/>
        <v>45128</v>
      </c>
      <c r="J354" s="1" t="str">
        <f t="shared" si="36"/>
        <v>NET PI TO HSL SEC A/C 347707-00602340029392</v>
      </c>
      <c r="L354" s="7">
        <f t="shared" si="37"/>
        <v>228.97</v>
      </c>
      <c r="M354" s="7">
        <f t="shared" si="38"/>
        <v>0</v>
      </c>
      <c r="N354" s="7">
        <f t="shared" si="39"/>
        <v>26631.17</v>
      </c>
      <c r="O354" s="7" t="str">
        <f t="shared" si="40"/>
        <v>HDFC 5930</v>
      </c>
    </row>
    <row r="355" spans="1:15" x14ac:dyDescent="0.25">
      <c r="A355" s="1">
        <v>45128</v>
      </c>
      <c r="B355" t="s">
        <v>561</v>
      </c>
      <c r="C355" s="1">
        <v>45128</v>
      </c>
      <c r="D355" s="2">
        <v>0</v>
      </c>
      <c r="E355" s="2">
        <v>400</v>
      </c>
      <c r="F355" s="2">
        <v>27031.17</v>
      </c>
      <c r="G355" t="s">
        <v>719</v>
      </c>
      <c r="H355" s="7">
        <f t="shared" si="41"/>
        <v>0</v>
      </c>
      <c r="I355" s="1">
        <f t="shared" si="35"/>
        <v>45128</v>
      </c>
      <c r="J355" s="1" t="str">
        <f t="shared" si="36"/>
        <v>ACH C- ALUFLUORIDE LIMITED-2652</v>
      </c>
      <c r="L355" s="7">
        <f t="shared" si="37"/>
        <v>0</v>
      </c>
      <c r="M355" s="7">
        <f t="shared" si="38"/>
        <v>400</v>
      </c>
      <c r="N355" s="7">
        <f t="shared" si="39"/>
        <v>27031.17</v>
      </c>
      <c r="O355" s="7" t="str">
        <f t="shared" si="40"/>
        <v>HDFC 5930</v>
      </c>
    </row>
    <row r="356" spans="1:15" x14ac:dyDescent="0.25">
      <c r="A356" s="1">
        <v>45128</v>
      </c>
      <c r="B356" t="s">
        <v>562</v>
      </c>
      <c r="C356" s="1">
        <v>45128</v>
      </c>
      <c r="D356" s="2">
        <v>0</v>
      </c>
      <c r="E356" s="2">
        <v>450</v>
      </c>
      <c r="F356" s="2">
        <v>27481.17</v>
      </c>
      <c r="G356" t="s">
        <v>719</v>
      </c>
      <c r="H356" s="7">
        <f t="shared" si="41"/>
        <v>0</v>
      </c>
      <c r="I356" s="1">
        <f t="shared" si="35"/>
        <v>45128</v>
      </c>
      <c r="J356" s="1" t="str">
        <f t="shared" si="36"/>
        <v>ACH C- AACL FNL2223 210723-92804</v>
      </c>
      <c r="L356" s="7">
        <f t="shared" si="37"/>
        <v>0</v>
      </c>
      <c r="M356" s="7">
        <f t="shared" si="38"/>
        <v>450</v>
      </c>
      <c r="N356" s="7">
        <f t="shared" si="39"/>
        <v>27481.17</v>
      </c>
      <c r="O356" s="7" t="str">
        <f t="shared" si="40"/>
        <v>HDFC 5930</v>
      </c>
    </row>
    <row r="357" spans="1:15" x14ac:dyDescent="0.25">
      <c r="A357" s="1">
        <v>45128</v>
      </c>
      <c r="B357" t="s">
        <v>563</v>
      </c>
      <c r="C357" s="1">
        <v>45128</v>
      </c>
      <c r="D357" s="2">
        <v>2000</v>
      </c>
      <c r="E357" s="2">
        <v>0</v>
      </c>
      <c r="F357" s="2">
        <v>25481.17</v>
      </c>
      <c r="G357" t="s">
        <v>719</v>
      </c>
      <c r="H357" s="7">
        <f t="shared" si="41"/>
        <v>0</v>
      </c>
      <c r="I357" s="1">
        <f t="shared" si="35"/>
        <v>45128</v>
      </c>
      <c r="J357" s="1" t="str">
        <f t="shared" si="36"/>
        <v>ACH D- TP ACH INVESTOCAFE-1199491938</v>
      </c>
      <c r="L357" s="7">
        <f t="shared" si="37"/>
        <v>2000</v>
      </c>
      <c r="M357" s="7">
        <f t="shared" si="38"/>
        <v>0</v>
      </c>
      <c r="N357" s="7">
        <f t="shared" si="39"/>
        <v>25481.17</v>
      </c>
      <c r="O357" s="7" t="str">
        <f t="shared" si="40"/>
        <v>HDFC 5930</v>
      </c>
    </row>
    <row r="358" spans="1:15" x14ac:dyDescent="0.25">
      <c r="A358" s="1">
        <v>45128</v>
      </c>
      <c r="B358" t="s">
        <v>564</v>
      </c>
      <c r="C358" s="1">
        <v>45128</v>
      </c>
      <c r="D358" s="2">
        <v>2500</v>
      </c>
      <c r="E358" s="2">
        <v>0</v>
      </c>
      <c r="F358" s="2">
        <v>22981.17</v>
      </c>
      <c r="G358" t="s">
        <v>719</v>
      </c>
      <c r="H358" s="7">
        <f t="shared" si="41"/>
        <v>0</v>
      </c>
      <c r="I358" s="1">
        <f t="shared" si="35"/>
        <v>45128</v>
      </c>
      <c r="J358" s="1" t="str">
        <f t="shared" si="36"/>
        <v>ACH D- TP ACH INVESTOCAFE-1199491939</v>
      </c>
      <c r="L358" s="7">
        <f t="shared" si="37"/>
        <v>2500</v>
      </c>
      <c r="M358" s="7">
        <f t="shared" si="38"/>
        <v>0</v>
      </c>
      <c r="N358" s="7">
        <f t="shared" si="39"/>
        <v>22981.17</v>
      </c>
      <c r="O358" s="7" t="str">
        <f t="shared" si="40"/>
        <v>HDFC 5930</v>
      </c>
    </row>
    <row r="359" spans="1:15" x14ac:dyDescent="0.25">
      <c r="A359" s="1">
        <v>45128</v>
      </c>
      <c r="B359" t="s">
        <v>472</v>
      </c>
      <c r="C359" s="1">
        <v>45128</v>
      </c>
      <c r="D359" s="2">
        <v>17459.419999999998</v>
      </c>
      <c r="E359" s="2">
        <v>0</v>
      </c>
      <c r="F359" s="2">
        <v>5521.75</v>
      </c>
      <c r="G359" t="s">
        <v>719</v>
      </c>
      <c r="H359" s="7">
        <f t="shared" si="41"/>
        <v>0</v>
      </c>
      <c r="I359" s="1">
        <f t="shared" si="35"/>
        <v>45128</v>
      </c>
      <c r="J359" s="1" t="str">
        <f t="shared" si="36"/>
        <v>NET PI TO HSL SEC A/C 347707-00602340029392</v>
      </c>
      <c r="L359" s="7">
        <f t="shared" si="37"/>
        <v>17459.419999999998</v>
      </c>
      <c r="M359" s="7">
        <f t="shared" si="38"/>
        <v>0</v>
      </c>
      <c r="N359" s="7">
        <f t="shared" si="39"/>
        <v>5521.75</v>
      </c>
      <c r="O359" s="7" t="str">
        <f t="shared" si="40"/>
        <v>HDFC 5930</v>
      </c>
    </row>
    <row r="360" spans="1:15" x14ac:dyDescent="0.25">
      <c r="A360" s="1">
        <v>45128</v>
      </c>
      <c r="B360" t="s">
        <v>472</v>
      </c>
      <c r="C360" s="1">
        <v>45128</v>
      </c>
      <c r="D360" s="2">
        <v>3237.25</v>
      </c>
      <c r="E360" s="2">
        <v>0</v>
      </c>
      <c r="F360" s="2">
        <v>2284.5</v>
      </c>
      <c r="G360" t="s">
        <v>719</v>
      </c>
      <c r="H360" s="7">
        <f t="shared" si="41"/>
        <v>0</v>
      </c>
      <c r="I360" s="1">
        <f t="shared" si="35"/>
        <v>45128</v>
      </c>
      <c r="J360" s="1" t="str">
        <f t="shared" si="36"/>
        <v>NET PI TO HSL SEC A/C 347707-00602340029392</v>
      </c>
      <c r="L360" s="7">
        <f t="shared" si="37"/>
        <v>3237.25</v>
      </c>
      <c r="M360" s="7">
        <f t="shared" si="38"/>
        <v>0</v>
      </c>
      <c r="N360" s="7">
        <f t="shared" si="39"/>
        <v>2284.5</v>
      </c>
      <c r="O360" s="7" t="str">
        <f t="shared" si="40"/>
        <v>HDFC 5930</v>
      </c>
    </row>
    <row r="361" spans="1:15" x14ac:dyDescent="0.25">
      <c r="A361" s="1">
        <v>45128</v>
      </c>
      <c r="B361" t="s">
        <v>565</v>
      </c>
      <c r="C361" s="1">
        <v>45128</v>
      </c>
      <c r="D361" s="2">
        <v>0</v>
      </c>
      <c r="E361" s="2">
        <v>15000</v>
      </c>
      <c r="F361" s="2">
        <v>17284.5</v>
      </c>
      <c r="G361" t="s">
        <v>719</v>
      </c>
      <c r="H361" s="7">
        <f t="shared" si="41"/>
        <v>0</v>
      </c>
      <c r="I361" s="1">
        <f t="shared" si="35"/>
        <v>45128</v>
      </c>
      <c r="J361" s="1" t="str">
        <f t="shared" si="36"/>
        <v>01671000060094-TPT-BORROW FRM SUNITA TO AKG-SUNITA GUPTA</v>
      </c>
      <c r="L361" s="7">
        <f t="shared" si="37"/>
        <v>0</v>
      </c>
      <c r="M361" s="7">
        <f t="shared" si="38"/>
        <v>15000</v>
      </c>
      <c r="N361" s="7">
        <f t="shared" si="39"/>
        <v>17284.5</v>
      </c>
      <c r="O361" s="7" t="str">
        <f t="shared" si="40"/>
        <v>HDFC 5930</v>
      </c>
    </row>
    <row r="362" spans="1:15" x14ac:dyDescent="0.25">
      <c r="A362" s="1">
        <v>45131</v>
      </c>
      <c r="B362" t="s">
        <v>566</v>
      </c>
      <c r="C362" s="1">
        <v>45131</v>
      </c>
      <c r="D362" s="2">
        <v>0</v>
      </c>
      <c r="E362" s="2">
        <v>2960</v>
      </c>
      <c r="F362" s="2">
        <v>20244.5</v>
      </c>
      <c r="G362" t="s">
        <v>719</v>
      </c>
      <c r="H362" s="7">
        <f t="shared" si="41"/>
        <v>0</v>
      </c>
      <c r="I362" s="1">
        <f t="shared" si="35"/>
        <v>45131</v>
      </c>
      <c r="J362" s="1" t="str">
        <f t="shared" si="36"/>
        <v>ACH C- LTIMINDTREE FNL22 23-223239</v>
      </c>
      <c r="L362" s="7">
        <f t="shared" si="37"/>
        <v>0</v>
      </c>
      <c r="M362" s="7">
        <f t="shared" si="38"/>
        <v>2960</v>
      </c>
      <c r="N362" s="7">
        <f t="shared" si="39"/>
        <v>20244.5</v>
      </c>
      <c r="O362" s="7" t="str">
        <f t="shared" si="40"/>
        <v>HDFC 5930</v>
      </c>
    </row>
    <row r="363" spans="1:15" x14ac:dyDescent="0.25">
      <c r="A363" s="1">
        <v>45131</v>
      </c>
      <c r="B363" t="s">
        <v>472</v>
      </c>
      <c r="C363" s="1">
        <v>45131</v>
      </c>
      <c r="D363" s="2">
        <v>760.56</v>
      </c>
      <c r="E363" s="2">
        <v>0</v>
      </c>
      <c r="F363" s="2">
        <v>19483.939999999999</v>
      </c>
      <c r="G363" t="s">
        <v>719</v>
      </c>
      <c r="H363" s="7">
        <f t="shared" si="41"/>
        <v>0</v>
      </c>
      <c r="I363" s="1">
        <f t="shared" si="35"/>
        <v>45131</v>
      </c>
      <c r="J363" s="1" t="str">
        <f t="shared" si="36"/>
        <v>NET PI TO HSL SEC A/C 347707-00602340029392</v>
      </c>
      <c r="L363" s="7">
        <f t="shared" si="37"/>
        <v>760.56</v>
      </c>
      <c r="M363" s="7">
        <f t="shared" si="38"/>
        <v>0</v>
      </c>
      <c r="N363" s="7">
        <f t="shared" si="39"/>
        <v>19483.939999999999</v>
      </c>
      <c r="O363" s="7" t="str">
        <f t="shared" si="40"/>
        <v>HDFC 5930</v>
      </c>
    </row>
    <row r="364" spans="1:15" x14ac:dyDescent="0.25">
      <c r="A364" s="1">
        <v>45131</v>
      </c>
      <c r="B364" t="s">
        <v>472</v>
      </c>
      <c r="C364" s="1">
        <v>45131</v>
      </c>
      <c r="D364" s="2">
        <v>6512.18</v>
      </c>
      <c r="E364" s="2">
        <v>0</v>
      </c>
      <c r="F364" s="2">
        <v>12971.76</v>
      </c>
      <c r="G364" t="s">
        <v>719</v>
      </c>
      <c r="H364" s="7">
        <f t="shared" si="41"/>
        <v>0</v>
      </c>
      <c r="I364" s="1">
        <f t="shared" si="35"/>
        <v>45131</v>
      </c>
      <c r="J364" s="1" t="str">
        <f t="shared" si="36"/>
        <v>NET PI TO HSL SEC A/C 347707-00602340029392</v>
      </c>
      <c r="L364" s="7">
        <f t="shared" si="37"/>
        <v>6512.18</v>
      </c>
      <c r="M364" s="7">
        <f t="shared" si="38"/>
        <v>0</v>
      </c>
      <c r="N364" s="7">
        <f t="shared" si="39"/>
        <v>12971.76</v>
      </c>
      <c r="O364" s="7" t="str">
        <f t="shared" si="40"/>
        <v>HDFC 5930</v>
      </c>
    </row>
    <row r="365" spans="1:15" x14ac:dyDescent="0.25">
      <c r="A365" s="1">
        <v>45132</v>
      </c>
      <c r="B365" t="s">
        <v>517</v>
      </c>
      <c r="C365" s="1">
        <v>45132</v>
      </c>
      <c r="D365" s="2">
        <v>3000</v>
      </c>
      <c r="E365" s="2">
        <v>0</v>
      </c>
      <c r="F365" s="2">
        <v>9971.76</v>
      </c>
      <c r="G365" t="s">
        <v>719</v>
      </c>
      <c r="H365" s="7">
        <f t="shared" si="41"/>
        <v>0</v>
      </c>
      <c r="I365" s="1">
        <f t="shared" si="35"/>
        <v>45132</v>
      </c>
      <c r="J365" s="1" t="str">
        <f t="shared" si="36"/>
        <v>O-MF-ICICI PRU-P-PSIG-000000101236</v>
      </c>
      <c r="L365" s="7">
        <f t="shared" si="37"/>
        <v>3000</v>
      </c>
      <c r="M365" s="7">
        <f t="shared" si="38"/>
        <v>0</v>
      </c>
      <c r="N365" s="7">
        <f t="shared" si="39"/>
        <v>9971.76</v>
      </c>
      <c r="O365" s="7" t="str">
        <f t="shared" si="40"/>
        <v>HDFC 5930</v>
      </c>
    </row>
    <row r="366" spans="1:15" x14ac:dyDescent="0.25">
      <c r="A366" s="1">
        <v>45132</v>
      </c>
      <c r="B366" t="s">
        <v>567</v>
      </c>
      <c r="C366" s="1">
        <v>45132</v>
      </c>
      <c r="D366" s="2">
        <v>0</v>
      </c>
      <c r="E366" s="2">
        <v>5000</v>
      </c>
      <c r="F366" s="2">
        <v>14971.76</v>
      </c>
      <c r="G366" t="s">
        <v>719</v>
      </c>
      <c r="H366" s="7">
        <f t="shared" si="41"/>
        <v>0</v>
      </c>
      <c r="I366" s="1">
        <f t="shared" si="35"/>
        <v>45132</v>
      </c>
      <c r="J366" s="1" t="str">
        <f t="shared" si="36"/>
        <v>UPI-AAYUSH KUMAR GUPTA-9970054014@YBL-HDFC0000456-357202875221-BORROW FROM AJAY</v>
      </c>
      <c r="L366" s="7">
        <f t="shared" si="37"/>
        <v>0</v>
      </c>
      <c r="M366" s="7">
        <f t="shared" si="38"/>
        <v>5000</v>
      </c>
      <c r="N366" s="7">
        <f t="shared" si="39"/>
        <v>14971.76</v>
      </c>
      <c r="O366" s="7" t="str">
        <f t="shared" si="40"/>
        <v>HDFC 5930</v>
      </c>
    </row>
    <row r="367" spans="1:15" x14ac:dyDescent="0.25">
      <c r="A367" s="1">
        <v>45132</v>
      </c>
      <c r="B367" t="s">
        <v>472</v>
      </c>
      <c r="C367" s="1">
        <v>45132</v>
      </c>
      <c r="D367" s="2">
        <v>250.31</v>
      </c>
      <c r="E367" s="2">
        <v>0</v>
      </c>
      <c r="F367" s="2">
        <v>14721.45</v>
      </c>
      <c r="G367" t="s">
        <v>719</v>
      </c>
      <c r="H367" s="7">
        <f t="shared" si="41"/>
        <v>0</v>
      </c>
      <c r="I367" s="1">
        <f t="shared" si="35"/>
        <v>45132</v>
      </c>
      <c r="J367" s="1" t="str">
        <f t="shared" si="36"/>
        <v>NET PI TO HSL SEC A/C 347707-00602340029392</v>
      </c>
      <c r="L367" s="7">
        <f t="shared" si="37"/>
        <v>250.31</v>
      </c>
      <c r="M367" s="7">
        <f t="shared" si="38"/>
        <v>0</v>
      </c>
      <c r="N367" s="7">
        <f t="shared" si="39"/>
        <v>14721.45</v>
      </c>
      <c r="O367" s="7" t="str">
        <f t="shared" si="40"/>
        <v>HDFC 5930</v>
      </c>
    </row>
    <row r="368" spans="1:15" x14ac:dyDescent="0.25">
      <c r="A368" s="1">
        <v>45132</v>
      </c>
      <c r="B368" t="s">
        <v>568</v>
      </c>
      <c r="C368" s="1">
        <v>45132</v>
      </c>
      <c r="D368" s="2">
        <v>0</v>
      </c>
      <c r="E368" s="2">
        <v>46483.94</v>
      </c>
      <c r="F368" s="2">
        <v>61205.39</v>
      </c>
      <c r="G368" t="s">
        <v>719</v>
      </c>
      <c r="H368" s="7">
        <f t="shared" si="41"/>
        <v>0</v>
      </c>
      <c r="I368" s="1">
        <f t="shared" si="35"/>
        <v>45132</v>
      </c>
      <c r="J368" s="1" t="str">
        <f t="shared" si="36"/>
        <v>NEFT CR-CITI0100000-HSBC MF-REDEMPTION PAYOUT ACCOUNT-AJAY KUMAR GUPTA-CITIN23397061233</v>
      </c>
      <c r="L368" s="7">
        <f t="shared" si="37"/>
        <v>0</v>
      </c>
      <c r="M368" s="7">
        <f t="shared" si="38"/>
        <v>46483.94</v>
      </c>
      <c r="N368" s="7">
        <f t="shared" si="39"/>
        <v>61205.39</v>
      </c>
      <c r="O368" s="7" t="str">
        <f t="shared" si="40"/>
        <v>HDFC 5930</v>
      </c>
    </row>
    <row r="369" spans="1:15" x14ac:dyDescent="0.25">
      <c r="A369" s="1">
        <v>45132</v>
      </c>
      <c r="B369" t="s">
        <v>569</v>
      </c>
      <c r="C369" s="1">
        <v>45132</v>
      </c>
      <c r="D369" s="2">
        <v>0</v>
      </c>
      <c r="E369" s="2">
        <v>475</v>
      </c>
      <c r="F369" s="2">
        <v>61680.39</v>
      </c>
      <c r="G369" t="s">
        <v>719</v>
      </c>
      <c r="H369" s="7">
        <f t="shared" si="41"/>
        <v>0</v>
      </c>
      <c r="I369" s="1">
        <f t="shared" si="35"/>
        <v>45132</v>
      </c>
      <c r="J369" s="1" t="str">
        <f t="shared" si="36"/>
        <v>2507050444 HDFC LIFE INSUR FIN DIV22 23</v>
      </c>
      <c r="L369" s="7">
        <f t="shared" si="37"/>
        <v>0</v>
      </c>
      <c r="M369" s="7">
        <f t="shared" si="38"/>
        <v>475</v>
      </c>
      <c r="N369" s="7">
        <f t="shared" si="39"/>
        <v>61680.39</v>
      </c>
      <c r="O369" s="7" t="str">
        <f t="shared" si="40"/>
        <v>HDFC 5930</v>
      </c>
    </row>
    <row r="370" spans="1:15" x14ac:dyDescent="0.25">
      <c r="A370" s="1">
        <v>45132</v>
      </c>
      <c r="B370" t="s">
        <v>472</v>
      </c>
      <c r="C370" s="1">
        <v>45132</v>
      </c>
      <c r="D370" s="2">
        <v>7814.28</v>
      </c>
      <c r="E370" s="2">
        <v>0</v>
      </c>
      <c r="F370" s="2">
        <v>53866.11</v>
      </c>
      <c r="G370" t="s">
        <v>719</v>
      </c>
      <c r="H370" s="7">
        <f t="shared" si="41"/>
        <v>0</v>
      </c>
      <c r="I370" s="1">
        <f t="shared" si="35"/>
        <v>45132</v>
      </c>
      <c r="J370" s="1" t="str">
        <f t="shared" si="36"/>
        <v>NET PI TO HSL SEC A/C 347707-00602340029392</v>
      </c>
      <c r="L370" s="7">
        <f t="shared" si="37"/>
        <v>7814.28</v>
      </c>
      <c r="M370" s="7">
        <f t="shared" si="38"/>
        <v>0</v>
      </c>
      <c r="N370" s="7">
        <f t="shared" si="39"/>
        <v>53866.11</v>
      </c>
      <c r="O370" s="7" t="str">
        <f t="shared" si="40"/>
        <v>HDFC 5930</v>
      </c>
    </row>
    <row r="371" spans="1:15" x14ac:dyDescent="0.25">
      <c r="A371" s="1">
        <v>45132</v>
      </c>
      <c r="B371" t="s">
        <v>570</v>
      </c>
      <c r="C371" s="1">
        <v>45132</v>
      </c>
      <c r="D371" s="2">
        <v>5000</v>
      </c>
      <c r="E371" s="2">
        <v>0</v>
      </c>
      <c r="F371" s="2">
        <v>48866.11</v>
      </c>
      <c r="G371" t="s">
        <v>719</v>
      </c>
      <c r="H371" s="7">
        <f t="shared" si="41"/>
        <v>0</v>
      </c>
      <c r="I371" s="1">
        <f t="shared" si="35"/>
        <v>45132</v>
      </c>
      <c r="J371" s="1" t="str">
        <f t="shared" si="36"/>
        <v>50100128155413-TPT-MONEY RETURNED-AAYUSH KUMAR GUPTA</v>
      </c>
      <c r="L371" s="7">
        <f t="shared" si="37"/>
        <v>5000</v>
      </c>
      <c r="M371" s="7">
        <f t="shared" si="38"/>
        <v>0</v>
      </c>
      <c r="N371" s="7">
        <f t="shared" si="39"/>
        <v>48866.11</v>
      </c>
      <c r="O371" s="7" t="str">
        <f t="shared" si="40"/>
        <v>HDFC 5930</v>
      </c>
    </row>
    <row r="372" spans="1:15" x14ac:dyDescent="0.25">
      <c r="A372" s="1">
        <v>45132</v>
      </c>
      <c r="B372" t="s">
        <v>571</v>
      </c>
      <c r="C372" s="1">
        <v>45132</v>
      </c>
      <c r="D372" s="2">
        <v>15000</v>
      </c>
      <c r="E372" s="2">
        <v>0</v>
      </c>
      <c r="F372" s="2">
        <v>33866.11</v>
      </c>
      <c r="G372" t="s">
        <v>719</v>
      </c>
      <c r="H372" s="7">
        <f t="shared" si="41"/>
        <v>0</v>
      </c>
      <c r="I372" s="1">
        <f t="shared" si="35"/>
        <v>45132</v>
      </c>
      <c r="J372" s="1" t="str">
        <f t="shared" si="36"/>
        <v>01671000060094-TPT-MONEY RETURNED-SUNITA GUPTA</v>
      </c>
      <c r="L372" s="7">
        <f t="shared" si="37"/>
        <v>15000</v>
      </c>
      <c r="M372" s="7">
        <f t="shared" si="38"/>
        <v>0</v>
      </c>
      <c r="N372" s="7">
        <f t="shared" si="39"/>
        <v>33866.11</v>
      </c>
      <c r="O372" s="7" t="str">
        <f t="shared" si="40"/>
        <v>HDFC 5930</v>
      </c>
    </row>
    <row r="373" spans="1:15" x14ac:dyDescent="0.25">
      <c r="A373" s="1">
        <v>45132</v>
      </c>
      <c r="B373" t="s">
        <v>472</v>
      </c>
      <c r="C373" s="1">
        <v>45132</v>
      </c>
      <c r="D373" s="2">
        <v>3755.36</v>
      </c>
      <c r="E373" s="2">
        <v>0</v>
      </c>
      <c r="F373" s="2">
        <v>30110.75</v>
      </c>
      <c r="G373" t="s">
        <v>719</v>
      </c>
      <c r="H373" s="7">
        <f t="shared" si="41"/>
        <v>0</v>
      </c>
      <c r="I373" s="1">
        <f t="shared" si="35"/>
        <v>45132</v>
      </c>
      <c r="J373" s="1" t="str">
        <f t="shared" si="36"/>
        <v>NET PI TO HSL SEC A/C 347707-00602340029392</v>
      </c>
      <c r="L373" s="7">
        <f t="shared" si="37"/>
        <v>3755.36</v>
      </c>
      <c r="M373" s="7">
        <f t="shared" si="38"/>
        <v>0</v>
      </c>
      <c r="N373" s="7">
        <f t="shared" si="39"/>
        <v>30110.75</v>
      </c>
      <c r="O373" s="7" t="str">
        <f t="shared" si="40"/>
        <v>HDFC 5930</v>
      </c>
    </row>
    <row r="374" spans="1:15" x14ac:dyDescent="0.25">
      <c r="A374" s="1">
        <v>45133</v>
      </c>
      <c r="B374" t="s">
        <v>472</v>
      </c>
      <c r="C374" s="1">
        <v>45133</v>
      </c>
      <c r="D374" s="2">
        <v>252.39</v>
      </c>
      <c r="E374" s="2">
        <v>0</v>
      </c>
      <c r="F374" s="2">
        <v>29858.36</v>
      </c>
      <c r="G374" t="s">
        <v>719</v>
      </c>
      <c r="H374" s="7">
        <f t="shared" si="41"/>
        <v>0</v>
      </c>
      <c r="I374" s="1">
        <f t="shared" si="35"/>
        <v>45133</v>
      </c>
      <c r="J374" s="1" t="str">
        <f t="shared" si="36"/>
        <v>NET PI TO HSL SEC A/C 347707-00602340029392</v>
      </c>
      <c r="L374" s="7">
        <f t="shared" si="37"/>
        <v>252.39</v>
      </c>
      <c r="M374" s="7">
        <f t="shared" si="38"/>
        <v>0</v>
      </c>
      <c r="N374" s="7">
        <f t="shared" si="39"/>
        <v>29858.36</v>
      </c>
      <c r="O374" s="7" t="str">
        <f t="shared" si="40"/>
        <v>HDFC 5930</v>
      </c>
    </row>
    <row r="375" spans="1:15" x14ac:dyDescent="0.25">
      <c r="A375" s="1">
        <v>45133</v>
      </c>
      <c r="B375" t="s">
        <v>472</v>
      </c>
      <c r="C375" s="1">
        <v>45133</v>
      </c>
      <c r="D375" s="2">
        <v>3900.12</v>
      </c>
      <c r="E375" s="2">
        <v>0</v>
      </c>
      <c r="F375" s="2">
        <v>25958.240000000002</v>
      </c>
      <c r="G375" t="s">
        <v>719</v>
      </c>
      <c r="H375" s="7">
        <f t="shared" si="41"/>
        <v>0</v>
      </c>
      <c r="I375" s="1">
        <f t="shared" si="35"/>
        <v>45133</v>
      </c>
      <c r="J375" s="1" t="str">
        <f t="shared" si="36"/>
        <v>NET PI TO HSL SEC A/C 347707-00602340029392</v>
      </c>
      <c r="L375" s="7">
        <f t="shared" si="37"/>
        <v>3900.12</v>
      </c>
      <c r="M375" s="7">
        <f t="shared" si="38"/>
        <v>0</v>
      </c>
      <c r="N375" s="7">
        <f t="shared" si="39"/>
        <v>25958.240000000002</v>
      </c>
      <c r="O375" s="7" t="str">
        <f t="shared" si="40"/>
        <v>HDFC 5930</v>
      </c>
    </row>
    <row r="376" spans="1:15" x14ac:dyDescent="0.25">
      <c r="A376" s="1">
        <v>45134</v>
      </c>
      <c r="B376" t="s">
        <v>472</v>
      </c>
      <c r="C376" s="1">
        <v>45134</v>
      </c>
      <c r="D376" s="2">
        <v>255.7</v>
      </c>
      <c r="E376" s="2">
        <v>0</v>
      </c>
      <c r="F376" s="2">
        <v>25702.54</v>
      </c>
      <c r="G376" t="s">
        <v>719</v>
      </c>
      <c r="H376" s="7">
        <f t="shared" si="41"/>
        <v>0</v>
      </c>
      <c r="I376" s="1">
        <f t="shared" si="35"/>
        <v>45134</v>
      </c>
      <c r="J376" s="1" t="str">
        <f t="shared" si="36"/>
        <v>NET PI TO HSL SEC A/C 347707-00602340029392</v>
      </c>
      <c r="L376" s="7">
        <f t="shared" si="37"/>
        <v>255.7</v>
      </c>
      <c r="M376" s="7">
        <f t="shared" si="38"/>
        <v>0</v>
      </c>
      <c r="N376" s="7">
        <f t="shared" si="39"/>
        <v>25702.54</v>
      </c>
      <c r="O376" s="7" t="str">
        <f t="shared" si="40"/>
        <v>HDFC 5930</v>
      </c>
    </row>
    <row r="377" spans="1:15" x14ac:dyDescent="0.25">
      <c r="A377" s="1">
        <v>45135</v>
      </c>
      <c r="B377" t="s">
        <v>473</v>
      </c>
      <c r="C377" s="1">
        <v>45134</v>
      </c>
      <c r="D377" s="2">
        <v>0</v>
      </c>
      <c r="E377" s="2">
        <v>945.73</v>
      </c>
      <c r="F377" s="2">
        <v>26648.27</v>
      </c>
      <c r="G377" t="s">
        <v>719</v>
      </c>
      <c r="H377" s="7">
        <f t="shared" si="41"/>
        <v>0</v>
      </c>
      <c r="I377" s="1">
        <f t="shared" si="35"/>
        <v>45135</v>
      </c>
      <c r="J377" s="1" t="str">
        <f t="shared" si="36"/>
        <v>NET PO FROM HSL A/C 347707-00602340029392</v>
      </c>
      <c r="L377" s="7">
        <f t="shared" si="37"/>
        <v>0</v>
      </c>
      <c r="M377" s="7">
        <f t="shared" si="38"/>
        <v>945.73</v>
      </c>
      <c r="N377" s="7">
        <f t="shared" si="39"/>
        <v>26648.27</v>
      </c>
      <c r="O377" s="7" t="str">
        <f t="shared" si="40"/>
        <v>HDFC 5930</v>
      </c>
    </row>
    <row r="378" spans="1:15" x14ac:dyDescent="0.25">
      <c r="A378" s="1">
        <v>45135</v>
      </c>
      <c r="B378" t="s">
        <v>473</v>
      </c>
      <c r="C378" s="1">
        <v>45134</v>
      </c>
      <c r="D378" s="2">
        <v>0</v>
      </c>
      <c r="E378" s="2">
        <v>1593</v>
      </c>
      <c r="F378" s="2">
        <v>28241.27</v>
      </c>
      <c r="G378" t="s">
        <v>719</v>
      </c>
      <c r="H378" s="7">
        <f t="shared" si="41"/>
        <v>0</v>
      </c>
      <c r="I378" s="1">
        <f t="shared" si="35"/>
        <v>45135</v>
      </c>
      <c r="J378" s="1" t="str">
        <f t="shared" si="36"/>
        <v>NET PO FROM HSL A/C 347707-00602340029392</v>
      </c>
      <c r="L378" s="7">
        <f t="shared" si="37"/>
        <v>0</v>
      </c>
      <c r="M378" s="7">
        <f t="shared" si="38"/>
        <v>1593</v>
      </c>
      <c r="N378" s="7">
        <f t="shared" si="39"/>
        <v>28241.27</v>
      </c>
      <c r="O378" s="7" t="str">
        <f t="shared" si="40"/>
        <v>HDFC 5930</v>
      </c>
    </row>
    <row r="379" spans="1:15" x14ac:dyDescent="0.25">
      <c r="A379" s="1">
        <v>45135</v>
      </c>
      <c r="B379" t="s">
        <v>480</v>
      </c>
      <c r="C379" s="1">
        <v>45135</v>
      </c>
      <c r="D379" s="2">
        <v>3000</v>
      </c>
      <c r="E379" s="2">
        <v>0</v>
      </c>
      <c r="F379" s="2">
        <v>25241.27</v>
      </c>
      <c r="G379" t="s">
        <v>719</v>
      </c>
      <c r="H379" s="7">
        <f t="shared" si="41"/>
        <v>0</v>
      </c>
      <c r="I379" s="1">
        <f t="shared" si="35"/>
        <v>45135</v>
      </c>
      <c r="J379" s="1" t="str">
        <f t="shared" si="36"/>
        <v>NET PAYIN TO BSE MF A/C -57500000389146- FROM A/C -01671000085930- UCC -347707-57500000389146</v>
      </c>
      <c r="L379" s="7">
        <f t="shared" si="37"/>
        <v>3000</v>
      </c>
      <c r="M379" s="7">
        <f t="shared" si="38"/>
        <v>0</v>
      </c>
      <c r="N379" s="7">
        <f t="shared" si="39"/>
        <v>25241.27</v>
      </c>
      <c r="O379" s="7" t="str">
        <f t="shared" si="40"/>
        <v>HDFC 5930</v>
      </c>
    </row>
    <row r="380" spans="1:15" x14ac:dyDescent="0.25">
      <c r="A380" s="1">
        <v>45135</v>
      </c>
      <c r="B380" t="s">
        <v>472</v>
      </c>
      <c r="C380" s="1">
        <v>45135</v>
      </c>
      <c r="D380" s="2">
        <v>261.17</v>
      </c>
      <c r="E380" s="2">
        <v>0</v>
      </c>
      <c r="F380" s="2">
        <v>24980.1</v>
      </c>
      <c r="G380" t="s">
        <v>719</v>
      </c>
      <c r="H380" s="7">
        <f t="shared" si="41"/>
        <v>0</v>
      </c>
      <c r="I380" s="1">
        <f t="shared" si="35"/>
        <v>45135</v>
      </c>
      <c r="J380" s="1" t="str">
        <f t="shared" si="36"/>
        <v>NET PI TO HSL SEC A/C 347707-00602340029392</v>
      </c>
      <c r="L380" s="7">
        <f t="shared" si="37"/>
        <v>261.17</v>
      </c>
      <c r="M380" s="7">
        <f t="shared" si="38"/>
        <v>0</v>
      </c>
      <c r="N380" s="7">
        <f t="shared" si="39"/>
        <v>24980.1</v>
      </c>
      <c r="O380" s="7" t="str">
        <f t="shared" si="40"/>
        <v>HDFC 5930</v>
      </c>
    </row>
    <row r="381" spans="1:15" x14ac:dyDescent="0.25">
      <c r="A381" s="1">
        <v>45135</v>
      </c>
      <c r="B381" t="s">
        <v>572</v>
      </c>
      <c r="C381" s="1">
        <v>45135</v>
      </c>
      <c r="D381" s="2">
        <v>0</v>
      </c>
      <c r="E381" s="2">
        <v>140</v>
      </c>
      <c r="F381" s="2">
        <v>25120.1</v>
      </c>
      <c r="G381" t="s">
        <v>719</v>
      </c>
      <c r="H381" s="7">
        <f t="shared" si="41"/>
        <v>0</v>
      </c>
      <c r="I381" s="1">
        <f t="shared" si="35"/>
        <v>45135</v>
      </c>
      <c r="J381" s="1" t="str">
        <f t="shared" si="36"/>
        <v>ACH C- BAJAJ FINSERV LIMITE-4164040</v>
      </c>
      <c r="L381" s="7">
        <f t="shared" si="37"/>
        <v>0</v>
      </c>
      <c r="M381" s="7">
        <f t="shared" si="38"/>
        <v>140</v>
      </c>
      <c r="N381" s="7">
        <f t="shared" si="39"/>
        <v>25120.1</v>
      </c>
      <c r="O381" s="7" t="str">
        <f t="shared" si="40"/>
        <v>HDFC 5930</v>
      </c>
    </row>
    <row r="382" spans="1:15" x14ac:dyDescent="0.25">
      <c r="A382" s="1">
        <v>45136</v>
      </c>
      <c r="B382" t="s">
        <v>473</v>
      </c>
      <c r="C382" s="1">
        <v>45135</v>
      </c>
      <c r="D382" s="2">
        <v>0</v>
      </c>
      <c r="E382" s="2">
        <v>1962.51</v>
      </c>
      <c r="F382" s="2">
        <v>27082.61</v>
      </c>
      <c r="G382" t="s">
        <v>719</v>
      </c>
      <c r="H382" s="7">
        <f t="shared" si="41"/>
        <v>0</v>
      </c>
      <c r="I382" s="1">
        <f t="shared" si="35"/>
        <v>45136</v>
      </c>
      <c r="J382" s="1" t="str">
        <f t="shared" si="36"/>
        <v>NET PO FROM HSL A/C 347707-00602340029392</v>
      </c>
      <c r="L382" s="7">
        <f t="shared" si="37"/>
        <v>0</v>
      </c>
      <c r="M382" s="7">
        <f t="shared" si="38"/>
        <v>1962.51</v>
      </c>
      <c r="N382" s="7">
        <f t="shared" si="39"/>
        <v>27082.61</v>
      </c>
      <c r="O382" s="7" t="str">
        <f t="shared" si="40"/>
        <v>HDFC 5930</v>
      </c>
    </row>
    <row r="383" spans="1:15" x14ac:dyDescent="0.25">
      <c r="A383" s="1">
        <v>45138</v>
      </c>
      <c r="B383" t="s">
        <v>472</v>
      </c>
      <c r="C383" s="1">
        <v>45138</v>
      </c>
      <c r="D383" s="2">
        <v>786.39</v>
      </c>
      <c r="E383" s="2">
        <v>0</v>
      </c>
      <c r="F383" s="2">
        <v>26296.22</v>
      </c>
      <c r="G383" t="s">
        <v>719</v>
      </c>
      <c r="H383" s="7">
        <f t="shared" si="41"/>
        <v>0</v>
      </c>
      <c r="I383" s="1">
        <f t="shared" si="35"/>
        <v>45138</v>
      </c>
      <c r="J383" s="1" t="str">
        <f t="shared" si="36"/>
        <v>NET PI TO HSL SEC A/C 347707-00602340029392</v>
      </c>
      <c r="L383" s="7">
        <f t="shared" si="37"/>
        <v>786.39</v>
      </c>
      <c r="M383" s="7">
        <f t="shared" si="38"/>
        <v>0</v>
      </c>
      <c r="N383" s="7">
        <f t="shared" si="39"/>
        <v>26296.22</v>
      </c>
      <c r="O383" s="7" t="str">
        <f t="shared" si="40"/>
        <v>HDFC 5930</v>
      </c>
    </row>
    <row r="384" spans="1:15" x14ac:dyDescent="0.25">
      <c r="A384" s="1">
        <v>45138</v>
      </c>
      <c r="B384" t="s">
        <v>473</v>
      </c>
      <c r="C384" s="1">
        <v>45138</v>
      </c>
      <c r="D384" s="2">
        <v>0</v>
      </c>
      <c r="E384" s="2">
        <v>505.46</v>
      </c>
      <c r="F384" s="2">
        <v>26801.68</v>
      </c>
      <c r="G384" t="s">
        <v>719</v>
      </c>
      <c r="H384" s="7">
        <f t="shared" si="41"/>
        <v>0</v>
      </c>
      <c r="I384" s="1">
        <f t="shared" si="35"/>
        <v>45138</v>
      </c>
      <c r="J384" s="1" t="str">
        <f t="shared" si="36"/>
        <v>NET PO FROM HSL A/C 347707-00602340029392</v>
      </c>
      <c r="L384" s="7">
        <f t="shared" si="37"/>
        <v>0</v>
      </c>
      <c r="M384" s="7">
        <f t="shared" si="38"/>
        <v>505.46</v>
      </c>
      <c r="N384" s="7">
        <f t="shared" si="39"/>
        <v>26801.68</v>
      </c>
      <c r="O384" s="7" t="str">
        <f t="shared" si="40"/>
        <v>HDFC 5930</v>
      </c>
    </row>
    <row r="385" spans="1:15" x14ac:dyDescent="0.25">
      <c r="A385" s="1">
        <v>45139</v>
      </c>
      <c r="B385" t="s">
        <v>472</v>
      </c>
      <c r="C385" s="1">
        <v>45139</v>
      </c>
      <c r="D385" s="2">
        <v>262.38</v>
      </c>
      <c r="E385" s="2">
        <v>0</v>
      </c>
      <c r="F385" s="2">
        <v>26539.3</v>
      </c>
      <c r="G385" t="s">
        <v>719</v>
      </c>
      <c r="H385" s="7">
        <f t="shared" si="41"/>
        <v>0</v>
      </c>
      <c r="I385" s="1">
        <f t="shared" si="35"/>
        <v>45139</v>
      </c>
      <c r="J385" s="1" t="str">
        <f t="shared" si="36"/>
        <v>NET PI TO HSL SEC A/C 347707-00602340029392</v>
      </c>
      <c r="L385" s="7">
        <f t="shared" si="37"/>
        <v>262.38</v>
      </c>
      <c r="M385" s="7">
        <f t="shared" si="38"/>
        <v>0</v>
      </c>
      <c r="N385" s="7">
        <f t="shared" si="39"/>
        <v>26539.3</v>
      </c>
      <c r="O385" s="7" t="str">
        <f t="shared" si="40"/>
        <v>HDFC 5930</v>
      </c>
    </row>
    <row r="386" spans="1:15" x14ac:dyDescent="0.25">
      <c r="A386" s="1">
        <v>45139</v>
      </c>
      <c r="B386" t="s">
        <v>573</v>
      </c>
      <c r="C386" s="1">
        <v>45139</v>
      </c>
      <c r="D386" s="2">
        <v>0</v>
      </c>
      <c r="E386" s="2">
        <v>600</v>
      </c>
      <c r="F386" s="2">
        <v>27139.3</v>
      </c>
      <c r="G386" t="s">
        <v>719</v>
      </c>
      <c r="H386" s="7">
        <f t="shared" si="41"/>
        <v>0</v>
      </c>
      <c r="I386" s="1">
        <f t="shared" si="35"/>
        <v>45139</v>
      </c>
      <c r="J386" s="1" t="str">
        <f t="shared" si="36"/>
        <v>ACH C- HCL 2ND INTDIV23 24-386357</v>
      </c>
      <c r="L386" s="7">
        <f t="shared" si="37"/>
        <v>0</v>
      </c>
      <c r="M386" s="7">
        <f t="shared" si="38"/>
        <v>600</v>
      </c>
      <c r="N386" s="7">
        <f t="shared" si="39"/>
        <v>27139.3</v>
      </c>
      <c r="O386" s="7" t="str">
        <f t="shared" si="40"/>
        <v>HDFC 5930</v>
      </c>
    </row>
    <row r="387" spans="1:15" x14ac:dyDescent="0.25">
      <c r="A387" s="1">
        <v>45139</v>
      </c>
      <c r="B387" t="s">
        <v>574</v>
      </c>
      <c r="C387" s="1">
        <v>45139</v>
      </c>
      <c r="D387" s="2">
        <v>1500</v>
      </c>
      <c r="E387" s="2">
        <v>0</v>
      </c>
      <c r="F387" s="2">
        <v>25639.3</v>
      </c>
      <c r="G387" t="s">
        <v>719</v>
      </c>
      <c r="H387" s="7">
        <f t="shared" si="41"/>
        <v>0</v>
      </c>
      <c r="I387" s="1">
        <f t="shared" si="35"/>
        <v>45139</v>
      </c>
      <c r="J387" s="1" t="str">
        <f t="shared" si="36"/>
        <v>ACH D- TP ACH INVESTOCAFE-1210299574</v>
      </c>
      <c r="L387" s="7">
        <f t="shared" si="37"/>
        <v>1500</v>
      </c>
      <c r="M387" s="7">
        <f t="shared" si="38"/>
        <v>0</v>
      </c>
      <c r="N387" s="7">
        <f t="shared" si="39"/>
        <v>25639.3</v>
      </c>
      <c r="O387" s="7" t="str">
        <f t="shared" si="40"/>
        <v>HDFC 5930</v>
      </c>
    </row>
    <row r="388" spans="1:15" x14ac:dyDescent="0.25">
      <c r="A388" s="1">
        <v>45139</v>
      </c>
      <c r="B388" t="s">
        <v>575</v>
      </c>
      <c r="C388" s="1">
        <v>45139</v>
      </c>
      <c r="D388" s="2">
        <v>2000</v>
      </c>
      <c r="E388" s="2">
        <v>0</v>
      </c>
      <c r="F388" s="2">
        <v>23639.3</v>
      </c>
      <c r="G388" t="s">
        <v>719</v>
      </c>
      <c r="H388" s="7">
        <f t="shared" si="41"/>
        <v>0</v>
      </c>
      <c r="I388" s="1">
        <f t="shared" si="35"/>
        <v>45139</v>
      </c>
      <c r="J388" s="1" t="str">
        <f t="shared" si="36"/>
        <v>ACH D- TP ACH INVESTOCAFE-1210299575</v>
      </c>
      <c r="L388" s="7">
        <f t="shared" si="37"/>
        <v>2000</v>
      </c>
      <c r="M388" s="7">
        <f t="shared" si="38"/>
        <v>0</v>
      </c>
      <c r="N388" s="7">
        <f t="shared" si="39"/>
        <v>23639.3</v>
      </c>
      <c r="O388" s="7" t="str">
        <f t="shared" si="40"/>
        <v>HDFC 5930</v>
      </c>
    </row>
    <row r="389" spans="1:15" x14ac:dyDescent="0.25">
      <c r="A389" s="1">
        <v>45139</v>
      </c>
      <c r="B389" t="s">
        <v>576</v>
      </c>
      <c r="C389" s="1">
        <v>45139</v>
      </c>
      <c r="D389" s="2">
        <v>2000</v>
      </c>
      <c r="E389" s="2">
        <v>0</v>
      </c>
      <c r="F389" s="2">
        <v>21639.3</v>
      </c>
      <c r="G389" t="s">
        <v>719</v>
      </c>
      <c r="H389" s="7">
        <f t="shared" si="41"/>
        <v>0</v>
      </c>
      <c r="I389" s="1">
        <f t="shared" si="35"/>
        <v>45139</v>
      </c>
      <c r="J389" s="1" t="str">
        <f t="shared" si="36"/>
        <v>ACH D- TP ACH INVESTOCAFE-1210299576</v>
      </c>
      <c r="L389" s="7">
        <f t="shared" si="37"/>
        <v>2000</v>
      </c>
      <c r="M389" s="7">
        <f t="shared" si="38"/>
        <v>0</v>
      </c>
      <c r="N389" s="7">
        <f t="shared" si="39"/>
        <v>21639.3</v>
      </c>
      <c r="O389" s="7" t="str">
        <f t="shared" si="40"/>
        <v>HDFC 5930</v>
      </c>
    </row>
    <row r="390" spans="1:15" x14ac:dyDescent="0.25">
      <c r="A390" s="1">
        <v>45139</v>
      </c>
      <c r="B390" t="s">
        <v>577</v>
      </c>
      <c r="C390" s="1">
        <v>45139</v>
      </c>
      <c r="D390" s="2">
        <v>0</v>
      </c>
      <c r="E390" s="2">
        <v>150000</v>
      </c>
      <c r="F390" s="2">
        <v>171639.3</v>
      </c>
      <c r="G390" t="s">
        <v>719</v>
      </c>
      <c r="H390" s="7">
        <f t="shared" si="41"/>
        <v>0</v>
      </c>
      <c r="I390" s="1">
        <f t="shared" si="35"/>
        <v>45139</v>
      </c>
      <c r="J390" s="1" t="str">
        <f t="shared" si="36"/>
        <v>NEFT CR-SBIN0011669-MR  AJAY KUMAR GUPTA-AJAY KUMAR GUPTA-SBIN123213306776</v>
      </c>
      <c r="L390" s="7">
        <f t="shared" si="37"/>
        <v>0</v>
      </c>
      <c r="M390" s="7">
        <f t="shared" si="38"/>
        <v>150000</v>
      </c>
      <c r="N390" s="7">
        <f t="shared" si="39"/>
        <v>171639.3</v>
      </c>
      <c r="O390" s="7" t="str">
        <f t="shared" si="40"/>
        <v>HDFC 5930</v>
      </c>
    </row>
    <row r="391" spans="1:15" x14ac:dyDescent="0.25">
      <c r="A391" s="1">
        <v>45139</v>
      </c>
      <c r="B391" t="s">
        <v>578</v>
      </c>
      <c r="C391" s="1">
        <v>45139</v>
      </c>
      <c r="D391" s="2">
        <v>150000</v>
      </c>
      <c r="E391" s="2">
        <v>0</v>
      </c>
      <c r="F391" s="2">
        <v>21639.3</v>
      </c>
      <c r="G391" t="s">
        <v>719</v>
      </c>
      <c r="H391" s="7">
        <f t="shared" si="41"/>
        <v>0</v>
      </c>
      <c r="I391" s="1">
        <f t="shared" si="35"/>
        <v>45139</v>
      </c>
      <c r="J391" s="1" t="str">
        <f t="shared" si="36"/>
        <v>50100542230922-TPT-BORROW FROM AJAY-ARCHIT GUPTA</v>
      </c>
      <c r="L391" s="7">
        <f t="shared" si="37"/>
        <v>150000</v>
      </c>
      <c r="M391" s="7">
        <f t="shared" si="38"/>
        <v>0</v>
      </c>
      <c r="N391" s="7">
        <f t="shared" si="39"/>
        <v>21639.3</v>
      </c>
      <c r="O391" s="7" t="str">
        <f t="shared" si="40"/>
        <v>HDFC 5930</v>
      </c>
    </row>
    <row r="392" spans="1:15" x14ac:dyDescent="0.25">
      <c r="A392" s="1">
        <v>45139</v>
      </c>
      <c r="B392" t="s">
        <v>472</v>
      </c>
      <c r="C392" s="1">
        <v>45139</v>
      </c>
      <c r="D392" s="2">
        <v>17154.04</v>
      </c>
      <c r="E392" s="2">
        <v>0</v>
      </c>
      <c r="F392" s="2">
        <v>4485.26</v>
      </c>
      <c r="G392" t="s">
        <v>719</v>
      </c>
      <c r="H392" s="7">
        <f t="shared" si="41"/>
        <v>0</v>
      </c>
      <c r="I392" s="1">
        <f t="shared" si="35"/>
        <v>45139</v>
      </c>
      <c r="J392" s="1" t="str">
        <f t="shared" si="36"/>
        <v>NET PI TO HSL SEC A/C 347707-00602340029392</v>
      </c>
      <c r="L392" s="7">
        <f t="shared" si="37"/>
        <v>17154.04</v>
      </c>
      <c r="M392" s="7">
        <f t="shared" si="38"/>
        <v>0</v>
      </c>
      <c r="N392" s="7">
        <f t="shared" si="39"/>
        <v>4485.26</v>
      </c>
      <c r="O392" s="7" t="str">
        <f t="shared" si="40"/>
        <v>HDFC 5930</v>
      </c>
    </row>
    <row r="393" spans="1:15" x14ac:dyDescent="0.25">
      <c r="A393" s="1">
        <v>45139</v>
      </c>
      <c r="B393" t="s">
        <v>579</v>
      </c>
      <c r="C393" s="1">
        <v>45139</v>
      </c>
      <c r="D393" s="2">
        <v>0</v>
      </c>
      <c r="E393" s="2">
        <v>50000</v>
      </c>
      <c r="F393" s="2">
        <v>54485.26</v>
      </c>
      <c r="G393" t="s">
        <v>719</v>
      </c>
      <c r="H393" s="7">
        <f t="shared" si="41"/>
        <v>0</v>
      </c>
      <c r="I393" s="1">
        <f t="shared" si="35"/>
        <v>45139</v>
      </c>
      <c r="J393" s="1" t="str">
        <f t="shared" si="36"/>
        <v>NEFT CR-SBIN0011669-MR  AJAY KUMAR GUPTA-AJAY KUMAR GUPTA-SBIN123213509185</v>
      </c>
      <c r="L393" s="7">
        <f t="shared" si="37"/>
        <v>0</v>
      </c>
      <c r="M393" s="7">
        <f t="shared" si="38"/>
        <v>50000</v>
      </c>
      <c r="N393" s="7">
        <f t="shared" si="39"/>
        <v>54485.26</v>
      </c>
      <c r="O393" s="7" t="str">
        <f t="shared" si="40"/>
        <v>HDFC 5930</v>
      </c>
    </row>
    <row r="394" spans="1:15" x14ac:dyDescent="0.25">
      <c r="A394" s="1">
        <v>45139</v>
      </c>
      <c r="B394" t="s">
        <v>473</v>
      </c>
      <c r="C394" s="1">
        <v>45139</v>
      </c>
      <c r="D394" s="2">
        <v>0</v>
      </c>
      <c r="E394" s="2">
        <v>6413.27</v>
      </c>
      <c r="F394" s="2">
        <v>60898.53</v>
      </c>
      <c r="G394" t="s">
        <v>719</v>
      </c>
      <c r="H394" s="7">
        <f t="shared" si="41"/>
        <v>0</v>
      </c>
      <c r="I394" s="1">
        <f t="shared" si="35"/>
        <v>45139</v>
      </c>
      <c r="J394" s="1" t="str">
        <f t="shared" si="36"/>
        <v>NET PO FROM HSL A/C 347707-00602340029392</v>
      </c>
      <c r="L394" s="7">
        <f t="shared" si="37"/>
        <v>0</v>
      </c>
      <c r="M394" s="7">
        <f t="shared" si="38"/>
        <v>6413.27</v>
      </c>
      <c r="N394" s="7">
        <f t="shared" si="39"/>
        <v>60898.53</v>
      </c>
      <c r="O394" s="7" t="str">
        <f t="shared" si="40"/>
        <v>HDFC 5930</v>
      </c>
    </row>
    <row r="395" spans="1:15" x14ac:dyDescent="0.25">
      <c r="A395" s="1">
        <v>45140</v>
      </c>
      <c r="B395" t="s">
        <v>472</v>
      </c>
      <c r="C395" s="1">
        <v>45140</v>
      </c>
      <c r="D395" s="2">
        <v>253.92</v>
      </c>
      <c r="E395" s="2">
        <v>0</v>
      </c>
      <c r="F395" s="2">
        <v>60644.61</v>
      </c>
      <c r="G395" t="s">
        <v>719</v>
      </c>
      <c r="H395" s="7">
        <f t="shared" si="41"/>
        <v>0</v>
      </c>
      <c r="I395" s="1">
        <f t="shared" si="35"/>
        <v>45140</v>
      </c>
      <c r="J395" s="1" t="str">
        <f t="shared" si="36"/>
        <v>NET PI TO HSL SEC A/C 347707-00602340029392</v>
      </c>
      <c r="L395" s="7">
        <f t="shared" si="37"/>
        <v>253.92</v>
      </c>
      <c r="M395" s="7">
        <f t="shared" si="38"/>
        <v>0</v>
      </c>
      <c r="N395" s="7">
        <f t="shared" si="39"/>
        <v>60644.61</v>
      </c>
      <c r="O395" s="7" t="str">
        <f t="shared" si="40"/>
        <v>HDFC 5930</v>
      </c>
    </row>
    <row r="396" spans="1:15" x14ac:dyDescent="0.25">
      <c r="A396" s="1">
        <v>45140</v>
      </c>
      <c r="B396" t="s">
        <v>580</v>
      </c>
      <c r="C396" s="1">
        <v>45140</v>
      </c>
      <c r="D396" s="2">
        <v>0</v>
      </c>
      <c r="E396" s="2">
        <v>850</v>
      </c>
      <c r="F396" s="2">
        <v>61494.61</v>
      </c>
      <c r="G396" t="s">
        <v>719</v>
      </c>
      <c r="H396" s="7">
        <f t="shared" si="41"/>
        <v>0</v>
      </c>
      <c r="I396" s="1">
        <f t="shared" si="35"/>
        <v>45140</v>
      </c>
      <c r="J396" s="1" t="str">
        <f t="shared" si="36"/>
        <v>ACH C- ATULLTDFNLDIV2022 23-21431</v>
      </c>
      <c r="L396" s="7">
        <f t="shared" si="37"/>
        <v>0</v>
      </c>
      <c r="M396" s="7">
        <f t="shared" si="38"/>
        <v>850</v>
      </c>
      <c r="N396" s="7">
        <f t="shared" si="39"/>
        <v>61494.61</v>
      </c>
      <c r="O396" s="7" t="str">
        <f t="shared" si="40"/>
        <v>HDFC 5930</v>
      </c>
    </row>
    <row r="397" spans="1:15" x14ac:dyDescent="0.25">
      <c r="A397" s="1">
        <v>45140</v>
      </c>
      <c r="B397" t="s">
        <v>581</v>
      </c>
      <c r="C397" s="1">
        <v>45140</v>
      </c>
      <c r="D397" s="2">
        <v>0</v>
      </c>
      <c r="E397" s="2">
        <v>100000</v>
      </c>
      <c r="F397" s="2">
        <v>161494.60999999999</v>
      </c>
      <c r="G397" t="s">
        <v>719</v>
      </c>
      <c r="H397" s="7">
        <f t="shared" si="41"/>
        <v>0</v>
      </c>
      <c r="I397" s="1">
        <f t="shared" si="35"/>
        <v>45140</v>
      </c>
      <c r="J397" s="1" t="str">
        <f t="shared" si="36"/>
        <v>NEFT CR-SBIN0011669-MR  AJAY KUMAR GUPTA-AJAY KUMAR GUPTA-SBIN323214823530</v>
      </c>
      <c r="L397" s="7">
        <f t="shared" si="37"/>
        <v>0</v>
      </c>
      <c r="M397" s="7">
        <f t="shared" si="38"/>
        <v>100000</v>
      </c>
      <c r="N397" s="7">
        <f t="shared" si="39"/>
        <v>161494.60999999999</v>
      </c>
      <c r="O397" s="7" t="str">
        <f t="shared" si="40"/>
        <v>HDFC 5930</v>
      </c>
    </row>
    <row r="398" spans="1:15" x14ac:dyDescent="0.25">
      <c r="A398" s="1">
        <v>45140</v>
      </c>
      <c r="B398" t="s">
        <v>473</v>
      </c>
      <c r="C398" s="1">
        <v>45140</v>
      </c>
      <c r="D398" s="2">
        <v>0</v>
      </c>
      <c r="E398" s="2">
        <v>902.19</v>
      </c>
      <c r="F398" s="2">
        <v>162396.79999999999</v>
      </c>
      <c r="G398" t="s">
        <v>719</v>
      </c>
      <c r="H398" s="7">
        <f t="shared" si="41"/>
        <v>0</v>
      </c>
      <c r="I398" s="1">
        <f t="shared" si="35"/>
        <v>45140</v>
      </c>
      <c r="J398" s="1" t="str">
        <f t="shared" si="36"/>
        <v>NET PO FROM HSL A/C 347707-00602340029392</v>
      </c>
      <c r="L398" s="7">
        <f t="shared" si="37"/>
        <v>0</v>
      </c>
      <c r="M398" s="7">
        <f t="shared" si="38"/>
        <v>902.19</v>
      </c>
      <c r="N398" s="7">
        <f t="shared" si="39"/>
        <v>162396.79999999999</v>
      </c>
      <c r="O398" s="7" t="str">
        <f t="shared" si="40"/>
        <v>HDFC 5930</v>
      </c>
    </row>
    <row r="399" spans="1:15" x14ac:dyDescent="0.25">
      <c r="A399" s="1">
        <v>45141</v>
      </c>
      <c r="B399" t="s">
        <v>473</v>
      </c>
      <c r="C399" s="1">
        <v>45140</v>
      </c>
      <c r="D399" s="2">
        <v>0</v>
      </c>
      <c r="E399" s="2">
        <v>7002.17</v>
      </c>
      <c r="F399" s="2">
        <v>169398.97</v>
      </c>
      <c r="G399" t="s">
        <v>719</v>
      </c>
      <c r="H399" s="7">
        <f t="shared" si="41"/>
        <v>0</v>
      </c>
      <c r="I399" s="1">
        <f t="shared" si="35"/>
        <v>45141</v>
      </c>
      <c r="J399" s="1" t="str">
        <f t="shared" si="36"/>
        <v>NET PO FROM HSL A/C 347707-00602340029392</v>
      </c>
      <c r="L399" s="7">
        <f t="shared" si="37"/>
        <v>0</v>
      </c>
      <c r="M399" s="7">
        <f t="shared" si="38"/>
        <v>7002.17</v>
      </c>
      <c r="N399" s="7">
        <f t="shared" si="39"/>
        <v>169398.97</v>
      </c>
      <c r="O399" s="7" t="str">
        <f t="shared" si="40"/>
        <v>HDFC 5930</v>
      </c>
    </row>
    <row r="400" spans="1:15" x14ac:dyDescent="0.25">
      <c r="A400" s="1">
        <v>45141</v>
      </c>
      <c r="B400" t="s">
        <v>472</v>
      </c>
      <c r="C400" s="1">
        <v>45141</v>
      </c>
      <c r="D400" s="2">
        <v>278.20999999999998</v>
      </c>
      <c r="E400" s="2">
        <v>0</v>
      </c>
      <c r="F400" s="2">
        <v>169120.76</v>
      </c>
      <c r="G400" t="s">
        <v>719</v>
      </c>
      <c r="H400" s="7">
        <f t="shared" si="41"/>
        <v>0</v>
      </c>
      <c r="I400" s="1">
        <f t="shared" si="35"/>
        <v>45141</v>
      </c>
      <c r="J400" s="1" t="str">
        <f t="shared" si="36"/>
        <v>NET PI TO HSL SEC A/C 347707-00602340029392</v>
      </c>
      <c r="L400" s="7">
        <f t="shared" si="37"/>
        <v>278.20999999999998</v>
      </c>
      <c r="M400" s="7">
        <f t="shared" si="38"/>
        <v>0</v>
      </c>
      <c r="N400" s="7">
        <f t="shared" si="39"/>
        <v>169120.76</v>
      </c>
      <c r="O400" s="7" t="str">
        <f t="shared" si="40"/>
        <v>HDFC 5930</v>
      </c>
    </row>
    <row r="401" spans="1:15" x14ac:dyDescent="0.25">
      <c r="A401" s="1">
        <v>45141</v>
      </c>
      <c r="B401" t="s">
        <v>480</v>
      </c>
      <c r="C401" s="1">
        <v>45141</v>
      </c>
      <c r="D401" s="2">
        <v>25000</v>
      </c>
      <c r="E401" s="2">
        <v>0</v>
      </c>
      <c r="F401" s="2">
        <v>144120.76</v>
      </c>
      <c r="G401" t="s">
        <v>719</v>
      </c>
      <c r="H401" s="7">
        <f t="shared" si="41"/>
        <v>0</v>
      </c>
      <c r="I401" s="1">
        <f t="shared" si="35"/>
        <v>45141</v>
      </c>
      <c r="J401" s="1" t="str">
        <f t="shared" si="36"/>
        <v>NET PAYIN TO BSE MF A/C -57500000389146- FROM A/C -01671000085930- UCC -347707-57500000389146</v>
      </c>
      <c r="L401" s="7">
        <f t="shared" si="37"/>
        <v>25000</v>
      </c>
      <c r="M401" s="7">
        <f t="shared" si="38"/>
        <v>0</v>
      </c>
      <c r="N401" s="7">
        <f t="shared" si="39"/>
        <v>144120.76</v>
      </c>
      <c r="O401" s="7" t="str">
        <f t="shared" si="40"/>
        <v>HDFC 5930</v>
      </c>
    </row>
    <row r="402" spans="1:15" x14ac:dyDescent="0.25">
      <c r="A402" s="1">
        <v>45141</v>
      </c>
      <c r="B402" t="s">
        <v>480</v>
      </c>
      <c r="C402" s="1">
        <v>45141</v>
      </c>
      <c r="D402" s="2">
        <v>25000</v>
      </c>
      <c r="E402" s="2">
        <v>0</v>
      </c>
      <c r="F402" s="2">
        <v>119120.76</v>
      </c>
      <c r="G402" t="s">
        <v>719</v>
      </c>
      <c r="H402" s="7">
        <f t="shared" si="41"/>
        <v>0</v>
      </c>
      <c r="I402" s="1">
        <f t="shared" ref="I402:I465" si="42">A402</f>
        <v>45141</v>
      </c>
      <c r="J402" s="1" t="str">
        <f t="shared" ref="J402:J465" si="43">B402</f>
        <v>NET PAYIN TO BSE MF A/C -57500000389146- FROM A/C -01671000085930- UCC -347707-57500000389146</v>
      </c>
      <c r="L402" s="7">
        <f t="shared" ref="L402:L465" si="44">D402</f>
        <v>25000</v>
      </c>
      <c r="M402" s="7">
        <f t="shared" ref="M402:M465" si="45">E402</f>
        <v>0</v>
      </c>
      <c r="N402" s="7">
        <f t="shared" ref="N402:N465" si="46">F402</f>
        <v>119120.76</v>
      </c>
      <c r="O402" s="7" t="str">
        <f t="shared" ref="O402:O465" si="47">G402</f>
        <v>HDFC 5930</v>
      </c>
    </row>
    <row r="403" spans="1:15" x14ac:dyDescent="0.25">
      <c r="A403" s="1">
        <v>45141</v>
      </c>
      <c r="B403" t="s">
        <v>472</v>
      </c>
      <c r="C403" s="1">
        <v>45141</v>
      </c>
      <c r="D403" s="2">
        <v>43819.02</v>
      </c>
      <c r="E403" s="2">
        <v>0</v>
      </c>
      <c r="F403" s="2">
        <v>75301.740000000005</v>
      </c>
      <c r="G403" t="s">
        <v>719</v>
      </c>
      <c r="H403" s="7">
        <f t="shared" ref="H403:H466" si="48">F402-D403+E403-F403</f>
        <v>0</v>
      </c>
      <c r="I403" s="1">
        <f t="shared" si="42"/>
        <v>45141</v>
      </c>
      <c r="J403" s="1" t="str">
        <f t="shared" si="43"/>
        <v>NET PI TO HSL SEC A/C 347707-00602340029392</v>
      </c>
      <c r="L403" s="7">
        <f t="shared" si="44"/>
        <v>43819.02</v>
      </c>
      <c r="M403" s="7">
        <f t="shared" si="45"/>
        <v>0</v>
      </c>
      <c r="N403" s="7">
        <f t="shared" si="46"/>
        <v>75301.740000000005</v>
      </c>
      <c r="O403" s="7" t="str">
        <f t="shared" si="47"/>
        <v>HDFC 5930</v>
      </c>
    </row>
    <row r="404" spans="1:15" x14ac:dyDescent="0.25">
      <c r="A404" s="1">
        <v>45141</v>
      </c>
      <c r="B404" t="s">
        <v>582</v>
      </c>
      <c r="C404" s="1">
        <v>45141</v>
      </c>
      <c r="D404" s="2">
        <v>0</v>
      </c>
      <c r="E404" s="2">
        <v>100000</v>
      </c>
      <c r="F404" s="2">
        <v>175301.74</v>
      </c>
      <c r="G404" t="s">
        <v>719</v>
      </c>
      <c r="H404" s="7">
        <f t="shared" si="48"/>
        <v>0</v>
      </c>
      <c r="I404" s="1">
        <f t="shared" si="42"/>
        <v>45141</v>
      </c>
      <c r="J404" s="1" t="str">
        <f t="shared" si="43"/>
        <v>NEFT CR-SBIN0011669-MR  AJAY KUMAR GUPTA-AJAY KUMAR GUPTA-SBIN423215673440</v>
      </c>
      <c r="L404" s="7">
        <f t="shared" si="44"/>
        <v>0</v>
      </c>
      <c r="M404" s="7">
        <f t="shared" si="45"/>
        <v>100000</v>
      </c>
      <c r="N404" s="7">
        <f t="shared" si="46"/>
        <v>175301.74</v>
      </c>
      <c r="O404" s="7" t="str">
        <f t="shared" si="47"/>
        <v>HDFC 5930</v>
      </c>
    </row>
    <row r="405" spans="1:15" x14ac:dyDescent="0.25">
      <c r="A405" s="1">
        <v>45141</v>
      </c>
      <c r="B405" t="s">
        <v>472</v>
      </c>
      <c r="C405" s="1">
        <v>45141</v>
      </c>
      <c r="D405" s="2">
        <v>34072.26</v>
      </c>
      <c r="E405" s="2">
        <v>0</v>
      </c>
      <c r="F405" s="2">
        <v>141229.48000000001</v>
      </c>
      <c r="G405" t="s">
        <v>719</v>
      </c>
      <c r="H405" s="7">
        <f t="shared" si="48"/>
        <v>0</v>
      </c>
      <c r="I405" s="1">
        <f t="shared" si="42"/>
        <v>45141</v>
      </c>
      <c r="J405" s="1" t="str">
        <f t="shared" si="43"/>
        <v>NET PI TO HSL SEC A/C 347707-00602340029392</v>
      </c>
      <c r="L405" s="7">
        <f t="shared" si="44"/>
        <v>34072.26</v>
      </c>
      <c r="M405" s="7">
        <f t="shared" si="45"/>
        <v>0</v>
      </c>
      <c r="N405" s="7">
        <f t="shared" si="46"/>
        <v>141229.48000000001</v>
      </c>
      <c r="O405" s="7" t="str">
        <f t="shared" si="47"/>
        <v>HDFC 5930</v>
      </c>
    </row>
    <row r="406" spans="1:15" x14ac:dyDescent="0.25">
      <c r="A406" s="1">
        <v>45142</v>
      </c>
      <c r="B406" t="s">
        <v>583</v>
      </c>
      <c r="C406" s="1">
        <v>45142</v>
      </c>
      <c r="D406" s="2">
        <v>50000</v>
      </c>
      <c r="E406" s="2">
        <v>0</v>
      </c>
      <c r="F406" s="2">
        <v>91229.48</v>
      </c>
      <c r="G406" t="s">
        <v>719</v>
      </c>
      <c r="H406" s="7">
        <f t="shared" si="48"/>
        <v>0</v>
      </c>
      <c r="I406" s="1">
        <f t="shared" si="42"/>
        <v>45142</v>
      </c>
      <c r="J406" s="1" t="str">
        <f t="shared" si="43"/>
        <v>01671000060094-TPT-BORROW FROM AJAY GUPTA-SUNITA GUPTA</v>
      </c>
      <c r="L406" s="7">
        <f t="shared" si="44"/>
        <v>50000</v>
      </c>
      <c r="M406" s="7">
        <f t="shared" si="45"/>
        <v>0</v>
      </c>
      <c r="N406" s="7">
        <f t="shared" si="46"/>
        <v>91229.48</v>
      </c>
      <c r="O406" s="7" t="str">
        <f t="shared" si="47"/>
        <v>HDFC 5930</v>
      </c>
    </row>
    <row r="407" spans="1:15" x14ac:dyDescent="0.25">
      <c r="A407" s="1">
        <v>45142</v>
      </c>
      <c r="B407" t="s">
        <v>472</v>
      </c>
      <c r="C407" s="1">
        <v>45142</v>
      </c>
      <c r="D407" s="2">
        <v>261.39999999999998</v>
      </c>
      <c r="E407" s="2">
        <v>0</v>
      </c>
      <c r="F407" s="2">
        <v>90968.08</v>
      </c>
      <c r="G407" t="s">
        <v>719</v>
      </c>
      <c r="H407" s="7">
        <f t="shared" si="48"/>
        <v>0</v>
      </c>
      <c r="I407" s="1">
        <f t="shared" si="42"/>
        <v>45142</v>
      </c>
      <c r="J407" s="1" t="str">
        <f t="shared" si="43"/>
        <v>NET PI TO HSL SEC A/C 347707-00602340029392</v>
      </c>
      <c r="L407" s="7">
        <f t="shared" si="44"/>
        <v>261.39999999999998</v>
      </c>
      <c r="M407" s="7">
        <f t="shared" si="45"/>
        <v>0</v>
      </c>
      <c r="N407" s="7">
        <f t="shared" si="46"/>
        <v>90968.08</v>
      </c>
      <c r="O407" s="7" t="str">
        <f t="shared" si="47"/>
        <v>HDFC 5930</v>
      </c>
    </row>
    <row r="408" spans="1:15" x14ac:dyDescent="0.25">
      <c r="A408" s="1">
        <v>45142</v>
      </c>
      <c r="B408" t="s">
        <v>480</v>
      </c>
      <c r="C408" s="1">
        <v>45142</v>
      </c>
      <c r="D408" s="2">
        <v>50000</v>
      </c>
      <c r="E408" s="2">
        <v>0</v>
      </c>
      <c r="F408" s="2">
        <v>40968.080000000002</v>
      </c>
      <c r="G408" t="s">
        <v>719</v>
      </c>
      <c r="H408" s="7">
        <f t="shared" si="48"/>
        <v>0</v>
      </c>
      <c r="I408" s="1">
        <f t="shared" si="42"/>
        <v>45142</v>
      </c>
      <c r="J408" s="1" t="str">
        <f t="shared" si="43"/>
        <v>NET PAYIN TO BSE MF A/C -57500000389146- FROM A/C -01671000085930- UCC -347707-57500000389146</v>
      </c>
      <c r="L408" s="7">
        <f t="shared" si="44"/>
        <v>50000</v>
      </c>
      <c r="M408" s="7">
        <f t="shared" si="45"/>
        <v>0</v>
      </c>
      <c r="N408" s="7">
        <f t="shared" si="46"/>
        <v>40968.080000000002</v>
      </c>
      <c r="O408" s="7" t="str">
        <f t="shared" si="47"/>
        <v>HDFC 5930</v>
      </c>
    </row>
    <row r="409" spans="1:15" x14ac:dyDescent="0.25">
      <c r="A409" s="1">
        <v>45142</v>
      </c>
      <c r="B409" t="s">
        <v>472</v>
      </c>
      <c r="C409" s="1">
        <v>45142</v>
      </c>
      <c r="D409" s="2">
        <v>5491.94</v>
      </c>
      <c r="E409" s="2">
        <v>0</v>
      </c>
      <c r="F409" s="2">
        <v>35476.14</v>
      </c>
      <c r="G409" t="s">
        <v>719</v>
      </c>
      <c r="H409" s="7">
        <f t="shared" si="48"/>
        <v>0</v>
      </c>
      <c r="I409" s="1">
        <f t="shared" si="42"/>
        <v>45142</v>
      </c>
      <c r="J409" s="1" t="str">
        <f t="shared" si="43"/>
        <v>NET PI TO HSL SEC A/C 347707-00602340029392</v>
      </c>
      <c r="L409" s="7">
        <f t="shared" si="44"/>
        <v>5491.94</v>
      </c>
      <c r="M409" s="7">
        <f t="shared" si="45"/>
        <v>0</v>
      </c>
      <c r="N409" s="7">
        <f t="shared" si="46"/>
        <v>35476.14</v>
      </c>
      <c r="O409" s="7" t="str">
        <f t="shared" si="47"/>
        <v>HDFC 5930</v>
      </c>
    </row>
    <row r="410" spans="1:15" x14ac:dyDescent="0.25">
      <c r="A410" s="1">
        <v>45142</v>
      </c>
      <c r="B410" t="s">
        <v>472</v>
      </c>
      <c r="C410" s="1">
        <v>45142</v>
      </c>
      <c r="D410" s="2">
        <v>35122.14</v>
      </c>
      <c r="E410" s="2">
        <v>0</v>
      </c>
      <c r="F410" s="2">
        <v>354</v>
      </c>
      <c r="G410" t="s">
        <v>719</v>
      </c>
      <c r="H410" s="7">
        <f t="shared" si="48"/>
        <v>0</v>
      </c>
      <c r="I410" s="1">
        <f t="shared" si="42"/>
        <v>45142</v>
      </c>
      <c r="J410" s="1" t="str">
        <f t="shared" si="43"/>
        <v>NET PI TO HSL SEC A/C 347707-00602340029392</v>
      </c>
      <c r="L410" s="7">
        <f t="shared" si="44"/>
        <v>35122.14</v>
      </c>
      <c r="M410" s="7">
        <f t="shared" si="45"/>
        <v>0</v>
      </c>
      <c r="N410" s="7">
        <f t="shared" si="46"/>
        <v>354</v>
      </c>
      <c r="O410" s="7" t="str">
        <f t="shared" si="47"/>
        <v>HDFC 5930</v>
      </c>
    </row>
    <row r="411" spans="1:15" x14ac:dyDescent="0.25">
      <c r="A411" s="1">
        <v>45143</v>
      </c>
      <c r="B411" t="s">
        <v>584</v>
      </c>
      <c r="C411" s="1">
        <v>45143</v>
      </c>
      <c r="D411" s="2">
        <v>0</v>
      </c>
      <c r="E411" s="2">
        <v>100000</v>
      </c>
      <c r="F411" s="2">
        <v>100354</v>
      </c>
      <c r="G411" t="s">
        <v>719</v>
      </c>
      <c r="H411" s="7">
        <f t="shared" si="48"/>
        <v>0</v>
      </c>
      <c r="I411" s="1">
        <f t="shared" si="42"/>
        <v>45143</v>
      </c>
      <c r="J411" s="1" t="str">
        <f t="shared" si="43"/>
        <v>NEFT CR-SBIN0011669-MR  AJAY KUMAR GUPTA-AJAY KUMAR GUPTA-SBIN223217438050</v>
      </c>
      <c r="L411" s="7">
        <f t="shared" si="44"/>
        <v>0</v>
      </c>
      <c r="M411" s="7">
        <f t="shared" si="45"/>
        <v>100000</v>
      </c>
      <c r="N411" s="7">
        <f t="shared" si="46"/>
        <v>100354</v>
      </c>
      <c r="O411" s="7" t="str">
        <f t="shared" si="47"/>
        <v>HDFC 5930</v>
      </c>
    </row>
    <row r="412" spans="1:15" x14ac:dyDescent="0.25">
      <c r="A412" s="1">
        <v>45143</v>
      </c>
      <c r="B412" t="s">
        <v>585</v>
      </c>
      <c r="C412" s="1">
        <v>45143</v>
      </c>
      <c r="D412" s="2">
        <v>25000</v>
      </c>
      <c r="E412" s="2">
        <v>0</v>
      </c>
      <c r="F412" s="2">
        <v>75354</v>
      </c>
      <c r="G412" t="s">
        <v>719</v>
      </c>
      <c r="H412" s="7">
        <f t="shared" si="48"/>
        <v>0</v>
      </c>
      <c r="I412" s="1">
        <f t="shared" si="42"/>
        <v>45143</v>
      </c>
      <c r="J412" s="1" t="str">
        <f t="shared" si="43"/>
        <v>50100128155413-TPT-BORW FROM AJAY-AAYUSH KUMAR GUPTA</v>
      </c>
      <c r="L412" s="7">
        <f t="shared" si="44"/>
        <v>25000</v>
      </c>
      <c r="M412" s="7">
        <f t="shared" si="45"/>
        <v>0</v>
      </c>
      <c r="N412" s="7">
        <f t="shared" si="46"/>
        <v>75354</v>
      </c>
      <c r="O412" s="7" t="str">
        <f t="shared" si="47"/>
        <v>HDFC 5930</v>
      </c>
    </row>
    <row r="413" spans="1:15" x14ac:dyDescent="0.25">
      <c r="A413" s="1">
        <v>45143</v>
      </c>
      <c r="B413" t="s">
        <v>586</v>
      </c>
      <c r="C413" s="1">
        <v>45143</v>
      </c>
      <c r="D413" s="2">
        <v>25000</v>
      </c>
      <c r="E413" s="2">
        <v>0</v>
      </c>
      <c r="F413" s="2">
        <v>50354</v>
      </c>
      <c r="G413" t="s">
        <v>719</v>
      </c>
      <c r="H413" s="7">
        <f t="shared" si="48"/>
        <v>0</v>
      </c>
      <c r="I413" s="1">
        <f t="shared" si="42"/>
        <v>45143</v>
      </c>
      <c r="J413" s="1" t="str">
        <f t="shared" si="43"/>
        <v>01671000060094-TPT-BORROW FROM AJAY-SUNITA GUPTA</v>
      </c>
      <c r="L413" s="7">
        <f t="shared" si="44"/>
        <v>25000</v>
      </c>
      <c r="M413" s="7">
        <f t="shared" si="45"/>
        <v>0</v>
      </c>
      <c r="N413" s="7">
        <f t="shared" si="46"/>
        <v>50354</v>
      </c>
      <c r="O413" s="7" t="str">
        <f t="shared" si="47"/>
        <v>HDFC 5930</v>
      </c>
    </row>
    <row r="414" spans="1:15" x14ac:dyDescent="0.25">
      <c r="A414" s="1">
        <v>45145</v>
      </c>
      <c r="B414" t="s">
        <v>472</v>
      </c>
      <c r="C414" s="1">
        <v>45145</v>
      </c>
      <c r="D414" s="2">
        <v>9027.7099999999991</v>
      </c>
      <c r="E414" s="2">
        <v>0</v>
      </c>
      <c r="F414" s="2">
        <v>41326.29</v>
      </c>
      <c r="G414" t="s">
        <v>719</v>
      </c>
      <c r="H414" s="7">
        <f t="shared" si="48"/>
        <v>0</v>
      </c>
      <c r="I414" s="1">
        <f t="shared" si="42"/>
        <v>45145</v>
      </c>
      <c r="J414" s="1" t="str">
        <f t="shared" si="43"/>
        <v>NET PI TO HSL SEC A/C 347707-00602340029392</v>
      </c>
      <c r="L414" s="7">
        <f t="shared" si="44"/>
        <v>9027.7099999999991</v>
      </c>
      <c r="M414" s="7">
        <f t="shared" si="45"/>
        <v>0</v>
      </c>
      <c r="N414" s="7">
        <f t="shared" si="46"/>
        <v>41326.29</v>
      </c>
      <c r="O414" s="7" t="str">
        <f t="shared" si="47"/>
        <v>HDFC 5930</v>
      </c>
    </row>
    <row r="415" spans="1:15" x14ac:dyDescent="0.25">
      <c r="A415" s="1">
        <v>45145</v>
      </c>
      <c r="B415" t="s">
        <v>587</v>
      </c>
      <c r="C415" s="1">
        <v>45145</v>
      </c>
      <c r="D415" s="2">
        <v>10000</v>
      </c>
      <c r="E415" s="2">
        <v>0</v>
      </c>
      <c r="F415" s="2">
        <v>31326.29</v>
      </c>
      <c r="G415" t="s">
        <v>719</v>
      </c>
      <c r="H415" s="7">
        <f t="shared" si="48"/>
        <v>0</v>
      </c>
      <c r="I415" s="1">
        <f t="shared" si="42"/>
        <v>45145</v>
      </c>
      <c r="J415" s="1" t="str">
        <f t="shared" si="43"/>
        <v>UPI-AAYUSH KUMAR GUPTA-9970054014@YBL-HDFC0000456-358542458244-BORROW FROM AKG</v>
      </c>
      <c r="L415" s="7">
        <f t="shared" si="44"/>
        <v>10000</v>
      </c>
      <c r="M415" s="7">
        <f t="shared" si="45"/>
        <v>0</v>
      </c>
      <c r="N415" s="7">
        <f t="shared" si="46"/>
        <v>31326.29</v>
      </c>
      <c r="O415" s="7" t="str">
        <f t="shared" si="47"/>
        <v>HDFC 5930</v>
      </c>
    </row>
    <row r="416" spans="1:15" x14ac:dyDescent="0.25">
      <c r="A416" s="1">
        <v>45145</v>
      </c>
      <c r="B416" t="s">
        <v>588</v>
      </c>
      <c r="C416" s="1">
        <v>45145</v>
      </c>
      <c r="D416" s="2">
        <v>10000</v>
      </c>
      <c r="E416" s="2">
        <v>0</v>
      </c>
      <c r="F416" s="2">
        <v>21326.29</v>
      </c>
      <c r="G416" t="s">
        <v>719</v>
      </c>
      <c r="H416" s="7">
        <f t="shared" si="48"/>
        <v>0</v>
      </c>
      <c r="I416" s="1">
        <f t="shared" si="42"/>
        <v>45145</v>
      </c>
      <c r="J416" s="1" t="str">
        <f t="shared" si="43"/>
        <v>UPI-SUNITA GUPTA-AJAYGUPTANEL1@YBL-HDFC0000167-358583940060-BORROW FROM AJAY</v>
      </c>
      <c r="L416" s="7">
        <f t="shared" si="44"/>
        <v>10000</v>
      </c>
      <c r="M416" s="7">
        <f t="shared" si="45"/>
        <v>0</v>
      </c>
      <c r="N416" s="7">
        <f t="shared" si="46"/>
        <v>21326.29</v>
      </c>
      <c r="O416" s="7" t="str">
        <f t="shared" si="47"/>
        <v>HDFC 5930</v>
      </c>
    </row>
    <row r="417" spans="1:15" x14ac:dyDescent="0.25">
      <c r="A417" s="1">
        <v>45145</v>
      </c>
      <c r="B417" t="s">
        <v>480</v>
      </c>
      <c r="C417" s="1">
        <v>45145</v>
      </c>
      <c r="D417" s="2">
        <v>3000</v>
      </c>
      <c r="E417" s="2">
        <v>0</v>
      </c>
      <c r="F417" s="2">
        <v>18326.29</v>
      </c>
      <c r="G417" t="s">
        <v>719</v>
      </c>
      <c r="H417" s="7">
        <f t="shared" si="48"/>
        <v>0</v>
      </c>
      <c r="I417" s="1">
        <f t="shared" si="42"/>
        <v>45145</v>
      </c>
      <c r="J417" s="1" t="str">
        <f t="shared" si="43"/>
        <v>NET PAYIN TO BSE MF A/C -57500000389146- FROM A/C -01671000085930- UCC -347707-57500000389146</v>
      </c>
      <c r="L417" s="7">
        <f t="shared" si="44"/>
        <v>3000</v>
      </c>
      <c r="M417" s="7">
        <f t="shared" si="45"/>
        <v>0</v>
      </c>
      <c r="N417" s="7">
        <f t="shared" si="46"/>
        <v>18326.29</v>
      </c>
      <c r="O417" s="7" t="str">
        <f t="shared" si="47"/>
        <v>HDFC 5930</v>
      </c>
    </row>
    <row r="418" spans="1:15" x14ac:dyDescent="0.25">
      <c r="A418" s="1">
        <v>45145</v>
      </c>
      <c r="B418" t="s">
        <v>472</v>
      </c>
      <c r="C418" s="1">
        <v>45145</v>
      </c>
      <c r="D418" s="2">
        <v>4420.05</v>
      </c>
      <c r="E418" s="2">
        <v>0</v>
      </c>
      <c r="F418" s="2">
        <v>13906.24</v>
      </c>
      <c r="G418" t="s">
        <v>719</v>
      </c>
      <c r="H418" s="7">
        <f t="shared" si="48"/>
        <v>0</v>
      </c>
      <c r="I418" s="1">
        <f t="shared" si="42"/>
        <v>45145</v>
      </c>
      <c r="J418" s="1" t="str">
        <f t="shared" si="43"/>
        <v>NET PI TO HSL SEC A/C 347707-00602340029392</v>
      </c>
      <c r="L418" s="7">
        <f t="shared" si="44"/>
        <v>4420.05</v>
      </c>
      <c r="M418" s="7">
        <f t="shared" si="45"/>
        <v>0</v>
      </c>
      <c r="N418" s="7">
        <f t="shared" si="46"/>
        <v>13906.24</v>
      </c>
      <c r="O418" s="7" t="str">
        <f t="shared" si="47"/>
        <v>HDFC 5930</v>
      </c>
    </row>
    <row r="419" spans="1:15" x14ac:dyDescent="0.25">
      <c r="A419" s="1">
        <v>45145</v>
      </c>
      <c r="B419" t="s">
        <v>589</v>
      </c>
      <c r="C419" s="1">
        <v>45145</v>
      </c>
      <c r="D419" s="2">
        <v>0</v>
      </c>
      <c r="E419" s="2">
        <v>63</v>
      </c>
      <c r="F419" s="2">
        <v>13969.24</v>
      </c>
      <c r="G419" t="s">
        <v>719</v>
      </c>
      <c r="H419" s="7">
        <f t="shared" si="48"/>
        <v>0</v>
      </c>
      <c r="I419" s="1">
        <f t="shared" si="42"/>
        <v>45145</v>
      </c>
      <c r="J419" s="1" t="str">
        <f t="shared" si="43"/>
        <v>ACH C- TCS1STINTDIV070823-758521</v>
      </c>
      <c r="L419" s="7">
        <f t="shared" si="44"/>
        <v>0</v>
      </c>
      <c r="M419" s="7">
        <f t="shared" si="45"/>
        <v>63</v>
      </c>
      <c r="N419" s="7">
        <f t="shared" si="46"/>
        <v>13969.24</v>
      </c>
      <c r="O419" s="7" t="str">
        <f t="shared" si="47"/>
        <v>HDFC 5930</v>
      </c>
    </row>
    <row r="420" spans="1:15" x14ac:dyDescent="0.25">
      <c r="A420" s="1">
        <v>45145</v>
      </c>
      <c r="B420" t="s">
        <v>590</v>
      </c>
      <c r="C420" s="1">
        <v>45145</v>
      </c>
      <c r="D420" s="2">
        <v>2500</v>
      </c>
      <c r="E420" s="2">
        <v>0</v>
      </c>
      <c r="F420" s="2">
        <v>11469.24</v>
      </c>
      <c r="G420" t="s">
        <v>719</v>
      </c>
      <c r="H420" s="7">
        <f t="shared" si="48"/>
        <v>0</v>
      </c>
      <c r="I420" s="1">
        <f t="shared" si="42"/>
        <v>45145</v>
      </c>
      <c r="J420" s="1" t="str">
        <f t="shared" si="43"/>
        <v>ACH D- TP ACH INVESTOCAFE-1217072991</v>
      </c>
      <c r="L420" s="7">
        <f t="shared" si="44"/>
        <v>2500</v>
      </c>
      <c r="M420" s="7">
        <f t="shared" si="45"/>
        <v>0</v>
      </c>
      <c r="N420" s="7">
        <f t="shared" si="46"/>
        <v>11469.24</v>
      </c>
      <c r="O420" s="7" t="str">
        <f t="shared" si="47"/>
        <v>HDFC 5930</v>
      </c>
    </row>
    <row r="421" spans="1:15" x14ac:dyDescent="0.25">
      <c r="A421" s="1">
        <v>45145</v>
      </c>
      <c r="B421" t="s">
        <v>591</v>
      </c>
      <c r="C421" s="1">
        <v>45145</v>
      </c>
      <c r="D421" s="2">
        <v>2000</v>
      </c>
      <c r="E421" s="2">
        <v>0</v>
      </c>
      <c r="F421" s="2">
        <v>9469.24</v>
      </c>
      <c r="G421" t="s">
        <v>719</v>
      </c>
      <c r="H421" s="7">
        <f t="shared" si="48"/>
        <v>0</v>
      </c>
      <c r="I421" s="1">
        <f t="shared" si="42"/>
        <v>45145</v>
      </c>
      <c r="J421" s="1" t="str">
        <f t="shared" si="43"/>
        <v>ACH D- TP ACH INVESTOCAFE-1217072990</v>
      </c>
      <c r="L421" s="7">
        <f t="shared" si="44"/>
        <v>2000</v>
      </c>
      <c r="M421" s="7">
        <f t="shared" si="45"/>
        <v>0</v>
      </c>
      <c r="N421" s="7">
        <f t="shared" si="46"/>
        <v>9469.24</v>
      </c>
      <c r="O421" s="7" t="str">
        <f t="shared" si="47"/>
        <v>HDFC 5930</v>
      </c>
    </row>
    <row r="422" spans="1:15" x14ac:dyDescent="0.25">
      <c r="A422" s="1">
        <v>45145</v>
      </c>
      <c r="B422" t="s">
        <v>592</v>
      </c>
      <c r="C422" s="1">
        <v>45145</v>
      </c>
      <c r="D422" s="2">
        <v>0</v>
      </c>
      <c r="E422" s="2">
        <v>100000</v>
      </c>
      <c r="F422" s="2">
        <v>109469.24</v>
      </c>
      <c r="G422" t="s">
        <v>719</v>
      </c>
      <c r="H422" s="7">
        <f t="shared" si="48"/>
        <v>0</v>
      </c>
      <c r="I422" s="1">
        <f t="shared" si="42"/>
        <v>45145</v>
      </c>
      <c r="J422" s="1" t="str">
        <f t="shared" si="43"/>
        <v>NEFT CR-SBIN0011669-MR  AJAY KUMAR GUPTA-AJAY KUMAR GUPTA-SBIN423219506319</v>
      </c>
      <c r="L422" s="7">
        <f t="shared" si="44"/>
        <v>0</v>
      </c>
      <c r="M422" s="7">
        <f t="shared" si="45"/>
        <v>100000</v>
      </c>
      <c r="N422" s="7">
        <f t="shared" si="46"/>
        <v>109469.24</v>
      </c>
      <c r="O422" s="7" t="str">
        <f t="shared" si="47"/>
        <v>HDFC 5930</v>
      </c>
    </row>
    <row r="423" spans="1:15" x14ac:dyDescent="0.25">
      <c r="A423" s="1">
        <v>45145</v>
      </c>
      <c r="B423" t="s">
        <v>593</v>
      </c>
      <c r="C423" s="1">
        <v>45145</v>
      </c>
      <c r="D423" s="2">
        <v>25000</v>
      </c>
      <c r="E423" s="2">
        <v>0</v>
      </c>
      <c r="F423" s="2">
        <v>84469.24</v>
      </c>
      <c r="G423" t="s">
        <v>719</v>
      </c>
      <c r="H423" s="7">
        <f t="shared" si="48"/>
        <v>0</v>
      </c>
      <c r="I423" s="1">
        <f t="shared" si="42"/>
        <v>45145</v>
      </c>
      <c r="J423" s="1" t="str">
        <f t="shared" si="43"/>
        <v>50100128155413-TPT-BORROW FROM AJAY-AAYUSH KUMAR GUPTA</v>
      </c>
      <c r="L423" s="7">
        <f t="shared" si="44"/>
        <v>25000</v>
      </c>
      <c r="M423" s="7">
        <f t="shared" si="45"/>
        <v>0</v>
      </c>
      <c r="N423" s="7">
        <f t="shared" si="46"/>
        <v>84469.24</v>
      </c>
      <c r="O423" s="7" t="str">
        <f t="shared" si="47"/>
        <v>HDFC 5930</v>
      </c>
    </row>
    <row r="424" spans="1:15" x14ac:dyDescent="0.25">
      <c r="A424" s="1">
        <v>45145</v>
      </c>
      <c r="B424" t="s">
        <v>586</v>
      </c>
      <c r="C424" s="1">
        <v>45145</v>
      </c>
      <c r="D424" s="2">
        <v>25000</v>
      </c>
      <c r="E424" s="2">
        <v>0</v>
      </c>
      <c r="F424" s="2">
        <v>59469.24</v>
      </c>
      <c r="G424" t="s">
        <v>719</v>
      </c>
      <c r="H424" s="7">
        <f t="shared" si="48"/>
        <v>0</v>
      </c>
      <c r="I424" s="1">
        <f t="shared" si="42"/>
        <v>45145</v>
      </c>
      <c r="J424" s="1" t="str">
        <f t="shared" si="43"/>
        <v>01671000060094-TPT-BORROW FROM AJAY-SUNITA GUPTA</v>
      </c>
      <c r="L424" s="7">
        <f t="shared" si="44"/>
        <v>25000</v>
      </c>
      <c r="M424" s="7">
        <f t="shared" si="45"/>
        <v>0</v>
      </c>
      <c r="N424" s="7">
        <f t="shared" si="46"/>
        <v>59469.24</v>
      </c>
      <c r="O424" s="7" t="str">
        <f t="shared" si="47"/>
        <v>HDFC 5930</v>
      </c>
    </row>
    <row r="425" spans="1:15" x14ac:dyDescent="0.25">
      <c r="A425" s="1">
        <v>45146</v>
      </c>
      <c r="B425" t="s">
        <v>473</v>
      </c>
      <c r="C425" s="1">
        <v>45145</v>
      </c>
      <c r="D425" s="2">
        <v>0</v>
      </c>
      <c r="E425" s="2">
        <v>2333.67</v>
      </c>
      <c r="F425" s="2">
        <v>61802.91</v>
      </c>
      <c r="G425" t="s">
        <v>719</v>
      </c>
      <c r="H425" s="7">
        <f t="shared" si="48"/>
        <v>0</v>
      </c>
      <c r="I425" s="1">
        <f t="shared" si="42"/>
        <v>45146</v>
      </c>
      <c r="J425" s="1" t="str">
        <f t="shared" si="43"/>
        <v>NET PO FROM HSL A/C 347707-00602340029392</v>
      </c>
      <c r="L425" s="7">
        <f t="shared" si="44"/>
        <v>0</v>
      </c>
      <c r="M425" s="7">
        <f t="shared" si="45"/>
        <v>2333.67</v>
      </c>
      <c r="N425" s="7">
        <f t="shared" si="46"/>
        <v>61802.91</v>
      </c>
      <c r="O425" s="7" t="str">
        <f t="shared" si="47"/>
        <v>HDFC 5930</v>
      </c>
    </row>
    <row r="426" spans="1:15" x14ac:dyDescent="0.25">
      <c r="A426" s="1">
        <v>45146</v>
      </c>
      <c r="B426" t="s">
        <v>473</v>
      </c>
      <c r="C426" s="1">
        <v>45145</v>
      </c>
      <c r="D426" s="2">
        <v>0</v>
      </c>
      <c r="E426" s="2">
        <v>3535.77</v>
      </c>
      <c r="F426" s="2">
        <v>65338.68</v>
      </c>
      <c r="G426" t="s">
        <v>719</v>
      </c>
      <c r="H426" s="7">
        <f t="shared" si="48"/>
        <v>0</v>
      </c>
      <c r="I426" s="1">
        <f t="shared" si="42"/>
        <v>45146</v>
      </c>
      <c r="J426" s="1" t="str">
        <f t="shared" si="43"/>
        <v>NET PO FROM HSL A/C 347707-00602340029392</v>
      </c>
      <c r="L426" s="7">
        <f t="shared" si="44"/>
        <v>0</v>
      </c>
      <c r="M426" s="7">
        <f t="shared" si="45"/>
        <v>3535.77</v>
      </c>
      <c r="N426" s="7">
        <f t="shared" si="46"/>
        <v>65338.68</v>
      </c>
      <c r="O426" s="7" t="str">
        <f t="shared" si="47"/>
        <v>HDFC 5930</v>
      </c>
    </row>
    <row r="427" spans="1:15" x14ac:dyDescent="0.25">
      <c r="A427" s="1">
        <v>45146</v>
      </c>
      <c r="B427" t="s">
        <v>480</v>
      </c>
      <c r="C427" s="1">
        <v>45146</v>
      </c>
      <c r="D427" s="2">
        <v>3000</v>
      </c>
      <c r="E427" s="2">
        <v>0</v>
      </c>
      <c r="F427" s="2">
        <v>62338.68</v>
      </c>
      <c r="G427" t="s">
        <v>719</v>
      </c>
      <c r="H427" s="7">
        <f t="shared" si="48"/>
        <v>0</v>
      </c>
      <c r="I427" s="1">
        <f t="shared" si="42"/>
        <v>45146</v>
      </c>
      <c r="J427" s="1" t="str">
        <f t="shared" si="43"/>
        <v>NET PAYIN TO BSE MF A/C -57500000389146- FROM A/C -01671000085930- UCC -347707-57500000389146</v>
      </c>
      <c r="L427" s="7">
        <f t="shared" si="44"/>
        <v>3000</v>
      </c>
      <c r="M427" s="7">
        <f t="shared" si="45"/>
        <v>0</v>
      </c>
      <c r="N427" s="7">
        <f t="shared" si="46"/>
        <v>62338.68</v>
      </c>
      <c r="O427" s="7" t="str">
        <f t="shared" si="47"/>
        <v>HDFC 5930</v>
      </c>
    </row>
    <row r="428" spans="1:15" x14ac:dyDescent="0.25">
      <c r="A428" s="1">
        <v>45146</v>
      </c>
      <c r="B428" t="s">
        <v>472</v>
      </c>
      <c r="C428" s="1">
        <v>45146</v>
      </c>
      <c r="D428" s="2">
        <v>313.79000000000002</v>
      </c>
      <c r="E428" s="2">
        <v>0</v>
      </c>
      <c r="F428" s="2">
        <v>62024.89</v>
      </c>
      <c r="G428" t="s">
        <v>719</v>
      </c>
      <c r="H428" s="7">
        <f t="shared" si="48"/>
        <v>0</v>
      </c>
      <c r="I428" s="1">
        <f t="shared" si="42"/>
        <v>45146</v>
      </c>
      <c r="J428" s="1" t="str">
        <f t="shared" si="43"/>
        <v>NET PI TO HSL SEC A/C 347707-00602340029392</v>
      </c>
      <c r="L428" s="7">
        <f t="shared" si="44"/>
        <v>313.79000000000002</v>
      </c>
      <c r="M428" s="7">
        <f t="shared" si="45"/>
        <v>0</v>
      </c>
      <c r="N428" s="7">
        <f t="shared" si="46"/>
        <v>62024.89</v>
      </c>
      <c r="O428" s="7" t="str">
        <f t="shared" si="47"/>
        <v>HDFC 5930</v>
      </c>
    </row>
    <row r="429" spans="1:15" x14ac:dyDescent="0.25">
      <c r="A429" s="1">
        <v>45146</v>
      </c>
      <c r="B429" t="s">
        <v>472</v>
      </c>
      <c r="C429" s="1">
        <v>45146</v>
      </c>
      <c r="D429" s="2">
        <v>10771.01</v>
      </c>
      <c r="E429" s="2">
        <v>0</v>
      </c>
      <c r="F429" s="2">
        <v>51253.88</v>
      </c>
      <c r="G429" t="s">
        <v>719</v>
      </c>
      <c r="H429" s="7">
        <f t="shared" si="48"/>
        <v>0</v>
      </c>
      <c r="I429" s="1">
        <f t="shared" si="42"/>
        <v>45146</v>
      </c>
      <c r="J429" s="1" t="str">
        <f t="shared" si="43"/>
        <v>NET PI TO HSL SEC A/C 347707-00602340029392</v>
      </c>
      <c r="L429" s="7">
        <f t="shared" si="44"/>
        <v>10771.01</v>
      </c>
      <c r="M429" s="7">
        <f t="shared" si="45"/>
        <v>0</v>
      </c>
      <c r="N429" s="7">
        <f t="shared" si="46"/>
        <v>51253.88</v>
      </c>
      <c r="O429" s="7" t="str">
        <f t="shared" si="47"/>
        <v>HDFC 5930</v>
      </c>
    </row>
    <row r="430" spans="1:15" x14ac:dyDescent="0.25">
      <c r="A430" s="1">
        <v>45146</v>
      </c>
      <c r="B430" t="s">
        <v>473</v>
      </c>
      <c r="C430" s="1">
        <v>45146</v>
      </c>
      <c r="D430" s="2">
        <v>0</v>
      </c>
      <c r="E430" s="2">
        <v>7800.21</v>
      </c>
      <c r="F430" s="2">
        <v>59054.09</v>
      </c>
      <c r="G430" t="s">
        <v>719</v>
      </c>
      <c r="H430" s="7">
        <f t="shared" si="48"/>
        <v>0</v>
      </c>
      <c r="I430" s="1">
        <f t="shared" si="42"/>
        <v>45146</v>
      </c>
      <c r="J430" s="1" t="str">
        <f t="shared" si="43"/>
        <v>NET PO FROM HSL A/C 347707-00602340029392</v>
      </c>
      <c r="L430" s="7">
        <f t="shared" si="44"/>
        <v>0</v>
      </c>
      <c r="M430" s="7">
        <f t="shared" si="45"/>
        <v>7800.21</v>
      </c>
      <c r="N430" s="7">
        <f t="shared" si="46"/>
        <v>59054.09</v>
      </c>
      <c r="O430" s="7" t="str">
        <f t="shared" si="47"/>
        <v>HDFC 5930</v>
      </c>
    </row>
    <row r="431" spans="1:15" x14ac:dyDescent="0.25">
      <c r="A431" s="1">
        <v>45147</v>
      </c>
      <c r="B431" t="s">
        <v>472</v>
      </c>
      <c r="C431" s="1">
        <v>45147</v>
      </c>
      <c r="D431" s="2">
        <v>308.48</v>
      </c>
      <c r="E431" s="2">
        <v>0</v>
      </c>
      <c r="F431" s="2">
        <v>58745.61</v>
      </c>
      <c r="G431" t="s">
        <v>719</v>
      </c>
      <c r="H431" s="7">
        <f t="shared" si="48"/>
        <v>0</v>
      </c>
      <c r="I431" s="1">
        <f t="shared" si="42"/>
        <v>45147</v>
      </c>
      <c r="J431" s="1" t="str">
        <f t="shared" si="43"/>
        <v>NET PI TO HSL SEC A/C 347707-00602340029392</v>
      </c>
      <c r="L431" s="7">
        <f t="shared" si="44"/>
        <v>308.48</v>
      </c>
      <c r="M431" s="7">
        <f t="shared" si="45"/>
        <v>0</v>
      </c>
      <c r="N431" s="7">
        <f t="shared" si="46"/>
        <v>58745.61</v>
      </c>
      <c r="O431" s="7" t="str">
        <f t="shared" si="47"/>
        <v>HDFC 5930</v>
      </c>
    </row>
    <row r="432" spans="1:15" x14ac:dyDescent="0.25">
      <c r="A432" s="1">
        <v>45147</v>
      </c>
      <c r="B432" t="s">
        <v>473</v>
      </c>
      <c r="C432" s="1">
        <v>45147</v>
      </c>
      <c r="D432" s="2">
        <v>0</v>
      </c>
      <c r="E432" s="2">
        <v>1972.67</v>
      </c>
      <c r="F432" s="2">
        <v>60718.28</v>
      </c>
      <c r="G432" t="s">
        <v>719</v>
      </c>
      <c r="H432" s="7">
        <f t="shared" si="48"/>
        <v>0</v>
      </c>
      <c r="I432" s="1">
        <f t="shared" si="42"/>
        <v>45147</v>
      </c>
      <c r="J432" s="1" t="str">
        <f t="shared" si="43"/>
        <v>NET PO FROM HSL A/C 347707-00602340029392</v>
      </c>
      <c r="L432" s="7">
        <f t="shared" si="44"/>
        <v>0</v>
      </c>
      <c r="M432" s="7">
        <f t="shared" si="45"/>
        <v>1972.67</v>
      </c>
      <c r="N432" s="7">
        <f t="shared" si="46"/>
        <v>60718.28</v>
      </c>
      <c r="O432" s="7" t="str">
        <f t="shared" si="47"/>
        <v>HDFC 5930</v>
      </c>
    </row>
    <row r="433" spans="1:15" x14ac:dyDescent="0.25">
      <c r="A433" s="1">
        <v>45147</v>
      </c>
      <c r="B433" t="s">
        <v>473</v>
      </c>
      <c r="C433" s="1">
        <v>45147</v>
      </c>
      <c r="D433" s="2">
        <v>0</v>
      </c>
      <c r="E433" s="2">
        <v>5508.56</v>
      </c>
      <c r="F433" s="2">
        <v>66226.84</v>
      </c>
      <c r="G433" t="s">
        <v>719</v>
      </c>
      <c r="H433" s="7">
        <f t="shared" si="48"/>
        <v>0</v>
      </c>
      <c r="I433" s="1">
        <f t="shared" si="42"/>
        <v>45147</v>
      </c>
      <c r="J433" s="1" t="str">
        <f t="shared" si="43"/>
        <v>NET PO FROM HSL A/C 347707-00602340029392</v>
      </c>
      <c r="L433" s="7">
        <f t="shared" si="44"/>
        <v>0</v>
      </c>
      <c r="M433" s="7">
        <f t="shared" si="45"/>
        <v>5508.56</v>
      </c>
      <c r="N433" s="7">
        <f t="shared" si="46"/>
        <v>66226.84</v>
      </c>
      <c r="O433" s="7" t="str">
        <f t="shared" si="47"/>
        <v>HDFC 5930</v>
      </c>
    </row>
    <row r="434" spans="1:15" x14ac:dyDescent="0.25">
      <c r="A434" s="1">
        <v>45148</v>
      </c>
      <c r="B434" t="s">
        <v>504</v>
      </c>
      <c r="C434" s="1">
        <v>45148</v>
      </c>
      <c r="D434" s="2">
        <v>4000</v>
      </c>
      <c r="E434" s="2">
        <v>0</v>
      </c>
      <c r="F434" s="2">
        <v>62226.84</v>
      </c>
      <c r="G434" t="s">
        <v>719</v>
      </c>
      <c r="H434" s="7">
        <f t="shared" si="48"/>
        <v>0</v>
      </c>
      <c r="I434" s="1">
        <f t="shared" si="42"/>
        <v>45148</v>
      </c>
      <c r="J434" s="1" t="str">
        <f t="shared" si="43"/>
        <v>O-MF-HSBC MF-O-O416-000000101236</v>
      </c>
      <c r="L434" s="7">
        <f t="shared" si="44"/>
        <v>4000</v>
      </c>
      <c r="M434" s="7">
        <f t="shared" si="45"/>
        <v>0</v>
      </c>
      <c r="N434" s="7">
        <f t="shared" si="46"/>
        <v>62226.84</v>
      </c>
      <c r="O434" s="7" t="str">
        <f t="shared" si="47"/>
        <v>HDFC 5930</v>
      </c>
    </row>
    <row r="435" spans="1:15" x14ac:dyDescent="0.25">
      <c r="A435" s="1">
        <v>45148</v>
      </c>
      <c r="B435" t="s">
        <v>480</v>
      </c>
      <c r="C435" s="1">
        <v>45148</v>
      </c>
      <c r="D435" s="2">
        <v>3000</v>
      </c>
      <c r="E435" s="2">
        <v>0</v>
      </c>
      <c r="F435" s="2">
        <v>59226.84</v>
      </c>
      <c r="G435" t="s">
        <v>719</v>
      </c>
      <c r="H435" s="7">
        <f t="shared" si="48"/>
        <v>0</v>
      </c>
      <c r="I435" s="1">
        <f t="shared" si="42"/>
        <v>45148</v>
      </c>
      <c r="J435" s="1" t="str">
        <f t="shared" si="43"/>
        <v>NET PAYIN TO BSE MF A/C -57500000389146- FROM A/C -01671000085930- UCC -347707-57500000389146</v>
      </c>
      <c r="L435" s="7">
        <f t="shared" si="44"/>
        <v>3000</v>
      </c>
      <c r="M435" s="7">
        <f t="shared" si="45"/>
        <v>0</v>
      </c>
      <c r="N435" s="7">
        <f t="shared" si="46"/>
        <v>59226.84</v>
      </c>
      <c r="O435" s="7" t="str">
        <f t="shared" si="47"/>
        <v>HDFC 5930</v>
      </c>
    </row>
    <row r="436" spans="1:15" x14ac:dyDescent="0.25">
      <c r="A436" s="1">
        <v>45148</v>
      </c>
      <c r="B436" t="s">
        <v>480</v>
      </c>
      <c r="C436" s="1">
        <v>45148</v>
      </c>
      <c r="D436" s="2">
        <v>5000</v>
      </c>
      <c r="E436" s="2">
        <v>0</v>
      </c>
      <c r="F436" s="2">
        <v>54226.84</v>
      </c>
      <c r="G436" t="s">
        <v>719</v>
      </c>
      <c r="H436" s="7">
        <f t="shared" si="48"/>
        <v>0</v>
      </c>
      <c r="I436" s="1">
        <f t="shared" si="42"/>
        <v>45148</v>
      </c>
      <c r="J436" s="1" t="str">
        <f t="shared" si="43"/>
        <v>NET PAYIN TO BSE MF A/C -57500000389146- FROM A/C -01671000085930- UCC -347707-57500000389146</v>
      </c>
      <c r="L436" s="7">
        <f t="shared" si="44"/>
        <v>5000</v>
      </c>
      <c r="M436" s="7">
        <f t="shared" si="45"/>
        <v>0</v>
      </c>
      <c r="N436" s="7">
        <f t="shared" si="46"/>
        <v>54226.84</v>
      </c>
      <c r="O436" s="7" t="str">
        <f t="shared" si="47"/>
        <v>HDFC 5930</v>
      </c>
    </row>
    <row r="437" spans="1:15" x14ac:dyDescent="0.25">
      <c r="A437" s="1">
        <v>45148</v>
      </c>
      <c r="B437" t="s">
        <v>472</v>
      </c>
      <c r="C437" s="1">
        <v>45148</v>
      </c>
      <c r="D437" s="2">
        <v>329.41</v>
      </c>
      <c r="E437" s="2">
        <v>0</v>
      </c>
      <c r="F437" s="2">
        <v>53897.43</v>
      </c>
      <c r="G437" t="s">
        <v>719</v>
      </c>
      <c r="H437" s="7">
        <f t="shared" si="48"/>
        <v>0</v>
      </c>
      <c r="I437" s="1">
        <f t="shared" si="42"/>
        <v>45148</v>
      </c>
      <c r="J437" s="1" t="str">
        <f t="shared" si="43"/>
        <v>NET PI TO HSL SEC A/C 347707-00602340029392</v>
      </c>
      <c r="L437" s="7">
        <f t="shared" si="44"/>
        <v>329.41</v>
      </c>
      <c r="M437" s="7">
        <f t="shared" si="45"/>
        <v>0</v>
      </c>
      <c r="N437" s="7">
        <f t="shared" si="46"/>
        <v>53897.43</v>
      </c>
      <c r="O437" s="7" t="str">
        <f t="shared" si="47"/>
        <v>HDFC 5930</v>
      </c>
    </row>
    <row r="438" spans="1:15" x14ac:dyDescent="0.25">
      <c r="A438" s="1">
        <v>45148</v>
      </c>
      <c r="B438" t="s">
        <v>480</v>
      </c>
      <c r="C438" s="1">
        <v>45148</v>
      </c>
      <c r="D438" s="2">
        <v>10000</v>
      </c>
      <c r="E438" s="2">
        <v>0</v>
      </c>
      <c r="F438" s="2">
        <v>43897.43</v>
      </c>
      <c r="G438" t="s">
        <v>719</v>
      </c>
      <c r="H438" s="7">
        <f t="shared" si="48"/>
        <v>0</v>
      </c>
      <c r="I438" s="1">
        <f t="shared" si="42"/>
        <v>45148</v>
      </c>
      <c r="J438" s="1" t="str">
        <f t="shared" si="43"/>
        <v>NET PAYIN TO BSE MF A/C -57500000389146- FROM A/C -01671000085930- UCC -347707-57500000389146</v>
      </c>
      <c r="L438" s="7">
        <f t="shared" si="44"/>
        <v>10000</v>
      </c>
      <c r="M438" s="7">
        <f t="shared" si="45"/>
        <v>0</v>
      </c>
      <c r="N438" s="7">
        <f t="shared" si="46"/>
        <v>43897.43</v>
      </c>
      <c r="O438" s="7" t="str">
        <f t="shared" si="47"/>
        <v>HDFC 5930</v>
      </c>
    </row>
    <row r="439" spans="1:15" x14ac:dyDescent="0.25">
      <c r="A439" s="1">
        <v>45148</v>
      </c>
      <c r="B439" t="s">
        <v>594</v>
      </c>
      <c r="C439" s="1">
        <v>45148</v>
      </c>
      <c r="D439" s="2">
        <v>0</v>
      </c>
      <c r="E439" s="2">
        <v>847.5</v>
      </c>
      <c r="F439" s="2">
        <v>44744.93</v>
      </c>
      <c r="G439" t="s">
        <v>719</v>
      </c>
      <c r="H439" s="7">
        <f t="shared" si="48"/>
        <v>0</v>
      </c>
      <c r="I439" s="1">
        <f t="shared" si="42"/>
        <v>45148</v>
      </c>
      <c r="J439" s="1" t="str">
        <f t="shared" si="43"/>
        <v>ACH C- DEEPAK NITRITE 22 23-207350</v>
      </c>
      <c r="L439" s="7">
        <f t="shared" si="44"/>
        <v>0</v>
      </c>
      <c r="M439" s="7">
        <f t="shared" si="45"/>
        <v>847.5</v>
      </c>
      <c r="N439" s="7">
        <f t="shared" si="46"/>
        <v>44744.93</v>
      </c>
      <c r="O439" s="7" t="str">
        <f t="shared" si="47"/>
        <v>HDFC 5930</v>
      </c>
    </row>
    <row r="440" spans="1:15" x14ac:dyDescent="0.25">
      <c r="A440" s="1">
        <v>45149</v>
      </c>
      <c r="B440" t="s">
        <v>472</v>
      </c>
      <c r="C440" s="1">
        <v>45149</v>
      </c>
      <c r="D440" s="2">
        <v>20772.759999999998</v>
      </c>
      <c r="E440" s="2">
        <v>0</v>
      </c>
      <c r="F440" s="2">
        <v>23972.17</v>
      </c>
      <c r="G440" t="s">
        <v>719</v>
      </c>
      <c r="H440" s="7">
        <f t="shared" si="48"/>
        <v>0</v>
      </c>
      <c r="I440" s="1">
        <f t="shared" si="42"/>
        <v>45149</v>
      </c>
      <c r="J440" s="1" t="str">
        <f t="shared" si="43"/>
        <v>NET PI TO HSL SEC A/C 347707-00602340029392</v>
      </c>
      <c r="L440" s="7">
        <f t="shared" si="44"/>
        <v>20772.759999999998</v>
      </c>
      <c r="M440" s="7">
        <f t="shared" si="45"/>
        <v>0</v>
      </c>
      <c r="N440" s="7">
        <f t="shared" si="46"/>
        <v>23972.17</v>
      </c>
      <c r="O440" s="7" t="str">
        <f t="shared" si="47"/>
        <v>HDFC 5930</v>
      </c>
    </row>
    <row r="441" spans="1:15" x14ac:dyDescent="0.25">
      <c r="A441" s="1">
        <v>45149</v>
      </c>
      <c r="B441" t="s">
        <v>595</v>
      </c>
      <c r="C441" s="1">
        <v>45149</v>
      </c>
      <c r="D441" s="2">
        <v>0</v>
      </c>
      <c r="E441" s="2">
        <v>150000</v>
      </c>
      <c r="F441" s="2">
        <v>173972.17</v>
      </c>
      <c r="G441" t="s">
        <v>719</v>
      </c>
      <c r="H441" s="7">
        <f t="shared" si="48"/>
        <v>0</v>
      </c>
      <c r="I441" s="1">
        <f t="shared" si="42"/>
        <v>45149</v>
      </c>
      <c r="J441" s="1" t="str">
        <f t="shared" si="43"/>
        <v>NEFT CR-SBIN0011669-MR  AJAY KUMAR GUPTA-AJAY KUMAR GUPTA-SBIN423223756583</v>
      </c>
      <c r="L441" s="7">
        <f t="shared" si="44"/>
        <v>0</v>
      </c>
      <c r="M441" s="7">
        <f t="shared" si="45"/>
        <v>150000</v>
      </c>
      <c r="N441" s="7">
        <f t="shared" si="46"/>
        <v>173972.17</v>
      </c>
      <c r="O441" s="7" t="str">
        <f t="shared" si="47"/>
        <v>HDFC 5930</v>
      </c>
    </row>
    <row r="442" spans="1:15" x14ac:dyDescent="0.25">
      <c r="A442" s="1">
        <v>45149</v>
      </c>
      <c r="B442" t="s">
        <v>596</v>
      </c>
      <c r="C442" s="1">
        <v>45149</v>
      </c>
      <c r="D442" s="2">
        <v>0</v>
      </c>
      <c r="E442" s="2">
        <v>3040</v>
      </c>
      <c r="F442" s="2">
        <v>177012.17</v>
      </c>
      <c r="G442" t="s">
        <v>719</v>
      </c>
      <c r="H442" s="7">
        <f t="shared" si="48"/>
        <v>0</v>
      </c>
      <c r="I442" s="1">
        <f t="shared" si="42"/>
        <v>45149</v>
      </c>
      <c r="J442" s="1" t="str">
        <f t="shared" si="43"/>
        <v>1008912122 TECH MAHINDRA LT FIN DIV22 23</v>
      </c>
      <c r="L442" s="7">
        <f t="shared" si="44"/>
        <v>0</v>
      </c>
      <c r="M442" s="7">
        <f t="shared" si="45"/>
        <v>3040</v>
      </c>
      <c r="N442" s="7">
        <f t="shared" si="46"/>
        <v>177012.17</v>
      </c>
      <c r="O442" s="7" t="str">
        <f t="shared" si="47"/>
        <v>HDFC 5930</v>
      </c>
    </row>
    <row r="443" spans="1:15" x14ac:dyDescent="0.25">
      <c r="A443" s="1">
        <v>45149</v>
      </c>
      <c r="B443" t="s">
        <v>472</v>
      </c>
      <c r="C443" s="1">
        <v>45149</v>
      </c>
      <c r="D443" s="2">
        <v>319.17</v>
      </c>
      <c r="E443" s="2">
        <v>0</v>
      </c>
      <c r="F443" s="2">
        <v>176693</v>
      </c>
      <c r="G443" t="s">
        <v>719</v>
      </c>
      <c r="H443" s="7">
        <f t="shared" si="48"/>
        <v>0</v>
      </c>
      <c r="I443" s="1">
        <f t="shared" si="42"/>
        <v>45149</v>
      </c>
      <c r="J443" s="1" t="str">
        <f t="shared" si="43"/>
        <v>NET PI TO HSL SEC A/C 347707-00602340029392</v>
      </c>
      <c r="L443" s="7">
        <f t="shared" si="44"/>
        <v>319.17</v>
      </c>
      <c r="M443" s="7">
        <f t="shared" si="45"/>
        <v>0</v>
      </c>
      <c r="N443" s="7">
        <f t="shared" si="46"/>
        <v>176693</v>
      </c>
      <c r="O443" s="7" t="str">
        <f t="shared" si="47"/>
        <v>HDFC 5930</v>
      </c>
    </row>
    <row r="444" spans="1:15" x14ac:dyDescent="0.25">
      <c r="A444" s="1">
        <v>45149</v>
      </c>
      <c r="B444" t="s">
        <v>472</v>
      </c>
      <c r="C444" s="1">
        <v>45149</v>
      </c>
      <c r="D444" s="2">
        <v>15525.32</v>
      </c>
      <c r="E444" s="2">
        <v>0</v>
      </c>
      <c r="F444" s="2">
        <v>161167.67999999999</v>
      </c>
      <c r="G444" t="s">
        <v>719</v>
      </c>
      <c r="H444" s="7">
        <f t="shared" si="48"/>
        <v>0</v>
      </c>
      <c r="I444" s="1">
        <f t="shared" si="42"/>
        <v>45149</v>
      </c>
      <c r="J444" s="1" t="str">
        <f t="shared" si="43"/>
        <v>NET PI TO HSL SEC A/C 347707-00602340029392</v>
      </c>
      <c r="L444" s="7">
        <f t="shared" si="44"/>
        <v>15525.32</v>
      </c>
      <c r="M444" s="7">
        <f t="shared" si="45"/>
        <v>0</v>
      </c>
      <c r="N444" s="7">
        <f t="shared" si="46"/>
        <v>161167.67999999999</v>
      </c>
      <c r="O444" s="7" t="str">
        <f t="shared" si="47"/>
        <v>HDFC 5930</v>
      </c>
    </row>
    <row r="445" spans="1:15" x14ac:dyDescent="0.25">
      <c r="A445" s="1">
        <v>45149</v>
      </c>
      <c r="B445" t="s">
        <v>472</v>
      </c>
      <c r="C445" s="1">
        <v>45149</v>
      </c>
      <c r="D445" s="2">
        <v>3403.93</v>
      </c>
      <c r="E445" s="2">
        <v>0</v>
      </c>
      <c r="F445" s="2">
        <v>157763.75</v>
      </c>
      <c r="G445" t="s">
        <v>719</v>
      </c>
      <c r="H445" s="7">
        <f t="shared" si="48"/>
        <v>0</v>
      </c>
      <c r="I445" s="1">
        <f t="shared" si="42"/>
        <v>45149</v>
      </c>
      <c r="J445" s="1" t="str">
        <f t="shared" si="43"/>
        <v>NET PI TO HSL SEC A/C 347707-00602340029392</v>
      </c>
      <c r="L445" s="7">
        <f t="shared" si="44"/>
        <v>3403.93</v>
      </c>
      <c r="M445" s="7">
        <f t="shared" si="45"/>
        <v>0</v>
      </c>
      <c r="N445" s="7">
        <f t="shared" si="46"/>
        <v>157763.75</v>
      </c>
      <c r="O445" s="7" t="str">
        <f t="shared" si="47"/>
        <v>HDFC 5930</v>
      </c>
    </row>
    <row r="446" spans="1:15" x14ac:dyDescent="0.25">
      <c r="A446" s="1">
        <v>45152</v>
      </c>
      <c r="B446" t="s">
        <v>480</v>
      </c>
      <c r="C446" s="1">
        <v>45152</v>
      </c>
      <c r="D446" s="2">
        <v>3000</v>
      </c>
      <c r="E446" s="2">
        <v>0</v>
      </c>
      <c r="F446" s="2">
        <v>154763.75</v>
      </c>
      <c r="G446" t="s">
        <v>719</v>
      </c>
      <c r="H446" s="7">
        <f t="shared" si="48"/>
        <v>0</v>
      </c>
      <c r="I446" s="1">
        <f t="shared" si="42"/>
        <v>45152</v>
      </c>
      <c r="J446" s="1" t="str">
        <f t="shared" si="43"/>
        <v>NET PAYIN TO BSE MF A/C -57500000389146- FROM A/C -01671000085930- UCC -347707-57500000389146</v>
      </c>
      <c r="L446" s="7">
        <f t="shared" si="44"/>
        <v>3000</v>
      </c>
      <c r="M446" s="7">
        <f t="shared" si="45"/>
        <v>0</v>
      </c>
      <c r="N446" s="7">
        <f t="shared" si="46"/>
        <v>154763.75</v>
      </c>
      <c r="O446" s="7" t="str">
        <f t="shared" si="47"/>
        <v>HDFC 5930</v>
      </c>
    </row>
    <row r="447" spans="1:15" x14ac:dyDescent="0.25">
      <c r="A447" s="1">
        <v>45152</v>
      </c>
      <c r="B447" t="s">
        <v>472</v>
      </c>
      <c r="C447" s="1">
        <v>45152</v>
      </c>
      <c r="D447" s="2">
        <v>1060.95</v>
      </c>
      <c r="E447" s="2">
        <v>0</v>
      </c>
      <c r="F447" s="2">
        <v>153702.79999999999</v>
      </c>
      <c r="G447" t="s">
        <v>719</v>
      </c>
      <c r="H447" s="7">
        <f t="shared" si="48"/>
        <v>0</v>
      </c>
      <c r="I447" s="1">
        <f t="shared" si="42"/>
        <v>45152</v>
      </c>
      <c r="J447" s="1" t="str">
        <f t="shared" si="43"/>
        <v>NET PI TO HSL SEC A/C 347707-00602340029392</v>
      </c>
      <c r="L447" s="7">
        <f t="shared" si="44"/>
        <v>1060.95</v>
      </c>
      <c r="M447" s="7">
        <f t="shared" si="45"/>
        <v>0</v>
      </c>
      <c r="N447" s="7">
        <f t="shared" si="46"/>
        <v>153702.79999999999</v>
      </c>
      <c r="O447" s="7" t="str">
        <f t="shared" si="47"/>
        <v>HDFC 5930</v>
      </c>
    </row>
    <row r="448" spans="1:15" x14ac:dyDescent="0.25">
      <c r="A448" s="1">
        <v>45152</v>
      </c>
      <c r="B448" t="s">
        <v>472</v>
      </c>
      <c r="C448" s="1">
        <v>45152</v>
      </c>
      <c r="D448" s="2">
        <v>33514.99</v>
      </c>
      <c r="E448" s="2">
        <v>0</v>
      </c>
      <c r="F448" s="2">
        <v>120187.81</v>
      </c>
      <c r="G448" t="s">
        <v>719</v>
      </c>
      <c r="H448" s="7">
        <f t="shared" si="48"/>
        <v>0</v>
      </c>
      <c r="I448" s="1">
        <f t="shared" si="42"/>
        <v>45152</v>
      </c>
      <c r="J448" s="1" t="str">
        <f t="shared" si="43"/>
        <v>NET PI TO HSL SEC A/C 347707-00602340029392</v>
      </c>
      <c r="L448" s="7">
        <f t="shared" si="44"/>
        <v>33514.99</v>
      </c>
      <c r="M448" s="7">
        <f t="shared" si="45"/>
        <v>0</v>
      </c>
      <c r="N448" s="7">
        <f t="shared" si="46"/>
        <v>120187.81</v>
      </c>
      <c r="O448" s="7" t="str">
        <f t="shared" si="47"/>
        <v>HDFC 5930</v>
      </c>
    </row>
    <row r="449" spans="1:15" x14ac:dyDescent="0.25">
      <c r="A449" s="1">
        <v>45154</v>
      </c>
      <c r="B449" t="s">
        <v>472</v>
      </c>
      <c r="C449" s="1">
        <v>45154</v>
      </c>
      <c r="D449" s="2">
        <v>686.64</v>
      </c>
      <c r="E449" s="2">
        <v>0</v>
      </c>
      <c r="F449" s="2">
        <v>119501.17</v>
      </c>
      <c r="G449" t="s">
        <v>719</v>
      </c>
      <c r="H449" s="7">
        <f t="shared" si="48"/>
        <v>0</v>
      </c>
      <c r="I449" s="1">
        <f t="shared" si="42"/>
        <v>45154</v>
      </c>
      <c r="J449" s="1" t="str">
        <f t="shared" si="43"/>
        <v>NET PI TO HSL SEC A/C 347707-00602340029392</v>
      </c>
      <c r="L449" s="7">
        <f t="shared" si="44"/>
        <v>686.64</v>
      </c>
      <c r="M449" s="7">
        <f t="shared" si="45"/>
        <v>0</v>
      </c>
      <c r="N449" s="7">
        <f t="shared" si="46"/>
        <v>119501.17</v>
      </c>
      <c r="O449" s="7" t="str">
        <f t="shared" si="47"/>
        <v>HDFC 5930</v>
      </c>
    </row>
    <row r="450" spans="1:15" x14ac:dyDescent="0.25">
      <c r="A450" s="1">
        <v>45154</v>
      </c>
      <c r="B450" t="s">
        <v>597</v>
      </c>
      <c r="C450" s="1">
        <v>45154</v>
      </c>
      <c r="D450" s="2">
        <v>1500</v>
      </c>
      <c r="E450" s="2">
        <v>0</v>
      </c>
      <c r="F450" s="2">
        <v>118001.17</v>
      </c>
      <c r="G450" t="s">
        <v>719</v>
      </c>
      <c r="H450" s="7">
        <f t="shared" si="48"/>
        <v>0</v>
      </c>
      <c r="I450" s="1">
        <f t="shared" si="42"/>
        <v>45154</v>
      </c>
      <c r="J450" s="1" t="str">
        <f t="shared" si="43"/>
        <v>ACH D- TP ACH INVESTOCAFE-1223386026</v>
      </c>
      <c r="L450" s="7">
        <f t="shared" si="44"/>
        <v>1500</v>
      </c>
      <c r="M450" s="7">
        <f t="shared" si="45"/>
        <v>0</v>
      </c>
      <c r="N450" s="7">
        <f t="shared" si="46"/>
        <v>118001.17</v>
      </c>
      <c r="O450" s="7" t="str">
        <f t="shared" si="47"/>
        <v>HDFC 5930</v>
      </c>
    </row>
    <row r="451" spans="1:15" x14ac:dyDescent="0.25">
      <c r="A451" s="1">
        <v>45154</v>
      </c>
      <c r="B451" t="s">
        <v>598</v>
      </c>
      <c r="C451" s="1">
        <v>45154</v>
      </c>
      <c r="D451" s="2">
        <v>2000</v>
      </c>
      <c r="E451" s="2">
        <v>0</v>
      </c>
      <c r="F451" s="2">
        <v>116001.17</v>
      </c>
      <c r="G451" t="s">
        <v>719</v>
      </c>
      <c r="H451" s="7">
        <f t="shared" si="48"/>
        <v>0</v>
      </c>
      <c r="I451" s="1">
        <f t="shared" si="42"/>
        <v>45154</v>
      </c>
      <c r="J451" s="1" t="str">
        <f t="shared" si="43"/>
        <v>ACH D- TP ACH INVESTOCAFE-1223386027</v>
      </c>
      <c r="L451" s="7">
        <f t="shared" si="44"/>
        <v>2000</v>
      </c>
      <c r="M451" s="7">
        <f t="shared" si="45"/>
        <v>0</v>
      </c>
      <c r="N451" s="7">
        <f t="shared" si="46"/>
        <v>116001.17</v>
      </c>
      <c r="O451" s="7" t="str">
        <f t="shared" si="47"/>
        <v>HDFC 5930</v>
      </c>
    </row>
    <row r="452" spans="1:15" x14ac:dyDescent="0.25">
      <c r="A452" s="1">
        <v>45154</v>
      </c>
      <c r="B452" t="s">
        <v>472</v>
      </c>
      <c r="C452" s="1">
        <v>45154</v>
      </c>
      <c r="D452" s="2">
        <v>7630.28</v>
      </c>
      <c r="E452" s="2">
        <v>0</v>
      </c>
      <c r="F452" s="2">
        <v>108370.89</v>
      </c>
      <c r="G452" t="s">
        <v>719</v>
      </c>
      <c r="H452" s="7">
        <f t="shared" si="48"/>
        <v>0</v>
      </c>
      <c r="I452" s="1">
        <f t="shared" si="42"/>
        <v>45154</v>
      </c>
      <c r="J452" s="1" t="str">
        <f t="shared" si="43"/>
        <v>NET PI TO HSL SEC A/C 347707-00602340029392</v>
      </c>
      <c r="L452" s="7">
        <f t="shared" si="44"/>
        <v>7630.28</v>
      </c>
      <c r="M452" s="7">
        <f t="shared" si="45"/>
        <v>0</v>
      </c>
      <c r="N452" s="7">
        <f t="shared" si="46"/>
        <v>108370.89</v>
      </c>
      <c r="O452" s="7" t="str">
        <f t="shared" si="47"/>
        <v>HDFC 5930</v>
      </c>
    </row>
    <row r="453" spans="1:15" x14ac:dyDescent="0.25">
      <c r="A453" s="1">
        <v>45154</v>
      </c>
      <c r="B453" t="s">
        <v>472</v>
      </c>
      <c r="C453" s="1">
        <v>45154</v>
      </c>
      <c r="D453" s="2">
        <v>3926.04</v>
      </c>
      <c r="E453" s="2">
        <v>0</v>
      </c>
      <c r="F453" s="2">
        <v>104444.85</v>
      </c>
      <c r="G453" t="s">
        <v>719</v>
      </c>
      <c r="H453" s="7">
        <f t="shared" si="48"/>
        <v>0</v>
      </c>
      <c r="I453" s="1">
        <f t="shared" si="42"/>
        <v>45154</v>
      </c>
      <c r="J453" s="1" t="str">
        <f t="shared" si="43"/>
        <v>NET PI TO HSL SEC A/C 347707-00602340029392</v>
      </c>
      <c r="L453" s="7">
        <f t="shared" si="44"/>
        <v>3926.04</v>
      </c>
      <c r="M453" s="7">
        <f t="shared" si="45"/>
        <v>0</v>
      </c>
      <c r="N453" s="7">
        <f t="shared" si="46"/>
        <v>104444.85</v>
      </c>
      <c r="O453" s="7" t="str">
        <f t="shared" si="47"/>
        <v>HDFC 5930</v>
      </c>
    </row>
    <row r="454" spans="1:15" x14ac:dyDescent="0.25">
      <c r="A454" s="1">
        <v>45155</v>
      </c>
      <c r="B454" t="s">
        <v>472</v>
      </c>
      <c r="C454" s="1">
        <v>45155</v>
      </c>
      <c r="D454" s="2">
        <v>341.38</v>
      </c>
      <c r="E454" s="2">
        <v>0</v>
      </c>
      <c r="F454" s="2">
        <v>104103.47</v>
      </c>
      <c r="G454" t="s">
        <v>719</v>
      </c>
      <c r="H454" s="7">
        <f t="shared" si="48"/>
        <v>0</v>
      </c>
      <c r="I454" s="1">
        <f t="shared" si="42"/>
        <v>45155</v>
      </c>
      <c r="J454" s="1" t="str">
        <f t="shared" si="43"/>
        <v>NET PI TO HSL SEC A/C 347707-00602340029392</v>
      </c>
      <c r="L454" s="7">
        <f t="shared" si="44"/>
        <v>341.38</v>
      </c>
      <c r="M454" s="7">
        <f t="shared" si="45"/>
        <v>0</v>
      </c>
      <c r="N454" s="7">
        <f t="shared" si="46"/>
        <v>104103.47</v>
      </c>
      <c r="O454" s="7" t="str">
        <f t="shared" si="47"/>
        <v>HDFC 5930</v>
      </c>
    </row>
    <row r="455" spans="1:15" x14ac:dyDescent="0.25">
      <c r="A455" s="1">
        <v>45155</v>
      </c>
      <c r="B455" t="s">
        <v>599</v>
      </c>
      <c r="C455" s="1">
        <v>45155</v>
      </c>
      <c r="D455" s="2">
        <v>2000</v>
      </c>
      <c r="E455" s="2">
        <v>0</v>
      </c>
      <c r="F455" s="2">
        <v>102103.47</v>
      </c>
      <c r="G455" t="s">
        <v>719</v>
      </c>
      <c r="H455" s="7">
        <f t="shared" si="48"/>
        <v>0</v>
      </c>
      <c r="I455" s="1">
        <f t="shared" si="42"/>
        <v>45155</v>
      </c>
      <c r="J455" s="1" t="str">
        <f t="shared" si="43"/>
        <v>ACH D- TP ACH INVESTOCAFE-1223558521</v>
      </c>
      <c r="L455" s="7">
        <f t="shared" si="44"/>
        <v>2000</v>
      </c>
      <c r="M455" s="7">
        <f t="shared" si="45"/>
        <v>0</v>
      </c>
      <c r="N455" s="7">
        <f t="shared" si="46"/>
        <v>102103.47</v>
      </c>
      <c r="O455" s="7" t="str">
        <f t="shared" si="47"/>
        <v>HDFC 5930</v>
      </c>
    </row>
    <row r="456" spans="1:15" x14ac:dyDescent="0.25">
      <c r="A456" s="1">
        <v>45155</v>
      </c>
      <c r="B456" t="s">
        <v>472</v>
      </c>
      <c r="C456" s="1">
        <v>45155</v>
      </c>
      <c r="D456" s="2">
        <v>986.75</v>
      </c>
      <c r="E456" s="2">
        <v>0</v>
      </c>
      <c r="F456" s="2">
        <v>101116.72</v>
      </c>
      <c r="G456" t="s">
        <v>719</v>
      </c>
      <c r="H456" s="7">
        <f t="shared" si="48"/>
        <v>0</v>
      </c>
      <c r="I456" s="1">
        <f t="shared" si="42"/>
        <v>45155</v>
      </c>
      <c r="J456" s="1" t="str">
        <f t="shared" si="43"/>
        <v>NET PI TO HSL SEC A/C 347707-00602340029392</v>
      </c>
      <c r="L456" s="7">
        <f t="shared" si="44"/>
        <v>986.75</v>
      </c>
      <c r="M456" s="7">
        <f t="shared" si="45"/>
        <v>0</v>
      </c>
      <c r="N456" s="7">
        <f t="shared" si="46"/>
        <v>101116.72</v>
      </c>
      <c r="O456" s="7" t="str">
        <f t="shared" si="47"/>
        <v>HDFC 5930</v>
      </c>
    </row>
    <row r="457" spans="1:15" x14ac:dyDescent="0.25">
      <c r="A457" s="1">
        <v>45156</v>
      </c>
      <c r="B457" t="s">
        <v>600</v>
      </c>
      <c r="C457" s="1">
        <v>45156</v>
      </c>
      <c r="D457" s="2">
        <v>75000</v>
      </c>
      <c r="E457" s="2">
        <v>0</v>
      </c>
      <c r="F457" s="2">
        <v>26116.720000000001</v>
      </c>
      <c r="G457" t="s">
        <v>719</v>
      </c>
      <c r="H457" s="7">
        <f t="shared" si="48"/>
        <v>0</v>
      </c>
      <c r="I457" s="1">
        <f t="shared" si="42"/>
        <v>45156</v>
      </c>
      <c r="J457" s="1" t="str">
        <f t="shared" si="43"/>
        <v>01671000060094-TPT-BORROW FROM AKG-SUNITA GUPTA</v>
      </c>
      <c r="L457" s="7">
        <f t="shared" si="44"/>
        <v>75000</v>
      </c>
      <c r="M457" s="7">
        <f t="shared" si="45"/>
        <v>0</v>
      </c>
      <c r="N457" s="7">
        <f t="shared" si="46"/>
        <v>26116.720000000001</v>
      </c>
      <c r="O457" s="7" t="str">
        <f t="shared" si="47"/>
        <v>HDFC 5930</v>
      </c>
    </row>
    <row r="458" spans="1:15" x14ac:dyDescent="0.25">
      <c r="A458" s="1">
        <v>45156</v>
      </c>
      <c r="B458" t="s">
        <v>601</v>
      </c>
      <c r="C458" s="1">
        <v>45156</v>
      </c>
      <c r="D458" s="2">
        <v>0</v>
      </c>
      <c r="E458" s="2">
        <v>100000</v>
      </c>
      <c r="F458" s="2">
        <v>126116.72</v>
      </c>
      <c r="G458" t="s">
        <v>719</v>
      </c>
      <c r="H458" s="7">
        <f t="shared" si="48"/>
        <v>0</v>
      </c>
      <c r="I458" s="1">
        <f t="shared" si="42"/>
        <v>45156</v>
      </c>
      <c r="J458" s="1" t="str">
        <f t="shared" si="43"/>
        <v>NEFT CR-SBIN0011669-MR  AJAY KUMAR GUPTA-AJAY KUMAR GUPTA-SBIN423230587703</v>
      </c>
      <c r="L458" s="7">
        <f t="shared" si="44"/>
        <v>0</v>
      </c>
      <c r="M458" s="7">
        <f t="shared" si="45"/>
        <v>100000</v>
      </c>
      <c r="N458" s="7">
        <f t="shared" si="46"/>
        <v>126116.72</v>
      </c>
      <c r="O458" s="7" t="str">
        <f t="shared" si="47"/>
        <v>HDFC 5930</v>
      </c>
    </row>
    <row r="459" spans="1:15" x14ac:dyDescent="0.25">
      <c r="A459" s="1">
        <v>45156</v>
      </c>
      <c r="B459" t="s">
        <v>472</v>
      </c>
      <c r="C459" s="1">
        <v>45156</v>
      </c>
      <c r="D459" s="2">
        <v>347.83</v>
      </c>
      <c r="E459" s="2">
        <v>0</v>
      </c>
      <c r="F459" s="2">
        <v>125768.89</v>
      </c>
      <c r="G459" t="s">
        <v>719</v>
      </c>
      <c r="H459" s="7">
        <f t="shared" si="48"/>
        <v>0</v>
      </c>
      <c r="I459" s="1">
        <f t="shared" si="42"/>
        <v>45156</v>
      </c>
      <c r="J459" s="1" t="str">
        <f t="shared" si="43"/>
        <v>NET PI TO HSL SEC A/C 347707-00602340029392</v>
      </c>
      <c r="L459" s="7">
        <f t="shared" si="44"/>
        <v>347.83</v>
      </c>
      <c r="M459" s="7">
        <f t="shared" si="45"/>
        <v>0</v>
      </c>
      <c r="N459" s="7">
        <f t="shared" si="46"/>
        <v>125768.89</v>
      </c>
      <c r="O459" s="7" t="str">
        <f t="shared" si="47"/>
        <v>HDFC 5930</v>
      </c>
    </row>
    <row r="460" spans="1:15" x14ac:dyDescent="0.25">
      <c r="A460" s="1">
        <v>45156</v>
      </c>
      <c r="B460" t="s">
        <v>602</v>
      </c>
      <c r="C460" s="1">
        <v>45156</v>
      </c>
      <c r="D460" s="2">
        <v>955.8</v>
      </c>
      <c r="E460" s="2">
        <v>0</v>
      </c>
      <c r="F460" s="2">
        <v>124813.09</v>
      </c>
      <c r="G460" t="s">
        <v>719</v>
      </c>
      <c r="H460" s="7">
        <f t="shared" si="48"/>
        <v>0</v>
      </c>
      <c r="I460" s="1">
        <f t="shared" si="42"/>
        <v>45156</v>
      </c>
      <c r="J460" s="1" t="str">
        <f t="shared" si="43"/>
        <v>DEPOSITORY CHARGES JUL23 - 40227714</v>
      </c>
      <c r="L460" s="7">
        <f t="shared" si="44"/>
        <v>955.8</v>
      </c>
      <c r="M460" s="7">
        <f t="shared" si="45"/>
        <v>0</v>
      </c>
      <c r="N460" s="7">
        <f t="shared" si="46"/>
        <v>124813.09</v>
      </c>
      <c r="O460" s="7" t="str">
        <f t="shared" si="47"/>
        <v>HDFC 5930</v>
      </c>
    </row>
    <row r="461" spans="1:15" x14ac:dyDescent="0.25">
      <c r="A461" s="1">
        <v>45156</v>
      </c>
      <c r="B461" t="s">
        <v>480</v>
      </c>
      <c r="C461" s="1">
        <v>45156</v>
      </c>
      <c r="D461" s="2">
        <v>10000</v>
      </c>
      <c r="E461" s="2">
        <v>0</v>
      </c>
      <c r="F461" s="2">
        <v>114813.09</v>
      </c>
      <c r="G461" t="s">
        <v>719</v>
      </c>
      <c r="H461" s="7">
        <f t="shared" si="48"/>
        <v>0</v>
      </c>
      <c r="I461" s="1">
        <f t="shared" si="42"/>
        <v>45156</v>
      </c>
      <c r="J461" s="1" t="str">
        <f t="shared" si="43"/>
        <v>NET PAYIN TO BSE MF A/C -57500000389146- FROM A/C -01671000085930- UCC -347707-57500000389146</v>
      </c>
      <c r="L461" s="7">
        <f t="shared" si="44"/>
        <v>10000</v>
      </c>
      <c r="M461" s="7">
        <f t="shared" si="45"/>
        <v>0</v>
      </c>
      <c r="N461" s="7">
        <f t="shared" si="46"/>
        <v>114813.09</v>
      </c>
      <c r="O461" s="7" t="str">
        <f t="shared" si="47"/>
        <v>HDFC 5930</v>
      </c>
    </row>
    <row r="462" spans="1:15" x14ac:dyDescent="0.25">
      <c r="A462" s="1">
        <v>45156</v>
      </c>
      <c r="B462" t="s">
        <v>480</v>
      </c>
      <c r="C462" s="1">
        <v>45156</v>
      </c>
      <c r="D462" s="2">
        <v>10000</v>
      </c>
      <c r="E462" s="2">
        <v>0</v>
      </c>
      <c r="F462" s="2">
        <v>104813.09</v>
      </c>
      <c r="G462" t="s">
        <v>719</v>
      </c>
      <c r="H462" s="7">
        <f t="shared" si="48"/>
        <v>0</v>
      </c>
      <c r="I462" s="1">
        <f t="shared" si="42"/>
        <v>45156</v>
      </c>
      <c r="J462" s="1" t="str">
        <f t="shared" si="43"/>
        <v>NET PAYIN TO BSE MF A/C -57500000389146- FROM A/C -01671000085930- UCC -347707-57500000389146</v>
      </c>
      <c r="L462" s="7">
        <f t="shared" si="44"/>
        <v>10000</v>
      </c>
      <c r="M462" s="7">
        <f t="shared" si="45"/>
        <v>0</v>
      </c>
      <c r="N462" s="7">
        <f t="shared" si="46"/>
        <v>104813.09</v>
      </c>
      <c r="O462" s="7" t="str">
        <f t="shared" si="47"/>
        <v>HDFC 5930</v>
      </c>
    </row>
    <row r="463" spans="1:15" x14ac:dyDescent="0.25">
      <c r="A463" s="1">
        <v>45156</v>
      </c>
      <c r="B463" t="s">
        <v>480</v>
      </c>
      <c r="C463" s="1">
        <v>45156</v>
      </c>
      <c r="D463" s="2">
        <v>10000</v>
      </c>
      <c r="E463" s="2">
        <v>0</v>
      </c>
      <c r="F463" s="2">
        <v>94813.09</v>
      </c>
      <c r="G463" t="s">
        <v>719</v>
      </c>
      <c r="H463" s="7">
        <f t="shared" si="48"/>
        <v>0</v>
      </c>
      <c r="I463" s="1">
        <f t="shared" si="42"/>
        <v>45156</v>
      </c>
      <c r="J463" s="1" t="str">
        <f t="shared" si="43"/>
        <v>NET PAYIN TO BSE MF A/C -57500000389146- FROM A/C -01671000085930- UCC -347707-57500000389146</v>
      </c>
      <c r="L463" s="7">
        <f t="shared" si="44"/>
        <v>10000</v>
      </c>
      <c r="M463" s="7">
        <f t="shared" si="45"/>
        <v>0</v>
      </c>
      <c r="N463" s="7">
        <f t="shared" si="46"/>
        <v>94813.09</v>
      </c>
      <c r="O463" s="7" t="str">
        <f t="shared" si="47"/>
        <v>HDFC 5930</v>
      </c>
    </row>
    <row r="464" spans="1:15" x14ac:dyDescent="0.25">
      <c r="A464" s="1">
        <v>45156</v>
      </c>
      <c r="B464" t="s">
        <v>603</v>
      </c>
      <c r="C464" s="1">
        <v>45156</v>
      </c>
      <c r="D464" s="2">
        <v>0</v>
      </c>
      <c r="E464" s="2">
        <v>340</v>
      </c>
      <c r="F464" s="2">
        <v>95153.09</v>
      </c>
      <c r="G464" t="s">
        <v>719</v>
      </c>
      <c r="H464" s="7">
        <f t="shared" si="48"/>
        <v>0</v>
      </c>
      <c r="I464" s="1">
        <f t="shared" si="42"/>
        <v>45156</v>
      </c>
      <c r="J464" s="1" t="str">
        <f t="shared" si="43"/>
        <v>ADVANCED EN DIV22 2300000000000000004622</v>
      </c>
      <c r="L464" s="7">
        <f t="shared" si="44"/>
        <v>0</v>
      </c>
      <c r="M464" s="7">
        <f t="shared" si="45"/>
        <v>340</v>
      </c>
      <c r="N464" s="7">
        <f t="shared" si="46"/>
        <v>95153.09</v>
      </c>
      <c r="O464" s="7" t="str">
        <f t="shared" si="47"/>
        <v>HDFC 5930</v>
      </c>
    </row>
    <row r="465" spans="1:15" x14ac:dyDescent="0.25">
      <c r="A465" s="1">
        <v>45156</v>
      </c>
      <c r="B465" t="s">
        <v>472</v>
      </c>
      <c r="C465" s="1">
        <v>45156</v>
      </c>
      <c r="D465" s="2">
        <v>135.35</v>
      </c>
      <c r="E465" s="2">
        <v>0</v>
      </c>
      <c r="F465" s="2">
        <v>95017.74</v>
      </c>
      <c r="G465" t="s">
        <v>719</v>
      </c>
      <c r="H465" s="7">
        <f t="shared" si="48"/>
        <v>0</v>
      </c>
      <c r="I465" s="1">
        <f t="shared" si="42"/>
        <v>45156</v>
      </c>
      <c r="J465" s="1" t="str">
        <f t="shared" si="43"/>
        <v>NET PI TO HSL SEC A/C 347707-00602340029392</v>
      </c>
      <c r="L465" s="7">
        <f t="shared" si="44"/>
        <v>135.35</v>
      </c>
      <c r="M465" s="7">
        <f t="shared" si="45"/>
        <v>0</v>
      </c>
      <c r="N465" s="7">
        <f t="shared" si="46"/>
        <v>95017.74</v>
      </c>
      <c r="O465" s="7" t="str">
        <f t="shared" si="47"/>
        <v>HDFC 5930</v>
      </c>
    </row>
    <row r="466" spans="1:15" x14ac:dyDescent="0.25">
      <c r="A466" s="1">
        <v>45157</v>
      </c>
      <c r="B466" t="s">
        <v>604</v>
      </c>
      <c r="C466" s="1">
        <v>45157</v>
      </c>
      <c r="D466" s="2">
        <v>0</v>
      </c>
      <c r="E466" s="2">
        <v>50000</v>
      </c>
      <c r="F466" s="2">
        <v>145017.74</v>
      </c>
      <c r="G466" t="s">
        <v>719</v>
      </c>
      <c r="H466" s="7">
        <f t="shared" si="48"/>
        <v>0</v>
      </c>
      <c r="I466" s="1">
        <f t="shared" ref="I466:I529" si="49">A466</f>
        <v>45157</v>
      </c>
      <c r="J466" s="1" t="str">
        <f t="shared" ref="J466:J529" si="50">B466</f>
        <v>NEFT CR-SBIN0011669-MR  AJAY KUMAR GUPTA-AJAY KUMAR GUPTA-SBIN523231563697</v>
      </c>
      <c r="L466" s="7">
        <f t="shared" ref="L466:L529" si="51">D466</f>
        <v>0</v>
      </c>
      <c r="M466" s="7">
        <f t="shared" ref="M466:M529" si="52">E466</f>
        <v>50000</v>
      </c>
      <c r="N466" s="7">
        <f t="shared" ref="N466:N529" si="53">F466</f>
        <v>145017.74</v>
      </c>
      <c r="O466" s="7" t="str">
        <f t="shared" ref="O466:O529" si="54">G466</f>
        <v>HDFC 5930</v>
      </c>
    </row>
    <row r="467" spans="1:15" x14ac:dyDescent="0.25">
      <c r="A467" s="1">
        <v>45159</v>
      </c>
      <c r="B467" t="s">
        <v>480</v>
      </c>
      <c r="C467" s="1">
        <v>45159</v>
      </c>
      <c r="D467" s="2">
        <v>3000</v>
      </c>
      <c r="E467" s="2">
        <v>0</v>
      </c>
      <c r="F467" s="2">
        <v>142017.74</v>
      </c>
      <c r="G467" t="s">
        <v>719</v>
      </c>
      <c r="H467" s="7">
        <f t="shared" ref="H467:H530" si="55">F466-D467+E467-F467</f>
        <v>0</v>
      </c>
      <c r="I467" s="1">
        <f t="shared" si="49"/>
        <v>45159</v>
      </c>
      <c r="J467" s="1" t="str">
        <f t="shared" si="50"/>
        <v>NET PAYIN TO BSE MF A/C -57500000389146- FROM A/C -01671000085930- UCC -347707-57500000389146</v>
      </c>
      <c r="L467" s="7">
        <f t="shared" si="51"/>
        <v>3000</v>
      </c>
      <c r="M467" s="7">
        <f t="shared" si="52"/>
        <v>0</v>
      </c>
      <c r="N467" s="7">
        <f t="shared" si="53"/>
        <v>142017.74</v>
      </c>
      <c r="O467" s="7" t="str">
        <f t="shared" si="54"/>
        <v>HDFC 5930</v>
      </c>
    </row>
    <row r="468" spans="1:15" x14ac:dyDescent="0.25">
      <c r="A468" s="1">
        <v>45159</v>
      </c>
      <c r="B468" t="s">
        <v>480</v>
      </c>
      <c r="C468" s="1">
        <v>45159</v>
      </c>
      <c r="D468" s="2">
        <v>5000</v>
      </c>
      <c r="E468" s="2">
        <v>0</v>
      </c>
      <c r="F468" s="2">
        <v>137017.74</v>
      </c>
      <c r="G468" t="s">
        <v>719</v>
      </c>
      <c r="H468" s="7">
        <f t="shared" si="55"/>
        <v>0</v>
      </c>
      <c r="I468" s="1">
        <f t="shared" si="49"/>
        <v>45159</v>
      </c>
      <c r="J468" s="1" t="str">
        <f t="shared" si="50"/>
        <v>NET PAYIN TO BSE MF A/C -57500000389146- FROM A/C -01671000085930- UCC -347707-57500000389146</v>
      </c>
      <c r="L468" s="7">
        <f t="shared" si="51"/>
        <v>5000</v>
      </c>
      <c r="M468" s="7">
        <f t="shared" si="52"/>
        <v>0</v>
      </c>
      <c r="N468" s="7">
        <f t="shared" si="53"/>
        <v>137017.74</v>
      </c>
      <c r="O468" s="7" t="str">
        <f t="shared" si="54"/>
        <v>HDFC 5930</v>
      </c>
    </row>
    <row r="469" spans="1:15" x14ac:dyDescent="0.25">
      <c r="A469" s="1">
        <v>45159</v>
      </c>
      <c r="B469" t="s">
        <v>480</v>
      </c>
      <c r="C469" s="1">
        <v>45159</v>
      </c>
      <c r="D469" s="2">
        <v>5000</v>
      </c>
      <c r="E469" s="2">
        <v>0</v>
      </c>
      <c r="F469" s="2">
        <v>132017.74</v>
      </c>
      <c r="G469" t="s">
        <v>719</v>
      </c>
      <c r="H469" s="7">
        <f t="shared" si="55"/>
        <v>0</v>
      </c>
      <c r="I469" s="1">
        <f t="shared" si="49"/>
        <v>45159</v>
      </c>
      <c r="J469" s="1" t="str">
        <f t="shared" si="50"/>
        <v>NET PAYIN TO BSE MF A/C -57500000389146- FROM A/C -01671000085930- UCC -347707-57500000389146</v>
      </c>
      <c r="L469" s="7">
        <f t="shared" si="51"/>
        <v>5000</v>
      </c>
      <c r="M469" s="7">
        <f t="shared" si="52"/>
        <v>0</v>
      </c>
      <c r="N469" s="7">
        <f t="shared" si="53"/>
        <v>132017.74</v>
      </c>
      <c r="O469" s="7" t="str">
        <f t="shared" si="54"/>
        <v>HDFC 5930</v>
      </c>
    </row>
    <row r="470" spans="1:15" x14ac:dyDescent="0.25">
      <c r="A470" s="1">
        <v>45159</v>
      </c>
      <c r="B470" t="s">
        <v>472</v>
      </c>
      <c r="C470" s="1">
        <v>45159</v>
      </c>
      <c r="D470" s="2">
        <v>1043.28</v>
      </c>
      <c r="E470" s="2">
        <v>0</v>
      </c>
      <c r="F470" s="2">
        <v>130974.46</v>
      </c>
      <c r="G470" t="s">
        <v>719</v>
      </c>
      <c r="H470" s="7">
        <f t="shared" si="55"/>
        <v>0</v>
      </c>
      <c r="I470" s="1">
        <f t="shared" si="49"/>
        <v>45159</v>
      </c>
      <c r="J470" s="1" t="str">
        <f t="shared" si="50"/>
        <v>NET PI TO HSL SEC A/C 347707-00602340029392</v>
      </c>
      <c r="L470" s="7">
        <f t="shared" si="51"/>
        <v>1043.28</v>
      </c>
      <c r="M470" s="7">
        <f t="shared" si="52"/>
        <v>0</v>
      </c>
      <c r="N470" s="7">
        <f t="shared" si="53"/>
        <v>130974.46</v>
      </c>
      <c r="O470" s="7" t="str">
        <f t="shared" si="54"/>
        <v>HDFC 5930</v>
      </c>
    </row>
    <row r="471" spans="1:15" x14ac:dyDescent="0.25">
      <c r="A471" s="1">
        <v>45159</v>
      </c>
      <c r="B471" t="s">
        <v>605</v>
      </c>
      <c r="C471" s="1">
        <v>45159</v>
      </c>
      <c r="D471" s="2">
        <v>2000</v>
      </c>
      <c r="E471" s="2">
        <v>0</v>
      </c>
      <c r="F471" s="2">
        <v>128974.46</v>
      </c>
      <c r="G471" t="s">
        <v>719</v>
      </c>
      <c r="H471" s="7">
        <f t="shared" si="55"/>
        <v>0</v>
      </c>
      <c r="I471" s="1">
        <f t="shared" si="49"/>
        <v>45159</v>
      </c>
      <c r="J471" s="1" t="str">
        <f t="shared" si="50"/>
        <v>ACH D- TP ACH INVESTOCAFE-1225107817</v>
      </c>
      <c r="L471" s="7">
        <f t="shared" si="51"/>
        <v>2000</v>
      </c>
      <c r="M471" s="7">
        <f t="shared" si="52"/>
        <v>0</v>
      </c>
      <c r="N471" s="7">
        <f t="shared" si="53"/>
        <v>128974.46</v>
      </c>
      <c r="O471" s="7" t="str">
        <f t="shared" si="54"/>
        <v>HDFC 5930</v>
      </c>
    </row>
    <row r="472" spans="1:15" x14ac:dyDescent="0.25">
      <c r="A472" s="1">
        <v>45159</v>
      </c>
      <c r="B472" t="s">
        <v>606</v>
      </c>
      <c r="C472" s="1">
        <v>45159</v>
      </c>
      <c r="D472" s="2">
        <v>2500</v>
      </c>
      <c r="E472" s="2">
        <v>0</v>
      </c>
      <c r="F472" s="2">
        <v>126474.46</v>
      </c>
      <c r="G472" t="s">
        <v>719</v>
      </c>
      <c r="H472" s="7">
        <f t="shared" si="55"/>
        <v>0</v>
      </c>
      <c r="I472" s="1">
        <f t="shared" si="49"/>
        <v>45159</v>
      </c>
      <c r="J472" s="1" t="str">
        <f t="shared" si="50"/>
        <v>ACH D- TP ACH INVESTOCAFE-1225107818</v>
      </c>
      <c r="L472" s="7">
        <f t="shared" si="51"/>
        <v>2500</v>
      </c>
      <c r="M472" s="7">
        <f t="shared" si="52"/>
        <v>0</v>
      </c>
      <c r="N472" s="7">
        <f t="shared" si="53"/>
        <v>126474.46</v>
      </c>
      <c r="O472" s="7" t="str">
        <f t="shared" si="54"/>
        <v>HDFC 5930</v>
      </c>
    </row>
    <row r="473" spans="1:15" x14ac:dyDescent="0.25">
      <c r="A473" s="1">
        <v>45159</v>
      </c>
      <c r="B473" t="s">
        <v>472</v>
      </c>
      <c r="C473" s="1">
        <v>45159</v>
      </c>
      <c r="D473" s="2">
        <v>12610.8</v>
      </c>
      <c r="E473" s="2">
        <v>0</v>
      </c>
      <c r="F473" s="2">
        <v>113863.66</v>
      </c>
      <c r="G473" t="s">
        <v>719</v>
      </c>
      <c r="H473" s="7">
        <f t="shared" si="55"/>
        <v>0</v>
      </c>
      <c r="I473" s="1">
        <f t="shared" si="49"/>
        <v>45159</v>
      </c>
      <c r="J473" s="1" t="str">
        <f t="shared" si="50"/>
        <v>NET PI TO HSL SEC A/C 347707-00602340029392</v>
      </c>
      <c r="L473" s="7">
        <f t="shared" si="51"/>
        <v>12610.8</v>
      </c>
      <c r="M473" s="7">
        <f t="shared" si="52"/>
        <v>0</v>
      </c>
      <c r="N473" s="7">
        <f t="shared" si="53"/>
        <v>113863.66</v>
      </c>
      <c r="O473" s="7" t="str">
        <f t="shared" si="54"/>
        <v>HDFC 5930</v>
      </c>
    </row>
    <row r="474" spans="1:15" x14ac:dyDescent="0.25">
      <c r="A474" s="1">
        <v>45159</v>
      </c>
      <c r="B474" t="s">
        <v>473</v>
      </c>
      <c r="C474" s="1">
        <v>45159</v>
      </c>
      <c r="D474" s="2">
        <v>0</v>
      </c>
      <c r="E474" s="2">
        <v>930.48</v>
      </c>
      <c r="F474" s="2">
        <v>114794.14</v>
      </c>
      <c r="G474" t="s">
        <v>719</v>
      </c>
      <c r="H474" s="7">
        <f t="shared" si="55"/>
        <v>0</v>
      </c>
      <c r="I474" s="1">
        <f t="shared" si="49"/>
        <v>45159</v>
      </c>
      <c r="J474" s="1" t="str">
        <f t="shared" si="50"/>
        <v>NET PO FROM HSL A/C 347707-00602340029392</v>
      </c>
      <c r="L474" s="7">
        <f t="shared" si="51"/>
        <v>0</v>
      </c>
      <c r="M474" s="7">
        <f t="shared" si="52"/>
        <v>930.48</v>
      </c>
      <c r="N474" s="7">
        <f t="shared" si="53"/>
        <v>114794.14</v>
      </c>
      <c r="O474" s="7" t="str">
        <f t="shared" si="54"/>
        <v>HDFC 5930</v>
      </c>
    </row>
    <row r="475" spans="1:15" x14ac:dyDescent="0.25">
      <c r="A475" s="1">
        <v>45160</v>
      </c>
      <c r="B475" t="s">
        <v>472</v>
      </c>
      <c r="C475" s="1">
        <v>45160</v>
      </c>
      <c r="D475" s="2">
        <v>348.22</v>
      </c>
      <c r="E475" s="2">
        <v>0</v>
      </c>
      <c r="F475" s="2">
        <v>114445.92</v>
      </c>
      <c r="G475" t="s">
        <v>719</v>
      </c>
      <c r="H475" s="7">
        <f t="shared" si="55"/>
        <v>0</v>
      </c>
      <c r="I475" s="1">
        <f t="shared" si="49"/>
        <v>45160</v>
      </c>
      <c r="J475" s="1" t="str">
        <f t="shared" si="50"/>
        <v>NET PI TO HSL SEC A/C 347707-00602340029392</v>
      </c>
      <c r="L475" s="7">
        <f t="shared" si="51"/>
        <v>348.22</v>
      </c>
      <c r="M475" s="7">
        <f t="shared" si="52"/>
        <v>0</v>
      </c>
      <c r="N475" s="7">
        <f t="shared" si="53"/>
        <v>114445.92</v>
      </c>
      <c r="O475" s="7" t="str">
        <f t="shared" si="54"/>
        <v>HDFC 5930</v>
      </c>
    </row>
    <row r="476" spans="1:15" x14ac:dyDescent="0.25">
      <c r="A476" s="1">
        <v>45160</v>
      </c>
      <c r="B476" t="s">
        <v>607</v>
      </c>
      <c r="C476" s="1">
        <v>45160</v>
      </c>
      <c r="D476" s="2">
        <v>0</v>
      </c>
      <c r="E476" s="2">
        <v>198</v>
      </c>
      <c r="F476" s="2">
        <v>114643.92</v>
      </c>
      <c r="G476" t="s">
        <v>719</v>
      </c>
      <c r="H476" s="7">
        <f t="shared" si="55"/>
        <v>0</v>
      </c>
      <c r="I476" s="1">
        <f t="shared" si="49"/>
        <v>45160</v>
      </c>
      <c r="J476" s="1" t="str">
        <f t="shared" si="50"/>
        <v>ACH C- SRF LIMITED-4683014</v>
      </c>
      <c r="L476" s="7">
        <f t="shared" si="51"/>
        <v>0</v>
      </c>
      <c r="M476" s="7">
        <f t="shared" si="52"/>
        <v>198</v>
      </c>
      <c r="N476" s="7">
        <f t="shared" si="53"/>
        <v>114643.92</v>
      </c>
      <c r="O476" s="7" t="str">
        <f t="shared" si="54"/>
        <v>HDFC 5930</v>
      </c>
    </row>
    <row r="477" spans="1:15" x14ac:dyDescent="0.25">
      <c r="A477" s="1">
        <v>45160</v>
      </c>
      <c r="B477" t="s">
        <v>472</v>
      </c>
      <c r="C477" s="1">
        <v>45160</v>
      </c>
      <c r="D477" s="2">
        <v>7716.78</v>
      </c>
      <c r="E477" s="2">
        <v>0</v>
      </c>
      <c r="F477" s="2">
        <v>106927.14</v>
      </c>
      <c r="G477" t="s">
        <v>719</v>
      </c>
      <c r="H477" s="7">
        <f t="shared" si="55"/>
        <v>0</v>
      </c>
      <c r="I477" s="1">
        <f t="shared" si="49"/>
        <v>45160</v>
      </c>
      <c r="J477" s="1" t="str">
        <f t="shared" si="50"/>
        <v>NET PI TO HSL SEC A/C 347707-00602340029392</v>
      </c>
      <c r="L477" s="7">
        <f t="shared" si="51"/>
        <v>7716.78</v>
      </c>
      <c r="M477" s="7">
        <f t="shared" si="52"/>
        <v>0</v>
      </c>
      <c r="N477" s="7">
        <f t="shared" si="53"/>
        <v>106927.14</v>
      </c>
      <c r="O477" s="7" t="str">
        <f t="shared" si="54"/>
        <v>HDFC 5930</v>
      </c>
    </row>
    <row r="478" spans="1:15" x14ac:dyDescent="0.25">
      <c r="A478" s="1">
        <v>45160</v>
      </c>
      <c r="B478" t="s">
        <v>472</v>
      </c>
      <c r="C478" s="1">
        <v>45160</v>
      </c>
      <c r="D478" s="2">
        <v>2944.46</v>
      </c>
      <c r="E478" s="2">
        <v>0</v>
      </c>
      <c r="F478" s="2">
        <v>103982.68</v>
      </c>
      <c r="G478" t="s">
        <v>719</v>
      </c>
      <c r="H478" s="7">
        <f t="shared" si="55"/>
        <v>0</v>
      </c>
      <c r="I478" s="1">
        <f t="shared" si="49"/>
        <v>45160</v>
      </c>
      <c r="J478" s="1" t="str">
        <f t="shared" si="50"/>
        <v>NET PI TO HSL SEC A/C 347707-00602340029392</v>
      </c>
      <c r="L478" s="7">
        <f t="shared" si="51"/>
        <v>2944.46</v>
      </c>
      <c r="M478" s="7">
        <f t="shared" si="52"/>
        <v>0</v>
      </c>
      <c r="N478" s="7">
        <f t="shared" si="53"/>
        <v>103982.68</v>
      </c>
      <c r="O478" s="7" t="str">
        <f t="shared" si="54"/>
        <v>HDFC 5930</v>
      </c>
    </row>
    <row r="479" spans="1:15" x14ac:dyDescent="0.25">
      <c r="A479" s="1">
        <v>45161</v>
      </c>
      <c r="B479" t="s">
        <v>608</v>
      </c>
      <c r="C479" s="1">
        <v>45161</v>
      </c>
      <c r="D479" s="2">
        <v>0</v>
      </c>
      <c r="E479" s="2">
        <v>480</v>
      </c>
      <c r="F479" s="2">
        <v>104462.68</v>
      </c>
      <c r="G479" t="s">
        <v>719</v>
      </c>
      <c r="H479" s="7">
        <f t="shared" si="55"/>
        <v>0</v>
      </c>
      <c r="I479" s="1">
        <f t="shared" si="49"/>
        <v>45161</v>
      </c>
      <c r="J479" s="1" t="str">
        <f t="shared" si="50"/>
        <v>LAL PATHLAB DIV23 2400000000000000011273</v>
      </c>
      <c r="L479" s="7">
        <f t="shared" si="51"/>
        <v>0</v>
      </c>
      <c r="M479" s="7">
        <f t="shared" si="52"/>
        <v>480</v>
      </c>
      <c r="N479" s="7">
        <f t="shared" si="53"/>
        <v>104462.68</v>
      </c>
      <c r="O479" s="7" t="str">
        <f t="shared" si="54"/>
        <v>HDFC 5930</v>
      </c>
    </row>
    <row r="480" spans="1:15" x14ac:dyDescent="0.25">
      <c r="A480" s="1">
        <v>45161</v>
      </c>
      <c r="B480" t="s">
        <v>472</v>
      </c>
      <c r="C480" s="1">
        <v>45161</v>
      </c>
      <c r="D480" s="2">
        <v>346.77</v>
      </c>
      <c r="E480" s="2">
        <v>0</v>
      </c>
      <c r="F480" s="2">
        <v>104115.91</v>
      </c>
      <c r="G480" t="s">
        <v>719</v>
      </c>
      <c r="H480" s="7">
        <f t="shared" si="55"/>
        <v>0</v>
      </c>
      <c r="I480" s="1">
        <f t="shared" si="49"/>
        <v>45161</v>
      </c>
      <c r="J480" s="1" t="str">
        <f t="shared" si="50"/>
        <v>NET PI TO HSL SEC A/C 347707-00602340029392</v>
      </c>
      <c r="L480" s="7">
        <f t="shared" si="51"/>
        <v>346.77</v>
      </c>
      <c r="M480" s="7">
        <f t="shared" si="52"/>
        <v>0</v>
      </c>
      <c r="N480" s="7">
        <f t="shared" si="53"/>
        <v>104115.91</v>
      </c>
      <c r="O480" s="7" t="str">
        <f t="shared" si="54"/>
        <v>HDFC 5930</v>
      </c>
    </row>
    <row r="481" spans="1:15" x14ac:dyDescent="0.25">
      <c r="A481" s="1">
        <v>45161</v>
      </c>
      <c r="B481" t="s">
        <v>609</v>
      </c>
      <c r="C481" s="1">
        <v>45161</v>
      </c>
      <c r="D481" s="2">
        <v>0</v>
      </c>
      <c r="E481" s="2">
        <v>15680</v>
      </c>
      <c r="F481" s="2">
        <v>119795.91</v>
      </c>
      <c r="G481" t="s">
        <v>719</v>
      </c>
      <c r="H481" s="7">
        <f t="shared" si="55"/>
        <v>0</v>
      </c>
      <c r="I481" s="1">
        <f t="shared" si="49"/>
        <v>45161</v>
      </c>
      <c r="J481" s="1" t="str">
        <f t="shared" si="50"/>
        <v>UPI-ANKIT  SHUKLA-ANKITSHUKLA27281@YBL-SBIN0015515-360137124122-PAYMENT FROM PHONE</v>
      </c>
      <c r="L481" s="7">
        <f t="shared" si="51"/>
        <v>0</v>
      </c>
      <c r="M481" s="7">
        <f t="shared" si="52"/>
        <v>15680</v>
      </c>
      <c r="N481" s="7">
        <f t="shared" si="53"/>
        <v>119795.91</v>
      </c>
      <c r="O481" s="7" t="str">
        <f t="shared" si="54"/>
        <v>HDFC 5930</v>
      </c>
    </row>
    <row r="482" spans="1:15" x14ac:dyDescent="0.25">
      <c r="A482" s="1">
        <v>45161</v>
      </c>
      <c r="B482" t="s">
        <v>473</v>
      </c>
      <c r="C482" s="1">
        <v>45161</v>
      </c>
      <c r="D482" s="2">
        <v>0</v>
      </c>
      <c r="E482" s="2">
        <v>207.04</v>
      </c>
      <c r="F482" s="2">
        <v>120002.95</v>
      </c>
      <c r="G482" t="s">
        <v>719</v>
      </c>
      <c r="H482" s="7">
        <f t="shared" si="55"/>
        <v>0</v>
      </c>
      <c r="I482" s="1">
        <f t="shared" si="49"/>
        <v>45161</v>
      </c>
      <c r="J482" s="1" t="str">
        <f t="shared" si="50"/>
        <v>NET PO FROM HSL A/C 347707-00602340029392</v>
      </c>
      <c r="L482" s="7">
        <f t="shared" si="51"/>
        <v>0</v>
      </c>
      <c r="M482" s="7">
        <f t="shared" si="52"/>
        <v>207.04</v>
      </c>
      <c r="N482" s="7">
        <f t="shared" si="53"/>
        <v>120002.95</v>
      </c>
      <c r="O482" s="7" t="str">
        <f t="shared" si="54"/>
        <v>HDFC 5930</v>
      </c>
    </row>
    <row r="483" spans="1:15" x14ac:dyDescent="0.25">
      <c r="A483" s="1">
        <v>45162</v>
      </c>
      <c r="B483" t="s">
        <v>535</v>
      </c>
      <c r="C483" s="1">
        <v>45162</v>
      </c>
      <c r="D483" s="2">
        <v>40000</v>
      </c>
      <c r="E483" s="2">
        <v>0</v>
      </c>
      <c r="F483" s="2">
        <v>80002.95</v>
      </c>
      <c r="G483" t="s">
        <v>719</v>
      </c>
      <c r="H483" s="7">
        <f t="shared" si="55"/>
        <v>0</v>
      </c>
      <c r="I483" s="1">
        <f t="shared" si="49"/>
        <v>45162</v>
      </c>
      <c r="J483" s="1" t="str">
        <f t="shared" si="50"/>
        <v>50100128155413-TPT-BORROW FROM AKG-AAYUSH KUMAR GUPTA</v>
      </c>
      <c r="L483" s="7">
        <f t="shared" si="51"/>
        <v>40000</v>
      </c>
      <c r="M483" s="7">
        <f t="shared" si="52"/>
        <v>0</v>
      </c>
      <c r="N483" s="7">
        <f t="shared" si="53"/>
        <v>80002.95</v>
      </c>
      <c r="O483" s="7" t="str">
        <f t="shared" si="54"/>
        <v>HDFC 5930</v>
      </c>
    </row>
    <row r="484" spans="1:15" x14ac:dyDescent="0.25">
      <c r="A484" s="1">
        <v>45162</v>
      </c>
      <c r="B484" t="s">
        <v>600</v>
      </c>
      <c r="C484" s="1">
        <v>45162</v>
      </c>
      <c r="D484" s="2">
        <v>50000</v>
      </c>
      <c r="E484" s="2">
        <v>0</v>
      </c>
      <c r="F484" s="2">
        <v>30002.95</v>
      </c>
      <c r="G484" t="s">
        <v>719</v>
      </c>
      <c r="H484" s="7">
        <f t="shared" si="55"/>
        <v>0</v>
      </c>
      <c r="I484" s="1">
        <f t="shared" si="49"/>
        <v>45162</v>
      </c>
      <c r="J484" s="1" t="str">
        <f t="shared" si="50"/>
        <v>01671000060094-TPT-BORROW FROM AKG-SUNITA GUPTA</v>
      </c>
      <c r="L484" s="7">
        <f t="shared" si="51"/>
        <v>50000</v>
      </c>
      <c r="M484" s="7">
        <f t="shared" si="52"/>
        <v>0</v>
      </c>
      <c r="N484" s="7">
        <f t="shared" si="53"/>
        <v>30002.95</v>
      </c>
      <c r="O484" s="7" t="str">
        <f t="shared" si="54"/>
        <v>HDFC 5930</v>
      </c>
    </row>
    <row r="485" spans="1:15" x14ac:dyDescent="0.25">
      <c r="A485" s="1">
        <v>45162</v>
      </c>
      <c r="B485" t="s">
        <v>472</v>
      </c>
      <c r="C485" s="1">
        <v>45162</v>
      </c>
      <c r="D485" s="2">
        <v>346.87</v>
      </c>
      <c r="E485" s="2">
        <v>0</v>
      </c>
      <c r="F485" s="2">
        <v>29656.080000000002</v>
      </c>
      <c r="G485" t="s">
        <v>719</v>
      </c>
      <c r="H485" s="7">
        <f t="shared" si="55"/>
        <v>0</v>
      </c>
      <c r="I485" s="1">
        <f t="shared" si="49"/>
        <v>45162</v>
      </c>
      <c r="J485" s="1" t="str">
        <f t="shared" si="50"/>
        <v>NET PI TO HSL SEC A/C 347707-00602340029392</v>
      </c>
      <c r="L485" s="7">
        <f t="shared" si="51"/>
        <v>346.87</v>
      </c>
      <c r="M485" s="7">
        <f t="shared" si="52"/>
        <v>0</v>
      </c>
      <c r="N485" s="7">
        <f t="shared" si="53"/>
        <v>29656.080000000002</v>
      </c>
      <c r="O485" s="7" t="str">
        <f t="shared" si="54"/>
        <v>HDFC 5930</v>
      </c>
    </row>
    <row r="486" spans="1:15" x14ac:dyDescent="0.25">
      <c r="A486" s="1">
        <v>45162</v>
      </c>
      <c r="B486" t="s">
        <v>610</v>
      </c>
      <c r="C486" s="1">
        <v>45162</v>
      </c>
      <c r="D486" s="2">
        <v>0</v>
      </c>
      <c r="E486" s="2">
        <v>500000</v>
      </c>
      <c r="F486" s="2">
        <v>529656.07999999996</v>
      </c>
      <c r="G486" t="s">
        <v>719</v>
      </c>
      <c r="H486" s="7">
        <f t="shared" si="55"/>
        <v>0</v>
      </c>
      <c r="I486" s="1">
        <f t="shared" si="49"/>
        <v>45162</v>
      </c>
      <c r="J486" s="1" t="str">
        <f t="shared" si="50"/>
        <v>NEFT CR-UTIB0000115-AJAY KUMAR GUPTA-AJAY GUPTA-AXOIR32366074498</v>
      </c>
      <c r="L486" s="7">
        <f t="shared" si="51"/>
        <v>0</v>
      </c>
      <c r="M486" s="7">
        <f t="shared" si="52"/>
        <v>500000</v>
      </c>
      <c r="N486" s="7">
        <f t="shared" si="53"/>
        <v>529656.07999999996</v>
      </c>
      <c r="O486" s="7" t="str">
        <f t="shared" si="54"/>
        <v>HDFC 5930</v>
      </c>
    </row>
    <row r="487" spans="1:15" x14ac:dyDescent="0.25">
      <c r="A487" s="1">
        <v>45162</v>
      </c>
      <c r="B487" t="s">
        <v>611</v>
      </c>
      <c r="C487" s="1">
        <v>45162</v>
      </c>
      <c r="D487" s="2">
        <v>100000</v>
      </c>
      <c r="E487" s="2">
        <v>0</v>
      </c>
      <c r="F487" s="2">
        <v>429656.08</v>
      </c>
      <c r="G487" t="s">
        <v>719</v>
      </c>
      <c r="H487" s="7">
        <f t="shared" si="55"/>
        <v>0</v>
      </c>
      <c r="I487" s="1">
        <f t="shared" si="49"/>
        <v>45162</v>
      </c>
      <c r="J487" s="1" t="str">
        <f t="shared" si="50"/>
        <v>50100542230922-TPT-BORROW FROM AKG-ARCHIT GUPTA</v>
      </c>
      <c r="L487" s="7">
        <f t="shared" si="51"/>
        <v>100000</v>
      </c>
      <c r="M487" s="7">
        <f t="shared" si="52"/>
        <v>0</v>
      </c>
      <c r="N487" s="7">
        <f t="shared" si="53"/>
        <v>429656.08</v>
      </c>
      <c r="O487" s="7" t="str">
        <f t="shared" si="54"/>
        <v>HDFC 5930</v>
      </c>
    </row>
    <row r="488" spans="1:15" x14ac:dyDescent="0.25">
      <c r="A488" s="1">
        <v>45162</v>
      </c>
      <c r="B488" t="s">
        <v>612</v>
      </c>
      <c r="C488" s="1">
        <v>45162</v>
      </c>
      <c r="D488" s="2">
        <v>0</v>
      </c>
      <c r="E488" s="2">
        <v>60.5</v>
      </c>
      <c r="F488" s="2">
        <v>429716.58</v>
      </c>
      <c r="G488" t="s">
        <v>719</v>
      </c>
      <c r="H488" s="7">
        <f t="shared" si="55"/>
        <v>0</v>
      </c>
      <c r="I488" s="1">
        <f t="shared" si="49"/>
        <v>45162</v>
      </c>
      <c r="J488" s="1" t="str">
        <f t="shared" si="50"/>
        <v>ACH C- PI INDUSTRIES LTD-3129628</v>
      </c>
      <c r="L488" s="7">
        <f t="shared" si="51"/>
        <v>0</v>
      </c>
      <c r="M488" s="7">
        <f t="shared" si="52"/>
        <v>60.5</v>
      </c>
      <c r="N488" s="7">
        <f t="shared" si="53"/>
        <v>429716.58</v>
      </c>
      <c r="O488" s="7" t="str">
        <f t="shared" si="54"/>
        <v>HDFC 5930</v>
      </c>
    </row>
    <row r="489" spans="1:15" x14ac:dyDescent="0.25">
      <c r="A489" s="1">
        <v>45162</v>
      </c>
      <c r="B489" t="s">
        <v>472</v>
      </c>
      <c r="C489" s="1">
        <v>45162</v>
      </c>
      <c r="D489" s="2">
        <v>8825.35</v>
      </c>
      <c r="E489" s="2">
        <v>0</v>
      </c>
      <c r="F489" s="2">
        <v>420891.23</v>
      </c>
      <c r="G489" t="s">
        <v>719</v>
      </c>
      <c r="H489" s="7">
        <f t="shared" si="55"/>
        <v>0</v>
      </c>
      <c r="I489" s="1">
        <f t="shared" si="49"/>
        <v>45162</v>
      </c>
      <c r="J489" s="1" t="str">
        <f t="shared" si="50"/>
        <v>NET PI TO HSL SEC A/C 347707-00602340029392</v>
      </c>
      <c r="L489" s="7">
        <f t="shared" si="51"/>
        <v>8825.35</v>
      </c>
      <c r="M489" s="7">
        <f t="shared" si="52"/>
        <v>0</v>
      </c>
      <c r="N489" s="7">
        <f t="shared" si="53"/>
        <v>420891.23</v>
      </c>
      <c r="O489" s="7" t="str">
        <f t="shared" si="54"/>
        <v>HDFC 5930</v>
      </c>
    </row>
    <row r="490" spans="1:15" x14ac:dyDescent="0.25">
      <c r="A490" s="1">
        <v>45162</v>
      </c>
      <c r="B490" t="s">
        <v>613</v>
      </c>
      <c r="C490" s="1">
        <v>45162</v>
      </c>
      <c r="D490" s="2">
        <v>100000</v>
      </c>
      <c r="E490" s="2">
        <v>0</v>
      </c>
      <c r="F490" s="2">
        <v>320891.23</v>
      </c>
      <c r="G490" t="s">
        <v>719</v>
      </c>
      <c r="H490" s="7">
        <f t="shared" si="55"/>
        <v>0</v>
      </c>
      <c r="I490" s="1">
        <f t="shared" si="49"/>
        <v>45162</v>
      </c>
      <c r="J490" s="1" t="str">
        <f t="shared" si="50"/>
        <v>01671000060094-TPT-FROM AKG-SUNITA GUPTA</v>
      </c>
      <c r="L490" s="7">
        <f t="shared" si="51"/>
        <v>100000</v>
      </c>
      <c r="M490" s="7">
        <f t="shared" si="52"/>
        <v>0</v>
      </c>
      <c r="N490" s="7">
        <f t="shared" si="53"/>
        <v>320891.23</v>
      </c>
      <c r="O490" s="7" t="str">
        <f t="shared" si="54"/>
        <v>HDFC 5930</v>
      </c>
    </row>
    <row r="491" spans="1:15" x14ac:dyDescent="0.25">
      <c r="A491" s="1">
        <v>45162</v>
      </c>
      <c r="B491" t="s">
        <v>614</v>
      </c>
      <c r="C491" s="1">
        <v>45162</v>
      </c>
      <c r="D491" s="2">
        <v>10000</v>
      </c>
      <c r="E491" s="2">
        <v>0</v>
      </c>
      <c r="F491" s="2">
        <v>310891.23</v>
      </c>
      <c r="G491" t="s">
        <v>719</v>
      </c>
      <c r="H491" s="7">
        <f t="shared" si="55"/>
        <v>0</v>
      </c>
      <c r="I491" s="1">
        <f t="shared" si="49"/>
        <v>45162</v>
      </c>
      <c r="J491" s="1" t="str">
        <f t="shared" si="50"/>
        <v>O-MF-SBI MF-L-L103G-000000101236</v>
      </c>
      <c r="L491" s="7">
        <f t="shared" si="51"/>
        <v>10000</v>
      </c>
      <c r="M491" s="7">
        <f t="shared" si="52"/>
        <v>0</v>
      </c>
      <c r="N491" s="7">
        <f t="shared" si="53"/>
        <v>310891.23</v>
      </c>
      <c r="O491" s="7" t="str">
        <f t="shared" si="54"/>
        <v>HDFC 5930</v>
      </c>
    </row>
    <row r="492" spans="1:15" x14ac:dyDescent="0.25">
      <c r="A492" s="1">
        <v>45162</v>
      </c>
      <c r="B492" t="s">
        <v>472</v>
      </c>
      <c r="C492" s="1">
        <v>45162</v>
      </c>
      <c r="D492" s="2">
        <v>2435.86</v>
      </c>
      <c r="E492" s="2">
        <v>0</v>
      </c>
      <c r="F492" s="2">
        <v>308455.37</v>
      </c>
      <c r="G492" t="s">
        <v>719</v>
      </c>
      <c r="H492" s="7">
        <f t="shared" si="55"/>
        <v>0</v>
      </c>
      <c r="I492" s="1">
        <f t="shared" si="49"/>
        <v>45162</v>
      </c>
      <c r="J492" s="1" t="str">
        <f t="shared" si="50"/>
        <v>NET PI TO HSL SEC A/C 347707-00602340029392</v>
      </c>
      <c r="L492" s="7">
        <f t="shared" si="51"/>
        <v>2435.86</v>
      </c>
      <c r="M492" s="7">
        <f t="shared" si="52"/>
        <v>0</v>
      </c>
      <c r="N492" s="7">
        <f t="shared" si="53"/>
        <v>308455.37</v>
      </c>
      <c r="O492" s="7" t="str">
        <f t="shared" si="54"/>
        <v>HDFC 5930</v>
      </c>
    </row>
    <row r="493" spans="1:15" x14ac:dyDescent="0.25">
      <c r="A493" s="1">
        <v>45163</v>
      </c>
      <c r="B493" t="s">
        <v>517</v>
      </c>
      <c r="C493" s="1">
        <v>45163</v>
      </c>
      <c r="D493" s="2">
        <v>3000</v>
      </c>
      <c r="E493" s="2">
        <v>0</v>
      </c>
      <c r="F493" s="2">
        <v>305455.37</v>
      </c>
      <c r="G493" t="s">
        <v>719</v>
      </c>
      <c r="H493" s="7">
        <f t="shared" si="55"/>
        <v>0</v>
      </c>
      <c r="I493" s="1">
        <f t="shared" si="49"/>
        <v>45163</v>
      </c>
      <c r="J493" s="1" t="str">
        <f t="shared" si="50"/>
        <v>O-MF-ICICI PRU-P-PSIG-000000101236</v>
      </c>
      <c r="L493" s="7">
        <f t="shared" si="51"/>
        <v>3000</v>
      </c>
      <c r="M493" s="7">
        <f t="shared" si="52"/>
        <v>0</v>
      </c>
      <c r="N493" s="7">
        <f t="shared" si="53"/>
        <v>305455.37</v>
      </c>
      <c r="O493" s="7" t="str">
        <f t="shared" si="54"/>
        <v>HDFC 5930</v>
      </c>
    </row>
    <row r="494" spans="1:15" x14ac:dyDescent="0.25">
      <c r="A494" s="1">
        <v>45163</v>
      </c>
      <c r="B494" t="s">
        <v>480</v>
      </c>
      <c r="C494" s="1">
        <v>45163</v>
      </c>
      <c r="D494" s="2">
        <v>10000</v>
      </c>
      <c r="E494" s="2">
        <v>0</v>
      </c>
      <c r="F494" s="2">
        <v>295455.37</v>
      </c>
      <c r="G494" t="s">
        <v>719</v>
      </c>
      <c r="H494" s="7">
        <f t="shared" si="55"/>
        <v>0</v>
      </c>
      <c r="I494" s="1">
        <f t="shared" si="49"/>
        <v>45163</v>
      </c>
      <c r="J494" s="1" t="str">
        <f t="shared" si="50"/>
        <v>NET PAYIN TO BSE MF A/C -57500000389146- FROM A/C -01671000085930- UCC -347707-57500000389146</v>
      </c>
      <c r="L494" s="7">
        <f t="shared" si="51"/>
        <v>10000</v>
      </c>
      <c r="M494" s="7">
        <f t="shared" si="52"/>
        <v>0</v>
      </c>
      <c r="N494" s="7">
        <f t="shared" si="53"/>
        <v>295455.37</v>
      </c>
      <c r="O494" s="7" t="str">
        <f t="shared" si="54"/>
        <v>HDFC 5930</v>
      </c>
    </row>
    <row r="495" spans="1:15" x14ac:dyDescent="0.25">
      <c r="A495" s="1">
        <v>45163</v>
      </c>
      <c r="B495" t="s">
        <v>480</v>
      </c>
      <c r="C495" s="1">
        <v>45163</v>
      </c>
      <c r="D495" s="2">
        <v>10000</v>
      </c>
      <c r="E495" s="2">
        <v>0</v>
      </c>
      <c r="F495" s="2">
        <v>285455.37</v>
      </c>
      <c r="G495" t="s">
        <v>719</v>
      </c>
      <c r="H495" s="7">
        <f t="shared" si="55"/>
        <v>0</v>
      </c>
      <c r="I495" s="1">
        <f t="shared" si="49"/>
        <v>45163</v>
      </c>
      <c r="J495" s="1" t="str">
        <f t="shared" si="50"/>
        <v>NET PAYIN TO BSE MF A/C -57500000389146- FROM A/C -01671000085930- UCC -347707-57500000389146</v>
      </c>
      <c r="L495" s="7">
        <f t="shared" si="51"/>
        <v>10000</v>
      </c>
      <c r="M495" s="7">
        <f t="shared" si="52"/>
        <v>0</v>
      </c>
      <c r="N495" s="7">
        <f t="shared" si="53"/>
        <v>285455.37</v>
      </c>
      <c r="O495" s="7" t="str">
        <f t="shared" si="54"/>
        <v>HDFC 5930</v>
      </c>
    </row>
    <row r="496" spans="1:15" x14ac:dyDescent="0.25">
      <c r="A496" s="1">
        <v>45163</v>
      </c>
      <c r="B496" t="s">
        <v>472</v>
      </c>
      <c r="C496" s="1">
        <v>45163</v>
      </c>
      <c r="D496" s="2">
        <v>345.67</v>
      </c>
      <c r="E496" s="2">
        <v>0</v>
      </c>
      <c r="F496" s="2">
        <v>285109.7</v>
      </c>
      <c r="G496" t="s">
        <v>719</v>
      </c>
      <c r="H496" s="7">
        <f t="shared" si="55"/>
        <v>0</v>
      </c>
      <c r="I496" s="1">
        <f t="shared" si="49"/>
        <v>45163</v>
      </c>
      <c r="J496" s="1" t="str">
        <f t="shared" si="50"/>
        <v>NET PI TO HSL SEC A/C 347707-00602340029392</v>
      </c>
      <c r="L496" s="7">
        <f t="shared" si="51"/>
        <v>345.67</v>
      </c>
      <c r="M496" s="7">
        <f t="shared" si="52"/>
        <v>0</v>
      </c>
      <c r="N496" s="7">
        <f t="shared" si="53"/>
        <v>285109.7</v>
      </c>
      <c r="O496" s="7" t="str">
        <f t="shared" si="54"/>
        <v>HDFC 5930</v>
      </c>
    </row>
    <row r="497" spans="1:15" x14ac:dyDescent="0.25">
      <c r="A497" s="1">
        <v>45163</v>
      </c>
      <c r="B497" t="s">
        <v>472</v>
      </c>
      <c r="C497" s="1">
        <v>45163</v>
      </c>
      <c r="D497" s="2">
        <v>14426.53</v>
      </c>
      <c r="E497" s="2">
        <v>0</v>
      </c>
      <c r="F497" s="2">
        <v>270683.17</v>
      </c>
      <c r="G497" t="s">
        <v>719</v>
      </c>
      <c r="H497" s="7">
        <f t="shared" si="55"/>
        <v>0</v>
      </c>
      <c r="I497" s="1">
        <f t="shared" si="49"/>
        <v>45163</v>
      </c>
      <c r="J497" s="1" t="str">
        <f t="shared" si="50"/>
        <v>NET PI TO HSL SEC A/C 347707-00602340029392</v>
      </c>
      <c r="L497" s="7">
        <f t="shared" si="51"/>
        <v>14426.53</v>
      </c>
      <c r="M497" s="7">
        <f t="shared" si="52"/>
        <v>0</v>
      </c>
      <c r="N497" s="7">
        <f t="shared" si="53"/>
        <v>270683.17</v>
      </c>
      <c r="O497" s="7" t="str">
        <f t="shared" si="54"/>
        <v>HDFC 5930</v>
      </c>
    </row>
    <row r="498" spans="1:15" x14ac:dyDescent="0.25">
      <c r="A498" s="1">
        <v>45163</v>
      </c>
      <c r="B498" t="s">
        <v>472</v>
      </c>
      <c r="C498" s="1">
        <v>45163</v>
      </c>
      <c r="D498" s="2">
        <v>14704.48</v>
      </c>
      <c r="E498" s="2">
        <v>0</v>
      </c>
      <c r="F498" s="2">
        <v>255978.69</v>
      </c>
      <c r="G498" t="s">
        <v>719</v>
      </c>
      <c r="H498" s="7">
        <f t="shared" si="55"/>
        <v>0</v>
      </c>
      <c r="I498" s="1">
        <f t="shared" si="49"/>
        <v>45163</v>
      </c>
      <c r="J498" s="1" t="str">
        <f t="shared" si="50"/>
        <v>NET PI TO HSL SEC A/C 347707-00602340029392</v>
      </c>
      <c r="L498" s="7">
        <f t="shared" si="51"/>
        <v>14704.48</v>
      </c>
      <c r="M498" s="7">
        <f t="shared" si="52"/>
        <v>0</v>
      </c>
      <c r="N498" s="7">
        <f t="shared" si="53"/>
        <v>255978.69</v>
      </c>
      <c r="O498" s="7" t="str">
        <f t="shared" si="54"/>
        <v>HDFC 5930</v>
      </c>
    </row>
    <row r="499" spans="1:15" x14ac:dyDescent="0.25">
      <c r="A499" s="1">
        <v>45166</v>
      </c>
      <c r="B499" t="s">
        <v>615</v>
      </c>
      <c r="C499" s="1">
        <v>45166</v>
      </c>
      <c r="D499" s="2">
        <v>200000</v>
      </c>
      <c r="E499" s="2">
        <v>0</v>
      </c>
      <c r="F499" s="2">
        <v>55978.69</v>
      </c>
      <c r="G499" t="s">
        <v>719</v>
      </c>
      <c r="H499" s="7">
        <f t="shared" si="55"/>
        <v>0</v>
      </c>
      <c r="I499" s="1">
        <f t="shared" si="49"/>
        <v>45166</v>
      </c>
      <c r="J499" s="1" t="str">
        <f t="shared" si="50"/>
        <v>01671000060094-TPT-FRM AKG-SUNITA GUPTA</v>
      </c>
      <c r="L499" s="7">
        <f t="shared" si="51"/>
        <v>200000</v>
      </c>
      <c r="M499" s="7">
        <f t="shared" si="52"/>
        <v>0</v>
      </c>
      <c r="N499" s="7">
        <f t="shared" si="53"/>
        <v>55978.69</v>
      </c>
      <c r="O499" s="7" t="str">
        <f t="shared" si="54"/>
        <v>HDFC 5930</v>
      </c>
    </row>
    <row r="500" spans="1:15" x14ac:dyDescent="0.25">
      <c r="A500" s="1">
        <v>45166</v>
      </c>
      <c r="B500" t="s">
        <v>480</v>
      </c>
      <c r="C500" s="1">
        <v>45166</v>
      </c>
      <c r="D500" s="2">
        <v>3000</v>
      </c>
      <c r="E500" s="2">
        <v>0</v>
      </c>
      <c r="F500" s="2">
        <v>52978.69</v>
      </c>
      <c r="G500" t="s">
        <v>719</v>
      </c>
      <c r="H500" s="7">
        <f t="shared" si="55"/>
        <v>0</v>
      </c>
      <c r="I500" s="1">
        <f t="shared" si="49"/>
        <v>45166</v>
      </c>
      <c r="J500" s="1" t="str">
        <f t="shared" si="50"/>
        <v>NET PAYIN TO BSE MF A/C -57500000389146- FROM A/C -01671000085930- UCC -347707-57500000389146</v>
      </c>
      <c r="L500" s="7">
        <f t="shared" si="51"/>
        <v>3000</v>
      </c>
      <c r="M500" s="7">
        <f t="shared" si="52"/>
        <v>0</v>
      </c>
      <c r="N500" s="7">
        <f t="shared" si="53"/>
        <v>52978.69</v>
      </c>
      <c r="O500" s="7" t="str">
        <f t="shared" si="54"/>
        <v>HDFC 5930</v>
      </c>
    </row>
    <row r="501" spans="1:15" x14ac:dyDescent="0.25">
      <c r="A501" s="1">
        <v>45166</v>
      </c>
      <c r="B501" t="s">
        <v>472</v>
      </c>
      <c r="C501" s="1">
        <v>45166</v>
      </c>
      <c r="D501" s="2">
        <v>1026.33</v>
      </c>
      <c r="E501" s="2">
        <v>0</v>
      </c>
      <c r="F501" s="2">
        <v>51952.36</v>
      </c>
      <c r="G501" t="s">
        <v>719</v>
      </c>
      <c r="H501" s="7">
        <f t="shared" si="55"/>
        <v>0</v>
      </c>
      <c r="I501" s="1">
        <f t="shared" si="49"/>
        <v>45166</v>
      </c>
      <c r="J501" s="1" t="str">
        <f t="shared" si="50"/>
        <v>NET PI TO HSL SEC A/C 347707-00602340029392</v>
      </c>
      <c r="L501" s="7">
        <f t="shared" si="51"/>
        <v>1026.33</v>
      </c>
      <c r="M501" s="7">
        <f t="shared" si="52"/>
        <v>0</v>
      </c>
      <c r="N501" s="7">
        <f t="shared" si="53"/>
        <v>51952.36</v>
      </c>
      <c r="O501" s="7" t="str">
        <f t="shared" si="54"/>
        <v>HDFC 5930</v>
      </c>
    </row>
    <row r="502" spans="1:15" x14ac:dyDescent="0.25">
      <c r="A502" s="1">
        <v>45166</v>
      </c>
      <c r="B502" t="s">
        <v>472</v>
      </c>
      <c r="C502" s="1">
        <v>45166</v>
      </c>
      <c r="D502" s="2">
        <v>10448.16</v>
      </c>
      <c r="E502" s="2">
        <v>0</v>
      </c>
      <c r="F502" s="2">
        <v>41504.199999999997</v>
      </c>
      <c r="G502" t="s">
        <v>719</v>
      </c>
      <c r="H502" s="7">
        <f t="shared" si="55"/>
        <v>0</v>
      </c>
      <c r="I502" s="1">
        <f t="shared" si="49"/>
        <v>45166</v>
      </c>
      <c r="J502" s="1" t="str">
        <f t="shared" si="50"/>
        <v>NET PI TO HSL SEC A/C 347707-00602340029392</v>
      </c>
      <c r="L502" s="7">
        <f t="shared" si="51"/>
        <v>10448.16</v>
      </c>
      <c r="M502" s="7">
        <f t="shared" si="52"/>
        <v>0</v>
      </c>
      <c r="N502" s="7">
        <f t="shared" si="53"/>
        <v>41504.199999999997</v>
      </c>
      <c r="O502" s="7" t="str">
        <f t="shared" si="54"/>
        <v>HDFC 5930</v>
      </c>
    </row>
    <row r="503" spans="1:15" x14ac:dyDescent="0.25">
      <c r="A503" s="1">
        <v>45166</v>
      </c>
      <c r="B503" t="s">
        <v>616</v>
      </c>
      <c r="C503" s="1">
        <v>45166</v>
      </c>
      <c r="D503" s="2">
        <v>0</v>
      </c>
      <c r="E503" s="2">
        <v>36</v>
      </c>
      <c r="F503" s="2">
        <v>41540.199999999997</v>
      </c>
      <c r="G503" t="s">
        <v>719</v>
      </c>
      <c r="H503" s="7">
        <f t="shared" si="55"/>
        <v>0</v>
      </c>
      <c r="I503" s="1">
        <f t="shared" si="49"/>
        <v>45166</v>
      </c>
      <c r="J503" s="1" t="str">
        <f t="shared" si="50"/>
        <v>ACH C- RELIANCE INDUSTRIES-231726157</v>
      </c>
      <c r="L503" s="7">
        <f t="shared" si="51"/>
        <v>0</v>
      </c>
      <c r="M503" s="7">
        <f t="shared" si="52"/>
        <v>36</v>
      </c>
      <c r="N503" s="7">
        <f t="shared" si="53"/>
        <v>41540.199999999997</v>
      </c>
      <c r="O503" s="7" t="str">
        <f t="shared" si="54"/>
        <v>HDFC 5930</v>
      </c>
    </row>
    <row r="504" spans="1:15" x14ac:dyDescent="0.25">
      <c r="A504" s="1">
        <v>45166</v>
      </c>
      <c r="B504" t="s">
        <v>472</v>
      </c>
      <c r="C504" s="1">
        <v>45166</v>
      </c>
      <c r="D504" s="2">
        <v>3167.57</v>
      </c>
      <c r="E504" s="2">
        <v>0</v>
      </c>
      <c r="F504" s="2">
        <v>38372.629999999997</v>
      </c>
      <c r="G504" t="s">
        <v>719</v>
      </c>
      <c r="H504" s="7">
        <f t="shared" si="55"/>
        <v>0</v>
      </c>
      <c r="I504" s="1">
        <f t="shared" si="49"/>
        <v>45166</v>
      </c>
      <c r="J504" s="1" t="str">
        <f t="shared" si="50"/>
        <v>NET PI TO HSL SEC A/C 347707-00602340029392</v>
      </c>
      <c r="L504" s="7">
        <f t="shared" si="51"/>
        <v>3167.57</v>
      </c>
      <c r="M504" s="7">
        <f t="shared" si="52"/>
        <v>0</v>
      </c>
      <c r="N504" s="7">
        <f t="shared" si="53"/>
        <v>38372.629999999997</v>
      </c>
      <c r="O504" s="7" t="str">
        <f t="shared" si="54"/>
        <v>HDFC 5930</v>
      </c>
    </row>
    <row r="505" spans="1:15" x14ac:dyDescent="0.25">
      <c r="A505" s="1">
        <v>45166</v>
      </c>
      <c r="B505" t="s">
        <v>617</v>
      </c>
      <c r="C505" s="1">
        <v>45166</v>
      </c>
      <c r="D505" s="2">
        <v>0</v>
      </c>
      <c r="E505" s="2">
        <v>200000</v>
      </c>
      <c r="F505" s="2">
        <v>238372.63</v>
      </c>
      <c r="G505" t="s">
        <v>719</v>
      </c>
      <c r="H505" s="7">
        <f t="shared" si="55"/>
        <v>0</v>
      </c>
      <c r="I505" s="1">
        <f t="shared" si="49"/>
        <v>45166</v>
      </c>
      <c r="J505" s="1" t="str">
        <f t="shared" si="50"/>
        <v>NEFT CR-UTIB0000115-AJAY KUMAR GUPTA-AJAY GUPTA-AXOIR32408328549</v>
      </c>
      <c r="L505" s="7">
        <f t="shared" si="51"/>
        <v>0</v>
      </c>
      <c r="M505" s="7">
        <f t="shared" si="52"/>
        <v>200000</v>
      </c>
      <c r="N505" s="7">
        <f t="shared" si="53"/>
        <v>238372.63</v>
      </c>
      <c r="O505" s="7" t="str">
        <f t="shared" si="54"/>
        <v>HDFC 5930</v>
      </c>
    </row>
    <row r="506" spans="1:15" x14ac:dyDescent="0.25">
      <c r="A506" s="1">
        <v>45167</v>
      </c>
      <c r="B506" t="s">
        <v>472</v>
      </c>
      <c r="C506" s="1">
        <v>45167</v>
      </c>
      <c r="D506" s="2">
        <v>362.29</v>
      </c>
      <c r="E506" s="2">
        <v>0</v>
      </c>
      <c r="F506" s="2">
        <v>238010.34</v>
      </c>
      <c r="G506" t="s">
        <v>719</v>
      </c>
      <c r="H506" s="7">
        <f t="shared" si="55"/>
        <v>0</v>
      </c>
      <c r="I506" s="1">
        <f t="shared" si="49"/>
        <v>45167</v>
      </c>
      <c r="J506" s="1" t="str">
        <f t="shared" si="50"/>
        <v>NET PI TO HSL SEC A/C 347707-00602340029392</v>
      </c>
      <c r="L506" s="7">
        <f t="shared" si="51"/>
        <v>362.29</v>
      </c>
      <c r="M506" s="7">
        <f t="shared" si="52"/>
        <v>0</v>
      </c>
      <c r="N506" s="7">
        <f t="shared" si="53"/>
        <v>238010.34</v>
      </c>
      <c r="O506" s="7" t="str">
        <f t="shared" si="54"/>
        <v>HDFC 5930</v>
      </c>
    </row>
    <row r="507" spans="1:15" x14ac:dyDescent="0.25">
      <c r="A507" s="1">
        <v>45167</v>
      </c>
      <c r="B507" t="s">
        <v>472</v>
      </c>
      <c r="C507" s="1">
        <v>45167</v>
      </c>
      <c r="D507" s="2">
        <v>7009.73</v>
      </c>
      <c r="E507" s="2">
        <v>0</v>
      </c>
      <c r="F507" s="2">
        <v>231000.61</v>
      </c>
      <c r="G507" t="s">
        <v>719</v>
      </c>
      <c r="H507" s="7">
        <f t="shared" si="55"/>
        <v>0</v>
      </c>
      <c r="I507" s="1">
        <f t="shared" si="49"/>
        <v>45167</v>
      </c>
      <c r="J507" s="1" t="str">
        <f t="shared" si="50"/>
        <v>NET PI TO HSL SEC A/C 347707-00602340029392</v>
      </c>
      <c r="L507" s="7">
        <f t="shared" si="51"/>
        <v>7009.73</v>
      </c>
      <c r="M507" s="7">
        <f t="shared" si="52"/>
        <v>0</v>
      </c>
      <c r="N507" s="7">
        <f t="shared" si="53"/>
        <v>231000.61</v>
      </c>
      <c r="O507" s="7" t="str">
        <f t="shared" si="54"/>
        <v>HDFC 5930</v>
      </c>
    </row>
    <row r="508" spans="1:15" x14ac:dyDescent="0.25">
      <c r="A508" s="1">
        <v>45167</v>
      </c>
      <c r="B508" t="s">
        <v>472</v>
      </c>
      <c r="C508" s="1">
        <v>45167</v>
      </c>
      <c r="D508" s="2">
        <v>5380.03</v>
      </c>
      <c r="E508" s="2">
        <v>0</v>
      </c>
      <c r="F508" s="2">
        <v>225620.58</v>
      </c>
      <c r="G508" t="s">
        <v>719</v>
      </c>
      <c r="H508" s="7">
        <f t="shared" si="55"/>
        <v>0</v>
      </c>
      <c r="I508" s="1">
        <f t="shared" si="49"/>
        <v>45167</v>
      </c>
      <c r="J508" s="1" t="str">
        <f t="shared" si="50"/>
        <v>NET PI TO HSL SEC A/C 347707-00602340029392</v>
      </c>
      <c r="L508" s="7">
        <f t="shared" si="51"/>
        <v>5380.03</v>
      </c>
      <c r="M508" s="7">
        <f t="shared" si="52"/>
        <v>0</v>
      </c>
      <c r="N508" s="7">
        <f t="shared" si="53"/>
        <v>225620.58</v>
      </c>
      <c r="O508" s="7" t="str">
        <f t="shared" si="54"/>
        <v>HDFC 5930</v>
      </c>
    </row>
    <row r="509" spans="1:15" x14ac:dyDescent="0.25">
      <c r="A509" s="1">
        <v>45168</v>
      </c>
      <c r="B509" t="s">
        <v>618</v>
      </c>
      <c r="C509" s="1">
        <v>45168</v>
      </c>
      <c r="D509" s="2">
        <v>0</v>
      </c>
      <c r="E509" s="2">
        <v>1392.78</v>
      </c>
      <c r="F509" s="2">
        <v>227013.36</v>
      </c>
      <c r="G509" t="s">
        <v>719</v>
      </c>
      <c r="H509" s="7">
        <f t="shared" si="55"/>
        <v>0</v>
      </c>
      <c r="I509" s="1">
        <f t="shared" si="49"/>
        <v>45168</v>
      </c>
      <c r="J509" s="1" t="str">
        <f t="shared" si="50"/>
        <v>NET PO FROM HSL A/C 347707-50200085415108</v>
      </c>
      <c r="L509" s="7">
        <f t="shared" si="51"/>
        <v>0</v>
      </c>
      <c r="M509" s="7">
        <f t="shared" si="52"/>
        <v>1392.78</v>
      </c>
      <c r="N509" s="7">
        <f t="shared" si="53"/>
        <v>227013.36</v>
      </c>
      <c r="O509" s="7" t="str">
        <f t="shared" si="54"/>
        <v>HDFC 5930</v>
      </c>
    </row>
    <row r="510" spans="1:15" x14ac:dyDescent="0.25">
      <c r="A510" s="1">
        <v>45168</v>
      </c>
      <c r="B510" t="s">
        <v>472</v>
      </c>
      <c r="C510" s="1">
        <v>45168</v>
      </c>
      <c r="D510" s="2">
        <v>365.04</v>
      </c>
      <c r="E510" s="2">
        <v>0</v>
      </c>
      <c r="F510" s="2">
        <v>226648.32000000001</v>
      </c>
      <c r="G510" t="s">
        <v>719</v>
      </c>
      <c r="H510" s="7">
        <f t="shared" si="55"/>
        <v>0</v>
      </c>
      <c r="I510" s="1">
        <f t="shared" si="49"/>
        <v>45168</v>
      </c>
      <c r="J510" s="1" t="str">
        <f t="shared" si="50"/>
        <v>NET PI TO HSL SEC A/C 347707-00602340029392</v>
      </c>
      <c r="L510" s="7">
        <f t="shared" si="51"/>
        <v>365.04</v>
      </c>
      <c r="M510" s="7">
        <f t="shared" si="52"/>
        <v>0</v>
      </c>
      <c r="N510" s="7">
        <f t="shared" si="53"/>
        <v>226648.32000000001</v>
      </c>
      <c r="O510" s="7" t="str">
        <f t="shared" si="54"/>
        <v>HDFC 5930</v>
      </c>
    </row>
    <row r="511" spans="1:15" x14ac:dyDescent="0.25">
      <c r="A511" s="1">
        <v>45168</v>
      </c>
      <c r="B511" t="s">
        <v>619</v>
      </c>
      <c r="C511" s="1">
        <v>45168</v>
      </c>
      <c r="D511" s="2">
        <v>0</v>
      </c>
      <c r="E511" s="2">
        <v>584.66</v>
      </c>
      <c r="F511" s="2">
        <v>227232.98</v>
      </c>
      <c r="G511" t="s">
        <v>719</v>
      </c>
      <c r="H511" s="7">
        <f t="shared" si="55"/>
        <v>0</v>
      </c>
      <c r="I511" s="1">
        <f t="shared" si="49"/>
        <v>45168</v>
      </c>
      <c r="J511" s="1" t="str">
        <f t="shared" si="50"/>
        <v>00012050001396HLY INT-IN0020220078</v>
      </c>
      <c r="L511" s="7">
        <f t="shared" si="51"/>
        <v>0</v>
      </c>
      <c r="M511" s="7">
        <f t="shared" si="52"/>
        <v>584.66</v>
      </c>
      <c r="N511" s="7">
        <f t="shared" si="53"/>
        <v>227232.98</v>
      </c>
      <c r="O511" s="7" t="str">
        <f t="shared" si="54"/>
        <v>HDFC 5930</v>
      </c>
    </row>
    <row r="512" spans="1:15" x14ac:dyDescent="0.25">
      <c r="A512" s="1">
        <v>45168</v>
      </c>
      <c r="B512" t="s">
        <v>620</v>
      </c>
      <c r="C512" s="1">
        <v>45168</v>
      </c>
      <c r="D512" s="2">
        <v>150000</v>
      </c>
      <c r="E512" s="2">
        <v>0</v>
      </c>
      <c r="F512" s="2">
        <v>77232.98</v>
      </c>
      <c r="G512" t="s">
        <v>719</v>
      </c>
      <c r="H512" s="7">
        <f t="shared" si="55"/>
        <v>0</v>
      </c>
      <c r="I512" s="1">
        <f t="shared" si="49"/>
        <v>45168</v>
      </c>
      <c r="J512" s="1" t="str">
        <f t="shared" si="50"/>
        <v>50100128155413-TPT-FROM AKG-AAYUSH KUMAR GUPTA</v>
      </c>
      <c r="L512" s="7">
        <f t="shared" si="51"/>
        <v>150000</v>
      </c>
      <c r="M512" s="7">
        <f t="shared" si="52"/>
        <v>0</v>
      </c>
      <c r="N512" s="7">
        <f t="shared" si="53"/>
        <v>77232.98</v>
      </c>
      <c r="O512" s="7" t="str">
        <f t="shared" si="54"/>
        <v>HDFC 5930</v>
      </c>
    </row>
    <row r="513" spans="1:15" x14ac:dyDescent="0.25">
      <c r="A513" s="1">
        <v>45168</v>
      </c>
      <c r="B513" t="s">
        <v>613</v>
      </c>
      <c r="C513" s="1">
        <v>45168</v>
      </c>
      <c r="D513" s="2">
        <v>50000</v>
      </c>
      <c r="E513" s="2">
        <v>0</v>
      </c>
      <c r="F513" s="2">
        <v>27232.98</v>
      </c>
      <c r="G513" t="s">
        <v>719</v>
      </c>
      <c r="H513" s="7">
        <f t="shared" si="55"/>
        <v>0</v>
      </c>
      <c r="I513" s="1">
        <f t="shared" si="49"/>
        <v>45168</v>
      </c>
      <c r="J513" s="1" t="str">
        <f t="shared" si="50"/>
        <v>01671000060094-TPT-FROM AKG-SUNITA GUPTA</v>
      </c>
      <c r="L513" s="7">
        <f t="shared" si="51"/>
        <v>50000</v>
      </c>
      <c r="M513" s="7">
        <f t="shared" si="52"/>
        <v>0</v>
      </c>
      <c r="N513" s="7">
        <f t="shared" si="53"/>
        <v>27232.98</v>
      </c>
      <c r="O513" s="7" t="str">
        <f t="shared" si="54"/>
        <v>HDFC 5930</v>
      </c>
    </row>
    <row r="514" spans="1:15" x14ac:dyDescent="0.25">
      <c r="A514" s="1">
        <v>45168</v>
      </c>
      <c r="B514" t="s">
        <v>621</v>
      </c>
      <c r="C514" s="1">
        <v>45168</v>
      </c>
      <c r="D514" s="2">
        <v>0</v>
      </c>
      <c r="E514" s="2">
        <v>150000</v>
      </c>
      <c r="F514" s="2">
        <v>177232.98</v>
      </c>
      <c r="G514" t="s">
        <v>719</v>
      </c>
      <c r="H514" s="7">
        <f t="shared" si="55"/>
        <v>0</v>
      </c>
      <c r="I514" s="1">
        <f t="shared" si="49"/>
        <v>45168</v>
      </c>
      <c r="J514" s="1" t="str">
        <f t="shared" si="50"/>
        <v>NEFT CR-UTIB0000115-AJAY KUMAR GUPTA-AJAY GUPTA-AXOIR32424691968</v>
      </c>
      <c r="L514" s="7">
        <f t="shared" si="51"/>
        <v>0</v>
      </c>
      <c r="M514" s="7">
        <f t="shared" si="52"/>
        <v>150000</v>
      </c>
      <c r="N514" s="7">
        <f t="shared" si="53"/>
        <v>177232.98</v>
      </c>
      <c r="O514" s="7" t="str">
        <f t="shared" si="54"/>
        <v>HDFC 5930</v>
      </c>
    </row>
    <row r="515" spans="1:15" x14ac:dyDescent="0.25">
      <c r="A515" s="1">
        <v>45168</v>
      </c>
      <c r="B515" t="s">
        <v>622</v>
      </c>
      <c r="C515" s="1">
        <v>45168</v>
      </c>
      <c r="D515" s="2">
        <v>100000</v>
      </c>
      <c r="E515" s="2">
        <v>0</v>
      </c>
      <c r="F515" s="2">
        <v>77232.98</v>
      </c>
      <c r="G515" t="s">
        <v>719</v>
      </c>
      <c r="H515" s="7">
        <f t="shared" si="55"/>
        <v>0</v>
      </c>
      <c r="I515" s="1">
        <f t="shared" si="49"/>
        <v>45168</v>
      </c>
      <c r="J515" s="1" t="str">
        <f t="shared" si="50"/>
        <v>50100542230922-TPT-FROM AKG-ARCHIT GUPTA</v>
      </c>
      <c r="L515" s="7">
        <f t="shared" si="51"/>
        <v>100000</v>
      </c>
      <c r="M515" s="7">
        <f t="shared" si="52"/>
        <v>0</v>
      </c>
      <c r="N515" s="7">
        <f t="shared" si="53"/>
        <v>77232.98</v>
      </c>
      <c r="O515" s="7" t="str">
        <f t="shared" si="54"/>
        <v>HDFC 5930</v>
      </c>
    </row>
    <row r="516" spans="1:15" x14ac:dyDescent="0.25">
      <c r="A516" s="1">
        <v>45168</v>
      </c>
      <c r="B516" t="s">
        <v>472</v>
      </c>
      <c r="C516" s="1">
        <v>45168</v>
      </c>
      <c r="D516" s="2">
        <v>16498.04</v>
      </c>
      <c r="E516" s="2">
        <v>0</v>
      </c>
      <c r="F516" s="2">
        <v>60734.94</v>
      </c>
      <c r="G516" t="s">
        <v>719</v>
      </c>
      <c r="H516" s="7">
        <f t="shared" si="55"/>
        <v>0</v>
      </c>
      <c r="I516" s="1">
        <f t="shared" si="49"/>
        <v>45168</v>
      </c>
      <c r="J516" s="1" t="str">
        <f t="shared" si="50"/>
        <v>NET PI TO HSL SEC A/C 347707-00602340029392</v>
      </c>
      <c r="L516" s="7">
        <f t="shared" si="51"/>
        <v>16498.04</v>
      </c>
      <c r="M516" s="7">
        <f t="shared" si="52"/>
        <v>0</v>
      </c>
      <c r="N516" s="7">
        <f t="shared" si="53"/>
        <v>60734.94</v>
      </c>
      <c r="O516" s="7" t="str">
        <f t="shared" si="54"/>
        <v>HDFC 5930</v>
      </c>
    </row>
    <row r="517" spans="1:15" x14ac:dyDescent="0.25">
      <c r="A517" s="1">
        <v>45169</v>
      </c>
      <c r="B517" t="s">
        <v>472</v>
      </c>
      <c r="C517" s="1">
        <v>45169</v>
      </c>
      <c r="D517" s="2">
        <v>368.67</v>
      </c>
      <c r="E517" s="2">
        <v>0</v>
      </c>
      <c r="F517" s="2">
        <v>60366.27</v>
      </c>
      <c r="G517" t="s">
        <v>719</v>
      </c>
      <c r="H517" s="7">
        <f t="shared" si="55"/>
        <v>0</v>
      </c>
      <c r="I517" s="1">
        <f t="shared" si="49"/>
        <v>45169</v>
      </c>
      <c r="J517" s="1" t="str">
        <f t="shared" si="50"/>
        <v>NET PI TO HSL SEC A/C 347707-00602340029392</v>
      </c>
      <c r="L517" s="7">
        <f t="shared" si="51"/>
        <v>368.67</v>
      </c>
      <c r="M517" s="7">
        <f t="shared" si="52"/>
        <v>0</v>
      </c>
      <c r="N517" s="7">
        <f t="shared" si="53"/>
        <v>60366.27</v>
      </c>
      <c r="O517" s="7" t="str">
        <f t="shared" si="54"/>
        <v>HDFC 5930</v>
      </c>
    </row>
    <row r="518" spans="1:15" x14ac:dyDescent="0.25">
      <c r="A518" s="1">
        <v>45170</v>
      </c>
      <c r="B518" t="s">
        <v>618</v>
      </c>
      <c r="C518" s="1">
        <v>45170</v>
      </c>
      <c r="D518" s="2">
        <v>0</v>
      </c>
      <c r="E518" s="2">
        <v>424.61</v>
      </c>
      <c r="F518" s="2">
        <v>60790.879999999997</v>
      </c>
      <c r="G518" t="s">
        <v>719</v>
      </c>
      <c r="H518" s="7">
        <f t="shared" si="55"/>
        <v>0</v>
      </c>
      <c r="I518" s="1">
        <f t="shared" si="49"/>
        <v>45170</v>
      </c>
      <c r="J518" s="1" t="str">
        <f t="shared" si="50"/>
        <v>NET PO FROM HSL A/C 347707-50200085415108</v>
      </c>
      <c r="L518" s="7">
        <f t="shared" si="51"/>
        <v>0</v>
      </c>
      <c r="M518" s="7">
        <f t="shared" si="52"/>
        <v>424.61</v>
      </c>
      <c r="N518" s="7">
        <f t="shared" si="53"/>
        <v>60790.879999999997</v>
      </c>
      <c r="O518" s="7" t="str">
        <f t="shared" si="54"/>
        <v>HDFC 5930</v>
      </c>
    </row>
    <row r="519" spans="1:15" x14ac:dyDescent="0.25">
      <c r="A519" s="1">
        <v>45170</v>
      </c>
      <c r="B519" t="s">
        <v>472</v>
      </c>
      <c r="C519" s="1">
        <v>45170</v>
      </c>
      <c r="D519" s="2">
        <v>368.67</v>
      </c>
      <c r="E519" s="2">
        <v>0</v>
      </c>
      <c r="F519" s="2">
        <v>60422.21</v>
      </c>
      <c r="G519" t="s">
        <v>719</v>
      </c>
      <c r="H519" s="7">
        <f t="shared" si="55"/>
        <v>0</v>
      </c>
      <c r="I519" s="1">
        <f t="shared" si="49"/>
        <v>45170</v>
      </c>
      <c r="J519" s="1" t="str">
        <f t="shared" si="50"/>
        <v>NET PI TO HSL SEC A/C 347707-00602340029392</v>
      </c>
      <c r="L519" s="7">
        <f t="shared" si="51"/>
        <v>368.67</v>
      </c>
      <c r="M519" s="7">
        <f t="shared" si="52"/>
        <v>0</v>
      </c>
      <c r="N519" s="7">
        <f t="shared" si="53"/>
        <v>60422.21</v>
      </c>
      <c r="O519" s="7" t="str">
        <f t="shared" si="54"/>
        <v>HDFC 5930</v>
      </c>
    </row>
    <row r="520" spans="1:15" x14ac:dyDescent="0.25">
      <c r="A520" s="1">
        <v>45170</v>
      </c>
      <c r="B520" t="s">
        <v>623</v>
      </c>
      <c r="C520" s="1">
        <v>45170</v>
      </c>
      <c r="D520" s="2">
        <v>0</v>
      </c>
      <c r="E520" s="2">
        <v>800</v>
      </c>
      <c r="F520" s="2">
        <v>61222.21</v>
      </c>
      <c r="G520" t="s">
        <v>719</v>
      </c>
      <c r="H520" s="7">
        <f t="shared" si="55"/>
        <v>0</v>
      </c>
      <c r="I520" s="1">
        <f t="shared" si="49"/>
        <v>45170</v>
      </c>
      <c r="J520" s="1" t="str">
        <f t="shared" si="50"/>
        <v>ACH C- ICICI BANK LTD.-5365152</v>
      </c>
      <c r="L520" s="7">
        <f t="shared" si="51"/>
        <v>0</v>
      </c>
      <c r="M520" s="7">
        <f t="shared" si="52"/>
        <v>800</v>
      </c>
      <c r="N520" s="7">
        <f t="shared" si="53"/>
        <v>61222.21</v>
      </c>
      <c r="O520" s="7" t="str">
        <f t="shared" si="54"/>
        <v>HDFC 5930</v>
      </c>
    </row>
    <row r="521" spans="1:15" x14ac:dyDescent="0.25">
      <c r="A521" s="1">
        <v>45170</v>
      </c>
      <c r="B521" t="s">
        <v>624</v>
      </c>
      <c r="C521" s="1">
        <v>45170</v>
      </c>
      <c r="D521" s="2">
        <v>0</v>
      </c>
      <c r="E521" s="2">
        <v>4</v>
      </c>
      <c r="F521" s="2">
        <v>61226.21</v>
      </c>
      <c r="G521" t="s">
        <v>719</v>
      </c>
      <c r="H521" s="7">
        <f t="shared" si="55"/>
        <v>0</v>
      </c>
      <c r="I521" s="1">
        <f t="shared" si="49"/>
        <v>45170</v>
      </c>
      <c r="J521" s="1" t="str">
        <f t="shared" si="50"/>
        <v>ACH C- SPIL FINAL 2022 2023-250111</v>
      </c>
      <c r="L521" s="7">
        <f t="shared" si="51"/>
        <v>0</v>
      </c>
      <c r="M521" s="7">
        <f t="shared" si="52"/>
        <v>4</v>
      </c>
      <c r="N521" s="7">
        <f t="shared" si="53"/>
        <v>61226.21</v>
      </c>
      <c r="O521" s="7" t="str">
        <f t="shared" si="54"/>
        <v>HDFC 5930</v>
      </c>
    </row>
    <row r="522" spans="1:15" x14ac:dyDescent="0.25">
      <c r="A522" s="1">
        <v>45170</v>
      </c>
      <c r="B522" t="s">
        <v>625</v>
      </c>
      <c r="C522" s="1">
        <v>45170</v>
      </c>
      <c r="D522" s="2">
        <v>1500</v>
      </c>
      <c r="E522" s="2">
        <v>0</v>
      </c>
      <c r="F522" s="2">
        <v>59726.21</v>
      </c>
      <c r="G522" t="s">
        <v>719</v>
      </c>
      <c r="H522" s="7">
        <f t="shared" si="55"/>
        <v>0</v>
      </c>
      <c r="I522" s="1">
        <f t="shared" si="49"/>
        <v>45170</v>
      </c>
      <c r="J522" s="1" t="str">
        <f t="shared" si="50"/>
        <v>ACH D- TP ACH INVESTOCAFE-1237515120</v>
      </c>
      <c r="L522" s="7">
        <f t="shared" si="51"/>
        <v>1500</v>
      </c>
      <c r="M522" s="7">
        <f t="shared" si="52"/>
        <v>0</v>
      </c>
      <c r="N522" s="7">
        <f t="shared" si="53"/>
        <v>59726.21</v>
      </c>
      <c r="O522" s="7" t="str">
        <f t="shared" si="54"/>
        <v>HDFC 5930</v>
      </c>
    </row>
    <row r="523" spans="1:15" x14ac:dyDescent="0.25">
      <c r="A523" s="1">
        <v>45170</v>
      </c>
      <c r="B523" t="s">
        <v>626</v>
      </c>
      <c r="C523" s="1">
        <v>45170</v>
      </c>
      <c r="D523" s="2">
        <v>2000</v>
      </c>
      <c r="E523" s="2">
        <v>0</v>
      </c>
      <c r="F523" s="2">
        <v>57726.21</v>
      </c>
      <c r="G523" t="s">
        <v>719</v>
      </c>
      <c r="H523" s="7">
        <f t="shared" si="55"/>
        <v>0</v>
      </c>
      <c r="I523" s="1">
        <f t="shared" si="49"/>
        <v>45170</v>
      </c>
      <c r="J523" s="1" t="str">
        <f t="shared" si="50"/>
        <v>ACH D- TP ACH INVESTOCAFE-1237515121</v>
      </c>
      <c r="L523" s="7">
        <f t="shared" si="51"/>
        <v>2000</v>
      </c>
      <c r="M523" s="7">
        <f t="shared" si="52"/>
        <v>0</v>
      </c>
      <c r="N523" s="7">
        <f t="shared" si="53"/>
        <v>57726.21</v>
      </c>
      <c r="O523" s="7" t="str">
        <f t="shared" si="54"/>
        <v>HDFC 5930</v>
      </c>
    </row>
    <row r="524" spans="1:15" x14ac:dyDescent="0.25">
      <c r="A524" s="1">
        <v>45170</v>
      </c>
      <c r="B524" t="s">
        <v>627</v>
      </c>
      <c r="C524" s="1">
        <v>45170</v>
      </c>
      <c r="D524" s="2">
        <v>2000</v>
      </c>
      <c r="E524" s="2">
        <v>0</v>
      </c>
      <c r="F524" s="2">
        <v>55726.21</v>
      </c>
      <c r="G524" t="s">
        <v>719</v>
      </c>
      <c r="H524" s="7">
        <f t="shared" si="55"/>
        <v>0</v>
      </c>
      <c r="I524" s="1">
        <f t="shared" si="49"/>
        <v>45170</v>
      </c>
      <c r="J524" s="1" t="str">
        <f t="shared" si="50"/>
        <v>ACH D- TP ACH INVESTOCAFE-1237515122</v>
      </c>
      <c r="L524" s="7">
        <f t="shared" si="51"/>
        <v>2000</v>
      </c>
      <c r="M524" s="7">
        <f t="shared" si="52"/>
        <v>0</v>
      </c>
      <c r="N524" s="7">
        <f t="shared" si="53"/>
        <v>55726.21</v>
      </c>
      <c r="O524" s="7" t="str">
        <f t="shared" si="54"/>
        <v>HDFC 5930</v>
      </c>
    </row>
    <row r="525" spans="1:15" x14ac:dyDescent="0.25">
      <c r="A525" s="1">
        <v>45170</v>
      </c>
      <c r="B525" t="s">
        <v>628</v>
      </c>
      <c r="C525" s="1">
        <v>45170</v>
      </c>
      <c r="D525" s="2">
        <v>0</v>
      </c>
      <c r="E525" s="2">
        <v>138.25</v>
      </c>
      <c r="F525" s="2">
        <v>55864.46</v>
      </c>
      <c r="G525" t="s">
        <v>719</v>
      </c>
      <c r="H525" s="7">
        <f t="shared" si="55"/>
        <v>0</v>
      </c>
      <c r="I525" s="1">
        <f t="shared" si="49"/>
        <v>45170</v>
      </c>
      <c r="J525" s="1" t="str">
        <f t="shared" si="50"/>
        <v>ACH C- NGLFINECHEMLIMITE-0000IN300476402</v>
      </c>
      <c r="L525" s="7">
        <f t="shared" si="51"/>
        <v>0</v>
      </c>
      <c r="M525" s="7">
        <f t="shared" si="52"/>
        <v>138.25</v>
      </c>
      <c r="N525" s="7">
        <f t="shared" si="53"/>
        <v>55864.46</v>
      </c>
      <c r="O525" s="7" t="str">
        <f t="shared" si="54"/>
        <v>HDFC 5930</v>
      </c>
    </row>
    <row r="526" spans="1:15" x14ac:dyDescent="0.25">
      <c r="A526" s="1">
        <v>45170</v>
      </c>
      <c r="B526" t="s">
        <v>618</v>
      </c>
      <c r="C526" s="1">
        <v>45170</v>
      </c>
      <c r="D526" s="2">
        <v>0</v>
      </c>
      <c r="E526" s="2">
        <v>4910.1899999999996</v>
      </c>
      <c r="F526" s="2">
        <v>60774.65</v>
      </c>
      <c r="G526" t="s">
        <v>719</v>
      </c>
      <c r="H526" s="7">
        <f t="shared" si="55"/>
        <v>0</v>
      </c>
      <c r="I526" s="1">
        <f t="shared" si="49"/>
        <v>45170</v>
      </c>
      <c r="J526" s="1" t="str">
        <f t="shared" si="50"/>
        <v>NET PO FROM HSL A/C 347707-50200085415108</v>
      </c>
      <c r="L526" s="7">
        <f t="shared" si="51"/>
        <v>0</v>
      </c>
      <c r="M526" s="7">
        <f t="shared" si="52"/>
        <v>4910.1899999999996</v>
      </c>
      <c r="N526" s="7">
        <f t="shared" si="53"/>
        <v>60774.65</v>
      </c>
      <c r="O526" s="7" t="str">
        <f t="shared" si="54"/>
        <v>HDFC 5930</v>
      </c>
    </row>
    <row r="527" spans="1:15" x14ac:dyDescent="0.25">
      <c r="A527" s="1">
        <v>45173</v>
      </c>
      <c r="B527" t="s">
        <v>618</v>
      </c>
      <c r="C527" s="1">
        <v>45173</v>
      </c>
      <c r="D527" s="2">
        <v>0</v>
      </c>
      <c r="E527" s="2">
        <v>988.65</v>
      </c>
      <c r="F527" s="2">
        <v>61763.3</v>
      </c>
      <c r="G527" t="s">
        <v>719</v>
      </c>
      <c r="H527" s="7">
        <f t="shared" si="55"/>
        <v>0</v>
      </c>
      <c r="I527" s="1">
        <f t="shared" si="49"/>
        <v>45173</v>
      </c>
      <c r="J527" s="1" t="str">
        <f t="shared" si="50"/>
        <v>NET PO FROM HSL A/C 347707-50200085415108</v>
      </c>
      <c r="L527" s="7">
        <f t="shared" si="51"/>
        <v>0</v>
      </c>
      <c r="M527" s="7">
        <f t="shared" si="52"/>
        <v>988.65</v>
      </c>
      <c r="N527" s="7">
        <f t="shared" si="53"/>
        <v>61763.3</v>
      </c>
      <c r="O527" s="7" t="str">
        <f t="shared" si="54"/>
        <v>HDFC 5930</v>
      </c>
    </row>
    <row r="528" spans="1:15" x14ac:dyDescent="0.25">
      <c r="A528" s="1">
        <v>45173</v>
      </c>
      <c r="B528" t="s">
        <v>618</v>
      </c>
      <c r="C528" s="1">
        <v>45173</v>
      </c>
      <c r="D528" s="2">
        <v>0</v>
      </c>
      <c r="E528" s="2">
        <v>2737.85</v>
      </c>
      <c r="F528" s="2">
        <v>64501.15</v>
      </c>
      <c r="G528" t="s">
        <v>719</v>
      </c>
      <c r="H528" s="7">
        <f t="shared" si="55"/>
        <v>0</v>
      </c>
      <c r="I528" s="1">
        <f t="shared" si="49"/>
        <v>45173</v>
      </c>
      <c r="J528" s="1" t="str">
        <f t="shared" si="50"/>
        <v>NET PO FROM HSL A/C 347707-50200085415108</v>
      </c>
      <c r="L528" s="7">
        <f t="shared" si="51"/>
        <v>0</v>
      </c>
      <c r="M528" s="7">
        <f t="shared" si="52"/>
        <v>2737.85</v>
      </c>
      <c r="N528" s="7">
        <f t="shared" si="53"/>
        <v>64501.15</v>
      </c>
      <c r="O528" s="7" t="str">
        <f t="shared" si="54"/>
        <v>HDFC 5930</v>
      </c>
    </row>
    <row r="529" spans="1:15" x14ac:dyDescent="0.25">
      <c r="A529" s="1">
        <v>45173</v>
      </c>
      <c r="B529" t="s">
        <v>472</v>
      </c>
      <c r="C529" s="1">
        <v>45173</v>
      </c>
      <c r="D529" s="2">
        <v>1113.9000000000001</v>
      </c>
      <c r="E529" s="2">
        <v>0</v>
      </c>
      <c r="F529" s="2">
        <v>63387.25</v>
      </c>
      <c r="G529" t="s">
        <v>719</v>
      </c>
      <c r="H529" s="7">
        <f t="shared" si="55"/>
        <v>0</v>
      </c>
      <c r="I529" s="1">
        <f t="shared" si="49"/>
        <v>45173</v>
      </c>
      <c r="J529" s="1" t="str">
        <f t="shared" si="50"/>
        <v>NET PI TO HSL SEC A/C 347707-00602340029392</v>
      </c>
      <c r="L529" s="7">
        <f t="shared" si="51"/>
        <v>1113.9000000000001</v>
      </c>
      <c r="M529" s="7">
        <f t="shared" si="52"/>
        <v>0</v>
      </c>
      <c r="N529" s="7">
        <f t="shared" si="53"/>
        <v>63387.25</v>
      </c>
      <c r="O529" s="7" t="str">
        <f t="shared" si="54"/>
        <v>HDFC 5930</v>
      </c>
    </row>
    <row r="530" spans="1:15" x14ac:dyDescent="0.25">
      <c r="A530" s="1">
        <v>45173</v>
      </c>
      <c r="B530" t="s">
        <v>629</v>
      </c>
      <c r="C530" s="1">
        <v>45173</v>
      </c>
      <c r="D530" s="2">
        <v>0</v>
      </c>
      <c r="E530" s="2">
        <v>2400</v>
      </c>
      <c r="F530" s="2">
        <v>65787.25</v>
      </c>
      <c r="G530" t="s">
        <v>719</v>
      </c>
      <c r="H530" s="7">
        <f t="shared" si="55"/>
        <v>0</v>
      </c>
      <c r="I530" s="1">
        <f t="shared" ref="I530:I593" si="56">A530</f>
        <v>45173</v>
      </c>
      <c r="J530" s="1" t="str">
        <f t="shared" ref="J530:J593" si="57">B530</f>
        <v>ACH C- DIVISLABORATORIES-000000000000028</v>
      </c>
      <c r="L530" s="7">
        <f t="shared" ref="L530:L593" si="58">D530</f>
        <v>0</v>
      </c>
      <c r="M530" s="7">
        <f t="shared" ref="M530:M593" si="59">E530</f>
        <v>2400</v>
      </c>
      <c r="N530" s="7">
        <f t="shared" ref="N530:N593" si="60">F530</f>
        <v>65787.25</v>
      </c>
      <c r="O530" s="7" t="str">
        <f t="shared" ref="O530:O593" si="61">G530</f>
        <v>HDFC 5930</v>
      </c>
    </row>
    <row r="531" spans="1:15" x14ac:dyDescent="0.25">
      <c r="A531" s="1">
        <v>45174</v>
      </c>
      <c r="B531" t="s">
        <v>618</v>
      </c>
      <c r="C531" s="1">
        <v>45174</v>
      </c>
      <c r="D531" s="2">
        <v>0</v>
      </c>
      <c r="E531" s="2">
        <v>4111.45</v>
      </c>
      <c r="F531" s="2">
        <v>69898.7</v>
      </c>
      <c r="G531" t="s">
        <v>719</v>
      </c>
      <c r="H531" s="7">
        <f t="shared" ref="H531:H594" si="62">F530-D531+E531-F531</f>
        <v>0</v>
      </c>
      <c r="I531" s="1">
        <f t="shared" si="56"/>
        <v>45174</v>
      </c>
      <c r="J531" s="1" t="str">
        <f t="shared" si="57"/>
        <v>NET PO FROM HSL A/C 347707-50200085415108</v>
      </c>
      <c r="L531" s="7">
        <f t="shared" si="58"/>
        <v>0</v>
      </c>
      <c r="M531" s="7">
        <f t="shared" si="59"/>
        <v>4111.45</v>
      </c>
      <c r="N531" s="7">
        <f t="shared" si="60"/>
        <v>69898.7</v>
      </c>
      <c r="O531" s="7" t="str">
        <f t="shared" si="61"/>
        <v>HDFC 5930</v>
      </c>
    </row>
    <row r="532" spans="1:15" x14ac:dyDescent="0.25">
      <c r="A532" s="1">
        <v>45174</v>
      </c>
      <c r="B532" t="s">
        <v>480</v>
      </c>
      <c r="C532" s="1">
        <v>45174</v>
      </c>
      <c r="D532" s="2">
        <v>3000</v>
      </c>
      <c r="E532" s="2">
        <v>0</v>
      </c>
      <c r="F532" s="2">
        <v>66898.7</v>
      </c>
      <c r="G532" t="s">
        <v>719</v>
      </c>
      <c r="H532" s="7">
        <f t="shared" si="62"/>
        <v>0</v>
      </c>
      <c r="I532" s="1">
        <f t="shared" si="56"/>
        <v>45174</v>
      </c>
      <c r="J532" s="1" t="str">
        <f t="shared" si="57"/>
        <v>NET PAYIN TO BSE MF A/C -57500000389146- FROM A/C -01671000085930- UCC -347707-57500000389146</v>
      </c>
      <c r="L532" s="7">
        <f t="shared" si="58"/>
        <v>3000</v>
      </c>
      <c r="M532" s="7">
        <f t="shared" si="59"/>
        <v>0</v>
      </c>
      <c r="N532" s="7">
        <f t="shared" si="60"/>
        <v>66898.7</v>
      </c>
      <c r="O532" s="7" t="str">
        <f t="shared" si="61"/>
        <v>HDFC 5930</v>
      </c>
    </row>
    <row r="533" spans="1:15" x14ac:dyDescent="0.25">
      <c r="A533" s="1">
        <v>45174</v>
      </c>
      <c r="B533" t="s">
        <v>472</v>
      </c>
      <c r="C533" s="1">
        <v>45174</v>
      </c>
      <c r="D533" s="2">
        <v>364.85</v>
      </c>
      <c r="E533" s="2">
        <v>0</v>
      </c>
      <c r="F533" s="2">
        <v>66533.850000000006</v>
      </c>
      <c r="G533" t="s">
        <v>719</v>
      </c>
      <c r="H533" s="7">
        <f t="shared" si="62"/>
        <v>0</v>
      </c>
      <c r="I533" s="1">
        <f t="shared" si="56"/>
        <v>45174</v>
      </c>
      <c r="J533" s="1" t="str">
        <f t="shared" si="57"/>
        <v>NET PI TO HSL SEC A/C 347707-00602340029392</v>
      </c>
      <c r="L533" s="7">
        <f t="shared" si="58"/>
        <v>364.85</v>
      </c>
      <c r="M533" s="7">
        <f t="shared" si="59"/>
        <v>0</v>
      </c>
      <c r="N533" s="7">
        <f t="shared" si="60"/>
        <v>66533.850000000006</v>
      </c>
      <c r="O533" s="7" t="str">
        <f t="shared" si="61"/>
        <v>HDFC 5930</v>
      </c>
    </row>
    <row r="534" spans="1:15" x14ac:dyDescent="0.25">
      <c r="A534" s="1">
        <v>45175</v>
      </c>
      <c r="B534" t="s">
        <v>618</v>
      </c>
      <c r="C534" s="1">
        <v>45175</v>
      </c>
      <c r="D534" s="2">
        <v>0</v>
      </c>
      <c r="E534" s="2">
        <v>2744.47</v>
      </c>
      <c r="F534" s="2">
        <v>69278.320000000007</v>
      </c>
      <c r="G534" t="s">
        <v>719</v>
      </c>
      <c r="H534" s="7">
        <f t="shared" si="62"/>
        <v>0</v>
      </c>
      <c r="I534" s="1">
        <f t="shared" si="56"/>
        <v>45175</v>
      </c>
      <c r="J534" s="1" t="str">
        <f t="shared" si="57"/>
        <v>NET PO FROM HSL A/C 347707-50200085415108</v>
      </c>
      <c r="L534" s="7">
        <f t="shared" si="58"/>
        <v>0</v>
      </c>
      <c r="M534" s="7">
        <f t="shared" si="59"/>
        <v>2744.47</v>
      </c>
      <c r="N534" s="7">
        <f t="shared" si="60"/>
        <v>69278.320000000007</v>
      </c>
      <c r="O534" s="7" t="str">
        <f t="shared" si="61"/>
        <v>HDFC 5930</v>
      </c>
    </row>
    <row r="535" spans="1:15" x14ac:dyDescent="0.25">
      <c r="A535" s="1">
        <v>45175</v>
      </c>
      <c r="B535" t="s">
        <v>618</v>
      </c>
      <c r="C535" s="1">
        <v>45175</v>
      </c>
      <c r="D535" s="2">
        <v>0</v>
      </c>
      <c r="E535" s="2">
        <v>622.32000000000005</v>
      </c>
      <c r="F535" s="2">
        <v>69900.639999999999</v>
      </c>
      <c r="G535" t="s">
        <v>719</v>
      </c>
      <c r="H535" s="7">
        <f t="shared" si="62"/>
        <v>0</v>
      </c>
      <c r="I535" s="1">
        <f t="shared" si="56"/>
        <v>45175</v>
      </c>
      <c r="J535" s="1" t="str">
        <f t="shared" si="57"/>
        <v>NET PO FROM HSL A/C 347707-50200085415108</v>
      </c>
      <c r="L535" s="7">
        <f t="shared" si="58"/>
        <v>0</v>
      </c>
      <c r="M535" s="7">
        <f t="shared" si="59"/>
        <v>622.32000000000005</v>
      </c>
      <c r="N535" s="7">
        <f t="shared" si="60"/>
        <v>69900.639999999999</v>
      </c>
      <c r="O535" s="7" t="str">
        <f t="shared" si="61"/>
        <v>HDFC 5930</v>
      </c>
    </row>
    <row r="536" spans="1:15" x14ac:dyDescent="0.25">
      <c r="A536" s="1">
        <v>45175</v>
      </c>
      <c r="B536" t="s">
        <v>472</v>
      </c>
      <c r="C536" s="1">
        <v>45175</v>
      </c>
      <c r="D536" s="2">
        <v>361.59</v>
      </c>
      <c r="E536" s="2">
        <v>0</v>
      </c>
      <c r="F536" s="2">
        <v>69539.05</v>
      </c>
      <c r="G536" t="s">
        <v>719</v>
      </c>
      <c r="H536" s="7">
        <f t="shared" si="62"/>
        <v>0</v>
      </c>
      <c r="I536" s="1">
        <f t="shared" si="56"/>
        <v>45175</v>
      </c>
      <c r="J536" s="1" t="str">
        <f t="shared" si="57"/>
        <v>NET PI TO HSL SEC A/C 347707-00602340029392</v>
      </c>
      <c r="L536" s="7">
        <f t="shared" si="58"/>
        <v>361.59</v>
      </c>
      <c r="M536" s="7">
        <f t="shared" si="59"/>
        <v>0</v>
      </c>
      <c r="N536" s="7">
        <f t="shared" si="60"/>
        <v>69539.05</v>
      </c>
      <c r="O536" s="7" t="str">
        <f t="shared" si="61"/>
        <v>HDFC 5930</v>
      </c>
    </row>
    <row r="537" spans="1:15" x14ac:dyDescent="0.25">
      <c r="A537" s="1">
        <v>45175</v>
      </c>
      <c r="B537" t="s">
        <v>472</v>
      </c>
      <c r="C537" s="1">
        <v>45175</v>
      </c>
      <c r="D537" s="2">
        <v>18047.66</v>
      </c>
      <c r="E537" s="2">
        <v>0</v>
      </c>
      <c r="F537" s="2">
        <v>51491.39</v>
      </c>
      <c r="G537" t="s">
        <v>719</v>
      </c>
      <c r="H537" s="7">
        <f t="shared" si="62"/>
        <v>0</v>
      </c>
      <c r="I537" s="1">
        <f t="shared" si="56"/>
        <v>45175</v>
      </c>
      <c r="J537" s="1" t="str">
        <f t="shared" si="57"/>
        <v>NET PI TO HSL SEC A/C 347707-00602340029392</v>
      </c>
      <c r="L537" s="7">
        <f t="shared" si="58"/>
        <v>18047.66</v>
      </c>
      <c r="M537" s="7">
        <f t="shared" si="59"/>
        <v>0</v>
      </c>
      <c r="N537" s="7">
        <f t="shared" si="60"/>
        <v>51491.39</v>
      </c>
      <c r="O537" s="7" t="str">
        <f t="shared" si="61"/>
        <v>HDFC 5930</v>
      </c>
    </row>
    <row r="538" spans="1:15" x14ac:dyDescent="0.25">
      <c r="A538" s="1">
        <v>45176</v>
      </c>
      <c r="B538" t="s">
        <v>472</v>
      </c>
      <c r="C538" s="1">
        <v>45176</v>
      </c>
      <c r="D538" s="2">
        <v>354.04</v>
      </c>
      <c r="E538" s="2">
        <v>0</v>
      </c>
      <c r="F538" s="2">
        <v>51137.35</v>
      </c>
      <c r="G538" t="s">
        <v>719</v>
      </c>
      <c r="H538" s="7">
        <f t="shared" si="62"/>
        <v>0</v>
      </c>
      <c r="I538" s="1">
        <f t="shared" si="56"/>
        <v>45176</v>
      </c>
      <c r="J538" s="1" t="str">
        <f t="shared" si="57"/>
        <v>NET PI TO HSL SEC A/C 347707-00602340029392</v>
      </c>
      <c r="L538" s="7">
        <f t="shared" si="58"/>
        <v>354.04</v>
      </c>
      <c r="M538" s="7">
        <f t="shared" si="59"/>
        <v>0</v>
      </c>
      <c r="N538" s="7">
        <f t="shared" si="60"/>
        <v>51137.35</v>
      </c>
      <c r="O538" s="7" t="str">
        <f t="shared" si="61"/>
        <v>HDFC 5930</v>
      </c>
    </row>
    <row r="539" spans="1:15" x14ac:dyDescent="0.25">
      <c r="A539" s="1">
        <v>45176</v>
      </c>
      <c r="B539" t="s">
        <v>630</v>
      </c>
      <c r="C539" s="1">
        <v>45176</v>
      </c>
      <c r="D539" s="2">
        <v>0</v>
      </c>
      <c r="E539" s="2">
        <v>591.5</v>
      </c>
      <c r="F539" s="2">
        <v>51728.85</v>
      </c>
      <c r="G539" t="s">
        <v>719</v>
      </c>
      <c r="H539" s="7">
        <f t="shared" si="62"/>
        <v>0</v>
      </c>
      <c r="I539" s="1">
        <f t="shared" si="56"/>
        <v>45176</v>
      </c>
      <c r="J539" s="1" t="str">
        <f t="shared" si="57"/>
        <v>00012050001396HLY INT-IN0020210145</v>
      </c>
      <c r="L539" s="7">
        <f t="shared" si="58"/>
        <v>0</v>
      </c>
      <c r="M539" s="7">
        <f t="shared" si="59"/>
        <v>591.5</v>
      </c>
      <c r="N539" s="7">
        <f t="shared" si="60"/>
        <v>51728.85</v>
      </c>
      <c r="O539" s="7" t="str">
        <f t="shared" si="61"/>
        <v>HDFC 5930</v>
      </c>
    </row>
    <row r="540" spans="1:15" x14ac:dyDescent="0.25">
      <c r="A540" s="1">
        <v>45176</v>
      </c>
      <c r="B540" t="s">
        <v>472</v>
      </c>
      <c r="C540" s="1">
        <v>45176</v>
      </c>
      <c r="D540" s="2">
        <v>9266.2000000000007</v>
      </c>
      <c r="E540" s="2">
        <v>0</v>
      </c>
      <c r="F540" s="2">
        <v>42462.65</v>
      </c>
      <c r="G540" t="s">
        <v>719</v>
      </c>
      <c r="H540" s="7">
        <f t="shared" si="62"/>
        <v>0</v>
      </c>
      <c r="I540" s="1">
        <f t="shared" si="56"/>
        <v>45176</v>
      </c>
      <c r="J540" s="1" t="str">
        <f t="shared" si="57"/>
        <v>NET PI TO HSL SEC A/C 347707-00602340029392</v>
      </c>
      <c r="L540" s="7">
        <f t="shared" si="58"/>
        <v>9266.2000000000007</v>
      </c>
      <c r="M540" s="7">
        <f t="shared" si="59"/>
        <v>0</v>
      </c>
      <c r="N540" s="7">
        <f t="shared" si="60"/>
        <v>42462.65</v>
      </c>
      <c r="O540" s="7" t="str">
        <f t="shared" si="61"/>
        <v>HDFC 5930</v>
      </c>
    </row>
    <row r="541" spans="1:15" x14ac:dyDescent="0.25">
      <c r="A541" s="1">
        <v>45177</v>
      </c>
      <c r="B541" t="s">
        <v>618</v>
      </c>
      <c r="C541" s="1">
        <v>45177</v>
      </c>
      <c r="D541" s="2">
        <v>0</v>
      </c>
      <c r="E541" s="2">
        <v>4396.8999999999996</v>
      </c>
      <c r="F541" s="2">
        <v>46859.55</v>
      </c>
      <c r="G541" t="s">
        <v>719</v>
      </c>
      <c r="H541" s="7">
        <f t="shared" si="62"/>
        <v>0</v>
      </c>
      <c r="I541" s="1">
        <f t="shared" si="56"/>
        <v>45177</v>
      </c>
      <c r="J541" s="1" t="str">
        <f t="shared" si="57"/>
        <v>NET PO FROM HSL A/C 347707-50200085415108</v>
      </c>
      <c r="L541" s="7">
        <f t="shared" si="58"/>
        <v>0</v>
      </c>
      <c r="M541" s="7">
        <f t="shared" si="59"/>
        <v>4396.8999999999996</v>
      </c>
      <c r="N541" s="7">
        <f t="shared" si="60"/>
        <v>46859.55</v>
      </c>
      <c r="O541" s="7" t="str">
        <f t="shared" si="61"/>
        <v>HDFC 5930</v>
      </c>
    </row>
    <row r="542" spans="1:15" x14ac:dyDescent="0.25">
      <c r="A542" s="1">
        <v>45177</v>
      </c>
      <c r="B542" t="s">
        <v>618</v>
      </c>
      <c r="C542" s="1">
        <v>45177</v>
      </c>
      <c r="D542" s="2">
        <v>0</v>
      </c>
      <c r="E542" s="2">
        <v>16309.08</v>
      </c>
      <c r="F542" s="2">
        <v>63168.63</v>
      </c>
      <c r="G542" t="s">
        <v>719</v>
      </c>
      <c r="H542" s="7">
        <f t="shared" si="62"/>
        <v>0</v>
      </c>
      <c r="I542" s="1">
        <f t="shared" si="56"/>
        <v>45177</v>
      </c>
      <c r="J542" s="1" t="str">
        <f t="shared" si="57"/>
        <v>NET PO FROM HSL A/C 347707-50200085415108</v>
      </c>
      <c r="L542" s="7">
        <f t="shared" si="58"/>
        <v>0</v>
      </c>
      <c r="M542" s="7">
        <f t="shared" si="59"/>
        <v>16309.08</v>
      </c>
      <c r="N542" s="7">
        <f t="shared" si="60"/>
        <v>63168.63</v>
      </c>
      <c r="O542" s="7" t="str">
        <f t="shared" si="61"/>
        <v>HDFC 5930</v>
      </c>
    </row>
    <row r="543" spans="1:15" x14ac:dyDescent="0.25">
      <c r="A543" s="1">
        <v>45177</v>
      </c>
      <c r="B543" t="s">
        <v>480</v>
      </c>
      <c r="C543" s="1">
        <v>45177</v>
      </c>
      <c r="D543" s="2">
        <v>3000</v>
      </c>
      <c r="E543" s="2">
        <v>0</v>
      </c>
      <c r="F543" s="2">
        <v>60168.63</v>
      </c>
      <c r="G543" t="s">
        <v>719</v>
      </c>
      <c r="H543" s="7">
        <f t="shared" si="62"/>
        <v>0</v>
      </c>
      <c r="I543" s="1">
        <f t="shared" si="56"/>
        <v>45177</v>
      </c>
      <c r="J543" s="1" t="str">
        <f t="shared" si="57"/>
        <v>NET PAYIN TO BSE MF A/C -57500000389146- FROM A/C -01671000085930- UCC -347707-57500000389146</v>
      </c>
      <c r="L543" s="7">
        <f t="shared" si="58"/>
        <v>3000</v>
      </c>
      <c r="M543" s="7">
        <f t="shared" si="59"/>
        <v>0</v>
      </c>
      <c r="N543" s="7">
        <f t="shared" si="60"/>
        <v>60168.63</v>
      </c>
      <c r="O543" s="7" t="str">
        <f t="shared" si="61"/>
        <v>HDFC 5930</v>
      </c>
    </row>
    <row r="544" spans="1:15" x14ac:dyDescent="0.25">
      <c r="A544" s="1">
        <v>45177</v>
      </c>
      <c r="B544" t="s">
        <v>472</v>
      </c>
      <c r="C544" s="1">
        <v>45177</v>
      </c>
      <c r="D544" s="2">
        <v>349.47</v>
      </c>
      <c r="E544" s="2">
        <v>0</v>
      </c>
      <c r="F544" s="2">
        <v>59819.16</v>
      </c>
      <c r="G544" t="s">
        <v>719</v>
      </c>
      <c r="H544" s="7">
        <f t="shared" si="62"/>
        <v>0</v>
      </c>
      <c r="I544" s="1">
        <f t="shared" si="56"/>
        <v>45177</v>
      </c>
      <c r="J544" s="1" t="str">
        <f t="shared" si="57"/>
        <v>NET PI TO HSL SEC A/C 347707-00602340029392</v>
      </c>
      <c r="L544" s="7">
        <f t="shared" si="58"/>
        <v>349.47</v>
      </c>
      <c r="M544" s="7">
        <f t="shared" si="59"/>
        <v>0</v>
      </c>
      <c r="N544" s="7">
        <f t="shared" si="60"/>
        <v>59819.16</v>
      </c>
      <c r="O544" s="7" t="str">
        <f t="shared" si="61"/>
        <v>HDFC 5930</v>
      </c>
    </row>
    <row r="545" spans="1:15" x14ac:dyDescent="0.25">
      <c r="A545" s="1">
        <v>45177</v>
      </c>
      <c r="B545" t="s">
        <v>631</v>
      </c>
      <c r="C545" s="1">
        <v>45177</v>
      </c>
      <c r="D545" s="2">
        <v>2500</v>
      </c>
      <c r="E545" s="2">
        <v>0</v>
      </c>
      <c r="F545" s="2">
        <v>57319.16</v>
      </c>
      <c r="G545" t="s">
        <v>719</v>
      </c>
      <c r="H545" s="7">
        <f t="shared" si="62"/>
        <v>0</v>
      </c>
      <c r="I545" s="1">
        <f t="shared" si="56"/>
        <v>45177</v>
      </c>
      <c r="J545" s="1" t="str">
        <f t="shared" si="57"/>
        <v>ACH D- TP ACH INVESTOCAFE-1245142109</v>
      </c>
      <c r="L545" s="7">
        <f t="shared" si="58"/>
        <v>2500</v>
      </c>
      <c r="M545" s="7">
        <f t="shared" si="59"/>
        <v>0</v>
      </c>
      <c r="N545" s="7">
        <f t="shared" si="60"/>
        <v>57319.16</v>
      </c>
      <c r="O545" s="7" t="str">
        <f t="shared" si="61"/>
        <v>HDFC 5930</v>
      </c>
    </row>
    <row r="546" spans="1:15" x14ac:dyDescent="0.25">
      <c r="A546" s="1">
        <v>45177</v>
      </c>
      <c r="B546" t="s">
        <v>632</v>
      </c>
      <c r="C546" s="1">
        <v>45177</v>
      </c>
      <c r="D546" s="2">
        <v>2000</v>
      </c>
      <c r="E546" s="2">
        <v>0</v>
      </c>
      <c r="F546" s="2">
        <v>55319.16</v>
      </c>
      <c r="G546" t="s">
        <v>719</v>
      </c>
      <c r="H546" s="7">
        <f t="shared" si="62"/>
        <v>0</v>
      </c>
      <c r="I546" s="1">
        <f t="shared" si="56"/>
        <v>45177</v>
      </c>
      <c r="J546" s="1" t="str">
        <f t="shared" si="57"/>
        <v>ACH D- TP ACH INVESTOCAFE-1245142108</v>
      </c>
      <c r="L546" s="7">
        <f t="shared" si="58"/>
        <v>2000</v>
      </c>
      <c r="M546" s="7">
        <f t="shared" si="59"/>
        <v>0</v>
      </c>
      <c r="N546" s="7">
        <f t="shared" si="60"/>
        <v>55319.16</v>
      </c>
      <c r="O546" s="7" t="str">
        <f t="shared" si="61"/>
        <v>HDFC 5930</v>
      </c>
    </row>
    <row r="547" spans="1:15" x14ac:dyDescent="0.25">
      <c r="A547" s="1">
        <v>45177</v>
      </c>
      <c r="B547" t="s">
        <v>472</v>
      </c>
      <c r="C547" s="1">
        <v>45177</v>
      </c>
      <c r="D547" s="2">
        <v>8153.08</v>
      </c>
      <c r="E547" s="2">
        <v>0</v>
      </c>
      <c r="F547" s="2">
        <v>47166.080000000002</v>
      </c>
      <c r="G547" t="s">
        <v>719</v>
      </c>
      <c r="H547" s="7">
        <f t="shared" si="62"/>
        <v>0</v>
      </c>
      <c r="I547" s="1">
        <f t="shared" si="56"/>
        <v>45177</v>
      </c>
      <c r="J547" s="1" t="str">
        <f t="shared" si="57"/>
        <v>NET PI TO HSL SEC A/C 347707-00602340029392</v>
      </c>
      <c r="L547" s="7">
        <f t="shared" si="58"/>
        <v>8153.08</v>
      </c>
      <c r="M547" s="7">
        <f t="shared" si="59"/>
        <v>0</v>
      </c>
      <c r="N547" s="7">
        <f t="shared" si="60"/>
        <v>47166.080000000002</v>
      </c>
      <c r="O547" s="7" t="str">
        <f t="shared" si="61"/>
        <v>HDFC 5930</v>
      </c>
    </row>
    <row r="548" spans="1:15" x14ac:dyDescent="0.25">
      <c r="A548" s="1">
        <v>45177</v>
      </c>
      <c r="B548" t="s">
        <v>633</v>
      </c>
      <c r="C548" s="1">
        <v>45177</v>
      </c>
      <c r="D548" s="2">
        <v>0</v>
      </c>
      <c r="E548" s="2">
        <v>127.93</v>
      </c>
      <c r="F548" s="2">
        <v>47294.01</v>
      </c>
      <c r="G548" t="s">
        <v>719</v>
      </c>
      <c r="H548" s="7">
        <f t="shared" si="62"/>
        <v>0</v>
      </c>
      <c r="I548" s="1">
        <f t="shared" si="56"/>
        <v>45177</v>
      </c>
      <c r="J548" s="1" t="str">
        <f t="shared" si="57"/>
        <v>00012050001396HLY INT-IN0020200195</v>
      </c>
      <c r="L548" s="7">
        <f t="shared" si="58"/>
        <v>0</v>
      </c>
      <c r="M548" s="7">
        <f t="shared" si="59"/>
        <v>127.93</v>
      </c>
      <c r="N548" s="7">
        <f t="shared" si="60"/>
        <v>47294.01</v>
      </c>
      <c r="O548" s="7" t="str">
        <f t="shared" si="61"/>
        <v>HDFC 5930</v>
      </c>
    </row>
    <row r="549" spans="1:15" x14ac:dyDescent="0.25">
      <c r="A549" s="1">
        <v>45177</v>
      </c>
      <c r="B549" t="s">
        <v>472</v>
      </c>
      <c r="C549" s="1">
        <v>45177</v>
      </c>
      <c r="D549" s="2">
        <v>32991.42</v>
      </c>
      <c r="E549" s="2">
        <v>0</v>
      </c>
      <c r="F549" s="2">
        <v>14302.59</v>
      </c>
      <c r="G549" t="s">
        <v>719</v>
      </c>
      <c r="H549" s="7">
        <f t="shared" si="62"/>
        <v>0</v>
      </c>
      <c r="I549" s="1">
        <f t="shared" si="56"/>
        <v>45177</v>
      </c>
      <c r="J549" s="1" t="str">
        <f t="shared" si="57"/>
        <v>NET PI TO HSL SEC A/C 347707-00602340029392</v>
      </c>
      <c r="L549" s="7">
        <f t="shared" si="58"/>
        <v>32991.42</v>
      </c>
      <c r="M549" s="7">
        <f t="shared" si="59"/>
        <v>0</v>
      </c>
      <c r="N549" s="7">
        <f t="shared" si="60"/>
        <v>14302.59</v>
      </c>
      <c r="O549" s="7" t="str">
        <f t="shared" si="61"/>
        <v>HDFC 5930</v>
      </c>
    </row>
    <row r="550" spans="1:15" x14ac:dyDescent="0.25">
      <c r="A550" s="1">
        <v>45178</v>
      </c>
      <c r="B550" t="s">
        <v>634</v>
      </c>
      <c r="C550" s="1">
        <v>45178</v>
      </c>
      <c r="D550" s="2">
        <v>0</v>
      </c>
      <c r="E550" s="2">
        <v>60000</v>
      </c>
      <c r="F550" s="2">
        <v>74302.59</v>
      </c>
      <c r="G550" t="s">
        <v>719</v>
      </c>
      <c r="H550" s="7">
        <f t="shared" si="62"/>
        <v>0</v>
      </c>
      <c r="I550" s="1">
        <f t="shared" si="56"/>
        <v>45178</v>
      </c>
      <c r="J550" s="1" t="str">
        <f t="shared" si="57"/>
        <v>NEFT CR-UTIB0000115-AJAY KUMAR GUPTA-AJAY GUPTA-AXOIR32524351649</v>
      </c>
      <c r="L550" s="7">
        <f t="shared" si="58"/>
        <v>0</v>
      </c>
      <c r="M550" s="7">
        <f t="shared" si="59"/>
        <v>60000</v>
      </c>
      <c r="N550" s="7">
        <f t="shared" si="60"/>
        <v>74302.59</v>
      </c>
      <c r="O550" s="7" t="str">
        <f t="shared" si="61"/>
        <v>HDFC 5930</v>
      </c>
    </row>
    <row r="551" spans="1:15" x14ac:dyDescent="0.25">
      <c r="A551" s="1">
        <v>45180</v>
      </c>
      <c r="B551" t="s">
        <v>504</v>
      </c>
      <c r="C551" s="1">
        <v>45180</v>
      </c>
      <c r="D551" s="2">
        <v>4000</v>
      </c>
      <c r="E551" s="2">
        <v>0</v>
      </c>
      <c r="F551" s="2">
        <v>70302.59</v>
      </c>
      <c r="G551" t="s">
        <v>719</v>
      </c>
      <c r="H551" s="7">
        <f t="shared" si="62"/>
        <v>0</v>
      </c>
      <c r="I551" s="1">
        <f t="shared" si="56"/>
        <v>45180</v>
      </c>
      <c r="J551" s="1" t="str">
        <f t="shared" si="57"/>
        <v>O-MF-HSBC MF-O-O416-000000101236</v>
      </c>
      <c r="L551" s="7">
        <f t="shared" si="58"/>
        <v>4000</v>
      </c>
      <c r="M551" s="7">
        <f t="shared" si="59"/>
        <v>0</v>
      </c>
      <c r="N551" s="7">
        <f t="shared" si="60"/>
        <v>70302.59</v>
      </c>
      <c r="O551" s="7" t="str">
        <f t="shared" si="61"/>
        <v>HDFC 5930</v>
      </c>
    </row>
    <row r="552" spans="1:15" x14ac:dyDescent="0.25">
      <c r="A552" s="1">
        <v>45180</v>
      </c>
      <c r="B552" t="s">
        <v>480</v>
      </c>
      <c r="C552" s="1">
        <v>45180</v>
      </c>
      <c r="D552" s="2">
        <v>5000</v>
      </c>
      <c r="E552" s="2">
        <v>0</v>
      </c>
      <c r="F552" s="2">
        <v>65302.59</v>
      </c>
      <c r="G552" t="s">
        <v>719</v>
      </c>
      <c r="H552" s="7">
        <f t="shared" si="62"/>
        <v>0</v>
      </c>
      <c r="I552" s="1">
        <f t="shared" si="56"/>
        <v>45180</v>
      </c>
      <c r="J552" s="1" t="str">
        <f t="shared" si="57"/>
        <v>NET PAYIN TO BSE MF A/C -57500000389146- FROM A/C -01671000085930- UCC -347707-57500000389146</v>
      </c>
      <c r="L552" s="7">
        <f t="shared" si="58"/>
        <v>5000</v>
      </c>
      <c r="M552" s="7">
        <f t="shared" si="59"/>
        <v>0</v>
      </c>
      <c r="N552" s="7">
        <f t="shared" si="60"/>
        <v>65302.59</v>
      </c>
      <c r="O552" s="7" t="str">
        <f t="shared" si="61"/>
        <v>HDFC 5930</v>
      </c>
    </row>
    <row r="553" spans="1:15" x14ac:dyDescent="0.25">
      <c r="A553" s="1">
        <v>45180</v>
      </c>
      <c r="B553" t="s">
        <v>480</v>
      </c>
      <c r="C553" s="1">
        <v>45180</v>
      </c>
      <c r="D553" s="2">
        <v>3000</v>
      </c>
      <c r="E553" s="2">
        <v>0</v>
      </c>
      <c r="F553" s="2">
        <v>62302.59</v>
      </c>
      <c r="G553" t="s">
        <v>719</v>
      </c>
      <c r="H553" s="7">
        <f t="shared" si="62"/>
        <v>0</v>
      </c>
      <c r="I553" s="1">
        <f t="shared" si="56"/>
        <v>45180</v>
      </c>
      <c r="J553" s="1" t="str">
        <f t="shared" si="57"/>
        <v>NET PAYIN TO BSE MF A/C -57500000389146- FROM A/C -01671000085930- UCC -347707-57500000389146</v>
      </c>
      <c r="L553" s="7">
        <f t="shared" si="58"/>
        <v>3000</v>
      </c>
      <c r="M553" s="7">
        <f t="shared" si="59"/>
        <v>0</v>
      </c>
      <c r="N553" s="7">
        <f t="shared" si="60"/>
        <v>62302.59</v>
      </c>
      <c r="O553" s="7" t="str">
        <f t="shared" si="61"/>
        <v>HDFC 5930</v>
      </c>
    </row>
    <row r="554" spans="1:15" x14ac:dyDescent="0.25">
      <c r="A554" s="1">
        <v>45180</v>
      </c>
      <c r="B554" t="s">
        <v>472</v>
      </c>
      <c r="C554" s="1">
        <v>45180</v>
      </c>
      <c r="D554" s="2">
        <v>946.47</v>
      </c>
      <c r="E554" s="2">
        <v>0</v>
      </c>
      <c r="F554" s="2">
        <v>61356.12</v>
      </c>
      <c r="G554" t="s">
        <v>719</v>
      </c>
      <c r="H554" s="7">
        <f t="shared" si="62"/>
        <v>0</v>
      </c>
      <c r="I554" s="1">
        <f t="shared" si="56"/>
        <v>45180</v>
      </c>
      <c r="J554" s="1" t="str">
        <f t="shared" si="57"/>
        <v>NET PI TO HSL SEC A/C 347707-00602340029392</v>
      </c>
      <c r="L554" s="7">
        <f t="shared" si="58"/>
        <v>946.47</v>
      </c>
      <c r="M554" s="7">
        <f t="shared" si="59"/>
        <v>0</v>
      </c>
      <c r="N554" s="7">
        <f t="shared" si="60"/>
        <v>61356.12</v>
      </c>
      <c r="O554" s="7" t="str">
        <f t="shared" si="61"/>
        <v>HDFC 5930</v>
      </c>
    </row>
    <row r="555" spans="1:15" x14ac:dyDescent="0.25">
      <c r="A555" s="1">
        <v>45180</v>
      </c>
      <c r="B555" t="s">
        <v>635</v>
      </c>
      <c r="C555" s="1">
        <v>45180</v>
      </c>
      <c r="D555" s="2">
        <v>295</v>
      </c>
      <c r="E555" s="2">
        <v>0</v>
      </c>
      <c r="F555" s="2">
        <v>61061.120000000003</v>
      </c>
      <c r="G555" t="s">
        <v>719</v>
      </c>
      <c r="H555" s="7">
        <f t="shared" si="62"/>
        <v>0</v>
      </c>
      <c r="I555" s="1">
        <f t="shared" si="56"/>
        <v>45180</v>
      </c>
      <c r="J555" s="1" t="str">
        <f t="shared" si="57"/>
        <v>ISAQMC-JAN-MAR23-101236 310723-MIR2425184783281</v>
      </c>
      <c r="L555" s="7">
        <f t="shared" si="58"/>
        <v>295</v>
      </c>
      <c r="M555" s="7">
        <f t="shared" si="59"/>
        <v>0</v>
      </c>
      <c r="N555" s="7">
        <f t="shared" si="60"/>
        <v>61061.120000000003</v>
      </c>
      <c r="O555" s="7" t="str">
        <f t="shared" si="61"/>
        <v>HDFC 5930</v>
      </c>
    </row>
    <row r="556" spans="1:15" x14ac:dyDescent="0.25">
      <c r="A556" s="1">
        <v>45180</v>
      </c>
      <c r="B556" t="s">
        <v>636</v>
      </c>
      <c r="C556" s="1">
        <v>45181</v>
      </c>
      <c r="D556" s="2">
        <v>0</v>
      </c>
      <c r="E556" s="2">
        <v>1589137</v>
      </c>
      <c r="F556" s="2">
        <v>1650198.12</v>
      </c>
      <c r="G556" t="s">
        <v>719</v>
      </c>
      <c r="H556" s="7">
        <f t="shared" si="62"/>
        <v>0</v>
      </c>
      <c r="I556" s="1">
        <f t="shared" si="56"/>
        <v>45180</v>
      </c>
      <c r="J556" s="1" t="str">
        <f t="shared" si="57"/>
        <v>CHQ DEP - MICR - 15 - NASHIK TBG-MAHARAS: JINDAL  SAW  EMPOLYEES GR  GRATUTTY  SCHEME :CANARA BANK</v>
      </c>
      <c r="L556" s="7">
        <f t="shared" si="58"/>
        <v>0</v>
      </c>
      <c r="M556" s="7">
        <f t="shared" si="59"/>
        <v>1589137</v>
      </c>
      <c r="N556" s="7">
        <f t="shared" si="60"/>
        <v>1650198.12</v>
      </c>
      <c r="O556" s="7" t="str">
        <f t="shared" si="61"/>
        <v>HDFC 5930</v>
      </c>
    </row>
    <row r="557" spans="1:15" x14ac:dyDescent="0.25">
      <c r="A557" s="1">
        <v>45180</v>
      </c>
      <c r="B557" t="s">
        <v>637</v>
      </c>
      <c r="C557" s="1">
        <v>45180</v>
      </c>
      <c r="D557" s="2">
        <v>0</v>
      </c>
      <c r="E557" s="2">
        <v>291.38</v>
      </c>
      <c r="F557" s="2">
        <v>1650489.5</v>
      </c>
      <c r="G557" t="s">
        <v>719</v>
      </c>
      <c r="H557" s="7">
        <f t="shared" si="62"/>
        <v>0</v>
      </c>
      <c r="I557" s="1">
        <f t="shared" si="56"/>
        <v>45180</v>
      </c>
      <c r="J557" s="1" t="str">
        <f t="shared" si="57"/>
        <v>00012050001396HLY INT-IN0020200427</v>
      </c>
      <c r="L557" s="7">
        <f t="shared" si="58"/>
        <v>0</v>
      </c>
      <c r="M557" s="7">
        <f t="shared" si="59"/>
        <v>291.38</v>
      </c>
      <c r="N557" s="7">
        <f t="shared" si="60"/>
        <v>1650489.5</v>
      </c>
      <c r="O557" s="7" t="str">
        <f t="shared" si="61"/>
        <v>HDFC 5930</v>
      </c>
    </row>
    <row r="558" spans="1:15" x14ac:dyDescent="0.25">
      <c r="A558" s="1">
        <v>45180</v>
      </c>
      <c r="B558" t="s">
        <v>472</v>
      </c>
      <c r="C558" s="1">
        <v>45180</v>
      </c>
      <c r="D558" s="2">
        <v>28718.18</v>
      </c>
      <c r="E558" s="2">
        <v>0</v>
      </c>
      <c r="F558" s="2">
        <v>1621771.32</v>
      </c>
      <c r="G558" t="s">
        <v>719</v>
      </c>
      <c r="H558" s="7">
        <f t="shared" si="62"/>
        <v>0</v>
      </c>
      <c r="I558" s="1">
        <f t="shared" si="56"/>
        <v>45180</v>
      </c>
      <c r="J558" s="1" t="str">
        <f t="shared" si="57"/>
        <v>NET PI TO HSL SEC A/C 347707-00602340029392</v>
      </c>
      <c r="L558" s="7">
        <f t="shared" si="58"/>
        <v>28718.18</v>
      </c>
      <c r="M558" s="7">
        <f t="shared" si="59"/>
        <v>0</v>
      </c>
      <c r="N558" s="7">
        <f t="shared" si="60"/>
        <v>1621771.32</v>
      </c>
      <c r="O558" s="7" t="str">
        <f t="shared" si="61"/>
        <v>HDFC 5930</v>
      </c>
    </row>
    <row r="559" spans="1:15" x14ac:dyDescent="0.25">
      <c r="A559" s="1">
        <v>45180</v>
      </c>
      <c r="B559" t="s">
        <v>472</v>
      </c>
      <c r="C559" s="1">
        <v>45180</v>
      </c>
      <c r="D559" s="2">
        <v>2638.2</v>
      </c>
      <c r="E559" s="2">
        <v>0</v>
      </c>
      <c r="F559" s="2">
        <v>1619133.12</v>
      </c>
      <c r="G559" t="s">
        <v>719</v>
      </c>
      <c r="H559" s="7">
        <f t="shared" si="62"/>
        <v>0</v>
      </c>
      <c r="I559" s="1">
        <f t="shared" si="56"/>
        <v>45180</v>
      </c>
      <c r="J559" s="1" t="str">
        <f t="shared" si="57"/>
        <v>NET PI TO HSL SEC A/C 347707-00602340029392</v>
      </c>
      <c r="L559" s="7">
        <f t="shared" si="58"/>
        <v>2638.2</v>
      </c>
      <c r="M559" s="7">
        <f t="shared" si="59"/>
        <v>0</v>
      </c>
      <c r="N559" s="7">
        <f t="shared" si="60"/>
        <v>1619133.12</v>
      </c>
      <c r="O559" s="7" t="str">
        <f t="shared" si="61"/>
        <v>HDFC 5930</v>
      </c>
    </row>
    <row r="560" spans="1:15" x14ac:dyDescent="0.25">
      <c r="A560" s="1">
        <v>45181</v>
      </c>
      <c r="B560" t="s">
        <v>618</v>
      </c>
      <c r="C560" s="1">
        <v>45181</v>
      </c>
      <c r="D560" s="2">
        <v>0</v>
      </c>
      <c r="E560" s="2">
        <v>16817.41</v>
      </c>
      <c r="F560" s="2">
        <v>1635950.53</v>
      </c>
      <c r="G560" t="s">
        <v>719</v>
      </c>
      <c r="H560" s="7">
        <f t="shared" si="62"/>
        <v>0</v>
      </c>
      <c r="I560" s="1">
        <f t="shared" si="56"/>
        <v>45181</v>
      </c>
      <c r="J560" s="1" t="str">
        <f t="shared" si="57"/>
        <v>NET PO FROM HSL A/C 347707-50200085415108</v>
      </c>
      <c r="L560" s="7">
        <f t="shared" si="58"/>
        <v>0</v>
      </c>
      <c r="M560" s="7">
        <f t="shared" si="59"/>
        <v>16817.41</v>
      </c>
      <c r="N560" s="7">
        <f t="shared" si="60"/>
        <v>1635950.53</v>
      </c>
      <c r="O560" s="7" t="str">
        <f t="shared" si="61"/>
        <v>HDFC 5930</v>
      </c>
    </row>
    <row r="561" spans="1:15" x14ac:dyDescent="0.25">
      <c r="A561" s="1">
        <v>45181</v>
      </c>
      <c r="B561" t="s">
        <v>472</v>
      </c>
      <c r="C561" s="1">
        <v>45181</v>
      </c>
      <c r="D561" s="2">
        <v>300.02999999999997</v>
      </c>
      <c r="E561" s="2">
        <v>0</v>
      </c>
      <c r="F561" s="2">
        <v>1635650.5</v>
      </c>
      <c r="G561" t="s">
        <v>719</v>
      </c>
      <c r="H561" s="7">
        <f t="shared" si="62"/>
        <v>0</v>
      </c>
      <c r="I561" s="1">
        <f t="shared" si="56"/>
        <v>45181</v>
      </c>
      <c r="J561" s="1" t="str">
        <f t="shared" si="57"/>
        <v>NET PI TO HSL SEC A/C 347707-00602340029392</v>
      </c>
      <c r="L561" s="7">
        <f t="shared" si="58"/>
        <v>300.02999999999997</v>
      </c>
      <c r="M561" s="7">
        <f t="shared" si="59"/>
        <v>0</v>
      </c>
      <c r="N561" s="7">
        <f t="shared" si="60"/>
        <v>1635650.5</v>
      </c>
      <c r="O561" s="7" t="str">
        <f t="shared" si="61"/>
        <v>HDFC 5930</v>
      </c>
    </row>
    <row r="562" spans="1:15" x14ac:dyDescent="0.25">
      <c r="A562" s="1">
        <v>45181</v>
      </c>
      <c r="B562" t="s">
        <v>472</v>
      </c>
      <c r="C562" s="1">
        <v>45181</v>
      </c>
      <c r="D562" s="2">
        <v>18074.759999999998</v>
      </c>
      <c r="E562" s="2">
        <v>0</v>
      </c>
      <c r="F562" s="2">
        <v>1617575.74</v>
      </c>
      <c r="G562" t="s">
        <v>719</v>
      </c>
      <c r="H562" s="7">
        <f t="shared" si="62"/>
        <v>0</v>
      </c>
      <c r="I562" s="1">
        <f t="shared" si="56"/>
        <v>45181</v>
      </c>
      <c r="J562" s="1" t="str">
        <f t="shared" si="57"/>
        <v>NET PI TO HSL SEC A/C 347707-00602340029392</v>
      </c>
      <c r="L562" s="7">
        <f t="shared" si="58"/>
        <v>18074.759999999998</v>
      </c>
      <c r="M562" s="7">
        <f t="shared" si="59"/>
        <v>0</v>
      </c>
      <c r="N562" s="7">
        <f t="shared" si="60"/>
        <v>1617575.74</v>
      </c>
      <c r="O562" s="7" t="str">
        <f t="shared" si="61"/>
        <v>HDFC 5930</v>
      </c>
    </row>
    <row r="563" spans="1:15" x14ac:dyDescent="0.25">
      <c r="A563" s="1">
        <v>45181</v>
      </c>
      <c r="B563" t="s">
        <v>638</v>
      </c>
      <c r="C563" s="1">
        <v>45181</v>
      </c>
      <c r="D563" s="2">
        <v>200000</v>
      </c>
      <c r="E563" s="2">
        <v>0</v>
      </c>
      <c r="F563" s="2">
        <v>1417575.74</v>
      </c>
      <c r="G563" t="s">
        <v>719</v>
      </c>
      <c r="H563" s="7">
        <f t="shared" si="62"/>
        <v>0</v>
      </c>
      <c r="I563" s="1">
        <f t="shared" si="56"/>
        <v>45181</v>
      </c>
      <c r="J563" s="1" t="str">
        <f t="shared" si="57"/>
        <v>50100542230922-TPT-FRM AKG-ARCHIT GUPTA</v>
      </c>
      <c r="L563" s="7">
        <f t="shared" si="58"/>
        <v>200000</v>
      </c>
      <c r="M563" s="7">
        <f t="shared" si="59"/>
        <v>0</v>
      </c>
      <c r="N563" s="7">
        <f t="shared" si="60"/>
        <v>1417575.74</v>
      </c>
      <c r="O563" s="7" t="str">
        <f t="shared" si="61"/>
        <v>HDFC 5930</v>
      </c>
    </row>
    <row r="564" spans="1:15" x14ac:dyDescent="0.25">
      <c r="A564" s="1">
        <v>45181</v>
      </c>
      <c r="B564" t="s">
        <v>639</v>
      </c>
      <c r="C564" s="1">
        <v>45181</v>
      </c>
      <c r="D564" s="2">
        <v>500000</v>
      </c>
      <c r="E564" s="2">
        <v>0</v>
      </c>
      <c r="F564" s="2">
        <v>917575.74</v>
      </c>
      <c r="G564" t="s">
        <v>719</v>
      </c>
      <c r="H564" s="7">
        <f t="shared" si="62"/>
        <v>0</v>
      </c>
      <c r="I564" s="1">
        <f t="shared" si="56"/>
        <v>45181</v>
      </c>
      <c r="J564" s="1" t="str">
        <f t="shared" si="57"/>
        <v>NEFT DR-SBIN0011669-AJAY KUMAR GUPTA-NETBANK, MUM-N255232639871634-FROM HDFC BANK</v>
      </c>
      <c r="L564" s="7">
        <f t="shared" si="58"/>
        <v>500000</v>
      </c>
      <c r="M564" s="7">
        <f t="shared" si="59"/>
        <v>0</v>
      </c>
      <c r="N564" s="7">
        <f t="shared" si="60"/>
        <v>917575.74</v>
      </c>
      <c r="O564" s="7" t="str">
        <f t="shared" si="61"/>
        <v>HDFC 5930</v>
      </c>
    </row>
    <row r="565" spans="1:15" x14ac:dyDescent="0.25">
      <c r="A565" s="1">
        <v>45181</v>
      </c>
      <c r="B565" t="s">
        <v>472</v>
      </c>
      <c r="C565" s="1">
        <v>45181</v>
      </c>
      <c r="D565" s="2">
        <v>6225.12</v>
      </c>
      <c r="E565" s="2">
        <v>0</v>
      </c>
      <c r="F565" s="2">
        <v>911350.62</v>
      </c>
      <c r="G565" t="s">
        <v>719</v>
      </c>
      <c r="H565" s="7">
        <f t="shared" si="62"/>
        <v>0</v>
      </c>
      <c r="I565" s="1">
        <f t="shared" si="56"/>
        <v>45181</v>
      </c>
      <c r="J565" s="1" t="str">
        <f t="shared" si="57"/>
        <v>NET PI TO HSL SEC A/C 347707-00602340029392</v>
      </c>
      <c r="L565" s="7">
        <f t="shared" si="58"/>
        <v>6225.12</v>
      </c>
      <c r="M565" s="7">
        <f t="shared" si="59"/>
        <v>0</v>
      </c>
      <c r="N565" s="7">
        <f t="shared" si="60"/>
        <v>911350.62</v>
      </c>
      <c r="O565" s="7" t="str">
        <f t="shared" si="61"/>
        <v>HDFC 5930</v>
      </c>
    </row>
    <row r="566" spans="1:15" x14ac:dyDescent="0.25">
      <c r="A566" s="1">
        <v>45182</v>
      </c>
      <c r="B566" t="s">
        <v>620</v>
      </c>
      <c r="C566" s="1">
        <v>45182</v>
      </c>
      <c r="D566" s="2">
        <v>200000</v>
      </c>
      <c r="E566" s="2">
        <v>0</v>
      </c>
      <c r="F566" s="2">
        <v>711350.62</v>
      </c>
      <c r="G566" t="s">
        <v>719</v>
      </c>
      <c r="H566" s="7">
        <f t="shared" si="62"/>
        <v>0</v>
      </c>
      <c r="I566" s="1">
        <f t="shared" si="56"/>
        <v>45182</v>
      </c>
      <c r="J566" s="1" t="str">
        <f t="shared" si="57"/>
        <v>50100128155413-TPT-FROM AKG-AAYUSH KUMAR GUPTA</v>
      </c>
      <c r="L566" s="7">
        <f t="shared" si="58"/>
        <v>200000</v>
      </c>
      <c r="M566" s="7">
        <f t="shared" si="59"/>
        <v>0</v>
      </c>
      <c r="N566" s="7">
        <f t="shared" si="60"/>
        <v>711350.62</v>
      </c>
      <c r="O566" s="7" t="str">
        <f t="shared" si="61"/>
        <v>HDFC 5930</v>
      </c>
    </row>
    <row r="567" spans="1:15" x14ac:dyDescent="0.25">
      <c r="A567" s="1">
        <v>45182</v>
      </c>
      <c r="B567" t="s">
        <v>640</v>
      </c>
      <c r="C567" s="1">
        <v>45182</v>
      </c>
      <c r="D567" s="2">
        <v>100000</v>
      </c>
      <c r="E567" s="2">
        <v>0</v>
      </c>
      <c r="F567" s="2">
        <v>611350.62</v>
      </c>
      <c r="G567" t="s">
        <v>719</v>
      </c>
      <c r="H567" s="7">
        <f t="shared" si="62"/>
        <v>0</v>
      </c>
      <c r="I567" s="1">
        <f t="shared" si="56"/>
        <v>45182</v>
      </c>
      <c r="J567" s="1" t="str">
        <f t="shared" si="57"/>
        <v>NEFT DR-UTIB0001538-AJAY KUMAR GUPTA-NETBANK, MUM-N256232639966325-FROM HDFC</v>
      </c>
      <c r="L567" s="7">
        <f t="shared" si="58"/>
        <v>100000</v>
      </c>
      <c r="M567" s="7">
        <f t="shared" si="59"/>
        <v>0</v>
      </c>
      <c r="N567" s="7">
        <f t="shared" si="60"/>
        <v>611350.62</v>
      </c>
      <c r="O567" s="7" t="str">
        <f t="shared" si="61"/>
        <v>HDFC 5930</v>
      </c>
    </row>
    <row r="568" spans="1:15" x14ac:dyDescent="0.25">
      <c r="A568" s="1">
        <v>45182</v>
      </c>
      <c r="B568" t="s">
        <v>641</v>
      </c>
      <c r="C568" s="1">
        <v>45182</v>
      </c>
      <c r="D568" s="2">
        <v>0</v>
      </c>
      <c r="E568" s="2">
        <v>8000</v>
      </c>
      <c r="F568" s="2">
        <v>619350.62</v>
      </c>
      <c r="G568" t="s">
        <v>719</v>
      </c>
      <c r="H568" s="7">
        <f t="shared" si="62"/>
        <v>0</v>
      </c>
      <c r="I568" s="1">
        <f t="shared" si="56"/>
        <v>45182</v>
      </c>
      <c r="J568" s="1" t="str">
        <f t="shared" si="57"/>
        <v>NEFT CR-UTIB0000004-NSE CLEARING LIMITED-AJAY  KUMAR GUPTA-AXISP00424321458</v>
      </c>
      <c r="L568" s="7">
        <f t="shared" si="58"/>
        <v>0</v>
      </c>
      <c r="M568" s="7">
        <f t="shared" si="59"/>
        <v>8000</v>
      </c>
      <c r="N568" s="7">
        <f t="shared" si="60"/>
        <v>619350.62</v>
      </c>
      <c r="O568" s="7" t="str">
        <f t="shared" si="61"/>
        <v>HDFC 5930</v>
      </c>
    </row>
    <row r="569" spans="1:15" x14ac:dyDescent="0.25">
      <c r="A569" s="1">
        <v>45182</v>
      </c>
      <c r="B569" t="s">
        <v>642</v>
      </c>
      <c r="C569" s="1">
        <v>45182</v>
      </c>
      <c r="D569" s="2">
        <v>0</v>
      </c>
      <c r="E569" s="2">
        <v>1</v>
      </c>
      <c r="F569" s="2">
        <v>619351.62</v>
      </c>
      <c r="G569" t="s">
        <v>719</v>
      </c>
      <c r="H569" s="7">
        <f t="shared" si="62"/>
        <v>0</v>
      </c>
      <c r="I569" s="1">
        <f t="shared" si="56"/>
        <v>45182</v>
      </c>
      <c r="J569" s="1" t="str">
        <f t="shared" si="57"/>
        <v>UPI-HAFIZUDDIN DILAWARKH-9687029171@YBL-BKID0002757-325647672046-PAYMENT FROM PHONE</v>
      </c>
      <c r="L569" s="7">
        <f t="shared" si="58"/>
        <v>0</v>
      </c>
      <c r="M569" s="7">
        <f t="shared" si="59"/>
        <v>1</v>
      </c>
      <c r="N569" s="7">
        <f t="shared" si="60"/>
        <v>619351.62</v>
      </c>
      <c r="O569" s="7" t="str">
        <f t="shared" si="61"/>
        <v>HDFC 5930</v>
      </c>
    </row>
    <row r="570" spans="1:15" x14ac:dyDescent="0.25">
      <c r="A570" s="1">
        <v>45182</v>
      </c>
      <c r="B570" t="s">
        <v>643</v>
      </c>
      <c r="C570" s="1">
        <v>45182</v>
      </c>
      <c r="D570" s="2">
        <v>0</v>
      </c>
      <c r="E570" s="2">
        <v>2999</v>
      </c>
      <c r="F570" s="2">
        <v>622350.62</v>
      </c>
      <c r="G570" t="s">
        <v>719</v>
      </c>
      <c r="H570" s="7">
        <f t="shared" si="62"/>
        <v>0</v>
      </c>
      <c r="I570" s="1">
        <f t="shared" si="56"/>
        <v>45182</v>
      </c>
      <c r="J570" s="1" t="str">
        <f t="shared" si="57"/>
        <v>UPI-HAFIZUDDIN DILAWARKH-9687029171@YBL-BKID0002757-325610646151-PAYMENT FROM PHONE</v>
      </c>
      <c r="L570" s="7">
        <f t="shared" si="58"/>
        <v>0</v>
      </c>
      <c r="M570" s="7">
        <f t="shared" si="59"/>
        <v>2999</v>
      </c>
      <c r="N570" s="7">
        <f t="shared" si="60"/>
        <v>622350.62</v>
      </c>
      <c r="O570" s="7" t="str">
        <f t="shared" si="61"/>
        <v>HDFC 5930</v>
      </c>
    </row>
    <row r="571" spans="1:15" x14ac:dyDescent="0.25">
      <c r="A571" s="1">
        <v>45182</v>
      </c>
      <c r="B571" t="s">
        <v>472</v>
      </c>
      <c r="C571" s="1">
        <v>45182</v>
      </c>
      <c r="D571" s="2">
        <v>296.95999999999998</v>
      </c>
      <c r="E571" s="2">
        <v>0</v>
      </c>
      <c r="F571" s="2">
        <v>622053.66</v>
      </c>
      <c r="G571" t="s">
        <v>719</v>
      </c>
      <c r="H571" s="7">
        <f t="shared" si="62"/>
        <v>0</v>
      </c>
      <c r="I571" s="1">
        <f t="shared" si="56"/>
        <v>45182</v>
      </c>
      <c r="J571" s="1" t="str">
        <f t="shared" si="57"/>
        <v>NET PI TO HSL SEC A/C 347707-00602340029392</v>
      </c>
      <c r="L571" s="7">
        <f t="shared" si="58"/>
        <v>296.95999999999998</v>
      </c>
      <c r="M571" s="7">
        <f t="shared" si="59"/>
        <v>0</v>
      </c>
      <c r="N571" s="7">
        <f t="shared" si="60"/>
        <v>622053.66</v>
      </c>
      <c r="O571" s="7" t="str">
        <f t="shared" si="61"/>
        <v>HDFC 5930</v>
      </c>
    </row>
    <row r="572" spans="1:15" x14ac:dyDescent="0.25">
      <c r="A572" s="1">
        <v>45182</v>
      </c>
      <c r="B572" t="s">
        <v>472</v>
      </c>
      <c r="C572" s="1">
        <v>45182</v>
      </c>
      <c r="D572" s="2">
        <v>14595.41</v>
      </c>
      <c r="E572" s="2">
        <v>0</v>
      </c>
      <c r="F572" s="2">
        <v>607458.25</v>
      </c>
      <c r="G572" t="s">
        <v>719</v>
      </c>
      <c r="H572" s="7">
        <f t="shared" si="62"/>
        <v>0</v>
      </c>
      <c r="I572" s="1">
        <f t="shared" si="56"/>
        <v>45182</v>
      </c>
      <c r="J572" s="1" t="str">
        <f t="shared" si="57"/>
        <v>NET PI TO HSL SEC A/C 347707-00602340029392</v>
      </c>
      <c r="L572" s="7">
        <f t="shared" si="58"/>
        <v>14595.41</v>
      </c>
      <c r="M572" s="7">
        <f t="shared" si="59"/>
        <v>0</v>
      </c>
      <c r="N572" s="7">
        <f t="shared" si="60"/>
        <v>607458.25</v>
      </c>
      <c r="O572" s="7" t="str">
        <f t="shared" si="61"/>
        <v>HDFC 5930</v>
      </c>
    </row>
    <row r="573" spans="1:15" x14ac:dyDescent="0.25">
      <c r="A573" s="1">
        <v>45183</v>
      </c>
      <c r="B573" t="s">
        <v>618</v>
      </c>
      <c r="C573" s="1">
        <v>45183</v>
      </c>
      <c r="D573" s="2">
        <v>0</v>
      </c>
      <c r="E573" s="2">
        <v>779.07</v>
      </c>
      <c r="F573" s="2">
        <v>608237.31999999995</v>
      </c>
      <c r="G573" t="s">
        <v>719</v>
      </c>
      <c r="H573" s="7">
        <f t="shared" si="62"/>
        <v>0</v>
      </c>
      <c r="I573" s="1">
        <f t="shared" si="56"/>
        <v>45183</v>
      </c>
      <c r="J573" s="1" t="str">
        <f t="shared" si="57"/>
        <v>NET PO FROM HSL A/C 347707-50200085415108</v>
      </c>
      <c r="L573" s="7">
        <f t="shared" si="58"/>
        <v>0</v>
      </c>
      <c r="M573" s="7">
        <f t="shared" si="59"/>
        <v>779.07</v>
      </c>
      <c r="N573" s="7">
        <f t="shared" si="60"/>
        <v>608237.31999999995</v>
      </c>
      <c r="O573" s="7" t="str">
        <f t="shared" si="61"/>
        <v>HDFC 5930</v>
      </c>
    </row>
    <row r="574" spans="1:15" x14ac:dyDescent="0.25">
      <c r="A574" s="1">
        <v>45183</v>
      </c>
      <c r="B574" t="s">
        <v>480</v>
      </c>
      <c r="C574" s="1">
        <v>45183</v>
      </c>
      <c r="D574" s="2">
        <v>3000</v>
      </c>
      <c r="E574" s="2">
        <v>0</v>
      </c>
      <c r="F574" s="2">
        <v>605237.31999999995</v>
      </c>
      <c r="G574" t="s">
        <v>719</v>
      </c>
      <c r="H574" s="7">
        <f t="shared" si="62"/>
        <v>0</v>
      </c>
      <c r="I574" s="1">
        <f t="shared" si="56"/>
        <v>45183</v>
      </c>
      <c r="J574" s="1" t="str">
        <f t="shared" si="57"/>
        <v>NET PAYIN TO BSE MF A/C -57500000389146- FROM A/C -01671000085930- UCC -347707-57500000389146</v>
      </c>
      <c r="L574" s="7">
        <f t="shared" si="58"/>
        <v>3000</v>
      </c>
      <c r="M574" s="7">
        <f t="shared" si="59"/>
        <v>0</v>
      </c>
      <c r="N574" s="7">
        <f t="shared" si="60"/>
        <v>605237.31999999995</v>
      </c>
      <c r="O574" s="7" t="str">
        <f t="shared" si="61"/>
        <v>HDFC 5930</v>
      </c>
    </row>
    <row r="575" spans="1:15" x14ac:dyDescent="0.25">
      <c r="A575" s="1">
        <v>45183</v>
      </c>
      <c r="B575" t="s">
        <v>472</v>
      </c>
      <c r="C575" s="1">
        <v>45183</v>
      </c>
      <c r="D575" s="2">
        <v>307.83999999999997</v>
      </c>
      <c r="E575" s="2">
        <v>0</v>
      </c>
      <c r="F575" s="2">
        <v>604929.48</v>
      </c>
      <c r="G575" t="s">
        <v>719</v>
      </c>
      <c r="H575" s="7">
        <f t="shared" si="62"/>
        <v>0</v>
      </c>
      <c r="I575" s="1">
        <f t="shared" si="56"/>
        <v>45183</v>
      </c>
      <c r="J575" s="1" t="str">
        <f t="shared" si="57"/>
        <v>NET PI TO HSL SEC A/C 347707-00602340029392</v>
      </c>
      <c r="L575" s="7">
        <f t="shared" si="58"/>
        <v>307.83999999999997</v>
      </c>
      <c r="M575" s="7">
        <f t="shared" si="59"/>
        <v>0</v>
      </c>
      <c r="N575" s="7">
        <f t="shared" si="60"/>
        <v>604929.48</v>
      </c>
      <c r="O575" s="7" t="str">
        <f t="shared" si="61"/>
        <v>HDFC 5930</v>
      </c>
    </row>
    <row r="576" spans="1:15" x14ac:dyDescent="0.25">
      <c r="A576" s="1">
        <v>45183</v>
      </c>
      <c r="B576" t="s">
        <v>472</v>
      </c>
      <c r="C576" s="1">
        <v>45183</v>
      </c>
      <c r="D576" s="2">
        <v>37399.18</v>
      </c>
      <c r="E576" s="2">
        <v>0</v>
      </c>
      <c r="F576" s="2">
        <v>567530.30000000005</v>
      </c>
      <c r="G576" t="s">
        <v>719</v>
      </c>
      <c r="H576" s="7">
        <f t="shared" si="62"/>
        <v>0</v>
      </c>
      <c r="I576" s="1">
        <f t="shared" si="56"/>
        <v>45183</v>
      </c>
      <c r="J576" s="1" t="str">
        <f t="shared" si="57"/>
        <v>NET PI TO HSL SEC A/C 347707-00602340029392</v>
      </c>
      <c r="L576" s="7">
        <f t="shared" si="58"/>
        <v>37399.18</v>
      </c>
      <c r="M576" s="7">
        <f t="shared" si="59"/>
        <v>0</v>
      </c>
      <c r="N576" s="7">
        <f t="shared" si="60"/>
        <v>567530.30000000005</v>
      </c>
      <c r="O576" s="7" t="str">
        <f t="shared" si="61"/>
        <v>HDFC 5930</v>
      </c>
    </row>
    <row r="577" spans="1:15" x14ac:dyDescent="0.25">
      <c r="A577" s="1">
        <v>45184</v>
      </c>
      <c r="B577" t="s">
        <v>618</v>
      </c>
      <c r="C577" s="1">
        <v>45184</v>
      </c>
      <c r="D577" s="2">
        <v>0</v>
      </c>
      <c r="E577" s="2">
        <v>1125.29</v>
      </c>
      <c r="F577" s="2">
        <v>568655.59</v>
      </c>
      <c r="G577" t="s">
        <v>719</v>
      </c>
      <c r="H577" s="7">
        <f t="shared" si="62"/>
        <v>0</v>
      </c>
      <c r="I577" s="1">
        <f t="shared" si="56"/>
        <v>45184</v>
      </c>
      <c r="J577" s="1" t="str">
        <f t="shared" si="57"/>
        <v>NET PO FROM HSL A/C 347707-50200085415108</v>
      </c>
      <c r="L577" s="7">
        <f t="shared" si="58"/>
        <v>0</v>
      </c>
      <c r="M577" s="7">
        <f t="shared" si="59"/>
        <v>1125.29</v>
      </c>
      <c r="N577" s="7">
        <f t="shared" si="60"/>
        <v>568655.59</v>
      </c>
      <c r="O577" s="7" t="str">
        <f t="shared" si="61"/>
        <v>HDFC 5930</v>
      </c>
    </row>
    <row r="578" spans="1:15" x14ac:dyDescent="0.25">
      <c r="A578" s="1">
        <v>45184</v>
      </c>
      <c r="B578" t="s">
        <v>618</v>
      </c>
      <c r="C578" s="1">
        <v>45184</v>
      </c>
      <c r="D578" s="2">
        <v>0</v>
      </c>
      <c r="E578" s="2">
        <v>22554.68</v>
      </c>
      <c r="F578" s="2">
        <v>591210.27</v>
      </c>
      <c r="G578" t="s">
        <v>719</v>
      </c>
      <c r="H578" s="7">
        <f t="shared" si="62"/>
        <v>0</v>
      </c>
      <c r="I578" s="1">
        <f t="shared" si="56"/>
        <v>45184</v>
      </c>
      <c r="J578" s="1" t="str">
        <f t="shared" si="57"/>
        <v>NET PO FROM HSL A/C 347707-50200085415108</v>
      </c>
      <c r="L578" s="7">
        <f t="shared" si="58"/>
        <v>0</v>
      </c>
      <c r="M578" s="7">
        <f t="shared" si="59"/>
        <v>22554.68</v>
      </c>
      <c r="N578" s="7">
        <f t="shared" si="60"/>
        <v>591210.27</v>
      </c>
      <c r="O578" s="7" t="str">
        <f t="shared" si="61"/>
        <v>HDFC 5930</v>
      </c>
    </row>
    <row r="579" spans="1:15" x14ac:dyDescent="0.25">
      <c r="A579" s="1">
        <v>45184</v>
      </c>
      <c r="B579" t="s">
        <v>644</v>
      </c>
      <c r="C579" s="1">
        <v>45184</v>
      </c>
      <c r="D579" s="2">
        <v>0</v>
      </c>
      <c r="E579" s="2">
        <v>480</v>
      </c>
      <c r="F579" s="2">
        <v>591690.27</v>
      </c>
      <c r="G579" t="s">
        <v>719</v>
      </c>
      <c r="H579" s="7">
        <f t="shared" si="62"/>
        <v>0</v>
      </c>
      <c r="I579" s="1">
        <f t="shared" si="56"/>
        <v>45184</v>
      </c>
      <c r="J579" s="1" t="str">
        <f t="shared" si="57"/>
        <v>DR LAL PATH DIV22 2300000000000000011273</v>
      </c>
      <c r="L579" s="7">
        <f t="shared" si="58"/>
        <v>0</v>
      </c>
      <c r="M579" s="7">
        <f t="shared" si="59"/>
        <v>480</v>
      </c>
      <c r="N579" s="7">
        <f t="shared" si="60"/>
        <v>591690.27</v>
      </c>
      <c r="O579" s="7" t="str">
        <f t="shared" si="61"/>
        <v>HDFC 5930</v>
      </c>
    </row>
    <row r="580" spans="1:15" x14ac:dyDescent="0.25">
      <c r="A580" s="1">
        <v>45184</v>
      </c>
      <c r="B580" t="s">
        <v>645</v>
      </c>
      <c r="C580" s="1">
        <v>45184</v>
      </c>
      <c r="D580" s="2">
        <v>1500</v>
      </c>
      <c r="E580" s="2">
        <v>0</v>
      </c>
      <c r="F580" s="2">
        <v>590190.27</v>
      </c>
      <c r="G580" t="s">
        <v>719</v>
      </c>
      <c r="H580" s="7">
        <f t="shared" si="62"/>
        <v>0</v>
      </c>
      <c r="I580" s="1">
        <f t="shared" si="56"/>
        <v>45184</v>
      </c>
      <c r="J580" s="1" t="str">
        <f t="shared" si="57"/>
        <v>ACH D- TP ACH INVESTOCAFE-1249596863</v>
      </c>
      <c r="L580" s="7">
        <f t="shared" si="58"/>
        <v>1500</v>
      </c>
      <c r="M580" s="7">
        <f t="shared" si="59"/>
        <v>0</v>
      </c>
      <c r="N580" s="7">
        <f t="shared" si="60"/>
        <v>590190.27</v>
      </c>
      <c r="O580" s="7" t="str">
        <f t="shared" si="61"/>
        <v>HDFC 5930</v>
      </c>
    </row>
    <row r="581" spans="1:15" x14ac:dyDescent="0.25">
      <c r="A581" s="1">
        <v>45184</v>
      </c>
      <c r="B581" t="s">
        <v>646</v>
      </c>
      <c r="C581" s="1">
        <v>45184</v>
      </c>
      <c r="D581" s="2">
        <v>2000</v>
      </c>
      <c r="E581" s="2">
        <v>0</v>
      </c>
      <c r="F581" s="2">
        <v>588190.27</v>
      </c>
      <c r="G581" t="s">
        <v>719</v>
      </c>
      <c r="H581" s="7">
        <f t="shared" si="62"/>
        <v>0</v>
      </c>
      <c r="I581" s="1">
        <f t="shared" si="56"/>
        <v>45184</v>
      </c>
      <c r="J581" s="1" t="str">
        <f t="shared" si="57"/>
        <v>ACH D- TP ACH INVESTOCAFE-1249596864</v>
      </c>
      <c r="L581" s="7">
        <f t="shared" si="58"/>
        <v>2000</v>
      </c>
      <c r="M581" s="7">
        <f t="shared" si="59"/>
        <v>0</v>
      </c>
      <c r="N581" s="7">
        <f t="shared" si="60"/>
        <v>588190.27</v>
      </c>
      <c r="O581" s="7" t="str">
        <f t="shared" si="61"/>
        <v>HDFC 5930</v>
      </c>
    </row>
    <row r="582" spans="1:15" x14ac:dyDescent="0.25">
      <c r="A582" s="1">
        <v>45185</v>
      </c>
      <c r="B582" t="s">
        <v>472</v>
      </c>
      <c r="C582" s="1">
        <v>45185</v>
      </c>
      <c r="D582" s="2">
        <v>29239.43</v>
      </c>
      <c r="E582" s="2">
        <v>0</v>
      </c>
      <c r="F582" s="2">
        <v>558950.84</v>
      </c>
      <c r="G582" t="s">
        <v>719</v>
      </c>
      <c r="H582" s="7">
        <f t="shared" si="62"/>
        <v>0</v>
      </c>
      <c r="I582" s="1">
        <f t="shared" si="56"/>
        <v>45185</v>
      </c>
      <c r="J582" s="1" t="str">
        <f t="shared" si="57"/>
        <v>NET PI TO HSL SEC A/C 347707-00602340029392</v>
      </c>
      <c r="L582" s="7">
        <f t="shared" si="58"/>
        <v>29239.43</v>
      </c>
      <c r="M582" s="7">
        <f t="shared" si="59"/>
        <v>0</v>
      </c>
      <c r="N582" s="7">
        <f t="shared" si="60"/>
        <v>558950.84</v>
      </c>
      <c r="O582" s="7" t="str">
        <f t="shared" si="61"/>
        <v>HDFC 5930</v>
      </c>
    </row>
    <row r="583" spans="1:15" x14ac:dyDescent="0.25">
      <c r="A583" s="1">
        <v>45185</v>
      </c>
      <c r="B583" t="s">
        <v>647</v>
      </c>
      <c r="C583" s="1">
        <v>45185</v>
      </c>
      <c r="D583" s="2">
        <v>500</v>
      </c>
      <c r="E583" s="2">
        <v>0</v>
      </c>
      <c r="F583" s="2">
        <v>558450.84</v>
      </c>
      <c r="G583" t="s">
        <v>719</v>
      </c>
      <c r="H583" s="7">
        <f t="shared" si="62"/>
        <v>0</v>
      </c>
      <c r="I583" s="1">
        <f t="shared" si="56"/>
        <v>45185</v>
      </c>
      <c r="J583" s="1" t="str">
        <f t="shared" si="57"/>
        <v>ATW-512967XXXXXX8595-S1ANMN04-NASHIK</v>
      </c>
      <c r="L583" s="7">
        <f t="shared" si="58"/>
        <v>500</v>
      </c>
      <c r="M583" s="7">
        <f t="shared" si="59"/>
        <v>0</v>
      </c>
      <c r="N583" s="7">
        <f t="shared" si="60"/>
        <v>558450.84</v>
      </c>
      <c r="O583" s="7" t="str">
        <f t="shared" si="61"/>
        <v>HDFC 5930</v>
      </c>
    </row>
    <row r="584" spans="1:15" x14ac:dyDescent="0.25">
      <c r="A584" s="1">
        <v>45187</v>
      </c>
      <c r="B584" t="s">
        <v>618</v>
      </c>
      <c r="C584" s="1">
        <v>45187</v>
      </c>
      <c r="D584" s="2">
        <v>0</v>
      </c>
      <c r="E584" s="2">
        <v>93.54</v>
      </c>
      <c r="F584" s="2">
        <v>558544.38</v>
      </c>
      <c r="G584" t="s">
        <v>719</v>
      </c>
      <c r="H584" s="7">
        <f t="shared" si="62"/>
        <v>0</v>
      </c>
      <c r="I584" s="1">
        <f t="shared" si="56"/>
        <v>45187</v>
      </c>
      <c r="J584" s="1" t="str">
        <f t="shared" si="57"/>
        <v>NET PO FROM HSL A/C 347707-50200085415108</v>
      </c>
      <c r="L584" s="7">
        <f t="shared" si="58"/>
        <v>0</v>
      </c>
      <c r="M584" s="7">
        <f t="shared" si="59"/>
        <v>93.54</v>
      </c>
      <c r="N584" s="7">
        <f t="shared" si="60"/>
        <v>558544.38</v>
      </c>
      <c r="O584" s="7" t="str">
        <f t="shared" si="61"/>
        <v>HDFC 5930</v>
      </c>
    </row>
    <row r="585" spans="1:15" x14ac:dyDescent="0.25">
      <c r="A585" s="1">
        <v>45187</v>
      </c>
      <c r="B585" t="s">
        <v>618</v>
      </c>
      <c r="C585" s="1">
        <v>45187</v>
      </c>
      <c r="D585" s="2">
        <v>0</v>
      </c>
      <c r="E585" s="2">
        <v>76579.47</v>
      </c>
      <c r="F585" s="2">
        <v>635123.85</v>
      </c>
      <c r="G585" t="s">
        <v>719</v>
      </c>
      <c r="H585" s="7">
        <f t="shared" si="62"/>
        <v>0</v>
      </c>
      <c r="I585" s="1">
        <f t="shared" si="56"/>
        <v>45187</v>
      </c>
      <c r="J585" s="1" t="str">
        <f t="shared" si="57"/>
        <v>NET PO FROM HSL A/C 347707-50200085415108</v>
      </c>
      <c r="L585" s="7">
        <f t="shared" si="58"/>
        <v>0</v>
      </c>
      <c r="M585" s="7">
        <f t="shared" si="59"/>
        <v>76579.47</v>
      </c>
      <c r="N585" s="7">
        <f t="shared" si="60"/>
        <v>635123.85</v>
      </c>
      <c r="O585" s="7" t="str">
        <f t="shared" si="61"/>
        <v>HDFC 5930</v>
      </c>
    </row>
    <row r="586" spans="1:15" x14ac:dyDescent="0.25">
      <c r="A586" s="1">
        <v>45187</v>
      </c>
      <c r="B586" t="s">
        <v>472</v>
      </c>
      <c r="C586" s="1">
        <v>45187</v>
      </c>
      <c r="D586" s="2">
        <v>809.79</v>
      </c>
      <c r="E586" s="2">
        <v>0</v>
      </c>
      <c r="F586" s="2">
        <v>634314.06000000006</v>
      </c>
      <c r="G586" t="s">
        <v>719</v>
      </c>
      <c r="H586" s="7">
        <f t="shared" si="62"/>
        <v>0</v>
      </c>
      <c r="I586" s="1">
        <f t="shared" si="56"/>
        <v>45187</v>
      </c>
      <c r="J586" s="1" t="str">
        <f t="shared" si="57"/>
        <v>NET PI TO HSL SEC A/C 347707-00602340029392</v>
      </c>
      <c r="L586" s="7">
        <f t="shared" si="58"/>
        <v>809.79</v>
      </c>
      <c r="M586" s="7">
        <f t="shared" si="59"/>
        <v>0</v>
      </c>
      <c r="N586" s="7">
        <f t="shared" si="60"/>
        <v>634314.06000000006</v>
      </c>
      <c r="O586" s="7" t="str">
        <f t="shared" si="61"/>
        <v>HDFC 5930</v>
      </c>
    </row>
    <row r="587" spans="1:15" x14ac:dyDescent="0.25">
      <c r="A587" s="1">
        <v>45187</v>
      </c>
      <c r="B587" t="s">
        <v>648</v>
      </c>
      <c r="C587" s="1">
        <v>45187</v>
      </c>
      <c r="D587" s="2">
        <v>1097.4000000000001</v>
      </c>
      <c r="E587" s="2">
        <v>0</v>
      </c>
      <c r="F587" s="2">
        <v>633216.66</v>
      </c>
      <c r="G587" t="s">
        <v>719</v>
      </c>
      <c r="H587" s="7">
        <f t="shared" si="62"/>
        <v>0</v>
      </c>
      <c r="I587" s="1">
        <f t="shared" si="56"/>
        <v>45187</v>
      </c>
      <c r="J587" s="1" t="str">
        <f t="shared" si="57"/>
        <v>DEPOSITORY CHARGES AUG23 - 40227714</v>
      </c>
      <c r="L587" s="7">
        <f t="shared" si="58"/>
        <v>1097.4000000000001</v>
      </c>
      <c r="M587" s="7">
        <f t="shared" si="59"/>
        <v>0</v>
      </c>
      <c r="N587" s="7">
        <f t="shared" si="60"/>
        <v>633216.66</v>
      </c>
      <c r="O587" s="7" t="str">
        <f t="shared" si="61"/>
        <v>HDFC 5930</v>
      </c>
    </row>
    <row r="588" spans="1:15" x14ac:dyDescent="0.25">
      <c r="A588" s="1">
        <v>45187</v>
      </c>
      <c r="B588" t="s">
        <v>472</v>
      </c>
      <c r="C588" s="1">
        <v>45187</v>
      </c>
      <c r="D588" s="2">
        <v>180819.24</v>
      </c>
      <c r="E588" s="2">
        <v>0</v>
      </c>
      <c r="F588" s="2">
        <v>452397.42</v>
      </c>
      <c r="G588" t="s">
        <v>719</v>
      </c>
      <c r="H588" s="7">
        <f t="shared" si="62"/>
        <v>0</v>
      </c>
      <c r="I588" s="1">
        <f t="shared" si="56"/>
        <v>45187</v>
      </c>
      <c r="J588" s="1" t="str">
        <f t="shared" si="57"/>
        <v>NET PI TO HSL SEC A/C 347707-00602340029392</v>
      </c>
      <c r="L588" s="7">
        <f t="shared" si="58"/>
        <v>180819.24</v>
      </c>
      <c r="M588" s="7">
        <f t="shared" si="59"/>
        <v>0</v>
      </c>
      <c r="N588" s="7">
        <f t="shared" si="60"/>
        <v>452397.42</v>
      </c>
      <c r="O588" s="7" t="str">
        <f t="shared" si="61"/>
        <v>HDFC 5930</v>
      </c>
    </row>
    <row r="589" spans="1:15" x14ac:dyDescent="0.25">
      <c r="A589" s="1">
        <v>45187</v>
      </c>
      <c r="B589" t="s">
        <v>649</v>
      </c>
      <c r="C589" s="1">
        <v>45187</v>
      </c>
      <c r="D589" s="2">
        <v>176190</v>
      </c>
      <c r="E589" s="2">
        <v>0</v>
      </c>
      <c r="F589" s="2">
        <v>276207.42</v>
      </c>
      <c r="G589" t="s">
        <v>719</v>
      </c>
      <c r="H589" s="7">
        <f t="shared" si="62"/>
        <v>0</v>
      </c>
      <c r="I589" s="1">
        <f t="shared" si="56"/>
        <v>45187</v>
      </c>
      <c r="J589" s="1" t="str">
        <f t="shared" si="57"/>
        <v>SGB2324B/2400024050875565-50200036338578</v>
      </c>
      <c r="L589" s="7">
        <f t="shared" si="58"/>
        <v>176190</v>
      </c>
      <c r="M589" s="7">
        <f t="shared" si="59"/>
        <v>0</v>
      </c>
      <c r="N589" s="7">
        <f t="shared" si="60"/>
        <v>276207.42</v>
      </c>
      <c r="O589" s="7" t="str">
        <f t="shared" si="61"/>
        <v>HDFC 5930</v>
      </c>
    </row>
    <row r="590" spans="1:15" x14ac:dyDescent="0.25">
      <c r="A590" s="1">
        <v>45187</v>
      </c>
      <c r="B590" t="s">
        <v>472</v>
      </c>
      <c r="C590" s="1">
        <v>45187</v>
      </c>
      <c r="D590" s="2">
        <v>88756.5</v>
      </c>
      <c r="E590" s="2">
        <v>0</v>
      </c>
      <c r="F590" s="2">
        <v>187450.92</v>
      </c>
      <c r="G590" t="s">
        <v>719</v>
      </c>
      <c r="H590" s="7">
        <f t="shared" si="62"/>
        <v>0</v>
      </c>
      <c r="I590" s="1">
        <f t="shared" si="56"/>
        <v>45187</v>
      </c>
      <c r="J590" s="1" t="str">
        <f t="shared" si="57"/>
        <v>NET PI TO HSL SEC A/C 347707-00602340029392</v>
      </c>
      <c r="L590" s="7">
        <f t="shared" si="58"/>
        <v>88756.5</v>
      </c>
      <c r="M590" s="7">
        <f t="shared" si="59"/>
        <v>0</v>
      </c>
      <c r="N590" s="7">
        <f t="shared" si="60"/>
        <v>187450.92</v>
      </c>
      <c r="O590" s="7" t="str">
        <f t="shared" si="61"/>
        <v>HDFC 5930</v>
      </c>
    </row>
    <row r="591" spans="1:15" x14ac:dyDescent="0.25">
      <c r="A591" s="1">
        <v>45189</v>
      </c>
      <c r="B591" t="s">
        <v>480</v>
      </c>
      <c r="C591" s="1">
        <v>45189</v>
      </c>
      <c r="D591" s="2">
        <v>5000</v>
      </c>
      <c r="E591" s="2">
        <v>0</v>
      </c>
      <c r="F591" s="2">
        <v>182450.92</v>
      </c>
      <c r="G591" t="s">
        <v>719</v>
      </c>
      <c r="H591" s="7">
        <f t="shared" si="62"/>
        <v>0</v>
      </c>
      <c r="I591" s="1">
        <f t="shared" si="56"/>
        <v>45189</v>
      </c>
      <c r="J591" s="1" t="str">
        <f t="shared" si="57"/>
        <v>NET PAYIN TO BSE MF A/C -57500000389146- FROM A/C -01671000085930- UCC -347707-57500000389146</v>
      </c>
      <c r="L591" s="7">
        <f t="shared" si="58"/>
        <v>5000</v>
      </c>
      <c r="M591" s="7">
        <f t="shared" si="59"/>
        <v>0</v>
      </c>
      <c r="N591" s="7">
        <f t="shared" si="60"/>
        <v>182450.92</v>
      </c>
      <c r="O591" s="7" t="str">
        <f t="shared" si="61"/>
        <v>HDFC 5930</v>
      </c>
    </row>
    <row r="592" spans="1:15" x14ac:dyDescent="0.25">
      <c r="A592" s="1">
        <v>45189</v>
      </c>
      <c r="B592" t="s">
        <v>480</v>
      </c>
      <c r="C592" s="1">
        <v>45189</v>
      </c>
      <c r="D592" s="2">
        <v>5000</v>
      </c>
      <c r="E592" s="2">
        <v>0</v>
      </c>
      <c r="F592" s="2">
        <v>177450.92</v>
      </c>
      <c r="G592" t="s">
        <v>719</v>
      </c>
      <c r="H592" s="7">
        <f t="shared" si="62"/>
        <v>0</v>
      </c>
      <c r="I592" s="1">
        <f t="shared" si="56"/>
        <v>45189</v>
      </c>
      <c r="J592" s="1" t="str">
        <f t="shared" si="57"/>
        <v>NET PAYIN TO BSE MF A/C -57500000389146- FROM A/C -01671000085930- UCC -347707-57500000389146</v>
      </c>
      <c r="L592" s="7">
        <f t="shared" si="58"/>
        <v>5000</v>
      </c>
      <c r="M592" s="7">
        <f t="shared" si="59"/>
        <v>0</v>
      </c>
      <c r="N592" s="7">
        <f t="shared" si="60"/>
        <v>177450.92</v>
      </c>
      <c r="O592" s="7" t="str">
        <f t="shared" si="61"/>
        <v>HDFC 5930</v>
      </c>
    </row>
    <row r="593" spans="1:15" x14ac:dyDescent="0.25">
      <c r="A593" s="1">
        <v>45189</v>
      </c>
      <c r="B593" t="s">
        <v>472</v>
      </c>
      <c r="C593" s="1">
        <v>45189</v>
      </c>
      <c r="D593" s="2">
        <v>420.7</v>
      </c>
      <c r="E593" s="2">
        <v>0</v>
      </c>
      <c r="F593" s="2">
        <v>177030.22</v>
      </c>
      <c r="G593" t="s">
        <v>719</v>
      </c>
      <c r="H593" s="7">
        <f t="shared" si="62"/>
        <v>0</v>
      </c>
      <c r="I593" s="1">
        <f t="shared" si="56"/>
        <v>45189</v>
      </c>
      <c r="J593" s="1" t="str">
        <f t="shared" si="57"/>
        <v>NET PI TO HSL SEC A/C 347707-00602340029392</v>
      </c>
      <c r="L593" s="7">
        <f t="shared" si="58"/>
        <v>420.7</v>
      </c>
      <c r="M593" s="7">
        <f t="shared" si="59"/>
        <v>0</v>
      </c>
      <c r="N593" s="7">
        <f t="shared" si="60"/>
        <v>177030.22</v>
      </c>
      <c r="O593" s="7" t="str">
        <f t="shared" si="61"/>
        <v>HDFC 5930</v>
      </c>
    </row>
    <row r="594" spans="1:15" x14ac:dyDescent="0.25">
      <c r="A594" s="1">
        <v>45189</v>
      </c>
      <c r="B594" t="s">
        <v>650</v>
      </c>
      <c r="C594" s="1">
        <v>45189</v>
      </c>
      <c r="D594" s="2">
        <v>0</v>
      </c>
      <c r="E594" s="2">
        <v>2000</v>
      </c>
      <c r="F594" s="2">
        <v>179030.22</v>
      </c>
      <c r="G594" t="s">
        <v>719</v>
      </c>
      <c r="H594" s="7">
        <f t="shared" si="62"/>
        <v>0</v>
      </c>
      <c r="I594" s="1">
        <f t="shared" ref="I594:I657" si="63">A594</f>
        <v>45189</v>
      </c>
      <c r="J594" s="1" t="str">
        <f t="shared" ref="J594:J657" si="64">B594</f>
        <v>57500000009262-5542697D-AJAY KUMAR</v>
      </c>
      <c r="L594" s="7">
        <f t="shared" ref="L594:L657" si="65">D594</f>
        <v>0</v>
      </c>
      <c r="M594" s="7">
        <f t="shared" ref="M594:M657" si="66">E594</f>
        <v>2000</v>
      </c>
      <c r="N594" s="7">
        <f t="shared" ref="N594:N657" si="67">F594</f>
        <v>179030.22</v>
      </c>
      <c r="O594" s="7" t="str">
        <f t="shared" ref="O594:O657" si="68">G594</f>
        <v>HDFC 5930</v>
      </c>
    </row>
    <row r="595" spans="1:15" x14ac:dyDescent="0.25">
      <c r="A595" s="1">
        <v>45189</v>
      </c>
      <c r="B595" t="s">
        <v>651</v>
      </c>
      <c r="C595" s="1">
        <v>45189</v>
      </c>
      <c r="D595" s="2">
        <v>0</v>
      </c>
      <c r="E595" s="2">
        <v>3000</v>
      </c>
      <c r="F595" s="2">
        <v>182030.22</v>
      </c>
      <c r="G595" t="s">
        <v>719</v>
      </c>
      <c r="H595" s="7">
        <f t="shared" ref="H595:H658" si="69">F594-D595+E595-F595</f>
        <v>0</v>
      </c>
      <c r="I595" s="1">
        <f t="shared" si="63"/>
        <v>45189</v>
      </c>
      <c r="J595" s="1" t="str">
        <f t="shared" si="64"/>
        <v>57500000009262-628426UJ-AJAY KUMAR</v>
      </c>
      <c r="L595" s="7">
        <f t="shared" si="65"/>
        <v>0</v>
      </c>
      <c r="M595" s="7">
        <f t="shared" si="66"/>
        <v>3000</v>
      </c>
      <c r="N595" s="7">
        <f t="shared" si="67"/>
        <v>182030.22</v>
      </c>
      <c r="O595" s="7" t="str">
        <f t="shared" si="68"/>
        <v>HDFC 5930</v>
      </c>
    </row>
    <row r="596" spans="1:15" x14ac:dyDescent="0.25">
      <c r="A596" s="1">
        <v>45189</v>
      </c>
      <c r="B596" t="s">
        <v>472</v>
      </c>
      <c r="C596" s="1">
        <v>45189</v>
      </c>
      <c r="D596" s="2">
        <v>562.02</v>
      </c>
      <c r="E596" s="2">
        <v>0</v>
      </c>
      <c r="F596" s="2">
        <v>181468.2</v>
      </c>
      <c r="G596" t="s">
        <v>719</v>
      </c>
      <c r="H596" s="7">
        <f t="shared" si="69"/>
        <v>0</v>
      </c>
      <c r="I596" s="1">
        <f t="shared" si="63"/>
        <v>45189</v>
      </c>
      <c r="J596" s="1" t="str">
        <f t="shared" si="64"/>
        <v>NET PI TO HSL SEC A/C 347707-00602340029392</v>
      </c>
      <c r="L596" s="7">
        <f t="shared" si="65"/>
        <v>562.02</v>
      </c>
      <c r="M596" s="7">
        <f t="shared" si="66"/>
        <v>0</v>
      </c>
      <c r="N596" s="7">
        <f t="shared" si="67"/>
        <v>181468.2</v>
      </c>
      <c r="O596" s="7" t="str">
        <f t="shared" si="68"/>
        <v>HDFC 5930</v>
      </c>
    </row>
    <row r="597" spans="1:15" x14ac:dyDescent="0.25">
      <c r="A597" s="1">
        <v>45190</v>
      </c>
      <c r="B597" t="s">
        <v>480</v>
      </c>
      <c r="C597" s="1">
        <v>45190</v>
      </c>
      <c r="D597" s="2">
        <v>3000</v>
      </c>
      <c r="E597" s="2">
        <v>0</v>
      </c>
      <c r="F597" s="2">
        <v>178468.2</v>
      </c>
      <c r="G597" t="s">
        <v>719</v>
      </c>
      <c r="H597" s="7">
        <f t="shared" si="69"/>
        <v>0</v>
      </c>
      <c r="I597" s="1">
        <f t="shared" si="63"/>
        <v>45190</v>
      </c>
      <c r="J597" s="1" t="str">
        <f t="shared" si="64"/>
        <v>NET PAYIN TO BSE MF A/C -57500000389146- FROM A/C -01671000085930- UCC -347707-57500000389146</v>
      </c>
      <c r="L597" s="7">
        <f t="shared" si="65"/>
        <v>3000</v>
      </c>
      <c r="M597" s="7">
        <f t="shared" si="66"/>
        <v>0</v>
      </c>
      <c r="N597" s="7">
        <f t="shared" si="67"/>
        <v>178468.2</v>
      </c>
      <c r="O597" s="7" t="str">
        <f t="shared" si="68"/>
        <v>HDFC 5930</v>
      </c>
    </row>
    <row r="598" spans="1:15" x14ac:dyDescent="0.25">
      <c r="A598" s="1">
        <v>45190</v>
      </c>
      <c r="B598" t="s">
        <v>472</v>
      </c>
      <c r="C598" s="1">
        <v>45190</v>
      </c>
      <c r="D598" s="2">
        <v>210.07</v>
      </c>
      <c r="E598" s="2">
        <v>0</v>
      </c>
      <c r="F598" s="2">
        <v>178258.13</v>
      </c>
      <c r="G598" t="s">
        <v>719</v>
      </c>
      <c r="H598" s="7">
        <f t="shared" si="69"/>
        <v>0</v>
      </c>
      <c r="I598" s="1">
        <f t="shared" si="63"/>
        <v>45190</v>
      </c>
      <c r="J598" s="1" t="str">
        <f t="shared" si="64"/>
        <v>NET PI TO HSL SEC A/C 347707-00602340029392</v>
      </c>
      <c r="L598" s="7">
        <f t="shared" si="65"/>
        <v>210.07</v>
      </c>
      <c r="M598" s="7">
        <f t="shared" si="66"/>
        <v>0</v>
      </c>
      <c r="N598" s="7">
        <f t="shared" si="67"/>
        <v>178258.13</v>
      </c>
      <c r="O598" s="7" t="str">
        <f t="shared" si="68"/>
        <v>HDFC 5930</v>
      </c>
    </row>
    <row r="599" spans="1:15" x14ac:dyDescent="0.25">
      <c r="A599" s="1">
        <v>45190</v>
      </c>
      <c r="B599" t="s">
        <v>652</v>
      </c>
      <c r="C599" s="1">
        <v>45190</v>
      </c>
      <c r="D599" s="2">
        <v>2000</v>
      </c>
      <c r="E599" s="2">
        <v>0</v>
      </c>
      <c r="F599" s="2">
        <v>176258.13</v>
      </c>
      <c r="G599" t="s">
        <v>719</v>
      </c>
      <c r="H599" s="7">
        <f t="shared" si="69"/>
        <v>0</v>
      </c>
      <c r="I599" s="1">
        <f t="shared" si="63"/>
        <v>45190</v>
      </c>
      <c r="J599" s="1" t="str">
        <f t="shared" si="64"/>
        <v>ACH D- TP ACH INVESTOCAFE-1250953229</v>
      </c>
      <c r="L599" s="7">
        <f t="shared" si="65"/>
        <v>2000</v>
      </c>
      <c r="M599" s="7">
        <f t="shared" si="66"/>
        <v>0</v>
      </c>
      <c r="N599" s="7">
        <f t="shared" si="67"/>
        <v>176258.13</v>
      </c>
      <c r="O599" s="7" t="str">
        <f t="shared" si="68"/>
        <v>HDFC 5930</v>
      </c>
    </row>
    <row r="600" spans="1:15" x14ac:dyDescent="0.25">
      <c r="A600" s="1">
        <v>45190</v>
      </c>
      <c r="B600" t="s">
        <v>653</v>
      </c>
      <c r="C600" s="1">
        <v>45190</v>
      </c>
      <c r="D600" s="2">
        <v>2500</v>
      </c>
      <c r="E600" s="2">
        <v>0</v>
      </c>
      <c r="F600" s="2">
        <v>173758.13</v>
      </c>
      <c r="G600" t="s">
        <v>719</v>
      </c>
      <c r="H600" s="7">
        <f t="shared" si="69"/>
        <v>0</v>
      </c>
      <c r="I600" s="1">
        <f t="shared" si="63"/>
        <v>45190</v>
      </c>
      <c r="J600" s="1" t="str">
        <f t="shared" si="64"/>
        <v>ACH D- TP ACH INVESTOCAFE-1250953230</v>
      </c>
      <c r="L600" s="7">
        <f t="shared" si="65"/>
        <v>2500</v>
      </c>
      <c r="M600" s="7">
        <f t="shared" si="66"/>
        <v>0</v>
      </c>
      <c r="N600" s="7">
        <f t="shared" si="67"/>
        <v>173758.13</v>
      </c>
      <c r="O600" s="7" t="str">
        <f t="shared" si="68"/>
        <v>HDFC 5930</v>
      </c>
    </row>
    <row r="601" spans="1:15" x14ac:dyDescent="0.25">
      <c r="A601" s="1">
        <v>45190</v>
      </c>
      <c r="B601" t="s">
        <v>472</v>
      </c>
      <c r="C601" s="1">
        <v>45190</v>
      </c>
      <c r="D601" s="2">
        <v>1311.21</v>
      </c>
      <c r="E601" s="2">
        <v>0</v>
      </c>
      <c r="F601" s="2">
        <v>172446.92</v>
      </c>
      <c r="G601" t="s">
        <v>719</v>
      </c>
      <c r="H601" s="7">
        <f t="shared" si="69"/>
        <v>0</v>
      </c>
      <c r="I601" s="1">
        <f t="shared" si="63"/>
        <v>45190</v>
      </c>
      <c r="J601" s="1" t="str">
        <f t="shared" si="64"/>
        <v>NET PI TO HSL SEC A/C 347707-00602340029392</v>
      </c>
      <c r="L601" s="7">
        <f t="shared" si="65"/>
        <v>1311.21</v>
      </c>
      <c r="M601" s="7">
        <f t="shared" si="66"/>
        <v>0</v>
      </c>
      <c r="N601" s="7">
        <f t="shared" si="67"/>
        <v>172446.92</v>
      </c>
      <c r="O601" s="7" t="str">
        <f t="shared" si="68"/>
        <v>HDFC 5930</v>
      </c>
    </row>
    <row r="602" spans="1:15" x14ac:dyDescent="0.25">
      <c r="A602" s="1">
        <v>45191</v>
      </c>
      <c r="B602" t="s">
        <v>480</v>
      </c>
      <c r="C602" s="1">
        <v>45191</v>
      </c>
      <c r="D602" s="2">
        <v>5000</v>
      </c>
      <c r="E602" s="2">
        <v>0</v>
      </c>
      <c r="F602" s="2">
        <v>167446.92000000001</v>
      </c>
      <c r="G602" t="s">
        <v>719</v>
      </c>
      <c r="H602" s="7">
        <f t="shared" si="69"/>
        <v>0</v>
      </c>
      <c r="I602" s="1">
        <f t="shared" si="63"/>
        <v>45191</v>
      </c>
      <c r="J602" s="1" t="str">
        <f t="shared" si="64"/>
        <v>NET PAYIN TO BSE MF A/C -57500000389146- FROM A/C -01671000085930- UCC -347707-57500000389146</v>
      </c>
      <c r="L602" s="7">
        <f t="shared" si="65"/>
        <v>5000</v>
      </c>
      <c r="M602" s="7">
        <f t="shared" si="66"/>
        <v>0</v>
      </c>
      <c r="N602" s="7">
        <f t="shared" si="67"/>
        <v>167446.92000000001</v>
      </c>
      <c r="O602" s="7" t="str">
        <f t="shared" si="68"/>
        <v>HDFC 5930</v>
      </c>
    </row>
    <row r="603" spans="1:15" x14ac:dyDescent="0.25">
      <c r="A603" s="1">
        <v>45191</v>
      </c>
      <c r="B603" t="s">
        <v>480</v>
      </c>
      <c r="C603" s="1">
        <v>45191</v>
      </c>
      <c r="D603" s="2">
        <v>5000</v>
      </c>
      <c r="E603" s="2">
        <v>0</v>
      </c>
      <c r="F603" s="2">
        <v>162446.92000000001</v>
      </c>
      <c r="G603" t="s">
        <v>719</v>
      </c>
      <c r="H603" s="7">
        <f t="shared" si="69"/>
        <v>0</v>
      </c>
      <c r="I603" s="1">
        <f t="shared" si="63"/>
        <v>45191</v>
      </c>
      <c r="J603" s="1" t="str">
        <f t="shared" si="64"/>
        <v>NET PAYIN TO BSE MF A/C -57500000389146- FROM A/C -01671000085930- UCC -347707-57500000389146</v>
      </c>
      <c r="L603" s="7">
        <f t="shared" si="65"/>
        <v>5000</v>
      </c>
      <c r="M603" s="7">
        <f t="shared" si="66"/>
        <v>0</v>
      </c>
      <c r="N603" s="7">
        <f t="shared" si="67"/>
        <v>162446.92000000001</v>
      </c>
      <c r="O603" s="7" t="str">
        <f t="shared" si="68"/>
        <v>HDFC 5930</v>
      </c>
    </row>
    <row r="604" spans="1:15" x14ac:dyDescent="0.25">
      <c r="A604" s="1">
        <v>45191</v>
      </c>
      <c r="B604" t="s">
        <v>472</v>
      </c>
      <c r="C604" s="1">
        <v>45191</v>
      </c>
      <c r="D604" s="2">
        <v>209.43</v>
      </c>
      <c r="E604" s="2">
        <v>0</v>
      </c>
      <c r="F604" s="2">
        <v>162237.49</v>
      </c>
      <c r="G604" t="s">
        <v>719</v>
      </c>
      <c r="H604" s="7">
        <f t="shared" si="69"/>
        <v>0</v>
      </c>
      <c r="I604" s="1">
        <f t="shared" si="63"/>
        <v>45191</v>
      </c>
      <c r="J604" s="1" t="str">
        <f t="shared" si="64"/>
        <v>NET PI TO HSL SEC A/C 347707-00602340029392</v>
      </c>
      <c r="L604" s="7">
        <f t="shared" si="65"/>
        <v>209.43</v>
      </c>
      <c r="M604" s="7">
        <f t="shared" si="66"/>
        <v>0</v>
      </c>
      <c r="N604" s="7">
        <f t="shared" si="67"/>
        <v>162237.49</v>
      </c>
      <c r="O604" s="7" t="str">
        <f t="shared" si="68"/>
        <v>HDFC 5930</v>
      </c>
    </row>
    <row r="605" spans="1:15" x14ac:dyDescent="0.25">
      <c r="A605" s="1">
        <v>45191</v>
      </c>
      <c r="B605" t="s">
        <v>472</v>
      </c>
      <c r="C605" s="1">
        <v>45191</v>
      </c>
      <c r="D605" s="2">
        <v>1668.2</v>
      </c>
      <c r="E605" s="2">
        <v>0</v>
      </c>
      <c r="F605" s="2">
        <v>160569.29</v>
      </c>
      <c r="G605" t="s">
        <v>719</v>
      </c>
      <c r="H605" s="7">
        <f t="shared" si="69"/>
        <v>0</v>
      </c>
      <c r="I605" s="1">
        <f t="shared" si="63"/>
        <v>45191</v>
      </c>
      <c r="J605" s="1" t="str">
        <f t="shared" si="64"/>
        <v>NET PI TO HSL SEC A/C 347707-00602340029392</v>
      </c>
      <c r="L605" s="7">
        <f t="shared" si="65"/>
        <v>1668.2</v>
      </c>
      <c r="M605" s="7">
        <f t="shared" si="66"/>
        <v>0</v>
      </c>
      <c r="N605" s="7">
        <f t="shared" si="67"/>
        <v>160569.29</v>
      </c>
      <c r="O605" s="7" t="str">
        <f t="shared" si="68"/>
        <v>HDFC 5930</v>
      </c>
    </row>
    <row r="606" spans="1:15" x14ac:dyDescent="0.25">
      <c r="A606" s="1">
        <v>45194</v>
      </c>
      <c r="B606" t="s">
        <v>618</v>
      </c>
      <c r="C606" s="1">
        <v>45194</v>
      </c>
      <c r="D606" s="2">
        <v>0</v>
      </c>
      <c r="E606" s="2">
        <v>154.68</v>
      </c>
      <c r="F606" s="2">
        <v>160723.97</v>
      </c>
      <c r="G606" t="s">
        <v>719</v>
      </c>
      <c r="H606" s="7">
        <f t="shared" si="69"/>
        <v>0</v>
      </c>
      <c r="I606" s="1">
        <f t="shared" si="63"/>
        <v>45194</v>
      </c>
      <c r="J606" s="1" t="str">
        <f t="shared" si="64"/>
        <v>NET PO FROM HSL A/C 347707-50200085415108</v>
      </c>
      <c r="L606" s="7">
        <f t="shared" si="65"/>
        <v>0</v>
      </c>
      <c r="M606" s="7">
        <f t="shared" si="66"/>
        <v>154.68</v>
      </c>
      <c r="N606" s="7">
        <f t="shared" si="67"/>
        <v>160723.97</v>
      </c>
      <c r="O606" s="7" t="str">
        <f t="shared" si="68"/>
        <v>HDFC 5930</v>
      </c>
    </row>
    <row r="607" spans="1:15" x14ac:dyDescent="0.25">
      <c r="A607" s="1">
        <v>45194</v>
      </c>
      <c r="B607" t="s">
        <v>618</v>
      </c>
      <c r="C607" s="1">
        <v>45194</v>
      </c>
      <c r="D607" s="2">
        <v>0</v>
      </c>
      <c r="E607" s="2">
        <v>6640.5</v>
      </c>
      <c r="F607" s="2">
        <v>167364.47</v>
      </c>
      <c r="G607" t="s">
        <v>719</v>
      </c>
      <c r="H607" s="7">
        <f t="shared" si="69"/>
        <v>0</v>
      </c>
      <c r="I607" s="1">
        <f t="shared" si="63"/>
        <v>45194</v>
      </c>
      <c r="J607" s="1" t="str">
        <f t="shared" si="64"/>
        <v>NET PO FROM HSL A/C 347707-50200085415108</v>
      </c>
      <c r="L607" s="7">
        <f t="shared" si="65"/>
        <v>0</v>
      </c>
      <c r="M607" s="7">
        <f t="shared" si="66"/>
        <v>6640.5</v>
      </c>
      <c r="N607" s="7">
        <f t="shared" si="67"/>
        <v>167364.47</v>
      </c>
      <c r="O607" s="7" t="str">
        <f t="shared" si="68"/>
        <v>HDFC 5930</v>
      </c>
    </row>
    <row r="608" spans="1:15" x14ac:dyDescent="0.25">
      <c r="A608" s="1">
        <v>45194</v>
      </c>
      <c r="B608" t="s">
        <v>472</v>
      </c>
      <c r="C608" s="1">
        <v>45194</v>
      </c>
      <c r="D608" s="2">
        <v>625.83000000000004</v>
      </c>
      <c r="E608" s="2">
        <v>0</v>
      </c>
      <c r="F608" s="2">
        <v>166738.64000000001</v>
      </c>
      <c r="G608" t="s">
        <v>719</v>
      </c>
      <c r="H608" s="7">
        <f t="shared" si="69"/>
        <v>0</v>
      </c>
      <c r="I608" s="1">
        <f t="shared" si="63"/>
        <v>45194</v>
      </c>
      <c r="J608" s="1" t="str">
        <f t="shared" si="64"/>
        <v>NET PI TO HSL SEC A/C 347707-00602340029392</v>
      </c>
      <c r="L608" s="7">
        <f t="shared" si="65"/>
        <v>625.83000000000004</v>
      </c>
      <c r="M608" s="7">
        <f t="shared" si="66"/>
        <v>0</v>
      </c>
      <c r="N608" s="7">
        <f t="shared" si="67"/>
        <v>166738.64000000001</v>
      </c>
      <c r="O608" s="7" t="str">
        <f t="shared" si="68"/>
        <v>HDFC 5930</v>
      </c>
    </row>
    <row r="609" spans="1:15" x14ac:dyDescent="0.25">
      <c r="A609" s="1">
        <v>45194</v>
      </c>
      <c r="B609" t="s">
        <v>472</v>
      </c>
      <c r="C609" s="1">
        <v>45194</v>
      </c>
      <c r="D609" s="2">
        <v>5026.76</v>
      </c>
      <c r="E609" s="2">
        <v>0</v>
      </c>
      <c r="F609" s="2">
        <v>161711.88</v>
      </c>
      <c r="G609" t="s">
        <v>719</v>
      </c>
      <c r="H609" s="7">
        <f t="shared" si="69"/>
        <v>0</v>
      </c>
      <c r="I609" s="1">
        <f t="shared" si="63"/>
        <v>45194</v>
      </c>
      <c r="J609" s="1" t="str">
        <f t="shared" si="64"/>
        <v>NET PI TO HSL SEC A/C 347707-00602340029392</v>
      </c>
      <c r="L609" s="7">
        <f t="shared" si="65"/>
        <v>5026.76</v>
      </c>
      <c r="M609" s="7">
        <f t="shared" si="66"/>
        <v>0</v>
      </c>
      <c r="N609" s="7">
        <f t="shared" si="67"/>
        <v>161711.88</v>
      </c>
      <c r="O609" s="7" t="str">
        <f t="shared" si="68"/>
        <v>HDFC 5930</v>
      </c>
    </row>
    <row r="610" spans="1:15" x14ac:dyDescent="0.25">
      <c r="A610" s="1">
        <v>45195</v>
      </c>
      <c r="B610" t="s">
        <v>472</v>
      </c>
      <c r="C610" s="1">
        <v>45195</v>
      </c>
      <c r="D610" s="2">
        <v>205.67</v>
      </c>
      <c r="E610" s="2">
        <v>0</v>
      </c>
      <c r="F610" s="2">
        <v>161506.21</v>
      </c>
      <c r="G610" t="s">
        <v>719</v>
      </c>
      <c r="H610" s="7">
        <f t="shared" si="69"/>
        <v>0</v>
      </c>
      <c r="I610" s="1">
        <f t="shared" si="63"/>
        <v>45195</v>
      </c>
      <c r="J610" s="1" t="str">
        <f t="shared" si="64"/>
        <v>NET PI TO HSL SEC A/C 347707-00602340029392</v>
      </c>
      <c r="L610" s="7">
        <f t="shared" si="65"/>
        <v>205.67</v>
      </c>
      <c r="M610" s="7">
        <f t="shared" si="66"/>
        <v>0</v>
      </c>
      <c r="N610" s="7">
        <f t="shared" si="67"/>
        <v>161506.21</v>
      </c>
      <c r="O610" s="7" t="str">
        <f t="shared" si="68"/>
        <v>HDFC 5930</v>
      </c>
    </row>
    <row r="611" spans="1:15" x14ac:dyDescent="0.25">
      <c r="A611" s="1">
        <v>45195</v>
      </c>
      <c r="B611" t="s">
        <v>472</v>
      </c>
      <c r="C611" s="1">
        <v>45195</v>
      </c>
      <c r="D611" s="2">
        <v>10787.08</v>
      </c>
      <c r="E611" s="2">
        <v>0</v>
      </c>
      <c r="F611" s="2">
        <v>150719.13</v>
      </c>
      <c r="G611" t="s">
        <v>719</v>
      </c>
      <c r="H611" s="7">
        <f t="shared" si="69"/>
        <v>0</v>
      </c>
      <c r="I611" s="1">
        <f t="shared" si="63"/>
        <v>45195</v>
      </c>
      <c r="J611" s="1" t="str">
        <f t="shared" si="64"/>
        <v>NET PI TO HSL SEC A/C 347707-00602340029392</v>
      </c>
      <c r="L611" s="7">
        <f t="shared" si="65"/>
        <v>10787.08</v>
      </c>
      <c r="M611" s="7">
        <f t="shared" si="66"/>
        <v>0</v>
      </c>
      <c r="N611" s="7">
        <f t="shared" si="67"/>
        <v>150719.13</v>
      </c>
      <c r="O611" s="7" t="str">
        <f t="shared" si="68"/>
        <v>HDFC 5930</v>
      </c>
    </row>
    <row r="612" spans="1:15" x14ac:dyDescent="0.25">
      <c r="A612" s="1">
        <v>45195</v>
      </c>
      <c r="B612" t="s">
        <v>472</v>
      </c>
      <c r="C612" s="1">
        <v>45195</v>
      </c>
      <c r="D612" s="2">
        <v>318.19</v>
      </c>
      <c r="E612" s="2">
        <v>0</v>
      </c>
      <c r="F612" s="2">
        <v>150400.94</v>
      </c>
      <c r="G612" t="s">
        <v>719</v>
      </c>
      <c r="H612" s="7">
        <f t="shared" si="69"/>
        <v>0</v>
      </c>
      <c r="I612" s="1">
        <f t="shared" si="63"/>
        <v>45195</v>
      </c>
      <c r="J612" s="1" t="str">
        <f t="shared" si="64"/>
        <v>NET PI TO HSL SEC A/C 347707-00602340029392</v>
      </c>
      <c r="L612" s="7">
        <f t="shared" si="65"/>
        <v>318.19</v>
      </c>
      <c r="M612" s="7">
        <f t="shared" si="66"/>
        <v>0</v>
      </c>
      <c r="N612" s="7">
        <f t="shared" si="67"/>
        <v>150400.94</v>
      </c>
      <c r="O612" s="7" t="str">
        <f t="shared" si="68"/>
        <v>HDFC 5930</v>
      </c>
    </row>
    <row r="613" spans="1:15" x14ac:dyDescent="0.25">
      <c r="A613" s="1">
        <v>45196</v>
      </c>
      <c r="B613" t="s">
        <v>472</v>
      </c>
      <c r="C613" s="1">
        <v>45196</v>
      </c>
      <c r="D613" s="2">
        <v>209.66</v>
      </c>
      <c r="E613" s="2">
        <v>0</v>
      </c>
      <c r="F613" s="2">
        <v>150191.28</v>
      </c>
      <c r="G613" t="s">
        <v>719</v>
      </c>
      <c r="H613" s="7">
        <f t="shared" si="69"/>
        <v>0</v>
      </c>
      <c r="I613" s="1">
        <f t="shared" si="63"/>
        <v>45196</v>
      </c>
      <c r="J613" s="1" t="str">
        <f t="shared" si="64"/>
        <v>NET PI TO HSL SEC A/C 347707-00602340029392</v>
      </c>
      <c r="L613" s="7">
        <f t="shared" si="65"/>
        <v>209.66</v>
      </c>
      <c r="M613" s="7">
        <f t="shared" si="66"/>
        <v>0</v>
      </c>
      <c r="N613" s="7">
        <f t="shared" si="67"/>
        <v>150191.28</v>
      </c>
      <c r="O613" s="7" t="str">
        <f t="shared" si="68"/>
        <v>HDFC 5930</v>
      </c>
    </row>
    <row r="614" spans="1:15" x14ac:dyDescent="0.25">
      <c r="A614" s="1">
        <v>45196</v>
      </c>
      <c r="B614" t="s">
        <v>654</v>
      </c>
      <c r="C614" s="1">
        <v>45196</v>
      </c>
      <c r="D614" s="2">
        <v>30000</v>
      </c>
      <c r="E614" s="2">
        <v>0</v>
      </c>
      <c r="F614" s="2">
        <v>120191.28</v>
      </c>
      <c r="G614" t="s">
        <v>719</v>
      </c>
      <c r="H614" s="7">
        <f t="shared" si="69"/>
        <v>0</v>
      </c>
      <c r="I614" s="1">
        <f t="shared" si="63"/>
        <v>45196</v>
      </c>
      <c r="J614" s="1" t="str">
        <f t="shared" si="64"/>
        <v>YHDF2090680216/BILLDKINDIANCLEARING</v>
      </c>
      <c r="L614" s="7">
        <f t="shared" si="65"/>
        <v>30000</v>
      </c>
      <c r="M614" s="7">
        <f t="shared" si="66"/>
        <v>0</v>
      </c>
      <c r="N614" s="7">
        <f t="shared" si="67"/>
        <v>120191.28</v>
      </c>
      <c r="O614" s="7" t="str">
        <f t="shared" si="68"/>
        <v>HDFC 5930</v>
      </c>
    </row>
    <row r="615" spans="1:15" x14ac:dyDescent="0.25">
      <c r="A615" s="1">
        <v>45197</v>
      </c>
      <c r="B615" t="s">
        <v>618</v>
      </c>
      <c r="C615" s="1">
        <v>45197</v>
      </c>
      <c r="D615" s="2">
        <v>0</v>
      </c>
      <c r="E615" s="2">
        <v>1985.82</v>
      </c>
      <c r="F615" s="2">
        <v>122177.1</v>
      </c>
      <c r="G615" t="s">
        <v>719</v>
      </c>
      <c r="H615" s="7">
        <f t="shared" si="69"/>
        <v>0</v>
      </c>
      <c r="I615" s="1">
        <f t="shared" si="63"/>
        <v>45197</v>
      </c>
      <c r="J615" s="1" t="str">
        <f t="shared" si="64"/>
        <v>NET PO FROM HSL A/C 347707-50200085415108</v>
      </c>
      <c r="L615" s="7">
        <f t="shared" si="65"/>
        <v>0</v>
      </c>
      <c r="M615" s="7">
        <f t="shared" si="66"/>
        <v>1985.82</v>
      </c>
      <c r="N615" s="7">
        <f t="shared" si="67"/>
        <v>122177.1</v>
      </c>
      <c r="O615" s="7" t="str">
        <f t="shared" si="68"/>
        <v>HDFC 5930</v>
      </c>
    </row>
    <row r="616" spans="1:15" x14ac:dyDescent="0.25">
      <c r="A616" s="1">
        <v>45197</v>
      </c>
      <c r="B616" t="s">
        <v>618</v>
      </c>
      <c r="C616" s="1">
        <v>45197</v>
      </c>
      <c r="D616" s="2">
        <v>0</v>
      </c>
      <c r="E616" s="2">
        <v>18671.259999999998</v>
      </c>
      <c r="F616" s="2">
        <v>140848.35999999999</v>
      </c>
      <c r="G616" t="s">
        <v>719</v>
      </c>
      <c r="H616" s="7">
        <f t="shared" si="69"/>
        <v>0</v>
      </c>
      <c r="I616" s="1">
        <f t="shared" si="63"/>
        <v>45197</v>
      </c>
      <c r="J616" s="1" t="str">
        <f t="shared" si="64"/>
        <v>NET PO FROM HSL A/C 347707-50200085415108</v>
      </c>
      <c r="L616" s="7">
        <f t="shared" si="65"/>
        <v>0</v>
      </c>
      <c r="M616" s="7">
        <f t="shared" si="66"/>
        <v>18671.259999999998</v>
      </c>
      <c r="N616" s="7">
        <f t="shared" si="67"/>
        <v>140848.35999999999</v>
      </c>
      <c r="O616" s="7" t="str">
        <f t="shared" si="68"/>
        <v>HDFC 5930</v>
      </c>
    </row>
    <row r="617" spans="1:15" x14ac:dyDescent="0.25">
      <c r="A617" s="1">
        <v>45197</v>
      </c>
      <c r="B617" t="s">
        <v>480</v>
      </c>
      <c r="C617" s="1">
        <v>45197</v>
      </c>
      <c r="D617" s="2">
        <v>3000</v>
      </c>
      <c r="E617" s="2">
        <v>0</v>
      </c>
      <c r="F617" s="2">
        <v>137848.35999999999</v>
      </c>
      <c r="G617" t="s">
        <v>719</v>
      </c>
      <c r="H617" s="7">
        <f t="shared" si="69"/>
        <v>0</v>
      </c>
      <c r="I617" s="1">
        <f t="shared" si="63"/>
        <v>45197</v>
      </c>
      <c r="J617" s="1" t="str">
        <f t="shared" si="64"/>
        <v>NET PAYIN TO BSE MF A/C -57500000389146- FROM A/C -01671000085930- UCC -347707-57500000389146</v>
      </c>
      <c r="L617" s="7">
        <f t="shared" si="65"/>
        <v>3000</v>
      </c>
      <c r="M617" s="7">
        <f t="shared" si="66"/>
        <v>0</v>
      </c>
      <c r="N617" s="7">
        <f t="shared" si="67"/>
        <v>137848.35999999999</v>
      </c>
      <c r="O617" s="7" t="str">
        <f t="shared" si="68"/>
        <v>HDFC 5930</v>
      </c>
    </row>
    <row r="618" spans="1:15" x14ac:dyDescent="0.25">
      <c r="A618" s="1">
        <v>45197</v>
      </c>
      <c r="B618" t="s">
        <v>472</v>
      </c>
      <c r="C618" s="1">
        <v>45197</v>
      </c>
      <c r="D618" s="2">
        <v>209.66</v>
      </c>
      <c r="E618" s="2">
        <v>0</v>
      </c>
      <c r="F618" s="2">
        <v>137638.70000000001</v>
      </c>
      <c r="G618" t="s">
        <v>719</v>
      </c>
      <c r="H618" s="7">
        <f t="shared" si="69"/>
        <v>0</v>
      </c>
      <c r="I618" s="1">
        <f t="shared" si="63"/>
        <v>45197</v>
      </c>
      <c r="J618" s="1" t="str">
        <f t="shared" si="64"/>
        <v>NET PI TO HSL SEC A/C 347707-00602340029392</v>
      </c>
      <c r="L618" s="7">
        <f t="shared" si="65"/>
        <v>209.66</v>
      </c>
      <c r="M618" s="7">
        <f t="shared" si="66"/>
        <v>0</v>
      </c>
      <c r="N618" s="7">
        <f t="shared" si="67"/>
        <v>137638.70000000001</v>
      </c>
      <c r="O618" s="7" t="str">
        <f t="shared" si="68"/>
        <v>HDFC 5930</v>
      </c>
    </row>
    <row r="619" spans="1:15" x14ac:dyDescent="0.25">
      <c r="A619" s="1">
        <v>45198</v>
      </c>
      <c r="B619" t="s">
        <v>472</v>
      </c>
      <c r="C619" s="1">
        <v>45198</v>
      </c>
      <c r="D619" s="2">
        <v>32139.83</v>
      </c>
      <c r="E619" s="2">
        <v>0</v>
      </c>
      <c r="F619" s="2">
        <v>105498.87</v>
      </c>
      <c r="G619" t="s">
        <v>719</v>
      </c>
      <c r="H619" s="7">
        <f t="shared" si="69"/>
        <v>0</v>
      </c>
      <c r="I619" s="1">
        <f t="shared" si="63"/>
        <v>45198</v>
      </c>
      <c r="J619" s="1" t="str">
        <f t="shared" si="64"/>
        <v>NET PI TO HSL SEC A/C 347707-00602340029392</v>
      </c>
      <c r="L619" s="7">
        <f t="shared" si="65"/>
        <v>32139.83</v>
      </c>
      <c r="M619" s="7">
        <f t="shared" si="66"/>
        <v>0</v>
      </c>
      <c r="N619" s="7">
        <f t="shared" si="67"/>
        <v>105498.87</v>
      </c>
      <c r="O619" s="7" t="str">
        <f t="shared" si="68"/>
        <v>HDFC 5930</v>
      </c>
    </row>
    <row r="620" spans="1:15" x14ac:dyDescent="0.25">
      <c r="A620" s="1">
        <v>45198</v>
      </c>
      <c r="B620" t="s">
        <v>472</v>
      </c>
      <c r="C620" s="1">
        <v>45198</v>
      </c>
      <c r="D620" s="2">
        <v>194.79</v>
      </c>
      <c r="E620" s="2">
        <v>0</v>
      </c>
      <c r="F620" s="2">
        <v>105304.08</v>
      </c>
      <c r="G620" t="s">
        <v>719</v>
      </c>
      <c r="H620" s="7">
        <f t="shared" si="69"/>
        <v>0</v>
      </c>
      <c r="I620" s="1">
        <f t="shared" si="63"/>
        <v>45198</v>
      </c>
      <c r="J620" s="1" t="str">
        <f t="shared" si="64"/>
        <v>NET PI TO HSL SEC A/C 347707-00602340029392</v>
      </c>
      <c r="L620" s="7">
        <f t="shared" si="65"/>
        <v>194.79</v>
      </c>
      <c r="M620" s="7">
        <f t="shared" si="66"/>
        <v>0</v>
      </c>
      <c r="N620" s="7">
        <f t="shared" si="67"/>
        <v>105304.08</v>
      </c>
      <c r="O620" s="7" t="str">
        <f t="shared" si="68"/>
        <v>HDFC 5930</v>
      </c>
    </row>
    <row r="621" spans="1:15" x14ac:dyDescent="0.25">
      <c r="A621" s="1">
        <v>45198</v>
      </c>
      <c r="B621" t="s">
        <v>655</v>
      </c>
      <c r="C621" s="1">
        <v>45198</v>
      </c>
      <c r="D621" s="2">
        <v>0</v>
      </c>
      <c r="E621" s="2">
        <v>175</v>
      </c>
      <c r="F621" s="2">
        <v>105479.08</v>
      </c>
      <c r="G621" t="s">
        <v>719</v>
      </c>
      <c r="H621" s="7">
        <f t="shared" si="69"/>
        <v>0</v>
      </c>
      <c r="I621" s="1">
        <f t="shared" si="63"/>
        <v>45198</v>
      </c>
      <c r="J621" s="1" t="str">
        <f t="shared" si="64"/>
        <v>GARWARE TEC DIV22 2300000000000000003107</v>
      </c>
      <c r="L621" s="7">
        <f t="shared" si="65"/>
        <v>0</v>
      </c>
      <c r="M621" s="7">
        <f t="shared" si="66"/>
        <v>175</v>
      </c>
      <c r="N621" s="7">
        <f t="shared" si="67"/>
        <v>105479.08</v>
      </c>
      <c r="O621" s="7" t="str">
        <f t="shared" si="68"/>
        <v>HDFC 5930</v>
      </c>
    </row>
    <row r="622" spans="1:15" x14ac:dyDescent="0.25">
      <c r="A622" s="1">
        <v>45198</v>
      </c>
      <c r="B622" t="s">
        <v>656</v>
      </c>
      <c r="C622" s="1">
        <v>45198</v>
      </c>
      <c r="D622" s="2">
        <v>0</v>
      </c>
      <c r="E622" s="2">
        <v>125</v>
      </c>
      <c r="F622" s="2">
        <v>105604.08</v>
      </c>
      <c r="G622" t="s">
        <v>719</v>
      </c>
      <c r="H622" s="7">
        <f t="shared" si="69"/>
        <v>0</v>
      </c>
      <c r="I622" s="1">
        <f t="shared" si="63"/>
        <v>45198</v>
      </c>
      <c r="J622" s="1" t="str">
        <f t="shared" si="64"/>
        <v>ACH C- HINDWAREHOMEINNOVA-00000000000000</v>
      </c>
      <c r="L622" s="7">
        <f t="shared" si="65"/>
        <v>0</v>
      </c>
      <c r="M622" s="7">
        <f t="shared" si="66"/>
        <v>125</v>
      </c>
      <c r="N622" s="7">
        <f t="shared" si="67"/>
        <v>105604.08</v>
      </c>
      <c r="O622" s="7" t="str">
        <f t="shared" si="68"/>
        <v>HDFC 5930</v>
      </c>
    </row>
    <row r="623" spans="1:15" x14ac:dyDescent="0.25">
      <c r="A623" s="1">
        <v>45200</v>
      </c>
      <c r="B623" t="s">
        <v>538</v>
      </c>
      <c r="C623" s="1">
        <v>45199</v>
      </c>
      <c r="D623" s="2">
        <v>0</v>
      </c>
      <c r="E623" s="2">
        <v>945</v>
      </c>
      <c r="F623" s="2">
        <v>106549.08</v>
      </c>
      <c r="G623" t="s">
        <v>719</v>
      </c>
      <c r="H623" s="7">
        <f t="shared" si="69"/>
        <v>0</v>
      </c>
      <c r="I623" s="1">
        <f t="shared" si="63"/>
        <v>45200</v>
      </c>
      <c r="J623" s="1" t="str">
        <f t="shared" si="64"/>
        <v>CREDIT INTEREST CAPITALISED</v>
      </c>
      <c r="L623" s="7">
        <f t="shared" si="65"/>
        <v>0</v>
      </c>
      <c r="M623" s="7">
        <f t="shared" si="66"/>
        <v>945</v>
      </c>
      <c r="N623" s="7">
        <f t="shared" si="67"/>
        <v>106549.08</v>
      </c>
      <c r="O623" s="7" t="str">
        <f t="shared" si="68"/>
        <v>HDFC 5930</v>
      </c>
    </row>
    <row r="624" spans="1:15" x14ac:dyDescent="0.25">
      <c r="A624" s="1">
        <v>45202</v>
      </c>
      <c r="B624" t="s">
        <v>618</v>
      </c>
      <c r="C624" s="1">
        <v>45202</v>
      </c>
      <c r="D624" s="2">
        <v>0</v>
      </c>
      <c r="E624" s="2">
        <v>13464.94</v>
      </c>
      <c r="F624" s="2">
        <v>120014.02</v>
      </c>
      <c r="G624" t="s">
        <v>719</v>
      </c>
      <c r="H624" s="7">
        <f t="shared" si="69"/>
        <v>0</v>
      </c>
      <c r="I624" s="1">
        <f t="shared" si="63"/>
        <v>45202</v>
      </c>
      <c r="J624" s="1" t="str">
        <f t="shared" si="64"/>
        <v>NET PO FROM HSL A/C 347707-50200085415108</v>
      </c>
      <c r="L624" s="7">
        <f t="shared" si="65"/>
        <v>0</v>
      </c>
      <c r="M624" s="7">
        <f t="shared" si="66"/>
        <v>13464.94</v>
      </c>
      <c r="N624" s="7">
        <f t="shared" si="67"/>
        <v>120014.02</v>
      </c>
      <c r="O624" s="7" t="str">
        <f t="shared" si="68"/>
        <v>HDFC 5930</v>
      </c>
    </row>
    <row r="625" spans="1:15" x14ac:dyDescent="0.25">
      <c r="A625" s="1">
        <v>45202</v>
      </c>
      <c r="B625" t="s">
        <v>618</v>
      </c>
      <c r="C625" s="1">
        <v>45202</v>
      </c>
      <c r="D625" s="2">
        <v>0</v>
      </c>
      <c r="E625" s="2">
        <v>19541.150000000001</v>
      </c>
      <c r="F625" s="2">
        <v>139555.17000000001</v>
      </c>
      <c r="G625" t="s">
        <v>719</v>
      </c>
      <c r="H625" s="7">
        <f t="shared" si="69"/>
        <v>0</v>
      </c>
      <c r="I625" s="1">
        <f t="shared" si="63"/>
        <v>45202</v>
      </c>
      <c r="J625" s="1" t="str">
        <f t="shared" si="64"/>
        <v>NET PO FROM HSL A/C 347707-50200085415108</v>
      </c>
      <c r="L625" s="7">
        <f t="shared" si="65"/>
        <v>0</v>
      </c>
      <c r="M625" s="7">
        <f t="shared" si="66"/>
        <v>19541.150000000001</v>
      </c>
      <c r="N625" s="7">
        <f t="shared" si="67"/>
        <v>139555.17000000001</v>
      </c>
      <c r="O625" s="7" t="str">
        <f t="shared" si="68"/>
        <v>HDFC 5930</v>
      </c>
    </row>
    <row r="626" spans="1:15" x14ac:dyDescent="0.25">
      <c r="A626" s="1">
        <v>45203</v>
      </c>
      <c r="B626" t="s">
        <v>472</v>
      </c>
      <c r="C626" s="1">
        <v>45203</v>
      </c>
      <c r="D626" s="2">
        <v>52206.41</v>
      </c>
      <c r="E626" s="2">
        <v>0</v>
      </c>
      <c r="F626" s="2">
        <v>87348.76</v>
      </c>
      <c r="G626" t="s">
        <v>719</v>
      </c>
      <c r="H626" s="7">
        <f t="shared" si="69"/>
        <v>0</v>
      </c>
      <c r="I626" s="1">
        <f t="shared" si="63"/>
        <v>45203</v>
      </c>
      <c r="J626" s="1" t="str">
        <f t="shared" si="64"/>
        <v>NET PI TO HSL SEC A/C 347707-00602340029392</v>
      </c>
      <c r="L626" s="7">
        <f t="shared" si="65"/>
        <v>52206.41</v>
      </c>
      <c r="M626" s="7">
        <f t="shared" si="66"/>
        <v>0</v>
      </c>
      <c r="N626" s="7">
        <f t="shared" si="67"/>
        <v>87348.76</v>
      </c>
      <c r="O626" s="7" t="str">
        <f t="shared" si="68"/>
        <v>HDFC 5930</v>
      </c>
    </row>
    <row r="627" spans="1:15" x14ac:dyDescent="0.25">
      <c r="A627" s="1">
        <v>45203</v>
      </c>
      <c r="B627" t="s">
        <v>618</v>
      </c>
      <c r="C627" s="1">
        <v>45203</v>
      </c>
      <c r="D627" s="2">
        <v>0</v>
      </c>
      <c r="E627" s="2">
        <v>56306</v>
      </c>
      <c r="F627" s="2">
        <v>143654.76</v>
      </c>
      <c r="G627" t="s">
        <v>719</v>
      </c>
      <c r="H627" s="7">
        <f t="shared" si="69"/>
        <v>0</v>
      </c>
      <c r="I627" s="1">
        <f t="shared" si="63"/>
        <v>45203</v>
      </c>
      <c r="J627" s="1" t="str">
        <f t="shared" si="64"/>
        <v>NET PO FROM HSL A/C 347707-50200085415108</v>
      </c>
      <c r="L627" s="7">
        <f t="shared" si="65"/>
        <v>0</v>
      </c>
      <c r="M627" s="7">
        <f t="shared" si="66"/>
        <v>56306</v>
      </c>
      <c r="N627" s="7">
        <f t="shared" si="67"/>
        <v>143654.76</v>
      </c>
      <c r="O627" s="7" t="str">
        <f t="shared" si="68"/>
        <v>HDFC 5930</v>
      </c>
    </row>
    <row r="628" spans="1:15" x14ac:dyDescent="0.25">
      <c r="A628" s="1">
        <v>45203</v>
      </c>
      <c r="B628" t="s">
        <v>472</v>
      </c>
      <c r="C628" s="1">
        <v>45203</v>
      </c>
      <c r="D628" s="2">
        <v>176.75</v>
      </c>
      <c r="E628" s="2">
        <v>0</v>
      </c>
      <c r="F628" s="2">
        <v>143478.01</v>
      </c>
      <c r="G628" t="s">
        <v>719</v>
      </c>
      <c r="H628" s="7">
        <f t="shared" si="69"/>
        <v>0</v>
      </c>
      <c r="I628" s="1">
        <f t="shared" si="63"/>
        <v>45203</v>
      </c>
      <c r="J628" s="1" t="str">
        <f t="shared" si="64"/>
        <v>NET PI TO HSL SEC A/C 347707-00602340029392</v>
      </c>
      <c r="L628" s="7">
        <f t="shared" si="65"/>
        <v>176.75</v>
      </c>
      <c r="M628" s="7">
        <f t="shared" si="66"/>
        <v>0</v>
      </c>
      <c r="N628" s="7">
        <f t="shared" si="67"/>
        <v>143478.01</v>
      </c>
      <c r="O628" s="7" t="str">
        <f t="shared" si="68"/>
        <v>HDFC 5930</v>
      </c>
    </row>
    <row r="629" spans="1:15" x14ac:dyDescent="0.25">
      <c r="A629" s="1">
        <v>45203</v>
      </c>
      <c r="B629" t="s">
        <v>657</v>
      </c>
      <c r="C629" s="1">
        <v>45203</v>
      </c>
      <c r="D629" s="2">
        <v>0</v>
      </c>
      <c r="E629" s="2">
        <v>2694</v>
      </c>
      <c r="F629" s="2">
        <v>146172.01</v>
      </c>
      <c r="G629" t="s">
        <v>719</v>
      </c>
      <c r="H629" s="7">
        <f t="shared" si="69"/>
        <v>0</v>
      </c>
      <c r="I629" s="1">
        <f t="shared" si="63"/>
        <v>45203</v>
      </c>
      <c r="J629" s="1" t="str">
        <f t="shared" si="64"/>
        <v>ACH C- JRAL FIN DIV 2022 23-11431</v>
      </c>
      <c r="L629" s="7">
        <f t="shared" si="65"/>
        <v>0</v>
      </c>
      <c r="M629" s="7">
        <f t="shared" si="66"/>
        <v>2694</v>
      </c>
      <c r="N629" s="7">
        <f t="shared" si="67"/>
        <v>146172.01</v>
      </c>
      <c r="O629" s="7" t="str">
        <f t="shared" si="68"/>
        <v>HDFC 5930</v>
      </c>
    </row>
    <row r="630" spans="1:15" x14ac:dyDescent="0.25">
      <c r="A630" s="1">
        <v>45203</v>
      </c>
      <c r="B630" t="s">
        <v>472</v>
      </c>
      <c r="C630" s="1">
        <v>45203</v>
      </c>
      <c r="D630" s="2">
        <v>8123.31</v>
      </c>
      <c r="E630" s="2">
        <v>0</v>
      </c>
      <c r="F630" s="2">
        <v>138048.70000000001</v>
      </c>
      <c r="G630" t="s">
        <v>719</v>
      </c>
      <c r="H630" s="7">
        <f t="shared" si="69"/>
        <v>0</v>
      </c>
      <c r="I630" s="1">
        <f t="shared" si="63"/>
        <v>45203</v>
      </c>
      <c r="J630" s="1" t="str">
        <f t="shared" si="64"/>
        <v>NET PI TO HSL SEC A/C 347707-00602340029392</v>
      </c>
      <c r="L630" s="7">
        <f t="shared" si="65"/>
        <v>8123.31</v>
      </c>
      <c r="M630" s="7">
        <f t="shared" si="66"/>
        <v>0</v>
      </c>
      <c r="N630" s="7">
        <f t="shared" si="67"/>
        <v>138048.70000000001</v>
      </c>
      <c r="O630" s="7" t="str">
        <f t="shared" si="68"/>
        <v>HDFC 5930</v>
      </c>
    </row>
    <row r="631" spans="1:15" x14ac:dyDescent="0.25">
      <c r="A631" s="1">
        <v>45203</v>
      </c>
      <c r="B631" t="s">
        <v>472</v>
      </c>
      <c r="C631" s="1">
        <v>45203</v>
      </c>
      <c r="D631" s="2">
        <v>48808.14</v>
      </c>
      <c r="E631" s="2">
        <v>0</v>
      </c>
      <c r="F631" s="2">
        <v>89240.56</v>
      </c>
      <c r="G631" t="s">
        <v>719</v>
      </c>
      <c r="H631" s="7">
        <f t="shared" si="69"/>
        <v>0</v>
      </c>
      <c r="I631" s="1">
        <f t="shared" si="63"/>
        <v>45203</v>
      </c>
      <c r="J631" s="1" t="str">
        <f t="shared" si="64"/>
        <v>NET PI TO HSL SEC A/C 347707-00602340029392</v>
      </c>
      <c r="L631" s="7">
        <f t="shared" si="65"/>
        <v>48808.14</v>
      </c>
      <c r="M631" s="7">
        <f t="shared" si="66"/>
        <v>0</v>
      </c>
      <c r="N631" s="7">
        <f t="shared" si="67"/>
        <v>89240.56</v>
      </c>
      <c r="O631" s="7" t="str">
        <f t="shared" si="68"/>
        <v>HDFC 5930</v>
      </c>
    </row>
    <row r="632" spans="1:15" x14ac:dyDescent="0.25">
      <c r="A632" s="1">
        <v>45204</v>
      </c>
      <c r="B632" t="s">
        <v>472</v>
      </c>
      <c r="C632" s="1">
        <v>45204</v>
      </c>
      <c r="D632" s="2">
        <v>152.68</v>
      </c>
      <c r="E632" s="2">
        <v>0</v>
      </c>
      <c r="F632" s="2">
        <v>89087.88</v>
      </c>
      <c r="G632" t="s">
        <v>719</v>
      </c>
      <c r="H632" s="7">
        <f t="shared" si="69"/>
        <v>0</v>
      </c>
      <c r="I632" s="1">
        <f t="shared" si="63"/>
        <v>45204</v>
      </c>
      <c r="J632" s="1" t="str">
        <f t="shared" si="64"/>
        <v>NET PI TO HSL SEC A/C 347707-00602340029392</v>
      </c>
      <c r="L632" s="7">
        <f t="shared" si="65"/>
        <v>152.68</v>
      </c>
      <c r="M632" s="7">
        <f t="shared" si="66"/>
        <v>0</v>
      </c>
      <c r="N632" s="7">
        <f t="shared" si="67"/>
        <v>89087.88</v>
      </c>
      <c r="O632" s="7" t="str">
        <f t="shared" si="68"/>
        <v>HDFC 5930</v>
      </c>
    </row>
    <row r="633" spans="1:15" x14ac:dyDescent="0.25">
      <c r="A633" s="1">
        <v>45204</v>
      </c>
      <c r="B633" t="s">
        <v>658</v>
      </c>
      <c r="C633" s="1">
        <v>45204</v>
      </c>
      <c r="D633" s="2">
        <v>0</v>
      </c>
      <c r="E633" s="2">
        <v>20</v>
      </c>
      <c r="F633" s="2">
        <v>89107.88</v>
      </c>
      <c r="G633" t="s">
        <v>719</v>
      </c>
      <c r="H633" s="7">
        <f t="shared" si="69"/>
        <v>0</v>
      </c>
      <c r="I633" s="1">
        <f t="shared" si="63"/>
        <v>45204</v>
      </c>
      <c r="J633" s="1" t="str">
        <f t="shared" si="64"/>
        <v>ACH C- HINDUJA GLOBAL SOLUT-4015717</v>
      </c>
      <c r="L633" s="7">
        <f t="shared" si="65"/>
        <v>0</v>
      </c>
      <c r="M633" s="7">
        <f t="shared" si="66"/>
        <v>20</v>
      </c>
      <c r="N633" s="7">
        <f t="shared" si="67"/>
        <v>89107.88</v>
      </c>
      <c r="O633" s="7" t="str">
        <f t="shared" si="68"/>
        <v>HDFC 5930</v>
      </c>
    </row>
    <row r="634" spans="1:15" x14ac:dyDescent="0.25">
      <c r="A634" s="1">
        <v>45204</v>
      </c>
      <c r="B634" t="s">
        <v>472</v>
      </c>
      <c r="C634" s="1">
        <v>45204</v>
      </c>
      <c r="D634" s="2">
        <v>170.27</v>
      </c>
      <c r="E634" s="2">
        <v>0</v>
      </c>
      <c r="F634" s="2">
        <v>88937.61</v>
      </c>
      <c r="G634" t="s">
        <v>719</v>
      </c>
      <c r="H634" s="7">
        <f t="shared" si="69"/>
        <v>0</v>
      </c>
      <c r="I634" s="1">
        <f t="shared" si="63"/>
        <v>45204</v>
      </c>
      <c r="J634" s="1" t="str">
        <f t="shared" si="64"/>
        <v>NET PI TO HSL SEC A/C 347707-00602340029392</v>
      </c>
      <c r="L634" s="7">
        <f t="shared" si="65"/>
        <v>170.27</v>
      </c>
      <c r="M634" s="7">
        <f t="shared" si="66"/>
        <v>0</v>
      </c>
      <c r="N634" s="7">
        <f t="shared" si="67"/>
        <v>88937.61</v>
      </c>
      <c r="O634" s="7" t="str">
        <f t="shared" si="68"/>
        <v>HDFC 5930</v>
      </c>
    </row>
    <row r="635" spans="1:15" x14ac:dyDescent="0.25">
      <c r="A635" s="1">
        <v>45205</v>
      </c>
      <c r="B635" t="s">
        <v>618</v>
      </c>
      <c r="C635" s="1">
        <v>45205</v>
      </c>
      <c r="D635" s="2">
        <v>0</v>
      </c>
      <c r="E635" s="2">
        <v>30492.39</v>
      </c>
      <c r="F635" s="2">
        <v>119430</v>
      </c>
      <c r="G635" t="s">
        <v>719</v>
      </c>
      <c r="H635" s="7">
        <f t="shared" si="69"/>
        <v>0</v>
      </c>
      <c r="I635" s="1">
        <f t="shared" si="63"/>
        <v>45205</v>
      </c>
      <c r="J635" s="1" t="str">
        <f t="shared" si="64"/>
        <v>NET PO FROM HSL A/C 347707-50200085415108</v>
      </c>
      <c r="L635" s="7">
        <f t="shared" si="65"/>
        <v>0</v>
      </c>
      <c r="M635" s="7">
        <f t="shared" si="66"/>
        <v>30492.39</v>
      </c>
      <c r="N635" s="7">
        <f t="shared" si="67"/>
        <v>119430</v>
      </c>
      <c r="O635" s="7" t="str">
        <f t="shared" si="68"/>
        <v>HDFC 5930</v>
      </c>
    </row>
    <row r="636" spans="1:15" x14ac:dyDescent="0.25">
      <c r="A636" s="1">
        <v>45205</v>
      </c>
      <c r="B636" t="s">
        <v>472</v>
      </c>
      <c r="C636" s="1">
        <v>45205</v>
      </c>
      <c r="D636" s="2">
        <v>160.56</v>
      </c>
      <c r="E636" s="2">
        <v>0</v>
      </c>
      <c r="F636" s="2">
        <v>119269.44</v>
      </c>
      <c r="G636" t="s">
        <v>719</v>
      </c>
      <c r="H636" s="7">
        <f t="shared" si="69"/>
        <v>0</v>
      </c>
      <c r="I636" s="1">
        <f t="shared" si="63"/>
        <v>45205</v>
      </c>
      <c r="J636" s="1" t="str">
        <f t="shared" si="64"/>
        <v>NET PI TO HSL SEC A/C 347707-00602340029392</v>
      </c>
      <c r="L636" s="7">
        <f t="shared" si="65"/>
        <v>160.56</v>
      </c>
      <c r="M636" s="7">
        <f t="shared" si="66"/>
        <v>0</v>
      </c>
      <c r="N636" s="7">
        <f t="shared" si="67"/>
        <v>119269.44</v>
      </c>
      <c r="O636" s="7" t="str">
        <f t="shared" si="68"/>
        <v>HDFC 5930</v>
      </c>
    </row>
    <row r="637" spans="1:15" x14ac:dyDescent="0.25">
      <c r="A637" s="1">
        <v>45205</v>
      </c>
      <c r="B637" t="s">
        <v>472</v>
      </c>
      <c r="C637" s="1">
        <v>45205</v>
      </c>
      <c r="D637" s="2">
        <v>16477.41</v>
      </c>
      <c r="E637" s="2">
        <v>0</v>
      </c>
      <c r="F637" s="2">
        <v>102792.03</v>
      </c>
      <c r="G637" t="s">
        <v>719</v>
      </c>
      <c r="H637" s="7">
        <f t="shared" si="69"/>
        <v>0</v>
      </c>
      <c r="I637" s="1">
        <f t="shared" si="63"/>
        <v>45205</v>
      </c>
      <c r="J637" s="1" t="str">
        <f t="shared" si="64"/>
        <v>NET PI TO HSL SEC A/C 347707-00602340029392</v>
      </c>
      <c r="L637" s="7">
        <f t="shared" si="65"/>
        <v>16477.41</v>
      </c>
      <c r="M637" s="7">
        <f t="shared" si="66"/>
        <v>0</v>
      </c>
      <c r="N637" s="7">
        <f t="shared" si="67"/>
        <v>102792.03</v>
      </c>
      <c r="O637" s="7" t="str">
        <f t="shared" si="68"/>
        <v>HDFC 5930</v>
      </c>
    </row>
    <row r="638" spans="1:15" x14ac:dyDescent="0.25">
      <c r="A638" s="1">
        <v>45208</v>
      </c>
      <c r="B638" t="s">
        <v>618</v>
      </c>
      <c r="C638" s="1">
        <v>45208</v>
      </c>
      <c r="D638" s="2">
        <v>0</v>
      </c>
      <c r="E638" s="2">
        <v>20410.2</v>
      </c>
      <c r="F638" s="2">
        <v>123202.23</v>
      </c>
      <c r="G638" t="s">
        <v>719</v>
      </c>
      <c r="H638" s="7">
        <f t="shared" si="69"/>
        <v>0</v>
      </c>
      <c r="I638" s="1">
        <f t="shared" si="63"/>
        <v>45208</v>
      </c>
      <c r="J638" s="1" t="str">
        <f t="shared" si="64"/>
        <v>NET PO FROM HSL A/C 347707-50200085415108</v>
      </c>
      <c r="L638" s="7">
        <f t="shared" si="65"/>
        <v>0</v>
      </c>
      <c r="M638" s="7">
        <f t="shared" si="66"/>
        <v>20410.2</v>
      </c>
      <c r="N638" s="7">
        <f t="shared" si="67"/>
        <v>123202.23</v>
      </c>
      <c r="O638" s="7" t="str">
        <f t="shared" si="68"/>
        <v>HDFC 5930</v>
      </c>
    </row>
    <row r="639" spans="1:15" x14ac:dyDescent="0.25">
      <c r="A639" s="1">
        <v>45208</v>
      </c>
      <c r="B639" t="s">
        <v>480</v>
      </c>
      <c r="C639" s="1">
        <v>45208</v>
      </c>
      <c r="D639" s="2">
        <v>3000</v>
      </c>
      <c r="E639" s="2">
        <v>0</v>
      </c>
      <c r="F639" s="2">
        <v>120202.23</v>
      </c>
      <c r="G639" t="s">
        <v>719</v>
      </c>
      <c r="H639" s="7">
        <f t="shared" si="69"/>
        <v>0</v>
      </c>
      <c r="I639" s="1">
        <f t="shared" si="63"/>
        <v>45208</v>
      </c>
      <c r="J639" s="1" t="str">
        <f t="shared" si="64"/>
        <v>NET PAYIN TO BSE MF A/C -57500000389146- FROM A/C -01671000085930- UCC -347707-57500000389146</v>
      </c>
      <c r="L639" s="7">
        <f t="shared" si="65"/>
        <v>3000</v>
      </c>
      <c r="M639" s="7">
        <f t="shared" si="66"/>
        <v>0</v>
      </c>
      <c r="N639" s="7">
        <f t="shared" si="67"/>
        <v>120202.23</v>
      </c>
      <c r="O639" s="7" t="str">
        <f t="shared" si="68"/>
        <v>HDFC 5930</v>
      </c>
    </row>
    <row r="640" spans="1:15" x14ac:dyDescent="0.25">
      <c r="A640" s="1">
        <v>45208</v>
      </c>
      <c r="B640" t="s">
        <v>472</v>
      </c>
      <c r="C640" s="1">
        <v>45208</v>
      </c>
      <c r="D640" s="2">
        <v>457.32</v>
      </c>
      <c r="E640" s="2">
        <v>0</v>
      </c>
      <c r="F640" s="2">
        <v>119744.91</v>
      </c>
      <c r="G640" t="s">
        <v>719</v>
      </c>
      <c r="H640" s="7">
        <f t="shared" si="69"/>
        <v>0</v>
      </c>
      <c r="I640" s="1">
        <f t="shared" si="63"/>
        <v>45208</v>
      </c>
      <c r="J640" s="1" t="str">
        <f t="shared" si="64"/>
        <v>NET PI TO HSL SEC A/C 347707-00602340029392</v>
      </c>
      <c r="L640" s="7">
        <f t="shared" si="65"/>
        <v>457.32</v>
      </c>
      <c r="M640" s="7">
        <f t="shared" si="66"/>
        <v>0</v>
      </c>
      <c r="N640" s="7">
        <f t="shared" si="67"/>
        <v>119744.91</v>
      </c>
      <c r="O640" s="7" t="str">
        <f t="shared" si="68"/>
        <v>HDFC 5930</v>
      </c>
    </row>
    <row r="641" spans="1:15" x14ac:dyDescent="0.25">
      <c r="A641" s="1">
        <v>45208</v>
      </c>
      <c r="B641" t="s">
        <v>472</v>
      </c>
      <c r="C641" s="1">
        <v>45208</v>
      </c>
      <c r="D641" s="2">
        <v>25213.45</v>
      </c>
      <c r="E641" s="2">
        <v>0</v>
      </c>
      <c r="F641" s="2">
        <v>94531.46</v>
      </c>
      <c r="G641" t="s">
        <v>719</v>
      </c>
      <c r="H641" s="7">
        <f t="shared" si="69"/>
        <v>0</v>
      </c>
      <c r="I641" s="1">
        <f t="shared" si="63"/>
        <v>45208</v>
      </c>
      <c r="J641" s="1" t="str">
        <f t="shared" si="64"/>
        <v>NET PI TO HSL SEC A/C 347707-00602340029392</v>
      </c>
      <c r="L641" s="7">
        <f t="shared" si="65"/>
        <v>25213.45</v>
      </c>
      <c r="M641" s="7">
        <f t="shared" si="66"/>
        <v>0</v>
      </c>
      <c r="N641" s="7">
        <f t="shared" si="67"/>
        <v>94531.46</v>
      </c>
      <c r="O641" s="7" t="str">
        <f t="shared" si="68"/>
        <v>HDFC 5930</v>
      </c>
    </row>
    <row r="642" spans="1:15" x14ac:dyDescent="0.25">
      <c r="A642" s="1">
        <v>45208</v>
      </c>
      <c r="B642" t="s">
        <v>472</v>
      </c>
      <c r="C642" s="1">
        <v>45208</v>
      </c>
      <c r="D642" s="2">
        <v>1049.1099999999999</v>
      </c>
      <c r="E642" s="2">
        <v>0</v>
      </c>
      <c r="F642" s="2">
        <v>93482.35</v>
      </c>
      <c r="G642" t="s">
        <v>719</v>
      </c>
      <c r="H642" s="7">
        <f t="shared" si="69"/>
        <v>0</v>
      </c>
      <c r="I642" s="1">
        <f t="shared" si="63"/>
        <v>45208</v>
      </c>
      <c r="J642" s="1" t="str">
        <f t="shared" si="64"/>
        <v>NET PI TO HSL SEC A/C 347707-00602340029392</v>
      </c>
      <c r="L642" s="7">
        <f t="shared" si="65"/>
        <v>1049.1099999999999</v>
      </c>
      <c r="M642" s="7">
        <f t="shared" si="66"/>
        <v>0</v>
      </c>
      <c r="N642" s="7">
        <f t="shared" si="67"/>
        <v>93482.35</v>
      </c>
      <c r="O642" s="7" t="str">
        <f t="shared" si="68"/>
        <v>HDFC 5930</v>
      </c>
    </row>
    <row r="643" spans="1:15" x14ac:dyDescent="0.25">
      <c r="A643" s="1">
        <v>45209</v>
      </c>
      <c r="B643" t="s">
        <v>480</v>
      </c>
      <c r="C643" s="1">
        <v>45209</v>
      </c>
      <c r="D643" s="2">
        <v>3000</v>
      </c>
      <c r="E643" s="2">
        <v>0</v>
      </c>
      <c r="F643" s="2">
        <v>90482.35</v>
      </c>
      <c r="G643" t="s">
        <v>719</v>
      </c>
      <c r="H643" s="7">
        <f t="shared" si="69"/>
        <v>0</v>
      </c>
      <c r="I643" s="1">
        <f t="shared" si="63"/>
        <v>45209</v>
      </c>
      <c r="J643" s="1" t="str">
        <f t="shared" si="64"/>
        <v>NET PAYIN TO BSE MF A/C -57500000389146- FROM A/C -01671000085930- UCC -347707-57500000389146</v>
      </c>
      <c r="L643" s="7">
        <f t="shared" si="65"/>
        <v>3000</v>
      </c>
      <c r="M643" s="7">
        <f t="shared" si="66"/>
        <v>0</v>
      </c>
      <c r="N643" s="7">
        <f t="shared" si="67"/>
        <v>90482.35</v>
      </c>
      <c r="O643" s="7" t="str">
        <f t="shared" si="68"/>
        <v>HDFC 5930</v>
      </c>
    </row>
    <row r="644" spans="1:15" x14ac:dyDescent="0.25">
      <c r="A644" s="1">
        <v>45209</v>
      </c>
      <c r="B644" t="s">
        <v>480</v>
      </c>
      <c r="C644" s="1">
        <v>45209</v>
      </c>
      <c r="D644" s="2">
        <v>5000</v>
      </c>
      <c r="E644" s="2">
        <v>0</v>
      </c>
      <c r="F644" s="2">
        <v>85482.35</v>
      </c>
      <c r="G644" t="s">
        <v>719</v>
      </c>
      <c r="H644" s="7">
        <f t="shared" si="69"/>
        <v>0</v>
      </c>
      <c r="I644" s="1">
        <f t="shared" si="63"/>
        <v>45209</v>
      </c>
      <c r="J644" s="1" t="str">
        <f t="shared" si="64"/>
        <v>NET PAYIN TO BSE MF A/C -57500000389146- FROM A/C -01671000085930- UCC -347707-57500000389146</v>
      </c>
      <c r="L644" s="7">
        <f t="shared" si="65"/>
        <v>5000</v>
      </c>
      <c r="M644" s="7">
        <f t="shared" si="66"/>
        <v>0</v>
      </c>
      <c r="N644" s="7">
        <f t="shared" si="67"/>
        <v>85482.35</v>
      </c>
      <c r="O644" s="7" t="str">
        <f t="shared" si="68"/>
        <v>HDFC 5930</v>
      </c>
    </row>
    <row r="645" spans="1:15" x14ac:dyDescent="0.25">
      <c r="A645" s="1">
        <v>45209</v>
      </c>
      <c r="B645" t="s">
        <v>472</v>
      </c>
      <c r="C645" s="1">
        <v>45209</v>
      </c>
      <c r="D645" s="2">
        <v>151.91999999999999</v>
      </c>
      <c r="E645" s="2">
        <v>0</v>
      </c>
      <c r="F645" s="2">
        <v>85330.43</v>
      </c>
      <c r="G645" t="s">
        <v>719</v>
      </c>
      <c r="H645" s="7">
        <f t="shared" si="69"/>
        <v>0</v>
      </c>
      <c r="I645" s="1">
        <f t="shared" si="63"/>
        <v>45209</v>
      </c>
      <c r="J645" s="1" t="str">
        <f t="shared" si="64"/>
        <v>NET PI TO HSL SEC A/C 347707-00602340029392</v>
      </c>
      <c r="L645" s="7">
        <f t="shared" si="65"/>
        <v>151.91999999999999</v>
      </c>
      <c r="M645" s="7">
        <f t="shared" si="66"/>
        <v>0</v>
      </c>
      <c r="N645" s="7">
        <f t="shared" si="67"/>
        <v>85330.43</v>
      </c>
      <c r="O645" s="7" t="str">
        <f t="shared" si="68"/>
        <v>HDFC 5930</v>
      </c>
    </row>
    <row r="646" spans="1:15" x14ac:dyDescent="0.25">
      <c r="A646" s="1">
        <v>45210</v>
      </c>
      <c r="B646" t="s">
        <v>618</v>
      </c>
      <c r="C646" s="1">
        <v>45210</v>
      </c>
      <c r="D646" s="2">
        <v>0</v>
      </c>
      <c r="E646" s="2">
        <v>581.45000000000005</v>
      </c>
      <c r="F646" s="2">
        <v>85911.88</v>
      </c>
      <c r="G646" t="s">
        <v>719</v>
      </c>
      <c r="H646" s="7">
        <f t="shared" si="69"/>
        <v>0</v>
      </c>
      <c r="I646" s="1">
        <f t="shared" si="63"/>
        <v>45210</v>
      </c>
      <c r="J646" s="1" t="str">
        <f t="shared" si="64"/>
        <v>NET PO FROM HSL A/C 347707-50200085415108</v>
      </c>
      <c r="L646" s="7">
        <f t="shared" si="65"/>
        <v>0</v>
      </c>
      <c r="M646" s="7">
        <f t="shared" si="66"/>
        <v>581.45000000000005</v>
      </c>
      <c r="N646" s="7">
        <f t="shared" si="67"/>
        <v>85911.88</v>
      </c>
      <c r="O646" s="7" t="str">
        <f t="shared" si="68"/>
        <v>HDFC 5930</v>
      </c>
    </row>
    <row r="647" spans="1:15" x14ac:dyDescent="0.25">
      <c r="A647" s="1">
        <v>45210</v>
      </c>
      <c r="B647" t="s">
        <v>472</v>
      </c>
      <c r="C647" s="1">
        <v>45210</v>
      </c>
      <c r="D647" s="2">
        <v>151.91999999999999</v>
      </c>
      <c r="E647" s="2">
        <v>0</v>
      </c>
      <c r="F647" s="2">
        <v>85759.96</v>
      </c>
      <c r="G647" t="s">
        <v>719</v>
      </c>
      <c r="H647" s="7">
        <f t="shared" si="69"/>
        <v>0</v>
      </c>
      <c r="I647" s="1">
        <f t="shared" si="63"/>
        <v>45210</v>
      </c>
      <c r="J647" s="1" t="str">
        <f t="shared" si="64"/>
        <v>NET PI TO HSL SEC A/C 347707-00602340029392</v>
      </c>
      <c r="L647" s="7">
        <f t="shared" si="65"/>
        <v>151.91999999999999</v>
      </c>
      <c r="M647" s="7">
        <f t="shared" si="66"/>
        <v>0</v>
      </c>
      <c r="N647" s="7">
        <f t="shared" si="67"/>
        <v>85759.96</v>
      </c>
      <c r="O647" s="7" t="str">
        <f t="shared" si="68"/>
        <v>HDFC 5930</v>
      </c>
    </row>
    <row r="648" spans="1:15" x14ac:dyDescent="0.25">
      <c r="A648" s="1">
        <v>45210</v>
      </c>
      <c r="B648" t="s">
        <v>472</v>
      </c>
      <c r="C648" s="1">
        <v>45210</v>
      </c>
      <c r="D648" s="2">
        <v>24233.34</v>
      </c>
      <c r="E648" s="2">
        <v>0</v>
      </c>
      <c r="F648" s="2">
        <v>61526.62</v>
      </c>
      <c r="G648" t="s">
        <v>719</v>
      </c>
      <c r="H648" s="7">
        <f t="shared" si="69"/>
        <v>0</v>
      </c>
      <c r="I648" s="1">
        <f t="shared" si="63"/>
        <v>45210</v>
      </c>
      <c r="J648" s="1" t="str">
        <f t="shared" si="64"/>
        <v>NET PI TO HSL SEC A/C 347707-00602340029392</v>
      </c>
      <c r="L648" s="7">
        <f t="shared" si="65"/>
        <v>24233.34</v>
      </c>
      <c r="M648" s="7">
        <f t="shared" si="66"/>
        <v>0</v>
      </c>
      <c r="N648" s="7">
        <f t="shared" si="67"/>
        <v>61526.62</v>
      </c>
      <c r="O648" s="7" t="str">
        <f t="shared" si="68"/>
        <v>HDFC 5930</v>
      </c>
    </row>
    <row r="649" spans="1:15" x14ac:dyDescent="0.25">
      <c r="A649" s="1">
        <v>45211</v>
      </c>
      <c r="B649" t="s">
        <v>472</v>
      </c>
      <c r="C649" s="1">
        <v>45211</v>
      </c>
      <c r="D649" s="2">
        <v>140.26</v>
      </c>
      <c r="E649" s="2">
        <v>0</v>
      </c>
      <c r="F649" s="2">
        <v>61386.36</v>
      </c>
      <c r="G649" t="s">
        <v>719</v>
      </c>
      <c r="H649" s="7">
        <f t="shared" si="69"/>
        <v>0</v>
      </c>
      <c r="I649" s="1">
        <f t="shared" si="63"/>
        <v>45211</v>
      </c>
      <c r="J649" s="1" t="str">
        <f t="shared" si="64"/>
        <v>NET PI TO HSL SEC A/C 347707-00602340029392</v>
      </c>
      <c r="L649" s="7">
        <f t="shared" si="65"/>
        <v>140.26</v>
      </c>
      <c r="M649" s="7">
        <f t="shared" si="66"/>
        <v>0</v>
      </c>
      <c r="N649" s="7">
        <f t="shared" si="67"/>
        <v>61386.36</v>
      </c>
      <c r="O649" s="7" t="str">
        <f t="shared" si="68"/>
        <v>HDFC 5930</v>
      </c>
    </row>
    <row r="650" spans="1:15" x14ac:dyDescent="0.25">
      <c r="A650" s="1">
        <v>45211</v>
      </c>
      <c r="B650" t="s">
        <v>659</v>
      </c>
      <c r="C650" s="1">
        <v>45211</v>
      </c>
      <c r="D650" s="2">
        <v>2360</v>
      </c>
      <c r="E650" s="2">
        <v>0</v>
      </c>
      <c r="F650" s="2">
        <v>59026.36</v>
      </c>
      <c r="G650" t="s">
        <v>719</v>
      </c>
      <c r="H650" s="7">
        <f t="shared" si="69"/>
        <v>0</v>
      </c>
      <c r="I650" s="1">
        <f t="shared" si="63"/>
        <v>45211</v>
      </c>
      <c r="J650" s="1" t="str">
        <f t="shared" si="64"/>
        <v>DEPOSITORY CHARGES SEP23 - 40227714</v>
      </c>
      <c r="L650" s="7">
        <f t="shared" si="65"/>
        <v>2360</v>
      </c>
      <c r="M650" s="7">
        <f t="shared" si="66"/>
        <v>0</v>
      </c>
      <c r="N650" s="7">
        <f t="shared" si="67"/>
        <v>59026.36</v>
      </c>
      <c r="O650" s="7" t="str">
        <f t="shared" si="68"/>
        <v>HDFC 5930</v>
      </c>
    </row>
    <row r="651" spans="1:15" x14ac:dyDescent="0.25">
      <c r="A651" s="1">
        <v>45211</v>
      </c>
      <c r="B651" t="s">
        <v>660</v>
      </c>
      <c r="C651" s="1">
        <v>45211</v>
      </c>
      <c r="D651" s="2">
        <v>0</v>
      </c>
      <c r="E651" s="2">
        <v>70</v>
      </c>
      <c r="F651" s="2">
        <v>59096.36</v>
      </c>
      <c r="G651" t="s">
        <v>719</v>
      </c>
      <c r="H651" s="7">
        <f t="shared" si="69"/>
        <v>0</v>
      </c>
      <c r="I651" s="1">
        <f t="shared" si="63"/>
        <v>45211</v>
      </c>
      <c r="J651" s="1" t="str">
        <f t="shared" si="64"/>
        <v>ACH C- POWER MECH PROJECTS-704947</v>
      </c>
      <c r="L651" s="7">
        <f t="shared" si="65"/>
        <v>0</v>
      </c>
      <c r="M651" s="7">
        <f t="shared" si="66"/>
        <v>70</v>
      </c>
      <c r="N651" s="7">
        <f t="shared" si="67"/>
        <v>59096.36</v>
      </c>
      <c r="O651" s="7" t="str">
        <f t="shared" si="68"/>
        <v>HDFC 5930</v>
      </c>
    </row>
    <row r="652" spans="1:15" x14ac:dyDescent="0.25">
      <c r="A652" s="1">
        <v>45211</v>
      </c>
      <c r="B652" t="s">
        <v>472</v>
      </c>
      <c r="C652" s="1">
        <v>45211</v>
      </c>
      <c r="D652" s="2">
        <v>5159.1099999999997</v>
      </c>
      <c r="E652" s="2">
        <v>0</v>
      </c>
      <c r="F652" s="2">
        <v>53937.25</v>
      </c>
      <c r="G652" t="s">
        <v>719</v>
      </c>
      <c r="H652" s="7">
        <f t="shared" si="69"/>
        <v>0</v>
      </c>
      <c r="I652" s="1">
        <f t="shared" si="63"/>
        <v>45211</v>
      </c>
      <c r="J652" s="1" t="str">
        <f t="shared" si="64"/>
        <v>NET PI TO HSL SEC A/C 347707-00602340029392</v>
      </c>
      <c r="L652" s="7">
        <f t="shared" si="65"/>
        <v>5159.1099999999997</v>
      </c>
      <c r="M652" s="7">
        <f t="shared" si="66"/>
        <v>0</v>
      </c>
      <c r="N652" s="7">
        <f t="shared" si="67"/>
        <v>53937.25</v>
      </c>
      <c r="O652" s="7" t="str">
        <f t="shared" si="68"/>
        <v>HDFC 5930</v>
      </c>
    </row>
    <row r="653" spans="1:15" x14ac:dyDescent="0.25">
      <c r="A653" s="1">
        <v>45212</v>
      </c>
      <c r="B653" t="s">
        <v>472</v>
      </c>
      <c r="C653" s="1">
        <v>45212</v>
      </c>
      <c r="D653" s="2">
        <v>141.16999999999999</v>
      </c>
      <c r="E653" s="2">
        <v>0</v>
      </c>
      <c r="F653" s="2">
        <v>53796.08</v>
      </c>
      <c r="G653" t="s">
        <v>719</v>
      </c>
      <c r="H653" s="7">
        <f t="shared" si="69"/>
        <v>0</v>
      </c>
      <c r="I653" s="1">
        <f t="shared" si="63"/>
        <v>45212</v>
      </c>
      <c r="J653" s="1" t="str">
        <f t="shared" si="64"/>
        <v>NET PI TO HSL SEC A/C 347707-00602340029392</v>
      </c>
      <c r="L653" s="7">
        <f t="shared" si="65"/>
        <v>141.16999999999999</v>
      </c>
      <c r="M653" s="7">
        <f t="shared" si="66"/>
        <v>0</v>
      </c>
      <c r="N653" s="7">
        <f t="shared" si="67"/>
        <v>53796.08</v>
      </c>
      <c r="O653" s="7" t="str">
        <f t="shared" si="68"/>
        <v>HDFC 5930</v>
      </c>
    </row>
    <row r="654" spans="1:15" x14ac:dyDescent="0.25">
      <c r="A654" s="1">
        <v>45215</v>
      </c>
      <c r="B654" t="s">
        <v>618</v>
      </c>
      <c r="C654" s="1">
        <v>45215</v>
      </c>
      <c r="D654" s="2">
        <v>0</v>
      </c>
      <c r="E654" s="2">
        <v>389.87</v>
      </c>
      <c r="F654" s="2">
        <v>54185.95</v>
      </c>
      <c r="G654" t="s">
        <v>719</v>
      </c>
      <c r="H654" s="7">
        <f t="shared" si="69"/>
        <v>0</v>
      </c>
      <c r="I654" s="1">
        <f t="shared" si="63"/>
        <v>45215</v>
      </c>
      <c r="J654" s="1" t="str">
        <f t="shared" si="64"/>
        <v>NET PO FROM HSL A/C 347707-50200085415108</v>
      </c>
      <c r="L654" s="7">
        <f t="shared" si="65"/>
        <v>0</v>
      </c>
      <c r="M654" s="7">
        <f t="shared" si="66"/>
        <v>389.87</v>
      </c>
      <c r="N654" s="7">
        <f t="shared" si="67"/>
        <v>54185.95</v>
      </c>
      <c r="O654" s="7" t="str">
        <f t="shared" si="68"/>
        <v>HDFC 5930</v>
      </c>
    </row>
    <row r="655" spans="1:15" x14ac:dyDescent="0.25">
      <c r="A655" s="1">
        <v>45215</v>
      </c>
      <c r="B655" t="s">
        <v>472</v>
      </c>
      <c r="C655" s="1">
        <v>45215</v>
      </c>
      <c r="D655" s="2">
        <v>449.4</v>
      </c>
      <c r="E655" s="2">
        <v>0</v>
      </c>
      <c r="F655" s="2">
        <v>53736.55</v>
      </c>
      <c r="G655" t="s">
        <v>719</v>
      </c>
      <c r="H655" s="7">
        <f t="shared" si="69"/>
        <v>0</v>
      </c>
      <c r="I655" s="1">
        <f t="shared" si="63"/>
        <v>45215</v>
      </c>
      <c r="J655" s="1" t="str">
        <f t="shared" si="64"/>
        <v>NET PI TO HSL SEC A/C 347707-00602340029392</v>
      </c>
      <c r="L655" s="7">
        <f t="shared" si="65"/>
        <v>449.4</v>
      </c>
      <c r="M655" s="7">
        <f t="shared" si="66"/>
        <v>0</v>
      </c>
      <c r="N655" s="7">
        <f t="shared" si="67"/>
        <v>53736.55</v>
      </c>
      <c r="O655" s="7" t="str">
        <f t="shared" si="68"/>
        <v>HDFC 5930</v>
      </c>
    </row>
    <row r="656" spans="1:15" x14ac:dyDescent="0.25">
      <c r="A656" s="1">
        <v>45215</v>
      </c>
      <c r="B656" t="s">
        <v>472</v>
      </c>
      <c r="C656" s="1">
        <v>45215</v>
      </c>
      <c r="D656" s="2">
        <v>1242.49</v>
      </c>
      <c r="E656" s="2">
        <v>0</v>
      </c>
      <c r="F656" s="2">
        <v>52494.06</v>
      </c>
      <c r="G656" t="s">
        <v>719</v>
      </c>
      <c r="H656" s="7">
        <f t="shared" si="69"/>
        <v>0</v>
      </c>
      <c r="I656" s="1">
        <f t="shared" si="63"/>
        <v>45215</v>
      </c>
      <c r="J656" s="1" t="str">
        <f t="shared" si="64"/>
        <v>NET PI TO HSL SEC A/C 347707-00602340029392</v>
      </c>
      <c r="L656" s="7">
        <f t="shared" si="65"/>
        <v>1242.49</v>
      </c>
      <c r="M656" s="7">
        <f t="shared" si="66"/>
        <v>0</v>
      </c>
      <c r="N656" s="7">
        <f t="shared" si="67"/>
        <v>52494.06</v>
      </c>
      <c r="O656" s="7" t="str">
        <f t="shared" si="68"/>
        <v>HDFC 5930</v>
      </c>
    </row>
    <row r="657" spans="1:15" x14ac:dyDescent="0.25">
      <c r="A657" s="1">
        <v>45216</v>
      </c>
      <c r="B657" t="s">
        <v>472</v>
      </c>
      <c r="C657" s="1">
        <v>45216</v>
      </c>
      <c r="D657" s="2">
        <v>149.38</v>
      </c>
      <c r="E657" s="2">
        <v>0</v>
      </c>
      <c r="F657" s="2">
        <v>52344.68</v>
      </c>
      <c r="G657" t="s">
        <v>719</v>
      </c>
      <c r="H657" s="7">
        <f t="shared" si="69"/>
        <v>0</v>
      </c>
      <c r="I657" s="1">
        <f t="shared" si="63"/>
        <v>45216</v>
      </c>
      <c r="J657" s="1" t="str">
        <f t="shared" si="64"/>
        <v>NET PI TO HSL SEC A/C 347707-00602340029392</v>
      </c>
      <c r="L657" s="7">
        <f t="shared" si="65"/>
        <v>149.38</v>
      </c>
      <c r="M657" s="7">
        <f t="shared" si="66"/>
        <v>0</v>
      </c>
      <c r="N657" s="7">
        <f t="shared" si="67"/>
        <v>52344.68</v>
      </c>
      <c r="O657" s="7" t="str">
        <f t="shared" si="68"/>
        <v>HDFC 5930</v>
      </c>
    </row>
    <row r="658" spans="1:15" x14ac:dyDescent="0.25">
      <c r="A658" s="1">
        <v>45217</v>
      </c>
      <c r="B658" t="s">
        <v>618</v>
      </c>
      <c r="C658" s="1">
        <v>45217</v>
      </c>
      <c r="D658" s="2">
        <v>0</v>
      </c>
      <c r="E658" s="2">
        <v>1064.57</v>
      </c>
      <c r="F658" s="2">
        <v>53409.25</v>
      </c>
      <c r="G658" t="s">
        <v>719</v>
      </c>
      <c r="H658" s="7">
        <f t="shared" si="69"/>
        <v>0</v>
      </c>
      <c r="I658" s="1">
        <f t="shared" ref="I658:I721" si="70">A658</f>
        <v>45217</v>
      </c>
      <c r="J658" s="1" t="str">
        <f t="shared" ref="J658:J721" si="71">B658</f>
        <v>NET PO FROM HSL A/C 347707-50200085415108</v>
      </c>
      <c r="L658" s="7">
        <f t="shared" ref="L658:L721" si="72">D658</f>
        <v>0</v>
      </c>
      <c r="M658" s="7">
        <f t="shared" ref="M658:M721" si="73">E658</f>
        <v>1064.57</v>
      </c>
      <c r="N658" s="7">
        <f t="shared" ref="N658:N721" si="74">F658</f>
        <v>53409.25</v>
      </c>
      <c r="O658" s="7" t="str">
        <f t="shared" ref="O658:O721" si="75">G658</f>
        <v>HDFC 5930</v>
      </c>
    </row>
    <row r="659" spans="1:15" x14ac:dyDescent="0.25">
      <c r="A659" s="1">
        <v>45217</v>
      </c>
      <c r="B659" t="s">
        <v>618</v>
      </c>
      <c r="C659" s="1">
        <v>45217</v>
      </c>
      <c r="D659" s="2">
        <v>0</v>
      </c>
      <c r="E659" s="2">
        <v>8783.18</v>
      </c>
      <c r="F659" s="2">
        <v>62192.43</v>
      </c>
      <c r="G659" t="s">
        <v>719</v>
      </c>
      <c r="H659" s="7">
        <f t="shared" ref="H659:H722" si="76">F658-D659+E659-F659</f>
        <v>0</v>
      </c>
      <c r="I659" s="1">
        <f t="shared" si="70"/>
        <v>45217</v>
      </c>
      <c r="J659" s="1" t="str">
        <f t="shared" si="71"/>
        <v>NET PO FROM HSL A/C 347707-50200085415108</v>
      </c>
      <c r="L659" s="7">
        <f t="shared" si="72"/>
        <v>0</v>
      </c>
      <c r="M659" s="7">
        <f t="shared" si="73"/>
        <v>8783.18</v>
      </c>
      <c r="N659" s="7">
        <f t="shared" si="74"/>
        <v>62192.43</v>
      </c>
      <c r="O659" s="7" t="str">
        <f t="shared" si="75"/>
        <v>HDFC 5930</v>
      </c>
    </row>
    <row r="660" spans="1:15" x14ac:dyDescent="0.25">
      <c r="A660" s="1">
        <v>45217</v>
      </c>
      <c r="B660" t="s">
        <v>472</v>
      </c>
      <c r="C660" s="1">
        <v>45217</v>
      </c>
      <c r="D660" s="2">
        <v>149.38</v>
      </c>
      <c r="E660" s="2">
        <v>0</v>
      </c>
      <c r="F660" s="2">
        <v>62043.05</v>
      </c>
      <c r="G660" t="s">
        <v>719</v>
      </c>
      <c r="H660" s="7">
        <f t="shared" si="76"/>
        <v>0</v>
      </c>
      <c r="I660" s="1">
        <f t="shared" si="70"/>
        <v>45217</v>
      </c>
      <c r="J660" s="1" t="str">
        <f t="shared" si="71"/>
        <v>NET PI TO HSL SEC A/C 347707-00602340029392</v>
      </c>
      <c r="L660" s="7">
        <f t="shared" si="72"/>
        <v>149.38</v>
      </c>
      <c r="M660" s="7">
        <f t="shared" si="73"/>
        <v>0</v>
      </c>
      <c r="N660" s="7">
        <f t="shared" si="74"/>
        <v>62043.05</v>
      </c>
      <c r="O660" s="7" t="str">
        <f t="shared" si="75"/>
        <v>HDFC 5930</v>
      </c>
    </row>
    <row r="661" spans="1:15" x14ac:dyDescent="0.25">
      <c r="A661" s="1">
        <v>45218</v>
      </c>
      <c r="B661" t="s">
        <v>618</v>
      </c>
      <c r="C661" s="1">
        <v>45218</v>
      </c>
      <c r="D661" s="2">
        <v>0</v>
      </c>
      <c r="E661" s="2">
        <v>3392.76</v>
      </c>
      <c r="F661" s="2">
        <v>65435.81</v>
      </c>
      <c r="G661" t="s">
        <v>719</v>
      </c>
      <c r="H661" s="7">
        <f t="shared" si="76"/>
        <v>0</v>
      </c>
      <c r="I661" s="1">
        <f t="shared" si="70"/>
        <v>45218</v>
      </c>
      <c r="J661" s="1" t="str">
        <f t="shared" si="71"/>
        <v>NET PO FROM HSL A/C 347707-50200085415108</v>
      </c>
      <c r="L661" s="7">
        <f t="shared" si="72"/>
        <v>0</v>
      </c>
      <c r="M661" s="7">
        <f t="shared" si="73"/>
        <v>3392.76</v>
      </c>
      <c r="N661" s="7">
        <f t="shared" si="74"/>
        <v>65435.81</v>
      </c>
      <c r="O661" s="7" t="str">
        <f t="shared" si="75"/>
        <v>HDFC 5930</v>
      </c>
    </row>
    <row r="662" spans="1:15" x14ac:dyDescent="0.25">
      <c r="A662" s="1">
        <v>45218</v>
      </c>
      <c r="B662" t="s">
        <v>472</v>
      </c>
      <c r="C662" s="1">
        <v>45218</v>
      </c>
      <c r="D662" s="2">
        <v>149.91</v>
      </c>
      <c r="E662" s="2">
        <v>0</v>
      </c>
      <c r="F662" s="2">
        <v>65285.9</v>
      </c>
      <c r="G662" t="s">
        <v>719</v>
      </c>
      <c r="H662" s="7">
        <f t="shared" si="76"/>
        <v>0</v>
      </c>
      <c r="I662" s="1">
        <f t="shared" si="70"/>
        <v>45218</v>
      </c>
      <c r="J662" s="1" t="str">
        <f t="shared" si="71"/>
        <v>NET PI TO HSL SEC A/C 347707-00602340029392</v>
      </c>
      <c r="L662" s="7">
        <f t="shared" si="72"/>
        <v>149.91</v>
      </c>
      <c r="M662" s="7">
        <f t="shared" si="73"/>
        <v>0</v>
      </c>
      <c r="N662" s="7">
        <f t="shared" si="74"/>
        <v>65285.9</v>
      </c>
      <c r="O662" s="7" t="str">
        <f t="shared" si="75"/>
        <v>HDFC 5930</v>
      </c>
    </row>
    <row r="663" spans="1:15" x14ac:dyDescent="0.25">
      <c r="A663" s="1">
        <v>45219</v>
      </c>
      <c r="B663" t="s">
        <v>618</v>
      </c>
      <c r="C663" s="1">
        <v>45219</v>
      </c>
      <c r="D663" s="2">
        <v>0</v>
      </c>
      <c r="E663" s="2">
        <v>53.74</v>
      </c>
      <c r="F663" s="2">
        <v>65339.64</v>
      </c>
      <c r="G663" t="s">
        <v>719</v>
      </c>
      <c r="H663" s="7">
        <f t="shared" si="76"/>
        <v>0</v>
      </c>
      <c r="I663" s="1">
        <f t="shared" si="70"/>
        <v>45219</v>
      </c>
      <c r="J663" s="1" t="str">
        <f t="shared" si="71"/>
        <v>NET PO FROM HSL A/C 347707-50200085415108</v>
      </c>
      <c r="L663" s="7">
        <f t="shared" si="72"/>
        <v>0</v>
      </c>
      <c r="M663" s="7">
        <f t="shared" si="73"/>
        <v>53.74</v>
      </c>
      <c r="N663" s="7">
        <f t="shared" si="74"/>
        <v>65339.64</v>
      </c>
      <c r="O663" s="7" t="str">
        <f t="shared" si="75"/>
        <v>HDFC 5930</v>
      </c>
    </row>
    <row r="664" spans="1:15" x14ac:dyDescent="0.25">
      <c r="A664" s="1">
        <v>45219</v>
      </c>
      <c r="B664" t="s">
        <v>618</v>
      </c>
      <c r="C664" s="1">
        <v>45219</v>
      </c>
      <c r="D664" s="2">
        <v>0</v>
      </c>
      <c r="E664" s="2">
        <v>27043.89</v>
      </c>
      <c r="F664" s="2">
        <v>92383.53</v>
      </c>
      <c r="G664" t="s">
        <v>719</v>
      </c>
      <c r="H664" s="7">
        <f t="shared" si="76"/>
        <v>0</v>
      </c>
      <c r="I664" s="1">
        <f t="shared" si="70"/>
        <v>45219</v>
      </c>
      <c r="J664" s="1" t="str">
        <f t="shared" si="71"/>
        <v>NET PO FROM HSL A/C 347707-50200085415108</v>
      </c>
      <c r="L664" s="7">
        <f t="shared" si="72"/>
        <v>0</v>
      </c>
      <c r="M664" s="7">
        <f t="shared" si="73"/>
        <v>27043.89</v>
      </c>
      <c r="N664" s="7">
        <f t="shared" si="74"/>
        <v>92383.53</v>
      </c>
      <c r="O664" s="7" t="str">
        <f t="shared" si="75"/>
        <v>HDFC 5930</v>
      </c>
    </row>
    <row r="665" spans="1:15" x14ac:dyDescent="0.25">
      <c r="A665" s="1">
        <v>45219</v>
      </c>
      <c r="B665" t="s">
        <v>472</v>
      </c>
      <c r="C665" s="1">
        <v>45219</v>
      </c>
      <c r="D665" s="2">
        <v>145.88</v>
      </c>
      <c r="E665" s="2">
        <v>0</v>
      </c>
      <c r="F665" s="2">
        <v>92237.65</v>
      </c>
      <c r="G665" t="s">
        <v>719</v>
      </c>
      <c r="H665" s="7">
        <f t="shared" si="76"/>
        <v>0</v>
      </c>
      <c r="I665" s="1">
        <f t="shared" si="70"/>
        <v>45219</v>
      </c>
      <c r="J665" s="1" t="str">
        <f t="shared" si="71"/>
        <v>NET PI TO HSL SEC A/C 347707-00602340029392</v>
      </c>
      <c r="L665" s="7">
        <f t="shared" si="72"/>
        <v>145.88</v>
      </c>
      <c r="M665" s="7">
        <f t="shared" si="73"/>
        <v>0</v>
      </c>
      <c r="N665" s="7">
        <f t="shared" si="74"/>
        <v>92237.65</v>
      </c>
      <c r="O665" s="7" t="str">
        <f t="shared" si="75"/>
        <v>HDFC 5930</v>
      </c>
    </row>
    <row r="666" spans="1:15" x14ac:dyDescent="0.25">
      <c r="A666" s="1">
        <v>45219</v>
      </c>
      <c r="B666" t="s">
        <v>472</v>
      </c>
      <c r="C666" s="1">
        <v>45219</v>
      </c>
      <c r="D666" s="2">
        <v>1956.53</v>
      </c>
      <c r="E666" s="2">
        <v>0</v>
      </c>
      <c r="F666" s="2">
        <v>90281.12</v>
      </c>
      <c r="G666" t="s">
        <v>719</v>
      </c>
      <c r="H666" s="7">
        <f t="shared" si="76"/>
        <v>0</v>
      </c>
      <c r="I666" s="1">
        <f t="shared" si="70"/>
        <v>45219</v>
      </c>
      <c r="J666" s="1" t="str">
        <f t="shared" si="71"/>
        <v>NET PI TO HSL SEC A/C 347707-00602340029392</v>
      </c>
      <c r="L666" s="7">
        <f t="shared" si="72"/>
        <v>1956.53</v>
      </c>
      <c r="M666" s="7">
        <f t="shared" si="73"/>
        <v>0</v>
      </c>
      <c r="N666" s="7">
        <f t="shared" si="74"/>
        <v>90281.12</v>
      </c>
      <c r="O666" s="7" t="str">
        <f t="shared" si="75"/>
        <v>HDFC 5930</v>
      </c>
    </row>
    <row r="667" spans="1:15" x14ac:dyDescent="0.25">
      <c r="A667" s="1">
        <v>45222</v>
      </c>
      <c r="B667" t="s">
        <v>618</v>
      </c>
      <c r="C667" s="1">
        <v>45222</v>
      </c>
      <c r="D667" s="2">
        <v>0</v>
      </c>
      <c r="E667" s="2">
        <v>15927.28</v>
      </c>
      <c r="F667" s="2">
        <v>106208.4</v>
      </c>
      <c r="G667" t="s">
        <v>719</v>
      </c>
      <c r="H667" s="7">
        <f t="shared" si="76"/>
        <v>0</v>
      </c>
      <c r="I667" s="1">
        <f t="shared" si="70"/>
        <v>45222</v>
      </c>
      <c r="J667" s="1" t="str">
        <f t="shared" si="71"/>
        <v>NET PO FROM HSL A/C 347707-50200085415108</v>
      </c>
      <c r="L667" s="7">
        <f t="shared" si="72"/>
        <v>0</v>
      </c>
      <c r="M667" s="7">
        <f t="shared" si="73"/>
        <v>15927.28</v>
      </c>
      <c r="N667" s="7">
        <f t="shared" si="74"/>
        <v>106208.4</v>
      </c>
      <c r="O667" s="7" t="str">
        <f t="shared" si="75"/>
        <v>HDFC 5930</v>
      </c>
    </row>
    <row r="668" spans="1:15" x14ac:dyDescent="0.25">
      <c r="A668" s="1">
        <v>45222</v>
      </c>
      <c r="B668" t="s">
        <v>472</v>
      </c>
      <c r="C668" s="1">
        <v>45222</v>
      </c>
      <c r="D668" s="2">
        <v>434.82</v>
      </c>
      <c r="E668" s="2">
        <v>0</v>
      </c>
      <c r="F668" s="2">
        <v>105773.58</v>
      </c>
      <c r="G668" t="s">
        <v>719</v>
      </c>
      <c r="H668" s="7">
        <f t="shared" si="76"/>
        <v>0</v>
      </c>
      <c r="I668" s="1">
        <f t="shared" si="70"/>
        <v>45222</v>
      </c>
      <c r="J668" s="1" t="str">
        <f t="shared" si="71"/>
        <v>NET PI TO HSL SEC A/C 347707-00602340029392</v>
      </c>
      <c r="L668" s="7">
        <f t="shared" si="72"/>
        <v>434.82</v>
      </c>
      <c r="M668" s="7">
        <f t="shared" si="73"/>
        <v>0</v>
      </c>
      <c r="N668" s="7">
        <f t="shared" si="74"/>
        <v>105773.58</v>
      </c>
      <c r="O668" s="7" t="str">
        <f t="shared" si="75"/>
        <v>HDFC 5930</v>
      </c>
    </row>
    <row r="669" spans="1:15" x14ac:dyDescent="0.25">
      <c r="A669" s="1">
        <v>45222</v>
      </c>
      <c r="B669" t="s">
        <v>661</v>
      </c>
      <c r="C669" s="1">
        <v>45222</v>
      </c>
      <c r="D669" s="2">
        <v>0</v>
      </c>
      <c r="E669" s="2">
        <v>253</v>
      </c>
      <c r="F669" s="2">
        <v>106026.58</v>
      </c>
      <c r="G669" t="s">
        <v>719</v>
      </c>
      <c r="H669" s="7">
        <f t="shared" si="76"/>
        <v>0</v>
      </c>
      <c r="I669" s="1">
        <f t="shared" si="70"/>
        <v>45222</v>
      </c>
      <c r="J669" s="1" t="str">
        <f t="shared" si="71"/>
        <v>ACH C- BLACKROSEINDUSTRIE-0000IN30047640</v>
      </c>
      <c r="L669" s="7">
        <f t="shared" si="72"/>
        <v>0</v>
      </c>
      <c r="M669" s="7">
        <f t="shared" si="73"/>
        <v>253</v>
      </c>
      <c r="N669" s="7">
        <f t="shared" si="74"/>
        <v>106026.58</v>
      </c>
      <c r="O669" s="7" t="str">
        <f t="shared" si="75"/>
        <v>HDFC 5930</v>
      </c>
    </row>
    <row r="670" spans="1:15" x14ac:dyDescent="0.25">
      <c r="A670" s="1">
        <v>45222</v>
      </c>
      <c r="B670" t="s">
        <v>662</v>
      </c>
      <c r="C670" s="1">
        <v>45222</v>
      </c>
      <c r="D670" s="2">
        <v>0</v>
      </c>
      <c r="E670" s="2">
        <v>200000</v>
      </c>
      <c r="F670" s="2">
        <v>306026.58</v>
      </c>
      <c r="G670" t="s">
        <v>719</v>
      </c>
      <c r="H670" s="7">
        <f t="shared" si="76"/>
        <v>0</v>
      </c>
      <c r="I670" s="1">
        <f t="shared" si="70"/>
        <v>45222</v>
      </c>
      <c r="J670" s="1" t="str">
        <f t="shared" si="71"/>
        <v>NEFT CR-SBIN0011669-MR  AJAY KUMAR GUPTA-AJAY KUMAR GUPTA-SBIN223296246482</v>
      </c>
      <c r="L670" s="7">
        <f t="shared" si="72"/>
        <v>0</v>
      </c>
      <c r="M670" s="7">
        <f t="shared" si="73"/>
        <v>200000</v>
      </c>
      <c r="N670" s="7">
        <f t="shared" si="74"/>
        <v>306026.58</v>
      </c>
      <c r="O670" s="7" t="str">
        <f t="shared" si="75"/>
        <v>HDFC 5930</v>
      </c>
    </row>
    <row r="671" spans="1:15" x14ac:dyDescent="0.25">
      <c r="A671" s="1">
        <v>45222</v>
      </c>
      <c r="B671" t="s">
        <v>472</v>
      </c>
      <c r="C671" s="1">
        <v>45222</v>
      </c>
      <c r="D671" s="2">
        <v>4167.32</v>
      </c>
      <c r="E671" s="2">
        <v>0</v>
      </c>
      <c r="F671" s="2">
        <v>301859.26</v>
      </c>
      <c r="G671" t="s">
        <v>719</v>
      </c>
      <c r="H671" s="7">
        <f t="shared" si="76"/>
        <v>0</v>
      </c>
      <c r="I671" s="1">
        <f t="shared" si="70"/>
        <v>45222</v>
      </c>
      <c r="J671" s="1" t="str">
        <f t="shared" si="71"/>
        <v>NET PI TO HSL SEC A/C 347707-00602340029392</v>
      </c>
      <c r="L671" s="7">
        <f t="shared" si="72"/>
        <v>4167.32</v>
      </c>
      <c r="M671" s="7">
        <f t="shared" si="73"/>
        <v>0</v>
      </c>
      <c r="N671" s="7">
        <f t="shared" si="74"/>
        <v>301859.26</v>
      </c>
      <c r="O671" s="7" t="str">
        <f t="shared" si="75"/>
        <v>HDFC 5930</v>
      </c>
    </row>
    <row r="672" spans="1:15" x14ac:dyDescent="0.25">
      <c r="A672" s="1">
        <v>45223</v>
      </c>
      <c r="B672" t="s">
        <v>663</v>
      </c>
      <c r="C672" s="1">
        <v>45223</v>
      </c>
      <c r="D672" s="2">
        <v>250000</v>
      </c>
      <c r="E672" s="2">
        <v>0</v>
      </c>
      <c r="F672" s="2">
        <v>51859.26</v>
      </c>
      <c r="G672" t="s">
        <v>719</v>
      </c>
      <c r="H672" s="7">
        <f t="shared" si="76"/>
        <v>0</v>
      </c>
      <c r="I672" s="1">
        <f t="shared" si="70"/>
        <v>45223</v>
      </c>
      <c r="J672" s="1" t="str">
        <f t="shared" si="71"/>
        <v>50100128155413-TPT-GIFT TO AAYUSH-AAYUSH KUMAR GUPTA</v>
      </c>
      <c r="L672" s="7">
        <f t="shared" si="72"/>
        <v>250000</v>
      </c>
      <c r="M672" s="7">
        <f t="shared" si="73"/>
        <v>0</v>
      </c>
      <c r="N672" s="7">
        <f t="shared" si="74"/>
        <v>51859.26</v>
      </c>
      <c r="O672" s="7" t="str">
        <f t="shared" si="75"/>
        <v>HDFC 5930</v>
      </c>
    </row>
    <row r="673" spans="1:15" x14ac:dyDescent="0.25">
      <c r="A673" s="1">
        <v>45224</v>
      </c>
      <c r="B673" t="s">
        <v>472</v>
      </c>
      <c r="C673" s="1">
        <v>45224</v>
      </c>
      <c r="D673" s="2">
        <v>206.4</v>
      </c>
      <c r="E673" s="2">
        <v>0</v>
      </c>
      <c r="F673" s="2">
        <v>51652.86</v>
      </c>
      <c r="G673" t="s">
        <v>719</v>
      </c>
      <c r="H673" s="7">
        <f t="shared" si="76"/>
        <v>0</v>
      </c>
      <c r="I673" s="1">
        <f t="shared" si="70"/>
        <v>45224</v>
      </c>
      <c r="J673" s="1" t="str">
        <f t="shared" si="71"/>
        <v>NET PI TO HSL SEC A/C 347707-00602340029392</v>
      </c>
      <c r="L673" s="7">
        <f t="shared" si="72"/>
        <v>206.4</v>
      </c>
      <c r="M673" s="7">
        <f t="shared" si="73"/>
        <v>0</v>
      </c>
      <c r="N673" s="7">
        <f t="shared" si="74"/>
        <v>51652.86</v>
      </c>
      <c r="O673" s="7" t="str">
        <f t="shared" si="75"/>
        <v>HDFC 5930</v>
      </c>
    </row>
    <row r="674" spans="1:15" x14ac:dyDescent="0.25">
      <c r="A674" s="1">
        <v>45224</v>
      </c>
      <c r="B674" t="s">
        <v>472</v>
      </c>
      <c r="C674" s="1">
        <v>45224</v>
      </c>
      <c r="D674" s="2">
        <v>4085.1</v>
      </c>
      <c r="E674" s="2">
        <v>0</v>
      </c>
      <c r="F674" s="2">
        <v>47567.76</v>
      </c>
      <c r="G674" t="s">
        <v>719</v>
      </c>
      <c r="H674" s="7">
        <f t="shared" si="76"/>
        <v>0</v>
      </c>
      <c r="I674" s="1">
        <f t="shared" si="70"/>
        <v>45224</v>
      </c>
      <c r="J674" s="1" t="str">
        <f t="shared" si="71"/>
        <v>NET PI TO HSL SEC A/C 347707-00602340029392</v>
      </c>
      <c r="L674" s="7">
        <f t="shared" si="72"/>
        <v>4085.1</v>
      </c>
      <c r="M674" s="7">
        <f t="shared" si="73"/>
        <v>0</v>
      </c>
      <c r="N674" s="7">
        <f t="shared" si="74"/>
        <v>47567.76</v>
      </c>
      <c r="O674" s="7" t="str">
        <f t="shared" si="75"/>
        <v>HDFC 5930</v>
      </c>
    </row>
    <row r="675" spans="1:15" x14ac:dyDescent="0.25">
      <c r="A675" s="1">
        <v>45225</v>
      </c>
      <c r="B675" t="s">
        <v>472</v>
      </c>
      <c r="C675" s="1">
        <v>45225</v>
      </c>
      <c r="D675" s="2">
        <v>101.74</v>
      </c>
      <c r="E675" s="2">
        <v>0</v>
      </c>
      <c r="F675" s="2">
        <v>47466.02</v>
      </c>
      <c r="G675" t="s">
        <v>719</v>
      </c>
      <c r="H675" s="7">
        <f t="shared" si="76"/>
        <v>0</v>
      </c>
      <c r="I675" s="1">
        <f t="shared" si="70"/>
        <v>45225</v>
      </c>
      <c r="J675" s="1" t="str">
        <f t="shared" si="71"/>
        <v>NET PI TO HSL SEC A/C 347707-00602340029392</v>
      </c>
      <c r="L675" s="7">
        <f t="shared" si="72"/>
        <v>101.74</v>
      </c>
      <c r="M675" s="7">
        <f t="shared" si="73"/>
        <v>0</v>
      </c>
      <c r="N675" s="7">
        <f t="shared" si="74"/>
        <v>47466.02</v>
      </c>
      <c r="O675" s="7" t="str">
        <f t="shared" si="75"/>
        <v>HDFC 5930</v>
      </c>
    </row>
    <row r="676" spans="1:15" x14ac:dyDescent="0.25">
      <c r="A676" s="1">
        <v>45225</v>
      </c>
      <c r="B676" t="s">
        <v>664</v>
      </c>
      <c r="C676" s="1">
        <v>45225</v>
      </c>
      <c r="D676" s="2">
        <v>0</v>
      </c>
      <c r="E676" s="2">
        <v>60000</v>
      </c>
      <c r="F676" s="2">
        <v>107466.02</v>
      </c>
      <c r="G676" t="s">
        <v>719</v>
      </c>
      <c r="H676" s="7">
        <f t="shared" si="76"/>
        <v>0</v>
      </c>
      <c r="I676" s="1">
        <f t="shared" si="70"/>
        <v>45225</v>
      </c>
      <c r="J676" s="1" t="str">
        <f t="shared" si="71"/>
        <v>UPI-PRAMOD SHARMA SO S N-9822767780@YBL-UTIB0000629-329967839361-PAYMENT FROM PHONE</v>
      </c>
      <c r="L676" s="7">
        <f t="shared" si="72"/>
        <v>0</v>
      </c>
      <c r="M676" s="7">
        <f t="shared" si="73"/>
        <v>60000</v>
      </c>
      <c r="N676" s="7">
        <f t="shared" si="74"/>
        <v>107466.02</v>
      </c>
      <c r="O676" s="7" t="str">
        <f t="shared" si="75"/>
        <v>HDFC 5930</v>
      </c>
    </row>
    <row r="677" spans="1:15" x14ac:dyDescent="0.25">
      <c r="A677" s="1">
        <v>45225</v>
      </c>
      <c r="B677" t="s">
        <v>472</v>
      </c>
      <c r="C677" s="1">
        <v>45225</v>
      </c>
      <c r="D677" s="2">
        <v>2544.9499999999998</v>
      </c>
      <c r="E677" s="2">
        <v>0</v>
      </c>
      <c r="F677" s="2">
        <v>104921.07</v>
      </c>
      <c r="G677" t="s">
        <v>719</v>
      </c>
      <c r="H677" s="7">
        <f t="shared" si="76"/>
        <v>0</v>
      </c>
      <c r="I677" s="1">
        <f t="shared" si="70"/>
        <v>45225</v>
      </c>
      <c r="J677" s="1" t="str">
        <f t="shared" si="71"/>
        <v>NET PI TO HSL SEC A/C 347707-00602340029392</v>
      </c>
      <c r="L677" s="7">
        <f t="shared" si="72"/>
        <v>2544.9499999999998</v>
      </c>
      <c r="M677" s="7">
        <f t="shared" si="73"/>
        <v>0</v>
      </c>
      <c r="N677" s="7">
        <f t="shared" si="74"/>
        <v>104921.07</v>
      </c>
      <c r="O677" s="7" t="str">
        <f t="shared" si="75"/>
        <v>HDFC 5930</v>
      </c>
    </row>
    <row r="678" spans="1:15" x14ac:dyDescent="0.25">
      <c r="A678" s="1">
        <v>45226</v>
      </c>
      <c r="B678" t="s">
        <v>472</v>
      </c>
      <c r="C678" s="1">
        <v>45226</v>
      </c>
      <c r="D678" s="2">
        <v>100.84</v>
      </c>
      <c r="E678" s="2">
        <v>0</v>
      </c>
      <c r="F678" s="2">
        <v>104820.23</v>
      </c>
      <c r="G678" t="s">
        <v>719</v>
      </c>
      <c r="H678" s="7">
        <f t="shared" si="76"/>
        <v>0</v>
      </c>
      <c r="I678" s="1">
        <f t="shared" si="70"/>
        <v>45226</v>
      </c>
      <c r="J678" s="1" t="str">
        <f t="shared" si="71"/>
        <v>NET PI TO HSL SEC A/C 347707-00602340029392</v>
      </c>
      <c r="L678" s="7">
        <f t="shared" si="72"/>
        <v>100.84</v>
      </c>
      <c r="M678" s="7">
        <f t="shared" si="73"/>
        <v>0</v>
      </c>
      <c r="N678" s="7">
        <f t="shared" si="74"/>
        <v>104820.23</v>
      </c>
      <c r="O678" s="7" t="str">
        <f t="shared" si="75"/>
        <v>HDFC 5930</v>
      </c>
    </row>
    <row r="679" spans="1:15" x14ac:dyDescent="0.25">
      <c r="A679" s="1">
        <v>45226</v>
      </c>
      <c r="B679" t="s">
        <v>472</v>
      </c>
      <c r="C679" s="1">
        <v>45226</v>
      </c>
      <c r="D679" s="2">
        <v>8865.23</v>
      </c>
      <c r="E679" s="2">
        <v>0</v>
      </c>
      <c r="F679" s="2">
        <v>95955</v>
      </c>
      <c r="G679" t="s">
        <v>719</v>
      </c>
      <c r="H679" s="7">
        <f t="shared" si="76"/>
        <v>0</v>
      </c>
      <c r="I679" s="1">
        <f t="shared" si="70"/>
        <v>45226</v>
      </c>
      <c r="J679" s="1" t="str">
        <f t="shared" si="71"/>
        <v>NET PI TO HSL SEC A/C 347707-00602340029392</v>
      </c>
      <c r="L679" s="7">
        <f t="shared" si="72"/>
        <v>8865.23</v>
      </c>
      <c r="M679" s="7">
        <f t="shared" si="73"/>
        <v>0</v>
      </c>
      <c r="N679" s="7">
        <f t="shared" si="74"/>
        <v>95955</v>
      </c>
      <c r="O679" s="7" t="str">
        <f t="shared" si="75"/>
        <v>HDFC 5930</v>
      </c>
    </row>
    <row r="680" spans="1:15" x14ac:dyDescent="0.25">
      <c r="A680" s="1">
        <v>45229</v>
      </c>
      <c r="B680" t="s">
        <v>618</v>
      </c>
      <c r="C680" s="1">
        <v>45229</v>
      </c>
      <c r="D680" s="2">
        <v>0</v>
      </c>
      <c r="E680" s="2">
        <v>8212.1200000000008</v>
      </c>
      <c r="F680" s="2">
        <v>104167.12</v>
      </c>
      <c r="G680" t="s">
        <v>719</v>
      </c>
      <c r="H680" s="7">
        <f t="shared" si="76"/>
        <v>0</v>
      </c>
      <c r="I680" s="1">
        <f t="shared" si="70"/>
        <v>45229</v>
      </c>
      <c r="J680" s="1" t="str">
        <f t="shared" si="71"/>
        <v>NET PO FROM HSL A/C 347707-50200085415108</v>
      </c>
      <c r="L680" s="7">
        <f t="shared" si="72"/>
        <v>0</v>
      </c>
      <c r="M680" s="7">
        <f t="shared" si="73"/>
        <v>8212.1200000000008</v>
      </c>
      <c r="N680" s="7">
        <f t="shared" si="74"/>
        <v>104167.12</v>
      </c>
      <c r="O680" s="7" t="str">
        <f t="shared" si="75"/>
        <v>HDFC 5930</v>
      </c>
    </row>
    <row r="681" spans="1:15" x14ac:dyDescent="0.25">
      <c r="A681" s="1">
        <v>45229</v>
      </c>
      <c r="B681" t="s">
        <v>472</v>
      </c>
      <c r="C681" s="1">
        <v>45229</v>
      </c>
      <c r="D681" s="2">
        <v>293.04000000000002</v>
      </c>
      <c r="E681" s="2">
        <v>0</v>
      </c>
      <c r="F681" s="2">
        <v>103874.08</v>
      </c>
      <c r="G681" t="s">
        <v>719</v>
      </c>
      <c r="H681" s="7">
        <f t="shared" si="76"/>
        <v>0</v>
      </c>
      <c r="I681" s="1">
        <f t="shared" si="70"/>
        <v>45229</v>
      </c>
      <c r="J681" s="1" t="str">
        <f t="shared" si="71"/>
        <v>NET PI TO HSL SEC A/C 347707-00602340029392</v>
      </c>
      <c r="L681" s="7">
        <f t="shared" si="72"/>
        <v>293.04000000000002</v>
      </c>
      <c r="M681" s="7">
        <f t="shared" si="73"/>
        <v>0</v>
      </c>
      <c r="N681" s="7">
        <f t="shared" si="74"/>
        <v>103874.08</v>
      </c>
      <c r="O681" s="7" t="str">
        <f t="shared" si="75"/>
        <v>HDFC 5930</v>
      </c>
    </row>
    <row r="682" spans="1:15" x14ac:dyDescent="0.25">
      <c r="A682" s="1">
        <v>45229</v>
      </c>
      <c r="B682" t="s">
        <v>472</v>
      </c>
      <c r="C682" s="1">
        <v>45229</v>
      </c>
      <c r="D682" s="2">
        <v>23863.08</v>
      </c>
      <c r="E682" s="2">
        <v>0</v>
      </c>
      <c r="F682" s="2">
        <v>80011</v>
      </c>
      <c r="G682" t="s">
        <v>719</v>
      </c>
      <c r="H682" s="7">
        <f t="shared" si="76"/>
        <v>0</v>
      </c>
      <c r="I682" s="1">
        <f t="shared" si="70"/>
        <v>45229</v>
      </c>
      <c r="J682" s="1" t="str">
        <f t="shared" si="71"/>
        <v>NET PI TO HSL SEC A/C 347707-00602340029392</v>
      </c>
      <c r="L682" s="7">
        <f t="shared" si="72"/>
        <v>23863.08</v>
      </c>
      <c r="M682" s="7">
        <f t="shared" si="73"/>
        <v>0</v>
      </c>
      <c r="N682" s="7">
        <f t="shared" si="74"/>
        <v>80011</v>
      </c>
      <c r="O682" s="7" t="str">
        <f t="shared" si="75"/>
        <v>HDFC 5930</v>
      </c>
    </row>
    <row r="683" spans="1:15" x14ac:dyDescent="0.25">
      <c r="A683" s="1">
        <v>45230</v>
      </c>
      <c r="B683" t="s">
        <v>618</v>
      </c>
      <c r="C683" s="1">
        <v>45230</v>
      </c>
      <c r="D683" s="2">
        <v>0</v>
      </c>
      <c r="E683" s="2">
        <v>189199.23</v>
      </c>
      <c r="F683" s="2">
        <v>269210.23</v>
      </c>
      <c r="G683" t="s">
        <v>719</v>
      </c>
      <c r="H683" s="7">
        <f t="shared" si="76"/>
        <v>0</v>
      </c>
      <c r="I683" s="1">
        <f t="shared" si="70"/>
        <v>45230</v>
      </c>
      <c r="J683" s="1" t="str">
        <f t="shared" si="71"/>
        <v>NET PO FROM HSL A/C 347707-50200085415108</v>
      </c>
      <c r="L683" s="7">
        <f t="shared" si="72"/>
        <v>0</v>
      </c>
      <c r="M683" s="7">
        <f t="shared" si="73"/>
        <v>189199.23</v>
      </c>
      <c r="N683" s="7">
        <f t="shared" si="74"/>
        <v>269210.23</v>
      </c>
      <c r="O683" s="7" t="str">
        <f t="shared" si="75"/>
        <v>HDFC 5930</v>
      </c>
    </row>
    <row r="684" spans="1:15" x14ac:dyDescent="0.25">
      <c r="A684" s="1">
        <v>45230</v>
      </c>
      <c r="B684" t="s">
        <v>665</v>
      </c>
      <c r="C684" s="1">
        <v>45230</v>
      </c>
      <c r="D684" s="2">
        <v>0</v>
      </c>
      <c r="E684" s="2">
        <v>300</v>
      </c>
      <c r="F684" s="2">
        <v>269510.23</v>
      </c>
      <c r="G684" t="s">
        <v>719</v>
      </c>
      <c r="H684" s="7">
        <f t="shared" si="76"/>
        <v>0</v>
      </c>
      <c r="I684" s="1">
        <f t="shared" si="70"/>
        <v>45230</v>
      </c>
      <c r="J684" s="1" t="str">
        <f t="shared" si="71"/>
        <v>ACH C- HCL 3RD INTDIV23 24-282047</v>
      </c>
      <c r="L684" s="7">
        <f t="shared" si="72"/>
        <v>0</v>
      </c>
      <c r="M684" s="7">
        <f t="shared" si="73"/>
        <v>300</v>
      </c>
      <c r="N684" s="7">
        <f t="shared" si="74"/>
        <v>269510.23</v>
      </c>
      <c r="O684" s="7" t="str">
        <f t="shared" si="75"/>
        <v>HDFC 5930</v>
      </c>
    </row>
    <row r="685" spans="1:15" x14ac:dyDescent="0.25">
      <c r="A685" s="1">
        <v>45230</v>
      </c>
      <c r="B685" t="s">
        <v>472</v>
      </c>
      <c r="C685" s="1">
        <v>45230</v>
      </c>
      <c r="D685" s="2">
        <v>103.42</v>
      </c>
      <c r="E685" s="2">
        <v>0</v>
      </c>
      <c r="F685" s="2">
        <v>269406.81</v>
      </c>
      <c r="G685" t="s">
        <v>719</v>
      </c>
      <c r="H685" s="7">
        <f t="shared" si="76"/>
        <v>0</v>
      </c>
      <c r="I685" s="1">
        <f t="shared" si="70"/>
        <v>45230</v>
      </c>
      <c r="J685" s="1" t="str">
        <f t="shared" si="71"/>
        <v>NET PI TO HSL SEC A/C 347707-00602340029392</v>
      </c>
      <c r="L685" s="7">
        <f t="shared" si="72"/>
        <v>103.42</v>
      </c>
      <c r="M685" s="7">
        <f t="shared" si="73"/>
        <v>0</v>
      </c>
      <c r="N685" s="7">
        <f t="shared" si="74"/>
        <v>269406.81</v>
      </c>
      <c r="O685" s="7" t="str">
        <f t="shared" si="75"/>
        <v>HDFC 5930</v>
      </c>
    </row>
    <row r="686" spans="1:15" x14ac:dyDescent="0.25">
      <c r="A686" s="1">
        <v>45230</v>
      </c>
      <c r="B686" t="s">
        <v>666</v>
      </c>
      <c r="C686" s="1">
        <v>45230</v>
      </c>
      <c r="D686" s="2">
        <v>0</v>
      </c>
      <c r="E686" s="2">
        <v>1</v>
      </c>
      <c r="F686" s="2">
        <v>269407.81</v>
      </c>
      <c r="G686" t="s">
        <v>719</v>
      </c>
      <c r="H686" s="7">
        <f t="shared" si="76"/>
        <v>0</v>
      </c>
      <c r="I686" s="1">
        <f t="shared" si="70"/>
        <v>45230</v>
      </c>
      <c r="J686" s="1" t="str">
        <f t="shared" si="71"/>
        <v>IMPS-330414606544-TAPITS TECHNOLOGIES-ICIC-XXXXXXXX8888-HDFCLIFENB</v>
      </c>
      <c r="L686" s="7">
        <f t="shared" si="72"/>
        <v>0</v>
      </c>
      <c r="M686" s="7">
        <f t="shared" si="73"/>
        <v>1</v>
      </c>
      <c r="N686" s="7">
        <f t="shared" si="74"/>
        <v>269407.81</v>
      </c>
      <c r="O686" s="7" t="str">
        <f t="shared" si="75"/>
        <v>HDFC 5930</v>
      </c>
    </row>
    <row r="687" spans="1:15" x14ac:dyDescent="0.25">
      <c r="A687" s="1">
        <v>45230</v>
      </c>
      <c r="B687" t="s">
        <v>667</v>
      </c>
      <c r="C687" s="1">
        <v>45230</v>
      </c>
      <c r="D687" s="2">
        <v>0</v>
      </c>
      <c r="E687" s="2">
        <v>300000</v>
      </c>
      <c r="F687" s="2">
        <v>569407.81000000006</v>
      </c>
      <c r="G687" t="s">
        <v>719</v>
      </c>
      <c r="H687" s="7">
        <f t="shared" si="76"/>
        <v>0</v>
      </c>
      <c r="I687" s="1">
        <f t="shared" si="70"/>
        <v>45230</v>
      </c>
      <c r="J687" s="1" t="str">
        <f t="shared" si="71"/>
        <v>NEFT CR-SBIN0011669-MR  AJAY KUMAR GUPTA-AJAY KUMAR GUPTA-SBIN423304369896</v>
      </c>
      <c r="L687" s="7">
        <f t="shared" si="72"/>
        <v>0</v>
      </c>
      <c r="M687" s="7">
        <f t="shared" si="73"/>
        <v>300000</v>
      </c>
      <c r="N687" s="7">
        <f t="shared" si="74"/>
        <v>569407.81000000006</v>
      </c>
      <c r="O687" s="7" t="str">
        <f t="shared" si="75"/>
        <v>HDFC 5930</v>
      </c>
    </row>
    <row r="688" spans="1:15" x14ac:dyDescent="0.25">
      <c r="A688" s="1">
        <v>45230</v>
      </c>
      <c r="B688" t="s">
        <v>668</v>
      </c>
      <c r="C688" s="1">
        <v>45230</v>
      </c>
      <c r="D688" s="2">
        <v>350000</v>
      </c>
      <c r="E688" s="2">
        <v>0</v>
      </c>
      <c r="F688" s="2">
        <v>219407.81</v>
      </c>
      <c r="G688" t="s">
        <v>719</v>
      </c>
      <c r="H688" s="7">
        <f t="shared" si="76"/>
        <v>0</v>
      </c>
      <c r="I688" s="1">
        <f t="shared" si="70"/>
        <v>45230</v>
      </c>
      <c r="J688" s="1" t="str">
        <f t="shared" si="71"/>
        <v>RTGS DR-SBIN0011669-AJAY KUMAR GUPTA-NETBANK, MUM-HDFCR52023103150344939-FROM HDFC</v>
      </c>
      <c r="L688" s="7">
        <f t="shared" si="72"/>
        <v>350000</v>
      </c>
      <c r="M688" s="7">
        <f t="shared" si="73"/>
        <v>0</v>
      </c>
      <c r="N688" s="7">
        <f t="shared" si="74"/>
        <v>219407.81</v>
      </c>
      <c r="O688" s="7" t="str">
        <f t="shared" si="75"/>
        <v>HDFC 5930</v>
      </c>
    </row>
    <row r="689" spans="1:15" x14ac:dyDescent="0.25">
      <c r="A689" s="1">
        <v>45230</v>
      </c>
      <c r="B689" t="s">
        <v>472</v>
      </c>
      <c r="C689" s="1">
        <v>45230</v>
      </c>
      <c r="D689" s="2">
        <v>28075.65</v>
      </c>
      <c r="E689" s="2">
        <v>0</v>
      </c>
      <c r="F689" s="2">
        <v>191332.16</v>
      </c>
      <c r="G689" t="s">
        <v>719</v>
      </c>
      <c r="H689" s="7">
        <f t="shared" si="76"/>
        <v>0</v>
      </c>
      <c r="I689" s="1">
        <f t="shared" si="70"/>
        <v>45230</v>
      </c>
      <c r="J689" s="1" t="str">
        <f t="shared" si="71"/>
        <v>NET PI TO HSL SEC A/C 347707-00602340029392</v>
      </c>
      <c r="L689" s="7">
        <f t="shared" si="72"/>
        <v>28075.65</v>
      </c>
      <c r="M689" s="7">
        <f t="shared" si="73"/>
        <v>0</v>
      </c>
      <c r="N689" s="7">
        <f t="shared" si="74"/>
        <v>191332.16</v>
      </c>
      <c r="O689" s="7" t="str">
        <f t="shared" si="75"/>
        <v>HDFC 5930</v>
      </c>
    </row>
    <row r="690" spans="1:15" x14ac:dyDescent="0.25">
      <c r="A690" s="1">
        <v>45231</v>
      </c>
      <c r="B690" t="s">
        <v>669</v>
      </c>
      <c r="C690" s="1">
        <v>45231</v>
      </c>
      <c r="D690" s="2">
        <v>2</v>
      </c>
      <c r="E690" s="2">
        <v>0</v>
      </c>
      <c r="F690" s="2">
        <v>191330.16</v>
      </c>
      <c r="G690" t="s">
        <v>719</v>
      </c>
      <c r="H690" s="7">
        <f t="shared" si="76"/>
        <v>0</v>
      </c>
      <c r="I690" s="1">
        <f t="shared" si="70"/>
        <v>45231</v>
      </c>
      <c r="J690" s="1" t="str">
        <f t="shared" si="71"/>
        <v>CC 000552260XXXXXX5783 AUTOPAY SI-TAD</v>
      </c>
      <c r="L690" s="7">
        <f t="shared" si="72"/>
        <v>2</v>
      </c>
      <c r="M690" s="7">
        <f t="shared" si="73"/>
        <v>0</v>
      </c>
      <c r="N690" s="7">
        <f t="shared" si="74"/>
        <v>191330.16</v>
      </c>
      <c r="O690" s="7" t="str">
        <f t="shared" si="75"/>
        <v>HDFC 5930</v>
      </c>
    </row>
    <row r="691" spans="1:15" x14ac:dyDescent="0.25">
      <c r="A691" s="1">
        <v>45231</v>
      </c>
      <c r="B691" t="s">
        <v>618</v>
      </c>
      <c r="C691" s="1">
        <v>45231</v>
      </c>
      <c r="D691" s="2">
        <v>0</v>
      </c>
      <c r="E691" s="2">
        <v>35752.97</v>
      </c>
      <c r="F691" s="2">
        <v>227083.13</v>
      </c>
      <c r="G691" t="s">
        <v>719</v>
      </c>
      <c r="H691" s="7">
        <f t="shared" si="76"/>
        <v>0</v>
      </c>
      <c r="I691" s="1">
        <f t="shared" si="70"/>
        <v>45231</v>
      </c>
      <c r="J691" s="1" t="str">
        <f t="shared" si="71"/>
        <v>NET PO FROM HSL A/C 347707-50200085415108</v>
      </c>
      <c r="L691" s="7">
        <f t="shared" si="72"/>
        <v>0</v>
      </c>
      <c r="M691" s="7">
        <f t="shared" si="73"/>
        <v>35752.97</v>
      </c>
      <c r="N691" s="7">
        <f t="shared" si="74"/>
        <v>227083.13</v>
      </c>
      <c r="O691" s="7" t="str">
        <f t="shared" si="75"/>
        <v>HDFC 5930</v>
      </c>
    </row>
    <row r="692" spans="1:15" x14ac:dyDescent="0.25">
      <c r="A692" s="1">
        <v>45231</v>
      </c>
      <c r="B692" t="s">
        <v>670</v>
      </c>
      <c r="C692" s="1">
        <v>45231</v>
      </c>
      <c r="D692" s="2">
        <v>5000</v>
      </c>
      <c r="E692" s="2">
        <v>0</v>
      </c>
      <c r="F692" s="2">
        <v>222083.13</v>
      </c>
      <c r="G692" t="s">
        <v>719</v>
      </c>
      <c r="H692" s="7">
        <f t="shared" si="76"/>
        <v>0</v>
      </c>
      <c r="I692" s="1">
        <f t="shared" si="70"/>
        <v>45231</v>
      </c>
      <c r="J692" s="1" t="str">
        <f t="shared" si="71"/>
        <v>YHDF2129588943/BILLDKINDIANCLEARING</v>
      </c>
      <c r="L692" s="7">
        <f t="shared" si="72"/>
        <v>5000</v>
      </c>
      <c r="M692" s="7">
        <f t="shared" si="73"/>
        <v>0</v>
      </c>
      <c r="N692" s="7">
        <f t="shared" si="74"/>
        <v>222083.13</v>
      </c>
      <c r="O692" s="7" t="str">
        <f t="shared" si="75"/>
        <v>HDFC 5930</v>
      </c>
    </row>
    <row r="693" spans="1:15" x14ac:dyDescent="0.25">
      <c r="A693" s="1">
        <v>45231</v>
      </c>
      <c r="B693" t="s">
        <v>472</v>
      </c>
      <c r="C693" s="1">
        <v>45231</v>
      </c>
      <c r="D693" s="2">
        <v>93.42</v>
      </c>
      <c r="E693" s="2">
        <v>0</v>
      </c>
      <c r="F693" s="2">
        <v>221989.71</v>
      </c>
      <c r="G693" t="s">
        <v>719</v>
      </c>
      <c r="H693" s="7">
        <f t="shared" si="76"/>
        <v>0</v>
      </c>
      <c r="I693" s="1">
        <f t="shared" si="70"/>
        <v>45231</v>
      </c>
      <c r="J693" s="1" t="str">
        <f t="shared" si="71"/>
        <v>NET PI TO HSL SEC A/C 347707-00602340029392</v>
      </c>
      <c r="L693" s="7">
        <f t="shared" si="72"/>
        <v>93.42</v>
      </c>
      <c r="M693" s="7">
        <f t="shared" si="73"/>
        <v>0</v>
      </c>
      <c r="N693" s="7">
        <f t="shared" si="74"/>
        <v>221989.71</v>
      </c>
      <c r="O693" s="7" t="str">
        <f t="shared" si="75"/>
        <v>HDFC 5930</v>
      </c>
    </row>
    <row r="694" spans="1:15" x14ac:dyDescent="0.25">
      <c r="A694" s="1">
        <v>45231</v>
      </c>
      <c r="B694" t="s">
        <v>472</v>
      </c>
      <c r="C694" s="1">
        <v>45231</v>
      </c>
      <c r="D694" s="2">
        <v>7436.79</v>
      </c>
      <c r="E694" s="2">
        <v>0</v>
      </c>
      <c r="F694" s="2">
        <v>214552.92</v>
      </c>
      <c r="G694" t="s">
        <v>719</v>
      </c>
      <c r="H694" s="7">
        <f t="shared" si="76"/>
        <v>0</v>
      </c>
      <c r="I694" s="1">
        <f t="shared" si="70"/>
        <v>45231</v>
      </c>
      <c r="J694" s="1" t="str">
        <f t="shared" si="71"/>
        <v>NET PI TO HSL SEC A/C 347707-00602340029392</v>
      </c>
      <c r="L694" s="7">
        <f t="shared" si="72"/>
        <v>7436.79</v>
      </c>
      <c r="M694" s="7">
        <f t="shared" si="73"/>
        <v>0</v>
      </c>
      <c r="N694" s="7">
        <f t="shared" si="74"/>
        <v>214552.92</v>
      </c>
      <c r="O694" s="7" t="str">
        <f t="shared" si="75"/>
        <v>HDFC 5930</v>
      </c>
    </row>
    <row r="695" spans="1:15" x14ac:dyDescent="0.25">
      <c r="A695" s="1">
        <v>45231</v>
      </c>
      <c r="B695" t="s">
        <v>472</v>
      </c>
      <c r="C695" s="1">
        <v>45231</v>
      </c>
      <c r="D695" s="2">
        <v>61667.51</v>
      </c>
      <c r="E695" s="2">
        <v>0</v>
      </c>
      <c r="F695" s="2">
        <v>152885.41</v>
      </c>
      <c r="G695" t="s">
        <v>719</v>
      </c>
      <c r="H695" s="7">
        <f t="shared" si="76"/>
        <v>0</v>
      </c>
      <c r="I695" s="1">
        <f t="shared" si="70"/>
        <v>45231</v>
      </c>
      <c r="J695" s="1" t="str">
        <f t="shared" si="71"/>
        <v>NET PI TO HSL SEC A/C 347707-00602340029392</v>
      </c>
      <c r="L695" s="7">
        <f t="shared" si="72"/>
        <v>61667.51</v>
      </c>
      <c r="M695" s="7">
        <f t="shared" si="73"/>
        <v>0</v>
      </c>
      <c r="N695" s="7">
        <f t="shared" si="74"/>
        <v>152885.41</v>
      </c>
      <c r="O695" s="7" t="str">
        <f t="shared" si="75"/>
        <v>HDFC 5930</v>
      </c>
    </row>
    <row r="696" spans="1:15" x14ac:dyDescent="0.25">
      <c r="A696" s="1">
        <v>45232</v>
      </c>
      <c r="B696" t="s">
        <v>671</v>
      </c>
      <c r="C696" s="1">
        <v>45232</v>
      </c>
      <c r="D696" s="2">
        <v>25000</v>
      </c>
      <c r="E696" s="2">
        <v>0</v>
      </c>
      <c r="F696" s="2">
        <v>127885.41</v>
      </c>
      <c r="G696" t="s">
        <v>719</v>
      </c>
      <c r="H696" s="7">
        <f t="shared" si="76"/>
        <v>0</v>
      </c>
      <c r="I696" s="1">
        <f t="shared" si="70"/>
        <v>45232</v>
      </c>
      <c r="J696" s="1" t="str">
        <f t="shared" si="71"/>
        <v>YHDF2130776968/BILLDKINDIANCLEARING</v>
      </c>
      <c r="L696" s="7">
        <f t="shared" si="72"/>
        <v>25000</v>
      </c>
      <c r="M696" s="7">
        <f t="shared" si="73"/>
        <v>0</v>
      </c>
      <c r="N696" s="7">
        <f t="shared" si="74"/>
        <v>127885.41</v>
      </c>
      <c r="O696" s="7" t="str">
        <f t="shared" si="75"/>
        <v>HDFC 5930</v>
      </c>
    </row>
    <row r="697" spans="1:15" x14ac:dyDescent="0.25">
      <c r="A697" s="1">
        <v>45232</v>
      </c>
      <c r="B697" t="s">
        <v>472</v>
      </c>
      <c r="C697" s="1">
        <v>45232</v>
      </c>
      <c r="D697" s="2">
        <v>80.52</v>
      </c>
      <c r="E697" s="2">
        <v>0</v>
      </c>
      <c r="F697" s="2">
        <v>127804.89</v>
      </c>
      <c r="G697" t="s">
        <v>719</v>
      </c>
      <c r="H697" s="7">
        <f t="shared" si="76"/>
        <v>0</v>
      </c>
      <c r="I697" s="1">
        <f t="shared" si="70"/>
        <v>45232</v>
      </c>
      <c r="J697" s="1" t="str">
        <f t="shared" si="71"/>
        <v>NET PI TO HSL SEC A/C 347707-00602340029392</v>
      </c>
      <c r="L697" s="7">
        <f t="shared" si="72"/>
        <v>80.52</v>
      </c>
      <c r="M697" s="7">
        <f t="shared" si="73"/>
        <v>0</v>
      </c>
      <c r="N697" s="7">
        <f t="shared" si="74"/>
        <v>127804.89</v>
      </c>
      <c r="O697" s="7" t="str">
        <f t="shared" si="75"/>
        <v>HDFC 5930</v>
      </c>
    </row>
    <row r="698" spans="1:15" x14ac:dyDescent="0.25">
      <c r="A698" s="1">
        <v>45232</v>
      </c>
      <c r="B698" t="s">
        <v>672</v>
      </c>
      <c r="C698" s="1">
        <v>45232</v>
      </c>
      <c r="D698" s="2">
        <v>24.08</v>
      </c>
      <c r="E698" s="2">
        <v>0</v>
      </c>
      <c r="F698" s="2">
        <v>127780.81</v>
      </c>
      <c r="G698" t="s">
        <v>719</v>
      </c>
      <c r="H698" s="7">
        <f t="shared" si="76"/>
        <v>0</v>
      </c>
      <c r="I698" s="1">
        <f t="shared" si="70"/>
        <v>45232</v>
      </c>
      <c r="J698" s="1" t="str">
        <f t="shared" si="71"/>
        <v>JULSEP23 INSTAALERTCHG 102 SMS 031023-MIR2430528284901</v>
      </c>
      <c r="L698" s="7">
        <f t="shared" si="72"/>
        <v>24.08</v>
      </c>
      <c r="M698" s="7">
        <f t="shared" si="73"/>
        <v>0</v>
      </c>
      <c r="N698" s="7">
        <f t="shared" si="74"/>
        <v>127780.81</v>
      </c>
      <c r="O698" s="7" t="str">
        <f t="shared" si="75"/>
        <v>HDFC 5930</v>
      </c>
    </row>
    <row r="699" spans="1:15" x14ac:dyDescent="0.25">
      <c r="A699" s="1">
        <v>45232</v>
      </c>
      <c r="B699" t="s">
        <v>673</v>
      </c>
      <c r="C699" s="1">
        <v>45232</v>
      </c>
      <c r="D699" s="2">
        <v>75000</v>
      </c>
      <c r="E699" s="2">
        <v>0</v>
      </c>
      <c r="F699" s="2">
        <v>52780.81</v>
      </c>
      <c r="G699" t="s">
        <v>719</v>
      </c>
      <c r="H699" s="7">
        <f t="shared" si="76"/>
        <v>0</v>
      </c>
      <c r="I699" s="1">
        <f t="shared" si="70"/>
        <v>45232</v>
      </c>
      <c r="J699" s="1" t="str">
        <f t="shared" si="71"/>
        <v>NEFT DR-SBIN0011669-AJAY KUMAR GUPTA-NETBANK, MUM-N306232716343009-FROM HDFC BANK AKG</v>
      </c>
      <c r="L699" s="7">
        <f t="shared" si="72"/>
        <v>75000</v>
      </c>
      <c r="M699" s="7">
        <f t="shared" si="73"/>
        <v>0</v>
      </c>
      <c r="N699" s="7">
        <f t="shared" si="74"/>
        <v>52780.81</v>
      </c>
      <c r="O699" s="7" t="str">
        <f t="shared" si="75"/>
        <v>HDFC 5930</v>
      </c>
    </row>
    <row r="700" spans="1:15" x14ac:dyDescent="0.25">
      <c r="A700" s="1">
        <v>45232</v>
      </c>
      <c r="B700" t="s">
        <v>498</v>
      </c>
      <c r="C700" s="1">
        <v>45232</v>
      </c>
      <c r="D700" s="2">
        <v>0</v>
      </c>
      <c r="E700" s="2">
        <v>595.13</v>
      </c>
      <c r="F700" s="2">
        <v>53375.94</v>
      </c>
      <c r="G700" t="s">
        <v>719</v>
      </c>
      <c r="H700" s="7">
        <f t="shared" si="76"/>
        <v>0</v>
      </c>
      <c r="I700" s="1">
        <f t="shared" si="70"/>
        <v>45232</v>
      </c>
      <c r="J700" s="1" t="str">
        <f t="shared" si="71"/>
        <v>00012050001396HLY INT-IN0020210178</v>
      </c>
      <c r="L700" s="7">
        <f t="shared" si="72"/>
        <v>0</v>
      </c>
      <c r="M700" s="7">
        <f t="shared" si="73"/>
        <v>595.13</v>
      </c>
      <c r="N700" s="7">
        <f t="shared" si="74"/>
        <v>53375.94</v>
      </c>
      <c r="O700" s="7" t="str">
        <f t="shared" si="75"/>
        <v>HDFC 5930</v>
      </c>
    </row>
    <row r="701" spans="1:15" x14ac:dyDescent="0.25">
      <c r="A701" s="1">
        <v>45232</v>
      </c>
      <c r="B701" t="s">
        <v>472</v>
      </c>
      <c r="C701" s="1">
        <v>45232</v>
      </c>
      <c r="D701" s="2">
        <v>2521.4299999999998</v>
      </c>
      <c r="E701" s="2">
        <v>0</v>
      </c>
      <c r="F701" s="2">
        <v>50854.51</v>
      </c>
      <c r="G701" t="s">
        <v>719</v>
      </c>
      <c r="H701" s="7">
        <f t="shared" si="76"/>
        <v>0</v>
      </c>
      <c r="I701" s="1">
        <f t="shared" si="70"/>
        <v>45232</v>
      </c>
      <c r="J701" s="1" t="str">
        <f t="shared" si="71"/>
        <v>NET PI TO HSL SEC A/C 347707-00602340029392</v>
      </c>
      <c r="L701" s="7">
        <f t="shared" si="72"/>
        <v>2521.4299999999998</v>
      </c>
      <c r="M701" s="7">
        <f t="shared" si="73"/>
        <v>0</v>
      </c>
      <c r="N701" s="7">
        <f t="shared" si="74"/>
        <v>50854.51</v>
      </c>
      <c r="O701" s="7" t="str">
        <f t="shared" si="75"/>
        <v>HDFC 5930</v>
      </c>
    </row>
    <row r="702" spans="1:15" x14ac:dyDescent="0.25">
      <c r="A702" s="1">
        <v>45233</v>
      </c>
      <c r="B702" t="s">
        <v>618</v>
      </c>
      <c r="C702" s="1">
        <v>45233</v>
      </c>
      <c r="D702" s="2">
        <v>0</v>
      </c>
      <c r="E702" s="2">
        <v>2408.84</v>
      </c>
      <c r="F702" s="2">
        <v>53263.35</v>
      </c>
      <c r="G702" t="s">
        <v>719</v>
      </c>
      <c r="H702" s="7">
        <f t="shared" si="76"/>
        <v>0</v>
      </c>
      <c r="I702" s="1">
        <f t="shared" si="70"/>
        <v>45233</v>
      </c>
      <c r="J702" s="1" t="str">
        <f t="shared" si="71"/>
        <v>NET PO FROM HSL A/C 347707-50200085415108</v>
      </c>
      <c r="L702" s="7">
        <f t="shared" si="72"/>
        <v>0</v>
      </c>
      <c r="M702" s="7">
        <f t="shared" si="73"/>
        <v>2408.84</v>
      </c>
      <c r="N702" s="7">
        <f t="shared" si="74"/>
        <v>53263.35</v>
      </c>
      <c r="O702" s="7" t="str">
        <f t="shared" si="75"/>
        <v>HDFC 5930</v>
      </c>
    </row>
    <row r="703" spans="1:15" x14ac:dyDescent="0.25">
      <c r="A703" s="1">
        <v>45233</v>
      </c>
      <c r="B703" t="s">
        <v>618</v>
      </c>
      <c r="C703" s="1">
        <v>45233</v>
      </c>
      <c r="D703" s="2">
        <v>0</v>
      </c>
      <c r="E703" s="2">
        <v>11152.79</v>
      </c>
      <c r="F703" s="2">
        <v>64416.14</v>
      </c>
      <c r="G703" t="s">
        <v>719</v>
      </c>
      <c r="H703" s="7">
        <f t="shared" si="76"/>
        <v>0</v>
      </c>
      <c r="I703" s="1">
        <f t="shared" si="70"/>
        <v>45233</v>
      </c>
      <c r="J703" s="1" t="str">
        <f t="shared" si="71"/>
        <v>NET PO FROM HSL A/C 347707-50200085415108</v>
      </c>
      <c r="L703" s="7">
        <f t="shared" si="72"/>
        <v>0</v>
      </c>
      <c r="M703" s="7">
        <f t="shared" si="73"/>
        <v>11152.79</v>
      </c>
      <c r="N703" s="7">
        <f t="shared" si="74"/>
        <v>64416.14</v>
      </c>
      <c r="O703" s="7" t="str">
        <f t="shared" si="75"/>
        <v>HDFC 5930</v>
      </c>
    </row>
    <row r="704" spans="1:15" x14ac:dyDescent="0.25">
      <c r="A704" s="1">
        <v>45233</v>
      </c>
      <c r="B704" t="s">
        <v>472</v>
      </c>
      <c r="C704" s="1">
        <v>45233</v>
      </c>
      <c r="D704" s="2">
        <v>94.8</v>
      </c>
      <c r="E704" s="2">
        <v>0</v>
      </c>
      <c r="F704" s="2">
        <v>64321.34</v>
      </c>
      <c r="G704" t="s">
        <v>719</v>
      </c>
      <c r="H704" s="7">
        <f t="shared" si="76"/>
        <v>0</v>
      </c>
      <c r="I704" s="1">
        <f t="shared" si="70"/>
        <v>45233</v>
      </c>
      <c r="J704" s="1" t="str">
        <f t="shared" si="71"/>
        <v>NET PI TO HSL SEC A/C 347707-00602340029392</v>
      </c>
      <c r="L704" s="7">
        <f t="shared" si="72"/>
        <v>94.8</v>
      </c>
      <c r="M704" s="7">
        <f t="shared" si="73"/>
        <v>0</v>
      </c>
      <c r="N704" s="7">
        <f t="shared" si="74"/>
        <v>64321.34</v>
      </c>
      <c r="O704" s="7" t="str">
        <f t="shared" si="75"/>
        <v>HDFC 5930</v>
      </c>
    </row>
    <row r="705" spans="1:15" x14ac:dyDescent="0.25">
      <c r="A705" s="1">
        <v>45233</v>
      </c>
      <c r="B705" t="s">
        <v>472</v>
      </c>
      <c r="C705" s="1">
        <v>45233</v>
      </c>
      <c r="D705" s="2">
        <v>7029.27</v>
      </c>
      <c r="E705" s="2">
        <v>0</v>
      </c>
      <c r="F705" s="2">
        <v>57292.07</v>
      </c>
      <c r="G705" t="s">
        <v>719</v>
      </c>
      <c r="H705" s="7">
        <f t="shared" si="76"/>
        <v>0</v>
      </c>
      <c r="I705" s="1">
        <f t="shared" si="70"/>
        <v>45233</v>
      </c>
      <c r="J705" s="1" t="str">
        <f t="shared" si="71"/>
        <v>NET PI TO HSL SEC A/C 347707-00602340029392</v>
      </c>
      <c r="L705" s="7">
        <f t="shared" si="72"/>
        <v>7029.27</v>
      </c>
      <c r="M705" s="7">
        <f t="shared" si="73"/>
        <v>0</v>
      </c>
      <c r="N705" s="7">
        <f t="shared" si="74"/>
        <v>57292.07</v>
      </c>
      <c r="O705" s="7" t="str">
        <f t="shared" si="75"/>
        <v>HDFC 5930</v>
      </c>
    </row>
    <row r="706" spans="1:15" x14ac:dyDescent="0.25">
      <c r="A706" s="1">
        <v>45233</v>
      </c>
      <c r="B706" t="s">
        <v>472</v>
      </c>
      <c r="C706" s="1">
        <v>45233</v>
      </c>
      <c r="D706" s="2">
        <v>39366.959999999999</v>
      </c>
      <c r="E706" s="2">
        <v>0</v>
      </c>
      <c r="F706" s="2">
        <v>17925.11</v>
      </c>
      <c r="G706" t="s">
        <v>719</v>
      </c>
      <c r="H706" s="7">
        <f t="shared" si="76"/>
        <v>0</v>
      </c>
      <c r="I706" s="1">
        <f t="shared" si="70"/>
        <v>45233</v>
      </c>
      <c r="J706" s="1" t="str">
        <f t="shared" si="71"/>
        <v>NET PI TO HSL SEC A/C 347707-00602340029392</v>
      </c>
      <c r="L706" s="7">
        <f t="shared" si="72"/>
        <v>39366.959999999999</v>
      </c>
      <c r="M706" s="7">
        <f t="shared" si="73"/>
        <v>0</v>
      </c>
      <c r="N706" s="7">
        <f t="shared" si="74"/>
        <v>17925.11</v>
      </c>
      <c r="O706" s="7" t="str">
        <f t="shared" si="75"/>
        <v>HDFC 5930</v>
      </c>
    </row>
    <row r="707" spans="1:15" x14ac:dyDescent="0.25">
      <c r="A707" s="1">
        <v>45236</v>
      </c>
      <c r="B707" t="s">
        <v>674</v>
      </c>
      <c r="C707" s="1">
        <v>45236</v>
      </c>
      <c r="D707" s="2">
        <v>0</v>
      </c>
      <c r="E707" s="2">
        <v>100000</v>
      </c>
      <c r="F707" s="2">
        <v>117925.11</v>
      </c>
      <c r="G707" t="s">
        <v>719</v>
      </c>
      <c r="H707" s="7">
        <f t="shared" si="76"/>
        <v>0</v>
      </c>
      <c r="I707" s="1">
        <f t="shared" si="70"/>
        <v>45236</v>
      </c>
      <c r="J707" s="1" t="str">
        <f t="shared" si="71"/>
        <v>NEFT CR-SBIN0011669-MR  AJAY KUMAR GUPTA-AJAY KUMAR GUPTA-SBIN123310294550</v>
      </c>
      <c r="L707" s="7">
        <f t="shared" si="72"/>
        <v>0</v>
      </c>
      <c r="M707" s="7">
        <f t="shared" si="73"/>
        <v>100000</v>
      </c>
      <c r="N707" s="7">
        <f t="shared" si="74"/>
        <v>117925.11</v>
      </c>
      <c r="O707" s="7" t="str">
        <f t="shared" si="75"/>
        <v>HDFC 5930</v>
      </c>
    </row>
    <row r="708" spans="1:15" x14ac:dyDescent="0.25">
      <c r="A708" s="1">
        <v>45236</v>
      </c>
      <c r="B708" t="s">
        <v>675</v>
      </c>
      <c r="C708" s="1">
        <v>45236</v>
      </c>
      <c r="D708" s="2">
        <v>75000</v>
      </c>
      <c r="E708" s="2">
        <v>0</v>
      </c>
      <c r="F708" s="2">
        <v>42925.11</v>
      </c>
      <c r="G708" t="s">
        <v>719</v>
      </c>
      <c r="H708" s="7">
        <f t="shared" si="76"/>
        <v>0</v>
      </c>
      <c r="I708" s="1">
        <f t="shared" si="70"/>
        <v>45236</v>
      </c>
      <c r="J708" s="1" t="str">
        <f t="shared" si="71"/>
        <v>50100542230922-TPT-GIFT TO ARCHIT-ARCHIT GUPTA</v>
      </c>
      <c r="L708" s="7">
        <f t="shared" si="72"/>
        <v>75000</v>
      </c>
      <c r="M708" s="7">
        <f t="shared" si="73"/>
        <v>0</v>
      </c>
      <c r="N708" s="7">
        <f t="shared" si="74"/>
        <v>42925.11</v>
      </c>
      <c r="O708" s="7" t="str">
        <f t="shared" si="75"/>
        <v>HDFC 5930</v>
      </c>
    </row>
    <row r="709" spans="1:15" x14ac:dyDescent="0.25">
      <c r="A709" s="1">
        <v>45236</v>
      </c>
      <c r="B709" t="s">
        <v>472</v>
      </c>
      <c r="C709" s="1">
        <v>45236</v>
      </c>
      <c r="D709" s="2">
        <v>231.99</v>
      </c>
      <c r="E709" s="2">
        <v>0</v>
      </c>
      <c r="F709" s="2">
        <v>42693.120000000003</v>
      </c>
      <c r="G709" t="s">
        <v>719</v>
      </c>
      <c r="H709" s="7">
        <f t="shared" si="76"/>
        <v>0</v>
      </c>
      <c r="I709" s="1">
        <f t="shared" si="70"/>
        <v>45236</v>
      </c>
      <c r="J709" s="1" t="str">
        <f t="shared" si="71"/>
        <v>NET PI TO HSL SEC A/C 347707-00602340029392</v>
      </c>
      <c r="L709" s="7">
        <f t="shared" si="72"/>
        <v>231.99</v>
      </c>
      <c r="M709" s="7">
        <f t="shared" si="73"/>
        <v>0</v>
      </c>
      <c r="N709" s="7">
        <f t="shared" si="74"/>
        <v>42693.120000000003</v>
      </c>
      <c r="O709" s="7" t="str">
        <f t="shared" si="75"/>
        <v>HDFC 5930</v>
      </c>
    </row>
    <row r="710" spans="1:15" x14ac:dyDescent="0.25">
      <c r="A710" s="1">
        <v>45236</v>
      </c>
      <c r="B710" t="s">
        <v>676</v>
      </c>
      <c r="C710" s="1">
        <v>45236</v>
      </c>
      <c r="D710" s="2">
        <v>0</v>
      </c>
      <c r="E710" s="2">
        <v>1460</v>
      </c>
      <c r="F710" s="2">
        <v>44153.120000000003</v>
      </c>
      <c r="G710" t="s">
        <v>719</v>
      </c>
      <c r="H710" s="7">
        <f t="shared" si="76"/>
        <v>0</v>
      </c>
      <c r="I710" s="1">
        <f t="shared" si="70"/>
        <v>45236</v>
      </c>
      <c r="J710" s="1" t="str">
        <f t="shared" si="71"/>
        <v>0611057191 LTIMINDTREE LIMITED INT DIV 2</v>
      </c>
      <c r="L710" s="7">
        <f t="shared" si="72"/>
        <v>0</v>
      </c>
      <c r="M710" s="7">
        <f t="shared" si="73"/>
        <v>1460</v>
      </c>
      <c r="N710" s="7">
        <f t="shared" si="74"/>
        <v>44153.120000000003</v>
      </c>
      <c r="O710" s="7" t="str">
        <f t="shared" si="75"/>
        <v>HDFC 5930</v>
      </c>
    </row>
    <row r="711" spans="1:15" x14ac:dyDescent="0.25">
      <c r="A711" s="1">
        <v>45236</v>
      </c>
      <c r="B711" t="s">
        <v>677</v>
      </c>
      <c r="C711" s="1">
        <v>45236</v>
      </c>
      <c r="D711" s="2">
        <v>0</v>
      </c>
      <c r="E711" s="2">
        <v>1890</v>
      </c>
      <c r="F711" s="2">
        <v>46043.12</v>
      </c>
      <c r="G711" t="s">
        <v>719</v>
      </c>
      <c r="H711" s="7">
        <f t="shared" si="76"/>
        <v>0</v>
      </c>
      <c r="I711" s="1">
        <f t="shared" si="70"/>
        <v>45236</v>
      </c>
      <c r="J711" s="1" t="str">
        <f t="shared" si="71"/>
        <v>ACH C- INFOSYS LIMITED-37459561</v>
      </c>
      <c r="L711" s="7">
        <f t="shared" si="72"/>
        <v>0</v>
      </c>
      <c r="M711" s="7">
        <f t="shared" si="73"/>
        <v>1890</v>
      </c>
      <c r="N711" s="7">
        <f t="shared" si="74"/>
        <v>46043.12</v>
      </c>
      <c r="O711" s="7" t="str">
        <f t="shared" si="75"/>
        <v>HDFC 5930</v>
      </c>
    </row>
    <row r="712" spans="1:15" x14ac:dyDescent="0.25">
      <c r="A712" s="1">
        <v>45237</v>
      </c>
      <c r="B712" t="s">
        <v>618</v>
      </c>
      <c r="C712" s="1">
        <v>45237</v>
      </c>
      <c r="D712" s="2">
        <v>0</v>
      </c>
      <c r="E712" s="2">
        <v>16597.91</v>
      </c>
      <c r="F712" s="2">
        <v>62641.03</v>
      </c>
      <c r="G712" t="s">
        <v>719</v>
      </c>
      <c r="H712" s="7">
        <f t="shared" si="76"/>
        <v>0</v>
      </c>
      <c r="I712" s="1">
        <f t="shared" si="70"/>
        <v>45237</v>
      </c>
      <c r="J712" s="1" t="str">
        <f t="shared" si="71"/>
        <v>NET PO FROM HSL A/C 347707-50200085415108</v>
      </c>
      <c r="L712" s="7">
        <f t="shared" si="72"/>
        <v>0</v>
      </c>
      <c r="M712" s="7">
        <f t="shared" si="73"/>
        <v>16597.91</v>
      </c>
      <c r="N712" s="7">
        <f t="shared" si="74"/>
        <v>62641.03</v>
      </c>
      <c r="O712" s="7" t="str">
        <f t="shared" si="75"/>
        <v>HDFC 5930</v>
      </c>
    </row>
    <row r="713" spans="1:15" x14ac:dyDescent="0.25">
      <c r="A713" s="1">
        <v>45237</v>
      </c>
      <c r="B713" t="s">
        <v>618</v>
      </c>
      <c r="C713" s="1">
        <v>45237</v>
      </c>
      <c r="D713" s="2">
        <v>0</v>
      </c>
      <c r="E713" s="2">
        <v>33641.08</v>
      </c>
      <c r="F713" s="2">
        <v>96282.11</v>
      </c>
      <c r="G713" t="s">
        <v>719</v>
      </c>
      <c r="H713" s="7">
        <f t="shared" si="76"/>
        <v>0</v>
      </c>
      <c r="I713" s="1">
        <f t="shared" si="70"/>
        <v>45237</v>
      </c>
      <c r="J713" s="1" t="str">
        <f t="shared" si="71"/>
        <v>NET PO FROM HSL A/C 347707-50200085415108</v>
      </c>
      <c r="L713" s="7">
        <f t="shared" si="72"/>
        <v>0</v>
      </c>
      <c r="M713" s="7">
        <f t="shared" si="73"/>
        <v>33641.08</v>
      </c>
      <c r="N713" s="7">
        <f t="shared" si="74"/>
        <v>96282.11</v>
      </c>
      <c r="O713" s="7" t="str">
        <f t="shared" si="75"/>
        <v>HDFC 5930</v>
      </c>
    </row>
    <row r="714" spans="1:15" x14ac:dyDescent="0.25">
      <c r="A714" s="1">
        <v>45237</v>
      </c>
      <c r="B714" t="s">
        <v>472</v>
      </c>
      <c r="C714" s="1">
        <v>45237</v>
      </c>
      <c r="D714" s="2">
        <v>95.6</v>
      </c>
      <c r="E714" s="2">
        <v>0</v>
      </c>
      <c r="F714" s="2">
        <v>96186.51</v>
      </c>
      <c r="G714" t="s">
        <v>719</v>
      </c>
      <c r="H714" s="7">
        <f t="shared" si="76"/>
        <v>0</v>
      </c>
      <c r="I714" s="1">
        <f t="shared" si="70"/>
        <v>45237</v>
      </c>
      <c r="J714" s="1" t="str">
        <f t="shared" si="71"/>
        <v>NET PI TO HSL SEC A/C 347707-00602340029392</v>
      </c>
      <c r="L714" s="7">
        <f t="shared" si="72"/>
        <v>95.6</v>
      </c>
      <c r="M714" s="7">
        <f t="shared" si="73"/>
        <v>0</v>
      </c>
      <c r="N714" s="7">
        <f t="shared" si="74"/>
        <v>96186.51</v>
      </c>
      <c r="O714" s="7" t="str">
        <f t="shared" si="75"/>
        <v>HDFC 5930</v>
      </c>
    </row>
    <row r="715" spans="1:15" x14ac:dyDescent="0.25">
      <c r="A715" s="1">
        <v>45237</v>
      </c>
      <c r="B715" t="s">
        <v>678</v>
      </c>
      <c r="C715" s="1">
        <v>45237</v>
      </c>
      <c r="D715" s="2">
        <v>0</v>
      </c>
      <c r="E715" s="2">
        <v>81</v>
      </c>
      <c r="F715" s="2">
        <v>96267.51</v>
      </c>
      <c r="G715" t="s">
        <v>719</v>
      </c>
      <c r="H715" s="7">
        <f t="shared" si="76"/>
        <v>0</v>
      </c>
      <c r="I715" s="1">
        <f t="shared" si="70"/>
        <v>45237</v>
      </c>
      <c r="J715" s="1" t="str">
        <f t="shared" si="71"/>
        <v>ACH C- TCS2NDINTDIV071123-991067</v>
      </c>
      <c r="L715" s="7">
        <f t="shared" si="72"/>
        <v>0</v>
      </c>
      <c r="M715" s="7">
        <f t="shared" si="73"/>
        <v>81</v>
      </c>
      <c r="N715" s="7">
        <f t="shared" si="74"/>
        <v>96267.51</v>
      </c>
      <c r="O715" s="7" t="str">
        <f t="shared" si="75"/>
        <v>HDFC 5930</v>
      </c>
    </row>
    <row r="716" spans="1:15" x14ac:dyDescent="0.25">
      <c r="A716" s="1">
        <v>45238</v>
      </c>
      <c r="B716" t="s">
        <v>618</v>
      </c>
      <c r="C716" s="1">
        <v>45238</v>
      </c>
      <c r="D716" s="2">
        <v>0</v>
      </c>
      <c r="E716" s="2">
        <v>500.26</v>
      </c>
      <c r="F716" s="2">
        <v>96767.77</v>
      </c>
      <c r="G716" t="s">
        <v>719</v>
      </c>
      <c r="H716" s="7">
        <f t="shared" si="76"/>
        <v>0</v>
      </c>
      <c r="I716" s="1">
        <f t="shared" si="70"/>
        <v>45238</v>
      </c>
      <c r="J716" s="1" t="str">
        <f t="shared" si="71"/>
        <v>NET PO FROM HSL A/C 347707-50200085415108</v>
      </c>
      <c r="L716" s="7">
        <f t="shared" si="72"/>
        <v>0</v>
      </c>
      <c r="M716" s="7">
        <f t="shared" si="73"/>
        <v>500.26</v>
      </c>
      <c r="N716" s="7">
        <f t="shared" si="74"/>
        <v>96767.77</v>
      </c>
      <c r="O716" s="7" t="str">
        <f t="shared" si="75"/>
        <v>HDFC 5930</v>
      </c>
    </row>
    <row r="717" spans="1:15" x14ac:dyDescent="0.25">
      <c r="A717" s="1">
        <v>45238</v>
      </c>
      <c r="B717" t="s">
        <v>618</v>
      </c>
      <c r="C717" s="1">
        <v>45238</v>
      </c>
      <c r="D717" s="2">
        <v>0</v>
      </c>
      <c r="E717" s="2">
        <v>5764.46</v>
      </c>
      <c r="F717" s="2">
        <v>102532.23</v>
      </c>
      <c r="G717" t="s">
        <v>719</v>
      </c>
      <c r="H717" s="7">
        <f t="shared" si="76"/>
        <v>0</v>
      </c>
      <c r="I717" s="1">
        <f t="shared" si="70"/>
        <v>45238</v>
      </c>
      <c r="J717" s="1" t="str">
        <f t="shared" si="71"/>
        <v>NET PO FROM HSL A/C 347707-50200085415108</v>
      </c>
      <c r="L717" s="7">
        <f t="shared" si="72"/>
        <v>0</v>
      </c>
      <c r="M717" s="7">
        <f t="shared" si="73"/>
        <v>5764.46</v>
      </c>
      <c r="N717" s="7">
        <f t="shared" si="74"/>
        <v>102532.23</v>
      </c>
      <c r="O717" s="7" t="str">
        <f t="shared" si="75"/>
        <v>HDFC 5930</v>
      </c>
    </row>
    <row r="718" spans="1:15" x14ac:dyDescent="0.25">
      <c r="A718" s="1">
        <v>45238</v>
      </c>
      <c r="B718" t="s">
        <v>472</v>
      </c>
      <c r="C718" s="1">
        <v>45238</v>
      </c>
      <c r="D718" s="2">
        <v>110.88</v>
      </c>
      <c r="E718" s="2">
        <v>0</v>
      </c>
      <c r="F718" s="2">
        <v>102421.35</v>
      </c>
      <c r="G718" t="s">
        <v>719</v>
      </c>
      <c r="H718" s="7">
        <f t="shared" si="76"/>
        <v>0</v>
      </c>
      <c r="I718" s="1">
        <f t="shared" si="70"/>
        <v>45238</v>
      </c>
      <c r="J718" s="1" t="str">
        <f t="shared" si="71"/>
        <v>NET PI TO HSL SEC A/C 347707-00602340029392</v>
      </c>
      <c r="L718" s="7">
        <f t="shared" si="72"/>
        <v>110.88</v>
      </c>
      <c r="M718" s="7">
        <f t="shared" si="73"/>
        <v>0</v>
      </c>
      <c r="N718" s="7">
        <f t="shared" si="74"/>
        <v>102421.35</v>
      </c>
      <c r="O718" s="7" t="str">
        <f t="shared" si="75"/>
        <v>HDFC 5930</v>
      </c>
    </row>
    <row r="719" spans="1:15" x14ac:dyDescent="0.25">
      <c r="A719" s="1">
        <v>45238</v>
      </c>
      <c r="B719" t="s">
        <v>472</v>
      </c>
      <c r="C719" s="1">
        <v>45238</v>
      </c>
      <c r="D719" s="2">
        <v>16094.15</v>
      </c>
      <c r="E719" s="2">
        <v>0</v>
      </c>
      <c r="F719" s="2">
        <v>86327.2</v>
      </c>
      <c r="G719" t="s">
        <v>719</v>
      </c>
      <c r="H719" s="7">
        <f t="shared" si="76"/>
        <v>0</v>
      </c>
      <c r="I719" s="1">
        <f t="shared" si="70"/>
        <v>45238</v>
      </c>
      <c r="J719" s="1" t="str">
        <f t="shared" si="71"/>
        <v>NET PI TO HSL SEC A/C 347707-00602340029392</v>
      </c>
      <c r="L719" s="7">
        <f t="shared" si="72"/>
        <v>16094.15</v>
      </c>
      <c r="M719" s="7">
        <f t="shared" si="73"/>
        <v>0</v>
      </c>
      <c r="N719" s="7">
        <f t="shared" si="74"/>
        <v>86327.2</v>
      </c>
      <c r="O719" s="7" t="str">
        <f t="shared" si="75"/>
        <v>HDFC 5930</v>
      </c>
    </row>
    <row r="720" spans="1:15" x14ac:dyDescent="0.25">
      <c r="A720" s="1">
        <v>45238</v>
      </c>
      <c r="B720" t="s">
        <v>472</v>
      </c>
      <c r="C720" s="1">
        <v>45238</v>
      </c>
      <c r="D720" s="2">
        <v>27124.59</v>
      </c>
      <c r="E720" s="2">
        <v>0</v>
      </c>
      <c r="F720" s="2">
        <v>59202.61</v>
      </c>
      <c r="G720" t="s">
        <v>719</v>
      </c>
      <c r="H720" s="7">
        <f t="shared" si="76"/>
        <v>0</v>
      </c>
      <c r="I720" s="1">
        <f t="shared" si="70"/>
        <v>45238</v>
      </c>
      <c r="J720" s="1" t="str">
        <f t="shared" si="71"/>
        <v>NET PI TO HSL SEC A/C 347707-00602340029392</v>
      </c>
      <c r="L720" s="7">
        <f t="shared" si="72"/>
        <v>27124.59</v>
      </c>
      <c r="M720" s="7">
        <f t="shared" si="73"/>
        <v>0</v>
      </c>
      <c r="N720" s="7">
        <f t="shared" si="74"/>
        <v>59202.61</v>
      </c>
      <c r="O720" s="7" t="str">
        <f t="shared" si="75"/>
        <v>HDFC 5930</v>
      </c>
    </row>
    <row r="721" spans="1:15" x14ac:dyDescent="0.25">
      <c r="A721" s="1">
        <v>45239</v>
      </c>
      <c r="B721" t="s">
        <v>472</v>
      </c>
      <c r="C721" s="1">
        <v>45239</v>
      </c>
      <c r="D721" s="2">
        <v>101.4</v>
      </c>
      <c r="E721" s="2">
        <v>0</v>
      </c>
      <c r="F721" s="2">
        <v>59101.21</v>
      </c>
      <c r="G721" t="s">
        <v>719</v>
      </c>
      <c r="H721" s="7">
        <f t="shared" si="76"/>
        <v>0</v>
      </c>
      <c r="I721" s="1">
        <f t="shared" si="70"/>
        <v>45239</v>
      </c>
      <c r="J721" s="1" t="str">
        <f t="shared" si="71"/>
        <v>NET PI TO HSL SEC A/C 347707-00602340029392</v>
      </c>
      <c r="L721" s="7">
        <f t="shared" si="72"/>
        <v>101.4</v>
      </c>
      <c r="M721" s="7">
        <f t="shared" si="73"/>
        <v>0</v>
      </c>
      <c r="N721" s="7">
        <f t="shared" si="74"/>
        <v>59101.21</v>
      </c>
      <c r="O721" s="7" t="str">
        <f t="shared" si="75"/>
        <v>HDFC 5930</v>
      </c>
    </row>
    <row r="722" spans="1:15" x14ac:dyDescent="0.25">
      <c r="A722" s="1">
        <v>45239</v>
      </c>
      <c r="B722" t="s">
        <v>679</v>
      </c>
      <c r="C722" s="1">
        <v>45239</v>
      </c>
      <c r="D722" s="2">
        <v>295</v>
      </c>
      <c r="E722" s="2">
        <v>0</v>
      </c>
      <c r="F722" s="2">
        <v>58806.21</v>
      </c>
      <c r="G722" t="s">
        <v>719</v>
      </c>
      <c r="H722" s="7">
        <f t="shared" si="76"/>
        <v>0</v>
      </c>
      <c r="I722" s="1">
        <f t="shared" ref="I722:I785" si="77">A722</f>
        <v>45239</v>
      </c>
      <c r="J722" s="1" t="str">
        <f t="shared" ref="J722:J785" si="78">B722</f>
        <v>ISAQMC-APR-JUN23-101236 031023-MIR2431350134475</v>
      </c>
      <c r="L722" s="7">
        <f t="shared" ref="L722:L785" si="79">D722</f>
        <v>295</v>
      </c>
      <c r="M722" s="7">
        <f t="shared" ref="M722:M785" si="80">E722</f>
        <v>0</v>
      </c>
      <c r="N722" s="7">
        <f t="shared" ref="N722:N785" si="81">F722</f>
        <v>58806.21</v>
      </c>
      <c r="O722" s="7" t="str">
        <f t="shared" ref="O722:O785" si="82">G722</f>
        <v>HDFC 5930</v>
      </c>
    </row>
    <row r="723" spans="1:15" x14ac:dyDescent="0.25">
      <c r="A723" s="1">
        <v>45239</v>
      </c>
      <c r="B723" t="s">
        <v>680</v>
      </c>
      <c r="C723" s="1">
        <v>45239</v>
      </c>
      <c r="D723" s="2">
        <v>0</v>
      </c>
      <c r="E723" s="2">
        <v>188.09</v>
      </c>
      <c r="F723" s="2">
        <v>58994.3</v>
      </c>
      <c r="G723" t="s">
        <v>719</v>
      </c>
      <c r="H723" s="7">
        <f t="shared" ref="H723:H786" si="83">F722-D723+E723-F723</f>
        <v>0</v>
      </c>
      <c r="I723" s="1">
        <f t="shared" si="77"/>
        <v>45239</v>
      </c>
      <c r="J723" s="1" t="str">
        <f t="shared" si="78"/>
        <v>NEFT CR-IDFB0010204-BEACON TRUSTEESHIP LIMITED-AJAY  KUMAR GUPTA-IDFBH23313837989</v>
      </c>
      <c r="L723" s="7">
        <f t="shared" si="79"/>
        <v>0</v>
      </c>
      <c r="M723" s="7">
        <f t="shared" si="80"/>
        <v>188.09</v>
      </c>
      <c r="N723" s="7">
        <f t="shared" si="81"/>
        <v>58994.3</v>
      </c>
      <c r="O723" s="7" t="str">
        <f t="shared" si="82"/>
        <v>HDFC 5930</v>
      </c>
    </row>
    <row r="724" spans="1:15" x14ac:dyDescent="0.25">
      <c r="A724" s="1">
        <v>45240</v>
      </c>
      <c r="B724" t="s">
        <v>618</v>
      </c>
      <c r="C724" s="1">
        <v>45240</v>
      </c>
      <c r="D724" s="2">
        <v>0</v>
      </c>
      <c r="E724" s="2">
        <v>351.47</v>
      </c>
      <c r="F724" s="2">
        <v>59345.77</v>
      </c>
      <c r="G724" t="s">
        <v>719</v>
      </c>
      <c r="H724" s="7">
        <f t="shared" si="83"/>
        <v>0</v>
      </c>
      <c r="I724" s="1">
        <f t="shared" si="77"/>
        <v>45240</v>
      </c>
      <c r="J724" s="1" t="str">
        <f t="shared" si="78"/>
        <v>NET PO FROM HSL A/C 347707-50200085415108</v>
      </c>
      <c r="L724" s="7">
        <f t="shared" si="79"/>
        <v>0</v>
      </c>
      <c r="M724" s="7">
        <f t="shared" si="80"/>
        <v>351.47</v>
      </c>
      <c r="N724" s="7">
        <f t="shared" si="81"/>
        <v>59345.77</v>
      </c>
      <c r="O724" s="7" t="str">
        <f t="shared" si="82"/>
        <v>HDFC 5930</v>
      </c>
    </row>
    <row r="725" spans="1:15" x14ac:dyDescent="0.25">
      <c r="A725" s="1">
        <v>45240</v>
      </c>
      <c r="B725" t="s">
        <v>681</v>
      </c>
      <c r="C725" s="1">
        <v>45240</v>
      </c>
      <c r="D725" s="2">
        <v>10000</v>
      </c>
      <c r="E725" s="2">
        <v>0</v>
      </c>
      <c r="F725" s="2">
        <v>49345.77</v>
      </c>
      <c r="G725" t="s">
        <v>719</v>
      </c>
      <c r="H725" s="7">
        <f t="shared" si="83"/>
        <v>0</v>
      </c>
      <c r="I725" s="1">
        <f t="shared" si="77"/>
        <v>45240</v>
      </c>
      <c r="J725" s="1" t="str">
        <f t="shared" si="78"/>
        <v>ACH D- INDIAN CLEARING CORP-P25847605X05</v>
      </c>
      <c r="L725" s="7">
        <f t="shared" si="79"/>
        <v>10000</v>
      </c>
      <c r="M725" s="7">
        <f t="shared" si="80"/>
        <v>0</v>
      </c>
      <c r="N725" s="7">
        <f t="shared" si="81"/>
        <v>49345.77</v>
      </c>
      <c r="O725" s="7" t="str">
        <f t="shared" si="82"/>
        <v>HDFC 5930</v>
      </c>
    </row>
    <row r="726" spans="1:15" x14ac:dyDescent="0.25">
      <c r="A726" s="1">
        <v>45240</v>
      </c>
      <c r="B726" t="s">
        <v>472</v>
      </c>
      <c r="C726" s="1">
        <v>45240</v>
      </c>
      <c r="D726" s="2">
        <v>126.73</v>
      </c>
      <c r="E726" s="2">
        <v>0</v>
      </c>
      <c r="F726" s="2">
        <v>49219.040000000001</v>
      </c>
      <c r="G726" t="s">
        <v>719</v>
      </c>
      <c r="H726" s="7">
        <f t="shared" si="83"/>
        <v>0</v>
      </c>
      <c r="I726" s="1">
        <f t="shared" si="77"/>
        <v>45240</v>
      </c>
      <c r="J726" s="1" t="str">
        <f t="shared" si="78"/>
        <v>NET PI TO HSL SEC A/C 347707-00602340029392</v>
      </c>
      <c r="L726" s="7">
        <f t="shared" si="79"/>
        <v>126.73</v>
      </c>
      <c r="M726" s="7">
        <f t="shared" si="80"/>
        <v>0</v>
      </c>
      <c r="N726" s="7">
        <f t="shared" si="81"/>
        <v>49219.040000000001</v>
      </c>
      <c r="O726" s="7" t="str">
        <f t="shared" si="82"/>
        <v>HDFC 5930</v>
      </c>
    </row>
    <row r="727" spans="1:15" x14ac:dyDescent="0.25">
      <c r="A727" s="1">
        <v>45240</v>
      </c>
      <c r="B727" t="s">
        <v>618</v>
      </c>
      <c r="C727" s="1">
        <v>45240</v>
      </c>
      <c r="D727" s="2">
        <v>0</v>
      </c>
      <c r="E727" s="2">
        <v>394.72</v>
      </c>
      <c r="F727" s="2">
        <v>49613.760000000002</v>
      </c>
      <c r="G727" t="s">
        <v>719</v>
      </c>
      <c r="H727" s="7">
        <f t="shared" si="83"/>
        <v>0</v>
      </c>
      <c r="I727" s="1">
        <f t="shared" si="77"/>
        <v>45240</v>
      </c>
      <c r="J727" s="1" t="str">
        <f t="shared" si="78"/>
        <v>NET PO FROM HSL A/C 347707-50200085415108</v>
      </c>
      <c r="L727" s="7">
        <f t="shared" si="79"/>
        <v>0</v>
      </c>
      <c r="M727" s="7">
        <f t="shared" si="80"/>
        <v>394.72</v>
      </c>
      <c r="N727" s="7">
        <f t="shared" si="81"/>
        <v>49613.760000000002</v>
      </c>
      <c r="O727" s="7" t="str">
        <f t="shared" si="82"/>
        <v>HDFC 5930</v>
      </c>
    </row>
    <row r="728" spans="1:15" x14ac:dyDescent="0.25">
      <c r="A728" s="1">
        <v>45243</v>
      </c>
      <c r="B728" t="s">
        <v>472</v>
      </c>
      <c r="C728" s="1">
        <v>45243</v>
      </c>
      <c r="D728" s="2">
        <v>6423.96</v>
      </c>
      <c r="E728" s="2">
        <v>0</v>
      </c>
      <c r="F728" s="2">
        <v>43189.8</v>
      </c>
      <c r="G728" t="s">
        <v>719</v>
      </c>
      <c r="H728" s="7">
        <f t="shared" si="83"/>
        <v>0</v>
      </c>
      <c r="I728" s="1">
        <f t="shared" si="77"/>
        <v>45243</v>
      </c>
      <c r="J728" s="1" t="str">
        <f t="shared" si="78"/>
        <v>NET PI TO HSL SEC A/C 347707-00602340029392</v>
      </c>
      <c r="L728" s="7">
        <f t="shared" si="79"/>
        <v>6423.96</v>
      </c>
      <c r="M728" s="7">
        <f t="shared" si="80"/>
        <v>0</v>
      </c>
      <c r="N728" s="7">
        <f t="shared" si="81"/>
        <v>43189.8</v>
      </c>
      <c r="O728" s="7" t="str">
        <f t="shared" si="82"/>
        <v>HDFC 5930</v>
      </c>
    </row>
    <row r="729" spans="1:15" x14ac:dyDescent="0.25">
      <c r="A729" s="1">
        <v>45243</v>
      </c>
      <c r="B729" t="s">
        <v>618</v>
      </c>
      <c r="C729" s="1">
        <v>45243</v>
      </c>
      <c r="D729" s="2">
        <v>0</v>
      </c>
      <c r="E729" s="2">
        <v>2610.5100000000002</v>
      </c>
      <c r="F729" s="2">
        <v>45800.31</v>
      </c>
      <c r="G729" t="s">
        <v>719</v>
      </c>
      <c r="H729" s="7">
        <f t="shared" si="83"/>
        <v>0</v>
      </c>
      <c r="I729" s="1">
        <f t="shared" si="77"/>
        <v>45243</v>
      </c>
      <c r="J729" s="1" t="str">
        <f t="shared" si="78"/>
        <v>NET PO FROM HSL A/C 347707-50200085415108</v>
      </c>
      <c r="L729" s="7">
        <f t="shared" si="79"/>
        <v>0</v>
      </c>
      <c r="M729" s="7">
        <f t="shared" si="80"/>
        <v>2610.5100000000002</v>
      </c>
      <c r="N729" s="7">
        <f t="shared" si="81"/>
        <v>45800.31</v>
      </c>
      <c r="O729" s="7" t="str">
        <f t="shared" si="82"/>
        <v>HDFC 5930</v>
      </c>
    </row>
    <row r="730" spans="1:15" x14ac:dyDescent="0.25">
      <c r="A730" s="1">
        <v>45243</v>
      </c>
      <c r="B730" t="s">
        <v>682</v>
      </c>
      <c r="C730" s="1">
        <v>45243</v>
      </c>
      <c r="D730" s="2">
        <v>0</v>
      </c>
      <c r="E730" s="2">
        <v>40000</v>
      </c>
      <c r="F730" s="2">
        <v>85800.31</v>
      </c>
      <c r="G730" t="s">
        <v>719</v>
      </c>
      <c r="H730" s="7">
        <f t="shared" si="83"/>
        <v>0</v>
      </c>
      <c r="I730" s="1">
        <f t="shared" si="77"/>
        <v>45243</v>
      </c>
      <c r="J730" s="1" t="str">
        <f t="shared" si="78"/>
        <v>50100542230922-TPT-MONEY RETRNED TO AKG-ARCHIT GUPTA</v>
      </c>
      <c r="L730" s="7">
        <f t="shared" si="79"/>
        <v>0</v>
      </c>
      <c r="M730" s="7">
        <f t="shared" si="80"/>
        <v>40000</v>
      </c>
      <c r="N730" s="7">
        <f t="shared" si="81"/>
        <v>85800.31</v>
      </c>
      <c r="O730" s="7" t="str">
        <f t="shared" si="82"/>
        <v>HDFC 5930</v>
      </c>
    </row>
    <row r="731" spans="1:15" x14ac:dyDescent="0.25">
      <c r="A731" s="1">
        <v>45243</v>
      </c>
      <c r="B731" t="s">
        <v>683</v>
      </c>
      <c r="C731" s="1">
        <v>45243</v>
      </c>
      <c r="D731" s="2">
        <v>0</v>
      </c>
      <c r="E731" s="2">
        <v>50000</v>
      </c>
      <c r="F731" s="2">
        <v>135800.31</v>
      </c>
      <c r="G731" t="s">
        <v>719</v>
      </c>
      <c r="H731" s="7">
        <f t="shared" si="83"/>
        <v>0</v>
      </c>
      <c r="I731" s="1">
        <f t="shared" si="77"/>
        <v>45243</v>
      </c>
      <c r="J731" s="1" t="str">
        <f t="shared" si="78"/>
        <v>01671000060094-TPT-MONEY RETRN TO AKG-SUNITA GUPTA</v>
      </c>
      <c r="L731" s="7">
        <f t="shared" si="79"/>
        <v>0</v>
      </c>
      <c r="M731" s="7">
        <f t="shared" si="80"/>
        <v>50000</v>
      </c>
      <c r="N731" s="7">
        <f t="shared" si="81"/>
        <v>135800.31</v>
      </c>
      <c r="O731" s="7" t="str">
        <f t="shared" si="82"/>
        <v>HDFC 5930</v>
      </c>
    </row>
    <row r="732" spans="1:15" x14ac:dyDescent="0.25">
      <c r="A732" s="1">
        <v>45243</v>
      </c>
      <c r="B732" t="s">
        <v>684</v>
      </c>
      <c r="C732" s="1">
        <v>45243</v>
      </c>
      <c r="D732" s="2">
        <v>75000</v>
      </c>
      <c r="E732" s="2">
        <v>0</v>
      </c>
      <c r="F732" s="2">
        <v>60800.31</v>
      </c>
      <c r="G732" t="s">
        <v>719</v>
      </c>
      <c r="H732" s="7">
        <f t="shared" si="83"/>
        <v>0</v>
      </c>
      <c r="I732" s="1">
        <f t="shared" si="77"/>
        <v>45243</v>
      </c>
      <c r="J732" s="1" t="str">
        <f t="shared" si="78"/>
        <v>NEFT DR-SBIN0011669-AJAY KUMAR GUPTA-NETBANK, MUM-N317232738102386-TRN TO SBI LOAN AC</v>
      </c>
      <c r="L732" s="7">
        <f t="shared" si="79"/>
        <v>75000</v>
      </c>
      <c r="M732" s="7">
        <f t="shared" si="80"/>
        <v>0</v>
      </c>
      <c r="N732" s="7">
        <f t="shared" si="81"/>
        <v>60800.31</v>
      </c>
      <c r="O732" s="7" t="str">
        <f t="shared" si="82"/>
        <v>HDFC 5930</v>
      </c>
    </row>
    <row r="733" spans="1:15" x14ac:dyDescent="0.25">
      <c r="A733" s="1">
        <v>45243</v>
      </c>
      <c r="B733" t="s">
        <v>472</v>
      </c>
      <c r="C733" s="1">
        <v>45243</v>
      </c>
      <c r="D733" s="2">
        <v>5084.8100000000004</v>
      </c>
      <c r="E733" s="2">
        <v>0</v>
      </c>
      <c r="F733" s="2">
        <v>55715.5</v>
      </c>
      <c r="G733" t="s">
        <v>719</v>
      </c>
      <c r="H733" s="7">
        <f t="shared" si="83"/>
        <v>0</v>
      </c>
      <c r="I733" s="1">
        <f t="shared" si="77"/>
        <v>45243</v>
      </c>
      <c r="J733" s="1" t="str">
        <f t="shared" si="78"/>
        <v>NET PI TO HSL SEC A/C 347707-00602340029392</v>
      </c>
      <c r="L733" s="7">
        <f t="shared" si="79"/>
        <v>5084.8100000000004</v>
      </c>
      <c r="M733" s="7">
        <f t="shared" si="80"/>
        <v>0</v>
      </c>
      <c r="N733" s="7">
        <f t="shared" si="81"/>
        <v>55715.5</v>
      </c>
      <c r="O733" s="7" t="str">
        <f t="shared" si="82"/>
        <v>HDFC 5930</v>
      </c>
    </row>
    <row r="734" spans="1:15" x14ac:dyDescent="0.25">
      <c r="A734" s="1">
        <v>45245</v>
      </c>
      <c r="B734" t="s">
        <v>618</v>
      </c>
      <c r="C734" s="1">
        <v>45245</v>
      </c>
      <c r="D734" s="2">
        <v>0</v>
      </c>
      <c r="E734" s="2">
        <v>23004.18</v>
      </c>
      <c r="F734" s="2">
        <v>78719.679999999993</v>
      </c>
      <c r="G734" t="s">
        <v>719</v>
      </c>
      <c r="H734" s="7">
        <f t="shared" si="83"/>
        <v>0</v>
      </c>
      <c r="I734" s="1">
        <f t="shared" si="77"/>
        <v>45245</v>
      </c>
      <c r="J734" s="1" t="str">
        <f t="shared" si="78"/>
        <v>NET PO FROM HSL A/C 347707-50200085415108</v>
      </c>
      <c r="L734" s="7">
        <f t="shared" si="79"/>
        <v>0</v>
      </c>
      <c r="M734" s="7">
        <f t="shared" si="80"/>
        <v>23004.18</v>
      </c>
      <c r="N734" s="7">
        <f t="shared" si="81"/>
        <v>78719.679999999993</v>
      </c>
      <c r="O734" s="7" t="str">
        <f t="shared" si="82"/>
        <v>HDFC 5930</v>
      </c>
    </row>
    <row r="735" spans="1:15" x14ac:dyDescent="0.25">
      <c r="A735" s="1">
        <v>45245</v>
      </c>
      <c r="B735" t="s">
        <v>681</v>
      </c>
      <c r="C735" s="1">
        <v>45245</v>
      </c>
      <c r="D735" s="2">
        <v>10000</v>
      </c>
      <c r="E735" s="2">
        <v>0</v>
      </c>
      <c r="F735" s="2">
        <v>68719.679999999993</v>
      </c>
      <c r="G735" t="s">
        <v>719</v>
      </c>
      <c r="H735" s="7">
        <f t="shared" si="83"/>
        <v>0</v>
      </c>
      <c r="I735" s="1">
        <f t="shared" si="77"/>
        <v>45245</v>
      </c>
      <c r="J735" s="1" t="str">
        <f t="shared" si="78"/>
        <v>ACH D- INDIAN CLEARING CORP-P25847605X05</v>
      </c>
      <c r="L735" s="7">
        <f t="shared" si="79"/>
        <v>10000</v>
      </c>
      <c r="M735" s="7">
        <f t="shared" si="80"/>
        <v>0</v>
      </c>
      <c r="N735" s="7">
        <f t="shared" si="81"/>
        <v>68719.679999999993</v>
      </c>
      <c r="O735" s="7" t="str">
        <f t="shared" si="82"/>
        <v>HDFC 5930</v>
      </c>
    </row>
    <row r="736" spans="1:15" x14ac:dyDescent="0.25">
      <c r="A736" s="1">
        <v>45245</v>
      </c>
      <c r="B736" t="s">
        <v>685</v>
      </c>
      <c r="C736" s="1">
        <v>45245</v>
      </c>
      <c r="D736" s="2">
        <v>15000</v>
      </c>
      <c r="E736" s="2">
        <v>0</v>
      </c>
      <c r="F736" s="2">
        <v>53719.68</v>
      </c>
      <c r="G736" t="s">
        <v>719</v>
      </c>
      <c r="H736" s="7">
        <f t="shared" si="83"/>
        <v>0</v>
      </c>
      <c r="I736" s="1">
        <f t="shared" si="77"/>
        <v>45245</v>
      </c>
      <c r="J736" s="1" t="str">
        <f t="shared" si="78"/>
        <v>01671000060094-TPT-BORW FROM AKG-SUNITA GUPTA</v>
      </c>
      <c r="L736" s="7">
        <f t="shared" si="79"/>
        <v>15000</v>
      </c>
      <c r="M736" s="7">
        <f t="shared" si="80"/>
        <v>0</v>
      </c>
      <c r="N736" s="7">
        <f t="shared" si="81"/>
        <v>53719.68</v>
      </c>
      <c r="O736" s="7" t="str">
        <f t="shared" si="82"/>
        <v>HDFC 5930</v>
      </c>
    </row>
    <row r="737" spans="1:15" x14ac:dyDescent="0.25">
      <c r="A737" s="1">
        <v>45245</v>
      </c>
      <c r="B737" t="s">
        <v>472</v>
      </c>
      <c r="C737" s="1">
        <v>45245</v>
      </c>
      <c r="D737" s="2">
        <v>262.5</v>
      </c>
      <c r="E737" s="2">
        <v>0</v>
      </c>
      <c r="F737" s="2">
        <v>53457.18</v>
      </c>
      <c r="G737" t="s">
        <v>719</v>
      </c>
      <c r="H737" s="7">
        <f t="shared" si="83"/>
        <v>0</v>
      </c>
      <c r="I737" s="1">
        <f t="shared" si="77"/>
        <v>45245</v>
      </c>
      <c r="J737" s="1" t="str">
        <f t="shared" si="78"/>
        <v>NET PI TO HSL SEC A/C 347707-00602340029392</v>
      </c>
      <c r="L737" s="7">
        <f t="shared" si="79"/>
        <v>262.5</v>
      </c>
      <c r="M737" s="7">
        <f t="shared" si="80"/>
        <v>0</v>
      </c>
      <c r="N737" s="7">
        <f t="shared" si="81"/>
        <v>53457.18</v>
      </c>
      <c r="O737" s="7" t="str">
        <f t="shared" si="82"/>
        <v>HDFC 5930</v>
      </c>
    </row>
    <row r="738" spans="1:15" x14ac:dyDescent="0.25">
      <c r="A738" s="1">
        <v>45245</v>
      </c>
      <c r="B738" t="s">
        <v>686</v>
      </c>
      <c r="C738" s="1">
        <v>45245</v>
      </c>
      <c r="D738" s="2">
        <v>1779.98</v>
      </c>
      <c r="E738" s="2">
        <v>0</v>
      </c>
      <c r="F738" s="2">
        <v>51677.2</v>
      </c>
      <c r="G738" t="s">
        <v>719</v>
      </c>
      <c r="H738" s="7">
        <f t="shared" si="83"/>
        <v>0</v>
      </c>
      <c r="I738" s="1">
        <f t="shared" si="77"/>
        <v>45245</v>
      </c>
      <c r="J738" s="1" t="str">
        <f t="shared" si="78"/>
        <v>DEPOSITORY CHARGES OCT23 - 40227714</v>
      </c>
      <c r="L738" s="7">
        <f t="shared" si="79"/>
        <v>1779.98</v>
      </c>
      <c r="M738" s="7">
        <f t="shared" si="80"/>
        <v>0</v>
      </c>
      <c r="N738" s="7">
        <f t="shared" si="81"/>
        <v>51677.2</v>
      </c>
      <c r="O738" s="7" t="str">
        <f t="shared" si="82"/>
        <v>HDFC 5930</v>
      </c>
    </row>
    <row r="739" spans="1:15" x14ac:dyDescent="0.25">
      <c r="A739" s="1">
        <v>45245</v>
      </c>
      <c r="B739" t="s">
        <v>472</v>
      </c>
      <c r="C739" s="1">
        <v>45245</v>
      </c>
      <c r="D739" s="2">
        <v>20393.02</v>
      </c>
      <c r="E739" s="2">
        <v>0</v>
      </c>
      <c r="F739" s="2">
        <v>31284.18</v>
      </c>
      <c r="G739" t="s">
        <v>719</v>
      </c>
      <c r="H739" s="7">
        <f t="shared" si="83"/>
        <v>0</v>
      </c>
      <c r="I739" s="1">
        <f t="shared" si="77"/>
        <v>45245</v>
      </c>
      <c r="J739" s="1" t="str">
        <f t="shared" si="78"/>
        <v>NET PI TO HSL SEC A/C 347707-00602340029392</v>
      </c>
      <c r="L739" s="7">
        <f t="shared" si="79"/>
        <v>20393.02</v>
      </c>
      <c r="M739" s="7">
        <f t="shared" si="80"/>
        <v>0</v>
      </c>
      <c r="N739" s="7">
        <f t="shared" si="81"/>
        <v>31284.18</v>
      </c>
      <c r="O739" s="7" t="str">
        <f t="shared" si="82"/>
        <v>HDFC 5930</v>
      </c>
    </row>
    <row r="740" spans="1:15" x14ac:dyDescent="0.25">
      <c r="A740" s="1">
        <v>45246</v>
      </c>
      <c r="B740" t="s">
        <v>618</v>
      </c>
      <c r="C740" s="1">
        <v>45246</v>
      </c>
      <c r="D740" s="2">
        <v>0</v>
      </c>
      <c r="E740" s="2">
        <v>39620.21</v>
      </c>
      <c r="F740" s="2">
        <v>70904.39</v>
      </c>
      <c r="G740" t="s">
        <v>719</v>
      </c>
      <c r="H740" s="7">
        <f t="shared" si="83"/>
        <v>0</v>
      </c>
      <c r="I740" s="1">
        <f t="shared" si="77"/>
        <v>45246</v>
      </c>
      <c r="J740" s="1" t="str">
        <f t="shared" si="78"/>
        <v>NET PO FROM HSL A/C 347707-50200085415108</v>
      </c>
      <c r="L740" s="7">
        <f t="shared" si="79"/>
        <v>0</v>
      </c>
      <c r="M740" s="7">
        <f t="shared" si="80"/>
        <v>39620.21</v>
      </c>
      <c r="N740" s="7">
        <f t="shared" si="81"/>
        <v>70904.39</v>
      </c>
      <c r="O740" s="7" t="str">
        <f t="shared" si="82"/>
        <v>HDFC 5930</v>
      </c>
    </row>
    <row r="741" spans="1:15" x14ac:dyDescent="0.25">
      <c r="A741" s="1">
        <v>45246</v>
      </c>
      <c r="B741" t="s">
        <v>472</v>
      </c>
      <c r="C741" s="1">
        <v>45246</v>
      </c>
      <c r="D741" s="2">
        <v>127.9</v>
      </c>
      <c r="E741" s="2">
        <v>0</v>
      </c>
      <c r="F741" s="2">
        <v>70776.490000000005</v>
      </c>
      <c r="G741" t="s">
        <v>719</v>
      </c>
      <c r="H741" s="7">
        <f t="shared" si="83"/>
        <v>0</v>
      </c>
      <c r="I741" s="1">
        <f t="shared" si="77"/>
        <v>45246</v>
      </c>
      <c r="J741" s="1" t="str">
        <f t="shared" si="78"/>
        <v>NET PI TO HSL SEC A/C 347707-00602340029392</v>
      </c>
      <c r="L741" s="7">
        <f t="shared" si="79"/>
        <v>127.9</v>
      </c>
      <c r="M741" s="7">
        <f t="shared" si="80"/>
        <v>0</v>
      </c>
      <c r="N741" s="7">
        <f t="shared" si="81"/>
        <v>70776.490000000005</v>
      </c>
      <c r="O741" s="7" t="str">
        <f t="shared" si="82"/>
        <v>HDFC 5930</v>
      </c>
    </row>
    <row r="742" spans="1:15" x14ac:dyDescent="0.25">
      <c r="A742" s="1">
        <v>45246</v>
      </c>
      <c r="B742" t="s">
        <v>472</v>
      </c>
      <c r="C742" s="1">
        <v>45246</v>
      </c>
      <c r="D742" s="2">
        <v>33588.69</v>
      </c>
      <c r="E742" s="2">
        <v>0</v>
      </c>
      <c r="F742" s="2">
        <v>37187.800000000003</v>
      </c>
      <c r="G742" t="s">
        <v>719</v>
      </c>
      <c r="H742" s="7">
        <f t="shared" si="83"/>
        <v>0</v>
      </c>
      <c r="I742" s="1">
        <f t="shared" si="77"/>
        <v>45246</v>
      </c>
      <c r="J742" s="1" t="str">
        <f t="shared" si="78"/>
        <v>NET PI TO HSL SEC A/C 347707-00602340029392</v>
      </c>
      <c r="L742" s="7">
        <f t="shared" si="79"/>
        <v>33588.69</v>
      </c>
      <c r="M742" s="7">
        <f t="shared" si="80"/>
        <v>0</v>
      </c>
      <c r="N742" s="7">
        <f t="shared" si="81"/>
        <v>37187.800000000003</v>
      </c>
      <c r="O742" s="7" t="str">
        <f t="shared" si="82"/>
        <v>HDFC 5930</v>
      </c>
    </row>
    <row r="743" spans="1:15" x14ac:dyDescent="0.25">
      <c r="A743" s="1">
        <v>45246</v>
      </c>
      <c r="B743" t="s">
        <v>687</v>
      </c>
      <c r="C743" s="1">
        <v>45246</v>
      </c>
      <c r="D743" s="2">
        <v>0</v>
      </c>
      <c r="E743" s="2">
        <v>15000</v>
      </c>
      <c r="F743" s="2">
        <v>52187.8</v>
      </c>
      <c r="G743" t="s">
        <v>719</v>
      </c>
      <c r="H743" s="7">
        <f t="shared" si="83"/>
        <v>0</v>
      </c>
      <c r="I743" s="1">
        <f t="shared" si="77"/>
        <v>45246</v>
      </c>
      <c r="J743" s="1" t="str">
        <f t="shared" si="78"/>
        <v>01671000060094-TPT-MONEY RETURN TO AJAY-SUNITA GUPTA</v>
      </c>
      <c r="L743" s="7">
        <f t="shared" si="79"/>
        <v>0</v>
      </c>
      <c r="M743" s="7">
        <f t="shared" si="80"/>
        <v>15000</v>
      </c>
      <c r="N743" s="7">
        <f t="shared" si="81"/>
        <v>52187.8</v>
      </c>
      <c r="O743" s="7" t="str">
        <f t="shared" si="82"/>
        <v>HDFC 5930</v>
      </c>
    </row>
    <row r="744" spans="1:15" x14ac:dyDescent="0.25">
      <c r="A744" s="1">
        <v>45247</v>
      </c>
      <c r="B744" t="s">
        <v>618</v>
      </c>
      <c r="C744" s="1">
        <v>45247</v>
      </c>
      <c r="D744" s="2">
        <v>0</v>
      </c>
      <c r="E744" s="2">
        <v>16184.97</v>
      </c>
      <c r="F744" s="2">
        <v>68372.77</v>
      </c>
      <c r="G744" t="s">
        <v>719</v>
      </c>
      <c r="H744" s="7">
        <f t="shared" si="83"/>
        <v>0</v>
      </c>
      <c r="I744" s="1">
        <f t="shared" si="77"/>
        <v>45247</v>
      </c>
      <c r="J744" s="1" t="str">
        <f t="shared" si="78"/>
        <v>NET PO FROM HSL A/C 347707-50200085415108</v>
      </c>
      <c r="L744" s="7">
        <f t="shared" si="79"/>
        <v>0</v>
      </c>
      <c r="M744" s="7">
        <f t="shared" si="80"/>
        <v>16184.97</v>
      </c>
      <c r="N744" s="7">
        <f t="shared" si="81"/>
        <v>68372.77</v>
      </c>
      <c r="O744" s="7" t="str">
        <f t="shared" si="82"/>
        <v>HDFC 5930</v>
      </c>
    </row>
    <row r="745" spans="1:15" x14ac:dyDescent="0.25">
      <c r="A745" s="1">
        <v>45247</v>
      </c>
      <c r="B745" t="s">
        <v>472</v>
      </c>
      <c r="C745" s="1">
        <v>45247</v>
      </c>
      <c r="D745" s="2">
        <v>129.12</v>
      </c>
      <c r="E745" s="2">
        <v>0</v>
      </c>
      <c r="F745" s="2">
        <v>68243.649999999994</v>
      </c>
      <c r="G745" t="s">
        <v>719</v>
      </c>
      <c r="H745" s="7">
        <f t="shared" si="83"/>
        <v>0</v>
      </c>
      <c r="I745" s="1">
        <f t="shared" si="77"/>
        <v>45247</v>
      </c>
      <c r="J745" s="1" t="str">
        <f t="shared" si="78"/>
        <v>NET PI TO HSL SEC A/C 347707-00602340029392</v>
      </c>
      <c r="L745" s="7">
        <f t="shared" si="79"/>
        <v>129.12</v>
      </c>
      <c r="M745" s="7">
        <f t="shared" si="80"/>
        <v>0</v>
      </c>
      <c r="N745" s="7">
        <f t="shared" si="81"/>
        <v>68243.649999999994</v>
      </c>
      <c r="O745" s="7" t="str">
        <f t="shared" si="82"/>
        <v>HDFC 5930</v>
      </c>
    </row>
    <row r="746" spans="1:15" x14ac:dyDescent="0.25">
      <c r="A746" s="1">
        <v>45247</v>
      </c>
      <c r="B746" t="s">
        <v>688</v>
      </c>
      <c r="C746" s="1">
        <v>45247</v>
      </c>
      <c r="D746" s="2">
        <v>0</v>
      </c>
      <c r="E746" s="2">
        <v>70000</v>
      </c>
      <c r="F746" s="2">
        <v>138243.65</v>
      </c>
      <c r="G746" t="s">
        <v>719</v>
      </c>
      <c r="H746" s="7">
        <f t="shared" si="83"/>
        <v>0</v>
      </c>
      <c r="I746" s="1">
        <f t="shared" si="77"/>
        <v>45247</v>
      </c>
      <c r="J746" s="1" t="str">
        <f t="shared" si="78"/>
        <v>01671000060094-TPT-TRANSFER FROM SUNITA-SUNITA GUPTA</v>
      </c>
      <c r="L746" s="7">
        <f t="shared" si="79"/>
        <v>0</v>
      </c>
      <c r="M746" s="7">
        <f t="shared" si="80"/>
        <v>70000</v>
      </c>
      <c r="N746" s="7">
        <f t="shared" si="81"/>
        <v>138243.65</v>
      </c>
      <c r="O746" s="7" t="str">
        <f t="shared" si="82"/>
        <v>HDFC 5930</v>
      </c>
    </row>
    <row r="747" spans="1:15" x14ac:dyDescent="0.25">
      <c r="A747" s="1">
        <v>45247</v>
      </c>
      <c r="B747" t="s">
        <v>689</v>
      </c>
      <c r="C747" s="1">
        <v>45247</v>
      </c>
      <c r="D747" s="2">
        <v>100000</v>
      </c>
      <c r="E747" s="2">
        <v>0</v>
      </c>
      <c r="F747" s="2">
        <v>38243.65</v>
      </c>
      <c r="G747" t="s">
        <v>719</v>
      </c>
      <c r="H747" s="7">
        <f t="shared" si="83"/>
        <v>0</v>
      </c>
      <c r="I747" s="1">
        <f t="shared" si="77"/>
        <v>45247</v>
      </c>
      <c r="J747" s="1" t="str">
        <f t="shared" si="78"/>
        <v>NEFT DR-SBIN0011669-AJAY KUMAR GUPTA-NETBANK, MUM-N321232743060950-TRF FRM AKG HDFC</v>
      </c>
      <c r="L747" s="7">
        <f t="shared" si="79"/>
        <v>100000</v>
      </c>
      <c r="M747" s="7">
        <f t="shared" si="80"/>
        <v>0</v>
      </c>
      <c r="N747" s="7">
        <f t="shared" si="81"/>
        <v>38243.65</v>
      </c>
      <c r="O747" s="7" t="str">
        <f t="shared" si="82"/>
        <v>HDFC 5930</v>
      </c>
    </row>
    <row r="748" spans="1:15" x14ac:dyDescent="0.25">
      <c r="A748" s="1">
        <v>45247</v>
      </c>
      <c r="B748" t="s">
        <v>472</v>
      </c>
      <c r="C748" s="1">
        <v>45247</v>
      </c>
      <c r="D748" s="2">
        <v>1167.68</v>
      </c>
      <c r="E748" s="2">
        <v>0</v>
      </c>
      <c r="F748" s="2">
        <v>37075.97</v>
      </c>
      <c r="G748" t="s">
        <v>719</v>
      </c>
      <c r="H748" s="7">
        <f t="shared" si="83"/>
        <v>0</v>
      </c>
      <c r="I748" s="1">
        <f t="shared" si="77"/>
        <v>45247</v>
      </c>
      <c r="J748" s="1" t="str">
        <f t="shared" si="78"/>
        <v>NET PI TO HSL SEC A/C 347707-00602340029392</v>
      </c>
      <c r="L748" s="7">
        <f t="shared" si="79"/>
        <v>1167.68</v>
      </c>
      <c r="M748" s="7">
        <f t="shared" si="80"/>
        <v>0</v>
      </c>
      <c r="N748" s="7">
        <f t="shared" si="81"/>
        <v>37075.97</v>
      </c>
      <c r="O748" s="7" t="str">
        <f t="shared" si="82"/>
        <v>HDFC 5930</v>
      </c>
    </row>
    <row r="749" spans="1:15" x14ac:dyDescent="0.25">
      <c r="A749" s="1">
        <v>45248</v>
      </c>
      <c r="B749" t="s">
        <v>511</v>
      </c>
      <c r="C749" s="1">
        <v>45248</v>
      </c>
      <c r="D749" s="2">
        <v>0</v>
      </c>
      <c r="E749" s="2">
        <v>129.43</v>
      </c>
      <c r="F749" s="2">
        <v>37205.4</v>
      </c>
      <c r="G749" t="s">
        <v>719</v>
      </c>
      <c r="H749" s="7">
        <f t="shared" si="83"/>
        <v>0</v>
      </c>
      <c r="I749" s="1">
        <f t="shared" si="77"/>
        <v>45248</v>
      </c>
      <c r="J749" s="1" t="str">
        <f t="shared" si="78"/>
        <v>00012050001396HLY INT-IN0020200286</v>
      </c>
      <c r="L749" s="7">
        <f t="shared" si="79"/>
        <v>0</v>
      </c>
      <c r="M749" s="7">
        <f t="shared" si="80"/>
        <v>129.43</v>
      </c>
      <c r="N749" s="7">
        <f t="shared" si="81"/>
        <v>37205.4</v>
      </c>
      <c r="O749" s="7" t="str">
        <f t="shared" si="82"/>
        <v>HDFC 5930</v>
      </c>
    </row>
    <row r="750" spans="1:15" x14ac:dyDescent="0.25">
      <c r="A750" s="1">
        <v>45250</v>
      </c>
      <c r="B750" t="s">
        <v>618</v>
      </c>
      <c r="C750" s="1">
        <v>45250</v>
      </c>
      <c r="D750" s="2">
        <v>0</v>
      </c>
      <c r="E750" s="2">
        <v>27535.18</v>
      </c>
      <c r="F750" s="2">
        <v>64740.58</v>
      </c>
      <c r="G750" t="s">
        <v>719</v>
      </c>
      <c r="H750" s="7">
        <f t="shared" si="83"/>
        <v>0</v>
      </c>
      <c r="I750" s="1">
        <f t="shared" si="77"/>
        <v>45250</v>
      </c>
      <c r="J750" s="1" t="str">
        <f t="shared" si="78"/>
        <v>NET PO FROM HSL A/C 347707-50200085415108</v>
      </c>
      <c r="L750" s="7">
        <f t="shared" si="79"/>
        <v>0</v>
      </c>
      <c r="M750" s="7">
        <f t="shared" si="80"/>
        <v>27535.18</v>
      </c>
      <c r="N750" s="7">
        <f t="shared" si="81"/>
        <v>64740.58</v>
      </c>
      <c r="O750" s="7" t="str">
        <f t="shared" si="82"/>
        <v>HDFC 5930</v>
      </c>
    </row>
    <row r="751" spans="1:15" x14ac:dyDescent="0.25">
      <c r="A751" s="1">
        <v>45250</v>
      </c>
      <c r="B751" t="s">
        <v>681</v>
      </c>
      <c r="C751" s="1">
        <v>45250</v>
      </c>
      <c r="D751" s="2">
        <v>10000</v>
      </c>
      <c r="E751" s="2">
        <v>0</v>
      </c>
      <c r="F751" s="2">
        <v>54740.58</v>
      </c>
      <c r="G751" t="s">
        <v>719</v>
      </c>
      <c r="H751" s="7">
        <f t="shared" si="83"/>
        <v>0</v>
      </c>
      <c r="I751" s="1">
        <f t="shared" si="77"/>
        <v>45250</v>
      </c>
      <c r="J751" s="1" t="str">
        <f t="shared" si="78"/>
        <v>ACH D- INDIAN CLEARING CORP-P25847605X05</v>
      </c>
      <c r="L751" s="7">
        <f t="shared" si="79"/>
        <v>10000</v>
      </c>
      <c r="M751" s="7">
        <f t="shared" si="80"/>
        <v>0</v>
      </c>
      <c r="N751" s="7">
        <f t="shared" si="81"/>
        <v>54740.58</v>
      </c>
      <c r="O751" s="7" t="str">
        <f t="shared" si="82"/>
        <v>HDFC 5930</v>
      </c>
    </row>
    <row r="752" spans="1:15" x14ac:dyDescent="0.25">
      <c r="A752" s="1">
        <v>45250</v>
      </c>
      <c r="B752" t="s">
        <v>472</v>
      </c>
      <c r="C752" s="1">
        <v>45250</v>
      </c>
      <c r="D752" s="2">
        <v>386.13</v>
      </c>
      <c r="E752" s="2">
        <v>0</v>
      </c>
      <c r="F752" s="2">
        <v>54354.45</v>
      </c>
      <c r="G752" t="s">
        <v>719</v>
      </c>
      <c r="H752" s="7">
        <f t="shared" si="83"/>
        <v>0</v>
      </c>
      <c r="I752" s="1">
        <f t="shared" si="77"/>
        <v>45250</v>
      </c>
      <c r="J752" s="1" t="str">
        <f t="shared" si="78"/>
        <v>NET PI TO HSL SEC A/C 347707-00602340029392</v>
      </c>
      <c r="L752" s="7">
        <f t="shared" si="79"/>
        <v>386.13</v>
      </c>
      <c r="M752" s="7">
        <f t="shared" si="80"/>
        <v>0</v>
      </c>
      <c r="N752" s="7">
        <f t="shared" si="81"/>
        <v>54354.45</v>
      </c>
      <c r="O752" s="7" t="str">
        <f t="shared" si="82"/>
        <v>HDFC 5930</v>
      </c>
    </row>
    <row r="753" spans="1:15" x14ac:dyDescent="0.25">
      <c r="A753" s="1">
        <v>45250</v>
      </c>
      <c r="B753" t="s">
        <v>472</v>
      </c>
      <c r="C753" s="1">
        <v>45250</v>
      </c>
      <c r="D753" s="2">
        <v>8116.38</v>
      </c>
      <c r="E753" s="2">
        <v>0</v>
      </c>
      <c r="F753" s="2">
        <v>46238.07</v>
      </c>
      <c r="G753" t="s">
        <v>719</v>
      </c>
      <c r="H753" s="7">
        <f t="shared" si="83"/>
        <v>0</v>
      </c>
      <c r="I753" s="1">
        <f t="shared" si="77"/>
        <v>45250</v>
      </c>
      <c r="J753" s="1" t="str">
        <f t="shared" si="78"/>
        <v>NET PI TO HSL SEC A/C 347707-00602340029392</v>
      </c>
      <c r="L753" s="7">
        <f t="shared" si="79"/>
        <v>8116.38</v>
      </c>
      <c r="M753" s="7">
        <f t="shared" si="80"/>
        <v>0</v>
      </c>
      <c r="N753" s="7">
        <f t="shared" si="81"/>
        <v>46238.07</v>
      </c>
      <c r="O753" s="7" t="str">
        <f t="shared" si="82"/>
        <v>HDFC 5930</v>
      </c>
    </row>
    <row r="754" spans="1:15" x14ac:dyDescent="0.25">
      <c r="A754" s="1">
        <v>45251</v>
      </c>
      <c r="B754" t="s">
        <v>618</v>
      </c>
      <c r="C754" s="1">
        <v>45251</v>
      </c>
      <c r="D754" s="2">
        <v>0</v>
      </c>
      <c r="E754" s="2">
        <v>39784.910000000003</v>
      </c>
      <c r="F754" s="2">
        <v>86022.98</v>
      </c>
      <c r="G754" t="s">
        <v>719</v>
      </c>
      <c r="H754" s="7">
        <f t="shared" si="83"/>
        <v>0</v>
      </c>
      <c r="I754" s="1">
        <f t="shared" si="77"/>
        <v>45251</v>
      </c>
      <c r="J754" s="1" t="str">
        <f t="shared" si="78"/>
        <v>NET PO FROM HSL A/C 347707-50200085415108</v>
      </c>
      <c r="L754" s="7">
        <f t="shared" si="79"/>
        <v>0</v>
      </c>
      <c r="M754" s="7">
        <f t="shared" si="80"/>
        <v>39784.910000000003</v>
      </c>
      <c r="N754" s="7">
        <f t="shared" si="81"/>
        <v>86022.98</v>
      </c>
      <c r="O754" s="7" t="str">
        <f t="shared" si="82"/>
        <v>HDFC 5930</v>
      </c>
    </row>
    <row r="755" spans="1:15" x14ac:dyDescent="0.25">
      <c r="A755" s="1">
        <v>45251</v>
      </c>
      <c r="B755" t="s">
        <v>472</v>
      </c>
      <c r="C755" s="1">
        <v>45251</v>
      </c>
      <c r="D755" s="2">
        <v>117.44</v>
      </c>
      <c r="E755" s="2">
        <v>0</v>
      </c>
      <c r="F755" s="2">
        <v>85905.54</v>
      </c>
      <c r="G755" t="s">
        <v>719</v>
      </c>
      <c r="H755" s="7">
        <f t="shared" si="83"/>
        <v>0</v>
      </c>
      <c r="I755" s="1">
        <f t="shared" si="77"/>
        <v>45251</v>
      </c>
      <c r="J755" s="1" t="str">
        <f t="shared" si="78"/>
        <v>NET PI TO HSL SEC A/C 347707-00602340029392</v>
      </c>
      <c r="L755" s="7">
        <f t="shared" si="79"/>
        <v>117.44</v>
      </c>
      <c r="M755" s="7">
        <f t="shared" si="80"/>
        <v>0</v>
      </c>
      <c r="N755" s="7">
        <f t="shared" si="81"/>
        <v>85905.54</v>
      </c>
      <c r="O755" s="7" t="str">
        <f t="shared" si="82"/>
        <v>HDFC 5930</v>
      </c>
    </row>
    <row r="756" spans="1:15" x14ac:dyDescent="0.25">
      <c r="A756" s="1">
        <v>45251</v>
      </c>
      <c r="B756" t="s">
        <v>690</v>
      </c>
      <c r="C756" s="1">
        <v>45251</v>
      </c>
      <c r="D756" s="2">
        <v>0</v>
      </c>
      <c r="E756" s="2">
        <v>1020</v>
      </c>
      <c r="F756" s="2">
        <v>86925.54</v>
      </c>
      <c r="G756" t="s">
        <v>719</v>
      </c>
      <c r="H756" s="7">
        <f t="shared" si="83"/>
        <v>0</v>
      </c>
      <c r="I756" s="1">
        <f t="shared" si="77"/>
        <v>45251</v>
      </c>
      <c r="J756" s="1" t="str">
        <f t="shared" si="78"/>
        <v>2111445819 TECH MAHINDRA LIMITED INT DIV</v>
      </c>
      <c r="L756" s="7">
        <f t="shared" si="79"/>
        <v>0</v>
      </c>
      <c r="M756" s="7">
        <f t="shared" si="80"/>
        <v>1020</v>
      </c>
      <c r="N756" s="7">
        <f t="shared" si="81"/>
        <v>86925.54</v>
      </c>
      <c r="O756" s="7" t="str">
        <f t="shared" si="82"/>
        <v>HDFC 5930</v>
      </c>
    </row>
    <row r="757" spans="1:15" x14ac:dyDescent="0.25">
      <c r="A757" s="1">
        <v>45251</v>
      </c>
      <c r="B757" t="s">
        <v>472</v>
      </c>
      <c r="C757" s="1">
        <v>45251</v>
      </c>
      <c r="D757" s="2">
        <v>17204.93</v>
      </c>
      <c r="E757" s="2">
        <v>0</v>
      </c>
      <c r="F757" s="2">
        <v>69720.61</v>
      </c>
      <c r="G757" t="s">
        <v>719</v>
      </c>
      <c r="H757" s="7">
        <f t="shared" si="83"/>
        <v>0</v>
      </c>
      <c r="I757" s="1">
        <f t="shared" si="77"/>
        <v>45251</v>
      </c>
      <c r="J757" s="1" t="str">
        <f t="shared" si="78"/>
        <v>NET PI TO HSL SEC A/C 347707-00602340029392</v>
      </c>
      <c r="L757" s="7">
        <f t="shared" si="79"/>
        <v>17204.93</v>
      </c>
      <c r="M757" s="7">
        <f t="shared" si="80"/>
        <v>0</v>
      </c>
      <c r="N757" s="7">
        <f t="shared" si="81"/>
        <v>69720.61</v>
      </c>
      <c r="O757" s="7" t="str">
        <f t="shared" si="82"/>
        <v>HDFC 5930</v>
      </c>
    </row>
    <row r="758" spans="1:15" x14ac:dyDescent="0.25">
      <c r="A758" s="1">
        <v>45252</v>
      </c>
      <c r="B758" t="s">
        <v>618</v>
      </c>
      <c r="C758" s="1">
        <v>45252</v>
      </c>
      <c r="D758" s="2">
        <v>0</v>
      </c>
      <c r="E758" s="2">
        <v>34843.980000000003</v>
      </c>
      <c r="F758" s="2">
        <v>104564.59</v>
      </c>
      <c r="G758" t="s">
        <v>719</v>
      </c>
      <c r="H758" s="7">
        <f t="shared" si="83"/>
        <v>0</v>
      </c>
      <c r="I758" s="1">
        <f t="shared" si="77"/>
        <v>45252</v>
      </c>
      <c r="J758" s="1" t="str">
        <f t="shared" si="78"/>
        <v>NET PO FROM HSL A/C 347707-50200085415108</v>
      </c>
      <c r="L758" s="7">
        <f t="shared" si="79"/>
        <v>0</v>
      </c>
      <c r="M758" s="7">
        <f t="shared" si="80"/>
        <v>34843.980000000003</v>
      </c>
      <c r="N758" s="7">
        <f t="shared" si="81"/>
        <v>104564.59</v>
      </c>
      <c r="O758" s="7" t="str">
        <f t="shared" si="82"/>
        <v>HDFC 5930</v>
      </c>
    </row>
    <row r="759" spans="1:15" x14ac:dyDescent="0.25">
      <c r="A759" s="1">
        <v>45252</v>
      </c>
      <c r="B759" t="s">
        <v>472</v>
      </c>
      <c r="C759" s="1">
        <v>45252</v>
      </c>
      <c r="D759" s="2">
        <v>111.31</v>
      </c>
      <c r="E759" s="2">
        <v>0</v>
      </c>
      <c r="F759" s="2">
        <v>104453.28</v>
      </c>
      <c r="G759" t="s">
        <v>719</v>
      </c>
      <c r="H759" s="7">
        <f t="shared" si="83"/>
        <v>0</v>
      </c>
      <c r="I759" s="1">
        <f t="shared" si="77"/>
        <v>45252</v>
      </c>
      <c r="J759" s="1" t="str">
        <f t="shared" si="78"/>
        <v>NET PI TO HSL SEC A/C 347707-00602340029392</v>
      </c>
      <c r="L759" s="7">
        <f t="shared" si="79"/>
        <v>111.31</v>
      </c>
      <c r="M759" s="7">
        <f t="shared" si="80"/>
        <v>0</v>
      </c>
      <c r="N759" s="7">
        <f t="shared" si="81"/>
        <v>104453.28</v>
      </c>
      <c r="O759" s="7" t="str">
        <f t="shared" si="82"/>
        <v>HDFC 5930</v>
      </c>
    </row>
    <row r="760" spans="1:15" x14ac:dyDescent="0.25">
      <c r="A760" s="1">
        <v>45252</v>
      </c>
      <c r="B760" t="s">
        <v>472</v>
      </c>
      <c r="C760" s="1">
        <v>45252</v>
      </c>
      <c r="D760" s="2">
        <v>9620.85</v>
      </c>
      <c r="E760" s="2">
        <v>0</v>
      </c>
      <c r="F760" s="2">
        <v>94832.43</v>
      </c>
      <c r="G760" t="s">
        <v>719</v>
      </c>
      <c r="H760" s="7">
        <f t="shared" si="83"/>
        <v>0</v>
      </c>
      <c r="I760" s="1">
        <f t="shared" si="77"/>
        <v>45252</v>
      </c>
      <c r="J760" s="1" t="str">
        <f t="shared" si="78"/>
        <v>NET PI TO HSL SEC A/C 347707-00602340029392</v>
      </c>
      <c r="L760" s="7">
        <f t="shared" si="79"/>
        <v>9620.85</v>
      </c>
      <c r="M760" s="7">
        <f t="shared" si="80"/>
        <v>0</v>
      </c>
      <c r="N760" s="7">
        <f t="shared" si="81"/>
        <v>94832.43</v>
      </c>
      <c r="O760" s="7" t="str">
        <f t="shared" si="82"/>
        <v>HDFC 5930</v>
      </c>
    </row>
    <row r="761" spans="1:15" x14ac:dyDescent="0.25">
      <c r="A761" s="1">
        <v>45252</v>
      </c>
      <c r="B761" t="s">
        <v>472</v>
      </c>
      <c r="C761" s="1">
        <v>45252</v>
      </c>
      <c r="D761" s="2">
        <v>21125.25</v>
      </c>
      <c r="E761" s="2">
        <v>0</v>
      </c>
      <c r="F761" s="2">
        <v>73707.179999999993</v>
      </c>
      <c r="G761" t="s">
        <v>719</v>
      </c>
      <c r="H761" s="7">
        <f t="shared" si="83"/>
        <v>0</v>
      </c>
      <c r="I761" s="1">
        <f t="shared" si="77"/>
        <v>45252</v>
      </c>
      <c r="J761" s="1" t="str">
        <f t="shared" si="78"/>
        <v>NET PI TO HSL SEC A/C 347707-00602340029392</v>
      </c>
      <c r="L761" s="7">
        <f t="shared" si="79"/>
        <v>21125.25</v>
      </c>
      <c r="M761" s="7">
        <f t="shared" si="80"/>
        <v>0</v>
      </c>
      <c r="N761" s="7">
        <f t="shared" si="81"/>
        <v>73707.179999999993</v>
      </c>
      <c r="O761" s="7" t="str">
        <f t="shared" si="82"/>
        <v>HDFC 5930</v>
      </c>
    </row>
    <row r="762" spans="1:15" x14ac:dyDescent="0.25">
      <c r="A762" s="1">
        <v>45253</v>
      </c>
      <c r="B762" t="s">
        <v>472</v>
      </c>
      <c r="C762" s="1">
        <v>45253</v>
      </c>
      <c r="D762" s="2">
        <v>103.78</v>
      </c>
      <c r="E762" s="2">
        <v>0</v>
      </c>
      <c r="F762" s="2">
        <v>73603.399999999994</v>
      </c>
      <c r="G762" t="s">
        <v>719</v>
      </c>
      <c r="H762" s="7">
        <f t="shared" si="83"/>
        <v>0</v>
      </c>
      <c r="I762" s="1">
        <f t="shared" si="77"/>
        <v>45253</v>
      </c>
      <c r="J762" s="1" t="str">
        <f t="shared" si="78"/>
        <v>NET PI TO HSL SEC A/C 347707-00602340029392</v>
      </c>
      <c r="L762" s="7">
        <f t="shared" si="79"/>
        <v>103.78</v>
      </c>
      <c r="M762" s="7">
        <f t="shared" si="80"/>
        <v>0</v>
      </c>
      <c r="N762" s="7">
        <f t="shared" si="81"/>
        <v>73603.399999999994</v>
      </c>
      <c r="O762" s="7" t="str">
        <f t="shared" si="82"/>
        <v>HDFC 5930</v>
      </c>
    </row>
    <row r="763" spans="1:15" x14ac:dyDescent="0.25">
      <c r="A763" s="1">
        <v>45253</v>
      </c>
      <c r="B763" t="s">
        <v>472</v>
      </c>
      <c r="C763" s="1">
        <v>45253</v>
      </c>
      <c r="D763" s="2">
        <v>12174.86</v>
      </c>
      <c r="E763" s="2">
        <v>0</v>
      </c>
      <c r="F763" s="2">
        <v>61428.54</v>
      </c>
      <c r="G763" t="s">
        <v>719</v>
      </c>
      <c r="H763" s="7">
        <f t="shared" si="83"/>
        <v>0</v>
      </c>
      <c r="I763" s="1">
        <f t="shared" si="77"/>
        <v>45253</v>
      </c>
      <c r="J763" s="1" t="str">
        <f t="shared" si="78"/>
        <v>NET PI TO HSL SEC A/C 347707-00602340029392</v>
      </c>
      <c r="L763" s="7">
        <f t="shared" si="79"/>
        <v>12174.86</v>
      </c>
      <c r="M763" s="7">
        <f t="shared" si="80"/>
        <v>0</v>
      </c>
      <c r="N763" s="7">
        <f t="shared" si="81"/>
        <v>61428.54</v>
      </c>
      <c r="O763" s="7" t="str">
        <f t="shared" si="82"/>
        <v>HDFC 5930</v>
      </c>
    </row>
    <row r="764" spans="1:15" x14ac:dyDescent="0.25">
      <c r="A764" s="1">
        <v>45254</v>
      </c>
      <c r="B764" t="s">
        <v>472</v>
      </c>
      <c r="C764" s="1">
        <v>45254</v>
      </c>
      <c r="D764" s="2">
        <v>120.39</v>
      </c>
      <c r="E764" s="2">
        <v>0</v>
      </c>
      <c r="F764" s="2">
        <v>61308.15</v>
      </c>
      <c r="G764" t="s">
        <v>719</v>
      </c>
      <c r="H764" s="7">
        <f t="shared" si="83"/>
        <v>0</v>
      </c>
      <c r="I764" s="1">
        <f t="shared" si="77"/>
        <v>45254</v>
      </c>
      <c r="J764" s="1" t="str">
        <f t="shared" si="78"/>
        <v>NET PI TO HSL SEC A/C 347707-00602340029392</v>
      </c>
      <c r="L764" s="7">
        <f t="shared" si="79"/>
        <v>120.39</v>
      </c>
      <c r="M764" s="7">
        <f t="shared" si="80"/>
        <v>0</v>
      </c>
      <c r="N764" s="7">
        <f t="shared" si="81"/>
        <v>61308.15</v>
      </c>
      <c r="O764" s="7" t="str">
        <f t="shared" si="82"/>
        <v>HDFC 5930</v>
      </c>
    </row>
    <row r="765" spans="1:15" x14ac:dyDescent="0.25">
      <c r="A765" s="1">
        <v>45254</v>
      </c>
      <c r="B765" t="s">
        <v>472</v>
      </c>
      <c r="C765" s="1">
        <v>45254</v>
      </c>
      <c r="D765" s="2">
        <v>5805.03</v>
      </c>
      <c r="E765" s="2">
        <v>0</v>
      </c>
      <c r="F765" s="2">
        <v>55503.12</v>
      </c>
      <c r="G765" t="s">
        <v>719</v>
      </c>
      <c r="H765" s="7">
        <f t="shared" si="83"/>
        <v>0</v>
      </c>
      <c r="I765" s="1">
        <f t="shared" si="77"/>
        <v>45254</v>
      </c>
      <c r="J765" s="1" t="str">
        <f t="shared" si="78"/>
        <v>NET PI TO HSL SEC A/C 347707-00602340029392</v>
      </c>
      <c r="L765" s="7">
        <f t="shared" si="79"/>
        <v>5805.03</v>
      </c>
      <c r="M765" s="7">
        <f t="shared" si="80"/>
        <v>0</v>
      </c>
      <c r="N765" s="7">
        <f t="shared" si="81"/>
        <v>55503.12</v>
      </c>
      <c r="O765" s="7" t="str">
        <f t="shared" si="82"/>
        <v>HDFC 5930</v>
      </c>
    </row>
    <row r="766" spans="1:15" x14ac:dyDescent="0.25">
      <c r="A766" s="1">
        <v>45258</v>
      </c>
      <c r="B766" t="s">
        <v>618</v>
      </c>
      <c r="C766" s="1">
        <v>45258</v>
      </c>
      <c r="D766" s="2">
        <v>0</v>
      </c>
      <c r="E766" s="2">
        <v>33401</v>
      </c>
      <c r="F766" s="2">
        <v>88904.12</v>
      </c>
      <c r="G766" t="s">
        <v>719</v>
      </c>
      <c r="H766" s="7">
        <f t="shared" si="83"/>
        <v>0</v>
      </c>
      <c r="I766" s="1">
        <f t="shared" si="77"/>
        <v>45258</v>
      </c>
      <c r="J766" s="1" t="str">
        <f t="shared" si="78"/>
        <v>NET PO FROM HSL A/C 347707-50200085415108</v>
      </c>
      <c r="L766" s="7">
        <f t="shared" si="79"/>
        <v>0</v>
      </c>
      <c r="M766" s="7">
        <f t="shared" si="80"/>
        <v>33401</v>
      </c>
      <c r="N766" s="7">
        <f t="shared" si="81"/>
        <v>88904.12</v>
      </c>
      <c r="O766" s="7" t="str">
        <f t="shared" si="82"/>
        <v>HDFC 5930</v>
      </c>
    </row>
    <row r="767" spans="1:15" x14ac:dyDescent="0.25">
      <c r="A767" s="1">
        <v>45258</v>
      </c>
      <c r="B767" t="s">
        <v>472</v>
      </c>
      <c r="C767" s="1">
        <v>45258</v>
      </c>
      <c r="D767" s="2">
        <v>520.91999999999996</v>
      </c>
      <c r="E767" s="2">
        <v>0</v>
      </c>
      <c r="F767" s="2">
        <v>88383.2</v>
      </c>
      <c r="G767" t="s">
        <v>719</v>
      </c>
      <c r="H767" s="7">
        <f t="shared" si="83"/>
        <v>0</v>
      </c>
      <c r="I767" s="1">
        <f t="shared" si="77"/>
        <v>45258</v>
      </c>
      <c r="J767" s="1" t="str">
        <f t="shared" si="78"/>
        <v>NET PI TO HSL SEC A/C 347707-00602340029392</v>
      </c>
      <c r="L767" s="7">
        <f t="shared" si="79"/>
        <v>520.91999999999996</v>
      </c>
      <c r="M767" s="7">
        <f t="shared" si="80"/>
        <v>0</v>
      </c>
      <c r="N767" s="7">
        <f t="shared" si="81"/>
        <v>88383.2</v>
      </c>
      <c r="O767" s="7" t="str">
        <f t="shared" si="82"/>
        <v>HDFC 5930</v>
      </c>
    </row>
    <row r="768" spans="1:15" x14ac:dyDescent="0.25">
      <c r="A768" s="1">
        <v>45258</v>
      </c>
      <c r="B768" t="s">
        <v>472</v>
      </c>
      <c r="C768" s="1">
        <v>45258</v>
      </c>
      <c r="D768" s="2">
        <v>13553.55</v>
      </c>
      <c r="E768" s="2">
        <v>0</v>
      </c>
      <c r="F768" s="2">
        <v>74829.649999999994</v>
      </c>
      <c r="G768" t="s">
        <v>719</v>
      </c>
      <c r="H768" s="7">
        <f t="shared" si="83"/>
        <v>0</v>
      </c>
      <c r="I768" s="1">
        <f t="shared" si="77"/>
        <v>45258</v>
      </c>
      <c r="J768" s="1" t="str">
        <f t="shared" si="78"/>
        <v>NET PI TO HSL SEC A/C 347707-00602340029392</v>
      </c>
      <c r="L768" s="7">
        <f t="shared" si="79"/>
        <v>13553.55</v>
      </c>
      <c r="M768" s="7">
        <f t="shared" si="80"/>
        <v>0</v>
      </c>
      <c r="N768" s="7">
        <f t="shared" si="81"/>
        <v>74829.649999999994</v>
      </c>
      <c r="O768" s="7" t="str">
        <f t="shared" si="82"/>
        <v>HDFC 5930</v>
      </c>
    </row>
    <row r="769" spans="1:15" x14ac:dyDescent="0.25">
      <c r="A769" s="1">
        <v>45259</v>
      </c>
      <c r="B769" t="s">
        <v>472</v>
      </c>
      <c r="C769" s="1">
        <v>45259</v>
      </c>
      <c r="D769" s="2">
        <v>131.80000000000001</v>
      </c>
      <c r="E769" s="2">
        <v>0</v>
      </c>
      <c r="F769" s="2">
        <v>74697.850000000006</v>
      </c>
      <c r="G769" t="s">
        <v>719</v>
      </c>
      <c r="H769" s="7">
        <f t="shared" si="83"/>
        <v>0</v>
      </c>
      <c r="I769" s="1">
        <f t="shared" si="77"/>
        <v>45259</v>
      </c>
      <c r="J769" s="1" t="str">
        <f t="shared" si="78"/>
        <v>NET PI TO HSL SEC A/C 347707-00602340029392</v>
      </c>
      <c r="L769" s="7">
        <f t="shared" si="79"/>
        <v>131.80000000000001</v>
      </c>
      <c r="M769" s="7">
        <f t="shared" si="80"/>
        <v>0</v>
      </c>
      <c r="N769" s="7">
        <f t="shared" si="81"/>
        <v>74697.850000000006</v>
      </c>
      <c r="O769" s="7" t="str">
        <f t="shared" si="82"/>
        <v>HDFC 5930</v>
      </c>
    </row>
    <row r="770" spans="1:15" x14ac:dyDescent="0.25">
      <c r="A770" s="1">
        <v>45260</v>
      </c>
      <c r="B770" t="s">
        <v>618</v>
      </c>
      <c r="C770" s="1">
        <v>45260</v>
      </c>
      <c r="D770" s="2">
        <v>0</v>
      </c>
      <c r="E770" s="2">
        <v>12365.31</v>
      </c>
      <c r="F770" s="2">
        <v>87063.16</v>
      </c>
      <c r="G770" t="s">
        <v>719</v>
      </c>
      <c r="H770" s="7">
        <f t="shared" si="83"/>
        <v>0</v>
      </c>
      <c r="I770" s="1">
        <f t="shared" si="77"/>
        <v>45260</v>
      </c>
      <c r="J770" s="1" t="str">
        <f t="shared" si="78"/>
        <v>NET PO FROM HSL A/C 347707-50200085415108</v>
      </c>
      <c r="L770" s="7">
        <f t="shared" si="79"/>
        <v>0</v>
      </c>
      <c r="M770" s="7">
        <f t="shared" si="80"/>
        <v>12365.31</v>
      </c>
      <c r="N770" s="7">
        <f t="shared" si="81"/>
        <v>87063.16</v>
      </c>
      <c r="O770" s="7" t="str">
        <f t="shared" si="82"/>
        <v>HDFC 5930</v>
      </c>
    </row>
    <row r="771" spans="1:15" x14ac:dyDescent="0.25">
      <c r="A771" s="1">
        <v>45260</v>
      </c>
      <c r="B771" t="s">
        <v>618</v>
      </c>
      <c r="C771" s="1">
        <v>45260</v>
      </c>
      <c r="D771" s="2">
        <v>0</v>
      </c>
      <c r="E771" s="2">
        <v>20938.32</v>
      </c>
      <c r="F771" s="2">
        <v>108001.48</v>
      </c>
      <c r="G771" t="s">
        <v>719</v>
      </c>
      <c r="H771" s="7">
        <f t="shared" si="83"/>
        <v>0</v>
      </c>
      <c r="I771" s="1">
        <f t="shared" si="77"/>
        <v>45260</v>
      </c>
      <c r="J771" s="1" t="str">
        <f t="shared" si="78"/>
        <v>NET PO FROM HSL A/C 347707-50200085415108</v>
      </c>
      <c r="L771" s="7">
        <f t="shared" si="79"/>
        <v>0</v>
      </c>
      <c r="M771" s="7">
        <f t="shared" si="80"/>
        <v>20938.32</v>
      </c>
      <c r="N771" s="7">
        <f t="shared" si="81"/>
        <v>108001.48</v>
      </c>
      <c r="O771" s="7" t="str">
        <f t="shared" si="82"/>
        <v>HDFC 5930</v>
      </c>
    </row>
    <row r="772" spans="1:15" x14ac:dyDescent="0.25">
      <c r="A772" s="1">
        <v>45260</v>
      </c>
      <c r="B772" t="s">
        <v>472</v>
      </c>
      <c r="C772" s="1">
        <v>45260</v>
      </c>
      <c r="D772" s="2">
        <v>148.11000000000001</v>
      </c>
      <c r="E772" s="2">
        <v>0</v>
      </c>
      <c r="F772" s="2">
        <v>107853.37</v>
      </c>
      <c r="G772" t="s">
        <v>719</v>
      </c>
      <c r="H772" s="7">
        <f t="shared" si="83"/>
        <v>0</v>
      </c>
      <c r="I772" s="1">
        <f t="shared" si="77"/>
        <v>45260</v>
      </c>
      <c r="J772" s="1" t="str">
        <f t="shared" si="78"/>
        <v>NET PI TO HSL SEC A/C 347707-00602340029392</v>
      </c>
      <c r="L772" s="7">
        <f t="shared" si="79"/>
        <v>148.11000000000001</v>
      </c>
      <c r="M772" s="7">
        <f t="shared" si="80"/>
        <v>0</v>
      </c>
      <c r="N772" s="7">
        <f t="shared" si="81"/>
        <v>107853.37</v>
      </c>
      <c r="O772" s="7" t="str">
        <f t="shared" si="82"/>
        <v>HDFC 5930</v>
      </c>
    </row>
    <row r="773" spans="1:15" x14ac:dyDescent="0.25">
      <c r="A773" s="1">
        <v>45260</v>
      </c>
      <c r="B773" t="s">
        <v>691</v>
      </c>
      <c r="C773" s="1">
        <v>45260</v>
      </c>
      <c r="D773" s="2">
        <v>0</v>
      </c>
      <c r="E773" s="2">
        <v>120</v>
      </c>
      <c r="F773" s="2">
        <v>107973.37</v>
      </c>
      <c r="G773" t="s">
        <v>719</v>
      </c>
      <c r="H773" s="7">
        <f t="shared" si="83"/>
        <v>0</v>
      </c>
      <c r="I773" s="1">
        <f t="shared" si="77"/>
        <v>45260</v>
      </c>
      <c r="J773" s="1" t="str">
        <f t="shared" si="78"/>
        <v>STYLAM IND DIV22 2300000000000000001936</v>
      </c>
      <c r="L773" s="7">
        <f t="shared" si="79"/>
        <v>0</v>
      </c>
      <c r="M773" s="7">
        <f t="shared" si="80"/>
        <v>120</v>
      </c>
      <c r="N773" s="7">
        <f t="shared" si="81"/>
        <v>107973.37</v>
      </c>
      <c r="O773" s="7" t="str">
        <f t="shared" si="82"/>
        <v>HDFC 5930</v>
      </c>
    </row>
    <row r="774" spans="1:15" x14ac:dyDescent="0.25">
      <c r="A774" s="1">
        <v>45261</v>
      </c>
      <c r="B774" t="s">
        <v>618</v>
      </c>
      <c r="C774" s="1">
        <v>45261</v>
      </c>
      <c r="D774" s="2">
        <v>0</v>
      </c>
      <c r="E774" s="2">
        <v>528.17999999999995</v>
      </c>
      <c r="F774" s="2">
        <v>108501.55</v>
      </c>
      <c r="G774" t="s">
        <v>719</v>
      </c>
      <c r="H774" s="7">
        <f t="shared" si="83"/>
        <v>0</v>
      </c>
      <c r="I774" s="1">
        <f t="shared" si="77"/>
        <v>45261</v>
      </c>
      <c r="J774" s="1" t="str">
        <f t="shared" si="78"/>
        <v>NET PO FROM HSL A/C 347707-50200085415108</v>
      </c>
      <c r="L774" s="7">
        <f t="shared" si="79"/>
        <v>0</v>
      </c>
      <c r="M774" s="7">
        <f t="shared" si="80"/>
        <v>528.17999999999995</v>
      </c>
      <c r="N774" s="7">
        <f t="shared" si="81"/>
        <v>108501.55</v>
      </c>
      <c r="O774" s="7" t="str">
        <f t="shared" si="82"/>
        <v>HDFC 5930</v>
      </c>
    </row>
    <row r="775" spans="1:15" x14ac:dyDescent="0.25">
      <c r="A775" s="1">
        <v>45261</v>
      </c>
      <c r="B775" t="s">
        <v>618</v>
      </c>
      <c r="C775" s="1">
        <v>45261</v>
      </c>
      <c r="D775" s="2">
        <v>0</v>
      </c>
      <c r="E775" s="2">
        <v>35447.519999999997</v>
      </c>
      <c r="F775" s="2">
        <v>143949.07</v>
      </c>
      <c r="G775" t="s">
        <v>719</v>
      </c>
      <c r="H775" s="7">
        <f t="shared" si="83"/>
        <v>0</v>
      </c>
      <c r="I775" s="1">
        <f t="shared" si="77"/>
        <v>45261</v>
      </c>
      <c r="J775" s="1" t="str">
        <f t="shared" si="78"/>
        <v>NET PO FROM HSL A/C 347707-50200085415108</v>
      </c>
      <c r="L775" s="7">
        <f t="shared" si="79"/>
        <v>0</v>
      </c>
      <c r="M775" s="7">
        <f t="shared" si="80"/>
        <v>35447.519999999997</v>
      </c>
      <c r="N775" s="7">
        <f t="shared" si="81"/>
        <v>143949.07</v>
      </c>
      <c r="O775" s="7" t="str">
        <f t="shared" si="82"/>
        <v>HDFC 5930</v>
      </c>
    </row>
    <row r="776" spans="1:15" x14ac:dyDescent="0.25">
      <c r="A776" s="1">
        <v>45261</v>
      </c>
      <c r="B776" t="s">
        <v>472</v>
      </c>
      <c r="C776" s="1">
        <v>45261</v>
      </c>
      <c r="D776" s="2">
        <v>138.9</v>
      </c>
      <c r="E776" s="2">
        <v>0</v>
      </c>
      <c r="F776" s="2">
        <v>143810.17000000001</v>
      </c>
      <c r="G776" t="s">
        <v>719</v>
      </c>
      <c r="H776" s="7">
        <f t="shared" si="83"/>
        <v>0</v>
      </c>
      <c r="I776" s="1">
        <f t="shared" si="77"/>
        <v>45261</v>
      </c>
      <c r="J776" s="1" t="str">
        <f t="shared" si="78"/>
        <v>NET PI TO HSL SEC A/C 347707-00602340029392</v>
      </c>
      <c r="L776" s="7">
        <f t="shared" si="79"/>
        <v>138.9</v>
      </c>
      <c r="M776" s="7">
        <f t="shared" si="80"/>
        <v>0</v>
      </c>
      <c r="N776" s="7">
        <f t="shared" si="81"/>
        <v>143810.17000000001</v>
      </c>
      <c r="O776" s="7" t="str">
        <f t="shared" si="82"/>
        <v>HDFC 5930</v>
      </c>
    </row>
    <row r="777" spans="1:15" x14ac:dyDescent="0.25">
      <c r="A777" s="1">
        <v>45261</v>
      </c>
      <c r="B777" t="s">
        <v>692</v>
      </c>
      <c r="C777" s="1">
        <v>45261</v>
      </c>
      <c r="D777" s="2">
        <v>295</v>
      </c>
      <c r="E777" s="2">
        <v>0</v>
      </c>
      <c r="F777" s="2">
        <v>143515.17000000001</v>
      </c>
      <c r="G777" t="s">
        <v>719</v>
      </c>
      <c r="H777" s="7">
        <f t="shared" si="83"/>
        <v>0</v>
      </c>
      <c r="I777" s="1">
        <f t="shared" si="77"/>
        <v>45261</v>
      </c>
      <c r="J777" s="1" t="str">
        <f t="shared" si="78"/>
        <v>ISAQMC-JUL-SEP23-101236 261023-MIR2433505665443</v>
      </c>
      <c r="L777" s="7">
        <f t="shared" si="79"/>
        <v>295</v>
      </c>
      <c r="M777" s="7">
        <f t="shared" si="80"/>
        <v>0</v>
      </c>
      <c r="N777" s="7">
        <f t="shared" si="81"/>
        <v>143515.17000000001</v>
      </c>
      <c r="O777" s="7" t="str">
        <f t="shared" si="82"/>
        <v>HDFC 5930</v>
      </c>
    </row>
    <row r="778" spans="1:15" x14ac:dyDescent="0.25">
      <c r="A778" s="1">
        <v>45261</v>
      </c>
      <c r="B778" t="s">
        <v>693</v>
      </c>
      <c r="C778" s="1">
        <v>45261</v>
      </c>
      <c r="D778" s="2">
        <v>0</v>
      </c>
      <c r="E778" s="2">
        <v>150000</v>
      </c>
      <c r="F778" s="2">
        <v>293515.17</v>
      </c>
      <c r="G778" t="s">
        <v>719</v>
      </c>
      <c r="H778" s="7">
        <f t="shared" si="83"/>
        <v>0</v>
      </c>
      <c r="I778" s="1">
        <f t="shared" si="77"/>
        <v>45261</v>
      </c>
      <c r="J778" s="1" t="str">
        <f t="shared" si="78"/>
        <v>01671000060094-TPT-MNY RTRN FROM SUNITA TO AKG-SUNITA GUPTA</v>
      </c>
      <c r="L778" s="7">
        <f t="shared" si="79"/>
        <v>0</v>
      </c>
      <c r="M778" s="7">
        <f t="shared" si="80"/>
        <v>150000</v>
      </c>
      <c r="N778" s="7">
        <f t="shared" si="81"/>
        <v>293515.17</v>
      </c>
      <c r="O778" s="7" t="str">
        <f t="shared" si="82"/>
        <v>HDFC 5930</v>
      </c>
    </row>
    <row r="779" spans="1:15" x14ac:dyDescent="0.25">
      <c r="A779" s="1">
        <v>45261</v>
      </c>
      <c r="B779" t="s">
        <v>694</v>
      </c>
      <c r="C779" s="1">
        <v>45261</v>
      </c>
      <c r="D779" s="2">
        <v>0</v>
      </c>
      <c r="E779" s="2">
        <v>75000</v>
      </c>
      <c r="F779" s="2">
        <v>368515.17</v>
      </c>
      <c r="G779" t="s">
        <v>719</v>
      </c>
      <c r="H779" s="7">
        <f t="shared" si="83"/>
        <v>0</v>
      </c>
      <c r="I779" s="1">
        <f t="shared" si="77"/>
        <v>45261</v>
      </c>
      <c r="J779" s="1" t="str">
        <f t="shared" si="78"/>
        <v>50100128155413-TPT-BORROW FROM AAYUSH TO AKG-AAYUSH KUMAR GUPTA</v>
      </c>
      <c r="L779" s="7">
        <f t="shared" si="79"/>
        <v>0</v>
      </c>
      <c r="M779" s="7">
        <f t="shared" si="80"/>
        <v>75000</v>
      </c>
      <c r="N779" s="7">
        <f t="shared" si="81"/>
        <v>368515.17</v>
      </c>
      <c r="O779" s="7" t="str">
        <f t="shared" si="82"/>
        <v>HDFC 5930</v>
      </c>
    </row>
    <row r="780" spans="1:15" x14ac:dyDescent="0.25">
      <c r="A780" s="1">
        <v>45261</v>
      </c>
      <c r="B780" t="s">
        <v>695</v>
      </c>
      <c r="C780" s="1">
        <v>45261</v>
      </c>
      <c r="D780" s="2">
        <v>0</v>
      </c>
      <c r="E780" s="2">
        <v>250000</v>
      </c>
      <c r="F780" s="2">
        <v>618515.17000000004</v>
      </c>
      <c r="G780" t="s">
        <v>719</v>
      </c>
      <c r="H780" s="7">
        <f t="shared" si="83"/>
        <v>0</v>
      </c>
      <c r="I780" s="1">
        <f t="shared" si="77"/>
        <v>45261</v>
      </c>
      <c r="J780" s="1" t="str">
        <f t="shared" si="78"/>
        <v>NEFT CR-SBIN0011669-MR  AJAY KUMAR GUPTA-AJAY KUMAR GUPTA-SBIN323335872056</v>
      </c>
      <c r="L780" s="7">
        <f t="shared" si="79"/>
        <v>0</v>
      </c>
      <c r="M780" s="7">
        <f t="shared" si="80"/>
        <v>250000</v>
      </c>
      <c r="N780" s="7">
        <f t="shared" si="81"/>
        <v>618515.17000000004</v>
      </c>
      <c r="O780" s="7" t="str">
        <f t="shared" si="82"/>
        <v>HDFC 5930</v>
      </c>
    </row>
    <row r="781" spans="1:15" x14ac:dyDescent="0.25">
      <c r="A781" s="1">
        <v>45261</v>
      </c>
      <c r="B781" t="s">
        <v>472</v>
      </c>
      <c r="C781" s="1">
        <v>45261</v>
      </c>
      <c r="D781" s="2">
        <v>15600.6</v>
      </c>
      <c r="E781" s="2">
        <v>0</v>
      </c>
      <c r="F781" s="2">
        <v>602914.56999999995</v>
      </c>
      <c r="G781" t="s">
        <v>719</v>
      </c>
      <c r="H781" s="7">
        <f t="shared" si="83"/>
        <v>0</v>
      </c>
      <c r="I781" s="1">
        <f t="shared" si="77"/>
        <v>45261</v>
      </c>
      <c r="J781" s="1" t="str">
        <f t="shared" si="78"/>
        <v>NET PI TO HSL SEC A/C 347707-00602340029392</v>
      </c>
      <c r="L781" s="7">
        <f t="shared" si="79"/>
        <v>15600.6</v>
      </c>
      <c r="M781" s="7">
        <f t="shared" si="80"/>
        <v>0</v>
      </c>
      <c r="N781" s="7">
        <f t="shared" si="81"/>
        <v>602914.56999999995</v>
      </c>
      <c r="O781" s="7" t="str">
        <f t="shared" si="82"/>
        <v>HDFC 5930</v>
      </c>
    </row>
    <row r="782" spans="1:15" x14ac:dyDescent="0.25">
      <c r="A782" s="1">
        <v>45261</v>
      </c>
      <c r="B782" t="s">
        <v>472</v>
      </c>
      <c r="C782" s="1">
        <v>45261</v>
      </c>
      <c r="D782" s="2">
        <v>820.22</v>
      </c>
      <c r="E782" s="2">
        <v>0</v>
      </c>
      <c r="F782" s="2">
        <v>602094.35</v>
      </c>
      <c r="G782" t="s">
        <v>719</v>
      </c>
      <c r="H782" s="7">
        <f t="shared" si="83"/>
        <v>0</v>
      </c>
      <c r="I782" s="1">
        <f t="shared" si="77"/>
        <v>45261</v>
      </c>
      <c r="J782" s="1" t="str">
        <f t="shared" si="78"/>
        <v>NET PI TO HSL SEC A/C 347707-00602340029392</v>
      </c>
      <c r="L782" s="7">
        <f t="shared" si="79"/>
        <v>820.22</v>
      </c>
      <c r="M782" s="7">
        <f t="shared" si="80"/>
        <v>0</v>
      </c>
      <c r="N782" s="7">
        <f t="shared" si="81"/>
        <v>602094.35</v>
      </c>
      <c r="O782" s="7" t="str">
        <f t="shared" si="82"/>
        <v>HDFC 5930</v>
      </c>
    </row>
    <row r="783" spans="1:15" x14ac:dyDescent="0.25">
      <c r="A783" s="1">
        <v>45262</v>
      </c>
      <c r="B783" t="s">
        <v>669</v>
      </c>
      <c r="C783" s="1">
        <v>45262</v>
      </c>
      <c r="D783" s="2">
        <v>523543</v>
      </c>
      <c r="E783" s="2">
        <v>0</v>
      </c>
      <c r="F783" s="2">
        <v>78551.350000000006</v>
      </c>
      <c r="G783" t="s">
        <v>719</v>
      </c>
      <c r="H783" s="7">
        <f t="shared" si="83"/>
        <v>0</v>
      </c>
      <c r="I783" s="1">
        <f t="shared" si="77"/>
        <v>45262</v>
      </c>
      <c r="J783" s="1" t="str">
        <f t="shared" si="78"/>
        <v>CC 000552260XXXXXX5783 AUTOPAY SI-TAD</v>
      </c>
      <c r="L783" s="7">
        <f t="shared" si="79"/>
        <v>523543</v>
      </c>
      <c r="M783" s="7">
        <f t="shared" si="80"/>
        <v>0</v>
      </c>
      <c r="N783" s="7">
        <f t="shared" si="81"/>
        <v>78551.350000000006</v>
      </c>
      <c r="O783" s="7" t="str">
        <f t="shared" si="82"/>
        <v>HDFC 5930</v>
      </c>
    </row>
    <row r="784" spans="1:15" x14ac:dyDescent="0.25">
      <c r="A784" s="1">
        <v>45264</v>
      </c>
      <c r="B784" t="s">
        <v>696</v>
      </c>
      <c r="C784" s="1">
        <v>45264</v>
      </c>
      <c r="D784" s="2">
        <v>60000</v>
      </c>
      <c r="E784" s="2">
        <v>0</v>
      </c>
      <c r="F784" s="2">
        <v>18551.349999999999</v>
      </c>
      <c r="G784" t="s">
        <v>719</v>
      </c>
      <c r="H784" s="7">
        <f t="shared" si="83"/>
        <v>0</v>
      </c>
      <c r="I784" s="1">
        <f t="shared" si="77"/>
        <v>45264</v>
      </c>
      <c r="J784" s="1" t="str">
        <f t="shared" si="78"/>
        <v>50100542230922-TPT-TRANSFER FROM AJAY-ARCHIT GUPTA</v>
      </c>
      <c r="L784" s="7">
        <f t="shared" si="79"/>
        <v>60000</v>
      </c>
      <c r="M784" s="7">
        <f t="shared" si="80"/>
        <v>0</v>
      </c>
      <c r="N784" s="7">
        <f t="shared" si="81"/>
        <v>18551.349999999999</v>
      </c>
      <c r="O784" s="7" t="str">
        <f t="shared" si="82"/>
        <v>HDFC 5930</v>
      </c>
    </row>
    <row r="785" spans="1:15" x14ac:dyDescent="0.25">
      <c r="A785" s="1">
        <v>45264</v>
      </c>
      <c r="B785" t="s">
        <v>697</v>
      </c>
      <c r="C785" s="1">
        <v>45264</v>
      </c>
      <c r="D785" s="2">
        <v>0</v>
      </c>
      <c r="E785" s="2">
        <v>150000</v>
      </c>
      <c r="F785" s="2">
        <v>168551.35</v>
      </c>
      <c r="G785" t="s">
        <v>719</v>
      </c>
      <c r="H785" s="7">
        <f t="shared" si="83"/>
        <v>0</v>
      </c>
      <c r="I785" s="1">
        <f t="shared" si="77"/>
        <v>45264</v>
      </c>
      <c r="J785" s="1" t="str">
        <f t="shared" si="78"/>
        <v>NEFT CR-SBIN0011669-MR  AJAY KUMAR GUPTA-AJAY KUMAR GUPTA-SBIN523338840590</v>
      </c>
      <c r="L785" s="7">
        <f t="shared" si="79"/>
        <v>0</v>
      </c>
      <c r="M785" s="7">
        <f t="shared" si="80"/>
        <v>150000</v>
      </c>
      <c r="N785" s="7">
        <f t="shared" si="81"/>
        <v>168551.35</v>
      </c>
      <c r="O785" s="7" t="str">
        <f t="shared" si="82"/>
        <v>HDFC 5930</v>
      </c>
    </row>
    <row r="786" spans="1:15" x14ac:dyDescent="0.25">
      <c r="A786" s="1">
        <v>45264</v>
      </c>
      <c r="B786" t="s">
        <v>586</v>
      </c>
      <c r="C786" s="1">
        <v>45264</v>
      </c>
      <c r="D786" s="2">
        <v>100000</v>
      </c>
      <c r="E786" s="2">
        <v>0</v>
      </c>
      <c r="F786" s="2">
        <v>68551.350000000006</v>
      </c>
      <c r="G786" t="s">
        <v>719</v>
      </c>
      <c r="H786" s="7">
        <f t="shared" si="83"/>
        <v>0</v>
      </c>
      <c r="I786" s="1">
        <f t="shared" ref="I786:I849" si="84">A786</f>
        <v>45264</v>
      </c>
      <c r="J786" s="1" t="str">
        <f t="shared" ref="J786:J849" si="85">B786</f>
        <v>01671000060094-TPT-BORROW FROM AJAY-SUNITA GUPTA</v>
      </c>
      <c r="L786" s="7">
        <f t="shared" ref="L786:L849" si="86">D786</f>
        <v>100000</v>
      </c>
      <c r="M786" s="7">
        <f t="shared" ref="M786:M849" si="87">E786</f>
        <v>0</v>
      </c>
      <c r="N786" s="7">
        <f t="shared" ref="N786:N849" si="88">F786</f>
        <v>68551.350000000006</v>
      </c>
      <c r="O786" s="7" t="str">
        <f t="shared" ref="O786:O849" si="89">G786</f>
        <v>HDFC 5930</v>
      </c>
    </row>
    <row r="787" spans="1:15" x14ac:dyDescent="0.25">
      <c r="A787" s="1">
        <v>45264</v>
      </c>
      <c r="B787" t="s">
        <v>472</v>
      </c>
      <c r="C787" s="1">
        <v>45264</v>
      </c>
      <c r="D787" s="2">
        <v>416.4</v>
      </c>
      <c r="E787" s="2">
        <v>0</v>
      </c>
      <c r="F787" s="2">
        <v>68134.95</v>
      </c>
      <c r="G787" t="s">
        <v>719</v>
      </c>
      <c r="H787" s="7">
        <f t="shared" ref="H787:H850" si="90">F786-D787+E787-F787</f>
        <v>0</v>
      </c>
      <c r="I787" s="1">
        <f t="shared" si="84"/>
        <v>45264</v>
      </c>
      <c r="J787" s="1" t="str">
        <f t="shared" si="85"/>
        <v>NET PI TO HSL SEC A/C 347707-00602340029392</v>
      </c>
      <c r="L787" s="7">
        <f t="shared" si="86"/>
        <v>416.4</v>
      </c>
      <c r="M787" s="7">
        <f t="shared" si="87"/>
        <v>0</v>
      </c>
      <c r="N787" s="7">
        <f t="shared" si="88"/>
        <v>68134.95</v>
      </c>
      <c r="O787" s="7" t="str">
        <f t="shared" si="89"/>
        <v>HDFC 5930</v>
      </c>
    </row>
    <row r="788" spans="1:15" x14ac:dyDescent="0.25">
      <c r="A788" s="1">
        <v>45264</v>
      </c>
      <c r="B788" t="s">
        <v>472</v>
      </c>
      <c r="C788" s="1">
        <v>45264</v>
      </c>
      <c r="D788" s="2">
        <v>30004.51</v>
      </c>
      <c r="E788" s="2">
        <v>0</v>
      </c>
      <c r="F788" s="2">
        <v>38130.44</v>
      </c>
      <c r="G788" t="s">
        <v>719</v>
      </c>
      <c r="H788" s="7">
        <f t="shared" si="90"/>
        <v>0</v>
      </c>
      <c r="I788" s="1">
        <f t="shared" si="84"/>
        <v>45264</v>
      </c>
      <c r="J788" s="1" t="str">
        <f t="shared" si="85"/>
        <v>NET PI TO HSL SEC A/C 347707-00602340029392</v>
      </c>
      <c r="L788" s="7">
        <f t="shared" si="86"/>
        <v>30004.51</v>
      </c>
      <c r="M788" s="7">
        <f t="shared" si="87"/>
        <v>0</v>
      </c>
      <c r="N788" s="7">
        <f t="shared" si="88"/>
        <v>38130.44</v>
      </c>
      <c r="O788" s="7" t="str">
        <f t="shared" si="89"/>
        <v>HDFC 5930</v>
      </c>
    </row>
    <row r="789" spans="1:15" x14ac:dyDescent="0.25">
      <c r="A789" s="1">
        <v>45265</v>
      </c>
      <c r="B789" t="s">
        <v>618</v>
      </c>
      <c r="C789" s="1">
        <v>45265</v>
      </c>
      <c r="D789" s="2">
        <v>0</v>
      </c>
      <c r="E789" s="2">
        <v>100.3</v>
      </c>
      <c r="F789" s="2">
        <v>38230.74</v>
      </c>
      <c r="G789" t="s">
        <v>719</v>
      </c>
      <c r="H789" s="7">
        <f t="shared" si="90"/>
        <v>0</v>
      </c>
      <c r="I789" s="1">
        <f t="shared" si="84"/>
        <v>45265</v>
      </c>
      <c r="J789" s="1" t="str">
        <f t="shared" si="85"/>
        <v>NET PO FROM HSL A/C 347707-50200085415108</v>
      </c>
      <c r="L789" s="7">
        <f t="shared" si="86"/>
        <v>0</v>
      </c>
      <c r="M789" s="7">
        <f t="shared" si="87"/>
        <v>100.3</v>
      </c>
      <c r="N789" s="7">
        <f t="shared" si="88"/>
        <v>38230.74</v>
      </c>
      <c r="O789" s="7" t="str">
        <f t="shared" si="89"/>
        <v>HDFC 5930</v>
      </c>
    </row>
    <row r="790" spans="1:15" x14ac:dyDescent="0.25">
      <c r="A790" s="1">
        <v>45265</v>
      </c>
      <c r="B790" t="s">
        <v>472</v>
      </c>
      <c r="C790" s="1">
        <v>45265</v>
      </c>
      <c r="D790" s="2">
        <v>138.80000000000001</v>
      </c>
      <c r="E790" s="2">
        <v>0</v>
      </c>
      <c r="F790" s="2">
        <v>38091.94</v>
      </c>
      <c r="G790" t="s">
        <v>719</v>
      </c>
      <c r="H790" s="7">
        <f t="shared" si="90"/>
        <v>0</v>
      </c>
      <c r="I790" s="1">
        <f t="shared" si="84"/>
        <v>45265</v>
      </c>
      <c r="J790" s="1" t="str">
        <f t="shared" si="85"/>
        <v>NET PI TO HSL SEC A/C 347707-00602340029392</v>
      </c>
      <c r="L790" s="7">
        <f t="shared" si="86"/>
        <v>138.80000000000001</v>
      </c>
      <c r="M790" s="7">
        <f t="shared" si="87"/>
        <v>0</v>
      </c>
      <c r="N790" s="7">
        <f t="shared" si="88"/>
        <v>38091.94</v>
      </c>
      <c r="O790" s="7" t="str">
        <f t="shared" si="89"/>
        <v>HDFC 5930</v>
      </c>
    </row>
    <row r="791" spans="1:15" x14ac:dyDescent="0.25">
      <c r="A791" s="1">
        <v>45265</v>
      </c>
      <c r="B791" t="s">
        <v>472</v>
      </c>
      <c r="C791" s="1">
        <v>45265</v>
      </c>
      <c r="D791" s="2">
        <v>7784.25</v>
      </c>
      <c r="E791" s="2">
        <v>0</v>
      </c>
      <c r="F791" s="2">
        <v>30307.69</v>
      </c>
      <c r="G791" t="s">
        <v>719</v>
      </c>
      <c r="H791" s="7">
        <f t="shared" si="90"/>
        <v>0</v>
      </c>
      <c r="I791" s="1">
        <f t="shared" si="84"/>
        <v>45265</v>
      </c>
      <c r="J791" s="1" t="str">
        <f t="shared" si="85"/>
        <v>NET PI TO HSL SEC A/C 347707-00602340029392</v>
      </c>
      <c r="L791" s="7">
        <f t="shared" si="86"/>
        <v>7784.25</v>
      </c>
      <c r="M791" s="7">
        <f t="shared" si="87"/>
        <v>0</v>
      </c>
      <c r="N791" s="7">
        <f t="shared" si="88"/>
        <v>30307.69</v>
      </c>
      <c r="O791" s="7" t="str">
        <f t="shared" si="89"/>
        <v>HDFC 5930</v>
      </c>
    </row>
    <row r="792" spans="1:15" x14ac:dyDescent="0.25">
      <c r="A792" s="1">
        <v>45266</v>
      </c>
      <c r="B792" t="s">
        <v>618</v>
      </c>
      <c r="C792" s="1">
        <v>45266</v>
      </c>
      <c r="D792" s="2">
        <v>0</v>
      </c>
      <c r="E792" s="2">
        <v>63409.56</v>
      </c>
      <c r="F792" s="2">
        <v>93717.25</v>
      </c>
      <c r="G792" t="s">
        <v>719</v>
      </c>
      <c r="H792" s="7">
        <f t="shared" si="90"/>
        <v>0</v>
      </c>
      <c r="I792" s="1">
        <f t="shared" si="84"/>
        <v>45266</v>
      </c>
      <c r="J792" s="1" t="str">
        <f t="shared" si="85"/>
        <v>NET PO FROM HSL A/C 347707-50200085415108</v>
      </c>
      <c r="L792" s="7">
        <f t="shared" si="86"/>
        <v>0</v>
      </c>
      <c r="M792" s="7">
        <f t="shared" si="87"/>
        <v>63409.56</v>
      </c>
      <c r="N792" s="7">
        <f t="shared" si="88"/>
        <v>93717.25</v>
      </c>
      <c r="O792" s="7" t="str">
        <f t="shared" si="89"/>
        <v>HDFC 5930</v>
      </c>
    </row>
    <row r="793" spans="1:15" x14ac:dyDescent="0.25">
      <c r="A793" s="1">
        <v>45266</v>
      </c>
      <c r="B793" t="s">
        <v>472</v>
      </c>
      <c r="C793" s="1">
        <v>45266</v>
      </c>
      <c r="D793" s="2">
        <v>136.06</v>
      </c>
      <c r="E793" s="2">
        <v>0</v>
      </c>
      <c r="F793" s="2">
        <v>93581.19</v>
      </c>
      <c r="G793" t="s">
        <v>719</v>
      </c>
      <c r="H793" s="7">
        <f t="shared" si="90"/>
        <v>0</v>
      </c>
      <c r="I793" s="1">
        <f t="shared" si="84"/>
        <v>45266</v>
      </c>
      <c r="J793" s="1" t="str">
        <f t="shared" si="85"/>
        <v>NET PI TO HSL SEC A/C 347707-00602340029392</v>
      </c>
      <c r="L793" s="7">
        <f t="shared" si="86"/>
        <v>136.06</v>
      </c>
      <c r="M793" s="7">
        <f t="shared" si="87"/>
        <v>0</v>
      </c>
      <c r="N793" s="7">
        <f t="shared" si="88"/>
        <v>93581.19</v>
      </c>
      <c r="O793" s="7" t="str">
        <f t="shared" si="89"/>
        <v>HDFC 5930</v>
      </c>
    </row>
    <row r="794" spans="1:15" x14ac:dyDescent="0.25">
      <c r="A794" s="1">
        <v>45266</v>
      </c>
      <c r="B794" t="s">
        <v>698</v>
      </c>
      <c r="C794" s="1">
        <v>45266</v>
      </c>
      <c r="D794" s="2">
        <v>8350</v>
      </c>
      <c r="E794" s="2">
        <v>0</v>
      </c>
      <c r="F794" s="2">
        <v>85231.19</v>
      </c>
      <c r="G794" t="s">
        <v>719</v>
      </c>
      <c r="H794" s="7">
        <f t="shared" si="90"/>
        <v>0</v>
      </c>
      <c r="I794" s="1">
        <f t="shared" si="84"/>
        <v>45266</v>
      </c>
      <c r="J794" s="1" t="str">
        <f t="shared" si="85"/>
        <v>UPI-GAURAV DILIP UGALE-7276896266@AXL-HDFC0009255-370637869047-PAYMENT FROM PHONE</v>
      </c>
      <c r="L794" s="7">
        <f t="shared" si="86"/>
        <v>8350</v>
      </c>
      <c r="M794" s="7">
        <f t="shared" si="87"/>
        <v>0</v>
      </c>
      <c r="N794" s="7">
        <f t="shared" si="88"/>
        <v>85231.19</v>
      </c>
      <c r="O794" s="7" t="str">
        <f t="shared" si="89"/>
        <v>HDFC 5930</v>
      </c>
    </row>
    <row r="795" spans="1:15" x14ac:dyDescent="0.25">
      <c r="A795" s="1">
        <v>45266</v>
      </c>
      <c r="B795" t="s">
        <v>472</v>
      </c>
      <c r="C795" s="1">
        <v>45266</v>
      </c>
      <c r="D795" s="2">
        <v>36940.15</v>
      </c>
      <c r="E795" s="2">
        <v>0</v>
      </c>
      <c r="F795" s="2">
        <v>48291.040000000001</v>
      </c>
      <c r="G795" t="s">
        <v>719</v>
      </c>
      <c r="H795" s="7">
        <f t="shared" si="90"/>
        <v>0</v>
      </c>
      <c r="I795" s="1">
        <f t="shared" si="84"/>
        <v>45266</v>
      </c>
      <c r="J795" s="1" t="str">
        <f t="shared" si="85"/>
        <v>NET PI TO HSL SEC A/C 347707-00602340029392</v>
      </c>
      <c r="L795" s="7">
        <f t="shared" si="86"/>
        <v>36940.15</v>
      </c>
      <c r="M795" s="7">
        <f t="shared" si="87"/>
        <v>0</v>
      </c>
      <c r="N795" s="7">
        <f t="shared" si="88"/>
        <v>48291.040000000001</v>
      </c>
      <c r="O795" s="7" t="str">
        <f t="shared" si="89"/>
        <v>HDFC 5930</v>
      </c>
    </row>
    <row r="796" spans="1:15" x14ac:dyDescent="0.25">
      <c r="A796" s="1">
        <v>45267</v>
      </c>
      <c r="B796" t="s">
        <v>618</v>
      </c>
      <c r="C796" s="1">
        <v>45267</v>
      </c>
      <c r="D796" s="2">
        <v>0</v>
      </c>
      <c r="E796" s="2">
        <v>44238.16</v>
      </c>
      <c r="F796" s="2">
        <v>92529.2</v>
      </c>
      <c r="G796" t="s">
        <v>719</v>
      </c>
      <c r="H796" s="7">
        <f t="shared" si="90"/>
        <v>0</v>
      </c>
      <c r="I796" s="1">
        <f t="shared" si="84"/>
        <v>45267</v>
      </c>
      <c r="J796" s="1" t="str">
        <f t="shared" si="85"/>
        <v>NET PO FROM HSL A/C 347707-50200085415108</v>
      </c>
      <c r="L796" s="7">
        <f t="shared" si="86"/>
        <v>0</v>
      </c>
      <c r="M796" s="7">
        <f t="shared" si="87"/>
        <v>44238.16</v>
      </c>
      <c r="N796" s="7">
        <f t="shared" si="88"/>
        <v>92529.2</v>
      </c>
      <c r="O796" s="7" t="str">
        <f t="shared" si="89"/>
        <v>HDFC 5930</v>
      </c>
    </row>
    <row r="797" spans="1:15" x14ac:dyDescent="0.25">
      <c r="A797" s="1">
        <v>45267</v>
      </c>
      <c r="B797" t="s">
        <v>472</v>
      </c>
      <c r="C797" s="1">
        <v>45267</v>
      </c>
      <c r="D797" s="2">
        <v>133.01</v>
      </c>
      <c r="E797" s="2">
        <v>0</v>
      </c>
      <c r="F797" s="2">
        <v>92396.19</v>
      </c>
      <c r="G797" t="s">
        <v>719</v>
      </c>
      <c r="H797" s="7">
        <f t="shared" si="90"/>
        <v>0</v>
      </c>
      <c r="I797" s="1">
        <f t="shared" si="84"/>
        <v>45267</v>
      </c>
      <c r="J797" s="1" t="str">
        <f t="shared" si="85"/>
        <v>NET PI TO HSL SEC A/C 347707-00602340029392</v>
      </c>
      <c r="L797" s="7">
        <f t="shared" si="86"/>
        <v>133.01</v>
      </c>
      <c r="M797" s="7">
        <f t="shared" si="87"/>
        <v>0</v>
      </c>
      <c r="N797" s="7">
        <f t="shared" si="88"/>
        <v>92396.19</v>
      </c>
      <c r="O797" s="7" t="str">
        <f t="shared" si="89"/>
        <v>HDFC 5930</v>
      </c>
    </row>
    <row r="798" spans="1:15" x14ac:dyDescent="0.25">
      <c r="A798" s="1">
        <v>45267</v>
      </c>
      <c r="B798" t="s">
        <v>699</v>
      </c>
      <c r="C798" s="1">
        <v>45267</v>
      </c>
      <c r="D798" s="2">
        <v>0</v>
      </c>
      <c r="E798" s="2">
        <v>81</v>
      </c>
      <c r="F798" s="2">
        <v>92477.19</v>
      </c>
      <c r="G798" t="s">
        <v>719</v>
      </c>
      <c r="H798" s="7">
        <f t="shared" si="90"/>
        <v>0</v>
      </c>
      <c r="I798" s="1">
        <f t="shared" si="84"/>
        <v>45267</v>
      </c>
      <c r="J798" s="1" t="str">
        <f t="shared" si="85"/>
        <v>ACH C- POWER FINANCE CORPOR-11951104</v>
      </c>
      <c r="L798" s="7">
        <f t="shared" si="86"/>
        <v>0</v>
      </c>
      <c r="M798" s="7">
        <f t="shared" si="87"/>
        <v>81</v>
      </c>
      <c r="N798" s="7">
        <f t="shared" si="88"/>
        <v>92477.19</v>
      </c>
      <c r="O798" s="7" t="str">
        <f t="shared" si="89"/>
        <v>HDFC 5930</v>
      </c>
    </row>
    <row r="799" spans="1:15" x14ac:dyDescent="0.25">
      <c r="A799" s="1">
        <v>45267</v>
      </c>
      <c r="B799" t="s">
        <v>472</v>
      </c>
      <c r="C799" s="1">
        <v>45267</v>
      </c>
      <c r="D799" s="2">
        <v>30648.48</v>
      </c>
      <c r="E799" s="2">
        <v>0</v>
      </c>
      <c r="F799" s="2">
        <v>61828.71</v>
      </c>
      <c r="G799" t="s">
        <v>719</v>
      </c>
      <c r="H799" s="7">
        <f t="shared" si="90"/>
        <v>0</v>
      </c>
      <c r="I799" s="1">
        <f t="shared" si="84"/>
        <v>45267</v>
      </c>
      <c r="J799" s="1" t="str">
        <f t="shared" si="85"/>
        <v>NET PI TO HSL SEC A/C 347707-00602340029392</v>
      </c>
      <c r="L799" s="7">
        <f t="shared" si="86"/>
        <v>30648.48</v>
      </c>
      <c r="M799" s="7">
        <f t="shared" si="87"/>
        <v>0</v>
      </c>
      <c r="N799" s="7">
        <f t="shared" si="88"/>
        <v>61828.71</v>
      </c>
      <c r="O799" s="7" t="str">
        <f t="shared" si="89"/>
        <v>HDFC 5930</v>
      </c>
    </row>
    <row r="800" spans="1:15" x14ac:dyDescent="0.25">
      <c r="A800" s="1">
        <v>45267</v>
      </c>
      <c r="B800" t="s">
        <v>700</v>
      </c>
      <c r="C800" s="1">
        <v>45267</v>
      </c>
      <c r="D800" s="2">
        <v>10000</v>
      </c>
      <c r="E800" s="2">
        <v>0</v>
      </c>
      <c r="F800" s="2">
        <v>51828.71</v>
      </c>
      <c r="G800" t="s">
        <v>719</v>
      </c>
      <c r="H800" s="7">
        <f t="shared" si="90"/>
        <v>0</v>
      </c>
      <c r="I800" s="1">
        <f t="shared" si="84"/>
        <v>45267</v>
      </c>
      <c r="J800" s="1" t="str">
        <f t="shared" si="85"/>
        <v>50100542230922-TPT-FROM AKG TO ARCHIT-ARCHIT GUPTA</v>
      </c>
      <c r="L800" s="7">
        <f t="shared" si="86"/>
        <v>10000</v>
      </c>
      <c r="M800" s="7">
        <f t="shared" si="87"/>
        <v>0</v>
      </c>
      <c r="N800" s="7">
        <f t="shared" si="88"/>
        <v>51828.71</v>
      </c>
      <c r="O800" s="7" t="str">
        <f t="shared" si="89"/>
        <v>HDFC 5930</v>
      </c>
    </row>
    <row r="801" spans="1:15" x14ac:dyDescent="0.25">
      <c r="A801" s="1">
        <v>45267</v>
      </c>
      <c r="B801" t="s">
        <v>472</v>
      </c>
      <c r="C801" s="1">
        <v>45267</v>
      </c>
      <c r="D801" s="2">
        <v>30928.21</v>
      </c>
      <c r="E801" s="2">
        <v>0</v>
      </c>
      <c r="F801" s="2">
        <v>20900.5</v>
      </c>
      <c r="G801" t="s">
        <v>719</v>
      </c>
      <c r="H801" s="7">
        <f t="shared" si="90"/>
        <v>0</v>
      </c>
      <c r="I801" s="1">
        <f t="shared" si="84"/>
        <v>45267</v>
      </c>
      <c r="J801" s="1" t="str">
        <f t="shared" si="85"/>
        <v>NET PI TO HSL SEC A/C 347707-00602340029392</v>
      </c>
      <c r="L801" s="7">
        <f t="shared" si="86"/>
        <v>30928.21</v>
      </c>
      <c r="M801" s="7">
        <f t="shared" si="87"/>
        <v>0</v>
      </c>
      <c r="N801" s="7">
        <f t="shared" si="88"/>
        <v>20900.5</v>
      </c>
      <c r="O801" s="7" t="str">
        <f t="shared" si="89"/>
        <v>HDFC 5930</v>
      </c>
    </row>
    <row r="802" spans="1:15" x14ac:dyDescent="0.25">
      <c r="A802" s="1">
        <v>45268</v>
      </c>
      <c r="B802" t="s">
        <v>472</v>
      </c>
      <c r="C802" s="1">
        <v>45268</v>
      </c>
      <c r="D802" s="2">
        <v>162.16</v>
      </c>
      <c r="E802" s="2">
        <v>0</v>
      </c>
      <c r="F802" s="2">
        <v>20738.34</v>
      </c>
      <c r="G802" t="s">
        <v>719</v>
      </c>
      <c r="H802" s="7">
        <f t="shared" si="90"/>
        <v>0</v>
      </c>
      <c r="I802" s="1">
        <f t="shared" si="84"/>
        <v>45268</v>
      </c>
      <c r="J802" s="1" t="str">
        <f t="shared" si="85"/>
        <v>NET PI TO HSL SEC A/C 347707-00602340029392</v>
      </c>
      <c r="L802" s="7">
        <f t="shared" si="86"/>
        <v>162.16</v>
      </c>
      <c r="M802" s="7">
        <f t="shared" si="87"/>
        <v>0</v>
      </c>
      <c r="N802" s="7">
        <f t="shared" si="88"/>
        <v>20738.34</v>
      </c>
      <c r="O802" s="7" t="str">
        <f t="shared" si="89"/>
        <v>HDFC 5930</v>
      </c>
    </row>
    <row r="803" spans="1:15" x14ac:dyDescent="0.25">
      <c r="A803" s="1">
        <v>45268</v>
      </c>
      <c r="B803" t="s">
        <v>701</v>
      </c>
      <c r="C803" s="1">
        <v>45268</v>
      </c>
      <c r="D803" s="2">
        <v>1781.8</v>
      </c>
      <c r="E803" s="2">
        <v>0</v>
      </c>
      <c r="F803" s="2">
        <v>18956.54</v>
      </c>
      <c r="G803" t="s">
        <v>719</v>
      </c>
      <c r="H803" s="7">
        <f t="shared" si="90"/>
        <v>0</v>
      </c>
      <c r="I803" s="1">
        <f t="shared" si="84"/>
        <v>45268</v>
      </c>
      <c r="J803" s="1" t="str">
        <f t="shared" si="85"/>
        <v>DEPOSITORY CHARGES NOV23 - 40227714</v>
      </c>
      <c r="L803" s="7">
        <f t="shared" si="86"/>
        <v>1781.8</v>
      </c>
      <c r="M803" s="7">
        <f t="shared" si="87"/>
        <v>0</v>
      </c>
      <c r="N803" s="7">
        <f t="shared" si="88"/>
        <v>18956.54</v>
      </c>
      <c r="O803" s="7" t="str">
        <f t="shared" si="89"/>
        <v>HDFC 5930</v>
      </c>
    </row>
    <row r="804" spans="1:15" x14ac:dyDescent="0.25">
      <c r="A804" s="1">
        <v>45268</v>
      </c>
      <c r="B804" t="s">
        <v>472</v>
      </c>
      <c r="C804" s="1">
        <v>45268</v>
      </c>
      <c r="D804" s="2">
        <v>940.02</v>
      </c>
      <c r="E804" s="2">
        <v>0</v>
      </c>
      <c r="F804" s="2">
        <v>18016.52</v>
      </c>
      <c r="G804" t="s">
        <v>719</v>
      </c>
      <c r="H804" s="7">
        <f t="shared" si="90"/>
        <v>0</v>
      </c>
      <c r="I804" s="1">
        <f t="shared" si="84"/>
        <v>45268</v>
      </c>
      <c r="J804" s="1" t="str">
        <f t="shared" si="85"/>
        <v>NET PI TO HSL SEC A/C 347707-00602340029392</v>
      </c>
      <c r="L804" s="7">
        <f t="shared" si="86"/>
        <v>940.02</v>
      </c>
      <c r="M804" s="7">
        <f t="shared" si="87"/>
        <v>0</v>
      </c>
      <c r="N804" s="7">
        <f t="shared" si="88"/>
        <v>18016.52</v>
      </c>
      <c r="O804" s="7" t="str">
        <f t="shared" si="89"/>
        <v>HDFC 5930</v>
      </c>
    </row>
    <row r="805" spans="1:15" x14ac:dyDescent="0.25">
      <c r="A805" s="1">
        <v>45271</v>
      </c>
      <c r="B805" t="s">
        <v>681</v>
      </c>
      <c r="C805" s="1">
        <v>45271</v>
      </c>
      <c r="D805" s="2">
        <v>10000</v>
      </c>
      <c r="E805" s="2">
        <v>0</v>
      </c>
      <c r="F805" s="2">
        <v>8016.52</v>
      </c>
      <c r="G805" t="s">
        <v>719</v>
      </c>
      <c r="H805" s="7">
        <f t="shared" si="90"/>
        <v>0</v>
      </c>
      <c r="I805" s="1">
        <f t="shared" si="84"/>
        <v>45271</v>
      </c>
      <c r="J805" s="1" t="str">
        <f t="shared" si="85"/>
        <v>ACH D- INDIAN CLEARING CORP-P25847605X05</v>
      </c>
      <c r="L805" s="7">
        <f t="shared" si="86"/>
        <v>10000</v>
      </c>
      <c r="M805" s="7">
        <f t="shared" si="87"/>
        <v>0</v>
      </c>
      <c r="N805" s="7">
        <f t="shared" si="88"/>
        <v>8016.52</v>
      </c>
      <c r="O805" s="7" t="str">
        <f t="shared" si="89"/>
        <v>HDFC 5930</v>
      </c>
    </row>
    <row r="806" spans="1:15" x14ac:dyDescent="0.25">
      <c r="A806" s="1">
        <v>45271</v>
      </c>
      <c r="B806" t="s">
        <v>472</v>
      </c>
      <c r="C806" s="1">
        <v>45271</v>
      </c>
      <c r="D806" s="2">
        <v>588.51</v>
      </c>
      <c r="E806" s="2">
        <v>0</v>
      </c>
      <c r="F806" s="2">
        <v>7428.01</v>
      </c>
      <c r="G806" t="s">
        <v>719</v>
      </c>
      <c r="H806" s="7">
        <f t="shared" si="90"/>
        <v>0</v>
      </c>
      <c r="I806" s="1">
        <f t="shared" si="84"/>
        <v>45271</v>
      </c>
      <c r="J806" s="1" t="str">
        <f t="shared" si="85"/>
        <v>NET PI TO HSL SEC A/C 347707-00602340029392</v>
      </c>
      <c r="L806" s="7">
        <f t="shared" si="86"/>
        <v>588.51</v>
      </c>
      <c r="M806" s="7">
        <f t="shared" si="87"/>
        <v>0</v>
      </c>
      <c r="N806" s="7">
        <f t="shared" si="88"/>
        <v>7428.01</v>
      </c>
      <c r="O806" s="7" t="str">
        <f t="shared" si="89"/>
        <v>HDFC 5930</v>
      </c>
    </row>
    <row r="807" spans="1:15" x14ac:dyDescent="0.25">
      <c r="A807" s="1">
        <v>45271</v>
      </c>
      <c r="B807" t="s">
        <v>702</v>
      </c>
      <c r="C807" s="1">
        <v>45271</v>
      </c>
      <c r="D807" s="2">
        <v>0</v>
      </c>
      <c r="E807" s="2">
        <v>10000</v>
      </c>
      <c r="F807" s="2">
        <v>17428.009999999998</v>
      </c>
      <c r="G807" t="s">
        <v>719</v>
      </c>
      <c r="H807" s="7">
        <f t="shared" si="90"/>
        <v>0</v>
      </c>
      <c r="I807" s="1">
        <f t="shared" si="84"/>
        <v>45271</v>
      </c>
      <c r="J807" s="1" t="str">
        <f t="shared" si="85"/>
        <v>UPI-AAYUSH KUMAR GUPTA-9970054014@AXL-HDFC0000456-371131486874-TRANSFER FROM AAYU</v>
      </c>
      <c r="L807" s="7">
        <f t="shared" si="86"/>
        <v>0</v>
      </c>
      <c r="M807" s="7">
        <f t="shared" si="87"/>
        <v>10000</v>
      </c>
      <c r="N807" s="7">
        <f t="shared" si="88"/>
        <v>17428.009999999998</v>
      </c>
      <c r="O807" s="7" t="str">
        <f t="shared" si="89"/>
        <v>HDFC 5930</v>
      </c>
    </row>
    <row r="808" spans="1:15" x14ac:dyDescent="0.25">
      <c r="A808" s="1">
        <v>45271</v>
      </c>
      <c r="B808" t="s">
        <v>472</v>
      </c>
      <c r="C808" s="1">
        <v>45271</v>
      </c>
      <c r="D808" s="2">
        <v>2135.08</v>
      </c>
      <c r="E808" s="2">
        <v>0</v>
      </c>
      <c r="F808" s="2">
        <v>15292.93</v>
      </c>
      <c r="G808" t="s">
        <v>719</v>
      </c>
      <c r="H808" s="7">
        <f t="shared" si="90"/>
        <v>0</v>
      </c>
      <c r="I808" s="1">
        <f t="shared" si="84"/>
        <v>45271</v>
      </c>
      <c r="J808" s="1" t="str">
        <f t="shared" si="85"/>
        <v>NET PI TO HSL SEC A/C 347707-00602340029392</v>
      </c>
      <c r="L808" s="7">
        <f t="shared" si="86"/>
        <v>2135.08</v>
      </c>
      <c r="M808" s="7">
        <f t="shared" si="87"/>
        <v>0</v>
      </c>
      <c r="N808" s="7">
        <f t="shared" si="88"/>
        <v>15292.93</v>
      </c>
      <c r="O808" s="7" t="str">
        <f t="shared" si="89"/>
        <v>HDFC 5930</v>
      </c>
    </row>
    <row r="809" spans="1:15" x14ac:dyDescent="0.25">
      <c r="A809" s="1">
        <v>45272</v>
      </c>
      <c r="B809" t="s">
        <v>618</v>
      </c>
      <c r="C809" s="1">
        <v>45272</v>
      </c>
      <c r="D809" s="2">
        <v>0</v>
      </c>
      <c r="E809" s="2">
        <v>36330.589999999997</v>
      </c>
      <c r="F809" s="2">
        <v>51623.519999999997</v>
      </c>
      <c r="G809" t="s">
        <v>719</v>
      </c>
      <c r="H809" s="7">
        <f t="shared" si="90"/>
        <v>0</v>
      </c>
      <c r="I809" s="1">
        <f t="shared" si="84"/>
        <v>45272</v>
      </c>
      <c r="J809" s="1" t="str">
        <f t="shared" si="85"/>
        <v>NET PO FROM HSL A/C 347707-50200085415108</v>
      </c>
      <c r="L809" s="7">
        <f t="shared" si="86"/>
        <v>0</v>
      </c>
      <c r="M809" s="7">
        <f t="shared" si="87"/>
        <v>36330.589999999997</v>
      </c>
      <c r="N809" s="7">
        <f t="shared" si="88"/>
        <v>51623.519999999997</v>
      </c>
      <c r="O809" s="7" t="str">
        <f t="shared" si="89"/>
        <v>HDFC 5930</v>
      </c>
    </row>
    <row r="810" spans="1:15" x14ac:dyDescent="0.25">
      <c r="A810" s="1">
        <v>45272</v>
      </c>
      <c r="B810" t="s">
        <v>703</v>
      </c>
      <c r="C810" s="1">
        <v>45272</v>
      </c>
      <c r="D810" s="2">
        <v>10000</v>
      </c>
      <c r="E810" s="2">
        <v>0</v>
      </c>
      <c r="F810" s="2">
        <v>41623.519999999997</v>
      </c>
      <c r="G810" t="s">
        <v>719</v>
      </c>
      <c r="H810" s="7">
        <f t="shared" si="90"/>
        <v>0</v>
      </c>
      <c r="I810" s="1">
        <f t="shared" si="84"/>
        <v>45272</v>
      </c>
      <c r="J810" s="1" t="str">
        <f t="shared" si="85"/>
        <v>UPI-AAYUSH KUMAR GUPTA-9970054014@YBL-HDFC0000456-371248964667-RETURNED TO AAYUSH</v>
      </c>
      <c r="L810" s="7">
        <f t="shared" si="86"/>
        <v>10000</v>
      </c>
      <c r="M810" s="7">
        <f t="shared" si="87"/>
        <v>0</v>
      </c>
      <c r="N810" s="7">
        <f t="shared" si="88"/>
        <v>41623.519999999997</v>
      </c>
      <c r="O810" s="7" t="str">
        <f t="shared" si="89"/>
        <v>HDFC 5930</v>
      </c>
    </row>
    <row r="811" spans="1:15" x14ac:dyDescent="0.25">
      <c r="A811" s="1">
        <v>45272</v>
      </c>
      <c r="B811" t="s">
        <v>472</v>
      </c>
      <c r="C811" s="1">
        <v>45272</v>
      </c>
      <c r="D811" s="2">
        <v>195.41</v>
      </c>
      <c r="E811" s="2">
        <v>0</v>
      </c>
      <c r="F811" s="2">
        <v>41428.11</v>
      </c>
      <c r="G811" t="s">
        <v>719</v>
      </c>
      <c r="H811" s="7">
        <f t="shared" si="90"/>
        <v>0</v>
      </c>
      <c r="I811" s="1">
        <f t="shared" si="84"/>
        <v>45272</v>
      </c>
      <c r="J811" s="1" t="str">
        <f t="shared" si="85"/>
        <v>NET PI TO HSL SEC A/C 347707-00602340029392</v>
      </c>
      <c r="L811" s="7">
        <f t="shared" si="86"/>
        <v>195.41</v>
      </c>
      <c r="M811" s="7">
        <f t="shared" si="87"/>
        <v>0</v>
      </c>
      <c r="N811" s="7">
        <f t="shared" si="88"/>
        <v>41428.11</v>
      </c>
      <c r="O811" s="7" t="str">
        <f t="shared" si="89"/>
        <v>HDFC 5930</v>
      </c>
    </row>
    <row r="812" spans="1:15" x14ac:dyDescent="0.25">
      <c r="A812" s="1">
        <v>45272</v>
      </c>
      <c r="B812" t="s">
        <v>704</v>
      </c>
      <c r="C812" s="1">
        <v>45272</v>
      </c>
      <c r="D812" s="2">
        <v>0</v>
      </c>
      <c r="E812" s="2">
        <v>20750</v>
      </c>
      <c r="F812" s="2">
        <v>62178.11</v>
      </c>
      <c r="G812" t="s">
        <v>719</v>
      </c>
      <c r="H812" s="7">
        <f t="shared" si="90"/>
        <v>0</v>
      </c>
      <c r="I812" s="1">
        <f t="shared" si="84"/>
        <v>45272</v>
      </c>
      <c r="J812" s="1" t="str">
        <f t="shared" si="85"/>
        <v>NEFT CR-YESB0000001-INDIAN CLEARING CORPORATION LIMITED-AJAYKUMARGUPTA-YESIG33460349852</v>
      </c>
      <c r="L812" s="7">
        <f t="shared" si="86"/>
        <v>0</v>
      </c>
      <c r="M812" s="7">
        <f t="shared" si="87"/>
        <v>20750</v>
      </c>
      <c r="N812" s="7">
        <f t="shared" si="88"/>
        <v>62178.11</v>
      </c>
      <c r="O812" s="7" t="str">
        <f t="shared" si="89"/>
        <v>HDFC 5930</v>
      </c>
    </row>
    <row r="813" spans="1:15" x14ac:dyDescent="0.25">
      <c r="A813" s="1">
        <v>45272</v>
      </c>
      <c r="B813" t="s">
        <v>705</v>
      </c>
      <c r="C813" s="1">
        <v>45272</v>
      </c>
      <c r="D813" s="2">
        <v>0</v>
      </c>
      <c r="E813" s="2">
        <v>200000</v>
      </c>
      <c r="F813" s="2">
        <v>262178.11</v>
      </c>
      <c r="G813" t="s">
        <v>719</v>
      </c>
      <c r="H813" s="7">
        <f t="shared" si="90"/>
        <v>0</v>
      </c>
      <c r="I813" s="1">
        <f t="shared" si="84"/>
        <v>45272</v>
      </c>
      <c r="J813" s="1" t="str">
        <f t="shared" si="85"/>
        <v>IMPS-334616946794-AJAY  KUMAR GUPTA-SBIN-XXXXXXX7703-NULL</v>
      </c>
      <c r="L813" s="7">
        <f t="shared" si="86"/>
        <v>0</v>
      </c>
      <c r="M813" s="7">
        <f t="shared" si="87"/>
        <v>200000</v>
      </c>
      <c r="N813" s="7">
        <f t="shared" si="88"/>
        <v>262178.11</v>
      </c>
      <c r="O813" s="7" t="str">
        <f t="shared" si="89"/>
        <v>HDFC 5930</v>
      </c>
    </row>
    <row r="814" spans="1:15" x14ac:dyDescent="0.25">
      <c r="A814" s="1">
        <v>45272</v>
      </c>
      <c r="B814" t="s">
        <v>696</v>
      </c>
      <c r="C814" s="1">
        <v>45272</v>
      </c>
      <c r="D814" s="2">
        <v>100000</v>
      </c>
      <c r="E814" s="2">
        <v>0</v>
      </c>
      <c r="F814" s="2">
        <v>162178.10999999999</v>
      </c>
      <c r="G814" t="s">
        <v>719</v>
      </c>
      <c r="H814" s="7">
        <f t="shared" si="90"/>
        <v>0</v>
      </c>
      <c r="I814" s="1">
        <f t="shared" si="84"/>
        <v>45272</v>
      </c>
      <c r="J814" s="1" t="str">
        <f t="shared" si="85"/>
        <v>50100542230922-TPT-TRANSFER FROM AJAY-ARCHIT GUPTA</v>
      </c>
      <c r="L814" s="7">
        <f t="shared" si="86"/>
        <v>100000</v>
      </c>
      <c r="M814" s="7">
        <f t="shared" si="87"/>
        <v>0</v>
      </c>
      <c r="N814" s="7">
        <f t="shared" si="88"/>
        <v>162178.10999999999</v>
      </c>
      <c r="O814" s="7" t="str">
        <f t="shared" si="89"/>
        <v>HDFC 5930</v>
      </c>
    </row>
    <row r="815" spans="1:15" x14ac:dyDescent="0.25">
      <c r="A815" s="1">
        <v>45272</v>
      </c>
      <c r="B815" t="s">
        <v>472</v>
      </c>
      <c r="C815" s="1">
        <v>45272</v>
      </c>
      <c r="D815" s="2">
        <v>6173.65</v>
      </c>
      <c r="E815" s="2">
        <v>0</v>
      </c>
      <c r="F815" s="2">
        <v>156004.46</v>
      </c>
      <c r="G815" t="s">
        <v>719</v>
      </c>
      <c r="H815" s="7">
        <f t="shared" si="90"/>
        <v>0</v>
      </c>
      <c r="I815" s="1">
        <f t="shared" si="84"/>
        <v>45272</v>
      </c>
      <c r="J815" s="1" t="str">
        <f t="shared" si="85"/>
        <v>NET PI TO HSL SEC A/C 347707-00602340029392</v>
      </c>
      <c r="L815" s="7">
        <f t="shared" si="86"/>
        <v>6173.65</v>
      </c>
      <c r="M815" s="7">
        <f t="shared" si="87"/>
        <v>0</v>
      </c>
      <c r="N815" s="7">
        <f t="shared" si="88"/>
        <v>156004.46</v>
      </c>
      <c r="O815" s="7" t="str">
        <f t="shared" si="89"/>
        <v>HDFC 5930</v>
      </c>
    </row>
    <row r="816" spans="1:15" x14ac:dyDescent="0.25">
      <c r="A816" s="1">
        <v>45273</v>
      </c>
      <c r="B816" t="s">
        <v>618</v>
      </c>
      <c r="C816" s="1">
        <v>45273</v>
      </c>
      <c r="D816" s="2">
        <v>0</v>
      </c>
      <c r="E816" s="2">
        <v>9097.08</v>
      </c>
      <c r="F816" s="2">
        <v>165101.54</v>
      </c>
      <c r="G816" t="s">
        <v>719</v>
      </c>
      <c r="H816" s="7">
        <f t="shared" si="90"/>
        <v>0</v>
      </c>
      <c r="I816" s="1">
        <f t="shared" si="84"/>
        <v>45273</v>
      </c>
      <c r="J816" s="1" t="str">
        <f t="shared" si="85"/>
        <v>NET PO FROM HSL A/C 347707-50200085415108</v>
      </c>
      <c r="L816" s="7">
        <f t="shared" si="86"/>
        <v>0</v>
      </c>
      <c r="M816" s="7">
        <f t="shared" si="87"/>
        <v>9097.08</v>
      </c>
      <c r="N816" s="7">
        <f t="shared" si="88"/>
        <v>165101.54</v>
      </c>
      <c r="O816" s="7" t="str">
        <f t="shared" si="89"/>
        <v>HDFC 5930</v>
      </c>
    </row>
    <row r="817" spans="1:15" x14ac:dyDescent="0.25">
      <c r="A817" s="1">
        <v>45273</v>
      </c>
      <c r="B817" t="s">
        <v>472</v>
      </c>
      <c r="C817" s="1">
        <v>45273</v>
      </c>
      <c r="D817" s="2">
        <v>193.21</v>
      </c>
      <c r="E817" s="2">
        <v>0</v>
      </c>
      <c r="F817" s="2">
        <v>164908.32999999999</v>
      </c>
      <c r="G817" t="s">
        <v>719</v>
      </c>
      <c r="H817" s="7">
        <f t="shared" si="90"/>
        <v>0</v>
      </c>
      <c r="I817" s="1">
        <f t="shared" si="84"/>
        <v>45273</v>
      </c>
      <c r="J817" s="1" t="str">
        <f t="shared" si="85"/>
        <v>NET PI TO HSL SEC A/C 347707-00602340029392</v>
      </c>
      <c r="L817" s="7">
        <f t="shared" si="86"/>
        <v>193.21</v>
      </c>
      <c r="M817" s="7">
        <f t="shared" si="87"/>
        <v>0</v>
      </c>
      <c r="N817" s="7">
        <f t="shared" si="88"/>
        <v>164908.32999999999</v>
      </c>
      <c r="O817" s="7" t="str">
        <f t="shared" si="89"/>
        <v>HDFC 5930</v>
      </c>
    </row>
    <row r="818" spans="1:15" x14ac:dyDescent="0.25">
      <c r="A818" s="1">
        <v>45273</v>
      </c>
      <c r="B818" t="s">
        <v>472</v>
      </c>
      <c r="C818" s="1">
        <v>45273</v>
      </c>
      <c r="D818" s="2">
        <v>49505.99</v>
      </c>
      <c r="E818" s="2">
        <v>0</v>
      </c>
      <c r="F818" s="2">
        <v>115402.34</v>
      </c>
      <c r="G818" t="s">
        <v>719</v>
      </c>
      <c r="H818" s="7">
        <f t="shared" si="90"/>
        <v>0</v>
      </c>
      <c r="I818" s="1">
        <f t="shared" si="84"/>
        <v>45273</v>
      </c>
      <c r="J818" s="1" t="str">
        <f t="shared" si="85"/>
        <v>NET PI TO HSL SEC A/C 347707-00602340029392</v>
      </c>
      <c r="L818" s="7">
        <f t="shared" si="86"/>
        <v>49505.99</v>
      </c>
      <c r="M818" s="7">
        <f t="shared" si="87"/>
        <v>0</v>
      </c>
      <c r="N818" s="7">
        <f t="shared" si="88"/>
        <v>115402.34</v>
      </c>
      <c r="O818" s="7" t="str">
        <f t="shared" si="89"/>
        <v>HDFC 5930</v>
      </c>
    </row>
    <row r="819" spans="1:15" x14ac:dyDescent="0.25">
      <c r="A819" s="1">
        <v>45274</v>
      </c>
      <c r="B819" t="s">
        <v>706</v>
      </c>
      <c r="C819" s="1">
        <v>45274</v>
      </c>
      <c r="D819" s="2">
        <v>100000</v>
      </c>
      <c r="E819" s="2">
        <v>0</v>
      </c>
      <c r="F819" s="2">
        <v>15402.34</v>
      </c>
      <c r="G819" t="s">
        <v>719</v>
      </c>
      <c r="H819" s="7">
        <f t="shared" si="90"/>
        <v>0</v>
      </c>
      <c r="I819" s="1">
        <f t="shared" si="84"/>
        <v>45274</v>
      </c>
      <c r="J819" s="1" t="str">
        <f t="shared" si="85"/>
        <v>50100128155413-TPT-TRANSFER FROM AJAY HDFC-AAYUSH KUMAR GUPTA</v>
      </c>
      <c r="L819" s="7">
        <f t="shared" si="86"/>
        <v>100000</v>
      </c>
      <c r="M819" s="7">
        <f t="shared" si="87"/>
        <v>0</v>
      </c>
      <c r="N819" s="7">
        <f t="shared" si="88"/>
        <v>15402.34</v>
      </c>
      <c r="O819" s="7" t="str">
        <f t="shared" si="89"/>
        <v>HDFC 5930</v>
      </c>
    </row>
    <row r="820" spans="1:15" x14ac:dyDescent="0.25">
      <c r="A820" s="1">
        <v>45274</v>
      </c>
      <c r="B820" t="s">
        <v>707</v>
      </c>
      <c r="C820" s="1">
        <v>45274</v>
      </c>
      <c r="D820" s="2">
        <v>0</v>
      </c>
      <c r="E820" s="2">
        <v>300000</v>
      </c>
      <c r="F820" s="2">
        <v>315402.34000000003</v>
      </c>
      <c r="G820" t="s">
        <v>719</v>
      </c>
      <c r="H820" s="7">
        <f t="shared" si="90"/>
        <v>0</v>
      </c>
      <c r="I820" s="1">
        <f t="shared" si="84"/>
        <v>45274</v>
      </c>
      <c r="J820" s="1" t="str">
        <f t="shared" si="85"/>
        <v>NEFT CR-SBIN0011669-MR  AJAY KUMAR GUPTA-AJAY KUMAR GUPTA-SBIN223348243701</v>
      </c>
      <c r="L820" s="7">
        <f t="shared" si="86"/>
        <v>0</v>
      </c>
      <c r="M820" s="7">
        <f t="shared" si="87"/>
        <v>300000</v>
      </c>
      <c r="N820" s="7">
        <f t="shared" si="88"/>
        <v>315402.34000000003</v>
      </c>
      <c r="O820" s="7" t="str">
        <f t="shared" si="89"/>
        <v>HDFC 5930</v>
      </c>
    </row>
    <row r="821" spans="1:15" x14ac:dyDescent="0.25">
      <c r="A821" s="1">
        <v>45274</v>
      </c>
      <c r="B821" t="s">
        <v>472</v>
      </c>
      <c r="C821" s="1">
        <v>45274</v>
      </c>
      <c r="D821" s="2">
        <v>181.82</v>
      </c>
      <c r="E821" s="2">
        <v>0</v>
      </c>
      <c r="F821" s="2">
        <v>315220.52</v>
      </c>
      <c r="G821" t="s">
        <v>719</v>
      </c>
      <c r="H821" s="7">
        <f t="shared" si="90"/>
        <v>0</v>
      </c>
      <c r="I821" s="1">
        <f t="shared" si="84"/>
        <v>45274</v>
      </c>
      <c r="J821" s="1" t="str">
        <f t="shared" si="85"/>
        <v>NET PI TO HSL SEC A/C 347707-00602340029392</v>
      </c>
      <c r="L821" s="7">
        <f t="shared" si="86"/>
        <v>181.82</v>
      </c>
      <c r="M821" s="7">
        <f t="shared" si="87"/>
        <v>0</v>
      </c>
      <c r="N821" s="7">
        <f t="shared" si="88"/>
        <v>315220.52</v>
      </c>
      <c r="O821" s="7" t="str">
        <f t="shared" si="89"/>
        <v>HDFC 5930</v>
      </c>
    </row>
    <row r="822" spans="1:15" x14ac:dyDescent="0.25">
      <c r="A822" s="1">
        <v>45274</v>
      </c>
      <c r="B822" t="s">
        <v>708</v>
      </c>
      <c r="C822" s="1">
        <v>45274</v>
      </c>
      <c r="D822" s="2">
        <v>30000</v>
      </c>
      <c r="E822" s="2">
        <v>0</v>
      </c>
      <c r="F822" s="2">
        <v>285220.52</v>
      </c>
      <c r="G822" t="s">
        <v>719</v>
      </c>
      <c r="H822" s="7">
        <f t="shared" si="90"/>
        <v>0</v>
      </c>
      <c r="I822" s="1">
        <f t="shared" si="84"/>
        <v>45274</v>
      </c>
      <c r="J822" s="1" t="str">
        <f t="shared" si="85"/>
        <v>50100128155413-TPT-FROM HDFC AKG-AAYUSH KUMAR GUPTA</v>
      </c>
      <c r="L822" s="7">
        <f t="shared" si="86"/>
        <v>30000</v>
      </c>
      <c r="M822" s="7">
        <f t="shared" si="87"/>
        <v>0</v>
      </c>
      <c r="N822" s="7">
        <f t="shared" si="88"/>
        <v>285220.52</v>
      </c>
      <c r="O822" s="7" t="str">
        <f t="shared" si="89"/>
        <v>HDFC 5930</v>
      </c>
    </row>
    <row r="823" spans="1:15" x14ac:dyDescent="0.25">
      <c r="A823" s="1">
        <v>45274</v>
      </c>
      <c r="B823" t="s">
        <v>709</v>
      </c>
      <c r="C823" s="1">
        <v>45274</v>
      </c>
      <c r="D823" s="2">
        <v>30000</v>
      </c>
      <c r="E823" s="2">
        <v>0</v>
      </c>
      <c r="F823" s="2">
        <v>255220.52</v>
      </c>
      <c r="G823" t="s">
        <v>719</v>
      </c>
      <c r="H823" s="7">
        <f t="shared" si="90"/>
        <v>0</v>
      </c>
      <c r="I823" s="1">
        <f t="shared" si="84"/>
        <v>45274</v>
      </c>
      <c r="J823" s="1" t="str">
        <f t="shared" si="85"/>
        <v>50100542230922-TPT-FROM HDFC AKG-ARCHIT GUPTA</v>
      </c>
      <c r="L823" s="7">
        <f t="shared" si="86"/>
        <v>30000</v>
      </c>
      <c r="M823" s="7">
        <f t="shared" si="87"/>
        <v>0</v>
      </c>
      <c r="N823" s="7">
        <f t="shared" si="88"/>
        <v>255220.52</v>
      </c>
      <c r="O823" s="7" t="str">
        <f t="shared" si="89"/>
        <v>HDFC 5930</v>
      </c>
    </row>
    <row r="824" spans="1:15" x14ac:dyDescent="0.25">
      <c r="A824" s="1">
        <v>45275</v>
      </c>
      <c r="B824" t="s">
        <v>472</v>
      </c>
      <c r="C824" s="1">
        <v>45275</v>
      </c>
      <c r="D824" s="2">
        <v>15277.87</v>
      </c>
      <c r="E824" s="2">
        <v>0</v>
      </c>
      <c r="F824" s="2">
        <v>239942.65</v>
      </c>
      <c r="G824" t="s">
        <v>719</v>
      </c>
      <c r="H824" s="7">
        <f t="shared" si="90"/>
        <v>0</v>
      </c>
      <c r="I824" s="1">
        <f t="shared" si="84"/>
        <v>45275</v>
      </c>
      <c r="J824" s="1" t="str">
        <f t="shared" si="85"/>
        <v>NET PI TO HSL SEC A/C 347707-00602340029392</v>
      </c>
      <c r="L824" s="7">
        <f t="shared" si="86"/>
        <v>15277.87</v>
      </c>
      <c r="M824" s="7">
        <f t="shared" si="87"/>
        <v>0</v>
      </c>
      <c r="N824" s="7">
        <f t="shared" si="88"/>
        <v>239942.65</v>
      </c>
      <c r="O824" s="7" t="str">
        <f t="shared" si="89"/>
        <v>HDFC 5930</v>
      </c>
    </row>
    <row r="825" spans="1:15" x14ac:dyDescent="0.25">
      <c r="A825" s="1">
        <v>45275</v>
      </c>
      <c r="B825" t="s">
        <v>618</v>
      </c>
      <c r="C825" s="1">
        <v>45275</v>
      </c>
      <c r="D825" s="2">
        <v>0</v>
      </c>
      <c r="E825" s="2">
        <v>16787.41</v>
      </c>
      <c r="F825" s="2">
        <v>256730.06</v>
      </c>
      <c r="G825" t="s">
        <v>719</v>
      </c>
      <c r="H825" s="7">
        <f t="shared" si="90"/>
        <v>0</v>
      </c>
      <c r="I825" s="1">
        <f t="shared" si="84"/>
        <v>45275</v>
      </c>
      <c r="J825" s="1" t="str">
        <f t="shared" si="85"/>
        <v>NET PO FROM HSL A/C 347707-50200085415108</v>
      </c>
      <c r="L825" s="7">
        <f t="shared" si="86"/>
        <v>0</v>
      </c>
      <c r="M825" s="7">
        <f t="shared" si="87"/>
        <v>16787.41</v>
      </c>
      <c r="N825" s="7">
        <f t="shared" si="88"/>
        <v>256730.06</v>
      </c>
      <c r="O825" s="7" t="str">
        <f t="shared" si="89"/>
        <v>HDFC 5930</v>
      </c>
    </row>
    <row r="826" spans="1:15" x14ac:dyDescent="0.25">
      <c r="A826" s="1">
        <v>45275</v>
      </c>
      <c r="B826" t="s">
        <v>681</v>
      </c>
      <c r="C826" s="1">
        <v>45275</v>
      </c>
      <c r="D826" s="2">
        <v>10000</v>
      </c>
      <c r="E826" s="2">
        <v>0</v>
      </c>
      <c r="F826" s="2">
        <v>246730.06</v>
      </c>
      <c r="G826" t="s">
        <v>719</v>
      </c>
      <c r="H826" s="7">
        <f t="shared" si="90"/>
        <v>0</v>
      </c>
      <c r="I826" s="1">
        <f t="shared" si="84"/>
        <v>45275</v>
      </c>
      <c r="J826" s="1" t="str">
        <f t="shared" si="85"/>
        <v>ACH D- INDIAN CLEARING CORP-P25847605X05</v>
      </c>
      <c r="L826" s="7">
        <f t="shared" si="86"/>
        <v>10000</v>
      </c>
      <c r="M826" s="7">
        <f t="shared" si="87"/>
        <v>0</v>
      </c>
      <c r="N826" s="7">
        <f t="shared" si="88"/>
        <v>246730.06</v>
      </c>
      <c r="O826" s="7" t="str">
        <f t="shared" si="89"/>
        <v>HDFC 5930</v>
      </c>
    </row>
    <row r="827" spans="1:15" x14ac:dyDescent="0.25">
      <c r="A827" s="1">
        <v>45275</v>
      </c>
      <c r="B827" t="s">
        <v>472</v>
      </c>
      <c r="C827" s="1">
        <v>45275</v>
      </c>
      <c r="D827" s="2">
        <v>176.38</v>
      </c>
      <c r="E827" s="2">
        <v>0</v>
      </c>
      <c r="F827" s="2">
        <v>246553.68</v>
      </c>
      <c r="G827" t="s">
        <v>719</v>
      </c>
      <c r="H827" s="7">
        <f t="shared" si="90"/>
        <v>0</v>
      </c>
      <c r="I827" s="1">
        <f t="shared" si="84"/>
        <v>45275</v>
      </c>
      <c r="J827" s="1" t="str">
        <f t="shared" si="85"/>
        <v>NET PI TO HSL SEC A/C 347707-00602340029392</v>
      </c>
      <c r="L827" s="7">
        <f t="shared" si="86"/>
        <v>176.38</v>
      </c>
      <c r="M827" s="7">
        <f t="shared" si="87"/>
        <v>0</v>
      </c>
      <c r="N827" s="7">
        <f t="shared" si="88"/>
        <v>246553.68</v>
      </c>
      <c r="O827" s="7" t="str">
        <f t="shared" si="89"/>
        <v>HDFC 5930</v>
      </c>
    </row>
    <row r="828" spans="1:15" x14ac:dyDescent="0.25">
      <c r="A828" s="1">
        <v>45275</v>
      </c>
      <c r="B828" t="s">
        <v>472</v>
      </c>
      <c r="C828" s="1">
        <v>45275</v>
      </c>
      <c r="D828" s="2">
        <v>76721.78</v>
      </c>
      <c r="E828" s="2">
        <v>0</v>
      </c>
      <c r="F828" s="2">
        <v>169831.9</v>
      </c>
      <c r="G828" t="s">
        <v>719</v>
      </c>
      <c r="H828" s="7">
        <f t="shared" si="90"/>
        <v>0</v>
      </c>
      <c r="I828" s="1">
        <f t="shared" si="84"/>
        <v>45275</v>
      </c>
      <c r="J828" s="1" t="str">
        <f t="shared" si="85"/>
        <v>NET PI TO HSL SEC A/C 347707-00602340029392</v>
      </c>
      <c r="L828" s="7">
        <f t="shared" si="86"/>
        <v>76721.78</v>
      </c>
      <c r="M828" s="7">
        <f t="shared" si="87"/>
        <v>0</v>
      </c>
      <c r="N828" s="7">
        <f t="shared" si="88"/>
        <v>169831.9</v>
      </c>
      <c r="O828" s="7" t="str">
        <f t="shared" si="89"/>
        <v>HDFC 5930</v>
      </c>
    </row>
    <row r="829" spans="1:15" x14ac:dyDescent="0.25">
      <c r="A829" s="1">
        <v>45277</v>
      </c>
      <c r="B829" t="s">
        <v>710</v>
      </c>
      <c r="C829" s="1">
        <v>45277</v>
      </c>
      <c r="D829" s="2">
        <v>50000</v>
      </c>
      <c r="E829" s="2">
        <v>0</v>
      </c>
      <c r="F829" s="2">
        <v>119831.9</v>
      </c>
      <c r="G829" t="s">
        <v>719</v>
      </c>
      <c r="H829" s="7">
        <f t="shared" si="90"/>
        <v>0</v>
      </c>
      <c r="I829" s="1">
        <f t="shared" si="84"/>
        <v>45277</v>
      </c>
      <c r="J829" s="1" t="str">
        <f t="shared" si="85"/>
        <v>NEFT DR-UTIB0000115-AJAY KUMAR GUPTA-NETBANK, MUM-N351232789015170-TRF FRM AJAY AXIS</v>
      </c>
      <c r="L829" s="7">
        <f t="shared" si="86"/>
        <v>50000</v>
      </c>
      <c r="M829" s="7">
        <f t="shared" si="87"/>
        <v>0</v>
      </c>
      <c r="N829" s="7">
        <f t="shared" si="88"/>
        <v>119831.9</v>
      </c>
      <c r="O829" s="7" t="str">
        <f t="shared" si="89"/>
        <v>HDFC 5930</v>
      </c>
    </row>
    <row r="830" spans="1:15" x14ac:dyDescent="0.25">
      <c r="A830" s="1">
        <v>45278</v>
      </c>
      <c r="B830" t="s">
        <v>618</v>
      </c>
      <c r="C830" s="1">
        <v>45278</v>
      </c>
      <c r="D830" s="2">
        <v>0</v>
      </c>
      <c r="E830" s="2">
        <v>4180</v>
      </c>
      <c r="F830" s="2">
        <v>124011.9</v>
      </c>
      <c r="G830" t="s">
        <v>719</v>
      </c>
      <c r="H830" s="7">
        <f t="shared" si="90"/>
        <v>0</v>
      </c>
      <c r="I830" s="1">
        <f t="shared" si="84"/>
        <v>45278</v>
      </c>
      <c r="J830" s="1" t="str">
        <f t="shared" si="85"/>
        <v>NET PO FROM HSL A/C 347707-50200085415108</v>
      </c>
      <c r="L830" s="7">
        <f t="shared" si="86"/>
        <v>0</v>
      </c>
      <c r="M830" s="7">
        <f t="shared" si="87"/>
        <v>4180</v>
      </c>
      <c r="N830" s="7">
        <f t="shared" si="88"/>
        <v>124011.9</v>
      </c>
      <c r="O830" s="7" t="str">
        <f t="shared" si="89"/>
        <v>HDFC 5930</v>
      </c>
    </row>
    <row r="831" spans="1:15" x14ac:dyDescent="0.25">
      <c r="A831" s="1">
        <v>45278</v>
      </c>
      <c r="B831" t="s">
        <v>472</v>
      </c>
      <c r="C831" s="1">
        <v>45278</v>
      </c>
      <c r="D831" s="2">
        <v>495.66</v>
      </c>
      <c r="E831" s="2">
        <v>0</v>
      </c>
      <c r="F831" s="2">
        <v>123516.24</v>
      </c>
      <c r="G831" t="s">
        <v>719</v>
      </c>
      <c r="H831" s="7">
        <f t="shared" si="90"/>
        <v>0</v>
      </c>
      <c r="I831" s="1">
        <f t="shared" si="84"/>
        <v>45278</v>
      </c>
      <c r="J831" s="1" t="str">
        <f t="shared" si="85"/>
        <v>NET PI TO HSL SEC A/C 347707-00602340029392</v>
      </c>
      <c r="L831" s="7">
        <f t="shared" si="86"/>
        <v>495.66</v>
      </c>
      <c r="M831" s="7">
        <f t="shared" si="87"/>
        <v>0</v>
      </c>
      <c r="N831" s="7">
        <f t="shared" si="88"/>
        <v>123516.24</v>
      </c>
      <c r="O831" s="7" t="str">
        <f t="shared" si="89"/>
        <v>HDFC 5930</v>
      </c>
    </row>
    <row r="832" spans="1:15" x14ac:dyDescent="0.25">
      <c r="A832" s="1">
        <v>45278</v>
      </c>
      <c r="B832" t="s">
        <v>472</v>
      </c>
      <c r="C832" s="1">
        <v>45278</v>
      </c>
      <c r="D832" s="2">
        <v>6550.82</v>
      </c>
      <c r="E832" s="2">
        <v>0</v>
      </c>
      <c r="F832" s="2">
        <v>116965.42</v>
      </c>
      <c r="G832" t="s">
        <v>719</v>
      </c>
      <c r="H832" s="7">
        <f t="shared" si="90"/>
        <v>0</v>
      </c>
      <c r="I832" s="1">
        <f t="shared" si="84"/>
        <v>45278</v>
      </c>
      <c r="J832" s="1" t="str">
        <f t="shared" si="85"/>
        <v>NET PI TO HSL SEC A/C 347707-00602340029392</v>
      </c>
      <c r="L832" s="7">
        <f t="shared" si="86"/>
        <v>6550.82</v>
      </c>
      <c r="M832" s="7">
        <f t="shared" si="87"/>
        <v>0</v>
      </c>
      <c r="N832" s="7">
        <f t="shared" si="88"/>
        <v>116965.42</v>
      </c>
      <c r="O832" s="7" t="str">
        <f t="shared" si="89"/>
        <v>HDFC 5930</v>
      </c>
    </row>
    <row r="833" spans="1:15" x14ac:dyDescent="0.25">
      <c r="A833" s="1">
        <v>45278</v>
      </c>
      <c r="B833" t="s">
        <v>472</v>
      </c>
      <c r="C833" s="1">
        <v>45278</v>
      </c>
      <c r="D833" s="2">
        <v>10782.4</v>
      </c>
      <c r="E833" s="2">
        <v>0</v>
      </c>
      <c r="F833" s="2">
        <v>106183.02</v>
      </c>
      <c r="G833" t="s">
        <v>719</v>
      </c>
      <c r="H833" s="7">
        <f t="shared" si="90"/>
        <v>0</v>
      </c>
      <c r="I833" s="1">
        <f t="shared" si="84"/>
        <v>45278</v>
      </c>
      <c r="J833" s="1" t="str">
        <f t="shared" si="85"/>
        <v>NET PI TO HSL SEC A/C 347707-00602340029392</v>
      </c>
      <c r="L833" s="7">
        <f t="shared" si="86"/>
        <v>10782.4</v>
      </c>
      <c r="M833" s="7">
        <f t="shared" si="87"/>
        <v>0</v>
      </c>
      <c r="N833" s="7">
        <f t="shared" si="88"/>
        <v>106183.02</v>
      </c>
      <c r="O833" s="7" t="str">
        <f t="shared" si="89"/>
        <v>HDFC 5930</v>
      </c>
    </row>
    <row r="834" spans="1:15" x14ac:dyDescent="0.25">
      <c r="A834" s="1">
        <v>45279</v>
      </c>
      <c r="B834" t="s">
        <v>472</v>
      </c>
      <c r="C834" s="1">
        <v>45279</v>
      </c>
      <c r="D834" s="2">
        <v>169.11</v>
      </c>
      <c r="E834" s="2">
        <v>0</v>
      </c>
      <c r="F834" s="2">
        <v>106013.91</v>
      </c>
      <c r="G834" t="s">
        <v>719</v>
      </c>
      <c r="H834" s="7">
        <f t="shared" si="90"/>
        <v>0</v>
      </c>
      <c r="I834" s="1">
        <f t="shared" si="84"/>
        <v>45279</v>
      </c>
      <c r="J834" s="1" t="str">
        <f t="shared" si="85"/>
        <v>NET PI TO HSL SEC A/C 347707-00602340029392</v>
      </c>
      <c r="L834" s="7">
        <f t="shared" si="86"/>
        <v>169.11</v>
      </c>
      <c r="M834" s="7">
        <f t="shared" si="87"/>
        <v>0</v>
      </c>
      <c r="N834" s="7">
        <f t="shared" si="88"/>
        <v>106013.91</v>
      </c>
      <c r="O834" s="7" t="str">
        <f t="shared" si="89"/>
        <v>HDFC 5930</v>
      </c>
    </row>
    <row r="835" spans="1:15" x14ac:dyDescent="0.25">
      <c r="A835" s="1">
        <v>45279</v>
      </c>
      <c r="B835" t="s">
        <v>472</v>
      </c>
      <c r="C835" s="1">
        <v>45279</v>
      </c>
      <c r="D835" s="2">
        <v>27284.69</v>
      </c>
      <c r="E835" s="2">
        <v>0</v>
      </c>
      <c r="F835" s="2">
        <v>78729.22</v>
      </c>
      <c r="G835" t="s">
        <v>719</v>
      </c>
      <c r="H835" s="7">
        <f t="shared" si="90"/>
        <v>0</v>
      </c>
      <c r="I835" s="1">
        <f t="shared" si="84"/>
        <v>45279</v>
      </c>
      <c r="J835" s="1" t="str">
        <f t="shared" si="85"/>
        <v>NET PI TO HSL SEC A/C 347707-00602340029392</v>
      </c>
      <c r="L835" s="7">
        <f t="shared" si="86"/>
        <v>27284.69</v>
      </c>
      <c r="M835" s="7">
        <f t="shared" si="87"/>
        <v>0</v>
      </c>
      <c r="N835" s="7">
        <f t="shared" si="88"/>
        <v>78729.22</v>
      </c>
      <c r="O835" s="7" t="str">
        <f t="shared" si="89"/>
        <v>HDFC 5930</v>
      </c>
    </row>
    <row r="836" spans="1:15" x14ac:dyDescent="0.25">
      <c r="A836" s="1">
        <v>45280</v>
      </c>
      <c r="B836" t="s">
        <v>618</v>
      </c>
      <c r="C836" s="1">
        <v>45280</v>
      </c>
      <c r="D836" s="2">
        <v>0</v>
      </c>
      <c r="E836" s="2">
        <v>1011.25</v>
      </c>
      <c r="F836" s="2">
        <v>79740.47</v>
      </c>
      <c r="G836" t="s">
        <v>719</v>
      </c>
      <c r="H836" s="7">
        <f t="shared" si="90"/>
        <v>0</v>
      </c>
      <c r="I836" s="1">
        <f t="shared" si="84"/>
        <v>45280</v>
      </c>
      <c r="J836" s="1" t="str">
        <f t="shared" si="85"/>
        <v>NET PO FROM HSL A/C 347707-50200085415108</v>
      </c>
      <c r="L836" s="7">
        <f t="shared" si="86"/>
        <v>0</v>
      </c>
      <c r="M836" s="7">
        <f t="shared" si="87"/>
        <v>1011.25</v>
      </c>
      <c r="N836" s="7">
        <f t="shared" si="88"/>
        <v>79740.47</v>
      </c>
      <c r="O836" s="7" t="str">
        <f t="shared" si="89"/>
        <v>HDFC 5930</v>
      </c>
    </row>
    <row r="837" spans="1:15" x14ac:dyDescent="0.25">
      <c r="A837" s="1">
        <v>45280</v>
      </c>
      <c r="B837" t="s">
        <v>681</v>
      </c>
      <c r="C837" s="1">
        <v>45280</v>
      </c>
      <c r="D837" s="2">
        <v>10000</v>
      </c>
      <c r="E837" s="2">
        <v>0</v>
      </c>
      <c r="F837" s="2">
        <v>69740.47</v>
      </c>
      <c r="G837" t="s">
        <v>719</v>
      </c>
      <c r="H837" s="7">
        <f t="shared" si="90"/>
        <v>0</v>
      </c>
      <c r="I837" s="1">
        <f t="shared" si="84"/>
        <v>45280</v>
      </c>
      <c r="J837" s="1" t="str">
        <f t="shared" si="85"/>
        <v>ACH D- INDIAN CLEARING CORP-P25847605X05</v>
      </c>
      <c r="L837" s="7">
        <f t="shared" si="86"/>
        <v>10000</v>
      </c>
      <c r="M837" s="7">
        <f t="shared" si="87"/>
        <v>0</v>
      </c>
      <c r="N837" s="7">
        <f t="shared" si="88"/>
        <v>69740.47</v>
      </c>
      <c r="O837" s="7" t="str">
        <f t="shared" si="89"/>
        <v>HDFC 5930</v>
      </c>
    </row>
    <row r="838" spans="1:15" x14ac:dyDescent="0.25">
      <c r="A838" s="1">
        <v>45280</v>
      </c>
      <c r="B838" t="s">
        <v>472</v>
      </c>
      <c r="C838" s="1">
        <v>45280</v>
      </c>
      <c r="D838" s="2">
        <v>180.4</v>
      </c>
      <c r="E838" s="2">
        <v>0</v>
      </c>
      <c r="F838" s="2">
        <v>69560.070000000007</v>
      </c>
      <c r="G838" t="s">
        <v>719</v>
      </c>
      <c r="H838" s="7">
        <f t="shared" si="90"/>
        <v>0</v>
      </c>
      <c r="I838" s="1">
        <f t="shared" si="84"/>
        <v>45280</v>
      </c>
      <c r="J838" s="1" t="str">
        <f t="shared" si="85"/>
        <v>NET PI TO HSL SEC A/C 347707-00602340029392</v>
      </c>
      <c r="L838" s="7">
        <f t="shared" si="86"/>
        <v>180.4</v>
      </c>
      <c r="M838" s="7">
        <f t="shared" si="87"/>
        <v>0</v>
      </c>
      <c r="N838" s="7">
        <f t="shared" si="88"/>
        <v>69560.070000000007</v>
      </c>
      <c r="O838" s="7" t="str">
        <f t="shared" si="89"/>
        <v>HDFC 5930</v>
      </c>
    </row>
    <row r="839" spans="1:15" x14ac:dyDescent="0.25">
      <c r="A839" s="1">
        <v>45280</v>
      </c>
      <c r="B839" t="s">
        <v>711</v>
      </c>
      <c r="C839" s="1">
        <v>45280</v>
      </c>
      <c r="D839" s="2">
        <v>0</v>
      </c>
      <c r="E839" s="2">
        <v>100000</v>
      </c>
      <c r="F839" s="2">
        <v>169560.07</v>
      </c>
      <c r="G839" t="s">
        <v>719</v>
      </c>
      <c r="H839" s="7">
        <f t="shared" si="90"/>
        <v>0</v>
      </c>
      <c r="I839" s="1">
        <f t="shared" si="84"/>
        <v>45280</v>
      </c>
      <c r="J839" s="1" t="str">
        <f t="shared" si="85"/>
        <v>NEFT CR-SBIN0011669-MR  AJAY KUMAR GUPTA-AJAY KUMAR GUPTA-SBIN223354942604</v>
      </c>
      <c r="L839" s="7">
        <f t="shared" si="86"/>
        <v>0</v>
      </c>
      <c r="M839" s="7">
        <f t="shared" si="87"/>
        <v>100000</v>
      </c>
      <c r="N839" s="7">
        <f t="shared" si="88"/>
        <v>169560.07</v>
      </c>
      <c r="O839" s="7" t="str">
        <f t="shared" si="89"/>
        <v>HDFC 5930</v>
      </c>
    </row>
    <row r="840" spans="1:15" x14ac:dyDescent="0.25">
      <c r="A840" s="1">
        <v>45280</v>
      </c>
      <c r="B840" t="s">
        <v>712</v>
      </c>
      <c r="C840" s="1">
        <v>45280</v>
      </c>
      <c r="D840" s="2">
        <v>50000</v>
      </c>
      <c r="E840" s="2">
        <v>0</v>
      </c>
      <c r="F840" s="2">
        <v>119560.07</v>
      </c>
      <c r="G840" t="s">
        <v>719</v>
      </c>
      <c r="H840" s="7">
        <f t="shared" si="90"/>
        <v>0</v>
      </c>
      <c r="I840" s="1">
        <f t="shared" si="84"/>
        <v>45280</v>
      </c>
      <c r="J840" s="1" t="str">
        <f t="shared" si="85"/>
        <v>YHDF2179306566/BILLDKINDIANCLEARING</v>
      </c>
      <c r="L840" s="7">
        <f t="shared" si="86"/>
        <v>50000</v>
      </c>
      <c r="M840" s="7">
        <f t="shared" si="87"/>
        <v>0</v>
      </c>
      <c r="N840" s="7">
        <f t="shared" si="88"/>
        <v>119560.07</v>
      </c>
      <c r="O840" s="7" t="str">
        <f t="shared" si="89"/>
        <v>HDFC 5930</v>
      </c>
    </row>
    <row r="841" spans="1:15" x14ac:dyDescent="0.25">
      <c r="A841" s="1">
        <v>45281</v>
      </c>
      <c r="B841" t="s">
        <v>472</v>
      </c>
      <c r="C841" s="1">
        <v>45281</v>
      </c>
      <c r="D841" s="2">
        <v>12029.92</v>
      </c>
      <c r="E841" s="2">
        <v>0</v>
      </c>
      <c r="F841" s="2">
        <v>107530.15</v>
      </c>
      <c r="G841" t="s">
        <v>719</v>
      </c>
      <c r="H841" s="7">
        <f t="shared" si="90"/>
        <v>0</v>
      </c>
      <c r="I841" s="1">
        <f t="shared" si="84"/>
        <v>45281</v>
      </c>
      <c r="J841" s="1" t="str">
        <f t="shared" si="85"/>
        <v>NET PI TO HSL SEC A/C 347707-00602340029392</v>
      </c>
      <c r="L841" s="7">
        <f t="shared" si="86"/>
        <v>12029.92</v>
      </c>
      <c r="M841" s="7">
        <f t="shared" si="87"/>
        <v>0</v>
      </c>
      <c r="N841" s="7">
        <f t="shared" si="88"/>
        <v>107530.15</v>
      </c>
      <c r="O841" s="7" t="str">
        <f t="shared" si="89"/>
        <v>HDFC 5930</v>
      </c>
    </row>
    <row r="842" spans="1:15" x14ac:dyDescent="0.25">
      <c r="A842" s="1">
        <v>45281</v>
      </c>
      <c r="B842" t="s">
        <v>618</v>
      </c>
      <c r="C842" s="1">
        <v>45281</v>
      </c>
      <c r="D842" s="2">
        <v>0</v>
      </c>
      <c r="E842" s="2">
        <v>21419.78</v>
      </c>
      <c r="F842" s="2">
        <v>128949.93</v>
      </c>
      <c r="G842" t="s">
        <v>719</v>
      </c>
      <c r="H842" s="7">
        <f t="shared" si="90"/>
        <v>0</v>
      </c>
      <c r="I842" s="1">
        <f t="shared" si="84"/>
        <v>45281</v>
      </c>
      <c r="J842" s="1" t="str">
        <f t="shared" si="85"/>
        <v>NET PO FROM HSL A/C 347707-50200085415108</v>
      </c>
      <c r="L842" s="7">
        <f t="shared" si="86"/>
        <v>0</v>
      </c>
      <c r="M842" s="7">
        <f t="shared" si="87"/>
        <v>21419.78</v>
      </c>
      <c r="N842" s="7">
        <f t="shared" si="88"/>
        <v>128949.93</v>
      </c>
      <c r="O842" s="7" t="str">
        <f t="shared" si="89"/>
        <v>HDFC 5930</v>
      </c>
    </row>
    <row r="843" spans="1:15" x14ac:dyDescent="0.25">
      <c r="A843" s="1">
        <v>45281</v>
      </c>
      <c r="B843" t="s">
        <v>472</v>
      </c>
      <c r="C843" s="1">
        <v>45281</v>
      </c>
      <c r="D843" s="2">
        <v>176.48</v>
      </c>
      <c r="E843" s="2">
        <v>0</v>
      </c>
      <c r="F843" s="2">
        <v>128773.45</v>
      </c>
      <c r="G843" t="s">
        <v>719</v>
      </c>
      <c r="H843" s="7">
        <f t="shared" si="90"/>
        <v>0</v>
      </c>
      <c r="I843" s="1">
        <f t="shared" si="84"/>
        <v>45281</v>
      </c>
      <c r="J843" s="1" t="str">
        <f t="shared" si="85"/>
        <v>NET PI TO HSL SEC A/C 347707-00602340029392</v>
      </c>
      <c r="L843" s="7">
        <f t="shared" si="86"/>
        <v>176.48</v>
      </c>
      <c r="M843" s="7">
        <f t="shared" si="87"/>
        <v>0</v>
      </c>
      <c r="N843" s="7">
        <f t="shared" si="88"/>
        <v>128773.45</v>
      </c>
      <c r="O843" s="7" t="str">
        <f t="shared" si="89"/>
        <v>HDFC 5930</v>
      </c>
    </row>
    <row r="844" spans="1:15" x14ac:dyDescent="0.25">
      <c r="A844" s="1">
        <v>45282</v>
      </c>
      <c r="B844" t="s">
        <v>618</v>
      </c>
      <c r="C844" s="1">
        <v>45282</v>
      </c>
      <c r="D844" s="2">
        <v>0</v>
      </c>
      <c r="E844" s="2">
        <v>4080.7</v>
      </c>
      <c r="F844" s="2">
        <v>132854.15</v>
      </c>
      <c r="G844" t="s">
        <v>719</v>
      </c>
      <c r="H844" s="7">
        <f t="shared" si="90"/>
        <v>0</v>
      </c>
      <c r="I844" s="1">
        <f t="shared" si="84"/>
        <v>45282</v>
      </c>
      <c r="J844" s="1" t="str">
        <f t="shared" si="85"/>
        <v>NET PO FROM HSL A/C 347707-50200085415108</v>
      </c>
      <c r="L844" s="7">
        <f t="shared" si="86"/>
        <v>0</v>
      </c>
      <c r="M844" s="7">
        <f t="shared" si="87"/>
        <v>4080.7</v>
      </c>
      <c r="N844" s="7">
        <f t="shared" si="88"/>
        <v>132854.15</v>
      </c>
      <c r="O844" s="7" t="str">
        <f t="shared" si="89"/>
        <v>HDFC 5930</v>
      </c>
    </row>
    <row r="845" spans="1:15" x14ac:dyDescent="0.25">
      <c r="A845" s="1">
        <v>45282</v>
      </c>
      <c r="B845" t="s">
        <v>472</v>
      </c>
      <c r="C845" s="1">
        <v>45282</v>
      </c>
      <c r="D845" s="2">
        <v>184.08</v>
      </c>
      <c r="E845" s="2">
        <v>0</v>
      </c>
      <c r="F845" s="2">
        <v>132670.07</v>
      </c>
      <c r="G845" t="s">
        <v>719</v>
      </c>
      <c r="H845" s="7">
        <f t="shared" si="90"/>
        <v>0</v>
      </c>
      <c r="I845" s="1">
        <f t="shared" si="84"/>
        <v>45282</v>
      </c>
      <c r="J845" s="1" t="str">
        <f t="shared" si="85"/>
        <v>NET PI TO HSL SEC A/C 347707-00602340029392</v>
      </c>
      <c r="L845" s="7">
        <f t="shared" si="86"/>
        <v>184.08</v>
      </c>
      <c r="M845" s="7">
        <f t="shared" si="87"/>
        <v>0</v>
      </c>
      <c r="N845" s="7">
        <f t="shared" si="88"/>
        <v>132670.07</v>
      </c>
      <c r="O845" s="7" t="str">
        <f t="shared" si="89"/>
        <v>HDFC 5930</v>
      </c>
    </row>
    <row r="846" spans="1:15" x14ac:dyDescent="0.25">
      <c r="A846" s="1">
        <v>45282</v>
      </c>
      <c r="B846" t="s">
        <v>472</v>
      </c>
      <c r="C846" s="1">
        <v>45282</v>
      </c>
      <c r="D846" s="2">
        <v>28822.49</v>
      </c>
      <c r="E846" s="2">
        <v>0</v>
      </c>
      <c r="F846" s="2">
        <v>103847.58</v>
      </c>
      <c r="G846" t="s">
        <v>719</v>
      </c>
      <c r="H846" s="7">
        <f t="shared" si="90"/>
        <v>0</v>
      </c>
      <c r="I846" s="1">
        <f t="shared" si="84"/>
        <v>45282</v>
      </c>
      <c r="J846" s="1" t="str">
        <f t="shared" si="85"/>
        <v>NET PI TO HSL SEC A/C 347707-00602340029392</v>
      </c>
      <c r="L846" s="7">
        <f t="shared" si="86"/>
        <v>28822.49</v>
      </c>
      <c r="M846" s="7">
        <f t="shared" si="87"/>
        <v>0</v>
      </c>
      <c r="N846" s="7">
        <f t="shared" si="88"/>
        <v>103847.58</v>
      </c>
      <c r="O846" s="7" t="str">
        <f t="shared" si="89"/>
        <v>HDFC 5930</v>
      </c>
    </row>
    <row r="847" spans="1:15" x14ac:dyDescent="0.25">
      <c r="A847" s="1">
        <v>45284</v>
      </c>
      <c r="B847" t="s">
        <v>713</v>
      </c>
      <c r="C847" s="1">
        <v>45284</v>
      </c>
      <c r="D847" s="2">
        <v>5000</v>
      </c>
      <c r="E847" s="2">
        <v>0</v>
      </c>
      <c r="F847" s="2">
        <v>98847.58</v>
      </c>
      <c r="G847" t="s">
        <v>719</v>
      </c>
      <c r="H847" s="7">
        <f t="shared" si="90"/>
        <v>0</v>
      </c>
      <c r="I847" s="1">
        <f t="shared" si="84"/>
        <v>45284</v>
      </c>
      <c r="J847" s="1" t="str">
        <f t="shared" si="85"/>
        <v>UPI-TEJSHRI SACHIN DUSAN-TEJSHRIDUSANE@YBL-HDFC0009519-372494888901-RING</v>
      </c>
      <c r="L847" s="7">
        <f t="shared" si="86"/>
        <v>5000</v>
      </c>
      <c r="M847" s="7">
        <f t="shared" si="87"/>
        <v>0</v>
      </c>
      <c r="N847" s="7">
        <f t="shared" si="88"/>
        <v>98847.58</v>
      </c>
      <c r="O847" s="7" t="str">
        <f t="shared" si="89"/>
        <v>HDFC 5930</v>
      </c>
    </row>
    <row r="848" spans="1:15" x14ac:dyDescent="0.25">
      <c r="A848" s="1">
        <v>45286</v>
      </c>
      <c r="B848" t="s">
        <v>472</v>
      </c>
      <c r="C848" s="1">
        <v>45286</v>
      </c>
      <c r="D848" s="2">
        <v>701.04</v>
      </c>
      <c r="E848" s="2">
        <v>0</v>
      </c>
      <c r="F848" s="2">
        <v>98146.54</v>
      </c>
      <c r="G848" t="s">
        <v>719</v>
      </c>
      <c r="H848" s="7">
        <f t="shared" si="90"/>
        <v>0</v>
      </c>
      <c r="I848" s="1">
        <f t="shared" si="84"/>
        <v>45286</v>
      </c>
      <c r="J848" s="1" t="str">
        <f t="shared" si="85"/>
        <v>NET PI TO HSL SEC A/C 347707-00602340029392</v>
      </c>
      <c r="L848" s="7">
        <f t="shared" si="86"/>
        <v>701.04</v>
      </c>
      <c r="M848" s="7">
        <f t="shared" si="87"/>
        <v>0</v>
      </c>
      <c r="N848" s="7">
        <f t="shared" si="88"/>
        <v>98146.54</v>
      </c>
      <c r="O848" s="7" t="str">
        <f t="shared" si="89"/>
        <v>HDFC 5930</v>
      </c>
    </row>
    <row r="849" spans="1:15" x14ac:dyDescent="0.25">
      <c r="A849" s="1">
        <v>45286</v>
      </c>
      <c r="B849" t="s">
        <v>714</v>
      </c>
      <c r="C849" s="1">
        <v>45286</v>
      </c>
      <c r="D849" s="2">
        <v>0</v>
      </c>
      <c r="E849" s="2">
        <v>50000</v>
      </c>
      <c r="F849" s="2">
        <v>148146.54</v>
      </c>
      <c r="G849" t="s">
        <v>719</v>
      </c>
      <c r="H849" s="7">
        <f t="shared" si="90"/>
        <v>0</v>
      </c>
      <c r="I849" s="1">
        <f t="shared" si="84"/>
        <v>45286</v>
      </c>
      <c r="J849" s="1" t="str">
        <f t="shared" si="85"/>
        <v>NEFT CR-SBIN0011669-MR  AJAY KUMAR GUPTA-AJAY KUMAR GUPTA-SBIN123360950794</v>
      </c>
      <c r="L849" s="7">
        <f t="shared" si="86"/>
        <v>0</v>
      </c>
      <c r="M849" s="7">
        <f t="shared" si="87"/>
        <v>50000</v>
      </c>
      <c r="N849" s="7">
        <f t="shared" si="88"/>
        <v>148146.54</v>
      </c>
      <c r="O849" s="7" t="str">
        <f t="shared" si="89"/>
        <v>HDFC 5930</v>
      </c>
    </row>
    <row r="850" spans="1:15" x14ac:dyDescent="0.25">
      <c r="A850" s="1">
        <v>45286</v>
      </c>
      <c r="B850" t="s">
        <v>472</v>
      </c>
      <c r="C850" s="1">
        <v>45286</v>
      </c>
      <c r="D850" s="2">
        <v>32775.11</v>
      </c>
      <c r="E850" s="2">
        <v>0</v>
      </c>
      <c r="F850" s="2">
        <v>115371.43</v>
      </c>
      <c r="G850" t="s">
        <v>719</v>
      </c>
      <c r="H850" s="7">
        <f t="shared" si="90"/>
        <v>0</v>
      </c>
      <c r="I850" s="1">
        <f t="shared" ref="I850:I861" si="91">A850</f>
        <v>45286</v>
      </c>
      <c r="J850" s="1" t="str">
        <f t="shared" ref="J850:J861" si="92">B850</f>
        <v>NET PI TO HSL SEC A/C 347707-00602340029392</v>
      </c>
      <c r="L850" s="7">
        <f t="shared" ref="L850:L861" si="93">D850</f>
        <v>32775.11</v>
      </c>
      <c r="M850" s="7">
        <f t="shared" ref="M850:M861" si="94">E850</f>
        <v>0</v>
      </c>
      <c r="N850" s="7">
        <f t="shared" ref="N850:N861" si="95">F850</f>
        <v>115371.43</v>
      </c>
      <c r="O850" s="7" t="str">
        <f t="shared" ref="O850:O861" si="96">G850</f>
        <v>HDFC 5930</v>
      </c>
    </row>
    <row r="851" spans="1:15" x14ac:dyDescent="0.25">
      <c r="A851" s="1">
        <v>45286</v>
      </c>
      <c r="B851" t="s">
        <v>472</v>
      </c>
      <c r="C851" s="1">
        <v>45286</v>
      </c>
      <c r="D851" s="2">
        <v>50026.879999999997</v>
      </c>
      <c r="E851" s="2">
        <v>0</v>
      </c>
      <c r="F851" s="2">
        <v>65344.55</v>
      </c>
      <c r="G851" t="s">
        <v>719</v>
      </c>
      <c r="H851" s="7">
        <f t="shared" ref="H851:H862" si="97">F850-D851+E851-F851</f>
        <v>0</v>
      </c>
      <c r="I851" s="1">
        <f t="shared" si="91"/>
        <v>45286</v>
      </c>
      <c r="J851" s="1" t="str">
        <f t="shared" si="92"/>
        <v>NET PI TO HSL SEC A/C 347707-00602340029392</v>
      </c>
      <c r="L851" s="7">
        <f t="shared" si="93"/>
        <v>50026.879999999997</v>
      </c>
      <c r="M851" s="7">
        <f t="shared" si="94"/>
        <v>0</v>
      </c>
      <c r="N851" s="7">
        <f t="shared" si="95"/>
        <v>65344.55</v>
      </c>
      <c r="O851" s="7" t="str">
        <f t="shared" si="96"/>
        <v>HDFC 5930</v>
      </c>
    </row>
    <row r="852" spans="1:15" x14ac:dyDescent="0.25">
      <c r="A852" s="1">
        <v>45287</v>
      </c>
      <c r="B852" t="s">
        <v>472</v>
      </c>
      <c r="C852" s="1">
        <v>45287</v>
      </c>
      <c r="D852" s="2">
        <v>192.92</v>
      </c>
      <c r="E852" s="2">
        <v>0</v>
      </c>
      <c r="F852" s="2">
        <v>65151.63</v>
      </c>
      <c r="G852" t="s">
        <v>719</v>
      </c>
      <c r="H852" s="7">
        <f t="shared" si="97"/>
        <v>0</v>
      </c>
      <c r="I852" s="1">
        <f t="shared" si="91"/>
        <v>45287</v>
      </c>
      <c r="J852" s="1" t="str">
        <f t="shared" si="92"/>
        <v>NET PI TO HSL SEC A/C 347707-00602340029392</v>
      </c>
      <c r="L852" s="7">
        <f t="shared" si="93"/>
        <v>192.92</v>
      </c>
      <c r="M852" s="7">
        <f t="shared" si="94"/>
        <v>0</v>
      </c>
      <c r="N852" s="7">
        <f t="shared" si="95"/>
        <v>65151.63</v>
      </c>
      <c r="O852" s="7" t="str">
        <f t="shared" si="96"/>
        <v>HDFC 5930</v>
      </c>
    </row>
    <row r="853" spans="1:15" x14ac:dyDescent="0.25">
      <c r="A853" s="1">
        <v>45287</v>
      </c>
      <c r="B853" t="s">
        <v>536</v>
      </c>
      <c r="C853" s="1">
        <v>45287</v>
      </c>
      <c r="D853" s="2">
        <v>0</v>
      </c>
      <c r="E853" s="2">
        <v>676.13</v>
      </c>
      <c r="F853" s="2">
        <v>65827.759999999995</v>
      </c>
      <c r="G853" t="s">
        <v>719</v>
      </c>
      <c r="H853" s="7">
        <f t="shared" si="97"/>
        <v>0</v>
      </c>
      <c r="I853" s="1">
        <f t="shared" si="91"/>
        <v>45287</v>
      </c>
      <c r="J853" s="1" t="str">
        <f t="shared" si="92"/>
        <v>00012050001396HLY INT-IN0020220110</v>
      </c>
      <c r="L853" s="7">
        <f t="shared" si="93"/>
        <v>0</v>
      </c>
      <c r="M853" s="7">
        <f t="shared" si="94"/>
        <v>676.13</v>
      </c>
      <c r="N853" s="7">
        <f t="shared" si="95"/>
        <v>65827.759999999995</v>
      </c>
      <c r="O853" s="7" t="str">
        <f t="shared" si="96"/>
        <v>HDFC 5930</v>
      </c>
    </row>
    <row r="854" spans="1:15" x14ac:dyDescent="0.25">
      <c r="A854" s="1">
        <v>45288</v>
      </c>
      <c r="B854" t="s">
        <v>472</v>
      </c>
      <c r="C854" s="1">
        <v>45288</v>
      </c>
      <c r="D854" s="2">
        <v>21737.68</v>
      </c>
      <c r="E854" s="2">
        <v>0</v>
      </c>
      <c r="F854" s="2">
        <v>44090.080000000002</v>
      </c>
      <c r="G854" t="s">
        <v>719</v>
      </c>
      <c r="H854" s="7">
        <f t="shared" si="97"/>
        <v>0</v>
      </c>
      <c r="I854" s="1">
        <f t="shared" si="91"/>
        <v>45288</v>
      </c>
      <c r="J854" s="1" t="str">
        <f t="shared" si="92"/>
        <v>NET PI TO HSL SEC A/C 347707-00602340029392</v>
      </c>
      <c r="L854" s="7">
        <f t="shared" si="93"/>
        <v>21737.68</v>
      </c>
      <c r="M854" s="7">
        <f t="shared" si="94"/>
        <v>0</v>
      </c>
      <c r="N854" s="7">
        <f t="shared" si="95"/>
        <v>44090.080000000002</v>
      </c>
      <c r="O854" s="7" t="str">
        <f t="shared" si="96"/>
        <v>HDFC 5930</v>
      </c>
    </row>
    <row r="855" spans="1:15" x14ac:dyDescent="0.25">
      <c r="A855" s="1">
        <v>45288</v>
      </c>
      <c r="B855" t="s">
        <v>472</v>
      </c>
      <c r="C855" s="1">
        <v>45288</v>
      </c>
      <c r="D855" s="2">
        <v>191.06</v>
      </c>
      <c r="E855" s="2">
        <v>0</v>
      </c>
      <c r="F855" s="2">
        <v>43899.02</v>
      </c>
      <c r="G855" t="s">
        <v>719</v>
      </c>
      <c r="H855" s="7">
        <f t="shared" si="97"/>
        <v>0</v>
      </c>
      <c r="I855" s="1">
        <f t="shared" si="91"/>
        <v>45288</v>
      </c>
      <c r="J855" s="1" t="str">
        <f t="shared" si="92"/>
        <v>NET PI TO HSL SEC A/C 347707-00602340029392</v>
      </c>
      <c r="L855" s="7">
        <f t="shared" si="93"/>
        <v>191.06</v>
      </c>
      <c r="M855" s="7">
        <f t="shared" si="94"/>
        <v>0</v>
      </c>
      <c r="N855" s="7">
        <f t="shared" si="95"/>
        <v>43899.02</v>
      </c>
      <c r="O855" s="7" t="str">
        <f t="shared" si="96"/>
        <v>HDFC 5930</v>
      </c>
    </row>
    <row r="856" spans="1:15" x14ac:dyDescent="0.25">
      <c r="A856" s="1">
        <v>45289</v>
      </c>
      <c r="B856" t="s">
        <v>618</v>
      </c>
      <c r="C856" s="1">
        <v>45289</v>
      </c>
      <c r="D856" s="2">
        <v>0</v>
      </c>
      <c r="E856" s="2">
        <v>9206.14</v>
      </c>
      <c r="F856" s="2">
        <v>53105.16</v>
      </c>
      <c r="G856" t="s">
        <v>719</v>
      </c>
      <c r="H856" s="7">
        <f t="shared" si="97"/>
        <v>0</v>
      </c>
      <c r="I856" s="1">
        <f t="shared" si="91"/>
        <v>45289</v>
      </c>
      <c r="J856" s="1" t="str">
        <f t="shared" si="92"/>
        <v>NET PO FROM HSL A/C 347707-50200085415108</v>
      </c>
      <c r="L856" s="7">
        <f t="shared" si="93"/>
        <v>0</v>
      </c>
      <c r="M856" s="7">
        <f t="shared" si="94"/>
        <v>9206.14</v>
      </c>
      <c r="N856" s="7">
        <f t="shared" si="95"/>
        <v>53105.16</v>
      </c>
      <c r="O856" s="7" t="str">
        <f t="shared" si="96"/>
        <v>HDFC 5930</v>
      </c>
    </row>
    <row r="857" spans="1:15" x14ac:dyDescent="0.25">
      <c r="A857" s="1">
        <v>45289</v>
      </c>
      <c r="B857" t="s">
        <v>618</v>
      </c>
      <c r="C857" s="1">
        <v>45289</v>
      </c>
      <c r="D857" s="2">
        <v>0</v>
      </c>
      <c r="E857" s="2">
        <v>23035.24</v>
      </c>
      <c r="F857" s="2">
        <v>76140.399999999994</v>
      </c>
      <c r="G857" t="s">
        <v>719</v>
      </c>
      <c r="H857" s="7">
        <f t="shared" si="97"/>
        <v>0</v>
      </c>
      <c r="I857" s="1">
        <f t="shared" si="91"/>
        <v>45289</v>
      </c>
      <c r="J857" s="1" t="str">
        <f t="shared" si="92"/>
        <v>NET PO FROM HSL A/C 347707-50200085415108</v>
      </c>
      <c r="L857" s="7">
        <f t="shared" si="93"/>
        <v>0</v>
      </c>
      <c r="M857" s="7">
        <f t="shared" si="94"/>
        <v>23035.24</v>
      </c>
      <c r="N857" s="7">
        <f t="shared" si="95"/>
        <v>76140.399999999994</v>
      </c>
      <c r="O857" s="7" t="str">
        <f t="shared" si="96"/>
        <v>HDFC 5930</v>
      </c>
    </row>
    <row r="858" spans="1:15" x14ac:dyDescent="0.25">
      <c r="A858" s="1">
        <v>45289</v>
      </c>
      <c r="B858" t="s">
        <v>472</v>
      </c>
      <c r="C858" s="1">
        <v>45289</v>
      </c>
      <c r="D858" s="2">
        <v>217.58</v>
      </c>
      <c r="E858" s="2">
        <v>0</v>
      </c>
      <c r="F858" s="2">
        <v>75922.820000000007</v>
      </c>
      <c r="G858" t="s">
        <v>719</v>
      </c>
      <c r="H858" s="7">
        <f t="shared" si="97"/>
        <v>0</v>
      </c>
      <c r="I858" s="1">
        <f t="shared" si="91"/>
        <v>45289</v>
      </c>
      <c r="J858" s="1" t="str">
        <f t="shared" si="92"/>
        <v>NET PI TO HSL SEC A/C 347707-00602340029392</v>
      </c>
      <c r="L858" s="7">
        <f t="shared" si="93"/>
        <v>217.58</v>
      </c>
      <c r="M858" s="7">
        <f t="shared" si="94"/>
        <v>0</v>
      </c>
      <c r="N858" s="7">
        <f t="shared" si="95"/>
        <v>75922.820000000007</v>
      </c>
      <c r="O858" s="7" t="str">
        <f t="shared" si="96"/>
        <v>HDFC 5930</v>
      </c>
    </row>
    <row r="859" spans="1:15" x14ac:dyDescent="0.25">
      <c r="A859" s="1">
        <v>45289</v>
      </c>
      <c r="B859" t="s">
        <v>472</v>
      </c>
      <c r="C859" s="1">
        <v>45289</v>
      </c>
      <c r="D859" s="2">
        <v>17100.830000000002</v>
      </c>
      <c r="E859" s="2">
        <v>0</v>
      </c>
      <c r="F859" s="2">
        <v>58821.99</v>
      </c>
      <c r="G859" t="s">
        <v>719</v>
      </c>
      <c r="H859" s="7">
        <f t="shared" si="97"/>
        <v>0</v>
      </c>
      <c r="I859" s="1">
        <f t="shared" si="91"/>
        <v>45289</v>
      </c>
      <c r="J859" s="1" t="str">
        <f t="shared" si="92"/>
        <v>NET PI TO HSL SEC A/C 347707-00602340029392</v>
      </c>
      <c r="L859" s="7">
        <f t="shared" si="93"/>
        <v>17100.830000000002</v>
      </c>
      <c r="M859" s="7">
        <f t="shared" si="94"/>
        <v>0</v>
      </c>
      <c r="N859" s="7">
        <f t="shared" si="95"/>
        <v>58821.99</v>
      </c>
      <c r="O859" s="7" t="str">
        <f t="shared" si="96"/>
        <v>HDFC 5930</v>
      </c>
    </row>
    <row r="860" spans="1:15" x14ac:dyDescent="0.25">
      <c r="A860" s="1">
        <v>45289</v>
      </c>
      <c r="B860" t="s">
        <v>472</v>
      </c>
      <c r="C860" s="1">
        <v>45289</v>
      </c>
      <c r="D860" s="2">
        <v>2354.0500000000002</v>
      </c>
      <c r="E860" s="2">
        <v>0</v>
      </c>
      <c r="F860" s="2">
        <v>56467.94</v>
      </c>
      <c r="G860" t="s">
        <v>719</v>
      </c>
      <c r="H860" s="7">
        <f t="shared" si="97"/>
        <v>0</v>
      </c>
      <c r="I860" s="1">
        <f t="shared" si="91"/>
        <v>45289</v>
      </c>
      <c r="J860" s="1" t="str">
        <f t="shared" si="92"/>
        <v>NET PI TO HSL SEC A/C 347707-00602340029392</v>
      </c>
      <c r="L860" s="7">
        <f t="shared" si="93"/>
        <v>2354.0500000000002</v>
      </c>
      <c r="M860" s="7">
        <f t="shared" si="94"/>
        <v>0</v>
      </c>
      <c r="N860" s="7">
        <f t="shared" si="95"/>
        <v>56467.94</v>
      </c>
      <c r="O860" s="7" t="str">
        <f t="shared" si="96"/>
        <v>HDFC 5930</v>
      </c>
    </row>
    <row r="861" spans="1:15" x14ac:dyDescent="0.25">
      <c r="A861" s="1">
        <v>45292</v>
      </c>
      <c r="B861" t="s">
        <v>538</v>
      </c>
      <c r="C861" s="1">
        <v>45291</v>
      </c>
      <c r="D861" s="2">
        <v>0</v>
      </c>
      <c r="E861" s="2">
        <v>633</v>
      </c>
      <c r="F861" s="2">
        <v>57100.94</v>
      </c>
      <c r="G861" t="s">
        <v>719</v>
      </c>
      <c r="H861" s="7">
        <f t="shared" si="97"/>
        <v>0</v>
      </c>
      <c r="I861" s="1">
        <f t="shared" si="91"/>
        <v>45292</v>
      </c>
      <c r="J861" s="1" t="str">
        <f t="shared" si="92"/>
        <v>CREDIT INTEREST CAPITALISED</v>
      </c>
      <c r="L861" s="7">
        <f t="shared" si="93"/>
        <v>0</v>
      </c>
      <c r="M861" s="7">
        <f t="shared" si="94"/>
        <v>633</v>
      </c>
      <c r="N861" s="7">
        <f t="shared" si="95"/>
        <v>57100.94</v>
      </c>
      <c r="O861" s="7" t="str">
        <f t="shared" si="96"/>
        <v>HDFC 5930</v>
      </c>
    </row>
    <row r="862" spans="1:15" x14ac:dyDescent="0.25">
      <c r="A862" s="1">
        <v>45292</v>
      </c>
      <c r="B862" t="s">
        <v>472</v>
      </c>
      <c r="C862" s="1">
        <v>45292</v>
      </c>
      <c r="D862" s="2">
        <v>625.77</v>
      </c>
      <c r="E862" s="2">
        <v>0</v>
      </c>
      <c r="F862" s="2">
        <v>56475.17</v>
      </c>
      <c r="G862" t="s">
        <v>719</v>
      </c>
      <c r="H862" s="7">
        <f t="shared" si="97"/>
        <v>0</v>
      </c>
      <c r="I862" s="1">
        <f t="shared" ref="I862:I925" si="98">A862</f>
        <v>45292</v>
      </c>
      <c r="J862" s="1" t="str">
        <f t="shared" ref="J862:J925" si="99">B862</f>
        <v>NET PI TO HSL SEC A/C 347707-00602340029392</v>
      </c>
      <c r="L862" s="7">
        <f t="shared" ref="L862:L925" si="100">D862</f>
        <v>625.77</v>
      </c>
      <c r="M862" s="7">
        <f t="shared" ref="M862:M925" si="101">E862</f>
        <v>0</v>
      </c>
      <c r="N862" s="7">
        <f t="shared" ref="N862:N925" si="102">F862</f>
        <v>56475.17</v>
      </c>
      <c r="O862" s="7" t="str">
        <f t="shared" ref="O862:O925" si="103">G862</f>
        <v>HDFC 5930</v>
      </c>
    </row>
    <row r="863" spans="1:15" x14ac:dyDescent="0.25">
      <c r="A863" s="1">
        <v>45292</v>
      </c>
      <c r="B863" t="s">
        <v>921</v>
      </c>
      <c r="C863" s="1">
        <v>45292</v>
      </c>
      <c r="D863">
        <v>2000</v>
      </c>
      <c r="E863">
        <v>0</v>
      </c>
      <c r="F863">
        <v>54475.17</v>
      </c>
      <c r="G863" t="s">
        <v>719</v>
      </c>
      <c r="H863" s="7">
        <f t="shared" ref="H863:H926" si="104">F862-D863+E863-F863</f>
        <v>0</v>
      </c>
      <c r="I863" s="1">
        <f t="shared" si="98"/>
        <v>45292</v>
      </c>
      <c r="J863" s="1" t="str">
        <f t="shared" si="99"/>
        <v>ACH D- TP ACH INVESTOCAFE-1332707455</v>
      </c>
      <c r="L863" s="7">
        <f t="shared" si="100"/>
        <v>2000</v>
      </c>
      <c r="M863" s="7">
        <f t="shared" si="101"/>
        <v>0</v>
      </c>
      <c r="N863" s="7">
        <f t="shared" si="102"/>
        <v>54475.17</v>
      </c>
      <c r="O863" s="7" t="str">
        <f t="shared" si="103"/>
        <v>HDFC 5930</v>
      </c>
    </row>
    <row r="864" spans="1:15" x14ac:dyDescent="0.25">
      <c r="A864" s="1">
        <v>45292</v>
      </c>
      <c r="B864" t="s">
        <v>472</v>
      </c>
      <c r="C864" s="1">
        <v>45292</v>
      </c>
      <c r="D864">
        <v>5194.1400000000003</v>
      </c>
      <c r="E864">
        <v>0</v>
      </c>
      <c r="F864">
        <v>49281.03</v>
      </c>
      <c r="G864" t="s">
        <v>719</v>
      </c>
      <c r="H864" s="7">
        <f t="shared" si="104"/>
        <v>0</v>
      </c>
      <c r="I864" s="1">
        <f t="shared" si="98"/>
        <v>45292</v>
      </c>
      <c r="J864" s="1" t="str">
        <f t="shared" si="99"/>
        <v>NET PI TO HSL SEC A/C 347707-00602340029392</v>
      </c>
      <c r="L864" s="7">
        <f t="shared" si="100"/>
        <v>5194.1400000000003</v>
      </c>
      <c r="M864" s="7">
        <f t="shared" si="101"/>
        <v>0</v>
      </c>
      <c r="N864" s="7">
        <f t="shared" si="102"/>
        <v>49281.03</v>
      </c>
      <c r="O864" s="7" t="str">
        <f t="shared" si="103"/>
        <v>HDFC 5930</v>
      </c>
    </row>
    <row r="865" spans="1:15" x14ac:dyDescent="0.25">
      <c r="A865" s="1">
        <v>45293</v>
      </c>
      <c r="B865" t="s">
        <v>618</v>
      </c>
      <c r="C865" s="1">
        <v>45293</v>
      </c>
      <c r="D865">
        <v>0</v>
      </c>
      <c r="E865">
        <v>61694.37</v>
      </c>
      <c r="F865">
        <v>110975.4</v>
      </c>
      <c r="G865" t="s">
        <v>719</v>
      </c>
      <c r="H865" s="7">
        <f t="shared" si="104"/>
        <v>0</v>
      </c>
      <c r="I865" s="1">
        <f t="shared" si="98"/>
        <v>45293</v>
      </c>
      <c r="J865" s="1" t="str">
        <f t="shared" si="99"/>
        <v>NET PO FROM HSL A/C 347707-50200085415108</v>
      </c>
      <c r="L865" s="7">
        <f t="shared" si="100"/>
        <v>0</v>
      </c>
      <c r="M865" s="7">
        <f t="shared" si="101"/>
        <v>61694.37</v>
      </c>
      <c r="N865" s="7">
        <f t="shared" si="102"/>
        <v>110975.4</v>
      </c>
      <c r="O865" s="7" t="str">
        <f t="shared" si="103"/>
        <v>HDFC 5930</v>
      </c>
    </row>
    <row r="866" spans="1:15" x14ac:dyDescent="0.25">
      <c r="A866" s="1">
        <v>45293</v>
      </c>
      <c r="B866" t="s">
        <v>472</v>
      </c>
      <c r="C866" s="1">
        <v>45293</v>
      </c>
      <c r="D866">
        <v>210.42</v>
      </c>
      <c r="E866">
        <v>0</v>
      </c>
      <c r="F866">
        <v>110764.98</v>
      </c>
      <c r="G866" t="s">
        <v>719</v>
      </c>
      <c r="H866" s="7">
        <f t="shared" si="104"/>
        <v>0</v>
      </c>
      <c r="I866" s="1">
        <f t="shared" si="98"/>
        <v>45293</v>
      </c>
      <c r="J866" s="1" t="str">
        <f t="shared" si="99"/>
        <v>NET PI TO HSL SEC A/C 347707-00602340029392</v>
      </c>
      <c r="L866" s="7">
        <f t="shared" si="100"/>
        <v>210.42</v>
      </c>
      <c r="M866" s="7">
        <f t="shared" si="101"/>
        <v>0</v>
      </c>
      <c r="N866" s="7">
        <f t="shared" si="102"/>
        <v>110764.98</v>
      </c>
      <c r="O866" s="7" t="str">
        <f t="shared" si="103"/>
        <v>HDFC 5930</v>
      </c>
    </row>
    <row r="867" spans="1:15" x14ac:dyDescent="0.25">
      <c r="A867" s="1">
        <v>45293</v>
      </c>
      <c r="B867" t="s">
        <v>472</v>
      </c>
      <c r="C867" s="1">
        <v>45293</v>
      </c>
      <c r="D867">
        <v>41170.07</v>
      </c>
      <c r="E867">
        <v>0</v>
      </c>
      <c r="F867">
        <v>69594.91</v>
      </c>
      <c r="G867" t="s">
        <v>719</v>
      </c>
      <c r="H867" s="7">
        <f t="shared" si="104"/>
        <v>0</v>
      </c>
      <c r="I867" s="1">
        <f t="shared" si="98"/>
        <v>45293</v>
      </c>
      <c r="J867" s="1" t="str">
        <f t="shared" si="99"/>
        <v>NET PI TO HSL SEC A/C 347707-00602340029392</v>
      </c>
      <c r="L867" s="7">
        <f t="shared" si="100"/>
        <v>41170.07</v>
      </c>
      <c r="M867" s="7">
        <f t="shared" si="101"/>
        <v>0</v>
      </c>
      <c r="N867" s="7">
        <f t="shared" si="102"/>
        <v>69594.91</v>
      </c>
      <c r="O867" s="7" t="str">
        <f t="shared" si="103"/>
        <v>HDFC 5930</v>
      </c>
    </row>
    <row r="868" spans="1:15" x14ac:dyDescent="0.25">
      <c r="A868" s="1">
        <v>45294</v>
      </c>
      <c r="B868" t="s">
        <v>472</v>
      </c>
      <c r="C868" s="1">
        <v>45294</v>
      </c>
      <c r="D868">
        <v>198.82</v>
      </c>
      <c r="E868">
        <v>0</v>
      </c>
      <c r="F868">
        <v>69396.09</v>
      </c>
      <c r="G868" t="s">
        <v>719</v>
      </c>
      <c r="H868" s="7">
        <f t="shared" si="104"/>
        <v>0</v>
      </c>
      <c r="I868" s="1">
        <f t="shared" si="98"/>
        <v>45294</v>
      </c>
      <c r="J868" s="1" t="str">
        <f t="shared" si="99"/>
        <v>NET PI TO HSL SEC A/C 347707-00602340029392</v>
      </c>
      <c r="L868" s="7">
        <f t="shared" si="100"/>
        <v>198.82</v>
      </c>
      <c r="M868" s="7">
        <f t="shared" si="101"/>
        <v>0</v>
      </c>
      <c r="N868" s="7">
        <f t="shared" si="102"/>
        <v>69396.09</v>
      </c>
      <c r="O868" s="7" t="str">
        <f t="shared" si="103"/>
        <v>HDFC 5930</v>
      </c>
    </row>
    <row r="869" spans="1:15" x14ac:dyDescent="0.25">
      <c r="A869" s="1">
        <v>45294</v>
      </c>
      <c r="B869" t="s">
        <v>472</v>
      </c>
      <c r="C869" s="1">
        <v>45294</v>
      </c>
      <c r="D869">
        <v>31696.16</v>
      </c>
      <c r="E869">
        <v>0</v>
      </c>
      <c r="F869">
        <v>37699.93</v>
      </c>
      <c r="G869" t="s">
        <v>719</v>
      </c>
      <c r="H869" s="7">
        <f t="shared" si="104"/>
        <v>0</v>
      </c>
      <c r="I869" s="1">
        <f t="shared" si="98"/>
        <v>45294</v>
      </c>
      <c r="J869" s="1" t="str">
        <f t="shared" si="99"/>
        <v>NET PI TO HSL SEC A/C 347707-00602340029392</v>
      </c>
      <c r="L869" s="7">
        <f t="shared" si="100"/>
        <v>31696.16</v>
      </c>
      <c r="M869" s="7">
        <f t="shared" si="101"/>
        <v>0</v>
      </c>
      <c r="N869" s="7">
        <f t="shared" si="102"/>
        <v>37699.93</v>
      </c>
      <c r="O869" s="7" t="str">
        <f t="shared" si="103"/>
        <v>HDFC 5930</v>
      </c>
    </row>
    <row r="870" spans="1:15" x14ac:dyDescent="0.25">
      <c r="A870" s="1">
        <v>45294</v>
      </c>
      <c r="B870" t="s">
        <v>472</v>
      </c>
      <c r="C870" s="1">
        <v>45294</v>
      </c>
      <c r="D870">
        <v>8461.39</v>
      </c>
      <c r="E870">
        <v>0</v>
      </c>
      <c r="F870">
        <v>29238.54</v>
      </c>
      <c r="G870" t="s">
        <v>719</v>
      </c>
      <c r="H870" s="7">
        <f t="shared" si="104"/>
        <v>0</v>
      </c>
      <c r="I870" s="1">
        <f t="shared" si="98"/>
        <v>45294</v>
      </c>
      <c r="J870" s="1" t="str">
        <f t="shared" si="99"/>
        <v>NET PI TO HSL SEC A/C 347707-00602340029392</v>
      </c>
      <c r="L870" s="7">
        <f t="shared" si="100"/>
        <v>8461.39</v>
      </c>
      <c r="M870" s="7">
        <f t="shared" si="101"/>
        <v>0</v>
      </c>
      <c r="N870" s="7">
        <f t="shared" si="102"/>
        <v>29238.54</v>
      </c>
      <c r="O870" s="7" t="str">
        <f t="shared" si="103"/>
        <v>HDFC 5930</v>
      </c>
    </row>
    <row r="871" spans="1:15" x14ac:dyDescent="0.25">
      <c r="A871" s="1">
        <v>45295</v>
      </c>
      <c r="B871" t="s">
        <v>922</v>
      </c>
      <c r="C871" s="1">
        <v>45295</v>
      </c>
      <c r="D871">
        <v>0</v>
      </c>
      <c r="E871">
        <v>80000</v>
      </c>
      <c r="F871">
        <v>109238.54</v>
      </c>
      <c r="G871" t="s">
        <v>719</v>
      </c>
      <c r="H871" s="7">
        <f t="shared" si="104"/>
        <v>0</v>
      </c>
      <c r="I871" s="1">
        <f t="shared" si="98"/>
        <v>45295</v>
      </c>
      <c r="J871" s="1" t="str">
        <f t="shared" si="99"/>
        <v>NEFT CR-SBIN0011669-MR  AJAY KUMAR GUPTA-AJAY KUMAR GUPTA-SBIN224004466265</v>
      </c>
      <c r="L871" s="7">
        <f t="shared" si="100"/>
        <v>0</v>
      </c>
      <c r="M871" s="7">
        <f t="shared" si="101"/>
        <v>80000</v>
      </c>
      <c r="N871" s="7">
        <f t="shared" si="102"/>
        <v>109238.54</v>
      </c>
      <c r="O871" s="7" t="str">
        <f t="shared" si="103"/>
        <v>HDFC 5930</v>
      </c>
    </row>
    <row r="872" spans="1:15" x14ac:dyDescent="0.25">
      <c r="A872" s="1">
        <v>45295</v>
      </c>
      <c r="B872" t="s">
        <v>472</v>
      </c>
      <c r="C872" s="1">
        <v>45295</v>
      </c>
      <c r="D872">
        <v>210.46</v>
      </c>
      <c r="E872">
        <v>0</v>
      </c>
      <c r="F872">
        <v>109028.08</v>
      </c>
      <c r="G872" t="s">
        <v>719</v>
      </c>
      <c r="H872" s="7">
        <f t="shared" si="104"/>
        <v>0</v>
      </c>
      <c r="I872" s="1">
        <f t="shared" si="98"/>
        <v>45295</v>
      </c>
      <c r="J872" s="1" t="str">
        <f t="shared" si="99"/>
        <v>NET PI TO HSL SEC A/C 347707-00602340029392</v>
      </c>
      <c r="L872" s="7">
        <f t="shared" si="100"/>
        <v>210.46</v>
      </c>
      <c r="M872" s="7">
        <f t="shared" si="101"/>
        <v>0</v>
      </c>
      <c r="N872" s="7">
        <f t="shared" si="102"/>
        <v>109028.08</v>
      </c>
      <c r="O872" s="7" t="str">
        <f t="shared" si="103"/>
        <v>HDFC 5930</v>
      </c>
    </row>
    <row r="873" spans="1:15" x14ac:dyDescent="0.25">
      <c r="A873" s="1">
        <v>45295</v>
      </c>
      <c r="B873" t="s">
        <v>472</v>
      </c>
      <c r="C873" s="1">
        <v>45295</v>
      </c>
      <c r="D873">
        <v>8414.32</v>
      </c>
      <c r="E873">
        <v>0</v>
      </c>
      <c r="F873">
        <v>100613.75999999999</v>
      </c>
      <c r="G873" t="s">
        <v>719</v>
      </c>
      <c r="H873" s="7">
        <f t="shared" si="104"/>
        <v>0</v>
      </c>
      <c r="I873" s="1">
        <f t="shared" si="98"/>
        <v>45295</v>
      </c>
      <c r="J873" s="1" t="str">
        <f t="shared" si="99"/>
        <v>NET PI TO HSL SEC A/C 347707-00602340029392</v>
      </c>
      <c r="L873" s="7">
        <f t="shared" si="100"/>
        <v>8414.32</v>
      </c>
      <c r="M873" s="7">
        <f t="shared" si="101"/>
        <v>0</v>
      </c>
      <c r="N873" s="7">
        <f t="shared" si="102"/>
        <v>100613.75999999999</v>
      </c>
      <c r="O873" s="7" t="str">
        <f t="shared" si="103"/>
        <v>HDFC 5930</v>
      </c>
    </row>
    <row r="874" spans="1:15" x14ac:dyDescent="0.25">
      <c r="A874" s="1">
        <v>45295</v>
      </c>
      <c r="B874" t="s">
        <v>472</v>
      </c>
      <c r="C874" s="1">
        <v>45295</v>
      </c>
      <c r="D874">
        <v>765.97</v>
      </c>
      <c r="E874">
        <v>0</v>
      </c>
      <c r="F874">
        <v>99847.79</v>
      </c>
      <c r="G874" t="s">
        <v>719</v>
      </c>
      <c r="H874" s="7">
        <f t="shared" si="104"/>
        <v>0</v>
      </c>
      <c r="I874" s="1">
        <f t="shared" si="98"/>
        <v>45295</v>
      </c>
      <c r="J874" s="1" t="str">
        <f t="shared" si="99"/>
        <v>NET PI TO HSL SEC A/C 347707-00602340029392</v>
      </c>
      <c r="L874" s="7">
        <f t="shared" si="100"/>
        <v>765.97</v>
      </c>
      <c r="M874" s="7">
        <f t="shared" si="101"/>
        <v>0</v>
      </c>
      <c r="N874" s="7">
        <f t="shared" si="102"/>
        <v>99847.79</v>
      </c>
      <c r="O874" s="7" t="str">
        <f t="shared" si="103"/>
        <v>HDFC 5930</v>
      </c>
    </row>
    <row r="875" spans="1:15" x14ac:dyDescent="0.25">
      <c r="A875" s="1">
        <v>45296</v>
      </c>
      <c r="B875" t="s">
        <v>472</v>
      </c>
      <c r="C875" s="1">
        <v>45296</v>
      </c>
      <c r="D875">
        <v>46725.3</v>
      </c>
      <c r="E875">
        <v>0</v>
      </c>
      <c r="F875">
        <v>53122.49</v>
      </c>
      <c r="G875" t="s">
        <v>719</v>
      </c>
      <c r="H875" s="7">
        <f t="shared" si="104"/>
        <v>0</v>
      </c>
      <c r="I875" s="1">
        <f t="shared" si="98"/>
        <v>45296</v>
      </c>
      <c r="J875" s="1" t="str">
        <f t="shared" si="99"/>
        <v>NET PI TO HSL SEC A/C 347707-00602340029392</v>
      </c>
      <c r="L875" s="7">
        <f t="shared" si="100"/>
        <v>46725.3</v>
      </c>
      <c r="M875" s="7">
        <f t="shared" si="101"/>
        <v>0</v>
      </c>
      <c r="N875" s="7">
        <f t="shared" si="102"/>
        <v>53122.49</v>
      </c>
      <c r="O875" s="7" t="str">
        <f t="shared" si="103"/>
        <v>HDFC 5930</v>
      </c>
    </row>
    <row r="876" spans="1:15" x14ac:dyDescent="0.25">
      <c r="A876" s="1">
        <v>45296</v>
      </c>
      <c r="B876" t="s">
        <v>923</v>
      </c>
      <c r="C876" s="1">
        <v>45296</v>
      </c>
      <c r="D876">
        <v>0</v>
      </c>
      <c r="E876">
        <v>100000</v>
      </c>
      <c r="F876">
        <v>153122.49</v>
      </c>
      <c r="G876" t="s">
        <v>719</v>
      </c>
      <c r="H876" s="7">
        <f t="shared" si="104"/>
        <v>0</v>
      </c>
      <c r="I876" s="1">
        <f t="shared" si="98"/>
        <v>45296</v>
      </c>
      <c r="J876" s="1" t="str">
        <f t="shared" si="99"/>
        <v>NEFT CR-SBIN0011669-MR  AJAY KUMAR GUPTA-AJAY KUMAR GUPTA-SBIN424005471489</v>
      </c>
      <c r="L876" s="7">
        <f t="shared" si="100"/>
        <v>0</v>
      </c>
      <c r="M876" s="7">
        <f t="shared" si="101"/>
        <v>100000</v>
      </c>
      <c r="N876" s="7">
        <f t="shared" si="102"/>
        <v>153122.49</v>
      </c>
      <c r="O876" s="7" t="str">
        <f t="shared" si="103"/>
        <v>HDFC 5930</v>
      </c>
    </row>
    <row r="877" spans="1:15" x14ac:dyDescent="0.25">
      <c r="A877" s="1">
        <v>45296</v>
      </c>
      <c r="B877" t="s">
        <v>546</v>
      </c>
      <c r="C877" s="1">
        <v>45296</v>
      </c>
      <c r="D877">
        <v>0</v>
      </c>
      <c r="E877">
        <v>125</v>
      </c>
      <c r="F877">
        <v>153247.49</v>
      </c>
      <c r="G877" t="s">
        <v>719</v>
      </c>
      <c r="H877" s="7">
        <f t="shared" si="104"/>
        <v>0</v>
      </c>
      <c r="I877" s="1">
        <f t="shared" si="98"/>
        <v>45296</v>
      </c>
      <c r="J877" s="1" t="str">
        <f t="shared" si="99"/>
        <v>00012050001396HLY INT-IN0020200377</v>
      </c>
      <c r="L877" s="7">
        <f t="shared" si="100"/>
        <v>0</v>
      </c>
      <c r="M877" s="7">
        <f t="shared" si="101"/>
        <v>125</v>
      </c>
      <c r="N877" s="7">
        <f t="shared" si="102"/>
        <v>153247.49</v>
      </c>
      <c r="O877" s="7" t="str">
        <f t="shared" si="103"/>
        <v>HDFC 5930</v>
      </c>
    </row>
    <row r="878" spans="1:15" x14ac:dyDescent="0.25">
      <c r="A878" s="1">
        <v>45296</v>
      </c>
      <c r="B878" t="s">
        <v>600</v>
      </c>
      <c r="C878" s="1">
        <v>45296</v>
      </c>
      <c r="D878">
        <v>120000</v>
      </c>
      <c r="E878">
        <v>0</v>
      </c>
      <c r="F878">
        <v>33247.49</v>
      </c>
      <c r="G878" t="s">
        <v>719</v>
      </c>
      <c r="H878" s="7">
        <f t="shared" si="104"/>
        <v>0</v>
      </c>
      <c r="I878" s="1">
        <f t="shared" si="98"/>
        <v>45296</v>
      </c>
      <c r="J878" s="1" t="str">
        <f t="shared" si="99"/>
        <v>01671000060094-TPT-BORROW FROM AKG-SUNITA GUPTA</v>
      </c>
      <c r="L878" s="7">
        <f t="shared" si="100"/>
        <v>120000</v>
      </c>
      <c r="M878" s="7">
        <f t="shared" si="101"/>
        <v>0</v>
      </c>
      <c r="N878" s="7">
        <f t="shared" si="102"/>
        <v>33247.49</v>
      </c>
      <c r="O878" s="7" t="str">
        <f t="shared" si="103"/>
        <v>HDFC 5930</v>
      </c>
    </row>
    <row r="879" spans="1:15" x14ac:dyDescent="0.25">
      <c r="A879" s="1">
        <v>45296</v>
      </c>
      <c r="B879" t="s">
        <v>472</v>
      </c>
      <c r="C879" s="1">
        <v>45296</v>
      </c>
      <c r="D879">
        <v>7723.33</v>
      </c>
      <c r="E879">
        <v>0</v>
      </c>
      <c r="F879">
        <v>25524.16</v>
      </c>
      <c r="G879" t="s">
        <v>719</v>
      </c>
      <c r="H879" s="7">
        <f t="shared" si="104"/>
        <v>0</v>
      </c>
      <c r="I879" s="1">
        <f t="shared" si="98"/>
        <v>45296</v>
      </c>
      <c r="J879" s="1" t="str">
        <f t="shared" si="99"/>
        <v>NET PI TO HSL SEC A/C 347707-00602340029392</v>
      </c>
      <c r="L879" s="7">
        <f t="shared" si="100"/>
        <v>7723.33</v>
      </c>
      <c r="M879" s="7">
        <f t="shared" si="101"/>
        <v>0</v>
      </c>
      <c r="N879" s="7">
        <f t="shared" si="102"/>
        <v>25524.16</v>
      </c>
      <c r="O879" s="7" t="str">
        <f t="shared" si="103"/>
        <v>HDFC 5930</v>
      </c>
    </row>
    <row r="880" spans="1:15" x14ac:dyDescent="0.25">
      <c r="A880" s="1">
        <v>45299</v>
      </c>
      <c r="B880" t="s">
        <v>472</v>
      </c>
      <c r="C880" s="1">
        <v>45299</v>
      </c>
      <c r="D880">
        <v>7414.75</v>
      </c>
      <c r="E880">
        <v>0</v>
      </c>
      <c r="F880">
        <v>18109.41</v>
      </c>
      <c r="G880" t="s">
        <v>719</v>
      </c>
      <c r="H880" s="7">
        <f t="shared" si="104"/>
        <v>0</v>
      </c>
      <c r="I880" s="1">
        <f t="shared" si="98"/>
        <v>45299</v>
      </c>
      <c r="J880" s="1" t="str">
        <f t="shared" si="99"/>
        <v>NET PI TO HSL SEC A/C 347707-00602340029392</v>
      </c>
      <c r="L880" s="7">
        <f t="shared" si="100"/>
        <v>7414.75</v>
      </c>
      <c r="M880" s="7">
        <f t="shared" si="101"/>
        <v>0</v>
      </c>
      <c r="N880" s="7">
        <f t="shared" si="102"/>
        <v>18109.41</v>
      </c>
      <c r="O880" s="7" t="str">
        <f t="shared" si="103"/>
        <v>HDFC 5930</v>
      </c>
    </row>
    <row r="881" spans="1:15" x14ac:dyDescent="0.25">
      <c r="A881" s="1">
        <v>45300</v>
      </c>
      <c r="B881" t="s">
        <v>924</v>
      </c>
      <c r="C881" s="1">
        <v>45300</v>
      </c>
      <c r="D881">
        <v>0</v>
      </c>
      <c r="E881">
        <v>50000</v>
      </c>
      <c r="F881">
        <v>68109.41</v>
      </c>
      <c r="G881" t="s">
        <v>719</v>
      </c>
      <c r="H881" s="7">
        <f t="shared" si="104"/>
        <v>0</v>
      </c>
      <c r="I881" s="1">
        <f t="shared" si="98"/>
        <v>45300</v>
      </c>
      <c r="J881" s="1" t="str">
        <f t="shared" si="99"/>
        <v>01671000060094-TPT-MNY RTRN FROM SUNITA TO AJAY-SUNITA GUPTA</v>
      </c>
      <c r="L881" s="7">
        <f t="shared" si="100"/>
        <v>0</v>
      </c>
      <c r="M881" s="7">
        <f t="shared" si="101"/>
        <v>50000</v>
      </c>
      <c r="N881" s="7">
        <f t="shared" si="102"/>
        <v>68109.41</v>
      </c>
      <c r="O881" s="7" t="str">
        <f t="shared" si="103"/>
        <v>HDFC 5930</v>
      </c>
    </row>
    <row r="882" spans="1:15" x14ac:dyDescent="0.25">
      <c r="A882" s="1">
        <v>45300</v>
      </c>
      <c r="B882" t="s">
        <v>472</v>
      </c>
      <c r="C882" s="1">
        <v>45300</v>
      </c>
      <c r="D882">
        <v>226.1</v>
      </c>
      <c r="E882">
        <v>0</v>
      </c>
      <c r="F882">
        <v>67883.31</v>
      </c>
      <c r="G882" t="s">
        <v>719</v>
      </c>
      <c r="H882" s="7">
        <f t="shared" si="104"/>
        <v>0</v>
      </c>
      <c r="I882" s="1">
        <f t="shared" si="98"/>
        <v>45300</v>
      </c>
      <c r="J882" s="1" t="str">
        <f t="shared" si="99"/>
        <v>NET PI TO HSL SEC A/C 347707-00602340029392</v>
      </c>
      <c r="L882" s="7">
        <f t="shared" si="100"/>
        <v>226.1</v>
      </c>
      <c r="M882" s="7">
        <f t="shared" si="101"/>
        <v>0</v>
      </c>
      <c r="N882" s="7">
        <f t="shared" si="102"/>
        <v>67883.31</v>
      </c>
      <c r="O882" s="7" t="str">
        <f t="shared" si="103"/>
        <v>HDFC 5930</v>
      </c>
    </row>
    <row r="883" spans="1:15" x14ac:dyDescent="0.25">
      <c r="A883" s="1">
        <v>45300</v>
      </c>
      <c r="B883" t="s">
        <v>472</v>
      </c>
      <c r="C883" s="1">
        <v>45300</v>
      </c>
      <c r="D883">
        <v>14235.87</v>
      </c>
      <c r="E883">
        <v>0</v>
      </c>
      <c r="F883">
        <v>53647.44</v>
      </c>
      <c r="G883" t="s">
        <v>719</v>
      </c>
      <c r="H883" s="7">
        <f t="shared" si="104"/>
        <v>0</v>
      </c>
      <c r="I883" s="1">
        <f t="shared" si="98"/>
        <v>45300</v>
      </c>
      <c r="J883" s="1" t="str">
        <f t="shared" si="99"/>
        <v>NET PI TO HSL SEC A/C 347707-00602340029392</v>
      </c>
      <c r="L883" s="7">
        <f t="shared" si="100"/>
        <v>14235.87</v>
      </c>
      <c r="M883" s="7">
        <f t="shared" si="101"/>
        <v>0</v>
      </c>
      <c r="N883" s="7">
        <f t="shared" si="102"/>
        <v>53647.44</v>
      </c>
      <c r="O883" s="7" t="str">
        <f t="shared" si="103"/>
        <v>HDFC 5930</v>
      </c>
    </row>
    <row r="884" spans="1:15" x14ac:dyDescent="0.25">
      <c r="A884" s="1">
        <v>45301</v>
      </c>
      <c r="B884" t="s">
        <v>681</v>
      </c>
      <c r="C884" s="1">
        <v>45301</v>
      </c>
      <c r="D884">
        <v>10000</v>
      </c>
      <c r="E884">
        <v>0</v>
      </c>
      <c r="F884">
        <v>43647.44</v>
      </c>
      <c r="G884" t="s">
        <v>719</v>
      </c>
      <c r="H884" s="7">
        <f t="shared" si="104"/>
        <v>0</v>
      </c>
      <c r="I884" s="1">
        <f t="shared" si="98"/>
        <v>45301</v>
      </c>
      <c r="J884" s="1" t="str">
        <f t="shared" si="99"/>
        <v>ACH D- INDIAN CLEARING CORP-P25847605X05</v>
      </c>
      <c r="L884" s="7">
        <f t="shared" si="100"/>
        <v>10000</v>
      </c>
      <c r="M884" s="7">
        <f t="shared" si="101"/>
        <v>0</v>
      </c>
      <c r="N884" s="7">
        <f t="shared" si="102"/>
        <v>43647.44</v>
      </c>
      <c r="O884" s="7" t="str">
        <f t="shared" si="103"/>
        <v>HDFC 5930</v>
      </c>
    </row>
    <row r="885" spans="1:15" x14ac:dyDescent="0.25">
      <c r="A885" s="1">
        <v>45301</v>
      </c>
      <c r="B885" t="s">
        <v>472</v>
      </c>
      <c r="C885" s="1">
        <v>45301</v>
      </c>
      <c r="D885">
        <v>221.03</v>
      </c>
      <c r="E885">
        <v>0</v>
      </c>
      <c r="F885">
        <v>43426.41</v>
      </c>
      <c r="G885" t="s">
        <v>719</v>
      </c>
      <c r="H885" s="7">
        <f t="shared" si="104"/>
        <v>0</v>
      </c>
      <c r="I885" s="1">
        <f t="shared" si="98"/>
        <v>45301</v>
      </c>
      <c r="J885" s="1" t="str">
        <f t="shared" si="99"/>
        <v>NET PI TO HSL SEC A/C 347707-00602340029392</v>
      </c>
      <c r="L885" s="7">
        <f t="shared" si="100"/>
        <v>221.03</v>
      </c>
      <c r="M885" s="7">
        <f t="shared" si="101"/>
        <v>0</v>
      </c>
      <c r="N885" s="7">
        <f t="shared" si="102"/>
        <v>43426.41</v>
      </c>
      <c r="O885" s="7" t="str">
        <f t="shared" si="103"/>
        <v>HDFC 5930</v>
      </c>
    </row>
    <row r="886" spans="1:15" x14ac:dyDescent="0.25">
      <c r="A886" s="1">
        <v>45301</v>
      </c>
      <c r="B886" t="s">
        <v>472</v>
      </c>
      <c r="C886" s="1">
        <v>45301</v>
      </c>
      <c r="D886">
        <v>1179.22</v>
      </c>
      <c r="E886">
        <v>0</v>
      </c>
      <c r="F886">
        <v>42247.19</v>
      </c>
      <c r="G886" t="s">
        <v>719</v>
      </c>
      <c r="H886" s="7">
        <f t="shared" si="104"/>
        <v>0</v>
      </c>
      <c r="I886" s="1">
        <f t="shared" si="98"/>
        <v>45301</v>
      </c>
      <c r="J886" s="1" t="str">
        <f t="shared" si="99"/>
        <v>NET PI TO HSL SEC A/C 347707-00602340029392</v>
      </c>
      <c r="L886" s="7">
        <f t="shared" si="100"/>
        <v>1179.22</v>
      </c>
      <c r="M886" s="7">
        <f t="shared" si="101"/>
        <v>0</v>
      </c>
      <c r="N886" s="7">
        <f t="shared" si="102"/>
        <v>42247.19</v>
      </c>
      <c r="O886" s="7" t="str">
        <f t="shared" si="103"/>
        <v>HDFC 5930</v>
      </c>
    </row>
    <row r="887" spans="1:15" x14ac:dyDescent="0.25">
      <c r="A887" s="1">
        <v>45302</v>
      </c>
      <c r="B887" t="s">
        <v>472</v>
      </c>
      <c r="C887" s="1">
        <v>45302</v>
      </c>
      <c r="D887">
        <v>229.48</v>
      </c>
      <c r="E887">
        <v>0</v>
      </c>
      <c r="F887">
        <v>42017.71</v>
      </c>
      <c r="G887" t="s">
        <v>719</v>
      </c>
      <c r="H887" s="7">
        <f t="shared" si="104"/>
        <v>0</v>
      </c>
      <c r="I887" s="1">
        <f t="shared" si="98"/>
        <v>45302</v>
      </c>
      <c r="J887" s="1" t="str">
        <f t="shared" si="99"/>
        <v>NET PI TO HSL SEC A/C 347707-00602340029392</v>
      </c>
      <c r="L887" s="7">
        <f t="shared" si="100"/>
        <v>229.48</v>
      </c>
      <c r="M887" s="7">
        <f t="shared" si="101"/>
        <v>0</v>
      </c>
      <c r="N887" s="7">
        <f t="shared" si="102"/>
        <v>42017.71</v>
      </c>
      <c r="O887" s="7" t="str">
        <f t="shared" si="103"/>
        <v>HDFC 5930</v>
      </c>
    </row>
    <row r="888" spans="1:15" x14ac:dyDescent="0.25">
      <c r="A888" s="1">
        <v>45302</v>
      </c>
      <c r="B888" t="s">
        <v>925</v>
      </c>
      <c r="C888" s="1">
        <v>45302</v>
      </c>
      <c r="D888">
        <v>2301</v>
      </c>
      <c r="E888">
        <v>0</v>
      </c>
      <c r="F888">
        <v>39716.71</v>
      </c>
      <c r="G888" t="s">
        <v>719</v>
      </c>
      <c r="H888" s="7">
        <f t="shared" si="104"/>
        <v>0</v>
      </c>
      <c r="I888" s="1">
        <f t="shared" si="98"/>
        <v>45302</v>
      </c>
      <c r="J888" s="1" t="str">
        <f t="shared" si="99"/>
        <v>DEPOSITORY CHARGES DEC23 - 40227714</v>
      </c>
      <c r="L888" s="7">
        <f t="shared" si="100"/>
        <v>2301</v>
      </c>
      <c r="M888" s="7">
        <f t="shared" si="101"/>
        <v>0</v>
      </c>
      <c r="N888" s="7">
        <f t="shared" si="102"/>
        <v>39716.71</v>
      </c>
      <c r="O888" s="7" t="str">
        <f t="shared" si="103"/>
        <v>HDFC 5930</v>
      </c>
    </row>
    <row r="889" spans="1:15" x14ac:dyDescent="0.25">
      <c r="A889" s="1">
        <v>45302</v>
      </c>
      <c r="B889" t="s">
        <v>472</v>
      </c>
      <c r="C889" s="1">
        <v>45302</v>
      </c>
      <c r="D889">
        <v>16570.12</v>
      </c>
      <c r="E889">
        <v>0</v>
      </c>
      <c r="F889">
        <v>23146.59</v>
      </c>
      <c r="G889" t="s">
        <v>719</v>
      </c>
      <c r="H889" s="7">
        <f t="shared" si="104"/>
        <v>0</v>
      </c>
      <c r="I889" s="1">
        <f t="shared" si="98"/>
        <v>45302</v>
      </c>
      <c r="J889" s="1" t="str">
        <f t="shared" si="99"/>
        <v>NET PI TO HSL SEC A/C 347707-00602340029392</v>
      </c>
      <c r="L889" s="7">
        <f t="shared" si="100"/>
        <v>16570.12</v>
      </c>
      <c r="M889" s="7">
        <f t="shared" si="101"/>
        <v>0</v>
      </c>
      <c r="N889" s="7">
        <f t="shared" si="102"/>
        <v>23146.59</v>
      </c>
      <c r="O889" s="7" t="str">
        <f t="shared" si="103"/>
        <v>HDFC 5930</v>
      </c>
    </row>
    <row r="890" spans="1:15" x14ac:dyDescent="0.25">
      <c r="A890" s="1">
        <v>45302</v>
      </c>
      <c r="B890" t="s">
        <v>472</v>
      </c>
      <c r="C890" s="1">
        <v>45302</v>
      </c>
      <c r="D890">
        <v>7856.51</v>
      </c>
      <c r="E890">
        <v>0</v>
      </c>
      <c r="F890">
        <v>15290.08</v>
      </c>
      <c r="G890" t="s">
        <v>719</v>
      </c>
      <c r="H890" s="7">
        <f t="shared" si="104"/>
        <v>0</v>
      </c>
      <c r="I890" s="1">
        <f t="shared" si="98"/>
        <v>45302</v>
      </c>
      <c r="J890" s="1" t="str">
        <f t="shared" si="99"/>
        <v>NET PI TO HSL SEC A/C 347707-00602340029392</v>
      </c>
      <c r="L890" s="7">
        <f t="shared" si="100"/>
        <v>7856.51</v>
      </c>
      <c r="M890" s="7">
        <f t="shared" si="101"/>
        <v>0</v>
      </c>
      <c r="N890" s="7">
        <f t="shared" si="102"/>
        <v>15290.08</v>
      </c>
      <c r="O890" s="7" t="str">
        <f t="shared" si="103"/>
        <v>HDFC 5930</v>
      </c>
    </row>
    <row r="891" spans="1:15" x14ac:dyDescent="0.25">
      <c r="A891" s="1">
        <v>45303</v>
      </c>
      <c r="B891" t="s">
        <v>472</v>
      </c>
      <c r="C891" s="1">
        <v>45303</v>
      </c>
      <c r="D891">
        <v>226.69</v>
      </c>
      <c r="E891">
        <v>0</v>
      </c>
      <c r="F891">
        <v>15063.39</v>
      </c>
      <c r="G891" t="s">
        <v>719</v>
      </c>
      <c r="H891" s="7">
        <f t="shared" si="104"/>
        <v>0</v>
      </c>
      <c r="I891" s="1">
        <f t="shared" si="98"/>
        <v>45303</v>
      </c>
      <c r="J891" s="1" t="str">
        <f t="shared" si="99"/>
        <v>NET PI TO HSL SEC A/C 347707-00602340029392</v>
      </c>
      <c r="L891" s="7">
        <f t="shared" si="100"/>
        <v>226.69</v>
      </c>
      <c r="M891" s="7">
        <f t="shared" si="101"/>
        <v>0</v>
      </c>
      <c r="N891" s="7">
        <f t="shared" si="102"/>
        <v>15063.39</v>
      </c>
      <c r="O891" s="7" t="str">
        <f t="shared" si="103"/>
        <v>HDFC 5930</v>
      </c>
    </row>
    <row r="892" spans="1:15" x14ac:dyDescent="0.25">
      <c r="A892" s="1">
        <v>45303</v>
      </c>
      <c r="B892" t="s">
        <v>618</v>
      </c>
      <c r="C892" s="1">
        <v>45303</v>
      </c>
      <c r="D892">
        <v>0</v>
      </c>
      <c r="E892">
        <v>8051.74</v>
      </c>
      <c r="F892">
        <v>23115.13</v>
      </c>
      <c r="G892" t="s">
        <v>719</v>
      </c>
      <c r="H892" s="7">
        <f t="shared" si="104"/>
        <v>0</v>
      </c>
      <c r="I892" s="1">
        <f t="shared" si="98"/>
        <v>45303</v>
      </c>
      <c r="J892" s="1" t="str">
        <f t="shared" si="99"/>
        <v>NET PO FROM HSL A/C 347707-50200085415108</v>
      </c>
      <c r="L892" s="7">
        <f t="shared" si="100"/>
        <v>0</v>
      </c>
      <c r="M892" s="7">
        <f t="shared" si="101"/>
        <v>8051.74</v>
      </c>
      <c r="N892" s="7">
        <f t="shared" si="102"/>
        <v>23115.13</v>
      </c>
      <c r="O892" s="7" t="str">
        <f t="shared" si="103"/>
        <v>HDFC 5930</v>
      </c>
    </row>
    <row r="893" spans="1:15" x14ac:dyDescent="0.25">
      <c r="A893" s="1">
        <v>45304</v>
      </c>
      <c r="B893" t="s">
        <v>926</v>
      </c>
      <c r="C893" s="1">
        <v>45304</v>
      </c>
      <c r="D893">
        <v>0</v>
      </c>
      <c r="E893">
        <v>100000</v>
      </c>
      <c r="F893">
        <v>123115.13</v>
      </c>
      <c r="G893" t="s">
        <v>719</v>
      </c>
      <c r="H893" s="7">
        <f t="shared" si="104"/>
        <v>0</v>
      </c>
      <c r="I893" s="1">
        <f t="shared" si="98"/>
        <v>45304</v>
      </c>
      <c r="J893" s="1" t="str">
        <f t="shared" si="99"/>
        <v>NEFT CR-SBIN0011669-MR  AJAY KUMAR GUPTA-AJAY KUMAR GUPTA-SBIN324013860186</v>
      </c>
      <c r="L893" s="7">
        <f t="shared" si="100"/>
        <v>0</v>
      </c>
      <c r="M893" s="7">
        <f t="shared" si="101"/>
        <v>100000</v>
      </c>
      <c r="N893" s="7">
        <f t="shared" si="102"/>
        <v>123115.13</v>
      </c>
      <c r="O893" s="7" t="str">
        <f t="shared" si="103"/>
        <v>HDFC 5930</v>
      </c>
    </row>
    <row r="894" spans="1:15" x14ac:dyDescent="0.25">
      <c r="A894" s="1">
        <v>45304</v>
      </c>
      <c r="B894" t="s">
        <v>927</v>
      </c>
      <c r="C894" s="1">
        <v>45304</v>
      </c>
      <c r="D894">
        <v>0</v>
      </c>
      <c r="E894">
        <v>17250</v>
      </c>
      <c r="F894">
        <v>140365.13</v>
      </c>
      <c r="G894" t="s">
        <v>719</v>
      </c>
      <c r="H894" s="7">
        <f t="shared" si="104"/>
        <v>0</v>
      </c>
      <c r="I894" s="1">
        <f t="shared" si="98"/>
        <v>45304</v>
      </c>
      <c r="J894" s="1" t="str">
        <f t="shared" si="99"/>
        <v>UPI-SHANTANU GUPTA-9314144568-2@YBL-BARB0KESKOT-437906721965-PAYMENT FROM PHONE</v>
      </c>
      <c r="L894" s="7">
        <f t="shared" si="100"/>
        <v>0</v>
      </c>
      <c r="M894" s="7">
        <f t="shared" si="101"/>
        <v>17250</v>
      </c>
      <c r="N894" s="7">
        <f t="shared" si="102"/>
        <v>140365.13</v>
      </c>
      <c r="O894" s="7" t="str">
        <f t="shared" si="103"/>
        <v>HDFC 5930</v>
      </c>
    </row>
    <row r="895" spans="1:15" x14ac:dyDescent="0.25">
      <c r="A895" s="1">
        <v>45306</v>
      </c>
      <c r="B895" t="s">
        <v>618</v>
      </c>
      <c r="C895" s="1">
        <v>45306</v>
      </c>
      <c r="D895">
        <v>0</v>
      </c>
      <c r="E895">
        <v>2412.35</v>
      </c>
      <c r="F895">
        <v>142777.48000000001</v>
      </c>
      <c r="G895" t="s">
        <v>719</v>
      </c>
      <c r="H895" s="7">
        <f t="shared" si="104"/>
        <v>0</v>
      </c>
      <c r="I895" s="1">
        <f t="shared" si="98"/>
        <v>45306</v>
      </c>
      <c r="J895" s="1" t="str">
        <f t="shared" si="99"/>
        <v>NET PO FROM HSL A/C 347707-50200085415108</v>
      </c>
      <c r="L895" s="7">
        <f t="shared" si="100"/>
        <v>0</v>
      </c>
      <c r="M895" s="7">
        <f t="shared" si="101"/>
        <v>2412.35</v>
      </c>
      <c r="N895" s="7">
        <f t="shared" si="102"/>
        <v>142777.48000000001</v>
      </c>
      <c r="O895" s="7" t="str">
        <f t="shared" si="103"/>
        <v>HDFC 5930</v>
      </c>
    </row>
    <row r="896" spans="1:15" x14ac:dyDescent="0.25">
      <c r="A896" s="1">
        <v>45306</v>
      </c>
      <c r="B896" t="s">
        <v>618</v>
      </c>
      <c r="C896" s="1">
        <v>45306</v>
      </c>
      <c r="D896">
        <v>0</v>
      </c>
      <c r="E896">
        <v>23176.5</v>
      </c>
      <c r="F896">
        <v>165953.98000000001</v>
      </c>
      <c r="G896" t="s">
        <v>719</v>
      </c>
      <c r="H896" s="7">
        <f t="shared" si="104"/>
        <v>0</v>
      </c>
      <c r="I896" s="1">
        <f t="shared" si="98"/>
        <v>45306</v>
      </c>
      <c r="J896" s="1" t="str">
        <f t="shared" si="99"/>
        <v>NET PO FROM HSL A/C 347707-50200085415108</v>
      </c>
      <c r="L896" s="7">
        <f t="shared" si="100"/>
        <v>0</v>
      </c>
      <c r="M896" s="7">
        <f t="shared" si="101"/>
        <v>23176.5</v>
      </c>
      <c r="N896" s="7">
        <f t="shared" si="102"/>
        <v>165953.98000000001</v>
      </c>
      <c r="O896" s="7" t="str">
        <f t="shared" si="103"/>
        <v>HDFC 5930</v>
      </c>
    </row>
    <row r="897" spans="1:15" x14ac:dyDescent="0.25">
      <c r="A897" s="1">
        <v>45306</v>
      </c>
      <c r="B897" t="s">
        <v>681</v>
      </c>
      <c r="C897" s="1">
        <v>45306</v>
      </c>
      <c r="D897">
        <v>10000</v>
      </c>
      <c r="E897">
        <v>0</v>
      </c>
      <c r="F897">
        <v>155953.98000000001</v>
      </c>
      <c r="G897" t="s">
        <v>719</v>
      </c>
      <c r="H897" s="7">
        <f t="shared" si="104"/>
        <v>0</v>
      </c>
      <c r="I897" s="1">
        <f t="shared" si="98"/>
        <v>45306</v>
      </c>
      <c r="J897" s="1" t="str">
        <f t="shared" si="99"/>
        <v>ACH D- INDIAN CLEARING CORP-P25847605X05</v>
      </c>
      <c r="L897" s="7">
        <f t="shared" si="100"/>
        <v>10000</v>
      </c>
      <c r="M897" s="7">
        <f t="shared" si="101"/>
        <v>0</v>
      </c>
      <c r="N897" s="7">
        <f t="shared" si="102"/>
        <v>155953.98000000001</v>
      </c>
      <c r="O897" s="7" t="str">
        <f t="shared" si="103"/>
        <v>HDFC 5930</v>
      </c>
    </row>
    <row r="898" spans="1:15" x14ac:dyDescent="0.25">
      <c r="A898" s="1">
        <v>45306</v>
      </c>
      <c r="B898" t="s">
        <v>472</v>
      </c>
      <c r="C898" s="1">
        <v>45306</v>
      </c>
      <c r="D898">
        <v>729.09</v>
      </c>
      <c r="E898">
        <v>0</v>
      </c>
      <c r="F898">
        <v>155224.89000000001</v>
      </c>
      <c r="G898" t="s">
        <v>719</v>
      </c>
      <c r="H898" s="7">
        <f t="shared" si="104"/>
        <v>0</v>
      </c>
      <c r="I898" s="1">
        <f t="shared" si="98"/>
        <v>45306</v>
      </c>
      <c r="J898" s="1" t="str">
        <f t="shared" si="99"/>
        <v>NET PI TO HSL SEC A/C 347707-00602340029392</v>
      </c>
      <c r="L898" s="7">
        <f t="shared" si="100"/>
        <v>729.09</v>
      </c>
      <c r="M898" s="7">
        <f t="shared" si="101"/>
        <v>0</v>
      </c>
      <c r="N898" s="7">
        <f t="shared" si="102"/>
        <v>155224.89000000001</v>
      </c>
      <c r="O898" s="7" t="str">
        <f t="shared" si="103"/>
        <v>HDFC 5930</v>
      </c>
    </row>
    <row r="899" spans="1:15" x14ac:dyDescent="0.25">
      <c r="A899" s="1">
        <v>45307</v>
      </c>
      <c r="B899" t="s">
        <v>618</v>
      </c>
      <c r="C899" s="1">
        <v>45307</v>
      </c>
      <c r="D899">
        <v>0</v>
      </c>
      <c r="E899">
        <v>854.97</v>
      </c>
      <c r="F899">
        <v>156079.85999999999</v>
      </c>
      <c r="G899" t="s">
        <v>719</v>
      </c>
      <c r="H899" s="7">
        <f t="shared" si="104"/>
        <v>0</v>
      </c>
      <c r="I899" s="1">
        <f t="shared" si="98"/>
        <v>45307</v>
      </c>
      <c r="J899" s="1" t="str">
        <f t="shared" si="99"/>
        <v>NET PO FROM HSL A/C 347707-50200085415108</v>
      </c>
      <c r="L899" s="7">
        <f t="shared" si="100"/>
        <v>0</v>
      </c>
      <c r="M899" s="7">
        <f t="shared" si="101"/>
        <v>854.97</v>
      </c>
      <c r="N899" s="7">
        <f t="shared" si="102"/>
        <v>156079.85999999999</v>
      </c>
      <c r="O899" s="7" t="str">
        <f t="shared" si="103"/>
        <v>HDFC 5930</v>
      </c>
    </row>
    <row r="900" spans="1:15" x14ac:dyDescent="0.25">
      <c r="A900" s="1">
        <v>45307</v>
      </c>
      <c r="B900" t="s">
        <v>618</v>
      </c>
      <c r="C900" s="1">
        <v>45307</v>
      </c>
      <c r="D900">
        <v>0</v>
      </c>
      <c r="E900">
        <v>73493.570000000007</v>
      </c>
      <c r="F900">
        <v>229573.43</v>
      </c>
      <c r="G900" t="s">
        <v>719</v>
      </c>
      <c r="H900" s="7">
        <f t="shared" si="104"/>
        <v>0</v>
      </c>
      <c r="I900" s="1">
        <f t="shared" si="98"/>
        <v>45307</v>
      </c>
      <c r="J900" s="1" t="str">
        <f t="shared" si="99"/>
        <v>NET PO FROM HSL A/C 347707-50200085415108</v>
      </c>
      <c r="L900" s="7">
        <f t="shared" si="100"/>
        <v>0</v>
      </c>
      <c r="M900" s="7">
        <f t="shared" si="101"/>
        <v>73493.570000000007</v>
      </c>
      <c r="N900" s="7">
        <f t="shared" si="102"/>
        <v>229573.43</v>
      </c>
      <c r="O900" s="7" t="str">
        <f t="shared" si="103"/>
        <v>HDFC 5930</v>
      </c>
    </row>
    <row r="901" spans="1:15" x14ac:dyDescent="0.25">
      <c r="A901" s="1">
        <v>45307</v>
      </c>
      <c r="B901" t="s">
        <v>472</v>
      </c>
      <c r="C901" s="1">
        <v>45307</v>
      </c>
      <c r="D901">
        <v>229.55</v>
      </c>
      <c r="E901">
        <v>0</v>
      </c>
      <c r="F901">
        <v>229343.88</v>
      </c>
      <c r="G901" t="s">
        <v>719</v>
      </c>
      <c r="H901" s="7">
        <f t="shared" si="104"/>
        <v>0</v>
      </c>
      <c r="I901" s="1">
        <f t="shared" si="98"/>
        <v>45307</v>
      </c>
      <c r="J901" s="1" t="str">
        <f t="shared" si="99"/>
        <v>NET PI TO HSL SEC A/C 347707-00602340029392</v>
      </c>
      <c r="L901" s="7">
        <f t="shared" si="100"/>
        <v>229.55</v>
      </c>
      <c r="M901" s="7">
        <f t="shared" si="101"/>
        <v>0</v>
      </c>
      <c r="N901" s="7">
        <f t="shared" si="102"/>
        <v>229343.88</v>
      </c>
      <c r="O901" s="7" t="str">
        <f t="shared" si="103"/>
        <v>HDFC 5930</v>
      </c>
    </row>
    <row r="902" spans="1:15" x14ac:dyDescent="0.25">
      <c r="A902" s="1">
        <v>45307</v>
      </c>
      <c r="B902" t="s">
        <v>472</v>
      </c>
      <c r="C902" s="1">
        <v>45307</v>
      </c>
      <c r="D902">
        <v>100042.47</v>
      </c>
      <c r="E902">
        <v>0</v>
      </c>
      <c r="F902">
        <v>129301.41</v>
      </c>
      <c r="G902" t="s">
        <v>719</v>
      </c>
      <c r="H902" s="7">
        <f t="shared" si="104"/>
        <v>0</v>
      </c>
      <c r="I902" s="1">
        <f t="shared" si="98"/>
        <v>45307</v>
      </c>
      <c r="J902" s="1" t="str">
        <f t="shared" si="99"/>
        <v>NET PI TO HSL SEC A/C 347707-00602340029392</v>
      </c>
      <c r="L902" s="7">
        <f t="shared" si="100"/>
        <v>100042.47</v>
      </c>
      <c r="M902" s="7">
        <f t="shared" si="101"/>
        <v>0</v>
      </c>
      <c r="N902" s="7">
        <f t="shared" si="102"/>
        <v>129301.41</v>
      </c>
      <c r="O902" s="7" t="str">
        <f t="shared" si="103"/>
        <v>HDFC 5930</v>
      </c>
    </row>
    <row r="903" spans="1:15" x14ac:dyDescent="0.25">
      <c r="A903" s="1">
        <v>45307</v>
      </c>
      <c r="B903" t="s">
        <v>472</v>
      </c>
      <c r="C903" s="1">
        <v>45307</v>
      </c>
      <c r="D903">
        <v>85946.35</v>
      </c>
      <c r="E903">
        <v>0</v>
      </c>
      <c r="F903">
        <v>43355.06</v>
      </c>
      <c r="G903" t="s">
        <v>719</v>
      </c>
      <c r="H903" s="7">
        <f t="shared" si="104"/>
        <v>0</v>
      </c>
      <c r="I903" s="1">
        <f t="shared" si="98"/>
        <v>45307</v>
      </c>
      <c r="J903" s="1" t="str">
        <f t="shared" si="99"/>
        <v>NET PI TO HSL SEC A/C 347707-00602340029392</v>
      </c>
      <c r="L903" s="7">
        <f t="shared" si="100"/>
        <v>85946.35</v>
      </c>
      <c r="M903" s="7">
        <f t="shared" si="101"/>
        <v>0</v>
      </c>
      <c r="N903" s="7">
        <f t="shared" si="102"/>
        <v>43355.06</v>
      </c>
      <c r="O903" s="7" t="str">
        <f t="shared" si="103"/>
        <v>HDFC 5930</v>
      </c>
    </row>
    <row r="904" spans="1:15" x14ac:dyDescent="0.25">
      <c r="A904" s="1">
        <v>45308</v>
      </c>
      <c r="B904" t="s">
        <v>472</v>
      </c>
      <c r="C904" s="1">
        <v>45308</v>
      </c>
      <c r="D904">
        <v>199.25</v>
      </c>
      <c r="E904">
        <v>0</v>
      </c>
      <c r="F904">
        <v>43155.81</v>
      </c>
      <c r="G904" t="s">
        <v>719</v>
      </c>
      <c r="H904" s="7">
        <f t="shared" si="104"/>
        <v>0</v>
      </c>
      <c r="I904" s="1">
        <f t="shared" si="98"/>
        <v>45308</v>
      </c>
      <c r="J904" s="1" t="str">
        <f t="shared" si="99"/>
        <v>NET PI TO HSL SEC A/C 347707-00602340029392</v>
      </c>
      <c r="L904" s="7">
        <f t="shared" si="100"/>
        <v>199.25</v>
      </c>
      <c r="M904" s="7">
        <f t="shared" si="101"/>
        <v>0</v>
      </c>
      <c r="N904" s="7">
        <f t="shared" si="102"/>
        <v>43155.81</v>
      </c>
      <c r="O904" s="7" t="str">
        <f t="shared" si="103"/>
        <v>HDFC 5930</v>
      </c>
    </row>
    <row r="905" spans="1:15" x14ac:dyDescent="0.25">
      <c r="A905" s="1">
        <v>45308</v>
      </c>
      <c r="B905" t="s">
        <v>928</v>
      </c>
      <c r="C905" s="1">
        <v>45308</v>
      </c>
      <c r="D905">
        <v>14160</v>
      </c>
      <c r="E905">
        <v>0</v>
      </c>
      <c r="F905">
        <v>28995.81</v>
      </c>
      <c r="G905" t="s">
        <v>719</v>
      </c>
      <c r="H905" s="7">
        <f t="shared" si="104"/>
        <v>0</v>
      </c>
      <c r="I905" s="1">
        <f t="shared" si="98"/>
        <v>45308</v>
      </c>
      <c r="J905" s="1" t="str">
        <f t="shared" si="99"/>
        <v>ACH D- SMALLCASE-INH8V2ZKM8D1</v>
      </c>
      <c r="L905" s="7">
        <f t="shared" si="100"/>
        <v>14160</v>
      </c>
      <c r="M905" s="7">
        <f t="shared" si="101"/>
        <v>0</v>
      </c>
      <c r="N905" s="7">
        <f t="shared" si="102"/>
        <v>28995.81</v>
      </c>
      <c r="O905" s="7" t="str">
        <f t="shared" si="103"/>
        <v>HDFC 5930</v>
      </c>
    </row>
    <row r="906" spans="1:15" x14ac:dyDescent="0.25">
      <c r="A906" s="1">
        <v>45308</v>
      </c>
      <c r="B906" t="s">
        <v>928</v>
      </c>
      <c r="C906" s="1">
        <v>45308</v>
      </c>
      <c r="D906">
        <v>0</v>
      </c>
      <c r="E906">
        <v>14160</v>
      </c>
      <c r="F906">
        <v>43155.81</v>
      </c>
      <c r="G906" t="s">
        <v>719</v>
      </c>
      <c r="H906" s="7">
        <f t="shared" si="104"/>
        <v>0</v>
      </c>
      <c r="I906" s="1">
        <f t="shared" si="98"/>
        <v>45308</v>
      </c>
      <c r="J906" s="1" t="str">
        <f t="shared" si="99"/>
        <v>ACH D- SMALLCASE-INH8V2ZKM8D1</v>
      </c>
      <c r="L906" s="7">
        <f t="shared" si="100"/>
        <v>0</v>
      </c>
      <c r="M906" s="7">
        <f t="shared" si="101"/>
        <v>14160</v>
      </c>
      <c r="N906" s="7">
        <f t="shared" si="102"/>
        <v>43155.81</v>
      </c>
      <c r="O906" s="7" t="str">
        <f t="shared" si="103"/>
        <v>HDFC 5930</v>
      </c>
    </row>
    <row r="907" spans="1:15" x14ac:dyDescent="0.25">
      <c r="A907" s="1">
        <v>45308</v>
      </c>
      <c r="B907" t="s">
        <v>929</v>
      </c>
      <c r="C907" s="1">
        <v>45308</v>
      </c>
      <c r="D907">
        <v>0</v>
      </c>
      <c r="E907">
        <v>20000</v>
      </c>
      <c r="F907">
        <v>63155.81</v>
      </c>
      <c r="G907" t="s">
        <v>719</v>
      </c>
      <c r="H907" s="7">
        <f t="shared" si="104"/>
        <v>0</v>
      </c>
      <c r="I907" s="1">
        <f t="shared" si="98"/>
        <v>45308</v>
      </c>
      <c r="J907" s="1" t="str">
        <f t="shared" si="99"/>
        <v>01671000060094-TPT-MONEY RETURN FROM SUNITA TO AJAY-SUNITA GUPTA</v>
      </c>
      <c r="L907" s="7">
        <f t="shared" si="100"/>
        <v>0</v>
      </c>
      <c r="M907" s="7">
        <f t="shared" si="101"/>
        <v>20000</v>
      </c>
      <c r="N907" s="7">
        <f t="shared" si="102"/>
        <v>63155.81</v>
      </c>
      <c r="O907" s="7" t="str">
        <f t="shared" si="103"/>
        <v>HDFC 5930</v>
      </c>
    </row>
    <row r="908" spans="1:15" x14ac:dyDescent="0.25">
      <c r="A908" s="1">
        <v>45309</v>
      </c>
      <c r="B908" t="s">
        <v>472</v>
      </c>
      <c r="C908" s="1">
        <v>45309</v>
      </c>
      <c r="D908">
        <v>20682.73</v>
      </c>
      <c r="E908">
        <v>0</v>
      </c>
      <c r="F908">
        <v>42473.08</v>
      </c>
      <c r="G908" t="s">
        <v>719</v>
      </c>
      <c r="H908" s="7">
        <f t="shared" si="104"/>
        <v>0</v>
      </c>
      <c r="I908" s="1">
        <f t="shared" si="98"/>
        <v>45309</v>
      </c>
      <c r="J908" s="1" t="str">
        <f t="shared" si="99"/>
        <v>NET PI TO HSL SEC A/C 347707-00602340029392</v>
      </c>
      <c r="L908" s="7">
        <f t="shared" si="100"/>
        <v>20682.73</v>
      </c>
      <c r="M908" s="7">
        <f t="shared" si="101"/>
        <v>0</v>
      </c>
      <c r="N908" s="7">
        <f t="shared" si="102"/>
        <v>42473.08</v>
      </c>
      <c r="O908" s="7" t="str">
        <f t="shared" si="103"/>
        <v>HDFC 5930</v>
      </c>
    </row>
    <row r="909" spans="1:15" x14ac:dyDescent="0.25">
      <c r="A909" s="1">
        <v>45309</v>
      </c>
      <c r="B909" t="s">
        <v>618</v>
      </c>
      <c r="C909" s="1">
        <v>45309</v>
      </c>
      <c r="D909">
        <v>0</v>
      </c>
      <c r="E909">
        <v>40909.83</v>
      </c>
      <c r="F909">
        <v>83382.91</v>
      </c>
      <c r="G909" t="s">
        <v>719</v>
      </c>
      <c r="H909" s="7">
        <f t="shared" si="104"/>
        <v>0</v>
      </c>
      <c r="I909" s="1">
        <f t="shared" si="98"/>
        <v>45309</v>
      </c>
      <c r="J909" s="1" t="str">
        <f t="shared" si="99"/>
        <v>NET PO FROM HSL A/C 347707-50200085415108</v>
      </c>
      <c r="L909" s="7">
        <f t="shared" si="100"/>
        <v>0</v>
      </c>
      <c r="M909" s="7">
        <f t="shared" si="101"/>
        <v>40909.83</v>
      </c>
      <c r="N909" s="7">
        <f t="shared" si="102"/>
        <v>83382.91</v>
      </c>
      <c r="O909" s="7" t="str">
        <f t="shared" si="103"/>
        <v>HDFC 5930</v>
      </c>
    </row>
    <row r="910" spans="1:15" x14ac:dyDescent="0.25">
      <c r="A910" s="1">
        <v>45309</v>
      </c>
      <c r="B910" t="s">
        <v>930</v>
      </c>
      <c r="C910" s="1">
        <v>45309</v>
      </c>
      <c r="D910">
        <v>0</v>
      </c>
      <c r="E910">
        <v>100000</v>
      </c>
      <c r="F910">
        <v>183382.91</v>
      </c>
      <c r="G910" t="s">
        <v>719</v>
      </c>
      <c r="H910" s="7">
        <f t="shared" si="104"/>
        <v>0</v>
      </c>
      <c r="I910" s="1">
        <f t="shared" si="98"/>
        <v>45309</v>
      </c>
      <c r="J910" s="1" t="str">
        <f t="shared" si="99"/>
        <v>NEFT CR-SBIN0011669-MR  AJAY KUMAR GUPTA-AJAY KUMAR GUPTA-SBIN224018057920</v>
      </c>
      <c r="L910" s="7">
        <f t="shared" si="100"/>
        <v>0</v>
      </c>
      <c r="M910" s="7">
        <f t="shared" si="101"/>
        <v>100000</v>
      </c>
      <c r="N910" s="7">
        <f t="shared" si="102"/>
        <v>183382.91</v>
      </c>
      <c r="O910" s="7" t="str">
        <f t="shared" si="103"/>
        <v>HDFC 5930</v>
      </c>
    </row>
    <row r="911" spans="1:15" x14ac:dyDescent="0.25">
      <c r="A911" s="1">
        <v>45309</v>
      </c>
      <c r="B911" t="s">
        <v>472</v>
      </c>
      <c r="C911" s="1">
        <v>45309</v>
      </c>
      <c r="D911">
        <v>205.71</v>
      </c>
      <c r="E911">
        <v>0</v>
      </c>
      <c r="F911">
        <v>183177.2</v>
      </c>
      <c r="G911" t="s">
        <v>719</v>
      </c>
      <c r="H911" s="7">
        <f t="shared" si="104"/>
        <v>0</v>
      </c>
      <c r="I911" s="1">
        <f t="shared" si="98"/>
        <v>45309</v>
      </c>
      <c r="J911" s="1" t="str">
        <f t="shared" si="99"/>
        <v>NET PI TO HSL SEC A/C 347707-00602340029392</v>
      </c>
      <c r="L911" s="7">
        <f t="shared" si="100"/>
        <v>205.71</v>
      </c>
      <c r="M911" s="7">
        <f t="shared" si="101"/>
        <v>0</v>
      </c>
      <c r="N911" s="7">
        <f t="shared" si="102"/>
        <v>183177.2</v>
      </c>
      <c r="O911" s="7" t="str">
        <f t="shared" si="103"/>
        <v>HDFC 5930</v>
      </c>
    </row>
    <row r="912" spans="1:15" x14ac:dyDescent="0.25">
      <c r="A912" s="1">
        <v>45309</v>
      </c>
      <c r="B912" t="s">
        <v>559</v>
      </c>
      <c r="C912" s="1">
        <v>45309</v>
      </c>
      <c r="D912">
        <v>0</v>
      </c>
      <c r="E912">
        <v>1196.5</v>
      </c>
      <c r="F912">
        <v>184373.7</v>
      </c>
      <c r="G912" t="s">
        <v>719</v>
      </c>
      <c r="H912" s="7">
        <f t="shared" si="104"/>
        <v>0</v>
      </c>
      <c r="I912" s="1">
        <f t="shared" si="98"/>
        <v>45309</v>
      </c>
      <c r="J912" s="1" t="str">
        <f t="shared" si="99"/>
        <v>00012050001396HLY INT-IN0020210236</v>
      </c>
      <c r="L912" s="7">
        <f t="shared" si="100"/>
        <v>0</v>
      </c>
      <c r="M912" s="7">
        <f t="shared" si="101"/>
        <v>1196.5</v>
      </c>
      <c r="N912" s="7">
        <f t="shared" si="102"/>
        <v>184373.7</v>
      </c>
      <c r="O912" s="7" t="str">
        <f t="shared" si="103"/>
        <v>HDFC 5930</v>
      </c>
    </row>
    <row r="913" spans="1:15" x14ac:dyDescent="0.25">
      <c r="A913" s="1">
        <v>45309</v>
      </c>
      <c r="B913" t="s">
        <v>472</v>
      </c>
      <c r="C913" s="1">
        <v>45309</v>
      </c>
      <c r="D913">
        <v>67995.53</v>
      </c>
      <c r="E913">
        <v>0</v>
      </c>
      <c r="F913">
        <v>116378.17</v>
      </c>
      <c r="G913" t="s">
        <v>719</v>
      </c>
      <c r="H913" s="7">
        <f t="shared" si="104"/>
        <v>0</v>
      </c>
      <c r="I913" s="1">
        <f t="shared" si="98"/>
        <v>45309</v>
      </c>
      <c r="J913" s="1" t="str">
        <f t="shared" si="99"/>
        <v>NET PI TO HSL SEC A/C 347707-00602340029392</v>
      </c>
      <c r="L913" s="7">
        <f t="shared" si="100"/>
        <v>67995.53</v>
      </c>
      <c r="M913" s="7">
        <f t="shared" si="101"/>
        <v>0</v>
      </c>
      <c r="N913" s="7">
        <f t="shared" si="102"/>
        <v>116378.17</v>
      </c>
      <c r="O913" s="7" t="str">
        <f t="shared" si="103"/>
        <v>HDFC 5930</v>
      </c>
    </row>
    <row r="914" spans="1:15" x14ac:dyDescent="0.25">
      <c r="A914" s="1">
        <v>45310</v>
      </c>
      <c r="B914" t="s">
        <v>618</v>
      </c>
      <c r="C914" s="1">
        <v>45310</v>
      </c>
      <c r="D914">
        <v>0</v>
      </c>
      <c r="E914">
        <v>35071.980000000003</v>
      </c>
      <c r="F914">
        <v>151450.15</v>
      </c>
      <c r="G914" t="s">
        <v>719</v>
      </c>
      <c r="H914" s="7">
        <f t="shared" si="104"/>
        <v>0</v>
      </c>
      <c r="I914" s="1">
        <f t="shared" si="98"/>
        <v>45310</v>
      </c>
      <c r="J914" s="1" t="str">
        <f t="shared" si="99"/>
        <v>NET PO FROM HSL A/C 347707-50200085415108</v>
      </c>
      <c r="L914" s="7">
        <f t="shared" si="100"/>
        <v>0</v>
      </c>
      <c r="M914" s="7">
        <f t="shared" si="101"/>
        <v>35071.980000000003</v>
      </c>
      <c r="N914" s="7">
        <f t="shared" si="102"/>
        <v>151450.15</v>
      </c>
      <c r="O914" s="7" t="str">
        <f t="shared" si="103"/>
        <v>HDFC 5930</v>
      </c>
    </row>
    <row r="915" spans="1:15" x14ac:dyDescent="0.25">
      <c r="A915" s="1">
        <v>45310</v>
      </c>
      <c r="B915" t="s">
        <v>931</v>
      </c>
      <c r="C915" s="1">
        <v>45310</v>
      </c>
      <c r="D915">
        <v>0</v>
      </c>
      <c r="E915">
        <v>175327.02</v>
      </c>
      <c r="F915">
        <v>326777.17</v>
      </c>
      <c r="G915" t="s">
        <v>719</v>
      </c>
      <c r="H915" s="7">
        <f t="shared" si="104"/>
        <v>0</v>
      </c>
      <c r="I915" s="1">
        <f t="shared" si="98"/>
        <v>45310</v>
      </c>
      <c r="J915" s="1" t="str">
        <f t="shared" si="99"/>
        <v>FT- SBI MUTUAL FUND - SBIRED  11770227 103G</v>
      </c>
      <c r="L915" s="7">
        <f t="shared" si="100"/>
        <v>0</v>
      </c>
      <c r="M915" s="7">
        <f t="shared" si="101"/>
        <v>175327.02</v>
      </c>
      <c r="N915" s="7">
        <f t="shared" si="102"/>
        <v>326777.17</v>
      </c>
      <c r="O915" s="7" t="str">
        <f t="shared" si="103"/>
        <v>HDFC 5930</v>
      </c>
    </row>
    <row r="916" spans="1:15" x14ac:dyDescent="0.25">
      <c r="A916" s="1">
        <v>45310</v>
      </c>
      <c r="B916" t="s">
        <v>472</v>
      </c>
      <c r="C916" s="1">
        <v>45310</v>
      </c>
      <c r="D916">
        <v>199.67</v>
      </c>
      <c r="E916">
        <v>0</v>
      </c>
      <c r="F916">
        <v>326577.5</v>
      </c>
      <c r="G916" t="s">
        <v>719</v>
      </c>
      <c r="H916" s="7">
        <f t="shared" si="104"/>
        <v>0</v>
      </c>
      <c r="I916" s="1">
        <f t="shared" si="98"/>
        <v>45310</v>
      </c>
      <c r="J916" s="1" t="str">
        <f t="shared" si="99"/>
        <v>NET PI TO HSL SEC A/C 347707-00602340029392</v>
      </c>
      <c r="L916" s="7">
        <f t="shared" si="100"/>
        <v>199.67</v>
      </c>
      <c r="M916" s="7">
        <f t="shared" si="101"/>
        <v>0</v>
      </c>
      <c r="N916" s="7">
        <f t="shared" si="102"/>
        <v>326577.5</v>
      </c>
      <c r="O916" s="7" t="str">
        <f t="shared" si="103"/>
        <v>HDFC 5930</v>
      </c>
    </row>
    <row r="917" spans="1:15" x14ac:dyDescent="0.25">
      <c r="A917" s="1">
        <v>45310</v>
      </c>
      <c r="B917" t="s">
        <v>932</v>
      </c>
      <c r="C917" s="1">
        <v>45310</v>
      </c>
      <c r="D917">
        <v>175000</v>
      </c>
      <c r="E917">
        <v>0</v>
      </c>
      <c r="F917">
        <v>151577.5</v>
      </c>
      <c r="G917" t="s">
        <v>719</v>
      </c>
      <c r="H917" s="7">
        <f t="shared" si="104"/>
        <v>0</v>
      </c>
      <c r="I917" s="1">
        <f t="shared" si="98"/>
        <v>45310</v>
      </c>
      <c r="J917" s="1" t="str">
        <f t="shared" si="99"/>
        <v>YHDF2209475552/BILLDKINDIANCLEARING</v>
      </c>
      <c r="L917" s="7">
        <f t="shared" si="100"/>
        <v>175000</v>
      </c>
      <c r="M917" s="7">
        <f t="shared" si="101"/>
        <v>0</v>
      </c>
      <c r="N917" s="7">
        <f t="shared" si="102"/>
        <v>151577.5</v>
      </c>
      <c r="O917" s="7" t="str">
        <f t="shared" si="103"/>
        <v>HDFC 5930</v>
      </c>
    </row>
    <row r="918" spans="1:15" x14ac:dyDescent="0.25">
      <c r="A918" s="1">
        <v>45310</v>
      </c>
      <c r="B918" t="s">
        <v>472</v>
      </c>
      <c r="C918" s="1">
        <v>45310</v>
      </c>
      <c r="D918">
        <v>20877.189999999999</v>
      </c>
      <c r="E918">
        <v>0</v>
      </c>
      <c r="F918">
        <v>130700.31</v>
      </c>
      <c r="G918" t="s">
        <v>719</v>
      </c>
      <c r="H918" s="7">
        <f t="shared" si="104"/>
        <v>0</v>
      </c>
      <c r="I918" s="1">
        <f t="shared" si="98"/>
        <v>45310</v>
      </c>
      <c r="J918" s="1" t="str">
        <f t="shared" si="99"/>
        <v>NET PI TO HSL SEC A/C 347707-00602340029392</v>
      </c>
      <c r="L918" s="7">
        <f t="shared" si="100"/>
        <v>20877.189999999999</v>
      </c>
      <c r="M918" s="7">
        <f t="shared" si="101"/>
        <v>0</v>
      </c>
      <c r="N918" s="7">
        <f t="shared" si="102"/>
        <v>130700.31</v>
      </c>
      <c r="O918" s="7" t="str">
        <f t="shared" si="103"/>
        <v>HDFC 5930</v>
      </c>
    </row>
    <row r="919" spans="1:15" x14ac:dyDescent="0.25">
      <c r="A919" s="1">
        <v>45311</v>
      </c>
      <c r="B919" t="s">
        <v>472</v>
      </c>
      <c r="C919" s="1">
        <v>45311</v>
      </c>
      <c r="D919">
        <v>5893.6</v>
      </c>
      <c r="E919">
        <v>0</v>
      </c>
      <c r="F919">
        <v>124806.71</v>
      </c>
      <c r="G919" t="s">
        <v>719</v>
      </c>
      <c r="H919" s="7">
        <f t="shared" si="104"/>
        <v>0</v>
      </c>
      <c r="I919" s="1">
        <f t="shared" si="98"/>
        <v>45311</v>
      </c>
      <c r="J919" s="1" t="str">
        <f t="shared" si="99"/>
        <v>NET PI TO HSL SEC A/C 347707-00602340029392</v>
      </c>
      <c r="L919" s="7">
        <f t="shared" si="100"/>
        <v>5893.6</v>
      </c>
      <c r="M919" s="7">
        <f t="shared" si="101"/>
        <v>0</v>
      </c>
      <c r="N919" s="7">
        <f t="shared" si="102"/>
        <v>124806.71</v>
      </c>
      <c r="O919" s="7" t="str">
        <f t="shared" si="103"/>
        <v>HDFC 5930</v>
      </c>
    </row>
    <row r="920" spans="1:15" x14ac:dyDescent="0.25">
      <c r="A920" s="1">
        <v>45311</v>
      </c>
      <c r="B920" t="s">
        <v>618</v>
      </c>
      <c r="C920" s="1">
        <v>45311</v>
      </c>
      <c r="D920">
        <v>0</v>
      </c>
      <c r="E920">
        <v>20877.189999999999</v>
      </c>
      <c r="F920">
        <v>145683.9</v>
      </c>
      <c r="G920" t="s">
        <v>719</v>
      </c>
      <c r="H920" s="7">
        <f t="shared" si="104"/>
        <v>0</v>
      </c>
      <c r="I920" s="1">
        <f t="shared" si="98"/>
        <v>45311</v>
      </c>
      <c r="J920" s="1" t="str">
        <f t="shared" si="99"/>
        <v>NET PO FROM HSL A/C 347707-50200085415108</v>
      </c>
      <c r="L920" s="7">
        <f t="shared" si="100"/>
        <v>0</v>
      </c>
      <c r="M920" s="7">
        <f t="shared" si="101"/>
        <v>20877.189999999999</v>
      </c>
      <c r="N920" s="7">
        <f t="shared" si="102"/>
        <v>145683.9</v>
      </c>
      <c r="O920" s="7" t="str">
        <f t="shared" si="103"/>
        <v>HDFC 5930</v>
      </c>
    </row>
    <row r="921" spans="1:15" x14ac:dyDescent="0.25">
      <c r="A921" s="1">
        <v>45311</v>
      </c>
      <c r="B921" t="s">
        <v>472</v>
      </c>
      <c r="C921" s="1">
        <v>45311</v>
      </c>
      <c r="D921">
        <v>262.77</v>
      </c>
      <c r="E921">
        <v>0</v>
      </c>
      <c r="F921">
        <v>145421.13</v>
      </c>
      <c r="G921" t="s">
        <v>719</v>
      </c>
      <c r="H921" s="7">
        <f t="shared" si="104"/>
        <v>0</v>
      </c>
      <c r="I921" s="1">
        <f t="shared" si="98"/>
        <v>45311</v>
      </c>
      <c r="J921" s="1" t="str">
        <f t="shared" si="99"/>
        <v>NET PI TO HSL SEC A/C 347707-00602340029392</v>
      </c>
      <c r="L921" s="7">
        <f t="shared" si="100"/>
        <v>262.77</v>
      </c>
      <c r="M921" s="7">
        <f t="shared" si="101"/>
        <v>0</v>
      </c>
      <c r="N921" s="7">
        <f t="shared" si="102"/>
        <v>145421.13</v>
      </c>
      <c r="O921" s="7" t="str">
        <f t="shared" si="103"/>
        <v>HDFC 5930</v>
      </c>
    </row>
    <row r="922" spans="1:15" x14ac:dyDescent="0.25">
      <c r="A922" s="1">
        <v>45311</v>
      </c>
      <c r="B922" t="s">
        <v>933</v>
      </c>
      <c r="C922" s="1">
        <v>45311</v>
      </c>
      <c r="D922">
        <v>8.9600000000000009</v>
      </c>
      <c r="E922">
        <v>0</v>
      </c>
      <c r="F922">
        <v>145412.17000000001</v>
      </c>
      <c r="G922" t="s">
        <v>719</v>
      </c>
      <c r="H922" s="7">
        <f t="shared" si="104"/>
        <v>0</v>
      </c>
      <c r="I922" s="1">
        <f t="shared" si="98"/>
        <v>45311</v>
      </c>
      <c r="J922" s="1" t="str">
        <f t="shared" si="99"/>
        <v>OCTDEC23 INSTAALERTCHG 38 SMS 050124-MIR2401934716494</v>
      </c>
      <c r="L922" s="7">
        <f t="shared" si="100"/>
        <v>8.9600000000000009</v>
      </c>
      <c r="M922" s="7">
        <f t="shared" si="101"/>
        <v>0</v>
      </c>
      <c r="N922" s="7">
        <f t="shared" si="102"/>
        <v>145412.17000000001</v>
      </c>
      <c r="O922" s="7" t="str">
        <f t="shared" si="103"/>
        <v>HDFC 5930</v>
      </c>
    </row>
    <row r="923" spans="1:15" x14ac:dyDescent="0.25">
      <c r="A923" s="1">
        <v>45311</v>
      </c>
      <c r="B923" t="s">
        <v>560</v>
      </c>
      <c r="C923" s="1">
        <v>45311</v>
      </c>
      <c r="D923">
        <v>0</v>
      </c>
      <c r="E923">
        <v>300.44</v>
      </c>
      <c r="F923">
        <v>145712.60999999999</v>
      </c>
      <c r="G923" t="s">
        <v>719</v>
      </c>
      <c r="H923" s="7">
        <f t="shared" si="104"/>
        <v>0</v>
      </c>
      <c r="I923" s="1">
        <f t="shared" si="98"/>
        <v>45311</v>
      </c>
      <c r="J923" s="1" t="str">
        <f t="shared" si="99"/>
        <v>00012050001396HLY INT-IN0020210111</v>
      </c>
      <c r="L923" s="7">
        <f t="shared" si="100"/>
        <v>0</v>
      </c>
      <c r="M923" s="7">
        <f t="shared" si="101"/>
        <v>300.44</v>
      </c>
      <c r="N923" s="7">
        <f t="shared" si="102"/>
        <v>145712.60999999999</v>
      </c>
      <c r="O923" s="7" t="str">
        <f t="shared" si="103"/>
        <v>HDFC 5930</v>
      </c>
    </row>
    <row r="924" spans="1:15" x14ac:dyDescent="0.25">
      <c r="A924" s="1">
        <v>45311</v>
      </c>
      <c r="B924" t="s">
        <v>472</v>
      </c>
      <c r="C924" s="1">
        <v>45311</v>
      </c>
      <c r="D924">
        <v>4795.17</v>
      </c>
      <c r="E924">
        <v>0</v>
      </c>
      <c r="F924">
        <v>140917.44</v>
      </c>
      <c r="G924" t="s">
        <v>719</v>
      </c>
      <c r="H924" s="7">
        <f t="shared" si="104"/>
        <v>0</v>
      </c>
      <c r="I924" s="1">
        <f t="shared" si="98"/>
        <v>45311</v>
      </c>
      <c r="J924" s="1" t="str">
        <f t="shared" si="99"/>
        <v>NET PI TO HSL SEC A/C 347707-00602340029392</v>
      </c>
      <c r="L924" s="7">
        <f t="shared" si="100"/>
        <v>4795.17</v>
      </c>
      <c r="M924" s="7">
        <f t="shared" si="101"/>
        <v>0</v>
      </c>
      <c r="N924" s="7">
        <f t="shared" si="102"/>
        <v>140917.44</v>
      </c>
      <c r="O924" s="7" t="str">
        <f t="shared" si="103"/>
        <v>HDFC 5930</v>
      </c>
    </row>
    <row r="925" spans="1:15" x14ac:dyDescent="0.25">
      <c r="A925" s="1">
        <v>45313</v>
      </c>
      <c r="B925" t="s">
        <v>681</v>
      </c>
      <c r="C925" s="1">
        <v>45313</v>
      </c>
      <c r="D925">
        <v>10000</v>
      </c>
      <c r="E925">
        <v>0</v>
      </c>
      <c r="F925">
        <v>130917.44</v>
      </c>
      <c r="G925" t="s">
        <v>719</v>
      </c>
      <c r="H925" s="7">
        <f t="shared" si="104"/>
        <v>0</v>
      </c>
      <c r="I925" s="1">
        <f t="shared" si="98"/>
        <v>45313</v>
      </c>
      <c r="J925" s="1" t="str">
        <f t="shared" si="99"/>
        <v>ACH D- INDIAN CLEARING CORP-P25847605X05</v>
      </c>
      <c r="L925" s="7">
        <f t="shared" si="100"/>
        <v>10000</v>
      </c>
      <c r="M925" s="7">
        <f t="shared" si="101"/>
        <v>0</v>
      </c>
      <c r="N925" s="7">
        <f t="shared" si="102"/>
        <v>130917.44</v>
      </c>
      <c r="O925" s="7" t="str">
        <f t="shared" si="103"/>
        <v>HDFC 5930</v>
      </c>
    </row>
    <row r="926" spans="1:15" x14ac:dyDescent="0.25">
      <c r="A926" s="1">
        <v>45314</v>
      </c>
      <c r="B926" t="s">
        <v>618</v>
      </c>
      <c r="C926" s="1">
        <v>45314</v>
      </c>
      <c r="D926">
        <v>0</v>
      </c>
      <c r="E926">
        <v>9108.2000000000007</v>
      </c>
      <c r="F926">
        <v>140025.64000000001</v>
      </c>
      <c r="G926" t="s">
        <v>719</v>
      </c>
      <c r="H926" s="7">
        <f t="shared" si="104"/>
        <v>0</v>
      </c>
      <c r="I926" s="1">
        <f t="shared" ref="I926:I989" si="105">A926</f>
        <v>45314</v>
      </c>
      <c r="J926" s="1" t="str">
        <f t="shared" ref="J926:J989" si="106">B926</f>
        <v>NET PO FROM HSL A/C 347707-50200085415108</v>
      </c>
      <c r="L926" s="7">
        <f t="shared" ref="L926:L989" si="107">D926</f>
        <v>0</v>
      </c>
      <c r="M926" s="7">
        <f t="shared" ref="M926:M989" si="108">E926</f>
        <v>9108.2000000000007</v>
      </c>
      <c r="N926" s="7">
        <f t="shared" ref="N926:N989" si="109">F926</f>
        <v>140025.64000000001</v>
      </c>
      <c r="O926" s="7" t="str">
        <f t="shared" ref="O926:O989" si="110">G926</f>
        <v>HDFC 5930</v>
      </c>
    </row>
    <row r="927" spans="1:15" x14ac:dyDescent="0.25">
      <c r="A927" s="1">
        <v>45314</v>
      </c>
      <c r="B927" t="s">
        <v>618</v>
      </c>
      <c r="C927" s="1">
        <v>45314</v>
      </c>
      <c r="D927">
        <v>0</v>
      </c>
      <c r="E927">
        <v>4022.14</v>
      </c>
      <c r="F927">
        <v>144047.78</v>
      </c>
      <c r="G927" t="s">
        <v>719</v>
      </c>
      <c r="H927" s="7">
        <f t="shared" ref="H927:H990" si="111">F926-D927+E927-F927</f>
        <v>0</v>
      </c>
      <c r="I927" s="1">
        <f t="shared" si="105"/>
        <v>45314</v>
      </c>
      <c r="J927" s="1" t="str">
        <f t="shared" si="106"/>
        <v>NET PO FROM HSL A/C 347707-50200085415108</v>
      </c>
      <c r="L927" s="7">
        <f t="shared" si="107"/>
        <v>0</v>
      </c>
      <c r="M927" s="7">
        <f t="shared" si="108"/>
        <v>4022.14</v>
      </c>
      <c r="N927" s="7">
        <f t="shared" si="109"/>
        <v>144047.78</v>
      </c>
      <c r="O927" s="7" t="str">
        <f t="shared" si="110"/>
        <v>HDFC 5930</v>
      </c>
    </row>
    <row r="928" spans="1:15" x14ac:dyDescent="0.25">
      <c r="A928" s="1">
        <v>45314</v>
      </c>
      <c r="B928" t="s">
        <v>472</v>
      </c>
      <c r="C928" s="1">
        <v>45314</v>
      </c>
      <c r="D928">
        <v>783.18</v>
      </c>
      <c r="E928">
        <v>0</v>
      </c>
      <c r="F928">
        <v>143264.6</v>
      </c>
      <c r="G928" t="s">
        <v>719</v>
      </c>
      <c r="H928" s="7">
        <f t="shared" si="111"/>
        <v>0</v>
      </c>
      <c r="I928" s="1">
        <f t="shared" si="105"/>
        <v>45314</v>
      </c>
      <c r="J928" s="1" t="str">
        <f t="shared" si="106"/>
        <v>NET PI TO HSL SEC A/C 347707-00602340029392</v>
      </c>
      <c r="L928" s="7">
        <f t="shared" si="107"/>
        <v>783.18</v>
      </c>
      <c r="M928" s="7">
        <f t="shared" si="108"/>
        <v>0</v>
      </c>
      <c r="N928" s="7">
        <f t="shared" si="109"/>
        <v>143264.6</v>
      </c>
      <c r="O928" s="7" t="str">
        <f t="shared" si="110"/>
        <v>HDFC 5930</v>
      </c>
    </row>
    <row r="929" spans="1:15" x14ac:dyDescent="0.25">
      <c r="A929" s="1">
        <v>45314</v>
      </c>
      <c r="B929" t="s">
        <v>472</v>
      </c>
      <c r="C929" s="1">
        <v>45314</v>
      </c>
      <c r="D929">
        <v>35830.93</v>
      </c>
      <c r="E929">
        <v>0</v>
      </c>
      <c r="F929">
        <v>107433.67</v>
      </c>
      <c r="G929" t="s">
        <v>719</v>
      </c>
      <c r="H929" s="7">
        <f t="shared" si="111"/>
        <v>0</v>
      </c>
      <c r="I929" s="1">
        <f t="shared" si="105"/>
        <v>45314</v>
      </c>
      <c r="J929" s="1" t="str">
        <f t="shared" si="106"/>
        <v>NET PI TO HSL SEC A/C 347707-00602340029392</v>
      </c>
      <c r="L929" s="7">
        <f t="shared" si="107"/>
        <v>35830.93</v>
      </c>
      <c r="M929" s="7">
        <f t="shared" si="108"/>
        <v>0</v>
      </c>
      <c r="N929" s="7">
        <f t="shared" si="109"/>
        <v>107433.67</v>
      </c>
      <c r="O929" s="7" t="str">
        <f t="shared" si="110"/>
        <v>HDFC 5930</v>
      </c>
    </row>
    <row r="930" spans="1:15" x14ac:dyDescent="0.25">
      <c r="A930" s="1">
        <v>45315</v>
      </c>
      <c r="B930" t="s">
        <v>472</v>
      </c>
      <c r="C930" s="1">
        <v>45315</v>
      </c>
      <c r="D930">
        <v>55633.33</v>
      </c>
      <c r="E930">
        <v>0</v>
      </c>
      <c r="F930">
        <v>51800.34</v>
      </c>
      <c r="G930" t="s">
        <v>719</v>
      </c>
      <c r="H930" s="7">
        <f t="shared" si="111"/>
        <v>0</v>
      </c>
      <c r="I930" s="1">
        <f t="shared" si="105"/>
        <v>45315</v>
      </c>
      <c r="J930" s="1" t="str">
        <f t="shared" si="106"/>
        <v>NET PI TO HSL SEC A/C 347707-00602340029392</v>
      </c>
      <c r="L930" s="7">
        <f t="shared" si="107"/>
        <v>55633.33</v>
      </c>
      <c r="M930" s="7">
        <f t="shared" si="108"/>
        <v>0</v>
      </c>
      <c r="N930" s="7">
        <f t="shared" si="109"/>
        <v>51800.34</v>
      </c>
      <c r="O930" s="7" t="str">
        <f t="shared" si="110"/>
        <v>HDFC 5930</v>
      </c>
    </row>
    <row r="931" spans="1:15" x14ac:dyDescent="0.25">
      <c r="A931" s="1">
        <v>45315</v>
      </c>
      <c r="B931" t="s">
        <v>472</v>
      </c>
      <c r="C931" s="1">
        <v>45315</v>
      </c>
      <c r="D931">
        <v>257.39</v>
      </c>
      <c r="E931">
        <v>0</v>
      </c>
      <c r="F931">
        <v>51542.95</v>
      </c>
      <c r="G931" t="s">
        <v>719</v>
      </c>
      <c r="H931" s="7">
        <f t="shared" si="111"/>
        <v>0</v>
      </c>
      <c r="I931" s="1">
        <f t="shared" si="105"/>
        <v>45315</v>
      </c>
      <c r="J931" s="1" t="str">
        <f t="shared" si="106"/>
        <v>NET PI TO HSL SEC A/C 347707-00602340029392</v>
      </c>
      <c r="L931" s="7">
        <f t="shared" si="107"/>
        <v>257.39</v>
      </c>
      <c r="M931" s="7">
        <f t="shared" si="108"/>
        <v>0</v>
      </c>
      <c r="N931" s="7">
        <f t="shared" si="109"/>
        <v>51542.95</v>
      </c>
      <c r="O931" s="7" t="str">
        <f t="shared" si="110"/>
        <v>HDFC 5930</v>
      </c>
    </row>
    <row r="932" spans="1:15" x14ac:dyDescent="0.25">
      <c r="A932" s="1">
        <v>45315</v>
      </c>
      <c r="B932" t="s">
        <v>934</v>
      </c>
      <c r="C932" s="1">
        <v>45315</v>
      </c>
      <c r="D932">
        <v>17250</v>
      </c>
      <c r="E932">
        <v>0</v>
      </c>
      <c r="F932">
        <v>34292.949999999997</v>
      </c>
      <c r="G932" t="s">
        <v>719</v>
      </c>
      <c r="H932" s="7">
        <f t="shared" si="111"/>
        <v>0</v>
      </c>
      <c r="I932" s="1">
        <f t="shared" si="105"/>
        <v>45315</v>
      </c>
      <c r="J932" s="1" t="str">
        <f t="shared" si="106"/>
        <v>UPI-SHANTANU  GUPTA-9314144568@YBL-SBIN0031857-439006702682-PAYMENT FROM PHONE</v>
      </c>
      <c r="L932" s="7">
        <f t="shared" si="107"/>
        <v>17250</v>
      </c>
      <c r="M932" s="7">
        <f t="shared" si="108"/>
        <v>0</v>
      </c>
      <c r="N932" s="7">
        <f t="shared" si="109"/>
        <v>34292.949999999997</v>
      </c>
      <c r="O932" s="7" t="str">
        <f t="shared" si="110"/>
        <v>HDFC 5930</v>
      </c>
    </row>
    <row r="933" spans="1:15" x14ac:dyDescent="0.25">
      <c r="A933" s="1">
        <v>45316</v>
      </c>
      <c r="B933" t="s">
        <v>618</v>
      </c>
      <c r="C933" s="1">
        <v>45316</v>
      </c>
      <c r="D933">
        <v>0</v>
      </c>
      <c r="E933">
        <v>25993.37</v>
      </c>
      <c r="F933">
        <v>60286.32</v>
      </c>
      <c r="G933" t="s">
        <v>719</v>
      </c>
      <c r="H933" s="7">
        <f t="shared" si="111"/>
        <v>0</v>
      </c>
      <c r="I933" s="1">
        <f t="shared" si="105"/>
        <v>45316</v>
      </c>
      <c r="J933" s="1" t="str">
        <f t="shared" si="106"/>
        <v>NET PO FROM HSL A/C 347707-50200085415108</v>
      </c>
      <c r="L933" s="7">
        <f t="shared" si="107"/>
        <v>0</v>
      </c>
      <c r="M933" s="7">
        <f t="shared" si="108"/>
        <v>25993.37</v>
      </c>
      <c r="N933" s="7">
        <f t="shared" si="109"/>
        <v>60286.32</v>
      </c>
      <c r="O933" s="7" t="str">
        <f t="shared" si="110"/>
        <v>HDFC 5930</v>
      </c>
    </row>
    <row r="934" spans="1:15" x14ac:dyDescent="0.25">
      <c r="A934" s="1">
        <v>45316</v>
      </c>
      <c r="B934" t="s">
        <v>472</v>
      </c>
      <c r="C934" s="1">
        <v>45316</v>
      </c>
      <c r="D934">
        <v>298.16000000000003</v>
      </c>
      <c r="E934">
        <v>0</v>
      </c>
      <c r="F934">
        <v>59988.160000000003</v>
      </c>
      <c r="G934" t="s">
        <v>719</v>
      </c>
      <c r="H934" s="7">
        <f t="shared" si="111"/>
        <v>0</v>
      </c>
      <c r="I934" s="1">
        <f t="shared" si="105"/>
        <v>45316</v>
      </c>
      <c r="J934" s="1" t="str">
        <f t="shared" si="106"/>
        <v>NET PI TO HSL SEC A/C 347707-00602340029392</v>
      </c>
      <c r="L934" s="7">
        <f t="shared" si="107"/>
        <v>298.16000000000003</v>
      </c>
      <c r="M934" s="7">
        <f t="shared" si="108"/>
        <v>0</v>
      </c>
      <c r="N934" s="7">
        <f t="shared" si="109"/>
        <v>59988.160000000003</v>
      </c>
      <c r="O934" s="7" t="str">
        <f t="shared" si="110"/>
        <v>HDFC 5930</v>
      </c>
    </row>
    <row r="935" spans="1:15" x14ac:dyDescent="0.25">
      <c r="A935" s="1">
        <v>45317</v>
      </c>
      <c r="B935" t="s">
        <v>472</v>
      </c>
      <c r="C935" s="1">
        <v>45317</v>
      </c>
      <c r="D935">
        <v>38760.99</v>
      </c>
      <c r="E935">
        <v>0</v>
      </c>
      <c r="F935">
        <v>21227.17</v>
      </c>
      <c r="G935" t="s">
        <v>719</v>
      </c>
      <c r="H935" s="7">
        <f t="shared" si="111"/>
        <v>0</v>
      </c>
      <c r="I935" s="1">
        <f t="shared" si="105"/>
        <v>45317</v>
      </c>
      <c r="J935" s="1" t="str">
        <f t="shared" si="106"/>
        <v>NET PI TO HSL SEC A/C 347707-00602340029392</v>
      </c>
      <c r="L935" s="7">
        <f t="shared" si="107"/>
        <v>38760.99</v>
      </c>
      <c r="M935" s="7">
        <f t="shared" si="108"/>
        <v>0</v>
      </c>
      <c r="N935" s="7">
        <f t="shared" si="109"/>
        <v>21227.17</v>
      </c>
      <c r="O935" s="7" t="str">
        <f t="shared" si="110"/>
        <v>HDFC 5930</v>
      </c>
    </row>
    <row r="936" spans="1:15" x14ac:dyDescent="0.25">
      <c r="A936" s="1">
        <v>45320</v>
      </c>
      <c r="B936" t="s">
        <v>472</v>
      </c>
      <c r="C936" s="1">
        <v>45320</v>
      </c>
      <c r="D936">
        <v>1152.6400000000001</v>
      </c>
      <c r="E936">
        <v>0</v>
      </c>
      <c r="F936">
        <v>20074.53</v>
      </c>
      <c r="G936" t="s">
        <v>719</v>
      </c>
      <c r="H936" s="7">
        <f t="shared" si="111"/>
        <v>0</v>
      </c>
      <c r="I936" s="1">
        <f t="shared" si="105"/>
        <v>45320</v>
      </c>
      <c r="J936" s="1" t="str">
        <f t="shared" si="106"/>
        <v>NET PI TO HSL SEC A/C 347707-00602340029392</v>
      </c>
      <c r="L936" s="7">
        <f t="shared" si="107"/>
        <v>1152.6400000000001</v>
      </c>
      <c r="M936" s="7">
        <f t="shared" si="108"/>
        <v>0</v>
      </c>
      <c r="N936" s="7">
        <f t="shared" si="109"/>
        <v>20074.53</v>
      </c>
      <c r="O936" s="7" t="str">
        <f t="shared" si="110"/>
        <v>HDFC 5930</v>
      </c>
    </row>
    <row r="937" spans="1:15" x14ac:dyDescent="0.25">
      <c r="A937" s="1">
        <v>45320</v>
      </c>
      <c r="B937" t="s">
        <v>935</v>
      </c>
      <c r="C937" s="1">
        <v>45320</v>
      </c>
      <c r="D937">
        <v>531</v>
      </c>
      <c r="E937">
        <v>0</v>
      </c>
      <c r="F937">
        <v>19543.53</v>
      </c>
      <c r="G937" t="s">
        <v>719</v>
      </c>
      <c r="H937" s="7">
        <f t="shared" si="111"/>
        <v>0</v>
      </c>
      <c r="I937" s="1">
        <f t="shared" si="105"/>
        <v>45320</v>
      </c>
      <c r="J937" s="1" t="str">
        <f t="shared" si="106"/>
        <v>.ACH DEBIT RETURN CHARGES 170124 170124-MIR2402553526263</v>
      </c>
      <c r="L937" s="7">
        <f t="shared" si="107"/>
        <v>531</v>
      </c>
      <c r="M937" s="7">
        <f t="shared" si="108"/>
        <v>0</v>
      </c>
      <c r="N937" s="7">
        <f t="shared" si="109"/>
        <v>19543.53</v>
      </c>
      <c r="O937" s="7" t="str">
        <f t="shared" si="110"/>
        <v>HDFC 5930</v>
      </c>
    </row>
    <row r="938" spans="1:15" x14ac:dyDescent="0.25">
      <c r="A938" s="1">
        <v>45321</v>
      </c>
      <c r="B938" t="s">
        <v>472</v>
      </c>
      <c r="C938" s="1">
        <v>45321</v>
      </c>
      <c r="D938">
        <v>1683.75</v>
      </c>
      <c r="E938">
        <v>0</v>
      </c>
      <c r="F938">
        <v>17859.78</v>
      </c>
      <c r="G938" t="s">
        <v>719</v>
      </c>
      <c r="H938" s="7">
        <f t="shared" si="111"/>
        <v>0</v>
      </c>
      <c r="I938" s="1">
        <f t="shared" si="105"/>
        <v>45321</v>
      </c>
      <c r="J938" s="1" t="str">
        <f t="shared" si="106"/>
        <v>NET PI TO HSL SEC A/C 347707-00602340029392</v>
      </c>
      <c r="L938" s="7">
        <f t="shared" si="107"/>
        <v>1683.75</v>
      </c>
      <c r="M938" s="7">
        <f t="shared" si="108"/>
        <v>0</v>
      </c>
      <c r="N938" s="7">
        <f t="shared" si="109"/>
        <v>17859.78</v>
      </c>
      <c r="O938" s="7" t="str">
        <f t="shared" si="110"/>
        <v>HDFC 5930</v>
      </c>
    </row>
    <row r="939" spans="1:15" x14ac:dyDescent="0.25">
      <c r="A939" s="1">
        <v>45321</v>
      </c>
      <c r="B939" t="s">
        <v>618</v>
      </c>
      <c r="C939" s="1">
        <v>45321</v>
      </c>
      <c r="D939">
        <v>0</v>
      </c>
      <c r="E939">
        <v>492.7</v>
      </c>
      <c r="F939">
        <v>18352.48</v>
      </c>
      <c r="G939" t="s">
        <v>719</v>
      </c>
      <c r="H939" s="7">
        <f t="shared" si="111"/>
        <v>0</v>
      </c>
      <c r="I939" s="1">
        <f t="shared" si="105"/>
        <v>45321</v>
      </c>
      <c r="J939" s="1" t="str">
        <f t="shared" si="106"/>
        <v>NET PO FROM HSL A/C 347707-50200085415108</v>
      </c>
      <c r="L939" s="7">
        <f t="shared" si="107"/>
        <v>0</v>
      </c>
      <c r="M939" s="7">
        <f t="shared" si="108"/>
        <v>492.7</v>
      </c>
      <c r="N939" s="7">
        <f t="shared" si="109"/>
        <v>18352.48</v>
      </c>
      <c r="O939" s="7" t="str">
        <f t="shared" si="110"/>
        <v>HDFC 5930</v>
      </c>
    </row>
    <row r="940" spans="1:15" x14ac:dyDescent="0.25">
      <c r="A940" s="1">
        <v>45321</v>
      </c>
      <c r="B940" t="s">
        <v>936</v>
      </c>
      <c r="C940" s="1">
        <v>45321</v>
      </c>
      <c r="D940">
        <v>295</v>
      </c>
      <c r="E940">
        <v>0</v>
      </c>
      <c r="F940">
        <v>18057.48</v>
      </c>
      <c r="G940" t="s">
        <v>719</v>
      </c>
      <c r="H940" s="7">
        <f t="shared" si="111"/>
        <v>0</v>
      </c>
      <c r="I940" s="1">
        <f t="shared" si="105"/>
        <v>45321</v>
      </c>
      <c r="J940" s="1" t="str">
        <f t="shared" si="106"/>
        <v>ISAQMC-OCT-DEC23-101236 250124-MIR2403063545379</v>
      </c>
      <c r="L940" s="7">
        <f t="shared" si="107"/>
        <v>295</v>
      </c>
      <c r="M940" s="7">
        <f t="shared" si="108"/>
        <v>0</v>
      </c>
      <c r="N940" s="7">
        <f t="shared" si="109"/>
        <v>18057.48</v>
      </c>
      <c r="O940" s="7" t="str">
        <f t="shared" si="110"/>
        <v>HDFC 5930</v>
      </c>
    </row>
    <row r="941" spans="1:15" x14ac:dyDescent="0.25">
      <c r="A941" s="1">
        <v>45321</v>
      </c>
      <c r="B941" t="s">
        <v>472</v>
      </c>
      <c r="C941" s="1">
        <v>45321</v>
      </c>
      <c r="D941">
        <v>322.29000000000002</v>
      </c>
      <c r="E941">
        <v>0</v>
      </c>
      <c r="F941">
        <v>17735.189999999999</v>
      </c>
      <c r="G941" t="s">
        <v>719</v>
      </c>
      <c r="H941" s="7">
        <f t="shared" si="111"/>
        <v>0</v>
      </c>
      <c r="I941" s="1">
        <f t="shared" si="105"/>
        <v>45321</v>
      </c>
      <c r="J941" s="1" t="str">
        <f t="shared" si="106"/>
        <v>NET PI TO HSL SEC A/C 347707-00602340029392</v>
      </c>
      <c r="L941" s="7">
        <f t="shared" si="107"/>
        <v>322.29000000000002</v>
      </c>
      <c r="M941" s="7">
        <f t="shared" si="108"/>
        <v>0</v>
      </c>
      <c r="N941" s="7">
        <f t="shared" si="109"/>
        <v>17735.189999999999</v>
      </c>
      <c r="O941" s="7" t="str">
        <f t="shared" si="110"/>
        <v>HDFC 5930</v>
      </c>
    </row>
    <row r="942" spans="1:15" x14ac:dyDescent="0.25">
      <c r="A942" s="1">
        <v>45322</v>
      </c>
      <c r="B942" t="s">
        <v>618</v>
      </c>
      <c r="C942" s="1">
        <v>45322</v>
      </c>
      <c r="D942">
        <v>0</v>
      </c>
      <c r="E942">
        <v>13300.5</v>
      </c>
      <c r="F942">
        <v>31035.69</v>
      </c>
      <c r="G942" t="s">
        <v>719</v>
      </c>
      <c r="H942" s="7">
        <f t="shared" si="111"/>
        <v>0</v>
      </c>
      <c r="I942" s="1">
        <f t="shared" si="105"/>
        <v>45322</v>
      </c>
      <c r="J942" s="1" t="str">
        <f t="shared" si="106"/>
        <v>NET PO FROM HSL A/C 347707-50200085415108</v>
      </c>
      <c r="L942" s="7">
        <f t="shared" si="107"/>
        <v>0</v>
      </c>
      <c r="M942" s="7">
        <f t="shared" si="108"/>
        <v>13300.5</v>
      </c>
      <c r="N942" s="7">
        <f t="shared" si="109"/>
        <v>31035.69</v>
      </c>
      <c r="O942" s="7" t="str">
        <f t="shared" si="110"/>
        <v>HDFC 5930</v>
      </c>
    </row>
    <row r="943" spans="1:15" x14ac:dyDescent="0.25">
      <c r="A943" s="1">
        <v>45322</v>
      </c>
      <c r="B943" t="s">
        <v>618</v>
      </c>
      <c r="C943" s="1">
        <v>45322</v>
      </c>
      <c r="D943">
        <v>0</v>
      </c>
      <c r="E943">
        <v>19479.05</v>
      </c>
      <c r="F943">
        <v>50514.74</v>
      </c>
      <c r="G943" t="s">
        <v>719</v>
      </c>
      <c r="H943" s="7">
        <f t="shared" si="111"/>
        <v>0</v>
      </c>
      <c r="I943" s="1">
        <f t="shared" si="105"/>
        <v>45322</v>
      </c>
      <c r="J943" s="1" t="str">
        <f t="shared" si="106"/>
        <v>NET PO FROM HSL A/C 347707-50200085415108</v>
      </c>
      <c r="L943" s="7">
        <f t="shared" si="107"/>
        <v>0</v>
      </c>
      <c r="M943" s="7">
        <f t="shared" si="108"/>
        <v>19479.05</v>
      </c>
      <c r="N943" s="7">
        <f t="shared" si="109"/>
        <v>50514.74</v>
      </c>
      <c r="O943" s="7" t="str">
        <f t="shared" si="110"/>
        <v>HDFC 5930</v>
      </c>
    </row>
    <row r="944" spans="1:15" x14ac:dyDescent="0.25">
      <c r="A944" s="1">
        <v>45322</v>
      </c>
      <c r="B944" t="s">
        <v>472</v>
      </c>
      <c r="C944" s="1">
        <v>45322</v>
      </c>
      <c r="D944">
        <v>323.95</v>
      </c>
      <c r="E944">
        <v>0</v>
      </c>
      <c r="F944">
        <v>50190.79</v>
      </c>
      <c r="G944" t="s">
        <v>719</v>
      </c>
      <c r="H944" s="7">
        <f t="shared" si="111"/>
        <v>0</v>
      </c>
      <c r="I944" s="1">
        <f t="shared" si="105"/>
        <v>45322</v>
      </c>
      <c r="J944" s="1" t="str">
        <f t="shared" si="106"/>
        <v>NET PI TO HSL SEC A/C 347707-00602340029392</v>
      </c>
      <c r="L944" s="7">
        <f t="shared" si="107"/>
        <v>323.95</v>
      </c>
      <c r="M944" s="7">
        <f t="shared" si="108"/>
        <v>0</v>
      </c>
      <c r="N944" s="7">
        <f t="shared" si="109"/>
        <v>50190.79</v>
      </c>
      <c r="O944" s="7" t="str">
        <f t="shared" si="110"/>
        <v>HDFC 5930</v>
      </c>
    </row>
    <row r="945" spans="1:15" x14ac:dyDescent="0.25">
      <c r="A945" s="1">
        <v>45323</v>
      </c>
      <c r="B945" t="s">
        <v>618</v>
      </c>
      <c r="C945" s="1">
        <v>45323</v>
      </c>
      <c r="D945">
        <v>0</v>
      </c>
      <c r="E945">
        <v>6060.73</v>
      </c>
      <c r="F945">
        <v>56251.519999999997</v>
      </c>
      <c r="G945" t="s">
        <v>719</v>
      </c>
      <c r="H945" s="7">
        <f t="shared" si="111"/>
        <v>0</v>
      </c>
      <c r="I945" s="1">
        <f t="shared" si="105"/>
        <v>45323</v>
      </c>
      <c r="J945" s="1" t="str">
        <f t="shared" si="106"/>
        <v>NET PO FROM HSL A/C 347707-50200085415108</v>
      </c>
      <c r="L945" s="7">
        <f t="shared" si="107"/>
        <v>0</v>
      </c>
      <c r="M945" s="7">
        <f t="shared" si="108"/>
        <v>6060.73</v>
      </c>
      <c r="N945" s="7">
        <f t="shared" si="109"/>
        <v>56251.519999999997</v>
      </c>
      <c r="O945" s="7" t="str">
        <f t="shared" si="110"/>
        <v>HDFC 5930</v>
      </c>
    </row>
    <row r="946" spans="1:15" x14ac:dyDescent="0.25">
      <c r="A946" s="1">
        <v>45323</v>
      </c>
      <c r="B946" t="s">
        <v>618</v>
      </c>
      <c r="C946" s="1">
        <v>45323</v>
      </c>
      <c r="D946">
        <v>0</v>
      </c>
      <c r="E946">
        <v>16228.39</v>
      </c>
      <c r="F946">
        <v>72479.91</v>
      </c>
      <c r="G946" t="s">
        <v>719</v>
      </c>
      <c r="H946" s="7">
        <f t="shared" si="111"/>
        <v>0</v>
      </c>
      <c r="I946" s="1">
        <f t="shared" si="105"/>
        <v>45323</v>
      </c>
      <c r="J946" s="1" t="str">
        <f t="shared" si="106"/>
        <v>NET PO FROM HSL A/C 347707-50200085415108</v>
      </c>
      <c r="L946" s="7">
        <f t="shared" si="107"/>
        <v>0</v>
      </c>
      <c r="M946" s="7">
        <f t="shared" si="108"/>
        <v>16228.39</v>
      </c>
      <c r="N946" s="7">
        <f t="shared" si="109"/>
        <v>72479.91</v>
      </c>
      <c r="O946" s="7" t="str">
        <f t="shared" si="110"/>
        <v>HDFC 5930</v>
      </c>
    </row>
    <row r="947" spans="1:15" x14ac:dyDescent="0.25">
      <c r="A947" s="1">
        <v>45323</v>
      </c>
      <c r="B947" t="s">
        <v>472</v>
      </c>
      <c r="C947" s="1">
        <v>45323</v>
      </c>
      <c r="D947">
        <v>312.93</v>
      </c>
      <c r="E947">
        <v>0</v>
      </c>
      <c r="F947">
        <v>72166.98</v>
      </c>
      <c r="G947" t="s">
        <v>719</v>
      </c>
      <c r="H947" s="7">
        <f t="shared" si="111"/>
        <v>0</v>
      </c>
      <c r="I947" s="1">
        <f t="shared" si="105"/>
        <v>45323</v>
      </c>
      <c r="J947" s="1" t="str">
        <f t="shared" si="106"/>
        <v>NET PI TO HSL SEC A/C 347707-00602340029392</v>
      </c>
      <c r="L947" s="7">
        <f t="shared" si="107"/>
        <v>312.93</v>
      </c>
      <c r="M947" s="7">
        <f t="shared" si="108"/>
        <v>0</v>
      </c>
      <c r="N947" s="7">
        <f t="shared" si="109"/>
        <v>72166.98</v>
      </c>
      <c r="O947" s="7" t="str">
        <f t="shared" si="110"/>
        <v>HDFC 5930</v>
      </c>
    </row>
    <row r="948" spans="1:15" x14ac:dyDescent="0.25">
      <c r="A948" s="1">
        <v>45323</v>
      </c>
      <c r="B948" t="s">
        <v>472</v>
      </c>
      <c r="C948" s="1">
        <v>45323</v>
      </c>
      <c r="D948">
        <v>43957.79</v>
      </c>
      <c r="E948">
        <v>0</v>
      </c>
      <c r="F948">
        <v>28209.19</v>
      </c>
      <c r="G948" t="s">
        <v>719</v>
      </c>
      <c r="H948" s="7">
        <f t="shared" si="111"/>
        <v>0</v>
      </c>
      <c r="I948" s="1">
        <f t="shared" si="105"/>
        <v>45323</v>
      </c>
      <c r="J948" s="1" t="str">
        <f t="shared" si="106"/>
        <v>NET PI TO HSL SEC A/C 347707-00602340029392</v>
      </c>
      <c r="L948" s="7">
        <f t="shared" si="107"/>
        <v>43957.79</v>
      </c>
      <c r="M948" s="7">
        <f t="shared" si="108"/>
        <v>0</v>
      </c>
      <c r="N948" s="7">
        <f t="shared" si="109"/>
        <v>28209.19</v>
      </c>
      <c r="O948" s="7" t="str">
        <f t="shared" si="110"/>
        <v>HDFC 5930</v>
      </c>
    </row>
    <row r="949" spans="1:15" x14ac:dyDescent="0.25">
      <c r="A949" s="1">
        <v>45324</v>
      </c>
      <c r="B949" t="s">
        <v>618</v>
      </c>
      <c r="C949" s="1">
        <v>45324</v>
      </c>
      <c r="D949">
        <v>0</v>
      </c>
      <c r="E949">
        <v>57916.83</v>
      </c>
      <c r="F949">
        <v>86126.02</v>
      </c>
      <c r="G949" t="s">
        <v>719</v>
      </c>
      <c r="H949" s="7">
        <f t="shared" si="111"/>
        <v>0</v>
      </c>
      <c r="I949" s="1">
        <f t="shared" si="105"/>
        <v>45324</v>
      </c>
      <c r="J949" s="1" t="str">
        <f t="shared" si="106"/>
        <v>NET PO FROM HSL A/C 347707-50200085415108</v>
      </c>
      <c r="L949" s="7">
        <f t="shared" si="107"/>
        <v>0</v>
      </c>
      <c r="M949" s="7">
        <f t="shared" si="108"/>
        <v>57916.83</v>
      </c>
      <c r="N949" s="7">
        <f t="shared" si="109"/>
        <v>86126.02</v>
      </c>
      <c r="O949" s="7" t="str">
        <f t="shared" si="110"/>
        <v>HDFC 5930</v>
      </c>
    </row>
    <row r="950" spans="1:15" x14ac:dyDescent="0.25">
      <c r="A950" s="1">
        <v>45324</v>
      </c>
      <c r="B950" t="s">
        <v>472</v>
      </c>
      <c r="C950" s="1">
        <v>45324</v>
      </c>
      <c r="D950">
        <v>303.39999999999998</v>
      </c>
      <c r="E950">
        <v>0</v>
      </c>
      <c r="F950">
        <v>85822.62</v>
      </c>
      <c r="G950" t="s">
        <v>719</v>
      </c>
      <c r="H950" s="7">
        <f t="shared" si="111"/>
        <v>0</v>
      </c>
      <c r="I950" s="1">
        <f t="shared" si="105"/>
        <v>45324</v>
      </c>
      <c r="J950" s="1" t="str">
        <f t="shared" si="106"/>
        <v>NET PI TO HSL SEC A/C 347707-00602340029392</v>
      </c>
      <c r="L950" s="7">
        <f t="shared" si="107"/>
        <v>303.39999999999998</v>
      </c>
      <c r="M950" s="7">
        <f t="shared" si="108"/>
        <v>0</v>
      </c>
      <c r="N950" s="7">
        <f t="shared" si="109"/>
        <v>85822.62</v>
      </c>
      <c r="O950" s="7" t="str">
        <f t="shared" si="110"/>
        <v>HDFC 5930</v>
      </c>
    </row>
    <row r="951" spans="1:15" x14ac:dyDescent="0.25">
      <c r="A951" s="1">
        <v>45324</v>
      </c>
      <c r="B951" t="s">
        <v>472</v>
      </c>
      <c r="C951" s="1">
        <v>45324</v>
      </c>
      <c r="D951">
        <v>78809</v>
      </c>
      <c r="E951">
        <v>0</v>
      </c>
      <c r="F951">
        <v>7013.62</v>
      </c>
      <c r="G951" t="s">
        <v>719</v>
      </c>
      <c r="H951" s="7">
        <f t="shared" si="111"/>
        <v>0</v>
      </c>
      <c r="I951" s="1">
        <f t="shared" si="105"/>
        <v>45324</v>
      </c>
      <c r="J951" s="1" t="str">
        <f t="shared" si="106"/>
        <v>NET PI TO HSL SEC A/C 347707-00602340029392</v>
      </c>
      <c r="L951" s="7">
        <f t="shared" si="107"/>
        <v>78809</v>
      </c>
      <c r="M951" s="7">
        <f t="shared" si="108"/>
        <v>0</v>
      </c>
      <c r="N951" s="7">
        <f t="shared" si="109"/>
        <v>7013.62</v>
      </c>
      <c r="O951" s="7" t="str">
        <f t="shared" si="110"/>
        <v>HDFC 5930</v>
      </c>
    </row>
    <row r="952" spans="1:15" x14ac:dyDescent="0.25">
      <c r="A952" s="1">
        <v>45327</v>
      </c>
      <c r="B952" t="s">
        <v>618</v>
      </c>
      <c r="C952" s="1">
        <v>45327</v>
      </c>
      <c r="D952">
        <v>0</v>
      </c>
      <c r="E952">
        <v>30322.44</v>
      </c>
      <c r="F952">
        <v>37336.06</v>
      </c>
      <c r="G952" t="s">
        <v>719</v>
      </c>
      <c r="H952" s="7">
        <f t="shared" si="111"/>
        <v>0</v>
      </c>
      <c r="I952" s="1">
        <f t="shared" si="105"/>
        <v>45327</v>
      </c>
      <c r="J952" s="1" t="str">
        <f t="shared" si="106"/>
        <v>NET PO FROM HSL A/C 347707-50200085415108</v>
      </c>
      <c r="L952" s="7">
        <f t="shared" si="107"/>
        <v>0</v>
      </c>
      <c r="M952" s="7">
        <f t="shared" si="108"/>
        <v>30322.44</v>
      </c>
      <c r="N952" s="7">
        <f t="shared" si="109"/>
        <v>37336.06</v>
      </c>
      <c r="O952" s="7" t="str">
        <f t="shared" si="110"/>
        <v>HDFC 5930</v>
      </c>
    </row>
    <row r="953" spans="1:15" x14ac:dyDescent="0.25">
      <c r="A953" s="1">
        <v>45328</v>
      </c>
      <c r="B953" t="s">
        <v>618</v>
      </c>
      <c r="C953" s="1">
        <v>45328</v>
      </c>
      <c r="D953">
        <v>0</v>
      </c>
      <c r="E953">
        <v>3122.59</v>
      </c>
      <c r="F953">
        <v>40458.65</v>
      </c>
      <c r="G953" t="s">
        <v>719</v>
      </c>
      <c r="H953" s="7">
        <f t="shared" si="111"/>
        <v>0</v>
      </c>
      <c r="I953" s="1">
        <f t="shared" si="105"/>
        <v>45328</v>
      </c>
      <c r="J953" s="1" t="str">
        <f t="shared" si="106"/>
        <v>NET PO FROM HSL A/C 347707-50200085415108</v>
      </c>
      <c r="L953" s="7">
        <f t="shared" si="107"/>
        <v>0</v>
      </c>
      <c r="M953" s="7">
        <f t="shared" si="108"/>
        <v>3122.59</v>
      </c>
      <c r="N953" s="7">
        <f t="shared" si="109"/>
        <v>40458.65</v>
      </c>
      <c r="O953" s="7" t="str">
        <f t="shared" si="110"/>
        <v>HDFC 5930</v>
      </c>
    </row>
    <row r="954" spans="1:15" x14ac:dyDescent="0.25">
      <c r="A954" s="1">
        <v>45328</v>
      </c>
      <c r="B954" t="s">
        <v>472</v>
      </c>
      <c r="C954" s="1">
        <v>45328</v>
      </c>
      <c r="D954">
        <v>393.12</v>
      </c>
      <c r="E954">
        <v>0</v>
      </c>
      <c r="F954">
        <v>40065.53</v>
      </c>
      <c r="G954" t="s">
        <v>719</v>
      </c>
      <c r="H954" s="7">
        <f t="shared" si="111"/>
        <v>0</v>
      </c>
      <c r="I954" s="1">
        <f t="shared" si="105"/>
        <v>45328</v>
      </c>
      <c r="J954" s="1" t="str">
        <f t="shared" si="106"/>
        <v>NET PI TO HSL SEC A/C 347707-00602340029392</v>
      </c>
      <c r="L954" s="7">
        <f t="shared" si="107"/>
        <v>393.12</v>
      </c>
      <c r="M954" s="7">
        <f t="shared" si="108"/>
        <v>0</v>
      </c>
      <c r="N954" s="7">
        <f t="shared" si="109"/>
        <v>40065.53</v>
      </c>
      <c r="O954" s="7" t="str">
        <f t="shared" si="110"/>
        <v>HDFC 5930</v>
      </c>
    </row>
    <row r="955" spans="1:15" x14ac:dyDescent="0.25">
      <c r="A955" s="1">
        <v>45329</v>
      </c>
      <c r="B955" t="s">
        <v>618</v>
      </c>
      <c r="C955" s="1">
        <v>45329</v>
      </c>
      <c r="D955">
        <v>0</v>
      </c>
      <c r="E955">
        <v>498.99</v>
      </c>
      <c r="F955">
        <v>40564.519999999997</v>
      </c>
      <c r="G955" t="s">
        <v>719</v>
      </c>
      <c r="H955" s="7">
        <f t="shared" si="111"/>
        <v>0</v>
      </c>
      <c r="I955" s="1">
        <f t="shared" si="105"/>
        <v>45329</v>
      </c>
      <c r="J955" s="1" t="str">
        <f t="shared" si="106"/>
        <v>NET PO FROM HSL A/C 347707-50200085415108</v>
      </c>
      <c r="L955" s="7">
        <f t="shared" si="107"/>
        <v>0</v>
      </c>
      <c r="M955" s="7">
        <f t="shared" si="108"/>
        <v>498.99</v>
      </c>
      <c r="N955" s="7">
        <f t="shared" si="109"/>
        <v>40564.519999999997</v>
      </c>
      <c r="O955" s="7" t="str">
        <f t="shared" si="110"/>
        <v>HDFC 5930</v>
      </c>
    </row>
    <row r="956" spans="1:15" x14ac:dyDescent="0.25">
      <c r="A956" s="1">
        <v>45329</v>
      </c>
      <c r="B956" t="s">
        <v>618</v>
      </c>
      <c r="C956" s="1">
        <v>45329</v>
      </c>
      <c r="D956">
        <v>0</v>
      </c>
      <c r="E956">
        <v>27446.66</v>
      </c>
      <c r="F956">
        <v>68011.179999999993</v>
      </c>
      <c r="G956" t="s">
        <v>719</v>
      </c>
      <c r="H956" s="7">
        <f t="shared" si="111"/>
        <v>0</v>
      </c>
      <c r="I956" s="1">
        <f t="shared" si="105"/>
        <v>45329</v>
      </c>
      <c r="J956" s="1" t="str">
        <f t="shared" si="106"/>
        <v>NET PO FROM HSL A/C 347707-50200085415108</v>
      </c>
      <c r="L956" s="7">
        <f t="shared" si="107"/>
        <v>0</v>
      </c>
      <c r="M956" s="7">
        <f t="shared" si="108"/>
        <v>27446.66</v>
      </c>
      <c r="N956" s="7">
        <f t="shared" si="109"/>
        <v>68011.179999999993</v>
      </c>
      <c r="O956" s="7" t="str">
        <f t="shared" si="110"/>
        <v>HDFC 5930</v>
      </c>
    </row>
    <row r="957" spans="1:15" x14ac:dyDescent="0.25">
      <c r="A957" s="1">
        <v>45329</v>
      </c>
      <c r="B957" t="s">
        <v>472</v>
      </c>
      <c r="C957" s="1">
        <v>45329</v>
      </c>
      <c r="D957">
        <v>383.96</v>
      </c>
      <c r="E957">
        <v>0</v>
      </c>
      <c r="F957">
        <v>67627.22</v>
      </c>
      <c r="G957" t="s">
        <v>719</v>
      </c>
      <c r="H957" s="7">
        <f t="shared" si="111"/>
        <v>0</v>
      </c>
      <c r="I957" s="1">
        <f t="shared" si="105"/>
        <v>45329</v>
      </c>
      <c r="J957" s="1" t="str">
        <f t="shared" si="106"/>
        <v>NET PI TO HSL SEC A/C 347707-00602340029392</v>
      </c>
      <c r="L957" s="7">
        <f t="shared" si="107"/>
        <v>383.96</v>
      </c>
      <c r="M957" s="7">
        <f t="shared" si="108"/>
        <v>0</v>
      </c>
      <c r="N957" s="7">
        <f t="shared" si="109"/>
        <v>67627.22</v>
      </c>
      <c r="O957" s="7" t="str">
        <f t="shared" si="110"/>
        <v>HDFC 5930</v>
      </c>
    </row>
    <row r="958" spans="1:15" x14ac:dyDescent="0.25">
      <c r="A958" s="1">
        <v>45329</v>
      </c>
      <c r="B958" t="s">
        <v>937</v>
      </c>
      <c r="C958" s="1">
        <v>45329</v>
      </c>
      <c r="D958">
        <v>2000</v>
      </c>
      <c r="E958">
        <v>0</v>
      </c>
      <c r="F958">
        <v>65627.22</v>
      </c>
      <c r="G958" t="s">
        <v>719</v>
      </c>
      <c r="H958" s="7">
        <f t="shared" si="111"/>
        <v>0</v>
      </c>
      <c r="I958" s="1">
        <f t="shared" si="105"/>
        <v>45329</v>
      </c>
      <c r="J958" s="1" t="str">
        <f t="shared" si="106"/>
        <v>ACH D- TP ACH INVESTOCAFE-1363560212</v>
      </c>
      <c r="L958" s="7">
        <f t="shared" si="107"/>
        <v>2000</v>
      </c>
      <c r="M958" s="7">
        <f t="shared" si="108"/>
        <v>0</v>
      </c>
      <c r="N958" s="7">
        <f t="shared" si="109"/>
        <v>65627.22</v>
      </c>
      <c r="O958" s="7" t="str">
        <f t="shared" si="110"/>
        <v>HDFC 5930</v>
      </c>
    </row>
    <row r="959" spans="1:15" x14ac:dyDescent="0.25">
      <c r="A959" s="1">
        <v>45329</v>
      </c>
      <c r="B959" t="s">
        <v>938</v>
      </c>
      <c r="C959" s="1">
        <v>45329</v>
      </c>
      <c r="D959">
        <v>2500</v>
      </c>
      <c r="E959">
        <v>0</v>
      </c>
      <c r="F959">
        <v>63127.22</v>
      </c>
      <c r="G959" t="s">
        <v>719</v>
      </c>
      <c r="H959" s="7">
        <f t="shared" si="111"/>
        <v>0</v>
      </c>
      <c r="I959" s="1">
        <f t="shared" si="105"/>
        <v>45329</v>
      </c>
      <c r="J959" s="1" t="str">
        <f t="shared" si="106"/>
        <v>ACH D- TP ACH INVESTOCAFE-1363560213</v>
      </c>
      <c r="L959" s="7">
        <f t="shared" si="107"/>
        <v>2500</v>
      </c>
      <c r="M959" s="7">
        <f t="shared" si="108"/>
        <v>0</v>
      </c>
      <c r="N959" s="7">
        <f t="shared" si="109"/>
        <v>63127.22</v>
      </c>
      <c r="O959" s="7" t="str">
        <f t="shared" si="110"/>
        <v>HDFC 5930</v>
      </c>
    </row>
    <row r="960" spans="1:15" x14ac:dyDescent="0.25">
      <c r="A960" s="1">
        <v>45329</v>
      </c>
      <c r="B960" t="s">
        <v>939</v>
      </c>
      <c r="C960" s="1">
        <v>45329</v>
      </c>
      <c r="D960">
        <v>0</v>
      </c>
      <c r="E960">
        <v>35000</v>
      </c>
      <c r="F960">
        <v>98127.22</v>
      </c>
      <c r="G960" t="s">
        <v>719</v>
      </c>
      <c r="H960" s="7">
        <f t="shared" si="111"/>
        <v>0</v>
      </c>
      <c r="I960" s="1">
        <f t="shared" si="105"/>
        <v>45329</v>
      </c>
      <c r="J960" s="1" t="str">
        <f t="shared" si="106"/>
        <v>UPI-SHILPA AMIT CHANDAK-CHANDAK.SHILPA@YBL-SBIN0012712-440497909320-PAYMENT FROM PHONE</v>
      </c>
      <c r="L960" s="7">
        <f t="shared" si="107"/>
        <v>0</v>
      </c>
      <c r="M960" s="7">
        <f t="shared" si="108"/>
        <v>35000</v>
      </c>
      <c r="N960" s="7">
        <f t="shared" si="109"/>
        <v>98127.22</v>
      </c>
      <c r="O960" s="7" t="str">
        <f t="shared" si="110"/>
        <v>HDFC 5930</v>
      </c>
    </row>
    <row r="961" spans="1:15" x14ac:dyDescent="0.25">
      <c r="A961" s="1">
        <v>45329</v>
      </c>
      <c r="B961" t="s">
        <v>472</v>
      </c>
      <c r="C961" s="1">
        <v>45329</v>
      </c>
      <c r="D961">
        <v>38527.800000000003</v>
      </c>
      <c r="E961">
        <v>0</v>
      </c>
      <c r="F961">
        <v>59599.42</v>
      </c>
      <c r="G961" t="s">
        <v>719</v>
      </c>
      <c r="H961" s="7">
        <f t="shared" si="111"/>
        <v>0</v>
      </c>
      <c r="I961" s="1">
        <f t="shared" si="105"/>
        <v>45329</v>
      </c>
      <c r="J961" s="1" t="str">
        <f t="shared" si="106"/>
        <v>NET PI TO HSL SEC A/C 347707-00602340029392</v>
      </c>
      <c r="L961" s="7">
        <f t="shared" si="107"/>
        <v>38527.800000000003</v>
      </c>
      <c r="M961" s="7">
        <f t="shared" si="108"/>
        <v>0</v>
      </c>
      <c r="N961" s="7">
        <f t="shared" si="109"/>
        <v>59599.42</v>
      </c>
      <c r="O961" s="7" t="str">
        <f t="shared" si="110"/>
        <v>HDFC 5930</v>
      </c>
    </row>
    <row r="962" spans="1:15" x14ac:dyDescent="0.25">
      <c r="A962" s="1">
        <v>45330</v>
      </c>
      <c r="B962" t="s">
        <v>618</v>
      </c>
      <c r="C962" s="1">
        <v>45330</v>
      </c>
      <c r="D962">
        <v>0</v>
      </c>
      <c r="E962">
        <v>27568.02</v>
      </c>
      <c r="F962">
        <v>87167.44</v>
      </c>
      <c r="G962" t="s">
        <v>719</v>
      </c>
      <c r="H962" s="7">
        <f t="shared" si="111"/>
        <v>0</v>
      </c>
      <c r="I962" s="1">
        <f t="shared" si="105"/>
        <v>45330</v>
      </c>
      <c r="J962" s="1" t="str">
        <f t="shared" si="106"/>
        <v>NET PO FROM HSL A/C 347707-50200085415108</v>
      </c>
      <c r="L962" s="7">
        <f t="shared" si="107"/>
        <v>0</v>
      </c>
      <c r="M962" s="7">
        <f t="shared" si="108"/>
        <v>27568.02</v>
      </c>
      <c r="N962" s="7">
        <f t="shared" si="109"/>
        <v>87167.44</v>
      </c>
      <c r="O962" s="7" t="str">
        <f t="shared" si="110"/>
        <v>HDFC 5930</v>
      </c>
    </row>
    <row r="963" spans="1:15" x14ac:dyDescent="0.25">
      <c r="A963" s="1">
        <v>45330</v>
      </c>
      <c r="B963" t="s">
        <v>472</v>
      </c>
      <c r="C963" s="1">
        <v>45330</v>
      </c>
      <c r="D963">
        <v>375.09</v>
      </c>
      <c r="E963">
        <v>0</v>
      </c>
      <c r="F963">
        <v>86792.35</v>
      </c>
      <c r="G963" t="s">
        <v>719</v>
      </c>
      <c r="H963" s="7">
        <f t="shared" si="111"/>
        <v>0</v>
      </c>
      <c r="I963" s="1">
        <f t="shared" si="105"/>
        <v>45330</v>
      </c>
      <c r="J963" s="1" t="str">
        <f t="shared" si="106"/>
        <v>NET PI TO HSL SEC A/C 347707-00602340029392</v>
      </c>
      <c r="L963" s="7">
        <f t="shared" si="107"/>
        <v>375.09</v>
      </c>
      <c r="M963" s="7">
        <f t="shared" si="108"/>
        <v>0</v>
      </c>
      <c r="N963" s="7">
        <f t="shared" si="109"/>
        <v>86792.35</v>
      </c>
      <c r="O963" s="7" t="str">
        <f t="shared" si="110"/>
        <v>HDFC 5930</v>
      </c>
    </row>
    <row r="964" spans="1:15" x14ac:dyDescent="0.25">
      <c r="A964" s="1">
        <v>45330</v>
      </c>
      <c r="B964" t="s">
        <v>472</v>
      </c>
      <c r="C964" s="1">
        <v>45330</v>
      </c>
      <c r="D964">
        <v>37167.06</v>
      </c>
      <c r="E964">
        <v>0</v>
      </c>
      <c r="F964">
        <v>49625.29</v>
      </c>
      <c r="G964" t="s">
        <v>719</v>
      </c>
      <c r="H964" s="7">
        <f t="shared" si="111"/>
        <v>0</v>
      </c>
      <c r="I964" s="1">
        <f t="shared" si="105"/>
        <v>45330</v>
      </c>
      <c r="J964" s="1" t="str">
        <f t="shared" si="106"/>
        <v>NET PI TO HSL SEC A/C 347707-00602340029392</v>
      </c>
      <c r="L964" s="7">
        <f t="shared" si="107"/>
        <v>37167.06</v>
      </c>
      <c r="M964" s="7">
        <f t="shared" si="108"/>
        <v>0</v>
      </c>
      <c r="N964" s="7">
        <f t="shared" si="109"/>
        <v>49625.29</v>
      </c>
      <c r="O964" s="7" t="str">
        <f t="shared" si="110"/>
        <v>HDFC 5930</v>
      </c>
    </row>
    <row r="965" spans="1:15" x14ac:dyDescent="0.25">
      <c r="A965" s="1">
        <v>45331</v>
      </c>
      <c r="B965" t="s">
        <v>472</v>
      </c>
      <c r="C965" s="1">
        <v>45331</v>
      </c>
      <c r="D965">
        <v>401.17</v>
      </c>
      <c r="E965">
        <v>0</v>
      </c>
      <c r="F965">
        <v>49224.12</v>
      </c>
      <c r="G965" t="s">
        <v>719</v>
      </c>
      <c r="H965" s="7">
        <f t="shared" si="111"/>
        <v>0</v>
      </c>
      <c r="I965" s="1">
        <f t="shared" si="105"/>
        <v>45331</v>
      </c>
      <c r="J965" s="1" t="str">
        <f t="shared" si="106"/>
        <v>NET PI TO HSL SEC A/C 347707-00602340029392</v>
      </c>
      <c r="L965" s="7">
        <f t="shared" si="107"/>
        <v>401.17</v>
      </c>
      <c r="M965" s="7">
        <f t="shared" si="108"/>
        <v>0</v>
      </c>
      <c r="N965" s="7">
        <f t="shared" si="109"/>
        <v>49224.12</v>
      </c>
      <c r="O965" s="7" t="str">
        <f t="shared" si="110"/>
        <v>HDFC 5930</v>
      </c>
    </row>
    <row r="966" spans="1:15" x14ac:dyDescent="0.25">
      <c r="A966" s="1">
        <v>45331</v>
      </c>
      <c r="B966" t="s">
        <v>618</v>
      </c>
      <c r="C966" s="1">
        <v>45331</v>
      </c>
      <c r="D966">
        <v>0</v>
      </c>
      <c r="E966">
        <v>25742.95</v>
      </c>
      <c r="F966">
        <v>74967.070000000007</v>
      </c>
      <c r="G966" t="s">
        <v>719</v>
      </c>
      <c r="H966" s="7">
        <f t="shared" si="111"/>
        <v>0</v>
      </c>
      <c r="I966" s="1">
        <f t="shared" si="105"/>
        <v>45331</v>
      </c>
      <c r="J966" s="1" t="str">
        <f t="shared" si="106"/>
        <v>NET PO FROM HSL A/C 347707-50200085415108</v>
      </c>
      <c r="L966" s="7">
        <f t="shared" si="107"/>
        <v>0</v>
      </c>
      <c r="M966" s="7">
        <f t="shared" si="108"/>
        <v>25742.95</v>
      </c>
      <c r="N966" s="7">
        <f t="shared" si="109"/>
        <v>74967.070000000007</v>
      </c>
      <c r="O966" s="7" t="str">
        <f t="shared" si="110"/>
        <v>HDFC 5930</v>
      </c>
    </row>
    <row r="967" spans="1:15" x14ac:dyDescent="0.25">
      <c r="A967" s="1">
        <v>45334</v>
      </c>
      <c r="B967" t="s">
        <v>618</v>
      </c>
      <c r="C967" s="1">
        <v>45334</v>
      </c>
      <c r="D967">
        <v>0</v>
      </c>
      <c r="E967">
        <v>8842.14</v>
      </c>
      <c r="F967">
        <v>83809.210000000006</v>
      </c>
      <c r="G967" t="s">
        <v>719</v>
      </c>
      <c r="H967" s="7">
        <f t="shared" si="111"/>
        <v>0</v>
      </c>
      <c r="I967" s="1">
        <f t="shared" si="105"/>
        <v>45334</v>
      </c>
      <c r="J967" s="1" t="str">
        <f t="shared" si="106"/>
        <v>NET PO FROM HSL A/C 347707-50200085415108</v>
      </c>
      <c r="L967" s="7">
        <f t="shared" si="107"/>
        <v>0</v>
      </c>
      <c r="M967" s="7">
        <f t="shared" si="108"/>
        <v>8842.14</v>
      </c>
      <c r="N967" s="7">
        <f t="shared" si="109"/>
        <v>83809.210000000006</v>
      </c>
      <c r="O967" s="7" t="str">
        <f t="shared" si="110"/>
        <v>HDFC 5930</v>
      </c>
    </row>
    <row r="968" spans="1:15" x14ac:dyDescent="0.25">
      <c r="A968" s="1">
        <v>45334</v>
      </c>
      <c r="B968" t="s">
        <v>681</v>
      </c>
      <c r="C968" s="1">
        <v>45334</v>
      </c>
      <c r="D968">
        <v>10000</v>
      </c>
      <c r="E968">
        <v>0</v>
      </c>
      <c r="F968">
        <v>73809.210000000006</v>
      </c>
      <c r="G968" t="s">
        <v>719</v>
      </c>
      <c r="H968" s="7">
        <f t="shared" si="111"/>
        <v>0</v>
      </c>
      <c r="I968" s="1">
        <f t="shared" si="105"/>
        <v>45334</v>
      </c>
      <c r="J968" s="1" t="str">
        <f t="shared" si="106"/>
        <v>ACH D- INDIAN CLEARING CORP-P25847605X05</v>
      </c>
      <c r="L968" s="7">
        <f t="shared" si="107"/>
        <v>10000</v>
      </c>
      <c r="M968" s="7">
        <f t="shared" si="108"/>
        <v>0</v>
      </c>
      <c r="N968" s="7">
        <f t="shared" si="109"/>
        <v>73809.210000000006</v>
      </c>
      <c r="O968" s="7" t="str">
        <f t="shared" si="110"/>
        <v>HDFC 5930</v>
      </c>
    </row>
    <row r="969" spans="1:15" x14ac:dyDescent="0.25">
      <c r="A969" s="1">
        <v>45334</v>
      </c>
      <c r="B969" t="s">
        <v>472</v>
      </c>
      <c r="C969" s="1">
        <v>45334</v>
      </c>
      <c r="D969">
        <v>1337.4</v>
      </c>
      <c r="E969">
        <v>0</v>
      </c>
      <c r="F969">
        <v>72471.81</v>
      </c>
      <c r="G969" t="s">
        <v>719</v>
      </c>
      <c r="H969" s="7">
        <f t="shared" si="111"/>
        <v>0</v>
      </c>
      <c r="I969" s="1">
        <f t="shared" si="105"/>
        <v>45334</v>
      </c>
      <c r="J969" s="1" t="str">
        <f t="shared" si="106"/>
        <v>NET PI TO HSL SEC A/C 347707-00602340029392</v>
      </c>
      <c r="L969" s="7">
        <f t="shared" si="107"/>
        <v>1337.4</v>
      </c>
      <c r="M969" s="7">
        <f t="shared" si="108"/>
        <v>0</v>
      </c>
      <c r="N969" s="7">
        <f t="shared" si="109"/>
        <v>72471.81</v>
      </c>
      <c r="O969" s="7" t="str">
        <f t="shared" si="110"/>
        <v>HDFC 5930</v>
      </c>
    </row>
    <row r="970" spans="1:15" x14ac:dyDescent="0.25">
      <c r="A970" s="1">
        <v>45335</v>
      </c>
      <c r="B970" t="s">
        <v>618</v>
      </c>
      <c r="C970" s="1">
        <v>45335</v>
      </c>
      <c r="D970">
        <v>0</v>
      </c>
      <c r="E970">
        <v>39152.400000000001</v>
      </c>
      <c r="F970">
        <v>111624.21</v>
      </c>
      <c r="G970" t="s">
        <v>719</v>
      </c>
      <c r="H970" s="7">
        <f t="shared" si="111"/>
        <v>0</v>
      </c>
      <c r="I970" s="1">
        <f t="shared" si="105"/>
        <v>45335</v>
      </c>
      <c r="J970" s="1" t="str">
        <f t="shared" si="106"/>
        <v>NET PO FROM HSL A/C 347707-50200085415108</v>
      </c>
      <c r="L970" s="7">
        <f t="shared" si="107"/>
        <v>0</v>
      </c>
      <c r="M970" s="7">
        <f t="shared" si="108"/>
        <v>39152.400000000001</v>
      </c>
      <c r="N970" s="7">
        <f t="shared" si="109"/>
        <v>111624.21</v>
      </c>
      <c r="O970" s="7" t="str">
        <f t="shared" si="110"/>
        <v>HDFC 5930</v>
      </c>
    </row>
    <row r="971" spans="1:15" x14ac:dyDescent="0.25">
      <c r="A971" s="1">
        <v>45335</v>
      </c>
      <c r="B971" t="s">
        <v>940</v>
      </c>
      <c r="C971" s="1">
        <v>45335</v>
      </c>
      <c r="D971">
        <v>2147.6</v>
      </c>
      <c r="E971">
        <v>0</v>
      </c>
      <c r="F971">
        <v>109476.61</v>
      </c>
      <c r="G971" t="s">
        <v>719</v>
      </c>
      <c r="H971" s="7">
        <f t="shared" si="111"/>
        <v>0</v>
      </c>
      <c r="I971" s="1">
        <f t="shared" si="105"/>
        <v>45335</v>
      </c>
      <c r="J971" s="1" t="str">
        <f t="shared" si="106"/>
        <v>DEPOSITORY CHARGES JAN24 - 40227714</v>
      </c>
      <c r="L971" s="7">
        <f t="shared" si="107"/>
        <v>2147.6</v>
      </c>
      <c r="M971" s="7">
        <f t="shared" si="108"/>
        <v>0</v>
      </c>
      <c r="N971" s="7">
        <f t="shared" si="109"/>
        <v>109476.61</v>
      </c>
      <c r="O971" s="7" t="str">
        <f t="shared" si="110"/>
        <v>HDFC 5930</v>
      </c>
    </row>
    <row r="972" spans="1:15" x14ac:dyDescent="0.25">
      <c r="A972" s="1">
        <v>45336</v>
      </c>
      <c r="B972" t="s">
        <v>618</v>
      </c>
      <c r="C972" s="1">
        <v>45336</v>
      </c>
      <c r="D972">
        <v>0</v>
      </c>
      <c r="E972">
        <v>36417.589999999997</v>
      </c>
      <c r="F972">
        <v>145894.20000000001</v>
      </c>
      <c r="G972" t="s">
        <v>719</v>
      </c>
      <c r="H972" s="7">
        <f t="shared" si="111"/>
        <v>0</v>
      </c>
      <c r="I972" s="1">
        <f t="shared" si="105"/>
        <v>45336</v>
      </c>
      <c r="J972" s="1" t="str">
        <f t="shared" si="106"/>
        <v>NET PO FROM HSL A/C 347707-50200085415108</v>
      </c>
      <c r="L972" s="7">
        <f t="shared" si="107"/>
        <v>0</v>
      </c>
      <c r="M972" s="7">
        <f t="shared" si="108"/>
        <v>36417.589999999997</v>
      </c>
      <c r="N972" s="7">
        <f t="shared" si="109"/>
        <v>145894.20000000001</v>
      </c>
      <c r="O972" s="7" t="str">
        <f t="shared" si="110"/>
        <v>HDFC 5930</v>
      </c>
    </row>
    <row r="973" spans="1:15" x14ac:dyDescent="0.25">
      <c r="A973" s="1">
        <v>45336</v>
      </c>
      <c r="B973" t="s">
        <v>472</v>
      </c>
      <c r="C973" s="1">
        <v>45336</v>
      </c>
      <c r="D973">
        <v>368.48</v>
      </c>
      <c r="E973">
        <v>0</v>
      </c>
      <c r="F973">
        <v>145525.72</v>
      </c>
      <c r="G973" t="s">
        <v>719</v>
      </c>
      <c r="H973" s="7">
        <f t="shared" si="111"/>
        <v>0</v>
      </c>
      <c r="I973" s="1">
        <f t="shared" si="105"/>
        <v>45336</v>
      </c>
      <c r="J973" s="1" t="str">
        <f t="shared" si="106"/>
        <v>NET PI TO HSL SEC A/C 347707-00602340029392</v>
      </c>
      <c r="L973" s="7">
        <f t="shared" si="107"/>
        <v>368.48</v>
      </c>
      <c r="M973" s="7">
        <f t="shared" si="108"/>
        <v>0</v>
      </c>
      <c r="N973" s="7">
        <f t="shared" si="109"/>
        <v>145525.72</v>
      </c>
      <c r="O973" s="7" t="str">
        <f t="shared" si="110"/>
        <v>HDFC 5930</v>
      </c>
    </row>
    <row r="974" spans="1:15" x14ac:dyDescent="0.25">
      <c r="A974" s="1">
        <v>45336</v>
      </c>
      <c r="B974" t="s">
        <v>472</v>
      </c>
      <c r="C974" s="1">
        <v>45336</v>
      </c>
      <c r="D974">
        <v>6868.26</v>
      </c>
      <c r="E974">
        <v>0</v>
      </c>
      <c r="F974">
        <v>138657.46</v>
      </c>
      <c r="G974" t="s">
        <v>719</v>
      </c>
      <c r="H974" s="7">
        <f t="shared" si="111"/>
        <v>0</v>
      </c>
      <c r="I974" s="1">
        <f t="shared" si="105"/>
        <v>45336</v>
      </c>
      <c r="J974" s="1" t="str">
        <f t="shared" si="106"/>
        <v>NET PI TO HSL SEC A/C 347707-00602340029392</v>
      </c>
      <c r="L974" s="7">
        <f t="shared" si="107"/>
        <v>6868.26</v>
      </c>
      <c r="M974" s="7">
        <f t="shared" si="108"/>
        <v>0</v>
      </c>
      <c r="N974" s="7">
        <f t="shared" si="109"/>
        <v>138657.46</v>
      </c>
      <c r="O974" s="7" t="str">
        <f t="shared" si="110"/>
        <v>HDFC 5930</v>
      </c>
    </row>
    <row r="975" spans="1:15" x14ac:dyDescent="0.25">
      <c r="A975" s="1">
        <v>45336</v>
      </c>
      <c r="B975" t="s">
        <v>472</v>
      </c>
      <c r="C975" s="1">
        <v>45336</v>
      </c>
      <c r="D975">
        <v>28735.599999999999</v>
      </c>
      <c r="E975">
        <v>0</v>
      </c>
      <c r="F975">
        <v>109921.86</v>
      </c>
      <c r="G975" t="s">
        <v>719</v>
      </c>
      <c r="H975" s="7">
        <f t="shared" si="111"/>
        <v>0</v>
      </c>
      <c r="I975" s="1">
        <f t="shared" si="105"/>
        <v>45336</v>
      </c>
      <c r="J975" s="1" t="str">
        <f t="shared" si="106"/>
        <v>NET PI TO HSL SEC A/C 347707-00602340029392</v>
      </c>
      <c r="L975" s="7">
        <f t="shared" si="107"/>
        <v>28735.599999999999</v>
      </c>
      <c r="M975" s="7">
        <f t="shared" si="108"/>
        <v>0</v>
      </c>
      <c r="N975" s="7">
        <f t="shared" si="109"/>
        <v>109921.86</v>
      </c>
      <c r="O975" s="7" t="str">
        <f t="shared" si="110"/>
        <v>HDFC 5930</v>
      </c>
    </row>
    <row r="976" spans="1:15" x14ac:dyDescent="0.25">
      <c r="A976" s="1">
        <v>45337</v>
      </c>
      <c r="B976" t="s">
        <v>618</v>
      </c>
      <c r="C976" s="1">
        <v>45337</v>
      </c>
      <c r="D976">
        <v>0</v>
      </c>
      <c r="E976">
        <v>10198.69</v>
      </c>
      <c r="F976">
        <v>120120.55</v>
      </c>
      <c r="G976" t="s">
        <v>719</v>
      </c>
      <c r="H976" s="7">
        <f t="shared" si="111"/>
        <v>0</v>
      </c>
      <c r="I976" s="1">
        <f t="shared" si="105"/>
        <v>45337</v>
      </c>
      <c r="J976" s="1" t="str">
        <f t="shared" si="106"/>
        <v>NET PO FROM HSL A/C 347707-50200085415108</v>
      </c>
      <c r="L976" s="7">
        <f t="shared" si="107"/>
        <v>0</v>
      </c>
      <c r="M976" s="7">
        <f t="shared" si="108"/>
        <v>10198.69</v>
      </c>
      <c r="N976" s="7">
        <f t="shared" si="109"/>
        <v>120120.55</v>
      </c>
      <c r="O976" s="7" t="str">
        <f t="shared" si="110"/>
        <v>HDFC 5930</v>
      </c>
    </row>
    <row r="977" spans="1:15" x14ac:dyDescent="0.25">
      <c r="A977" s="1">
        <v>45337</v>
      </c>
      <c r="B977" t="s">
        <v>681</v>
      </c>
      <c r="C977" s="1">
        <v>45337</v>
      </c>
      <c r="D977">
        <v>10000</v>
      </c>
      <c r="E977">
        <v>0</v>
      </c>
      <c r="F977">
        <v>110120.55</v>
      </c>
      <c r="G977" t="s">
        <v>719</v>
      </c>
      <c r="H977" s="7">
        <f t="shared" si="111"/>
        <v>0</v>
      </c>
      <c r="I977" s="1">
        <f t="shared" si="105"/>
        <v>45337</v>
      </c>
      <c r="J977" s="1" t="str">
        <f t="shared" si="106"/>
        <v>ACH D- INDIAN CLEARING CORP-P25847605X05</v>
      </c>
      <c r="L977" s="7">
        <f t="shared" si="107"/>
        <v>10000</v>
      </c>
      <c r="M977" s="7">
        <f t="shared" si="108"/>
        <v>0</v>
      </c>
      <c r="N977" s="7">
        <f t="shared" si="109"/>
        <v>110120.55</v>
      </c>
      <c r="O977" s="7" t="str">
        <f t="shared" si="110"/>
        <v>HDFC 5930</v>
      </c>
    </row>
    <row r="978" spans="1:15" x14ac:dyDescent="0.25">
      <c r="A978" s="1">
        <v>45337</v>
      </c>
      <c r="B978" t="s">
        <v>472</v>
      </c>
      <c r="C978" s="1">
        <v>45337</v>
      </c>
      <c r="D978">
        <v>351.67</v>
      </c>
      <c r="E978">
        <v>0</v>
      </c>
      <c r="F978">
        <v>109768.88</v>
      </c>
      <c r="G978" t="s">
        <v>719</v>
      </c>
      <c r="H978" s="7">
        <f t="shared" si="111"/>
        <v>0</v>
      </c>
      <c r="I978" s="1">
        <f t="shared" si="105"/>
        <v>45337</v>
      </c>
      <c r="J978" s="1" t="str">
        <f t="shared" si="106"/>
        <v>NET PI TO HSL SEC A/C 347707-00602340029392</v>
      </c>
      <c r="L978" s="7">
        <f t="shared" si="107"/>
        <v>351.67</v>
      </c>
      <c r="M978" s="7">
        <f t="shared" si="108"/>
        <v>0</v>
      </c>
      <c r="N978" s="7">
        <f t="shared" si="109"/>
        <v>109768.88</v>
      </c>
      <c r="O978" s="7" t="str">
        <f t="shared" si="110"/>
        <v>HDFC 5930</v>
      </c>
    </row>
    <row r="979" spans="1:15" x14ac:dyDescent="0.25">
      <c r="A979" s="1">
        <v>45338</v>
      </c>
      <c r="B979" t="s">
        <v>618</v>
      </c>
      <c r="C979" s="1">
        <v>45338</v>
      </c>
      <c r="D979">
        <v>0</v>
      </c>
      <c r="E979">
        <v>51984.62</v>
      </c>
      <c r="F979">
        <v>161753.5</v>
      </c>
      <c r="G979" t="s">
        <v>719</v>
      </c>
      <c r="H979" s="7">
        <f t="shared" si="111"/>
        <v>0</v>
      </c>
      <c r="I979" s="1">
        <f t="shared" si="105"/>
        <v>45338</v>
      </c>
      <c r="J979" s="1" t="str">
        <f t="shared" si="106"/>
        <v>NET PO FROM HSL A/C 347707-50200085415108</v>
      </c>
      <c r="L979" s="7">
        <f t="shared" si="107"/>
        <v>0</v>
      </c>
      <c r="M979" s="7">
        <f t="shared" si="108"/>
        <v>51984.62</v>
      </c>
      <c r="N979" s="7">
        <f t="shared" si="109"/>
        <v>161753.5</v>
      </c>
      <c r="O979" s="7" t="str">
        <f t="shared" si="110"/>
        <v>HDFC 5930</v>
      </c>
    </row>
    <row r="980" spans="1:15" x14ac:dyDescent="0.25">
      <c r="A980" s="1">
        <v>45338</v>
      </c>
      <c r="B980" t="s">
        <v>472</v>
      </c>
      <c r="C980" s="1">
        <v>45338</v>
      </c>
      <c r="D980">
        <v>386.11</v>
      </c>
      <c r="E980">
        <v>0</v>
      </c>
      <c r="F980">
        <v>161367.39000000001</v>
      </c>
      <c r="G980" t="s">
        <v>719</v>
      </c>
      <c r="H980" s="7">
        <f t="shared" si="111"/>
        <v>0</v>
      </c>
      <c r="I980" s="1">
        <f t="shared" si="105"/>
        <v>45338</v>
      </c>
      <c r="J980" s="1" t="str">
        <f t="shared" si="106"/>
        <v>NET PI TO HSL SEC A/C 347707-00602340029392</v>
      </c>
      <c r="L980" s="7">
        <f t="shared" si="107"/>
        <v>386.11</v>
      </c>
      <c r="M980" s="7">
        <f t="shared" si="108"/>
        <v>0</v>
      </c>
      <c r="N980" s="7">
        <f t="shared" si="109"/>
        <v>161367.39000000001</v>
      </c>
      <c r="O980" s="7" t="str">
        <f t="shared" si="110"/>
        <v>HDFC 5930</v>
      </c>
    </row>
    <row r="981" spans="1:15" x14ac:dyDescent="0.25">
      <c r="A981" s="1">
        <v>45338</v>
      </c>
      <c r="B981" t="s">
        <v>941</v>
      </c>
      <c r="C981" s="1">
        <v>45338</v>
      </c>
      <c r="D981">
        <v>0</v>
      </c>
      <c r="E981">
        <v>8.5</v>
      </c>
      <c r="F981">
        <v>161375.89000000001</v>
      </c>
      <c r="G981" t="s">
        <v>719</v>
      </c>
      <c r="H981" s="7">
        <f t="shared" si="111"/>
        <v>0</v>
      </c>
      <c r="I981" s="1">
        <f t="shared" si="105"/>
        <v>45338</v>
      </c>
      <c r="J981" s="1" t="str">
        <f t="shared" si="106"/>
        <v>ACH C- SUNPHARMA INT2023 24-152817</v>
      </c>
      <c r="L981" s="7">
        <f t="shared" si="107"/>
        <v>0</v>
      </c>
      <c r="M981" s="7">
        <f t="shared" si="108"/>
        <v>8.5</v>
      </c>
      <c r="N981" s="7">
        <f t="shared" si="109"/>
        <v>161375.89000000001</v>
      </c>
      <c r="O981" s="7" t="str">
        <f t="shared" si="110"/>
        <v>HDFC 5930</v>
      </c>
    </row>
    <row r="982" spans="1:15" x14ac:dyDescent="0.25">
      <c r="A982" s="1">
        <v>45338</v>
      </c>
      <c r="B982" t="s">
        <v>618</v>
      </c>
      <c r="C982" s="1">
        <v>45338</v>
      </c>
      <c r="D982">
        <v>0</v>
      </c>
      <c r="E982">
        <v>20360.919999999998</v>
      </c>
      <c r="F982">
        <v>181736.81</v>
      </c>
      <c r="G982" t="s">
        <v>719</v>
      </c>
      <c r="H982" s="7">
        <f t="shared" si="111"/>
        <v>0</v>
      </c>
      <c r="I982" s="1">
        <f t="shared" si="105"/>
        <v>45338</v>
      </c>
      <c r="J982" s="1" t="str">
        <f t="shared" si="106"/>
        <v>NET PO FROM HSL A/C 347707-50200085415108</v>
      </c>
      <c r="L982" s="7">
        <f t="shared" si="107"/>
        <v>0</v>
      </c>
      <c r="M982" s="7">
        <f t="shared" si="108"/>
        <v>20360.919999999998</v>
      </c>
      <c r="N982" s="7">
        <f t="shared" si="109"/>
        <v>181736.81</v>
      </c>
      <c r="O982" s="7" t="str">
        <f t="shared" si="110"/>
        <v>HDFC 5930</v>
      </c>
    </row>
    <row r="983" spans="1:15" x14ac:dyDescent="0.25">
      <c r="A983" s="1">
        <v>45341</v>
      </c>
      <c r="B983" t="s">
        <v>472</v>
      </c>
      <c r="C983" s="1">
        <v>45341</v>
      </c>
      <c r="D983">
        <v>1114.68</v>
      </c>
      <c r="E983">
        <v>0</v>
      </c>
      <c r="F983">
        <v>180622.13</v>
      </c>
      <c r="G983" t="s">
        <v>719</v>
      </c>
      <c r="H983" s="7">
        <f t="shared" si="111"/>
        <v>0</v>
      </c>
      <c r="I983" s="1">
        <f t="shared" si="105"/>
        <v>45341</v>
      </c>
      <c r="J983" s="1" t="str">
        <f t="shared" si="106"/>
        <v>NET PI TO HSL SEC A/C 347707-00602340029392</v>
      </c>
      <c r="L983" s="7">
        <f t="shared" si="107"/>
        <v>1114.68</v>
      </c>
      <c r="M983" s="7">
        <f t="shared" si="108"/>
        <v>0</v>
      </c>
      <c r="N983" s="7">
        <f t="shared" si="109"/>
        <v>180622.13</v>
      </c>
      <c r="O983" s="7" t="str">
        <f t="shared" si="110"/>
        <v>HDFC 5930</v>
      </c>
    </row>
    <row r="984" spans="1:15" x14ac:dyDescent="0.25">
      <c r="A984" s="1">
        <v>45341</v>
      </c>
      <c r="B984" t="s">
        <v>472</v>
      </c>
      <c r="C984" s="1">
        <v>45341</v>
      </c>
      <c r="D984">
        <v>3456.5</v>
      </c>
      <c r="E984">
        <v>0</v>
      </c>
      <c r="F984">
        <v>177165.63</v>
      </c>
      <c r="G984" t="s">
        <v>719</v>
      </c>
      <c r="H984" s="7">
        <f t="shared" si="111"/>
        <v>0</v>
      </c>
      <c r="I984" s="1">
        <f t="shared" si="105"/>
        <v>45341</v>
      </c>
      <c r="J984" s="1" t="str">
        <f t="shared" si="106"/>
        <v>NET PI TO HSL SEC A/C 347707-00602340029392</v>
      </c>
      <c r="L984" s="7">
        <f t="shared" si="107"/>
        <v>3456.5</v>
      </c>
      <c r="M984" s="7">
        <f t="shared" si="108"/>
        <v>0</v>
      </c>
      <c r="N984" s="7">
        <f t="shared" si="109"/>
        <v>177165.63</v>
      </c>
      <c r="O984" s="7" t="str">
        <f t="shared" si="110"/>
        <v>HDFC 5930</v>
      </c>
    </row>
    <row r="985" spans="1:15" x14ac:dyDescent="0.25">
      <c r="A985" s="1">
        <v>45342</v>
      </c>
      <c r="B985" t="s">
        <v>618</v>
      </c>
      <c r="C985" s="1">
        <v>45342</v>
      </c>
      <c r="D985">
        <v>0</v>
      </c>
      <c r="E985">
        <v>770.41</v>
      </c>
      <c r="F985">
        <v>177936.04</v>
      </c>
      <c r="G985" t="s">
        <v>719</v>
      </c>
      <c r="H985" s="7">
        <f t="shared" si="111"/>
        <v>0</v>
      </c>
      <c r="I985" s="1">
        <f t="shared" si="105"/>
        <v>45342</v>
      </c>
      <c r="J985" s="1" t="str">
        <f t="shared" si="106"/>
        <v>NET PO FROM HSL A/C 347707-50200085415108</v>
      </c>
      <c r="L985" s="7">
        <f t="shared" si="107"/>
        <v>0</v>
      </c>
      <c r="M985" s="7">
        <f t="shared" si="108"/>
        <v>770.41</v>
      </c>
      <c r="N985" s="7">
        <f t="shared" si="109"/>
        <v>177936.04</v>
      </c>
      <c r="O985" s="7" t="str">
        <f t="shared" si="110"/>
        <v>HDFC 5930</v>
      </c>
    </row>
    <row r="986" spans="1:15" x14ac:dyDescent="0.25">
      <c r="A986" s="1">
        <v>45342</v>
      </c>
      <c r="B986" t="s">
        <v>618</v>
      </c>
      <c r="C986" s="1">
        <v>45342</v>
      </c>
      <c r="D986">
        <v>0</v>
      </c>
      <c r="E986">
        <v>20432.95</v>
      </c>
      <c r="F986">
        <v>198368.99</v>
      </c>
      <c r="G986" t="s">
        <v>719</v>
      </c>
      <c r="H986" s="7">
        <f t="shared" si="111"/>
        <v>0</v>
      </c>
      <c r="I986" s="1">
        <f t="shared" si="105"/>
        <v>45342</v>
      </c>
      <c r="J986" s="1" t="str">
        <f t="shared" si="106"/>
        <v>NET PO FROM HSL A/C 347707-50200085415108</v>
      </c>
      <c r="L986" s="7">
        <f t="shared" si="107"/>
        <v>0</v>
      </c>
      <c r="M986" s="7">
        <f t="shared" si="108"/>
        <v>20432.95</v>
      </c>
      <c r="N986" s="7">
        <f t="shared" si="109"/>
        <v>198368.99</v>
      </c>
      <c r="O986" s="7" t="str">
        <f t="shared" si="110"/>
        <v>HDFC 5930</v>
      </c>
    </row>
    <row r="987" spans="1:15" x14ac:dyDescent="0.25">
      <c r="A987" s="1">
        <v>45342</v>
      </c>
      <c r="B987" t="s">
        <v>681</v>
      </c>
      <c r="C987" s="1">
        <v>45342</v>
      </c>
      <c r="D987">
        <v>10000</v>
      </c>
      <c r="E987">
        <v>0</v>
      </c>
      <c r="F987">
        <v>188368.99</v>
      </c>
      <c r="G987" t="s">
        <v>719</v>
      </c>
      <c r="H987" s="7">
        <f t="shared" si="111"/>
        <v>0</v>
      </c>
      <c r="I987" s="1">
        <f t="shared" si="105"/>
        <v>45342</v>
      </c>
      <c r="J987" s="1" t="str">
        <f t="shared" si="106"/>
        <v>ACH D- INDIAN CLEARING CORP-P25847605X05</v>
      </c>
      <c r="L987" s="7">
        <f t="shared" si="107"/>
        <v>10000</v>
      </c>
      <c r="M987" s="7">
        <f t="shared" si="108"/>
        <v>0</v>
      </c>
      <c r="N987" s="7">
        <f t="shared" si="109"/>
        <v>188368.99</v>
      </c>
      <c r="O987" s="7" t="str">
        <f t="shared" si="110"/>
        <v>HDFC 5930</v>
      </c>
    </row>
    <row r="988" spans="1:15" x14ac:dyDescent="0.25">
      <c r="A988" s="1">
        <v>45342</v>
      </c>
      <c r="B988" t="s">
        <v>472</v>
      </c>
      <c r="C988" s="1">
        <v>45342</v>
      </c>
      <c r="D988">
        <v>370.33</v>
      </c>
      <c r="E988">
        <v>0</v>
      </c>
      <c r="F988">
        <v>187998.66</v>
      </c>
      <c r="G988" t="s">
        <v>719</v>
      </c>
      <c r="H988" s="7">
        <f t="shared" si="111"/>
        <v>0</v>
      </c>
      <c r="I988" s="1">
        <f t="shared" si="105"/>
        <v>45342</v>
      </c>
      <c r="J988" s="1" t="str">
        <f t="shared" si="106"/>
        <v>NET PI TO HSL SEC A/C 347707-00602340029392</v>
      </c>
      <c r="L988" s="7">
        <f t="shared" si="107"/>
        <v>370.33</v>
      </c>
      <c r="M988" s="7">
        <f t="shared" si="108"/>
        <v>0</v>
      </c>
      <c r="N988" s="7">
        <f t="shared" si="109"/>
        <v>187998.66</v>
      </c>
      <c r="O988" s="7" t="str">
        <f t="shared" si="110"/>
        <v>HDFC 5930</v>
      </c>
    </row>
    <row r="989" spans="1:15" x14ac:dyDescent="0.25">
      <c r="A989" s="1">
        <v>45342</v>
      </c>
      <c r="B989" t="s">
        <v>942</v>
      </c>
      <c r="C989" s="1">
        <v>45342</v>
      </c>
      <c r="D989">
        <v>0</v>
      </c>
      <c r="E989">
        <v>200000</v>
      </c>
      <c r="F989">
        <v>387998.66</v>
      </c>
      <c r="G989" t="s">
        <v>719</v>
      </c>
      <c r="H989" s="7">
        <f t="shared" si="111"/>
        <v>0</v>
      </c>
      <c r="I989" s="1">
        <f t="shared" si="105"/>
        <v>45342</v>
      </c>
      <c r="J989" s="1" t="str">
        <f t="shared" si="106"/>
        <v>NEFT CR-UTIB0000115-AJAY KUMAR GUPTA-AJAY GUPTA-AXOIR40511622501</v>
      </c>
      <c r="L989" s="7">
        <f t="shared" si="107"/>
        <v>0</v>
      </c>
      <c r="M989" s="7">
        <f t="shared" si="108"/>
        <v>200000</v>
      </c>
      <c r="N989" s="7">
        <f t="shared" si="109"/>
        <v>387998.66</v>
      </c>
      <c r="O989" s="7" t="str">
        <f t="shared" si="110"/>
        <v>HDFC 5930</v>
      </c>
    </row>
    <row r="990" spans="1:15" x14ac:dyDescent="0.25">
      <c r="A990" s="1">
        <v>45342</v>
      </c>
      <c r="B990" t="s">
        <v>943</v>
      </c>
      <c r="C990" s="1">
        <v>45342</v>
      </c>
      <c r="D990">
        <v>93195</v>
      </c>
      <c r="E990">
        <v>0</v>
      </c>
      <c r="F990">
        <v>294803.65999999997</v>
      </c>
      <c r="G990" t="s">
        <v>719</v>
      </c>
      <c r="H990" s="7">
        <f t="shared" si="111"/>
        <v>0</v>
      </c>
      <c r="I990" s="1">
        <f t="shared" ref="I990:I1053" si="112">A990</f>
        <v>45342</v>
      </c>
      <c r="J990" s="1" t="str">
        <f t="shared" ref="J990:J1053" si="113">B990</f>
        <v>SGB2324D/2400024050923271-50200036338578</v>
      </c>
      <c r="L990" s="7">
        <f t="shared" ref="L990:L1053" si="114">D990</f>
        <v>93195</v>
      </c>
      <c r="M990" s="7">
        <f t="shared" ref="M990:M1053" si="115">E990</f>
        <v>0</v>
      </c>
      <c r="N990" s="7">
        <f t="shared" ref="N990:N1053" si="116">F990</f>
        <v>294803.65999999997</v>
      </c>
      <c r="O990" s="7" t="str">
        <f t="shared" ref="O990:O1053" si="117">G990</f>
        <v>HDFC 5930</v>
      </c>
    </row>
    <row r="991" spans="1:15" x14ac:dyDescent="0.25">
      <c r="A991" s="1">
        <v>45342</v>
      </c>
      <c r="B991" t="s">
        <v>472</v>
      </c>
      <c r="C991" s="1">
        <v>45342</v>
      </c>
      <c r="D991">
        <v>18419.060000000001</v>
      </c>
      <c r="E991">
        <v>0</v>
      </c>
      <c r="F991">
        <v>276384.59999999998</v>
      </c>
      <c r="G991" t="s">
        <v>719</v>
      </c>
      <c r="H991" s="7">
        <f t="shared" ref="H991:H1054" si="118">F990-D991+E991-F991</f>
        <v>0</v>
      </c>
      <c r="I991" s="1">
        <f t="shared" si="112"/>
        <v>45342</v>
      </c>
      <c r="J991" s="1" t="str">
        <f t="shared" si="113"/>
        <v>NET PI TO HSL SEC A/C 347707-00602340029392</v>
      </c>
      <c r="L991" s="7">
        <f t="shared" si="114"/>
        <v>18419.060000000001</v>
      </c>
      <c r="M991" s="7">
        <f t="shared" si="115"/>
        <v>0</v>
      </c>
      <c r="N991" s="7">
        <f t="shared" si="116"/>
        <v>276384.59999999998</v>
      </c>
      <c r="O991" s="7" t="str">
        <f t="shared" si="117"/>
        <v>HDFC 5930</v>
      </c>
    </row>
    <row r="992" spans="1:15" x14ac:dyDescent="0.25">
      <c r="A992" s="1">
        <v>45343</v>
      </c>
      <c r="B992" t="s">
        <v>618</v>
      </c>
      <c r="C992" s="1">
        <v>45343</v>
      </c>
      <c r="D992">
        <v>0</v>
      </c>
      <c r="E992">
        <v>2167.2800000000002</v>
      </c>
      <c r="F992">
        <v>278551.88</v>
      </c>
      <c r="G992" t="s">
        <v>719</v>
      </c>
      <c r="H992" s="7">
        <f t="shared" si="118"/>
        <v>0</v>
      </c>
      <c r="I992" s="1">
        <f t="shared" si="112"/>
        <v>45343</v>
      </c>
      <c r="J992" s="1" t="str">
        <f t="shared" si="113"/>
        <v>NET PO FROM HSL A/C 347707-50200085415108</v>
      </c>
      <c r="L992" s="7">
        <f t="shared" si="114"/>
        <v>0</v>
      </c>
      <c r="M992" s="7">
        <f t="shared" si="115"/>
        <v>2167.2800000000002</v>
      </c>
      <c r="N992" s="7">
        <f t="shared" si="116"/>
        <v>278551.88</v>
      </c>
      <c r="O992" s="7" t="str">
        <f t="shared" si="117"/>
        <v>HDFC 5930</v>
      </c>
    </row>
    <row r="993" spans="1:15" x14ac:dyDescent="0.25">
      <c r="A993" s="1">
        <v>45343</v>
      </c>
      <c r="B993" t="s">
        <v>472</v>
      </c>
      <c r="C993" s="1">
        <v>45343</v>
      </c>
      <c r="D993">
        <v>351.62</v>
      </c>
      <c r="E993">
        <v>0</v>
      </c>
      <c r="F993">
        <v>278200.26</v>
      </c>
      <c r="G993" t="s">
        <v>719</v>
      </c>
      <c r="H993" s="7">
        <f t="shared" si="118"/>
        <v>0</v>
      </c>
      <c r="I993" s="1">
        <f t="shared" si="112"/>
        <v>45343</v>
      </c>
      <c r="J993" s="1" t="str">
        <f t="shared" si="113"/>
        <v>NET PI TO HSL SEC A/C 347707-00602340029392</v>
      </c>
      <c r="L993" s="7">
        <f t="shared" si="114"/>
        <v>351.62</v>
      </c>
      <c r="M993" s="7">
        <f t="shared" si="115"/>
        <v>0</v>
      </c>
      <c r="N993" s="7">
        <f t="shared" si="116"/>
        <v>278200.26</v>
      </c>
      <c r="O993" s="7" t="str">
        <f t="shared" si="117"/>
        <v>HDFC 5930</v>
      </c>
    </row>
    <row r="994" spans="1:15" x14ac:dyDescent="0.25">
      <c r="A994" s="1">
        <v>45343</v>
      </c>
      <c r="B994" t="s">
        <v>944</v>
      </c>
      <c r="C994" s="1">
        <v>45343</v>
      </c>
      <c r="D994">
        <v>885</v>
      </c>
      <c r="E994">
        <v>0</v>
      </c>
      <c r="F994">
        <v>277315.26</v>
      </c>
      <c r="G994" t="s">
        <v>719</v>
      </c>
      <c r="H994" s="7">
        <f t="shared" si="118"/>
        <v>0</v>
      </c>
      <c r="I994" s="1">
        <f t="shared" si="112"/>
        <v>45343</v>
      </c>
      <c r="J994" s="1" t="str">
        <f t="shared" si="113"/>
        <v>DEBIT CARD ANNUAL FEE-FEB-2024 170224-MIR2405234774752</v>
      </c>
      <c r="L994" s="7">
        <f t="shared" si="114"/>
        <v>885</v>
      </c>
      <c r="M994" s="7">
        <f t="shared" si="115"/>
        <v>0</v>
      </c>
      <c r="N994" s="7">
        <f t="shared" si="116"/>
        <v>277315.26</v>
      </c>
      <c r="O994" s="7" t="str">
        <f t="shared" si="117"/>
        <v>HDFC 5930</v>
      </c>
    </row>
    <row r="995" spans="1:15" x14ac:dyDescent="0.25">
      <c r="A995" s="1">
        <v>45343</v>
      </c>
      <c r="B995" t="s">
        <v>472</v>
      </c>
      <c r="C995" s="1">
        <v>45343</v>
      </c>
      <c r="D995">
        <v>14409.04</v>
      </c>
      <c r="E995">
        <v>0</v>
      </c>
      <c r="F995">
        <v>262906.21999999997</v>
      </c>
      <c r="G995" t="s">
        <v>719</v>
      </c>
      <c r="H995" s="7">
        <f t="shared" si="118"/>
        <v>0</v>
      </c>
      <c r="I995" s="1">
        <f t="shared" si="112"/>
        <v>45343</v>
      </c>
      <c r="J995" s="1" t="str">
        <f t="shared" si="113"/>
        <v>NET PI TO HSL SEC A/C 347707-00602340029392</v>
      </c>
      <c r="L995" s="7">
        <f t="shared" si="114"/>
        <v>14409.04</v>
      </c>
      <c r="M995" s="7">
        <f t="shared" si="115"/>
        <v>0</v>
      </c>
      <c r="N995" s="7">
        <f t="shared" si="116"/>
        <v>262906.21999999997</v>
      </c>
      <c r="O995" s="7" t="str">
        <f t="shared" si="117"/>
        <v>HDFC 5930</v>
      </c>
    </row>
    <row r="996" spans="1:15" x14ac:dyDescent="0.25">
      <c r="A996" s="1">
        <v>45343</v>
      </c>
      <c r="B996" t="s">
        <v>472</v>
      </c>
      <c r="C996" s="1">
        <v>45343</v>
      </c>
      <c r="D996">
        <v>154262.63</v>
      </c>
      <c r="E996">
        <v>0</v>
      </c>
      <c r="F996">
        <v>108643.59</v>
      </c>
      <c r="G996" t="s">
        <v>719</v>
      </c>
      <c r="H996" s="7">
        <f t="shared" si="118"/>
        <v>0</v>
      </c>
      <c r="I996" s="1">
        <f t="shared" si="112"/>
        <v>45343</v>
      </c>
      <c r="J996" s="1" t="str">
        <f t="shared" si="113"/>
        <v>NET PI TO HSL SEC A/C 347707-00602340029392</v>
      </c>
      <c r="L996" s="7">
        <f t="shared" si="114"/>
        <v>154262.63</v>
      </c>
      <c r="M996" s="7">
        <f t="shared" si="115"/>
        <v>0</v>
      </c>
      <c r="N996" s="7">
        <f t="shared" si="116"/>
        <v>108643.59</v>
      </c>
      <c r="O996" s="7" t="str">
        <f t="shared" si="117"/>
        <v>HDFC 5930</v>
      </c>
    </row>
    <row r="997" spans="1:15" x14ac:dyDescent="0.25">
      <c r="A997" s="1">
        <v>45344</v>
      </c>
      <c r="B997" t="s">
        <v>472</v>
      </c>
      <c r="C997" s="1">
        <v>45344</v>
      </c>
      <c r="D997">
        <v>296.68</v>
      </c>
      <c r="E997">
        <v>0</v>
      </c>
      <c r="F997">
        <v>108346.91</v>
      </c>
      <c r="G997" t="s">
        <v>719</v>
      </c>
      <c r="H997" s="7">
        <f t="shared" si="118"/>
        <v>0</v>
      </c>
      <c r="I997" s="1">
        <f t="shared" si="112"/>
        <v>45344</v>
      </c>
      <c r="J997" s="1" t="str">
        <f t="shared" si="113"/>
        <v>NET PI TO HSL SEC A/C 347707-00602340029392</v>
      </c>
      <c r="L997" s="7">
        <f t="shared" si="114"/>
        <v>296.68</v>
      </c>
      <c r="M997" s="7">
        <f t="shared" si="115"/>
        <v>0</v>
      </c>
      <c r="N997" s="7">
        <f t="shared" si="116"/>
        <v>108346.91</v>
      </c>
      <c r="O997" s="7" t="str">
        <f t="shared" si="117"/>
        <v>HDFC 5930</v>
      </c>
    </row>
    <row r="998" spans="1:15" x14ac:dyDescent="0.25">
      <c r="A998" s="1">
        <v>45344</v>
      </c>
      <c r="B998" t="s">
        <v>472</v>
      </c>
      <c r="C998" s="1">
        <v>45344</v>
      </c>
      <c r="D998">
        <v>21557.58</v>
      </c>
      <c r="E998">
        <v>0</v>
      </c>
      <c r="F998">
        <v>86789.33</v>
      </c>
      <c r="G998" t="s">
        <v>719</v>
      </c>
      <c r="H998" s="7">
        <f t="shared" si="118"/>
        <v>0</v>
      </c>
      <c r="I998" s="1">
        <f t="shared" si="112"/>
        <v>45344</v>
      </c>
      <c r="J998" s="1" t="str">
        <f t="shared" si="113"/>
        <v>NET PI TO HSL SEC A/C 347707-00602340029392</v>
      </c>
      <c r="L998" s="7">
        <f t="shared" si="114"/>
        <v>21557.58</v>
      </c>
      <c r="M998" s="7">
        <f t="shared" si="115"/>
        <v>0</v>
      </c>
      <c r="N998" s="7">
        <f t="shared" si="116"/>
        <v>86789.33</v>
      </c>
      <c r="O998" s="7" t="str">
        <f t="shared" si="117"/>
        <v>HDFC 5930</v>
      </c>
    </row>
    <row r="999" spans="1:15" x14ac:dyDescent="0.25">
      <c r="A999" s="1">
        <v>45345</v>
      </c>
      <c r="B999" t="s">
        <v>618</v>
      </c>
      <c r="C999" s="1">
        <v>45345</v>
      </c>
      <c r="D999">
        <v>0</v>
      </c>
      <c r="E999">
        <v>803.09</v>
      </c>
      <c r="F999">
        <v>87592.42</v>
      </c>
      <c r="G999" t="s">
        <v>719</v>
      </c>
      <c r="H999" s="7">
        <f t="shared" si="118"/>
        <v>0</v>
      </c>
      <c r="I999" s="1">
        <f t="shared" si="112"/>
        <v>45345</v>
      </c>
      <c r="J999" s="1" t="str">
        <f t="shared" si="113"/>
        <v>NET PO FROM HSL A/C 347707-50200085415108</v>
      </c>
      <c r="L999" s="7">
        <f t="shared" si="114"/>
        <v>0</v>
      </c>
      <c r="M999" s="7">
        <f t="shared" si="115"/>
        <v>803.09</v>
      </c>
      <c r="N999" s="7">
        <f t="shared" si="116"/>
        <v>87592.42</v>
      </c>
      <c r="O999" s="7" t="str">
        <f t="shared" si="117"/>
        <v>HDFC 5930</v>
      </c>
    </row>
    <row r="1000" spans="1:15" x14ac:dyDescent="0.25">
      <c r="A1000" s="1">
        <v>45345</v>
      </c>
      <c r="B1000" t="s">
        <v>618</v>
      </c>
      <c r="C1000" s="1">
        <v>45345</v>
      </c>
      <c r="D1000">
        <v>0</v>
      </c>
      <c r="E1000">
        <v>21668.720000000001</v>
      </c>
      <c r="F1000">
        <v>109261.14</v>
      </c>
      <c r="G1000" t="s">
        <v>719</v>
      </c>
      <c r="H1000" s="7">
        <f t="shared" si="118"/>
        <v>0</v>
      </c>
      <c r="I1000" s="1">
        <f t="shared" si="112"/>
        <v>45345</v>
      </c>
      <c r="J1000" s="1" t="str">
        <f t="shared" si="113"/>
        <v>NET PO FROM HSL A/C 347707-50200085415108</v>
      </c>
      <c r="L1000" s="7">
        <f t="shared" si="114"/>
        <v>0</v>
      </c>
      <c r="M1000" s="7">
        <f t="shared" si="115"/>
        <v>21668.720000000001</v>
      </c>
      <c r="N1000" s="7">
        <f t="shared" si="116"/>
        <v>109261.14</v>
      </c>
      <c r="O1000" s="7" t="str">
        <f t="shared" si="117"/>
        <v>HDFC 5930</v>
      </c>
    </row>
    <row r="1001" spans="1:15" x14ac:dyDescent="0.25">
      <c r="A1001" s="1">
        <v>45345</v>
      </c>
      <c r="B1001" t="s">
        <v>472</v>
      </c>
      <c r="C1001" s="1">
        <v>45345</v>
      </c>
      <c r="D1001">
        <v>346.63</v>
      </c>
      <c r="E1001">
        <v>0</v>
      </c>
      <c r="F1001">
        <v>108914.51</v>
      </c>
      <c r="G1001" t="s">
        <v>719</v>
      </c>
      <c r="H1001" s="7">
        <f t="shared" si="118"/>
        <v>0</v>
      </c>
      <c r="I1001" s="1">
        <f t="shared" si="112"/>
        <v>45345</v>
      </c>
      <c r="J1001" s="1" t="str">
        <f t="shared" si="113"/>
        <v>NET PI TO HSL SEC A/C 347707-00602340029392</v>
      </c>
      <c r="L1001" s="7">
        <f t="shared" si="114"/>
        <v>346.63</v>
      </c>
      <c r="M1001" s="7">
        <f t="shared" si="115"/>
        <v>0</v>
      </c>
      <c r="N1001" s="7">
        <f t="shared" si="116"/>
        <v>108914.51</v>
      </c>
      <c r="O1001" s="7" t="str">
        <f t="shared" si="117"/>
        <v>HDFC 5930</v>
      </c>
    </row>
    <row r="1002" spans="1:15" x14ac:dyDescent="0.25">
      <c r="A1002" s="1">
        <v>45345</v>
      </c>
      <c r="B1002" t="s">
        <v>945</v>
      </c>
      <c r="C1002" s="1">
        <v>45345</v>
      </c>
      <c r="D1002">
        <v>0</v>
      </c>
      <c r="E1002">
        <v>1200</v>
      </c>
      <c r="F1002">
        <v>110114.51</v>
      </c>
      <c r="G1002" t="s">
        <v>719</v>
      </c>
      <c r="H1002" s="7">
        <f t="shared" si="118"/>
        <v>0</v>
      </c>
      <c r="I1002" s="1">
        <f t="shared" si="112"/>
        <v>45345</v>
      </c>
      <c r="J1002" s="1" t="str">
        <f t="shared" si="113"/>
        <v>LAL PATHLAB DIV23 2400000000000000010179</v>
      </c>
      <c r="L1002" s="7">
        <f t="shared" si="114"/>
        <v>0</v>
      </c>
      <c r="M1002" s="7">
        <f t="shared" si="115"/>
        <v>1200</v>
      </c>
      <c r="N1002" s="7">
        <f t="shared" si="116"/>
        <v>110114.51</v>
      </c>
      <c r="O1002" s="7" t="str">
        <f t="shared" si="117"/>
        <v>HDFC 5930</v>
      </c>
    </row>
    <row r="1003" spans="1:15" x14ac:dyDescent="0.25">
      <c r="A1003" s="1">
        <v>45345</v>
      </c>
      <c r="B1003" t="s">
        <v>472</v>
      </c>
      <c r="C1003" s="1">
        <v>45345</v>
      </c>
      <c r="D1003">
        <v>32230.33</v>
      </c>
      <c r="E1003">
        <v>0</v>
      </c>
      <c r="F1003">
        <v>77884.179999999993</v>
      </c>
      <c r="G1003" t="s">
        <v>719</v>
      </c>
      <c r="H1003" s="7">
        <f t="shared" si="118"/>
        <v>0</v>
      </c>
      <c r="I1003" s="1">
        <f t="shared" si="112"/>
        <v>45345</v>
      </c>
      <c r="J1003" s="1" t="str">
        <f t="shared" si="113"/>
        <v>NET PI TO HSL SEC A/C 347707-00602340029392</v>
      </c>
      <c r="L1003" s="7">
        <f t="shared" si="114"/>
        <v>32230.33</v>
      </c>
      <c r="M1003" s="7">
        <f t="shared" si="115"/>
        <v>0</v>
      </c>
      <c r="N1003" s="7">
        <f t="shared" si="116"/>
        <v>77884.179999999993</v>
      </c>
      <c r="O1003" s="7" t="str">
        <f t="shared" si="117"/>
        <v>HDFC 5930</v>
      </c>
    </row>
    <row r="1004" spans="1:15" x14ac:dyDescent="0.25">
      <c r="A1004" s="1">
        <v>45348</v>
      </c>
      <c r="B1004" t="s">
        <v>946</v>
      </c>
      <c r="C1004" s="1">
        <v>45348</v>
      </c>
      <c r="D1004">
        <v>0</v>
      </c>
      <c r="E1004">
        <v>400</v>
      </c>
      <c r="F1004">
        <v>78284.179999999993</v>
      </c>
      <c r="G1004" t="s">
        <v>719</v>
      </c>
      <c r="H1004" s="7">
        <f t="shared" si="118"/>
        <v>0</v>
      </c>
      <c r="I1004" s="1">
        <f t="shared" si="112"/>
        <v>45348</v>
      </c>
      <c r="J1004" s="1" t="str">
        <f t="shared" si="113"/>
        <v>ACH C- ADVANI HOTELS AND RE-065233300015</v>
      </c>
      <c r="L1004" s="7">
        <f t="shared" si="114"/>
        <v>0</v>
      </c>
      <c r="M1004" s="7">
        <f t="shared" si="115"/>
        <v>400</v>
      </c>
      <c r="N1004" s="7">
        <f t="shared" si="116"/>
        <v>78284.179999999993</v>
      </c>
      <c r="O1004" s="7" t="str">
        <f t="shared" si="117"/>
        <v>HDFC 5930</v>
      </c>
    </row>
    <row r="1005" spans="1:15" x14ac:dyDescent="0.25">
      <c r="A1005" s="1">
        <v>45348</v>
      </c>
      <c r="B1005" t="s">
        <v>472</v>
      </c>
      <c r="C1005" s="1">
        <v>45348</v>
      </c>
      <c r="D1005">
        <v>13236.46</v>
      </c>
      <c r="E1005">
        <v>0</v>
      </c>
      <c r="F1005">
        <v>65047.72</v>
      </c>
      <c r="G1005" t="s">
        <v>719</v>
      </c>
      <c r="H1005" s="7">
        <f t="shared" si="118"/>
        <v>0</v>
      </c>
      <c r="I1005" s="1">
        <f t="shared" si="112"/>
        <v>45348</v>
      </c>
      <c r="J1005" s="1" t="str">
        <f t="shared" si="113"/>
        <v>NET PI TO HSL SEC A/C 347707-00602340029392</v>
      </c>
      <c r="L1005" s="7">
        <f t="shared" si="114"/>
        <v>13236.46</v>
      </c>
      <c r="M1005" s="7">
        <f t="shared" si="115"/>
        <v>0</v>
      </c>
      <c r="N1005" s="7">
        <f t="shared" si="116"/>
        <v>65047.72</v>
      </c>
      <c r="O1005" s="7" t="str">
        <f t="shared" si="117"/>
        <v>HDFC 5930</v>
      </c>
    </row>
    <row r="1006" spans="1:15" x14ac:dyDescent="0.25">
      <c r="A1006" s="1">
        <v>45349</v>
      </c>
      <c r="B1006" t="s">
        <v>472</v>
      </c>
      <c r="C1006" s="1">
        <v>45349</v>
      </c>
      <c r="D1006">
        <v>391.37</v>
      </c>
      <c r="E1006">
        <v>0</v>
      </c>
      <c r="F1006">
        <v>64656.35</v>
      </c>
      <c r="G1006" t="s">
        <v>719</v>
      </c>
      <c r="H1006" s="7">
        <f t="shared" si="118"/>
        <v>0</v>
      </c>
      <c r="I1006" s="1">
        <f t="shared" si="112"/>
        <v>45349</v>
      </c>
      <c r="J1006" s="1" t="str">
        <f t="shared" si="113"/>
        <v>NET PI TO HSL SEC A/C 347707-00602340029392</v>
      </c>
      <c r="L1006" s="7">
        <f t="shared" si="114"/>
        <v>391.37</v>
      </c>
      <c r="M1006" s="7">
        <f t="shared" si="115"/>
        <v>0</v>
      </c>
      <c r="N1006" s="7">
        <f t="shared" si="116"/>
        <v>64656.35</v>
      </c>
      <c r="O1006" s="7" t="str">
        <f t="shared" si="117"/>
        <v>HDFC 5930</v>
      </c>
    </row>
    <row r="1007" spans="1:15" x14ac:dyDescent="0.25">
      <c r="A1007" s="1">
        <v>45349</v>
      </c>
      <c r="B1007" t="s">
        <v>947</v>
      </c>
      <c r="C1007" s="1">
        <v>45349</v>
      </c>
      <c r="D1007">
        <v>0</v>
      </c>
      <c r="E1007">
        <v>400</v>
      </c>
      <c r="F1007">
        <v>65056.35</v>
      </c>
      <c r="G1007" t="s">
        <v>719</v>
      </c>
      <c r="H1007" s="7">
        <f t="shared" si="118"/>
        <v>0</v>
      </c>
      <c r="I1007" s="1">
        <f t="shared" si="112"/>
        <v>45349</v>
      </c>
      <c r="J1007" s="1" t="str">
        <f t="shared" si="113"/>
        <v>ACH C- OIL AND NATURAL GAS-1358663</v>
      </c>
      <c r="L1007" s="7">
        <f t="shared" si="114"/>
        <v>0</v>
      </c>
      <c r="M1007" s="7">
        <f t="shared" si="115"/>
        <v>400</v>
      </c>
      <c r="N1007" s="7">
        <f t="shared" si="116"/>
        <v>65056.35</v>
      </c>
      <c r="O1007" s="7" t="str">
        <f t="shared" si="117"/>
        <v>HDFC 5930</v>
      </c>
    </row>
    <row r="1008" spans="1:15" x14ac:dyDescent="0.25">
      <c r="A1008" s="1">
        <v>45349</v>
      </c>
      <c r="B1008" t="s">
        <v>472</v>
      </c>
      <c r="C1008" s="1">
        <v>45349</v>
      </c>
      <c r="D1008">
        <v>3570.55</v>
      </c>
      <c r="E1008">
        <v>0</v>
      </c>
      <c r="F1008">
        <v>61485.8</v>
      </c>
      <c r="G1008" t="s">
        <v>719</v>
      </c>
      <c r="H1008" s="7">
        <f t="shared" si="118"/>
        <v>0</v>
      </c>
      <c r="I1008" s="1">
        <f t="shared" si="112"/>
        <v>45349</v>
      </c>
      <c r="J1008" s="1" t="str">
        <f t="shared" si="113"/>
        <v>NET PI TO HSL SEC A/C 347707-00602340029392</v>
      </c>
      <c r="L1008" s="7">
        <f t="shared" si="114"/>
        <v>3570.55</v>
      </c>
      <c r="M1008" s="7">
        <f t="shared" si="115"/>
        <v>0</v>
      </c>
      <c r="N1008" s="7">
        <f t="shared" si="116"/>
        <v>61485.8</v>
      </c>
      <c r="O1008" s="7" t="str">
        <f t="shared" si="117"/>
        <v>HDFC 5930</v>
      </c>
    </row>
    <row r="1009" spans="1:15" x14ac:dyDescent="0.25">
      <c r="A1009" s="1">
        <v>45350</v>
      </c>
      <c r="B1009" t="s">
        <v>472</v>
      </c>
      <c r="C1009" s="1">
        <v>45350</v>
      </c>
      <c r="D1009">
        <v>397.64</v>
      </c>
      <c r="E1009">
        <v>0</v>
      </c>
      <c r="F1009">
        <v>61088.160000000003</v>
      </c>
      <c r="G1009" t="s">
        <v>719</v>
      </c>
      <c r="H1009" s="7">
        <f t="shared" si="118"/>
        <v>0</v>
      </c>
      <c r="I1009" s="1">
        <f t="shared" si="112"/>
        <v>45350</v>
      </c>
      <c r="J1009" s="1" t="str">
        <f t="shared" si="113"/>
        <v>NET PI TO HSL SEC A/C 347707-00602340029392</v>
      </c>
      <c r="L1009" s="7">
        <f t="shared" si="114"/>
        <v>397.64</v>
      </c>
      <c r="M1009" s="7">
        <f t="shared" si="115"/>
        <v>0</v>
      </c>
      <c r="N1009" s="7">
        <f t="shared" si="116"/>
        <v>61088.160000000003</v>
      </c>
      <c r="O1009" s="7" t="str">
        <f t="shared" si="117"/>
        <v>HDFC 5930</v>
      </c>
    </row>
    <row r="1010" spans="1:15" x14ac:dyDescent="0.25">
      <c r="A1010" s="1">
        <v>45350</v>
      </c>
      <c r="B1010" t="s">
        <v>948</v>
      </c>
      <c r="C1010" s="1">
        <v>45350</v>
      </c>
      <c r="D1010">
        <v>0</v>
      </c>
      <c r="E1010">
        <v>100000</v>
      </c>
      <c r="F1010">
        <v>161088.16</v>
      </c>
      <c r="G1010" t="s">
        <v>719</v>
      </c>
      <c r="H1010" s="7">
        <f t="shared" si="118"/>
        <v>0</v>
      </c>
      <c r="I1010" s="1">
        <f t="shared" si="112"/>
        <v>45350</v>
      </c>
      <c r="J1010" s="1" t="str">
        <f t="shared" si="113"/>
        <v>NEFT CR-UTIB0000115-AJAY KUMAR GUPTA-AJAY GUPTA-AXOIR40594209012</v>
      </c>
      <c r="L1010" s="7">
        <f t="shared" si="114"/>
        <v>0</v>
      </c>
      <c r="M1010" s="7">
        <f t="shared" si="115"/>
        <v>100000</v>
      </c>
      <c r="N1010" s="7">
        <f t="shared" si="116"/>
        <v>161088.16</v>
      </c>
      <c r="O1010" s="7" t="str">
        <f t="shared" si="117"/>
        <v>HDFC 5930</v>
      </c>
    </row>
    <row r="1011" spans="1:15" x14ac:dyDescent="0.25">
      <c r="A1011" s="1">
        <v>45350</v>
      </c>
      <c r="B1011" t="s">
        <v>949</v>
      </c>
      <c r="C1011" s="1">
        <v>45350</v>
      </c>
      <c r="D1011">
        <v>0</v>
      </c>
      <c r="E1011">
        <v>216</v>
      </c>
      <c r="F1011">
        <v>161304.16</v>
      </c>
      <c r="G1011" t="s">
        <v>719</v>
      </c>
      <c r="H1011" s="7">
        <f t="shared" si="118"/>
        <v>0</v>
      </c>
      <c r="I1011" s="1">
        <f t="shared" si="112"/>
        <v>45350</v>
      </c>
      <c r="J1011" s="1" t="str">
        <f t="shared" si="113"/>
        <v>ACH C- SRF LIMITED-5074442</v>
      </c>
      <c r="L1011" s="7">
        <f t="shared" si="114"/>
        <v>0</v>
      </c>
      <c r="M1011" s="7">
        <f t="shared" si="115"/>
        <v>216</v>
      </c>
      <c r="N1011" s="7">
        <f t="shared" si="116"/>
        <v>161304.16</v>
      </c>
      <c r="O1011" s="7" t="str">
        <f t="shared" si="117"/>
        <v>HDFC 5930</v>
      </c>
    </row>
    <row r="1012" spans="1:15" x14ac:dyDescent="0.25">
      <c r="A1012" s="1">
        <v>45350</v>
      </c>
      <c r="B1012" t="s">
        <v>472</v>
      </c>
      <c r="C1012" s="1">
        <v>45350</v>
      </c>
      <c r="D1012">
        <v>36882.36</v>
      </c>
      <c r="E1012">
        <v>0</v>
      </c>
      <c r="F1012">
        <v>124421.8</v>
      </c>
      <c r="G1012" t="s">
        <v>719</v>
      </c>
      <c r="H1012" s="7">
        <f t="shared" si="118"/>
        <v>0</v>
      </c>
      <c r="I1012" s="1">
        <f t="shared" si="112"/>
        <v>45350</v>
      </c>
      <c r="J1012" s="1" t="str">
        <f t="shared" si="113"/>
        <v>NET PI TO HSL SEC A/C 347707-00602340029392</v>
      </c>
      <c r="L1012" s="7">
        <f t="shared" si="114"/>
        <v>36882.36</v>
      </c>
      <c r="M1012" s="7">
        <f t="shared" si="115"/>
        <v>0</v>
      </c>
      <c r="N1012" s="7">
        <f t="shared" si="116"/>
        <v>124421.8</v>
      </c>
      <c r="O1012" s="7" t="str">
        <f t="shared" si="117"/>
        <v>HDFC 5930</v>
      </c>
    </row>
    <row r="1013" spans="1:15" x14ac:dyDescent="0.25">
      <c r="A1013" s="1">
        <v>45351</v>
      </c>
      <c r="B1013" t="s">
        <v>472</v>
      </c>
      <c r="C1013" s="1">
        <v>45351</v>
      </c>
      <c r="D1013">
        <v>384.5</v>
      </c>
      <c r="E1013">
        <v>0</v>
      </c>
      <c r="F1013">
        <v>124037.3</v>
      </c>
      <c r="G1013" t="s">
        <v>719</v>
      </c>
      <c r="H1013" s="7">
        <f t="shared" si="118"/>
        <v>0</v>
      </c>
      <c r="I1013" s="1">
        <f t="shared" si="112"/>
        <v>45351</v>
      </c>
      <c r="J1013" s="1" t="str">
        <f t="shared" si="113"/>
        <v>NET PI TO HSL SEC A/C 347707-00602340029392</v>
      </c>
      <c r="L1013" s="7">
        <f t="shared" si="114"/>
        <v>384.5</v>
      </c>
      <c r="M1013" s="7">
        <f t="shared" si="115"/>
        <v>0</v>
      </c>
      <c r="N1013" s="7">
        <f t="shared" si="116"/>
        <v>124037.3</v>
      </c>
      <c r="O1013" s="7" t="str">
        <f t="shared" si="117"/>
        <v>HDFC 5930</v>
      </c>
    </row>
    <row r="1014" spans="1:15" x14ac:dyDescent="0.25">
      <c r="A1014" s="1">
        <v>45351</v>
      </c>
      <c r="B1014" t="s">
        <v>950</v>
      </c>
      <c r="C1014" s="1">
        <v>45351</v>
      </c>
      <c r="D1014">
        <v>0</v>
      </c>
      <c r="E1014">
        <v>63</v>
      </c>
      <c r="F1014">
        <v>124100.3</v>
      </c>
      <c r="G1014" t="s">
        <v>719</v>
      </c>
      <c r="H1014" s="7">
        <f t="shared" si="118"/>
        <v>0</v>
      </c>
      <c r="I1014" s="1">
        <f t="shared" si="112"/>
        <v>45351</v>
      </c>
      <c r="J1014" s="1" t="str">
        <f t="shared" si="113"/>
        <v>ACH C- POWER FINANCE CORPOR-12687403</v>
      </c>
      <c r="L1014" s="7">
        <f t="shared" si="114"/>
        <v>0</v>
      </c>
      <c r="M1014" s="7">
        <f t="shared" si="115"/>
        <v>63</v>
      </c>
      <c r="N1014" s="7">
        <f t="shared" si="116"/>
        <v>124100.3</v>
      </c>
      <c r="O1014" s="7" t="str">
        <f t="shared" si="117"/>
        <v>HDFC 5930</v>
      </c>
    </row>
    <row r="1015" spans="1:15" x14ac:dyDescent="0.25">
      <c r="A1015" s="1">
        <v>45351</v>
      </c>
      <c r="B1015" t="s">
        <v>535</v>
      </c>
      <c r="C1015" s="1">
        <v>45351</v>
      </c>
      <c r="D1015">
        <v>50000</v>
      </c>
      <c r="E1015">
        <v>0</v>
      </c>
      <c r="F1015">
        <v>74100.3</v>
      </c>
      <c r="G1015" t="s">
        <v>719</v>
      </c>
      <c r="H1015" s="7">
        <f t="shared" si="118"/>
        <v>0</v>
      </c>
      <c r="I1015" s="1">
        <f t="shared" si="112"/>
        <v>45351</v>
      </c>
      <c r="J1015" s="1" t="str">
        <f t="shared" si="113"/>
        <v>50100128155413-TPT-BORROW FROM AKG-AAYUSH KUMAR GUPTA</v>
      </c>
      <c r="L1015" s="7">
        <f t="shared" si="114"/>
        <v>50000</v>
      </c>
      <c r="M1015" s="7">
        <f t="shared" si="115"/>
        <v>0</v>
      </c>
      <c r="N1015" s="7">
        <f t="shared" si="116"/>
        <v>74100.3</v>
      </c>
      <c r="O1015" s="7" t="str">
        <f t="shared" si="117"/>
        <v>HDFC 5930</v>
      </c>
    </row>
    <row r="1016" spans="1:15" x14ac:dyDescent="0.25">
      <c r="A1016" s="1">
        <v>45351</v>
      </c>
      <c r="B1016" t="s">
        <v>951</v>
      </c>
      <c r="C1016" s="1">
        <v>45351</v>
      </c>
      <c r="D1016">
        <v>0</v>
      </c>
      <c r="E1016">
        <v>144</v>
      </c>
      <c r="F1016">
        <v>74244.3</v>
      </c>
      <c r="G1016" t="s">
        <v>719</v>
      </c>
      <c r="H1016" s="7">
        <f t="shared" si="118"/>
        <v>0</v>
      </c>
      <c r="I1016" s="1">
        <f t="shared" si="112"/>
        <v>45351</v>
      </c>
      <c r="J1016" s="1" t="str">
        <f t="shared" si="113"/>
        <v>ACH C- PI INDUSTRIES LTD-3339527</v>
      </c>
      <c r="L1016" s="7">
        <f t="shared" si="114"/>
        <v>0</v>
      </c>
      <c r="M1016" s="7">
        <f t="shared" si="115"/>
        <v>144</v>
      </c>
      <c r="N1016" s="7">
        <f t="shared" si="116"/>
        <v>74244.3</v>
      </c>
      <c r="O1016" s="7" t="str">
        <f t="shared" si="117"/>
        <v>HDFC 5930</v>
      </c>
    </row>
    <row r="1017" spans="1:15" x14ac:dyDescent="0.25">
      <c r="A1017" s="1">
        <v>45351</v>
      </c>
      <c r="B1017" t="s">
        <v>619</v>
      </c>
      <c r="C1017" s="1">
        <v>45351</v>
      </c>
      <c r="D1017">
        <v>0</v>
      </c>
      <c r="E1017">
        <v>584.66</v>
      </c>
      <c r="F1017">
        <v>74828.960000000006</v>
      </c>
      <c r="G1017" t="s">
        <v>719</v>
      </c>
      <c r="H1017" s="7">
        <f t="shared" si="118"/>
        <v>0</v>
      </c>
      <c r="I1017" s="1">
        <f t="shared" si="112"/>
        <v>45351</v>
      </c>
      <c r="J1017" s="1" t="str">
        <f t="shared" si="113"/>
        <v>00012050001396HLY INT-IN0020220078</v>
      </c>
      <c r="L1017" s="7">
        <f t="shared" si="114"/>
        <v>0</v>
      </c>
      <c r="M1017" s="7">
        <f t="shared" si="115"/>
        <v>584.66</v>
      </c>
      <c r="N1017" s="7">
        <f t="shared" si="116"/>
        <v>74828.960000000006</v>
      </c>
      <c r="O1017" s="7" t="str">
        <f t="shared" si="117"/>
        <v>HDFC 5930</v>
      </c>
    </row>
    <row r="1018" spans="1:15" x14ac:dyDescent="0.25">
      <c r="A1018" s="1">
        <v>45352</v>
      </c>
      <c r="B1018" t="s">
        <v>618</v>
      </c>
      <c r="C1018" s="1">
        <v>45352</v>
      </c>
      <c r="D1018">
        <v>0</v>
      </c>
      <c r="E1018">
        <v>264.81</v>
      </c>
      <c r="F1018">
        <v>75093.77</v>
      </c>
      <c r="G1018" t="s">
        <v>719</v>
      </c>
      <c r="H1018" s="7">
        <f t="shared" si="118"/>
        <v>0</v>
      </c>
      <c r="I1018" s="1">
        <f t="shared" si="112"/>
        <v>45352</v>
      </c>
      <c r="J1018" s="1" t="str">
        <f t="shared" si="113"/>
        <v>NET PO FROM HSL A/C 347707-50200085415108</v>
      </c>
      <c r="L1018" s="7">
        <f t="shared" si="114"/>
        <v>0</v>
      </c>
      <c r="M1018" s="7">
        <f t="shared" si="115"/>
        <v>264.81</v>
      </c>
      <c r="N1018" s="7">
        <f t="shared" si="116"/>
        <v>75093.77</v>
      </c>
      <c r="O1018" s="7" t="str">
        <f t="shared" si="117"/>
        <v>HDFC 5930</v>
      </c>
    </row>
    <row r="1019" spans="1:15" x14ac:dyDescent="0.25">
      <c r="A1019" s="1">
        <v>45352</v>
      </c>
      <c r="B1019" t="s">
        <v>618</v>
      </c>
      <c r="C1019" s="1">
        <v>45352</v>
      </c>
      <c r="D1019">
        <v>0</v>
      </c>
      <c r="E1019">
        <v>54098.43</v>
      </c>
      <c r="F1019">
        <v>129192.2</v>
      </c>
      <c r="G1019" t="s">
        <v>719</v>
      </c>
      <c r="H1019" s="7">
        <f t="shared" si="118"/>
        <v>0</v>
      </c>
      <c r="I1019" s="1">
        <f t="shared" si="112"/>
        <v>45352</v>
      </c>
      <c r="J1019" s="1" t="str">
        <f t="shared" si="113"/>
        <v>NET PO FROM HSL A/C 347707-50200085415108</v>
      </c>
      <c r="L1019" s="7">
        <f t="shared" si="114"/>
        <v>0</v>
      </c>
      <c r="M1019" s="7">
        <f t="shared" si="115"/>
        <v>54098.43</v>
      </c>
      <c r="N1019" s="7">
        <f t="shared" si="116"/>
        <v>129192.2</v>
      </c>
      <c r="O1019" s="7" t="str">
        <f t="shared" si="117"/>
        <v>HDFC 5930</v>
      </c>
    </row>
    <row r="1020" spans="1:15" x14ac:dyDescent="0.25">
      <c r="A1020" s="1">
        <v>45352</v>
      </c>
      <c r="B1020" t="s">
        <v>472</v>
      </c>
      <c r="C1020" s="1">
        <v>45352</v>
      </c>
      <c r="D1020">
        <v>410.91</v>
      </c>
      <c r="E1020">
        <v>0</v>
      </c>
      <c r="F1020">
        <v>128781.29</v>
      </c>
      <c r="G1020" t="s">
        <v>719</v>
      </c>
      <c r="H1020" s="7">
        <f t="shared" si="118"/>
        <v>0</v>
      </c>
      <c r="I1020" s="1">
        <f t="shared" si="112"/>
        <v>45352</v>
      </c>
      <c r="J1020" s="1" t="str">
        <f t="shared" si="113"/>
        <v>NET PI TO HSL SEC A/C 347707-00602340029392</v>
      </c>
      <c r="L1020" s="7">
        <f t="shared" si="114"/>
        <v>410.91</v>
      </c>
      <c r="M1020" s="7">
        <f t="shared" si="115"/>
        <v>0</v>
      </c>
      <c r="N1020" s="7">
        <f t="shared" si="116"/>
        <v>128781.29</v>
      </c>
      <c r="O1020" s="7" t="str">
        <f t="shared" si="117"/>
        <v>HDFC 5930</v>
      </c>
    </row>
    <row r="1021" spans="1:15" x14ac:dyDescent="0.25">
      <c r="A1021" s="1">
        <v>45352</v>
      </c>
      <c r="B1021" t="s">
        <v>952</v>
      </c>
      <c r="C1021" s="1">
        <v>45352</v>
      </c>
      <c r="D1021">
        <v>0</v>
      </c>
      <c r="E1021">
        <v>108</v>
      </c>
      <c r="F1021">
        <v>128889.29</v>
      </c>
      <c r="G1021" t="s">
        <v>719</v>
      </c>
      <c r="H1021" s="7">
        <f t="shared" si="118"/>
        <v>0</v>
      </c>
      <c r="I1021" s="1">
        <f t="shared" si="112"/>
        <v>45352</v>
      </c>
      <c r="J1021" s="1" t="str">
        <f t="shared" si="113"/>
        <v>ACH C- APOLLO HOSP.IDIV2024-AHLIN3004764</v>
      </c>
      <c r="L1021" s="7">
        <f t="shared" si="114"/>
        <v>0</v>
      </c>
      <c r="M1021" s="7">
        <f t="shared" si="115"/>
        <v>108</v>
      </c>
      <c r="N1021" s="7">
        <f t="shared" si="116"/>
        <v>128889.29</v>
      </c>
      <c r="O1021" s="7" t="str">
        <f t="shared" si="117"/>
        <v>HDFC 5930</v>
      </c>
    </row>
    <row r="1022" spans="1:15" x14ac:dyDescent="0.25">
      <c r="A1022" s="1">
        <v>45352</v>
      </c>
      <c r="B1022" t="s">
        <v>472</v>
      </c>
      <c r="C1022" s="1">
        <v>45352</v>
      </c>
      <c r="D1022">
        <v>62422.8</v>
      </c>
      <c r="E1022">
        <v>0</v>
      </c>
      <c r="F1022">
        <v>66466.490000000005</v>
      </c>
      <c r="G1022" t="s">
        <v>719</v>
      </c>
      <c r="H1022" s="7">
        <f t="shared" si="118"/>
        <v>0</v>
      </c>
      <c r="I1022" s="1">
        <f t="shared" si="112"/>
        <v>45352</v>
      </c>
      <c r="J1022" s="1" t="str">
        <f t="shared" si="113"/>
        <v>NET PI TO HSL SEC A/C 347707-00602340029392</v>
      </c>
      <c r="L1022" s="7">
        <f t="shared" si="114"/>
        <v>62422.8</v>
      </c>
      <c r="M1022" s="7">
        <f t="shared" si="115"/>
        <v>0</v>
      </c>
      <c r="N1022" s="7">
        <f t="shared" si="116"/>
        <v>66466.490000000005</v>
      </c>
      <c r="O1022" s="7" t="str">
        <f t="shared" si="117"/>
        <v>HDFC 5930</v>
      </c>
    </row>
    <row r="1023" spans="1:15" x14ac:dyDescent="0.25">
      <c r="A1023" s="1">
        <v>45353</v>
      </c>
      <c r="B1023" t="s">
        <v>953</v>
      </c>
      <c r="C1023" s="1">
        <v>45353</v>
      </c>
      <c r="D1023">
        <v>0</v>
      </c>
      <c r="E1023">
        <v>50000</v>
      </c>
      <c r="F1023">
        <v>116466.49</v>
      </c>
      <c r="G1023" t="s">
        <v>719</v>
      </c>
      <c r="H1023" s="7">
        <f t="shared" si="118"/>
        <v>0</v>
      </c>
      <c r="I1023" s="1">
        <f t="shared" si="112"/>
        <v>45353</v>
      </c>
      <c r="J1023" s="1" t="str">
        <f t="shared" si="113"/>
        <v>50100128155413-TPT-MONEY RETURNED TO AKG-AAYUSH KUMAR GUPTA</v>
      </c>
      <c r="L1023" s="7">
        <f t="shared" si="114"/>
        <v>0</v>
      </c>
      <c r="M1023" s="7">
        <f t="shared" si="115"/>
        <v>50000</v>
      </c>
      <c r="N1023" s="7">
        <f t="shared" si="116"/>
        <v>116466.49</v>
      </c>
      <c r="O1023" s="7" t="str">
        <f t="shared" si="117"/>
        <v>HDFC 5930</v>
      </c>
    </row>
    <row r="1024" spans="1:15" x14ac:dyDescent="0.25">
      <c r="A1024" s="1">
        <v>45353</v>
      </c>
      <c r="B1024" t="s">
        <v>954</v>
      </c>
      <c r="C1024" s="1">
        <v>45353</v>
      </c>
      <c r="D1024">
        <v>0</v>
      </c>
      <c r="E1024">
        <v>22.66</v>
      </c>
      <c r="F1024">
        <v>116489.15</v>
      </c>
      <c r="G1024" t="s">
        <v>719</v>
      </c>
      <c r="H1024" s="7">
        <f t="shared" si="118"/>
        <v>0</v>
      </c>
      <c r="I1024" s="1">
        <f t="shared" si="112"/>
        <v>45353</v>
      </c>
      <c r="J1024" s="1" t="str">
        <f t="shared" si="113"/>
        <v>FT- 478284962-00990640001266 - INDIAN CLEARING CORPORATION LTD- ICCL USE SETTLEMENT A/C -</v>
      </c>
      <c r="L1024" s="7">
        <f t="shared" si="114"/>
        <v>0</v>
      </c>
      <c r="M1024" s="7">
        <f t="shared" si="115"/>
        <v>22.66</v>
      </c>
      <c r="N1024" s="7">
        <f t="shared" si="116"/>
        <v>116489.15</v>
      </c>
      <c r="O1024" s="7" t="str">
        <f t="shared" si="117"/>
        <v>HDFC 5930</v>
      </c>
    </row>
    <row r="1025" spans="1:15" x14ac:dyDescent="0.25">
      <c r="A1025" s="1">
        <v>45353</v>
      </c>
      <c r="B1025" t="s">
        <v>955</v>
      </c>
      <c r="C1025" s="1">
        <v>45353</v>
      </c>
      <c r="D1025">
        <v>0</v>
      </c>
      <c r="E1025">
        <v>6.4</v>
      </c>
      <c r="F1025">
        <v>116495.55</v>
      </c>
      <c r="G1025" t="s">
        <v>719</v>
      </c>
      <c r="H1025" s="7">
        <f t="shared" si="118"/>
        <v>0</v>
      </c>
      <c r="I1025" s="1">
        <f t="shared" si="112"/>
        <v>45353</v>
      </c>
      <c r="J1025" s="1" t="str">
        <f t="shared" si="113"/>
        <v>FT- 489283130-00990640001266 - INDIAN CLEARING CORPORATION LTD- ICCL USE SETTLEMENT A/C -</v>
      </c>
      <c r="L1025" s="7">
        <f t="shared" si="114"/>
        <v>0</v>
      </c>
      <c r="M1025" s="7">
        <f t="shared" si="115"/>
        <v>6.4</v>
      </c>
      <c r="N1025" s="7">
        <f t="shared" si="116"/>
        <v>116495.55</v>
      </c>
      <c r="O1025" s="7" t="str">
        <f t="shared" si="117"/>
        <v>HDFC 5930</v>
      </c>
    </row>
    <row r="1026" spans="1:15" x14ac:dyDescent="0.25">
      <c r="A1026" s="1">
        <v>45353</v>
      </c>
      <c r="B1026" t="s">
        <v>956</v>
      </c>
      <c r="C1026" s="1">
        <v>45353</v>
      </c>
      <c r="D1026">
        <v>0</v>
      </c>
      <c r="E1026">
        <v>4.93</v>
      </c>
      <c r="F1026">
        <v>116500.48</v>
      </c>
      <c r="G1026" t="s">
        <v>719</v>
      </c>
      <c r="H1026" s="7">
        <f t="shared" si="118"/>
        <v>0</v>
      </c>
      <c r="I1026" s="1">
        <f t="shared" si="112"/>
        <v>45353</v>
      </c>
      <c r="J1026" s="1" t="str">
        <f t="shared" si="113"/>
        <v>FT- 473712857-00990640001266 - INDIAN CLEARING CORPORATION LTD- ICCL USE SETTLEMENT A/C -</v>
      </c>
      <c r="L1026" s="7">
        <f t="shared" si="114"/>
        <v>0</v>
      </c>
      <c r="M1026" s="7">
        <f t="shared" si="115"/>
        <v>4.93</v>
      </c>
      <c r="N1026" s="7">
        <f t="shared" si="116"/>
        <v>116500.48</v>
      </c>
      <c r="O1026" s="7" t="str">
        <f t="shared" si="117"/>
        <v>HDFC 5930</v>
      </c>
    </row>
    <row r="1027" spans="1:15" x14ac:dyDescent="0.25">
      <c r="A1027" s="1">
        <v>45353</v>
      </c>
      <c r="B1027" t="s">
        <v>957</v>
      </c>
      <c r="C1027" s="1">
        <v>45353</v>
      </c>
      <c r="D1027">
        <v>0</v>
      </c>
      <c r="E1027">
        <v>8.86</v>
      </c>
      <c r="F1027">
        <v>116509.34</v>
      </c>
      <c r="G1027" t="s">
        <v>719</v>
      </c>
      <c r="H1027" s="7">
        <f t="shared" si="118"/>
        <v>0</v>
      </c>
      <c r="I1027" s="1">
        <f t="shared" si="112"/>
        <v>45353</v>
      </c>
      <c r="J1027" s="1" t="str">
        <f t="shared" si="113"/>
        <v>FT- 488033062-00990640001266 - INDIAN CLEARING CORPORATION LTD- ICCL USE SETTLEMENT A/C -</v>
      </c>
      <c r="L1027" s="7">
        <f t="shared" si="114"/>
        <v>0</v>
      </c>
      <c r="M1027" s="7">
        <f t="shared" si="115"/>
        <v>8.86</v>
      </c>
      <c r="N1027" s="7">
        <f t="shared" si="116"/>
        <v>116509.34</v>
      </c>
      <c r="O1027" s="7" t="str">
        <f t="shared" si="117"/>
        <v>HDFC 5930</v>
      </c>
    </row>
    <row r="1028" spans="1:15" x14ac:dyDescent="0.25">
      <c r="A1028" s="1">
        <v>45353</v>
      </c>
      <c r="B1028" t="s">
        <v>958</v>
      </c>
      <c r="C1028" s="1">
        <v>45353</v>
      </c>
      <c r="D1028">
        <v>0</v>
      </c>
      <c r="E1028">
        <v>14.03</v>
      </c>
      <c r="F1028">
        <v>116523.37</v>
      </c>
      <c r="G1028" t="s">
        <v>719</v>
      </c>
      <c r="H1028" s="7">
        <f t="shared" si="118"/>
        <v>0</v>
      </c>
      <c r="I1028" s="1">
        <f t="shared" si="112"/>
        <v>45353</v>
      </c>
      <c r="J1028" s="1" t="str">
        <f t="shared" si="113"/>
        <v>FT- 481597487-00990640001266 - INDIAN CLEARING CORPORATION LTD- ICCL USE SETTLEMENT A/C -</v>
      </c>
      <c r="L1028" s="7">
        <f t="shared" si="114"/>
        <v>0</v>
      </c>
      <c r="M1028" s="7">
        <f t="shared" si="115"/>
        <v>14.03</v>
      </c>
      <c r="N1028" s="7">
        <f t="shared" si="116"/>
        <v>116523.37</v>
      </c>
      <c r="O1028" s="7" t="str">
        <f t="shared" si="117"/>
        <v>HDFC 5930</v>
      </c>
    </row>
    <row r="1029" spans="1:15" x14ac:dyDescent="0.25">
      <c r="A1029" s="1">
        <v>45355</v>
      </c>
      <c r="B1029" t="s">
        <v>618</v>
      </c>
      <c r="C1029" s="1">
        <v>45355</v>
      </c>
      <c r="D1029">
        <v>0</v>
      </c>
      <c r="E1029">
        <v>4327.46</v>
      </c>
      <c r="F1029">
        <v>120850.83</v>
      </c>
      <c r="G1029" t="s">
        <v>719</v>
      </c>
      <c r="H1029" s="7">
        <f t="shared" si="118"/>
        <v>0</v>
      </c>
      <c r="I1029" s="1">
        <f t="shared" si="112"/>
        <v>45355</v>
      </c>
      <c r="J1029" s="1" t="str">
        <f t="shared" si="113"/>
        <v>NET PO FROM HSL A/C 347707-50200085415108</v>
      </c>
      <c r="L1029" s="7">
        <f t="shared" si="114"/>
        <v>0</v>
      </c>
      <c r="M1029" s="7">
        <f t="shared" si="115"/>
        <v>4327.46</v>
      </c>
      <c r="N1029" s="7">
        <f t="shared" si="116"/>
        <v>120850.83</v>
      </c>
      <c r="O1029" s="7" t="str">
        <f t="shared" si="117"/>
        <v>HDFC 5930</v>
      </c>
    </row>
    <row r="1030" spans="1:15" x14ac:dyDescent="0.25">
      <c r="A1030" s="1">
        <v>45355</v>
      </c>
      <c r="B1030" t="s">
        <v>618</v>
      </c>
      <c r="C1030" s="1">
        <v>45355</v>
      </c>
      <c r="D1030">
        <v>0</v>
      </c>
      <c r="E1030">
        <v>29663.63</v>
      </c>
      <c r="F1030">
        <v>150514.46</v>
      </c>
      <c r="G1030" t="s">
        <v>719</v>
      </c>
      <c r="H1030" s="7">
        <f t="shared" si="118"/>
        <v>0</v>
      </c>
      <c r="I1030" s="1">
        <f t="shared" si="112"/>
        <v>45355</v>
      </c>
      <c r="J1030" s="1" t="str">
        <f t="shared" si="113"/>
        <v>NET PO FROM HSL A/C 347707-50200085415108</v>
      </c>
      <c r="L1030" s="7">
        <f t="shared" si="114"/>
        <v>0</v>
      </c>
      <c r="M1030" s="7">
        <f t="shared" si="115"/>
        <v>29663.63</v>
      </c>
      <c r="N1030" s="7">
        <f t="shared" si="116"/>
        <v>150514.46</v>
      </c>
      <c r="O1030" s="7" t="str">
        <f t="shared" si="117"/>
        <v>HDFC 5930</v>
      </c>
    </row>
    <row r="1031" spans="1:15" x14ac:dyDescent="0.25">
      <c r="A1031" s="1">
        <v>45355</v>
      </c>
      <c r="B1031" t="s">
        <v>472</v>
      </c>
      <c r="C1031" s="1">
        <v>45355</v>
      </c>
      <c r="D1031">
        <v>1179.3900000000001</v>
      </c>
      <c r="E1031">
        <v>0</v>
      </c>
      <c r="F1031">
        <v>149335.07</v>
      </c>
      <c r="G1031" t="s">
        <v>719</v>
      </c>
      <c r="H1031" s="7">
        <f t="shared" si="118"/>
        <v>0</v>
      </c>
      <c r="I1031" s="1">
        <f t="shared" si="112"/>
        <v>45355</v>
      </c>
      <c r="J1031" s="1" t="str">
        <f t="shared" si="113"/>
        <v>NET PI TO HSL SEC A/C 347707-00602340029392</v>
      </c>
      <c r="L1031" s="7">
        <f t="shared" si="114"/>
        <v>1179.3900000000001</v>
      </c>
      <c r="M1031" s="7">
        <f t="shared" si="115"/>
        <v>0</v>
      </c>
      <c r="N1031" s="7">
        <f t="shared" si="116"/>
        <v>149335.07</v>
      </c>
      <c r="O1031" s="7" t="str">
        <f t="shared" si="117"/>
        <v>HDFC 5930</v>
      </c>
    </row>
    <row r="1032" spans="1:15" x14ac:dyDescent="0.25">
      <c r="A1032" s="1">
        <v>45355</v>
      </c>
      <c r="B1032" t="s">
        <v>472</v>
      </c>
      <c r="C1032" s="1">
        <v>45355</v>
      </c>
      <c r="D1032">
        <v>45138.7</v>
      </c>
      <c r="E1032">
        <v>0</v>
      </c>
      <c r="F1032">
        <v>104196.37</v>
      </c>
      <c r="G1032" t="s">
        <v>719</v>
      </c>
      <c r="H1032" s="7">
        <f t="shared" si="118"/>
        <v>0</v>
      </c>
      <c r="I1032" s="1">
        <f t="shared" si="112"/>
        <v>45355</v>
      </c>
      <c r="J1032" s="1" t="str">
        <f t="shared" si="113"/>
        <v>NET PI TO HSL SEC A/C 347707-00602340029392</v>
      </c>
      <c r="L1032" s="7">
        <f t="shared" si="114"/>
        <v>45138.7</v>
      </c>
      <c r="M1032" s="7">
        <f t="shared" si="115"/>
        <v>0</v>
      </c>
      <c r="N1032" s="7">
        <f t="shared" si="116"/>
        <v>104196.37</v>
      </c>
      <c r="O1032" s="7" t="str">
        <f t="shared" si="117"/>
        <v>HDFC 5930</v>
      </c>
    </row>
    <row r="1033" spans="1:15" x14ac:dyDescent="0.25">
      <c r="A1033" s="1">
        <v>45356</v>
      </c>
      <c r="B1033" t="s">
        <v>472</v>
      </c>
      <c r="C1033" s="1">
        <v>45356</v>
      </c>
      <c r="D1033">
        <v>102200.86</v>
      </c>
      <c r="E1033">
        <v>0</v>
      </c>
      <c r="F1033">
        <v>1995.51</v>
      </c>
      <c r="G1033" t="s">
        <v>719</v>
      </c>
      <c r="H1033" s="7">
        <f t="shared" si="118"/>
        <v>-5.2295945351943374E-12</v>
      </c>
      <c r="I1033" s="1">
        <f t="shared" si="112"/>
        <v>45356</v>
      </c>
      <c r="J1033" s="1" t="str">
        <f t="shared" si="113"/>
        <v>NET PI TO HSL SEC A/C 347707-00602340029392</v>
      </c>
      <c r="L1033" s="7">
        <f t="shared" si="114"/>
        <v>102200.86</v>
      </c>
      <c r="M1033" s="7">
        <f t="shared" si="115"/>
        <v>0</v>
      </c>
      <c r="N1033" s="7">
        <f t="shared" si="116"/>
        <v>1995.51</v>
      </c>
      <c r="O1033" s="7" t="str">
        <f t="shared" si="117"/>
        <v>HDFC 5930</v>
      </c>
    </row>
    <row r="1034" spans="1:15" x14ac:dyDescent="0.25">
      <c r="A1034" s="1">
        <v>45356</v>
      </c>
      <c r="B1034" t="s">
        <v>959</v>
      </c>
      <c r="C1034" s="1">
        <v>45356</v>
      </c>
      <c r="D1034">
        <v>0</v>
      </c>
      <c r="E1034">
        <v>20000</v>
      </c>
      <c r="F1034">
        <v>21995.51</v>
      </c>
      <c r="G1034" t="s">
        <v>719</v>
      </c>
      <c r="H1034" s="7">
        <f t="shared" si="118"/>
        <v>0</v>
      </c>
      <c r="I1034" s="1">
        <f t="shared" si="112"/>
        <v>45356</v>
      </c>
      <c r="J1034" s="1" t="str">
        <f t="shared" si="113"/>
        <v>UPI-AJAY KUMAR GUPTA-AJAYGUPTANEL3@YBL-UTIB0000115-443110253808-FROM AXIS ACCOUNT</v>
      </c>
      <c r="L1034" s="7">
        <f t="shared" si="114"/>
        <v>0</v>
      </c>
      <c r="M1034" s="7">
        <f t="shared" si="115"/>
        <v>20000</v>
      </c>
      <c r="N1034" s="7">
        <f t="shared" si="116"/>
        <v>21995.51</v>
      </c>
      <c r="O1034" s="7" t="str">
        <f t="shared" si="117"/>
        <v>HDFC 5930</v>
      </c>
    </row>
    <row r="1035" spans="1:15" x14ac:dyDescent="0.25">
      <c r="A1035" s="1">
        <v>45356</v>
      </c>
      <c r="B1035" t="s">
        <v>472</v>
      </c>
      <c r="C1035" s="1">
        <v>45356</v>
      </c>
      <c r="D1035">
        <v>380.51</v>
      </c>
      <c r="E1035">
        <v>0</v>
      </c>
      <c r="F1035">
        <v>21615</v>
      </c>
      <c r="G1035" t="s">
        <v>719</v>
      </c>
      <c r="H1035" s="7">
        <f t="shared" si="118"/>
        <v>0</v>
      </c>
      <c r="I1035" s="1">
        <f t="shared" si="112"/>
        <v>45356</v>
      </c>
      <c r="J1035" s="1" t="str">
        <f t="shared" si="113"/>
        <v>NET PI TO HSL SEC A/C 347707-00602340029392</v>
      </c>
      <c r="L1035" s="7">
        <f t="shared" si="114"/>
        <v>380.51</v>
      </c>
      <c r="M1035" s="7">
        <f t="shared" si="115"/>
        <v>0</v>
      </c>
      <c r="N1035" s="7">
        <f t="shared" si="116"/>
        <v>21615</v>
      </c>
      <c r="O1035" s="7" t="str">
        <f t="shared" si="117"/>
        <v>HDFC 5930</v>
      </c>
    </row>
    <row r="1036" spans="1:15" x14ac:dyDescent="0.25">
      <c r="A1036" s="1">
        <v>45356</v>
      </c>
      <c r="B1036" t="s">
        <v>472</v>
      </c>
      <c r="C1036" s="1">
        <v>45356</v>
      </c>
      <c r="D1036">
        <v>2061.5</v>
      </c>
      <c r="E1036">
        <v>0</v>
      </c>
      <c r="F1036">
        <v>19553.5</v>
      </c>
      <c r="G1036" t="s">
        <v>719</v>
      </c>
      <c r="H1036" s="7">
        <f t="shared" si="118"/>
        <v>0</v>
      </c>
      <c r="I1036" s="1">
        <f t="shared" si="112"/>
        <v>45356</v>
      </c>
      <c r="J1036" s="1" t="str">
        <f t="shared" si="113"/>
        <v>NET PI TO HSL SEC A/C 347707-00602340029392</v>
      </c>
      <c r="L1036" s="7">
        <f t="shared" si="114"/>
        <v>2061.5</v>
      </c>
      <c r="M1036" s="7">
        <f t="shared" si="115"/>
        <v>0</v>
      </c>
      <c r="N1036" s="7">
        <f t="shared" si="116"/>
        <v>19553.5</v>
      </c>
      <c r="O1036" s="7" t="str">
        <f t="shared" si="117"/>
        <v>HDFC 5930</v>
      </c>
    </row>
    <row r="1037" spans="1:15" x14ac:dyDescent="0.25">
      <c r="A1037" s="1">
        <v>45357</v>
      </c>
      <c r="B1037" t="s">
        <v>472</v>
      </c>
      <c r="C1037" s="1">
        <v>45357</v>
      </c>
      <c r="D1037">
        <v>408.54</v>
      </c>
      <c r="E1037">
        <v>0</v>
      </c>
      <c r="F1037">
        <v>19144.96</v>
      </c>
      <c r="G1037" t="s">
        <v>719</v>
      </c>
      <c r="H1037" s="7">
        <f t="shared" si="118"/>
        <v>0</v>
      </c>
      <c r="I1037" s="1">
        <f t="shared" si="112"/>
        <v>45357</v>
      </c>
      <c r="J1037" s="1" t="str">
        <f t="shared" si="113"/>
        <v>NET PI TO HSL SEC A/C 347707-00602340029392</v>
      </c>
      <c r="L1037" s="7">
        <f t="shared" si="114"/>
        <v>408.54</v>
      </c>
      <c r="M1037" s="7">
        <f t="shared" si="115"/>
        <v>0</v>
      </c>
      <c r="N1037" s="7">
        <f t="shared" si="116"/>
        <v>19144.96</v>
      </c>
      <c r="O1037" s="7" t="str">
        <f t="shared" si="117"/>
        <v>HDFC 5930</v>
      </c>
    </row>
    <row r="1038" spans="1:15" x14ac:dyDescent="0.25">
      <c r="A1038" s="1">
        <v>45357</v>
      </c>
      <c r="B1038" t="s">
        <v>472</v>
      </c>
      <c r="C1038" s="1">
        <v>45357</v>
      </c>
      <c r="D1038">
        <v>8858.68</v>
      </c>
      <c r="E1038">
        <v>0</v>
      </c>
      <c r="F1038">
        <v>10286.280000000001</v>
      </c>
      <c r="G1038" t="s">
        <v>719</v>
      </c>
      <c r="H1038" s="7">
        <f t="shared" si="118"/>
        <v>0</v>
      </c>
      <c r="I1038" s="1">
        <f t="shared" si="112"/>
        <v>45357</v>
      </c>
      <c r="J1038" s="1" t="str">
        <f t="shared" si="113"/>
        <v>NET PI TO HSL SEC A/C 347707-00602340029392</v>
      </c>
      <c r="L1038" s="7">
        <f t="shared" si="114"/>
        <v>8858.68</v>
      </c>
      <c r="M1038" s="7">
        <f t="shared" si="115"/>
        <v>0</v>
      </c>
      <c r="N1038" s="7">
        <f t="shared" si="116"/>
        <v>10286.280000000001</v>
      </c>
      <c r="O1038" s="7" t="str">
        <f t="shared" si="117"/>
        <v>HDFC 5930</v>
      </c>
    </row>
    <row r="1039" spans="1:15" x14ac:dyDescent="0.25">
      <c r="A1039" s="1">
        <v>45358</v>
      </c>
      <c r="B1039" t="s">
        <v>618</v>
      </c>
      <c r="C1039" s="1">
        <v>45358</v>
      </c>
      <c r="D1039">
        <v>0</v>
      </c>
      <c r="E1039">
        <v>21046.83</v>
      </c>
      <c r="F1039">
        <v>31333.11</v>
      </c>
      <c r="G1039" t="s">
        <v>719</v>
      </c>
      <c r="H1039" s="7">
        <f t="shared" si="118"/>
        <v>0</v>
      </c>
      <c r="I1039" s="1">
        <f t="shared" si="112"/>
        <v>45358</v>
      </c>
      <c r="J1039" s="1" t="str">
        <f t="shared" si="113"/>
        <v>NET PO FROM HSL A/C 347707-50200085415108</v>
      </c>
      <c r="L1039" s="7">
        <f t="shared" si="114"/>
        <v>0</v>
      </c>
      <c r="M1039" s="7">
        <f t="shared" si="115"/>
        <v>21046.83</v>
      </c>
      <c r="N1039" s="7">
        <f t="shared" si="116"/>
        <v>31333.11</v>
      </c>
      <c r="O1039" s="7" t="str">
        <f t="shared" si="117"/>
        <v>HDFC 5930</v>
      </c>
    </row>
    <row r="1040" spans="1:15" x14ac:dyDescent="0.25">
      <c r="A1040" s="1">
        <v>45358</v>
      </c>
      <c r="B1040" t="s">
        <v>472</v>
      </c>
      <c r="C1040" s="1">
        <v>45358</v>
      </c>
      <c r="D1040">
        <v>405.38</v>
      </c>
      <c r="E1040">
        <v>0</v>
      </c>
      <c r="F1040">
        <v>30927.73</v>
      </c>
      <c r="G1040" t="s">
        <v>719</v>
      </c>
      <c r="H1040" s="7">
        <f t="shared" si="118"/>
        <v>0</v>
      </c>
      <c r="I1040" s="1">
        <f t="shared" si="112"/>
        <v>45358</v>
      </c>
      <c r="J1040" s="1" t="str">
        <f t="shared" si="113"/>
        <v>NET PI TO HSL SEC A/C 347707-00602340029392</v>
      </c>
      <c r="L1040" s="7">
        <f t="shared" si="114"/>
        <v>405.38</v>
      </c>
      <c r="M1040" s="7">
        <f t="shared" si="115"/>
        <v>0</v>
      </c>
      <c r="N1040" s="7">
        <f t="shared" si="116"/>
        <v>30927.73</v>
      </c>
      <c r="O1040" s="7" t="str">
        <f t="shared" si="117"/>
        <v>HDFC 5930</v>
      </c>
    </row>
    <row r="1041" spans="1:15" x14ac:dyDescent="0.25">
      <c r="A1041" s="1">
        <v>45358</v>
      </c>
      <c r="B1041" t="s">
        <v>630</v>
      </c>
      <c r="C1041" s="1">
        <v>45358</v>
      </c>
      <c r="D1041">
        <v>0</v>
      </c>
      <c r="E1041">
        <v>591.5</v>
      </c>
      <c r="F1041">
        <v>31519.23</v>
      </c>
      <c r="G1041" t="s">
        <v>719</v>
      </c>
      <c r="H1041" s="7">
        <f t="shared" si="118"/>
        <v>0</v>
      </c>
      <c r="I1041" s="1">
        <f t="shared" si="112"/>
        <v>45358</v>
      </c>
      <c r="J1041" s="1" t="str">
        <f t="shared" si="113"/>
        <v>00012050001396HLY INT-IN0020210145</v>
      </c>
      <c r="L1041" s="7">
        <f t="shared" si="114"/>
        <v>0</v>
      </c>
      <c r="M1041" s="7">
        <f t="shared" si="115"/>
        <v>591.5</v>
      </c>
      <c r="N1041" s="7">
        <f t="shared" si="116"/>
        <v>31519.23</v>
      </c>
      <c r="O1041" s="7" t="str">
        <f t="shared" si="117"/>
        <v>HDFC 5930</v>
      </c>
    </row>
    <row r="1042" spans="1:15" x14ac:dyDescent="0.25">
      <c r="A1042" s="1">
        <v>45358</v>
      </c>
      <c r="B1042" t="s">
        <v>472</v>
      </c>
      <c r="C1042" s="1">
        <v>45358</v>
      </c>
      <c r="D1042">
        <v>7129.68</v>
      </c>
      <c r="E1042">
        <v>0</v>
      </c>
      <c r="F1042">
        <v>24389.55</v>
      </c>
      <c r="G1042" t="s">
        <v>719</v>
      </c>
      <c r="H1042" s="7">
        <f t="shared" si="118"/>
        <v>0</v>
      </c>
      <c r="I1042" s="1">
        <f t="shared" si="112"/>
        <v>45358</v>
      </c>
      <c r="J1042" s="1" t="str">
        <f t="shared" si="113"/>
        <v>NET PI TO HSL SEC A/C 347707-00602340029392</v>
      </c>
      <c r="L1042" s="7">
        <f t="shared" si="114"/>
        <v>7129.68</v>
      </c>
      <c r="M1042" s="7">
        <f t="shared" si="115"/>
        <v>0</v>
      </c>
      <c r="N1042" s="7">
        <f t="shared" si="116"/>
        <v>24389.55</v>
      </c>
      <c r="O1042" s="7" t="str">
        <f t="shared" si="117"/>
        <v>HDFC 5930</v>
      </c>
    </row>
    <row r="1043" spans="1:15" x14ac:dyDescent="0.25">
      <c r="A1043" s="1">
        <v>45360</v>
      </c>
      <c r="B1043" t="s">
        <v>960</v>
      </c>
      <c r="C1043" s="1">
        <v>45360</v>
      </c>
      <c r="D1043">
        <v>0</v>
      </c>
      <c r="E1043">
        <v>50000</v>
      </c>
      <c r="F1043">
        <v>74389.55</v>
      </c>
      <c r="G1043" t="s">
        <v>719</v>
      </c>
      <c r="H1043" s="7">
        <f t="shared" si="118"/>
        <v>0</v>
      </c>
      <c r="I1043" s="1">
        <f t="shared" si="112"/>
        <v>45360</v>
      </c>
      <c r="J1043" s="1" t="str">
        <f t="shared" si="113"/>
        <v>01671000060094-TPT-MONEY RETURN FRM SUNI TO AKG-SUNITA GUPTA</v>
      </c>
      <c r="L1043" s="7">
        <f t="shared" si="114"/>
        <v>0</v>
      </c>
      <c r="M1043" s="7">
        <f t="shared" si="115"/>
        <v>50000</v>
      </c>
      <c r="N1043" s="7">
        <f t="shared" si="116"/>
        <v>74389.55</v>
      </c>
      <c r="O1043" s="7" t="str">
        <f t="shared" si="117"/>
        <v>HDFC 5930</v>
      </c>
    </row>
    <row r="1044" spans="1:15" x14ac:dyDescent="0.25">
      <c r="A1044" s="1">
        <v>45361</v>
      </c>
      <c r="B1044" t="s">
        <v>961</v>
      </c>
      <c r="C1044" s="1">
        <v>45361</v>
      </c>
      <c r="D1044">
        <v>10000</v>
      </c>
      <c r="E1044">
        <v>0</v>
      </c>
      <c r="F1044">
        <v>64389.55</v>
      </c>
      <c r="G1044" t="s">
        <v>719</v>
      </c>
      <c r="H1044" s="7">
        <f t="shared" si="118"/>
        <v>0</v>
      </c>
      <c r="I1044" s="1">
        <f t="shared" si="112"/>
        <v>45361</v>
      </c>
      <c r="J1044" s="1" t="str">
        <f t="shared" si="113"/>
        <v>UPI-AAYUSH KUMAR GUPTA-9970054014@AXL-HDFC0000456-443693565719-TRANSFER FROM AKG</v>
      </c>
      <c r="L1044" s="7">
        <f t="shared" si="114"/>
        <v>10000</v>
      </c>
      <c r="M1044" s="7">
        <f t="shared" si="115"/>
        <v>0</v>
      </c>
      <c r="N1044" s="7">
        <f t="shared" si="116"/>
        <v>64389.55</v>
      </c>
      <c r="O1044" s="7" t="str">
        <f t="shared" si="117"/>
        <v>HDFC 5930</v>
      </c>
    </row>
    <row r="1045" spans="1:15" x14ac:dyDescent="0.25">
      <c r="A1045" s="1">
        <v>45362</v>
      </c>
      <c r="B1045" t="s">
        <v>618</v>
      </c>
      <c r="C1045" s="1">
        <v>45362</v>
      </c>
      <c r="D1045">
        <v>0</v>
      </c>
      <c r="E1045">
        <v>35139.1</v>
      </c>
      <c r="F1045">
        <v>99528.65</v>
      </c>
      <c r="G1045" t="s">
        <v>719</v>
      </c>
      <c r="H1045" s="7">
        <f t="shared" si="118"/>
        <v>0</v>
      </c>
      <c r="I1045" s="1">
        <f t="shared" si="112"/>
        <v>45362</v>
      </c>
      <c r="J1045" s="1" t="str">
        <f t="shared" si="113"/>
        <v>NET PO FROM HSL A/C 347707-50200085415108</v>
      </c>
      <c r="L1045" s="7">
        <f t="shared" si="114"/>
        <v>0</v>
      </c>
      <c r="M1045" s="7">
        <f t="shared" si="115"/>
        <v>35139.1</v>
      </c>
      <c r="N1045" s="7">
        <f t="shared" si="116"/>
        <v>99528.65</v>
      </c>
      <c r="O1045" s="7" t="str">
        <f t="shared" si="117"/>
        <v>HDFC 5930</v>
      </c>
    </row>
    <row r="1046" spans="1:15" x14ac:dyDescent="0.25">
      <c r="A1046" s="1">
        <v>45362</v>
      </c>
      <c r="B1046" t="s">
        <v>681</v>
      </c>
      <c r="C1046" s="1">
        <v>45362</v>
      </c>
      <c r="D1046">
        <v>10000</v>
      </c>
      <c r="E1046">
        <v>0</v>
      </c>
      <c r="F1046">
        <v>89528.65</v>
      </c>
      <c r="G1046" t="s">
        <v>719</v>
      </c>
      <c r="H1046" s="7">
        <f t="shared" si="118"/>
        <v>0</v>
      </c>
      <c r="I1046" s="1">
        <f t="shared" si="112"/>
        <v>45362</v>
      </c>
      <c r="J1046" s="1" t="str">
        <f t="shared" si="113"/>
        <v>ACH D- INDIAN CLEARING CORP-P25847605X05</v>
      </c>
      <c r="L1046" s="7">
        <f t="shared" si="114"/>
        <v>10000</v>
      </c>
      <c r="M1046" s="7">
        <f t="shared" si="115"/>
        <v>0</v>
      </c>
      <c r="N1046" s="7">
        <f t="shared" si="116"/>
        <v>89528.65</v>
      </c>
      <c r="O1046" s="7" t="str">
        <f t="shared" si="117"/>
        <v>HDFC 5930</v>
      </c>
    </row>
    <row r="1047" spans="1:15" x14ac:dyDescent="0.25">
      <c r="A1047" s="1">
        <v>45362</v>
      </c>
      <c r="B1047" t="s">
        <v>472</v>
      </c>
      <c r="C1047" s="1">
        <v>45362</v>
      </c>
      <c r="D1047">
        <v>1611.36</v>
      </c>
      <c r="E1047">
        <v>0</v>
      </c>
      <c r="F1047">
        <v>87917.29</v>
      </c>
      <c r="G1047" t="s">
        <v>719</v>
      </c>
      <c r="H1047" s="7">
        <f t="shared" si="118"/>
        <v>0</v>
      </c>
      <c r="I1047" s="1">
        <f t="shared" si="112"/>
        <v>45362</v>
      </c>
      <c r="J1047" s="1" t="str">
        <f t="shared" si="113"/>
        <v>NET PI TO HSL SEC A/C 347707-00602340029392</v>
      </c>
      <c r="L1047" s="7">
        <f t="shared" si="114"/>
        <v>1611.36</v>
      </c>
      <c r="M1047" s="7">
        <f t="shared" si="115"/>
        <v>0</v>
      </c>
      <c r="N1047" s="7">
        <f t="shared" si="116"/>
        <v>87917.29</v>
      </c>
      <c r="O1047" s="7" t="str">
        <f t="shared" si="117"/>
        <v>HDFC 5930</v>
      </c>
    </row>
    <row r="1048" spans="1:15" x14ac:dyDescent="0.25">
      <c r="A1048" s="1">
        <v>45362</v>
      </c>
      <c r="B1048" t="s">
        <v>637</v>
      </c>
      <c r="C1048" s="1">
        <v>45362</v>
      </c>
      <c r="D1048">
        <v>0</v>
      </c>
      <c r="E1048">
        <v>291.38</v>
      </c>
      <c r="F1048">
        <v>88208.67</v>
      </c>
      <c r="G1048" t="s">
        <v>719</v>
      </c>
      <c r="H1048" s="7">
        <f t="shared" si="118"/>
        <v>0</v>
      </c>
      <c r="I1048" s="1">
        <f t="shared" si="112"/>
        <v>45362</v>
      </c>
      <c r="J1048" s="1" t="str">
        <f t="shared" si="113"/>
        <v>00012050001396HLY INT-IN0020200427</v>
      </c>
      <c r="L1048" s="7">
        <f t="shared" si="114"/>
        <v>0</v>
      </c>
      <c r="M1048" s="7">
        <f t="shared" si="115"/>
        <v>291.38</v>
      </c>
      <c r="N1048" s="7">
        <f t="shared" si="116"/>
        <v>88208.67</v>
      </c>
      <c r="O1048" s="7" t="str">
        <f t="shared" si="117"/>
        <v>HDFC 5930</v>
      </c>
    </row>
    <row r="1049" spans="1:15" x14ac:dyDescent="0.25">
      <c r="A1049" s="1">
        <v>45362</v>
      </c>
      <c r="B1049" t="s">
        <v>633</v>
      </c>
      <c r="C1049" s="1">
        <v>45362</v>
      </c>
      <c r="D1049">
        <v>0</v>
      </c>
      <c r="E1049">
        <v>127.93</v>
      </c>
      <c r="F1049">
        <v>88336.6</v>
      </c>
      <c r="G1049" t="s">
        <v>719</v>
      </c>
      <c r="H1049" s="7">
        <f t="shared" si="118"/>
        <v>0</v>
      </c>
      <c r="I1049" s="1">
        <f t="shared" si="112"/>
        <v>45362</v>
      </c>
      <c r="J1049" s="1" t="str">
        <f t="shared" si="113"/>
        <v>00012050001396HLY INT-IN0020200195</v>
      </c>
      <c r="L1049" s="7">
        <f t="shared" si="114"/>
        <v>0</v>
      </c>
      <c r="M1049" s="7">
        <f t="shared" si="115"/>
        <v>127.93</v>
      </c>
      <c r="N1049" s="7">
        <f t="shared" si="116"/>
        <v>88336.6</v>
      </c>
      <c r="O1049" s="7" t="str">
        <f t="shared" si="117"/>
        <v>HDFC 5930</v>
      </c>
    </row>
    <row r="1050" spans="1:15" x14ac:dyDescent="0.25">
      <c r="A1050" s="1">
        <v>45363</v>
      </c>
      <c r="B1050" t="s">
        <v>618</v>
      </c>
      <c r="C1050" s="1">
        <v>45363</v>
      </c>
      <c r="D1050">
        <v>0</v>
      </c>
      <c r="E1050">
        <v>12777.18</v>
      </c>
      <c r="F1050">
        <v>101113.78</v>
      </c>
      <c r="G1050" t="s">
        <v>719</v>
      </c>
      <c r="H1050" s="7">
        <f t="shared" si="118"/>
        <v>0</v>
      </c>
      <c r="I1050" s="1">
        <f t="shared" si="112"/>
        <v>45363</v>
      </c>
      <c r="J1050" s="1" t="str">
        <f t="shared" si="113"/>
        <v>NET PO FROM HSL A/C 347707-50200085415108</v>
      </c>
      <c r="L1050" s="7">
        <f t="shared" si="114"/>
        <v>0</v>
      </c>
      <c r="M1050" s="7">
        <f t="shared" si="115"/>
        <v>12777.18</v>
      </c>
      <c r="N1050" s="7">
        <f t="shared" si="116"/>
        <v>101113.78</v>
      </c>
      <c r="O1050" s="7" t="str">
        <f t="shared" si="117"/>
        <v>HDFC 5930</v>
      </c>
    </row>
    <row r="1051" spans="1:15" x14ac:dyDescent="0.25">
      <c r="A1051" s="1">
        <v>45363</v>
      </c>
      <c r="B1051" t="s">
        <v>472</v>
      </c>
      <c r="C1051" s="1">
        <v>45363</v>
      </c>
      <c r="D1051">
        <v>7868.01</v>
      </c>
      <c r="E1051">
        <v>0</v>
      </c>
      <c r="F1051">
        <v>93245.77</v>
      </c>
      <c r="G1051" t="s">
        <v>719</v>
      </c>
      <c r="H1051" s="7">
        <f t="shared" si="118"/>
        <v>0</v>
      </c>
      <c r="I1051" s="1">
        <f t="shared" si="112"/>
        <v>45363</v>
      </c>
      <c r="J1051" s="1" t="str">
        <f t="shared" si="113"/>
        <v>NET PI TO HSL SEC A/C 347707-00602340029392</v>
      </c>
      <c r="L1051" s="7">
        <f t="shared" si="114"/>
        <v>7868.01</v>
      </c>
      <c r="M1051" s="7">
        <f t="shared" si="115"/>
        <v>0</v>
      </c>
      <c r="N1051" s="7">
        <f t="shared" si="116"/>
        <v>93245.77</v>
      </c>
      <c r="O1051" s="7" t="str">
        <f t="shared" si="117"/>
        <v>HDFC 5930</v>
      </c>
    </row>
    <row r="1052" spans="1:15" x14ac:dyDescent="0.25">
      <c r="A1052" s="1">
        <v>45364</v>
      </c>
      <c r="B1052" t="s">
        <v>618</v>
      </c>
      <c r="C1052" s="1">
        <v>45364</v>
      </c>
      <c r="D1052">
        <v>0</v>
      </c>
      <c r="E1052">
        <v>52476.87</v>
      </c>
      <c r="F1052">
        <v>145722.64000000001</v>
      </c>
      <c r="G1052" t="s">
        <v>719</v>
      </c>
      <c r="H1052" s="7">
        <f t="shared" si="118"/>
        <v>0</v>
      </c>
      <c r="I1052" s="1">
        <f t="shared" si="112"/>
        <v>45364</v>
      </c>
      <c r="J1052" s="1" t="str">
        <f t="shared" si="113"/>
        <v>NET PO FROM HSL A/C 347707-50200085415108</v>
      </c>
      <c r="L1052" s="7">
        <f t="shared" si="114"/>
        <v>0</v>
      </c>
      <c r="M1052" s="7">
        <f t="shared" si="115"/>
        <v>52476.87</v>
      </c>
      <c r="N1052" s="7">
        <f t="shared" si="116"/>
        <v>145722.64000000001</v>
      </c>
      <c r="O1052" s="7" t="str">
        <f t="shared" si="117"/>
        <v>HDFC 5930</v>
      </c>
    </row>
    <row r="1053" spans="1:15" x14ac:dyDescent="0.25">
      <c r="A1053" s="1">
        <v>45364</v>
      </c>
      <c r="B1053" t="s">
        <v>962</v>
      </c>
      <c r="C1053" s="1">
        <v>45364</v>
      </c>
      <c r="D1053">
        <v>20000</v>
      </c>
      <c r="E1053">
        <v>0</v>
      </c>
      <c r="F1053">
        <v>125722.64</v>
      </c>
      <c r="G1053" t="s">
        <v>719</v>
      </c>
      <c r="H1053" s="7">
        <f t="shared" si="118"/>
        <v>0</v>
      </c>
      <c r="I1053" s="1">
        <f t="shared" si="112"/>
        <v>45364</v>
      </c>
      <c r="J1053" s="1" t="str">
        <f t="shared" si="113"/>
        <v>UPI-AJAY KUMAR GUPTA-AJAYGUPTANEL3@YBL-UTIB0000115-443904796650-TRANSFER BACK TO A</v>
      </c>
      <c r="L1053" s="7">
        <f t="shared" si="114"/>
        <v>20000</v>
      </c>
      <c r="M1053" s="7">
        <f t="shared" si="115"/>
        <v>0</v>
      </c>
      <c r="N1053" s="7">
        <f t="shared" si="116"/>
        <v>125722.64</v>
      </c>
      <c r="O1053" s="7" t="str">
        <f t="shared" si="117"/>
        <v>HDFC 5930</v>
      </c>
    </row>
    <row r="1054" spans="1:15" x14ac:dyDescent="0.25">
      <c r="A1054" s="1">
        <v>45364</v>
      </c>
      <c r="B1054" t="s">
        <v>963</v>
      </c>
      <c r="C1054" s="1">
        <v>45364</v>
      </c>
      <c r="D1054">
        <v>10000</v>
      </c>
      <c r="E1054">
        <v>0</v>
      </c>
      <c r="F1054">
        <v>115722.64</v>
      </c>
      <c r="G1054" t="s">
        <v>719</v>
      </c>
      <c r="H1054" s="7">
        <f t="shared" si="118"/>
        <v>0</v>
      </c>
      <c r="I1054" s="1">
        <f t="shared" ref="I1054:I1094" si="119">A1054</f>
        <v>45364</v>
      </c>
      <c r="J1054" s="1" t="str">
        <f t="shared" ref="J1054:J1094" si="120">B1054</f>
        <v>UPI-AAYUSH KUMAR GUPTA-9970054014@AXL-HDFC0000456-443983561883-RETURN FROM AAYUSH</v>
      </c>
      <c r="L1054" s="7">
        <f t="shared" ref="L1054:L1094" si="121">D1054</f>
        <v>10000</v>
      </c>
      <c r="M1054" s="7">
        <f t="shared" ref="M1054:M1094" si="122">E1054</f>
        <v>0</v>
      </c>
      <c r="N1054" s="7">
        <f t="shared" ref="N1054:N1094" si="123">F1054</f>
        <v>115722.64</v>
      </c>
      <c r="O1054" s="7" t="str">
        <f t="shared" ref="O1054:O1094" si="124">G1054</f>
        <v>HDFC 5930</v>
      </c>
    </row>
    <row r="1055" spans="1:15" x14ac:dyDescent="0.25">
      <c r="A1055" s="1">
        <v>45364</v>
      </c>
      <c r="B1055" t="s">
        <v>964</v>
      </c>
      <c r="C1055" s="1">
        <v>45364</v>
      </c>
      <c r="D1055">
        <v>0</v>
      </c>
      <c r="E1055">
        <v>20000</v>
      </c>
      <c r="F1055">
        <v>135722.64000000001</v>
      </c>
      <c r="G1055" t="s">
        <v>719</v>
      </c>
      <c r="H1055" s="7">
        <f t="shared" ref="H1055:H1094" si="125">F1054-D1055+E1055-F1055</f>
        <v>0</v>
      </c>
      <c r="I1055" s="1">
        <f t="shared" si="119"/>
        <v>45364</v>
      </c>
      <c r="J1055" s="1" t="str">
        <f t="shared" si="120"/>
        <v>UPI-AAYUSH KUMAR GUPTA-9970054014@AXL-HDFC0000456-443973513039-MONEY RETURNED FRO</v>
      </c>
      <c r="L1055" s="7">
        <f t="shared" si="121"/>
        <v>0</v>
      </c>
      <c r="M1055" s="7">
        <f t="shared" si="122"/>
        <v>20000</v>
      </c>
      <c r="N1055" s="7">
        <f t="shared" si="123"/>
        <v>135722.64000000001</v>
      </c>
      <c r="O1055" s="7" t="str">
        <f t="shared" si="124"/>
        <v>HDFC 5930</v>
      </c>
    </row>
    <row r="1056" spans="1:15" x14ac:dyDescent="0.25">
      <c r="A1056" s="1">
        <v>45364</v>
      </c>
      <c r="B1056" t="s">
        <v>472</v>
      </c>
      <c r="C1056" s="1">
        <v>45364</v>
      </c>
      <c r="D1056">
        <v>402.65</v>
      </c>
      <c r="E1056">
        <v>0</v>
      </c>
      <c r="F1056">
        <v>135319.99</v>
      </c>
      <c r="G1056" t="s">
        <v>719</v>
      </c>
      <c r="H1056" s="7">
        <f t="shared" si="125"/>
        <v>0</v>
      </c>
      <c r="I1056" s="1">
        <f t="shared" si="119"/>
        <v>45364</v>
      </c>
      <c r="J1056" s="1" t="str">
        <f t="shared" si="120"/>
        <v>NET PI TO HSL SEC A/C 347707-00602340029392</v>
      </c>
      <c r="L1056" s="7">
        <f t="shared" si="121"/>
        <v>402.65</v>
      </c>
      <c r="M1056" s="7">
        <f t="shared" si="122"/>
        <v>0</v>
      </c>
      <c r="N1056" s="7">
        <f t="shared" si="123"/>
        <v>135319.99</v>
      </c>
      <c r="O1056" s="7" t="str">
        <f t="shared" si="124"/>
        <v>HDFC 5930</v>
      </c>
    </row>
    <row r="1057" spans="1:15" x14ac:dyDescent="0.25">
      <c r="A1057" s="1">
        <v>45364</v>
      </c>
      <c r="B1057" t="s">
        <v>965</v>
      </c>
      <c r="C1057" s="1">
        <v>45364</v>
      </c>
      <c r="D1057">
        <v>2395.4</v>
      </c>
      <c r="E1057">
        <v>0</v>
      </c>
      <c r="F1057">
        <v>132924.59</v>
      </c>
      <c r="G1057" t="s">
        <v>719</v>
      </c>
      <c r="H1057" s="7">
        <f t="shared" si="125"/>
        <v>0</v>
      </c>
      <c r="I1057" s="1">
        <f t="shared" si="119"/>
        <v>45364</v>
      </c>
      <c r="J1057" s="1" t="str">
        <f t="shared" si="120"/>
        <v>DEPOSITORY CHARGES FEB24 - 40227714</v>
      </c>
      <c r="L1057" s="7">
        <f t="shared" si="121"/>
        <v>2395.4</v>
      </c>
      <c r="M1057" s="7">
        <f t="shared" si="122"/>
        <v>0</v>
      </c>
      <c r="N1057" s="7">
        <f t="shared" si="123"/>
        <v>132924.59</v>
      </c>
      <c r="O1057" s="7" t="str">
        <f t="shared" si="124"/>
        <v>HDFC 5930</v>
      </c>
    </row>
    <row r="1058" spans="1:15" x14ac:dyDescent="0.25">
      <c r="A1058" s="1">
        <v>45364</v>
      </c>
      <c r="B1058" t="s">
        <v>472</v>
      </c>
      <c r="C1058" s="1">
        <v>45364</v>
      </c>
      <c r="D1058">
        <v>39915.78</v>
      </c>
      <c r="E1058">
        <v>0</v>
      </c>
      <c r="F1058">
        <v>93008.81</v>
      </c>
      <c r="G1058" t="s">
        <v>719</v>
      </c>
      <c r="H1058" s="7">
        <f t="shared" si="125"/>
        <v>0</v>
      </c>
      <c r="I1058" s="1">
        <f t="shared" si="119"/>
        <v>45364</v>
      </c>
      <c r="J1058" s="1" t="str">
        <f t="shared" si="120"/>
        <v>NET PI TO HSL SEC A/C 347707-00602340029392</v>
      </c>
      <c r="L1058" s="7">
        <f t="shared" si="121"/>
        <v>39915.78</v>
      </c>
      <c r="M1058" s="7">
        <f t="shared" si="122"/>
        <v>0</v>
      </c>
      <c r="N1058" s="7">
        <f t="shared" si="123"/>
        <v>93008.81</v>
      </c>
      <c r="O1058" s="7" t="str">
        <f t="shared" si="124"/>
        <v>HDFC 5930</v>
      </c>
    </row>
    <row r="1059" spans="1:15" x14ac:dyDescent="0.25">
      <c r="A1059" s="1">
        <v>45365</v>
      </c>
      <c r="B1059" t="s">
        <v>472</v>
      </c>
      <c r="C1059" s="1">
        <v>45365</v>
      </c>
      <c r="D1059">
        <v>388.44</v>
      </c>
      <c r="E1059">
        <v>0</v>
      </c>
      <c r="F1059">
        <v>92620.37</v>
      </c>
      <c r="G1059" t="s">
        <v>719</v>
      </c>
      <c r="H1059" s="7">
        <f t="shared" si="125"/>
        <v>0</v>
      </c>
      <c r="I1059" s="1">
        <f t="shared" si="119"/>
        <v>45365</v>
      </c>
      <c r="J1059" s="1" t="str">
        <f t="shared" si="120"/>
        <v>NET PI TO HSL SEC A/C 347707-00602340029392</v>
      </c>
      <c r="L1059" s="7">
        <f t="shared" si="121"/>
        <v>388.44</v>
      </c>
      <c r="M1059" s="7">
        <f t="shared" si="122"/>
        <v>0</v>
      </c>
      <c r="N1059" s="7">
        <f t="shared" si="123"/>
        <v>92620.37</v>
      </c>
      <c r="O1059" s="7" t="str">
        <f t="shared" si="124"/>
        <v>HDFC 5930</v>
      </c>
    </row>
    <row r="1060" spans="1:15" x14ac:dyDescent="0.25">
      <c r="A1060" s="1">
        <v>45365</v>
      </c>
      <c r="B1060" t="s">
        <v>966</v>
      </c>
      <c r="C1060" s="1">
        <v>45365</v>
      </c>
      <c r="D1060">
        <v>20000</v>
      </c>
      <c r="E1060">
        <v>0</v>
      </c>
      <c r="F1060">
        <v>72620.37</v>
      </c>
      <c r="G1060" t="s">
        <v>719</v>
      </c>
      <c r="H1060" s="7">
        <f t="shared" si="125"/>
        <v>0</v>
      </c>
      <c r="I1060" s="1">
        <f t="shared" si="119"/>
        <v>45365</v>
      </c>
      <c r="J1060" s="1" t="str">
        <f t="shared" si="120"/>
        <v>YHDF2270511290/BILLDKINDIANCLEARING</v>
      </c>
      <c r="L1060" s="7">
        <f t="shared" si="121"/>
        <v>20000</v>
      </c>
      <c r="M1060" s="7">
        <f t="shared" si="122"/>
        <v>0</v>
      </c>
      <c r="N1060" s="7">
        <f t="shared" si="123"/>
        <v>72620.37</v>
      </c>
      <c r="O1060" s="7" t="str">
        <f t="shared" si="124"/>
        <v>HDFC 5930</v>
      </c>
    </row>
    <row r="1061" spans="1:15" x14ac:dyDescent="0.25">
      <c r="A1061" s="1">
        <v>45365</v>
      </c>
      <c r="B1061" t="s">
        <v>472</v>
      </c>
      <c r="C1061" s="1">
        <v>45365</v>
      </c>
      <c r="D1061">
        <v>3160.16</v>
      </c>
      <c r="E1061">
        <v>0</v>
      </c>
      <c r="F1061">
        <v>69460.210000000006</v>
      </c>
      <c r="G1061" t="s">
        <v>719</v>
      </c>
      <c r="H1061" s="7">
        <f t="shared" si="125"/>
        <v>0</v>
      </c>
      <c r="I1061" s="1">
        <f t="shared" si="119"/>
        <v>45365</v>
      </c>
      <c r="J1061" s="1" t="str">
        <f t="shared" si="120"/>
        <v>NET PI TO HSL SEC A/C 347707-00602340029392</v>
      </c>
      <c r="L1061" s="7">
        <f t="shared" si="121"/>
        <v>3160.16</v>
      </c>
      <c r="M1061" s="7">
        <f t="shared" si="122"/>
        <v>0</v>
      </c>
      <c r="N1061" s="7">
        <f t="shared" si="123"/>
        <v>69460.210000000006</v>
      </c>
      <c r="O1061" s="7" t="str">
        <f t="shared" si="124"/>
        <v>HDFC 5930</v>
      </c>
    </row>
    <row r="1062" spans="1:15" x14ac:dyDescent="0.25">
      <c r="A1062" s="1">
        <v>45366</v>
      </c>
      <c r="B1062" t="s">
        <v>681</v>
      </c>
      <c r="C1062" s="1">
        <v>45366</v>
      </c>
      <c r="D1062">
        <v>10000</v>
      </c>
      <c r="E1062">
        <v>0</v>
      </c>
      <c r="F1062">
        <v>59460.21</v>
      </c>
      <c r="G1062" t="s">
        <v>719</v>
      </c>
      <c r="H1062" s="7">
        <f t="shared" si="125"/>
        <v>0</v>
      </c>
      <c r="I1062" s="1">
        <f t="shared" si="119"/>
        <v>45366</v>
      </c>
      <c r="J1062" s="1" t="str">
        <f t="shared" si="120"/>
        <v>ACH D- INDIAN CLEARING CORP-P25847605X05</v>
      </c>
      <c r="L1062" s="7">
        <f t="shared" si="121"/>
        <v>10000</v>
      </c>
      <c r="M1062" s="7">
        <f t="shared" si="122"/>
        <v>0</v>
      </c>
      <c r="N1062" s="7">
        <f t="shared" si="123"/>
        <v>59460.21</v>
      </c>
      <c r="O1062" s="7" t="str">
        <f t="shared" si="124"/>
        <v>HDFC 5930</v>
      </c>
    </row>
    <row r="1063" spans="1:15" x14ac:dyDescent="0.25">
      <c r="A1063" s="1">
        <v>45366</v>
      </c>
      <c r="B1063" t="s">
        <v>472</v>
      </c>
      <c r="C1063" s="1">
        <v>45366</v>
      </c>
      <c r="D1063">
        <v>390.17</v>
      </c>
      <c r="E1063">
        <v>0</v>
      </c>
      <c r="F1063">
        <v>59070.04</v>
      </c>
      <c r="G1063" t="s">
        <v>719</v>
      </c>
      <c r="H1063" s="7">
        <f t="shared" si="125"/>
        <v>0</v>
      </c>
      <c r="I1063" s="1">
        <f t="shared" si="119"/>
        <v>45366</v>
      </c>
      <c r="J1063" s="1" t="str">
        <f t="shared" si="120"/>
        <v>NET PI TO HSL SEC A/C 347707-00602340029392</v>
      </c>
      <c r="L1063" s="7">
        <f t="shared" si="121"/>
        <v>390.17</v>
      </c>
      <c r="M1063" s="7">
        <f t="shared" si="122"/>
        <v>0</v>
      </c>
      <c r="N1063" s="7">
        <f t="shared" si="123"/>
        <v>59070.04</v>
      </c>
      <c r="O1063" s="7" t="str">
        <f t="shared" si="124"/>
        <v>HDFC 5930</v>
      </c>
    </row>
    <row r="1064" spans="1:15" x14ac:dyDescent="0.25">
      <c r="A1064" s="1">
        <v>45366</v>
      </c>
      <c r="B1064" t="s">
        <v>472</v>
      </c>
      <c r="C1064" s="1">
        <v>45366</v>
      </c>
      <c r="D1064">
        <v>21226.58</v>
      </c>
      <c r="E1064">
        <v>0</v>
      </c>
      <c r="F1064">
        <v>37843.46</v>
      </c>
      <c r="G1064" t="s">
        <v>719</v>
      </c>
      <c r="H1064" s="7">
        <f t="shared" si="125"/>
        <v>0</v>
      </c>
      <c r="I1064" s="1">
        <f t="shared" si="119"/>
        <v>45366</v>
      </c>
      <c r="J1064" s="1" t="str">
        <f t="shared" si="120"/>
        <v>NET PI TO HSL SEC A/C 347707-00602340029392</v>
      </c>
      <c r="L1064" s="7">
        <f t="shared" si="121"/>
        <v>21226.58</v>
      </c>
      <c r="M1064" s="7">
        <f t="shared" si="122"/>
        <v>0</v>
      </c>
      <c r="N1064" s="7">
        <f t="shared" si="123"/>
        <v>37843.46</v>
      </c>
      <c r="O1064" s="7" t="str">
        <f t="shared" si="124"/>
        <v>HDFC 5930</v>
      </c>
    </row>
    <row r="1065" spans="1:15" x14ac:dyDescent="0.25">
      <c r="A1065" s="1">
        <v>45369</v>
      </c>
      <c r="B1065" t="s">
        <v>967</v>
      </c>
      <c r="C1065" s="1">
        <v>45369</v>
      </c>
      <c r="D1065">
        <v>100</v>
      </c>
      <c r="E1065">
        <v>0</v>
      </c>
      <c r="F1065">
        <v>37743.46</v>
      </c>
      <c r="G1065" t="s">
        <v>719</v>
      </c>
      <c r="H1065" s="7">
        <f t="shared" si="125"/>
        <v>0</v>
      </c>
      <c r="I1065" s="1">
        <f t="shared" si="119"/>
        <v>45369</v>
      </c>
      <c r="J1065" s="1" t="str">
        <f t="shared" si="120"/>
        <v>UPI-ARCHIT  GUPTA-8668331033@AXL-SBIN0011669-444458612419-PAYMENT FROM PHONE</v>
      </c>
      <c r="L1065" s="7">
        <f t="shared" si="121"/>
        <v>100</v>
      </c>
      <c r="M1065" s="7">
        <f t="shared" si="122"/>
        <v>0</v>
      </c>
      <c r="N1065" s="7">
        <f t="shared" si="123"/>
        <v>37743.46</v>
      </c>
      <c r="O1065" s="7" t="str">
        <f t="shared" si="124"/>
        <v>HDFC 5930</v>
      </c>
    </row>
    <row r="1066" spans="1:15" x14ac:dyDescent="0.25">
      <c r="A1066" s="1">
        <v>45369</v>
      </c>
      <c r="B1066" t="s">
        <v>968</v>
      </c>
      <c r="C1066" s="1">
        <v>45369</v>
      </c>
      <c r="D1066">
        <v>10</v>
      </c>
      <c r="E1066">
        <v>0</v>
      </c>
      <c r="F1066">
        <v>37733.46</v>
      </c>
      <c r="G1066" t="s">
        <v>719</v>
      </c>
      <c r="H1066" s="7">
        <f t="shared" si="125"/>
        <v>0</v>
      </c>
      <c r="I1066" s="1">
        <f t="shared" si="119"/>
        <v>45369</v>
      </c>
      <c r="J1066" s="1" t="str">
        <f t="shared" si="120"/>
        <v>UPI-XXXXXX0922-HDFC0000001-407891942657-PAYMENT FROM PHONE</v>
      </c>
      <c r="L1066" s="7">
        <f t="shared" si="121"/>
        <v>10</v>
      </c>
      <c r="M1066" s="7">
        <f t="shared" si="122"/>
        <v>0</v>
      </c>
      <c r="N1066" s="7">
        <f t="shared" si="123"/>
        <v>37733.46</v>
      </c>
      <c r="O1066" s="7" t="str">
        <f t="shared" si="124"/>
        <v>HDFC 5930</v>
      </c>
    </row>
    <row r="1067" spans="1:15" x14ac:dyDescent="0.25">
      <c r="A1067" s="1">
        <v>45369</v>
      </c>
      <c r="B1067" t="s">
        <v>969</v>
      </c>
      <c r="C1067" s="1">
        <v>45369</v>
      </c>
      <c r="D1067">
        <v>5000</v>
      </c>
      <c r="E1067">
        <v>0</v>
      </c>
      <c r="F1067">
        <v>32733.46</v>
      </c>
      <c r="G1067" t="s">
        <v>719</v>
      </c>
      <c r="H1067" s="7">
        <f t="shared" si="125"/>
        <v>0</v>
      </c>
      <c r="I1067" s="1">
        <f t="shared" si="119"/>
        <v>45369</v>
      </c>
      <c r="J1067" s="1" t="str">
        <f t="shared" si="120"/>
        <v>UPI-XXXXXX0922-HDFC0000001-407897139670-PAYMENT FROM PHONE</v>
      </c>
      <c r="L1067" s="7">
        <f t="shared" si="121"/>
        <v>5000</v>
      </c>
      <c r="M1067" s="7">
        <f t="shared" si="122"/>
        <v>0</v>
      </c>
      <c r="N1067" s="7">
        <f t="shared" si="123"/>
        <v>32733.46</v>
      </c>
      <c r="O1067" s="7" t="str">
        <f t="shared" si="124"/>
        <v>HDFC 5930</v>
      </c>
    </row>
    <row r="1068" spans="1:15" x14ac:dyDescent="0.25">
      <c r="A1068" s="1">
        <v>45369</v>
      </c>
      <c r="B1068" t="s">
        <v>472</v>
      </c>
      <c r="C1068" s="1">
        <v>45369</v>
      </c>
      <c r="D1068">
        <v>1195.6199999999999</v>
      </c>
      <c r="E1068">
        <v>0</v>
      </c>
      <c r="F1068">
        <v>31537.84</v>
      </c>
      <c r="G1068" t="s">
        <v>719</v>
      </c>
      <c r="H1068" s="7">
        <f t="shared" si="125"/>
        <v>0</v>
      </c>
      <c r="I1068" s="1">
        <f t="shared" si="119"/>
        <v>45369</v>
      </c>
      <c r="J1068" s="1" t="str">
        <f t="shared" si="120"/>
        <v>NET PI TO HSL SEC A/C 347707-00602340029392</v>
      </c>
      <c r="L1068" s="7">
        <f t="shared" si="121"/>
        <v>1195.6199999999999</v>
      </c>
      <c r="M1068" s="7">
        <f t="shared" si="122"/>
        <v>0</v>
      </c>
      <c r="N1068" s="7">
        <f t="shared" si="123"/>
        <v>31537.84</v>
      </c>
      <c r="O1068" s="7" t="str">
        <f t="shared" si="124"/>
        <v>HDFC 5930</v>
      </c>
    </row>
    <row r="1069" spans="1:15" x14ac:dyDescent="0.25">
      <c r="A1069" s="1">
        <v>45370</v>
      </c>
      <c r="B1069" t="s">
        <v>618</v>
      </c>
      <c r="C1069" s="1">
        <v>45370</v>
      </c>
      <c r="D1069">
        <v>0</v>
      </c>
      <c r="E1069">
        <v>7827.41</v>
      </c>
      <c r="F1069">
        <v>39365.25</v>
      </c>
      <c r="G1069" t="s">
        <v>719</v>
      </c>
      <c r="H1069" s="7">
        <f t="shared" si="125"/>
        <v>0</v>
      </c>
      <c r="I1069" s="1">
        <f t="shared" si="119"/>
        <v>45370</v>
      </c>
      <c r="J1069" s="1" t="str">
        <f t="shared" si="120"/>
        <v>NET PO FROM HSL A/C 347707-50200085415108</v>
      </c>
      <c r="L1069" s="7">
        <f t="shared" si="121"/>
        <v>0</v>
      </c>
      <c r="M1069" s="7">
        <f t="shared" si="122"/>
        <v>7827.41</v>
      </c>
      <c r="N1069" s="7">
        <f t="shared" si="123"/>
        <v>39365.25</v>
      </c>
      <c r="O1069" s="7" t="str">
        <f t="shared" si="124"/>
        <v>HDFC 5930</v>
      </c>
    </row>
    <row r="1070" spans="1:15" x14ac:dyDescent="0.25">
      <c r="A1070" s="1">
        <v>45370</v>
      </c>
      <c r="B1070" t="s">
        <v>472</v>
      </c>
      <c r="C1070" s="1">
        <v>45370</v>
      </c>
      <c r="D1070">
        <v>408.79</v>
      </c>
      <c r="E1070">
        <v>0</v>
      </c>
      <c r="F1070">
        <v>38956.46</v>
      </c>
      <c r="G1070" t="s">
        <v>719</v>
      </c>
      <c r="H1070" s="7">
        <f t="shared" si="125"/>
        <v>0</v>
      </c>
      <c r="I1070" s="1">
        <f t="shared" si="119"/>
        <v>45370</v>
      </c>
      <c r="J1070" s="1" t="str">
        <f t="shared" si="120"/>
        <v>NET PI TO HSL SEC A/C 347707-00602340029392</v>
      </c>
      <c r="L1070" s="7">
        <f t="shared" si="121"/>
        <v>408.79</v>
      </c>
      <c r="M1070" s="7">
        <f t="shared" si="122"/>
        <v>0</v>
      </c>
      <c r="N1070" s="7">
        <f t="shared" si="123"/>
        <v>38956.46</v>
      </c>
      <c r="O1070" s="7" t="str">
        <f t="shared" si="124"/>
        <v>HDFC 5930</v>
      </c>
    </row>
    <row r="1071" spans="1:15" x14ac:dyDescent="0.25">
      <c r="A1071" s="1">
        <v>45370</v>
      </c>
      <c r="B1071" t="s">
        <v>472</v>
      </c>
      <c r="C1071" s="1">
        <v>45370</v>
      </c>
      <c r="D1071">
        <v>18680.97</v>
      </c>
      <c r="E1071">
        <v>0</v>
      </c>
      <c r="F1071">
        <v>20275.490000000002</v>
      </c>
      <c r="G1071" t="s">
        <v>719</v>
      </c>
      <c r="H1071" s="7">
        <f t="shared" si="125"/>
        <v>0</v>
      </c>
      <c r="I1071" s="1">
        <f t="shared" si="119"/>
        <v>45370</v>
      </c>
      <c r="J1071" s="1" t="str">
        <f t="shared" si="120"/>
        <v>NET PI TO HSL SEC A/C 347707-00602340029392</v>
      </c>
      <c r="L1071" s="7">
        <f t="shared" si="121"/>
        <v>18680.97</v>
      </c>
      <c r="M1071" s="7">
        <f t="shared" si="122"/>
        <v>0</v>
      </c>
      <c r="N1071" s="7">
        <f t="shared" si="123"/>
        <v>20275.490000000002</v>
      </c>
      <c r="O1071" s="7" t="str">
        <f t="shared" si="124"/>
        <v>HDFC 5930</v>
      </c>
    </row>
    <row r="1072" spans="1:15" x14ac:dyDescent="0.25">
      <c r="A1072" s="1">
        <v>45371</v>
      </c>
      <c r="B1072" t="s">
        <v>618</v>
      </c>
      <c r="C1072" s="1">
        <v>45371</v>
      </c>
      <c r="D1072">
        <v>0</v>
      </c>
      <c r="E1072">
        <v>32210.1</v>
      </c>
      <c r="F1072">
        <v>52485.59</v>
      </c>
      <c r="G1072" t="s">
        <v>719</v>
      </c>
      <c r="H1072" s="7">
        <f t="shared" si="125"/>
        <v>0</v>
      </c>
      <c r="I1072" s="1">
        <f t="shared" si="119"/>
        <v>45371</v>
      </c>
      <c r="J1072" s="1" t="str">
        <f t="shared" si="120"/>
        <v>NET PO FROM HSL A/C 347707-50200085415108</v>
      </c>
      <c r="L1072" s="7">
        <f t="shared" si="121"/>
        <v>0</v>
      </c>
      <c r="M1072" s="7">
        <f t="shared" si="122"/>
        <v>32210.1</v>
      </c>
      <c r="N1072" s="7">
        <f t="shared" si="123"/>
        <v>52485.59</v>
      </c>
      <c r="O1072" s="7" t="str">
        <f t="shared" si="124"/>
        <v>HDFC 5930</v>
      </c>
    </row>
    <row r="1073" spans="1:15" x14ac:dyDescent="0.25">
      <c r="A1073" s="1">
        <v>45371</v>
      </c>
      <c r="B1073" t="s">
        <v>681</v>
      </c>
      <c r="C1073" s="1">
        <v>45371</v>
      </c>
      <c r="D1073">
        <v>10000</v>
      </c>
      <c r="E1073">
        <v>0</v>
      </c>
      <c r="F1073">
        <v>42485.59</v>
      </c>
      <c r="G1073" t="s">
        <v>719</v>
      </c>
      <c r="H1073" s="7">
        <f t="shared" si="125"/>
        <v>0</v>
      </c>
      <c r="I1073" s="1">
        <f t="shared" si="119"/>
        <v>45371</v>
      </c>
      <c r="J1073" s="1" t="str">
        <f t="shared" si="120"/>
        <v>ACH D- INDIAN CLEARING CORP-P25847605X05</v>
      </c>
      <c r="L1073" s="7">
        <f t="shared" si="121"/>
        <v>10000</v>
      </c>
      <c r="M1073" s="7">
        <f t="shared" si="122"/>
        <v>0</v>
      </c>
      <c r="N1073" s="7">
        <f t="shared" si="123"/>
        <v>42485.59</v>
      </c>
      <c r="O1073" s="7" t="str">
        <f t="shared" si="124"/>
        <v>HDFC 5930</v>
      </c>
    </row>
    <row r="1074" spans="1:15" x14ac:dyDescent="0.25">
      <c r="A1074" s="1">
        <v>45371</v>
      </c>
      <c r="B1074" t="s">
        <v>472</v>
      </c>
      <c r="C1074" s="1">
        <v>45371</v>
      </c>
      <c r="D1074">
        <v>404.92</v>
      </c>
      <c r="E1074">
        <v>0</v>
      </c>
      <c r="F1074">
        <v>42080.67</v>
      </c>
      <c r="G1074" t="s">
        <v>719</v>
      </c>
      <c r="H1074" s="7">
        <f t="shared" si="125"/>
        <v>0</v>
      </c>
      <c r="I1074" s="1">
        <f t="shared" si="119"/>
        <v>45371</v>
      </c>
      <c r="J1074" s="1" t="str">
        <f t="shared" si="120"/>
        <v>NET PI TO HSL SEC A/C 347707-00602340029392</v>
      </c>
      <c r="L1074" s="7">
        <f t="shared" si="121"/>
        <v>404.92</v>
      </c>
      <c r="M1074" s="7">
        <f t="shared" si="122"/>
        <v>0</v>
      </c>
      <c r="N1074" s="7">
        <f t="shared" si="123"/>
        <v>42080.67</v>
      </c>
      <c r="O1074" s="7" t="str">
        <f t="shared" si="124"/>
        <v>HDFC 5930</v>
      </c>
    </row>
    <row r="1075" spans="1:15" x14ac:dyDescent="0.25">
      <c r="A1075" s="1">
        <v>45371</v>
      </c>
      <c r="B1075" t="s">
        <v>970</v>
      </c>
      <c r="C1075" s="1">
        <v>45371</v>
      </c>
      <c r="D1075">
        <v>0</v>
      </c>
      <c r="E1075">
        <v>300</v>
      </c>
      <c r="F1075">
        <v>42380.67</v>
      </c>
      <c r="G1075" t="s">
        <v>719</v>
      </c>
      <c r="H1075" s="7">
        <f t="shared" si="125"/>
        <v>0</v>
      </c>
      <c r="I1075" s="1">
        <f t="shared" si="119"/>
        <v>45371</v>
      </c>
      <c r="J1075" s="1" t="str">
        <f t="shared" si="120"/>
        <v>ACH C- SANOFI INDIA DIV PMT-71PR24032008</v>
      </c>
      <c r="L1075" s="7">
        <f t="shared" si="121"/>
        <v>0</v>
      </c>
      <c r="M1075" s="7">
        <f t="shared" si="122"/>
        <v>300</v>
      </c>
      <c r="N1075" s="7">
        <f t="shared" si="123"/>
        <v>42380.67</v>
      </c>
      <c r="O1075" s="7" t="str">
        <f t="shared" si="124"/>
        <v>HDFC 5930</v>
      </c>
    </row>
    <row r="1076" spans="1:15" x14ac:dyDescent="0.25">
      <c r="A1076" s="1">
        <v>45371</v>
      </c>
      <c r="B1076" t="s">
        <v>953</v>
      </c>
      <c r="C1076" s="1">
        <v>45371</v>
      </c>
      <c r="D1076">
        <v>0</v>
      </c>
      <c r="E1076">
        <v>100000</v>
      </c>
      <c r="F1076">
        <v>142380.67000000001</v>
      </c>
      <c r="G1076" t="s">
        <v>719</v>
      </c>
      <c r="H1076" s="7">
        <f t="shared" si="125"/>
        <v>0</v>
      </c>
      <c r="I1076" s="1">
        <f t="shared" si="119"/>
        <v>45371</v>
      </c>
      <c r="J1076" s="1" t="str">
        <f t="shared" si="120"/>
        <v>50100128155413-TPT-MONEY RETURNED TO AKG-AAYUSH KUMAR GUPTA</v>
      </c>
      <c r="L1076" s="7">
        <f t="shared" si="121"/>
        <v>0</v>
      </c>
      <c r="M1076" s="7">
        <f t="shared" si="122"/>
        <v>100000</v>
      </c>
      <c r="N1076" s="7">
        <f t="shared" si="123"/>
        <v>142380.67000000001</v>
      </c>
      <c r="O1076" s="7" t="str">
        <f t="shared" si="124"/>
        <v>HDFC 5930</v>
      </c>
    </row>
    <row r="1077" spans="1:15" x14ac:dyDescent="0.25">
      <c r="A1077" s="1">
        <v>45371</v>
      </c>
      <c r="B1077" t="s">
        <v>971</v>
      </c>
      <c r="C1077" s="1">
        <v>45371</v>
      </c>
      <c r="D1077">
        <v>0</v>
      </c>
      <c r="E1077">
        <v>2221.13</v>
      </c>
      <c r="F1077">
        <v>144601.79999999999</v>
      </c>
      <c r="G1077" t="s">
        <v>719</v>
      </c>
      <c r="H1077" s="7">
        <f t="shared" si="125"/>
        <v>0</v>
      </c>
      <c r="I1077" s="1">
        <f t="shared" si="119"/>
        <v>45371</v>
      </c>
      <c r="J1077" s="1" t="str">
        <f t="shared" si="120"/>
        <v>00012050001396HLY INT-IN0020230093</v>
      </c>
      <c r="L1077" s="7">
        <f t="shared" si="121"/>
        <v>0</v>
      </c>
      <c r="M1077" s="7">
        <f t="shared" si="122"/>
        <v>2221.13</v>
      </c>
      <c r="N1077" s="7">
        <f t="shared" si="123"/>
        <v>144601.79999999999</v>
      </c>
      <c r="O1077" s="7" t="str">
        <f t="shared" si="124"/>
        <v>HDFC 5930</v>
      </c>
    </row>
    <row r="1078" spans="1:15" x14ac:dyDescent="0.25">
      <c r="A1078" s="1">
        <v>45372</v>
      </c>
      <c r="B1078" t="s">
        <v>618</v>
      </c>
      <c r="C1078" s="1">
        <v>45372</v>
      </c>
      <c r="D1078">
        <v>0</v>
      </c>
      <c r="E1078">
        <v>658.12</v>
      </c>
      <c r="F1078">
        <v>145259.92000000001</v>
      </c>
      <c r="G1078" t="s">
        <v>719</v>
      </c>
      <c r="H1078" s="7">
        <f t="shared" si="125"/>
        <v>0</v>
      </c>
      <c r="I1078" s="1">
        <f t="shared" si="119"/>
        <v>45372</v>
      </c>
      <c r="J1078" s="1" t="str">
        <f t="shared" si="120"/>
        <v>NET PO FROM HSL A/C 347707-50200085415108</v>
      </c>
      <c r="L1078" s="7">
        <f t="shared" si="121"/>
        <v>0</v>
      </c>
      <c r="M1078" s="7">
        <f t="shared" si="122"/>
        <v>658.12</v>
      </c>
      <c r="N1078" s="7">
        <f t="shared" si="123"/>
        <v>145259.92000000001</v>
      </c>
      <c r="O1078" s="7" t="str">
        <f t="shared" si="124"/>
        <v>HDFC 5930</v>
      </c>
    </row>
    <row r="1079" spans="1:15" x14ac:dyDescent="0.25">
      <c r="A1079" s="1">
        <v>45372</v>
      </c>
      <c r="B1079" t="s">
        <v>972</v>
      </c>
      <c r="C1079" s="1">
        <v>45372</v>
      </c>
      <c r="D1079">
        <v>50000</v>
      </c>
      <c r="E1079">
        <v>0</v>
      </c>
      <c r="F1079">
        <v>95259.92</v>
      </c>
      <c r="G1079" t="s">
        <v>719</v>
      </c>
      <c r="H1079" s="7">
        <f t="shared" si="125"/>
        <v>0</v>
      </c>
      <c r="I1079" s="1">
        <f t="shared" si="119"/>
        <v>45372</v>
      </c>
      <c r="J1079" s="1" t="str">
        <f t="shared" si="120"/>
        <v>YHDF2277031397/BILLDKINDIANCLEARING</v>
      </c>
      <c r="L1079" s="7">
        <f t="shared" si="121"/>
        <v>50000</v>
      </c>
      <c r="M1079" s="7">
        <f t="shared" si="122"/>
        <v>0</v>
      </c>
      <c r="N1079" s="7">
        <f t="shared" si="123"/>
        <v>95259.92</v>
      </c>
      <c r="O1079" s="7" t="str">
        <f t="shared" si="124"/>
        <v>HDFC 5930</v>
      </c>
    </row>
    <row r="1080" spans="1:15" x14ac:dyDescent="0.25">
      <c r="A1080" s="1">
        <v>45372</v>
      </c>
      <c r="B1080" t="s">
        <v>472</v>
      </c>
      <c r="C1080" s="1">
        <v>45372</v>
      </c>
      <c r="D1080">
        <v>415.53</v>
      </c>
      <c r="E1080">
        <v>0</v>
      </c>
      <c r="F1080">
        <v>94844.39</v>
      </c>
      <c r="G1080" t="s">
        <v>719</v>
      </c>
      <c r="H1080" s="7">
        <f t="shared" si="125"/>
        <v>0</v>
      </c>
      <c r="I1080" s="1">
        <f t="shared" si="119"/>
        <v>45372</v>
      </c>
      <c r="J1080" s="1" t="str">
        <f t="shared" si="120"/>
        <v>NET PI TO HSL SEC A/C 347707-00602340029392</v>
      </c>
      <c r="L1080" s="7">
        <f t="shared" si="121"/>
        <v>415.53</v>
      </c>
      <c r="M1080" s="7">
        <f t="shared" si="122"/>
        <v>0</v>
      </c>
      <c r="N1080" s="7">
        <f t="shared" si="123"/>
        <v>94844.39</v>
      </c>
      <c r="O1080" s="7" t="str">
        <f t="shared" si="124"/>
        <v>HDFC 5930</v>
      </c>
    </row>
    <row r="1081" spans="1:15" x14ac:dyDescent="0.25">
      <c r="A1081" s="1">
        <v>45372</v>
      </c>
      <c r="B1081" t="s">
        <v>973</v>
      </c>
      <c r="C1081" s="1">
        <v>45372</v>
      </c>
      <c r="D1081">
        <v>0</v>
      </c>
      <c r="E1081">
        <v>10000</v>
      </c>
      <c r="F1081">
        <v>104844.39</v>
      </c>
      <c r="G1081" t="s">
        <v>719</v>
      </c>
      <c r="H1081" s="7">
        <f t="shared" si="125"/>
        <v>0</v>
      </c>
      <c r="I1081" s="1">
        <f t="shared" si="119"/>
        <v>45372</v>
      </c>
      <c r="J1081" s="1" t="str">
        <f t="shared" si="120"/>
        <v>57500000009262-1073586390-AJAY KUMA</v>
      </c>
      <c r="L1081" s="7">
        <f t="shared" si="121"/>
        <v>0</v>
      </c>
      <c r="M1081" s="7">
        <f t="shared" si="122"/>
        <v>10000</v>
      </c>
      <c r="N1081" s="7">
        <f t="shared" si="123"/>
        <v>104844.39</v>
      </c>
      <c r="O1081" s="7" t="str">
        <f t="shared" si="124"/>
        <v>HDFC 5930</v>
      </c>
    </row>
    <row r="1082" spans="1:15" x14ac:dyDescent="0.25">
      <c r="A1082" s="1">
        <v>45373</v>
      </c>
      <c r="B1082" t="s">
        <v>618</v>
      </c>
      <c r="C1082" s="1">
        <v>45373</v>
      </c>
      <c r="D1082">
        <v>0</v>
      </c>
      <c r="E1082">
        <v>14307.6</v>
      </c>
      <c r="F1082">
        <v>119151.99</v>
      </c>
      <c r="G1082" t="s">
        <v>719</v>
      </c>
      <c r="H1082" s="7">
        <f t="shared" si="125"/>
        <v>0</v>
      </c>
      <c r="I1082" s="1">
        <f t="shared" si="119"/>
        <v>45373</v>
      </c>
      <c r="J1082" s="1" t="str">
        <f t="shared" si="120"/>
        <v>NET PO FROM HSL A/C 347707-50200085415108</v>
      </c>
      <c r="L1082" s="7">
        <f t="shared" si="121"/>
        <v>0</v>
      </c>
      <c r="M1082" s="7">
        <f t="shared" si="122"/>
        <v>14307.6</v>
      </c>
      <c r="N1082" s="7">
        <f t="shared" si="123"/>
        <v>119151.99</v>
      </c>
      <c r="O1082" s="7" t="str">
        <f t="shared" si="124"/>
        <v>HDFC 5930</v>
      </c>
    </row>
    <row r="1083" spans="1:15" x14ac:dyDescent="0.25">
      <c r="A1083" s="1">
        <v>45373</v>
      </c>
      <c r="B1083" t="s">
        <v>472</v>
      </c>
      <c r="C1083" s="1">
        <v>45373</v>
      </c>
      <c r="D1083">
        <v>419.07</v>
      </c>
      <c r="E1083">
        <v>0</v>
      </c>
      <c r="F1083">
        <v>118732.92</v>
      </c>
      <c r="G1083" t="s">
        <v>719</v>
      </c>
      <c r="H1083" s="7">
        <f t="shared" si="125"/>
        <v>0</v>
      </c>
      <c r="I1083" s="1">
        <f t="shared" si="119"/>
        <v>45373</v>
      </c>
      <c r="J1083" s="1" t="str">
        <f t="shared" si="120"/>
        <v>NET PI TO HSL SEC A/C 347707-00602340029392</v>
      </c>
      <c r="L1083" s="7">
        <f t="shared" si="121"/>
        <v>419.07</v>
      </c>
      <c r="M1083" s="7">
        <f t="shared" si="122"/>
        <v>0</v>
      </c>
      <c r="N1083" s="7">
        <f t="shared" si="123"/>
        <v>118732.92</v>
      </c>
      <c r="O1083" s="7" t="str">
        <f t="shared" si="124"/>
        <v>HDFC 5930</v>
      </c>
    </row>
    <row r="1084" spans="1:15" x14ac:dyDescent="0.25">
      <c r="A1084" s="1">
        <v>45373</v>
      </c>
      <c r="B1084" t="s">
        <v>472</v>
      </c>
      <c r="C1084" s="1">
        <v>45373</v>
      </c>
      <c r="D1084">
        <v>48655.76</v>
      </c>
      <c r="E1084">
        <v>0</v>
      </c>
      <c r="F1084">
        <v>70077.16</v>
      </c>
      <c r="G1084" t="s">
        <v>719</v>
      </c>
      <c r="H1084" s="7">
        <f t="shared" si="125"/>
        <v>0</v>
      </c>
      <c r="I1084" s="1">
        <f t="shared" si="119"/>
        <v>45373</v>
      </c>
      <c r="J1084" s="1" t="str">
        <f t="shared" si="120"/>
        <v>NET PI TO HSL SEC A/C 347707-00602340029392</v>
      </c>
      <c r="L1084" s="7">
        <f t="shared" si="121"/>
        <v>48655.76</v>
      </c>
      <c r="M1084" s="7">
        <f t="shared" si="122"/>
        <v>0</v>
      </c>
      <c r="N1084" s="7">
        <f t="shared" si="123"/>
        <v>70077.16</v>
      </c>
      <c r="O1084" s="7" t="str">
        <f t="shared" si="124"/>
        <v>HDFC 5930</v>
      </c>
    </row>
    <row r="1085" spans="1:15" x14ac:dyDescent="0.25">
      <c r="A1085" s="1">
        <v>45377</v>
      </c>
      <c r="B1085" t="s">
        <v>472</v>
      </c>
      <c r="C1085" s="1">
        <v>45377</v>
      </c>
      <c r="D1085">
        <v>1622.68</v>
      </c>
      <c r="E1085">
        <v>0</v>
      </c>
      <c r="F1085">
        <v>68454.48</v>
      </c>
      <c r="G1085" t="s">
        <v>719</v>
      </c>
      <c r="H1085" s="7">
        <f t="shared" si="125"/>
        <v>0</v>
      </c>
      <c r="I1085" s="1">
        <f t="shared" si="119"/>
        <v>45377</v>
      </c>
      <c r="J1085" s="1" t="str">
        <f t="shared" si="120"/>
        <v>NET PI TO HSL SEC A/C 347707-00602340029392</v>
      </c>
      <c r="L1085" s="7">
        <f t="shared" si="121"/>
        <v>1622.68</v>
      </c>
      <c r="M1085" s="7">
        <f t="shared" si="122"/>
        <v>0</v>
      </c>
      <c r="N1085" s="7">
        <f t="shared" si="123"/>
        <v>68454.48</v>
      </c>
      <c r="O1085" s="7" t="str">
        <f t="shared" si="124"/>
        <v>HDFC 5930</v>
      </c>
    </row>
    <row r="1086" spans="1:15" x14ac:dyDescent="0.25">
      <c r="A1086" s="1">
        <v>45377</v>
      </c>
      <c r="B1086" t="s">
        <v>472</v>
      </c>
      <c r="C1086" s="1">
        <v>45377</v>
      </c>
      <c r="D1086">
        <v>1820</v>
      </c>
      <c r="E1086">
        <v>0</v>
      </c>
      <c r="F1086">
        <v>66634.48</v>
      </c>
      <c r="G1086" t="s">
        <v>719</v>
      </c>
      <c r="H1086" s="7">
        <f t="shared" si="125"/>
        <v>0</v>
      </c>
      <c r="I1086" s="1">
        <f t="shared" si="119"/>
        <v>45377</v>
      </c>
      <c r="J1086" s="1" t="str">
        <f t="shared" si="120"/>
        <v>NET PI TO HSL SEC A/C 347707-00602340029392</v>
      </c>
      <c r="L1086" s="7">
        <f t="shared" si="121"/>
        <v>1820</v>
      </c>
      <c r="M1086" s="7">
        <f t="shared" si="122"/>
        <v>0</v>
      </c>
      <c r="N1086" s="7">
        <f t="shared" si="123"/>
        <v>66634.48</v>
      </c>
      <c r="O1086" s="7" t="str">
        <f t="shared" si="124"/>
        <v>HDFC 5930</v>
      </c>
    </row>
    <row r="1087" spans="1:15" x14ac:dyDescent="0.25">
      <c r="A1087" s="1">
        <v>45377</v>
      </c>
      <c r="B1087" t="s">
        <v>472</v>
      </c>
      <c r="C1087" s="1">
        <v>45377</v>
      </c>
      <c r="D1087">
        <v>22594.16</v>
      </c>
      <c r="E1087">
        <v>0</v>
      </c>
      <c r="F1087">
        <v>44040.32</v>
      </c>
      <c r="G1087" t="s">
        <v>719</v>
      </c>
      <c r="H1087" s="7">
        <f t="shared" si="125"/>
        <v>0</v>
      </c>
      <c r="I1087" s="1">
        <f t="shared" si="119"/>
        <v>45377</v>
      </c>
      <c r="J1087" s="1" t="str">
        <f t="shared" si="120"/>
        <v>NET PI TO HSL SEC A/C 347707-00602340029392</v>
      </c>
      <c r="L1087" s="7">
        <f t="shared" si="121"/>
        <v>22594.16</v>
      </c>
      <c r="M1087" s="7">
        <f t="shared" si="122"/>
        <v>0</v>
      </c>
      <c r="N1087" s="7">
        <f t="shared" si="123"/>
        <v>44040.32</v>
      </c>
      <c r="O1087" s="7" t="str">
        <f t="shared" si="124"/>
        <v>HDFC 5930</v>
      </c>
    </row>
    <row r="1088" spans="1:15" x14ac:dyDescent="0.25">
      <c r="A1088" s="1">
        <v>45378</v>
      </c>
      <c r="B1088" t="s">
        <v>472</v>
      </c>
      <c r="C1088" s="1">
        <v>45378</v>
      </c>
      <c r="D1088">
        <v>397.63</v>
      </c>
      <c r="E1088">
        <v>0</v>
      </c>
      <c r="F1088">
        <v>43642.69</v>
      </c>
      <c r="G1088" t="s">
        <v>719</v>
      </c>
      <c r="H1088" s="7">
        <f t="shared" si="125"/>
        <v>0</v>
      </c>
      <c r="I1088" s="1">
        <f t="shared" si="119"/>
        <v>45378</v>
      </c>
      <c r="J1088" s="1" t="str">
        <f t="shared" si="120"/>
        <v>NET PI TO HSL SEC A/C 347707-00602340029392</v>
      </c>
      <c r="L1088" s="7">
        <f t="shared" si="121"/>
        <v>397.63</v>
      </c>
      <c r="M1088" s="7">
        <f t="shared" si="122"/>
        <v>0</v>
      </c>
      <c r="N1088" s="7">
        <f t="shared" si="123"/>
        <v>43642.69</v>
      </c>
      <c r="O1088" s="7" t="str">
        <f t="shared" si="124"/>
        <v>HDFC 5930</v>
      </c>
    </row>
    <row r="1089" spans="1:15" x14ac:dyDescent="0.25">
      <c r="A1089" s="1">
        <v>45378</v>
      </c>
      <c r="B1089" t="s">
        <v>472</v>
      </c>
      <c r="C1089" s="1">
        <v>45378</v>
      </c>
      <c r="D1089">
        <v>9246.85</v>
      </c>
      <c r="E1089">
        <v>0</v>
      </c>
      <c r="F1089">
        <v>34395.839999999997</v>
      </c>
      <c r="G1089" t="s">
        <v>719</v>
      </c>
      <c r="H1089" s="7">
        <f t="shared" si="125"/>
        <v>0</v>
      </c>
      <c r="I1089" s="1">
        <f t="shared" si="119"/>
        <v>45378</v>
      </c>
      <c r="J1089" s="1" t="str">
        <f t="shared" si="120"/>
        <v>NET PI TO HSL SEC A/C 347707-00602340029392</v>
      </c>
      <c r="L1089" s="7">
        <f t="shared" si="121"/>
        <v>9246.85</v>
      </c>
      <c r="M1089" s="7">
        <f t="shared" si="122"/>
        <v>0</v>
      </c>
      <c r="N1089" s="7">
        <f t="shared" si="123"/>
        <v>34395.839999999997</v>
      </c>
      <c r="O1089" s="7" t="str">
        <f t="shared" si="124"/>
        <v>HDFC 5930</v>
      </c>
    </row>
    <row r="1090" spans="1:15" x14ac:dyDescent="0.25">
      <c r="A1090" s="1">
        <v>45378</v>
      </c>
      <c r="B1090" t="s">
        <v>472</v>
      </c>
      <c r="C1090" s="1">
        <v>45378</v>
      </c>
      <c r="D1090">
        <v>21062.99</v>
      </c>
      <c r="E1090">
        <v>0</v>
      </c>
      <c r="F1090">
        <v>13332.85</v>
      </c>
      <c r="G1090" t="s">
        <v>719</v>
      </c>
      <c r="H1090" s="7">
        <f t="shared" si="125"/>
        <v>0</v>
      </c>
      <c r="I1090" s="1">
        <f t="shared" si="119"/>
        <v>45378</v>
      </c>
      <c r="J1090" s="1" t="str">
        <f t="shared" si="120"/>
        <v>NET PI TO HSL SEC A/C 347707-00602340029392</v>
      </c>
      <c r="L1090" s="7">
        <f t="shared" si="121"/>
        <v>21062.99</v>
      </c>
      <c r="M1090" s="7">
        <f t="shared" si="122"/>
        <v>0</v>
      </c>
      <c r="N1090" s="7">
        <f t="shared" si="123"/>
        <v>13332.85</v>
      </c>
      <c r="O1090" s="7" t="str">
        <f t="shared" si="124"/>
        <v>HDFC 5930</v>
      </c>
    </row>
    <row r="1091" spans="1:15" x14ac:dyDescent="0.25">
      <c r="A1091" s="1">
        <v>45379</v>
      </c>
      <c r="B1091" t="s">
        <v>472</v>
      </c>
      <c r="C1091" s="1">
        <v>45379</v>
      </c>
      <c r="D1091">
        <v>419.95</v>
      </c>
      <c r="E1091">
        <v>0</v>
      </c>
      <c r="F1091">
        <v>12912.9</v>
      </c>
      <c r="G1091" t="s">
        <v>719</v>
      </c>
      <c r="H1091" s="7">
        <f t="shared" si="125"/>
        <v>0</v>
      </c>
      <c r="I1091" s="1">
        <f t="shared" si="119"/>
        <v>45379</v>
      </c>
      <c r="J1091" s="1" t="str">
        <f t="shared" si="120"/>
        <v>NET PI TO HSL SEC A/C 347707-00602340029392</v>
      </c>
      <c r="L1091" s="7">
        <f t="shared" si="121"/>
        <v>419.95</v>
      </c>
      <c r="M1091" s="7">
        <f t="shared" si="122"/>
        <v>0</v>
      </c>
      <c r="N1091" s="7">
        <f t="shared" si="123"/>
        <v>12912.9</v>
      </c>
      <c r="O1091" s="7" t="str">
        <f t="shared" si="124"/>
        <v>HDFC 5930</v>
      </c>
    </row>
    <row r="1092" spans="1:15" x14ac:dyDescent="0.25">
      <c r="A1092" s="1">
        <v>45379</v>
      </c>
      <c r="B1092" t="s">
        <v>618</v>
      </c>
      <c r="C1092" s="1">
        <v>45379</v>
      </c>
      <c r="D1092">
        <v>0</v>
      </c>
      <c r="E1092">
        <v>24424.71</v>
      </c>
      <c r="F1092">
        <v>37337.61</v>
      </c>
      <c r="G1092" t="s">
        <v>719</v>
      </c>
      <c r="H1092" s="7">
        <f t="shared" si="125"/>
        <v>0</v>
      </c>
      <c r="I1092" s="1">
        <f t="shared" si="119"/>
        <v>45379</v>
      </c>
      <c r="J1092" s="1" t="str">
        <f t="shared" si="120"/>
        <v>NET PO FROM HSL A/C 347707-50200085415108</v>
      </c>
      <c r="L1092" s="7">
        <f t="shared" si="121"/>
        <v>0</v>
      </c>
      <c r="M1092" s="7">
        <f t="shared" si="122"/>
        <v>24424.71</v>
      </c>
      <c r="N1092" s="7">
        <f t="shared" si="123"/>
        <v>37337.61</v>
      </c>
      <c r="O1092" s="7" t="str">
        <f t="shared" si="124"/>
        <v>HDFC 5930</v>
      </c>
    </row>
    <row r="1093" spans="1:15" x14ac:dyDescent="0.25">
      <c r="A1093" s="1">
        <v>45381</v>
      </c>
      <c r="B1093" t="s">
        <v>974</v>
      </c>
      <c r="C1093" s="1">
        <v>45381</v>
      </c>
      <c r="D1093">
        <v>0</v>
      </c>
      <c r="E1093">
        <v>54</v>
      </c>
      <c r="F1093">
        <v>37391.61</v>
      </c>
      <c r="G1093" t="s">
        <v>719</v>
      </c>
      <c r="H1093" s="7">
        <f t="shared" si="125"/>
        <v>0</v>
      </c>
      <c r="I1093" s="1">
        <f t="shared" si="119"/>
        <v>45381</v>
      </c>
      <c r="J1093" s="1" t="str">
        <f t="shared" si="120"/>
        <v>ACH C- POWER FINANCE CORPOR-13794371</v>
      </c>
      <c r="L1093" s="7">
        <f t="shared" si="121"/>
        <v>0</v>
      </c>
      <c r="M1093" s="7">
        <f t="shared" si="122"/>
        <v>54</v>
      </c>
      <c r="N1093" s="7">
        <f t="shared" si="123"/>
        <v>37391.61</v>
      </c>
      <c r="O1093" s="7" t="str">
        <f t="shared" si="124"/>
        <v>HDFC 5930</v>
      </c>
    </row>
    <row r="1094" spans="1:15" x14ac:dyDescent="0.25">
      <c r="A1094" s="1">
        <v>45383</v>
      </c>
      <c r="B1094" t="s">
        <v>538</v>
      </c>
      <c r="C1094" s="1">
        <v>45382</v>
      </c>
      <c r="D1094">
        <v>0</v>
      </c>
      <c r="E1094">
        <v>538</v>
      </c>
      <c r="F1094">
        <v>37929.61</v>
      </c>
      <c r="G1094" t="s">
        <v>719</v>
      </c>
      <c r="H1094" s="7">
        <f t="shared" si="125"/>
        <v>0</v>
      </c>
      <c r="I1094" s="1">
        <f t="shared" si="119"/>
        <v>45383</v>
      </c>
      <c r="J1094" s="1" t="str">
        <f t="shared" si="120"/>
        <v>CREDIT INTEREST CAPITALISED</v>
      </c>
      <c r="L1094" s="7">
        <f t="shared" si="121"/>
        <v>0</v>
      </c>
      <c r="M1094" s="7">
        <f t="shared" si="122"/>
        <v>538</v>
      </c>
      <c r="N1094" s="7">
        <f t="shared" si="123"/>
        <v>37929.61</v>
      </c>
      <c r="O1094" s="7" t="str">
        <f t="shared" si="124"/>
        <v>HDFC 5930</v>
      </c>
    </row>
  </sheetData>
  <autoFilter ref="A16:O1094" xr:uid="{C9771A1B-19C7-47E6-BD04-ABEB52A9EB3D}"/>
  <pageMargins left="0.25" right="0.25" top="0.5" bottom="1" header="0" footer="0"/>
  <pageSetup orientation="landscape" horizontalDpi="300" verticalDpi="300" copies="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3F717-1D93-462A-A6F7-B036B53F42B9}">
  <dimension ref="A1:P102"/>
  <sheetViews>
    <sheetView topLeftCell="E18" workbookViewId="0">
      <selection activeCell="M19" sqref="M19"/>
    </sheetView>
  </sheetViews>
  <sheetFormatPr defaultRowHeight="14.4" x14ac:dyDescent="0.3"/>
  <cols>
    <col min="1" max="1" width="9.88671875" style="3" bestFit="1" customWidth="1"/>
    <col min="2" max="2" width="11.44140625" style="3" bestFit="1" customWidth="1"/>
    <col min="3" max="3" width="47.44140625" style="3" bestFit="1" customWidth="1"/>
    <col min="4" max="4" width="41.21875" style="3" bestFit="1" customWidth="1"/>
    <col min="5" max="6" width="11.5546875" style="3" bestFit="1" customWidth="1"/>
    <col min="7" max="7" width="13.21875" style="3" bestFit="1" customWidth="1"/>
    <col min="8" max="9" width="8.88671875" style="3"/>
    <col min="10" max="10" width="9.88671875" style="3" bestFit="1" customWidth="1"/>
    <col min="11" max="11" width="47.44140625" style="3" bestFit="1" customWidth="1"/>
    <col min="12" max="12" width="41.21875" style="3" bestFit="1" customWidth="1"/>
    <col min="13" max="16384" width="8.88671875" style="3"/>
  </cols>
  <sheetData>
    <row r="1" spans="1:2" x14ac:dyDescent="0.3">
      <c r="A1" s="3" t="s">
        <v>364</v>
      </c>
      <c r="B1" s="3" t="s">
        <v>363</v>
      </c>
    </row>
    <row r="2" spans="1:2" x14ac:dyDescent="0.3">
      <c r="A2" s="3" t="s">
        <v>362</v>
      </c>
      <c r="B2" s="3" t="s">
        <v>361</v>
      </c>
    </row>
    <row r="3" spans="1:2" x14ac:dyDescent="0.3">
      <c r="A3" s="3" t="s">
        <v>358</v>
      </c>
      <c r="B3" s="3" t="s">
        <v>360</v>
      </c>
    </row>
    <row r="4" spans="1:2" x14ac:dyDescent="0.3">
      <c r="A4" s="3" t="s">
        <v>358</v>
      </c>
      <c r="B4" s="3" t="s">
        <v>359</v>
      </c>
    </row>
    <row r="5" spans="1:2" x14ac:dyDescent="0.3">
      <c r="A5" s="3" t="s">
        <v>358</v>
      </c>
      <c r="B5" s="3" t="s">
        <v>357</v>
      </c>
    </row>
    <row r="6" spans="1:2" x14ac:dyDescent="0.3">
      <c r="A6" s="3" t="s">
        <v>356</v>
      </c>
      <c r="B6" s="5">
        <v>45304</v>
      </c>
    </row>
    <row r="7" spans="1:2" x14ac:dyDescent="0.3">
      <c r="A7" s="3" t="s">
        <v>355</v>
      </c>
      <c r="B7" s="3" t="s">
        <v>365</v>
      </c>
    </row>
    <row r="8" spans="1:2" x14ac:dyDescent="0.3">
      <c r="A8" s="3" t="s">
        <v>353</v>
      </c>
      <c r="B8" s="3" t="s">
        <v>366</v>
      </c>
    </row>
    <row r="9" spans="1:2" x14ac:dyDescent="0.3">
      <c r="A9" s="3" t="s">
        <v>351</v>
      </c>
      <c r="B9" s="3" t="s">
        <v>350</v>
      </c>
    </row>
    <row r="10" spans="1:2" x14ac:dyDescent="0.3">
      <c r="A10" s="3" t="s">
        <v>349</v>
      </c>
      <c r="B10" s="6">
        <v>1800295</v>
      </c>
    </row>
    <row r="11" spans="1:2" x14ac:dyDescent="0.3">
      <c r="A11" s="3" t="s">
        <v>348</v>
      </c>
      <c r="B11" s="3">
        <v>10.5</v>
      </c>
    </row>
    <row r="12" spans="1:2" x14ac:dyDescent="0.3">
      <c r="A12" s="3" t="s">
        <v>346</v>
      </c>
      <c r="B12" s="3" t="s">
        <v>345</v>
      </c>
    </row>
    <row r="13" spans="1:2" x14ac:dyDescent="0.3">
      <c r="A13" s="3" t="s">
        <v>344</v>
      </c>
      <c r="B13" s="3" t="s">
        <v>343</v>
      </c>
    </row>
    <row r="14" spans="1:2" x14ac:dyDescent="0.3">
      <c r="A14" s="3" t="s">
        <v>342</v>
      </c>
      <c r="B14" s="3" t="s">
        <v>341</v>
      </c>
    </row>
    <row r="15" spans="1:2" x14ac:dyDescent="0.3">
      <c r="A15" s="3" t="s">
        <v>340</v>
      </c>
      <c r="B15" s="3" t="s">
        <v>367</v>
      </c>
    </row>
    <row r="16" spans="1:2" x14ac:dyDescent="0.3">
      <c r="A16" s="3" t="s">
        <v>338</v>
      </c>
      <c r="B16" s="6">
        <v>-307107.37</v>
      </c>
    </row>
    <row r="17" spans="1:16" x14ac:dyDescent="0.3">
      <c r="A17" s="3" t="s">
        <v>337</v>
      </c>
      <c r="B17" s="5">
        <v>45017</v>
      </c>
    </row>
    <row r="18" spans="1:16" x14ac:dyDescent="0.3">
      <c r="A18" s="3" t="s">
        <v>336</v>
      </c>
      <c r="B18" s="5">
        <v>45291</v>
      </c>
      <c r="E18" s="4">
        <f>SUM(E20:E87)</f>
        <v>2665450</v>
      </c>
      <c r="F18" s="4">
        <f>SUM(F20:F87)</f>
        <v>2944355</v>
      </c>
      <c r="G18" s="4">
        <f>G20+E20</f>
        <v>-307107.37</v>
      </c>
    </row>
    <row r="19" spans="1:16" x14ac:dyDescent="0.3">
      <c r="A19" s="3" t="s">
        <v>335</v>
      </c>
      <c r="B19" s="3" t="s">
        <v>334</v>
      </c>
      <c r="C19" s="3" t="s">
        <v>333</v>
      </c>
      <c r="D19" s="3" t="s">
        <v>332</v>
      </c>
      <c r="E19" s="3" t="s">
        <v>331</v>
      </c>
      <c r="F19" s="3" t="s">
        <v>330</v>
      </c>
      <c r="G19" s="3" t="s">
        <v>329</v>
      </c>
      <c r="H19" s="3" t="s">
        <v>717</v>
      </c>
      <c r="J19" s="3" t="s">
        <v>720</v>
      </c>
      <c r="K19" t="s">
        <v>721</v>
      </c>
      <c r="L19" s="3" t="s">
        <v>722</v>
      </c>
      <c r="M19" s="3" t="s">
        <v>17</v>
      </c>
      <c r="N19" t="s">
        <v>18</v>
      </c>
      <c r="O19" s="3" t="s">
        <v>329</v>
      </c>
      <c r="P19" s="3" t="s">
        <v>717</v>
      </c>
    </row>
    <row r="20" spans="1:16" x14ac:dyDescent="0.3">
      <c r="A20" s="5">
        <v>45017</v>
      </c>
      <c r="B20" s="5">
        <v>45017</v>
      </c>
      <c r="C20" s="3" t="s">
        <v>197</v>
      </c>
      <c r="D20" s="3" t="s">
        <v>368</v>
      </c>
      <c r="E20" s="9">
        <v>25000</v>
      </c>
      <c r="F20" s="9">
        <v>0</v>
      </c>
      <c r="G20" s="9">
        <v>-332107.37</v>
      </c>
      <c r="H20" s="3" t="s">
        <v>718</v>
      </c>
      <c r="J20" s="5">
        <f>A20</f>
        <v>45017</v>
      </c>
      <c r="K20" s="5" t="str">
        <f t="shared" ref="K20:P20" si="0">C20</f>
        <v xml:space="preserve">   TO TRANSFER-INB Payment towards loan repayment--</v>
      </c>
      <c r="L20" s="5" t="str">
        <f t="shared" si="0"/>
        <v xml:space="preserve">IIB6318597               TRANSFER TO 20010697703  </v>
      </c>
      <c r="M20" s="4">
        <f t="shared" si="0"/>
        <v>25000</v>
      </c>
      <c r="N20" s="4">
        <f t="shared" si="0"/>
        <v>0</v>
      </c>
      <c r="O20" s="4">
        <f t="shared" si="0"/>
        <v>-332107.37</v>
      </c>
      <c r="P20" s="4" t="str">
        <f t="shared" si="0"/>
        <v>SBI 5441</v>
      </c>
    </row>
    <row r="21" spans="1:16" x14ac:dyDescent="0.3">
      <c r="A21" s="5">
        <v>45018</v>
      </c>
      <c r="B21" s="5">
        <v>45018</v>
      </c>
      <c r="C21" s="3" t="s">
        <v>369</v>
      </c>
      <c r="D21" s="3" t="s">
        <v>370</v>
      </c>
      <c r="E21" s="9">
        <v>0</v>
      </c>
      <c r="F21" s="9">
        <v>100000</v>
      </c>
      <c r="G21" s="9">
        <v>-232107.37</v>
      </c>
      <c r="H21" s="3" t="s">
        <v>718</v>
      </c>
      <c r="I21" s="9">
        <f>G20-E21+F21-G21</f>
        <v>0</v>
      </c>
      <c r="J21" s="5">
        <f t="shared" ref="J21:J84" si="1">A21</f>
        <v>45018</v>
      </c>
      <c r="K21" s="5" t="str">
        <f t="shared" ref="K21:K84" si="2">C21</f>
        <v xml:space="preserve">   BY TRANSFER-NEFT*UTIB0000115*AXIR230915974036*AJAY KUMAR GUPTA--</v>
      </c>
      <c r="L21" s="5" t="str">
        <f t="shared" ref="L21:L84" si="3">D21</f>
        <v>TRANSFER FROM 3199964044308</v>
      </c>
      <c r="M21" s="4">
        <f t="shared" ref="M21:M84" si="4">E21</f>
        <v>0</v>
      </c>
      <c r="N21" s="4">
        <f t="shared" ref="N21:N84" si="5">F21</f>
        <v>100000</v>
      </c>
      <c r="O21" s="4">
        <f t="shared" ref="O21:O84" si="6">G21</f>
        <v>-232107.37</v>
      </c>
      <c r="P21" s="4" t="str">
        <f t="shared" ref="P21:P84" si="7">H21</f>
        <v>SBI 5441</v>
      </c>
    </row>
    <row r="22" spans="1:16" x14ac:dyDescent="0.3">
      <c r="A22" s="5">
        <v>45018</v>
      </c>
      <c r="B22" s="5">
        <v>45018</v>
      </c>
      <c r="C22" s="3" t="s">
        <v>371</v>
      </c>
      <c r="D22" s="3" t="s">
        <v>372</v>
      </c>
      <c r="E22" s="9">
        <v>0</v>
      </c>
      <c r="F22" s="9">
        <v>26595</v>
      </c>
      <c r="G22" s="9">
        <v>-205512.37</v>
      </c>
      <c r="H22" s="3" t="s">
        <v>718</v>
      </c>
      <c r="I22" s="9">
        <f>G21-E22+F22-G22</f>
        <v>0</v>
      </c>
      <c r="J22" s="5">
        <f t="shared" si="1"/>
        <v>45018</v>
      </c>
      <c r="K22" s="5" t="str">
        <f t="shared" si="2"/>
        <v xml:space="preserve">   DEPOSIT TRANSFER---</v>
      </c>
      <c r="L22" s="5" t="str">
        <f t="shared" si="3"/>
        <v xml:space="preserve">TRANSFER FROM 20010697703                         </v>
      </c>
      <c r="M22" s="4">
        <f t="shared" si="4"/>
        <v>0</v>
      </c>
      <c r="N22" s="4">
        <f t="shared" si="5"/>
        <v>26595</v>
      </c>
      <c r="O22" s="4">
        <f t="shared" si="6"/>
        <v>-205512.37</v>
      </c>
      <c r="P22" s="4" t="str">
        <f t="shared" si="7"/>
        <v>SBI 5441</v>
      </c>
    </row>
    <row r="23" spans="1:16" x14ac:dyDescent="0.3">
      <c r="A23" s="5">
        <v>45029</v>
      </c>
      <c r="B23" s="5">
        <v>45029</v>
      </c>
      <c r="C23" s="3" t="s">
        <v>373</v>
      </c>
      <c r="D23" s="3" t="s">
        <v>372</v>
      </c>
      <c r="E23" s="9">
        <v>0</v>
      </c>
      <c r="F23" s="9">
        <v>50000</v>
      </c>
      <c r="G23" s="9">
        <v>-155512.37</v>
      </c>
      <c r="H23" s="3" t="s">
        <v>718</v>
      </c>
      <c r="I23" s="9">
        <f t="shared" ref="I23:I86" si="8">G22-E23+F23-G23</f>
        <v>0</v>
      </c>
      <c r="J23" s="5">
        <f t="shared" si="1"/>
        <v>45029</v>
      </c>
      <c r="K23" s="5" t="str">
        <f t="shared" si="2"/>
        <v xml:space="preserve">   BY TRANSFER-SBILT13042023084220295270-Loan repayment--</v>
      </c>
      <c r="L23" s="5" t="str">
        <f t="shared" si="3"/>
        <v xml:space="preserve">TRANSFER FROM 20010697703                         </v>
      </c>
      <c r="M23" s="4">
        <f t="shared" si="4"/>
        <v>0</v>
      </c>
      <c r="N23" s="4">
        <f t="shared" si="5"/>
        <v>50000</v>
      </c>
      <c r="O23" s="4">
        <f t="shared" si="6"/>
        <v>-155512.37</v>
      </c>
      <c r="P23" s="4" t="str">
        <f t="shared" si="7"/>
        <v>SBI 5441</v>
      </c>
    </row>
    <row r="24" spans="1:16" x14ac:dyDescent="0.3">
      <c r="A24" s="5">
        <v>45031</v>
      </c>
      <c r="B24" s="5">
        <v>45031</v>
      </c>
      <c r="C24" s="3" t="s">
        <v>181</v>
      </c>
      <c r="D24" s="3" t="s">
        <v>374</v>
      </c>
      <c r="E24" s="9">
        <v>0</v>
      </c>
      <c r="F24" s="9">
        <v>100000</v>
      </c>
      <c r="G24" s="9">
        <v>-55512.37</v>
      </c>
      <c r="H24" s="3" t="s">
        <v>718</v>
      </c>
      <c r="I24" s="9">
        <f t="shared" si="8"/>
        <v>0</v>
      </c>
      <c r="J24" s="5">
        <f t="shared" si="1"/>
        <v>45031</v>
      </c>
      <c r="K24" s="5" t="str">
        <f t="shared" si="2"/>
        <v xml:space="preserve">   BY TRANSFER-INB Payment towards loan repayment--</v>
      </c>
      <c r="L24" s="5" t="str">
        <f t="shared" si="3"/>
        <v>IIB6794633               TRANSFER FROM 20010697703</v>
      </c>
      <c r="M24" s="4">
        <f t="shared" si="4"/>
        <v>0</v>
      </c>
      <c r="N24" s="4">
        <f t="shared" si="5"/>
        <v>100000</v>
      </c>
      <c r="O24" s="4">
        <f t="shared" si="6"/>
        <v>-55512.37</v>
      </c>
      <c r="P24" s="4" t="str">
        <f t="shared" si="7"/>
        <v>SBI 5441</v>
      </c>
    </row>
    <row r="25" spans="1:16" x14ac:dyDescent="0.3">
      <c r="A25" s="5">
        <v>45039</v>
      </c>
      <c r="B25" s="5">
        <v>45039</v>
      </c>
      <c r="C25" s="3" t="s">
        <v>197</v>
      </c>
      <c r="D25" s="3" t="s">
        <v>375</v>
      </c>
      <c r="E25" s="9">
        <v>35000</v>
      </c>
      <c r="F25" s="9">
        <v>0</v>
      </c>
      <c r="G25" s="9">
        <v>-90512.37</v>
      </c>
      <c r="H25" s="3" t="s">
        <v>718</v>
      </c>
      <c r="I25" s="9">
        <f t="shared" si="8"/>
        <v>0</v>
      </c>
      <c r="J25" s="5">
        <f t="shared" si="1"/>
        <v>45039</v>
      </c>
      <c r="K25" s="5" t="str">
        <f t="shared" si="2"/>
        <v xml:space="preserve">   TO TRANSFER-INB Payment towards loan repayment--</v>
      </c>
      <c r="L25" s="5" t="str">
        <f t="shared" si="3"/>
        <v xml:space="preserve">IIB6951402               TRANSFER TO 20010697703  </v>
      </c>
      <c r="M25" s="4">
        <f t="shared" si="4"/>
        <v>35000</v>
      </c>
      <c r="N25" s="4">
        <f t="shared" si="5"/>
        <v>0</v>
      </c>
      <c r="O25" s="4">
        <f t="shared" si="6"/>
        <v>-90512.37</v>
      </c>
      <c r="P25" s="4" t="str">
        <f t="shared" si="7"/>
        <v>SBI 5441</v>
      </c>
    </row>
    <row r="26" spans="1:16" x14ac:dyDescent="0.3">
      <c r="A26" s="5">
        <v>45039</v>
      </c>
      <c r="B26" s="5">
        <v>45039</v>
      </c>
      <c r="C26" s="3" t="s">
        <v>181</v>
      </c>
      <c r="D26" s="3" t="s">
        <v>376</v>
      </c>
      <c r="E26" s="9">
        <v>0</v>
      </c>
      <c r="F26" s="9">
        <v>70000</v>
      </c>
      <c r="G26" s="9">
        <v>-20512.37</v>
      </c>
      <c r="H26" s="3" t="s">
        <v>718</v>
      </c>
      <c r="I26" s="9">
        <f t="shared" si="8"/>
        <v>0</v>
      </c>
      <c r="J26" s="5">
        <f t="shared" si="1"/>
        <v>45039</v>
      </c>
      <c r="K26" s="5" t="str">
        <f t="shared" si="2"/>
        <v xml:space="preserve">   BY TRANSFER-INB Payment towards loan repayment--</v>
      </c>
      <c r="L26" s="5" t="str">
        <f t="shared" si="3"/>
        <v>IIB6951312               TRANSFER FROM 20010697703</v>
      </c>
      <c r="M26" s="4">
        <f t="shared" si="4"/>
        <v>0</v>
      </c>
      <c r="N26" s="4">
        <f t="shared" si="5"/>
        <v>70000</v>
      </c>
      <c r="O26" s="4">
        <f t="shared" si="6"/>
        <v>-20512.37</v>
      </c>
      <c r="P26" s="4" t="str">
        <f t="shared" si="7"/>
        <v>SBI 5441</v>
      </c>
    </row>
    <row r="27" spans="1:16" x14ac:dyDescent="0.3">
      <c r="A27" s="5">
        <v>45042</v>
      </c>
      <c r="B27" s="5">
        <v>45042</v>
      </c>
      <c r="C27" s="3" t="s">
        <v>377</v>
      </c>
      <c r="D27" s="3" t="s">
        <v>378</v>
      </c>
      <c r="E27" s="9">
        <v>10000</v>
      </c>
      <c r="F27" s="9">
        <v>0</v>
      </c>
      <c r="G27" s="9">
        <v>-30512.37</v>
      </c>
      <c r="H27" s="3" t="s">
        <v>718</v>
      </c>
      <c r="I27" s="9">
        <f t="shared" si="8"/>
        <v>0</v>
      </c>
      <c r="J27" s="5">
        <f t="shared" si="1"/>
        <v>45042</v>
      </c>
      <c r="K27" s="5" t="str">
        <f t="shared" si="2"/>
        <v xml:space="preserve">   TO TRANSFER-INB Deposit / Investment--</v>
      </c>
      <c r="L27" s="5" t="str">
        <f t="shared" si="3"/>
        <v xml:space="preserve">IIB7031794               TRANSFER TO 20010697703  </v>
      </c>
      <c r="M27" s="4">
        <f t="shared" si="4"/>
        <v>10000</v>
      </c>
      <c r="N27" s="4">
        <f t="shared" si="5"/>
        <v>0</v>
      </c>
      <c r="O27" s="4">
        <f t="shared" si="6"/>
        <v>-30512.37</v>
      </c>
      <c r="P27" s="4" t="str">
        <f t="shared" si="7"/>
        <v>SBI 5441</v>
      </c>
    </row>
    <row r="28" spans="1:16" x14ac:dyDescent="0.3">
      <c r="A28" s="5">
        <v>45046</v>
      </c>
      <c r="B28" s="5">
        <v>45046</v>
      </c>
      <c r="C28" s="3" t="s">
        <v>197</v>
      </c>
      <c r="D28" s="3" t="s">
        <v>379</v>
      </c>
      <c r="E28" s="9">
        <v>20000</v>
      </c>
      <c r="F28" s="9">
        <v>0</v>
      </c>
      <c r="G28" s="9">
        <v>-50512.37</v>
      </c>
      <c r="H28" s="3" t="s">
        <v>718</v>
      </c>
      <c r="I28" s="9">
        <f t="shared" si="8"/>
        <v>0</v>
      </c>
      <c r="J28" s="5">
        <f t="shared" si="1"/>
        <v>45046</v>
      </c>
      <c r="K28" s="5" t="str">
        <f t="shared" si="2"/>
        <v xml:space="preserve">   TO TRANSFER-INB Payment towards loan repayment--</v>
      </c>
      <c r="L28" s="5" t="str">
        <f t="shared" si="3"/>
        <v xml:space="preserve">IIB7146807               TRANSFER TO 20010697703  </v>
      </c>
      <c r="M28" s="4">
        <f t="shared" si="4"/>
        <v>20000</v>
      </c>
      <c r="N28" s="4">
        <f t="shared" si="5"/>
        <v>0</v>
      </c>
      <c r="O28" s="4">
        <f t="shared" si="6"/>
        <v>-50512.37</v>
      </c>
      <c r="P28" s="4" t="str">
        <f t="shared" si="7"/>
        <v>SBI 5441</v>
      </c>
    </row>
    <row r="29" spans="1:16" x14ac:dyDescent="0.3">
      <c r="A29" s="5">
        <v>45046</v>
      </c>
      <c r="B29" s="5">
        <v>45046</v>
      </c>
      <c r="C29" s="3" t="s">
        <v>380</v>
      </c>
      <c r="E29" s="9">
        <v>1016</v>
      </c>
      <c r="F29" s="9">
        <v>0</v>
      </c>
      <c r="G29" s="9">
        <v>-51528.37</v>
      </c>
      <c r="H29" s="3" t="s">
        <v>718</v>
      </c>
      <c r="I29" s="9">
        <f t="shared" si="8"/>
        <v>0</v>
      </c>
      <c r="J29" s="5">
        <f t="shared" si="1"/>
        <v>45046</v>
      </c>
      <c r="K29" s="5" t="str">
        <f t="shared" si="2"/>
        <v xml:space="preserve">   DEBIT INTEREST---</v>
      </c>
      <c r="L29" s="5">
        <f t="shared" si="3"/>
        <v>0</v>
      </c>
      <c r="M29" s="4">
        <f t="shared" si="4"/>
        <v>1016</v>
      </c>
      <c r="N29" s="4">
        <f t="shared" si="5"/>
        <v>0</v>
      </c>
      <c r="O29" s="4">
        <f t="shared" si="6"/>
        <v>-51528.37</v>
      </c>
      <c r="P29" s="4" t="str">
        <f t="shared" si="7"/>
        <v>SBI 5441</v>
      </c>
    </row>
    <row r="30" spans="1:16" x14ac:dyDescent="0.3">
      <c r="A30" s="5">
        <v>45048</v>
      </c>
      <c r="B30" s="5">
        <v>45048</v>
      </c>
      <c r="C30" s="3" t="s">
        <v>371</v>
      </c>
      <c r="D30" s="3" t="s">
        <v>372</v>
      </c>
      <c r="E30" s="9">
        <v>0</v>
      </c>
      <c r="F30" s="9">
        <v>26595</v>
      </c>
      <c r="G30" s="9">
        <v>-24933.37</v>
      </c>
      <c r="H30" s="3" t="s">
        <v>718</v>
      </c>
      <c r="I30" s="9">
        <f t="shared" si="8"/>
        <v>0</v>
      </c>
      <c r="J30" s="5">
        <f>A30</f>
        <v>45048</v>
      </c>
      <c r="K30" s="5" t="str">
        <f t="shared" si="2"/>
        <v xml:space="preserve">   DEPOSIT TRANSFER---</v>
      </c>
      <c r="L30" s="5" t="str">
        <f t="shared" si="3"/>
        <v xml:space="preserve">TRANSFER FROM 20010697703                         </v>
      </c>
      <c r="M30" s="4">
        <f t="shared" si="4"/>
        <v>0</v>
      </c>
      <c r="N30" s="4">
        <f t="shared" si="5"/>
        <v>26595</v>
      </c>
      <c r="O30" s="4">
        <f t="shared" si="6"/>
        <v>-24933.37</v>
      </c>
      <c r="P30" s="4" t="str">
        <f t="shared" si="7"/>
        <v>SBI 5441</v>
      </c>
    </row>
    <row r="31" spans="1:16" x14ac:dyDescent="0.3">
      <c r="A31" s="5">
        <v>45077</v>
      </c>
      <c r="B31" s="5">
        <v>45077</v>
      </c>
      <c r="C31" s="3" t="s">
        <v>380</v>
      </c>
      <c r="E31" s="9">
        <v>227</v>
      </c>
      <c r="F31" s="9">
        <v>0</v>
      </c>
      <c r="G31" s="9">
        <v>-25160.37</v>
      </c>
      <c r="H31" s="3" t="s">
        <v>718</v>
      </c>
      <c r="I31" s="9">
        <f t="shared" si="8"/>
        <v>0</v>
      </c>
      <c r="J31" s="5">
        <f t="shared" si="1"/>
        <v>45077</v>
      </c>
      <c r="K31" s="5" t="str">
        <f t="shared" si="2"/>
        <v xml:space="preserve">   DEBIT INTEREST---</v>
      </c>
      <c r="L31" s="5">
        <f t="shared" si="3"/>
        <v>0</v>
      </c>
      <c r="M31" s="4">
        <f t="shared" si="4"/>
        <v>227</v>
      </c>
      <c r="N31" s="4">
        <f t="shared" si="5"/>
        <v>0</v>
      </c>
      <c r="O31" s="4">
        <f t="shared" si="6"/>
        <v>-25160.37</v>
      </c>
      <c r="P31" s="4" t="str">
        <f t="shared" si="7"/>
        <v>SBI 5441</v>
      </c>
    </row>
    <row r="32" spans="1:16" x14ac:dyDescent="0.3">
      <c r="A32" s="5">
        <v>45078</v>
      </c>
      <c r="B32" s="5">
        <v>45078</v>
      </c>
      <c r="C32" s="3" t="s">
        <v>377</v>
      </c>
      <c r="D32" s="3" t="s">
        <v>381</v>
      </c>
      <c r="E32" s="9">
        <v>30000</v>
      </c>
      <c r="F32" s="9">
        <v>0</v>
      </c>
      <c r="G32" s="9">
        <v>-55160.37</v>
      </c>
      <c r="H32" s="3" t="s">
        <v>718</v>
      </c>
      <c r="I32" s="9">
        <f t="shared" si="8"/>
        <v>0</v>
      </c>
      <c r="J32" s="5">
        <f t="shared" si="1"/>
        <v>45078</v>
      </c>
      <c r="K32" s="5" t="str">
        <f t="shared" si="2"/>
        <v xml:space="preserve">   TO TRANSFER-INB Deposit / Investment--</v>
      </c>
      <c r="L32" s="5" t="str">
        <f t="shared" si="3"/>
        <v xml:space="preserve">IIB8049885               TRANSFER TO 20010697703  </v>
      </c>
      <c r="M32" s="4">
        <f t="shared" si="4"/>
        <v>30000</v>
      </c>
      <c r="N32" s="4">
        <f t="shared" si="5"/>
        <v>0</v>
      </c>
      <c r="O32" s="4">
        <f t="shared" si="6"/>
        <v>-55160.37</v>
      </c>
      <c r="P32" s="4" t="str">
        <f t="shared" si="7"/>
        <v>SBI 5441</v>
      </c>
    </row>
    <row r="33" spans="1:16" x14ac:dyDescent="0.3">
      <c r="A33" s="5">
        <v>45079</v>
      </c>
      <c r="B33" s="5">
        <v>45079</v>
      </c>
      <c r="C33" s="3" t="s">
        <v>371</v>
      </c>
      <c r="D33" s="3" t="s">
        <v>372</v>
      </c>
      <c r="E33" s="9">
        <v>0</v>
      </c>
      <c r="F33" s="9">
        <v>26595</v>
      </c>
      <c r="G33" s="9">
        <v>-28565.37</v>
      </c>
      <c r="H33" s="3" t="s">
        <v>718</v>
      </c>
      <c r="I33" s="9">
        <f t="shared" si="8"/>
        <v>0</v>
      </c>
      <c r="J33" s="5">
        <f t="shared" si="1"/>
        <v>45079</v>
      </c>
      <c r="K33" s="5" t="str">
        <f t="shared" si="2"/>
        <v xml:space="preserve">   DEPOSIT TRANSFER---</v>
      </c>
      <c r="L33" s="5" t="str">
        <f t="shared" si="3"/>
        <v xml:space="preserve">TRANSFER FROM 20010697703                         </v>
      </c>
      <c r="M33" s="4">
        <f t="shared" si="4"/>
        <v>0</v>
      </c>
      <c r="N33" s="4">
        <f t="shared" si="5"/>
        <v>26595</v>
      </c>
      <c r="O33" s="4">
        <f t="shared" si="6"/>
        <v>-28565.37</v>
      </c>
      <c r="P33" s="4" t="str">
        <f t="shared" si="7"/>
        <v>SBI 5441</v>
      </c>
    </row>
    <row r="34" spans="1:16" x14ac:dyDescent="0.3">
      <c r="A34" s="5">
        <v>45082</v>
      </c>
      <c r="B34" s="5">
        <v>45082</v>
      </c>
      <c r="C34" s="3" t="s">
        <v>377</v>
      </c>
      <c r="D34" s="3" t="s">
        <v>382</v>
      </c>
      <c r="E34" s="9">
        <v>75000</v>
      </c>
      <c r="F34" s="9">
        <v>0</v>
      </c>
      <c r="G34" s="9">
        <v>-103565.37</v>
      </c>
      <c r="H34" s="3" t="s">
        <v>718</v>
      </c>
      <c r="I34" s="9">
        <f t="shared" si="8"/>
        <v>0</v>
      </c>
      <c r="J34" s="5">
        <f t="shared" si="1"/>
        <v>45082</v>
      </c>
      <c r="K34" s="5" t="str">
        <f t="shared" si="2"/>
        <v xml:space="preserve">   TO TRANSFER-INB Deposit / Investment--</v>
      </c>
      <c r="L34" s="5" t="str">
        <f t="shared" si="3"/>
        <v xml:space="preserve">IIB8169986               TRANSFER TO 20010697703  </v>
      </c>
      <c r="M34" s="4">
        <f t="shared" si="4"/>
        <v>75000</v>
      </c>
      <c r="N34" s="4">
        <f t="shared" si="5"/>
        <v>0</v>
      </c>
      <c r="O34" s="4">
        <f t="shared" si="6"/>
        <v>-103565.37</v>
      </c>
      <c r="P34" s="4" t="str">
        <f t="shared" si="7"/>
        <v>SBI 5441</v>
      </c>
    </row>
    <row r="35" spans="1:16" x14ac:dyDescent="0.3">
      <c r="A35" s="5">
        <v>45089</v>
      </c>
      <c r="B35" s="5">
        <v>45089</v>
      </c>
      <c r="C35" s="3" t="s">
        <v>377</v>
      </c>
      <c r="D35" s="3" t="s">
        <v>383</v>
      </c>
      <c r="E35" s="9">
        <v>10000</v>
      </c>
      <c r="F35" s="9">
        <v>0</v>
      </c>
      <c r="G35" s="9">
        <v>-113565.37</v>
      </c>
      <c r="H35" s="3" t="s">
        <v>718</v>
      </c>
      <c r="I35" s="9">
        <f t="shared" si="8"/>
        <v>0</v>
      </c>
      <c r="J35" s="5">
        <f t="shared" si="1"/>
        <v>45089</v>
      </c>
      <c r="K35" s="5" t="str">
        <f t="shared" si="2"/>
        <v xml:space="preserve">   TO TRANSFER-INB Deposit / Investment--</v>
      </c>
      <c r="L35" s="5" t="str">
        <f t="shared" si="3"/>
        <v xml:space="preserve">IIB8402515               TRANSFER TO 20010697703  </v>
      </c>
      <c r="M35" s="4">
        <f t="shared" si="4"/>
        <v>10000</v>
      </c>
      <c r="N35" s="4">
        <f t="shared" si="5"/>
        <v>0</v>
      </c>
      <c r="O35" s="4">
        <f t="shared" si="6"/>
        <v>-113565.37</v>
      </c>
      <c r="P35" s="4" t="str">
        <f t="shared" si="7"/>
        <v>SBI 5441</v>
      </c>
    </row>
    <row r="36" spans="1:16" x14ac:dyDescent="0.3">
      <c r="A36" s="5">
        <v>45092</v>
      </c>
      <c r="B36" s="5">
        <v>45092</v>
      </c>
      <c r="C36" s="3" t="s">
        <v>377</v>
      </c>
      <c r="D36" s="3" t="s">
        <v>384</v>
      </c>
      <c r="E36" s="9">
        <v>75000</v>
      </c>
      <c r="F36" s="9">
        <v>0</v>
      </c>
      <c r="G36" s="9">
        <v>-188565.37</v>
      </c>
      <c r="H36" s="3" t="s">
        <v>718</v>
      </c>
      <c r="I36" s="9">
        <f t="shared" si="8"/>
        <v>0</v>
      </c>
      <c r="J36" s="5">
        <f t="shared" si="1"/>
        <v>45092</v>
      </c>
      <c r="K36" s="5" t="str">
        <f t="shared" si="2"/>
        <v xml:space="preserve">   TO TRANSFER-INB Deposit / Investment--</v>
      </c>
      <c r="L36" s="5" t="str">
        <f t="shared" si="3"/>
        <v xml:space="preserve">IIB8464838               TRANSFER TO 20010697703  </v>
      </c>
      <c r="M36" s="4">
        <f t="shared" si="4"/>
        <v>75000</v>
      </c>
      <c r="N36" s="4">
        <f t="shared" si="5"/>
        <v>0</v>
      </c>
      <c r="O36" s="4">
        <f t="shared" si="6"/>
        <v>-188565.37</v>
      </c>
      <c r="P36" s="4" t="str">
        <f t="shared" si="7"/>
        <v>SBI 5441</v>
      </c>
    </row>
    <row r="37" spans="1:16" x14ac:dyDescent="0.3">
      <c r="A37" s="5">
        <v>45102</v>
      </c>
      <c r="B37" s="5">
        <v>45102</v>
      </c>
      <c r="C37" s="3" t="s">
        <v>181</v>
      </c>
      <c r="D37" s="3" t="s">
        <v>385</v>
      </c>
      <c r="E37" s="9">
        <v>0</v>
      </c>
      <c r="F37" s="9">
        <v>40000</v>
      </c>
      <c r="G37" s="9">
        <v>-148565.37</v>
      </c>
      <c r="H37" s="3" t="s">
        <v>718</v>
      </c>
      <c r="I37" s="9">
        <f t="shared" si="8"/>
        <v>0</v>
      </c>
      <c r="J37" s="5">
        <f t="shared" si="1"/>
        <v>45102</v>
      </c>
      <c r="K37" s="5" t="str">
        <f t="shared" si="2"/>
        <v xml:space="preserve">   BY TRANSFER-INB Payment towards loan repayment--</v>
      </c>
      <c r="L37" s="5" t="str">
        <f t="shared" si="3"/>
        <v>IIB8695782               TRANSFER FROM 20010697703</v>
      </c>
      <c r="M37" s="4">
        <f t="shared" si="4"/>
        <v>0</v>
      </c>
      <c r="N37" s="4">
        <f t="shared" si="5"/>
        <v>40000</v>
      </c>
      <c r="O37" s="4">
        <f t="shared" si="6"/>
        <v>-148565.37</v>
      </c>
      <c r="P37" s="4" t="str">
        <f t="shared" si="7"/>
        <v>SBI 5441</v>
      </c>
    </row>
    <row r="38" spans="1:16" x14ac:dyDescent="0.3">
      <c r="A38" s="5">
        <v>45107</v>
      </c>
      <c r="B38" s="5">
        <v>45107</v>
      </c>
      <c r="C38" s="3" t="s">
        <v>380</v>
      </c>
      <c r="E38" s="9">
        <v>1130</v>
      </c>
      <c r="F38" s="9">
        <v>0</v>
      </c>
      <c r="G38" s="9">
        <v>-149695.37</v>
      </c>
      <c r="H38" s="3" t="s">
        <v>718</v>
      </c>
      <c r="I38" s="9">
        <f t="shared" si="8"/>
        <v>0</v>
      </c>
      <c r="J38" s="5">
        <f t="shared" si="1"/>
        <v>45107</v>
      </c>
      <c r="K38" s="5" t="str">
        <f t="shared" si="2"/>
        <v xml:space="preserve">   DEBIT INTEREST---</v>
      </c>
      <c r="L38" s="5">
        <f t="shared" si="3"/>
        <v>0</v>
      </c>
      <c r="M38" s="4">
        <f t="shared" si="4"/>
        <v>1130</v>
      </c>
      <c r="N38" s="4">
        <f t="shared" si="5"/>
        <v>0</v>
      </c>
      <c r="O38" s="4">
        <f t="shared" si="6"/>
        <v>-149695.37</v>
      </c>
      <c r="P38" s="4" t="str">
        <f t="shared" si="7"/>
        <v>SBI 5441</v>
      </c>
    </row>
    <row r="39" spans="1:16" x14ac:dyDescent="0.3">
      <c r="A39" s="5">
        <v>45109</v>
      </c>
      <c r="B39" s="5">
        <v>45109</v>
      </c>
      <c r="C39" s="3" t="s">
        <v>371</v>
      </c>
      <c r="D39" s="3" t="s">
        <v>372</v>
      </c>
      <c r="E39" s="9">
        <v>0</v>
      </c>
      <c r="F39" s="9">
        <v>26595</v>
      </c>
      <c r="G39" s="9">
        <v>-123100.37</v>
      </c>
      <c r="H39" s="3" t="s">
        <v>718</v>
      </c>
      <c r="I39" s="9">
        <f t="shared" si="8"/>
        <v>0</v>
      </c>
      <c r="J39" s="5">
        <f t="shared" si="1"/>
        <v>45109</v>
      </c>
      <c r="K39" s="5" t="str">
        <f t="shared" si="2"/>
        <v xml:space="preserve">   DEPOSIT TRANSFER---</v>
      </c>
      <c r="L39" s="5" t="str">
        <f t="shared" si="3"/>
        <v xml:space="preserve">TRANSFER FROM 20010697703                         </v>
      </c>
      <c r="M39" s="4">
        <f t="shared" si="4"/>
        <v>0</v>
      </c>
      <c r="N39" s="4">
        <f t="shared" si="5"/>
        <v>26595</v>
      </c>
      <c r="O39" s="4">
        <f t="shared" si="6"/>
        <v>-123100.37</v>
      </c>
      <c r="P39" s="4" t="str">
        <f t="shared" si="7"/>
        <v>SBI 5441</v>
      </c>
    </row>
    <row r="40" spans="1:16" x14ac:dyDescent="0.3">
      <c r="A40" s="5">
        <v>45117</v>
      </c>
      <c r="B40" s="5">
        <v>45117</v>
      </c>
      <c r="C40" s="3" t="s">
        <v>386</v>
      </c>
      <c r="D40" s="3" t="s">
        <v>387</v>
      </c>
      <c r="E40" s="9">
        <v>100000</v>
      </c>
      <c r="F40" s="9">
        <v>0</v>
      </c>
      <c r="G40" s="9">
        <v>-223100.37</v>
      </c>
      <c r="H40" s="3" t="s">
        <v>718</v>
      </c>
      <c r="I40" s="9">
        <f t="shared" si="8"/>
        <v>0</v>
      </c>
      <c r="J40" s="5">
        <f t="shared" si="1"/>
        <v>45117</v>
      </c>
      <c r="K40" s="5" t="str">
        <f t="shared" si="2"/>
        <v xml:space="preserve">   TO TRANSFER-INB NEFT UTR NO: SBIN123191905507--AJAY KUMAR GUPTA</v>
      </c>
      <c r="L40" s="5" t="str">
        <f t="shared" si="3"/>
        <v>NEFT INB: IRW5728101                               / AJAY KUMAR GUPTA</v>
      </c>
      <c r="M40" s="4">
        <f t="shared" si="4"/>
        <v>100000</v>
      </c>
      <c r="N40" s="4">
        <f t="shared" si="5"/>
        <v>0</v>
      </c>
      <c r="O40" s="4">
        <f t="shared" si="6"/>
        <v>-223100.37</v>
      </c>
      <c r="P40" s="4" t="str">
        <f t="shared" si="7"/>
        <v>SBI 5441</v>
      </c>
    </row>
    <row r="41" spans="1:16" x14ac:dyDescent="0.3">
      <c r="A41" s="5">
        <v>45122</v>
      </c>
      <c r="B41" s="5">
        <v>45122</v>
      </c>
      <c r="C41" s="3" t="s">
        <v>388</v>
      </c>
      <c r="D41" s="3" t="s">
        <v>389</v>
      </c>
      <c r="E41" s="9">
        <v>50000</v>
      </c>
      <c r="F41" s="9">
        <v>0</v>
      </c>
      <c r="G41" s="9">
        <v>-273100.37</v>
      </c>
      <c r="H41" s="3" t="s">
        <v>718</v>
      </c>
      <c r="I41" s="9">
        <f t="shared" si="8"/>
        <v>0</v>
      </c>
      <c r="J41" s="5">
        <f t="shared" si="1"/>
        <v>45122</v>
      </c>
      <c r="K41" s="5" t="str">
        <f t="shared" si="2"/>
        <v xml:space="preserve">   TO TRANSFER-INB Credit card payment--</v>
      </c>
      <c r="L41" s="5" t="str">
        <f t="shared" si="3"/>
        <v xml:space="preserve">IIB9347211               TRANSFER TO 20010697703  </v>
      </c>
      <c r="M41" s="4">
        <f t="shared" si="4"/>
        <v>50000</v>
      </c>
      <c r="N41" s="4">
        <f t="shared" si="5"/>
        <v>0</v>
      </c>
      <c r="O41" s="4">
        <f t="shared" si="6"/>
        <v>-273100.37</v>
      </c>
      <c r="P41" s="4" t="str">
        <f t="shared" si="7"/>
        <v>SBI 5441</v>
      </c>
    </row>
    <row r="42" spans="1:16" x14ac:dyDescent="0.3">
      <c r="A42" s="5">
        <v>45138</v>
      </c>
      <c r="B42" s="5">
        <v>45138</v>
      </c>
      <c r="C42" s="3" t="s">
        <v>380</v>
      </c>
      <c r="E42" s="9">
        <v>1955</v>
      </c>
      <c r="F42" s="9">
        <v>0</v>
      </c>
      <c r="G42" s="9">
        <v>-275055.37</v>
      </c>
      <c r="H42" s="3" t="s">
        <v>718</v>
      </c>
      <c r="I42" s="9">
        <f t="shared" si="8"/>
        <v>0</v>
      </c>
      <c r="J42" s="5">
        <f t="shared" si="1"/>
        <v>45138</v>
      </c>
      <c r="K42" s="5" t="str">
        <f t="shared" si="2"/>
        <v xml:space="preserve">   DEBIT INTEREST---</v>
      </c>
      <c r="L42" s="5">
        <f t="shared" si="3"/>
        <v>0</v>
      </c>
      <c r="M42" s="4">
        <f t="shared" si="4"/>
        <v>1955</v>
      </c>
      <c r="N42" s="4">
        <f t="shared" si="5"/>
        <v>0</v>
      </c>
      <c r="O42" s="4">
        <f t="shared" si="6"/>
        <v>-275055.37</v>
      </c>
      <c r="P42" s="4" t="str">
        <f t="shared" si="7"/>
        <v>SBI 5441</v>
      </c>
    </row>
    <row r="43" spans="1:16" x14ac:dyDescent="0.3">
      <c r="A43" s="5">
        <v>45139</v>
      </c>
      <c r="B43" s="5">
        <v>45139</v>
      </c>
      <c r="C43" s="3" t="s">
        <v>377</v>
      </c>
      <c r="D43" s="3" t="s">
        <v>390</v>
      </c>
      <c r="E43" s="9">
        <v>200000</v>
      </c>
      <c r="F43" s="9">
        <v>0</v>
      </c>
      <c r="G43" s="9">
        <v>-475055.37</v>
      </c>
      <c r="H43" s="3" t="s">
        <v>718</v>
      </c>
      <c r="I43" s="9">
        <f t="shared" si="8"/>
        <v>0</v>
      </c>
      <c r="J43" s="5">
        <f t="shared" si="1"/>
        <v>45139</v>
      </c>
      <c r="K43" s="5" t="str">
        <f t="shared" si="2"/>
        <v xml:space="preserve">   TO TRANSFER-INB Deposit / Investment--</v>
      </c>
      <c r="L43" s="5" t="str">
        <f t="shared" si="3"/>
        <v xml:space="preserve">IIB9788460               TRANSFER TO 20010697703  </v>
      </c>
      <c r="M43" s="4">
        <f t="shared" si="4"/>
        <v>200000</v>
      </c>
      <c r="N43" s="4">
        <f t="shared" si="5"/>
        <v>0</v>
      </c>
      <c r="O43" s="4">
        <f t="shared" si="6"/>
        <v>-475055.37</v>
      </c>
      <c r="P43" s="4" t="str">
        <f t="shared" si="7"/>
        <v>SBI 5441</v>
      </c>
    </row>
    <row r="44" spans="1:16" x14ac:dyDescent="0.3">
      <c r="A44" s="5">
        <v>45139</v>
      </c>
      <c r="B44" s="5">
        <v>45139</v>
      </c>
      <c r="C44" s="3" t="s">
        <v>391</v>
      </c>
      <c r="D44" s="3" t="s">
        <v>392</v>
      </c>
      <c r="E44" s="9">
        <v>150000</v>
      </c>
      <c r="F44" s="9">
        <v>0</v>
      </c>
      <c r="G44" s="9">
        <v>-625055.37</v>
      </c>
      <c r="H44" s="3" t="s">
        <v>718</v>
      </c>
      <c r="I44" s="9">
        <f t="shared" si="8"/>
        <v>0</v>
      </c>
      <c r="J44" s="5">
        <f t="shared" si="1"/>
        <v>45139</v>
      </c>
      <c r="K44" s="5" t="str">
        <f t="shared" si="2"/>
        <v xml:space="preserve">   TO TRANSFER-INB NEFT UTR NO: SBIN123213282053--Sunita Gupta</v>
      </c>
      <c r="L44" s="5" t="str">
        <f t="shared" si="3"/>
        <v>NEFT INB: IRW7078841                               / Sunita Gupta</v>
      </c>
      <c r="M44" s="4">
        <f t="shared" si="4"/>
        <v>150000</v>
      </c>
      <c r="N44" s="4">
        <f t="shared" si="5"/>
        <v>0</v>
      </c>
      <c r="O44" s="4">
        <f t="shared" si="6"/>
        <v>-625055.37</v>
      </c>
      <c r="P44" s="4" t="str">
        <f t="shared" si="7"/>
        <v>SBI 5441</v>
      </c>
    </row>
    <row r="45" spans="1:16" x14ac:dyDescent="0.3">
      <c r="A45" s="5">
        <v>45139</v>
      </c>
      <c r="B45" s="5">
        <v>45139</v>
      </c>
      <c r="C45" s="3" t="s">
        <v>393</v>
      </c>
      <c r="D45" s="3" t="s">
        <v>394</v>
      </c>
      <c r="E45" s="9">
        <v>150000</v>
      </c>
      <c r="F45" s="9">
        <v>0</v>
      </c>
      <c r="G45" s="9">
        <v>-775055.37</v>
      </c>
      <c r="H45" s="3" t="s">
        <v>718</v>
      </c>
      <c r="I45" s="9">
        <f t="shared" si="8"/>
        <v>0</v>
      </c>
      <c r="J45" s="5">
        <f t="shared" si="1"/>
        <v>45139</v>
      </c>
      <c r="K45" s="5" t="str">
        <f t="shared" si="2"/>
        <v xml:space="preserve">   TO TRANSFER-INB NEFT UTR NO: SBIN123213306776--Ajay Kumar Gupta</v>
      </c>
      <c r="L45" s="5" t="str">
        <f t="shared" si="3"/>
        <v>NEFT INB: IRW7080126                               / Ajay Kumar Gupta</v>
      </c>
      <c r="M45" s="4">
        <f t="shared" si="4"/>
        <v>150000</v>
      </c>
      <c r="N45" s="4">
        <f t="shared" si="5"/>
        <v>0</v>
      </c>
      <c r="O45" s="4">
        <f t="shared" si="6"/>
        <v>-775055.37</v>
      </c>
      <c r="P45" s="4" t="str">
        <f t="shared" si="7"/>
        <v>SBI 5441</v>
      </c>
    </row>
    <row r="46" spans="1:16" x14ac:dyDescent="0.3">
      <c r="A46" s="5">
        <v>45140</v>
      </c>
      <c r="B46" s="5">
        <v>45140</v>
      </c>
      <c r="C46" s="3" t="s">
        <v>371</v>
      </c>
      <c r="D46" s="3" t="s">
        <v>372</v>
      </c>
      <c r="E46" s="9">
        <v>0</v>
      </c>
      <c r="F46" s="9">
        <v>26595</v>
      </c>
      <c r="G46" s="9">
        <v>-748460.37</v>
      </c>
      <c r="H46" s="3" t="s">
        <v>718</v>
      </c>
      <c r="I46" s="9">
        <f t="shared" si="8"/>
        <v>0</v>
      </c>
      <c r="J46" s="5">
        <f t="shared" si="1"/>
        <v>45140</v>
      </c>
      <c r="K46" s="5" t="str">
        <f t="shared" si="2"/>
        <v xml:space="preserve">   DEPOSIT TRANSFER---</v>
      </c>
      <c r="L46" s="5" t="str">
        <f t="shared" si="3"/>
        <v xml:space="preserve">TRANSFER FROM 20010697703                         </v>
      </c>
      <c r="M46" s="4">
        <f t="shared" si="4"/>
        <v>0</v>
      </c>
      <c r="N46" s="4">
        <f t="shared" si="5"/>
        <v>26595</v>
      </c>
      <c r="O46" s="4">
        <f t="shared" si="6"/>
        <v>-748460.37</v>
      </c>
      <c r="P46" s="4" t="str">
        <f t="shared" si="7"/>
        <v>SBI 5441</v>
      </c>
    </row>
    <row r="47" spans="1:16" x14ac:dyDescent="0.3">
      <c r="A47" s="5">
        <v>45140</v>
      </c>
      <c r="B47" s="5">
        <v>45140</v>
      </c>
      <c r="C47" s="3" t="s">
        <v>395</v>
      </c>
      <c r="D47" s="3" t="s">
        <v>396</v>
      </c>
      <c r="E47" s="9">
        <v>100000</v>
      </c>
      <c r="F47" s="9">
        <v>0</v>
      </c>
      <c r="G47" s="9">
        <v>-848460.37</v>
      </c>
      <c r="H47" s="3" t="s">
        <v>718</v>
      </c>
      <c r="I47" s="9">
        <f t="shared" si="8"/>
        <v>0</v>
      </c>
      <c r="J47" s="5">
        <f t="shared" si="1"/>
        <v>45140</v>
      </c>
      <c r="K47" s="5" t="str">
        <f t="shared" si="2"/>
        <v xml:space="preserve">   TO TRANSFER-INB NEFT UTR NO: SBIN323214823530--Ajay Kumar Gupta</v>
      </c>
      <c r="L47" s="5" t="str">
        <f t="shared" si="3"/>
        <v>NEFT INB: IRW7212363                               / Ajay Kumar Gupta</v>
      </c>
      <c r="M47" s="4">
        <f t="shared" si="4"/>
        <v>100000</v>
      </c>
      <c r="N47" s="4">
        <f t="shared" si="5"/>
        <v>0</v>
      </c>
      <c r="O47" s="4">
        <f t="shared" si="6"/>
        <v>-848460.37</v>
      </c>
      <c r="P47" s="4" t="str">
        <f t="shared" si="7"/>
        <v>SBI 5441</v>
      </c>
    </row>
    <row r="48" spans="1:16" x14ac:dyDescent="0.3">
      <c r="A48" s="5">
        <v>45141</v>
      </c>
      <c r="B48" s="5">
        <v>45141</v>
      </c>
      <c r="C48" s="3" t="s">
        <v>397</v>
      </c>
      <c r="D48" s="3" t="s">
        <v>398</v>
      </c>
      <c r="E48" s="9">
        <v>100000</v>
      </c>
      <c r="F48" s="9">
        <v>0</v>
      </c>
      <c r="G48" s="9">
        <v>-948460.37</v>
      </c>
      <c r="H48" s="3" t="s">
        <v>718</v>
      </c>
      <c r="I48" s="9">
        <f t="shared" si="8"/>
        <v>0</v>
      </c>
      <c r="J48" s="5">
        <f t="shared" si="1"/>
        <v>45141</v>
      </c>
      <c r="K48" s="5" t="str">
        <f t="shared" si="2"/>
        <v xml:space="preserve">   TO TRANSFER-INB NEFT UTR NO: SBIN423215673440--Ajay Kumar Gupta</v>
      </c>
      <c r="L48" s="5" t="str">
        <f t="shared" si="3"/>
        <v>NEFT INB: IRW7293534                               / Ajay Kumar Gupta</v>
      </c>
      <c r="M48" s="4">
        <f t="shared" si="4"/>
        <v>100000</v>
      </c>
      <c r="N48" s="4">
        <f t="shared" si="5"/>
        <v>0</v>
      </c>
      <c r="O48" s="4">
        <f t="shared" si="6"/>
        <v>-948460.37</v>
      </c>
      <c r="P48" s="4" t="str">
        <f t="shared" si="7"/>
        <v>SBI 5441</v>
      </c>
    </row>
    <row r="49" spans="1:16" x14ac:dyDescent="0.3">
      <c r="A49" s="5">
        <v>45143</v>
      </c>
      <c r="B49" s="5">
        <v>45143</v>
      </c>
      <c r="C49" s="3" t="s">
        <v>399</v>
      </c>
      <c r="D49" s="3" t="s">
        <v>400</v>
      </c>
      <c r="E49" s="9">
        <v>100000</v>
      </c>
      <c r="F49" s="9">
        <v>0</v>
      </c>
      <c r="G49" s="9">
        <v>-1048460.37</v>
      </c>
      <c r="H49" s="3" t="s">
        <v>718</v>
      </c>
      <c r="I49" s="9">
        <f t="shared" si="8"/>
        <v>0</v>
      </c>
      <c r="J49" s="5">
        <f t="shared" si="1"/>
        <v>45143</v>
      </c>
      <c r="K49" s="5" t="str">
        <f t="shared" si="2"/>
        <v xml:space="preserve">   TO TRANSFER-INB NEFT UTR NO: SBIN223217438050--Ajay Kumar Gupta</v>
      </c>
      <c r="L49" s="5" t="str">
        <f t="shared" si="3"/>
        <v>NEFT INB: IRW7472424                               / Ajay Kumar Gupta</v>
      </c>
      <c r="M49" s="4">
        <f t="shared" si="4"/>
        <v>100000</v>
      </c>
      <c r="N49" s="4">
        <f t="shared" si="5"/>
        <v>0</v>
      </c>
      <c r="O49" s="4">
        <f t="shared" si="6"/>
        <v>-1048460.37</v>
      </c>
      <c r="P49" s="4" t="str">
        <f t="shared" si="7"/>
        <v>SBI 5441</v>
      </c>
    </row>
    <row r="50" spans="1:16" x14ac:dyDescent="0.3">
      <c r="A50" s="5">
        <v>45145</v>
      </c>
      <c r="B50" s="5">
        <v>45145</v>
      </c>
      <c r="C50" s="3" t="s">
        <v>401</v>
      </c>
      <c r="D50" s="3" t="s">
        <v>402</v>
      </c>
      <c r="E50" s="9">
        <v>100000</v>
      </c>
      <c r="F50" s="9">
        <v>0</v>
      </c>
      <c r="G50" s="9">
        <v>-1148460.3700000001</v>
      </c>
      <c r="H50" s="3" t="s">
        <v>718</v>
      </c>
      <c r="I50" s="9">
        <f t="shared" si="8"/>
        <v>0</v>
      </c>
      <c r="J50" s="5">
        <f t="shared" si="1"/>
        <v>45145</v>
      </c>
      <c r="K50" s="5" t="str">
        <f t="shared" si="2"/>
        <v xml:space="preserve">   TO TRANSFER-INB NEFT UTR NO: SBIN423219506319--Ajay Kumar Gupta</v>
      </c>
      <c r="L50" s="5" t="str">
        <f t="shared" si="3"/>
        <v>NEFT INB: IRW7614691                               / Ajay Kumar Gupta</v>
      </c>
      <c r="M50" s="4">
        <f t="shared" si="4"/>
        <v>100000</v>
      </c>
      <c r="N50" s="4">
        <f t="shared" si="5"/>
        <v>0</v>
      </c>
      <c r="O50" s="4">
        <f t="shared" si="6"/>
        <v>-1148460.3700000001</v>
      </c>
      <c r="P50" s="4" t="str">
        <f t="shared" si="7"/>
        <v>SBI 5441</v>
      </c>
    </row>
    <row r="51" spans="1:16" x14ac:dyDescent="0.3">
      <c r="A51" s="5">
        <v>45156</v>
      </c>
      <c r="B51" s="5">
        <v>45156</v>
      </c>
      <c r="C51" s="3" t="s">
        <v>403</v>
      </c>
      <c r="D51" s="3" t="s">
        <v>404</v>
      </c>
      <c r="E51" s="9">
        <v>100000</v>
      </c>
      <c r="F51" s="9">
        <v>0</v>
      </c>
      <c r="G51" s="9">
        <v>-1248460.3700000001</v>
      </c>
      <c r="H51" s="3" t="s">
        <v>718</v>
      </c>
      <c r="I51" s="9">
        <f t="shared" si="8"/>
        <v>0</v>
      </c>
      <c r="J51" s="5">
        <f t="shared" si="1"/>
        <v>45156</v>
      </c>
      <c r="K51" s="5" t="str">
        <f t="shared" si="2"/>
        <v xml:space="preserve">   TO TRANSFER-INB NEFT UTR NO: SBIN423230587703--Ajay Kumar Gupta</v>
      </c>
      <c r="L51" s="5" t="str">
        <f t="shared" si="3"/>
        <v>NEFT INB: IRW8240391                               / Ajay Kumar Gupta</v>
      </c>
      <c r="M51" s="4">
        <f t="shared" si="4"/>
        <v>100000</v>
      </c>
      <c r="N51" s="4">
        <f t="shared" si="5"/>
        <v>0</v>
      </c>
      <c r="O51" s="4">
        <f t="shared" si="6"/>
        <v>-1248460.3700000001</v>
      </c>
      <c r="P51" s="4" t="str">
        <f t="shared" si="7"/>
        <v>SBI 5441</v>
      </c>
    </row>
    <row r="52" spans="1:16" x14ac:dyDescent="0.3">
      <c r="A52" s="5">
        <v>45157</v>
      </c>
      <c r="B52" s="5">
        <v>45157</v>
      </c>
      <c r="C52" s="3" t="s">
        <v>405</v>
      </c>
      <c r="D52" s="3" t="s">
        <v>406</v>
      </c>
      <c r="E52" s="9">
        <v>50000</v>
      </c>
      <c r="F52" s="9">
        <v>0</v>
      </c>
      <c r="G52" s="9">
        <v>-1298460.3700000001</v>
      </c>
      <c r="H52" s="3" t="s">
        <v>718</v>
      </c>
      <c r="I52" s="9">
        <f t="shared" si="8"/>
        <v>0</v>
      </c>
      <c r="J52" s="5">
        <f t="shared" si="1"/>
        <v>45157</v>
      </c>
      <c r="K52" s="5" t="str">
        <f t="shared" si="2"/>
        <v xml:space="preserve">   TO TRANSFER-INB NEFT UTR NO: SBIN523231563697--Ajay Kumar Gupta</v>
      </c>
      <c r="L52" s="5" t="str">
        <f t="shared" si="3"/>
        <v>NEFT INB: IRW8298482                               / Ajay Kumar Gupta</v>
      </c>
      <c r="M52" s="4">
        <f t="shared" si="4"/>
        <v>50000</v>
      </c>
      <c r="N52" s="4">
        <f t="shared" si="5"/>
        <v>0</v>
      </c>
      <c r="O52" s="4">
        <f t="shared" si="6"/>
        <v>-1298460.3700000001</v>
      </c>
      <c r="P52" s="4" t="str">
        <f t="shared" si="7"/>
        <v>SBI 5441</v>
      </c>
    </row>
    <row r="53" spans="1:16" x14ac:dyDescent="0.3">
      <c r="A53" s="5">
        <v>45162</v>
      </c>
      <c r="B53" s="5">
        <v>45162</v>
      </c>
      <c r="C53" s="3" t="s">
        <v>407</v>
      </c>
      <c r="D53" s="3" t="s">
        <v>408</v>
      </c>
      <c r="E53" s="9">
        <v>0</v>
      </c>
      <c r="F53" s="9">
        <v>500000</v>
      </c>
      <c r="G53" s="9">
        <v>-798460.37</v>
      </c>
      <c r="H53" s="3" t="s">
        <v>718</v>
      </c>
      <c r="I53" s="9">
        <f t="shared" si="8"/>
        <v>0</v>
      </c>
      <c r="J53" s="5">
        <f t="shared" si="1"/>
        <v>45162</v>
      </c>
      <c r="K53" s="5" t="str">
        <f t="shared" si="2"/>
        <v xml:space="preserve">   BY TRANSFER-NEFT*UTIB0000115*AXOIR32366073380*AJAY KUMAR GUPTA--</v>
      </c>
      <c r="L53" s="5" t="str">
        <f t="shared" si="3"/>
        <v>TRANSFER FROM 4697176044305</v>
      </c>
      <c r="M53" s="4">
        <f t="shared" si="4"/>
        <v>0</v>
      </c>
      <c r="N53" s="4">
        <f t="shared" si="5"/>
        <v>500000</v>
      </c>
      <c r="O53" s="4">
        <f t="shared" si="6"/>
        <v>-798460.37</v>
      </c>
      <c r="P53" s="4" t="str">
        <f t="shared" si="7"/>
        <v>SBI 5441</v>
      </c>
    </row>
    <row r="54" spans="1:16" x14ac:dyDescent="0.3">
      <c r="A54" s="5">
        <v>45163</v>
      </c>
      <c r="B54" s="5">
        <v>45163</v>
      </c>
      <c r="C54" s="3" t="s">
        <v>377</v>
      </c>
      <c r="D54" s="3" t="s">
        <v>409</v>
      </c>
      <c r="E54" s="9">
        <v>10000</v>
      </c>
      <c r="F54" s="9">
        <v>0</v>
      </c>
      <c r="G54" s="9">
        <v>-808460.37</v>
      </c>
      <c r="H54" s="3" t="s">
        <v>718</v>
      </c>
      <c r="I54" s="9">
        <f t="shared" si="8"/>
        <v>0</v>
      </c>
      <c r="J54" s="5">
        <f t="shared" si="1"/>
        <v>45163</v>
      </c>
      <c r="K54" s="5" t="str">
        <f t="shared" si="2"/>
        <v xml:space="preserve">   TO TRANSFER-INB Deposit / Investment--</v>
      </c>
      <c r="L54" s="5" t="str">
        <f t="shared" si="3"/>
        <v xml:space="preserve">IIC0426902               TRANSFER TO 20010697703  </v>
      </c>
      <c r="M54" s="4">
        <f t="shared" si="4"/>
        <v>10000</v>
      </c>
      <c r="N54" s="4">
        <f t="shared" si="5"/>
        <v>0</v>
      </c>
      <c r="O54" s="4">
        <f t="shared" si="6"/>
        <v>-808460.37</v>
      </c>
      <c r="P54" s="4" t="str">
        <f t="shared" si="7"/>
        <v>SBI 5441</v>
      </c>
    </row>
    <row r="55" spans="1:16" x14ac:dyDescent="0.3">
      <c r="A55" s="5">
        <v>45169</v>
      </c>
      <c r="B55" s="5">
        <v>45169</v>
      </c>
      <c r="C55" s="3" t="s">
        <v>380</v>
      </c>
      <c r="E55" s="9">
        <v>9201</v>
      </c>
      <c r="F55" s="9">
        <v>0</v>
      </c>
      <c r="G55" s="9">
        <v>-817661.37</v>
      </c>
      <c r="H55" s="3" t="s">
        <v>718</v>
      </c>
      <c r="I55" s="9">
        <f t="shared" si="8"/>
        <v>0</v>
      </c>
      <c r="J55" s="5">
        <f t="shared" si="1"/>
        <v>45169</v>
      </c>
      <c r="K55" s="5" t="str">
        <f t="shared" si="2"/>
        <v xml:space="preserve">   DEBIT INTEREST---</v>
      </c>
      <c r="L55" s="5">
        <f t="shared" si="3"/>
        <v>0</v>
      </c>
      <c r="M55" s="4">
        <f t="shared" si="4"/>
        <v>9201</v>
      </c>
      <c r="N55" s="4">
        <f t="shared" si="5"/>
        <v>0</v>
      </c>
      <c r="O55" s="4">
        <f t="shared" si="6"/>
        <v>-817661.37</v>
      </c>
      <c r="P55" s="4" t="str">
        <f t="shared" si="7"/>
        <v>SBI 5441</v>
      </c>
    </row>
    <row r="56" spans="1:16" x14ac:dyDescent="0.3">
      <c r="A56" s="5">
        <v>45170</v>
      </c>
      <c r="B56" s="5">
        <v>45170</v>
      </c>
      <c r="C56" s="3" t="s">
        <v>181</v>
      </c>
      <c r="D56" s="3" t="s">
        <v>410</v>
      </c>
      <c r="E56" s="9">
        <v>0</v>
      </c>
      <c r="F56" s="9">
        <v>200000</v>
      </c>
      <c r="G56" s="9">
        <v>-617661.37</v>
      </c>
      <c r="H56" s="3" t="s">
        <v>718</v>
      </c>
      <c r="I56" s="9">
        <f t="shared" si="8"/>
        <v>0</v>
      </c>
      <c r="J56" s="5">
        <f t="shared" si="1"/>
        <v>45170</v>
      </c>
      <c r="K56" s="5" t="str">
        <f t="shared" si="2"/>
        <v xml:space="preserve">   BY TRANSFER-INB Payment towards loan repayment--</v>
      </c>
      <c r="L56" s="5" t="str">
        <f t="shared" si="3"/>
        <v>IIC0639835               TRANSFER FROM 20010697703</v>
      </c>
      <c r="M56" s="4">
        <f t="shared" si="4"/>
        <v>0</v>
      </c>
      <c r="N56" s="4">
        <f t="shared" si="5"/>
        <v>200000</v>
      </c>
      <c r="O56" s="4">
        <f t="shared" si="6"/>
        <v>-617661.37</v>
      </c>
      <c r="P56" s="4" t="str">
        <f t="shared" si="7"/>
        <v>SBI 5441</v>
      </c>
    </row>
    <row r="57" spans="1:16" x14ac:dyDescent="0.3">
      <c r="A57" s="5">
        <v>45171</v>
      </c>
      <c r="B57" s="5">
        <v>45171</v>
      </c>
      <c r="C57" s="3" t="s">
        <v>371</v>
      </c>
      <c r="D57" s="3" t="s">
        <v>372</v>
      </c>
      <c r="E57" s="9">
        <v>0</v>
      </c>
      <c r="F57" s="9">
        <v>26595</v>
      </c>
      <c r="G57" s="9">
        <v>-591066.37</v>
      </c>
      <c r="H57" s="3" t="s">
        <v>718</v>
      </c>
      <c r="I57" s="9">
        <f t="shared" si="8"/>
        <v>0</v>
      </c>
      <c r="J57" s="5">
        <f t="shared" si="1"/>
        <v>45171</v>
      </c>
      <c r="K57" s="5" t="str">
        <f t="shared" si="2"/>
        <v xml:space="preserve">   DEPOSIT TRANSFER---</v>
      </c>
      <c r="L57" s="5" t="str">
        <f t="shared" si="3"/>
        <v xml:space="preserve">TRANSFER FROM 20010697703                         </v>
      </c>
      <c r="M57" s="4">
        <f t="shared" si="4"/>
        <v>0</v>
      </c>
      <c r="N57" s="4">
        <f t="shared" si="5"/>
        <v>26595</v>
      </c>
      <c r="O57" s="4">
        <f t="shared" si="6"/>
        <v>-591066.37</v>
      </c>
      <c r="P57" s="4" t="str">
        <f t="shared" si="7"/>
        <v>SBI 5441</v>
      </c>
    </row>
    <row r="58" spans="1:16" x14ac:dyDescent="0.3">
      <c r="A58" s="5">
        <v>45178</v>
      </c>
      <c r="B58" s="5">
        <v>45178</v>
      </c>
      <c r="C58" s="3" t="s">
        <v>181</v>
      </c>
      <c r="D58" s="3" t="s">
        <v>411</v>
      </c>
      <c r="E58" s="9">
        <v>0</v>
      </c>
      <c r="F58" s="9">
        <v>150000</v>
      </c>
      <c r="G58" s="9">
        <v>-441066.37</v>
      </c>
      <c r="H58" s="3" t="s">
        <v>718</v>
      </c>
      <c r="I58" s="9">
        <f t="shared" si="8"/>
        <v>0</v>
      </c>
      <c r="J58" s="5">
        <f t="shared" si="1"/>
        <v>45178</v>
      </c>
      <c r="K58" s="5" t="str">
        <f t="shared" si="2"/>
        <v xml:space="preserve">   BY TRANSFER-INB Payment towards loan repayment--</v>
      </c>
      <c r="L58" s="5" t="str">
        <f t="shared" si="3"/>
        <v>IIC0918892               TRANSFER FROM 20010697703</v>
      </c>
      <c r="M58" s="4">
        <f t="shared" si="4"/>
        <v>0</v>
      </c>
      <c r="N58" s="4">
        <f t="shared" si="5"/>
        <v>150000</v>
      </c>
      <c r="O58" s="4">
        <f t="shared" si="6"/>
        <v>-441066.37</v>
      </c>
      <c r="P58" s="4" t="str">
        <f t="shared" si="7"/>
        <v>SBI 5441</v>
      </c>
    </row>
    <row r="59" spans="1:16" x14ac:dyDescent="0.3">
      <c r="A59" s="5">
        <v>45181</v>
      </c>
      <c r="B59" s="5">
        <v>45181</v>
      </c>
      <c r="C59" s="3" t="s">
        <v>377</v>
      </c>
      <c r="D59" s="3" t="s">
        <v>412</v>
      </c>
      <c r="E59" s="9">
        <v>1000</v>
      </c>
      <c r="F59" s="9">
        <v>0</v>
      </c>
      <c r="G59" s="9">
        <v>-442066.37</v>
      </c>
      <c r="H59" s="3" t="s">
        <v>718</v>
      </c>
      <c r="I59" s="9">
        <f t="shared" si="8"/>
        <v>0</v>
      </c>
      <c r="J59" s="5">
        <f t="shared" si="1"/>
        <v>45181</v>
      </c>
      <c r="K59" s="5" t="str">
        <f t="shared" si="2"/>
        <v xml:space="preserve">   TO TRANSFER-INB Deposit / Investment--</v>
      </c>
      <c r="L59" s="5" t="str">
        <f t="shared" si="3"/>
        <v xml:space="preserve">IIC0994290               TRANSFER TO 20010697703  </v>
      </c>
      <c r="M59" s="4">
        <f t="shared" si="4"/>
        <v>1000</v>
      </c>
      <c r="N59" s="4">
        <f t="shared" si="5"/>
        <v>0</v>
      </c>
      <c r="O59" s="4">
        <f t="shared" si="6"/>
        <v>-442066.37</v>
      </c>
      <c r="P59" s="4" t="str">
        <f t="shared" si="7"/>
        <v>SBI 5441</v>
      </c>
    </row>
    <row r="60" spans="1:16" x14ac:dyDescent="0.3">
      <c r="A60" s="5">
        <v>45181</v>
      </c>
      <c r="B60" s="5">
        <v>45181</v>
      </c>
      <c r="C60" s="3" t="s">
        <v>377</v>
      </c>
      <c r="D60" s="3" t="s">
        <v>413</v>
      </c>
      <c r="E60" s="9">
        <v>10000</v>
      </c>
      <c r="F60" s="9">
        <v>0</v>
      </c>
      <c r="G60" s="9">
        <v>-452066.37</v>
      </c>
      <c r="H60" s="3" t="s">
        <v>718</v>
      </c>
      <c r="I60" s="9">
        <f t="shared" si="8"/>
        <v>0</v>
      </c>
      <c r="J60" s="5">
        <f t="shared" si="1"/>
        <v>45181</v>
      </c>
      <c r="K60" s="5" t="str">
        <f t="shared" si="2"/>
        <v xml:space="preserve">   TO TRANSFER-INB Deposit / Investment--</v>
      </c>
      <c r="L60" s="5" t="str">
        <f t="shared" si="3"/>
        <v xml:space="preserve">IIC0994300               TRANSFER TO 20010697703  </v>
      </c>
      <c r="M60" s="4">
        <f t="shared" si="4"/>
        <v>10000</v>
      </c>
      <c r="N60" s="4">
        <f t="shared" si="5"/>
        <v>0</v>
      </c>
      <c r="O60" s="4">
        <f t="shared" si="6"/>
        <v>-452066.37</v>
      </c>
      <c r="P60" s="4" t="str">
        <f t="shared" si="7"/>
        <v>SBI 5441</v>
      </c>
    </row>
    <row r="61" spans="1:16" x14ac:dyDescent="0.3">
      <c r="A61" s="5">
        <v>45181</v>
      </c>
      <c r="B61" s="5">
        <v>45181</v>
      </c>
      <c r="C61" s="3" t="s">
        <v>377</v>
      </c>
      <c r="D61" s="3" t="s">
        <v>414</v>
      </c>
      <c r="E61" s="9">
        <v>75000</v>
      </c>
      <c r="F61" s="9">
        <v>0</v>
      </c>
      <c r="G61" s="9">
        <v>-527066.37</v>
      </c>
      <c r="H61" s="3" t="s">
        <v>718</v>
      </c>
      <c r="I61" s="9">
        <f t="shared" si="8"/>
        <v>0</v>
      </c>
      <c r="J61" s="5">
        <f t="shared" si="1"/>
        <v>45181</v>
      </c>
      <c r="K61" s="5" t="str">
        <f t="shared" si="2"/>
        <v xml:space="preserve">   TO TRANSFER-INB Deposit / Investment--</v>
      </c>
      <c r="L61" s="5" t="str">
        <f t="shared" si="3"/>
        <v xml:space="preserve">IIC0999297               TRANSFER TO 20010697703  </v>
      </c>
      <c r="M61" s="4">
        <f t="shared" si="4"/>
        <v>75000</v>
      </c>
      <c r="N61" s="4">
        <f t="shared" si="5"/>
        <v>0</v>
      </c>
      <c r="O61" s="4">
        <f t="shared" si="6"/>
        <v>-527066.37</v>
      </c>
      <c r="P61" s="4" t="str">
        <f t="shared" si="7"/>
        <v>SBI 5441</v>
      </c>
    </row>
    <row r="62" spans="1:16" x14ac:dyDescent="0.3">
      <c r="A62" s="5">
        <v>45181</v>
      </c>
      <c r="B62" s="5">
        <v>45181</v>
      </c>
      <c r="C62" s="3" t="s">
        <v>415</v>
      </c>
      <c r="D62" s="3" t="s">
        <v>416</v>
      </c>
      <c r="E62" s="9">
        <v>0</v>
      </c>
      <c r="F62" s="9">
        <v>500000</v>
      </c>
      <c r="G62" s="9">
        <v>-27066.37</v>
      </c>
      <c r="H62" s="3" t="s">
        <v>718</v>
      </c>
      <c r="I62" s="9">
        <f t="shared" si="8"/>
        <v>0</v>
      </c>
      <c r="J62" s="5">
        <f t="shared" si="1"/>
        <v>45181</v>
      </c>
      <c r="K62" s="5" t="str">
        <f t="shared" si="2"/>
        <v xml:space="preserve">   BY TRANSFER-NEFT*HDFC0000001*N255232639871634*AJAY KUMAR GUPTA--</v>
      </c>
      <c r="L62" s="5" t="str">
        <f t="shared" si="3"/>
        <v>TRANSFER FROM 4697201044308</v>
      </c>
      <c r="M62" s="4">
        <f t="shared" si="4"/>
        <v>0</v>
      </c>
      <c r="N62" s="4">
        <f t="shared" si="5"/>
        <v>500000</v>
      </c>
      <c r="O62" s="4">
        <f t="shared" si="6"/>
        <v>-27066.37</v>
      </c>
      <c r="P62" s="4" t="str">
        <f t="shared" si="7"/>
        <v>SBI 5441</v>
      </c>
    </row>
    <row r="63" spans="1:16" x14ac:dyDescent="0.3">
      <c r="A63" s="5">
        <v>45199</v>
      </c>
      <c r="B63" s="5">
        <v>45199</v>
      </c>
      <c r="C63" s="3" t="s">
        <v>380</v>
      </c>
      <c r="E63" s="9">
        <v>1869</v>
      </c>
      <c r="F63" s="9">
        <v>0</v>
      </c>
      <c r="G63" s="9">
        <v>-28935.37</v>
      </c>
      <c r="H63" s="3" t="s">
        <v>718</v>
      </c>
      <c r="I63" s="9">
        <f t="shared" si="8"/>
        <v>0</v>
      </c>
      <c r="J63" s="5">
        <f t="shared" si="1"/>
        <v>45199</v>
      </c>
      <c r="K63" s="5" t="str">
        <f t="shared" si="2"/>
        <v xml:space="preserve">   DEBIT INTEREST---</v>
      </c>
      <c r="L63" s="5">
        <f t="shared" si="3"/>
        <v>0</v>
      </c>
      <c r="M63" s="4">
        <f t="shared" si="4"/>
        <v>1869</v>
      </c>
      <c r="N63" s="4">
        <f t="shared" si="5"/>
        <v>0</v>
      </c>
      <c r="O63" s="4">
        <f t="shared" si="6"/>
        <v>-28935.37</v>
      </c>
      <c r="P63" s="4" t="str">
        <f t="shared" si="7"/>
        <v>SBI 5441</v>
      </c>
    </row>
    <row r="64" spans="1:16" x14ac:dyDescent="0.3">
      <c r="A64" s="5">
        <v>45201</v>
      </c>
      <c r="B64" s="5">
        <v>45201</v>
      </c>
      <c r="C64" s="3" t="s">
        <v>371</v>
      </c>
      <c r="D64" s="3" t="s">
        <v>372</v>
      </c>
      <c r="E64" s="9">
        <v>0</v>
      </c>
      <c r="F64" s="9">
        <v>26595</v>
      </c>
      <c r="G64" s="9">
        <v>-2340.37</v>
      </c>
      <c r="H64" s="3" t="s">
        <v>718</v>
      </c>
      <c r="I64" s="9">
        <f t="shared" si="8"/>
        <v>0</v>
      </c>
      <c r="J64" s="5">
        <f t="shared" si="1"/>
        <v>45201</v>
      </c>
      <c r="K64" s="5" t="str">
        <f t="shared" si="2"/>
        <v xml:space="preserve">   DEPOSIT TRANSFER---</v>
      </c>
      <c r="L64" s="5" t="str">
        <f t="shared" si="3"/>
        <v xml:space="preserve">TRANSFER FROM 20010697703                         </v>
      </c>
      <c r="M64" s="4">
        <f t="shared" si="4"/>
        <v>0</v>
      </c>
      <c r="N64" s="4">
        <f t="shared" si="5"/>
        <v>26595</v>
      </c>
      <c r="O64" s="4">
        <f t="shared" si="6"/>
        <v>-2340.37</v>
      </c>
      <c r="P64" s="4" t="str">
        <f t="shared" si="7"/>
        <v>SBI 5441</v>
      </c>
    </row>
    <row r="65" spans="1:16" x14ac:dyDescent="0.3">
      <c r="A65" s="5">
        <v>45212</v>
      </c>
      <c r="B65" s="5">
        <v>45212</v>
      </c>
      <c r="C65" s="3" t="s">
        <v>238</v>
      </c>
      <c r="D65" s="3" t="s">
        <v>417</v>
      </c>
      <c r="E65" s="9">
        <v>10000</v>
      </c>
      <c r="F65" s="9">
        <v>0</v>
      </c>
      <c r="G65" s="9">
        <v>-12340.37</v>
      </c>
      <c r="H65" s="3" t="s">
        <v>718</v>
      </c>
      <c r="I65" s="9">
        <f t="shared" si="8"/>
        <v>0</v>
      </c>
      <c r="J65" s="5">
        <f t="shared" si="1"/>
        <v>45212</v>
      </c>
      <c r="K65" s="5" t="str">
        <f t="shared" si="2"/>
        <v xml:space="preserve">   TO TRANSFER-INB Payment of education fee--</v>
      </c>
      <c r="L65" s="5" t="str">
        <f t="shared" si="3"/>
        <v xml:space="preserve">IIC1835052               TRANSFER TO 20010697703  </v>
      </c>
      <c r="M65" s="4">
        <f t="shared" si="4"/>
        <v>10000</v>
      </c>
      <c r="N65" s="4">
        <f t="shared" si="5"/>
        <v>0</v>
      </c>
      <c r="O65" s="4">
        <f t="shared" si="6"/>
        <v>-12340.37</v>
      </c>
      <c r="P65" s="4" t="str">
        <f t="shared" si="7"/>
        <v>SBI 5441</v>
      </c>
    </row>
    <row r="66" spans="1:16" x14ac:dyDescent="0.3">
      <c r="A66" s="5">
        <v>45218</v>
      </c>
      <c r="B66" s="5">
        <v>45218</v>
      </c>
      <c r="C66" s="3" t="s">
        <v>377</v>
      </c>
      <c r="D66" s="3" t="s">
        <v>418</v>
      </c>
      <c r="E66" s="9">
        <v>10000</v>
      </c>
      <c r="F66" s="9">
        <v>0</v>
      </c>
      <c r="G66" s="9">
        <v>-22340.37</v>
      </c>
      <c r="H66" s="3" t="s">
        <v>718</v>
      </c>
      <c r="I66" s="9">
        <f t="shared" si="8"/>
        <v>0</v>
      </c>
      <c r="J66" s="5">
        <f t="shared" si="1"/>
        <v>45218</v>
      </c>
      <c r="K66" s="5" t="str">
        <f t="shared" si="2"/>
        <v xml:space="preserve">   TO TRANSFER-INB Deposit / Investment--</v>
      </c>
      <c r="L66" s="5" t="str">
        <f t="shared" si="3"/>
        <v xml:space="preserve">IIC1965407               TRANSFER TO 20010697703  </v>
      </c>
      <c r="M66" s="4">
        <f t="shared" si="4"/>
        <v>10000</v>
      </c>
      <c r="N66" s="4">
        <f t="shared" si="5"/>
        <v>0</v>
      </c>
      <c r="O66" s="4">
        <f t="shared" si="6"/>
        <v>-22340.37</v>
      </c>
      <c r="P66" s="4" t="str">
        <f t="shared" si="7"/>
        <v>SBI 5441</v>
      </c>
    </row>
    <row r="67" spans="1:16" x14ac:dyDescent="0.3">
      <c r="A67" s="5">
        <v>45222</v>
      </c>
      <c r="B67" s="5">
        <v>45222</v>
      </c>
      <c r="C67" s="3" t="s">
        <v>419</v>
      </c>
      <c r="D67" s="3" t="s">
        <v>420</v>
      </c>
      <c r="E67" s="9">
        <v>200000</v>
      </c>
      <c r="F67" s="9">
        <v>0</v>
      </c>
      <c r="G67" s="9">
        <v>-222340.37</v>
      </c>
      <c r="H67" s="3" t="s">
        <v>718</v>
      </c>
      <c r="I67" s="9">
        <f t="shared" si="8"/>
        <v>0</v>
      </c>
      <c r="J67" s="5">
        <f t="shared" si="1"/>
        <v>45222</v>
      </c>
      <c r="K67" s="5" t="str">
        <f t="shared" si="2"/>
        <v xml:space="preserve">   TO TRANSFER-INB NEFT UTR NO: SBIN223296246482--Ajay Kumar Gupta</v>
      </c>
      <c r="L67" s="5" t="str">
        <f t="shared" si="3"/>
        <v>NEFT INB: IRX2448244                               / Ajay Kumar Gupta</v>
      </c>
      <c r="M67" s="4">
        <f t="shared" si="4"/>
        <v>200000</v>
      </c>
      <c r="N67" s="4">
        <f t="shared" si="5"/>
        <v>0</v>
      </c>
      <c r="O67" s="4">
        <f t="shared" si="6"/>
        <v>-222340.37</v>
      </c>
      <c r="P67" s="4" t="str">
        <f t="shared" si="7"/>
        <v>SBI 5441</v>
      </c>
    </row>
    <row r="68" spans="1:16" x14ac:dyDescent="0.3">
      <c r="A68" s="5">
        <v>45230</v>
      </c>
      <c r="B68" s="5">
        <v>45230</v>
      </c>
      <c r="C68" s="3" t="s">
        <v>197</v>
      </c>
      <c r="D68" s="3" t="s">
        <v>421</v>
      </c>
      <c r="E68" s="9">
        <v>25000</v>
      </c>
      <c r="F68" s="9">
        <v>0</v>
      </c>
      <c r="G68" s="9">
        <v>-247340.37</v>
      </c>
      <c r="H68" s="3" t="s">
        <v>718</v>
      </c>
      <c r="I68" s="9">
        <f t="shared" si="8"/>
        <v>0</v>
      </c>
      <c r="J68" s="5">
        <f t="shared" si="1"/>
        <v>45230</v>
      </c>
      <c r="K68" s="5" t="str">
        <f t="shared" si="2"/>
        <v xml:space="preserve">   TO TRANSFER-INB Payment towards loan repayment--</v>
      </c>
      <c r="L68" s="5" t="str">
        <f t="shared" si="3"/>
        <v xml:space="preserve">IIC2218026               TRANSFER TO 20010697703  </v>
      </c>
      <c r="M68" s="4">
        <f t="shared" si="4"/>
        <v>25000</v>
      </c>
      <c r="N68" s="4">
        <f t="shared" si="5"/>
        <v>0</v>
      </c>
      <c r="O68" s="4">
        <f t="shared" si="6"/>
        <v>-247340.37</v>
      </c>
      <c r="P68" s="4" t="str">
        <f t="shared" si="7"/>
        <v>SBI 5441</v>
      </c>
    </row>
    <row r="69" spans="1:16" x14ac:dyDescent="0.3">
      <c r="A69" s="5">
        <v>45230</v>
      </c>
      <c r="B69" s="5">
        <v>45230</v>
      </c>
      <c r="C69" s="3" t="s">
        <v>422</v>
      </c>
      <c r="D69" s="3" t="s">
        <v>423</v>
      </c>
      <c r="E69" s="9">
        <v>300000</v>
      </c>
      <c r="F69" s="9">
        <v>0</v>
      </c>
      <c r="G69" s="9">
        <v>-547340.37</v>
      </c>
      <c r="H69" s="3" t="s">
        <v>718</v>
      </c>
      <c r="I69" s="9">
        <f t="shared" si="8"/>
        <v>0</v>
      </c>
      <c r="J69" s="5">
        <f t="shared" si="1"/>
        <v>45230</v>
      </c>
      <c r="K69" s="5" t="str">
        <f t="shared" si="2"/>
        <v xml:space="preserve">   TO TRANSFER-INB NEFT UTR NO: SBIN423304369896--Ajay Kumar Gupta</v>
      </c>
      <c r="L69" s="5" t="str">
        <f t="shared" si="3"/>
        <v>NEFT INB: IRX2847544                               / Ajay Kumar Gupta</v>
      </c>
      <c r="M69" s="4">
        <f t="shared" si="4"/>
        <v>300000</v>
      </c>
      <c r="N69" s="4">
        <f t="shared" si="5"/>
        <v>0</v>
      </c>
      <c r="O69" s="4">
        <f t="shared" si="6"/>
        <v>-547340.37</v>
      </c>
      <c r="P69" s="4" t="str">
        <f t="shared" si="7"/>
        <v>SBI 5441</v>
      </c>
    </row>
    <row r="70" spans="1:16" x14ac:dyDescent="0.3">
      <c r="A70" s="5">
        <v>45230</v>
      </c>
      <c r="B70" s="5">
        <v>45230</v>
      </c>
      <c r="C70" s="3" t="s">
        <v>424</v>
      </c>
      <c r="D70" s="3" t="s">
        <v>425</v>
      </c>
      <c r="E70" s="9">
        <v>0</v>
      </c>
      <c r="F70" s="9">
        <v>350000</v>
      </c>
      <c r="G70" s="9">
        <v>-197340.37</v>
      </c>
      <c r="H70" s="3" t="s">
        <v>718</v>
      </c>
      <c r="I70" s="9">
        <f t="shared" si="8"/>
        <v>0</v>
      </c>
      <c r="J70" s="5">
        <f t="shared" si="1"/>
        <v>45230</v>
      </c>
      <c r="K70" s="5" t="str">
        <f t="shared" si="2"/>
        <v xml:space="preserve">   BY TRANSFER-RTGS UTR NO: HDFCR52023103150344939--AJAY KUMAR GUPTA</v>
      </c>
      <c r="L70" s="5" t="str">
        <f t="shared" si="3"/>
        <v>TRANSFER FROM 3199856044300 / AJAY KUMAR GUPTA</v>
      </c>
      <c r="M70" s="4">
        <f t="shared" si="4"/>
        <v>0</v>
      </c>
      <c r="N70" s="4">
        <f t="shared" si="5"/>
        <v>350000</v>
      </c>
      <c r="O70" s="4">
        <f t="shared" si="6"/>
        <v>-197340.37</v>
      </c>
      <c r="P70" s="4" t="str">
        <f t="shared" si="7"/>
        <v>SBI 5441</v>
      </c>
    </row>
    <row r="71" spans="1:16" x14ac:dyDescent="0.3">
      <c r="A71" s="5">
        <v>45230</v>
      </c>
      <c r="B71" s="5">
        <v>45230</v>
      </c>
      <c r="C71" s="3" t="s">
        <v>380</v>
      </c>
      <c r="E71" s="9">
        <v>622</v>
      </c>
      <c r="F71" s="9">
        <v>0</v>
      </c>
      <c r="G71" s="9">
        <v>-197962.37</v>
      </c>
      <c r="H71" s="3" t="s">
        <v>718</v>
      </c>
      <c r="I71" s="9">
        <f t="shared" si="8"/>
        <v>0</v>
      </c>
      <c r="J71" s="5">
        <f t="shared" si="1"/>
        <v>45230</v>
      </c>
      <c r="K71" s="5" t="str">
        <f t="shared" si="2"/>
        <v xml:space="preserve">   DEBIT INTEREST---</v>
      </c>
      <c r="L71" s="5">
        <f t="shared" si="3"/>
        <v>0</v>
      </c>
      <c r="M71" s="4">
        <f t="shared" si="4"/>
        <v>622</v>
      </c>
      <c r="N71" s="4">
        <f t="shared" si="5"/>
        <v>0</v>
      </c>
      <c r="O71" s="4">
        <f t="shared" si="6"/>
        <v>-197962.37</v>
      </c>
      <c r="P71" s="4" t="str">
        <f t="shared" si="7"/>
        <v>SBI 5441</v>
      </c>
    </row>
    <row r="72" spans="1:16" x14ac:dyDescent="0.3">
      <c r="A72" s="5">
        <v>45232</v>
      </c>
      <c r="B72" s="5">
        <v>45232</v>
      </c>
      <c r="C72" s="3" t="s">
        <v>371</v>
      </c>
      <c r="D72" s="3" t="s">
        <v>372</v>
      </c>
      <c r="E72" s="9">
        <v>0</v>
      </c>
      <c r="F72" s="9">
        <v>26595</v>
      </c>
      <c r="G72" s="9">
        <v>-171367.37</v>
      </c>
      <c r="H72" s="3" t="s">
        <v>718</v>
      </c>
      <c r="I72" s="9">
        <f t="shared" si="8"/>
        <v>0</v>
      </c>
      <c r="J72" s="5">
        <f t="shared" si="1"/>
        <v>45232</v>
      </c>
      <c r="K72" s="5" t="str">
        <f t="shared" si="2"/>
        <v xml:space="preserve">   DEPOSIT TRANSFER---</v>
      </c>
      <c r="L72" s="5" t="str">
        <f t="shared" si="3"/>
        <v xml:space="preserve">TRANSFER FROM 20010697703                         </v>
      </c>
      <c r="M72" s="4">
        <f t="shared" si="4"/>
        <v>0</v>
      </c>
      <c r="N72" s="4">
        <f t="shared" si="5"/>
        <v>26595</v>
      </c>
      <c r="O72" s="4">
        <f t="shared" si="6"/>
        <v>-171367.37</v>
      </c>
      <c r="P72" s="4" t="str">
        <f t="shared" si="7"/>
        <v>SBI 5441</v>
      </c>
    </row>
    <row r="73" spans="1:16" x14ac:dyDescent="0.3">
      <c r="A73" s="5">
        <v>45232</v>
      </c>
      <c r="B73" s="5">
        <v>45232</v>
      </c>
      <c r="C73" s="3" t="s">
        <v>426</v>
      </c>
      <c r="D73" s="3" t="s">
        <v>427</v>
      </c>
      <c r="E73" s="9">
        <v>0</v>
      </c>
      <c r="F73" s="9">
        <v>75000</v>
      </c>
      <c r="G73" s="9">
        <v>-96367.37</v>
      </c>
      <c r="H73" s="3" t="s">
        <v>718</v>
      </c>
      <c r="I73" s="9">
        <f t="shared" si="8"/>
        <v>0</v>
      </c>
      <c r="J73" s="5">
        <f t="shared" si="1"/>
        <v>45232</v>
      </c>
      <c r="K73" s="5" t="str">
        <f t="shared" si="2"/>
        <v xml:space="preserve">   BY TRANSFER-NEFT*HDFC0000001*N306232716343009*AJAY KUMAR GUPTA--</v>
      </c>
      <c r="L73" s="5" t="str">
        <f t="shared" si="3"/>
        <v>TRANSFER FROM 4697257044303</v>
      </c>
      <c r="M73" s="4">
        <f t="shared" si="4"/>
        <v>0</v>
      </c>
      <c r="N73" s="4">
        <f t="shared" si="5"/>
        <v>75000</v>
      </c>
      <c r="O73" s="4">
        <f t="shared" si="6"/>
        <v>-96367.37</v>
      </c>
      <c r="P73" s="4" t="str">
        <f t="shared" si="7"/>
        <v>SBI 5441</v>
      </c>
    </row>
    <row r="74" spans="1:16" x14ac:dyDescent="0.3">
      <c r="A74" s="5">
        <v>45236</v>
      </c>
      <c r="B74" s="5">
        <v>45236</v>
      </c>
      <c r="C74" s="3" t="s">
        <v>428</v>
      </c>
      <c r="D74" s="3" t="s">
        <v>429</v>
      </c>
      <c r="E74" s="9">
        <v>100000</v>
      </c>
      <c r="F74" s="9">
        <v>0</v>
      </c>
      <c r="G74" s="9">
        <v>-196367.37</v>
      </c>
      <c r="H74" s="3" t="s">
        <v>718</v>
      </c>
      <c r="I74" s="9">
        <f t="shared" si="8"/>
        <v>0</v>
      </c>
      <c r="J74" s="5">
        <f t="shared" si="1"/>
        <v>45236</v>
      </c>
      <c r="K74" s="5" t="str">
        <f t="shared" si="2"/>
        <v xml:space="preserve">   TO TRANSFER-INB NEFT UTR NO: SBIN123310294550--Ajay Kumar Gupta</v>
      </c>
      <c r="L74" s="5" t="str">
        <f t="shared" si="3"/>
        <v>NEFT INB: IRX3339417                               / Ajay Kumar Gupta</v>
      </c>
      <c r="M74" s="4">
        <f t="shared" si="4"/>
        <v>100000</v>
      </c>
      <c r="N74" s="4">
        <f t="shared" si="5"/>
        <v>0</v>
      </c>
      <c r="O74" s="4">
        <f t="shared" si="6"/>
        <v>-196367.37</v>
      </c>
      <c r="P74" s="4" t="str">
        <f t="shared" si="7"/>
        <v>SBI 5441</v>
      </c>
    </row>
    <row r="75" spans="1:16" x14ac:dyDescent="0.3">
      <c r="A75" s="5">
        <v>45243</v>
      </c>
      <c r="B75" s="5">
        <v>45243</v>
      </c>
      <c r="C75" s="3" t="s">
        <v>430</v>
      </c>
      <c r="D75" s="3" t="s">
        <v>431</v>
      </c>
      <c r="E75" s="9">
        <v>0</v>
      </c>
      <c r="F75" s="9">
        <v>75000</v>
      </c>
      <c r="G75" s="9">
        <v>-121367.37</v>
      </c>
      <c r="H75" s="3" t="s">
        <v>718</v>
      </c>
      <c r="I75" s="9">
        <f t="shared" si="8"/>
        <v>0</v>
      </c>
      <c r="J75" s="5">
        <f t="shared" si="1"/>
        <v>45243</v>
      </c>
      <c r="K75" s="5" t="str">
        <f t="shared" si="2"/>
        <v xml:space="preserve">   BY TRANSFER-NEFT*HDFC0000001*N317232738102386*AJAY KUMAR GUPTA--</v>
      </c>
      <c r="L75" s="5" t="str">
        <f t="shared" si="3"/>
        <v>TRANSFER FROM 3199419044300</v>
      </c>
      <c r="M75" s="4">
        <f t="shared" si="4"/>
        <v>0</v>
      </c>
      <c r="N75" s="4">
        <f t="shared" si="5"/>
        <v>75000</v>
      </c>
      <c r="O75" s="4">
        <f t="shared" si="6"/>
        <v>-121367.37</v>
      </c>
      <c r="P75" s="4" t="str">
        <f t="shared" si="7"/>
        <v>SBI 5441</v>
      </c>
    </row>
    <row r="76" spans="1:16" x14ac:dyDescent="0.3">
      <c r="A76" s="5">
        <v>45247</v>
      </c>
      <c r="B76" s="5">
        <v>45247</v>
      </c>
      <c r="C76" s="3" t="s">
        <v>432</v>
      </c>
      <c r="D76" s="3" t="s">
        <v>433</v>
      </c>
      <c r="E76" s="9">
        <v>0</v>
      </c>
      <c r="F76" s="9">
        <v>100000</v>
      </c>
      <c r="G76" s="9">
        <v>-21367.37</v>
      </c>
      <c r="H76" s="3" t="s">
        <v>718</v>
      </c>
      <c r="I76" s="9">
        <f t="shared" si="8"/>
        <v>0</v>
      </c>
      <c r="J76" s="5">
        <f t="shared" si="1"/>
        <v>45247</v>
      </c>
      <c r="K76" s="5" t="str">
        <f t="shared" si="2"/>
        <v xml:space="preserve">   BY TRANSFER-NEFT*HDFC0000001*N321232743060950*AJAY KUMAR GUPTA--</v>
      </c>
      <c r="L76" s="5" t="str">
        <f t="shared" si="3"/>
        <v>TRANSFER FROM 4697205044304</v>
      </c>
      <c r="M76" s="4">
        <f t="shared" si="4"/>
        <v>0</v>
      </c>
      <c r="N76" s="4">
        <f t="shared" si="5"/>
        <v>100000</v>
      </c>
      <c r="O76" s="4">
        <f t="shared" si="6"/>
        <v>-21367.37</v>
      </c>
      <c r="P76" s="4" t="str">
        <f t="shared" si="7"/>
        <v>SBI 5441</v>
      </c>
    </row>
    <row r="77" spans="1:16" x14ac:dyDescent="0.3">
      <c r="A77" s="5">
        <v>45253</v>
      </c>
      <c r="B77" s="5">
        <v>45253</v>
      </c>
      <c r="C77" s="3" t="s">
        <v>181</v>
      </c>
      <c r="D77" s="3" t="s">
        <v>434</v>
      </c>
      <c r="E77" s="9">
        <v>0</v>
      </c>
      <c r="F77" s="9">
        <v>20000</v>
      </c>
      <c r="G77" s="9">
        <v>-1367.37</v>
      </c>
      <c r="H77" s="3" t="s">
        <v>718</v>
      </c>
      <c r="I77" s="9">
        <f t="shared" si="8"/>
        <v>0</v>
      </c>
      <c r="J77" s="5">
        <f t="shared" si="1"/>
        <v>45253</v>
      </c>
      <c r="K77" s="5" t="str">
        <f t="shared" si="2"/>
        <v xml:space="preserve">   BY TRANSFER-INB Payment towards loan repayment--</v>
      </c>
      <c r="L77" s="5" t="str">
        <f t="shared" si="3"/>
        <v>IIC2861225               TRANSFER FROM 20010697703</v>
      </c>
      <c r="M77" s="4">
        <f t="shared" si="4"/>
        <v>0</v>
      </c>
      <c r="N77" s="4">
        <f t="shared" si="5"/>
        <v>20000</v>
      </c>
      <c r="O77" s="4">
        <f t="shared" si="6"/>
        <v>-1367.37</v>
      </c>
      <c r="P77" s="4" t="str">
        <f t="shared" si="7"/>
        <v>SBI 5441</v>
      </c>
    </row>
    <row r="78" spans="1:16" x14ac:dyDescent="0.3">
      <c r="A78" s="5">
        <v>45260</v>
      </c>
      <c r="B78" s="5">
        <v>45260</v>
      </c>
      <c r="C78" s="3" t="s">
        <v>380</v>
      </c>
      <c r="E78" s="9">
        <v>732</v>
      </c>
      <c r="F78" s="9">
        <v>0</v>
      </c>
      <c r="G78" s="9">
        <v>-2099.37</v>
      </c>
      <c r="H78" s="3" t="s">
        <v>718</v>
      </c>
      <c r="I78" s="9">
        <f t="shared" si="8"/>
        <v>0</v>
      </c>
      <c r="J78" s="5">
        <f t="shared" si="1"/>
        <v>45260</v>
      </c>
      <c r="K78" s="5" t="str">
        <f t="shared" si="2"/>
        <v xml:space="preserve">   DEBIT INTEREST---</v>
      </c>
      <c r="L78" s="5">
        <f t="shared" si="3"/>
        <v>0</v>
      </c>
      <c r="M78" s="4">
        <f t="shared" si="4"/>
        <v>732</v>
      </c>
      <c r="N78" s="4">
        <f t="shared" si="5"/>
        <v>0</v>
      </c>
      <c r="O78" s="4">
        <f t="shared" si="6"/>
        <v>-2099.37</v>
      </c>
      <c r="P78" s="4" t="str">
        <f t="shared" si="7"/>
        <v>SBI 5441</v>
      </c>
    </row>
    <row r="79" spans="1:16" x14ac:dyDescent="0.3">
      <c r="A79" s="5">
        <v>45261</v>
      </c>
      <c r="B79" s="5">
        <v>45261</v>
      </c>
      <c r="C79" s="3" t="s">
        <v>435</v>
      </c>
      <c r="D79" s="3" t="s">
        <v>436</v>
      </c>
      <c r="E79" s="9">
        <v>250000</v>
      </c>
      <c r="F79" s="9">
        <v>0</v>
      </c>
      <c r="G79" s="9">
        <v>-252099.37</v>
      </c>
      <c r="H79" s="3" t="s">
        <v>718</v>
      </c>
      <c r="I79" s="9">
        <f t="shared" si="8"/>
        <v>0</v>
      </c>
      <c r="J79" s="5">
        <f t="shared" si="1"/>
        <v>45261</v>
      </c>
      <c r="K79" s="5" t="str">
        <f t="shared" si="2"/>
        <v xml:space="preserve">   TO TRANSFER-INB NEFT UTR NO: SBIN323335872056--Ajay Kumar Gupta</v>
      </c>
      <c r="L79" s="5" t="str">
        <f t="shared" si="3"/>
        <v>NEFT INB: IRX4838746                               / Ajay Kumar Gupta</v>
      </c>
      <c r="M79" s="4">
        <f t="shared" si="4"/>
        <v>250000</v>
      </c>
      <c r="N79" s="4">
        <f t="shared" si="5"/>
        <v>0</v>
      </c>
      <c r="O79" s="4">
        <f t="shared" si="6"/>
        <v>-252099.37</v>
      </c>
      <c r="P79" s="4" t="str">
        <f t="shared" si="7"/>
        <v>SBI 5441</v>
      </c>
    </row>
    <row r="80" spans="1:16" x14ac:dyDescent="0.3">
      <c r="A80" s="5">
        <v>45261</v>
      </c>
      <c r="B80" s="5">
        <v>45261</v>
      </c>
      <c r="C80" s="3" t="s">
        <v>181</v>
      </c>
      <c r="D80" s="3" t="s">
        <v>437</v>
      </c>
      <c r="E80" s="9">
        <v>0</v>
      </c>
      <c r="F80" s="9">
        <v>70000</v>
      </c>
      <c r="G80" s="9">
        <v>-182099.37</v>
      </c>
      <c r="H80" s="3" t="s">
        <v>718</v>
      </c>
      <c r="I80" s="9">
        <f t="shared" si="8"/>
        <v>0</v>
      </c>
      <c r="J80" s="5">
        <f t="shared" si="1"/>
        <v>45261</v>
      </c>
      <c r="K80" s="5" t="str">
        <f t="shared" si="2"/>
        <v xml:space="preserve">   BY TRANSFER-INB Payment towards loan repayment--</v>
      </c>
      <c r="L80" s="5" t="str">
        <f t="shared" si="3"/>
        <v>IIC3095625               TRANSFER FROM 20010697703</v>
      </c>
      <c r="M80" s="4">
        <f t="shared" si="4"/>
        <v>0</v>
      </c>
      <c r="N80" s="4">
        <f t="shared" si="5"/>
        <v>70000</v>
      </c>
      <c r="O80" s="4">
        <f t="shared" si="6"/>
        <v>-182099.37</v>
      </c>
      <c r="P80" s="4" t="str">
        <f t="shared" si="7"/>
        <v>SBI 5441</v>
      </c>
    </row>
    <row r="81" spans="1:16" x14ac:dyDescent="0.3">
      <c r="A81" s="5">
        <v>45262</v>
      </c>
      <c r="B81" s="5">
        <v>45262</v>
      </c>
      <c r="C81" s="3" t="s">
        <v>371</v>
      </c>
      <c r="D81" s="3" t="s">
        <v>372</v>
      </c>
      <c r="E81" s="9">
        <v>0</v>
      </c>
      <c r="F81" s="9">
        <v>26595</v>
      </c>
      <c r="G81" s="9">
        <v>-155504.37</v>
      </c>
      <c r="H81" s="3" t="s">
        <v>718</v>
      </c>
      <c r="I81" s="9">
        <f t="shared" si="8"/>
        <v>0</v>
      </c>
      <c r="J81" s="5">
        <f t="shared" si="1"/>
        <v>45262</v>
      </c>
      <c r="K81" s="5" t="str">
        <f t="shared" si="2"/>
        <v xml:space="preserve">   DEPOSIT TRANSFER---</v>
      </c>
      <c r="L81" s="5" t="str">
        <f t="shared" si="3"/>
        <v xml:space="preserve">TRANSFER FROM 20010697703                         </v>
      </c>
      <c r="M81" s="4">
        <f t="shared" si="4"/>
        <v>0</v>
      </c>
      <c r="N81" s="4">
        <f t="shared" si="5"/>
        <v>26595</v>
      </c>
      <c r="O81" s="4">
        <f t="shared" si="6"/>
        <v>-155504.37</v>
      </c>
      <c r="P81" s="4" t="str">
        <f t="shared" si="7"/>
        <v>SBI 5441</v>
      </c>
    </row>
    <row r="82" spans="1:16" x14ac:dyDescent="0.3">
      <c r="A82" s="5">
        <v>45264</v>
      </c>
      <c r="B82" s="5">
        <v>45264</v>
      </c>
      <c r="C82" s="3" t="s">
        <v>438</v>
      </c>
      <c r="D82" s="3" t="s">
        <v>439</v>
      </c>
      <c r="E82" s="9">
        <v>150000</v>
      </c>
      <c r="F82" s="9">
        <v>0</v>
      </c>
      <c r="G82" s="9">
        <v>-305504.37</v>
      </c>
      <c r="H82" s="3" t="s">
        <v>718</v>
      </c>
      <c r="I82" s="9">
        <f t="shared" si="8"/>
        <v>0</v>
      </c>
      <c r="J82" s="5">
        <f t="shared" si="1"/>
        <v>45264</v>
      </c>
      <c r="K82" s="5" t="str">
        <f t="shared" si="2"/>
        <v xml:space="preserve">   TO TRANSFER-INB NEFT UTR NO: SBIN523338840590--Ajay Kumar Gupta</v>
      </c>
      <c r="L82" s="5" t="str">
        <f t="shared" si="3"/>
        <v>NEFT INB: IRX5047074                               / Ajay Kumar Gupta</v>
      </c>
      <c r="M82" s="4">
        <f t="shared" si="4"/>
        <v>150000</v>
      </c>
      <c r="N82" s="4">
        <f t="shared" si="5"/>
        <v>0</v>
      </c>
      <c r="O82" s="4">
        <f t="shared" si="6"/>
        <v>-305504.37</v>
      </c>
      <c r="P82" s="4" t="str">
        <f t="shared" si="7"/>
        <v>SBI 5441</v>
      </c>
    </row>
    <row r="83" spans="1:16" x14ac:dyDescent="0.3">
      <c r="A83" s="5">
        <v>45265</v>
      </c>
      <c r="B83" s="5">
        <v>45265</v>
      </c>
      <c r="C83" s="3" t="s">
        <v>181</v>
      </c>
      <c r="D83" s="3" t="s">
        <v>440</v>
      </c>
      <c r="E83" s="9">
        <v>0</v>
      </c>
      <c r="F83" s="9">
        <v>75000</v>
      </c>
      <c r="G83" s="9">
        <v>-230504.37</v>
      </c>
      <c r="H83" s="3" t="s">
        <v>718</v>
      </c>
      <c r="I83" s="9">
        <f t="shared" si="8"/>
        <v>0</v>
      </c>
      <c r="J83" s="5">
        <f t="shared" si="1"/>
        <v>45265</v>
      </c>
      <c r="K83" s="5" t="str">
        <f t="shared" si="2"/>
        <v xml:space="preserve">   BY TRANSFER-INB Payment towards loan repayment--</v>
      </c>
      <c r="L83" s="5" t="str">
        <f t="shared" si="3"/>
        <v>IIC3256631               TRANSFER FROM 20010697703</v>
      </c>
      <c r="M83" s="4">
        <f t="shared" si="4"/>
        <v>0</v>
      </c>
      <c r="N83" s="4">
        <f t="shared" si="5"/>
        <v>75000</v>
      </c>
      <c r="O83" s="4">
        <f t="shared" si="6"/>
        <v>-230504.37</v>
      </c>
      <c r="P83" s="4" t="str">
        <f t="shared" si="7"/>
        <v>SBI 5441</v>
      </c>
    </row>
    <row r="84" spans="1:16" x14ac:dyDescent="0.3">
      <c r="A84" s="5">
        <v>45272</v>
      </c>
      <c r="B84" s="5">
        <v>45272</v>
      </c>
      <c r="C84" s="3" t="s">
        <v>441</v>
      </c>
      <c r="D84" s="3" t="s">
        <v>372</v>
      </c>
      <c r="E84" s="9">
        <v>0</v>
      </c>
      <c r="F84" s="9">
        <v>225000</v>
      </c>
      <c r="G84" s="9">
        <v>-5504.37</v>
      </c>
      <c r="H84" s="3" t="s">
        <v>718</v>
      </c>
      <c r="I84" s="9">
        <f t="shared" si="8"/>
        <v>0</v>
      </c>
      <c r="J84" s="5">
        <f t="shared" si="1"/>
        <v>45272</v>
      </c>
      <c r="K84" s="5" t="str">
        <f t="shared" si="2"/>
        <v xml:space="preserve">   BY TRANSFER-SBILT12122023135917188300-Loan repayment--</v>
      </c>
      <c r="L84" s="5" t="str">
        <f t="shared" si="3"/>
        <v xml:space="preserve">TRANSFER FROM 20010697703                         </v>
      </c>
      <c r="M84" s="4">
        <f t="shared" si="4"/>
        <v>0</v>
      </c>
      <c r="N84" s="4">
        <f t="shared" si="5"/>
        <v>225000</v>
      </c>
      <c r="O84" s="4">
        <f t="shared" si="6"/>
        <v>-5504.37</v>
      </c>
      <c r="P84" s="4" t="str">
        <f t="shared" si="7"/>
        <v>SBI 5441</v>
      </c>
    </row>
    <row r="85" spans="1:16" x14ac:dyDescent="0.3">
      <c r="A85" s="5">
        <v>45274</v>
      </c>
      <c r="B85" s="5">
        <v>45274</v>
      </c>
      <c r="C85" s="3" t="s">
        <v>181</v>
      </c>
      <c r="D85" s="3" t="s">
        <v>442</v>
      </c>
      <c r="E85" s="9">
        <v>0</v>
      </c>
      <c r="F85" s="9">
        <v>5000</v>
      </c>
      <c r="G85" s="9">
        <v>-504.37</v>
      </c>
      <c r="H85" s="3" t="s">
        <v>718</v>
      </c>
      <c r="I85" s="9">
        <f t="shared" si="8"/>
        <v>0</v>
      </c>
      <c r="J85" s="5">
        <f t="shared" ref="J85:J86" si="9">A85</f>
        <v>45274</v>
      </c>
      <c r="K85" s="5" t="str">
        <f t="shared" ref="K85:K87" si="10">C85</f>
        <v xml:space="preserve">   BY TRANSFER-INB Payment towards loan repayment--</v>
      </c>
      <c r="L85" s="5" t="str">
        <f t="shared" ref="L85:L87" si="11">D85</f>
        <v>IIC3482728               TRANSFER FROM 20010697703</v>
      </c>
      <c r="M85" s="4">
        <f t="shared" ref="M85:M87" si="12">E85</f>
        <v>0</v>
      </c>
      <c r="N85" s="4">
        <f t="shared" ref="N85:N87" si="13">F85</f>
        <v>5000</v>
      </c>
      <c r="O85" s="4">
        <f t="shared" ref="O85:O87" si="14">G85</f>
        <v>-504.37</v>
      </c>
      <c r="P85" s="4" t="str">
        <f t="shared" ref="P85:P87" si="15">H85</f>
        <v>SBI 5441</v>
      </c>
    </row>
    <row r="86" spans="1:16" x14ac:dyDescent="0.3">
      <c r="A86" s="5">
        <v>45291</v>
      </c>
      <c r="B86" s="5">
        <v>45291</v>
      </c>
      <c r="C86" s="3" t="s">
        <v>197</v>
      </c>
      <c r="D86" s="3" t="s">
        <v>443</v>
      </c>
      <c r="E86" s="9">
        <v>27000</v>
      </c>
      <c r="F86" s="9">
        <v>0</v>
      </c>
      <c r="G86" s="9">
        <v>-27504.37</v>
      </c>
      <c r="H86" s="3" t="s">
        <v>718</v>
      </c>
      <c r="I86" s="9">
        <f t="shared" si="8"/>
        <v>0</v>
      </c>
      <c r="J86" s="5">
        <f t="shared" si="9"/>
        <v>45291</v>
      </c>
      <c r="K86" s="5" t="str">
        <f t="shared" si="10"/>
        <v xml:space="preserve">   TO TRANSFER-INB Payment towards loan repayment--</v>
      </c>
      <c r="L86" s="5" t="str">
        <f t="shared" si="11"/>
        <v xml:space="preserve">IIC3891043               TRANSFER TO 20010697703  </v>
      </c>
      <c r="M86" s="4">
        <f t="shared" si="12"/>
        <v>27000</v>
      </c>
      <c r="N86" s="4">
        <f t="shared" si="13"/>
        <v>0</v>
      </c>
      <c r="O86" s="4">
        <f t="shared" si="14"/>
        <v>-27504.37</v>
      </c>
      <c r="P86" s="4" t="str">
        <f t="shared" si="15"/>
        <v>SBI 5441</v>
      </c>
    </row>
    <row r="87" spans="1:16" x14ac:dyDescent="0.3">
      <c r="A87" s="5">
        <v>45291</v>
      </c>
      <c r="B87" s="5">
        <v>45291</v>
      </c>
      <c r="C87" s="3" t="s">
        <v>380</v>
      </c>
      <c r="E87" s="9">
        <v>698</v>
      </c>
      <c r="F87" s="9">
        <v>0</v>
      </c>
      <c r="G87" s="9">
        <v>-28202.37</v>
      </c>
      <c r="H87" s="3" t="s">
        <v>718</v>
      </c>
      <c r="I87" s="9">
        <f t="shared" ref="I87" si="16">G86-E87+F87-G87</f>
        <v>0</v>
      </c>
      <c r="J87" s="5">
        <f>A87</f>
        <v>45291</v>
      </c>
      <c r="K87" s="5" t="str">
        <f t="shared" si="10"/>
        <v xml:space="preserve">   DEBIT INTEREST---</v>
      </c>
      <c r="L87" s="5">
        <f t="shared" si="11"/>
        <v>0</v>
      </c>
      <c r="M87" s="4">
        <f t="shared" si="12"/>
        <v>698</v>
      </c>
      <c r="N87" s="4">
        <f t="shared" si="13"/>
        <v>0</v>
      </c>
      <c r="O87" s="4">
        <f t="shared" si="14"/>
        <v>-28202.37</v>
      </c>
      <c r="P87" s="4" t="str">
        <f t="shared" si="15"/>
        <v>SBI 5441</v>
      </c>
    </row>
    <row r="88" spans="1:16" x14ac:dyDescent="0.3">
      <c r="A88" s="5">
        <v>45293</v>
      </c>
      <c r="B88" s="5">
        <v>45293</v>
      </c>
      <c r="C88" s="3" t="s">
        <v>371</v>
      </c>
      <c r="D88" s="3" t="s">
        <v>372</v>
      </c>
      <c r="E88" s="9">
        <v>0</v>
      </c>
      <c r="F88" s="9">
        <v>26595</v>
      </c>
      <c r="G88" s="9">
        <v>-1607.37</v>
      </c>
      <c r="H88" s="3" t="s">
        <v>718</v>
      </c>
      <c r="I88" s="53">
        <f>G87-E88+F88-G88</f>
        <v>0</v>
      </c>
      <c r="J88" s="5">
        <f t="shared" ref="J88:J102" si="17">A88</f>
        <v>45293</v>
      </c>
      <c r="K88" s="5" t="str">
        <f t="shared" ref="K88:K102" si="18">C88</f>
        <v xml:space="preserve">   DEPOSIT TRANSFER---</v>
      </c>
      <c r="L88" s="5" t="str">
        <f t="shared" ref="L88:L102" si="19">D88</f>
        <v xml:space="preserve">TRANSFER FROM 20010697703                         </v>
      </c>
      <c r="M88" s="4">
        <f t="shared" ref="M88:M102" si="20">E88</f>
        <v>0</v>
      </c>
      <c r="N88" s="4">
        <f t="shared" ref="N88:N102" si="21">F88</f>
        <v>26595</v>
      </c>
      <c r="O88" s="4">
        <f t="shared" ref="O88:O102" si="22">G88</f>
        <v>-1607.37</v>
      </c>
      <c r="P88" s="4" t="str">
        <f t="shared" ref="P88:P102" si="23">H88</f>
        <v>SBI 5441</v>
      </c>
    </row>
    <row r="89" spans="1:16" x14ac:dyDescent="0.3">
      <c r="A89" s="5">
        <v>45300</v>
      </c>
      <c r="B89" s="5">
        <v>45300</v>
      </c>
      <c r="C89" s="3" t="s">
        <v>377</v>
      </c>
      <c r="D89" s="3" t="s">
        <v>979</v>
      </c>
      <c r="E89" s="9">
        <v>15000</v>
      </c>
      <c r="F89" s="9">
        <v>0</v>
      </c>
      <c r="G89" s="9">
        <v>-16607.37</v>
      </c>
      <c r="H89" s="3" t="s">
        <v>718</v>
      </c>
      <c r="I89" s="9">
        <f t="shared" ref="I89:I102" si="24">G88-E89+F89-G89</f>
        <v>0</v>
      </c>
      <c r="J89" s="5">
        <f t="shared" si="17"/>
        <v>45300</v>
      </c>
      <c r="K89" s="5" t="str">
        <f t="shared" si="18"/>
        <v xml:space="preserve">   TO TRANSFER-INB Deposit / Investment--</v>
      </c>
      <c r="L89" s="5" t="str">
        <f t="shared" si="19"/>
        <v xml:space="preserve">IIC4223827               TRANSFER TO 20010697703  </v>
      </c>
      <c r="M89" s="4">
        <f t="shared" si="20"/>
        <v>15000</v>
      </c>
      <c r="N89" s="4">
        <f t="shared" si="21"/>
        <v>0</v>
      </c>
      <c r="O89" s="4">
        <f t="shared" si="22"/>
        <v>-16607.37</v>
      </c>
      <c r="P89" s="4" t="str">
        <f t="shared" si="23"/>
        <v>SBI 5441</v>
      </c>
    </row>
    <row r="90" spans="1:16" x14ac:dyDescent="0.3">
      <c r="A90" s="5">
        <v>45304</v>
      </c>
      <c r="B90" s="5">
        <v>45304</v>
      </c>
      <c r="C90" s="3" t="s">
        <v>980</v>
      </c>
      <c r="D90" s="3" t="s">
        <v>981</v>
      </c>
      <c r="E90" s="9">
        <v>100000</v>
      </c>
      <c r="F90" s="9">
        <v>0</v>
      </c>
      <c r="G90" s="9">
        <v>-116607.37</v>
      </c>
      <c r="H90" s="3" t="s">
        <v>718</v>
      </c>
      <c r="I90" s="9">
        <f t="shared" si="24"/>
        <v>0</v>
      </c>
      <c r="J90" s="5">
        <f t="shared" si="17"/>
        <v>45304</v>
      </c>
      <c r="K90" s="5" t="str">
        <f t="shared" si="18"/>
        <v xml:space="preserve">   TO TRANSFER-INB NEFT UTR NO: SBIN324013860186--Ajay Kumar Gupta</v>
      </c>
      <c r="L90" s="5" t="str">
        <f t="shared" si="19"/>
        <v>NEFT INB: IRX7701395                               / Ajay Kumar Gupta</v>
      </c>
      <c r="M90" s="4">
        <f t="shared" si="20"/>
        <v>100000</v>
      </c>
      <c r="N90" s="4">
        <f t="shared" si="21"/>
        <v>0</v>
      </c>
      <c r="O90" s="4">
        <f t="shared" si="22"/>
        <v>-116607.37</v>
      </c>
      <c r="P90" s="4" t="str">
        <f t="shared" si="23"/>
        <v>SBI 5441</v>
      </c>
    </row>
    <row r="91" spans="1:16" x14ac:dyDescent="0.3">
      <c r="A91" s="5">
        <v>45309</v>
      </c>
      <c r="B91" s="5">
        <v>45309</v>
      </c>
      <c r="C91" s="3" t="s">
        <v>982</v>
      </c>
      <c r="D91" s="3" t="s">
        <v>983</v>
      </c>
      <c r="E91" s="9">
        <v>100000</v>
      </c>
      <c r="F91" s="9">
        <v>0</v>
      </c>
      <c r="G91" s="9">
        <v>-216607.37</v>
      </c>
      <c r="H91" s="3" t="s">
        <v>718</v>
      </c>
      <c r="I91" s="9">
        <f t="shared" si="24"/>
        <v>0</v>
      </c>
      <c r="J91" s="5">
        <f t="shared" si="17"/>
        <v>45309</v>
      </c>
      <c r="K91" s="5" t="str">
        <f t="shared" si="18"/>
        <v xml:space="preserve">   TO TRANSFER-INB NEFT UTR NO: SBIN224018057920--Ajay Kumar Gupta</v>
      </c>
      <c r="L91" s="5" t="str">
        <f t="shared" si="19"/>
        <v>NEFT INB: IRX7925240                               / Ajay Kumar Gupta</v>
      </c>
      <c r="M91" s="4">
        <f t="shared" si="20"/>
        <v>100000</v>
      </c>
      <c r="N91" s="4">
        <f t="shared" si="21"/>
        <v>0</v>
      </c>
      <c r="O91" s="4">
        <f t="shared" si="22"/>
        <v>-216607.37</v>
      </c>
      <c r="P91" s="4" t="str">
        <f t="shared" si="23"/>
        <v>SBI 5441</v>
      </c>
    </row>
    <row r="92" spans="1:16" x14ac:dyDescent="0.3">
      <c r="A92" s="5">
        <v>45311</v>
      </c>
      <c r="B92" s="5">
        <v>45311</v>
      </c>
      <c r="C92" s="3" t="s">
        <v>197</v>
      </c>
      <c r="D92" s="3" t="s">
        <v>984</v>
      </c>
      <c r="E92" s="9">
        <v>75000</v>
      </c>
      <c r="F92" s="9">
        <v>0</v>
      </c>
      <c r="G92" s="9">
        <v>-291607.37</v>
      </c>
      <c r="H92" s="3" t="s">
        <v>718</v>
      </c>
      <c r="I92" s="9">
        <f t="shared" si="24"/>
        <v>0</v>
      </c>
      <c r="J92" s="5">
        <f t="shared" si="17"/>
        <v>45311</v>
      </c>
      <c r="K92" s="5" t="str">
        <f t="shared" si="18"/>
        <v xml:space="preserve">   TO TRANSFER-INB Payment towards loan repayment--</v>
      </c>
      <c r="L92" s="5" t="str">
        <f t="shared" si="19"/>
        <v xml:space="preserve">IIC4476141               TRANSFER TO 20010697703  </v>
      </c>
      <c r="M92" s="4">
        <f t="shared" si="20"/>
        <v>75000</v>
      </c>
      <c r="N92" s="4">
        <f t="shared" si="21"/>
        <v>0</v>
      </c>
      <c r="O92" s="4">
        <f t="shared" si="22"/>
        <v>-291607.37</v>
      </c>
      <c r="P92" s="4" t="str">
        <f t="shared" si="23"/>
        <v>SBI 5441</v>
      </c>
    </row>
    <row r="93" spans="1:16" x14ac:dyDescent="0.3">
      <c r="A93" s="5">
        <v>45311</v>
      </c>
      <c r="B93" s="5">
        <v>45311</v>
      </c>
      <c r="C93" s="3" t="s">
        <v>181</v>
      </c>
      <c r="D93" s="3" t="s">
        <v>985</v>
      </c>
      <c r="E93" s="9">
        <v>0</v>
      </c>
      <c r="F93" s="9">
        <v>150000</v>
      </c>
      <c r="G93" s="9">
        <v>-141607.37</v>
      </c>
      <c r="H93" s="3" t="s">
        <v>718</v>
      </c>
      <c r="I93" s="9">
        <f t="shared" si="24"/>
        <v>0</v>
      </c>
      <c r="J93" s="5">
        <f t="shared" si="17"/>
        <v>45311</v>
      </c>
      <c r="K93" s="5" t="str">
        <f t="shared" si="18"/>
        <v xml:space="preserve">   BY TRANSFER-INB Payment towards loan repayment--</v>
      </c>
      <c r="L93" s="5" t="str">
        <f t="shared" si="19"/>
        <v>IIC4476150               TRANSFER FROM 20010697703</v>
      </c>
      <c r="M93" s="4">
        <f t="shared" si="20"/>
        <v>0</v>
      </c>
      <c r="N93" s="4">
        <f t="shared" si="21"/>
        <v>150000</v>
      </c>
      <c r="O93" s="4">
        <f t="shared" si="22"/>
        <v>-141607.37</v>
      </c>
      <c r="P93" s="4" t="str">
        <f t="shared" si="23"/>
        <v>SBI 5441</v>
      </c>
    </row>
    <row r="94" spans="1:16" x14ac:dyDescent="0.3">
      <c r="A94" s="5">
        <v>45322</v>
      </c>
      <c r="B94" s="5">
        <v>45322</v>
      </c>
      <c r="C94" s="3" t="s">
        <v>380</v>
      </c>
      <c r="E94" s="9">
        <v>812</v>
      </c>
      <c r="F94" s="9">
        <v>0</v>
      </c>
      <c r="G94" s="9">
        <v>-142419.37</v>
      </c>
      <c r="H94" s="3" t="s">
        <v>718</v>
      </c>
      <c r="I94" s="9">
        <f t="shared" si="24"/>
        <v>0</v>
      </c>
      <c r="J94" s="5">
        <f t="shared" si="17"/>
        <v>45322</v>
      </c>
      <c r="K94" s="5" t="str">
        <f t="shared" si="18"/>
        <v xml:space="preserve">   DEBIT INTEREST---</v>
      </c>
      <c r="L94" s="5">
        <f t="shared" si="19"/>
        <v>0</v>
      </c>
      <c r="M94" s="4">
        <f t="shared" si="20"/>
        <v>812</v>
      </c>
      <c r="N94" s="4">
        <f t="shared" si="21"/>
        <v>0</v>
      </c>
      <c r="O94" s="4">
        <f t="shared" si="22"/>
        <v>-142419.37</v>
      </c>
      <c r="P94" s="4" t="str">
        <f t="shared" si="23"/>
        <v>SBI 5441</v>
      </c>
    </row>
    <row r="95" spans="1:16" x14ac:dyDescent="0.3">
      <c r="A95" s="5">
        <v>45324</v>
      </c>
      <c r="B95" s="5">
        <v>45324</v>
      </c>
      <c r="C95" s="3" t="s">
        <v>371</v>
      </c>
      <c r="D95" s="3" t="s">
        <v>372</v>
      </c>
      <c r="E95" s="9">
        <v>0</v>
      </c>
      <c r="F95" s="9">
        <v>26595</v>
      </c>
      <c r="G95" s="9">
        <v>-115824.37</v>
      </c>
      <c r="H95" s="3" t="s">
        <v>718</v>
      </c>
      <c r="I95" s="9">
        <f t="shared" si="24"/>
        <v>0</v>
      </c>
      <c r="J95" s="5">
        <f t="shared" si="17"/>
        <v>45324</v>
      </c>
      <c r="K95" s="5" t="str">
        <f t="shared" si="18"/>
        <v xml:space="preserve">   DEPOSIT TRANSFER---</v>
      </c>
      <c r="L95" s="5" t="str">
        <f t="shared" si="19"/>
        <v xml:space="preserve">TRANSFER FROM 20010697703                         </v>
      </c>
      <c r="M95" s="4">
        <f t="shared" si="20"/>
        <v>0</v>
      </c>
      <c r="N95" s="4">
        <f t="shared" si="21"/>
        <v>26595</v>
      </c>
      <c r="O95" s="4">
        <f t="shared" si="22"/>
        <v>-115824.37</v>
      </c>
      <c r="P95" s="4" t="str">
        <f t="shared" si="23"/>
        <v>SBI 5441</v>
      </c>
    </row>
    <row r="96" spans="1:16" x14ac:dyDescent="0.3">
      <c r="A96" s="5">
        <v>45329</v>
      </c>
      <c r="B96" s="5">
        <v>45329</v>
      </c>
      <c r="C96" s="3" t="s">
        <v>377</v>
      </c>
      <c r="D96" s="3" t="s">
        <v>986</v>
      </c>
      <c r="E96" s="9">
        <v>50000</v>
      </c>
      <c r="F96" s="9">
        <v>0</v>
      </c>
      <c r="G96" s="9">
        <v>-165824.37</v>
      </c>
      <c r="H96" s="3" t="s">
        <v>718</v>
      </c>
      <c r="I96" s="9">
        <f t="shared" si="24"/>
        <v>0</v>
      </c>
      <c r="J96" s="5">
        <f t="shared" si="17"/>
        <v>45329</v>
      </c>
      <c r="K96" s="5" t="str">
        <f t="shared" si="18"/>
        <v xml:space="preserve">   TO TRANSFER-INB Deposit / Investment--</v>
      </c>
      <c r="L96" s="5" t="str">
        <f t="shared" si="19"/>
        <v xml:space="preserve">IIC4978875               TRANSFER TO 20010697703  </v>
      </c>
      <c r="M96" s="4">
        <f t="shared" si="20"/>
        <v>50000</v>
      </c>
      <c r="N96" s="4">
        <f t="shared" si="21"/>
        <v>0</v>
      </c>
      <c r="O96" s="4">
        <f t="shared" si="22"/>
        <v>-165824.37</v>
      </c>
      <c r="P96" s="4" t="str">
        <f t="shared" si="23"/>
        <v>SBI 5441</v>
      </c>
    </row>
    <row r="97" spans="1:16" x14ac:dyDescent="0.3">
      <c r="A97" s="5">
        <v>45343</v>
      </c>
      <c r="B97" s="5">
        <v>45343</v>
      </c>
      <c r="C97" s="3" t="s">
        <v>181</v>
      </c>
      <c r="D97" s="3" t="s">
        <v>987</v>
      </c>
      <c r="E97" s="9">
        <v>0</v>
      </c>
      <c r="F97" s="9">
        <v>165000</v>
      </c>
      <c r="G97" s="9">
        <v>-824.37</v>
      </c>
      <c r="H97" s="3" t="s">
        <v>718</v>
      </c>
      <c r="I97" s="9">
        <f t="shared" si="24"/>
        <v>4.6611603465862572E-12</v>
      </c>
      <c r="J97" s="5">
        <f t="shared" si="17"/>
        <v>45343</v>
      </c>
      <c r="K97" s="5" t="str">
        <f t="shared" si="18"/>
        <v xml:space="preserve">   BY TRANSFER-INB Payment towards loan repayment--</v>
      </c>
      <c r="L97" s="5" t="str">
        <f t="shared" si="19"/>
        <v>IIC5298224               TRANSFER FROM 20010697703</v>
      </c>
      <c r="M97" s="4">
        <f t="shared" si="20"/>
        <v>0</v>
      </c>
      <c r="N97" s="4">
        <f t="shared" si="21"/>
        <v>165000</v>
      </c>
      <c r="O97" s="4">
        <f t="shared" si="22"/>
        <v>-824.37</v>
      </c>
      <c r="P97" s="4" t="str">
        <f t="shared" si="23"/>
        <v>SBI 5441</v>
      </c>
    </row>
    <row r="98" spans="1:16" x14ac:dyDescent="0.3">
      <c r="A98" s="5">
        <v>45350</v>
      </c>
      <c r="B98" s="5">
        <v>45350</v>
      </c>
      <c r="C98" s="3" t="s">
        <v>377</v>
      </c>
      <c r="D98" s="3" t="s">
        <v>988</v>
      </c>
      <c r="E98" s="9">
        <v>100000</v>
      </c>
      <c r="F98" s="9">
        <v>0</v>
      </c>
      <c r="G98" s="9">
        <v>-100824.37</v>
      </c>
      <c r="H98" s="3" t="s">
        <v>718</v>
      </c>
      <c r="I98" s="9">
        <f t="shared" si="24"/>
        <v>0</v>
      </c>
      <c r="J98" s="5">
        <f t="shared" si="17"/>
        <v>45350</v>
      </c>
      <c r="K98" s="5" t="str">
        <f t="shared" si="18"/>
        <v xml:space="preserve">   TO TRANSFER-INB Deposit / Investment--</v>
      </c>
      <c r="L98" s="5" t="str">
        <f t="shared" si="19"/>
        <v xml:space="preserve">IIC5445549               TRANSFER TO 20010697703  </v>
      </c>
      <c r="M98" s="4">
        <f t="shared" si="20"/>
        <v>100000</v>
      </c>
      <c r="N98" s="4">
        <f t="shared" si="21"/>
        <v>0</v>
      </c>
      <c r="O98" s="4">
        <f t="shared" si="22"/>
        <v>-100824.37</v>
      </c>
      <c r="P98" s="4" t="str">
        <f t="shared" si="23"/>
        <v>SBI 5441</v>
      </c>
    </row>
    <row r="99" spans="1:16" x14ac:dyDescent="0.3">
      <c r="A99" s="5">
        <v>45351</v>
      </c>
      <c r="B99" s="5">
        <v>45351</v>
      </c>
      <c r="C99" s="3" t="s">
        <v>380</v>
      </c>
      <c r="E99" s="9">
        <v>935</v>
      </c>
      <c r="F99" s="9">
        <v>0</v>
      </c>
      <c r="G99" s="9">
        <v>-101759.37</v>
      </c>
      <c r="H99" s="3" t="s">
        <v>718</v>
      </c>
      <c r="I99" s="9">
        <f t="shared" si="24"/>
        <v>0</v>
      </c>
      <c r="J99" s="5">
        <f t="shared" si="17"/>
        <v>45351</v>
      </c>
      <c r="K99" s="5" t="str">
        <f t="shared" si="18"/>
        <v xml:space="preserve">   DEBIT INTEREST---</v>
      </c>
      <c r="L99" s="5">
        <f t="shared" si="19"/>
        <v>0</v>
      </c>
      <c r="M99" s="4">
        <f t="shared" si="20"/>
        <v>935</v>
      </c>
      <c r="N99" s="4">
        <f t="shared" si="21"/>
        <v>0</v>
      </c>
      <c r="O99" s="4">
        <f t="shared" si="22"/>
        <v>-101759.37</v>
      </c>
      <c r="P99" s="4" t="str">
        <f t="shared" si="23"/>
        <v>SBI 5441</v>
      </c>
    </row>
    <row r="100" spans="1:16" x14ac:dyDescent="0.3">
      <c r="A100" s="5">
        <v>45353</v>
      </c>
      <c r="B100" s="5">
        <v>45353</v>
      </c>
      <c r="C100" s="3" t="s">
        <v>371</v>
      </c>
      <c r="D100" s="3" t="s">
        <v>372</v>
      </c>
      <c r="E100" s="9">
        <v>0</v>
      </c>
      <c r="F100" s="9">
        <v>26595</v>
      </c>
      <c r="G100" s="9">
        <v>-75164.37</v>
      </c>
      <c r="H100" s="3" t="s">
        <v>718</v>
      </c>
      <c r="I100" s="9">
        <f t="shared" si="24"/>
        <v>0</v>
      </c>
      <c r="J100" s="5">
        <f t="shared" si="17"/>
        <v>45353</v>
      </c>
      <c r="K100" s="5" t="str">
        <f t="shared" si="18"/>
        <v xml:space="preserve">   DEPOSIT TRANSFER---</v>
      </c>
      <c r="L100" s="5" t="str">
        <f t="shared" si="19"/>
        <v xml:space="preserve">TRANSFER FROM 20010697703                         </v>
      </c>
      <c r="M100" s="4">
        <f t="shared" si="20"/>
        <v>0</v>
      </c>
      <c r="N100" s="4">
        <f t="shared" si="21"/>
        <v>26595</v>
      </c>
      <c r="O100" s="4">
        <f t="shared" si="22"/>
        <v>-75164.37</v>
      </c>
      <c r="P100" s="4" t="str">
        <f t="shared" si="23"/>
        <v>SBI 5441</v>
      </c>
    </row>
    <row r="101" spans="1:16" x14ac:dyDescent="0.3">
      <c r="A101" s="5">
        <v>45353</v>
      </c>
      <c r="B101" s="5">
        <v>45353</v>
      </c>
      <c r="C101" s="3" t="s">
        <v>181</v>
      </c>
      <c r="D101" s="3" t="s">
        <v>989</v>
      </c>
      <c r="E101" s="9">
        <v>0</v>
      </c>
      <c r="F101" s="9">
        <v>75000</v>
      </c>
      <c r="G101" s="9">
        <v>-164.37</v>
      </c>
      <c r="H101" s="3" t="s">
        <v>718</v>
      </c>
      <c r="I101" s="9">
        <f t="shared" si="24"/>
        <v>4.6611603465862572E-12</v>
      </c>
      <c r="J101" s="5">
        <f t="shared" si="17"/>
        <v>45353</v>
      </c>
      <c r="K101" s="5" t="str">
        <f t="shared" si="18"/>
        <v xml:space="preserve">   BY TRANSFER-INB Payment towards loan repayment--</v>
      </c>
      <c r="L101" s="5" t="str">
        <f t="shared" si="19"/>
        <v>IIC5600418               TRANSFER FROM 20010697703</v>
      </c>
      <c r="M101" s="4">
        <f t="shared" si="20"/>
        <v>0</v>
      </c>
      <c r="N101" s="4">
        <f t="shared" si="21"/>
        <v>75000</v>
      </c>
      <c r="O101" s="4">
        <f t="shared" si="22"/>
        <v>-164.37</v>
      </c>
      <c r="P101" s="4" t="str">
        <f t="shared" si="23"/>
        <v>SBI 5441</v>
      </c>
    </row>
    <row r="102" spans="1:16" x14ac:dyDescent="0.3">
      <c r="A102" s="5">
        <v>45382</v>
      </c>
      <c r="B102" s="5">
        <v>45382</v>
      </c>
      <c r="C102" s="3" t="s">
        <v>380</v>
      </c>
      <c r="E102" s="9">
        <v>31</v>
      </c>
      <c r="F102" s="9">
        <v>0</v>
      </c>
      <c r="G102" s="9">
        <v>-195.37</v>
      </c>
      <c r="H102" s="3" t="s">
        <v>718</v>
      </c>
      <c r="I102" s="9">
        <f t="shared" si="24"/>
        <v>0</v>
      </c>
      <c r="J102" s="5">
        <f t="shared" si="17"/>
        <v>45382</v>
      </c>
      <c r="K102" s="5" t="str">
        <f t="shared" si="18"/>
        <v xml:space="preserve">   DEBIT INTEREST---</v>
      </c>
      <c r="L102" s="5">
        <f t="shared" si="19"/>
        <v>0</v>
      </c>
      <c r="M102" s="4">
        <f t="shared" si="20"/>
        <v>31</v>
      </c>
      <c r="N102" s="4">
        <f t="shared" si="21"/>
        <v>0</v>
      </c>
      <c r="O102" s="4">
        <f t="shared" si="22"/>
        <v>-195.37</v>
      </c>
      <c r="P102" s="4" t="str">
        <f t="shared" si="23"/>
        <v>SBI 5441</v>
      </c>
    </row>
  </sheetData>
  <autoFilter ref="A19:P102" xr:uid="{C053F717-1D93-462A-A6F7-B036B53F42B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5561-D6AC-452A-93DF-F36A1BFE21AE}">
  <dimension ref="A1:P227"/>
  <sheetViews>
    <sheetView topLeftCell="E18" workbookViewId="0">
      <selection activeCell="P20" sqref="P20"/>
    </sheetView>
  </sheetViews>
  <sheetFormatPr defaultRowHeight="14.4" x14ac:dyDescent="0.3"/>
  <cols>
    <col min="1" max="2" width="9.88671875" style="3" bestFit="1" customWidth="1"/>
    <col min="3" max="3" width="47.21875" style="3" bestFit="1" customWidth="1"/>
    <col min="4" max="4" width="43.109375" style="3" bestFit="1" customWidth="1"/>
    <col min="5" max="6" width="8.88671875" style="3"/>
    <col min="7" max="7" width="9.21875" style="3" bestFit="1" customWidth="1"/>
    <col min="8" max="9" width="8.88671875" style="3"/>
    <col min="10" max="10" width="9.88671875" style="3" bestFit="1" customWidth="1"/>
    <col min="11" max="11" width="47.21875" style="3" bestFit="1" customWidth="1"/>
    <col min="12" max="12" width="47.21875" style="3" customWidth="1"/>
    <col min="13" max="15" width="11.5546875" style="3" bestFit="1" customWidth="1"/>
    <col min="16" max="16" width="12.77734375" style="3" bestFit="1" customWidth="1"/>
    <col min="17" max="16384" width="8.88671875" style="3"/>
  </cols>
  <sheetData>
    <row r="1" spans="1:2" x14ac:dyDescent="0.3">
      <c r="A1" s="3" t="s">
        <v>364</v>
      </c>
      <c r="B1" s="3" t="s">
        <v>363</v>
      </c>
    </row>
    <row r="2" spans="1:2" x14ac:dyDescent="0.3">
      <c r="A2" s="3" t="s">
        <v>362</v>
      </c>
      <c r="B2" s="3" t="s">
        <v>361</v>
      </c>
    </row>
    <row r="3" spans="1:2" x14ac:dyDescent="0.3">
      <c r="A3" s="3" t="s">
        <v>358</v>
      </c>
      <c r="B3" s="3" t="s">
        <v>360</v>
      </c>
    </row>
    <row r="4" spans="1:2" x14ac:dyDescent="0.3">
      <c r="A4" s="3" t="s">
        <v>358</v>
      </c>
      <c r="B4" s="3" t="s">
        <v>359</v>
      </c>
    </row>
    <row r="5" spans="1:2" x14ac:dyDescent="0.3">
      <c r="A5" s="3" t="s">
        <v>358</v>
      </c>
      <c r="B5" s="3" t="s">
        <v>357</v>
      </c>
    </row>
    <row r="6" spans="1:2" x14ac:dyDescent="0.3">
      <c r="A6" s="3" t="s">
        <v>356</v>
      </c>
      <c r="B6" s="5">
        <v>45304</v>
      </c>
    </row>
    <row r="7" spans="1:2" x14ac:dyDescent="0.3">
      <c r="A7" s="3" t="s">
        <v>355</v>
      </c>
      <c r="B7" s="3" t="s">
        <v>354</v>
      </c>
    </row>
    <row r="8" spans="1:2" x14ac:dyDescent="0.3">
      <c r="A8" s="3" t="s">
        <v>353</v>
      </c>
      <c r="B8" s="3" t="s">
        <v>352</v>
      </c>
    </row>
    <row r="9" spans="1:2" x14ac:dyDescent="0.3">
      <c r="A9" s="3" t="s">
        <v>351</v>
      </c>
      <c r="B9" s="3" t="s">
        <v>350</v>
      </c>
    </row>
    <row r="10" spans="1:2" x14ac:dyDescent="0.3">
      <c r="A10" s="3" t="s">
        <v>349</v>
      </c>
      <c r="B10" s="3">
        <v>0</v>
      </c>
    </row>
    <row r="11" spans="1:2" x14ac:dyDescent="0.3">
      <c r="A11" s="3" t="s">
        <v>348</v>
      </c>
      <c r="B11" s="3">
        <v>2.7</v>
      </c>
    </row>
    <row r="12" spans="1:2" x14ac:dyDescent="0.3">
      <c r="A12" s="3" t="s">
        <v>347</v>
      </c>
      <c r="B12" s="3">
        <v>0</v>
      </c>
    </row>
    <row r="13" spans="1:2" x14ac:dyDescent="0.3">
      <c r="A13" s="3" t="s">
        <v>346</v>
      </c>
      <c r="B13" s="3" t="s">
        <v>345</v>
      </c>
    </row>
    <row r="14" spans="1:2" x14ac:dyDescent="0.3">
      <c r="A14" s="3" t="s">
        <v>344</v>
      </c>
      <c r="B14" s="3" t="s">
        <v>343</v>
      </c>
    </row>
    <row r="15" spans="1:2" x14ac:dyDescent="0.3">
      <c r="A15" s="3" t="s">
        <v>342</v>
      </c>
      <c r="B15" s="3" t="s">
        <v>341</v>
      </c>
    </row>
    <row r="16" spans="1:2" x14ac:dyDescent="0.3">
      <c r="A16" s="3" t="s">
        <v>340</v>
      </c>
      <c r="B16" s="3" t="s">
        <v>339</v>
      </c>
    </row>
    <row r="17" spans="1:16" x14ac:dyDescent="0.3">
      <c r="A17" s="3" t="s">
        <v>338</v>
      </c>
      <c r="B17" s="6">
        <v>4724.3999999999996</v>
      </c>
    </row>
    <row r="18" spans="1:16" x14ac:dyDescent="0.3">
      <c r="A18" s="3" t="s">
        <v>337</v>
      </c>
      <c r="B18" s="5">
        <v>45017</v>
      </c>
    </row>
    <row r="19" spans="1:16" x14ac:dyDescent="0.3">
      <c r="A19" s="3" t="s">
        <v>336</v>
      </c>
      <c r="B19" s="5">
        <v>45291</v>
      </c>
      <c r="E19" s="3">
        <f>SUBTOTAL(9,E21:E178)</f>
        <v>2832081.13</v>
      </c>
      <c r="F19" s="3">
        <f>SUBTOTAL(9,F21:F178)</f>
        <v>3143745.25</v>
      </c>
      <c r="G19" s="4">
        <f>G21-F21</f>
        <v>4724.4000000000015</v>
      </c>
    </row>
    <row r="20" spans="1:16" x14ac:dyDescent="0.3">
      <c r="A20" s="3" t="s">
        <v>335</v>
      </c>
      <c r="B20" s="3" t="s">
        <v>334</v>
      </c>
      <c r="C20" s="3" t="s">
        <v>333</v>
      </c>
      <c r="D20" s="3" t="s">
        <v>332</v>
      </c>
      <c r="E20" s="3" t="s">
        <v>331</v>
      </c>
      <c r="F20" s="3" t="s">
        <v>330</v>
      </c>
      <c r="G20" s="3" t="s">
        <v>329</v>
      </c>
      <c r="H20" s="3" t="s">
        <v>717</v>
      </c>
      <c r="J20" s="3" t="s">
        <v>720</v>
      </c>
      <c r="K20" t="s">
        <v>721</v>
      </c>
      <c r="L20" s="3" t="s">
        <v>722</v>
      </c>
      <c r="M20" s="3" t="s">
        <v>17</v>
      </c>
      <c r="N20" t="s">
        <v>18</v>
      </c>
      <c r="O20" s="3" t="s">
        <v>329</v>
      </c>
      <c r="P20" s="3" t="s">
        <v>717</v>
      </c>
    </row>
    <row r="21" spans="1:16" x14ac:dyDescent="0.3">
      <c r="A21" s="5">
        <v>45017</v>
      </c>
      <c r="B21" s="5">
        <v>45017</v>
      </c>
      <c r="C21" s="3" t="s">
        <v>181</v>
      </c>
      <c r="D21" s="3" t="s">
        <v>328</v>
      </c>
      <c r="E21" s="3">
        <v>0</v>
      </c>
      <c r="F21" s="4">
        <v>25000</v>
      </c>
      <c r="G21" s="4">
        <v>29724.400000000001</v>
      </c>
      <c r="H21" s="3" t="s">
        <v>716</v>
      </c>
      <c r="I21" s="53">
        <f>G19+F21-E21-G21</f>
        <v>0</v>
      </c>
      <c r="J21" s="5">
        <f>A21</f>
        <v>45017</v>
      </c>
      <c r="K21" s="5" t="str">
        <f t="shared" ref="K21:P21" si="0">C21</f>
        <v xml:space="preserve">   BY TRANSFER-INB Payment towards loan repayment--</v>
      </c>
      <c r="L21" s="5" t="str">
        <f t="shared" si="0"/>
        <v>IIB6318597               TRANSFER FROM 32718635441</v>
      </c>
      <c r="M21" s="9">
        <f t="shared" si="0"/>
        <v>0</v>
      </c>
      <c r="N21" s="9">
        <f t="shared" si="0"/>
        <v>25000</v>
      </c>
      <c r="O21" s="9">
        <f t="shared" si="0"/>
        <v>29724.400000000001</v>
      </c>
      <c r="P21" s="8" t="str">
        <f t="shared" si="0"/>
        <v>SBI 3479</v>
      </c>
    </row>
    <row r="22" spans="1:16" x14ac:dyDescent="0.3">
      <c r="A22" s="5">
        <v>45018</v>
      </c>
      <c r="B22" s="5">
        <v>45018</v>
      </c>
      <c r="C22" s="3" t="s">
        <v>214</v>
      </c>
      <c r="D22" s="3" t="s">
        <v>206</v>
      </c>
      <c r="E22" s="4">
        <v>26595</v>
      </c>
      <c r="F22" s="3">
        <v>0</v>
      </c>
      <c r="G22" s="4">
        <v>3129.4</v>
      </c>
      <c r="H22" s="3" t="s">
        <v>716</v>
      </c>
      <c r="I22" s="53">
        <f t="shared" ref="I22:I85" si="1">G21+F22-E22-G22</f>
        <v>0</v>
      </c>
      <c r="J22" s="5">
        <f t="shared" ref="J22:J85" si="2">A22</f>
        <v>45018</v>
      </c>
      <c r="K22" s="5" t="str">
        <f t="shared" ref="K22:K85" si="3">C22</f>
        <v xml:space="preserve">   WITHDRAWAL TRANSFER---</v>
      </c>
      <c r="L22" s="5" t="str">
        <f t="shared" ref="L22:L85" si="4">D22</f>
        <v xml:space="preserve">TRANSFER TO 32718635441                           </v>
      </c>
      <c r="M22" s="9">
        <f t="shared" ref="M22:M85" si="5">E22</f>
        <v>26595</v>
      </c>
      <c r="N22" s="9">
        <f t="shared" ref="N22:N85" si="6">F22</f>
        <v>0</v>
      </c>
      <c r="O22" s="9">
        <f t="shared" ref="O22:O85" si="7">G22</f>
        <v>3129.4</v>
      </c>
      <c r="P22" s="8" t="str">
        <f t="shared" ref="P22:P85" si="8">H22</f>
        <v>SBI 3479</v>
      </c>
    </row>
    <row r="23" spans="1:16" x14ac:dyDescent="0.3">
      <c r="A23" s="5">
        <v>45022</v>
      </c>
      <c r="B23" s="5">
        <v>45022</v>
      </c>
      <c r="C23" s="3" t="s">
        <v>183</v>
      </c>
      <c r="D23" s="3" t="s">
        <v>327</v>
      </c>
      <c r="E23" s="3">
        <v>0</v>
      </c>
      <c r="F23" s="4">
        <v>1664.77</v>
      </c>
      <c r="G23" s="4">
        <v>4794.17</v>
      </c>
      <c r="H23" s="3" t="s">
        <v>716</v>
      </c>
      <c r="I23" s="53">
        <f t="shared" si="1"/>
        <v>0</v>
      </c>
      <c r="J23" s="5">
        <f t="shared" si="2"/>
        <v>45022</v>
      </c>
      <c r="K23" s="5" t="str">
        <f t="shared" si="3"/>
        <v xml:space="preserve">   BY TRANSFER-INB -For 19260165--</v>
      </c>
      <c r="L23" s="5" t="str">
        <f t="shared" si="4"/>
        <v>6503260805CTW5438690               TRANSFER FROM 4</v>
      </c>
      <c r="M23" s="9">
        <f t="shared" si="5"/>
        <v>0</v>
      </c>
      <c r="N23" s="9">
        <f t="shared" si="6"/>
        <v>1664.77</v>
      </c>
      <c r="O23" s="9">
        <f t="shared" si="7"/>
        <v>4794.17</v>
      </c>
      <c r="P23" s="8" t="str">
        <f t="shared" si="8"/>
        <v>SBI 3479</v>
      </c>
    </row>
    <row r="24" spans="1:16" x14ac:dyDescent="0.3">
      <c r="A24" s="5">
        <v>45027</v>
      </c>
      <c r="B24" s="5">
        <v>45027</v>
      </c>
      <c r="C24" s="3" t="s">
        <v>183</v>
      </c>
      <c r="D24" s="3" t="s">
        <v>326</v>
      </c>
      <c r="E24" s="3">
        <v>0</v>
      </c>
      <c r="F24" s="3">
        <v>290.27999999999997</v>
      </c>
      <c r="G24" s="4">
        <v>5084.45</v>
      </c>
      <c r="H24" s="3" t="s">
        <v>716</v>
      </c>
      <c r="I24" s="53">
        <f t="shared" si="1"/>
        <v>0</v>
      </c>
      <c r="J24" s="5">
        <f t="shared" si="2"/>
        <v>45027</v>
      </c>
      <c r="K24" s="5" t="str">
        <f t="shared" si="3"/>
        <v xml:space="preserve">   BY TRANSFER-INB -For 19260165--</v>
      </c>
      <c r="L24" s="5" t="str">
        <f t="shared" si="4"/>
        <v>6503375120CTW5943163               TRANSFER FROM 4</v>
      </c>
      <c r="M24" s="9">
        <f t="shared" si="5"/>
        <v>0</v>
      </c>
      <c r="N24" s="9">
        <f t="shared" si="6"/>
        <v>290.27999999999997</v>
      </c>
      <c r="O24" s="9">
        <f t="shared" si="7"/>
        <v>5084.45</v>
      </c>
      <c r="P24" s="8" t="str">
        <f t="shared" si="8"/>
        <v>SBI 3479</v>
      </c>
    </row>
    <row r="25" spans="1:16" x14ac:dyDescent="0.3">
      <c r="A25" s="5">
        <v>45027</v>
      </c>
      <c r="B25" s="5">
        <v>45027</v>
      </c>
      <c r="C25" s="3" t="s">
        <v>183</v>
      </c>
      <c r="D25" s="3" t="s">
        <v>325</v>
      </c>
      <c r="E25" s="3">
        <v>0</v>
      </c>
      <c r="F25" s="4">
        <v>173592.01</v>
      </c>
      <c r="G25" s="4">
        <v>178676.46</v>
      </c>
      <c r="H25" s="3" t="s">
        <v>716</v>
      </c>
      <c r="I25" s="53">
        <f t="shared" si="1"/>
        <v>0</v>
      </c>
      <c r="J25" s="5">
        <f t="shared" si="2"/>
        <v>45027</v>
      </c>
      <c r="K25" s="5" t="str">
        <f t="shared" si="3"/>
        <v xml:space="preserve">   BY TRANSFER-INB -For 19260165--</v>
      </c>
      <c r="L25" s="5" t="str">
        <f t="shared" si="4"/>
        <v>6503407916CTW6110905               TRANSFER FROM 4</v>
      </c>
      <c r="M25" s="9">
        <f t="shared" si="5"/>
        <v>0</v>
      </c>
      <c r="N25" s="9">
        <f>F25</f>
        <v>173592.01</v>
      </c>
      <c r="O25" s="9">
        <f t="shared" si="7"/>
        <v>178676.46</v>
      </c>
      <c r="P25" s="8" t="str">
        <f t="shared" si="8"/>
        <v>SBI 3479</v>
      </c>
    </row>
    <row r="26" spans="1:16" x14ac:dyDescent="0.3">
      <c r="A26" s="5">
        <v>45028</v>
      </c>
      <c r="B26" s="5">
        <v>45028</v>
      </c>
      <c r="C26" s="3" t="s">
        <v>324</v>
      </c>
      <c r="E26" s="3">
        <v>0</v>
      </c>
      <c r="F26" s="4">
        <v>1200</v>
      </c>
      <c r="G26" s="4">
        <v>179876.46</v>
      </c>
      <c r="H26" s="3" t="s">
        <v>716</v>
      </c>
      <c r="I26" s="53">
        <f t="shared" si="1"/>
        <v>0</v>
      </c>
      <c r="J26" s="5">
        <f t="shared" si="2"/>
        <v>45028</v>
      </c>
      <c r="K26" s="5" t="str">
        <f t="shared" si="3"/>
        <v xml:space="preserve">   BULK POSTING-ACHCr HDFC01984000016202 DWARIKESH INTD--</v>
      </c>
      <c r="L26" s="5">
        <f t="shared" si="4"/>
        <v>0</v>
      </c>
      <c r="M26" s="9">
        <f t="shared" si="5"/>
        <v>0</v>
      </c>
      <c r="N26" s="9">
        <f t="shared" si="6"/>
        <v>1200</v>
      </c>
      <c r="O26" s="9">
        <f t="shared" si="7"/>
        <v>179876.46</v>
      </c>
      <c r="P26" s="8" t="str">
        <f t="shared" si="8"/>
        <v>SBI 3479</v>
      </c>
    </row>
    <row r="27" spans="1:16" x14ac:dyDescent="0.3">
      <c r="A27" s="5">
        <v>45029</v>
      </c>
      <c r="B27" s="5">
        <v>45029</v>
      </c>
      <c r="C27" s="3" t="s">
        <v>323</v>
      </c>
      <c r="D27" s="3" t="s">
        <v>206</v>
      </c>
      <c r="E27" s="4">
        <v>50000</v>
      </c>
      <c r="F27" s="3">
        <v>0</v>
      </c>
      <c r="G27" s="4">
        <v>129876.46</v>
      </c>
      <c r="H27" s="3" t="s">
        <v>716</v>
      </c>
      <c r="I27" s="53">
        <f t="shared" si="1"/>
        <v>0</v>
      </c>
      <c r="J27" s="5">
        <f t="shared" si="2"/>
        <v>45029</v>
      </c>
      <c r="K27" s="5" t="str">
        <f t="shared" si="3"/>
        <v xml:space="preserve">   TO TRANSFER-SBILT13042023084220295270-Loan repayment--</v>
      </c>
      <c r="L27" s="5" t="str">
        <f t="shared" si="4"/>
        <v xml:space="preserve">TRANSFER TO 32718635441                           </v>
      </c>
      <c r="M27" s="9">
        <f t="shared" si="5"/>
        <v>50000</v>
      </c>
      <c r="N27" s="9">
        <f t="shared" si="6"/>
        <v>0</v>
      </c>
      <c r="O27" s="9">
        <f t="shared" si="7"/>
        <v>129876.46</v>
      </c>
      <c r="P27" s="8" t="str">
        <f t="shared" si="8"/>
        <v>SBI 3479</v>
      </c>
    </row>
    <row r="28" spans="1:16" x14ac:dyDescent="0.3">
      <c r="A28" s="5">
        <v>45031</v>
      </c>
      <c r="B28" s="5">
        <v>45031</v>
      </c>
      <c r="C28" s="3" t="s">
        <v>194</v>
      </c>
      <c r="D28" s="3" t="s">
        <v>322</v>
      </c>
      <c r="E28" s="4">
        <v>4502</v>
      </c>
      <c r="F28" s="3">
        <v>0</v>
      </c>
      <c r="G28" s="4">
        <v>125374.46</v>
      </c>
      <c r="H28" s="3" t="s">
        <v>716</v>
      </c>
      <c r="I28" s="53">
        <f t="shared" si="1"/>
        <v>0</v>
      </c>
      <c r="J28" s="5">
        <f t="shared" si="2"/>
        <v>45031</v>
      </c>
      <c r="K28" s="5" t="str">
        <f t="shared" si="3"/>
        <v xml:space="preserve">   TO TRANSFER-INB SBICARD FOR BILLDESK      SBICARD Payments--</v>
      </c>
      <c r="L28" s="5" t="str">
        <f t="shared" si="4"/>
        <v>YSBI1843207721IGAPLILQC0               TRANSFER TO</v>
      </c>
      <c r="M28" s="9">
        <f t="shared" si="5"/>
        <v>4502</v>
      </c>
      <c r="N28" s="9">
        <f t="shared" si="6"/>
        <v>0</v>
      </c>
      <c r="O28" s="9">
        <f t="shared" si="7"/>
        <v>125374.46</v>
      </c>
      <c r="P28" s="8" t="str">
        <f t="shared" si="8"/>
        <v>SBI 3479</v>
      </c>
    </row>
    <row r="29" spans="1:16" x14ac:dyDescent="0.3">
      <c r="A29" s="5">
        <v>45031</v>
      </c>
      <c r="B29" s="5">
        <v>45031</v>
      </c>
      <c r="C29" s="3" t="s">
        <v>197</v>
      </c>
      <c r="D29" s="3" t="s">
        <v>321</v>
      </c>
      <c r="E29" s="4">
        <v>100000</v>
      </c>
      <c r="F29" s="3">
        <v>0</v>
      </c>
      <c r="G29" s="4">
        <v>25374.46</v>
      </c>
      <c r="H29" s="3" t="s">
        <v>716</v>
      </c>
      <c r="I29" s="53">
        <f t="shared" si="1"/>
        <v>0</v>
      </c>
      <c r="J29" s="5">
        <f t="shared" si="2"/>
        <v>45031</v>
      </c>
      <c r="K29" s="5" t="str">
        <f t="shared" si="3"/>
        <v xml:space="preserve">   TO TRANSFER-INB Payment towards loan repayment--</v>
      </c>
      <c r="L29" s="5" t="str">
        <f t="shared" si="4"/>
        <v xml:space="preserve">IIB6794633               TRANSFER TO 32718635441  </v>
      </c>
      <c r="M29" s="9">
        <f>E29</f>
        <v>100000</v>
      </c>
      <c r="N29" s="9">
        <f t="shared" si="6"/>
        <v>0</v>
      </c>
      <c r="O29" s="9">
        <f t="shared" si="7"/>
        <v>25374.46</v>
      </c>
      <c r="P29" s="8" t="str">
        <f t="shared" si="8"/>
        <v>SBI 3479</v>
      </c>
    </row>
    <row r="30" spans="1:16" x14ac:dyDescent="0.3">
      <c r="A30" s="5">
        <v>45035</v>
      </c>
      <c r="B30" s="5">
        <v>45035</v>
      </c>
      <c r="C30" s="3" t="s">
        <v>183</v>
      </c>
      <c r="D30" s="3" t="s">
        <v>320</v>
      </c>
      <c r="E30" s="4">
        <v>0</v>
      </c>
      <c r="F30" s="3">
        <v>3231.91</v>
      </c>
      <c r="G30" s="4">
        <v>28606.37</v>
      </c>
      <c r="H30" s="3" t="s">
        <v>716</v>
      </c>
      <c r="I30" s="53">
        <f t="shared" si="1"/>
        <v>0</v>
      </c>
      <c r="J30" s="5">
        <f t="shared" si="2"/>
        <v>45035</v>
      </c>
      <c r="K30" s="5" t="str">
        <f t="shared" si="3"/>
        <v xml:space="preserve">   BY TRANSFER-INB -For 19260165--</v>
      </c>
      <c r="L30" s="5" t="str">
        <f t="shared" si="4"/>
        <v>6503644322CTW7125901               TRANSFER FROM 4</v>
      </c>
      <c r="M30" s="9">
        <f t="shared" si="5"/>
        <v>0</v>
      </c>
      <c r="N30" s="9">
        <f t="shared" si="6"/>
        <v>3231.91</v>
      </c>
      <c r="O30" s="9">
        <f t="shared" si="7"/>
        <v>28606.37</v>
      </c>
      <c r="P30" s="8" t="str">
        <f t="shared" si="8"/>
        <v>SBI 3479</v>
      </c>
    </row>
    <row r="31" spans="1:16" x14ac:dyDescent="0.3">
      <c r="A31" s="5">
        <v>45036</v>
      </c>
      <c r="B31" s="5">
        <v>45036</v>
      </c>
      <c r="C31" s="3" t="s">
        <v>183</v>
      </c>
      <c r="D31" s="3" t="s">
        <v>319</v>
      </c>
      <c r="E31" s="4">
        <v>0</v>
      </c>
      <c r="F31" s="3">
        <v>15083.73</v>
      </c>
      <c r="G31" s="4">
        <v>43690.1</v>
      </c>
      <c r="H31" s="3" t="s">
        <v>716</v>
      </c>
      <c r="I31" s="53">
        <f t="shared" si="1"/>
        <v>0</v>
      </c>
      <c r="J31" s="5">
        <f t="shared" si="2"/>
        <v>45036</v>
      </c>
      <c r="K31" s="5" t="str">
        <f t="shared" si="3"/>
        <v xml:space="preserve">   BY TRANSFER-INB -For 19260165--</v>
      </c>
      <c r="L31" s="5" t="str">
        <f t="shared" si="4"/>
        <v>6503677670CTW7273599               TRANSFER FROM 4</v>
      </c>
      <c r="M31" s="9">
        <f t="shared" si="5"/>
        <v>0</v>
      </c>
      <c r="N31" s="9">
        <f t="shared" si="6"/>
        <v>15083.73</v>
      </c>
      <c r="O31" s="9">
        <f t="shared" si="7"/>
        <v>43690.1</v>
      </c>
      <c r="P31" s="8" t="str">
        <f t="shared" si="8"/>
        <v>SBI 3479</v>
      </c>
    </row>
    <row r="32" spans="1:16" x14ac:dyDescent="0.3">
      <c r="A32" s="5">
        <v>45039</v>
      </c>
      <c r="B32" s="5">
        <v>45039</v>
      </c>
      <c r="C32" s="3" t="s">
        <v>181</v>
      </c>
      <c r="D32" s="3" t="s">
        <v>318</v>
      </c>
      <c r="E32" s="4">
        <v>0</v>
      </c>
      <c r="F32" s="3">
        <v>35000</v>
      </c>
      <c r="G32" s="4">
        <v>78690.100000000006</v>
      </c>
      <c r="H32" s="3" t="s">
        <v>716</v>
      </c>
      <c r="I32" s="53">
        <f t="shared" si="1"/>
        <v>0</v>
      </c>
      <c r="J32" s="5">
        <f t="shared" si="2"/>
        <v>45039</v>
      </c>
      <c r="K32" s="5" t="str">
        <f t="shared" si="3"/>
        <v xml:space="preserve">   BY TRANSFER-INB Payment towards loan repayment--</v>
      </c>
      <c r="L32" s="5" t="str">
        <f t="shared" si="4"/>
        <v>IIB6951402               TRANSFER FROM 32718635441</v>
      </c>
      <c r="M32" s="9">
        <f t="shared" si="5"/>
        <v>0</v>
      </c>
      <c r="N32" s="9">
        <f t="shared" si="6"/>
        <v>35000</v>
      </c>
      <c r="O32" s="9">
        <f t="shared" si="7"/>
        <v>78690.100000000006</v>
      </c>
      <c r="P32" s="8" t="str">
        <f t="shared" si="8"/>
        <v>SBI 3479</v>
      </c>
    </row>
    <row r="33" spans="1:16" x14ac:dyDescent="0.3">
      <c r="A33" s="5">
        <v>45039</v>
      </c>
      <c r="B33" s="5">
        <v>45039</v>
      </c>
      <c r="C33" s="3" t="s">
        <v>197</v>
      </c>
      <c r="D33" s="3" t="s">
        <v>317</v>
      </c>
      <c r="E33" s="4">
        <v>70000</v>
      </c>
      <c r="F33" s="3">
        <v>0</v>
      </c>
      <c r="G33" s="4">
        <v>8690.1</v>
      </c>
      <c r="H33" s="3" t="s">
        <v>716</v>
      </c>
      <c r="I33" s="53">
        <f t="shared" si="1"/>
        <v>0</v>
      </c>
      <c r="J33" s="5">
        <f t="shared" si="2"/>
        <v>45039</v>
      </c>
      <c r="K33" s="5" t="str">
        <f t="shared" si="3"/>
        <v xml:space="preserve">   TO TRANSFER-INB Payment towards loan repayment--</v>
      </c>
      <c r="L33" s="5" t="str">
        <f t="shared" si="4"/>
        <v xml:space="preserve">IIB6951312               TRANSFER TO 32718635441  </v>
      </c>
      <c r="M33" s="9">
        <f t="shared" si="5"/>
        <v>70000</v>
      </c>
      <c r="N33" s="9">
        <f t="shared" si="6"/>
        <v>0</v>
      </c>
      <c r="O33" s="9">
        <f t="shared" si="7"/>
        <v>8690.1</v>
      </c>
      <c r="P33" s="8" t="str">
        <f t="shared" si="8"/>
        <v>SBI 3479</v>
      </c>
    </row>
    <row r="34" spans="1:16" x14ac:dyDescent="0.3">
      <c r="A34" s="5">
        <v>45041</v>
      </c>
      <c r="B34" s="5">
        <v>45041</v>
      </c>
      <c r="C34" s="3" t="s">
        <v>316</v>
      </c>
      <c r="E34" s="4">
        <v>0</v>
      </c>
      <c r="F34" s="3">
        <v>300</v>
      </c>
      <c r="G34" s="4">
        <v>8990.1</v>
      </c>
      <c r="H34" s="3" t="s">
        <v>716</v>
      </c>
      <c r="I34" s="53">
        <f t="shared" si="1"/>
        <v>0</v>
      </c>
      <c r="J34" s="5">
        <f t="shared" si="2"/>
        <v>45041</v>
      </c>
      <c r="K34" s="5" t="str">
        <f t="shared" si="3"/>
        <v xml:space="preserve">   BULK POSTING-ACHCr KKBK00188000018285 DHAMPUR SUGAR--</v>
      </c>
      <c r="L34" s="5">
        <f t="shared" si="4"/>
        <v>0</v>
      </c>
      <c r="M34" s="9">
        <f t="shared" si="5"/>
        <v>0</v>
      </c>
      <c r="N34" s="9">
        <f t="shared" si="6"/>
        <v>300</v>
      </c>
      <c r="O34" s="9">
        <f t="shared" si="7"/>
        <v>8990.1</v>
      </c>
      <c r="P34" s="8" t="str">
        <f t="shared" si="8"/>
        <v>SBI 3479</v>
      </c>
    </row>
    <row r="35" spans="1:16" x14ac:dyDescent="0.3">
      <c r="A35" s="5">
        <v>45042</v>
      </c>
      <c r="B35" s="5">
        <v>45042</v>
      </c>
      <c r="C35" s="3" t="s">
        <v>234</v>
      </c>
      <c r="D35" s="3" t="s">
        <v>315</v>
      </c>
      <c r="E35" s="4">
        <v>0</v>
      </c>
      <c r="F35" s="3">
        <v>10000</v>
      </c>
      <c r="G35" s="4">
        <v>18990.099999999999</v>
      </c>
      <c r="H35" s="3" t="s">
        <v>716</v>
      </c>
      <c r="I35" s="53">
        <f t="shared" si="1"/>
        <v>0</v>
      </c>
      <c r="J35" s="5">
        <f t="shared" si="2"/>
        <v>45042</v>
      </c>
      <c r="K35" s="5" t="str">
        <f t="shared" si="3"/>
        <v xml:space="preserve">   BY TRANSFER-INB Deposit / Investment--</v>
      </c>
      <c r="L35" s="5" t="str">
        <f t="shared" si="4"/>
        <v>IIB7031794               TRANSFER FROM 32718635441</v>
      </c>
      <c r="M35" s="9">
        <f t="shared" si="5"/>
        <v>0</v>
      </c>
      <c r="N35" s="9">
        <f t="shared" si="6"/>
        <v>10000</v>
      </c>
      <c r="O35" s="9">
        <f t="shared" si="7"/>
        <v>18990.099999999999</v>
      </c>
      <c r="P35" s="8" t="str">
        <f t="shared" si="8"/>
        <v>SBI 3479</v>
      </c>
    </row>
    <row r="36" spans="1:16" x14ac:dyDescent="0.3">
      <c r="A36" s="5">
        <v>45044</v>
      </c>
      <c r="B36" s="5">
        <v>45044</v>
      </c>
      <c r="C36" s="3" t="s">
        <v>183</v>
      </c>
      <c r="D36" s="3" t="s">
        <v>314</v>
      </c>
      <c r="E36" s="4">
        <v>0</v>
      </c>
      <c r="F36" s="3">
        <v>5755.3</v>
      </c>
      <c r="G36" s="4">
        <v>24745.4</v>
      </c>
      <c r="H36" s="3" t="s">
        <v>716</v>
      </c>
      <c r="I36" s="53">
        <f t="shared" si="1"/>
        <v>0</v>
      </c>
      <c r="J36" s="5">
        <f t="shared" si="2"/>
        <v>45044</v>
      </c>
      <c r="K36" s="5" t="str">
        <f t="shared" si="3"/>
        <v xml:space="preserve">   BY TRANSFER-INB -For 19260165--</v>
      </c>
      <c r="L36" s="5" t="str">
        <f t="shared" si="4"/>
        <v>6503910734CTW8203019               TRANSFER FROM 4</v>
      </c>
      <c r="M36" s="9">
        <f t="shared" si="5"/>
        <v>0</v>
      </c>
      <c r="N36" s="9">
        <f t="shared" si="6"/>
        <v>5755.3</v>
      </c>
      <c r="O36" s="9">
        <f t="shared" si="7"/>
        <v>24745.4</v>
      </c>
      <c r="P36" s="8" t="str">
        <f t="shared" si="8"/>
        <v>SBI 3479</v>
      </c>
    </row>
    <row r="37" spans="1:16" x14ac:dyDescent="0.3">
      <c r="A37" s="5">
        <v>45046</v>
      </c>
      <c r="B37" s="5">
        <v>45046</v>
      </c>
      <c r="C37" s="3" t="s">
        <v>181</v>
      </c>
      <c r="D37" s="3" t="s">
        <v>313</v>
      </c>
      <c r="E37" s="4">
        <v>0</v>
      </c>
      <c r="F37" s="3">
        <v>20000</v>
      </c>
      <c r="G37" s="4">
        <v>44745.4</v>
      </c>
      <c r="H37" s="3" t="s">
        <v>716</v>
      </c>
      <c r="I37" s="53">
        <f t="shared" si="1"/>
        <v>0</v>
      </c>
      <c r="J37" s="5">
        <f t="shared" si="2"/>
        <v>45046</v>
      </c>
      <c r="K37" s="5" t="str">
        <f t="shared" si="3"/>
        <v xml:space="preserve">   BY TRANSFER-INB Payment towards loan repayment--</v>
      </c>
      <c r="L37" s="5" t="str">
        <f t="shared" si="4"/>
        <v>IIB7146807               TRANSFER FROM 32718635441</v>
      </c>
      <c r="M37" s="9">
        <f t="shared" si="5"/>
        <v>0</v>
      </c>
      <c r="N37" s="9">
        <f t="shared" si="6"/>
        <v>20000</v>
      </c>
      <c r="O37" s="9">
        <f t="shared" si="7"/>
        <v>44745.4</v>
      </c>
      <c r="P37" s="8" t="str">
        <f t="shared" si="8"/>
        <v>SBI 3479</v>
      </c>
    </row>
    <row r="38" spans="1:16" x14ac:dyDescent="0.3">
      <c r="A38" s="5">
        <v>45048</v>
      </c>
      <c r="B38" s="5">
        <v>45048</v>
      </c>
      <c r="C38" s="3" t="s">
        <v>214</v>
      </c>
      <c r="D38" s="3" t="s">
        <v>206</v>
      </c>
      <c r="E38" s="4">
        <v>26595</v>
      </c>
      <c r="F38" s="3">
        <v>0</v>
      </c>
      <c r="G38" s="4">
        <v>18150.400000000001</v>
      </c>
      <c r="H38" s="3" t="s">
        <v>716</v>
      </c>
      <c r="I38" s="53">
        <f t="shared" si="1"/>
        <v>0</v>
      </c>
      <c r="J38" s="5">
        <f t="shared" si="2"/>
        <v>45048</v>
      </c>
      <c r="K38" s="5" t="str">
        <f t="shared" si="3"/>
        <v xml:space="preserve">   WITHDRAWAL TRANSFER---</v>
      </c>
      <c r="L38" s="5" t="str">
        <f t="shared" si="4"/>
        <v xml:space="preserve">TRANSFER TO 32718635441                           </v>
      </c>
      <c r="M38" s="9">
        <f t="shared" si="5"/>
        <v>26595</v>
      </c>
      <c r="N38" s="9">
        <f t="shared" si="6"/>
        <v>0</v>
      </c>
      <c r="O38" s="9">
        <f t="shared" si="7"/>
        <v>18150.400000000001</v>
      </c>
      <c r="P38" s="8" t="str">
        <f t="shared" si="8"/>
        <v>SBI 3479</v>
      </c>
    </row>
    <row r="39" spans="1:16" x14ac:dyDescent="0.3">
      <c r="A39" s="5">
        <v>45049</v>
      </c>
      <c r="B39" s="5">
        <v>45049</v>
      </c>
      <c r="C39" s="3" t="s">
        <v>183</v>
      </c>
      <c r="D39" s="3" t="s">
        <v>312</v>
      </c>
      <c r="E39" s="4">
        <v>0</v>
      </c>
      <c r="F39" s="3">
        <v>6485.61</v>
      </c>
      <c r="G39" s="4">
        <v>24636.01</v>
      </c>
      <c r="H39" s="3" t="s">
        <v>716</v>
      </c>
      <c r="I39" s="53">
        <f t="shared" si="1"/>
        <v>0</v>
      </c>
      <c r="J39" s="5">
        <f t="shared" si="2"/>
        <v>45049</v>
      </c>
      <c r="K39" s="5" t="str">
        <f t="shared" si="3"/>
        <v xml:space="preserve">   BY TRANSFER-INB -For 19260165--</v>
      </c>
      <c r="L39" s="5" t="str">
        <f t="shared" si="4"/>
        <v>6504023356CTW8820042               TRANSFER FROM 4</v>
      </c>
      <c r="M39" s="9">
        <f t="shared" si="5"/>
        <v>0</v>
      </c>
      <c r="N39" s="9">
        <f t="shared" si="6"/>
        <v>6485.61</v>
      </c>
      <c r="O39" s="9">
        <f t="shared" si="7"/>
        <v>24636.01</v>
      </c>
      <c r="P39" s="8" t="str">
        <f t="shared" si="8"/>
        <v>SBI 3479</v>
      </c>
    </row>
    <row r="40" spans="1:16" x14ac:dyDescent="0.3">
      <c r="A40" s="5">
        <v>45050</v>
      </c>
      <c r="B40" s="5">
        <v>45050</v>
      </c>
      <c r="C40" s="3" t="s">
        <v>311</v>
      </c>
      <c r="D40" s="3" t="s">
        <v>188</v>
      </c>
      <c r="E40" s="4">
        <v>14040</v>
      </c>
      <c r="F40" s="3">
        <v>0</v>
      </c>
      <c r="G40" s="4">
        <v>10596.01</v>
      </c>
      <c r="H40" s="3" t="s">
        <v>716</v>
      </c>
      <c r="I40" s="53">
        <f t="shared" si="1"/>
        <v>0</v>
      </c>
      <c r="J40" s="5">
        <f t="shared" si="2"/>
        <v>45050</v>
      </c>
      <c r="K40" s="5" t="str">
        <f t="shared" si="3"/>
        <v xml:space="preserve">   TO TRANSFER-TRFD TO MANKIND PHARMA LTD IPO ALLOTMENT--</v>
      </c>
      <c r="L40" s="5" t="str">
        <f t="shared" si="4"/>
        <v xml:space="preserve">TRANSFER TO 38660007037                           </v>
      </c>
      <c r="M40" s="9">
        <f t="shared" si="5"/>
        <v>14040</v>
      </c>
      <c r="N40" s="9">
        <f t="shared" si="6"/>
        <v>0</v>
      </c>
      <c r="O40" s="9">
        <f t="shared" si="7"/>
        <v>10596.01</v>
      </c>
      <c r="P40" s="8" t="str">
        <f t="shared" si="8"/>
        <v>SBI 3479</v>
      </c>
    </row>
    <row r="41" spans="1:16" x14ac:dyDescent="0.3">
      <c r="A41" s="5">
        <v>45055</v>
      </c>
      <c r="B41" s="5">
        <v>45055</v>
      </c>
      <c r="C41" s="3" t="s">
        <v>183</v>
      </c>
      <c r="D41" s="3" t="s">
        <v>310</v>
      </c>
      <c r="E41" s="4">
        <v>0</v>
      </c>
      <c r="F41" s="3">
        <v>12256.46</v>
      </c>
      <c r="G41" s="4">
        <v>22852.47</v>
      </c>
      <c r="H41" s="3" t="s">
        <v>716</v>
      </c>
      <c r="I41" s="53">
        <f t="shared" si="1"/>
        <v>0</v>
      </c>
      <c r="J41" s="5">
        <f t="shared" si="2"/>
        <v>45055</v>
      </c>
      <c r="K41" s="5" t="str">
        <f t="shared" si="3"/>
        <v xml:space="preserve">   BY TRANSFER-INB -For 19260165--</v>
      </c>
      <c r="L41" s="5" t="str">
        <f t="shared" si="4"/>
        <v>6504141132CTW9502868               TRANSFER FROM 4</v>
      </c>
      <c r="M41" s="9">
        <f t="shared" si="5"/>
        <v>0</v>
      </c>
      <c r="N41" s="9">
        <f t="shared" si="6"/>
        <v>12256.46</v>
      </c>
      <c r="O41" s="9">
        <f t="shared" si="7"/>
        <v>22852.47</v>
      </c>
      <c r="P41" s="8" t="str">
        <f t="shared" si="8"/>
        <v>SBI 3479</v>
      </c>
    </row>
    <row r="42" spans="1:16" x14ac:dyDescent="0.3">
      <c r="A42" s="5">
        <v>45055</v>
      </c>
      <c r="B42" s="5">
        <v>45055</v>
      </c>
      <c r="C42" s="3" t="s">
        <v>183</v>
      </c>
      <c r="D42" s="3" t="s">
        <v>309</v>
      </c>
      <c r="E42" s="4">
        <v>0</v>
      </c>
      <c r="F42" s="3">
        <v>6179.42</v>
      </c>
      <c r="G42" s="4">
        <v>29031.89</v>
      </c>
      <c r="H42" s="3" t="s">
        <v>716</v>
      </c>
      <c r="I42" s="53">
        <f t="shared" si="1"/>
        <v>0</v>
      </c>
      <c r="J42" s="5">
        <f>A42</f>
        <v>45055</v>
      </c>
      <c r="K42" s="5" t="str">
        <f t="shared" si="3"/>
        <v xml:space="preserve">   BY TRANSFER-INB -For 19260165--</v>
      </c>
      <c r="L42" s="5" t="str">
        <f t="shared" si="4"/>
        <v>6504184340CTW9668902               TRANSFER FROM 4</v>
      </c>
      <c r="M42" s="9">
        <f t="shared" si="5"/>
        <v>0</v>
      </c>
      <c r="N42" s="9">
        <f t="shared" si="6"/>
        <v>6179.42</v>
      </c>
      <c r="O42" s="9">
        <f t="shared" si="7"/>
        <v>29031.89</v>
      </c>
      <c r="P42" s="8" t="str">
        <f t="shared" si="8"/>
        <v>SBI 3479</v>
      </c>
    </row>
    <row r="43" spans="1:16" x14ac:dyDescent="0.3">
      <c r="A43" s="5">
        <v>45056</v>
      </c>
      <c r="B43" s="5">
        <v>45056</v>
      </c>
      <c r="C43" s="3" t="s">
        <v>183</v>
      </c>
      <c r="D43" s="3" t="s">
        <v>308</v>
      </c>
      <c r="E43" s="4">
        <v>0</v>
      </c>
      <c r="F43" s="3">
        <v>24788.720000000001</v>
      </c>
      <c r="G43" s="4">
        <v>53820.61</v>
      </c>
      <c r="H43" s="3" t="s">
        <v>716</v>
      </c>
      <c r="I43" s="53">
        <f t="shared" si="1"/>
        <v>0</v>
      </c>
      <c r="J43" s="5">
        <f t="shared" si="2"/>
        <v>45056</v>
      </c>
      <c r="K43" s="5" t="str">
        <f t="shared" si="3"/>
        <v xml:space="preserve">   BY TRANSFER-INB -For 19260165--</v>
      </c>
      <c r="L43" s="5" t="str">
        <f t="shared" si="4"/>
        <v>6504223720CTW9833700               TRANSFER FROM 4</v>
      </c>
      <c r="M43" s="9">
        <f t="shared" si="5"/>
        <v>0</v>
      </c>
      <c r="N43" s="9">
        <f t="shared" si="6"/>
        <v>24788.720000000001</v>
      </c>
      <c r="O43" s="9">
        <f t="shared" si="7"/>
        <v>53820.61</v>
      </c>
      <c r="P43" s="8" t="str">
        <f t="shared" si="8"/>
        <v>SBI 3479</v>
      </c>
    </row>
    <row r="44" spans="1:16" x14ac:dyDescent="0.3">
      <c r="A44" s="5">
        <v>45061</v>
      </c>
      <c r="B44" s="5">
        <v>45061</v>
      </c>
      <c r="C44" s="3" t="s">
        <v>183</v>
      </c>
      <c r="D44" s="3" t="s">
        <v>307</v>
      </c>
      <c r="E44" s="4">
        <v>0</v>
      </c>
      <c r="F44" s="3">
        <v>7543.98</v>
      </c>
      <c r="G44" s="4">
        <v>61364.59</v>
      </c>
      <c r="H44" s="3" t="s">
        <v>716</v>
      </c>
      <c r="I44" s="53">
        <f t="shared" si="1"/>
        <v>0</v>
      </c>
      <c r="J44" s="5">
        <f t="shared" si="2"/>
        <v>45061</v>
      </c>
      <c r="K44" s="5" t="str">
        <f t="shared" si="3"/>
        <v xml:space="preserve">   BY TRANSFER-INB -For 19260165--</v>
      </c>
      <c r="L44" s="5" t="str">
        <f t="shared" si="4"/>
        <v>6504374486CTX0412280               TRANSFER FROM 4</v>
      </c>
      <c r="M44" s="9">
        <f t="shared" si="5"/>
        <v>0</v>
      </c>
      <c r="N44" s="9">
        <f t="shared" si="6"/>
        <v>7543.98</v>
      </c>
      <c r="O44" s="9">
        <f t="shared" si="7"/>
        <v>61364.59</v>
      </c>
      <c r="P44" s="8" t="str">
        <f t="shared" si="8"/>
        <v>SBI 3479</v>
      </c>
    </row>
    <row r="45" spans="1:16" x14ac:dyDescent="0.3">
      <c r="A45" s="5">
        <v>45062</v>
      </c>
      <c r="B45" s="5">
        <v>45062</v>
      </c>
      <c r="C45" s="3" t="s">
        <v>194</v>
      </c>
      <c r="D45" s="3" t="s">
        <v>306</v>
      </c>
      <c r="E45" s="4">
        <v>34058</v>
      </c>
      <c r="F45" s="3">
        <v>0</v>
      </c>
      <c r="G45" s="4">
        <v>27306.59</v>
      </c>
      <c r="H45" s="3" t="s">
        <v>716</v>
      </c>
      <c r="I45" s="53">
        <f t="shared" si="1"/>
        <v>0</v>
      </c>
      <c r="J45" s="5">
        <f t="shared" si="2"/>
        <v>45062</v>
      </c>
      <c r="K45" s="5" t="str">
        <f t="shared" si="3"/>
        <v xml:space="preserve">   TO TRANSFER-INB SBICARD FOR BILLDESK      SBICARD Payments--</v>
      </c>
      <c r="L45" s="5" t="str">
        <f t="shared" si="4"/>
        <v>YSBI1891515209IGAPPCVJO4               TRANSFER TO</v>
      </c>
      <c r="M45" s="9">
        <f t="shared" si="5"/>
        <v>34058</v>
      </c>
      <c r="N45" s="9">
        <f t="shared" si="6"/>
        <v>0</v>
      </c>
      <c r="O45" s="9">
        <f t="shared" si="7"/>
        <v>27306.59</v>
      </c>
      <c r="P45" s="8" t="str">
        <f t="shared" si="8"/>
        <v>SBI 3479</v>
      </c>
    </row>
    <row r="46" spans="1:16" x14ac:dyDescent="0.3">
      <c r="A46" s="5">
        <v>45065</v>
      </c>
      <c r="B46" s="5">
        <v>45065</v>
      </c>
      <c r="C46" s="3" t="s">
        <v>201</v>
      </c>
      <c r="D46" s="3" t="s">
        <v>211</v>
      </c>
      <c r="E46" s="4">
        <v>15000</v>
      </c>
      <c r="F46" s="3">
        <v>0</v>
      </c>
      <c r="G46" s="4">
        <v>12306.59</v>
      </c>
      <c r="H46" s="3" t="s">
        <v>716</v>
      </c>
      <c r="I46" s="53">
        <f t="shared" si="1"/>
        <v>0</v>
      </c>
      <c r="J46" s="5">
        <f t="shared" si="2"/>
        <v>45065</v>
      </c>
      <c r="K46" s="5" t="str">
        <f t="shared" si="3"/>
        <v xml:space="preserve">   TO TRANSFER-ForTrading--</v>
      </c>
      <c r="L46" s="5" t="str">
        <f t="shared" si="4"/>
        <v xml:space="preserve">TRANSFER TO 31842374252                           </v>
      </c>
      <c r="M46" s="9">
        <f t="shared" si="5"/>
        <v>15000</v>
      </c>
      <c r="N46" s="9">
        <f t="shared" si="6"/>
        <v>0</v>
      </c>
      <c r="O46" s="9">
        <f t="shared" si="7"/>
        <v>12306.59</v>
      </c>
      <c r="P46" s="8" t="str">
        <f t="shared" si="8"/>
        <v>SBI 3479</v>
      </c>
    </row>
    <row r="47" spans="1:16" x14ac:dyDescent="0.3">
      <c r="A47" s="5">
        <v>45068</v>
      </c>
      <c r="B47" s="5">
        <v>45068</v>
      </c>
      <c r="C47" s="3" t="s">
        <v>201</v>
      </c>
      <c r="D47" s="3" t="s">
        <v>200</v>
      </c>
      <c r="E47" s="4">
        <v>4583.09</v>
      </c>
      <c r="F47" s="3">
        <v>0</v>
      </c>
      <c r="G47" s="4">
        <v>7723.5</v>
      </c>
      <c r="H47" s="3" t="s">
        <v>716</v>
      </c>
      <c r="I47" s="53">
        <f t="shared" si="1"/>
        <v>0</v>
      </c>
      <c r="J47" s="5">
        <f t="shared" si="2"/>
        <v>45068</v>
      </c>
      <c r="K47" s="5" t="str">
        <f t="shared" si="3"/>
        <v xml:space="preserve">   TO TRANSFER-ForTrading--</v>
      </c>
      <c r="L47" s="5" t="str">
        <f t="shared" si="4"/>
        <v xml:space="preserve">TRANSFER TO 41128839515                           </v>
      </c>
      <c r="M47" s="9">
        <f t="shared" si="5"/>
        <v>4583.09</v>
      </c>
      <c r="N47" s="9">
        <f t="shared" si="6"/>
        <v>0</v>
      </c>
      <c r="O47" s="9">
        <f t="shared" si="7"/>
        <v>7723.5</v>
      </c>
      <c r="P47" s="8" t="str">
        <f t="shared" si="8"/>
        <v>SBI 3479</v>
      </c>
    </row>
    <row r="48" spans="1:16" x14ac:dyDescent="0.3">
      <c r="A48" s="5">
        <v>45069</v>
      </c>
      <c r="B48" s="5">
        <v>45069</v>
      </c>
      <c r="C48" s="3" t="s">
        <v>183</v>
      </c>
      <c r="D48" s="3" t="s">
        <v>305</v>
      </c>
      <c r="E48" s="4">
        <v>0</v>
      </c>
      <c r="F48" s="3">
        <v>42895.08</v>
      </c>
      <c r="G48" s="4">
        <v>50618.58</v>
      </c>
      <c r="H48" s="3" t="s">
        <v>716</v>
      </c>
      <c r="I48" s="53">
        <f t="shared" si="1"/>
        <v>0</v>
      </c>
      <c r="J48" s="5">
        <f t="shared" si="2"/>
        <v>45069</v>
      </c>
      <c r="K48" s="5" t="str">
        <f t="shared" si="3"/>
        <v xml:space="preserve">   BY TRANSFER-INB -For 19260165--</v>
      </c>
      <c r="L48" s="5" t="str">
        <f t="shared" si="4"/>
        <v>6504630524CTX1370418               TRANSFER FROM 4</v>
      </c>
      <c r="M48" s="9">
        <f t="shared" si="5"/>
        <v>0</v>
      </c>
      <c r="N48" s="9">
        <f t="shared" si="6"/>
        <v>42895.08</v>
      </c>
      <c r="O48" s="9">
        <f t="shared" si="7"/>
        <v>50618.58</v>
      </c>
      <c r="P48" s="8" t="str">
        <f t="shared" si="8"/>
        <v>SBI 3479</v>
      </c>
    </row>
    <row r="49" spans="1:16" x14ac:dyDescent="0.3">
      <c r="A49" s="5">
        <v>45071</v>
      </c>
      <c r="B49" s="5">
        <v>45071</v>
      </c>
      <c r="C49" s="3" t="s">
        <v>201</v>
      </c>
      <c r="D49" s="3" t="s">
        <v>200</v>
      </c>
      <c r="E49" s="4">
        <v>2916.91</v>
      </c>
      <c r="F49" s="3">
        <v>0</v>
      </c>
      <c r="G49" s="4">
        <v>47701.67</v>
      </c>
      <c r="H49" s="3" t="s">
        <v>716</v>
      </c>
      <c r="I49" s="53">
        <f t="shared" si="1"/>
        <v>0</v>
      </c>
      <c r="J49" s="5">
        <f t="shared" si="2"/>
        <v>45071</v>
      </c>
      <c r="K49" s="5" t="str">
        <f t="shared" si="3"/>
        <v xml:space="preserve">   TO TRANSFER-ForTrading--</v>
      </c>
      <c r="L49" s="5" t="str">
        <f t="shared" si="4"/>
        <v xml:space="preserve">TRANSFER TO 41128839515                           </v>
      </c>
      <c r="M49" s="9">
        <f t="shared" si="5"/>
        <v>2916.91</v>
      </c>
      <c r="N49" s="9">
        <f t="shared" si="6"/>
        <v>0</v>
      </c>
      <c r="O49" s="9">
        <f t="shared" si="7"/>
        <v>47701.67</v>
      </c>
      <c r="P49" s="8" t="str">
        <f t="shared" si="8"/>
        <v>SBI 3479</v>
      </c>
    </row>
    <row r="50" spans="1:16" x14ac:dyDescent="0.3">
      <c r="A50" s="5">
        <v>45072</v>
      </c>
      <c r="B50" s="5">
        <v>45072</v>
      </c>
      <c r="C50" s="3" t="s">
        <v>201</v>
      </c>
      <c r="D50" s="3" t="s">
        <v>200</v>
      </c>
      <c r="E50" s="4">
        <v>39892.57</v>
      </c>
      <c r="F50" s="3">
        <v>0</v>
      </c>
      <c r="G50" s="4">
        <v>7809.1</v>
      </c>
      <c r="H50" s="3" t="s">
        <v>716</v>
      </c>
      <c r="I50" s="53">
        <f t="shared" si="1"/>
        <v>0</v>
      </c>
      <c r="J50" s="5">
        <f t="shared" si="2"/>
        <v>45072</v>
      </c>
      <c r="K50" s="5" t="str">
        <f t="shared" si="3"/>
        <v xml:space="preserve">   TO TRANSFER-ForTrading--</v>
      </c>
      <c r="L50" s="5" t="str">
        <f t="shared" si="4"/>
        <v xml:space="preserve">TRANSFER TO 41128839515                           </v>
      </c>
      <c r="M50" s="9">
        <f t="shared" si="5"/>
        <v>39892.57</v>
      </c>
      <c r="N50" s="9">
        <f t="shared" si="6"/>
        <v>0</v>
      </c>
      <c r="O50" s="9">
        <f t="shared" si="7"/>
        <v>7809.1</v>
      </c>
      <c r="P50" s="8" t="str">
        <f t="shared" si="8"/>
        <v>SBI 3479</v>
      </c>
    </row>
    <row r="51" spans="1:16" x14ac:dyDescent="0.3">
      <c r="A51" s="5">
        <v>45076</v>
      </c>
      <c r="B51" s="5">
        <v>45076</v>
      </c>
      <c r="C51" s="3" t="s">
        <v>183</v>
      </c>
      <c r="D51" s="3" t="s">
        <v>304</v>
      </c>
      <c r="E51" s="4">
        <v>0</v>
      </c>
      <c r="F51" s="3">
        <v>9195.2000000000007</v>
      </c>
      <c r="G51" s="4">
        <v>17004.3</v>
      </c>
      <c r="H51" s="3" t="s">
        <v>716</v>
      </c>
      <c r="I51" s="53">
        <f t="shared" si="1"/>
        <v>0</v>
      </c>
      <c r="J51" s="5">
        <f t="shared" si="2"/>
        <v>45076</v>
      </c>
      <c r="K51" s="5" t="str">
        <f t="shared" si="3"/>
        <v xml:space="preserve">   BY TRANSFER-INB -For 19260165--</v>
      </c>
      <c r="L51" s="5" t="str">
        <f t="shared" si="4"/>
        <v>6504816650CTX2058732               TRANSFER FROM 4</v>
      </c>
      <c r="M51" s="9">
        <f t="shared" si="5"/>
        <v>0</v>
      </c>
      <c r="N51" s="9">
        <f t="shared" si="6"/>
        <v>9195.2000000000007</v>
      </c>
      <c r="O51" s="9">
        <f t="shared" si="7"/>
        <v>17004.3</v>
      </c>
      <c r="P51" s="8" t="str">
        <f t="shared" si="8"/>
        <v>SBI 3479</v>
      </c>
    </row>
    <row r="52" spans="1:16" x14ac:dyDescent="0.3">
      <c r="A52" s="5">
        <v>45076</v>
      </c>
      <c r="B52" s="5">
        <v>45076</v>
      </c>
      <c r="C52" s="3" t="s">
        <v>183</v>
      </c>
      <c r="D52" s="3" t="s">
        <v>303</v>
      </c>
      <c r="E52" s="4">
        <v>0</v>
      </c>
      <c r="F52" s="3">
        <v>28919.23</v>
      </c>
      <c r="G52" s="4">
        <v>45923.53</v>
      </c>
      <c r="H52" s="3" t="s">
        <v>716</v>
      </c>
      <c r="I52" s="53">
        <f t="shared" si="1"/>
        <v>0</v>
      </c>
      <c r="J52" s="5">
        <f t="shared" si="2"/>
        <v>45076</v>
      </c>
      <c r="K52" s="5" t="str">
        <f t="shared" si="3"/>
        <v xml:space="preserve">   BY TRANSFER-INB -For 19260165--</v>
      </c>
      <c r="L52" s="5" t="str">
        <f t="shared" si="4"/>
        <v>6504851594CTX2209893               TRANSFER FROM 4</v>
      </c>
      <c r="M52" s="9">
        <f t="shared" si="5"/>
        <v>0</v>
      </c>
      <c r="N52" s="9">
        <f t="shared" si="6"/>
        <v>28919.23</v>
      </c>
      <c r="O52" s="9">
        <f t="shared" si="7"/>
        <v>45923.53</v>
      </c>
      <c r="P52" s="8" t="str">
        <f t="shared" si="8"/>
        <v>SBI 3479</v>
      </c>
    </row>
    <row r="53" spans="1:16" x14ac:dyDescent="0.3">
      <c r="A53" s="5">
        <v>45078</v>
      </c>
      <c r="B53" s="5">
        <v>45078</v>
      </c>
      <c r="C53" s="3" t="s">
        <v>183</v>
      </c>
      <c r="D53" s="3" t="s">
        <v>302</v>
      </c>
      <c r="E53" s="4">
        <v>0</v>
      </c>
      <c r="F53" s="3">
        <v>9785.48</v>
      </c>
      <c r="G53" s="4">
        <v>55709.01</v>
      </c>
      <c r="H53" s="3" t="s">
        <v>716</v>
      </c>
      <c r="I53" s="53">
        <f t="shared" si="1"/>
        <v>0</v>
      </c>
      <c r="J53" s="5">
        <f t="shared" si="2"/>
        <v>45078</v>
      </c>
      <c r="K53" s="5" t="str">
        <f t="shared" si="3"/>
        <v xml:space="preserve">   BY TRANSFER-INB -For 19260165--</v>
      </c>
      <c r="L53" s="5" t="str">
        <f t="shared" si="4"/>
        <v>6504889095CTX2369247               TRANSFER FROM 4</v>
      </c>
      <c r="M53" s="9">
        <f t="shared" si="5"/>
        <v>0</v>
      </c>
      <c r="N53" s="9">
        <f t="shared" si="6"/>
        <v>9785.48</v>
      </c>
      <c r="O53" s="9">
        <f t="shared" si="7"/>
        <v>55709.01</v>
      </c>
      <c r="P53" s="8" t="str">
        <f t="shared" si="8"/>
        <v>SBI 3479</v>
      </c>
    </row>
    <row r="54" spans="1:16" x14ac:dyDescent="0.3">
      <c r="A54" s="5">
        <v>45078</v>
      </c>
      <c r="B54" s="5">
        <v>45078</v>
      </c>
      <c r="C54" s="3" t="s">
        <v>234</v>
      </c>
      <c r="D54" s="3" t="s">
        <v>301</v>
      </c>
      <c r="E54" s="4">
        <v>0</v>
      </c>
      <c r="F54" s="3">
        <v>30000</v>
      </c>
      <c r="G54" s="4">
        <v>85709.01</v>
      </c>
      <c r="H54" s="3" t="s">
        <v>716</v>
      </c>
      <c r="I54" s="53">
        <f t="shared" si="1"/>
        <v>0</v>
      </c>
      <c r="J54" s="5">
        <f t="shared" si="2"/>
        <v>45078</v>
      </c>
      <c r="K54" s="5" t="str">
        <f t="shared" si="3"/>
        <v xml:space="preserve">   BY TRANSFER-INB Deposit / Investment--</v>
      </c>
      <c r="L54" s="5" t="str">
        <f t="shared" si="4"/>
        <v>IIB8049885               TRANSFER FROM 32718635441</v>
      </c>
      <c r="M54" s="9">
        <f t="shared" si="5"/>
        <v>0</v>
      </c>
      <c r="N54" s="9">
        <f t="shared" si="6"/>
        <v>30000</v>
      </c>
      <c r="O54" s="9">
        <f t="shared" si="7"/>
        <v>85709.01</v>
      </c>
      <c r="P54" s="8" t="str">
        <f t="shared" si="8"/>
        <v>SBI 3479</v>
      </c>
    </row>
    <row r="55" spans="1:16" x14ac:dyDescent="0.3">
      <c r="A55" s="5">
        <v>45078</v>
      </c>
      <c r="B55" s="5">
        <v>45078</v>
      </c>
      <c r="C55" s="3" t="s">
        <v>183</v>
      </c>
      <c r="D55" s="3" t="s">
        <v>300</v>
      </c>
      <c r="E55" s="4">
        <v>0</v>
      </c>
      <c r="F55" s="3">
        <v>27650.57</v>
      </c>
      <c r="G55" s="4">
        <v>113359.58</v>
      </c>
      <c r="H55" s="3" t="s">
        <v>716</v>
      </c>
      <c r="I55" s="53">
        <f t="shared" si="1"/>
        <v>0</v>
      </c>
      <c r="J55" s="5">
        <f t="shared" si="2"/>
        <v>45078</v>
      </c>
      <c r="K55" s="5" t="str">
        <f t="shared" si="3"/>
        <v xml:space="preserve">   BY TRANSFER-INB -For 19260165--</v>
      </c>
      <c r="L55" s="5" t="str">
        <f t="shared" si="4"/>
        <v>6504928154CTX2539155               TRANSFER FROM 4</v>
      </c>
      <c r="M55" s="9">
        <f t="shared" si="5"/>
        <v>0</v>
      </c>
      <c r="N55" s="9">
        <f t="shared" si="6"/>
        <v>27650.57</v>
      </c>
      <c r="O55" s="9">
        <f t="shared" si="7"/>
        <v>113359.58</v>
      </c>
      <c r="P55" s="8" t="str">
        <f t="shared" si="8"/>
        <v>SBI 3479</v>
      </c>
    </row>
    <row r="56" spans="1:16" x14ac:dyDescent="0.3">
      <c r="A56" s="5">
        <v>45079</v>
      </c>
      <c r="B56" s="5">
        <v>45079</v>
      </c>
      <c r="C56" s="3" t="s">
        <v>214</v>
      </c>
      <c r="D56" s="3" t="s">
        <v>206</v>
      </c>
      <c r="E56" s="4">
        <v>26595</v>
      </c>
      <c r="F56" s="3">
        <v>0</v>
      </c>
      <c r="G56" s="4">
        <v>86764.58</v>
      </c>
      <c r="H56" s="3" t="s">
        <v>716</v>
      </c>
      <c r="I56" s="53">
        <f t="shared" si="1"/>
        <v>0</v>
      </c>
      <c r="J56" s="5">
        <f t="shared" si="2"/>
        <v>45079</v>
      </c>
      <c r="K56" s="5" t="str">
        <f t="shared" si="3"/>
        <v xml:space="preserve">   WITHDRAWAL TRANSFER---</v>
      </c>
      <c r="L56" s="5" t="str">
        <f t="shared" si="4"/>
        <v xml:space="preserve">TRANSFER TO 32718635441                           </v>
      </c>
      <c r="M56" s="9">
        <f t="shared" si="5"/>
        <v>26595</v>
      </c>
      <c r="N56" s="9">
        <f t="shared" si="6"/>
        <v>0</v>
      </c>
      <c r="O56" s="9">
        <f t="shared" si="7"/>
        <v>86764.58</v>
      </c>
      <c r="P56" s="8" t="str">
        <f t="shared" si="8"/>
        <v>SBI 3479</v>
      </c>
    </row>
    <row r="57" spans="1:16" x14ac:dyDescent="0.3">
      <c r="A57" s="5">
        <v>45079</v>
      </c>
      <c r="B57" s="5">
        <v>45079</v>
      </c>
      <c r="C57" s="3" t="s">
        <v>201</v>
      </c>
      <c r="D57" s="3" t="s">
        <v>200</v>
      </c>
      <c r="E57" s="4">
        <v>50911.37</v>
      </c>
      <c r="F57" s="3">
        <v>0</v>
      </c>
      <c r="G57" s="4">
        <v>35853.21</v>
      </c>
      <c r="H57" s="3" t="s">
        <v>716</v>
      </c>
      <c r="I57" s="53">
        <f t="shared" si="1"/>
        <v>0</v>
      </c>
      <c r="J57" s="5">
        <f t="shared" si="2"/>
        <v>45079</v>
      </c>
      <c r="K57" s="5" t="str">
        <f t="shared" si="3"/>
        <v xml:space="preserve">   TO TRANSFER-ForTrading--</v>
      </c>
      <c r="L57" s="5" t="str">
        <f t="shared" si="4"/>
        <v xml:space="preserve">TRANSFER TO 41128839515                           </v>
      </c>
      <c r="M57" s="9">
        <f t="shared" si="5"/>
        <v>50911.37</v>
      </c>
      <c r="N57" s="9">
        <f t="shared" si="6"/>
        <v>0</v>
      </c>
      <c r="O57" s="9">
        <f t="shared" si="7"/>
        <v>35853.21</v>
      </c>
      <c r="P57" s="8" t="str">
        <f t="shared" si="8"/>
        <v>SBI 3479</v>
      </c>
    </row>
    <row r="58" spans="1:16" x14ac:dyDescent="0.3">
      <c r="A58" s="5">
        <v>45082</v>
      </c>
      <c r="B58" s="5">
        <v>45082</v>
      </c>
      <c r="C58" s="3" t="s">
        <v>234</v>
      </c>
      <c r="D58" s="3" t="s">
        <v>299</v>
      </c>
      <c r="E58" s="4">
        <v>0</v>
      </c>
      <c r="F58" s="3">
        <v>75000</v>
      </c>
      <c r="G58" s="4">
        <v>110853.21</v>
      </c>
      <c r="H58" s="3" t="s">
        <v>716</v>
      </c>
      <c r="I58" s="53">
        <f t="shared" si="1"/>
        <v>0</v>
      </c>
      <c r="J58" s="5">
        <f t="shared" si="2"/>
        <v>45082</v>
      </c>
      <c r="K58" s="5" t="str">
        <f t="shared" si="3"/>
        <v xml:space="preserve">   BY TRANSFER-INB Deposit / Investment--</v>
      </c>
      <c r="L58" s="5" t="str">
        <f t="shared" si="4"/>
        <v>IIB8169986               TRANSFER FROM 32718635441</v>
      </c>
      <c r="M58" s="9">
        <f t="shared" si="5"/>
        <v>0</v>
      </c>
      <c r="N58" s="9">
        <f t="shared" si="6"/>
        <v>75000</v>
      </c>
      <c r="O58" s="9">
        <f t="shared" si="7"/>
        <v>110853.21</v>
      </c>
      <c r="P58" s="8" t="str">
        <f t="shared" si="8"/>
        <v>SBI 3479</v>
      </c>
    </row>
    <row r="59" spans="1:16" x14ac:dyDescent="0.3">
      <c r="A59" s="5">
        <v>45082</v>
      </c>
      <c r="B59" s="5">
        <v>45082</v>
      </c>
      <c r="C59" s="3" t="s">
        <v>201</v>
      </c>
      <c r="D59" s="3" t="s">
        <v>211</v>
      </c>
      <c r="E59" s="4">
        <v>80000</v>
      </c>
      <c r="F59" s="3">
        <v>0</v>
      </c>
      <c r="G59" s="4">
        <v>30853.21</v>
      </c>
      <c r="H59" s="3" t="s">
        <v>716</v>
      </c>
      <c r="I59" s="53">
        <f t="shared" si="1"/>
        <v>0</v>
      </c>
      <c r="J59" s="5">
        <f t="shared" si="2"/>
        <v>45082</v>
      </c>
      <c r="K59" s="5" t="str">
        <f t="shared" si="3"/>
        <v xml:space="preserve">   TO TRANSFER-ForTrading--</v>
      </c>
      <c r="L59" s="5" t="str">
        <f t="shared" si="4"/>
        <v xml:space="preserve">TRANSFER TO 31842374252                           </v>
      </c>
      <c r="M59" s="9">
        <f t="shared" si="5"/>
        <v>80000</v>
      </c>
      <c r="N59" s="9">
        <f t="shared" si="6"/>
        <v>0</v>
      </c>
      <c r="O59" s="9">
        <f t="shared" si="7"/>
        <v>30853.21</v>
      </c>
      <c r="P59" s="8" t="str">
        <f t="shared" si="8"/>
        <v>SBI 3479</v>
      </c>
    </row>
    <row r="60" spans="1:16" x14ac:dyDescent="0.3">
      <c r="A60" s="5">
        <v>45084</v>
      </c>
      <c r="B60" s="5">
        <v>45084</v>
      </c>
      <c r="C60" s="3" t="s">
        <v>201</v>
      </c>
      <c r="D60" s="3" t="s">
        <v>200</v>
      </c>
      <c r="E60" s="4">
        <v>10000</v>
      </c>
      <c r="F60" s="3">
        <v>0</v>
      </c>
      <c r="G60" s="4">
        <v>20853.21</v>
      </c>
      <c r="H60" s="3" t="s">
        <v>716</v>
      </c>
      <c r="I60" s="53">
        <f t="shared" si="1"/>
        <v>0</v>
      </c>
      <c r="J60" s="5">
        <f t="shared" si="2"/>
        <v>45084</v>
      </c>
      <c r="K60" s="5" t="str">
        <f t="shared" si="3"/>
        <v xml:space="preserve">   TO TRANSFER-ForTrading--</v>
      </c>
      <c r="L60" s="5" t="str">
        <f t="shared" si="4"/>
        <v xml:space="preserve">TRANSFER TO 41128839515                           </v>
      </c>
      <c r="M60" s="9">
        <f t="shared" si="5"/>
        <v>10000</v>
      </c>
      <c r="N60" s="9">
        <f t="shared" si="6"/>
        <v>0</v>
      </c>
      <c r="O60" s="9">
        <f t="shared" si="7"/>
        <v>20853.21</v>
      </c>
      <c r="P60" s="8" t="str">
        <f t="shared" si="8"/>
        <v>SBI 3479</v>
      </c>
    </row>
    <row r="61" spans="1:16" x14ac:dyDescent="0.3">
      <c r="A61" s="5">
        <v>45086</v>
      </c>
      <c r="B61" s="5">
        <v>45086</v>
      </c>
      <c r="C61" s="3" t="s">
        <v>201</v>
      </c>
      <c r="D61" s="3" t="s">
        <v>200</v>
      </c>
      <c r="E61" s="4">
        <v>17000</v>
      </c>
      <c r="F61" s="3">
        <v>0</v>
      </c>
      <c r="G61" s="4">
        <v>3853.21</v>
      </c>
      <c r="H61" s="3" t="s">
        <v>716</v>
      </c>
      <c r="I61" s="53">
        <f t="shared" si="1"/>
        <v>0</v>
      </c>
      <c r="J61" s="5">
        <f t="shared" si="2"/>
        <v>45086</v>
      </c>
      <c r="K61" s="5" t="str">
        <f t="shared" si="3"/>
        <v xml:space="preserve">   TO TRANSFER-ForTrading--</v>
      </c>
      <c r="L61" s="5" t="str">
        <f t="shared" si="4"/>
        <v xml:space="preserve">TRANSFER TO 41128839515                           </v>
      </c>
      <c r="M61" s="9">
        <f t="shared" si="5"/>
        <v>17000</v>
      </c>
      <c r="N61" s="9">
        <f t="shared" si="6"/>
        <v>0</v>
      </c>
      <c r="O61" s="9">
        <f t="shared" si="7"/>
        <v>3853.21</v>
      </c>
      <c r="P61" s="8" t="str">
        <f t="shared" si="8"/>
        <v>SBI 3479</v>
      </c>
    </row>
    <row r="62" spans="1:16" x14ac:dyDescent="0.3">
      <c r="A62" s="5">
        <v>45087</v>
      </c>
      <c r="B62" s="5">
        <v>45087</v>
      </c>
      <c r="C62" s="3" t="s">
        <v>287</v>
      </c>
      <c r="D62" s="3" t="s">
        <v>298</v>
      </c>
      <c r="E62" s="4">
        <v>424.8</v>
      </c>
      <c r="F62" s="3">
        <v>0</v>
      </c>
      <c r="G62" s="4">
        <v>3428.41</v>
      </c>
      <c r="H62" s="3" t="s">
        <v>716</v>
      </c>
      <c r="I62" s="53">
        <f t="shared" si="1"/>
        <v>0</v>
      </c>
      <c r="J62" s="5">
        <f t="shared" si="2"/>
        <v>45087</v>
      </c>
      <c r="K62" s="5" t="str">
        <f t="shared" si="3"/>
        <v xml:space="preserve">   TO TRANSFER-CMP SBI CAPS--</v>
      </c>
      <c r="L62" s="5" t="str">
        <f t="shared" si="4"/>
        <v>CMP00000000667185969AOJI483369               TRANS</v>
      </c>
      <c r="M62" s="9">
        <f t="shared" si="5"/>
        <v>424.8</v>
      </c>
      <c r="N62" s="9">
        <f t="shared" si="6"/>
        <v>0</v>
      </c>
      <c r="O62" s="9">
        <f t="shared" si="7"/>
        <v>3428.41</v>
      </c>
      <c r="P62" s="8" t="str">
        <f t="shared" si="8"/>
        <v>SBI 3479</v>
      </c>
    </row>
    <row r="63" spans="1:16" x14ac:dyDescent="0.3">
      <c r="A63" s="5">
        <v>45089</v>
      </c>
      <c r="B63" s="5">
        <v>45089</v>
      </c>
      <c r="C63" s="3" t="s">
        <v>201</v>
      </c>
      <c r="D63" s="3" t="s">
        <v>200</v>
      </c>
      <c r="E63" s="4">
        <v>3000</v>
      </c>
      <c r="F63" s="3">
        <v>0</v>
      </c>
      <c r="G63" s="4">
        <v>428.41</v>
      </c>
      <c r="H63" s="3" t="s">
        <v>716</v>
      </c>
      <c r="I63" s="53">
        <f t="shared" si="1"/>
        <v>0</v>
      </c>
      <c r="J63" s="5">
        <f t="shared" si="2"/>
        <v>45089</v>
      </c>
      <c r="K63" s="5" t="str">
        <f t="shared" si="3"/>
        <v xml:space="preserve">   TO TRANSFER-ForTrading--</v>
      </c>
      <c r="L63" s="5" t="str">
        <f t="shared" si="4"/>
        <v xml:space="preserve">TRANSFER TO 41128839515                           </v>
      </c>
      <c r="M63" s="9">
        <f t="shared" si="5"/>
        <v>3000</v>
      </c>
      <c r="N63" s="9">
        <f t="shared" si="6"/>
        <v>0</v>
      </c>
      <c r="O63" s="9">
        <f t="shared" si="7"/>
        <v>428.41</v>
      </c>
      <c r="P63" s="8" t="str">
        <f t="shared" si="8"/>
        <v>SBI 3479</v>
      </c>
    </row>
    <row r="64" spans="1:16" x14ac:dyDescent="0.3">
      <c r="A64" s="5">
        <v>45089</v>
      </c>
      <c r="B64" s="5">
        <v>45089</v>
      </c>
      <c r="C64" s="3" t="s">
        <v>234</v>
      </c>
      <c r="D64" s="3" t="s">
        <v>297</v>
      </c>
      <c r="E64" s="4">
        <v>0</v>
      </c>
      <c r="F64" s="3">
        <v>10000</v>
      </c>
      <c r="G64" s="4">
        <v>10428.41</v>
      </c>
      <c r="H64" s="3" t="s">
        <v>716</v>
      </c>
      <c r="I64" s="53">
        <f t="shared" si="1"/>
        <v>0</v>
      </c>
      <c r="J64" s="5">
        <f t="shared" si="2"/>
        <v>45089</v>
      </c>
      <c r="K64" s="5" t="str">
        <f t="shared" si="3"/>
        <v xml:space="preserve">   BY TRANSFER-INB Deposit / Investment--</v>
      </c>
      <c r="L64" s="5" t="str">
        <f t="shared" si="4"/>
        <v>IIB8402515               TRANSFER FROM 32718635441</v>
      </c>
      <c r="M64" s="9">
        <f t="shared" si="5"/>
        <v>0</v>
      </c>
      <c r="N64" s="9">
        <f t="shared" si="6"/>
        <v>10000</v>
      </c>
      <c r="O64" s="9">
        <f t="shared" si="7"/>
        <v>10428.41</v>
      </c>
      <c r="P64" s="8" t="str">
        <f t="shared" si="8"/>
        <v>SBI 3479</v>
      </c>
    </row>
    <row r="65" spans="1:16" x14ac:dyDescent="0.3">
      <c r="A65" s="5">
        <v>45090</v>
      </c>
      <c r="B65" s="5">
        <v>45090</v>
      </c>
      <c r="C65" s="3" t="s">
        <v>201</v>
      </c>
      <c r="D65" s="3" t="s">
        <v>211</v>
      </c>
      <c r="E65" s="4">
        <v>602.98</v>
      </c>
      <c r="F65" s="3">
        <v>0</v>
      </c>
      <c r="G65" s="4">
        <v>9825.43</v>
      </c>
      <c r="H65" s="3" t="s">
        <v>716</v>
      </c>
      <c r="I65" s="53">
        <f t="shared" si="1"/>
        <v>0</v>
      </c>
      <c r="J65" s="5">
        <f t="shared" si="2"/>
        <v>45090</v>
      </c>
      <c r="K65" s="5" t="str">
        <f t="shared" si="3"/>
        <v xml:space="preserve">   TO TRANSFER-ForTrading--</v>
      </c>
      <c r="L65" s="5" t="str">
        <f t="shared" si="4"/>
        <v xml:space="preserve">TRANSFER TO 31842374252                           </v>
      </c>
      <c r="M65" s="9">
        <f t="shared" si="5"/>
        <v>602.98</v>
      </c>
      <c r="N65" s="9">
        <f t="shared" si="6"/>
        <v>0</v>
      </c>
      <c r="O65" s="9">
        <f t="shared" si="7"/>
        <v>9825.43</v>
      </c>
      <c r="P65" s="8" t="str">
        <f t="shared" si="8"/>
        <v>SBI 3479</v>
      </c>
    </row>
    <row r="66" spans="1:16" x14ac:dyDescent="0.3">
      <c r="A66" s="5">
        <v>45092</v>
      </c>
      <c r="B66" s="5">
        <v>45092</v>
      </c>
      <c r="C66" s="3" t="s">
        <v>234</v>
      </c>
      <c r="D66" s="3" t="s">
        <v>296</v>
      </c>
      <c r="E66" s="4">
        <v>0</v>
      </c>
      <c r="F66" s="3">
        <v>75000</v>
      </c>
      <c r="G66" s="4">
        <v>84825.43</v>
      </c>
      <c r="H66" s="3" t="s">
        <v>716</v>
      </c>
      <c r="I66" s="53">
        <f t="shared" si="1"/>
        <v>0</v>
      </c>
      <c r="J66" s="5">
        <f t="shared" si="2"/>
        <v>45092</v>
      </c>
      <c r="K66" s="5" t="str">
        <f t="shared" si="3"/>
        <v xml:space="preserve">   BY TRANSFER-INB Deposit / Investment--</v>
      </c>
      <c r="L66" s="5" t="str">
        <f t="shared" si="4"/>
        <v>IIB8464838               TRANSFER FROM 32718635441</v>
      </c>
      <c r="M66" s="9">
        <f t="shared" si="5"/>
        <v>0</v>
      </c>
      <c r="N66" s="9">
        <f t="shared" si="6"/>
        <v>75000</v>
      </c>
      <c r="O66" s="9">
        <f t="shared" si="7"/>
        <v>84825.43</v>
      </c>
      <c r="P66" s="8" t="str">
        <f t="shared" si="8"/>
        <v>SBI 3479</v>
      </c>
    </row>
    <row r="67" spans="1:16" x14ac:dyDescent="0.3">
      <c r="A67" s="5">
        <v>45092</v>
      </c>
      <c r="B67" s="5">
        <v>45092</v>
      </c>
      <c r="C67" s="3" t="s">
        <v>201</v>
      </c>
      <c r="D67" s="3" t="s">
        <v>200</v>
      </c>
      <c r="E67" s="4">
        <v>9775.42</v>
      </c>
      <c r="F67" s="3">
        <v>0</v>
      </c>
      <c r="G67" s="4">
        <v>75050.009999999995</v>
      </c>
      <c r="H67" s="3" t="s">
        <v>716</v>
      </c>
      <c r="I67" s="53">
        <f t="shared" si="1"/>
        <v>0</v>
      </c>
      <c r="J67" s="5">
        <f t="shared" si="2"/>
        <v>45092</v>
      </c>
      <c r="K67" s="5" t="str">
        <f t="shared" si="3"/>
        <v xml:space="preserve">   TO TRANSFER-ForTrading--</v>
      </c>
      <c r="L67" s="5" t="str">
        <f t="shared" si="4"/>
        <v xml:space="preserve">TRANSFER TO 41128839515                           </v>
      </c>
      <c r="M67" s="9">
        <f t="shared" si="5"/>
        <v>9775.42</v>
      </c>
      <c r="N67" s="9">
        <f t="shared" si="6"/>
        <v>0</v>
      </c>
      <c r="O67" s="9">
        <f t="shared" si="7"/>
        <v>75050.009999999995</v>
      </c>
      <c r="P67" s="8" t="str">
        <f t="shared" si="8"/>
        <v>SBI 3479</v>
      </c>
    </row>
    <row r="68" spans="1:16" x14ac:dyDescent="0.3">
      <c r="A68" s="5">
        <v>45093</v>
      </c>
      <c r="B68" s="5">
        <v>45093</v>
      </c>
      <c r="C68" s="3" t="s">
        <v>295</v>
      </c>
      <c r="E68" s="4">
        <v>0</v>
      </c>
      <c r="F68" s="3">
        <v>600</v>
      </c>
      <c r="G68" s="4">
        <v>75650.009999999995</v>
      </c>
      <c r="H68" s="3" t="s">
        <v>716</v>
      </c>
      <c r="I68" s="53">
        <f t="shared" si="1"/>
        <v>0</v>
      </c>
      <c r="J68" s="5">
        <f t="shared" si="2"/>
        <v>45093</v>
      </c>
      <c r="K68" s="5" t="str">
        <f t="shared" si="3"/>
        <v xml:space="preserve">   BULK POSTING-ACHCr UTIB00862000018061 IIL FINAL 2022--</v>
      </c>
      <c r="L68" s="5">
        <f t="shared" si="4"/>
        <v>0</v>
      </c>
      <c r="M68" s="9">
        <f t="shared" si="5"/>
        <v>0</v>
      </c>
      <c r="N68" s="9">
        <f t="shared" si="6"/>
        <v>600</v>
      </c>
      <c r="O68" s="9">
        <f t="shared" si="7"/>
        <v>75650.009999999995</v>
      </c>
      <c r="P68" s="8" t="str">
        <f t="shared" si="8"/>
        <v>SBI 3479</v>
      </c>
    </row>
    <row r="69" spans="1:16" x14ac:dyDescent="0.3">
      <c r="A69" s="5">
        <v>45097</v>
      </c>
      <c r="B69" s="5">
        <v>45097</v>
      </c>
      <c r="C69" s="3" t="s">
        <v>194</v>
      </c>
      <c r="D69" s="3" t="s">
        <v>294</v>
      </c>
      <c r="E69" s="4">
        <v>22004</v>
      </c>
      <c r="F69" s="3">
        <v>0</v>
      </c>
      <c r="G69" s="4">
        <v>53646.01</v>
      </c>
      <c r="H69" s="3" t="s">
        <v>716</v>
      </c>
      <c r="I69" s="53">
        <f t="shared" si="1"/>
        <v>0</v>
      </c>
      <c r="J69" s="5">
        <f t="shared" si="2"/>
        <v>45097</v>
      </c>
      <c r="K69" s="5" t="str">
        <f t="shared" si="3"/>
        <v xml:space="preserve">   TO TRANSFER-INB SBICARD FOR BILLDESK      SBICARD Payments--</v>
      </c>
      <c r="L69" s="5" t="str">
        <f t="shared" si="4"/>
        <v>YSBI1955450045IGAPTJWVV9               TRANSFER TO</v>
      </c>
      <c r="M69" s="9">
        <f t="shared" si="5"/>
        <v>22004</v>
      </c>
      <c r="N69" s="9">
        <f t="shared" si="6"/>
        <v>0</v>
      </c>
      <c r="O69" s="9">
        <f t="shared" si="7"/>
        <v>53646.01</v>
      </c>
      <c r="P69" s="8" t="str">
        <f t="shared" si="8"/>
        <v>SBI 3479</v>
      </c>
    </row>
    <row r="70" spans="1:16" x14ac:dyDescent="0.3">
      <c r="A70" s="5">
        <v>45101</v>
      </c>
      <c r="B70" s="5">
        <v>45101</v>
      </c>
      <c r="C70" s="3" t="s">
        <v>183</v>
      </c>
      <c r="D70" s="3" t="s">
        <v>293</v>
      </c>
      <c r="E70" s="4">
        <v>0</v>
      </c>
      <c r="F70" s="3">
        <v>15281.68</v>
      </c>
      <c r="G70" s="4">
        <v>68927.69</v>
      </c>
      <c r="H70" s="3" t="s">
        <v>716</v>
      </c>
      <c r="I70" s="53">
        <f t="shared" si="1"/>
        <v>0</v>
      </c>
      <c r="J70" s="5">
        <f t="shared" si="2"/>
        <v>45101</v>
      </c>
      <c r="K70" s="5" t="str">
        <f t="shared" si="3"/>
        <v xml:space="preserve">   BY TRANSFER-INB -For 19260165--</v>
      </c>
      <c r="L70" s="5" t="str">
        <f t="shared" si="4"/>
        <v>6505821497CTX5583074               TRANSFER FROM 4</v>
      </c>
      <c r="M70" s="9">
        <f t="shared" si="5"/>
        <v>0</v>
      </c>
      <c r="N70" s="9">
        <f t="shared" si="6"/>
        <v>15281.68</v>
      </c>
      <c r="O70" s="9">
        <f t="shared" si="7"/>
        <v>68927.69</v>
      </c>
      <c r="P70" s="8" t="str">
        <f t="shared" si="8"/>
        <v>SBI 3479</v>
      </c>
    </row>
    <row r="71" spans="1:16" x14ac:dyDescent="0.3">
      <c r="A71" s="5">
        <v>45102</v>
      </c>
      <c r="B71" s="5">
        <v>45102</v>
      </c>
      <c r="C71" s="3" t="s">
        <v>197</v>
      </c>
      <c r="D71" s="3" t="s">
        <v>292</v>
      </c>
      <c r="E71" s="4">
        <v>40000</v>
      </c>
      <c r="F71" s="3">
        <v>0</v>
      </c>
      <c r="G71" s="4">
        <v>28927.69</v>
      </c>
      <c r="H71" s="3" t="s">
        <v>716</v>
      </c>
      <c r="I71" s="53">
        <f t="shared" si="1"/>
        <v>0</v>
      </c>
      <c r="J71" s="5">
        <f t="shared" si="2"/>
        <v>45102</v>
      </c>
      <c r="K71" s="5" t="str">
        <f t="shared" si="3"/>
        <v xml:space="preserve">   TO TRANSFER-INB Payment towards loan repayment--</v>
      </c>
      <c r="L71" s="5" t="str">
        <f t="shared" si="4"/>
        <v xml:space="preserve">IIB8695782               TRANSFER TO 32718635441  </v>
      </c>
      <c r="M71" s="9">
        <f t="shared" si="5"/>
        <v>40000</v>
      </c>
      <c r="N71" s="9">
        <f t="shared" si="6"/>
        <v>0</v>
      </c>
      <c r="O71" s="9">
        <f t="shared" si="7"/>
        <v>28927.69</v>
      </c>
      <c r="P71" s="8" t="str">
        <f t="shared" si="8"/>
        <v>SBI 3479</v>
      </c>
    </row>
    <row r="72" spans="1:16" x14ac:dyDescent="0.3">
      <c r="A72" s="5">
        <v>45102</v>
      </c>
      <c r="B72" s="5">
        <v>45102</v>
      </c>
      <c r="C72" s="3" t="s">
        <v>187</v>
      </c>
      <c r="E72" s="4">
        <v>0</v>
      </c>
      <c r="F72" s="3">
        <v>231</v>
      </c>
      <c r="G72" s="4">
        <v>29158.69</v>
      </c>
      <c r="H72" s="3" t="s">
        <v>716</v>
      </c>
      <c r="I72" s="53">
        <f t="shared" si="1"/>
        <v>0</v>
      </c>
      <c r="J72" s="5">
        <f t="shared" si="2"/>
        <v>45102</v>
      </c>
      <c r="K72" s="5" t="str">
        <f t="shared" si="3"/>
        <v xml:space="preserve">   CREDIT INTEREST---</v>
      </c>
      <c r="L72" s="5">
        <f t="shared" si="4"/>
        <v>0</v>
      </c>
      <c r="M72" s="9">
        <f t="shared" si="5"/>
        <v>0</v>
      </c>
      <c r="N72" s="9">
        <f t="shared" si="6"/>
        <v>231</v>
      </c>
      <c r="O72" s="9">
        <f t="shared" si="7"/>
        <v>29158.69</v>
      </c>
      <c r="P72" s="8" t="str">
        <f t="shared" si="8"/>
        <v>SBI 3479</v>
      </c>
    </row>
    <row r="73" spans="1:16" x14ac:dyDescent="0.3">
      <c r="A73" s="5">
        <v>45105</v>
      </c>
      <c r="B73" s="5">
        <v>45105</v>
      </c>
      <c r="C73" s="3" t="s">
        <v>291</v>
      </c>
      <c r="D73" s="3" t="s">
        <v>290</v>
      </c>
      <c r="E73" s="4">
        <v>0</v>
      </c>
      <c r="F73" s="3">
        <v>500</v>
      </c>
      <c r="G73" s="4">
        <v>29658.69</v>
      </c>
      <c r="H73" s="3" t="s">
        <v>716</v>
      </c>
      <c r="I73" s="53">
        <f t="shared" si="1"/>
        <v>0</v>
      </c>
      <c r="J73" s="5">
        <f t="shared" si="2"/>
        <v>45105</v>
      </c>
      <c r="K73" s="5" t="str">
        <f t="shared" si="3"/>
        <v xml:space="preserve">   BY TRANSFER-NEFT*KKBK0000958*KKBKH23179159219*MARUTI INTERIOR--</v>
      </c>
      <c r="L73" s="5" t="str">
        <f t="shared" si="4"/>
        <v>TRANSFER FROM 3199967044305</v>
      </c>
      <c r="M73" s="9">
        <f t="shared" si="5"/>
        <v>0</v>
      </c>
      <c r="N73" s="9">
        <f t="shared" si="6"/>
        <v>500</v>
      </c>
      <c r="O73" s="9">
        <f t="shared" si="7"/>
        <v>29658.69</v>
      </c>
      <c r="P73" s="8" t="str">
        <f t="shared" si="8"/>
        <v>SBI 3479</v>
      </c>
    </row>
    <row r="74" spans="1:16" x14ac:dyDescent="0.3">
      <c r="A74" s="5">
        <v>45109</v>
      </c>
      <c r="B74" s="5">
        <v>45109</v>
      </c>
      <c r="C74" s="3" t="s">
        <v>214</v>
      </c>
      <c r="D74" s="3" t="s">
        <v>206</v>
      </c>
      <c r="E74" s="4">
        <v>26595</v>
      </c>
      <c r="F74" s="3">
        <v>0</v>
      </c>
      <c r="G74" s="4">
        <v>3063.69</v>
      </c>
      <c r="H74" s="3" t="s">
        <v>716</v>
      </c>
      <c r="I74" s="53">
        <f t="shared" si="1"/>
        <v>0</v>
      </c>
      <c r="J74" s="5">
        <f t="shared" si="2"/>
        <v>45109</v>
      </c>
      <c r="K74" s="5" t="str">
        <f t="shared" si="3"/>
        <v xml:space="preserve">   WITHDRAWAL TRANSFER---</v>
      </c>
      <c r="L74" s="5" t="str">
        <f t="shared" si="4"/>
        <v xml:space="preserve">TRANSFER TO 32718635441                           </v>
      </c>
      <c r="M74" s="9">
        <f t="shared" si="5"/>
        <v>26595</v>
      </c>
      <c r="N74" s="9">
        <f t="shared" si="6"/>
        <v>0</v>
      </c>
      <c r="O74" s="9">
        <f t="shared" si="7"/>
        <v>3063.69</v>
      </c>
      <c r="P74" s="8" t="str">
        <f t="shared" si="8"/>
        <v>SBI 3479</v>
      </c>
    </row>
    <row r="75" spans="1:16" x14ac:dyDescent="0.3">
      <c r="A75" s="5">
        <v>45110</v>
      </c>
      <c r="B75" s="5">
        <v>45110</v>
      </c>
      <c r="C75" s="3" t="s">
        <v>289</v>
      </c>
      <c r="E75" s="4">
        <v>0</v>
      </c>
      <c r="F75" s="3">
        <v>600</v>
      </c>
      <c r="G75" s="4">
        <v>3663.69</v>
      </c>
      <c r="H75" s="3" t="s">
        <v>716</v>
      </c>
      <c r="I75" s="53">
        <f t="shared" si="1"/>
        <v>0</v>
      </c>
      <c r="J75" s="5">
        <f t="shared" si="2"/>
        <v>45110</v>
      </c>
      <c r="K75" s="5" t="str">
        <f t="shared" si="3"/>
        <v xml:space="preserve">   BULK POSTING-ACHCr UTIB01853000028122 TCS FINDIV 030--</v>
      </c>
      <c r="L75" s="5">
        <f t="shared" si="4"/>
        <v>0</v>
      </c>
      <c r="M75" s="9">
        <f t="shared" si="5"/>
        <v>0</v>
      </c>
      <c r="N75" s="9">
        <f t="shared" si="6"/>
        <v>600</v>
      </c>
      <c r="O75" s="9">
        <f t="shared" si="7"/>
        <v>3663.69</v>
      </c>
      <c r="P75" s="8" t="str">
        <f t="shared" si="8"/>
        <v>SBI 3479</v>
      </c>
    </row>
    <row r="76" spans="1:16" x14ac:dyDescent="0.3">
      <c r="A76" s="5">
        <v>45110</v>
      </c>
      <c r="B76" s="5">
        <v>45110</v>
      </c>
      <c r="C76" s="3" t="s">
        <v>226</v>
      </c>
      <c r="E76" s="4">
        <v>0</v>
      </c>
      <c r="F76" s="3">
        <v>437.5</v>
      </c>
      <c r="G76" s="4">
        <v>4101.1899999999996</v>
      </c>
      <c r="H76" s="3" t="s">
        <v>716</v>
      </c>
      <c r="I76" s="53">
        <f t="shared" si="1"/>
        <v>0</v>
      </c>
      <c r="J76" s="5">
        <f t="shared" si="2"/>
        <v>45110</v>
      </c>
      <c r="K76" s="5" t="str">
        <f t="shared" si="3"/>
        <v xml:space="preserve">   BULK POSTING-ACHCr ICIC02491000005006 INFOSYS LIMITE--</v>
      </c>
      <c r="L76" s="5">
        <f t="shared" si="4"/>
        <v>0</v>
      </c>
      <c r="M76" s="9">
        <f t="shared" si="5"/>
        <v>0</v>
      </c>
      <c r="N76" s="9">
        <f t="shared" si="6"/>
        <v>437.5</v>
      </c>
      <c r="O76" s="9">
        <f t="shared" si="7"/>
        <v>4101.1899999999996</v>
      </c>
      <c r="P76" s="8" t="str">
        <f t="shared" si="8"/>
        <v>SBI 3479</v>
      </c>
    </row>
    <row r="77" spans="1:16" x14ac:dyDescent="0.3">
      <c r="A77" s="5">
        <v>45112</v>
      </c>
      <c r="B77" s="5">
        <v>45112</v>
      </c>
      <c r="C77" s="3" t="s">
        <v>183</v>
      </c>
      <c r="D77" s="3" t="s">
        <v>288</v>
      </c>
      <c r="E77" s="4">
        <v>0</v>
      </c>
      <c r="F77" s="3">
        <v>10472.73</v>
      </c>
      <c r="G77" s="4">
        <v>14573.92</v>
      </c>
      <c r="H77" s="3" t="s">
        <v>716</v>
      </c>
      <c r="I77" s="53">
        <f t="shared" si="1"/>
        <v>0</v>
      </c>
      <c r="J77" s="5">
        <f t="shared" si="2"/>
        <v>45112</v>
      </c>
      <c r="K77" s="5" t="str">
        <f t="shared" si="3"/>
        <v xml:space="preserve">   BY TRANSFER-INB -For 19260165--</v>
      </c>
      <c r="L77" s="5" t="str">
        <f t="shared" si="4"/>
        <v>6506147038CTX6898368               TRANSFER FROM 4</v>
      </c>
      <c r="M77" s="9">
        <f t="shared" si="5"/>
        <v>0</v>
      </c>
      <c r="N77" s="9">
        <f t="shared" si="6"/>
        <v>10472.73</v>
      </c>
      <c r="O77" s="9">
        <f t="shared" si="7"/>
        <v>14573.92</v>
      </c>
      <c r="P77" s="8" t="str">
        <f t="shared" si="8"/>
        <v>SBI 3479</v>
      </c>
    </row>
    <row r="78" spans="1:16" x14ac:dyDescent="0.3">
      <c r="A78" s="5">
        <v>45115</v>
      </c>
      <c r="B78" s="5">
        <v>45115</v>
      </c>
      <c r="C78" s="3" t="s">
        <v>287</v>
      </c>
      <c r="D78" s="3" t="s">
        <v>286</v>
      </c>
      <c r="E78" s="4">
        <v>84.96</v>
      </c>
      <c r="F78" s="3">
        <v>0</v>
      </c>
      <c r="G78" s="4">
        <v>14488.96</v>
      </c>
      <c r="H78" s="3" t="s">
        <v>716</v>
      </c>
      <c r="I78" s="53">
        <f t="shared" si="1"/>
        <v>0</v>
      </c>
      <c r="J78" s="5">
        <f t="shared" si="2"/>
        <v>45115</v>
      </c>
      <c r="K78" s="5" t="str">
        <f t="shared" si="3"/>
        <v xml:space="preserve">   TO TRANSFER-CMP SBI CAPS--</v>
      </c>
      <c r="L78" s="5" t="str">
        <f t="shared" si="4"/>
        <v>CMP00000000682469890AOJY240135               TRANS</v>
      </c>
      <c r="M78" s="9">
        <f t="shared" si="5"/>
        <v>84.96</v>
      </c>
      <c r="N78" s="9">
        <f t="shared" si="6"/>
        <v>0</v>
      </c>
      <c r="O78" s="9">
        <f t="shared" si="7"/>
        <v>14488.96</v>
      </c>
      <c r="P78" s="8" t="str">
        <f t="shared" si="8"/>
        <v>SBI 3479</v>
      </c>
    </row>
    <row r="79" spans="1:16" x14ac:dyDescent="0.3">
      <c r="A79" s="5">
        <v>45118</v>
      </c>
      <c r="B79" s="5">
        <v>45118</v>
      </c>
      <c r="C79" s="3" t="s">
        <v>201</v>
      </c>
      <c r="D79" s="3" t="s">
        <v>211</v>
      </c>
      <c r="E79" s="4">
        <v>1000</v>
      </c>
      <c r="F79" s="3">
        <v>0</v>
      </c>
      <c r="G79" s="4">
        <v>13488.96</v>
      </c>
      <c r="H79" s="3" t="s">
        <v>716</v>
      </c>
      <c r="I79" s="53">
        <f t="shared" si="1"/>
        <v>0</v>
      </c>
      <c r="J79" s="5">
        <f t="shared" si="2"/>
        <v>45118</v>
      </c>
      <c r="K79" s="5" t="str">
        <f t="shared" si="3"/>
        <v xml:space="preserve">   TO TRANSFER-ForTrading--</v>
      </c>
      <c r="L79" s="5" t="str">
        <f t="shared" si="4"/>
        <v xml:space="preserve">TRANSFER TO 31842374252                           </v>
      </c>
      <c r="M79" s="9">
        <f t="shared" si="5"/>
        <v>1000</v>
      </c>
      <c r="N79" s="9">
        <f t="shared" si="6"/>
        <v>0</v>
      </c>
      <c r="O79" s="9">
        <f t="shared" si="7"/>
        <v>13488.96</v>
      </c>
      <c r="P79" s="8" t="str">
        <f t="shared" si="8"/>
        <v>SBI 3479</v>
      </c>
    </row>
    <row r="80" spans="1:16" x14ac:dyDescent="0.3">
      <c r="A80" s="5">
        <v>45120</v>
      </c>
      <c r="B80" s="5">
        <v>45120</v>
      </c>
      <c r="C80" s="3" t="s">
        <v>201</v>
      </c>
      <c r="D80" s="3" t="s">
        <v>211</v>
      </c>
      <c r="E80" s="4">
        <v>8344.24</v>
      </c>
      <c r="F80" s="3">
        <v>0</v>
      </c>
      <c r="G80" s="4">
        <v>5144.72</v>
      </c>
      <c r="H80" s="3" t="s">
        <v>716</v>
      </c>
      <c r="I80" s="53">
        <f t="shared" si="1"/>
        <v>0</v>
      </c>
      <c r="J80" s="5">
        <f t="shared" si="2"/>
        <v>45120</v>
      </c>
      <c r="K80" s="5" t="str">
        <f t="shared" si="3"/>
        <v xml:space="preserve">   TO TRANSFER-ForTrading--</v>
      </c>
      <c r="L80" s="5" t="str">
        <f t="shared" si="4"/>
        <v xml:space="preserve">TRANSFER TO 31842374252                           </v>
      </c>
      <c r="M80" s="9">
        <f t="shared" si="5"/>
        <v>8344.24</v>
      </c>
      <c r="N80" s="9">
        <f t="shared" si="6"/>
        <v>0</v>
      </c>
      <c r="O80" s="9">
        <f t="shared" si="7"/>
        <v>5144.72</v>
      </c>
      <c r="P80" s="8" t="str">
        <f t="shared" si="8"/>
        <v>SBI 3479</v>
      </c>
    </row>
    <row r="81" spans="1:16" x14ac:dyDescent="0.3">
      <c r="A81" s="5">
        <v>45122</v>
      </c>
      <c r="B81" s="5">
        <v>45122</v>
      </c>
      <c r="C81" s="3" t="s">
        <v>285</v>
      </c>
      <c r="D81" s="3" t="s">
        <v>284</v>
      </c>
      <c r="E81" s="4">
        <v>0</v>
      </c>
      <c r="F81" s="3">
        <v>50000</v>
      </c>
      <c r="G81" s="4">
        <v>55144.72</v>
      </c>
      <c r="H81" s="3" t="s">
        <v>716</v>
      </c>
      <c r="I81" s="53">
        <f t="shared" si="1"/>
        <v>0</v>
      </c>
      <c r="J81" s="5">
        <f t="shared" si="2"/>
        <v>45122</v>
      </c>
      <c r="K81" s="5" t="str">
        <f t="shared" si="3"/>
        <v xml:space="preserve">   BY TRANSFER-INB Credit card payment--</v>
      </c>
      <c r="L81" s="5" t="str">
        <f t="shared" si="4"/>
        <v>IIB9347211               TRANSFER FROM 32718635441</v>
      </c>
      <c r="M81" s="9">
        <f t="shared" si="5"/>
        <v>0</v>
      </c>
      <c r="N81" s="9">
        <f t="shared" si="6"/>
        <v>50000</v>
      </c>
      <c r="O81" s="9">
        <f t="shared" si="7"/>
        <v>55144.72</v>
      </c>
      <c r="P81" s="8" t="str">
        <f t="shared" si="8"/>
        <v>SBI 3479</v>
      </c>
    </row>
    <row r="82" spans="1:16" x14ac:dyDescent="0.3">
      <c r="A82" s="5">
        <v>45122</v>
      </c>
      <c r="B82" s="5">
        <v>45122</v>
      </c>
      <c r="C82" s="3" t="s">
        <v>283</v>
      </c>
      <c r="D82" s="3" t="s">
        <v>282</v>
      </c>
      <c r="E82" s="4">
        <v>784</v>
      </c>
      <c r="F82" s="3">
        <v>0</v>
      </c>
      <c r="G82" s="4">
        <v>54360.72</v>
      </c>
      <c r="H82" s="3" t="s">
        <v>716</v>
      </c>
      <c r="I82" s="53">
        <f t="shared" si="1"/>
        <v>0</v>
      </c>
      <c r="J82" s="5">
        <f t="shared" si="2"/>
        <v>45122</v>
      </c>
      <c r="K82" s="5" t="str">
        <f t="shared" si="3"/>
        <v xml:space="preserve">   TO TRANSFER-INB IRCTC Retiring Room Booki--</v>
      </c>
      <c r="L82" s="5" t="str">
        <f t="shared" si="4"/>
        <v>6002554109IGAPWSDNF9               TRANSFER TO 317</v>
      </c>
      <c r="M82" s="9">
        <f t="shared" si="5"/>
        <v>784</v>
      </c>
      <c r="N82" s="9">
        <f t="shared" si="6"/>
        <v>0</v>
      </c>
      <c r="O82" s="9">
        <f t="shared" si="7"/>
        <v>54360.72</v>
      </c>
      <c r="P82" s="8" t="str">
        <f t="shared" si="8"/>
        <v>SBI 3479</v>
      </c>
    </row>
    <row r="83" spans="1:16" x14ac:dyDescent="0.3">
      <c r="A83" s="5">
        <v>45123</v>
      </c>
      <c r="B83" s="5">
        <v>45123</v>
      </c>
      <c r="C83" s="3" t="s">
        <v>281</v>
      </c>
      <c r="D83" s="3" t="s">
        <v>280</v>
      </c>
      <c r="E83" s="4">
        <v>11.8</v>
      </c>
      <c r="F83" s="3">
        <v>0</v>
      </c>
      <c r="G83" s="4">
        <v>54348.92</v>
      </c>
      <c r="H83" s="3" t="s">
        <v>716</v>
      </c>
      <c r="I83" s="53">
        <f t="shared" si="1"/>
        <v>0</v>
      </c>
      <c r="J83" s="5">
        <f t="shared" si="2"/>
        <v>45123</v>
      </c>
      <c r="K83" s="5" t="str">
        <f t="shared" si="3"/>
        <v xml:space="preserve">   TO TRANSFER-INB Commission of IGAPWSDNF9---</v>
      </c>
      <c r="L83" s="5" t="str">
        <f t="shared" si="4"/>
        <v>IGAPWSDNF9ICZ8446575               TRANSFER TO 319</v>
      </c>
      <c r="M83" s="9">
        <f t="shared" si="5"/>
        <v>11.8</v>
      </c>
      <c r="N83" s="9">
        <f t="shared" si="6"/>
        <v>0</v>
      </c>
      <c r="O83" s="9">
        <f t="shared" si="7"/>
        <v>54348.92</v>
      </c>
      <c r="P83" s="8" t="str">
        <f t="shared" si="8"/>
        <v>SBI 3479</v>
      </c>
    </row>
    <row r="84" spans="1:16" x14ac:dyDescent="0.3">
      <c r="A84" s="5">
        <v>45125</v>
      </c>
      <c r="B84" s="5">
        <v>45125</v>
      </c>
      <c r="C84" s="3" t="s">
        <v>279</v>
      </c>
      <c r="E84" s="4">
        <v>0</v>
      </c>
      <c r="F84" s="3">
        <v>1500</v>
      </c>
      <c r="G84" s="4">
        <v>55848.92</v>
      </c>
      <c r="H84" s="3" t="s">
        <v>716</v>
      </c>
      <c r="I84" s="53">
        <f t="shared" si="1"/>
        <v>0</v>
      </c>
      <c r="J84" s="5">
        <f t="shared" si="2"/>
        <v>45125</v>
      </c>
      <c r="K84" s="5" t="str">
        <f t="shared" si="3"/>
        <v xml:space="preserve">   BULK POSTING-ACHCr NACH00000000057636 MAWANA SUGARS--</v>
      </c>
      <c r="L84" s="5">
        <f t="shared" si="4"/>
        <v>0</v>
      </c>
      <c r="M84" s="9">
        <f t="shared" si="5"/>
        <v>0</v>
      </c>
      <c r="N84" s="9">
        <f t="shared" si="6"/>
        <v>1500</v>
      </c>
      <c r="O84" s="9">
        <f t="shared" si="7"/>
        <v>55848.92</v>
      </c>
      <c r="P84" s="8" t="str">
        <f t="shared" si="8"/>
        <v>SBI 3479</v>
      </c>
    </row>
    <row r="85" spans="1:16" x14ac:dyDescent="0.3">
      <c r="A85" s="5">
        <v>45129</v>
      </c>
      <c r="B85" s="5">
        <v>45129</v>
      </c>
      <c r="C85" s="3" t="s">
        <v>183</v>
      </c>
      <c r="D85" s="3" t="s">
        <v>278</v>
      </c>
      <c r="E85" s="4">
        <v>0</v>
      </c>
      <c r="F85" s="3">
        <v>1735.8</v>
      </c>
      <c r="G85" s="4">
        <v>57584.72</v>
      </c>
      <c r="H85" s="3" t="s">
        <v>716</v>
      </c>
      <c r="I85" s="53">
        <f t="shared" si="1"/>
        <v>0</v>
      </c>
      <c r="J85" s="5">
        <f t="shared" si="2"/>
        <v>45129</v>
      </c>
      <c r="K85" s="5" t="str">
        <f t="shared" si="3"/>
        <v xml:space="preserve">   BY TRANSFER-INB -For 19260165--</v>
      </c>
      <c r="L85" s="5" t="str">
        <f t="shared" si="4"/>
        <v>6506899613CTX9331230               TRANSFER FROM 4</v>
      </c>
      <c r="M85" s="9">
        <f t="shared" si="5"/>
        <v>0</v>
      </c>
      <c r="N85" s="9">
        <f t="shared" si="6"/>
        <v>1735.8</v>
      </c>
      <c r="O85" s="9">
        <f t="shared" si="7"/>
        <v>57584.72</v>
      </c>
      <c r="P85" s="8" t="str">
        <f t="shared" si="8"/>
        <v>SBI 3479</v>
      </c>
    </row>
    <row r="86" spans="1:16" x14ac:dyDescent="0.3">
      <c r="A86" s="5">
        <v>45131</v>
      </c>
      <c r="B86" s="5">
        <v>45131</v>
      </c>
      <c r="C86" s="3" t="s">
        <v>194</v>
      </c>
      <c r="D86" s="3" t="s">
        <v>277</v>
      </c>
      <c r="E86" s="4">
        <v>11996</v>
      </c>
      <c r="F86" s="3">
        <v>0</v>
      </c>
      <c r="G86" s="4">
        <v>45588.72</v>
      </c>
      <c r="H86" s="3" t="s">
        <v>716</v>
      </c>
      <c r="I86" s="53">
        <f t="shared" ref="I86:I149" si="9">G85+F86-E86-G86</f>
        <v>0</v>
      </c>
      <c r="J86" s="5">
        <f t="shared" ref="J86:J149" si="10">A86</f>
        <v>45131</v>
      </c>
      <c r="K86" s="5" t="str">
        <f t="shared" ref="K86:K149" si="11">C86</f>
        <v xml:space="preserve">   TO TRANSFER-INB SBICARD FOR BILLDESK      SBICARD Payments--</v>
      </c>
      <c r="L86" s="5" t="str">
        <f t="shared" ref="L86:L149" si="12">D86</f>
        <v>YSBI2008918542IGAPXVZET8               TRANSFER TO</v>
      </c>
      <c r="M86" s="9">
        <f t="shared" ref="M86:M149" si="13">E86</f>
        <v>11996</v>
      </c>
      <c r="N86" s="9">
        <f t="shared" ref="N86:N149" si="14">F86</f>
        <v>0</v>
      </c>
      <c r="O86" s="9">
        <f t="shared" ref="O86:O149" si="15">G86</f>
        <v>45588.72</v>
      </c>
      <c r="P86" s="8" t="str">
        <f t="shared" ref="P86:P149" si="16">H86</f>
        <v>SBI 3479</v>
      </c>
    </row>
    <row r="87" spans="1:16" x14ac:dyDescent="0.3">
      <c r="A87" s="5">
        <v>45132</v>
      </c>
      <c r="B87" s="5">
        <v>45132</v>
      </c>
      <c r="C87" s="3" t="s">
        <v>201</v>
      </c>
      <c r="D87" s="3" t="s">
        <v>211</v>
      </c>
      <c r="E87" s="4">
        <v>6660.9</v>
      </c>
      <c r="F87" s="3">
        <v>0</v>
      </c>
      <c r="G87" s="4">
        <v>38927.82</v>
      </c>
      <c r="H87" s="3" t="s">
        <v>716</v>
      </c>
      <c r="I87" s="53">
        <f t="shared" si="9"/>
        <v>0</v>
      </c>
      <c r="J87" s="5">
        <f t="shared" si="10"/>
        <v>45132</v>
      </c>
      <c r="K87" s="5" t="str">
        <f t="shared" si="11"/>
        <v xml:space="preserve">   TO TRANSFER-ForTrading--</v>
      </c>
      <c r="L87" s="5" t="str">
        <f t="shared" si="12"/>
        <v xml:space="preserve">TRANSFER TO 31842374252                           </v>
      </c>
      <c r="M87" s="9">
        <f t="shared" si="13"/>
        <v>6660.9</v>
      </c>
      <c r="N87" s="9">
        <f t="shared" si="14"/>
        <v>0</v>
      </c>
      <c r="O87" s="9">
        <f t="shared" si="15"/>
        <v>38927.82</v>
      </c>
      <c r="P87" s="8" t="str">
        <f t="shared" si="16"/>
        <v>SBI 3479</v>
      </c>
    </row>
    <row r="88" spans="1:16" x14ac:dyDescent="0.3">
      <c r="A88" s="5">
        <v>45138</v>
      </c>
      <c r="B88" s="5">
        <v>45138</v>
      </c>
      <c r="C88" s="3" t="s">
        <v>183</v>
      </c>
      <c r="D88" s="3" t="s">
        <v>276</v>
      </c>
      <c r="E88" s="4">
        <v>0</v>
      </c>
      <c r="F88" s="3">
        <v>4020.82</v>
      </c>
      <c r="G88" s="4">
        <v>42948.639999999999</v>
      </c>
      <c r="H88" s="3" t="s">
        <v>716</v>
      </c>
      <c r="I88" s="53">
        <f t="shared" si="9"/>
        <v>0</v>
      </c>
      <c r="J88" s="5">
        <f t="shared" si="10"/>
        <v>45138</v>
      </c>
      <c r="K88" s="5" t="str">
        <f t="shared" si="11"/>
        <v xml:space="preserve">   BY TRANSFER-INB -For 19260165--</v>
      </c>
      <c r="L88" s="5" t="str">
        <f t="shared" si="12"/>
        <v>6507302733CTY0446779               TRANSFER FROM 4</v>
      </c>
      <c r="M88" s="9">
        <f t="shared" si="13"/>
        <v>0</v>
      </c>
      <c r="N88" s="9">
        <f t="shared" si="14"/>
        <v>4020.82</v>
      </c>
      <c r="O88" s="9">
        <f t="shared" si="15"/>
        <v>42948.639999999999</v>
      </c>
      <c r="P88" s="8" t="str">
        <f t="shared" si="16"/>
        <v>SBI 3479</v>
      </c>
    </row>
    <row r="89" spans="1:16" x14ac:dyDescent="0.3">
      <c r="A89" s="5">
        <v>45139</v>
      </c>
      <c r="B89" s="5">
        <v>45139</v>
      </c>
      <c r="C89" s="3" t="s">
        <v>234</v>
      </c>
      <c r="D89" s="3" t="s">
        <v>275</v>
      </c>
      <c r="E89" s="4">
        <v>0</v>
      </c>
      <c r="F89" s="3">
        <v>200000</v>
      </c>
      <c r="G89" s="4">
        <v>242948.64</v>
      </c>
      <c r="H89" s="3" t="s">
        <v>716</v>
      </c>
      <c r="I89" s="53">
        <f t="shared" si="9"/>
        <v>0</v>
      </c>
      <c r="J89" s="5">
        <f t="shared" si="10"/>
        <v>45139</v>
      </c>
      <c r="K89" s="5" t="str">
        <f t="shared" si="11"/>
        <v xml:space="preserve">   BY TRANSFER-INB Deposit / Investment--</v>
      </c>
      <c r="L89" s="5" t="str">
        <f t="shared" si="12"/>
        <v>IIB9788460               TRANSFER FROM 32718635441</v>
      </c>
      <c r="M89" s="9">
        <f t="shared" si="13"/>
        <v>0</v>
      </c>
      <c r="N89" s="9">
        <f t="shared" si="14"/>
        <v>200000</v>
      </c>
      <c r="O89" s="9">
        <f t="shared" si="15"/>
        <v>242948.64</v>
      </c>
      <c r="P89" s="8" t="str">
        <f t="shared" si="16"/>
        <v>SBI 3479</v>
      </c>
    </row>
    <row r="90" spans="1:16" x14ac:dyDescent="0.3">
      <c r="A90" s="5">
        <v>45139</v>
      </c>
      <c r="B90" s="5">
        <v>45139</v>
      </c>
      <c r="C90" s="3" t="s">
        <v>274</v>
      </c>
      <c r="D90" s="3" t="s">
        <v>273</v>
      </c>
      <c r="E90" s="4">
        <v>50000</v>
      </c>
      <c r="F90" s="3">
        <v>0</v>
      </c>
      <c r="G90" s="4">
        <v>192948.64</v>
      </c>
      <c r="H90" s="3" t="s">
        <v>716</v>
      </c>
      <c r="I90" s="53">
        <f t="shared" si="9"/>
        <v>0</v>
      </c>
      <c r="J90" s="5">
        <f t="shared" si="10"/>
        <v>45139</v>
      </c>
      <c r="K90" s="5" t="str">
        <f t="shared" si="11"/>
        <v xml:space="preserve">   TO TRANSFER-INB NEFT UTR NO: SBIN123213509185--Ajay Kumar Gupta</v>
      </c>
      <c r="L90" s="5" t="str">
        <f t="shared" si="12"/>
        <v>NEFT INB: IRW7094432                               / Ajay Kumar Gupta</v>
      </c>
      <c r="M90" s="9">
        <f t="shared" si="13"/>
        <v>50000</v>
      </c>
      <c r="N90" s="9">
        <f t="shared" si="14"/>
        <v>0</v>
      </c>
      <c r="O90" s="9">
        <f t="shared" si="15"/>
        <v>192948.64</v>
      </c>
      <c r="P90" s="8" t="str">
        <f t="shared" si="16"/>
        <v>SBI 3479</v>
      </c>
    </row>
    <row r="91" spans="1:16" x14ac:dyDescent="0.3">
      <c r="A91" s="5">
        <v>45139</v>
      </c>
      <c r="B91" s="5">
        <v>45139</v>
      </c>
      <c r="C91" s="3" t="s">
        <v>183</v>
      </c>
      <c r="D91" s="3" t="s">
        <v>272</v>
      </c>
      <c r="E91" s="4">
        <v>0</v>
      </c>
      <c r="F91" s="3">
        <v>6826.36</v>
      </c>
      <c r="G91" s="4">
        <v>199775</v>
      </c>
      <c r="H91" s="3" t="s">
        <v>716</v>
      </c>
      <c r="I91" s="53">
        <f t="shared" si="9"/>
        <v>0</v>
      </c>
      <c r="J91" s="5">
        <f t="shared" si="10"/>
        <v>45139</v>
      </c>
      <c r="K91" s="5" t="str">
        <f t="shared" si="11"/>
        <v xml:space="preserve">   BY TRANSFER-INB -For 19260165--</v>
      </c>
      <c r="L91" s="5" t="str">
        <f t="shared" si="12"/>
        <v>6507355775CTY0616825               TRANSFER FROM 4</v>
      </c>
      <c r="M91" s="9">
        <f t="shared" si="13"/>
        <v>0</v>
      </c>
      <c r="N91" s="9">
        <f t="shared" si="14"/>
        <v>6826.36</v>
      </c>
      <c r="O91" s="9">
        <f t="shared" si="15"/>
        <v>199775</v>
      </c>
      <c r="P91" s="8" t="str">
        <f t="shared" si="16"/>
        <v>SBI 3479</v>
      </c>
    </row>
    <row r="92" spans="1:16" x14ac:dyDescent="0.3">
      <c r="A92" s="5">
        <v>45140</v>
      </c>
      <c r="B92" s="5">
        <v>45140</v>
      </c>
      <c r="C92" s="3" t="s">
        <v>214</v>
      </c>
      <c r="D92" s="3" t="s">
        <v>206</v>
      </c>
      <c r="E92" s="4">
        <v>26595</v>
      </c>
      <c r="F92" s="3">
        <v>0</v>
      </c>
      <c r="G92" s="4">
        <v>173180</v>
      </c>
      <c r="H92" s="3" t="s">
        <v>716</v>
      </c>
      <c r="I92" s="53">
        <f t="shared" si="9"/>
        <v>0</v>
      </c>
      <c r="J92" s="5">
        <f t="shared" si="10"/>
        <v>45140</v>
      </c>
      <c r="K92" s="5" t="str">
        <f t="shared" si="11"/>
        <v xml:space="preserve">   WITHDRAWAL TRANSFER---</v>
      </c>
      <c r="L92" s="5" t="str">
        <f t="shared" si="12"/>
        <v xml:space="preserve">TRANSFER TO 32718635441                           </v>
      </c>
      <c r="M92" s="9">
        <f t="shared" si="13"/>
        <v>26595</v>
      </c>
      <c r="N92" s="9">
        <f t="shared" si="14"/>
        <v>0</v>
      </c>
      <c r="O92" s="9">
        <f t="shared" si="15"/>
        <v>173180</v>
      </c>
      <c r="P92" s="8" t="str">
        <f t="shared" si="16"/>
        <v>SBI 3479</v>
      </c>
    </row>
    <row r="93" spans="1:16" x14ac:dyDescent="0.3">
      <c r="A93" s="5">
        <v>45141</v>
      </c>
      <c r="B93" s="5">
        <v>45141</v>
      </c>
      <c r="C93" s="3" t="s">
        <v>271</v>
      </c>
      <c r="E93" s="4">
        <v>0</v>
      </c>
      <c r="F93" s="3">
        <v>560</v>
      </c>
      <c r="G93" s="4">
        <v>173740</v>
      </c>
      <c r="H93" s="3" t="s">
        <v>716</v>
      </c>
      <c r="I93" s="53">
        <f t="shared" si="9"/>
        <v>0</v>
      </c>
      <c r="J93" s="5">
        <f t="shared" si="10"/>
        <v>45141</v>
      </c>
      <c r="K93" s="5" t="str">
        <f t="shared" si="11"/>
        <v xml:space="preserve">   BULK POSTING-ACHCr HDFC01160000010513 PaushakDiv2022--</v>
      </c>
      <c r="L93" s="5">
        <f t="shared" si="12"/>
        <v>0</v>
      </c>
      <c r="M93" s="9">
        <f t="shared" si="13"/>
        <v>0</v>
      </c>
      <c r="N93" s="9">
        <f t="shared" si="14"/>
        <v>560</v>
      </c>
      <c r="O93" s="9">
        <f t="shared" si="15"/>
        <v>173740</v>
      </c>
      <c r="P93" s="8" t="str">
        <f t="shared" si="16"/>
        <v>SBI 3479</v>
      </c>
    </row>
    <row r="94" spans="1:16" x14ac:dyDescent="0.3">
      <c r="A94" s="5">
        <v>45141</v>
      </c>
      <c r="B94" s="5">
        <v>45141</v>
      </c>
      <c r="C94" s="3" t="s">
        <v>201</v>
      </c>
      <c r="D94" s="3" t="s">
        <v>200</v>
      </c>
      <c r="E94" s="4">
        <v>2783.24</v>
      </c>
      <c r="F94" s="3">
        <v>0</v>
      </c>
      <c r="G94" s="4">
        <v>170956.76</v>
      </c>
      <c r="H94" s="3" t="s">
        <v>716</v>
      </c>
      <c r="I94" s="53">
        <f t="shared" si="9"/>
        <v>0</v>
      </c>
      <c r="J94" s="5">
        <f t="shared" si="10"/>
        <v>45141</v>
      </c>
      <c r="K94" s="5" t="str">
        <f t="shared" si="11"/>
        <v xml:space="preserve">   TO TRANSFER-ForTrading--</v>
      </c>
      <c r="L94" s="5" t="str">
        <f t="shared" si="12"/>
        <v xml:space="preserve">TRANSFER TO 41128839515                           </v>
      </c>
      <c r="M94" s="9">
        <f t="shared" si="13"/>
        <v>2783.24</v>
      </c>
      <c r="N94" s="9">
        <f t="shared" si="14"/>
        <v>0</v>
      </c>
      <c r="O94" s="9">
        <f t="shared" si="15"/>
        <v>170956.76</v>
      </c>
      <c r="P94" s="8" t="str">
        <f t="shared" si="16"/>
        <v>SBI 3479</v>
      </c>
    </row>
    <row r="95" spans="1:16" x14ac:dyDescent="0.3">
      <c r="A95" s="5">
        <v>45145</v>
      </c>
      <c r="B95" s="5">
        <v>45145</v>
      </c>
      <c r="C95" s="3" t="s">
        <v>270</v>
      </c>
      <c r="E95" s="4">
        <v>0</v>
      </c>
      <c r="F95" s="3">
        <v>225</v>
      </c>
      <c r="G95" s="4">
        <v>171181.76</v>
      </c>
      <c r="H95" s="3" t="s">
        <v>716</v>
      </c>
      <c r="I95" s="53">
        <f t="shared" si="9"/>
        <v>0</v>
      </c>
      <c r="J95" s="5">
        <f t="shared" si="10"/>
        <v>45145</v>
      </c>
      <c r="K95" s="5" t="str">
        <f t="shared" si="11"/>
        <v xml:space="preserve">   BULK POSTING-ACHCr UTIB01853000028122 TCS1STINTDIV07--</v>
      </c>
      <c r="L95" s="5">
        <f t="shared" si="12"/>
        <v>0</v>
      </c>
      <c r="M95" s="9">
        <f t="shared" si="13"/>
        <v>0</v>
      </c>
      <c r="N95" s="9">
        <f t="shared" si="14"/>
        <v>225</v>
      </c>
      <c r="O95" s="9">
        <f t="shared" si="15"/>
        <v>171181.76</v>
      </c>
      <c r="P95" s="8" t="str">
        <f t="shared" si="16"/>
        <v>SBI 3479</v>
      </c>
    </row>
    <row r="96" spans="1:16" x14ac:dyDescent="0.3">
      <c r="A96" s="5">
        <v>45146</v>
      </c>
      <c r="B96" s="5">
        <v>45146</v>
      </c>
      <c r="C96" s="3" t="s">
        <v>183</v>
      </c>
      <c r="D96" s="3" t="s">
        <v>269</v>
      </c>
      <c r="E96" s="4">
        <v>0</v>
      </c>
      <c r="F96" s="3">
        <v>6019.92</v>
      </c>
      <c r="G96" s="4">
        <v>177201.68</v>
      </c>
      <c r="H96" s="3" t="s">
        <v>716</v>
      </c>
      <c r="I96" s="53">
        <f t="shared" si="9"/>
        <v>0</v>
      </c>
      <c r="J96" s="5">
        <f t="shared" si="10"/>
        <v>45146</v>
      </c>
      <c r="K96" s="5" t="str">
        <f t="shared" si="11"/>
        <v xml:space="preserve">   BY TRANSFER-INB -For 19260165--</v>
      </c>
      <c r="L96" s="5" t="str">
        <f t="shared" si="12"/>
        <v>6507606618CTY1477227               TRANSFER FROM 4</v>
      </c>
      <c r="M96" s="9">
        <f t="shared" si="13"/>
        <v>0</v>
      </c>
      <c r="N96" s="9">
        <f t="shared" si="14"/>
        <v>6019.92</v>
      </c>
      <c r="O96" s="9">
        <f t="shared" si="15"/>
        <v>177201.68</v>
      </c>
      <c r="P96" s="8" t="str">
        <f t="shared" si="16"/>
        <v>SBI 3479</v>
      </c>
    </row>
    <row r="97" spans="1:16" x14ac:dyDescent="0.3">
      <c r="A97" s="5">
        <v>45146</v>
      </c>
      <c r="B97" s="5">
        <v>45146</v>
      </c>
      <c r="C97" s="3" t="s">
        <v>183</v>
      </c>
      <c r="D97" s="3" t="s">
        <v>268</v>
      </c>
      <c r="E97" s="4">
        <v>0</v>
      </c>
      <c r="F97" s="3">
        <v>109.74</v>
      </c>
      <c r="G97" s="4">
        <v>177311.42</v>
      </c>
      <c r="H97" s="3" t="s">
        <v>716</v>
      </c>
      <c r="I97" s="53">
        <f t="shared" si="9"/>
        <v>0</v>
      </c>
      <c r="J97" s="5">
        <f t="shared" si="10"/>
        <v>45146</v>
      </c>
      <c r="K97" s="5" t="str">
        <f t="shared" si="11"/>
        <v xml:space="preserve">   BY TRANSFER-INB -For 19260165--</v>
      </c>
      <c r="L97" s="5" t="str">
        <f t="shared" si="12"/>
        <v>6507655384CTY1639300               TRANSFER FROM 4</v>
      </c>
      <c r="M97" s="9">
        <f t="shared" si="13"/>
        <v>0</v>
      </c>
      <c r="N97" s="9">
        <f t="shared" si="14"/>
        <v>109.74</v>
      </c>
      <c r="O97" s="9">
        <f t="shared" si="15"/>
        <v>177311.42</v>
      </c>
      <c r="P97" s="8" t="str">
        <f t="shared" si="16"/>
        <v>SBI 3479</v>
      </c>
    </row>
    <row r="98" spans="1:16" x14ac:dyDescent="0.3">
      <c r="A98" s="5">
        <v>45148</v>
      </c>
      <c r="B98" s="5">
        <v>45148</v>
      </c>
      <c r="C98" s="3" t="s">
        <v>267</v>
      </c>
      <c r="D98" s="3" t="s">
        <v>266</v>
      </c>
      <c r="E98" s="4">
        <v>1092.55</v>
      </c>
      <c r="F98" s="3">
        <v>0</v>
      </c>
      <c r="G98" s="4">
        <v>176218.87</v>
      </c>
      <c r="H98" s="3" t="s">
        <v>716</v>
      </c>
      <c r="I98" s="53">
        <f t="shared" si="9"/>
        <v>0</v>
      </c>
      <c r="J98" s="5">
        <f t="shared" si="10"/>
        <v>45148</v>
      </c>
      <c r="K98" s="5" t="str">
        <f t="shared" si="11"/>
        <v xml:space="preserve">   TO TRANSFER-INB IRCTC-RAILWAY TICKET BOOK Railway Ticket Booki--</v>
      </c>
      <c r="L98" s="5" t="str">
        <f t="shared" si="12"/>
        <v>100004364001235IGAQACFDX7               TRANSFER T</v>
      </c>
      <c r="M98" s="9">
        <f t="shared" si="13"/>
        <v>1092.55</v>
      </c>
      <c r="N98" s="9">
        <f t="shared" si="14"/>
        <v>0</v>
      </c>
      <c r="O98" s="9">
        <f t="shared" si="15"/>
        <v>176218.87</v>
      </c>
      <c r="P98" s="8" t="str">
        <f t="shared" si="16"/>
        <v>SBI 3479</v>
      </c>
    </row>
    <row r="99" spans="1:16" x14ac:dyDescent="0.3">
      <c r="A99" s="5">
        <v>45148</v>
      </c>
      <c r="B99" s="5">
        <v>45148</v>
      </c>
      <c r="C99" s="3" t="s">
        <v>183</v>
      </c>
      <c r="D99" s="3" t="s">
        <v>265</v>
      </c>
      <c r="E99" s="4">
        <v>0</v>
      </c>
      <c r="F99" s="3">
        <v>16490.509999999998</v>
      </c>
      <c r="G99" s="4">
        <v>192709.38</v>
      </c>
      <c r="H99" s="3" t="s">
        <v>716</v>
      </c>
      <c r="I99" s="53">
        <f t="shared" si="9"/>
        <v>0</v>
      </c>
      <c r="J99" s="5">
        <f t="shared" si="10"/>
        <v>45148</v>
      </c>
      <c r="K99" s="5" t="str">
        <f t="shared" si="11"/>
        <v xml:space="preserve">   BY TRANSFER-INB -For 19260165--</v>
      </c>
      <c r="L99" s="5" t="str">
        <f t="shared" si="12"/>
        <v>6507697708CTY1817402               TRANSFER FROM 4</v>
      </c>
      <c r="M99" s="9">
        <f t="shared" si="13"/>
        <v>0</v>
      </c>
      <c r="N99" s="9">
        <f t="shared" si="14"/>
        <v>16490.509999999998</v>
      </c>
      <c r="O99" s="9">
        <f t="shared" si="15"/>
        <v>192709.38</v>
      </c>
      <c r="P99" s="8" t="str">
        <f t="shared" si="16"/>
        <v>SBI 3479</v>
      </c>
    </row>
    <row r="100" spans="1:16" x14ac:dyDescent="0.3">
      <c r="A100" s="5">
        <v>45148</v>
      </c>
      <c r="B100" s="5">
        <v>45148</v>
      </c>
      <c r="C100" s="3" t="s">
        <v>201</v>
      </c>
      <c r="D100" s="3" t="s">
        <v>211</v>
      </c>
      <c r="E100" s="4">
        <v>555.86</v>
      </c>
      <c r="F100" s="3">
        <v>0</v>
      </c>
      <c r="G100" s="4">
        <v>192153.52</v>
      </c>
      <c r="H100" s="3" t="s">
        <v>716</v>
      </c>
      <c r="I100" s="53">
        <f t="shared" si="9"/>
        <v>0</v>
      </c>
      <c r="J100" s="5">
        <f t="shared" si="10"/>
        <v>45148</v>
      </c>
      <c r="K100" s="5" t="str">
        <f t="shared" si="11"/>
        <v xml:space="preserve">   TO TRANSFER-ForTrading--</v>
      </c>
      <c r="L100" s="5" t="str">
        <f t="shared" si="12"/>
        <v xml:space="preserve">TRANSFER TO 31842374252                           </v>
      </c>
      <c r="M100" s="9">
        <f t="shared" si="13"/>
        <v>555.86</v>
      </c>
      <c r="N100" s="9">
        <f t="shared" si="14"/>
        <v>0</v>
      </c>
      <c r="O100" s="9">
        <f t="shared" si="15"/>
        <v>192153.52</v>
      </c>
      <c r="P100" s="8" t="str">
        <f t="shared" si="16"/>
        <v>SBI 3479</v>
      </c>
    </row>
    <row r="101" spans="1:16" x14ac:dyDescent="0.3">
      <c r="A101" s="5">
        <v>45149</v>
      </c>
      <c r="B101" s="5">
        <v>45149</v>
      </c>
      <c r="C101" s="3" t="s">
        <v>264</v>
      </c>
      <c r="D101" s="3" t="s">
        <v>263</v>
      </c>
      <c r="E101" s="4">
        <v>150000</v>
      </c>
      <c r="F101" s="3">
        <v>0</v>
      </c>
      <c r="G101" s="4">
        <v>42153.52</v>
      </c>
      <c r="H101" s="3" t="s">
        <v>716</v>
      </c>
      <c r="I101" s="53">
        <f t="shared" si="9"/>
        <v>0</v>
      </c>
      <c r="J101" s="5">
        <f t="shared" si="10"/>
        <v>45149</v>
      </c>
      <c r="K101" s="5" t="str">
        <f t="shared" si="11"/>
        <v xml:space="preserve">   TO TRANSFER-INB NEFT UTR NO: SBIN423223756583--Ajay Kumar Gupta</v>
      </c>
      <c r="L101" s="5" t="str">
        <f t="shared" si="12"/>
        <v>NEFT INB: IRW7872614                               / Ajay Kumar Gupta</v>
      </c>
      <c r="M101" s="9">
        <f t="shared" si="13"/>
        <v>150000</v>
      </c>
      <c r="N101" s="9">
        <f t="shared" si="14"/>
        <v>0</v>
      </c>
      <c r="O101" s="9">
        <f t="shared" si="15"/>
        <v>42153.52</v>
      </c>
      <c r="P101" s="8" t="str">
        <f t="shared" si="16"/>
        <v>SBI 3479</v>
      </c>
    </row>
    <row r="102" spans="1:16" x14ac:dyDescent="0.3">
      <c r="A102" s="5">
        <v>45152</v>
      </c>
      <c r="B102" s="5">
        <v>45152</v>
      </c>
      <c r="C102" s="3" t="s">
        <v>201</v>
      </c>
      <c r="D102" s="3" t="s">
        <v>211</v>
      </c>
      <c r="E102" s="4">
        <v>19795.490000000002</v>
      </c>
      <c r="F102" s="3">
        <v>0</v>
      </c>
      <c r="G102" s="4">
        <v>22358.03</v>
      </c>
      <c r="H102" s="3" t="s">
        <v>716</v>
      </c>
      <c r="I102" s="53">
        <f t="shared" si="9"/>
        <v>0</v>
      </c>
      <c r="J102" s="5">
        <f t="shared" si="10"/>
        <v>45152</v>
      </c>
      <c r="K102" s="5" t="str">
        <f t="shared" si="11"/>
        <v xml:space="preserve">   TO TRANSFER-ForTrading--</v>
      </c>
      <c r="L102" s="5" t="str">
        <f t="shared" si="12"/>
        <v xml:space="preserve">TRANSFER TO 31842374252                           </v>
      </c>
      <c r="M102" s="9">
        <f t="shared" si="13"/>
        <v>19795.490000000002</v>
      </c>
      <c r="N102" s="9">
        <f t="shared" si="14"/>
        <v>0</v>
      </c>
      <c r="O102" s="9">
        <f t="shared" si="15"/>
        <v>22358.03</v>
      </c>
      <c r="P102" s="8" t="str">
        <f t="shared" si="16"/>
        <v>SBI 3479</v>
      </c>
    </row>
    <row r="103" spans="1:16" x14ac:dyDescent="0.3">
      <c r="A103" s="5">
        <v>45160</v>
      </c>
      <c r="B103" s="5">
        <v>45160</v>
      </c>
      <c r="C103" s="3" t="s">
        <v>201</v>
      </c>
      <c r="D103" s="3" t="s">
        <v>211</v>
      </c>
      <c r="E103" s="4">
        <v>4.51</v>
      </c>
      <c r="F103" s="3">
        <v>0</v>
      </c>
      <c r="G103" s="4">
        <v>22353.52</v>
      </c>
      <c r="H103" s="3" t="s">
        <v>716</v>
      </c>
      <c r="I103" s="53">
        <f t="shared" si="9"/>
        <v>0</v>
      </c>
      <c r="J103" s="5">
        <f t="shared" si="10"/>
        <v>45160</v>
      </c>
      <c r="K103" s="5" t="str">
        <f t="shared" si="11"/>
        <v xml:space="preserve">   TO TRANSFER-ForTrading--</v>
      </c>
      <c r="L103" s="5" t="str">
        <f t="shared" si="12"/>
        <v xml:space="preserve">TRANSFER TO 31842374252                           </v>
      </c>
      <c r="M103" s="9">
        <f t="shared" si="13"/>
        <v>4.51</v>
      </c>
      <c r="N103" s="9">
        <f t="shared" si="14"/>
        <v>0</v>
      </c>
      <c r="O103" s="9">
        <f t="shared" si="15"/>
        <v>22353.52</v>
      </c>
      <c r="P103" s="8" t="str">
        <f t="shared" si="16"/>
        <v>SBI 3479</v>
      </c>
    </row>
    <row r="104" spans="1:16" x14ac:dyDescent="0.3">
      <c r="A104" s="5">
        <v>45162</v>
      </c>
      <c r="B104" s="5">
        <v>45162</v>
      </c>
      <c r="C104" s="3" t="s">
        <v>201</v>
      </c>
      <c r="D104" s="3" t="s">
        <v>200</v>
      </c>
      <c r="E104" s="4">
        <v>327.52</v>
      </c>
      <c r="F104" s="3">
        <v>0</v>
      </c>
      <c r="G104" s="4">
        <v>22026</v>
      </c>
      <c r="H104" s="3" t="s">
        <v>716</v>
      </c>
      <c r="I104" s="53">
        <f t="shared" si="9"/>
        <v>0</v>
      </c>
      <c r="J104" s="5">
        <f t="shared" si="10"/>
        <v>45162</v>
      </c>
      <c r="K104" s="5" t="str">
        <f t="shared" si="11"/>
        <v xml:space="preserve">   TO TRANSFER-ForTrading--</v>
      </c>
      <c r="L104" s="5" t="str">
        <f t="shared" si="12"/>
        <v xml:space="preserve">TRANSFER TO 41128839515                           </v>
      </c>
      <c r="M104" s="9">
        <f t="shared" si="13"/>
        <v>327.52</v>
      </c>
      <c r="N104" s="9">
        <f t="shared" si="14"/>
        <v>0</v>
      </c>
      <c r="O104" s="9">
        <f t="shared" si="15"/>
        <v>22026</v>
      </c>
      <c r="P104" s="8" t="str">
        <f t="shared" si="16"/>
        <v>SBI 3479</v>
      </c>
    </row>
    <row r="105" spans="1:16" x14ac:dyDescent="0.3">
      <c r="A105" s="5">
        <v>45163</v>
      </c>
      <c r="B105" s="5">
        <v>45163</v>
      </c>
      <c r="C105" s="3" t="s">
        <v>234</v>
      </c>
      <c r="D105" s="3" t="s">
        <v>262</v>
      </c>
      <c r="E105" s="4">
        <v>0</v>
      </c>
      <c r="F105" s="3">
        <v>10000</v>
      </c>
      <c r="G105" s="4">
        <v>32026</v>
      </c>
      <c r="H105" s="3" t="s">
        <v>716</v>
      </c>
      <c r="I105" s="53">
        <f t="shared" si="9"/>
        <v>0</v>
      </c>
      <c r="J105" s="5">
        <f t="shared" si="10"/>
        <v>45163</v>
      </c>
      <c r="K105" s="5" t="str">
        <f t="shared" si="11"/>
        <v xml:space="preserve">   BY TRANSFER-INB Deposit / Investment--</v>
      </c>
      <c r="L105" s="5" t="str">
        <f t="shared" si="12"/>
        <v>IIC0426902               TRANSFER FROM 32718635441</v>
      </c>
      <c r="M105" s="9">
        <f t="shared" si="13"/>
        <v>0</v>
      </c>
      <c r="N105" s="9">
        <f t="shared" si="14"/>
        <v>10000</v>
      </c>
      <c r="O105" s="9">
        <f t="shared" si="15"/>
        <v>32026</v>
      </c>
      <c r="P105" s="8" t="str">
        <f t="shared" si="16"/>
        <v>SBI 3479</v>
      </c>
    </row>
    <row r="106" spans="1:16" x14ac:dyDescent="0.3">
      <c r="A106" s="5">
        <v>45167</v>
      </c>
      <c r="B106" s="5">
        <v>45167</v>
      </c>
      <c r="C106" s="3" t="s">
        <v>183</v>
      </c>
      <c r="D106" s="3" t="s">
        <v>261</v>
      </c>
      <c r="E106" s="4">
        <v>0</v>
      </c>
      <c r="F106" s="3">
        <v>195190.1</v>
      </c>
      <c r="G106" s="4">
        <v>227216.1</v>
      </c>
      <c r="H106" s="3" t="s">
        <v>716</v>
      </c>
      <c r="I106" s="53">
        <f t="shared" si="9"/>
        <v>0</v>
      </c>
      <c r="J106" s="5">
        <f t="shared" si="10"/>
        <v>45167</v>
      </c>
      <c r="K106" s="5" t="str">
        <f t="shared" si="11"/>
        <v xml:space="preserve">   BY TRANSFER-INB -For 19260165--</v>
      </c>
      <c r="L106" s="5" t="str">
        <f t="shared" si="12"/>
        <v>6508499164CTY4124307               TRANSFER FROM 4</v>
      </c>
      <c r="M106" s="9">
        <f t="shared" si="13"/>
        <v>0</v>
      </c>
      <c r="N106" s="9">
        <f t="shared" si="14"/>
        <v>195190.1</v>
      </c>
      <c r="O106" s="9">
        <f t="shared" si="15"/>
        <v>227216.1</v>
      </c>
      <c r="P106" s="8" t="str">
        <f t="shared" si="16"/>
        <v>SBI 3479</v>
      </c>
    </row>
    <row r="107" spans="1:16" x14ac:dyDescent="0.3">
      <c r="A107" s="5">
        <v>45170</v>
      </c>
      <c r="B107" s="5">
        <v>45170</v>
      </c>
      <c r="C107" s="3" t="s">
        <v>183</v>
      </c>
      <c r="D107" s="3" t="s">
        <v>260</v>
      </c>
      <c r="E107" s="4">
        <v>0</v>
      </c>
      <c r="F107" s="3">
        <v>194689.11</v>
      </c>
      <c r="G107" s="4">
        <v>421905.21</v>
      </c>
      <c r="H107" s="3" t="s">
        <v>716</v>
      </c>
      <c r="I107" s="53">
        <f t="shared" si="9"/>
        <v>0</v>
      </c>
      <c r="J107" s="5">
        <f t="shared" si="10"/>
        <v>45170</v>
      </c>
      <c r="K107" s="5" t="str">
        <f t="shared" si="11"/>
        <v xml:space="preserve">   BY TRANSFER-INB -For 19260165--</v>
      </c>
      <c r="L107" s="5" t="str">
        <f t="shared" si="12"/>
        <v>6508650813CTY4556318               TRANSFER FROM 4</v>
      </c>
      <c r="M107" s="9">
        <f t="shared" si="13"/>
        <v>0</v>
      </c>
      <c r="N107" s="9">
        <f t="shared" si="14"/>
        <v>194689.11</v>
      </c>
      <c r="O107" s="9">
        <f t="shared" si="15"/>
        <v>421905.21</v>
      </c>
      <c r="P107" s="8" t="str">
        <f t="shared" si="16"/>
        <v>SBI 3479</v>
      </c>
    </row>
    <row r="108" spans="1:16" x14ac:dyDescent="0.3">
      <c r="A108" s="5">
        <v>45170</v>
      </c>
      <c r="B108" s="5">
        <v>45170</v>
      </c>
      <c r="C108" s="3" t="s">
        <v>197</v>
      </c>
      <c r="D108" s="3" t="s">
        <v>259</v>
      </c>
      <c r="E108" s="4">
        <v>200000</v>
      </c>
      <c r="F108" s="3">
        <v>0</v>
      </c>
      <c r="G108" s="4">
        <v>221905.21</v>
      </c>
      <c r="H108" s="3" t="s">
        <v>716</v>
      </c>
      <c r="I108" s="53">
        <f t="shared" si="9"/>
        <v>0</v>
      </c>
      <c r="J108" s="5">
        <f t="shared" si="10"/>
        <v>45170</v>
      </c>
      <c r="K108" s="5" t="str">
        <f t="shared" si="11"/>
        <v xml:space="preserve">   TO TRANSFER-INB Payment towards loan repayment--</v>
      </c>
      <c r="L108" s="5" t="str">
        <f t="shared" si="12"/>
        <v xml:space="preserve">IIC0639835               TRANSFER TO 32718635441  </v>
      </c>
      <c r="M108" s="9">
        <f t="shared" si="13"/>
        <v>200000</v>
      </c>
      <c r="N108" s="9">
        <f t="shared" si="14"/>
        <v>0</v>
      </c>
      <c r="O108" s="9">
        <f t="shared" si="15"/>
        <v>221905.21</v>
      </c>
      <c r="P108" s="8" t="str">
        <f t="shared" si="16"/>
        <v>SBI 3479</v>
      </c>
    </row>
    <row r="109" spans="1:16" x14ac:dyDescent="0.3">
      <c r="A109" s="5">
        <v>45171</v>
      </c>
      <c r="B109" s="5">
        <v>45171</v>
      </c>
      <c r="C109" s="3" t="s">
        <v>214</v>
      </c>
      <c r="D109" s="3" t="s">
        <v>206</v>
      </c>
      <c r="E109" s="4">
        <v>26595</v>
      </c>
      <c r="F109" s="3">
        <v>0</v>
      </c>
      <c r="G109" s="4">
        <v>195310.21</v>
      </c>
      <c r="H109" s="3" t="s">
        <v>716</v>
      </c>
      <c r="I109" s="53">
        <f t="shared" si="9"/>
        <v>0</v>
      </c>
      <c r="J109" s="5">
        <f t="shared" si="10"/>
        <v>45171</v>
      </c>
      <c r="K109" s="5" t="str">
        <f t="shared" si="11"/>
        <v xml:space="preserve">   WITHDRAWAL TRANSFER---</v>
      </c>
      <c r="L109" s="5" t="str">
        <f t="shared" si="12"/>
        <v xml:space="preserve">TRANSFER TO 32718635441                           </v>
      </c>
      <c r="M109" s="9">
        <f t="shared" si="13"/>
        <v>26595</v>
      </c>
      <c r="N109" s="9">
        <f t="shared" si="14"/>
        <v>0</v>
      </c>
      <c r="O109" s="9">
        <f t="shared" si="15"/>
        <v>195310.21</v>
      </c>
      <c r="P109" s="8" t="str">
        <f t="shared" si="16"/>
        <v>SBI 3479</v>
      </c>
    </row>
    <row r="110" spans="1:16" x14ac:dyDescent="0.3">
      <c r="A110" s="5">
        <v>45176</v>
      </c>
      <c r="B110" s="5">
        <v>45176</v>
      </c>
      <c r="C110" s="3" t="s">
        <v>258</v>
      </c>
      <c r="D110" s="3" t="s">
        <v>188</v>
      </c>
      <c r="E110" s="4">
        <v>14994</v>
      </c>
      <c r="F110" s="3">
        <v>0</v>
      </c>
      <c r="G110" s="4">
        <v>180316.21</v>
      </c>
      <c r="H110" s="3" t="s">
        <v>716</v>
      </c>
      <c r="I110" s="53">
        <f t="shared" si="9"/>
        <v>0</v>
      </c>
      <c r="J110" s="5">
        <f t="shared" si="10"/>
        <v>45176</v>
      </c>
      <c r="K110" s="5" t="str">
        <f t="shared" si="11"/>
        <v xml:space="preserve">   TO TRANSFER-TRFD TO RISHABH INSTRUMENTS LTD IPO ALLOTMENT--</v>
      </c>
      <c r="L110" s="5" t="str">
        <f t="shared" si="12"/>
        <v xml:space="preserve">TRANSFER TO 38660007037                           </v>
      </c>
      <c r="M110" s="9">
        <f t="shared" si="13"/>
        <v>14994</v>
      </c>
      <c r="N110" s="9">
        <f t="shared" si="14"/>
        <v>0</v>
      </c>
      <c r="O110" s="9">
        <f t="shared" si="15"/>
        <v>180316.21</v>
      </c>
      <c r="P110" s="8" t="str">
        <f t="shared" si="16"/>
        <v>SBI 3479</v>
      </c>
    </row>
    <row r="111" spans="1:16" x14ac:dyDescent="0.3">
      <c r="A111" s="5">
        <v>45176</v>
      </c>
      <c r="B111" s="5">
        <v>45176</v>
      </c>
      <c r="C111" s="3" t="s">
        <v>183</v>
      </c>
      <c r="D111" s="3" t="s">
        <v>257</v>
      </c>
      <c r="E111" s="4">
        <v>0</v>
      </c>
      <c r="F111" s="3">
        <v>10908.04</v>
      </c>
      <c r="G111" s="4">
        <v>191224.25</v>
      </c>
      <c r="H111" s="3" t="s">
        <v>716</v>
      </c>
      <c r="I111" s="53">
        <f t="shared" si="9"/>
        <v>0</v>
      </c>
      <c r="J111" s="5">
        <f t="shared" si="10"/>
        <v>45176</v>
      </c>
      <c r="K111" s="5" t="str">
        <f t="shared" si="11"/>
        <v xml:space="preserve">   BY TRANSFER-INB -For 19260165--</v>
      </c>
      <c r="L111" s="5" t="str">
        <f t="shared" si="12"/>
        <v>6509002081CTY5606016               TRANSFER FROM 4</v>
      </c>
      <c r="M111" s="9">
        <f t="shared" si="13"/>
        <v>0</v>
      </c>
      <c r="N111" s="9">
        <f t="shared" si="14"/>
        <v>10908.04</v>
      </c>
      <c r="O111" s="9">
        <f t="shared" si="15"/>
        <v>191224.25</v>
      </c>
      <c r="P111" s="8" t="str">
        <f t="shared" si="16"/>
        <v>SBI 3479</v>
      </c>
    </row>
    <row r="112" spans="1:16" x14ac:dyDescent="0.3">
      <c r="A112" s="5">
        <v>45177</v>
      </c>
      <c r="B112" s="5">
        <v>45177</v>
      </c>
      <c r="C112" s="3" t="s">
        <v>256</v>
      </c>
      <c r="D112" s="3" t="s">
        <v>231</v>
      </c>
      <c r="E112" s="4">
        <v>5000</v>
      </c>
      <c r="F112" s="3">
        <v>0</v>
      </c>
      <c r="G112" s="4">
        <v>186224.25</v>
      </c>
      <c r="H112" s="3" t="s">
        <v>716</v>
      </c>
      <c r="I112" s="53">
        <f t="shared" si="9"/>
        <v>0</v>
      </c>
      <c r="J112" s="5">
        <f t="shared" si="10"/>
        <v>45177</v>
      </c>
      <c r="K112" s="5" t="str">
        <f t="shared" si="11"/>
        <v xml:space="preserve">   TO TRANSFER-SBILT08092023064019877540-Deposit or Inv--</v>
      </c>
      <c r="L112" s="5" t="str">
        <f t="shared" si="12"/>
        <v xml:space="preserve">TRANSFER TO 51104607054                           </v>
      </c>
      <c r="M112" s="9">
        <f t="shared" si="13"/>
        <v>5000</v>
      </c>
      <c r="N112" s="9">
        <f t="shared" si="14"/>
        <v>0</v>
      </c>
      <c r="O112" s="9">
        <f t="shared" si="15"/>
        <v>186224.25</v>
      </c>
      <c r="P112" s="8" t="str">
        <f t="shared" si="16"/>
        <v>SBI 3479</v>
      </c>
    </row>
    <row r="113" spans="1:16" x14ac:dyDescent="0.3">
      <c r="A113" s="5">
        <v>45177</v>
      </c>
      <c r="B113" s="5">
        <v>45177</v>
      </c>
      <c r="C113" s="3" t="s">
        <v>183</v>
      </c>
      <c r="D113" s="3" t="s">
        <v>255</v>
      </c>
      <c r="E113" s="4">
        <v>0</v>
      </c>
      <c r="F113" s="3">
        <v>11088.25</v>
      </c>
      <c r="G113" s="4">
        <v>197312.5</v>
      </c>
      <c r="H113" s="3" t="s">
        <v>716</v>
      </c>
      <c r="I113" s="53">
        <f t="shared" si="9"/>
        <v>0</v>
      </c>
      <c r="J113" s="5">
        <f t="shared" si="10"/>
        <v>45177</v>
      </c>
      <c r="K113" s="5" t="str">
        <f t="shared" si="11"/>
        <v xml:space="preserve">   BY TRANSFER-INB -For 19260165--</v>
      </c>
      <c r="L113" s="5" t="str">
        <f t="shared" si="12"/>
        <v>6509076138CTY5766213               TRANSFER FROM 4</v>
      </c>
      <c r="M113" s="9">
        <f t="shared" si="13"/>
        <v>0</v>
      </c>
      <c r="N113" s="9">
        <f t="shared" si="14"/>
        <v>11088.25</v>
      </c>
      <c r="O113" s="9">
        <f t="shared" si="15"/>
        <v>197312.5</v>
      </c>
      <c r="P113" s="8" t="str">
        <f t="shared" si="16"/>
        <v>SBI 3479</v>
      </c>
    </row>
    <row r="114" spans="1:16" x14ac:dyDescent="0.3">
      <c r="A114" s="5">
        <v>45178</v>
      </c>
      <c r="B114" s="5">
        <v>45178</v>
      </c>
      <c r="C114" s="3" t="s">
        <v>197</v>
      </c>
      <c r="D114" s="3" t="s">
        <v>254</v>
      </c>
      <c r="E114" s="4">
        <v>150000</v>
      </c>
      <c r="F114" s="3">
        <v>0</v>
      </c>
      <c r="G114" s="4">
        <v>47312.5</v>
      </c>
      <c r="H114" s="3" t="s">
        <v>716</v>
      </c>
      <c r="I114" s="53">
        <f t="shared" si="9"/>
        <v>0</v>
      </c>
      <c r="J114" s="5">
        <f t="shared" si="10"/>
        <v>45178</v>
      </c>
      <c r="K114" s="5" t="str">
        <f t="shared" si="11"/>
        <v xml:space="preserve">   TO TRANSFER-INB Payment towards loan repayment--</v>
      </c>
      <c r="L114" s="5" t="str">
        <f t="shared" si="12"/>
        <v xml:space="preserve">IIC0918892               TRANSFER TO 32718635441  </v>
      </c>
      <c r="M114" s="9">
        <f t="shared" si="13"/>
        <v>150000</v>
      </c>
      <c r="N114" s="9">
        <f t="shared" si="14"/>
        <v>0</v>
      </c>
      <c r="O114" s="9">
        <f t="shared" si="15"/>
        <v>47312.5</v>
      </c>
      <c r="P114" s="8" t="str">
        <f t="shared" si="16"/>
        <v>SBI 3479</v>
      </c>
    </row>
    <row r="115" spans="1:16" x14ac:dyDescent="0.3">
      <c r="A115" s="5">
        <v>45180</v>
      </c>
      <c r="B115" s="5">
        <v>45180</v>
      </c>
      <c r="C115" s="3" t="s">
        <v>201</v>
      </c>
      <c r="D115" s="3" t="s">
        <v>211</v>
      </c>
      <c r="E115" s="4">
        <v>16869.669999999998</v>
      </c>
      <c r="F115" s="3">
        <v>0</v>
      </c>
      <c r="G115" s="4">
        <v>30442.83</v>
      </c>
      <c r="H115" s="3" t="s">
        <v>716</v>
      </c>
      <c r="I115" s="53">
        <f t="shared" si="9"/>
        <v>0</v>
      </c>
      <c r="J115" s="5">
        <f t="shared" si="10"/>
        <v>45180</v>
      </c>
      <c r="K115" s="5" t="str">
        <f t="shared" si="11"/>
        <v xml:space="preserve">   TO TRANSFER-ForTrading--</v>
      </c>
      <c r="L115" s="5" t="str">
        <f t="shared" si="12"/>
        <v xml:space="preserve">TRANSFER TO 31842374252                           </v>
      </c>
      <c r="M115" s="9">
        <f t="shared" si="13"/>
        <v>16869.669999999998</v>
      </c>
      <c r="N115" s="9">
        <f t="shared" si="14"/>
        <v>0</v>
      </c>
      <c r="O115" s="9">
        <f t="shared" si="15"/>
        <v>30442.83</v>
      </c>
      <c r="P115" s="8" t="str">
        <f t="shared" si="16"/>
        <v>SBI 3479</v>
      </c>
    </row>
    <row r="116" spans="1:16" x14ac:dyDescent="0.3">
      <c r="A116" s="5">
        <v>45181</v>
      </c>
      <c r="B116" s="5">
        <v>45181</v>
      </c>
      <c r="C116" s="3" t="s">
        <v>234</v>
      </c>
      <c r="D116" s="3" t="s">
        <v>253</v>
      </c>
      <c r="E116" s="4">
        <v>0</v>
      </c>
      <c r="F116" s="3">
        <v>1000</v>
      </c>
      <c r="G116" s="4">
        <v>31442.83</v>
      </c>
      <c r="H116" s="3" t="s">
        <v>716</v>
      </c>
      <c r="I116" s="53">
        <f t="shared" si="9"/>
        <v>0</v>
      </c>
      <c r="J116" s="5">
        <f t="shared" si="10"/>
        <v>45181</v>
      </c>
      <c r="K116" s="5" t="str">
        <f t="shared" si="11"/>
        <v xml:space="preserve">   BY TRANSFER-INB Deposit / Investment--</v>
      </c>
      <c r="L116" s="5" t="str">
        <f t="shared" si="12"/>
        <v>IIC0994290               TRANSFER FROM 32718635441</v>
      </c>
      <c r="M116" s="9">
        <f t="shared" si="13"/>
        <v>0</v>
      </c>
      <c r="N116" s="9">
        <f t="shared" si="14"/>
        <v>1000</v>
      </c>
      <c r="O116" s="9">
        <f t="shared" si="15"/>
        <v>31442.83</v>
      </c>
      <c r="P116" s="8" t="str">
        <f t="shared" si="16"/>
        <v>SBI 3479</v>
      </c>
    </row>
    <row r="117" spans="1:16" x14ac:dyDescent="0.3">
      <c r="A117" s="5">
        <v>45181</v>
      </c>
      <c r="B117" s="5">
        <v>45181</v>
      </c>
      <c r="C117" s="3" t="s">
        <v>234</v>
      </c>
      <c r="D117" s="3" t="s">
        <v>252</v>
      </c>
      <c r="E117" s="4">
        <v>0</v>
      </c>
      <c r="F117" s="3">
        <v>10000</v>
      </c>
      <c r="G117" s="4">
        <v>41442.83</v>
      </c>
      <c r="H117" s="3" t="s">
        <v>716</v>
      </c>
      <c r="I117" s="53">
        <f t="shared" si="9"/>
        <v>0</v>
      </c>
      <c r="J117" s="5">
        <f t="shared" si="10"/>
        <v>45181</v>
      </c>
      <c r="K117" s="5" t="str">
        <f t="shared" si="11"/>
        <v xml:space="preserve">   BY TRANSFER-INB Deposit / Investment--</v>
      </c>
      <c r="L117" s="5" t="str">
        <f t="shared" si="12"/>
        <v>IIC0994300               TRANSFER FROM 32718635441</v>
      </c>
      <c r="M117" s="9">
        <f t="shared" si="13"/>
        <v>0</v>
      </c>
      <c r="N117" s="9">
        <f t="shared" si="14"/>
        <v>10000</v>
      </c>
      <c r="O117" s="9">
        <f t="shared" si="15"/>
        <v>41442.83</v>
      </c>
      <c r="P117" s="8" t="str">
        <f t="shared" si="16"/>
        <v>SBI 3479</v>
      </c>
    </row>
    <row r="118" spans="1:16" x14ac:dyDescent="0.3">
      <c r="A118" s="5">
        <v>45181</v>
      </c>
      <c r="B118" s="5">
        <v>45181</v>
      </c>
      <c r="C118" s="3" t="s">
        <v>201</v>
      </c>
      <c r="D118" s="3" t="s">
        <v>211</v>
      </c>
      <c r="E118" s="4">
        <v>2503.86</v>
      </c>
      <c r="F118" s="3">
        <v>0</v>
      </c>
      <c r="G118" s="4">
        <v>38938.97</v>
      </c>
      <c r="H118" s="3" t="s">
        <v>716</v>
      </c>
      <c r="I118" s="53">
        <f t="shared" si="9"/>
        <v>0</v>
      </c>
      <c r="J118" s="5">
        <f t="shared" si="10"/>
        <v>45181</v>
      </c>
      <c r="K118" s="5" t="str">
        <f t="shared" si="11"/>
        <v xml:space="preserve">   TO TRANSFER-ForTrading--</v>
      </c>
      <c r="L118" s="5" t="str">
        <f t="shared" si="12"/>
        <v xml:space="preserve">TRANSFER TO 31842374252                           </v>
      </c>
      <c r="M118" s="9">
        <f t="shared" si="13"/>
        <v>2503.86</v>
      </c>
      <c r="N118" s="9">
        <f t="shared" si="14"/>
        <v>0</v>
      </c>
      <c r="O118" s="9">
        <f t="shared" si="15"/>
        <v>38938.97</v>
      </c>
      <c r="P118" s="8" t="str">
        <f t="shared" si="16"/>
        <v>SBI 3479</v>
      </c>
    </row>
    <row r="119" spans="1:16" x14ac:dyDescent="0.3">
      <c r="A119" s="5">
        <v>45181</v>
      </c>
      <c r="B119" s="5">
        <v>45181</v>
      </c>
      <c r="C119" s="3" t="s">
        <v>234</v>
      </c>
      <c r="D119" s="3" t="s">
        <v>251</v>
      </c>
      <c r="E119" s="4">
        <v>0</v>
      </c>
      <c r="F119" s="3">
        <v>75000</v>
      </c>
      <c r="G119" s="4">
        <v>113938.97</v>
      </c>
      <c r="H119" s="3" t="s">
        <v>716</v>
      </c>
      <c r="I119" s="53">
        <f t="shared" si="9"/>
        <v>0</v>
      </c>
      <c r="J119" s="5">
        <f t="shared" si="10"/>
        <v>45181</v>
      </c>
      <c r="K119" s="5" t="str">
        <f t="shared" si="11"/>
        <v xml:space="preserve">   BY TRANSFER-INB Deposit / Investment--</v>
      </c>
      <c r="L119" s="5" t="str">
        <f t="shared" si="12"/>
        <v>IIC0999297               TRANSFER FROM 32718635441</v>
      </c>
      <c r="M119" s="9">
        <f t="shared" si="13"/>
        <v>0</v>
      </c>
      <c r="N119" s="9">
        <f t="shared" si="14"/>
        <v>75000</v>
      </c>
      <c r="O119" s="9">
        <f t="shared" si="15"/>
        <v>113938.97</v>
      </c>
      <c r="P119" s="8" t="str">
        <f t="shared" si="16"/>
        <v>SBI 3479</v>
      </c>
    </row>
    <row r="120" spans="1:16" x14ac:dyDescent="0.3">
      <c r="A120" s="5">
        <v>45182</v>
      </c>
      <c r="B120" s="5">
        <v>45182</v>
      </c>
      <c r="C120" s="3" t="s">
        <v>250</v>
      </c>
      <c r="D120" s="3" t="s">
        <v>249</v>
      </c>
      <c r="E120" s="4">
        <v>0</v>
      </c>
      <c r="F120" s="3">
        <v>28000</v>
      </c>
      <c r="G120" s="4">
        <v>141938.97</v>
      </c>
      <c r="H120" s="3" t="s">
        <v>716</v>
      </c>
      <c r="I120" s="53">
        <f t="shared" si="9"/>
        <v>0</v>
      </c>
      <c r="J120" s="5">
        <f t="shared" si="10"/>
        <v>45182</v>
      </c>
      <c r="K120" s="5" t="str">
        <f t="shared" si="11"/>
        <v xml:space="preserve">   BY TRANSFER-NEFT*UTIB0000004*AXISP00424223803*NSE CLEARING LIM--</v>
      </c>
      <c r="L120" s="5" t="str">
        <f t="shared" si="12"/>
        <v>TRANSFER FROM 4697196044301</v>
      </c>
      <c r="M120" s="9">
        <f t="shared" si="13"/>
        <v>0</v>
      </c>
      <c r="N120" s="9">
        <f t="shared" si="14"/>
        <v>28000</v>
      </c>
      <c r="O120" s="9">
        <f t="shared" si="15"/>
        <v>141938.97</v>
      </c>
      <c r="P120" s="8" t="str">
        <f t="shared" si="16"/>
        <v>SBI 3479</v>
      </c>
    </row>
    <row r="121" spans="1:16" x14ac:dyDescent="0.3">
      <c r="A121" s="5">
        <v>45183</v>
      </c>
      <c r="B121" s="5">
        <v>45183</v>
      </c>
      <c r="C121" s="3" t="s">
        <v>183</v>
      </c>
      <c r="D121" s="3" t="s">
        <v>248</v>
      </c>
      <c r="E121" s="4">
        <v>0</v>
      </c>
      <c r="F121" s="3">
        <v>14953.38</v>
      </c>
      <c r="G121" s="4">
        <v>156892.35</v>
      </c>
      <c r="H121" s="3" t="s">
        <v>716</v>
      </c>
      <c r="I121" s="53">
        <f t="shared" si="9"/>
        <v>0</v>
      </c>
      <c r="J121" s="5">
        <f t="shared" si="10"/>
        <v>45183</v>
      </c>
      <c r="K121" s="5" t="str">
        <f t="shared" si="11"/>
        <v xml:space="preserve">   BY TRANSFER-INB -For 19260165--</v>
      </c>
      <c r="L121" s="5" t="str">
        <f t="shared" si="12"/>
        <v>6509369100CTY6450565               TRANSFER FROM 4</v>
      </c>
      <c r="M121" s="9">
        <f t="shared" si="13"/>
        <v>0</v>
      </c>
      <c r="N121" s="9">
        <f t="shared" si="14"/>
        <v>14953.38</v>
      </c>
      <c r="O121" s="9">
        <f t="shared" si="15"/>
        <v>156892.35</v>
      </c>
      <c r="P121" s="8" t="str">
        <f t="shared" si="16"/>
        <v>SBI 3479</v>
      </c>
    </row>
    <row r="122" spans="1:16" x14ac:dyDescent="0.3">
      <c r="A122" s="5">
        <v>45184</v>
      </c>
      <c r="B122" s="5">
        <v>45184</v>
      </c>
      <c r="C122" s="3" t="s">
        <v>247</v>
      </c>
      <c r="E122" s="4">
        <v>147.5</v>
      </c>
      <c r="F122" s="3">
        <v>0</v>
      </c>
      <c r="G122" s="4">
        <v>156744.85</v>
      </c>
      <c r="H122" s="3" t="s">
        <v>716</v>
      </c>
      <c r="I122" s="53">
        <f t="shared" si="9"/>
        <v>0</v>
      </c>
      <c r="J122" s="5">
        <f t="shared" si="10"/>
        <v>45184</v>
      </c>
      <c r="K122" s="5" t="str">
        <f t="shared" si="11"/>
        <v xml:space="preserve">   DEBIT-ATMCard AMC  652294*6987--</v>
      </c>
      <c r="L122" s="5">
        <f t="shared" si="12"/>
        <v>0</v>
      </c>
      <c r="M122" s="9">
        <f t="shared" si="13"/>
        <v>147.5</v>
      </c>
      <c r="N122" s="9">
        <f t="shared" si="14"/>
        <v>0</v>
      </c>
      <c r="O122" s="9">
        <f t="shared" si="15"/>
        <v>156744.85</v>
      </c>
      <c r="P122" s="8" t="str">
        <f t="shared" si="16"/>
        <v>SBI 3479</v>
      </c>
    </row>
    <row r="123" spans="1:16" x14ac:dyDescent="0.3">
      <c r="A123" s="5">
        <v>45187</v>
      </c>
      <c r="B123" s="5">
        <v>45187</v>
      </c>
      <c r="C123" s="3" t="s">
        <v>183</v>
      </c>
      <c r="D123" s="3" t="s">
        <v>246</v>
      </c>
      <c r="E123" s="4">
        <v>0</v>
      </c>
      <c r="F123" s="3">
        <v>10732.31</v>
      </c>
      <c r="G123" s="4">
        <v>167477.16</v>
      </c>
      <c r="H123" s="3" t="s">
        <v>716</v>
      </c>
      <c r="I123" s="53">
        <f t="shared" si="9"/>
        <v>0</v>
      </c>
      <c r="J123" s="5">
        <f t="shared" si="10"/>
        <v>45187</v>
      </c>
      <c r="K123" s="5" t="str">
        <f t="shared" si="11"/>
        <v xml:space="preserve">   BY TRANSFER-INB -For 19260165--</v>
      </c>
      <c r="L123" s="5" t="str">
        <f t="shared" si="12"/>
        <v>6509578041CTY7160595               TRANSFER FROM 4</v>
      </c>
      <c r="M123" s="9">
        <f t="shared" si="13"/>
        <v>0</v>
      </c>
      <c r="N123" s="9">
        <f t="shared" si="14"/>
        <v>10732.31</v>
      </c>
      <c r="O123" s="9">
        <f t="shared" si="15"/>
        <v>167477.16</v>
      </c>
      <c r="P123" s="8" t="str">
        <f t="shared" si="16"/>
        <v>SBI 3479</v>
      </c>
    </row>
    <row r="124" spans="1:16" x14ac:dyDescent="0.3">
      <c r="A124" s="5">
        <v>45188</v>
      </c>
      <c r="B124" s="5">
        <v>45188</v>
      </c>
      <c r="C124" s="3" t="s">
        <v>194</v>
      </c>
      <c r="D124" s="3" t="s">
        <v>245</v>
      </c>
      <c r="E124" s="4">
        <v>104832</v>
      </c>
      <c r="F124" s="3">
        <v>0</v>
      </c>
      <c r="G124" s="4">
        <v>62645.16</v>
      </c>
      <c r="H124" s="3" t="s">
        <v>716</v>
      </c>
      <c r="I124" s="53">
        <f t="shared" si="9"/>
        <v>0</v>
      </c>
      <c r="J124" s="5">
        <f t="shared" si="10"/>
        <v>45188</v>
      </c>
      <c r="K124" s="5" t="str">
        <f t="shared" si="11"/>
        <v xml:space="preserve">   TO TRANSFER-INB SBICARD FOR BILLDESK      SBICARD Payments--</v>
      </c>
      <c r="L124" s="5" t="str">
        <f t="shared" si="12"/>
        <v>YSBI2082212999IGAQEWBTN6               TRANSFER TO</v>
      </c>
      <c r="M124" s="9">
        <f t="shared" si="13"/>
        <v>104832</v>
      </c>
      <c r="N124" s="9">
        <f t="shared" si="14"/>
        <v>0</v>
      </c>
      <c r="O124" s="9">
        <f t="shared" si="15"/>
        <v>62645.16</v>
      </c>
      <c r="P124" s="8" t="str">
        <f t="shared" si="16"/>
        <v>SBI 3479</v>
      </c>
    </row>
    <row r="125" spans="1:16" x14ac:dyDescent="0.3">
      <c r="A125" s="5">
        <v>45194</v>
      </c>
      <c r="B125" s="5">
        <v>45194</v>
      </c>
      <c r="C125" s="3" t="s">
        <v>187</v>
      </c>
      <c r="E125" s="4">
        <v>0</v>
      </c>
      <c r="F125" s="3">
        <v>540</v>
      </c>
      <c r="G125" s="4">
        <v>63185.16</v>
      </c>
      <c r="H125" s="3" t="s">
        <v>716</v>
      </c>
      <c r="I125" s="53">
        <f t="shared" si="9"/>
        <v>0</v>
      </c>
      <c r="J125" s="5">
        <f t="shared" si="10"/>
        <v>45194</v>
      </c>
      <c r="K125" s="5" t="str">
        <f t="shared" si="11"/>
        <v xml:space="preserve">   CREDIT INTEREST---</v>
      </c>
      <c r="L125" s="5">
        <f t="shared" si="12"/>
        <v>0</v>
      </c>
      <c r="M125" s="9">
        <f t="shared" si="13"/>
        <v>0</v>
      </c>
      <c r="N125" s="9">
        <f t="shared" si="14"/>
        <v>540</v>
      </c>
      <c r="O125" s="9">
        <f t="shared" si="15"/>
        <v>63185.16</v>
      </c>
      <c r="P125" s="8" t="str">
        <f t="shared" si="16"/>
        <v>SBI 3479</v>
      </c>
    </row>
    <row r="126" spans="1:16" x14ac:dyDescent="0.3">
      <c r="A126" s="5">
        <v>45196</v>
      </c>
      <c r="B126" s="5">
        <v>45196</v>
      </c>
      <c r="C126" s="3" t="s">
        <v>244</v>
      </c>
      <c r="E126" s="4">
        <v>0</v>
      </c>
      <c r="F126" s="3">
        <v>210</v>
      </c>
      <c r="G126" s="4">
        <v>63395.16</v>
      </c>
      <c r="H126" s="3" t="s">
        <v>716</v>
      </c>
      <c r="I126" s="53">
        <f t="shared" si="9"/>
        <v>0</v>
      </c>
      <c r="J126" s="5">
        <f t="shared" si="10"/>
        <v>45196</v>
      </c>
      <c r="K126" s="5" t="str">
        <f t="shared" si="11"/>
        <v xml:space="preserve">   BULK POSTING-ACHCr NACH00000000061871 MIL Fin Div 20--</v>
      </c>
      <c r="L126" s="5">
        <f t="shared" si="12"/>
        <v>0</v>
      </c>
      <c r="M126" s="9">
        <f t="shared" si="13"/>
        <v>0</v>
      </c>
      <c r="N126" s="9">
        <f t="shared" si="14"/>
        <v>210</v>
      </c>
      <c r="O126" s="9">
        <f t="shared" si="15"/>
        <v>63395.16</v>
      </c>
      <c r="P126" s="8" t="str">
        <f t="shared" si="16"/>
        <v>SBI 3479</v>
      </c>
    </row>
    <row r="127" spans="1:16" x14ac:dyDescent="0.3">
      <c r="A127" s="5">
        <v>45200</v>
      </c>
      <c r="B127" s="5">
        <v>45200</v>
      </c>
      <c r="C127" s="3" t="s">
        <v>243</v>
      </c>
      <c r="E127" s="4">
        <v>5000</v>
      </c>
      <c r="F127" s="3">
        <v>0</v>
      </c>
      <c r="G127" s="4">
        <v>58395.16</v>
      </c>
      <c r="H127" s="3" t="s">
        <v>716</v>
      </c>
      <c r="I127" s="53">
        <f t="shared" si="9"/>
        <v>0</v>
      </c>
      <c r="J127" s="5">
        <f t="shared" si="10"/>
        <v>45200</v>
      </c>
      <c r="K127" s="5" t="str">
        <f t="shared" si="11"/>
        <v xml:space="preserve">   ATM WDL-ATM CASH 9577  SBI SHIVAJI NAGAR ATM NASHIK--</v>
      </c>
      <c r="L127" s="5">
        <f t="shared" si="12"/>
        <v>0</v>
      </c>
      <c r="M127" s="9">
        <f t="shared" si="13"/>
        <v>5000</v>
      </c>
      <c r="N127" s="9">
        <f t="shared" si="14"/>
        <v>0</v>
      </c>
      <c r="O127" s="9">
        <f t="shared" si="15"/>
        <v>58395.16</v>
      </c>
      <c r="P127" s="8" t="str">
        <f t="shared" si="16"/>
        <v>SBI 3479</v>
      </c>
    </row>
    <row r="128" spans="1:16" x14ac:dyDescent="0.3">
      <c r="A128" s="5">
        <v>45201</v>
      </c>
      <c r="B128" s="5">
        <v>45201</v>
      </c>
      <c r="C128" s="3" t="s">
        <v>214</v>
      </c>
      <c r="D128" s="3" t="s">
        <v>206</v>
      </c>
      <c r="E128" s="4">
        <v>26595</v>
      </c>
      <c r="F128" s="3">
        <v>0</v>
      </c>
      <c r="G128" s="4">
        <v>31800.16</v>
      </c>
      <c r="H128" s="3" t="s">
        <v>716</v>
      </c>
      <c r="I128" s="53">
        <f t="shared" si="9"/>
        <v>0</v>
      </c>
      <c r="J128" s="5">
        <f t="shared" si="10"/>
        <v>45201</v>
      </c>
      <c r="K128" s="5" t="str">
        <f t="shared" si="11"/>
        <v xml:space="preserve">   WITHDRAWAL TRANSFER---</v>
      </c>
      <c r="L128" s="5" t="str">
        <f t="shared" si="12"/>
        <v xml:space="preserve">TRANSFER TO 32718635441                           </v>
      </c>
      <c r="M128" s="9">
        <f t="shared" si="13"/>
        <v>26595</v>
      </c>
      <c r="N128" s="9">
        <f t="shared" si="14"/>
        <v>0</v>
      </c>
      <c r="O128" s="9">
        <f t="shared" si="15"/>
        <v>31800.16</v>
      </c>
      <c r="P128" s="8" t="str">
        <f t="shared" si="16"/>
        <v>SBI 3479</v>
      </c>
    </row>
    <row r="129" spans="1:16" x14ac:dyDescent="0.3">
      <c r="A129" s="5">
        <v>45203</v>
      </c>
      <c r="B129" s="5">
        <v>45203</v>
      </c>
      <c r="C129" s="3" t="s">
        <v>242</v>
      </c>
      <c r="E129" s="4">
        <v>0</v>
      </c>
      <c r="F129" s="3">
        <v>384</v>
      </c>
      <c r="G129" s="4">
        <v>32184.16</v>
      </c>
      <c r="H129" s="3" t="s">
        <v>716</v>
      </c>
      <c r="I129" s="53">
        <f t="shared" si="9"/>
        <v>0</v>
      </c>
      <c r="J129" s="5">
        <f t="shared" si="10"/>
        <v>45203</v>
      </c>
      <c r="K129" s="5" t="str">
        <f t="shared" si="11"/>
        <v xml:space="preserve">   BULK POSTING-ACHCr NACH00000000025450 JRAL Fin Div 2--</v>
      </c>
      <c r="L129" s="5">
        <f t="shared" si="12"/>
        <v>0</v>
      </c>
      <c r="M129" s="9">
        <f t="shared" si="13"/>
        <v>0</v>
      </c>
      <c r="N129" s="9">
        <f t="shared" si="14"/>
        <v>384</v>
      </c>
      <c r="O129" s="9">
        <f t="shared" si="15"/>
        <v>32184.16</v>
      </c>
      <c r="P129" s="8" t="str">
        <f t="shared" si="16"/>
        <v>SBI 3479</v>
      </c>
    </row>
    <row r="130" spans="1:16" x14ac:dyDescent="0.3">
      <c r="A130" s="5">
        <v>45205</v>
      </c>
      <c r="B130" s="5">
        <v>45205</v>
      </c>
      <c r="C130" s="3" t="s">
        <v>241</v>
      </c>
      <c r="E130" s="4">
        <v>0</v>
      </c>
      <c r="F130" s="3">
        <v>13.5</v>
      </c>
      <c r="G130" s="4">
        <v>32197.66</v>
      </c>
      <c r="H130" s="3" t="s">
        <v>716</v>
      </c>
      <c r="I130" s="53">
        <f t="shared" si="9"/>
        <v>0</v>
      </c>
      <c r="J130" s="5">
        <f t="shared" si="10"/>
        <v>45205</v>
      </c>
      <c r="K130" s="5" t="str">
        <f t="shared" si="11"/>
        <v xml:space="preserve">   BULK POSTING-ACHCr ICIC03217000005737 BRL FIN DIV 22--</v>
      </c>
      <c r="L130" s="5">
        <f t="shared" si="12"/>
        <v>0</v>
      </c>
      <c r="M130" s="9">
        <f t="shared" si="13"/>
        <v>0</v>
      </c>
      <c r="N130" s="9">
        <f t="shared" si="14"/>
        <v>13.5</v>
      </c>
      <c r="O130" s="9">
        <f t="shared" si="15"/>
        <v>32197.66</v>
      </c>
      <c r="P130" s="8" t="str">
        <f t="shared" si="16"/>
        <v>SBI 3479</v>
      </c>
    </row>
    <row r="131" spans="1:16" x14ac:dyDescent="0.3">
      <c r="A131" s="5">
        <v>45205</v>
      </c>
      <c r="B131" s="5">
        <v>45205</v>
      </c>
      <c r="C131" s="3" t="s">
        <v>183</v>
      </c>
      <c r="D131" s="3" t="s">
        <v>240</v>
      </c>
      <c r="E131" s="4">
        <v>0</v>
      </c>
      <c r="F131" s="3">
        <v>10636.95</v>
      </c>
      <c r="G131" s="4">
        <v>42834.61</v>
      </c>
      <c r="H131" s="3" t="s">
        <v>716</v>
      </c>
      <c r="I131" s="53">
        <f t="shared" si="9"/>
        <v>0</v>
      </c>
      <c r="J131" s="5">
        <f t="shared" si="10"/>
        <v>45205</v>
      </c>
      <c r="K131" s="5" t="str">
        <f t="shared" si="11"/>
        <v xml:space="preserve">   BY TRANSFER-INB -For 19260165--</v>
      </c>
      <c r="L131" s="5" t="str">
        <f t="shared" si="12"/>
        <v>6510350270CTY9505871               TRANSFER FROM 4</v>
      </c>
      <c r="M131" s="9">
        <f t="shared" si="13"/>
        <v>0</v>
      </c>
      <c r="N131" s="9">
        <f t="shared" si="14"/>
        <v>10636.95</v>
      </c>
      <c r="O131" s="9">
        <f t="shared" si="15"/>
        <v>42834.61</v>
      </c>
      <c r="P131" s="8" t="str">
        <f t="shared" si="16"/>
        <v>SBI 3479</v>
      </c>
    </row>
    <row r="132" spans="1:16" x14ac:dyDescent="0.3">
      <c r="A132" s="5">
        <v>45211</v>
      </c>
      <c r="B132" s="5">
        <v>45211</v>
      </c>
      <c r="C132" s="3" t="s">
        <v>194</v>
      </c>
      <c r="D132" s="3" t="s">
        <v>239</v>
      </c>
      <c r="E132" s="4">
        <v>14636</v>
      </c>
      <c r="F132" s="3">
        <v>0</v>
      </c>
      <c r="G132" s="4">
        <v>28198.61</v>
      </c>
      <c r="H132" s="3" t="s">
        <v>716</v>
      </c>
      <c r="I132" s="53">
        <f t="shared" si="9"/>
        <v>0</v>
      </c>
      <c r="J132" s="5">
        <f t="shared" si="10"/>
        <v>45211</v>
      </c>
      <c r="K132" s="5" t="str">
        <f t="shared" si="11"/>
        <v xml:space="preserve">   TO TRANSFER-INB SBICARD FOR BILLDESK      SBICARD Payments--</v>
      </c>
      <c r="L132" s="5" t="str">
        <f t="shared" si="12"/>
        <v>YSBI2108669698IGAQHPMIQ8               TRANSFER TO</v>
      </c>
      <c r="M132" s="9">
        <f t="shared" si="13"/>
        <v>14636</v>
      </c>
      <c r="N132" s="9">
        <f t="shared" si="14"/>
        <v>0</v>
      </c>
      <c r="O132" s="9">
        <f t="shared" si="15"/>
        <v>28198.61</v>
      </c>
      <c r="P132" s="8" t="str">
        <f t="shared" si="16"/>
        <v>SBI 3479</v>
      </c>
    </row>
    <row r="133" spans="1:16" x14ac:dyDescent="0.3">
      <c r="A133" s="5">
        <v>45211</v>
      </c>
      <c r="B133" s="5">
        <v>45211</v>
      </c>
      <c r="C133" s="3" t="s">
        <v>201</v>
      </c>
      <c r="D133" s="3" t="s">
        <v>200</v>
      </c>
      <c r="E133" s="4">
        <v>7092.45</v>
      </c>
      <c r="F133" s="3">
        <v>0</v>
      </c>
      <c r="G133" s="4">
        <v>21106.16</v>
      </c>
      <c r="H133" s="3" t="s">
        <v>716</v>
      </c>
      <c r="I133" s="53">
        <f t="shared" si="9"/>
        <v>0</v>
      </c>
      <c r="J133" s="5">
        <f t="shared" si="10"/>
        <v>45211</v>
      </c>
      <c r="K133" s="5" t="str">
        <f t="shared" si="11"/>
        <v xml:space="preserve">   TO TRANSFER-ForTrading--</v>
      </c>
      <c r="L133" s="5" t="str">
        <f t="shared" si="12"/>
        <v xml:space="preserve">TRANSFER TO 41128839515                           </v>
      </c>
      <c r="M133" s="9">
        <f t="shared" si="13"/>
        <v>7092.45</v>
      </c>
      <c r="N133" s="9">
        <f t="shared" si="14"/>
        <v>0</v>
      </c>
      <c r="O133" s="9">
        <f t="shared" si="15"/>
        <v>21106.16</v>
      </c>
      <c r="P133" s="8" t="str">
        <f t="shared" si="16"/>
        <v>SBI 3479</v>
      </c>
    </row>
    <row r="134" spans="1:16" x14ac:dyDescent="0.3">
      <c r="A134" s="5">
        <v>45212</v>
      </c>
      <c r="B134" s="5">
        <v>45212</v>
      </c>
      <c r="C134" s="3" t="s">
        <v>238</v>
      </c>
      <c r="D134" s="3" t="s">
        <v>237</v>
      </c>
      <c r="E134" s="4">
        <v>20000</v>
      </c>
      <c r="F134" s="3">
        <v>0</v>
      </c>
      <c r="G134" s="4">
        <v>1106.1600000000001</v>
      </c>
      <c r="H134" s="3" t="s">
        <v>716</v>
      </c>
      <c r="I134" s="53">
        <f t="shared" si="9"/>
        <v>0</v>
      </c>
      <c r="J134" s="5">
        <f t="shared" si="10"/>
        <v>45212</v>
      </c>
      <c r="K134" s="5" t="str">
        <f t="shared" si="11"/>
        <v xml:space="preserve">   TO TRANSFER-INB Payment of education fee--</v>
      </c>
      <c r="L134" s="5" t="str">
        <f t="shared" si="12"/>
        <v xml:space="preserve">IT00SQUAN8               TRANSFER TO 38852739960  </v>
      </c>
      <c r="M134" s="9">
        <f t="shared" si="13"/>
        <v>20000</v>
      </c>
      <c r="N134" s="9">
        <f t="shared" si="14"/>
        <v>0</v>
      </c>
      <c r="O134" s="9">
        <f t="shared" si="15"/>
        <v>1106.1600000000001</v>
      </c>
      <c r="P134" s="8" t="str">
        <f t="shared" si="16"/>
        <v>SBI 3479</v>
      </c>
    </row>
    <row r="135" spans="1:16" x14ac:dyDescent="0.3">
      <c r="A135" s="5">
        <v>45212</v>
      </c>
      <c r="B135" s="5">
        <v>45212</v>
      </c>
      <c r="C135" s="3" t="s">
        <v>236</v>
      </c>
      <c r="D135" s="3" t="s">
        <v>235</v>
      </c>
      <c r="E135" s="4">
        <v>0</v>
      </c>
      <c r="F135" s="3">
        <v>10000</v>
      </c>
      <c r="G135" s="4">
        <v>11106.16</v>
      </c>
      <c r="H135" s="3" t="s">
        <v>716</v>
      </c>
      <c r="I135" s="53">
        <f t="shared" si="9"/>
        <v>0</v>
      </c>
      <c r="J135" s="5">
        <f t="shared" si="10"/>
        <v>45212</v>
      </c>
      <c r="K135" s="5" t="str">
        <f t="shared" si="11"/>
        <v xml:space="preserve">   BY TRANSFER-INB Payment of education fee--</v>
      </c>
      <c r="L135" s="5" t="str">
        <f t="shared" si="12"/>
        <v>IIC1835052               TRANSFER FROM 32718635441</v>
      </c>
      <c r="M135" s="9">
        <f t="shared" si="13"/>
        <v>0</v>
      </c>
      <c r="N135" s="9">
        <f t="shared" si="14"/>
        <v>10000</v>
      </c>
      <c r="O135" s="9">
        <f t="shared" si="15"/>
        <v>11106.16</v>
      </c>
      <c r="P135" s="8" t="str">
        <f t="shared" si="16"/>
        <v>SBI 3479</v>
      </c>
    </row>
    <row r="136" spans="1:16" x14ac:dyDescent="0.3">
      <c r="A136" s="5">
        <v>45218</v>
      </c>
      <c r="B136" s="5">
        <v>45218</v>
      </c>
      <c r="C136" s="3" t="s">
        <v>234</v>
      </c>
      <c r="D136" s="3" t="s">
        <v>233</v>
      </c>
      <c r="E136" s="4">
        <v>0</v>
      </c>
      <c r="F136" s="3">
        <v>10000</v>
      </c>
      <c r="G136" s="4">
        <v>21106.16</v>
      </c>
      <c r="H136" s="3" t="s">
        <v>716</v>
      </c>
      <c r="I136" s="53">
        <f t="shared" si="9"/>
        <v>0</v>
      </c>
      <c r="J136" s="5">
        <f t="shared" si="10"/>
        <v>45218</v>
      </c>
      <c r="K136" s="5" t="str">
        <f t="shared" si="11"/>
        <v xml:space="preserve">   BY TRANSFER-INB Deposit / Investment--</v>
      </c>
      <c r="L136" s="5" t="str">
        <f t="shared" si="12"/>
        <v>IIC1965407               TRANSFER FROM 32718635441</v>
      </c>
      <c r="M136" s="9">
        <f t="shared" si="13"/>
        <v>0</v>
      </c>
      <c r="N136" s="9">
        <f t="shared" si="14"/>
        <v>10000</v>
      </c>
      <c r="O136" s="9">
        <f t="shared" si="15"/>
        <v>21106.16</v>
      </c>
      <c r="P136" s="8" t="str">
        <f t="shared" si="16"/>
        <v>SBI 3479</v>
      </c>
    </row>
    <row r="137" spans="1:16" x14ac:dyDescent="0.3">
      <c r="A137" s="5">
        <v>45221</v>
      </c>
      <c r="B137" s="5">
        <v>45221</v>
      </c>
      <c r="C137" s="3" t="s">
        <v>232</v>
      </c>
      <c r="D137" s="3" t="s">
        <v>231</v>
      </c>
      <c r="E137" s="4">
        <v>2000</v>
      </c>
      <c r="F137" s="3">
        <v>0</v>
      </c>
      <c r="G137" s="4">
        <v>19106.16</v>
      </c>
      <c r="H137" s="3" t="s">
        <v>716</v>
      </c>
      <c r="I137" s="53">
        <f t="shared" si="9"/>
        <v>0</v>
      </c>
      <c r="J137" s="5">
        <f t="shared" si="10"/>
        <v>45221</v>
      </c>
      <c r="K137" s="5" t="str">
        <f t="shared" si="11"/>
        <v xml:space="preserve">   TO TRANSFER-SBILT22102023193124012636-Deposit--</v>
      </c>
      <c r="L137" s="5" t="str">
        <f t="shared" si="12"/>
        <v xml:space="preserve">TRANSFER TO 51104607054                           </v>
      </c>
      <c r="M137" s="9">
        <f t="shared" si="13"/>
        <v>2000</v>
      </c>
      <c r="N137" s="9">
        <f t="shared" si="14"/>
        <v>0</v>
      </c>
      <c r="O137" s="9">
        <f t="shared" si="15"/>
        <v>19106.16</v>
      </c>
      <c r="P137" s="8" t="str">
        <f t="shared" si="16"/>
        <v>SBI 3479</v>
      </c>
    </row>
    <row r="138" spans="1:16" x14ac:dyDescent="0.3">
      <c r="A138" s="5">
        <v>45226</v>
      </c>
      <c r="B138" s="5">
        <v>45226</v>
      </c>
      <c r="C138" s="3" t="s">
        <v>201</v>
      </c>
      <c r="D138" s="3" t="s">
        <v>211</v>
      </c>
      <c r="E138" s="4">
        <v>13067.44</v>
      </c>
      <c r="F138" s="3">
        <v>0</v>
      </c>
      <c r="G138" s="4">
        <v>6038.72</v>
      </c>
      <c r="H138" s="3" t="s">
        <v>716</v>
      </c>
      <c r="I138" s="53">
        <f t="shared" si="9"/>
        <v>0</v>
      </c>
      <c r="J138" s="5">
        <f t="shared" si="10"/>
        <v>45226</v>
      </c>
      <c r="K138" s="5" t="str">
        <f t="shared" si="11"/>
        <v xml:space="preserve">   TO TRANSFER-ForTrading--</v>
      </c>
      <c r="L138" s="5" t="str">
        <f t="shared" si="12"/>
        <v xml:space="preserve">TRANSFER TO 31842374252                           </v>
      </c>
      <c r="M138" s="9">
        <f t="shared" si="13"/>
        <v>13067.44</v>
      </c>
      <c r="N138" s="9">
        <f t="shared" si="14"/>
        <v>0</v>
      </c>
      <c r="O138" s="9">
        <f t="shared" si="15"/>
        <v>6038.72</v>
      </c>
      <c r="P138" s="8" t="str">
        <f t="shared" si="16"/>
        <v>SBI 3479</v>
      </c>
    </row>
    <row r="139" spans="1:16" x14ac:dyDescent="0.3">
      <c r="A139" s="5">
        <v>45230</v>
      </c>
      <c r="B139" s="5">
        <v>45230</v>
      </c>
      <c r="C139" s="3" t="s">
        <v>181</v>
      </c>
      <c r="D139" s="3" t="s">
        <v>230</v>
      </c>
      <c r="E139" s="4">
        <v>0</v>
      </c>
      <c r="F139" s="3">
        <v>25000</v>
      </c>
      <c r="G139" s="4">
        <v>31038.720000000001</v>
      </c>
      <c r="H139" s="3" t="s">
        <v>716</v>
      </c>
      <c r="I139" s="53">
        <f t="shared" si="9"/>
        <v>0</v>
      </c>
      <c r="J139" s="5">
        <f t="shared" si="10"/>
        <v>45230</v>
      </c>
      <c r="K139" s="5" t="str">
        <f t="shared" si="11"/>
        <v xml:space="preserve">   BY TRANSFER-INB Payment towards loan repayment--</v>
      </c>
      <c r="L139" s="5" t="str">
        <f t="shared" si="12"/>
        <v>IIC2218026               TRANSFER FROM 32718635441</v>
      </c>
      <c r="M139" s="9">
        <f t="shared" si="13"/>
        <v>0</v>
      </c>
      <c r="N139" s="9">
        <f t="shared" si="14"/>
        <v>25000</v>
      </c>
      <c r="O139" s="9">
        <f t="shared" si="15"/>
        <v>31038.720000000001</v>
      </c>
      <c r="P139" s="8" t="str">
        <f t="shared" si="16"/>
        <v>SBI 3479</v>
      </c>
    </row>
    <row r="140" spans="1:16" x14ac:dyDescent="0.3">
      <c r="A140" s="5">
        <v>45230</v>
      </c>
      <c r="B140" s="5">
        <v>45230</v>
      </c>
      <c r="C140" s="3" t="s">
        <v>183</v>
      </c>
      <c r="D140" s="3" t="s">
        <v>229</v>
      </c>
      <c r="E140" s="4">
        <v>0</v>
      </c>
      <c r="F140" s="3">
        <v>8420.7800000000007</v>
      </c>
      <c r="G140" s="4">
        <v>39459.5</v>
      </c>
      <c r="H140" s="3" t="s">
        <v>716</v>
      </c>
      <c r="I140" s="53">
        <f t="shared" si="9"/>
        <v>0</v>
      </c>
      <c r="J140" s="5">
        <f t="shared" si="10"/>
        <v>45230</v>
      </c>
      <c r="K140" s="5" t="str">
        <f t="shared" si="11"/>
        <v xml:space="preserve">   BY TRANSFER-INB -For 19260165--</v>
      </c>
      <c r="L140" s="5" t="str">
        <f t="shared" si="12"/>
        <v>6511479970CTZ2755387               TRANSFER FROM 4</v>
      </c>
      <c r="M140" s="9">
        <f t="shared" si="13"/>
        <v>0</v>
      </c>
      <c r="N140" s="9">
        <f t="shared" si="14"/>
        <v>8420.7800000000007</v>
      </c>
      <c r="O140" s="9">
        <f t="shared" si="15"/>
        <v>39459.5</v>
      </c>
      <c r="P140" s="8" t="str">
        <f t="shared" si="16"/>
        <v>SBI 3479</v>
      </c>
    </row>
    <row r="141" spans="1:16" x14ac:dyDescent="0.3">
      <c r="A141" s="5">
        <v>45231</v>
      </c>
      <c r="B141" s="5">
        <v>45231</v>
      </c>
      <c r="C141" s="3" t="s">
        <v>228</v>
      </c>
      <c r="D141" s="3" t="s">
        <v>227</v>
      </c>
      <c r="E141" s="4">
        <v>0</v>
      </c>
      <c r="F141" s="3">
        <v>1000</v>
      </c>
      <c r="G141" s="4">
        <v>40459.5</v>
      </c>
      <c r="H141" s="3" t="s">
        <v>716</v>
      </c>
      <c r="I141" s="53">
        <f t="shared" si="9"/>
        <v>0</v>
      </c>
      <c r="J141" s="5">
        <f t="shared" si="10"/>
        <v>45231</v>
      </c>
      <c r="K141" s="5" t="str">
        <f t="shared" si="11"/>
        <v xml:space="preserve">   BY TRANSFER-NEFT*UBIN0905666*001109235628*AJAY KUMAR GUPTA HUF--</v>
      </c>
      <c r="L141" s="5" t="str">
        <f t="shared" si="12"/>
        <v>TRANSFER FROM 4697225044301</v>
      </c>
      <c r="M141" s="9">
        <f t="shared" si="13"/>
        <v>0</v>
      </c>
      <c r="N141" s="9">
        <f t="shared" si="14"/>
        <v>1000</v>
      </c>
      <c r="O141" s="9">
        <f t="shared" si="15"/>
        <v>40459.5</v>
      </c>
      <c r="P141" s="8" t="str">
        <f t="shared" si="16"/>
        <v>SBI 3479</v>
      </c>
    </row>
    <row r="142" spans="1:16" x14ac:dyDescent="0.3">
      <c r="A142" s="5">
        <v>45232</v>
      </c>
      <c r="B142" s="5">
        <v>45232</v>
      </c>
      <c r="C142" s="3" t="s">
        <v>214</v>
      </c>
      <c r="D142" s="3" t="s">
        <v>206</v>
      </c>
      <c r="E142" s="4">
        <v>26595</v>
      </c>
      <c r="F142" s="3">
        <v>0</v>
      </c>
      <c r="G142" s="4">
        <v>13864.5</v>
      </c>
      <c r="H142" s="3" t="s">
        <v>716</v>
      </c>
      <c r="I142" s="53">
        <f t="shared" si="9"/>
        <v>0</v>
      </c>
      <c r="J142" s="5">
        <f t="shared" si="10"/>
        <v>45232</v>
      </c>
      <c r="K142" s="5" t="str">
        <f t="shared" si="11"/>
        <v xml:space="preserve">   WITHDRAWAL TRANSFER---</v>
      </c>
      <c r="L142" s="5" t="str">
        <f t="shared" si="12"/>
        <v xml:space="preserve">TRANSFER TO 32718635441                           </v>
      </c>
      <c r="M142" s="9">
        <f t="shared" si="13"/>
        <v>26595</v>
      </c>
      <c r="N142" s="9">
        <f t="shared" si="14"/>
        <v>0</v>
      </c>
      <c r="O142" s="9">
        <f t="shared" si="15"/>
        <v>13864.5</v>
      </c>
      <c r="P142" s="8" t="str">
        <f t="shared" si="16"/>
        <v>SBI 3479</v>
      </c>
    </row>
    <row r="143" spans="1:16" x14ac:dyDescent="0.3">
      <c r="A143" s="5">
        <v>45236</v>
      </c>
      <c r="B143" s="5">
        <v>45236</v>
      </c>
      <c r="C143" s="3" t="s">
        <v>226</v>
      </c>
      <c r="E143" s="4">
        <v>0</v>
      </c>
      <c r="F143" s="3">
        <v>450</v>
      </c>
      <c r="G143" s="4">
        <v>14314.5</v>
      </c>
      <c r="H143" s="3" t="s">
        <v>716</v>
      </c>
      <c r="I143" s="53">
        <f t="shared" si="9"/>
        <v>0</v>
      </c>
      <c r="J143" s="5">
        <f t="shared" si="10"/>
        <v>45236</v>
      </c>
      <c r="K143" s="5" t="str">
        <f t="shared" si="11"/>
        <v xml:space="preserve">   BULK POSTING-ACHCr ICIC02491000005006 INFOSYS LIMITE--</v>
      </c>
      <c r="L143" s="5">
        <f t="shared" si="12"/>
        <v>0</v>
      </c>
      <c r="M143" s="9">
        <f t="shared" si="13"/>
        <v>0</v>
      </c>
      <c r="N143" s="9">
        <f t="shared" si="14"/>
        <v>450</v>
      </c>
      <c r="O143" s="9">
        <f t="shared" si="15"/>
        <v>14314.5</v>
      </c>
      <c r="P143" s="8" t="str">
        <f t="shared" si="16"/>
        <v>SBI 3479</v>
      </c>
    </row>
    <row r="144" spans="1:16" x14ac:dyDescent="0.3">
      <c r="A144" s="5">
        <v>45237</v>
      </c>
      <c r="B144" s="5">
        <v>45237</v>
      </c>
      <c r="C144" s="3" t="s">
        <v>225</v>
      </c>
      <c r="E144" s="4">
        <v>0</v>
      </c>
      <c r="F144" s="3">
        <v>171</v>
      </c>
      <c r="G144" s="4">
        <v>14485.5</v>
      </c>
      <c r="H144" s="3" t="s">
        <v>716</v>
      </c>
      <c r="I144" s="53">
        <f t="shared" si="9"/>
        <v>0</v>
      </c>
      <c r="J144" s="5">
        <f t="shared" si="10"/>
        <v>45237</v>
      </c>
      <c r="K144" s="5" t="str">
        <f t="shared" si="11"/>
        <v xml:space="preserve">   BULK POSTING-ACHCr SBIN00882000011904 TCS2NDINTDIV07--</v>
      </c>
      <c r="L144" s="5">
        <f t="shared" si="12"/>
        <v>0</v>
      </c>
      <c r="M144" s="9">
        <f t="shared" si="13"/>
        <v>0</v>
      </c>
      <c r="N144" s="9">
        <f t="shared" si="14"/>
        <v>171</v>
      </c>
      <c r="O144" s="9">
        <f t="shared" si="15"/>
        <v>14485.5</v>
      </c>
      <c r="P144" s="8" t="str">
        <f t="shared" si="16"/>
        <v>SBI 3479</v>
      </c>
    </row>
    <row r="145" spans="1:16" x14ac:dyDescent="0.3">
      <c r="A145" s="5">
        <v>45243</v>
      </c>
      <c r="B145" s="5">
        <v>45243</v>
      </c>
      <c r="C145" s="3" t="s">
        <v>183</v>
      </c>
      <c r="D145" s="3" t="s">
        <v>224</v>
      </c>
      <c r="E145" s="4">
        <v>0</v>
      </c>
      <c r="F145" s="3">
        <v>5287.92</v>
      </c>
      <c r="G145" s="4">
        <v>19773.419999999998</v>
      </c>
      <c r="H145" s="3" t="s">
        <v>716</v>
      </c>
      <c r="I145" s="53">
        <f t="shared" si="9"/>
        <v>0</v>
      </c>
      <c r="J145" s="5">
        <f t="shared" si="10"/>
        <v>45243</v>
      </c>
      <c r="K145" s="5" t="str">
        <f t="shared" si="11"/>
        <v xml:space="preserve">   BY TRANSFER-INB -For 19260165--</v>
      </c>
      <c r="L145" s="5" t="str">
        <f t="shared" si="12"/>
        <v>6512030001CTZ4836419               TRANSFER FROM 4</v>
      </c>
      <c r="M145" s="9">
        <f t="shared" si="13"/>
        <v>0</v>
      </c>
      <c r="N145" s="9">
        <f t="shared" si="14"/>
        <v>5287.92</v>
      </c>
      <c r="O145" s="9">
        <f t="shared" si="15"/>
        <v>19773.419999999998</v>
      </c>
      <c r="P145" s="8" t="str">
        <f t="shared" si="16"/>
        <v>SBI 3479</v>
      </c>
    </row>
    <row r="146" spans="1:16" x14ac:dyDescent="0.3">
      <c r="A146" s="5">
        <v>45251</v>
      </c>
      <c r="B146" s="5">
        <v>45251</v>
      </c>
      <c r="C146" s="3" t="s">
        <v>183</v>
      </c>
      <c r="D146" s="3" t="s">
        <v>223</v>
      </c>
      <c r="E146" s="4">
        <v>0</v>
      </c>
      <c r="F146" s="3">
        <v>17987.990000000002</v>
      </c>
      <c r="G146" s="4">
        <v>37761.410000000003</v>
      </c>
      <c r="H146" s="3" t="s">
        <v>716</v>
      </c>
      <c r="I146" s="53">
        <f t="shared" si="9"/>
        <v>0</v>
      </c>
      <c r="J146" s="5">
        <f t="shared" si="10"/>
        <v>45251</v>
      </c>
      <c r="K146" s="5" t="str">
        <f t="shared" si="11"/>
        <v xml:space="preserve">   BY TRANSFER-INB -For 19260165--</v>
      </c>
      <c r="L146" s="5" t="str">
        <f t="shared" si="12"/>
        <v>6512393837CTZ5809292               TRANSFER FROM 4</v>
      </c>
      <c r="M146" s="9">
        <f t="shared" si="13"/>
        <v>0</v>
      </c>
      <c r="N146" s="9">
        <f t="shared" si="14"/>
        <v>17987.990000000002</v>
      </c>
      <c r="O146" s="9">
        <f t="shared" si="15"/>
        <v>37761.410000000003</v>
      </c>
      <c r="P146" s="8" t="str">
        <f t="shared" si="16"/>
        <v>SBI 3479</v>
      </c>
    </row>
    <row r="147" spans="1:16" x14ac:dyDescent="0.3">
      <c r="A147" s="5">
        <v>45252</v>
      </c>
      <c r="B147" s="5">
        <v>45252</v>
      </c>
      <c r="C147" s="3" t="s">
        <v>183</v>
      </c>
      <c r="D147" s="3" t="s">
        <v>222</v>
      </c>
      <c r="E147" s="4">
        <v>0</v>
      </c>
      <c r="F147" s="3">
        <v>165252.64000000001</v>
      </c>
      <c r="G147" s="4">
        <v>203014.05</v>
      </c>
      <c r="H147" s="3" t="s">
        <v>716</v>
      </c>
      <c r="I147" s="53">
        <f t="shared" si="9"/>
        <v>0</v>
      </c>
      <c r="J147" s="5">
        <f t="shared" si="10"/>
        <v>45252</v>
      </c>
      <c r="K147" s="5" t="str">
        <f t="shared" si="11"/>
        <v xml:space="preserve">   BY TRANSFER-INB -For 19260165--</v>
      </c>
      <c r="L147" s="5" t="str">
        <f t="shared" si="12"/>
        <v>6512445076CTZ5957263               TRANSFER FROM 4</v>
      </c>
      <c r="M147" s="9">
        <f t="shared" si="13"/>
        <v>0</v>
      </c>
      <c r="N147" s="9">
        <f t="shared" si="14"/>
        <v>165252.64000000001</v>
      </c>
      <c r="O147" s="9">
        <f t="shared" si="15"/>
        <v>203014.05</v>
      </c>
      <c r="P147" s="8" t="str">
        <f t="shared" si="16"/>
        <v>SBI 3479</v>
      </c>
    </row>
    <row r="148" spans="1:16" x14ac:dyDescent="0.3">
      <c r="A148" s="5">
        <v>45253</v>
      </c>
      <c r="B148" s="5">
        <v>45253</v>
      </c>
      <c r="C148" s="3" t="s">
        <v>194</v>
      </c>
      <c r="D148" s="3" t="s">
        <v>221</v>
      </c>
      <c r="E148" s="4">
        <v>31936</v>
      </c>
      <c r="F148" s="3">
        <v>0</v>
      </c>
      <c r="G148" s="4">
        <v>171078.05</v>
      </c>
      <c r="H148" s="3" t="s">
        <v>716</v>
      </c>
      <c r="I148" s="53">
        <f t="shared" si="9"/>
        <v>0</v>
      </c>
      <c r="J148" s="5">
        <f t="shared" si="10"/>
        <v>45253</v>
      </c>
      <c r="K148" s="5" t="str">
        <f t="shared" si="11"/>
        <v xml:space="preserve">   TO TRANSFER-INB SBICARD FOR BILLDESK      SBICARD Payments--</v>
      </c>
      <c r="L148" s="5" t="str">
        <f t="shared" si="12"/>
        <v>YSBI2152014558IGAQMGNQS5               TRANSFER TO</v>
      </c>
      <c r="M148" s="9">
        <f t="shared" si="13"/>
        <v>31936</v>
      </c>
      <c r="N148" s="9">
        <f t="shared" si="14"/>
        <v>0</v>
      </c>
      <c r="O148" s="9">
        <f t="shared" si="15"/>
        <v>171078.05</v>
      </c>
      <c r="P148" s="8" t="str">
        <f t="shared" si="16"/>
        <v>SBI 3479</v>
      </c>
    </row>
    <row r="149" spans="1:16" x14ac:dyDescent="0.3">
      <c r="A149" s="5">
        <v>45253</v>
      </c>
      <c r="B149" s="5">
        <v>45253</v>
      </c>
      <c r="C149" s="3" t="s">
        <v>197</v>
      </c>
      <c r="D149" s="3" t="s">
        <v>220</v>
      </c>
      <c r="E149" s="4">
        <v>20000</v>
      </c>
      <c r="F149" s="3">
        <v>0</v>
      </c>
      <c r="G149" s="4">
        <v>151078.04999999999</v>
      </c>
      <c r="H149" s="3" t="s">
        <v>716</v>
      </c>
      <c r="I149" s="53">
        <f t="shared" si="9"/>
        <v>0</v>
      </c>
      <c r="J149" s="5">
        <f t="shared" si="10"/>
        <v>45253</v>
      </c>
      <c r="K149" s="5" t="str">
        <f t="shared" si="11"/>
        <v xml:space="preserve">   TO TRANSFER-INB Payment towards loan repayment--</v>
      </c>
      <c r="L149" s="5" t="str">
        <f t="shared" si="12"/>
        <v xml:space="preserve">IIC2861225               TRANSFER TO 32718635441  </v>
      </c>
      <c r="M149" s="9">
        <f t="shared" si="13"/>
        <v>20000</v>
      </c>
      <c r="N149" s="9">
        <f t="shared" si="14"/>
        <v>0</v>
      </c>
      <c r="O149" s="9">
        <f t="shared" si="15"/>
        <v>151078.04999999999</v>
      </c>
      <c r="P149" s="8" t="str">
        <f t="shared" si="16"/>
        <v>SBI 3479</v>
      </c>
    </row>
    <row r="150" spans="1:16" x14ac:dyDescent="0.3">
      <c r="A150" s="5">
        <v>45253</v>
      </c>
      <c r="B150" s="5">
        <v>45253</v>
      </c>
      <c r="C150" s="3" t="s">
        <v>201</v>
      </c>
      <c r="D150" s="3" t="s">
        <v>211</v>
      </c>
      <c r="E150" s="4">
        <v>64277.97</v>
      </c>
      <c r="F150" s="3">
        <v>0</v>
      </c>
      <c r="G150" s="4">
        <v>86800.08</v>
      </c>
      <c r="H150" s="3" t="s">
        <v>716</v>
      </c>
      <c r="I150" s="53">
        <f t="shared" ref="I150:I177" si="17">G149+F150-E150-G150</f>
        <v>0</v>
      </c>
      <c r="J150" s="5">
        <f t="shared" ref="J150:J213" si="18">A150</f>
        <v>45253</v>
      </c>
      <c r="K150" s="5" t="str">
        <f t="shared" ref="K150:K178" si="19">C150</f>
        <v xml:space="preserve">   TO TRANSFER-ForTrading--</v>
      </c>
      <c r="L150" s="5" t="str">
        <f t="shared" ref="L150:L178" si="20">D150</f>
        <v xml:space="preserve">TRANSFER TO 31842374252                           </v>
      </c>
      <c r="M150" s="9">
        <f t="shared" ref="M150:M178" si="21">E150</f>
        <v>64277.97</v>
      </c>
      <c r="N150" s="9">
        <f t="shared" ref="N150:N178" si="22">F150</f>
        <v>0</v>
      </c>
      <c r="O150" s="9">
        <f t="shared" ref="O150:O178" si="23">G150</f>
        <v>86800.08</v>
      </c>
      <c r="P150" s="8" t="str">
        <f t="shared" ref="P150:P178" si="24">H150</f>
        <v>SBI 3479</v>
      </c>
    </row>
    <row r="151" spans="1:16" x14ac:dyDescent="0.3">
      <c r="A151" s="5">
        <v>45258</v>
      </c>
      <c r="B151" s="5">
        <v>45258</v>
      </c>
      <c r="C151" s="3" t="s">
        <v>219</v>
      </c>
      <c r="D151" s="3" t="s">
        <v>188</v>
      </c>
      <c r="E151" s="4">
        <v>14720</v>
      </c>
      <c r="F151" s="3">
        <v>0</v>
      </c>
      <c r="G151" s="4">
        <v>72080.08</v>
      </c>
      <c r="H151" s="3" t="s">
        <v>716</v>
      </c>
      <c r="I151" s="53">
        <f t="shared" si="17"/>
        <v>0</v>
      </c>
      <c r="J151" s="5">
        <f t="shared" si="18"/>
        <v>45258</v>
      </c>
      <c r="K151" s="5" t="str">
        <f t="shared" si="19"/>
        <v xml:space="preserve">   TO TRANSFER-TRFD TO INDIAN RENEWABLE ENER1GY DEV AGNCY ALLOTME--</v>
      </c>
      <c r="L151" s="5" t="str">
        <f t="shared" si="20"/>
        <v xml:space="preserve">TRANSFER TO 38660007037                           </v>
      </c>
      <c r="M151" s="9">
        <f t="shared" si="21"/>
        <v>14720</v>
      </c>
      <c r="N151" s="9">
        <f t="shared" si="22"/>
        <v>0</v>
      </c>
      <c r="O151" s="9">
        <f t="shared" si="23"/>
        <v>72080.08</v>
      </c>
      <c r="P151" s="8" t="str">
        <f t="shared" si="24"/>
        <v>SBI 3479</v>
      </c>
    </row>
    <row r="152" spans="1:16" x14ac:dyDescent="0.3">
      <c r="A152" s="5">
        <v>45259</v>
      </c>
      <c r="B152" s="5">
        <v>45259</v>
      </c>
      <c r="C152" s="3" t="s">
        <v>183</v>
      </c>
      <c r="D152" s="3" t="s">
        <v>218</v>
      </c>
      <c r="E152" s="4">
        <v>0</v>
      </c>
      <c r="F152" s="3">
        <v>3439.69</v>
      </c>
      <c r="G152" s="4">
        <v>75519.77</v>
      </c>
      <c r="H152" s="3" t="s">
        <v>716</v>
      </c>
      <c r="I152" s="53">
        <f t="shared" si="17"/>
        <v>0</v>
      </c>
      <c r="J152" s="5">
        <f t="shared" si="18"/>
        <v>45259</v>
      </c>
      <c r="K152" s="5" t="str">
        <f t="shared" si="19"/>
        <v xml:space="preserve">   BY TRANSFER-INB -For 19260165--</v>
      </c>
      <c r="L152" s="5" t="str">
        <f t="shared" si="20"/>
        <v>6512690611CTZ6791905               TRANSFER FROM 4</v>
      </c>
      <c r="M152" s="9">
        <f t="shared" si="21"/>
        <v>0</v>
      </c>
      <c r="N152" s="9">
        <f t="shared" si="22"/>
        <v>3439.69</v>
      </c>
      <c r="O152" s="9">
        <f t="shared" si="23"/>
        <v>75519.77</v>
      </c>
      <c r="P152" s="8" t="str">
        <f t="shared" si="24"/>
        <v>SBI 3479</v>
      </c>
    </row>
    <row r="153" spans="1:16" x14ac:dyDescent="0.3">
      <c r="A153" s="5">
        <v>45260</v>
      </c>
      <c r="B153" s="5">
        <v>45260</v>
      </c>
      <c r="C153" s="3" t="s">
        <v>217</v>
      </c>
      <c r="E153" s="4">
        <v>0</v>
      </c>
      <c r="F153" s="3">
        <v>412.5</v>
      </c>
      <c r="G153" s="4">
        <v>75932.27</v>
      </c>
      <c r="H153" s="3" t="s">
        <v>716</v>
      </c>
      <c r="I153" s="53">
        <f t="shared" si="17"/>
        <v>0</v>
      </c>
      <c r="J153" s="5">
        <f t="shared" si="18"/>
        <v>45260</v>
      </c>
      <c r="K153" s="5" t="str">
        <f t="shared" si="19"/>
        <v xml:space="preserve">   BULK POSTING-ACHCr NACH00000000057384 STYLAM1stInt23--</v>
      </c>
      <c r="L153" s="5">
        <f t="shared" si="20"/>
        <v>0</v>
      </c>
      <c r="M153" s="9">
        <f t="shared" si="21"/>
        <v>0</v>
      </c>
      <c r="N153" s="9">
        <f t="shared" si="22"/>
        <v>412.5</v>
      </c>
      <c r="O153" s="9">
        <f t="shared" si="23"/>
        <v>75932.27</v>
      </c>
      <c r="P153" s="8" t="str">
        <f t="shared" si="24"/>
        <v>SBI 3479</v>
      </c>
    </row>
    <row r="154" spans="1:16" x14ac:dyDescent="0.3">
      <c r="A154" s="5">
        <v>45261</v>
      </c>
      <c r="B154" s="5">
        <v>45261</v>
      </c>
      <c r="C154" s="3" t="s">
        <v>183</v>
      </c>
      <c r="D154" s="3" t="s">
        <v>216</v>
      </c>
      <c r="E154" s="4">
        <v>0</v>
      </c>
      <c r="F154" s="3">
        <v>36184.660000000003</v>
      </c>
      <c r="G154" s="4">
        <v>112116.93</v>
      </c>
      <c r="H154" s="3" t="s">
        <v>716</v>
      </c>
      <c r="I154" s="53">
        <f t="shared" si="17"/>
        <v>0</v>
      </c>
      <c r="J154" s="5">
        <f t="shared" si="18"/>
        <v>45261</v>
      </c>
      <c r="K154" s="5" t="str">
        <f t="shared" si="19"/>
        <v xml:space="preserve">   BY TRANSFER-INB -For 19260165--</v>
      </c>
      <c r="L154" s="5" t="str">
        <f t="shared" si="20"/>
        <v>6512763421CTZ6957138               TRANSFER FROM 4</v>
      </c>
      <c r="M154" s="9">
        <f t="shared" si="21"/>
        <v>0</v>
      </c>
      <c r="N154" s="9">
        <f t="shared" si="22"/>
        <v>36184.660000000003</v>
      </c>
      <c r="O154" s="9">
        <f t="shared" si="23"/>
        <v>112116.93</v>
      </c>
      <c r="P154" s="8" t="str">
        <f t="shared" si="24"/>
        <v>SBI 3479</v>
      </c>
    </row>
    <row r="155" spans="1:16" x14ac:dyDescent="0.3">
      <c r="A155" s="5">
        <v>45261</v>
      </c>
      <c r="B155" s="5">
        <v>45261</v>
      </c>
      <c r="C155" s="3" t="s">
        <v>197</v>
      </c>
      <c r="D155" s="3" t="s">
        <v>215</v>
      </c>
      <c r="E155" s="4">
        <v>70000</v>
      </c>
      <c r="F155" s="3">
        <v>0</v>
      </c>
      <c r="G155" s="4">
        <v>42116.93</v>
      </c>
      <c r="H155" s="3" t="s">
        <v>716</v>
      </c>
      <c r="I155" s="53">
        <f t="shared" si="17"/>
        <v>0</v>
      </c>
      <c r="J155" s="5">
        <f t="shared" si="18"/>
        <v>45261</v>
      </c>
      <c r="K155" s="5" t="str">
        <f t="shared" si="19"/>
        <v xml:space="preserve">   TO TRANSFER-INB Payment towards loan repayment--</v>
      </c>
      <c r="L155" s="5" t="str">
        <f t="shared" si="20"/>
        <v xml:space="preserve">IIC3095625               TRANSFER TO 32718635441  </v>
      </c>
      <c r="M155" s="9">
        <f t="shared" si="21"/>
        <v>70000</v>
      </c>
      <c r="N155" s="9">
        <f t="shared" si="22"/>
        <v>0</v>
      </c>
      <c r="O155" s="9">
        <f t="shared" si="23"/>
        <v>42116.93</v>
      </c>
      <c r="P155" s="8" t="str">
        <f t="shared" si="24"/>
        <v>SBI 3479</v>
      </c>
    </row>
    <row r="156" spans="1:16" x14ac:dyDescent="0.3">
      <c r="A156" s="5">
        <v>45262</v>
      </c>
      <c r="B156" s="5">
        <v>45262</v>
      </c>
      <c r="C156" s="3" t="s">
        <v>214</v>
      </c>
      <c r="D156" s="3" t="s">
        <v>206</v>
      </c>
      <c r="E156" s="4">
        <v>26595</v>
      </c>
      <c r="F156" s="3">
        <v>0</v>
      </c>
      <c r="G156" s="4">
        <v>15521.93</v>
      </c>
      <c r="H156" s="3" t="s">
        <v>716</v>
      </c>
      <c r="I156" s="53">
        <f t="shared" si="17"/>
        <v>0</v>
      </c>
      <c r="J156" s="5">
        <f t="shared" si="18"/>
        <v>45262</v>
      </c>
      <c r="K156" s="5" t="str">
        <f t="shared" si="19"/>
        <v xml:space="preserve">   WITHDRAWAL TRANSFER---</v>
      </c>
      <c r="L156" s="5" t="str">
        <f t="shared" si="20"/>
        <v xml:space="preserve">TRANSFER TO 32718635441                           </v>
      </c>
      <c r="M156" s="9">
        <f t="shared" si="21"/>
        <v>26595</v>
      </c>
      <c r="N156" s="9">
        <f t="shared" si="22"/>
        <v>0</v>
      </c>
      <c r="O156" s="9">
        <f t="shared" si="23"/>
        <v>15521.93</v>
      </c>
      <c r="P156" s="8" t="str">
        <f t="shared" si="24"/>
        <v>SBI 3479</v>
      </c>
    </row>
    <row r="157" spans="1:16" x14ac:dyDescent="0.3">
      <c r="A157" s="5">
        <v>45265</v>
      </c>
      <c r="B157" s="5">
        <v>45265</v>
      </c>
      <c r="C157" s="3" t="s">
        <v>183</v>
      </c>
      <c r="D157" s="3" t="s">
        <v>213</v>
      </c>
      <c r="E157" s="4">
        <v>0</v>
      </c>
      <c r="F157" s="3">
        <v>72095.399999999994</v>
      </c>
      <c r="G157" s="4">
        <v>87617.33</v>
      </c>
      <c r="H157" s="3" t="s">
        <v>716</v>
      </c>
      <c r="I157" s="53">
        <f t="shared" si="17"/>
        <v>0</v>
      </c>
      <c r="J157" s="5">
        <f t="shared" si="18"/>
        <v>45265</v>
      </c>
      <c r="K157" s="5" t="str">
        <f t="shared" si="19"/>
        <v xml:space="preserve">   BY TRANSFER-INB -For 19260165--</v>
      </c>
      <c r="L157" s="5" t="str">
        <f t="shared" si="20"/>
        <v>6512950262CTZ7508264               TRANSFER FROM 4</v>
      </c>
      <c r="M157" s="9">
        <f t="shared" si="21"/>
        <v>0</v>
      </c>
      <c r="N157" s="9">
        <f t="shared" si="22"/>
        <v>72095.399999999994</v>
      </c>
      <c r="O157" s="9">
        <f t="shared" si="23"/>
        <v>87617.33</v>
      </c>
      <c r="P157" s="8" t="str">
        <f t="shared" si="24"/>
        <v>SBI 3479</v>
      </c>
    </row>
    <row r="158" spans="1:16" x14ac:dyDescent="0.3">
      <c r="A158" s="5">
        <v>45265</v>
      </c>
      <c r="B158" s="5">
        <v>45265</v>
      </c>
      <c r="C158" s="3" t="s">
        <v>197</v>
      </c>
      <c r="D158" s="3" t="s">
        <v>212</v>
      </c>
      <c r="E158" s="4">
        <v>75000</v>
      </c>
      <c r="F158" s="3">
        <v>0</v>
      </c>
      <c r="G158" s="4">
        <v>12617.33</v>
      </c>
      <c r="H158" s="3" t="s">
        <v>716</v>
      </c>
      <c r="I158" s="53">
        <f t="shared" si="17"/>
        <v>0</v>
      </c>
      <c r="J158" s="5">
        <f t="shared" si="18"/>
        <v>45265</v>
      </c>
      <c r="K158" s="5" t="str">
        <f t="shared" si="19"/>
        <v xml:space="preserve">   TO TRANSFER-INB Payment towards loan repayment--</v>
      </c>
      <c r="L158" s="5" t="str">
        <f t="shared" si="20"/>
        <v xml:space="preserve">IIC3256631               TRANSFER TO 32718635441  </v>
      </c>
      <c r="M158" s="9">
        <f t="shared" si="21"/>
        <v>75000</v>
      </c>
      <c r="N158" s="9">
        <f t="shared" si="22"/>
        <v>0</v>
      </c>
      <c r="O158" s="9">
        <f t="shared" si="23"/>
        <v>12617.33</v>
      </c>
      <c r="P158" s="8" t="str">
        <f t="shared" si="24"/>
        <v>SBI 3479</v>
      </c>
    </row>
    <row r="159" spans="1:16" x14ac:dyDescent="0.3">
      <c r="A159" s="5">
        <v>45266</v>
      </c>
      <c r="B159" s="5">
        <v>45266</v>
      </c>
      <c r="C159" s="3" t="s">
        <v>201</v>
      </c>
      <c r="D159" s="3" t="s">
        <v>211</v>
      </c>
      <c r="E159" s="4">
        <v>9535.76</v>
      </c>
      <c r="F159" s="3">
        <v>0</v>
      </c>
      <c r="G159" s="4">
        <v>3081.57</v>
      </c>
      <c r="H159" s="3" t="s">
        <v>716</v>
      </c>
      <c r="I159" s="53">
        <f t="shared" si="17"/>
        <v>0</v>
      </c>
      <c r="J159" s="5">
        <f t="shared" si="18"/>
        <v>45266</v>
      </c>
      <c r="K159" s="5" t="str">
        <f t="shared" si="19"/>
        <v xml:space="preserve">   TO TRANSFER-ForTrading--</v>
      </c>
      <c r="L159" s="5" t="str">
        <f t="shared" si="20"/>
        <v xml:space="preserve">TRANSFER TO 31842374252                           </v>
      </c>
      <c r="M159" s="9">
        <f t="shared" si="21"/>
        <v>9535.76</v>
      </c>
      <c r="N159" s="9">
        <f t="shared" si="22"/>
        <v>0</v>
      </c>
      <c r="O159" s="9">
        <f t="shared" si="23"/>
        <v>3081.57</v>
      </c>
      <c r="P159" s="8" t="str">
        <f t="shared" si="24"/>
        <v>SBI 3479</v>
      </c>
    </row>
    <row r="160" spans="1:16" x14ac:dyDescent="0.3">
      <c r="A160" s="5">
        <v>45269</v>
      </c>
      <c r="B160" s="5">
        <v>45269</v>
      </c>
      <c r="C160" s="3" t="s">
        <v>183</v>
      </c>
      <c r="D160" s="3" t="s">
        <v>210</v>
      </c>
      <c r="E160" s="4">
        <v>0</v>
      </c>
      <c r="F160" s="3">
        <v>112523.38</v>
      </c>
      <c r="G160" s="4">
        <v>115604.95</v>
      </c>
      <c r="H160" s="3" t="s">
        <v>716</v>
      </c>
      <c r="I160" s="53">
        <f t="shared" si="17"/>
        <v>0</v>
      </c>
      <c r="J160" s="5">
        <f t="shared" si="18"/>
        <v>45269</v>
      </c>
      <c r="K160" s="5" t="str">
        <f t="shared" si="19"/>
        <v xml:space="preserve">   BY TRANSFER-INB -For 19260165--</v>
      </c>
      <c r="L160" s="5" t="str">
        <f t="shared" si="20"/>
        <v>6513223260CTZ8202491               TRANSFER FROM 4</v>
      </c>
      <c r="M160" s="9">
        <f t="shared" si="21"/>
        <v>0</v>
      </c>
      <c r="N160" s="9">
        <f t="shared" si="22"/>
        <v>112523.38</v>
      </c>
      <c r="O160" s="9">
        <f t="shared" si="23"/>
        <v>115604.95</v>
      </c>
      <c r="P160" s="8" t="str">
        <f t="shared" si="24"/>
        <v>SBI 3479</v>
      </c>
    </row>
    <row r="161" spans="1:16" x14ac:dyDescent="0.3">
      <c r="A161" s="5">
        <v>45271</v>
      </c>
      <c r="B161" s="5">
        <v>45271</v>
      </c>
      <c r="C161" s="3" t="s">
        <v>201</v>
      </c>
      <c r="D161" s="3" t="s">
        <v>200</v>
      </c>
      <c r="E161" s="4">
        <v>14.53</v>
      </c>
      <c r="F161" s="3">
        <v>0</v>
      </c>
      <c r="G161" s="4">
        <v>115590.42</v>
      </c>
      <c r="H161" s="3" t="s">
        <v>716</v>
      </c>
      <c r="I161" s="53">
        <f t="shared" si="17"/>
        <v>0</v>
      </c>
      <c r="J161" s="5">
        <f t="shared" si="18"/>
        <v>45271</v>
      </c>
      <c r="K161" s="5" t="str">
        <f t="shared" si="19"/>
        <v xml:space="preserve">   TO TRANSFER-ForTrading--</v>
      </c>
      <c r="L161" s="5" t="str">
        <f t="shared" si="20"/>
        <v xml:space="preserve">TRANSFER TO 41128839515                           </v>
      </c>
      <c r="M161" s="9">
        <f t="shared" si="21"/>
        <v>14.53</v>
      </c>
      <c r="N161" s="9">
        <f t="shared" si="22"/>
        <v>0</v>
      </c>
      <c r="O161" s="9">
        <f t="shared" si="23"/>
        <v>115590.42</v>
      </c>
      <c r="P161" s="8" t="str">
        <f t="shared" si="24"/>
        <v>SBI 3479</v>
      </c>
    </row>
    <row r="162" spans="1:16" x14ac:dyDescent="0.3">
      <c r="A162" s="5">
        <v>45272</v>
      </c>
      <c r="B162" s="5">
        <v>45272</v>
      </c>
      <c r="C162" s="3" t="s">
        <v>209</v>
      </c>
      <c r="D162" s="3" t="s">
        <v>208</v>
      </c>
      <c r="E162" s="4">
        <v>0</v>
      </c>
      <c r="F162" s="3">
        <v>865508</v>
      </c>
      <c r="G162" s="4">
        <v>981098.42</v>
      </c>
      <c r="H162" s="3" t="s">
        <v>716</v>
      </c>
      <c r="I162" s="53">
        <f t="shared" si="17"/>
        <v>0</v>
      </c>
      <c r="J162" s="5">
        <f t="shared" si="18"/>
        <v>45272</v>
      </c>
      <c r="K162" s="5" t="str">
        <f t="shared" si="19"/>
        <v xml:space="preserve">   BY TRANSFER-TRANSFER FROM--</v>
      </c>
      <c r="L162" s="5" t="str">
        <f t="shared" si="20"/>
        <v xml:space="preserve">TRANSFER FROM 51090483730                         </v>
      </c>
      <c r="M162" s="9">
        <f t="shared" si="21"/>
        <v>0</v>
      </c>
      <c r="N162" s="9">
        <f t="shared" si="22"/>
        <v>865508</v>
      </c>
      <c r="O162" s="9">
        <f t="shared" si="23"/>
        <v>981098.42</v>
      </c>
      <c r="P162" s="8" t="str">
        <f t="shared" si="24"/>
        <v>SBI 3479</v>
      </c>
    </row>
    <row r="163" spans="1:16" x14ac:dyDescent="0.3">
      <c r="A163" s="5">
        <v>45272</v>
      </c>
      <c r="B163" s="5">
        <v>45272</v>
      </c>
      <c r="C163" s="3" t="s">
        <v>207</v>
      </c>
      <c r="D163" s="3" t="s">
        <v>206</v>
      </c>
      <c r="E163" s="4">
        <v>225000</v>
      </c>
      <c r="F163" s="3">
        <v>0</v>
      </c>
      <c r="G163" s="4">
        <v>756098.42</v>
      </c>
      <c r="H163" s="3" t="s">
        <v>716</v>
      </c>
      <c r="I163" s="53">
        <f t="shared" si="17"/>
        <v>0</v>
      </c>
      <c r="J163" s="5">
        <f t="shared" si="18"/>
        <v>45272</v>
      </c>
      <c r="K163" s="5" t="str">
        <f t="shared" si="19"/>
        <v xml:space="preserve">   TO TRANSFER-SBILT12122023135917188300-Loan repayment--</v>
      </c>
      <c r="L163" s="5" t="str">
        <f t="shared" si="20"/>
        <v xml:space="preserve">TRANSFER TO 32718635441                           </v>
      </c>
      <c r="M163" s="9">
        <f t="shared" si="21"/>
        <v>225000</v>
      </c>
      <c r="N163" s="9">
        <f t="shared" si="22"/>
        <v>0</v>
      </c>
      <c r="O163" s="9">
        <f t="shared" si="23"/>
        <v>756098.42</v>
      </c>
      <c r="P163" s="8" t="str">
        <f t="shared" si="24"/>
        <v>SBI 3479</v>
      </c>
    </row>
    <row r="164" spans="1:16" x14ac:dyDescent="0.3">
      <c r="A164" s="5">
        <v>45272</v>
      </c>
      <c r="B164" s="5">
        <v>45272</v>
      </c>
      <c r="C164" s="3" t="s">
        <v>205</v>
      </c>
      <c r="D164" s="3" t="s">
        <v>204</v>
      </c>
      <c r="E164" s="4">
        <v>0</v>
      </c>
      <c r="F164" s="3">
        <v>24900</v>
      </c>
      <c r="G164" s="4">
        <v>780998.42</v>
      </c>
      <c r="H164" s="3" t="s">
        <v>716</v>
      </c>
      <c r="I164" s="53">
        <f t="shared" si="17"/>
        <v>0</v>
      </c>
      <c r="J164" s="5">
        <f t="shared" si="18"/>
        <v>45272</v>
      </c>
      <c r="K164" s="5" t="str">
        <f t="shared" si="19"/>
        <v xml:space="preserve">   BY TRANSFER-NEFT*YESB0000001*YESIG33460311493*INDIAN CLEARING--</v>
      </c>
      <c r="L164" s="5" t="str">
        <f t="shared" si="20"/>
        <v>TRANSFER FROM 4697254044306</v>
      </c>
      <c r="M164" s="9">
        <f t="shared" si="21"/>
        <v>0</v>
      </c>
      <c r="N164" s="9">
        <f t="shared" si="22"/>
        <v>24900</v>
      </c>
      <c r="O164" s="9">
        <f t="shared" si="23"/>
        <v>780998.42</v>
      </c>
      <c r="P164" s="8" t="str">
        <f t="shared" si="24"/>
        <v>SBI 3479</v>
      </c>
    </row>
    <row r="165" spans="1:16" x14ac:dyDescent="0.3">
      <c r="A165" s="5">
        <v>45272</v>
      </c>
      <c r="B165" s="5">
        <v>45272</v>
      </c>
      <c r="C165" s="3" t="s">
        <v>203</v>
      </c>
      <c r="D165" s="3" t="s">
        <v>202</v>
      </c>
      <c r="E165" s="4">
        <v>200000</v>
      </c>
      <c r="F165" s="3">
        <v>0</v>
      </c>
      <c r="G165" s="4">
        <v>580998.42000000004</v>
      </c>
      <c r="H165" s="3" t="s">
        <v>716</v>
      </c>
      <c r="I165" s="53">
        <f t="shared" si="17"/>
        <v>0</v>
      </c>
      <c r="J165" s="5">
        <f t="shared" si="18"/>
        <v>45272</v>
      </c>
      <c r="K165" s="5" t="str">
        <f t="shared" si="19"/>
        <v xml:space="preserve">   TO TRANSFER-INB IMPS/P2A/334616946794/XXXXXXX930HDFCnull--</v>
      </c>
      <c r="L165" s="5" t="str">
        <f t="shared" si="20"/>
        <v>LTA3BLBQDPT8HBGMOAITBPLB7               TRANSFER T</v>
      </c>
      <c r="M165" s="9">
        <f t="shared" si="21"/>
        <v>200000</v>
      </c>
      <c r="N165" s="9">
        <f t="shared" si="22"/>
        <v>0</v>
      </c>
      <c r="O165" s="9">
        <f t="shared" si="23"/>
        <v>580998.42000000004</v>
      </c>
      <c r="P165" s="8" t="str">
        <f t="shared" si="24"/>
        <v>SBI 3479</v>
      </c>
    </row>
    <row r="166" spans="1:16" x14ac:dyDescent="0.3">
      <c r="A166" s="5">
        <v>45272</v>
      </c>
      <c r="B166" s="5">
        <v>45272</v>
      </c>
      <c r="C166" s="3" t="s">
        <v>201</v>
      </c>
      <c r="D166" s="3" t="s">
        <v>200</v>
      </c>
      <c r="E166" s="4">
        <v>28716.74</v>
      </c>
      <c r="F166" s="3">
        <v>0</v>
      </c>
      <c r="G166" s="4">
        <v>552281.68000000005</v>
      </c>
      <c r="H166" s="3" t="s">
        <v>716</v>
      </c>
      <c r="I166" s="53">
        <f t="shared" si="17"/>
        <v>0</v>
      </c>
      <c r="J166" s="5">
        <f t="shared" si="18"/>
        <v>45272</v>
      </c>
      <c r="K166" s="5" t="str">
        <f t="shared" si="19"/>
        <v xml:space="preserve">   TO TRANSFER-ForTrading--</v>
      </c>
      <c r="L166" s="5" t="str">
        <f t="shared" si="20"/>
        <v xml:space="preserve">TRANSFER TO 41128839515                           </v>
      </c>
      <c r="M166" s="9">
        <f t="shared" si="21"/>
        <v>28716.74</v>
      </c>
      <c r="N166" s="9">
        <f t="shared" si="22"/>
        <v>0</v>
      </c>
      <c r="O166" s="9">
        <f t="shared" si="23"/>
        <v>552281.68000000005</v>
      </c>
      <c r="P166" s="8" t="str">
        <f t="shared" si="24"/>
        <v>SBI 3479</v>
      </c>
    </row>
    <row r="167" spans="1:16" x14ac:dyDescent="0.3">
      <c r="A167" s="5">
        <v>45274</v>
      </c>
      <c r="B167" s="5">
        <v>45274</v>
      </c>
      <c r="C167" s="3" t="s">
        <v>199</v>
      </c>
      <c r="D167" s="3" t="s">
        <v>198</v>
      </c>
      <c r="E167" s="4">
        <v>300000</v>
      </c>
      <c r="F167" s="3">
        <v>0</v>
      </c>
      <c r="G167" s="4">
        <v>252281.68</v>
      </c>
      <c r="H167" s="3" t="s">
        <v>716</v>
      </c>
      <c r="I167" s="53">
        <f t="shared" si="17"/>
        <v>0</v>
      </c>
      <c r="J167" s="5">
        <f t="shared" si="18"/>
        <v>45274</v>
      </c>
      <c r="K167" s="5" t="str">
        <f t="shared" si="19"/>
        <v xml:space="preserve">   TO TRANSFER-INB NEFT UTR NO: SBIN223348243701--Ajay Kumar Gupta</v>
      </c>
      <c r="L167" s="5" t="str">
        <f t="shared" si="20"/>
        <v>NEFT INB: IRX5743693                               / Ajay Kumar Gupta</v>
      </c>
      <c r="M167" s="9">
        <f t="shared" si="21"/>
        <v>300000</v>
      </c>
      <c r="N167" s="9">
        <f t="shared" si="22"/>
        <v>0</v>
      </c>
      <c r="O167" s="9">
        <f t="shared" si="23"/>
        <v>252281.68</v>
      </c>
      <c r="P167" s="8" t="str">
        <f t="shared" si="24"/>
        <v>SBI 3479</v>
      </c>
    </row>
    <row r="168" spans="1:16" x14ac:dyDescent="0.3">
      <c r="A168" s="5">
        <v>45274</v>
      </c>
      <c r="B168" s="5">
        <v>45274</v>
      </c>
      <c r="C168" s="3" t="s">
        <v>197</v>
      </c>
      <c r="D168" s="3" t="s">
        <v>196</v>
      </c>
      <c r="E168" s="4">
        <v>5000</v>
      </c>
      <c r="F168" s="3">
        <v>0</v>
      </c>
      <c r="G168" s="4">
        <v>247281.68</v>
      </c>
      <c r="H168" s="3" t="s">
        <v>716</v>
      </c>
      <c r="I168" s="53">
        <f t="shared" si="17"/>
        <v>0</v>
      </c>
      <c r="J168" s="5">
        <f t="shared" si="18"/>
        <v>45274</v>
      </c>
      <c r="K168" s="5" t="str">
        <f t="shared" si="19"/>
        <v xml:space="preserve">   TO TRANSFER-INB Payment towards loan repayment--</v>
      </c>
      <c r="L168" s="5" t="str">
        <f t="shared" si="20"/>
        <v xml:space="preserve">IIC3482728               TRANSFER TO 32718635441  </v>
      </c>
      <c r="M168" s="9">
        <f t="shared" si="21"/>
        <v>5000</v>
      </c>
      <c r="N168" s="9">
        <f t="shared" si="22"/>
        <v>0</v>
      </c>
      <c r="O168" s="9">
        <f t="shared" si="23"/>
        <v>247281.68</v>
      </c>
      <c r="P168" s="8" t="str">
        <f t="shared" si="24"/>
        <v>SBI 3479</v>
      </c>
    </row>
    <row r="169" spans="1:16" x14ac:dyDescent="0.3">
      <c r="A169" s="5">
        <v>45275</v>
      </c>
      <c r="B169" s="5">
        <v>45275</v>
      </c>
      <c r="C169" s="3" t="s">
        <v>183</v>
      </c>
      <c r="D169" s="3" t="s">
        <v>195</v>
      </c>
      <c r="E169" s="4">
        <v>0</v>
      </c>
      <c r="F169" s="3">
        <v>28276.959999999999</v>
      </c>
      <c r="G169" s="4">
        <v>275558.64</v>
      </c>
      <c r="H169" s="3" t="s">
        <v>716</v>
      </c>
      <c r="I169" s="53">
        <f t="shared" si="17"/>
        <v>0</v>
      </c>
      <c r="J169" s="5">
        <f t="shared" si="18"/>
        <v>45275</v>
      </c>
      <c r="K169" s="5" t="str">
        <f t="shared" si="19"/>
        <v xml:space="preserve">   BY TRANSFER-INB -For 19260165--</v>
      </c>
      <c r="L169" s="5" t="str">
        <f t="shared" si="20"/>
        <v>6513536363CT000DTOT2               TRANSFER FROM 4</v>
      </c>
      <c r="M169" s="9">
        <f t="shared" si="21"/>
        <v>0</v>
      </c>
      <c r="N169" s="9">
        <f t="shared" si="22"/>
        <v>28276.959999999999</v>
      </c>
      <c r="O169" s="9">
        <f t="shared" si="23"/>
        <v>275558.64</v>
      </c>
      <c r="P169" s="8" t="str">
        <f t="shared" si="24"/>
        <v>SBI 3479</v>
      </c>
    </row>
    <row r="170" spans="1:16" x14ac:dyDescent="0.3">
      <c r="A170" s="5">
        <v>45275</v>
      </c>
      <c r="B170" s="5">
        <v>45275</v>
      </c>
      <c r="C170" s="3" t="s">
        <v>194</v>
      </c>
      <c r="D170" s="3" t="s">
        <v>193</v>
      </c>
      <c r="E170" s="4">
        <v>5470</v>
      </c>
      <c r="F170" s="3">
        <v>0</v>
      </c>
      <c r="G170" s="4">
        <v>270088.64</v>
      </c>
      <c r="H170" s="3" t="s">
        <v>716</v>
      </c>
      <c r="I170" s="53">
        <f t="shared" si="17"/>
        <v>0</v>
      </c>
      <c r="J170" s="5">
        <f t="shared" si="18"/>
        <v>45275</v>
      </c>
      <c r="K170" s="5" t="str">
        <f t="shared" si="19"/>
        <v xml:space="preserve">   TO TRANSFER-INB SBICARD FOR BILLDESK      SBICARD Payments--</v>
      </c>
      <c r="L170" s="5" t="str">
        <f t="shared" si="20"/>
        <v>YSBI2174802179IGAQOUQAR4               TRANSFER TO</v>
      </c>
      <c r="M170" s="9">
        <f t="shared" si="21"/>
        <v>5470</v>
      </c>
      <c r="N170" s="9">
        <f t="shared" si="22"/>
        <v>0</v>
      </c>
      <c r="O170" s="9">
        <f t="shared" si="23"/>
        <v>270088.64</v>
      </c>
      <c r="P170" s="8" t="str">
        <f t="shared" si="24"/>
        <v>SBI 3479</v>
      </c>
    </row>
    <row r="171" spans="1:16" x14ac:dyDescent="0.3">
      <c r="A171" s="5">
        <v>45279</v>
      </c>
      <c r="B171" s="5">
        <v>45279</v>
      </c>
      <c r="C171" s="3" t="s">
        <v>183</v>
      </c>
      <c r="D171" s="3" t="s">
        <v>192</v>
      </c>
      <c r="E171" s="4">
        <v>0</v>
      </c>
      <c r="F171" s="3">
        <v>28064.41</v>
      </c>
      <c r="G171" s="4">
        <v>298153.05</v>
      </c>
      <c r="H171" s="3" t="s">
        <v>716</v>
      </c>
      <c r="I171" s="53">
        <f t="shared" si="17"/>
        <v>0</v>
      </c>
      <c r="J171" s="5">
        <f t="shared" si="18"/>
        <v>45279</v>
      </c>
      <c r="K171" s="5" t="str">
        <f t="shared" si="19"/>
        <v xml:space="preserve">   BY TRANSFER-INB -For 19260165--</v>
      </c>
      <c r="L171" s="5" t="str">
        <f t="shared" si="20"/>
        <v>6513794634CT000HMOK3               TRANSFER FROM 4</v>
      </c>
      <c r="M171" s="9">
        <f t="shared" si="21"/>
        <v>0</v>
      </c>
      <c r="N171" s="9">
        <f t="shared" si="22"/>
        <v>28064.41</v>
      </c>
      <c r="O171" s="9">
        <f t="shared" si="23"/>
        <v>298153.05</v>
      </c>
      <c r="P171" s="8" t="str">
        <f t="shared" si="24"/>
        <v>SBI 3479</v>
      </c>
    </row>
    <row r="172" spans="1:16" x14ac:dyDescent="0.3">
      <c r="A172" s="5">
        <v>45280</v>
      </c>
      <c r="B172" s="5">
        <v>45280</v>
      </c>
      <c r="C172" s="3" t="s">
        <v>191</v>
      </c>
      <c r="D172" s="3" t="s">
        <v>190</v>
      </c>
      <c r="E172" s="4">
        <v>100000</v>
      </c>
      <c r="F172" s="3">
        <v>0</v>
      </c>
      <c r="G172" s="4">
        <v>198153.05</v>
      </c>
      <c r="H172" s="3" t="s">
        <v>716</v>
      </c>
      <c r="I172" s="53">
        <f t="shared" si="17"/>
        <v>0</v>
      </c>
      <c r="J172" s="5">
        <f t="shared" si="18"/>
        <v>45280</v>
      </c>
      <c r="K172" s="5" t="str">
        <f t="shared" si="19"/>
        <v xml:space="preserve">   TO TRANSFER-INB NEFT UTR NO: SBIN223354942604--Ajay Kumar Gupta</v>
      </c>
      <c r="L172" s="5" t="str">
        <f t="shared" si="20"/>
        <v>NEFT INB: IRX6100091                               / Ajay Kumar Gupta</v>
      </c>
      <c r="M172" s="9">
        <f t="shared" si="21"/>
        <v>100000</v>
      </c>
      <c r="N172" s="9">
        <f t="shared" si="22"/>
        <v>0</v>
      </c>
      <c r="O172" s="9">
        <f t="shared" si="23"/>
        <v>198153.05</v>
      </c>
      <c r="P172" s="8" t="str">
        <f t="shared" si="24"/>
        <v>SBI 3479</v>
      </c>
    </row>
    <row r="173" spans="1:16" x14ac:dyDescent="0.3">
      <c r="A173" s="5">
        <v>45282</v>
      </c>
      <c r="B173" s="5">
        <v>45282</v>
      </c>
      <c r="C173" s="3" t="s">
        <v>189</v>
      </c>
      <c r="D173" s="3" t="s">
        <v>188</v>
      </c>
      <c r="E173" s="4">
        <v>14760</v>
      </c>
      <c r="F173" s="3">
        <v>0</v>
      </c>
      <c r="G173" s="4">
        <v>183393.05</v>
      </c>
      <c r="H173" s="3" t="s">
        <v>716</v>
      </c>
      <c r="I173" s="53">
        <f t="shared" si="17"/>
        <v>0</v>
      </c>
      <c r="J173" s="5">
        <f t="shared" si="18"/>
        <v>45282</v>
      </c>
      <c r="K173" s="5" t="str">
        <f t="shared" si="19"/>
        <v xml:space="preserve">   TO TRANSFER-TRFD TO SURAJ ESTATE DEVELOPERS LTD IPO ALLOTMENT--</v>
      </c>
      <c r="L173" s="5" t="str">
        <f t="shared" si="20"/>
        <v xml:space="preserve">TRANSFER TO 38660007037                           </v>
      </c>
      <c r="M173" s="9">
        <f t="shared" si="21"/>
        <v>14760</v>
      </c>
      <c r="N173" s="9">
        <f t="shared" si="22"/>
        <v>0</v>
      </c>
      <c r="O173" s="9">
        <f t="shared" si="23"/>
        <v>183393.05</v>
      </c>
      <c r="P173" s="8" t="str">
        <f t="shared" si="24"/>
        <v>SBI 3479</v>
      </c>
    </row>
    <row r="174" spans="1:16" x14ac:dyDescent="0.3">
      <c r="A174" s="5">
        <v>45285</v>
      </c>
      <c r="B174" s="5">
        <v>45285</v>
      </c>
      <c r="C174" s="3" t="s">
        <v>187</v>
      </c>
      <c r="E174" s="4">
        <v>0</v>
      </c>
      <c r="F174" s="3">
        <v>491</v>
      </c>
      <c r="G174" s="4">
        <v>183884.05</v>
      </c>
      <c r="H174" s="3" t="s">
        <v>716</v>
      </c>
      <c r="I174" s="53">
        <f t="shared" si="17"/>
        <v>0</v>
      </c>
      <c r="J174" s="5">
        <f t="shared" si="18"/>
        <v>45285</v>
      </c>
      <c r="K174" s="5" t="str">
        <f t="shared" si="19"/>
        <v xml:space="preserve">   CREDIT INTEREST---</v>
      </c>
      <c r="L174" s="5">
        <f t="shared" si="20"/>
        <v>0</v>
      </c>
      <c r="M174" s="9">
        <f t="shared" si="21"/>
        <v>0</v>
      </c>
      <c r="N174" s="9">
        <f t="shared" si="22"/>
        <v>491</v>
      </c>
      <c r="O174" s="9">
        <f t="shared" si="23"/>
        <v>183884.05</v>
      </c>
      <c r="P174" s="8" t="str">
        <f t="shared" si="24"/>
        <v>SBI 3479</v>
      </c>
    </row>
    <row r="175" spans="1:16" x14ac:dyDescent="0.3">
      <c r="A175" s="5">
        <v>45286</v>
      </c>
      <c r="B175" s="5">
        <v>45286</v>
      </c>
      <c r="C175" s="3" t="s">
        <v>186</v>
      </c>
      <c r="D175" s="3" t="s">
        <v>185</v>
      </c>
      <c r="E175" s="4">
        <v>50000</v>
      </c>
      <c r="F175" s="3">
        <v>0</v>
      </c>
      <c r="G175" s="4">
        <v>133884.04999999999</v>
      </c>
      <c r="H175" s="3" t="s">
        <v>716</v>
      </c>
      <c r="I175" s="53">
        <f t="shared" si="17"/>
        <v>0</v>
      </c>
      <c r="J175" s="5">
        <f t="shared" si="18"/>
        <v>45286</v>
      </c>
      <c r="K175" s="5" t="str">
        <f t="shared" si="19"/>
        <v xml:space="preserve">   TO TRANSFER-INB NEFT UTR NO: SBIN123360950794--Ajay Kumar Gupta</v>
      </c>
      <c r="L175" s="5" t="str">
        <f t="shared" si="20"/>
        <v>NEFT INB: IRX6370467                               / Ajay Kumar Gupta</v>
      </c>
      <c r="M175" s="9">
        <f t="shared" si="21"/>
        <v>50000</v>
      </c>
      <c r="N175" s="9">
        <f t="shared" si="22"/>
        <v>0</v>
      </c>
      <c r="O175" s="9">
        <f t="shared" si="23"/>
        <v>133884.04999999999</v>
      </c>
      <c r="P175" s="8" t="str">
        <f t="shared" si="24"/>
        <v>SBI 3479</v>
      </c>
    </row>
    <row r="176" spans="1:16" x14ac:dyDescent="0.3">
      <c r="A176" s="5">
        <v>45288</v>
      </c>
      <c r="B176" s="5">
        <v>45288</v>
      </c>
      <c r="C176" s="3" t="s">
        <v>183</v>
      </c>
      <c r="D176" s="3" t="s">
        <v>184</v>
      </c>
      <c r="E176" s="4">
        <v>0</v>
      </c>
      <c r="F176" s="3">
        <v>43680.14</v>
      </c>
      <c r="G176" s="4">
        <v>177564.19</v>
      </c>
      <c r="H176" s="3" t="s">
        <v>716</v>
      </c>
      <c r="I176" s="53">
        <f t="shared" si="17"/>
        <v>0</v>
      </c>
      <c r="J176" s="5">
        <f t="shared" si="18"/>
        <v>45288</v>
      </c>
      <c r="K176" s="5" t="str">
        <f t="shared" si="19"/>
        <v xml:space="preserve">   BY TRANSFER-INB -For 19260165--</v>
      </c>
      <c r="L176" s="5" t="str">
        <f t="shared" si="20"/>
        <v>6514135092CT000MZYM5               TRANSFER FROM 4</v>
      </c>
      <c r="M176" s="9">
        <f t="shared" si="21"/>
        <v>0</v>
      </c>
      <c r="N176" s="9">
        <f t="shared" si="22"/>
        <v>43680.14</v>
      </c>
      <c r="O176" s="9">
        <f t="shared" si="23"/>
        <v>177564.19</v>
      </c>
      <c r="P176" s="8" t="str">
        <f t="shared" si="24"/>
        <v>SBI 3479</v>
      </c>
    </row>
    <row r="177" spans="1:16" x14ac:dyDescent="0.3">
      <c r="A177" s="5">
        <v>45289</v>
      </c>
      <c r="B177" s="5">
        <v>45289</v>
      </c>
      <c r="C177" s="3" t="s">
        <v>183</v>
      </c>
      <c r="D177" s="3" t="s">
        <v>182</v>
      </c>
      <c r="E177" s="4">
        <v>0</v>
      </c>
      <c r="F177" s="3">
        <v>111824.33</v>
      </c>
      <c r="G177" s="4">
        <v>289388.52</v>
      </c>
      <c r="H177" s="3" t="s">
        <v>716</v>
      </c>
      <c r="I177" s="53">
        <f t="shared" si="17"/>
        <v>0</v>
      </c>
      <c r="J177" s="5">
        <f t="shared" si="18"/>
        <v>45289</v>
      </c>
      <c r="K177" s="5" t="str">
        <f t="shared" si="19"/>
        <v xml:space="preserve">   BY TRANSFER-INB -For 19260165--</v>
      </c>
      <c r="L177" s="5" t="str">
        <f t="shared" si="20"/>
        <v>6514251187CT000OTNT7               TRANSFER FROM 4</v>
      </c>
      <c r="M177" s="9">
        <f t="shared" si="21"/>
        <v>0</v>
      </c>
      <c r="N177" s="9">
        <f t="shared" si="22"/>
        <v>111824.33</v>
      </c>
      <c r="O177" s="9">
        <f t="shared" si="23"/>
        <v>289388.52</v>
      </c>
      <c r="P177" s="8" t="str">
        <f t="shared" si="24"/>
        <v>SBI 3479</v>
      </c>
    </row>
    <row r="178" spans="1:16" x14ac:dyDescent="0.3">
      <c r="A178" s="5">
        <v>45291</v>
      </c>
      <c r="B178" s="5">
        <v>45291</v>
      </c>
      <c r="C178" s="3" t="s">
        <v>181</v>
      </c>
      <c r="D178" s="3" t="s">
        <v>180</v>
      </c>
      <c r="E178" s="4">
        <v>0</v>
      </c>
      <c r="F178" s="3">
        <v>27000</v>
      </c>
      <c r="G178" s="4">
        <v>316388.52</v>
      </c>
      <c r="H178" s="3" t="s">
        <v>716</v>
      </c>
      <c r="I178" s="53">
        <f>G177+F178-E178-G178</f>
        <v>0</v>
      </c>
      <c r="J178" s="5">
        <f t="shared" si="18"/>
        <v>45291</v>
      </c>
      <c r="K178" s="5" t="str">
        <f t="shared" si="19"/>
        <v xml:space="preserve">   BY TRANSFER-INB Payment towards loan repayment--</v>
      </c>
      <c r="L178" s="5" t="str">
        <f t="shared" si="20"/>
        <v>IIC3891043               TRANSFER FROM 32718635441</v>
      </c>
      <c r="M178" s="9">
        <f t="shared" si="21"/>
        <v>0</v>
      </c>
      <c r="N178" s="9">
        <f t="shared" si="22"/>
        <v>27000</v>
      </c>
      <c r="O178" s="9">
        <f t="shared" si="23"/>
        <v>316388.52</v>
      </c>
      <c r="P178" s="8" t="str">
        <f t="shared" si="24"/>
        <v>SBI 3479</v>
      </c>
    </row>
    <row r="179" spans="1:16" x14ac:dyDescent="0.3">
      <c r="A179" s="5">
        <v>45292</v>
      </c>
      <c r="B179" s="5">
        <v>45292</v>
      </c>
      <c r="C179" s="3" t="s">
        <v>990</v>
      </c>
      <c r="D179" s="3" t="s">
        <v>991</v>
      </c>
      <c r="E179" s="3">
        <v>100000</v>
      </c>
      <c r="F179" s="3">
        <v>0</v>
      </c>
      <c r="G179" s="41">
        <v>216388.52</v>
      </c>
      <c r="H179" s="3" t="s">
        <v>716</v>
      </c>
      <c r="I179" s="53">
        <f t="shared" ref="I179:I227" si="25">G178+F179-E179-G179</f>
        <v>0</v>
      </c>
      <c r="J179" s="5">
        <f t="shared" si="18"/>
        <v>45292</v>
      </c>
      <c r="K179" s="5" t="str">
        <f t="shared" ref="K179:K227" si="26">C179</f>
        <v xml:space="preserve">   TO TRANSFER-INB NEFT UTR NO: SBIN424001928513--AJAY KUMAR GUPTA</v>
      </c>
      <c r="L179" s="5" t="str">
        <f t="shared" ref="L179:L227" si="27">D179</f>
        <v>NEFT INB: IRX6807052                               / AJAY KUMAR GUPTA</v>
      </c>
      <c r="M179" s="9">
        <f t="shared" ref="M179:M227" si="28">E179</f>
        <v>100000</v>
      </c>
      <c r="N179" s="9">
        <f t="shared" ref="N179:N227" si="29">F179</f>
        <v>0</v>
      </c>
      <c r="O179" s="9">
        <f t="shared" ref="O179:O227" si="30">G179</f>
        <v>216388.52</v>
      </c>
      <c r="P179" s="8" t="str">
        <f t="shared" ref="P179:P227" si="31">H179</f>
        <v>SBI 3479</v>
      </c>
    </row>
    <row r="180" spans="1:16" x14ac:dyDescent="0.3">
      <c r="A180" s="5">
        <v>45293</v>
      </c>
      <c r="B180" s="5">
        <v>45293</v>
      </c>
      <c r="C180" s="3" t="s">
        <v>214</v>
      </c>
      <c r="D180" s="3" t="s">
        <v>206</v>
      </c>
      <c r="E180" s="3">
        <v>26595</v>
      </c>
      <c r="F180" s="3">
        <v>0</v>
      </c>
      <c r="G180" s="3">
        <v>189793.52</v>
      </c>
      <c r="H180" s="3" t="s">
        <v>716</v>
      </c>
      <c r="I180" s="53">
        <f t="shared" si="25"/>
        <v>0</v>
      </c>
      <c r="J180" s="5">
        <f t="shared" si="18"/>
        <v>45293</v>
      </c>
      <c r="K180" s="5" t="str">
        <f t="shared" si="26"/>
        <v xml:space="preserve">   WITHDRAWAL TRANSFER---</v>
      </c>
      <c r="L180" s="5" t="str">
        <f t="shared" si="27"/>
        <v xml:space="preserve">TRANSFER TO 32718635441                           </v>
      </c>
      <c r="M180" s="9">
        <f t="shared" si="28"/>
        <v>26595</v>
      </c>
      <c r="N180" s="9">
        <f t="shared" si="29"/>
        <v>0</v>
      </c>
      <c r="O180" s="9">
        <f t="shared" si="30"/>
        <v>189793.52</v>
      </c>
      <c r="P180" s="8" t="str">
        <f t="shared" si="31"/>
        <v>SBI 3479</v>
      </c>
    </row>
    <row r="181" spans="1:16" x14ac:dyDescent="0.3">
      <c r="A181" s="5">
        <v>45295</v>
      </c>
      <c r="B181" s="5">
        <v>45295</v>
      </c>
      <c r="C181" s="3" t="s">
        <v>992</v>
      </c>
      <c r="D181" s="3" t="s">
        <v>993</v>
      </c>
      <c r="E181" s="3">
        <v>80000</v>
      </c>
      <c r="F181" s="3">
        <v>0</v>
      </c>
      <c r="G181" s="3">
        <v>109793.52</v>
      </c>
      <c r="H181" s="3" t="s">
        <v>716</v>
      </c>
      <c r="I181" s="53">
        <f t="shared" si="25"/>
        <v>0</v>
      </c>
      <c r="J181" s="5">
        <f t="shared" si="18"/>
        <v>45295</v>
      </c>
      <c r="K181" s="5" t="str">
        <f t="shared" si="26"/>
        <v xml:space="preserve">   TO TRANSFER-INB NEFT UTR NO: SBIN224004466265--Ajay Kumar Gupta</v>
      </c>
      <c r="L181" s="5" t="str">
        <f t="shared" si="27"/>
        <v>NEFT INB: IRX7018647                               / Ajay Kumar Gupta</v>
      </c>
      <c r="M181" s="9">
        <f t="shared" si="28"/>
        <v>80000</v>
      </c>
      <c r="N181" s="9">
        <f t="shared" si="29"/>
        <v>0</v>
      </c>
      <c r="O181" s="9">
        <f t="shared" si="30"/>
        <v>109793.52</v>
      </c>
      <c r="P181" s="8" t="str">
        <f t="shared" si="31"/>
        <v>SBI 3479</v>
      </c>
    </row>
    <row r="182" spans="1:16" x14ac:dyDescent="0.3">
      <c r="A182" s="5">
        <v>45296</v>
      </c>
      <c r="B182" s="5">
        <v>45296</v>
      </c>
      <c r="C182" s="3" t="s">
        <v>994</v>
      </c>
      <c r="D182" s="3" t="s">
        <v>995</v>
      </c>
      <c r="E182" s="3">
        <v>100000</v>
      </c>
      <c r="F182" s="3">
        <v>0</v>
      </c>
      <c r="G182" s="3">
        <v>9793.52</v>
      </c>
      <c r="H182" s="3" t="s">
        <v>716</v>
      </c>
      <c r="I182" s="53">
        <f t="shared" si="25"/>
        <v>0</v>
      </c>
      <c r="J182" s="5">
        <f t="shared" si="18"/>
        <v>45296</v>
      </c>
      <c r="K182" s="5" t="str">
        <f t="shared" si="26"/>
        <v xml:space="preserve">   TO TRANSFER-INB NEFT UTR NO: SBIN424005471489--Ajay Kumar Gupta</v>
      </c>
      <c r="L182" s="5" t="str">
        <f t="shared" si="27"/>
        <v>NEFT INB: IRX7159698                               / Ajay Kumar Gupta</v>
      </c>
      <c r="M182" s="9">
        <f t="shared" si="28"/>
        <v>100000</v>
      </c>
      <c r="N182" s="9">
        <f t="shared" si="29"/>
        <v>0</v>
      </c>
      <c r="O182" s="9">
        <f t="shared" si="30"/>
        <v>9793.52</v>
      </c>
      <c r="P182" s="8" t="str">
        <f t="shared" si="31"/>
        <v>SBI 3479</v>
      </c>
    </row>
    <row r="183" spans="1:16" x14ac:dyDescent="0.3">
      <c r="A183" s="5">
        <v>45296</v>
      </c>
      <c r="B183" s="5">
        <v>45296</v>
      </c>
      <c r="C183" s="3" t="s">
        <v>996</v>
      </c>
      <c r="D183" s="3" t="s">
        <v>997</v>
      </c>
      <c r="E183" s="3">
        <v>1000</v>
      </c>
      <c r="F183" s="3">
        <v>0</v>
      </c>
      <c r="G183" s="3">
        <v>8793.52</v>
      </c>
      <c r="H183" s="3" t="s">
        <v>716</v>
      </c>
      <c r="I183" s="53">
        <f t="shared" si="25"/>
        <v>0</v>
      </c>
      <c r="J183" s="5">
        <f t="shared" si="18"/>
        <v>45296</v>
      </c>
      <c r="K183" s="5" t="str">
        <f t="shared" si="26"/>
        <v xml:space="preserve">   TO TRANSFER-INB NEFT UTR NO: SBIN424005475251--NRI Ajay</v>
      </c>
      <c r="L183" s="5" t="str">
        <f t="shared" si="27"/>
        <v>NEFT INB: IRX7159964                               / NRI Ajay</v>
      </c>
      <c r="M183" s="9">
        <f t="shared" si="28"/>
        <v>1000</v>
      </c>
      <c r="N183" s="9">
        <f t="shared" si="29"/>
        <v>0</v>
      </c>
      <c r="O183" s="9">
        <f t="shared" si="30"/>
        <v>8793.52</v>
      </c>
      <c r="P183" s="8" t="str">
        <f t="shared" si="31"/>
        <v>SBI 3479</v>
      </c>
    </row>
    <row r="184" spans="1:16" x14ac:dyDescent="0.3">
      <c r="A184" s="5">
        <v>45298</v>
      </c>
      <c r="B184" s="5">
        <v>45298</v>
      </c>
      <c r="C184" s="3" t="s">
        <v>287</v>
      </c>
      <c r="D184" s="3" t="s">
        <v>998</v>
      </c>
      <c r="E184" s="3">
        <v>24.78</v>
      </c>
      <c r="F184" s="3">
        <v>0</v>
      </c>
      <c r="G184" s="3">
        <v>8768.74</v>
      </c>
      <c r="H184" s="3" t="s">
        <v>716</v>
      </c>
      <c r="I184" s="53">
        <f t="shared" si="25"/>
        <v>0</v>
      </c>
      <c r="J184" s="5">
        <f t="shared" si="18"/>
        <v>45298</v>
      </c>
      <c r="K184" s="5" t="str">
        <f t="shared" si="26"/>
        <v xml:space="preserve">   TO TRANSFER-CMP SBI CAPS--</v>
      </c>
      <c r="L184" s="5" t="str">
        <f t="shared" si="27"/>
        <v>CMP00000000781423729AOM8930729               TRANS</v>
      </c>
      <c r="M184" s="9">
        <f t="shared" si="28"/>
        <v>24.78</v>
      </c>
      <c r="N184" s="9">
        <f t="shared" si="29"/>
        <v>0</v>
      </c>
      <c r="O184" s="9">
        <f t="shared" si="30"/>
        <v>8768.74</v>
      </c>
      <c r="P184" s="8" t="str">
        <f t="shared" si="31"/>
        <v>SBI 3479</v>
      </c>
    </row>
    <row r="185" spans="1:16" x14ac:dyDescent="0.3">
      <c r="A185" s="5">
        <v>45300</v>
      </c>
      <c r="B185" s="5">
        <v>45300</v>
      </c>
      <c r="C185" s="3" t="s">
        <v>234</v>
      </c>
      <c r="D185" s="3" t="s">
        <v>999</v>
      </c>
      <c r="E185" s="3">
        <v>0</v>
      </c>
      <c r="F185" s="3">
        <v>15000</v>
      </c>
      <c r="G185" s="3">
        <v>23768.74</v>
      </c>
      <c r="H185" s="3" t="s">
        <v>716</v>
      </c>
      <c r="I185" s="53">
        <f t="shared" si="25"/>
        <v>0</v>
      </c>
      <c r="J185" s="5">
        <f t="shared" si="18"/>
        <v>45300</v>
      </c>
      <c r="K185" s="5" t="str">
        <f t="shared" si="26"/>
        <v xml:space="preserve">   BY TRANSFER-INB Deposit / Investment--</v>
      </c>
      <c r="L185" s="5" t="str">
        <f t="shared" si="27"/>
        <v>IIC4223827               TRANSFER FROM 32718635441</v>
      </c>
      <c r="M185" s="9">
        <f t="shared" si="28"/>
        <v>0</v>
      </c>
      <c r="N185" s="9">
        <f t="shared" si="29"/>
        <v>15000</v>
      </c>
      <c r="O185" s="9">
        <f t="shared" si="30"/>
        <v>23768.74</v>
      </c>
      <c r="P185" s="8" t="str">
        <f t="shared" si="31"/>
        <v>SBI 3479</v>
      </c>
    </row>
    <row r="186" spans="1:16" x14ac:dyDescent="0.3">
      <c r="A186" s="5">
        <v>45309</v>
      </c>
      <c r="B186" s="5">
        <v>45309</v>
      </c>
      <c r="C186" s="3" t="s">
        <v>194</v>
      </c>
      <c r="D186" s="3" t="s">
        <v>1000</v>
      </c>
      <c r="E186" s="3">
        <v>4178</v>
      </c>
      <c r="F186" s="3">
        <v>0</v>
      </c>
      <c r="G186" s="3">
        <v>19590.740000000002</v>
      </c>
      <c r="H186" s="3" t="s">
        <v>716</v>
      </c>
      <c r="I186" s="53">
        <f t="shared" si="25"/>
        <v>0</v>
      </c>
      <c r="J186" s="5">
        <f t="shared" si="18"/>
        <v>45309</v>
      </c>
      <c r="K186" s="5" t="str">
        <f t="shared" si="26"/>
        <v xml:space="preserve">   TO TRANSFER-INB SBICARD FOR BILLDESK      SBICARD Payments--</v>
      </c>
      <c r="L186" s="5" t="str">
        <f t="shared" si="27"/>
        <v>YSBI2208754161IGAQSXCIZ5               TRANSFER TO</v>
      </c>
      <c r="M186" s="9">
        <f t="shared" si="28"/>
        <v>4178</v>
      </c>
      <c r="N186" s="9">
        <f t="shared" si="29"/>
        <v>0</v>
      </c>
      <c r="O186" s="9">
        <f t="shared" si="30"/>
        <v>19590.740000000002</v>
      </c>
      <c r="P186" s="8" t="str">
        <f t="shared" si="31"/>
        <v>SBI 3479</v>
      </c>
    </row>
    <row r="187" spans="1:16" x14ac:dyDescent="0.3">
      <c r="A187" s="5">
        <v>45310</v>
      </c>
      <c r="B187" s="5">
        <v>45310</v>
      </c>
      <c r="C187" s="3" t="s">
        <v>183</v>
      </c>
      <c r="D187" s="3" t="s">
        <v>1001</v>
      </c>
      <c r="E187" s="3">
        <v>0</v>
      </c>
      <c r="F187" s="3">
        <v>83110.210000000006</v>
      </c>
      <c r="G187" s="3">
        <v>102700.95</v>
      </c>
      <c r="H187" s="3" t="s">
        <v>716</v>
      </c>
      <c r="I187" s="53">
        <f t="shared" si="25"/>
        <v>0</v>
      </c>
      <c r="J187" s="5">
        <f t="shared" si="18"/>
        <v>45310</v>
      </c>
      <c r="K187" s="5" t="str">
        <f t="shared" si="26"/>
        <v xml:space="preserve">   BY TRANSFER-INB -For 19260165--</v>
      </c>
      <c r="L187" s="5" t="str">
        <f t="shared" si="27"/>
        <v>6501279979CT00AGJVB1               TRANSFER FROM 4</v>
      </c>
      <c r="M187" s="9">
        <f t="shared" si="28"/>
        <v>0</v>
      </c>
      <c r="N187" s="9">
        <f t="shared" si="29"/>
        <v>83110.210000000006</v>
      </c>
      <c r="O187" s="9">
        <f t="shared" si="30"/>
        <v>102700.95</v>
      </c>
      <c r="P187" s="8" t="str">
        <f t="shared" si="31"/>
        <v>SBI 3479</v>
      </c>
    </row>
    <row r="188" spans="1:16" x14ac:dyDescent="0.3">
      <c r="A188" s="5">
        <v>45311</v>
      </c>
      <c r="B188" s="5">
        <v>45311</v>
      </c>
      <c r="C188" s="3" t="s">
        <v>181</v>
      </c>
      <c r="D188" s="3" t="s">
        <v>1002</v>
      </c>
      <c r="E188" s="3">
        <v>0</v>
      </c>
      <c r="F188" s="3">
        <v>75000</v>
      </c>
      <c r="G188" s="3">
        <v>177700.95</v>
      </c>
      <c r="H188" s="3" t="s">
        <v>716</v>
      </c>
      <c r="I188" s="53">
        <f t="shared" si="25"/>
        <v>0</v>
      </c>
      <c r="J188" s="5">
        <f t="shared" si="18"/>
        <v>45311</v>
      </c>
      <c r="K188" s="5" t="str">
        <f t="shared" si="26"/>
        <v xml:space="preserve">   BY TRANSFER-INB Payment towards loan repayment--</v>
      </c>
      <c r="L188" s="5" t="str">
        <f t="shared" si="27"/>
        <v>IIC4476141               TRANSFER FROM 32718635441</v>
      </c>
      <c r="M188" s="9">
        <f t="shared" si="28"/>
        <v>0</v>
      </c>
      <c r="N188" s="9">
        <f t="shared" si="29"/>
        <v>75000</v>
      </c>
      <c r="O188" s="9">
        <f t="shared" si="30"/>
        <v>177700.95</v>
      </c>
      <c r="P188" s="8" t="str">
        <f t="shared" si="31"/>
        <v>SBI 3479</v>
      </c>
    </row>
    <row r="189" spans="1:16" x14ac:dyDescent="0.3">
      <c r="A189" s="5">
        <v>45311</v>
      </c>
      <c r="B189" s="5">
        <v>45311</v>
      </c>
      <c r="C189" s="3" t="s">
        <v>197</v>
      </c>
      <c r="D189" s="3" t="s">
        <v>1003</v>
      </c>
      <c r="E189" s="3">
        <v>150000</v>
      </c>
      <c r="F189" s="3">
        <v>0</v>
      </c>
      <c r="G189" s="3">
        <v>27700.95</v>
      </c>
      <c r="H189" s="3" t="s">
        <v>716</v>
      </c>
      <c r="I189" s="53">
        <f t="shared" si="25"/>
        <v>0</v>
      </c>
      <c r="J189" s="5">
        <f t="shared" si="18"/>
        <v>45311</v>
      </c>
      <c r="K189" s="5" t="str">
        <f t="shared" si="26"/>
        <v xml:space="preserve">   TO TRANSFER-INB Payment towards loan repayment--</v>
      </c>
      <c r="L189" s="5" t="str">
        <f t="shared" si="27"/>
        <v xml:space="preserve">IIC4476150               TRANSFER TO 32718635441  </v>
      </c>
      <c r="M189" s="9">
        <f t="shared" si="28"/>
        <v>150000</v>
      </c>
      <c r="N189" s="9">
        <f t="shared" si="29"/>
        <v>0</v>
      </c>
      <c r="O189" s="9">
        <f t="shared" si="30"/>
        <v>27700.95</v>
      </c>
      <c r="P189" s="8" t="str">
        <f t="shared" si="31"/>
        <v>SBI 3479</v>
      </c>
    </row>
    <row r="190" spans="1:16" x14ac:dyDescent="0.3">
      <c r="A190" s="5">
        <v>45324</v>
      </c>
      <c r="B190" s="5">
        <v>45324</v>
      </c>
      <c r="C190" s="3" t="s">
        <v>183</v>
      </c>
      <c r="D190" s="3" t="s">
        <v>1004</v>
      </c>
      <c r="E190" s="3">
        <v>0</v>
      </c>
      <c r="F190" s="3">
        <v>49.56</v>
      </c>
      <c r="G190" s="3">
        <v>27750.51</v>
      </c>
      <c r="H190" s="3" t="s">
        <v>716</v>
      </c>
      <c r="I190" s="53">
        <f t="shared" si="25"/>
        <v>0</v>
      </c>
      <c r="J190" s="5">
        <f t="shared" si="18"/>
        <v>45324</v>
      </c>
      <c r="K190" s="5" t="str">
        <f t="shared" si="26"/>
        <v xml:space="preserve">   BY TRANSFER-INB -For 19260165--</v>
      </c>
      <c r="L190" s="5" t="str">
        <f t="shared" si="27"/>
        <v>6502019227CT00APTZA4               TRANSFER FROM 4</v>
      </c>
      <c r="M190" s="9">
        <f t="shared" si="28"/>
        <v>0</v>
      </c>
      <c r="N190" s="9">
        <f t="shared" si="29"/>
        <v>49.56</v>
      </c>
      <c r="O190" s="9">
        <f t="shared" si="30"/>
        <v>27750.51</v>
      </c>
      <c r="P190" s="8" t="str">
        <f t="shared" si="31"/>
        <v>SBI 3479</v>
      </c>
    </row>
    <row r="191" spans="1:16" x14ac:dyDescent="0.3">
      <c r="A191" s="5">
        <v>45324</v>
      </c>
      <c r="B191" s="5">
        <v>45324</v>
      </c>
      <c r="C191" s="3" t="s">
        <v>214</v>
      </c>
      <c r="D191" s="3" t="s">
        <v>206</v>
      </c>
      <c r="E191" s="3">
        <v>26595</v>
      </c>
      <c r="F191" s="3">
        <v>0</v>
      </c>
      <c r="G191" s="3">
        <v>1155.51</v>
      </c>
      <c r="H191" s="3" t="s">
        <v>716</v>
      </c>
      <c r="I191" s="53">
        <f t="shared" si="25"/>
        <v>0</v>
      </c>
      <c r="J191" s="5">
        <f t="shared" si="18"/>
        <v>45324</v>
      </c>
      <c r="K191" s="5" t="str">
        <f t="shared" si="26"/>
        <v xml:space="preserve">   WITHDRAWAL TRANSFER---</v>
      </c>
      <c r="L191" s="5" t="str">
        <f t="shared" si="27"/>
        <v xml:space="preserve">TRANSFER TO 32718635441                           </v>
      </c>
      <c r="M191" s="9">
        <f t="shared" si="28"/>
        <v>26595</v>
      </c>
      <c r="N191" s="9">
        <f t="shared" si="29"/>
        <v>0</v>
      </c>
      <c r="O191" s="9">
        <f t="shared" si="30"/>
        <v>1155.51</v>
      </c>
      <c r="P191" s="8" t="str">
        <f t="shared" si="31"/>
        <v>SBI 3479</v>
      </c>
    </row>
    <row r="192" spans="1:16" x14ac:dyDescent="0.3">
      <c r="A192" s="5">
        <v>45324</v>
      </c>
      <c r="B192" s="5">
        <v>45324</v>
      </c>
      <c r="C192" s="3" t="s">
        <v>287</v>
      </c>
      <c r="D192" s="3" t="s">
        <v>1005</v>
      </c>
      <c r="E192" s="3">
        <v>49.56</v>
      </c>
      <c r="F192" s="3">
        <v>0</v>
      </c>
      <c r="G192" s="3">
        <v>1105.95</v>
      </c>
      <c r="H192" s="3" t="s">
        <v>716</v>
      </c>
      <c r="I192" s="53">
        <f t="shared" si="25"/>
        <v>0</v>
      </c>
      <c r="J192" s="5">
        <f t="shared" si="18"/>
        <v>45324</v>
      </c>
      <c r="K192" s="5" t="str">
        <f t="shared" si="26"/>
        <v xml:space="preserve">   TO TRANSFER-CMP SBI CAPS--</v>
      </c>
      <c r="L192" s="5" t="str">
        <f t="shared" si="27"/>
        <v>CMP00000000796080928AOMJ817650               TRANS</v>
      </c>
      <c r="M192" s="9">
        <f t="shared" si="28"/>
        <v>49.56</v>
      </c>
      <c r="N192" s="9">
        <f t="shared" si="29"/>
        <v>0</v>
      </c>
      <c r="O192" s="9">
        <f t="shared" si="30"/>
        <v>1105.95</v>
      </c>
      <c r="P192" s="8" t="str">
        <f t="shared" si="31"/>
        <v>SBI 3479</v>
      </c>
    </row>
    <row r="193" spans="1:16" x14ac:dyDescent="0.3">
      <c r="A193" s="5">
        <v>45329</v>
      </c>
      <c r="B193" s="5">
        <v>45329</v>
      </c>
      <c r="C193" s="3" t="s">
        <v>234</v>
      </c>
      <c r="D193" s="3" t="s">
        <v>1006</v>
      </c>
      <c r="E193" s="3">
        <v>0</v>
      </c>
      <c r="F193" s="3">
        <v>50000</v>
      </c>
      <c r="G193" s="3">
        <v>51105.95</v>
      </c>
      <c r="H193" s="3" t="s">
        <v>716</v>
      </c>
      <c r="I193" s="53">
        <f t="shared" si="25"/>
        <v>0</v>
      </c>
      <c r="J193" s="5">
        <f t="shared" si="18"/>
        <v>45329</v>
      </c>
      <c r="K193" s="5" t="str">
        <f t="shared" si="26"/>
        <v xml:space="preserve">   BY TRANSFER-INB Deposit / Investment--</v>
      </c>
      <c r="L193" s="5" t="str">
        <f t="shared" si="27"/>
        <v>IIC4978875               TRANSFER FROM 32718635441</v>
      </c>
      <c r="M193" s="9">
        <f t="shared" si="28"/>
        <v>0</v>
      </c>
      <c r="N193" s="9">
        <f t="shared" si="29"/>
        <v>50000</v>
      </c>
      <c r="O193" s="9">
        <f t="shared" si="30"/>
        <v>51105.95</v>
      </c>
      <c r="P193" s="8" t="str">
        <f t="shared" si="31"/>
        <v>SBI 3479</v>
      </c>
    </row>
    <row r="194" spans="1:16" x14ac:dyDescent="0.3">
      <c r="A194" s="5">
        <v>45329</v>
      </c>
      <c r="B194" s="5">
        <v>45329</v>
      </c>
      <c r="C194" s="3" t="s">
        <v>201</v>
      </c>
      <c r="D194" s="3" t="s">
        <v>200</v>
      </c>
      <c r="E194" s="3">
        <v>42389.440000000002</v>
      </c>
      <c r="F194" s="3">
        <v>0</v>
      </c>
      <c r="G194" s="3">
        <v>8716.51</v>
      </c>
      <c r="H194" s="3" t="s">
        <v>716</v>
      </c>
      <c r="I194" s="53">
        <f t="shared" si="25"/>
        <v>0</v>
      </c>
      <c r="J194" s="5">
        <f t="shared" si="18"/>
        <v>45329</v>
      </c>
      <c r="K194" s="5" t="str">
        <f t="shared" si="26"/>
        <v xml:space="preserve">   TO TRANSFER-ForTrading--</v>
      </c>
      <c r="L194" s="5" t="str">
        <f t="shared" si="27"/>
        <v xml:space="preserve">TRANSFER TO 41128839515                           </v>
      </c>
      <c r="M194" s="9">
        <f t="shared" si="28"/>
        <v>42389.440000000002</v>
      </c>
      <c r="N194" s="9">
        <f t="shared" si="29"/>
        <v>0</v>
      </c>
      <c r="O194" s="9">
        <f t="shared" si="30"/>
        <v>8716.51</v>
      </c>
      <c r="P194" s="8" t="str">
        <f t="shared" si="31"/>
        <v>SBI 3479</v>
      </c>
    </row>
    <row r="195" spans="1:16" x14ac:dyDescent="0.3">
      <c r="A195" s="5">
        <v>45330</v>
      </c>
      <c r="B195" s="5">
        <v>45330</v>
      </c>
      <c r="C195" s="3" t="s">
        <v>201</v>
      </c>
      <c r="D195" s="3" t="s">
        <v>211</v>
      </c>
      <c r="E195" s="3">
        <v>261</v>
      </c>
      <c r="F195" s="3">
        <v>0</v>
      </c>
      <c r="G195" s="3">
        <v>8455.51</v>
      </c>
      <c r="H195" s="3" t="s">
        <v>716</v>
      </c>
      <c r="I195" s="53">
        <f t="shared" si="25"/>
        <v>0</v>
      </c>
      <c r="J195" s="5">
        <f t="shared" si="18"/>
        <v>45330</v>
      </c>
      <c r="K195" s="5" t="str">
        <f t="shared" si="26"/>
        <v xml:space="preserve">   TO TRANSFER-ForTrading--</v>
      </c>
      <c r="L195" s="5" t="str">
        <f t="shared" si="27"/>
        <v xml:space="preserve">TRANSFER TO 31842374252                           </v>
      </c>
      <c r="M195" s="9">
        <f t="shared" si="28"/>
        <v>261</v>
      </c>
      <c r="N195" s="9">
        <f t="shared" si="29"/>
        <v>0</v>
      </c>
      <c r="O195" s="9">
        <f t="shared" si="30"/>
        <v>8455.51</v>
      </c>
      <c r="P195" s="8" t="str">
        <f t="shared" si="31"/>
        <v>SBI 3479</v>
      </c>
    </row>
    <row r="196" spans="1:16" x14ac:dyDescent="0.3">
      <c r="A196" s="5">
        <v>45331</v>
      </c>
      <c r="B196" s="5">
        <v>45331</v>
      </c>
      <c r="C196" s="3" t="s">
        <v>201</v>
      </c>
      <c r="D196" s="3" t="s">
        <v>200</v>
      </c>
      <c r="E196" s="3">
        <v>49.56</v>
      </c>
      <c r="F196" s="3">
        <v>0</v>
      </c>
      <c r="G196" s="3">
        <v>8405.9500000000007</v>
      </c>
      <c r="H196" s="3" t="s">
        <v>716</v>
      </c>
      <c r="I196" s="53">
        <f t="shared" si="25"/>
        <v>0</v>
      </c>
      <c r="J196" s="5">
        <f t="shared" si="18"/>
        <v>45331</v>
      </c>
      <c r="K196" s="5" t="str">
        <f t="shared" si="26"/>
        <v xml:space="preserve">   TO TRANSFER-ForTrading--</v>
      </c>
      <c r="L196" s="5" t="str">
        <f t="shared" si="27"/>
        <v xml:space="preserve">TRANSFER TO 41128839515                           </v>
      </c>
      <c r="M196" s="9">
        <f t="shared" si="28"/>
        <v>49.56</v>
      </c>
      <c r="N196" s="9">
        <f t="shared" si="29"/>
        <v>0</v>
      </c>
      <c r="O196" s="9">
        <f t="shared" si="30"/>
        <v>8405.9500000000007</v>
      </c>
      <c r="P196" s="8" t="str">
        <f t="shared" si="31"/>
        <v>SBI 3479</v>
      </c>
    </row>
    <row r="197" spans="1:16" x14ac:dyDescent="0.3">
      <c r="A197" s="5">
        <v>45332</v>
      </c>
      <c r="B197" s="5">
        <v>45332</v>
      </c>
      <c r="C197" s="3" t="s">
        <v>201</v>
      </c>
      <c r="D197" s="3" t="s">
        <v>200</v>
      </c>
      <c r="E197" s="3">
        <v>2380.5</v>
      </c>
      <c r="F197" s="3">
        <v>0</v>
      </c>
      <c r="G197" s="3">
        <v>6025.45</v>
      </c>
      <c r="H197" s="3" t="s">
        <v>716</v>
      </c>
      <c r="I197" s="53">
        <f t="shared" si="25"/>
        <v>0</v>
      </c>
      <c r="J197" s="5">
        <f t="shared" si="18"/>
        <v>45332</v>
      </c>
      <c r="K197" s="5" t="str">
        <f t="shared" si="26"/>
        <v xml:space="preserve">   TO TRANSFER-ForTrading--</v>
      </c>
      <c r="L197" s="5" t="str">
        <f t="shared" si="27"/>
        <v xml:space="preserve">TRANSFER TO 41128839515                           </v>
      </c>
      <c r="M197" s="9">
        <f t="shared" si="28"/>
        <v>2380.5</v>
      </c>
      <c r="N197" s="9">
        <f t="shared" si="29"/>
        <v>0</v>
      </c>
      <c r="O197" s="9">
        <f t="shared" si="30"/>
        <v>6025.45</v>
      </c>
      <c r="P197" s="8" t="str">
        <f t="shared" si="31"/>
        <v>SBI 3479</v>
      </c>
    </row>
    <row r="198" spans="1:16" x14ac:dyDescent="0.3">
      <c r="A198" s="5">
        <v>45334</v>
      </c>
      <c r="B198" s="5">
        <v>45334</v>
      </c>
      <c r="C198" s="3" t="s">
        <v>183</v>
      </c>
      <c r="D198" s="3" t="s">
        <v>1007</v>
      </c>
      <c r="E198" s="3">
        <v>0</v>
      </c>
      <c r="F198" s="3">
        <v>20129.91</v>
      </c>
      <c r="G198" s="3">
        <v>26155.360000000001</v>
      </c>
      <c r="H198" s="3" t="s">
        <v>716</v>
      </c>
      <c r="I198" s="53">
        <f t="shared" si="25"/>
        <v>0</v>
      </c>
      <c r="J198" s="5">
        <f t="shared" si="18"/>
        <v>45334</v>
      </c>
      <c r="K198" s="5" t="str">
        <f t="shared" si="26"/>
        <v xml:space="preserve">   BY TRANSFER-INB -For 19260165--</v>
      </c>
      <c r="L198" s="5" t="str">
        <f t="shared" si="27"/>
        <v>6502859936CT00AZRZS6               TRANSFER FROM 4</v>
      </c>
      <c r="M198" s="9">
        <f t="shared" si="28"/>
        <v>0</v>
      </c>
      <c r="N198" s="9">
        <f t="shared" si="29"/>
        <v>20129.91</v>
      </c>
      <c r="O198" s="9">
        <f t="shared" si="30"/>
        <v>26155.360000000001</v>
      </c>
      <c r="P198" s="8" t="str">
        <f t="shared" si="31"/>
        <v>SBI 3479</v>
      </c>
    </row>
    <row r="199" spans="1:16" x14ac:dyDescent="0.3">
      <c r="A199" s="5">
        <v>45335</v>
      </c>
      <c r="B199" s="5">
        <v>45335</v>
      </c>
      <c r="C199" s="3" t="s">
        <v>183</v>
      </c>
      <c r="D199" s="3" t="s">
        <v>1008</v>
      </c>
      <c r="E199" s="3">
        <v>0</v>
      </c>
      <c r="F199" s="3">
        <v>97.5</v>
      </c>
      <c r="G199" s="3">
        <v>26252.86</v>
      </c>
      <c r="H199" s="3" t="s">
        <v>716</v>
      </c>
      <c r="I199" s="53">
        <f t="shared" si="25"/>
        <v>0</v>
      </c>
      <c r="J199" s="5">
        <f t="shared" si="18"/>
        <v>45335</v>
      </c>
      <c r="K199" s="5" t="str">
        <f t="shared" si="26"/>
        <v xml:space="preserve">   BY TRANSFER-INB -For 19260165--</v>
      </c>
      <c r="L199" s="5" t="str">
        <f t="shared" si="27"/>
        <v>6502942780CT00BASCJ6               TRANSFER FROM 4</v>
      </c>
      <c r="M199" s="9">
        <f t="shared" si="28"/>
        <v>0</v>
      </c>
      <c r="N199" s="9">
        <f t="shared" si="29"/>
        <v>97.5</v>
      </c>
      <c r="O199" s="9">
        <f t="shared" si="30"/>
        <v>26252.86</v>
      </c>
      <c r="P199" s="8" t="str">
        <f t="shared" si="31"/>
        <v>SBI 3479</v>
      </c>
    </row>
    <row r="200" spans="1:16" x14ac:dyDescent="0.3">
      <c r="A200" s="5">
        <v>45336</v>
      </c>
      <c r="B200" s="5">
        <v>45336</v>
      </c>
      <c r="C200" s="3" t="s">
        <v>201</v>
      </c>
      <c r="D200" s="3" t="s">
        <v>200</v>
      </c>
      <c r="E200" s="3">
        <v>16911.8</v>
      </c>
      <c r="F200" s="3">
        <v>0</v>
      </c>
      <c r="G200" s="3">
        <v>9341.06</v>
      </c>
      <c r="H200" s="3" t="s">
        <v>716</v>
      </c>
      <c r="I200" s="53">
        <f t="shared" si="25"/>
        <v>0</v>
      </c>
      <c r="J200" s="5">
        <f t="shared" si="18"/>
        <v>45336</v>
      </c>
      <c r="K200" s="5" t="str">
        <f t="shared" si="26"/>
        <v xml:space="preserve">   TO TRANSFER-ForTrading--</v>
      </c>
      <c r="L200" s="5" t="str">
        <f t="shared" si="27"/>
        <v xml:space="preserve">TRANSFER TO 41128839515                           </v>
      </c>
      <c r="M200" s="9">
        <f t="shared" si="28"/>
        <v>16911.8</v>
      </c>
      <c r="N200" s="9">
        <f t="shared" si="29"/>
        <v>0</v>
      </c>
      <c r="O200" s="9">
        <f t="shared" si="30"/>
        <v>9341.06</v>
      </c>
      <c r="P200" s="8" t="str">
        <f t="shared" si="31"/>
        <v>SBI 3479</v>
      </c>
    </row>
    <row r="201" spans="1:16" x14ac:dyDescent="0.3">
      <c r="A201" s="5">
        <v>45337</v>
      </c>
      <c r="B201" s="5">
        <v>45337</v>
      </c>
      <c r="C201" s="3" t="s">
        <v>201</v>
      </c>
      <c r="D201" s="3" t="s">
        <v>200</v>
      </c>
      <c r="E201" s="3">
        <v>43.13</v>
      </c>
      <c r="F201" s="3">
        <v>0</v>
      </c>
      <c r="G201" s="3">
        <v>9297.93</v>
      </c>
      <c r="H201" s="3" t="s">
        <v>716</v>
      </c>
      <c r="I201" s="53">
        <f t="shared" si="25"/>
        <v>0</v>
      </c>
      <c r="J201" s="5">
        <f t="shared" si="18"/>
        <v>45337</v>
      </c>
      <c r="K201" s="5" t="str">
        <f t="shared" si="26"/>
        <v xml:space="preserve">   TO TRANSFER-ForTrading--</v>
      </c>
      <c r="L201" s="5" t="str">
        <f t="shared" si="27"/>
        <v xml:space="preserve">TRANSFER TO 41128839515                           </v>
      </c>
      <c r="M201" s="9">
        <f t="shared" si="28"/>
        <v>43.13</v>
      </c>
      <c r="N201" s="9">
        <f t="shared" si="29"/>
        <v>0</v>
      </c>
      <c r="O201" s="9">
        <f t="shared" si="30"/>
        <v>9297.93</v>
      </c>
      <c r="P201" s="8" t="str">
        <f t="shared" si="31"/>
        <v>SBI 3479</v>
      </c>
    </row>
    <row r="202" spans="1:16" x14ac:dyDescent="0.3">
      <c r="A202" s="5">
        <v>45342</v>
      </c>
      <c r="B202" s="5">
        <v>45342</v>
      </c>
      <c r="C202" s="3" t="s">
        <v>1009</v>
      </c>
      <c r="D202" s="3" t="s">
        <v>1010</v>
      </c>
      <c r="E202" s="3">
        <v>0</v>
      </c>
      <c r="F202" s="3">
        <v>200000</v>
      </c>
      <c r="G202" s="3">
        <v>209297.93</v>
      </c>
      <c r="H202" s="3" t="s">
        <v>716</v>
      </c>
      <c r="I202" s="53">
        <f t="shared" si="25"/>
        <v>0</v>
      </c>
      <c r="J202" s="5">
        <f t="shared" si="18"/>
        <v>45342</v>
      </c>
      <c r="K202" s="5" t="str">
        <f t="shared" si="26"/>
        <v xml:space="preserve">   BY TRANSFER-NEFT*UTIB0000115*AXOIR40511620660*AJAY KUMAR GUPTA--</v>
      </c>
      <c r="L202" s="5" t="str">
        <f t="shared" si="27"/>
        <v>TRANSFER FROM 4697178044303</v>
      </c>
      <c r="M202" s="9">
        <f t="shared" si="28"/>
        <v>0</v>
      </c>
      <c r="N202" s="9">
        <f t="shared" si="29"/>
        <v>200000</v>
      </c>
      <c r="O202" s="9">
        <f t="shared" si="30"/>
        <v>209297.93</v>
      </c>
      <c r="P202" s="8" t="str">
        <f t="shared" si="31"/>
        <v>SBI 3479</v>
      </c>
    </row>
    <row r="203" spans="1:16" x14ac:dyDescent="0.3">
      <c r="A203" s="5">
        <v>45342</v>
      </c>
      <c r="B203" s="5">
        <v>45342</v>
      </c>
      <c r="C203" s="3" t="s">
        <v>201</v>
      </c>
      <c r="D203" s="3" t="s">
        <v>200</v>
      </c>
      <c r="E203" s="3">
        <v>61.5</v>
      </c>
      <c r="F203" s="3">
        <v>0</v>
      </c>
      <c r="G203" s="3">
        <v>209236.43</v>
      </c>
      <c r="H203" s="3" t="s">
        <v>716</v>
      </c>
      <c r="I203" s="53">
        <f t="shared" si="25"/>
        <v>0</v>
      </c>
      <c r="J203" s="5">
        <f t="shared" si="18"/>
        <v>45342</v>
      </c>
      <c r="K203" s="5" t="str">
        <f t="shared" si="26"/>
        <v xml:space="preserve">   TO TRANSFER-ForTrading--</v>
      </c>
      <c r="L203" s="5" t="str">
        <f t="shared" si="27"/>
        <v xml:space="preserve">TRANSFER TO 41128839515                           </v>
      </c>
      <c r="M203" s="9">
        <f t="shared" si="28"/>
        <v>61.5</v>
      </c>
      <c r="N203" s="9">
        <f t="shared" si="29"/>
        <v>0</v>
      </c>
      <c r="O203" s="9">
        <f t="shared" si="30"/>
        <v>209236.43</v>
      </c>
      <c r="P203" s="8" t="str">
        <f t="shared" si="31"/>
        <v>SBI 3479</v>
      </c>
    </row>
    <row r="204" spans="1:16" x14ac:dyDescent="0.3">
      <c r="A204" s="5">
        <v>45342</v>
      </c>
      <c r="B204" s="5">
        <v>45342</v>
      </c>
      <c r="C204" s="3" t="s">
        <v>194</v>
      </c>
      <c r="D204" s="3" t="s">
        <v>1011</v>
      </c>
      <c r="E204" s="3">
        <v>1458</v>
      </c>
      <c r="F204" s="3">
        <v>0</v>
      </c>
      <c r="G204" s="3">
        <v>207778.43</v>
      </c>
      <c r="H204" s="3" t="s">
        <v>716</v>
      </c>
      <c r="I204" s="53">
        <f t="shared" si="25"/>
        <v>0</v>
      </c>
      <c r="J204" s="5">
        <f t="shared" si="18"/>
        <v>45342</v>
      </c>
      <c r="K204" s="5" t="str">
        <f t="shared" si="26"/>
        <v xml:space="preserve">   TO TRANSFER-INB SBICARD FOR BILLDESK      SBICARD Payments--</v>
      </c>
      <c r="L204" s="5" t="str">
        <f t="shared" si="27"/>
        <v>YSBI2240430796IGAQWTZTS1               TRANSFER TO</v>
      </c>
      <c r="M204" s="9">
        <f t="shared" si="28"/>
        <v>1458</v>
      </c>
      <c r="N204" s="9">
        <f t="shared" si="29"/>
        <v>0</v>
      </c>
      <c r="O204" s="9">
        <f t="shared" si="30"/>
        <v>207778.43</v>
      </c>
      <c r="P204" s="8" t="str">
        <f t="shared" si="31"/>
        <v>SBI 3479</v>
      </c>
    </row>
    <row r="205" spans="1:16" x14ac:dyDescent="0.3">
      <c r="A205" s="5">
        <v>45342</v>
      </c>
      <c r="B205" s="5">
        <v>45342</v>
      </c>
      <c r="C205" s="3" t="s">
        <v>201</v>
      </c>
      <c r="D205" s="3" t="s">
        <v>200</v>
      </c>
      <c r="E205" s="3">
        <v>22.5</v>
      </c>
      <c r="F205" s="3">
        <v>0</v>
      </c>
      <c r="G205" s="3">
        <v>207755.93</v>
      </c>
      <c r="H205" s="3" t="s">
        <v>716</v>
      </c>
      <c r="I205" s="53">
        <f t="shared" si="25"/>
        <v>0</v>
      </c>
      <c r="J205" s="5">
        <f t="shared" si="18"/>
        <v>45342</v>
      </c>
      <c r="K205" s="5" t="str">
        <f t="shared" si="26"/>
        <v xml:space="preserve">   TO TRANSFER-ForTrading--</v>
      </c>
      <c r="L205" s="5" t="str">
        <f t="shared" si="27"/>
        <v xml:space="preserve">TRANSFER TO 41128839515                           </v>
      </c>
      <c r="M205" s="9">
        <f t="shared" si="28"/>
        <v>22.5</v>
      </c>
      <c r="N205" s="9">
        <f t="shared" si="29"/>
        <v>0</v>
      </c>
      <c r="O205" s="9">
        <f t="shared" si="30"/>
        <v>207755.93</v>
      </c>
      <c r="P205" s="8" t="str">
        <f t="shared" si="31"/>
        <v>SBI 3479</v>
      </c>
    </row>
    <row r="206" spans="1:16" x14ac:dyDescent="0.3">
      <c r="A206" s="5">
        <v>45343</v>
      </c>
      <c r="B206" s="5">
        <v>45343</v>
      </c>
      <c r="C206" s="3" t="s">
        <v>197</v>
      </c>
      <c r="D206" s="3" t="s">
        <v>1012</v>
      </c>
      <c r="E206" s="3">
        <v>165000</v>
      </c>
      <c r="F206" s="3">
        <v>0</v>
      </c>
      <c r="G206" s="3">
        <v>42755.93</v>
      </c>
      <c r="H206" s="3" t="s">
        <v>716</v>
      </c>
      <c r="I206" s="53">
        <f t="shared" si="25"/>
        <v>0</v>
      </c>
      <c r="J206" s="5">
        <f t="shared" si="18"/>
        <v>45343</v>
      </c>
      <c r="K206" s="5" t="str">
        <f t="shared" si="26"/>
        <v xml:space="preserve">   TO TRANSFER-INB Payment towards loan repayment--</v>
      </c>
      <c r="L206" s="5" t="str">
        <f t="shared" si="27"/>
        <v xml:space="preserve">IIC5298224               TRANSFER TO 32718635441  </v>
      </c>
      <c r="M206" s="9">
        <f t="shared" si="28"/>
        <v>165000</v>
      </c>
      <c r="N206" s="9">
        <f t="shared" si="29"/>
        <v>0</v>
      </c>
      <c r="O206" s="9">
        <f t="shared" si="30"/>
        <v>42755.93</v>
      </c>
      <c r="P206" s="8" t="str">
        <f t="shared" si="31"/>
        <v>SBI 3479</v>
      </c>
    </row>
    <row r="207" spans="1:16" x14ac:dyDescent="0.3">
      <c r="A207" s="5">
        <v>45343</v>
      </c>
      <c r="B207" s="5">
        <v>45343</v>
      </c>
      <c r="C207" s="3" t="s">
        <v>201</v>
      </c>
      <c r="D207" s="3" t="s">
        <v>200</v>
      </c>
      <c r="E207" s="3">
        <v>23998.26</v>
      </c>
      <c r="F207" s="3">
        <v>0</v>
      </c>
      <c r="G207" s="3">
        <v>18757.669999999998</v>
      </c>
      <c r="H207" s="3" t="s">
        <v>716</v>
      </c>
      <c r="I207" s="53">
        <f t="shared" si="25"/>
        <v>0</v>
      </c>
      <c r="J207" s="5">
        <f t="shared" si="18"/>
        <v>45343</v>
      </c>
      <c r="K207" s="5" t="str">
        <f t="shared" si="26"/>
        <v xml:space="preserve">   TO TRANSFER-ForTrading--</v>
      </c>
      <c r="L207" s="5" t="str">
        <f t="shared" si="27"/>
        <v xml:space="preserve">TRANSFER TO 41128839515                           </v>
      </c>
      <c r="M207" s="9">
        <f t="shared" si="28"/>
        <v>23998.26</v>
      </c>
      <c r="N207" s="9">
        <f t="shared" si="29"/>
        <v>0</v>
      </c>
      <c r="O207" s="9">
        <f t="shared" si="30"/>
        <v>18757.669999999998</v>
      </c>
      <c r="P207" s="8" t="str">
        <f t="shared" si="31"/>
        <v>SBI 3479</v>
      </c>
    </row>
    <row r="208" spans="1:16" x14ac:dyDescent="0.3">
      <c r="A208" s="5">
        <v>45344</v>
      </c>
      <c r="B208" s="5">
        <v>45344</v>
      </c>
      <c r="C208" s="3" t="s">
        <v>183</v>
      </c>
      <c r="D208" s="3" t="s">
        <v>1013</v>
      </c>
      <c r="E208" s="3">
        <v>0</v>
      </c>
      <c r="F208" s="3">
        <v>1728.58</v>
      </c>
      <c r="G208" s="3">
        <v>20486.25</v>
      </c>
      <c r="H208" s="3" t="s">
        <v>716</v>
      </c>
      <c r="I208" s="53">
        <f t="shared" si="25"/>
        <v>0</v>
      </c>
      <c r="J208" s="5">
        <f t="shared" si="18"/>
        <v>45344</v>
      </c>
      <c r="K208" s="5" t="str">
        <f t="shared" si="26"/>
        <v xml:space="preserve">   BY TRANSFER-INB -For 19260165--</v>
      </c>
      <c r="L208" s="5" t="str">
        <f t="shared" si="27"/>
        <v>6600118947CT00BIEEK5               TRANSFER FROM 4</v>
      </c>
      <c r="M208" s="9">
        <f t="shared" si="28"/>
        <v>0</v>
      </c>
      <c r="N208" s="9">
        <f t="shared" si="29"/>
        <v>1728.58</v>
      </c>
      <c r="O208" s="9">
        <f t="shared" si="30"/>
        <v>20486.25</v>
      </c>
      <c r="P208" s="8" t="str">
        <f t="shared" si="31"/>
        <v>SBI 3479</v>
      </c>
    </row>
    <row r="209" spans="1:16" x14ac:dyDescent="0.3">
      <c r="A209" s="5">
        <v>45345</v>
      </c>
      <c r="B209" s="5">
        <v>45345</v>
      </c>
      <c r="C209" s="3" t="s">
        <v>1014</v>
      </c>
      <c r="E209" s="3">
        <v>0</v>
      </c>
      <c r="F209" s="3">
        <v>400</v>
      </c>
      <c r="G209" s="3">
        <v>20886.25</v>
      </c>
      <c r="H209" s="3" t="s">
        <v>716</v>
      </c>
      <c r="I209" s="53">
        <f t="shared" si="25"/>
        <v>0</v>
      </c>
      <c r="J209" s="5">
        <f t="shared" si="18"/>
        <v>45345</v>
      </c>
      <c r="K209" s="5" t="str">
        <f t="shared" si="26"/>
        <v xml:space="preserve">   BULK POSTING-ACHCr UTIB00434000014276 ENGINEERS INDI--</v>
      </c>
      <c r="L209" s="5">
        <f t="shared" si="27"/>
        <v>0</v>
      </c>
      <c r="M209" s="9">
        <f t="shared" si="28"/>
        <v>0</v>
      </c>
      <c r="N209" s="9">
        <f t="shared" si="29"/>
        <v>400</v>
      </c>
      <c r="O209" s="9">
        <f t="shared" si="30"/>
        <v>20886.25</v>
      </c>
      <c r="P209" s="8" t="str">
        <f t="shared" si="31"/>
        <v>SBI 3479</v>
      </c>
    </row>
    <row r="210" spans="1:16" x14ac:dyDescent="0.3">
      <c r="A210" s="5">
        <v>45345</v>
      </c>
      <c r="B210" s="5">
        <v>45345</v>
      </c>
      <c r="C210" s="3" t="s">
        <v>267</v>
      </c>
      <c r="D210" s="3" t="s">
        <v>1015</v>
      </c>
      <c r="E210" s="3">
        <v>808.1</v>
      </c>
      <c r="F210" s="3">
        <v>0</v>
      </c>
      <c r="G210" s="3">
        <v>20078.150000000001</v>
      </c>
      <c r="H210" s="3" t="s">
        <v>716</v>
      </c>
      <c r="I210" s="53">
        <f t="shared" si="25"/>
        <v>0</v>
      </c>
      <c r="J210" s="5">
        <f t="shared" si="18"/>
        <v>45345</v>
      </c>
      <c r="K210" s="5" t="str">
        <f t="shared" si="26"/>
        <v xml:space="preserve">   TO TRANSFER-INB IRCTC-RAILWAY TICKET BOOK Railway Ticket Booki--</v>
      </c>
      <c r="L210" s="5" t="str">
        <f t="shared" si="27"/>
        <v>100004810205401IGAQXEBXB2               TRANSFER T</v>
      </c>
      <c r="M210" s="9">
        <f t="shared" si="28"/>
        <v>808.1</v>
      </c>
      <c r="N210" s="9">
        <f t="shared" si="29"/>
        <v>0</v>
      </c>
      <c r="O210" s="9">
        <f t="shared" si="30"/>
        <v>20078.150000000001</v>
      </c>
      <c r="P210" s="8" t="str">
        <f t="shared" si="31"/>
        <v>SBI 3479</v>
      </c>
    </row>
    <row r="211" spans="1:16" x14ac:dyDescent="0.3">
      <c r="A211" s="5">
        <v>45348</v>
      </c>
      <c r="B211" s="5">
        <v>45348</v>
      </c>
      <c r="C211" s="3" t="s">
        <v>183</v>
      </c>
      <c r="D211" s="3" t="s">
        <v>1016</v>
      </c>
      <c r="E211" s="3">
        <v>0</v>
      </c>
      <c r="F211" s="3">
        <v>54469.120000000003</v>
      </c>
      <c r="G211" s="3">
        <v>74547.27</v>
      </c>
      <c r="H211" s="3" t="s">
        <v>716</v>
      </c>
      <c r="I211" s="53">
        <f t="shared" si="25"/>
        <v>0</v>
      </c>
      <c r="J211" s="5">
        <f t="shared" si="18"/>
        <v>45348</v>
      </c>
      <c r="K211" s="5" t="str">
        <f t="shared" si="26"/>
        <v xml:space="preserve">   BY TRANSFER-INB -For 19260165--</v>
      </c>
      <c r="L211" s="5" t="str">
        <f t="shared" si="27"/>
        <v>6600346802CT00BKTNH7               TRANSFER FROM 4</v>
      </c>
      <c r="M211" s="9">
        <f t="shared" si="28"/>
        <v>0</v>
      </c>
      <c r="N211" s="9">
        <f t="shared" si="29"/>
        <v>54469.120000000003</v>
      </c>
      <c r="O211" s="9">
        <f t="shared" si="30"/>
        <v>74547.27</v>
      </c>
      <c r="P211" s="8" t="str">
        <f t="shared" si="31"/>
        <v>SBI 3479</v>
      </c>
    </row>
    <row r="212" spans="1:16" x14ac:dyDescent="0.3">
      <c r="A212" s="5">
        <v>45350</v>
      </c>
      <c r="B212" s="5">
        <v>45350</v>
      </c>
      <c r="C212" s="3" t="s">
        <v>234</v>
      </c>
      <c r="D212" s="3" t="s">
        <v>1017</v>
      </c>
      <c r="E212" s="3">
        <v>0</v>
      </c>
      <c r="F212" s="3">
        <v>100000</v>
      </c>
      <c r="G212" s="3">
        <v>174547.27</v>
      </c>
      <c r="H212" s="3" t="s">
        <v>716</v>
      </c>
      <c r="I212" s="53">
        <f t="shared" si="25"/>
        <v>0</v>
      </c>
      <c r="J212" s="5">
        <f t="shared" si="18"/>
        <v>45350</v>
      </c>
      <c r="K212" s="5" t="str">
        <f t="shared" si="26"/>
        <v xml:space="preserve">   BY TRANSFER-INB Deposit / Investment--</v>
      </c>
      <c r="L212" s="5" t="str">
        <f t="shared" si="27"/>
        <v>IIC5445549               TRANSFER FROM 32718635441</v>
      </c>
      <c r="M212" s="9">
        <f t="shared" si="28"/>
        <v>0</v>
      </c>
      <c r="N212" s="9">
        <f t="shared" si="29"/>
        <v>100000</v>
      </c>
      <c r="O212" s="9">
        <f t="shared" si="30"/>
        <v>174547.27</v>
      </c>
      <c r="P212" s="8" t="str">
        <f t="shared" si="31"/>
        <v>SBI 3479</v>
      </c>
    </row>
    <row r="213" spans="1:16" x14ac:dyDescent="0.3">
      <c r="A213" s="5">
        <v>45352</v>
      </c>
      <c r="B213" s="5">
        <v>45352</v>
      </c>
      <c r="C213" s="3" t="s">
        <v>1018</v>
      </c>
      <c r="D213" s="3" t="s">
        <v>1019</v>
      </c>
      <c r="E213" s="3">
        <v>5000</v>
      </c>
      <c r="F213" s="3">
        <v>0</v>
      </c>
      <c r="G213" s="3">
        <v>169547.27</v>
      </c>
      <c r="H213" s="3" t="s">
        <v>716</v>
      </c>
      <c r="I213" s="53">
        <f t="shared" si="25"/>
        <v>0</v>
      </c>
      <c r="J213" s="5">
        <f t="shared" si="18"/>
        <v>45352</v>
      </c>
      <c r="K213" s="5" t="str">
        <f t="shared" si="26"/>
        <v xml:space="preserve">   TO TRANSFER-INB NEFT UTR NO: SBIN324061157023--NRI Ajay</v>
      </c>
      <c r="L213" s="5" t="str">
        <f t="shared" si="27"/>
        <v>NEFT INB: IRY0650979                               / NRI Ajay</v>
      </c>
      <c r="M213" s="9">
        <f t="shared" si="28"/>
        <v>5000</v>
      </c>
      <c r="N213" s="9">
        <f t="shared" si="29"/>
        <v>0</v>
      </c>
      <c r="O213" s="9">
        <f t="shared" si="30"/>
        <v>169547.27</v>
      </c>
      <c r="P213" s="8" t="str">
        <f t="shared" si="31"/>
        <v>SBI 3479</v>
      </c>
    </row>
    <row r="214" spans="1:16" x14ac:dyDescent="0.3">
      <c r="A214" s="5">
        <v>45353</v>
      </c>
      <c r="B214" s="5">
        <v>45353</v>
      </c>
      <c r="C214" s="3" t="s">
        <v>214</v>
      </c>
      <c r="D214" s="3" t="s">
        <v>206</v>
      </c>
      <c r="E214" s="3">
        <v>26595</v>
      </c>
      <c r="F214" s="3">
        <v>0</v>
      </c>
      <c r="G214" s="3">
        <v>142952.26999999999</v>
      </c>
      <c r="H214" s="3" t="s">
        <v>716</v>
      </c>
      <c r="I214" s="53">
        <f t="shared" si="25"/>
        <v>0</v>
      </c>
      <c r="J214" s="5">
        <f t="shared" ref="J214:J227" si="32">A214</f>
        <v>45353</v>
      </c>
      <c r="K214" s="5" t="str">
        <f t="shared" si="26"/>
        <v xml:space="preserve">   WITHDRAWAL TRANSFER---</v>
      </c>
      <c r="L214" s="5" t="str">
        <f t="shared" si="27"/>
        <v xml:space="preserve">TRANSFER TO 32718635441                           </v>
      </c>
      <c r="M214" s="9">
        <f t="shared" si="28"/>
        <v>26595</v>
      </c>
      <c r="N214" s="9">
        <f t="shared" si="29"/>
        <v>0</v>
      </c>
      <c r="O214" s="9">
        <f t="shared" si="30"/>
        <v>142952.26999999999</v>
      </c>
      <c r="P214" s="8" t="str">
        <f t="shared" si="31"/>
        <v>SBI 3479</v>
      </c>
    </row>
    <row r="215" spans="1:16" x14ac:dyDescent="0.3">
      <c r="A215" s="5">
        <v>45353</v>
      </c>
      <c r="B215" s="5">
        <v>45353</v>
      </c>
      <c r="C215" s="3" t="s">
        <v>197</v>
      </c>
      <c r="D215" s="3" t="s">
        <v>1020</v>
      </c>
      <c r="E215" s="3">
        <v>75000</v>
      </c>
      <c r="F215" s="3">
        <v>0</v>
      </c>
      <c r="G215" s="3">
        <v>67952.27</v>
      </c>
      <c r="H215" s="3" t="s">
        <v>716</v>
      </c>
      <c r="I215" s="53">
        <f t="shared" si="25"/>
        <v>0</v>
      </c>
      <c r="J215" s="5">
        <f t="shared" si="32"/>
        <v>45353</v>
      </c>
      <c r="K215" s="5" t="str">
        <f t="shared" si="26"/>
        <v xml:space="preserve">   TO TRANSFER-INB Payment towards loan repayment--</v>
      </c>
      <c r="L215" s="5" t="str">
        <f t="shared" si="27"/>
        <v xml:space="preserve">IIC5600418               TRANSFER TO 32718635441  </v>
      </c>
      <c r="M215" s="9">
        <f t="shared" si="28"/>
        <v>75000</v>
      </c>
      <c r="N215" s="9">
        <f t="shared" si="29"/>
        <v>0</v>
      </c>
      <c r="O215" s="9">
        <f t="shared" si="30"/>
        <v>67952.27</v>
      </c>
      <c r="P215" s="8" t="str">
        <f t="shared" si="31"/>
        <v>SBI 3479</v>
      </c>
    </row>
    <row r="216" spans="1:16" x14ac:dyDescent="0.3">
      <c r="A216" s="5">
        <v>45359</v>
      </c>
      <c r="B216" s="5">
        <v>45359</v>
      </c>
      <c r="C216" s="3" t="s">
        <v>267</v>
      </c>
      <c r="D216" s="3" t="s">
        <v>1021</v>
      </c>
      <c r="E216" s="3">
        <v>1367.65</v>
      </c>
      <c r="F216" s="3">
        <v>0</v>
      </c>
      <c r="G216" s="3">
        <v>66584.62</v>
      </c>
      <c r="H216" s="3" t="s">
        <v>716</v>
      </c>
      <c r="I216" s="53">
        <f t="shared" si="25"/>
        <v>0</v>
      </c>
      <c r="J216" s="5">
        <f t="shared" si="32"/>
        <v>45359</v>
      </c>
      <c r="K216" s="5" t="str">
        <f t="shared" si="26"/>
        <v xml:space="preserve">   TO TRANSFER-INB IRCTC-RAILWAY TICKET BOOK Railway Ticket Booki--</v>
      </c>
      <c r="L216" s="5" t="str">
        <f t="shared" si="27"/>
        <v>100004838759772IGAQYTYXO9               TRANSFER T</v>
      </c>
      <c r="M216" s="9">
        <f t="shared" si="28"/>
        <v>1367.65</v>
      </c>
      <c r="N216" s="9">
        <f t="shared" si="29"/>
        <v>0</v>
      </c>
      <c r="O216" s="9">
        <f t="shared" si="30"/>
        <v>66584.62</v>
      </c>
      <c r="P216" s="8" t="str">
        <f t="shared" si="31"/>
        <v>SBI 3479</v>
      </c>
    </row>
    <row r="217" spans="1:16" x14ac:dyDescent="0.3">
      <c r="A217" s="5">
        <v>45360</v>
      </c>
      <c r="B217" s="5">
        <v>45360</v>
      </c>
      <c r="C217" s="3" t="s">
        <v>1022</v>
      </c>
      <c r="D217" s="3" t="s">
        <v>1023</v>
      </c>
      <c r="E217" s="3">
        <v>0</v>
      </c>
      <c r="F217" s="3">
        <v>1355.85</v>
      </c>
      <c r="G217" s="3">
        <v>67940.47</v>
      </c>
      <c r="H217" s="3" t="s">
        <v>716</v>
      </c>
      <c r="I217" s="53">
        <f t="shared" si="25"/>
        <v>0</v>
      </c>
      <c r="J217" s="5">
        <f t="shared" si="32"/>
        <v>45360</v>
      </c>
      <c r="K217" s="5" t="str">
        <f t="shared" si="26"/>
        <v xml:space="preserve">   BY TRANSFER-INB Refund of IGAQYTYXO9---</v>
      </c>
      <c r="L217" s="5" t="str">
        <f t="shared" si="27"/>
        <v xml:space="preserve">1000048387597722000013872IXGBECLWD8               </v>
      </c>
      <c r="M217" s="9">
        <f t="shared" si="28"/>
        <v>0</v>
      </c>
      <c r="N217" s="9">
        <f t="shared" si="29"/>
        <v>1355.85</v>
      </c>
      <c r="O217" s="9">
        <f t="shared" si="30"/>
        <v>67940.47</v>
      </c>
      <c r="P217" s="8" t="str">
        <f t="shared" si="31"/>
        <v>SBI 3479</v>
      </c>
    </row>
    <row r="218" spans="1:16" x14ac:dyDescent="0.3">
      <c r="A218" s="5">
        <v>45361</v>
      </c>
      <c r="B218" s="5">
        <v>45361</v>
      </c>
      <c r="C218" s="3" t="s">
        <v>1024</v>
      </c>
      <c r="D218" s="3" t="s">
        <v>1025</v>
      </c>
      <c r="E218" s="3">
        <v>0</v>
      </c>
      <c r="F218" s="3">
        <v>11.8</v>
      </c>
      <c r="G218" s="3">
        <v>67952.27</v>
      </c>
      <c r="H218" s="3" t="s">
        <v>716</v>
      </c>
      <c r="I218" s="53">
        <f t="shared" si="25"/>
        <v>0</v>
      </c>
      <c r="J218" s="5">
        <f t="shared" si="32"/>
        <v>45361</v>
      </c>
      <c r="K218" s="5" t="str">
        <f t="shared" si="26"/>
        <v xml:space="preserve">   BY TRANSFER-INB Commission refund of IXGBECLWD8---</v>
      </c>
      <c r="L218" s="5" t="str">
        <f t="shared" si="27"/>
        <v>IXGBECLWD8IXGBECOPA7               TRANSFER FROM 3</v>
      </c>
      <c r="M218" s="9">
        <f t="shared" si="28"/>
        <v>0</v>
      </c>
      <c r="N218" s="9">
        <f t="shared" si="29"/>
        <v>11.8</v>
      </c>
      <c r="O218" s="9">
        <f t="shared" si="30"/>
        <v>67952.27</v>
      </c>
      <c r="P218" s="8" t="str">
        <f t="shared" si="31"/>
        <v>SBI 3479</v>
      </c>
    </row>
    <row r="219" spans="1:16" x14ac:dyDescent="0.3">
      <c r="A219" s="5">
        <v>45364</v>
      </c>
      <c r="B219" s="5">
        <v>45364</v>
      </c>
      <c r="C219" s="3" t="s">
        <v>1026</v>
      </c>
      <c r="D219" s="3" t="s">
        <v>1027</v>
      </c>
      <c r="E219" s="3">
        <v>134.94999999999999</v>
      </c>
      <c r="F219" s="3">
        <v>0</v>
      </c>
      <c r="G219" s="3">
        <v>67817.320000000007</v>
      </c>
      <c r="H219" s="3" t="s">
        <v>716</v>
      </c>
      <c r="I219" s="53">
        <f t="shared" si="25"/>
        <v>0</v>
      </c>
      <c r="J219" s="5">
        <f t="shared" si="32"/>
        <v>45364</v>
      </c>
      <c r="K219" s="5" t="str">
        <f t="shared" si="26"/>
        <v xml:space="preserve">   TO TRANSFER-INB IRCTC--</v>
      </c>
      <c r="L219" s="5" t="str">
        <f t="shared" si="27"/>
        <v>NliqGdm3nxV200IGAQZIAEE6               TRANSFER TO</v>
      </c>
      <c r="M219" s="9">
        <f t="shared" si="28"/>
        <v>134.94999999999999</v>
      </c>
      <c r="N219" s="9">
        <f t="shared" si="29"/>
        <v>0</v>
      </c>
      <c r="O219" s="9">
        <f t="shared" si="30"/>
        <v>67817.320000000007</v>
      </c>
      <c r="P219" s="8" t="str">
        <f t="shared" si="31"/>
        <v>SBI 3479</v>
      </c>
    </row>
    <row r="220" spans="1:16" x14ac:dyDescent="0.3">
      <c r="A220" s="5">
        <v>45364</v>
      </c>
      <c r="B220" s="5">
        <v>45364</v>
      </c>
      <c r="C220" s="3" t="s">
        <v>183</v>
      </c>
      <c r="D220" s="3" t="s">
        <v>1028</v>
      </c>
      <c r="E220" s="3">
        <v>0</v>
      </c>
      <c r="F220" s="3">
        <v>26405.25</v>
      </c>
      <c r="G220" s="3">
        <v>94222.57</v>
      </c>
      <c r="H220" s="3" t="s">
        <v>716</v>
      </c>
      <c r="I220" s="53">
        <f t="shared" si="25"/>
        <v>0</v>
      </c>
      <c r="J220" s="5">
        <f t="shared" si="32"/>
        <v>45364</v>
      </c>
      <c r="K220" s="5" t="str">
        <f t="shared" si="26"/>
        <v xml:space="preserve">   BY TRANSFER-INB -For 19260165--</v>
      </c>
      <c r="L220" s="5" t="str">
        <f t="shared" si="27"/>
        <v>6601742722CT00BZWGS8               TRANSFER FROM 4</v>
      </c>
      <c r="M220" s="9">
        <f t="shared" si="28"/>
        <v>0</v>
      </c>
      <c r="N220" s="9">
        <f t="shared" si="29"/>
        <v>26405.25</v>
      </c>
      <c r="O220" s="9">
        <f t="shared" si="30"/>
        <v>94222.57</v>
      </c>
      <c r="P220" s="8" t="str">
        <f t="shared" si="31"/>
        <v>SBI 3479</v>
      </c>
    </row>
    <row r="221" spans="1:16" x14ac:dyDescent="0.3">
      <c r="A221" s="5">
        <v>45365</v>
      </c>
      <c r="B221" s="5">
        <v>45365</v>
      </c>
      <c r="C221" s="3" t="s">
        <v>1029</v>
      </c>
      <c r="D221" s="3" t="s">
        <v>1030</v>
      </c>
      <c r="E221" s="3">
        <v>50000</v>
      </c>
      <c r="F221" s="3">
        <v>0</v>
      </c>
      <c r="G221" s="3">
        <v>44222.57</v>
      </c>
      <c r="H221" s="3" t="s">
        <v>716</v>
      </c>
      <c r="I221" s="53">
        <f t="shared" si="25"/>
        <v>0</v>
      </c>
      <c r="J221" s="5">
        <f t="shared" si="32"/>
        <v>45365</v>
      </c>
      <c r="K221" s="5" t="str">
        <f t="shared" si="26"/>
        <v xml:space="preserve">   TO TRANSFER-INB Borrow by Amit--</v>
      </c>
      <c r="L221" s="5" t="str">
        <f t="shared" si="27"/>
        <v xml:space="preserve">IHS0697511               TRANSFER TO 30783988618  </v>
      </c>
      <c r="M221" s="9">
        <f t="shared" si="28"/>
        <v>50000</v>
      </c>
      <c r="N221" s="9">
        <f t="shared" si="29"/>
        <v>0</v>
      </c>
      <c r="O221" s="9">
        <f t="shared" si="30"/>
        <v>44222.57</v>
      </c>
      <c r="P221" s="8" t="str">
        <f t="shared" si="31"/>
        <v>SBI 3479</v>
      </c>
    </row>
    <row r="222" spans="1:16" x14ac:dyDescent="0.3">
      <c r="A222" s="5">
        <v>45365</v>
      </c>
      <c r="B222" s="5">
        <v>45365</v>
      </c>
      <c r="C222" s="3" t="s">
        <v>194</v>
      </c>
      <c r="D222" s="3" t="s">
        <v>1031</v>
      </c>
      <c r="E222" s="3">
        <v>7220</v>
      </c>
      <c r="F222" s="3">
        <v>0</v>
      </c>
      <c r="G222" s="3">
        <v>37002.57</v>
      </c>
      <c r="H222" s="3" t="s">
        <v>716</v>
      </c>
      <c r="I222" s="53">
        <f t="shared" si="25"/>
        <v>0</v>
      </c>
      <c r="J222" s="5">
        <f t="shared" si="32"/>
        <v>45365</v>
      </c>
      <c r="K222" s="5" t="str">
        <f t="shared" si="26"/>
        <v xml:space="preserve">   TO TRANSFER-INB SBICARD FOR BILLDESK      SBICARD Payments--</v>
      </c>
      <c r="L222" s="5" t="str">
        <f t="shared" si="27"/>
        <v>YSBI2270443000IGAQZMNRI0               TRANSFER TO</v>
      </c>
      <c r="M222" s="9">
        <f t="shared" si="28"/>
        <v>7220</v>
      </c>
      <c r="N222" s="9">
        <f t="shared" si="29"/>
        <v>0</v>
      </c>
      <c r="O222" s="9">
        <f t="shared" si="30"/>
        <v>37002.57</v>
      </c>
      <c r="P222" s="8" t="str">
        <f t="shared" si="31"/>
        <v>SBI 3479</v>
      </c>
    </row>
    <row r="223" spans="1:16" x14ac:dyDescent="0.3">
      <c r="A223" s="5">
        <v>45371</v>
      </c>
      <c r="B223" s="5">
        <v>45371</v>
      </c>
      <c r="C223" s="3" t="s">
        <v>1032</v>
      </c>
      <c r="D223" s="3" t="s">
        <v>1033</v>
      </c>
      <c r="E223" s="3">
        <v>0</v>
      </c>
      <c r="F223" s="3">
        <v>1000</v>
      </c>
      <c r="G223" s="3">
        <v>38002.57</v>
      </c>
      <c r="H223" s="3" t="s">
        <v>716</v>
      </c>
      <c r="I223" s="53">
        <f t="shared" si="25"/>
        <v>0</v>
      </c>
      <c r="J223" s="5">
        <f t="shared" si="32"/>
        <v>45371</v>
      </c>
      <c r="K223" s="5" t="str">
        <f t="shared" si="26"/>
        <v xml:space="preserve">   BY TRANSFER-UPI/CR/408096320462/SHILPA A/SBIN/chandak.sh/Payme--</v>
      </c>
      <c r="L223" s="5" t="str">
        <f t="shared" si="27"/>
        <v>TRANSFER FROM 4897735162098</v>
      </c>
      <c r="M223" s="9">
        <f t="shared" si="28"/>
        <v>0</v>
      </c>
      <c r="N223" s="9">
        <f t="shared" si="29"/>
        <v>1000</v>
      </c>
      <c r="O223" s="9">
        <f t="shared" si="30"/>
        <v>38002.57</v>
      </c>
      <c r="P223" s="8" t="str">
        <f t="shared" si="31"/>
        <v>SBI 3479</v>
      </c>
    </row>
    <row r="224" spans="1:16" x14ac:dyDescent="0.3">
      <c r="A224" s="5">
        <v>45371</v>
      </c>
      <c r="B224" s="5">
        <v>45371</v>
      </c>
      <c r="C224" s="3" t="s">
        <v>1034</v>
      </c>
      <c r="D224" s="3" t="s">
        <v>1033</v>
      </c>
      <c r="E224" s="3">
        <v>0</v>
      </c>
      <c r="F224" s="3">
        <v>49000</v>
      </c>
      <c r="G224" s="3">
        <v>87002.57</v>
      </c>
      <c r="H224" s="3" t="s">
        <v>716</v>
      </c>
      <c r="I224" s="53">
        <f t="shared" si="25"/>
        <v>0</v>
      </c>
      <c r="J224" s="5">
        <f t="shared" si="32"/>
        <v>45371</v>
      </c>
      <c r="K224" s="5" t="str">
        <f t="shared" si="26"/>
        <v xml:space="preserve">   BY TRANSFER-UPI/CR/408079475322/SHILPA A/SBIN/chandak.sh/Payme--</v>
      </c>
      <c r="L224" s="5" t="str">
        <f t="shared" si="27"/>
        <v>TRANSFER FROM 4897735162098</v>
      </c>
      <c r="M224" s="9">
        <f t="shared" si="28"/>
        <v>0</v>
      </c>
      <c r="N224" s="9">
        <f t="shared" si="29"/>
        <v>49000</v>
      </c>
      <c r="O224" s="9">
        <f t="shared" si="30"/>
        <v>87002.57</v>
      </c>
      <c r="P224" s="8" t="str">
        <f t="shared" si="31"/>
        <v>SBI 3479</v>
      </c>
    </row>
    <row r="225" spans="1:16" x14ac:dyDescent="0.3">
      <c r="A225" s="5">
        <v>45373</v>
      </c>
      <c r="B225" s="5">
        <v>45373</v>
      </c>
      <c r="C225" s="3" t="s">
        <v>267</v>
      </c>
      <c r="D225" s="3" t="s">
        <v>1035</v>
      </c>
      <c r="E225" s="3">
        <v>1407.65</v>
      </c>
      <c r="F225" s="3">
        <v>0</v>
      </c>
      <c r="G225" s="3">
        <v>85594.92</v>
      </c>
      <c r="H225" s="3" t="s">
        <v>716</v>
      </c>
      <c r="I225" s="53">
        <f t="shared" si="25"/>
        <v>0</v>
      </c>
      <c r="J225" s="5">
        <f t="shared" si="32"/>
        <v>45373</v>
      </c>
      <c r="K225" s="5" t="str">
        <f t="shared" si="26"/>
        <v xml:space="preserve">   TO TRANSFER-INB IRCTC-RAILWAY TICKET BOOK Railway Ticket Booki--</v>
      </c>
      <c r="L225" s="5" t="str">
        <f t="shared" si="27"/>
        <v>100004868576473IGARAIUNL3               TRANSFER T</v>
      </c>
      <c r="M225" s="9">
        <f t="shared" si="28"/>
        <v>1407.65</v>
      </c>
      <c r="N225" s="9">
        <f t="shared" si="29"/>
        <v>0</v>
      </c>
      <c r="O225" s="9">
        <f t="shared" si="30"/>
        <v>85594.92</v>
      </c>
      <c r="P225" s="8" t="str">
        <f t="shared" si="31"/>
        <v>SBI 3479</v>
      </c>
    </row>
    <row r="226" spans="1:16" x14ac:dyDescent="0.3">
      <c r="A226" s="5">
        <v>45376</v>
      </c>
      <c r="B226" s="5">
        <v>45376</v>
      </c>
      <c r="C226" s="3" t="s">
        <v>187</v>
      </c>
      <c r="E226" s="3">
        <v>0</v>
      </c>
      <c r="F226" s="3">
        <v>405</v>
      </c>
      <c r="G226" s="3">
        <v>85999.92</v>
      </c>
      <c r="H226" s="3" t="s">
        <v>716</v>
      </c>
      <c r="I226" s="53">
        <f t="shared" si="25"/>
        <v>0</v>
      </c>
      <c r="J226" s="5">
        <f t="shared" si="32"/>
        <v>45376</v>
      </c>
      <c r="K226" s="5" t="str">
        <f t="shared" si="26"/>
        <v xml:space="preserve">   CREDIT INTEREST---</v>
      </c>
      <c r="L226" s="5">
        <f t="shared" si="27"/>
        <v>0</v>
      </c>
      <c r="M226" s="9">
        <f t="shared" si="28"/>
        <v>0</v>
      </c>
      <c r="N226" s="9">
        <f t="shared" si="29"/>
        <v>405</v>
      </c>
      <c r="O226" s="9">
        <f t="shared" si="30"/>
        <v>85999.92</v>
      </c>
      <c r="P226" s="8" t="str">
        <f t="shared" si="31"/>
        <v>SBI 3479</v>
      </c>
    </row>
    <row r="227" spans="1:16" x14ac:dyDescent="0.3">
      <c r="A227" s="5">
        <v>45377</v>
      </c>
      <c r="B227" s="5">
        <v>45377</v>
      </c>
      <c r="C227" s="3" t="s">
        <v>201</v>
      </c>
      <c r="D227" s="3" t="s">
        <v>200</v>
      </c>
      <c r="E227" s="3">
        <v>17296.64</v>
      </c>
      <c r="F227" s="3">
        <v>0</v>
      </c>
      <c r="G227" s="3">
        <v>68703.28</v>
      </c>
      <c r="H227" s="3" t="s">
        <v>716</v>
      </c>
      <c r="I227" s="53">
        <f t="shared" si="25"/>
        <v>0</v>
      </c>
      <c r="J227" s="5">
        <f t="shared" si="32"/>
        <v>45377</v>
      </c>
      <c r="K227" s="5" t="str">
        <f t="shared" si="26"/>
        <v xml:space="preserve">   TO TRANSFER-ForTrading--</v>
      </c>
      <c r="L227" s="5" t="str">
        <f t="shared" si="27"/>
        <v xml:space="preserve">TRANSFER TO 41128839515                           </v>
      </c>
      <c r="M227" s="9">
        <f t="shared" si="28"/>
        <v>17296.64</v>
      </c>
      <c r="N227" s="9">
        <f t="shared" si="29"/>
        <v>0</v>
      </c>
      <c r="O227" s="9">
        <f t="shared" si="30"/>
        <v>68703.28</v>
      </c>
      <c r="P227" s="8" t="str">
        <f t="shared" si="31"/>
        <v>SBI 3479</v>
      </c>
    </row>
  </sheetData>
  <autoFilter ref="A20:P227" xr:uid="{23045561-D6AC-452A-93DF-F36A1BFE21A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8FE32-C754-4622-B990-5FE2FE987A70}">
  <sheetPr filterMode="1"/>
  <dimension ref="A1:Q1632"/>
  <sheetViews>
    <sheetView workbookViewId="0">
      <selection activeCell="D277" sqref="D277"/>
    </sheetView>
  </sheetViews>
  <sheetFormatPr defaultRowHeight="13.2" x14ac:dyDescent="0.25"/>
  <cols>
    <col min="1" max="1" width="10.33203125" bestFit="1" customWidth="1"/>
    <col min="2" max="2" width="47.88671875" bestFit="1" customWidth="1"/>
    <col min="3" max="3" width="47.88671875" customWidth="1"/>
    <col min="4" max="5" width="14.6640625" bestFit="1" customWidth="1"/>
    <col min="6" max="6" width="13.88671875" bestFit="1" customWidth="1"/>
    <col min="7" max="7" width="12.5546875" bestFit="1" customWidth="1"/>
    <col min="8" max="8" width="9.77734375" bestFit="1" customWidth="1"/>
    <col min="12" max="12" width="18.109375" bestFit="1" customWidth="1"/>
    <col min="14" max="14" width="13.109375" bestFit="1" customWidth="1"/>
    <col min="15" max="15" width="19.5546875" bestFit="1" customWidth="1"/>
    <col min="16" max="16" width="11.109375" bestFit="1" customWidth="1"/>
    <col min="17" max="17" width="9.44140625" bestFit="1" customWidth="1"/>
  </cols>
  <sheetData>
    <row r="1" spans="1:17" x14ac:dyDescent="0.25">
      <c r="A1" s="12" t="s">
        <v>796</v>
      </c>
      <c r="D1">
        <f>'HDFC 5930'!D15</f>
        <v>7665777.5900000045</v>
      </c>
      <c r="E1">
        <f>'HDFC 5930'!E15</f>
        <v>7690470.0199999986</v>
      </c>
      <c r="L1" s="86" t="s">
        <v>748</v>
      </c>
      <c r="M1" s="86"/>
      <c r="N1" s="11" t="s">
        <v>750</v>
      </c>
      <c r="O1" s="11" t="s">
        <v>751</v>
      </c>
      <c r="P1" s="2" t="s">
        <v>750</v>
      </c>
    </row>
    <row r="2" spans="1:17" x14ac:dyDescent="0.25">
      <c r="A2" s="12" t="s">
        <v>1051</v>
      </c>
      <c r="D2" s="2">
        <f>SUBTOTAL(9,D4:D1632)</f>
        <v>80000</v>
      </c>
      <c r="E2" s="2">
        <f>SUBTOTAL(9,E4:E1632)</f>
        <v>0</v>
      </c>
      <c r="F2" s="2">
        <f>D2-E2</f>
        <v>80000</v>
      </c>
      <c r="L2" t="s">
        <v>738</v>
      </c>
      <c r="M2" s="11" t="s">
        <v>749</v>
      </c>
      <c r="N2" s="2">
        <v>129902</v>
      </c>
      <c r="O2" s="11" t="s">
        <v>752</v>
      </c>
      <c r="P2" s="2">
        <v>10663</v>
      </c>
    </row>
    <row r="3" spans="1:17" ht="14.4" x14ac:dyDescent="0.3">
      <c r="A3" s="3" t="s">
        <v>720</v>
      </c>
      <c r="B3" t="s">
        <v>721</v>
      </c>
      <c r="C3" s="3" t="s">
        <v>722</v>
      </c>
      <c r="D3" s="3" t="s">
        <v>17</v>
      </c>
      <c r="E3" t="s">
        <v>18</v>
      </c>
      <c r="F3" s="3" t="s">
        <v>329</v>
      </c>
      <c r="G3" t="s">
        <v>723</v>
      </c>
      <c r="H3" s="3" t="s">
        <v>717</v>
      </c>
      <c r="L3" t="s">
        <v>739</v>
      </c>
      <c r="M3" t="s">
        <v>744</v>
      </c>
      <c r="N3" s="2">
        <v>10726</v>
      </c>
      <c r="O3" s="11" t="s">
        <v>753</v>
      </c>
      <c r="P3" s="2">
        <v>200</v>
      </c>
    </row>
    <row r="4" spans="1:17" hidden="1" x14ac:dyDescent="0.25">
      <c r="A4" s="1">
        <v>45017</v>
      </c>
      <c r="B4" t="s">
        <v>181</v>
      </c>
      <c r="C4" t="s">
        <v>328</v>
      </c>
      <c r="D4" s="2">
        <v>0</v>
      </c>
      <c r="E4" s="2">
        <v>25000</v>
      </c>
      <c r="F4" s="2">
        <v>29724.400000000001</v>
      </c>
      <c r="G4" t="s">
        <v>724</v>
      </c>
      <c r="H4" t="s">
        <v>716</v>
      </c>
      <c r="L4" s="85" t="s">
        <v>740</v>
      </c>
      <c r="M4" t="s">
        <v>741</v>
      </c>
      <c r="N4" s="2">
        <v>822114</v>
      </c>
      <c r="O4" s="11" t="s">
        <v>754</v>
      </c>
      <c r="P4" s="2">
        <v>92321</v>
      </c>
    </row>
    <row r="5" spans="1:17" hidden="1" x14ac:dyDescent="0.25">
      <c r="A5" s="1">
        <v>45017</v>
      </c>
      <c r="B5" t="s">
        <v>197</v>
      </c>
      <c r="C5" t="s">
        <v>368</v>
      </c>
      <c r="D5" s="2">
        <v>25000</v>
      </c>
      <c r="E5" s="2">
        <v>0</v>
      </c>
      <c r="F5" s="2">
        <v>-332107.37</v>
      </c>
      <c r="G5" t="s">
        <v>724</v>
      </c>
      <c r="H5" t="s">
        <v>718</v>
      </c>
      <c r="L5" s="85"/>
      <c r="M5" t="s">
        <v>742</v>
      </c>
      <c r="N5" s="2">
        <v>210119</v>
      </c>
      <c r="O5" s="11" t="s">
        <v>755</v>
      </c>
      <c r="P5" s="2">
        <v>14429</v>
      </c>
    </row>
    <row r="6" spans="1:17" hidden="1" x14ac:dyDescent="0.25">
      <c r="A6" s="1">
        <v>45018</v>
      </c>
      <c r="B6" t="s">
        <v>20</v>
      </c>
      <c r="D6" s="2">
        <v>3400</v>
      </c>
      <c r="E6" s="2">
        <v>0</v>
      </c>
      <c r="F6" s="2">
        <v>184700.16</v>
      </c>
      <c r="G6" t="s">
        <v>733</v>
      </c>
      <c r="H6" t="s">
        <v>715</v>
      </c>
      <c r="L6" t="s">
        <v>743</v>
      </c>
      <c r="M6" t="s">
        <v>744</v>
      </c>
      <c r="N6" s="2">
        <v>416051</v>
      </c>
      <c r="O6" s="11" t="s">
        <v>756</v>
      </c>
      <c r="P6" s="2">
        <v>283333</v>
      </c>
    </row>
    <row r="7" spans="1:17" hidden="1" x14ac:dyDescent="0.25">
      <c r="A7" s="1">
        <v>45018</v>
      </c>
      <c r="B7" t="s">
        <v>21</v>
      </c>
      <c r="D7" s="2">
        <v>230</v>
      </c>
      <c r="E7" s="2">
        <v>0</v>
      </c>
      <c r="F7" s="2">
        <v>184470.16</v>
      </c>
      <c r="G7" t="s">
        <v>733</v>
      </c>
      <c r="H7" t="s">
        <v>715</v>
      </c>
      <c r="L7" t="s">
        <v>745</v>
      </c>
      <c r="M7" t="s">
        <v>746</v>
      </c>
      <c r="N7" s="2">
        <v>134178</v>
      </c>
      <c r="O7" s="11" t="s">
        <v>757</v>
      </c>
      <c r="P7" s="2">
        <v>4299</v>
      </c>
    </row>
    <row r="8" spans="1:17" hidden="1" x14ac:dyDescent="0.25">
      <c r="A8" s="1">
        <v>45018</v>
      </c>
      <c r="B8" t="s">
        <v>22</v>
      </c>
      <c r="D8" s="2">
        <v>416</v>
      </c>
      <c r="E8" s="2">
        <v>0</v>
      </c>
      <c r="F8" s="2">
        <v>184054.16</v>
      </c>
      <c r="G8" t="s">
        <v>733</v>
      </c>
      <c r="H8" t="s">
        <v>715</v>
      </c>
      <c r="L8" s="11" t="s">
        <v>747</v>
      </c>
      <c r="N8" s="2">
        <v>1589138</v>
      </c>
    </row>
    <row r="9" spans="1:17" hidden="1" x14ac:dyDescent="0.25">
      <c r="A9" s="1">
        <v>45018</v>
      </c>
      <c r="B9" t="s">
        <v>23</v>
      </c>
      <c r="D9" s="2">
        <v>100000</v>
      </c>
      <c r="E9" s="2">
        <v>0</v>
      </c>
      <c r="F9" s="2">
        <v>84054.16</v>
      </c>
      <c r="G9" t="s">
        <v>724</v>
      </c>
      <c r="H9" t="s">
        <v>715</v>
      </c>
      <c r="N9" s="10">
        <f>SUM(N2:N6)</f>
        <v>1588912</v>
      </c>
      <c r="P9" s="10">
        <f>SUM(P2:P8)</f>
        <v>405245</v>
      </c>
    </row>
    <row r="10" spans="1:17" hidden="1" x14ac:dyDescent="0.25">
      <c r="A10" s="1">
        <v>45018</v>
      </c>
      <c r="B10" t="s">
        <v>214</v>
      </c>
      <c r="C10" t="s">
        <v>206</v>
      </c>
      <c r="D10" s="2">
        <v>26595</v>
      </c>
      <c r="E10" s="2">
        <v>0</v>
      </c>
      <c r="F10" s="2">
        <v>3129.4</v>
      </c>
      <c r="G10" t="s">
        <v>724</v>
      </c>
      <c r="H10" t="s">
        <v>716</v>
      </c>
    </row>
    <row r="11" spans="1:17" hidden="1" x14ac:dyDescent="0.25">
      <c r="A11" s="1">
        <v>45018</v>
      </c>
      <c r="B11" t="s">
        <v>369</v>
      </c>
      <c r="C11" t="s">
        <v>370</v>
      </c>
      <c r="D11" s="2">
        <v>0</v>
      </c>
      <c r="E11" s="2">
        <v>100000</v>
      </c>
      <c r="F11" s="2">
        <v>-232107.37</v>
      </c>
      <c r="G11" t="s">
        <v>724</v>
      </c>
      <c r="H11" t="s">
        <v>718</v>
      </c>
      <c r="O11" s="11" t="s">
        <v>760</v>
      </c>
      <c r="P11" s="7">
        <v>328745</v>
      </c>
      <c r="Q11" s="7"/>
    </row>
    <row r="12" spans="1:17" hidden="1" x14ac:dyDescent="0.25">
      <c r="A12" s="1">
        <v>45018</v>
      </c>
      <c r="B12" t="s">
        <v>371</v>
      </c>
      <c r="C12" t="s">
        <v>372</v>
      </c>
      <c r="D12" s="2">
        <v>0</v>
      </c>
      <c r="E12" s="2">
        <v>26595</v>
      </c>
      <c r="F12" s="2">
        <v>-205512.37</v>
      </c>
      <c r="G12" t="s">
        <v>724</v>
      </c>
      <c r="H12" t="s">
        <v>718</v>
      </c>
      <c r="O12" s="11" t="s">
        <v>759</v>
      </c>
      <c r="P12" s="7">
        <f>N9-P9+P11</f>
        <v>1512412</v>
      </c>
    </row>
    <row r="13" spans="1:17" hidden="1" x14ac:dyDescent="0.25">
      <c r="A13" s="1">
        <v>45019</v>
      </c>
      <c r="B13" t="s">
        <v>472</v>
      </c>
      <c r="D13" s="2">
        <v>881.67</v>
      </c>
      <c r="E13" s="2">
        <v>0</v>
      </c>
      <c r="F13" s="2">
        <v>31526.84</v>
      </c>
      <c r="G13" t="s">
        <v>731</v>
      </c>
      <c r="H13" t="s">
        <v>719</v>
      </c>
      <c r="N13" t="s">
        <v>762</v>
      </c>
      <c r="O13" s="11" t="s">
        <v>758</v>
      </c>
      <c r="P13" s="2">
        <f>SUMIF($G:$G,N13,$E:$E)</f>
        <v>1512412</v>
      </c>
    </row>
    <row r="14" spans="1:17" hidden="1" x14ac:dyDescent="0.25">
      <c r="A14" s="1">
        <v>45019</v>
      </c>
      <c r="B14" t="s">
        <v>473</v>
      </c>
      <c r="D14" s="2">
        <v>0</v>
      </c>
      <c r="E14" s="2">
        <v>3799.47</v>
      </c>
      <c r="F14" s="2">
        <v>35326.31</v>
      </c>
      <c r="G14" t="s">
        <v>731</v>
      </c>
      <c r="H14" t="s">
        <v>719</v>
      </c>
      <c r="O14" s="11" t="s">
        <v>761</v>
      </c>
      <c r="P14" s="7">
        <f>P13-P12</f>
        <v>0</v>
      </c>
    </row>
    <row r="15" spans="1:17" hidden="1" x14ac:dyDescent="0.25">
      <c r="A15" s="1">
        <v>45020</v>
      </c>
      <c r="B15" t="s">
        <v>24</v>
      </c>
      <c r="D15" s="2">
        <v>115</v>
      </c>
      <c r="E15" s="2">
        <v>0</v>
      </c>
      <c r="F15" s="2">
        <v>83939.16</v>
      </c>
      <c r="G15" t="s">
        <v>733</v>
      </c>
      <c r="H15" t="s">
        <v>715</v>
      </c>
      <c r="N15" s="7"/>
    </row>
    <row r="16" spans="1:17" hidden="1" x14ac:dyDescent="0.25">
      <c r="A16" s="1">
        <v>45020</v>
      </c>
      <c r="B16" t="s">
        <v>474</v>
      </c>
      <c r="D16" s="2">
        <v>1500</v>
      </c>
      <c r="E16" s="2">
        <v>0</v>
      </c>
      <c r="F16" s="2">
        <v>33826.31</v>
      </c>
      <c r="G16" t="s">
        <v>725</v>
      </c>
      <c r="H16" t="s">
        <v>719</v>
      </c>
    </row>
    <row r="17" spans="1:8" hidden="1" x14ac:dyDescent="0.25">
      <c r="A17" s="1">
        <v>45020</v>
      </c>
      <c r="B17" t="s">
        <v>475</v>
      </c>
      <c r="D17" s="2">
        <v>2000</v>
      </c>
      <c r="E17" s="2">
        <v>0</v>
      </c>
      <c r="F17" s="2">
        <v>31826.31</v>
      </c>
      <c r="G17" t="s">
        <v>725</v>
      </c>
      <c r="H17" t="s">
        <v>719</v>
      </c>
    </row>
    <row r="18" spans="1:8" hidden="1" x14ac:dyDescent="0.25">
      <c r="A18" s="1">
        <v>45020</v>
      </c>
      <c r="B18" t="s">
        <v>476</v>
      </c>
      <c r="D18" s="2">
        <v>2000</v>
      </c>
      <c r="E18" s="2">
        <v>0</v>
      </c>
      <c r="F18" s="2">
        <v>29826.31</v>
      </c>
      <c r="G18" t="s">
        <v>725</v>
      </c>
      <c r="H18" t="s">
        <v>719</v>
      </c>
    </row>
    <row r="19" spans="1:8" hidden="1" x14ac:dyDescent="0.25">
      <c r="A19" s="1">
        <v>45021</v>
      </c>
      <c r="B19" t="s">
        <v>472</v>
      </c>
      <c r="D19" s="2">
        <v>591.52</v>
      </c>
      <c r="E19" s="2">
        <v>0</v>
      </c>
      <c r="F19" s="2">
        <v>29234.79</v>
      </c>
      <c r="G19" t="s">
        <v>731</v>
      </c>
      <c r="H19" t="s">
        <v>719</v>
      </c>
    </row>
    <row r="20" spans="1:8" hidden="1" x14ac:dyDescent="0.25">
      <c r="A20" s="1">
        <v>45021</v>
      </c>
      <c r="B20" t="s">
        <v>472</v>
      </c>
      <c r="D20" s="2">
        <v>15603.7</v>
      </c>
      <c r="E20" s="2">
        <v>0</v>
      </c>
      <c r="F20" s="2">
        <v>13631.09</v>
      </c>
      <c r="G20" t="s">
        <v>731</v>
      </c>
      <c r="H20" t="s">
        <v>719</v>
      </c>
    </row>
    <row r="21" spans="1:8" hidden="1" x14ac:dyDescent="0.25">
      <c r="A21" s="1">
        <v>45022</v>
      </c>
      <c r="B21" t="s">
        <v>473</v>
      </c>
      <c r="D21" s="2">
        <v>0</v>
      </c>
      <c r="E21" s="2">
        <v>7926.99</v>
      </c>
      <c r="F21" s="2">
        <v>21558.080000000002</v>
      </c>
      <c r="G21" t="s">
        <v>731</v>
      </c>
      <c r="H21" t="s">
        <v>719</v>
      </c>
    </row>
    <row r="22" spans="1:8" hidden="1" x14ac:dyDescent="0.25">
      <c r="A22" s="1">
        <v>45022</v>
      </c>
      <c r="B22" t="s">
        <v>472</v>
      </c>
      <c r="D22" s="2">
        <v>288.07</v>
      </c>
      <c r="E22" s="2">
        <v>0</v>
      </c>
      <c r="F22" s="2">
        <v>21270.01</v>
      </c>
      <c r="G22" t="s">
        <v>731</v>
      </c>
      <c r="H22" t="s">
        <v>719</v>
      </c>
    </row>
    <row r="23" spans="1:8" hidden="1" x14ac:dyDescent="0.25">
      <c r="A23" s="1">
        <v>45022</v>
      </c>
      <c r="B23" t="s">
        <v>473</v>
      </c>
      <c r="D23" s="2">
        <v>0</v>
      </c>
      <c r="E23" s="2">
        <v>661.41</v>
      </c>
      <c r="F23" s="2">
        <v>21931.42</v>
      </c>
      <c r="G23" t="s">
        <v>731</v>
      </c>
      <c r="H23" t="s">
        <v>719</v>
      </c>
    </row>
    <row r="24" spans="1:8" hidden="1" x14ac:dyDescent="0.25">
      <c r="A24" s="1">
        <v>45022</v>
      </c>
      <c r="B24" t="s">
        <v>183</v>
      </c>
      <c r="C24" t="s">
        <v>327</v>
      </c>
      <c r="D24" s="2">
        <v>0</v>
      </c>
      <c r="E24" s="2">
        <v>1664.77</v>
      </c>
      <c r="F24" s="2">
        <v>4794.17</v>
      </c>
      <c r="G24" s="55" t="s">
        <v>1052</v>
      </c>
      <c r="H24" t="s">
        <v>716</v>
      </c>
    </row>
    <row r="25" spans="1:8" hidden="1" x14ac:dyDescent="0.25">
      <c r="A25" s="1">
        <v>45023</v>
      </c>
      <c r="B25" t="s">
        <v>25</v>
      </c>
      <c r="D25" s="2">
        <v>10917.37</v>
      </c>
      <c r="E25" s="2">
        <v>0</v>
      </c>
      <c r="F25" s="2">
        <v>73021.789999999994</v>
      </c>
      <c r="G25" t="s">
        <v>794</v>
      </c>
      <c r="H25" t="s">
        <v>715</v>
      </c>
    </row>
    <row r="26" spans="1:8" hidden="1" x14ac:dyDescent="0.25">
      <c r="A26" s="1">
        <v>45024</v>
      </c>
      <c r="B26" t="s">
        <v>477</v>
      </c>
      <c r="D26" s="2">
        <v>2000</v>
      </c>
      <c r="E26" s="2">
        <v>0</v>
      </c>
      <c r="F26" s="2">
        <v>19931.419999999998</v>
      </c>
      <c r="G26" t="s">
        <v>725</v>
      </c>
      <c r="H26" t="s">
        <v>719</v>
      </c>
    </row>
    <row r="27" spans="1:8" hidden="1" x14ac:dyDescent="0.25">
      <c r="A27" s="1">
        <v>45024</v>
      </c>
      <c r="B27" t="s">
        <v>478</v>
      </c>
      <c r="D27" s="2">
        <v>2500</v>
      </c>
      <c r="E27" s="2">
        <v>0</v>
      </c>
      <c r="F27" s="2">
        <v>17431.419999999998</v>
      </c>
      <c r="G27" t="s">
        <v>725</v>
      </c>
      <c r="H27" t="s">
        <v>719</v>
      </c>
    </row>
    <row r="28" spans="1:8" hidden="1" x14ac:dyDescent="0.25">
      <c r="A28" s="1">
        <v>45026</v>
      </c>
      <c r="B28" t="s">
        <v>479</v>
      </c>
      <c r="D28" s="2">
        <v>4000</v>
      </c>
      <c r="E28" s="2">
        <v>0</v>
      </c>
      <c r="F28" s="2">
        <v>13431.42</v>
      </c>
      <c r="G28" t="s">
        <v>725</v>
      </c>
      <c r="H28" t="s">
        <v>719</v>
      </c>
    </row>
    <row r="29" spans="1:8" hidden="1" x14ac:dyDescent="0.25">
      <c r="A29" s="1">
        <v>45026</v>
      </c>
      <c r="B29" t="s">
        <v>480</v>
      </c>
      <c r="D29" s="2">
        <v>3000</v>
      </c>
      <c r="E29" s="2">
        <v>0</v>
      </c>
      <c r="F29" s="2">
        <v>10431.42</v>
      </c>
      <c r="G29" t="s">
        <v>725</v>
      </c>
      <c r="H29" t="s">
        <v>719</v>
      </c>
    </row>
    <row r="30" spans="1:8" hidden="1" x14ac:dyDescent="0.25">
      <c r="A30" s="1">
        <v>45026</v>
      </c>
      <c r="B30" t="s">
        <v>480</v>
      </c>
      <c r="D30" s="2">
        <v>3000</v>
      </c>
      <c r="E30" s="2">
        <v>0</v>
      </c>
      <c r="F30" s="2">
        <v>7431.42</v>
      </c>
      <c r="G30" t="s">
        <v>725</v>
      </c>
      <c r="H30" t="s">
        <v>719</v>
      </c>
    </row>
    <row r="31" spans="1:8" hidden="1" x14ac:dyDescent="0.25">
      <c r="A31" s="1">
        <v>45026</v>
      </c>
      <c r="B31" t="s">
        <v>473</v>
      </c>
      <c r="D31" s="2">
        <v>0</v>
      </c>
      <c r="E31" s="2">
        <v>19098.12</v>
      </c>
      <c r="F31" s="2">
        <v>26529.54</v>
      </c>
      <c r="G31" t="s">
        <v>731</v>
      </c>
      <c r="H31" t="s">
        <v>719</v>
      </c>
    </row>
    <row r="32" spans="1:8" hidden="1" x14ac:dyDescent="0.25">
      <c r="A32" s="1">
        <v>45026</v>
      </c>
      <c r="B32" t="s">
        <v>481</v>
      </c>
      <c r="D32" s="2">
        <v>0</v>
      </c>
      <c r="E32" s="2">
        <v>100</v>
      </c>
      <c r="F32" s="2">
        <v>26629.54</v>
      </c>
      <c r="G32" t="s">
        <v>736</v>
      </c>
      <c r="H32" t="s">
        <v>719</v>
      </c>
    </row>
    <row r="33" spans="1:8" hidden="1" x14ac:dyDescent="0.25">
      <c r="A33" s="1">
        <v>45026</v>
      </c>
      <c r="B33" t="s">
        <v>472</v>
      </c>
      <c r="D33" s="2">
        <v>1153.56</v>
      </c>
      <c r="E33" s="2">
        <v>0</v>
      </c>
      <c r="F33" s="2">
        <v>25475.98</v>
      </c>
      <c r="G33" t="s">
        <v>731</v>
      </c>
      <c r="H33" t="s">
        <v>719</v>
      </c>
    </row>
    <row r="34" spans="1:8" hidden="1" x14ac:dyDescent="0.25">
      <c r="A34" s="1">
        <v>45026</v>
      </c>
      <c r="B34" t="s">
        <v>472</v>
      </c>
      <c r="D34" s="2">
        <v>2752.88</v>
      </c>
      <c r="E34" s="2">
        <v>0</v>
      </c>
      <c r="F34" s="2">
        <v>22723.1</v>
      </c>
      <c r="G34" t="s">
        <v>731</v>
      </c>
      <c r="H34" t="s">
        <v>719</v>
      </c>
    </row>
    <row r="35" spans="1:8" hidden="1" x14ac:dyDescent="0.25">
      <c r="A35" s="1">
        <v>45026</v>
      </c>
      <c r="B35" t="s">
        <v>473</v>
      </c>
      <c r="D35" s="2">
        <v>0</v>
      </c>
      <c r="E35" s="2">
        <v>4701.4799999999996</v>
      </c>
      <c r="F35" s="2">
        <v>27424.58</v>
      </c>
      <c r="G35" t="s">
        <v>731</v>
      </c>
      <c r="H35" t="s">
        <v>719</v>
      </c>
    </row>
    <row r="36" spans="1:8" hidden="1" x14ac:dyDescent="0.25">
      <c r="A36" s="1">
        <v>45027</v>
      </c>
      <c r="B36" t="s">
        <v>472</v>
      </c>
      <c r="D36" s="2">
        <v>287.81</v>
      </c>
      <c r="E36" s="2">
        <v>0</v>
      </c>
      <c r="F36" s="2">
        <v>27136.77</v>
      </c>
      <c r="G36" t="s">
        <v>731</v>
      </c>
      <c r="H36" t="s">
        <v>719</v>
      </c>
    </row>
    <row r="37" spans="1:8" hidden="1" x14ac:dyDescent="0.25">
      <c r="A37" s="1">
        <v>45027</v>
      </c>
      <c r="B37" t="s">
        <v>473</v>
      </c>
      <c r="D37" s="2">
        <v>0</v>
      </c>
      <c r="E37" s="2">
        <v>1542.96</v>
      </c>
      <c r="F37" s="2">
        <v>28679.73</v>
      </c>
      <c r="G37" t="s">
        <v>731</v>
      </c>
      <c r="H37" t="s">
        <v>719</v>
      </c>
    </row>
    <row r="38" spans="1:8" hidden="1" x14ac:dyDescent="0.25">
      <c r="A38" s="1">
        <v>45027</v>
      </c>
      <c r="B38" t="s">
        <v>183</v>
      </c>
      <c r="C38" t="s">
        <v>326</v>
      </c>
      <c r="D38" s="2">
        <v>0</v>
      </c>
      <c r="E38" s="2">
        <v>290.27999999999997</v>
      </c>
      <c r="F38" s="2">
        <v>5084.45</v>
      </c>
      <c r="G38" s="55" t="s">
        <v>1052</v>
      </c>
      <c r="H38" t="s">
        <v>716</v>
      </c>
    </row>
    <row r="39" spans="1:8" hidden="1" x14ac:dyDescent="0.25">
      <c r="A39" s="1">
        <v>45027</v>
      </c>
      <c r="B39" t="s">
        <v>183</v>
      </c>
      <c r="C39" t="s">
        <v>325</v>
      </c>
      <c r="D39" s="2">
        <v>0</v>
      </c>
      <c r="E39" s="2">
        <v>173592.01</v>
      </c>
      <c r="F39" s="2">
        <v>178676.46</v>
      </c>
      <c r="G39" s="55" t="s">
        <v>1052</v>
      </c>
      <c r="H39" t="s">
        <v>716</v>
      </c>
    </row>
    <row r="40" spans="1:8" hidden="1" x14ac:dyDescent="0.25">
      <c r="A40" s="1">
        <v>45028</v>
      </c>
      <c r="B40" t="s">
        <v>472</v>
      </c>
      <c r="D40" s="2">
        <v>288.57</v>
      </c>
      <c r="E40" s="2">
        <v>0</v>
      </c>
      <c r="F40" s="2">
        <v>28391.16</v>
      </c>
      <c r="G40" t="s">
        <v>731</v>
      </c>
      <c r="H40" t="s">
        <v>719</v>
      </c>
    </row>
    <row r="41" spans="1:8" hidden="1" x14ac:dyDescent="0.25">
      <c r="A41" s="1">
        <v>45028</v>
      </c>
      <c r="B41" t="s">
        <v>473</v>
      </c>
      <c r="D41" s="2">
        <v>0</v>
      </c>
      <c r="E41" s="2">
        <v>6276.96</v>
      </c>
      <c r="F41" s="2">
        <v>34668.120000000003</v>
      </c>
      <c r="G41" t="s">
        <v>731</v>
      </c>
      <c r="H41" t="s">
        <v>719</v>
      </c>
    </row>
    <row r="42" spans="1:8" hidden="1" x14ac:dyDescent="0.25">
      <c r="A42" s="1">
        <v>45028</v>
      </c>
      <c r="B42" t="s">
        <v>324</v>
      </c>
      <c r="C42">
        <v>0</v>
      </c>
      <c r="D42" s="2">
        <v>0</v>
      </c>
      <c r="E42" s="2">
        <v>1200</v>
      </c>
      <c r="F42" s="2">
        <v>179876.46</v>
      </c>
      <c r="G42" t="s">
        <v>736</v>
      </c>
      <c r="H42" t="s">
        <v>716</v>
      </c>
    </row>
    <row r="43" spans="1:8" hidden="1" x14ac:dyDescent="0.25">
      <c r="A43" s="1">
        <v>45029</v>
      </c>
      <c r="B43" t="s">
        <v>482</v>
      </c>
      <c r="D43" s="2">
        <v>660.8</v>
      </c>
      <c r="E43" s="2">
        <v>0</v>
      </c>
      <c r="F43" s="2">
        <v>34007.32</v>
      </c>
      <c r="G43" t="s">
        <v>729</v>
      </c>
      <c r="H43" t="s">
        <v>719</v>
      </c>
    </row>
    <row r="44" spans="1:8" hidden="1" x14ac:dyDescent="0.25">
      <c r="A44" s="1">
        <v>45029</v>
      </c>
      <c r="B44" t="s">
        <v>472</v>
      </c>
      <c r="D44" s="2">
        <v>291.66000000000003</v>
      </c>
      <c r="E44" s="2">
        <v>0</v>
      </c>
      <c r="F44" s="2">
        <v>33715.660000000003</v>
      </c>
      <c r="G44" t="s">
        <v>731</v>
      </c>
      <c r="H44" t="s">
        <v>719</v>
      </c>
    </row>
    <row r="45" spans="1:8" hidden="1" x14ac:dyDescent="0.25">
      <c r="A45" s="1">
        <v>45029</v>
      </c>
      <c r="B45" t="s">
        <v>323</v>
      </c>
      <c r="C45" t="s">
        <v>206</v>
      </c>
      <c r="D45" s="2">
        <v>50000</v>
      </c>
      <c r="E45" s="2">
        <v>0</v>
      </c>
      <c r="F45" s="2">
        <v>129876.46</v>
      </c>
      <c r="G45" t="s">
        <v>724</v>
      </c>
      <c r="H45" t="s">
        <v>716</v>
      </c>
    </row>
    <row r="46" spans="1:8" hidden="1" x14ac:dyDescent="0.25">
      <c r="A46" s="1">
        <v>45029</v>
      </c>
      <c r="B46" t="s">
        <v>373</v>
      </c>
      <c r="C46" t="s">
        <v>372</v>
      </c>
      <c r="D46" s="2">
        <v>0</v>
      </c>
      <c r="E46" s="2">
        <v>50000</v>
      </c>
      <c r="F46" s="2">
        <v>-155512.37</v>
      </c>
      <c r="G46" t="s">
        <v>724</v>
      </c>
      <c r="H46" t="s">
        <v>718</v>
      </c>
    </row>
    <row r="47" spans="1:8" hidden="1" x14ac:dyDescent="0.25">
      <c r="A47" s="1">
        <v>45030</v>
      </c>
      <c r="B47" t="s">
        <v>472</v>
      </c>
      <c r="D47" s="2">
        <v>32591.86</v>
      </c>
      <c r="E47" s="2">
        <v>0</v>
      </c>
      <c r="F47" s="2">
        <v>1123.8</v>
      </c>
      <c r="G47" t="s">
        <v>731</v>
      </c>
      <c r="H47" t="s">
        <v>719</v>
      </c>
    </row>
    <row r="48" spans="1:8" hidden="1" x14ac:dyDescent="0.25">
      <c r="A48" s="1">
        <v>45030</v>
      </c>
      <c r="B48" t="s">
        <v>473</v>
      </c>
      <c r="D48" s="2">
        <v>0</v>
      </c>
      <c r="E48" s="2">
        <v>9620.14</v>
      </c>
      <c r="F48" s="2">
        <v>10743.94</v>
      </c>
      <c r="G48" t="s">
        <v>731</v>
      </c>
      <c r="H48" t="s">
        <v>719</v>
      </c>
    </row>
    <row r="49" spans="1:8" hidden="1" x14ac:dyDescent="0.25">
      <c r="A49" s="1">
        <v>45031</v>
      </c>
      <c r="B49" t="s">
        <v>194</v>
      </c>
      <c r="C49" t="s">
        <v>322</v>
      </c>
      <c r="D49" s="2">
        <v>4502</v>
      </c>
      <c r="E49" s="2">
        <v>0</v>
      </c>
      <c r="F49" s="2">
        <v>125374.46</v>
      </c>
      <c r="G49" t="s">
        <v>794</v>
      </c>
      <c r="H49" t="s">
        <v>716</v>
      </c>
    </row>
    <row r="50" spans="1:8" hidden="1" x14ac:dyDescent="0.25">
      <c r="A50" s="1">
        <v>45031</v>
      </c>
      <c r="B50" t="s">
        <v>197</v>
      </c>
      <c r="C50" t="s">
        <v>321</v>
      </c>
      <c r="D50" s="2">
        <v>100000</v>
      </c>
      <c r="E50" s="2">
        <v>0</v>
      </c>
      <c r="F50" s="2">
        <v>25374.46</v>
      </c>
      <c r="G50" t="s">
        <v>724</v>
      </c>
      <c r="H50" t="s">
        <v>716</v>
      </c>
    </row>
    <row r="51" spans="1:8" hidden="1" x14ac:dyDescent="0.25">
      <c r="A51" s="1">
        <v>45031</v>
      </c>
      <c r="B51" t="s">
        <v>181</v>
      </c>
      <c r="C51" t="s">
        <v>374</v>
      </c>
      <c r="D51" s="2">
        <v>0</v>
      </c>
      <c r="E51" s="2">
        <v>100000</v>
      </c>
      <c r="F51" s="2">
        <v>-55512.37</v>
      </c>
      <c r="G51" t="s">
        <v>724</v>
      </c>
      <c r="H51" t="s">
        <v>718</v>
      </c>
    </row>
    <row r="52" spans="1:8" hidden="1" x14ac:dyDescent="0.25">
      <c r="A52" s="1">
        <v>45033</v>
      </c>
      <c r="B52" t="s">
        <v>480</v>
      </c>
      <c r="D52" s="2">
        <v>3000</v>
      </c>
      <c r="E52" s="2">
        <v>0</v>
      </c>
      <c r="F52" s="2">
        <v>7743.94</v>
      </c>
      <c r="G52" t="s">
        <v>725</v>
      </c>
      <c r="H52" t="s">
        <v>719</v>
      </c>
    </row>
    <row r="53" spans="1:8" hidden="1" x14ac:dyDescent="0.25">
      <c r="A53" s="1">
        <v>45033</v>
      </c>
      <c r="B53" t="s">
        <v>483</v>
      </c>
      <c r="D53" s="2">
        <v>1500</v>
      </c>
      <c r="E53" s="2">
        <v>0</v>
      </c>
      <c r="F53" s="2">
        <v>6243.94</v>
      </c>
      <c r="G53" t="s">
        <v>725</v>
      </c>
      <c r="H53" t="s">
        <v>719</v>
      </c>
    </row>
    <row r="54" spans="1:8" hidden="1" x14ac:dyDescent="0.25">
      <c r="A54" s="1">
        <v>45033</v>
      </c>
      <c r="B54" t="s">
        <v>484</v>
      </c>
      <c r="D54" s="2">
        <v>2000</v>
      </c>
      <c r="E54" s="2">
        <v>0</v>
      </c>
      <c r="F54" s="2">
        <v>4243.9399999999996</v>
      </c>
      <c r="G54" t="s">
        <v>725</v>
      </c>
      <c r="H54" t="s">
        <v>719</v>
      </c>
    </row>
    <row r="55" spans="1:8" hidden="1" x14ac:dyDescent="0.25">
      <c r="A55" s="1">
        <v>45033</v>
      </c>
      <c r="B55" t="s">
        <v>485</v>
      </c>
      <c r="D55" s="2">
        <v>2000</v>
      </c>
      <c r="E55" s="2">
        <v>0</v>
      </c>
      <c r="F55" s="2">
        <v>2243.94</v>
      </c>
      <c r="G55" t="s">
        <v>725</v>
      </c>
      <c r="H55" t="s">
        <v>719</v>
      </c>
    </row>
    <row r="56" spans="1:8" hidden="1" x14ac:dyDescent="0.25">
      <c r="A56" s="1">
        <v>45033</v>
      </c>
      <c r="B56" t="s">
        <v>472</v>
      </c>
      <c r="D56" s="2">
        <v>1115</v>
      </c>
      <c r="E56" s="2">
        <v>0</v>
      </c>
      <c r="F56" s="2">
        <v>1128.94</v>
      </c>
      <c r="G56" t="s">
        <v>731</v>
      </c>
      <c r="H56" t="s">
        <v>719</v>
      </c>
    </row>
    <row r="57" spans="1:8" hidden="1" x14ac:dyDescent="0.25">
      <c r="A57" s="1">
        <v>45034</v>
      </c>
      <c r="B57" t="s">
        <v>26</v>
      </c>
      <c r="D57" s="2">
        <v>15000</v>
      </c>
      <c r="E57" s="2">
        <v>0</v>
      </c>
      <c r="F57" s="2">
        <v>58021.79</v>
      </c>
      <c r="G57" t="s">
        <v>792</v>
      </c>
      <c r="H57" t="s">
        <v>715</v>
      </c>
    </row>
    <row r="58" spans="1:8" hidden="1" x14ac:dyDescent="0.25">
      <c r="A58" s="1">
        <v>45034</v>
      </c>
      <c r="B58" t="s">
        <v>27</v>
      </c>
      <c r="D58" s="2">
        <v>20000</v>
      </c>
      <c r="E58" s="2">
        <v>0</v>
      </c>
      <c r="F58" s="2">
        <v>38021.79</v>
      </c>
      <c r="G58" t="s">
        <v>724</v>
      </c>
      <c r="H58" t="s">
        <v>715</v>
      </c>
    </row>
    <row r="59" spans="1:8" hidden="1" x14ac:dyDescent="0.25">
      <c r="A59" s="1">
        <v>45034</v>
      </c>
      <c r="B59" t="s">
        <v>28</v>
      </c>
      <c r="D59" s="2">
        <v>0</v>
      </c>
      <c r="E59" s="2">
        <v>20000</v>
      </c>
      <c r="F59" s="2">
        <v>58021.79</v>
      </c>
      <c r="G59" t="s">
        <v>724</v>
      </c>
      <c r="H59" t="s">
        <v>715</v>
      </c>
    </row>
    <row r="60" spans="1:8" hidden="1" x14ac:dyDescent="0.25">
      <c r="A60" s="1">
        <v>45034</v>
      </c>
      <c r="B60" t="s">
        <v>29</v>
      </c>
      <c r="D60" s="2">
        <v>10000</v>
      </c>
      <c r="E60" s="2">
        <v>0</v>
      </c>
      <c r="F60" s="2">
        <v>48021.79</v>
      </c>
      <c r="G60" t="s">
        <v>724</v>
      </c>
      <c r="H60" t="s">
        <v>715</v>
      </c>
    </row>
    <row r="61" spans="1:8" hidden="1" x14ac:dyDescent="0.25">
      <c r="A61" s="1">
        <v>45034</v>
      </c>
      <c r="B61" t="s">
        <v>30</v>
      </c>
      <c r="D61" s="2">
        <v>0</v>
      </c>
      <c r="E61" s="2">
        <v>10000</v>
      </c>
      <c r="F61" s="2">
        <v>58021.79</v>
      </c>
      <c r="G61" t="s">
        <v>724</v>
      </c>
      <c r="H61" t="s">
        <v>715</v>
      </c>
    </row>
    <row r="62" spans="1:8" hidden="1" x14ac:dyDescent="0.25">
      <c r="A62" s="1">
        <v>45034</v>
      </c>
      <c r="B62" t="s">
        <v>472</v>
      </c>
      <c r="D62" s="2">
        <v>774.94</v>
      </c>
      <c r="E62" s="2">
        <v>0</v>
      </c>
      <c r="F62" s="2">
        <v>354</v>
      </c>
      <c r="G62" t="s">
        <v>731</v>
      </c>
      <c r="H62" t="s">
        <v>719</v>
      </c>
    </row>
    <row r="63" spans="1:8" hidden="1" x14ac:dyDescent="0.25">
      <c r="A63" s="1">
        <v>45034</v>
      </c>
      <c r="B63" t="s">
        <v>473</v>
      </c>
      <c r="D63" s="2">
        <v>0</v>
      </c>
      <c r="E63" s="2">
        <v>9335.99</v>
      </c>
      <c r="F63" s="2">
        <v>9689.99</v>
      </c>
      <c r="G63" t="s">
        <v>731</v>
      </c>
      <c r="H63" t="s">
        <v>719</v>
      </c>
    </row>
    <row r="64" spans="1:8" hidden="1" x14ac:dyDescent="0.25">
      <c r="A64" s="1">
        <v>45034</v>
      </c>
      <c r="B64" t="s">
        <v>486</v>
      </c>
      <c r="D64" s="2">
        <v>0</v>
      </c>
      <c r="E64" s="2">
        <v>25000</v>
      </c>
      <c r="F64" s="2">
        <v>34689.99</v>
      </c>
      <c r="G64" t="s">
        <v>764</v>
      </c>
      <c r="H64" t="s">
        <v>719</v>
      </c>
    </row>
    <row r="65" spans="1:8" hidden="1" x14ac:dyDescent="0.25">
      <c r="A65" s="1">
        <v>45034</v>
      </c>
      <c r="B65" t="s">
        <v>472</v>
      </c>
      <c r="D65" s="2">
        <v>322.54000000000002</v>
      </c>
      <c r="E65" s="2">
        <v>0</v>
      </c>
      <c r="F65" s="2">
        <v>34367.449999999997</v>
      </c>
      <c r="G65" t="s">
        <v>731</v>
      </c>
      <c r="H65" t="s">
        <v>719</v>
      </c>
    </row>
    <row r="66" spans="1:8" hidden="1" x14ac:dyDescent="0.25">
      <c r="A66" s="1">
        <v>45034</v>
      </c>
      <c r="B66" t="s">
        <v>473</v>
      </c>
      <c r="D66" s="2">
        <v>0</v>
      </c>
      <c r="E66" s="2">
        <v>2480.71</v>
      </c>
      <c r="F66" s="2">
        <v>36848.160000000003</v>
      </c>
      <c r="G66" t="s">
        <v>731</v>
      </c>
      <c r="H66" t="s">
        <v>719</v>
      </c>
    </row>
    <row r="67" spans="1:8" hidden="1" x14ac:dyDescent="0.25">
      <c r="A67" s="1">
        <v>45035</v>
      </c>
      <c r="B67" t="s">
        <v>473</v>
      </c>
      <c r="D67" s="2">
        <v>0</v>
      </c>
      <c r="E67" s="2">
        <v>13964.24</v>
      </c>
      <c r="F67" s="2">
        <v>50812.4</v>
      </c>
      <c r="G67" t="s">
        <v>731</v>
      </c>
      <c r="H67" t="s">
        <v>719</v>
      </c>
    </row>
    <row r="68" spans="1:8" hidden="1" x14ac:dyDescent="0.25">
      <c r="A68" s="1">
        <v>45035</v>
      </c>
      <c r="B68" t="s">
        <v>472</v>
      </c>
      <c r="D68" s="2">
        <v>317.08</v>
      </c>
      <c r="E68" s="2">
        <v>0</v>
      </c>
      <c r="F68" s="2">
        <v>50495.32</v>
      </c>
      <c r="G68" t="s">
        <v>731</v>
      </c>
      <c r="H68" t="s">
        <v>719</v>
      </c>
    </row>
    <row r="69" spans="1:8" hidden="1" x14ac:dyDescent="0.25">
      <c r="A69" s="1">
        <v>45035</v>
      </c>
      <c r="B69" t="s">
        <v>472</v>
      </c>
      <c r="D69" s="2">
        <v>2092.4</v>
      </c>
      <c r="E69" s="2">
        <v>0</v>
      </c>
      <c r="F69" s="2">
        <v>48402.92</v>
      </c>
      <c r="G69" t="s">
        <v>731</v>
      </c>
      <c r="H69" t="s">
        <v>719</v>
      </c>
    </row>
    <row r="70" spans="1:8" hidden="1" x14ac:dyDescent="0.25">
      <c r="A70" s="1">
        <v>45035</v>
      </c>
      <c r="B70" t="s">
        <v>183</v>
      </c>
      <c r="C70" t="s">
        <v>320</v>
      </c>
      <c r="D70" s="2">
        <v>0</v>
      </c>
      <c r="E70" s="2">
        <v>3231.91</v>
      </c>
      <c r="F70" s="2">
        <v>28606.37</v>
      </c>
      <c r="G70" s="55" t="s">
        <v>1052</v>
      </c>
      <c r="H70" t="s">
        <v>716</v>
      </c>
    </row>
    <row r="71" spans="1:8" hidden="1" x14ac:dyDescent="0.25">
      <c r="A71" s="1">
        <v>45036</v>
      </c>
      <c r="B71" t="s">
        <v>31</v>
      </c>
      <c r="D71" s="2">
        <v>3450</v>
      </c>
      <c r="E71" s="2">
        <v>0</v>
      </c>
      <c r="F71" s="2">
        <v>54571.79</v>
      </c>
      <c r="G71" t="s">
        <v>792</v>
      </c>
      <c r="H71" t="s">
        <v>715</v>
      </c>
    </row>
    <row r="72" spans="1:8" hidden="1" x14ac:dyDescent="0.25">
      <c r="A72" s="1">
        <v>45036</v>
      </c>
      <c r="B72" t="s">
        <v>473</v>
      </c>
      <c r="D72" s="2">
        <v>0</v>
      </c>
      <c r="E72" s="2">
        <v>7676.51</v>
      </c>
      <c r="F72" s="2">
        <v>56079.43</v>
      </c>
      <c r="G72" t="s">
        <v>731</v>
      </c>
      <c r="H72" t="s">
        <v>719</v>
      </c>
    </row>
    <row r="73" spans="1:8" hidden="1" x14ac:dyDescent="0.25">
      <c r="A73" s="1">
        <v>45036</v>
      </c>
      <c r="B73" t="s">
        <v>472</v>
      </c>
      <c r="D73" s="2">
        <v>316.05</v>
      </c>
      <c r="E73" s="2">
        <v>0</v>
      </c>
      <c r="F73" s="2">
        <v>55763.38</v>
      </c>
      <c r="G73" t="s">
        <v>731</v>
      </c>
      <c r="H73" t="s">
        <v>719</v>
      </c>
    </row>
    <row r="74" spans="1:8" hidden="1" x14ac:dyDescent="0.25">
      <c r="A74" s="1">
        <v>45036</v>
      </c>
      <c r="B74" t="s">
        <v>472</v>
      </c>
      <c r="D74" s="2">
        <v>3812.7</v>
      </c>
      <c r="E74" s="2">
        <v>0</v>
      </c>
      <c r="F74" s="2">
        <v>51950.68</v>
      </c>
      <c r="G74" t="s">
        <v>731</v>
      </c>
      <c r="H74" t="s">
        <v>719</v>
      </c>
    </row>
    <row r="75" spans="1:8" hidden="1" x14ac:dyDescent="0.25">
      <c r="A75" s="1">
        <v>45036</v>
      </c>
      <c r="B75" t="s">
        <v>473</v>
      </c>
      <c r="D75" s="2">
        <v>0</v>
      </c>
      <c r="E75" s="2">
        <v>65.680000000000007</v>
      </c>
      <c r="F75" s="2">
        <v>52016.36</v>
      </c>
      <c r="G75" t="s">
        <v>731</v>
      </c>
      <c r="H75" t="s">
        <v>719</v>
      </c>
    </row>
    <row r="76" spans="1:8" hidden="1" x14ac:dyDescent="0.25">
      <c r="A76" s="1">
        <v>45036</v>
      </c>
      <c r="B76" t="s">
        <v>183</v>
      </c>
      <c r="C76" t="s">
        <v>319</v>
      </c>
      <c r="D76" s="2">
        <v>0</v>
      </c>
      <c r="E76" s="2">
        <v>15083.73</v>
      </c>
      <c r="F76" s="2">
        <v>43690.1</v>
      </c>
      <c r="G76" s="55" t="s">
        <v>1052</v>
      </c>
      <c r="H76" t="s">
        <v>716</v>
      </c>
    </row>
    <row r="77" spans="1:8" hidden="1" x14ac:dyDescent="0.25">
      <c r="A77" s="1">
        <v>45037</v>
      </c>
      <c r="B77" t="s">
        <v>480</v>
      </c>
      <c r="D77" s="2">
        <v>3000</v>
      </c>
      <c r="E77" s="2">
        <v>0</v>
      </c>
      <c r="F77" s="2">
        <v>49016.36</v>
      </c>
      <c r="G77" t="s">
        <v>725</v>
      </c>
      <c r="H77" t="s">
        <v>719</v>
      </c>
    </row>
    <row r="78" spans="1:8" hidden="1" x14ac:dyDescent="0.25">
      <c r="A78" s="1">
        <v>45037</v>
      </c>
      <c r="B78" t="s">
        <v>487</v>
      </c>
      <c r="D78" s="2">
        <v>2000</v>
      </c>
      <c r="E78" s="2">
        <v>0</v>
      </c>
      <c r="F78" s="2">
        <v>47016.36</v>
      </c>
      <c r="G78" t="s">
        <v>725</v>
      </c>
      <c r="H78" t="s">
        <v>719</v>
      </c>
    </row>
    <row r="79" spans="1:8" hidden="1" x14ac:dyDescent="0.25">
      <c r="A79" s="1">
        <v>45037</v>
      </c>
      <c r="B79" t="s">
        <v>488</v>
      </c>
      <c r="D79" s="2">
        <v>2500</v>
      </c>
      <c r="E79" s="2">
        <v>0</v>
      </c>
      <c r="F79" s="2">
        <v>44516.36</v>
      </c>
      <c r="G79" t="s">
        <v>725</v>
      </c>
      <c r="H79" t="s">
        <v>719</v>
      </c>
    </row>
    <row r="80" spans="1:8" hidden="1" x14ac:dyDescent="0.25">
      <c r="A80" s="1">
        <v>45037</v>
      </c>
      <c r="B80" t="s">
        <v>472</v>
      </c>
      <c r="D80" s="2">
        <v>314.17</v>
      </c>
      <c r="E80" s="2">
        <v>0</v>
      </c>
      <c r="F80" s="2">
        <v>44202.19</v>
      </c>
      <c r="G80" t="s">
        <v>731</v>
      </c>
      <c r="H80" t="s">
        <v>719</v>
      </c>
    </row>
    <row r="81" spans="1:8" hidden="1" x14ac:dyDescent="0.25">
      <c r="A81" s="1">
        <v>45037</v>
      </c>
      <c r="B81" t="s">
        <v>472</v>
      </c>
      <c r="D81" s="2">
        <v>11742.09</v>
      </c>
      <c r="E81" s="2">
        <v>0</v>
      </c>
      <c r="F81" s="2">
        <v>32460.1</v>
      </c>
      <c r="G81" t="s">
        <v>731</v>
      </c>
      <c r="H81" t="s">
        <v>719</v>
      </c>
    </row>
    <row r="82" spans="1:8" hidden="1" x14ac:dyDescent="0.25">
      <c r="A82" s="1">
        <v>45037</v>
      </c>
      <c r="B82" t="s">
        <v>473</v>
      </c>
      <c r="D82" s="2">
        <v>0</v>
      </c>
      <c r="E82" s="2">
        <v>8132.17</v>
      </c>
      <c r="F82" s="2">
        <v>40592.269999999997</v>
      </c>
      <c r="G82" t="s">
        <v>731</v>
      </c>
      <c r="H82" t="s">
        <v>719</v>
      </c>
    </row>
    <row r="83" spans="1:8" hidden="1" x14ac:dyDescent="0.25">
      <c r="A83" s="1">
        <v>45038</v>
      </c>
      <c r="B83" t="s">
        <v>32</v>
      </c>
      <c r="D83" s="2">
        <v>20000</v>
      </c>
      <c r="E83" s="2">
        <v>0</v>
      </c>
      <c r="F83" s="2">
        <v>34571.79</v>
      </c>
      <c r="G83" t="s">
        <v>734</v>
      </c>
      <c r="H83" t="s">
        <v>715</v>
      </c>
    </row>
    <row r="84" spans="1:8" hidden="1" x14ac:dyDescent="0.25">
      <c r="A84" s="1">
        <v>45038</v>
      </c>
      <c r="B84" t="s">
        <v>33</v>
      </c>
      <c r="D84" s="2">
        <v>104.5</v>
      </c>
      <c r="E84" s="2">
        <v>0</v>
      </c>
      <c r="F84" s="2">
        <v>34467.29</v>
      </c>
      <c r="G84" t="s">
        <v>792</v>
      </c>
      <c r="H84" t="s">
        <v>715</v>
      </c>
    </row>
    <row r="85" spans="1:8" hidden="1" x14ac:dyDescent="0.25">
      <c r="A85" s="1">
        <v>45039</v>
      </c>
      <c r="B85" t="s">
        <v>181</v>
      </c>
      <c r="C85" t="s">
        <v>318</v>
      </c>
      <c r="D85" s="2">
        <v>0</v>
      </c>
      <c r="E85" s="2">
        <v>35000</v>
      </c>
      <c r="F85" s="2">
        <v>78690.100000000006</v>
      </c>
      <c r="G85" t="s">
        <v>724</v>
      </c>
      <c r="H85" t="s">
        <v>716</v>
      </c>
    </row>
    <row r="86" spans="1:8" hidden="1" x14ac:dyDescent="0.25">
      <c r="A86" s="1">
        <v>45039</v>
      </c>
      <c r="B86" t="s">
        <v>197</v>
      </c>
      <c r="C86" t="s">
        <v>317</v>
      </c>
      <c r="D86" s="2">
        <v>70000</v>
      </c>
      <c r="E86" s="2">
        <v>0</v>
      </c>
      <c r="F86" s="2">
        <v>8690.1</v>
      </c>
      <c r="G86" t="s">
        <v>724</v>
      </c>
      <c r="H86" t="s">
        <v>716</v>
      </c>
    </row>
    <row r="87" spans="1:8" hidden="1" x14ac:dyDescent="0.25">
      <c r="A87" s="1">
        <v>45039</v>
      </c>
      <c r="B87" t="s">
        <v>197</v>
      </c>
      <c r="C87" t="s">
        <v>375</v>
      </c>
      <c r="D87" s="2">
        <v>35000</v>
      </c>
      <c r="E87" s="2">
        <v>0</v>
      </c>
      <c r="F87" s="2">
        <v>-90512.37</v>
      </c>
      <c r="G87" t="s">
        <v>724</v>
      </c>
      <c r="H87" t="s">
        <v>718</v>
      </c>
    </row>
    <row r="88" spans="1:8" hidden="1" x14ac:dyDescent="0.25">
      <c r="A88" s="1">
        <v>45039</v>
      </c>
      <c r="B88" t="s">
        <v>181</v>
      </c>
      <c r="C88" t="s">
        <v>376</v>
      </c>
      <c r="D88" s="2">
        <v>0</v>
      </c>
      <c r="E88" s="2">
        <v>70000</v>
      </c>
      <c r="F88" s="2">
        <v>-20512.37</v>
      </c>
      <c r="G88" t="s">
        <v>724</v>
      </c>
      <c r="H88" t="s">
        <v>718</v>
      </c>
    </row>
    <row r="89" spans="1:8" hidden="1" x14ac:dyDescent="0.25">
      <c r="A89" s="1">
        <v>45040</v>
      </c>
      <c r="B89" t="s">
        <v>34</v>
      </c>
      <c r="D89" s="2">
        <v>1670</v>
      </c>
      <c r="E89" s="2">
        <v>0</v>
      </c>
      <c r="F89" s="2">
        <v>32797.29</v>
      </c>
      <c r="G89" t="s">
        <v>793</v>
      </c>
      <c r="H89" t="s">
        <v>715</v>
      </c>
    </row>
    <row r="90" spans="1:8" hidden="1" x14ac:dyDescent="0.25">
      <c r="A90" s="1">
        <v>45040</v>
      </c>
      <c r="B90" t="s">
        <v>489</v>
      </c>
      <c r="D90" s="2">
        <v>5000</v>
      </c>
      <c r="E90" s="2">
        <v>0</v>
      </c>
      <c r="F90" s="2">
        <v>35592.269999999997</v>
      </c>
      <c r="G90" t="s">
        <v>728</v>
      </c>
      <c r="H90" t="s">
        <v>719</v>
      </c>
    </row>
    <row r="91" spans="1:8" hidden="1" x14ac:dyDescent="0.25">
      <c r="A91" s="1">
        <v>45040</v>
      </c>
      <c r="B91" t="s">
        <v>472</v>
      </c>
      <c r="D91" s="2">
        <v>925.14</v>
      </c>
      <c r="E91" s="2">
        <v>0</v>
      </c>
      <c r="F91" s="2">
        <v>34667.129999999997</v>
      </c>
      <c r="G91" t="s">
        <v>731</v>
      </c>
      <c r="H91" t="s">
        <v>719</v>
      </c>
    </row>
    <row r="92" spans="1:8" hidden="1" x14ac:dyDescent="0.25">
      <c r="A92" s="1">
        <v>45040</v>
      </c>
      <c r="B92" t="s">
        <v>472</v>
      </c>
      <c r="D92" s="2">
        <v>244.28</v>
      </c>
      <c r="E92" s="2">
        <v>0</v>
      </c>
      <c r="F92" s="2">
        <v>34422.85</v>
      </c>
      <c r="G92" t="s">
        <v>731</v>
      </c>
      <c r="H92" t="s">
        <v>719</v>
      </c>
    </row>
    <row r="93" spans="1:8" hidden="1" x14ac:dyDescent="0.25">
      <c r="A93" s="1">
        <v>45040</v>
      </c>
      <c r="B93" t="s">
        <v>473</v>
      </c>
      <c r="D93" s="2">
        <v>0</v>
      </c>
      <c r="E93" s="2">
        <v>6888.24</v>
      </c>
      <c r="F93" s="2">
        <v>41311.089999999997</v>
      </c>
      <c r="G93" t="s">
        <v>731</v>
      </c>
      <c r="H93" t="s">
        <v>719</v>
      </c>
    </row>
    <row r="94" spans="1:8" hidden="1" x14ac:dyDescent="0.25">
      <c r="A94" s="1">
        <v>45041</v>
      </c>
      <c r="B94" t="s">
        <v>35</v>
      </c>
      <c r="D94" s="2">
        <v>0</v>
      </c>
      <c r="E94" s="2">
        <v>5000</v>
      </c>
      <c r="F94" s="2">
        <v>37797.29</v>
      </c>
      <c r="G94" t="s">
        <v>727</v>
      </c>
      <c r="H94" t="s">
        <v>715</v>
      </c>
    </row>
    <row r="95" spans="1:8" hidden="1" x14ac:dyDescent="0.25">
      <c r="A95" s="1">
        <v>45041</v>
      </c>
      <c r="B95" t="s">
        <v>36</v>
      </c>
      <c r="D95" s="2">
        <v>6000</v>
      </c>
      <c r="E95" s="2">
        <v>0</v>
      </c>
      <c r="F95" s="2">
        <v>31797.29</v>
      </c>
      <c r="G95" t="s">
        <v>792</v>
      </c>
      <c r="H95" t="s">
        <v>715</v>
      </c>
    </row>
    <row r="96" spans="1:8" hidden="1" x14ac:dyDescent="0.25">
      <c r="A96" s="1">
        <v>45041</v>
      </c>
      <c r="B96" t="s">
        <v>490</v>
      </c>
      <c r="D96" s="2">
        <v>3000</v>
      </c>
      <c r="E96" s="2">
        <v>0</v>
      </c>
      <c r="F96" s="2">
        <v>38311.089999999997</v>
      </c>
      <c r="G96" t="s">
        <v>725</v>
      </c>
      <c r="H96" t="s">
        <v>719</v>
      </c>
    </row>
    <row r="97" spans="1:8" hidden="1" x14ac:dyDescent="0.25">
      <c r="A97" s="1">
        <v>45041</v>
      </c>
      <c r="B97" t="s">
        <v>473</v>
      </c>
      <c r="D97" s="2">
        <v>0</v>
      </c>
      <c r="E97" s="2">
        <v>3690.26</v>
      </c>
      <c r="F97" s="2">
        <v>42001.35</v>
      </c>
      <c r="G97" t="s">
        <v>731</v>
      </c>
      <c r="H97" t="s">
        <v>719</v>
      </c>
    </row>
    <row r="98" spans="1:8" hidden="1" x14ac:dyDescent="0.25">
      <c r="A98" s="1">
        <v>45041</v>
      </c>
      <c r="B98" t="s">
        <v>473</v>
      </c>
      <c r="D98" s="2">
        <v>0</v>
      </c>
      <c r="E98" s="2">
        <v>7612.22</v>
      </c>
      <c r="F98" s="2">
        <v>49613.57</v>
      </c>
      <c r="G98" t="s">
        <v>731</v>
      </c>
      <c r="H98" t="s">
        <v>719</v>
      </c>
    </row>
    <row r="99" spans="1:8" hidden="1" x14ac:dyDescent="0.25">
      <c r="A99" s="1">
        <v>45041</v>
      </c>
      <c r="B99" t="s">
        <v>316</v>
      </c>
      <c r="C99">
        <v>0</v>
      </c>
      <c r="D99" s="2">
        <v>0</v>
      </c>
      <c r="E99" s="2">
        <v>300</v>
      </c>
      <c r="F99" s="2">
        <v>8990.1</v>
      </c>
      <c r="G99" t="s">
        <v>736</v>
      </c>
      <c r="H99" t="s">
        <v>716</v>
      </c>
    </row>
    <row r="100" spans="1:8" hidden="1" x14ac:dyDescent="0.25">
      <c r="A100" s="1">
        <v>45042</v>
      </c>
      <c r="B100" t="s">
        <v>491</v>
      </c>
      <c r="D100" s="2">
        <v>590</v>
      </c>
      <c r="E100" s="2">
        <v>0</v>
      </c>
      <c r="F100" s="2">
        <v>49023.57</v>
      </c>
      <c r="G100" t="s">
        <v>729</v>
      </c>
      <c r="H100" t="s">
        <v>719</v>
      </c>
    </row>
    <row r="101" spans="1:8" hidden="1" x14ac:dyDescent="0.25">
      <c r="A101" s="1">
        <v>45042</v>
      </c>
      <c r="B101" t="s">
        <v>492</v>
      </c>
      <c r="D101" s="2">
        <v>649</v>
      </c>
      <c r="E101" s="2">
        <v>0</v>
      </c>
      <c r="F101" s="2">
        <v>48374.57</v>
      </c>
      <c r="G101" t="s">
        <v>729</v>
      </c>
      <c r="H101" t="s">
        <v>719</v>
      </c>
    </row>
    <row r="102" spans="1:8" hidden="1" x14ac:dyDescent="0.25">
      <c r="A102" s="1">
        <v>45042</v>
      </c>
      <c r="B102" t="s">
        <v>493</v>
      </c>
      <c r="D102" s="2">
        <v>531</v>
      </c>
      <c r="E102" s="2">
        <v>0</v>
      </c>
      <c r="F102" s="2">
        <v>47843.57</v>
      </c>
      <c r="G102" t="s">
        <v>729</v>
      </c>
      <c r="H102" t="s">
        <v>719</v>
      </c>
    </row>
    <row r="103" spans="1:8" hidden="1" x14ac:dyDescent="0.25">
      <c r="A103" s="1">
        <v>45042</v>
      </c>
      <c r="B103" t="s">
        <v>472</v>
      </c>
      <c r="D103" s="2">
        <v>17070.22</v>
      </c>
      <c r="E103" s="2">
        <v>0</v>
      </c>
      <c r="F103" s="2">
        <v>30773.35</v>
      </c>
      <c r="G103" t="s">
        <v>731</v>
      </c>
      <c r="H103" t="s">
        <v>719</v>
      </c>
    </row>
    <row r="104" spans="1:8" hidden="1" x14ac:dyDescent="0.25">
      <c r="A104" s="1">
        <v>45042</v>
      </c>
      <c r="B104" t="s">
        <v>234</v>
      </c>
      <c r="C104" t="s">
        <v>315</v>
      </c>
      <c r="D104" s="2">
        <v>0</v>
      </c>
      <c r="E104" s="2">
        <v>10000</v>
      </c>
      <c r="F104" s="2">
        <v>18990.099999999999</v>
      </c>
      <c r="G104" t="s">
        <v>724</v>
      </c>
      <c r="H104" t="s">
        <v>716</v>
      </c>
    </row>
    <row r="105" spans="1:8" hidden="1" x14ac:dyDescent="0.25">
      <c r="A105" s="1">
        <v>45042</v>
      </c>
      <c r="B105" t="s">
        <v>377</v>
      </c>
      <c r="C105" t="s">
        <v>378</v>
      </c>
      <c r="D105" s="2">
        <v>10000</v>
      </c>
      <c r="E105" s="2">
        <v>0</v>
      </c>
      <c r="F105" s="2">
        <v>-30512.37</v>
      </c>
      <c r="G105" t="s">
        <v>724</v>
      </c>
      <c r="H105" t="s">
        <v>718</v>
      </c>
    </row>
    <row r="106" spans="1:8" hidden="1" x14ac:dyDescent="0.25">
      <c r="A106" s="1">
        <v>45043</v>
      </c>
      <c r="B106" t="s">
        <v>37</v>
      </c>
      <c r="D106" s="2">
        <v>2500</v>
      </c>
      <c r="E106" s="2">
        <v>0</v>
      </c>
      <c r="F106" s="2">
        <v>29297.29</v>
      </c>
      <c r="G106" t="s">
        <v>792</v>
      </c>
      <c r="H106" t="s">
        <v>715</v>
      </c>
    </row>
    <row r="107" spans="1:8" hidden="1" x14ac:dyDescent="0.25">
      <c r="A107" s="1">
        <v>45043</v>
      </c>
      <c r="B107" t="s">
        <v>780</v>
      </c>
      <c r="D107" s="2">
        <v>0</v>
      </c>
      <c r="E107" s="2">
        <v>55</v>
      </c>
      <c r="F107" s="2">
        <v>8641</v>
      </c>
      <c r="G107" t="s">
        <v>788</v>
      </c>
      <c r="H107" t="s">
        <v>787</v>
      </c>
    </row>
    <row r="108" spans="1:8" hidden="1" x14ac:dyDescent="0.25">
      <c r="A108" s="1">
        <v>45043</v>
      </c>
      <c r="B108" t="s">
        <v>781</v>
      </c>
      <c r="D108" s="2">
        <v>8641</v>
      </c>
      <c r="E108" s="2">
        <v>0</v>
      </c>
      <c r="F108" s="2">
        <v>0</v>
      </c>
      <c r="G108" t="s">
        <v>724</v>
      </c>
      <c r="H108" t="s">
        <v>787</v>
      </c>
    </row>
    <row r="109" spans="1:8" hidden="1" x14ac:dyDescent="0.25">
      <c r="A109" s="1">
        <v>45043</v>
      </c>
      <c r="B109" t="s">
        <v>472</v>
      </c>
      <c r="D109" s="2">
        <v>283.68</v>
      </c>
      <c r="E109" s="2">
        <v>0</v>
      </c>
      <c r="F109" s="2">
        <v>30489.67</v>
      </c>
      <c r="G109" t="s">
        <v>731</v>
      </c>
      <c r="H109" t="s">
        <v>719</v>
      </c>
    </row>
    <row r="110" spans="1:8" hidden="1" x14ac:dyDescent="0.25">
      <c r="A110" s="1">
        <v>45043</v>
      </c>
      <c r="B110" t="s">
        <v>472</v>
      </c>
      <c r="D110" s="2">
        <v>2823.3</v>
      </c>
      <c r="E110" s="2">
        <v>0</v>
      </c>
      <c r="F110" s="2">
        <v>27666.37</v>
      </c>
      <c r="G110" t="s">
        <v>731</v>
      </c>
      <c r="H110" t="s">
        <v>719</v>
      </c>
    </row>
    <row r="111" spans="1:8" hidden="1" x14ac:dyDescent="0.25">
      <c r="A111" s="1">
        <v>45044</v>
      </c>
      <c r="B111" t="s">
        <v>480</v>
      </c>
      <c r="D111" s="2">
        <v>3000</v>
      </c>
      <c r="E111" s="2">
        <v>0</v>
      </c>
      <c r="F111" s="2">
        <v>24666.37</v>
      </c>
      <c r="G111" t="s">
        <v>725</v>
      </c>
      <c r="H111" t="s">
        <v>719</v>
      </c>
    </row>
    <row r="112" spans="1:8" hidden="1" x14ac:dyDescent="0.25">
      <c r="A112" s="1">
        <v>45044</v>
      </c>
      <c r="B112" t="s">
        <v>472</v>
      </c>
      <c r="D112" s="2">
        <v>287.54000000000002</v>
      </c>
      <c r="E112" s="2">
        <v>0</v>
      </c>
      <c r="F112" s="2">
        <v>24378.83</v>
      </c>
      <c r="G112" t="s">
        <v>731</v>
      </c>
      <c r="H112" t="s">
        <v>719</v>
      </c>
    </row>
    <row r="113" spans="1:8" hidden="1" x14ac:dyDescent="0.25">
      <c r="A113" s="1">
        <v>45044</v>
      </c>
      <c r="B113" t="s">
        <v>473</v>
      </c>
      <c r="D113" s="2">
        <v>0</v>
      </c>
      <c r="E113" s="2">
        <v>3516.79</v>
      </c>
      <c r="F113" s="2">
        <v>27895.62</v>
      </c>
      <c r="G113" t="s">
        <v>731</v>
      </c>
      <c r="H113" t="s">
        <v>719</v>
      </c>
    </row>
    <row r="114" spans="1:8" hidden="1" x14ac:dyDescent="0.25">
      <c r="A114" s="1">
        <v>45044</v>
      </c>
      <c r="B114" t="s">
        <v>183</v>
      </c>
      <c r="C114" t="s">
        <v>314</v>
      </c>
      <c r="D114" s="2">
        <v>0</v>
      </c>
      <c r="E114" s="2">
        <v>5755.3</v>
      </c>
      <c r="F114" s="2">
        <v>24745.4</v>
      </c>
      <c r="G114" s="55" t="s">
        <v>1052</v>
      </c>
      <c r="H114" t="s">
        <v>716</v>
      </c>
    </row>
    <row r="115" spans="1:8" hidden="1" x14ac:dyDescent="0.25">
      <c r="A115" s="1">
        <v>45045</v>
      </c>
      <c r="B115" t="s">
        <v>494</v>
      </c>
      <c r="D115" s="2">
        <v>0</v>
      </c>
      <c r="E115" s="2">
        <v>16094</v>
      </c>
      <c r="F115" s="2">
        <v>43989.62</v>
      </c>
      <c r="G115" s="55" t="s">
        <v>1052</v>
      </c>
      <c r="H115" t="s">
        <v>719</v>
      </c>
    </row>
    <row r="116" spans="1:8" hidden="1" x14ac:dyDescent="0.25">
      <c r="A116" s="1">
        <v>45046</v>
      </c>
      <c r="B116" t="s">
        <v>181</v>
      </c>
      <c r="C116" t="s">
        <v>313</v>
      </c>
      <c r="D116" s="2">
        <v>0</v>
      </c>
      <c r="E116" s="2">
        <v>20000</v>
      </c>
      <c r="F116" s="2">
        <v>44745.4</v>
      </c>
      <c r="G116" t="s">
        <v>724</v>
      </c>
      <c r="H116" t="s">
        <v>716</v>
      </c>
    </row>
    <row r="117" spans="1:8" hidden="1" x14ac:dyDescent="0.25">
      <c r="A117" s="1">
        <v>45046</v>
      </c>
      <c r="B117" t="s">
        <v>197</v>
      </c>
      <c r="C117" t="s">
        <v>379</v>
      </c>
      <c r="D117" s="2">
        <v>20000</v>
      </c>
      <c r="E117" s="2">
        <v>0</v>
      </c>
      <c r="F117" s="2">
        <v>-50512.37</v>
      </c>
      <c r="G117" t="s">
        <v>724</v>
      </c>
      <c r="H117" t="s">
        <v>718</v>
      </c>
    </row>
    <row r="118" spans="1:8" hidden="1" x14ac:dyDescent="0.25">
      <c r="A118" s="1">
        <v>45046</v>
      </c>
      <c r="B118" t="s">
        <v>380</v>
      </c>
      <c r="C118">
        <v>0</v>
      </c>
      <c r="D118" s="2">
        <v>1016</v>
      </c>
      <c r="E118" s="2">
        <v>0</v>
      </c>
      <c r="F118" s="2">
        <v>-51528.37</v>
      </c>
      <c r="G118" t="s">
        <v>790</v>
      </c>
      <c r="H118" t="s">
        <v>718</v>
      </c>
    </row>
    <row r="119" spans="1:8" hidden="1" x14ac:dyDescent="0.25">
      <c r="A119" s="1">
        <v>45047</v>
      </c>
      <c r="B119" t="s">
        <v>495</v>
      </c>
      <c r="D119" s="2">
        <v>1500</v>
      </c>
      <c r="E119" s="2">
        <v>0</v>
      </c>
      <c r="F119" s="2">
        <v>42489.62</v>
      </c>
      <c r="G119" t="s">
        <v>725</v>
      </c>
      <c r="H119" t="s">
        <v>719</v>
      </c>
    </row>
    <row r="120" spans="1:8" hidden="1" x14ac:dyDescent="0.25">
      <c r="A120" s="1">
        <v>45047</v>
      </c>
      <c r="B120" t="s">
        <v>496</v>
      </c>
      <c r="D120" s="2">
        <v>2000</v>
      </c>
      <c r="E120" s="2">
        <v>0</v>
      </c>
      <c r="F120" s="2">
        <v>40489.620000000003</v>
      </c>
      <c r="G120" t="s">
        <v>725</v>
      </c>
      <c r="H120" t="s">
        <v>719</v>
      </c>
    </row>
    <row r="121" spans="1:8" hidden="1" x14ac:dyDescent="0.25">
      <c r="A121" s="1">
        <v>45047</v>
      </c>
      <c r="B121" t="s">
        <v>497</v>
      </c>
      <c r="D121" s="2">
        <v>2000</v>
      </c>
      <c r="E121" s="2">
        <v>0</v>
      </c>
      <c r="F121" s="2">
        <v>38489.620000000003</v>
      </c>
      <c r="G121" t="s">
        <v>725</v>
      </c>
      <c r="H121" t="s">
        <v>719</v>
      </c>
    </row>
    <row r="122" spans="1:8" hidden="1" x14ac:dyDescent="0.25">
      <c r="A122" s="1">
        <v>45048</v>
      </c>
      <c r="B122" t="s">
        <v>38</v>
      </c>
      <c r="D122" s="2">
        <v>126</v>
      </c>
      <c r="E122" s="2">
        <v>0</v>
      </c>
      <c r="F122" s="2">
        <v>29171.29</v>
      </c>
      <c r="G122" t="s">
        <v>792</v>
      </c>
      <c r="H122" t="s">
        <v>715</v>
      </c>
    </row>
    <row r="123" spans="1:8" hidden="1" x14ac:dyDescent="0.25">
      <c r="A123" s="1">
        <v>45048</v>
      </c>
      <c r="B123" t="s">
        <v>39</v>
      </c>
      <c r="D123" s="2">
        <v>2880</v>
      </c>
      <c r="E123" s="2">
        <v>0</v>
      </c>
      <c r="F123" s="2">
        <v>26291.29</v>
      </c>
      <c r="G123" s="55" t="s">
        <v>1052</v>
      </c>
      <c r="H123" t="s">
        <v>715</v>
      </c>
    </row>
    <row r="124" spans="1:8" hidden="1" x14ac:dyDescent="0.25">
      <c r="A124" s="1">
        <v>45048</v>
      </c>
      <c r="B124" t="s">
        <v>498</v>
      </c>
      <c r="D124" s="2">
        <v>0</v>
      </c>
      <c r="E124" s="2">
        <v>595.13</v>
      </c>
      <c r="F124" s="2">
        <v>39084.75</v>
      </c>
      <c r="G124" t="s">
        <v>732</v>
      </c>
      <c r="H124" t="s">
        <v>719</v>
      </c>
    </row>
    <row r="125" spans="1:8" hidden="1" x14ac:dyDescent="0.25">
      <c r="A125" s="1">
        <v>45048</v>
      </c>
      <c r="B125" t="s">
        <v>472</v>
      </c>
      <c r="D125" s="2">
        <v>7245.03</v>
      </c>
      <c r="E125" s="2">
        <v>0</v>
      </c>
      <c r="F125" s="2">
        <v>31839.72</v>
      </c>
      <c r="G125" t="s">
        <v>731</v>
      </c>
      <c r="H125" t="s">
        <v>719</v>
      </c>
    </row>
    <row r="126" spans="1:8" hidden="1" x14ac:dyDescent="0.25">
      <c r="A126" s="1">
        <v>45048</v>
      </c>
      <c r="B126" t="s">
        <v>214</v>
      </c>
      <c r="C126" t="s">
        <v>206</v>
      </c>
      <c r="D126" s="2">
        <v>26595</v>
      </c>
      <c r="E126" s="2">
        <v>0</v>
      </c>
      <c r="F126" s="2">
        <v>18150.400000000001</v>
      </c>
      <c r="G126" t="s">
        <v>724</v>
      </c>
      <c r="H126" t="s">
        <v>716</v>
      </c>
    </row>
    <row r="127" spans="1:8" hidden="1" x14ac:dyDescent="0.25">
      <c r="A127" s="1">
        <v>45048</v>
      </c>
      <c r="B127" t="s">
        <v>371</v>
      </c>
      <c r="C127" t="s">
        <v>372</v>
      </c>
      <c r="D127" s="2">
        <v>0</v>
      </c>
      <c r="E127" s="2">
        <v>26595</v>
      </c>
      <c r="F127" s="2">
        <v>-24933.37</v>
      </c>
      <c r="G127" t="s">
        <v>724</v>
      </c>
      <c r="H127" t="s">
        <v>718</v>
      </c>
    </row>
    <row r="128" spans="1:8" hidden="1" x14ac:dyDescent="0.25">
      <c r="A128" s="1">
        <v>45049</v>
      </c>
      <c r="B128" t="s">
        <v>40</v>
      </c>
      <c r="D128" s="2">
        <v>25</v>
      </c>
      <c r="E128" s="2">
        <v>0</v>
      </c>
      <c r="F128" s="2">
        <v>26266.29</v>
      </c>
      <c r="G128" t="s">
        <v>792</v>
      </c>
      <c r="H128" t="s">
        <v>715</v>
      </c>
    </row>
    <row r="129" spans="1:8" hidden="1" x14ac:dyDescent="0.25">
      <c r="A129" s="1">
        <v>45049</v>
      </c>
      <c r="B129" t="s">
        <v>41</v>
      </c>
      <c r="D129" s="2">
        <v>3200</v>
      </c>
      <c r="E129" s="2">
        <v>0</v>
      </c>
      <c r="F129" s="2">
        <v>23066.29</v>
      </c>
      <c r="G129" t="s">
        <v>792</v>
      </c>
      <c r="H129" t="s">
        <v>715</v>
      </c>
    </row>
    <row r="130" spans="1:8" hidden="1" x14ac:dyDescent="0.25">
      <c r="A130" s="1">
        <v>45049</v>
      </c>
      <c r="B130" t="s">
        <v>42</v>
      </c>
      <c r="D130" s="2">
        <v>120</v>
      </c>
      <c r="E130" s="2">
        <v>0</v>
      </c>
      <c r="F130" s="2">
        <v>22946.29</v>
      </c>
      <c r="G130" t="s">
        <v>792</v>
      </c>
      <c r="H130" t="s">
        <v>715</v>
      </c>
    </row>
    <row r="131" spans="1:8" hidden="1" x14ac:dyDescent="0.25">
      <c r="A131" s="1">
        <v>45049</v>
      </c>
      <c r="B131" t="s">
        <v>472</v>
      </c>
      <c r="D131" s="2">
        <v>4761.16</v>
      </c>
      <c r="E131" s="2">
        <v>0</v>
      </c>
      <c r="F131" s="2">
        <v>27078.560000000001</v>
      </c>
      <c r="G131" t="s">
        <v>731</v>
      </c>
      <c r="H131" t="s">
        <v>719</v>
      </c>
    </row>
    <row r="132" spans="1:8" hidden="1" x14ac:dyDescent="0.25">
      <c r="A132" s="1">
        <v>45049</v>
      </c>
      <c r="B132" t="s">
        <v>472</v>
      </c>
      <c r="D132" s="2">
        <v>8350.76</v>
      </c>
      <c r="E132" s="2">
        <v>0</v>
      </c>
      <c r="F132" s="2">
        <v>18727.8</v>
      </c>
      <c r="G132" t="s">
        <v>731</v>
      </c>
      <c r="H132" t="s">
        <v>719</v>
      </c>
    </row>
    <row r="133" spans="1:8" hidden="1" x14ac:dyDescent="0.25">
      <c r="A133" s="1">
        <v>45049</v>
      </c>
      <c r="B133" t="s">
        <v>473</v>
      </c>
      <c r="D133" s="2">
        <v>0</v>
      </c>
      <c r="E133" s="2">
        <v>8350.76</v>
      </c>
      <c r="F133" s="2">
        <v>27078.560000000001</v>
      </c>
      <c r="G133" t="s">
        <v>731</v>
      </c>
      <c r="H133" t="s">
        <v>719</v>
      </c>
    </row>
    <row r="134" spans="1:8" hidden="1" x14ac:dyDescent="0.25">
      <c r="A134" s="1">
        <v>45049</v>
      </c>
      <c r="B134" t="s">
        <v>472</v>
      </c>
      <c r="D134" s="2">
        <v>293.17</v>
      </c>
      <c r="E134" s="2">
        <v>0</v>
      </c>
      <c r="F134" s="2">
        <v>26785.39</v>
      </c>
      <c r="G134" t="s">
        <v>731</v>
      </c>
      <c r="H134" t="s">
        <v>719</v>
      </c>
    </row>
    <row r="135" spans="1:8" hidden="1" x14ac:dyDescent="0.25">
      <c r="A135" s="1">
        <v>45049</v>
      </c>
      <c r="B135" t="s">
        <v>472</v>
      </c>
      <c r="D135" s="2">
        <v>244.61</v>
      </c>
      <c r="E135" s="2">
        <v>0</v>
      </c>
      <c r="F135" s="2">
        <v>26540.78</v>
      </c>
      <c r="G135" t="s">
        <v>731</v>
      </c>
      <c r="H135" t="s">
        <v>719</v>
      </c>
    </row>
    <row r="136" spans="1:8" hidden="1" x14ac:dyDescent="0.25">
      <c r="A136" s="1">
        <v>45049</v>
      </c>
      <c r="B136" t="s">
        <v>183</v>
      </c>
      <c r="C136" t="s">
        <v>312</v>
      </c>
      <c r="D136" s="2">
        <v>0</v>
      </c>
      <c r="E136" s="2">
        <v>6485.61</v>
      </c>
      <c r="F136" s="2">
        <v>24636.01</v>
      </c>
      <c r="G136" s="55" t="s">
        <v>1052</v>
      </c>
      <c r="H136" t="s">
        <v>716</v>
      </c>
    </row>
    <row r="137" spans="1:8" hidden="1" x14ac:dyDescent="0.25">
      <c r="A137" s="1">
        <v>45050</v>
      </c>
      <c r="B137" t="s">
        <v>43</v>
      </c>
      <c r="D137" s="2">
        <v>25</v>
      </c>
      <c r="E137" s="2">
        <v>0</v>
      </c>
      <c r="F137" s="2">
        <v>22921.29</v>
      </c>
      <c r="G137" t="s">
        <v>792</v>
      </c>
      <c r="H137" t="s">
        <v>715</v>
      </c>
    </row>
    <row r="138" spans="1:8" hidden="1" x14ac:dyDescent="0.25">
      <c r="A138" s="1">
        <v>45050</v>
      </c>
      <c r="B138" t="s">
        <v>44</v>
      </c>
      <c r="D138" s="2">
        <v>126</v>
      </c>
      <c r="E138" s="2">
        <v>0</v>
      </c>
      <c r="F138" s="2">
        <v>22795.29</v>
      </c>
      <c r="G138" t="s">
        <v>792</v>
      </c>
      <c r="H138" t="s">
        <v>715</v>
      </c>
    </row>
    <row r="139" spans="1:8" hidden="1" x14ac:dyDescent="0.25">
      <c r="A139" s="1">
        <v>45050</v>
      </c>
      <c r="B139" t="s">
        <v>35</v>
      </c>
      <c r="D139" s="2">
        <v>0</v>
      </c>
      <c r="E139" s="2">
        <v>162890</v>
      </c>
      <c r="F139" s="2">
        <v>185685.29</v>
      </c>
      <c r="G139" t="s">
        <v>727</v>
      </c>
      <c r="H139" t="s">
        <v>715</v>
      </c>
    </row>
    <row r="140" spans="1:8" hidden="1" x14ac:dyDescent="0.25">
      <c r="A140" s="1">
        <v>45050</v>
      </c>
      <c r="B140" t="s">
        <v>45</v>
      </c>
      <c r="D140" s="2">
        <v>75000</v>
      </c>
      <c r="E140" s="2">
        <v>0</v>
      </c>
      <c r="F140" s="2">
        <v>110685.29</v>
      </c>
      <c r="G140" t="s">
        <v>724</v>
      </c>
      <c r="H140" t="s">
        <v>715</v>
      </c>
    </row>
    <row r="141" spans="1:8" hidden="1" x14ac:dyDescent="0.25">
      <c r="A141" s="1">
        <v>45050</v>
      </c>
      <c r="B141" t="s">
        <v>472</v>
      </c>
      <c r="D141" s="2">
        <v>299.17</v>
      </c>
      <c r="E141" s="2">
        <v>0</v>
      </c>
      <c r="F141" s="2">
        <v>26241.61</v>
      </c>
      <c r="G141" t="s">
        <v>731</v>
      </c>
      <c r="H141" t="s">
        <v>719</v>
      </c>
    </row>
    <row r="142" spans="1:8" hidden="1" x14ac:dyDescent="0.25">
      <c r="A142" s="1">
        <v>45050</v>
      </c>
      <c r="B142" t="s">
        <v>499</v>
      </c>
      <c r="D142" s="2">
        <v>0</v>
      </c>
      <c r="E142" s="2">
        <v>75000</v>
      </c>
      <c r="F142" s="2">
        <v>101241.61</v>
      </c>
      <c r="G142" t="s">
        <v>724</v>
      </c>
      <c r="H142" t="s">
        <v>719</v>
      </c>
    </row>
    <row r="143" spans="1:8" hidden="1" x14ac:dyDescent="0.25">
      <c r="A143" s="1">
        <v>45050</v>
      </c>
      <c r="B143" t="s">
        <v>473</v>
      </c>
      <c r="D143" s="2">
        <v>0</v>
      </c>
      <c r="E143" s="2">
        <v>6021.11</v>
      </c>
      <c r="F143" s="2">
        <v>107262.72</v>
      </c>
      <c r="G143" t="s">
        <v>731</v>
      </c>
      <c r="H143" t="s">
        <v>719</v>
      </c>
    </row>
    <row r="144" spans="1:8" hidden="1" x14ac:dyDescent="0.25">
      <c r="A144" s="1">
        <v>45050</v>
      </c>
      <c r="B144" t="s">
        <v>311</v>
      </c>
      <c r="C144" t="s">
        <v>188</v>
      </c>
      <c r="D144" s="2">
        <v>14040</v>
      </c>
      <c r="E144" s="2">
        <v>0</v>
      </c>
      <c r="F144" s="2">
        <v>10596.01</v>
      </c>
      <c r="G144" t="s">
        <v>791</v>
      </c>
      <c r="H144" t="s">
        <v>716</v>
      </c>
    </row>
    <row r="145" spans="1:8" hidden="1" x14ac:dyDescent="0.25">
      <c r="A145" s="1">
        <v>45051</v>
      </c>
      <c r="B145" t="s">
        <v>46</v>
      </c>
      <c r="D145" s="2">
        <v>126</v>
      </c>
      <c r="E145" s="2">
        <v>0</v>
      </c>
      <c r="F145" s="2">
        <v>110559.29</v>
      </c>
      <c r="G145" t="s">
        <v>792</v>
      </c>
      <c r="H145" t="s">
        <v>715</v>
      </c>
    </row>
    <row r="146" spans="1:8" hidden="1" x14ac:dyDescent="0.25">
      <c r="A146" s="1">
        <v>45051</v>
      </c>
      <c r="B146" t="s">
        <v>47</v>
      </c>
      <c r="D146" s="2">
        <v>60</v>
      </c>
      <c r="E146" s="2">
        <v>0</v>
      </c>
      <c r="F146" s="2">
        <v>110499.29</v>
      </c>
      <c r="G146" t="s">
        <v>792</v>
      </c>
      <c r="H146" t="s">
        <v>715</v>
      </c>
    </row>
    <row r="147" spans="1:8" hidden="1" x14ac:dyDescent="0.25">
      <c r="A147" s="1">
        <v>45051</v>
      </c>
      <c r="B147" t="s">
        <v>472</v>
      </c>
      <c r="D147" s="2">
        <v>302.14</v>
      </c>
      <c r="E147" s="2">
        <v>0</v>
      </c>
      <c r="F147" s="2">
        <v>106960.58</v>
      </c>
      <c r="G147" t="s">
        <v>731</v>
      </c>
      <c r="H147" t="s">
        <v>719</v>
      </c>
    </row>
    <row r="148" spans="1:8" hidden="1" x14ac:dyDescent="0.25">
      <c r="A148" s="1">
        <v>45051</v>
      </c>
      <c r="B148" t="s">
        <v>472</v>
      </c>
      <c r="D148" s="2">
        <v>39500.480000000003</v>
      </c>
      <c r="E148" s="2">
        <v>0</v>
      </c>
      <c r="F148" s="2">
        <v>67460.100000000006</v>
      </c>
      <c r="G148" t="s">
        <v>731</v>
      </c>
      <c r="H148" t="s">
        <v>719</v>
      </c>
    </row>
    <row r="149" spans="1:8" hidden="1" x14ac:dyDescent="0.25">
      <c r="A149" s="1">
        <v>45051</v>
      </c>
      <c r="B149" t="s">
        <v>472</v>
      </c>
      <c r="D149" s="2">
        <v>697.38</v>
      </c>
      <c r="E149" s="2">
        <v>0</v>
      </c>
      <c r="F149" s="2">
        <v>66762.720000000001</v>
      </c>
      <c r="G149" t="s">
        <v>731</v>
      </c>
      <c r="H149" t="s">
        <v>719</v>
      </c>
    </row>
    <row r="150" spans="1:8" hidden="1" x14ac:dyDescent="0.25">
      <c r="A150" s="1">
        <v>45052</v>
      </c>
      <c r="B150" t="s">
        <v>48</v>
      </c>
      <c r="D150" s="2">
        <v>50</v>
      </c>
      <c r="E150" s="2">
        <v>0</v>
      </c>
      <c r="F150" s="2">
        <v>110449.29</v>
      </c>
      <c r="G150" t="s">
        <v>792</v>
      </c>
      <c r="H150" t="s">
        <v>715</v>
      </c>
    </row>
    <row r="151" spans="1:8" hidden="1" x14ac:dyDescent="0.25">
      <c r="A151" s="1">
        <v>45052</v>
      </c>
      <c r="B151" t="s">
        <v>473</v>
      </c>
      <c r="D151" s="2">
        <v>0</v>
      </c>
      <c r="E151" s="2">
        <v>697.38</v>
      </c>
      <c r="F151" s="2">
        <v>67460.100000000006</v>
      </c>
      <c r="G151" t="s">
        <v>731</v>
      </c>
      <c r="H151" t="s">
        <v>719</v>
      </c>
    </row>
    <row r="152" spans="1:8" hidden="1" x14ac:dyDescent="0.25">
      <c r="A152" s="1">
        <v>45054</v>
      </c>
      <c r="B152" t="s">
        <v>25</v>
      </c>
      <c r="D152" s="2">
        <v>28611.119999999999</v>
      </c>
      <c r="E152" s="2">
        <v>0</v>
      </c>
      <c r="F152" s="2">
        <v>81838.17</v>
      </c>
      <c r="G152" t="s">
        <v>794</v>
      </c>
      <c r="H152" t="s">
        <v>715</v>
      </c>
    </row>
    <row r="153" spans="1:8" hidden="1" x14ac:dyDescent="0.25">
      <c r="A153" s="1">
        <v>45054</v>
      </c>
      <c r="B153" t="s">
        <v>480</v>
      </c>
      <c r="D153" s="2">
        <v>3000</v>
      </c>
      <c r="E153" s="2">
        <v>0</v>
      </c>
      <c r="F153" s="2">
        <v>64460.1</v>
      </c>
      <c r="G153" t="s">
        <v>725</v>
      </c>
      <c r="H153" t="s">
        <v>719</v>
      </c>
    </row>
    <row r="154" spans="1:8" hidden="1" x14ac:dyDescent="0.25">
      <c r="A154" s="1">
        <v>45054</v>
      </c>
      <c r="B154" t="s">
        <v>472</v>
      </c>
      <c r="D154" s="2">
        <v>259.07</v>
      </c>
      <c r="E154" s="2">
        <v>0</v>
      </c>
      <c r="F154" s="2">
        <v>64201.03</v>
      </c>
      <c r="G154" t="s">
        <v>731</v>
      </c>
      <c r="H154" t="s">
        <v>719</v>
      </c>
    </row>
    <row r="155" spans="1:8" hidden="1" x14ac:dyDescent="0.25">
      <c r="A155" s="1">
        <v>45054</v>
      </c>
      <c r="B155" t="s">
        <v>500</v>
      </c>
      <c r="D155" s="2">
        <v>2000</v>
      </c>
      <c r="E155" s="2">
        <v>0</v>
      </c>
      <c r="F155" s="2">
        <v>62201.03</v>
      </c>
      <c r="G155" t="s">
        <v>725</v>
      </c>
      <c r="H155" t="s">
        <v>719</v>
      </c>
    </row>
    <row r="156" spans="1:8" hidden="1" x14ac:dyDescent="0.25">
      <c r="A156" s="1">
        <v>45054</v>
      </c>
      <c r="B156" t="s">
        <v>501</v>
      </c>
      <c r="D156" s="2">
        <v>2500</v>
      </c>
      <c r="E156" s="2">
        <v>0</v>
      </c>
      <c r="F156" s="2">
        <v>59701.03</v>
      </c>
      <c r="G156" t="s">
        <v>725</v>
      </c>
      <c r="H156" t="s">
        <v>719</v>
      </c>
    </row>
    <row r="157" spans="1:8" hidden="1" x14ac:dyDescent="0.25">
      <c r="A157" s="1">
        <v>45054</v>
      </c>
      <c r="B157" t="s">
        <v>473</v>
      </c>
      <c r="D157" s="2">
        <v>0</v>
      </c>
      <c r="E157" s="2">
        <v>262.52</v>
      </c>
      <c r="F157" s="2">
        <v>59963.55</v>
      </c>
      <c r="G157" t="s">
        <v>731</v>
      </c>
      <c r="H157" t="s">
        <v>719</v>
      </c>
    </row>
    <row r="158" spans="1:8" hidden="1" x14ac:dyDescent="0.25">
      <c r="A158" s="1">
        <v>45054</v>
      </c>
      <c r="B158" t="s">
        <v>473</v>
      </c>
      <c r="D158" s="2">
        <v>0</v>
      </c>
      <c r="E158" s="2">
        <v>3591.17</v>
      </c>
      <c r="F158" s="2">
        <v>63554.720000000001</v>
      </c>
      <c r="G158" t="s">
        <v>731</v>
      </c>
      <c r="H158" t="s">
        <v>719</v>
      </c>
    </row>
    <row r="159" spans="1:8" hidden="1" x14ac:dyDescent="0.25">
      <c r="A159" s="1">
        <v>45055</v>
      </c>
      <c r="B159" t="s">
        <v>49</v>
      </c>
      <c r="D159" s="2">
        <v>70</v>
      </c>
      <c r="E159" s="2">
        <v>0</v>
      </c>
      <c r="F159" s="2">
        <v>81768.17</v>
      </c>
      <c r="G159" t="s">
        <v>792</v>
      </c>
      <c r="H159" t="s">
        <v>715</v>
      </c>
    </row>
    <row r="160" spans="1:8" hidden="1" x14ac:dyDescent="0.25">
      <c r="A160" s="1">
        <v>45055</v>
      </c>
      <c r="B160" t="s">
        <v>50</v>
      </c>
      <c r="D160" s="2">
        <v>29750</v>
      </c>
      <c r="E160" s="2">
        <v>0</v>
      </c>
      <c r="F160" s="2">
        <v>52018.17</v>
      </c>
      <c r="G160" s="55" t="s">
        <v>1052</v>
      </c>
      <c r="H160" t="s">
        <v>715</v>
      </c>
    </row>
    <row r="161" spans="1:8" hidden="1" x14ac:dyDescent="0.25">
      <c r="A161" s="1">
        <v>45055</v>
      </c>
      <c r="B161" t="s">
        <v>502</v>
      </c>
      <c r="D161" s="2">
        <v>0</v>
      </c>
      <c r="E161" s="2">
        <v>900</v>
      </c>
      <c r="F161" s="2">
        <v>64454.720000000001</v>
      </c>
      <c r="G161" t="s">
        <v>736</v>
      </c>
      <c r="H161" t="s">
        <v>719</v>
      </c>
    </row>
    <row r="162" spans="1:8" hidden="1" x14ac:dyDescent="0.25">
      <c r="A162" s="1">
        <v>45055</v>
      </c>
      <c r="B162" t="s">
        <v>472</v>
      </c>
      <c r="D162" s="2">
        <v>283.83999999999997</v>
      </c>
      <c r="E162" s="2">
        <v>0</v>
      </c>
      <c r="F162" s="2">
        <v>64170.879999999997</v>
      </c>
      <c r="G162" t="s">
        <v>731</v>
      </c>
      <c r="H162" t="s">
        <v>719</v>
      </c>
    </row>
    <row r="163" spans="1:8" hidden="1" x14ac:dyDescent="0.25">
      <c r="A163" s="1">
        <v>45055</v>
      </c>
      <c r="B163" t="s">
        <v>503</v>
      </c>
      <c r="D163" s="2">
        <v>0</v>
      </c>
      <c r="E163" s="2">
        <v>10000</v>
      </c>
      <c r="F163" s="2">
        <v>74170.880000000005</v>
      </c>
      <c r="G163" t="s">
        <v>763</v>
      </c>
      <c r="H163" t="s">
        <v>719</v>
      </c>
    </row>
    <row r="164" spans="1:8" hidden="1" x14ac:dyDescent="0.25">
      <c r="A164" s="1">
        <v>45055</v>
      </c>
      <c r="B164" t="s">
        <v>472</v>
      </c>
      <c r="D164" s="2">
        <v>38230.86</v>
      </c>
      <c r="E164" s="2">
        <v>0</v>
      </c>
      <c r="F164" s="2">
        <v>35940.019999999997</v>
      </c>
      <c r="G164" t="s">
        <v>731</v>
      </c>
      <c r="H164" t="s">
        <v>719</v>
      </c>
    </row>
    <row r="165" spans="1:8" hidden="1" x14ac:dyDescent="0.25">
      <c r="A165" s="1">
        <v>45055</v>
      </c>
      <c r="B165" t="s">
        <v>472</v>
      </c>
      <c r="D165" s="2">
        <v>9485.2999999999993</v>
      </c>
      <c r="E165" s="2">
        <v>0</v>
      </c>
      <c r="F165" s="2">
        <v>26454.720000000001</v>
      </c>
      <c r="G165" t="s">
        <v>731</v>
      </c>
      <c r="H165" t="s">
        <v>719</v>
      </c>
    </row>
    <row r="166" spans="1:8" hidden="1" x14ac:dyDescent="0.25">
      <c r="A166" s="1">
        <v>45055</v>
      </c>
      <c r="B166" t="s">
        <v>473</v>
      </c>
      <c r="D166" s="2">
        <v>0</v>
      </c>
      <c r="E166" s="2">
        <v>9485.2999999999993</v>
      </c>
      <c r="F166" s="2">
        <v>35940.019999999997</v>
      </c>
      <c r="G166" t="s">
        <v>731</v>
      </c>
      <c r="H166" t="s">
        <v>719</v>
      </c>
    </row>
    <row r="167" spans="1:8" hidden="1" x14ac:dyDescent="0.25">
      <c r="A167" s="1">
        <v>45055</v>
      </c>
      <c r="B167" t="s">
        <v>183</v>
      </c>
      <c r="C167" t="s">
        <v>310</v>
      </c>
      <c r="D167" s="2">
        <v>0</v>
      </c>
      <c r="E167" s="2">
        <v>12256.46</v>
      </c>
      <c r="F167" s="2">
        <v>22852.47</v>
      </c>
      <c r="G167" s="55" t="s">
        <v>1052</v>
      </c>
      <c r="H167" t="s">
        <v>716</v>
      </c>
    </row>
    <row r="168" spans="1:8" hidden="1" x14ac:dyDescent="0.25">
      <c r="A168" s="1">
        <v>45055</v>
      </c>
      <c r="B168" t="s">
        <v>183</v>
      </c>
      <c r="C168" t="s">
        <v>309</v>
      </c>
      <c r="D168" s="2">
        <v>0</v>
      </c>
      <c r="E168" s="2">
        <v>6179.42</v>
      </c>
      <c r="F168" s="2">
        <v>29031.89</v>
      </c>
      <c r="G168" s="55" t="s">
        <v>1052</v>
      </c>
      <c r="H168" t="s">
        <v>716</v>
      </c>
    </row>
    <row r="169" spans="1:8" hidden="1" x14ac:dyDescent="0.25">
      <c r="A169" s="1">
        <v>45056</v>
      </c>
      <c r="B169" t="s">
        <v>51</v>
      </c>
      <c r="D169" s="2">
        <v>10000</v>
      </c>
      <c r="E169" s="2">
        <v>0</v>
      </c>
      <c r="F169" s="2">
        <v>42018.17</v>
      </c>
      <c r="G169" t="s">
        <v>728</v>
      </c>
      <c r="H169" t="s">
        <v>715</v>
      </c>
    </row>
    <row r="170" spans="1:8" hidden="1" x14ac:dyDescent="0.25">
      <c r="A170" s="1">
        <v>45056</v>
      </c>
      <c r="B170" t="s">
        <v>504</v>
      </c>
      <c r="D170" s="2">
        <v>4000</v>
      </c>
      <c r="E170" s="2">
        <v>0</v>
      </c>
      <c r="F170" s="2">
        <v>31940.02</v>
      </c>
      <c r="G170" t="s">
        <v>725</v>
      </c>
      <c r="H170" t="s">
        <v>719</v>
      </c>
    </row>
    <row r="171" spans="1:8" hidden="1" x14ac:dyDescent="0.25">
      <c r="A171" s="1">
        <v>45056</v>
      </c>
      <c r="B171" t="s">
        <v>480</v>
      </c>
      <c r="D171" s="2">
        <v>3000</v>
      </c>
      <c r="E171" s="2">
        <v>0</v>
      </c>
      <c r="F171" s="2">
        <v>28940.02</v>
      </c>
      <c r="G171" t="s">
        <v>725</v>
      </c>
      <c r="H171" t="s">
        <v>719</v>
      </c>
    </row>
    <row r="172" spans="1:8" hidden="1" x14ac:dyDescent="0.25">
      <c r="A172" s="1">
        <v>45056</v>
      </c>
      <c r="B172" t="s">
        <v>473</v>
      </c>
      <c r="D172" s="2">
        <v>0</v>
      </c>
      <c r="E172" s="2">
        <v>17747.259999999998</v>
      </c>
      <c r="F172" s="2">
        <v>46687.28</v>
      </c>
      <c r="G172" t="s">
        <v>731</v>
      </c>
      <c r="H172" t="s">
        <v>719</v>
      </c>
    </row>
    <row r="173" spans="1:8" hidden="1" x14ac:dyDescent="0.25">
      <c r="A173" s="1">
        <v>45056</v>
      </c>
      <c r="B173" t="s">
        <v>472</v>
      </c>
      <c r="D173" s="2">
        <v>264.98</v>
      </c>
      <c r="E173" s="2">
        <v>0</v>
      </c>
      <c r="F173" s="2">
        <v>46422.3</v>
      </c>
      <c r="G173" t="s">
        <v>731</v>
      </c>
      <c r="H173" t="s">
        <v>719</v>
      </c>
    </row>
    <row r="174" spans="1:8" hidden="1" x14ac:dyDescent="0.25">
      <c r="A174" s="1">
        <v>45056</v>
      </c>
      <c r="B174" t="s">
        <v>472</v>
      </c>
      <c r="D174" s="2">
        <v>343.47</v>
      </c>
      <c r="E174" s="2">
        <v>0</v>
      </c>
      <c r="F174" s="2">
        <v>46078.83</v>
      </c>
      <c r="G174" t="s">
        <v>731</v>
      </c>
      <c r="H174" t="s">
        <v>719</v>
      </c>
    </row>
    <row r="175" spans="1:8" hidden="1" x14ac:dyDescent="0.25">
      <c r="A175" s="1">
        <v>45056</v>
      </c>
      <c r="B175" t="s">
        <v>473</v>
      </c>
      <c r="D175" s="2">
        <v>0</v>
      </c>
      <c r="E175" s="2">
        <v>2851.22</v>
      </c>
      <c r="F175" s="2">
        <v>48930.05</v>
      </c>
      <c r="G175" t="s">
        <v>731</v>
      </c>
      <c r="H175" t="s">
        <v>719</v>
      </c>
    </row>
    <row r="176" spans="1:8" hidden="1" x14ac:dyDescent="0.25">
      <c r="A176" s="1">
        <v>45056</v>
      </c>
      <c r="B176" t="s">
        <v>472</v>
      </c>
      <c r="D176" s="2">
        <v>4457.67</v>
      </c>
      <c r="E176" s="2">
        <v>0</v>
      </c>
      <c r="F176" s="2">
        <v>44472.38</v>
      </c>
      <c r="G176" t="s">
        <v>731</v>
      </c>
      <c r="H176" t="s">
        <v>719</v>
      </c>
    </row>
    <row r="177" spans="1:8" hidden="1" x14ac:dyDescent="0.25">
      <c r="A177" s="1">
        <v>45056</v>
      </c>
      <c r="B177" t="s">
        <v>473</v>
      </c>
      <c r="D177" s="2">
        <v>0</v>
      </c>
      <c r="E177" s="2">
        <v>4457.67</v>
      </c>
      <c r="F177" s="2">
        <v>48930.05</v>
      </c>
      <c r="G177" t="s">
        <v>731</v>
      </c>
      <c r="H177" t="s">
        <v>719</v>
      </c>
    </row>
    <row r="178" spans="1:8" hidden="1" x14ac:dyDescent="0.25">
      <c r="A178" s="1">
        <v>45056</v>
      </c>
      <c r="B178" t="s">
        <v>183</v>
      </c>
      <c r="C178" t="s">
        <v>308</v>
      </c>
      <c r="D178" s="2">
        <v>0</v>
      </c>
      <c r="E178" s="2">
        <v>24788.720000000001</v>
      </c>
      <c r="F178" s="2">
        <v>53820.61</v>
      </c>
      <c r="G178" s="55" t="s">
        <v>1052</v>
      </c>
      <c r="H178" t="s">
        <v>716</v>
      </c>
    </row>
    <row r="179" spans="1:8" hidden="1" x14ac:dyDescent="0.25">
      <c r="A179" s="1">
        <v>45057</v>
      </c>
      <c r="B179" t="s">
        <v>505</v>
      </c>
      <c r="D179" s="2">
        <v>11.56</v>
      </c>
      <c r="E179" s="2">
        <v>0</v>
      </c>
      <c r="F179" s="2">
        <v>48918.49</v>
      </c>
      <c r="G179" t="s">
        <v>729</v>
      </c>
      <c r="H179" t="s">
        <v>719</v>
      </c>
    </row>
    <row r="180" spans="1:8" hidden="1" x14ac:dyDescent="0.25">
      <c r="A180" s="1">
        <v>45057</v>
      </c>
      <c r="B180" t="s">
        <v>472</v>
      </c>
      <c r="D180" s="2">
        <v>266.39</v>
      </c>
      <c r="E180" s="2">
        <v>0</v>
      </c>
      <c r="F180" s="2">
        <v>48652.1</v>
      </c>
      <c r="G180" t="s">
        <v>731</v>
      </c>
      <c r="H180" t="s">
        <v>719</v>
      </c>
    </row>
    <row r="181" spans="1:8" hidden="1" x14ac:dyDescent="0.25">
      <c r="A181" s="1">
        <v>45057</v>
      </c>
      <c r="B181" t="s">
        <v>472</v>
      </c>
      <c r="D181" s="2">
        <v>5543.91</v>
      </c>
      <c r="E181" s="2">
        <v>0</v>
      </c>
      <c r="F181" s="2">
        <v>43108.19</v>
      </c>
      <c r="G181" t="s">
        <v>731</v>
      </c>
      <c r="H181" t="s">
        <v>719</v>
      </c>
    </row>
    <row r="182" spans="1:8" hidden="1" x14ac:dyDescent="0.25">
      <c r="A182" s="1">
        <v>45058</v>
      </c>
      <c r="B182" t="s">
        <v>472</v>
      </c>
      <c r="D182" s="2">
        <v>398.35</v>
      </c>
      <c r="E182" s="2">
        <v>0</v>
      </c>
      <c r="F182" s="2">
        <v>42709.84</v>
      </c>
      <c r="G182" t="s">
        <v>731</v>
      </c>
      <c r="H182" t="s">
        <v>719</v>
      </c>
    </row>
    <row r="183" spans="1:8" hidden="1" x14ac:dyDescent="0.25">
      <c r="A183" s="1">
        <v>45058</v>
      </c>
      <c r="B183" t="s">
        <v>473</v>
      </c>
      <c r="D183" s="2">
        <v>0</v>
      </c>
      <c r="E183" s="2">
        <v>398.35</v>
      </c>
      <c r="F183" s="2">
        <v>43108.19</v>
      </c>
      <c r="G183" t="s">
        <v>731</v>
      </c>
      <c r="H183" t="s">
        <v>719</v>
      </c>
    </row>
    <row r="184" spans="1:8" hidden="1" x14ac:dyDescent="0.25">
      <c r="A184" s="1">
        <v>45058</v>
      </c>
      <c r="B184" t="s">
        <v>472</v>
      </c>
      <c r="D184" s="2">
        <v>263.64999999999998</v>
      </c>
      <c r="E184" s="2">
        <v>0</v>
      </c>
      <c r="F184" s="2">
        <v>42844.54</v>
      </c>
      <c r="G184" t="s">
        <v>731</v>
      </c>
      <c r="H184" t="s">
        <v>719</v>
      </c>
    </row>
    <row r="185" spans="1:8" hidden="1" x14ac:dyDescent="0.25">
      <c r="A185" s="1">
        <v>45058</v>
      </c>
      <c r="B185" t="s">
        <v>472</v>
      </c>
      <c r="D185" s="2">
        <v>975.1</v>
      </c>
      <c r="E185" s="2">
        <v>0</v>
      </c>
      <c r="F185" s="2">
        <v>41869.440000000002</v>
      </c>
      <c r="G185" t="s">
        <v>731</v>
      </c>
      <c r="H185" t="s">
        <v>719</v>
      </c>
    </row>
    <row r="186" spans="1:8" hidden="1" x14ac:dyDescent="0.25">
      <c r="A186" s="1">
        <v>45058</v>
      </c>
      <c r="B186" t="s">
        <v>473</v>
      </c>
      <c r="D186" s="2">
        <v>0</v>
      </c>
      <c r="E186" s="2">
        <v>730.66</v>
      </c>
      <c r="F186" s="2">
        <v>42600.1</v>
      </c>
      <c r="G186" t="s">
        <v>731</v>
      </c>
      <c r="H186" t="s">
        <v>719</v>
      </c>
    </row>
    <row r="187" spans="1:8" hidden="1" x14ac:dyDescent="0.25">
      <c r="A187" s="1">
        <v>45058</v>
      </c>
      <c r="B187" t="s">
        <v>472</v>
      </c>
      <c r="D187" s="2">
        <v>341.13</v>
      </c>
      <c r="E187" s="2">
        <v>0</v>
      </c>
      <c r="F187" s="2">
        <v>42258.97</v>
      </c>
      <c r="G187" t="s">
        <v>731</v>
      </c>
      <c r="H187" t="s">
        <v>719</v>
      </c>
    </row>
    <row r="188" spans="1:8" hidden="1" x14ac:dyDescent="0.25">
      <c r="A188" s="1">
        <v>45058</v>
      </c>
      <c r="B188" t="s">
        <v>473</v>
      </c>
      <c r="D188" s="2">
        <v>0</v>
      </c>
      <c r="E188" s="2">
        <v>341.13</v>
      </c>
      <c r="F188" s="2">
        <v>42600.1</v>
      </c>
      <c r="G188" t="s">
        <v>731</v>
      </c>
      <c r="H188" t="s">
        <v>719</v>
      </c>
    </row>
    <row r="189" spans="1:8" hidden="1" x14ac:dyDescent="0.25">
      <c r="A189" s="1">
        <v>45061</v>
      </c>
      <c r="B189" t="s">
        <v>480</v>
      </c>
      <c r="D189" s="2">
        <v>3000</v>
      </c>
      <c r="E189" s="2">
        <v>0</v>
      </c>
      <c r="F189" s="2">
        <v>39600.1</v>
      </c>
      <c r="G189" t="s">
        <v>725</v>
      </c>
      <c r="H189" t="s">
        <v>719</v>
      </c>
    </row>
    <row r="190" spans="1:8" hidden="1" x14ac:dyDescent="0.25">
      <c r="A190" s="1">
        <v>45061</v>
      </c>
      <c r="B190" t="s">
        <v>506</v>
      </c>
      <c r="D190" s="2">
        <v>1500</v>
      </c>
      <c r="E190" s="2">
        <v>0</v>
      </c>
      <c r="F190" s="2">
        <v>38100.1</v>
      </c>
      <c r="G190" t="s">
        <v>725</v>
      </c>
      <c r="H190" t="s">
        <v>719</v>
      </c>
    </row>
    <row r="191" spans="1:8" hidden="1" x14ac:dyDescent="0.25">
      <c r="A191" s="1">
        <v>45061</v>
      </c>
      <c r="B191" t="s">
        <v>507</v>
      </c>
      <c r="D191" s="2">
        <v>2000</v>
      </c>
      <c r="E191" s="2">
        <v>0</v>
      </c>
      <c r="F191" s="2">
        <v>36100.1</v>
      </c>
      <c r="G191" t="s">
        <v>725</v>
      </c>
      <c r="H191" t="s">
        <v>719</v>
      </c>
    </row>
    <row r="192" spans="1:8" hidden="1" x14ac:dyDescent="0.25">
      <c r="A192" s="1">
        <v>45061</v>
      </c>
      <c r="B192" t="s">
        <v>472</v>
      </c>
      <c r="D192" s="2">
        <v>806.37</v>
      </c>
      <c r="E192" s="2">
        <v>0</v>
      </c>
      <c r="F192" s="2">
        <v>35293.730000000003</v>
      </c>
      <c r="G192" t="s">
        <v>731</v>
      </c>
      <c r="H192" t="s">
        <v>719</v>
      </c>
    </row>
    <row r="193" spans="1:8" hidden="1" x14ac:dyDescent="0.25">
      <c r="A193" s="1">
        <v>45061</v>
      </c>
      <c r="B193" t="s">
        <v>472</v>
      </c>
      <c r="D193" s="2">
        <v>16661.55</v>
      </c>
      <c r="E193" s="2">
        <v>0</v>
      </c>
      <c r="F193" s="2">
        <v>18632.18</v>
      </c>
      <c r="G193" t="s">
        <v>731</v>
      </c>
      <c r="H193" t="s">
        <v>719</v>
      </c>
    </row>
    <row r="194" spans="1:8" hidden="1" x14ac:dyDescent="0.25">
      <c r="A194" s="1">
        <v>45061</v>
      </c>
      <c r="B194" t="s">
        <v>183</v>
      </c>
      <c r="C194" t="s">
        <v>307</v>
      </c>
      <c r="D194" s="2">
        <v>0</v>
      </c>
      <c r="E194" s="2">
        <v>7543.98</v>
      </c>
      <c r="F194" s="2">
        <v>61364.59</v>
      </c>
      <c r="G194" s="55" t="s">
        <v>1052</v>
      </c>
      <c r="H194" t="s">
        <v>716</v>
      </c>
    </row>
    <row r="195" spans="1:8" hidden="1" x14ac:dyDescent="0.25">
      <c r="A195" s="1">
        <v>45062</v>
      </c>
      <c r="B195" t="s">
        <v>472</v>
      </c>
      <c r="D195" s="2">
        <v>260.57</v>
      </c>
      <c r="E195" s="2">
        <v>0</v>
      </c>
      <c r="F195" s="2">
        <v>18371.61</v>
      </c>
      <c r="G195" t="s">
        <v>731</v>
      </c>
      <c r="H195" t="s">
        <v>719</v>
      </c>
    </row>
    <row r="196" spans="1:8" hidden="1" x14ac:dyDescent="0.25">
      <c r="A196" s="1">
        <v>45062</v>
      </c>
      <c r="B196" t="s">
        <v>472</v>
      </c>
      <c r="D196" s="2">
        <v>34.880000000000003</v>
      </c>
      <c r="E196" s="2">
        <v>0</v>
      </c>
      <c r="F196" s="2">
        <v>18336.73</v>
      </c>
      <c r="G196" t="s">
        <v>731</v>
      </c>
      <c r="H196" t="s">
        <v>719</v>
      </c>
    </row>
    <row r="197" spans="1:8" hidden="1" x14ac:dyDescent="0.25">
      <c r="A197" s="1">
        <v>45062</v>
      </c>
      <c r="B197" t="s">
        <v>472</v>
      </c>
      <c r="D197" s="2">
        <v>7529.71</v>
      </c>
      <c r="E197" s="2">
        <v>0</v>
      </c>
      <c r="F197" s="2">
        <v>10807.02</v>
      </c>
      <c r="G197" t="s">
        <v>731</v>
      </c>
      <c r="H197" t="s">
        <v>719</v>
      </c>
    </row>
    <row r="198" spans="1:8" hidden="1" x14ac:dyDescent="0.25">
      <c r="A198" s="1">
        <v>45062</v>
      </c>
      <c r="B198" t="s">
        <v>473</v>
      </c>
      <c r="D198" s="2">
        <v>0</v>
      </c>
      <c r="E198" s="2">
        <v>7529.71</v>
      </c>
      <c r="F198" s="2">
        <v>18336.73</v>
      </c>
      <c r="G198" t="s">
        <v>731</v>
      </c>
      <c r="H198" t="s">
        <v>719</v>
      </c>
    </row>
    <row r="199" spans="1:8" hidden="1" x14ac:dyDescent="0.25">
      <c r="A199" s="1">
        <v>45062</v>
      </c>
      <c r="B199" t="s">
        <v>194</v>
      </c>
      <c r="C199" t="s">
        <v>306</v>
      </c>
      <c r="D199" s="2">
        <v>34058</v>
      </c>
      <c r="E199" s="2">
        <v>0</v>
      </c>
      <c r="F199" s="2">
        <v>27306.59</v>
      </c>
      <c r="G199" t="s">
        <v>794</v>
      </c>
      <c r="H199" t="s">
        <v>716</v>
      </c>
    </row>
    <row r="200" spans="1:8" hidden="1" x14ac:dyDescent="0.25">
      <c r="A200" s="1">
        <v>45063</v>
      </c>
      <c r="B200" t="s">
        <v>473</v>
      </c>
      <c r="D200" s="2">
        <v>0</v>
      </c>
      <c r="E200" s="2">
        <v>4962.8500000000004</v>
      </c>
      <c r="F200" s="2">
        <v>23299.58</v>
      </c>
      <c r="G200" t="s">
        <v>731</v>
      </c>
      <c r="H200" t="s">
        <v>719</v>
      </c>
    </row>
    <row r="201" spans="1:8" hidden="1" x14ac:dyDescent="0.25">
      <c r="A201" s="1">
        <v>45063</v>
      </c>
      <c r="B201" t="s">
        <v>508</v>
      </c>
      <c r="D201" s="2">
        <v>1062</v>
      </c>
      <c r="E201" s="2">
        <v>0</v>
      </c>
      <c r="F201" s="2">
        <v>22237.58</v>
      </c>
      <c r="G201" t="s">
        <v>729</v>
      </c>
      <c r="H201" t="s">
        <v>719</v>
      </c>
    </row>
    <row r="202" spans="1:8" hidden="1" x14ac:dyDescent="0.25">
      <c r="A202" s="1">
        <v>45063</v>
      </c>
      <c r="B202" t="s">
        <v>509</v>
      </c>
      <c r="D202" s="2">
        <v>2000</v>
      </c>
      <c r="E202" s="2">
        <v>0</v>
      </c>
      <c r="F202" s="2">
        <v>20237.580000000002</v>
      </c>
      <c r="G202" t="s">
        <v>725</v>
      </c>
      <c r="H202" t="s">
        <v>719</v>
      </c>
    </row>
    <row r="203" spans="1:8" hidden="1" x14ac:dyDescent="0.25">
      <c r="A203" s="1">
        <v>45063</v>
      </c>
      <c r="B203" t="s">
        <v>472</v>
      </c>
      <c r="D203" s="2">
        <v>260.55</v>
      </c>
      <c r="E203" s="2">
        <v>0</v>
      </c>
      <c r="F203" s="2">
        <v>19977.03</v>
      </c>
      <c r="G203" t="s">
        <v>731</v>
      </c>
      <c r="H203" t="s">
        <v>719</v>
      </c>
    </row>
    <row r="204" spans="1:8" hidden="1" x14ac:dyDescent="0.25">
      <c r="A204" s="1">
        <v>45063</v>
      </c>
      <c r="B204" t="s">
        <v>472</v>
      </c>
      <c r="D204" s="2">
        <v>2542.54</v>
      </c>
      <c r="E204" s="2">
        <v>0</v>
      </c>
      <c r="F204" s="2">
        <v>17434.490000000002</v>
      </c>
      <c r="G204" t="s">
        <v>731</v>
      </c>
      <c r="H204" t="s">
        <v>719</v>
      </c>
    </row>
    <row r="205" spans="1:8" hidden="1" x14ac:dyDescent="0.25">
      <c r="A205" s="1">
        <v>45063</v>
      </c>
      <c r="B205" t="s">
        <v>473</v>
      </c>
      <c r="D205" s="2">
        <v>0</v>
      </c>
      <c r="E205" s="2">
        <v>2451.6999999999998</v>
      </c>
      <c r="F205" s="2">
        <v>19886.189999999999</v>
      </c>
      <c r="G205" t="s">
        <v>731</v>
      </c>
      <c r="H205" t="s">
        <v>719</v>
      </c>
    </row>
    <row r="206" spans="1:8" hidden="1" x14ac:dyDescent="0.25">
      <c r="A206" s="1">
        <v>45064</v>
      </c>
      <c r="B206" t="s">
        <v>52</v>
      </c>
      <c r="D206" s="2">
        <v>663.16</v>
      </c>
      <c r="E206" s="2">
        <v>0</v>
      </c>
      <c r="F206" s="2">
        <v>41355.01</v>
      </c>
      <c r="G206" s="55" t="s">
        <v>1052</v>
      </c>
      <c r="H206" t="s">
        <v>715</v>
      </c>
    </row>
    <row r="207" spans="1:8" hidden="1" x14ac:dyDescent="0.25">
      <c r="A207" s="1">
        <v>45064</v>
      </c>
      <c r="B207" t="s">
        <v>473</v>
      </c>
      <c r="D207" s="2">
        <v>0</v>
      </c>
      <c r="E207" s="2">
        <v>5387.08</v>
      </c>
      <c r="F207" s="2">
        <v>25273.27</v>
      </c>
      <c r="G207" t="s">
        <v>731</v>
      </c>
      <c r="H207" t="s">
        <v>719</v>
      </c>
    </row>
    <row r="208" spans="1:8" hidden="1" x14ac:dyDescent="0.25">
      <c r="A208" s="1">
        <v>45064</v>
      </c>
      <c r="B208" t="s">
        <v>510</v>
      </c>
      <c r="D208" s="2">
        <v>0</v>
      </c>
      <c r="E208" s="2">
        <v>1125</v>
      </c>
      <c r="F208" s="2">
        <v>26398.27</v>
      </c>
      <c r="G208" t="s">
        <v>736</v>
      </c>
      <c r="H208" t="s">
        <v>719</v>
      </c>
    </row>
    <row r="209" spans="1:8" hidden="1" x14ac:dyDescent="0.25">
      <c r="A209" s="1">
        <v>45064</v>
      </c>
      <c r="B209" t="s">
        <v>472</v>
      </c>
      <c r="D209" s="2">
        <v>259.3</v>
      </c>
      <c r="E209" s="2">
        <v>0</v>
      </c>
      <c r="F209" s="2">
        <v>26138.97</v>
      </c>
      <c r="G209" t="s">
        <v>731</v>
      </c>
      <c r="H209" t="s">
        <v>719</v>
      </c>
    </row>
    <row r="210" spans="1:8" hidden="1" x14ac:dyDescent="0.25">
      <c r="A210" s="1">
        <v>45064</v>
      </c>
      <c r="B210" t="s">
        <v>511</v>
      </c>
      <c r="D210" s="2">
        <v>0</v>
      </c>
      <c r="E210" s="2">
        <v>129.43</v>
      </c>
      <c r="F210" s="2">
        <v>26268.400000000001</v>
      </c>
      <c r="G210" t="s">
        <v>732</v>
      </c>
      <c r="H210" t="s">
        <v>719</v>
      </c>
    </row>
    <row r="211" spans="1:8" hidden="1" x14ac:dyDescent="0.25">
      <c r="A211" s="1">
        <v>45064</v>
      </c>
      <c r="B211" t="s">
        <v>472</v>
      </c>
      <c r="D211" s="2">
        <v>2544.04</v>
      </c>
      <c r="E211" s="2">
        <v>0</v>
      </c>
      <c r="F211" s="2">
        <v>23724.36</v>
      </c>
      <c r="G211" t="s">
        <v>731</v>
      </c>
      <c r="H211" t="s">
        <v>719</v>
      </c>
    </row>
    <row r="212" spans="1:8" hidden="1" x14ac:dyDescent="0.25">
      <c r="A212" s="1">
        <v>45065</v>
      </c>
      <c r="B212" t="s">
        <v>473</v>
      </c>
      <c r="D212" s="2">
        <v>0</v>
      </c>
      <c r="E212" s="2">
        <v>625.20000000000005</v>
      </c>
      <c r="F212" s="2">
        <v>24349.56</v>
      </c>
      <c r="G212" t="s">
        <v>731</v>
      </c>
      <c r="H212" t="s">
        <v>719</v>
      </c>
    </row>
    <row r="213" spans="1:8" hidden="1" x14ac:dyDescent="0.25">
      <c r="A213" s="1">
        <v>45065</v>
      </c>
      <c r="B213" t="s">
        <v>472</v>
      </c>
      <c r="D213" s="2">
        <v>258.04000000000002</v>
      </c>
      <c r="E213" s="2">
        <v>0</v>
      </c>
      <c r="F213" s="2">
        <v>24091.52</v>
      </c>
      <c r="G213" t="s">
        <v>731</v>
      </c>
      <c r="H213" t="s">
        <v>719</v>
      </c>
    </row>
    <row r="214" spans="1:8" hidden="1" x14ac:dyDescent="0.25">
      <c r="A214" s="1">
        <v>45065</v>
      </c>
      <c r="B214" t="s">
        <v>472</v>
      </c>
      <c r="D214" s="2">
        <v>3838.59</v>
      </c>
      <c r="E214" s="2">
        <v>0</v>
      </c>
      <c r="F214" s="2">
        <v>20252.93</v>
      </c>
      <c r="G214" t="s">
        <v>731</v>
      </c>
      <c r="H214" t="s">
        <v>719</v>
      </c>
    </row>
    <row r="215" spans="1:8" hidden="1" x14ac:dyDescent="0.25">
      <c r="A215" s="1">
        <v>45065</v>
      </c>
      <c r="B215" t="s">
        <v>201</v>
      </c>
      <c r="C215" t="s">
        <v>211</v>
      </c>
      <c r="D215" s="2">
        <v>15000</v>
      </c>
      <c r="E215" s="2">
        <v>0</v>
      </c>
      <c r="F215" s="2">
        <v>12306.59</v>
      </c>
      <c r="G215" s="55" t="s">
        <v>1052</v>
      </c>
      <c r="H215" t="s">
        <v>716</v>
      </c>
    </row>
    <row r="216" spans="1:8" hidden="1" x14ac:dyDescent="0.25">
      <c r="A216" s="1">
        <v>45067</v>
      </c>
      <c r="B216" t="s">
        <v>53</v>
      </c>
      <c r="D216" s="2">
        <v>3550</v>
      </c>
      <c r="E216" s="2">
        <v>0</v>
      </c>
      <c r="F216" s="2">
        <v>37805.01</v>
      </c>
      <c r="G216" t="s">
        <v>792</v>
      </c>
      <c r="H216" t="s">
        <v>715</v>
      </c>
    </row>
    <row r="217" spans="1:8" hidden="1" x14ac:dyDescent="0.25">
      <c r="A217" s="1">
        <v>45068</v>
      </c>
      <c r="B217" t="s">
        <v>480</v>
      </c>
      <c r="D217" s="2">
        <v>3000</v>
      </c>
      <c r="E217" s="2">
        <v>0</v>
      </c>
      <c r="F217" s="2">
        <v>17252.93</v>
      </c>
      <c r="G217" t="s">
        <v>725</v>
      </c>
      <c r="H217" t="s">
        <v>719</v>
      </c>
    </row>
    <row r="218" spans="1:8" hidden="1" x14ac:dyDescent="0.25">
      <c r="A218" s="1">
        <v>45068</v>
      </c>
      <c r="B218" t="s">
        <v>512</v>
      </c>
      <c r="D218" s="2">
        <v>0</v>
      </c>
      <c r="E218" s="2">
        <v>1885</v>
      </c>
      <c r="F218" s="2">
        <v>19137.93</v>
      </c>
      <c r="G218" t="s">
        <v>736</v>
      </c>
      <c r="H218" t="s">
        <v>719</v>
      </c>
    </row>
    <row r="219" spans="1:8" hidden="1" x14ac:dyDescent="0.25">
      <c r="A219" s="1">
        <v>45068</v>
      </c>
      <c r="B219" t="s">
        <v>513</v>
      </c>
      <c r="D219" s="2">
        <v>2000</v>
      </c>
      <c r="E219" s="2">
        <v>0</v>
      </c>
      <c r="F219" s="2">
        <v>17137.93</v>
      </c>
      <c r="G219" t="s">
        <v>725</v>
      </c>
      <c r="H219" t="s">
        <v>719</v>
      </c>
    </row>
    <row r="220" spans="1:8" hidden="1" x14ac:dyDescent="0.25">
      <c r="A220" s="1">
        <v>45068</v>
      </c>
      <c r="B220" t="s">
        <v>514</v>
      </c>
      <c r="D220" s="2">
        <v>2500</v>
      </c>
      <c r="E220" s="2">
        <v>0</v>
      </c>
      <c r="F220" s="2">
        <v>14637.93</v>
      </c>
      <c r="G220" t="s">
        <v>725</v>
      </c>
      <c r="H220" t="s">
        <v>719</v>
      </c>
    </row>
    <row r="221" spans="1:8" hidden="1" x14ac:dyDescent="0.25">
      <c r="A221" s="1">
        <v>45068</v>
      </c>
      <c r="B221" t="s">
        <v>472</v>
      </c>
      <c r="D221" s="2">
        <v>768.45</v>
      </c>
      <c r="E221" s="2">
        <v>0</v>
      </c>
      <c r="F221" s="2">
        <v>13869.48</v>
      </c>
      <c r="G221" t="s">
        <v>731</v>
      </c>
      <c r="H221" t="s">
        <v>719</v>
      </c>
    </row>
    <row r="222" spans="1:8" hidden="1" x14ac:dyDescent="0.25">
      <c r="A222" s="1">
        <v>45068</v>
      </c>
      <c r="B222" t="s">
        <v>515</v>
      </c>
      <c r="D222" s="2">
        <v>0</v>
      </c>
      <c r="E222" s="2">
        <v>20000</v>
      </c>
      <c r="F222" s="2">
        <v>33869.480000000003</v>
      </c>
      <c r="G222" t="s">
        <v>764</v>
      </c>
      <c r="H222" t="s">
        <v>719</v>
      </c>
    </row>
    <row r="223" spans="1:8" hidden="1" x14ac:dyDescent="0.25">
      <c r="A223" s="1">
        <v>45068</v>
      </c>
      <c r="B223" t="s">
        <v>472</v>
      </c>
      <c r="D223" s="2">
        <v>6209.3</v>
      </c>
      <c r="E223" s="2">
        <v>0</v>
      </c>
      <c r="F223" s="2">
        <v>27660.18</v>
      </c>
      <c r="G223" t="s">
        <v>731</v>
      </c>
      <c r="H223" t="s">
        <v>719</v>
      </c>
    </row>
    <row r="224" spans="1:8" hidden="1" x14ac:dyDescent="0.25">
      <c r="A224" s="1">
        <v>45068</v>
      </c>
      <c r="B224" t="s">
        <v>201</v>
      </c>
      <c r="C224" t="s">
        <v>200</v>
      </c>
      <c r="D224" s="2">
        <v>4583.09</v>
      </c>
      <c r="E224" s="2">
        <v>0</v>
      </c>
      <c r="F224" s="2">
        <v>7723.5</v>
      </c>
      <c r="G224" s="55" t="s">
        <v>1052</v>
      </c>
      <c r="H224" t="s">
        <v>716</v>
      </c>
    </row>
    <row r="225" spans="1:8" hidden="1" x14ac:dyDescent="0.25">
      <c r="A225" s="1">
        <v>45069</v>
      </c>
      <c r="B225" t="s">
        <v>54</v>
      </c>
      <c r="D225" s="2">
        <v>209</v>
      </c>
      <c r="E225" s="2">
        <v>0</v>
      </c>
      <c r="F225" s="2">
        <v>37596.01</v>
      </c>
      <c r="G225" t="s">
        <v>792</v>
      </c>
      <c r="H225" t="s">
        <v>715</v>
      </c>
    </row>
    <row r="226" spans="1:8" hidden="1" x14ac:dyDescent="0.25">
      <c r="A226" s="1">
        <v>45069</v>
      </c>
      <c r="B226" t="s">
        <v>472</v>
      </c>
      <c r="D226" s="2">
        <v>253.09</v>
      </c>
      <c r="E226" s="2">
        <v>0</v>
      </c>
      <c r="F226" s="2">
        <v>27407.09</v>
      </c>
      <c r="G226" t="s">
        <v>731</v>
      </c>
      <c r="H226" t="s">
        <v>719</v>
      </c>
    </row>
    <row r="227" spans="1:8" hidden="1" x14ac:dyDescent="0.25">
      <c r="A227" s="1">
        <v>45069</v>
      </c>
      <c r="B227" t="s">
        <v>473</v>
      </c>
      <c r="D227" s="2">
        <v>0</v>
      </c>
      <c r="E227" s="2">
        <v>4358.91</v>
      </c>
      <c r="F227" s="2">
        <v>31766</v>
      </c>
      <c r="G227" t="s">
        <v>731</v>
      </c>
      <c r="H227" t="s">
        <v>719</v>
      </c>
    </row>
    <row r="228" spans="1:8" hidden="1" x14ac:dyDescent="0.25">
      <c r="A228" s="1">
        <v>45069</v>
      </c>
      <c r="B228" t="s">
        <v>183</v>
      </c>
      <c r="C228" t="s">
        <v>305</v>
      </c>
      <c r="D228" s="2">
        <v>0</v>
      </c>
      <c r="E228" s="2">
        <v>42895.08</v>
      </c>
      <c r="F228" s="2">
        <v>50618.58</v>
      </c>
      <c r="G228" s="55" t="s">
        <v>1052</v>
      </c>
      <c r="H228" t="s">
        <v>716</v>
      </c>
    </row>
    <row r="229" spans="1:8" hidden="1" x14ac:dyDescent="0.25">
      <c r="A229" s="1">
        <v>45070</v>
      </c>
      <c r="B229" t="s">
        <v>55</v>
      </c>
      <c r="D229" s="2">
        <v>15000</v>
      </c>
      <c r="E229" s="2">
        <v>0</v>
      </c>
      <c r="F229" s="2">
        <v>22596.01</v>
      </c>
      <c r="G229" t="s">
        <v>734</v>
      </c>
      <c r="H229" t="s">
        <v>715</v>
      </c>
    </row>
    <row r="230" spans="1:8" hidden="1" x14ac:dyDescent="0.25">
      <c r="A230" s="1">
        <v>45070</v>
      </c>
      <c r="B230" t="s">
        <v>56</v>
      </c>
      <c r="D230" s="2">
        <v>2230</v>
      </c>
      <c r="E230" s="2">
        <v>0</v>
      </c>
      <c r="F230" s="2">
        <v>20366.009999999998</v>
      </c>
      <c r="G230" t="s">
        <v>793</v>
      </c>
      <c r="H230" t="s">
        <v>715</v>
      </c>
    </row>
    <row r="231" spans="1:8" hidden="1" x14ac:dyDescent="0.25">
      <c r="A231" s="1">
        <v>45070</v>
      </c>
      <c r="B231" t="s">
        <v>472</v>
      </c>
      <c r="D231" s="2">
        <v>255.24</v>
      </c>
      <c r="E231" s="2">
        <v>0</v>
      </c>
      <c r="F231" s="2">
        <v>31510.76</v>
      </c>
      <c r="G231" t="s">
        <v>731</v>
      </c>
      <c r="H231" t="s">
        <v>719</v>
      </c>
    </row>
    <row r="232" spans="1:8" hidden="1" x14ac:dyDescent="0.25">
      <c r="A232" s="1">
        <v>45070</v>
      </c>
      <c r="B232" t="s">
        <v>516</v>
      </c>
      <c r="D232" s="2">
        <v>0</v>
      </c>
      <c r="E232" s="2">
        <v>1160</v>
      </c>
      <c r="F232" s="2">
        <v>32670.76</v>
      </c>
      <c r="G232" t="s">
        <v>736</v>
      </c>
      <c r="H232" t="s">
        <v>719</v>
      </c>
    </row>
    <row r="233" spans="1:8" hidden="1" x14ac:dyDescent="0.25">
      <c r="A233" s="1">
        <v>45070</v>
      </c>
      <c r="B233" t="s">
        <v>472</v>
      </c>
      <c r="D233" s="2">
        <v>6.13</v>
      </c>
      <c r="E233" s="2">
        <v>0</v>
      </c>
      <c r="F233" s="2">
        <v>32664.63</v>
      </c>
      <c r="G233" t="s">
        <v>731</v>
      </c>
      <c r="H233" t="s">
        <v>719</v>
      </c>
    </row>
    <row r="234" spans="1:8" hidden="1" x14ac:dyDescent="0.25">
      <c r="A234" s="1">
        <v>45071</v>
      </c>
      <c r="B234" t="s">
        <v>517</v>
      </c>
      <c r="D234" s="2">
        <v>3000</v>
      </c>
      <c r="E234" s="2">
        <v>0</v>
      </c>
      <c r="F234" s="2">
        <v>29664.63</v>
      </c>
      <c r="G234" t="s">
        <v>725</v>
      </c>
      <c r="H234" t="s">
        <v>719</v>
      </c>
    </row>
    <row r="235" spans="1:8" hidden="1" x14ac:dyDescent="0.25">
      <c r="A235" s="1">
        <v>45071</v>
      </c>
      <c r="B235" t="s">
        <v>472</v>
      </c>
      <c r="D235" s="2">
        <v>255.23</v>
      </c>
      <c r="E235" s="2">
        <v>0</v>
      </c>
      <c r="F235" s="2">
        <v>29409.4</v>
      </c>
      <c r="G235" t="s">
        <v>731</v>
      </c>
      <c r="H235" t="s">
        <v>719</v>
      </c>
    </row>
    <row r="236" spans="1:8" hidden="1" x14ac:dyDescent="0.25">
      <c r="A236" s="1">
        <v>45071</v>
      </c>
      <c r="B236" t="s">
        <v>473</v>
      </c>
      <c r="D236" s="2">
        <v>0</v>
      </c>
      <c r="E236" s="2">
        <v>2570.91</v>
      </c>
      <c r="F236" s="2">
        <v>31980.31</v>
      </c>
      <c r="G236" t="s">
        <v>731</v>
      </c>
      <c r="H236" t="s">
        <v>719</v>
      </c>
    </row>
    <row r="237" spans="1:8" hidden="1" x14ac:dyDescent="0.25">
      <c r="A237" s="1">
        <v>45071</v>
      </c>
      <c r="B237" t="s">
        <v>201</v>
      </c>
      <c r="C237" t="s">
        <v>200</v>
      </c>
      <c r="D237" s="2">
        <v>2916.91</v>
      </c>
      <c r="E237" s="2">
        <v>0</v>
      </c>
      <c r="F237" s="2">
        <v>47701.67</v>
      </c>
      <c r="G237" s="55" t="s">
        <v>1052</v>
      </c>
      <c r="H237" t="s">
        <v>716</v>
      </c>
    </row>
    <row r="238" spans="1:8" hidden="1" x14ac:dyDescent="0.25">
      <c r="A238" s="1">
        <v>45072</v>
      </c>
      <c r="B238" t="s">
        <v>57</v>
      </c>
      <c r="D238" s="2">
        <v>20</v>
      </c>
      <c r="E238" s="2">
        <v>0</v>
      </c>
      <c r="F238" s="2">
        <v>20346.009999999998</v>
      </c>
      <c r="G238" s="55" t="s">
        <v>1052</v>
      </c>
      <c r="H238" t="s">
        <v>715</v>
      </c>
    </row>
    <row r="239" spans="1:8" hidden="1" x14ac:dyDescent="0.25">
      <c r="A239" s="1">
        <v>45072</v>
      </c>
      <c r="B239" t="s">
        <v>472</v>
      </c>
      <c r="D239" s="2">
        <v>10937.98</v>
      </c>
      <c r="E239" s="2">
        <v>0</v>
      </c>
      <c r="F239" s="2">
        <v>21042.33</v>
      </c>
      <c r="G239" t="s">
        <v>731</v>
      </c>
      <c r="H239" t="s">
        <v>719</v>
      </c>
    </row>
    <row r="240" spans="1:8" hidden="1" x14ac:dyDescent="0.25">
      <c r="A240" s="1">
        <v>45072</v>
      </c>
      <c r="B240" t="s">
        <v>473</v>
      </c>
      <c r="D240" s="2">
        <v>0</v>
      </c>
      <c r="E240" s="2">
        <v>8135.98</v>
      </c>
      <c r="F240" s="2">
        <v>29178.31</v>
      </c>
      <c r="G240" t="s">
        <v>731</v>
      </c>
      <c r="H240" t="s">
        <v>719</v>
      </c>
    </row>
    <row r="241" spans="1:8" hidden="1" x14ac:dyDescent="0.25">
      <c r="A241" s="1">
        <v>45072</v>
      </c>
      <c r="B241" t="s">
        <v>472</v>
      </c>
      <c r="D241" s="2">
        <v>249.84</v>
      </c>
      <c r="E241" s="2">
        <v>0</v>
      </c>
      <c r="F241" s="2">
        <v>28928.47</v>
      </c>
      <c r="G241" t="s">
        <v>731</v>
      </c>
      <c r="H241" t="s">
        <v>719</v>
      </c>
    </row>
    <row r="242" spans="1:8" hidden="1" x14ac:dyDescent="0.25">
      <c r="A242" s="1">
        <v>45072</v>
      </c>
      <c r="B242" t="s">
        <v>473</v>
      </c>
      <c r="D242" s="2">
        <v>0</v>
      </c>
      <c r="E242" s="2">
        <v>2409.84</v>
      </c>
      <c r="F242" s="2">
        <v>31338.31</v>
      </c>
      <c r="G242" t="s">
        <v>731</v>
      </c>
      <c r="H242" t="s">
        <v>719</v>
      </c>
    </row>
    <row r="243" spans="1:8" hidden="1" x14ac:dyDescent="0.25">
      <c r="A243" s="1">
        <v>45072</v>
      </c>
      <c r="B243" t="s">
        <v>201</v>
      </c>
      <c r="C243" t="s">
        <v>200</v>
      </c>
      <c r="D243" s="2">
        <v>39892.57</v>
      </c>
      <c r="E243" s="2">
        <v>0</v>
      </c>
      <c r="F243" s="2">
        <v>7809.1</v>
      </c>
      <c r="G243" s="55" t="s">
        <v>1052</v>
      </c>
      <c r="H243" t="s">
        <v>716</v>
      </c>
    </row>
    <row r="244" spans="1:8" hidden="1" x14ac:dyDescent="0.25">
      <c r="A244" s="1">
        <v>45075</v>
      </c>
      <c r="B244" t="s">
        <v>472</v>
      </c>
      <c r="D244" s="2">
        <v>753.09</v>
      </c>
      <c r="E244" s="2">
        <v>0</v>
      </c>
      <c r="F244" s="2">
        <v>30585.22</v>
      </c>
      <c r="G244" t="s">
        <v>731</v>
      </c>
      <c r="H244" t="s">
        <v>719</v>
      </c>
    </row>
    <row r="245" spans="1:8" hidden="1" x14ac:dyDescent="0.25">
      <c r="A245" s="1">
        <v>45075</v>
      </c>
      <c r="B245" t="s">
        <v>480</v>
      </c>
      <c r="D245" s="2">
        <v>3000</v>
      </c>
      <c r="E245" s="2">
        <v>0</v>
      </c>
      <c r="F245" s="2">
        <v>27585.22</v>
      </c>
      <c r="G245" t="s">
        <v>725</v>
      </c>
      <c r="H245" t="s">
        <v>719</v>
      </c>
    </row>
    <row r="246" spans="1:8" hidden="1" x14ac:dyDescent="0.25">
      <c r="A246" s="1">
        <v>45075</v>
      </c>
      <c r="B246" t="s">
        <v>472</v>
      </c>
      <c r="D246" s="2">
        <v>12917.92</v>
      </c>
      <c r="E246" s="2">
        <v>0</v>
      </c>
      <c r="F246" s="2">
        <v>14667.3</v>
      </c>
      <c r="G246" t="s">
        <v>731</v>
      </c>
      <c r="H246" t="s">
        <v>719</v>
      </c>
    </row>
    <row r="247" spans="1:8" hidden="1" x14ac:dyDescent="0.25">
      <c r="A247" s="1">
        <v>45076</v>
      </c>
      <c r="B247" t="s">
        <v>472</v>
      </c>
      <c r="D247" s="2">
        <v>244.66</v>
      </c>
      <c r="E247" s="2">
        <v>0</v>
      </c>
      <c r="F247" s="2">
        <v>14422.64</v>
      </c>
      <c r="G247" t="s">
        <v>731</v>
      </c>
      <c r="H247" t="s">
        <v>719</v>
      </c>
    </row>
    <row r="248" spans="1:8" hidden="1" x14ac:dyDescent="0.25">
      <c r="A248" s="1">
        <v>45076</v>
      </c>
      <c r="B248" t="s">
        <v>473</v>
      </c>
      <c r="D248" s="2">
        <v>0</v>
      </c>
      <c r="E248" s="2">
        <v>4844.03</v>
      </c>
      <c r="F248" s="2">
        <v>19266.669999999998</v>
      </c>
      <c r="G248" t="s">
        <v>731</v>
      </c>
      <c r="H248" t="s">
        <v>719</v>
      </c>
    </row>
    <row r="249" spans="1:8" hidden="1" x14ac:dyDescent="0.25">
      <c r="A249" s="1">
        <v>45076</v>
      </c>
      <c r="B249" t="s">
        <v>472</v>
      </c>
      <c r="D249" s="2">
        <v>7299.32</v>
      </c>
      <c r="E249" s="2">
        <v>0</v>
      </c>
      <c r="F249" s="2">
        <v>11967.35</v>
      </c>
      <c r="G249" t="s">
        <v>731</v>
      </c>
      <c r="H249" t="s">
        <v>719</v>
      </c>
    </row>
    <row r="250" spans="1:8" hidden="1" x14ac:dyDescent="0.25">
      <c r="A250" s="1">
        <v>45076</v>
      </c>
      <c r="B250" t="s">
        <v>473</v>
      </c>
      <c r="D250" s="2">
        <v>0</v>
      </c>
      <c r="E250" s="2">
        <v>7299.32</v>
      </c>
      <c r="F250" s="2">
        <v>19266.669999999998</v>
      </c>
      <c r="G250" t="s">
        <v>731</v>
      </c>
      <c r="H250" t="s">
        <v>719</v>
      </c>
    </row>
    <row r="251" spans="1:8" hidden="1" x14ac:dyDescent="0.25">
      <c r="A251" s="1">
        <v>45076</v>
      </c>
      <c r="B251" t="s">
        <v>183</v>
      </c>
      <c r="C251" t="s">
        <v>304</v>
      </c>
      <c r="D251" s="2">
        <v>0</v>
      </c>
      <c r="E251" s="2">
        <v>9195.2000000000007</v>
      </c>
      <c r="F251" s="2">
        <v>17004.3</v>
      </c>
      <c r="G251" s="55" t="s">
        <v>1052</v>
      </c>
      <c r="H251" t="s">
        <v>716</v>
      </c>
    </row>
    <row r="252" spans="1:8" hidden="1" x14ac:dyDescent="0.25">
      <c r="A252" s="1">
        <v>45076</v>
      </c>
      <c r="B252" t="s">
        <v>183</v>
      </c>
      <c r="C252" t="s">
        <v>303</v>
      </c>
      <c r="D252" s="2">
        <v>0</v>
      </c>
      <c r="E252" s="2">
        <v>28919.23</v>
      </c>
      <c r="F252" s="2">
        <v>45923.53</v>
      </c>
      <c r="G252" s="55" t="s">
        <v>1052</v>
      </c>
      <c r="H252" t="s">
        <v>716</v>
      </c>
    </row>
    <row r="253" spans="1:8" hidden="1" x14ac:dyDescent="0.25">
      <c r="A253" s="1">
        <v>45077</v>
      </c>
      <c r="B253" t="s">
        <v>473</v>
      </c>
      <c r="D253" s="2">
        <v>0</v>
      </c>
      <c r="E253" s="2">
        <v>5992.57</v>
      </c>
      <c r="F253" s="2">
        <v>25259.24</v>
      </c>
      <c r="G253" t="s">
        <v>731</v>
      </c>
      <c r="H253" t="s">
        <v>719</v>
      </c>
    </row>
    <row r="254" spans="1:8" hidden="1" x14ac:dyDescent="0.25">
      <c r="A254" s="1">
        <v>45077</v>
      </c>
      <c r="B254" t="s">
        <v>472</v>
      </c>
      <c r="D254" s="2">
        <v>1294.83</v>
      </c>
      <c r="E254" s="2">
        <v>0</v>
      </c>
      <c r="F254" s="2">
        <v>23964.41</v>
      </c>
      <c r="G254" t="s">
        <v>731</v>
      </c>
      <c r="H254" t="s">
        <v>719</v>
      </c>
    </row>
    <row r="255" spans="1:8" hidden="1" x14ac:dyDescent="0.25">
      <c r="A255" s="1">
        <v>45077</v>
      </c>
      <c r="B255" t="s">
        <v>472</v>
      </c>
      <c r="D255" s="2">
        <v>15075.76</v>
      </c>
      <c r="E255" s="2">
        <v>0</v>
      </c>
      <c r="F255" s="2">
        <v>8888.65</v>
      </c>
      <c r="G255" t="s">
        <v>731</v>
      </c>
      <c r="H255" t="s">
        <v>719</v>
      </c>
    </row>
    <row r="256" spans="1:8" hidden="1" x14ac:dyDescent="0.25">
      <c r="A256" s="1">
        <v>45077</v>
      </c>
      <c r="B256" t="s">
        <v>473</v>
      </c>
      <c r="D256" s="2">
        <v>0</v>
      </c>
      <c r="E256" s="2">
        <v>1294.83</v>
      </c>
      <c r="F256" s="2">
        <v>10183.48</v>
      </c>
      <c r="G256" t="s">
        <v>731</v>
      </c>
      <c r="H256" t="s">
        <v>719</v>
      </c>
    </row>
    <row r="257" spans="1:10" hidden="1" x14ac:dyDescent="0.25">
      <c r="A257" s="1">
        <v>45077</v>
      </c>
      <c r="B257" t="s">
        <v>380</v>
      </c>
      <c r="C257">
        <v>0</v>
      </c>
      <c r="D257" s="2">
        <v>227</v>
      </c>
      <c r="E257" s="2">
        <v>0</v>
      </c>
      <c r="F257" s="2">
        <v>-25160.37</v>
      </c>
      <c r="G257" t="s">
        <v>790</v>
      </c>
      <c r="H257" t="s">
        <v>718</v>
      </c>
    </row>
    <row r="258" spans="1:10" hidden="1" x14ac:dyDescent="0.25">
      <c r="A258" s="1">
        <v>45078</v>
      </c>
      <c r="B258" t="s">
        <v>472</v>
      </c>
      <c r="D258" s="2">
        <v>231.57</v>
      </c>
      <c r="E258" s="2">
        <v>0</v>
      </c>
      <c r="F258" s="2">
        <v>9951.91</v>
      </c>
      <c r="G258" t="s">
        <v>731</v>
      </c>
      <c r="H258" t="s">
        <v>719</v>
      </c>
    </row>
    <row r="259" spans="1:10" hidden="1" x14ac:dyDescent="0.25">
      <c r="A259" s="1">
        <v>45078</v>
      </c>
      <c r="B259" t="s">
        <v>473</v>
      </c>
      <c r="D259" s="2">
        <v>0</v>
      </c>
      <c r="E259" s="2">
        <v>33477.629999999997</v>
      </c>
      <c r="F259" s="2">
        <v>43429.54</v>
      </c>
      <c r="G259" t="s">
        <v>731</v>
      </c>
      <c r="H259" t="s">
        <v>719</v>
      </c>
    </row>
    <row r="260" spans="1:10" hidden="1" x14ac:dyDescent="0.25">
      <c r="A260" s="1">
        <v>45078</v>
      </c>
      <c r="B260" t="s">
        <v>518</v>
      </c>
      <c r="D260" s="2">
        <v>1500</v>
      </c>
      <c r="E260" s="2">
        <v>0</v>
      </c>
      <c r="F260" s="2">
        <v>41929.54</v>
      </c>
      <c r="G260" t="s">
        <v>725</v>
      </c>
      <c r="H260" t="s">
        <v>719</v>
      </c>
    </row>
    <row r="261" spans="1:10" hidden="1" x14ac:dyDescent="0.25">
      <c r="A261" s="1">
        <v>45078</v>
      </c>
      <c r="B261" t="s">
        <v>519</v>
      </c>
      <c r="D261" s="2">
        <v>2000</v>
      </c>
      <c r="E261" s="2">
        <v>0</v>
      </c>
      <c r="F261" s="2">
        <v>39929.54</v>
      </c>
      <c r="G261" t="s">
        <v>725</v>
      </c>
      <c r="H261" t="s">
        <v>719</v>
      </c>
    </row>
    <row r="262" spans="1:10" hidden="1" x14ac:dyDescent="0.25">
      <c r="A262" s="1">
        <v>45078</v>
      </c>
      <c r="B262" t="s">
        <v>520</v>
      </c>
      <c r="D262" s="2">
        <v>2000</v>
      </c>
      <c r="E262" s="2">
        <v>0</v>
      </c>
      <c r="F262" s="2">
        <v>37929.54</v>
      </c>
      <c r="G262" t="s">
        <v>725</v>
      </c>
      <c r="H262" t="s">
        <v>719</v>
      </c>
      <c r="J262" s="7">
        <f>F261-D262+E262-F262</f>
        <v>0</v>
      </c>
    </row>
    <row r="263" spans="1:10" hidden="1" x14ac:dyDescent="0.25">
      <c r="A263" s="1">
        <v>45078</v>
      </c>
      <c r="B263" t="s">
        <v>473</v>
      </c>
      <c r="D263" s="2">
        <v>0</v>
      </c>
      <c r="E263" s="2">
        <v>498.32</v>
      </c>
      <c r="F263" s="2">
        <v>38427.86</v>
      </c>
      <c r="G263" t="s">
        <v>731</v>
      </c>
      <c r="H263" t="s">
        <v>719</v>
      </c>
      <c r="J263" s="7">
        <f t="shared" ref="J263:J326" si="0">F262-D263+E263-F263</f>
        <v>0</v>
      </c>
    </row>
    <row r="264" spans="1:10" hidden="1" x14ac:dyDescent="0.25">
      <c r="A264" s="1">
        <v>45078</v>
      </c>
      <c r="B264" t="s">
        <v>472</v>
      </c>
      <c r="D264" s="2">
        <v>397</v>
      </c>
      <c r="E264" s="2">
        <v>0</v>
      </c>
      <c r="F264" s="2">
        <v>38030.86</v>
      </c>
      <c r="G264" t="s">
        <v>731</v>
      </c>
      <c r="H264" t="s">
        <v>719</v>
      </c>
      <c r="J264" s="7">
        <f t="shared" si="0"/>
        <v>0</v>
      </c>
    </row>
    <row r="265" spans="1:10" hidden="1" x14ac:dyDescent="0.25">
      <c r="A265" s="1">
        <v>45078</v>
      </c>
      <c r="B265" t="s">
        <v>183</v>
      </c>
      <c r="C265" t="s">
        <v>302</v>
      </c>
      <c r="D265" s="2">
        <v>0</v>
      </c>
      <c r="E265" s="2">
        <v>9785.48</v>
      </c>
      <c r="F265" s="2">
        <v>55709.01</v>
      </c>
      <c r="G265" s="55" t="s">
        <v>1052</v>
      </c>
      <c r="H265" t="s">
        <v>716</v>
      </c>
      <c r="J265" s="7">
        <f t="shared" si="0"/>
        <v>-7892.6700000000055</v>
      </c>
    </row>
    <row r="266" spans="1:10" hidden="1" x14ac:dyDescent="0.25">
      <c r="A266" s="1">
        <v>45078</v>
      </c>
      <c r="B266" t="s">
        <v>234</v>
      </c>
      <c r="C266" t="s">
        <v>301</v>
      </c>
      <c r="D266" s="2">
        <v>0</v>
      </c>
      <c r="E266" s="2">
        <v>30000</v>
      </c>
      <c r="F266" s="2">
        <v>85709.01</v>
      </c>
      <c r="G266" t="s">
        <v>724</v>
      </c>
      <c r="H266" t="s">
        <v>716</v>
      </c>
      <c r="J266" s="7">
        <f t="shared" si="0"/>
        <v>0</v>
      </c>
    </row>
    <row r="267" spans="1:10" hidden="1" x14ac:dyDescent="0.25">
      <c r="A267" s="1">
        <v>45078</v>
      </c>
      <c r="B267" t="s">
        <v>183</v>
      </c>
      <c r="C267" t="s">
        <v>300</v>
      </c>
      <c r="D267" s="2">
        <v>0</v>
      </c>
      <c r="E267" s="2">
        <v>27650.57</v>
      </c>
      <c r="F267" s="2">
        <v>113359.58</v>
      </c>
      <c r="G267" s="55" t="s">
        <v>1052</v>
      </c>
      <c r="H267" t="s">
        <v>716</v>
      </c>
      <c r="J267" s="7">
        <f t="shared" si="0"/>
        <v>0</v>
      </c>
    </row>
    <row r="268" spans="1:10" hidden="1" x14ac:dyDescent="0.25">
      <c r="A268" s="1">
        <v>45078</v>
      </c>
      <c r="B268" t="s">
        <v>377</v>
      </c>
      <c r="C268" t="s">
        <v>381</v>
      </c>
      <c r="D268" s="2">
        <v>30000</v>
      </c>
      <c r="E268" s="2">
        <v>0</v>
      </c>
      <c r="F268" s="2">
        <v>-55160.37</v>
      </c>
      <c r="G268" t="s">
        <v>724</v>
      </c>
      <c r="H268" t="s">
        <v>718</v>
      </c>
      <c r="J268" s="7">
        <f t="shared" si="0"/>
        <v>138519.95000000001</v>
      </c>
    </row>
    <row r="269" spans="1:10" hidden="1" x14ac:dyDescent="0.25">
      <c r="A269" s="1">
        <v>45079</v>
      </c>
      <c r="B269" t="s">
        <v>472</v>
      </c>
      <c r="D269" s="2">
        <v>226.31</v>
      </c>
      <c r="E269" s="2">
        <v>0</v>
      </c>
      <c r="F269" s="2">
        <v>37804.550000000003</v>
      </c>
      <c r="G269" t="s">
        <v>731</v>
      </c>
      <c r="H269" t="s">
        <v>719</v>
      </c>
      <c r="J269" s="7">
        <f t="shared" si="0"/>
        <v>-93191.23000000001</v>
      </c>
    </row>
    <row r="270" spans="1:10" hidden="1" x14ac:dyDescent="0.25">
      <c r="A270" s="1">
        <v>45079</v>
      </c>
      <c r="B270" t="s">
        <v>472</v>
      </c>
      <c r="D270" s="2">
        <v>348.36</v>
      </c>
      <c r="E270" s="2">
        <v>0</v>
      </c>
      <c r="F270" s="2">
        <v>37456.19</v>
      </c>
      <c r="G270" t="s">
        <v>731</v>
      </c>
      <c r="H270" t="s">
        <v>719</v>
      </c>
      <c r="J270" s="7">
        <f t="shared" si="0"/>
        <v>0</v>
      </c>
    </row>
    <row r="271" spans="1:10" hidden="1" x14ac:dyDescent="0.25">
      <c r="A271" s="1">
        <v>45079</v>
      </c>
      <c r="B271" t="s">
        <v>473</v>
      </c>
      <c r="D271" s="2">
        <v>0</v>
      </c>
      <c r="E271" s="2">
        <v>226.31</v>
      </c>
      <c r="F271" s="2">
        <v>37682.5</v>
      </c>
      <c r="G271" t="s">
        <v>731</v>
      </c>
      <c r="H271" t="s">
        <v>719</v>
      </c>
      <c r="J271" s="7">
        <f t="shared" si="0"/>
        <v>0</v>
      </c>
    </row>
    <row r="272" spans="1:10" hidden="1" x14ac:dyDescent="0.25">
      <c r="A272" s="1">
        <v>45079</v>
      </c>
      <c r="B272" t="s">
        <v>214</v>
      </c>
      <c r="C272" t="s">
        <v>206</v>
      </c>
      <c r="D272" s="2">
        <v>26595</v>
      </c>
      <c r="E272" s="2">
        <v>0</v>
      </c>
      <c r="F272" s="2">
        <v>86764.58</v>
      </c>
      <c r="G272" t="s">
        <v>724</v>
      </c>
      <c r="H272" t="s">
        <v>716</v>
      </c>
      <c r="J272" s="7">
        <f t="shared" si="0"/>
        <v>-75677.08</v>
      </c>
    </row>
    <row r="273" spans="1:10" hidden="1" x14ac:dyDescent="0.25">
      <c r="A273" s="1">
        <v>45079</v>
      </c>
      <c r="B273" t="s">
        <v>201</v>
      </c>
      <c r="C273" t="s">
        <v>200</v>
      </c>
      <c r="D273" s="2">
        <v>50911.37</v>
      </c>
      <c r="E273" s="2">
        <v>0</v>
      </c>
      <c r="F273" s="2">
        <v>35853.21</v>
      </c>
      <c r="G273" s="55" t="s">
        <v>1052</v>
      </c>
      <c r="H273" t="s">
        <v>716</v>
      </c>
      <c r="J273" s="7">
        <f t="shared" si="0"/>
        <v>0</v>
      </c>
    </row>
    <row r="274" spans="1:10" hidden="1" x14ac:dyDescent="0.25">
      <c r="A274" s="1">
        <v>45079</v>
      </c>
      <c r="B274" t="s">
        <v>371</v>
      </c>
      <c r="C274" t="s">
        <v>372</v>
      </c>
      <c r="D274" s="2">
        <v>0</v>
      </c>
      <c r="E274" s="2">
        <v>26595</v>
      </c>
      <c r="F274" s="2">
        <v>-28565.37</v>
      </c>
      <c r="G274" t="s">
        <v>724</v>
      </c>
      <c r="H274" t="s">
        <v>718</v>
      </c>
      <c r="J274" s="7">
        <f t="shared" si="0"/>
        <v>91013.58</v>
      </c>
    </row>
    <row r="275" spans="1:10" hidden="1" x14ac:dyDescent="0.25">
      <c r="A275" s="1">
        <v>45082</v>
      </c>
      <c r="B275" t="s">
        <v>58</v>
      </c>
      <c r="D275" s="2">
        <v>3300</v>
      </c>
      <c r="E275" s="2">
        <v>0</v>
      </c>
      <c r="F275" s="2">
        <v>17046.009999999998</v>
      </c>
      <c r="G275" t="s">
        <v>792</v>
      </c>
      <c r="H275" t="s">
        <v>715</v>
      </c>
      <c r="J275" s="7">
        <f t="shared" si="0"/>
        <v>-48911.38</v>
      </c>
    </row>
    <row r="276" spans="1:10" hidden="1" x14ac:dyDescent="0.25">
      <c r="A276" s="1">
        <v>45082</v>
      </c>
      <c r="B276" t="s">
        <v>59</v>
      </c>
      <c r="D276" s="2">
        <v>0</v>
      </c>
      <c r="E276" s="2">
        <v>20000</v>
      </c>
      <c r="F276" s="2">
        <v>37046.01</v>
      </c>
      <c r="G276" s="11" t="s">
        <v>764</v>
      </c>
      <c r="H276" t="s">
        <v>715</v>
      </c>
      <c r="J276" s="7">
        <f t="shared" si="0"/>
        <v>0</v>
      </c>
    </row>
    <row r="277" spans="1:10" x14ac:dyDescent="0.25">
      <c r="A277" s="1">
        <v>45082</v>
      </c>
      <c r="B277" t="s">
        <v>60</v>
      </c>
      <c r="D277" s="2">
        <v>20000</v>
      </c>
      <c r="E277" s="2">
        <v>0</v>
      </c>
      <c r="F277" s="2">
        <v>17046.009999999998</v>
      </c>
      <c r="G277" s="55" t="s">
        <v>1052</v>
      </c>
      <c r="H277" t="s">
        <v>715</v>
      </c>
      <c r="J277" s="7">
        <f t="shared" si="0"/>
        <v>0</v>
      </c>
    </row>
    <row r="278" spans="1:10" hidden="1" x14ac:dyDescent="0.25">
      <c r="A278" s="1">
        <v>45082</v>
      </c>
      <c r="B278" t="s">
        <v>480</v>
      </c>
      <c r="D278" s="2">
        <v>3000</v>
      </c>
      <c r="E278" s="2">
        <v>0</v>
      </c>
      <c r="F278" s="2">
        <v>34682.5</v>
      </c>
      <c r="G278" t="s">
        <v>725</v>
      </c>
      <c r="H278" t="s">
        <v>719</v>
      </c>
      <c r="J278" s="7">
        <f t="shared" si="0"/>
        <v>-20636.490000000002</v>
      </c>
    </row>
    <row r="279" spans="1:10" hidden="1" x14ac:dyDescent="0.25">
      <c r="A279" s="1">
        <v>45082</v>
      </c>
      <c r="B279" t="s">
        <v>472</v>
      </c>
      <c r="D279" s="2">
        <v>678.75</v>
      </c>
      <c r="E279" s="2">
        <v>0</v>
      </c>
      <c r="F279" s="2">
        <v>34003.75</v>
      </c>
      <c r="G279" t="s">
        <v>731</v>
      </c>
      <c r="H279" t="s">
        <v>719</v>
      </c>
      <c r="J279" s="7">
        <f t="shared" si="0"/>
        <v>0</v>
      </c>
    </row>
    <row r="280" spans="1:10" hidden="1" x14ac:dyDescent="0.25">
      <c r="A280" s="1">
        <v>45082</v>
      </c>
      <c r="B280" t="s">
        <v>473</v>
      </c>
      <c r="D280" s="2">
        <v>0</v>
      </c>
      <c r="E280" s="2">
        <v>265.94</v>
      </c>
      <c r="F280" s="2">
        <v>34269.69</v>
      </c>
      <c r="G280" t="s">
        <v>731</v>
      </c>
      <c r="H280" t="s">
        <v>719</v>
      </c>
      <c r="J280" s="7">
        <f t="shared" si="0"/>
        <v>0</v>
      </c>
    </row>
    <row r="281" spans="1:10" hidden="1" x14ac:dyDescent="0.25">
      <c r="A281" s="1">
        <v>45082</v>
      </c>
      <c r="B281" t="s">
        <v>234</v>
      </c>
      <c r="C281" t="s">
        <v>299</v>
      </c>
      <c r="D281" s="2">
        <v>0</v>
      </c>
      <c r="E281" s="2">
        <v>75000</v>
      </c>
      <c r="F281" s="2">
        <v>110853.21</v>
      </c>
      <c r="G281" t="s">
        <v>724</v>
      </c>
      <c r="H281" t="s">
        <v>716</v>
      </c>
      <c r="J281" s="7">
        <f t="shared" si="0"/>
        <v>-1583.5200000000041</v>
      </c>
    </row>
    <row r="282" spans="1:10" hidden="1" x14ac:dyDescent="0.25">
      <c r="A282" s="1">
        <v>45082</v>
      </c>
      <c r="B282" t="s">
        <v>201</v>
      </c>
      <c r="C282" t="s">
        <v>211</v>
      </c>
      <c r="D282" s="2">
        <v>80000</v>
      </c>
      <c r="E282" s="2">
        <v>0</v>
      </c>
      <c r="F282" s="2">
        <v>30853.21</v>
      </c>
      <c r="G282" s="55" t="s">
        <v>1052</v>
      </c>
      <c r="H282" t="s">
        <v>716</v>
      </c>
      <c r="J282" s="7">
        <f t="shared" si="0"/>
        <v>0</v>
      </c>
    </row>
    <row r="283" spans="1:10" hidden="1" x14ac:dyDescent="0.25">
      <c r="A283" s="1">
        <v>45082</v>
      </c>
      <c r="B283" t="s">
        <v>377</v>
      </c>
      <c r="C283" t="s">
        <v>382</v>
      </c>
      <c r="D283" s="2">
        <v>75000</v>
      </c>
      <c r="E283" s="2">
        <v>0</v>
      </c>
      <c r="F283" s="2">
        <v>-103565.37</v>
      </c>
      <c r="G283" t="s">
        <v>724</v>
      </c>
      <c r="H283" t="s">
        <v>718</v>
      </c>
      <c r="J283" s="7">
        <f t="shared" si="0"/>
        <v>59418.579999999994</v>
      </c>
    </row>
    <row r="284" spans="1:10" hidden="1" x14ac:dyDescent="0.25">
      <c r="A284" s="1">
        <v>45083</v>
      </c>
      <c r="B284" t="s">
        <v>472</v>
      </c>
      <c r="D284" s="2">
        <v>226.38</v>
      </c>
      <c r="E284" s="2">
        <v>0</v>
      </c>
      <c r="F284" s="2">
        <v>34043.31</v>
      </c>
      <c r="G284" t="s">
        <v>731</v>
      </c>
      <c r="H284" t="s">
        <v>719</v>
      </c>
      <c r="J284" s="7">
        <f t="shared" si="0"/>
        <v>-137835.06</v>
      </c>
    </row>
    <row r="285" spans="1:10" hidden="1" x14ac:dyDescent="0.25">
      <c r="A285" s="1">
        <v>45083</v>
      </c>
      <c r="B285" t="s">
        <v>472</v>
      </c>
      <c r="D285" s="2">
        <v>177.9</v>
      </c>
      <c r="E285" s="2">
        <v>0</v>
      </c>
      <c r="F285" s="2">
        <v>33865.410000000003</v>
      </c>
      <c r="G285" t="s">
        <v>731</v>
      </c>
      <c r="H285" t="s">
        <v>719</v>
      </c>
      <c r="J285" s="7">
        <f t="shared" si="0"/>
        <v>0</v>
      </c>
    </row>
    <row r="286" spans="1:10" hidden="1" x14ac:dyDescent="0.25">
      <c r="A286" s="1">
        <v>45084</v>
      </c>
      <c r="B286" t="s">
        <v>35</v>
      </c>
      <c r="D286" s="2">
        <v>0</v>
      </c>
      <c r="E286" s="2">
        <v>197693</v>
      </c>
      <c r="F286" s="2">
        <v>214739.01</v>
      </c>
      <c r="G286" t="s">
        <v>727</v>
      </c>
      <c r="H286" t="s">
        <v>715</v>
      </c>
      <c r="J286" s="7">
        <f t="shared" si="0"/>
        <v>16819.399999999994</v>
      </c>
    </row>
    <row r="287" spans="1:10" hidden="1" x14ac:dyDescent="0.25">
      <c r="A287" s="1">
        <v>45084</v>
      </c>
      <c r="B287" t="s">
        <v>472</v>
      </c>
      <c r="D287" s="2">
        <v>226.29</v>
      </c>
      <c r="E287" s="2">
        <v>0</v>
      </c>
      <c r="F287" s="2">
        <v>33639.120000000003</v>
      </c>
      <c r="G287" t="s">
        <v>731</v>
      </c>
      <c r="H287" t="s">
        <v>719</v>
      </c>
      <c r="J287" s="7">
        <f t="shared" si="0"/>
        <v>180873.60000000001</v>
      </c>
    </row>
    <row r="288" spans="1:10" hidden="1" x14ac:dyDescent="0.25">
      <c r="A288" s="1">
        <v>45084</v>
      </c>
      <c r="B288" t="s">
        <v>521</v>
      </c>
      <c r="D288" s="2">
        <v>2000</v>
      </c>
      <c r="E288" s="2">
        <v>0</v>
      </c>
      <c r="F288" s="2">
        <v>31639.119999999999</v>
      </c>
      <c r="G288" t="s">
        <v>725</v>
      </c>
      <c r="H288" t="s">
        <v>719</v>
      </c>
      <c r="J288" s="7">
        <f t="shared" si="0"/>
        <v>0</v>
      </c>
    </row>
    <row r="289" spans="1:10" hidden="1" x14ac:dyDescent="0.25">
      <c r="A289" s="1">
        <v>45084</v>
      </c>
      <c r="B289" t="s">
        <v>522</v>
      </c>
      <c r="D289" s="2">
        <v>2500</v>
      </c>
      <c r="E289" s="2">
        <v>0</v>
      </c>
      <c r="F289" s="2">
        <v>29139.119999999999</v>
      </c>
      <c r="G289" t="s">
        <v>725</v>
      </c>
      <c r="H289" t="s">
        <v>719</v>
      </c>
      <c r="J289" s="7">
        <f t="shared" si="0"/>
        <v>0</v>
      </c>
    </row>
    <row r="290" spans="1:10" hidden="1" x14ac:dyDescent="0.25">
      <c r="A290" s="1">
        <v>45084</v>
      </c>
      <c r="B290" t="s">
        <v>473</v>
      </c>
      <c r="D290" s="2">
        <v>0</v>
      </c>
      <c r="E290" s="2">
        <v>538.78</v>
      </c>
      <c r="F290" s="2">
        <v>29677.9</v>
      </c>
      <c r="G290" t="s">
        <v>731</v>
      </c>
      <c r="H290" t="s">
        <v>719</v>
      </c>
      <c r="J290" s="7">
        <f t="shared" si="0"/>
        <v>0</v>
      </c>
    </row>
    <row r="291" spans="1:10" hidden="1" x14ac:dyDescent="0.25">
      <c r="A291" s="1">
        <v>45084</v>
      </c>
      <c r="B291" t="s">
        <v>201</v>
      </c>
      <c r="C291" t="s">
        <v>200</v>
      </c>
      <c r="D291" s="2">
        <v>10000</v>
      </c>
      <c r="E291" s="2">
        <v>0</v>
      </c>
      <c r="F291" s="2">
        <v>20853.21</v>
      </c>
      <c r="G291" s="55" t="s">
        <v>1052</v>
      </c>
      <c r="H291" t="s">
        <v>716</v>
      </c>
      <c r="J291" s="7">
        <f t="shared" si="0"/>
        <v>-1175.3099999999977</v>
      </c>
    </row>
    <row r="292" spans="1:10" hidden="1" x14ac:dyDescent="0.25">
      <c r="A292" s="1">
        <v>45085</v>
      </c>
      <c r="B292" t="s">
        <v>61</v>
      </c>
      <c r="D292" s="2">
        <v>75000</v>
      </c>
      <c r="E292" s="2">
        <v>0</v>
      </c>
      <c r="F292" s="2">
        <v>139739.01</v>
      </c>
      <c r="G292" t="s">
        <v>724</v>
      </c>
      <c r="H292" t="s">
        <v>715</v>
      </c>
      <c r="J292" s="7">
        <f t="shared" si="0"/>
        <v>-193885.80000000002</v>
      </c>
    </row>
    <row r="293" spans="1:10" hidden="1" x14ac:dyDescent="0.25">
      <c r="A293" s="1">
        <v>45085</v>
      </c>
      <c r="B293" t="s">
        <v>25</v>
      </c>
      <c r="D293" s="2">
        <v>34470.86</v>
      </c>
      <c r="E293" s="2">
        <v>0</v>
      </c>
      <c r="F293" s="2">
        <v>105268.15</v>
      </c>
      <c r="G293" t="s">
        <v>794</v>
      </c>
      <c r="H293" t="s">
        <v>715</v>
      </c>
      <c r="J293" s="7">
        <f t="shared" si="0"/>
        <v>0</v>
      </c>
    </row>
    <row r="294" spans="1:10" hidden="1" x14ac:dyDescent="0.25">
      <c r="A294" s="1">
        <v>45085</v>
      </c>
      <c r="B294" t="s">
        <v>62</v>
      </c>
      <c r="D294" s="2">
        <v>99</v>
      </c>
      <c r="E294" s="2">
        <v>0</v>
      </c>
      <c r="F294" s="2">
        <v>105169.15</v>
      </c>
      <c r="G294" t="s">
        <v>792</v>
      </c>
      <c r="H294" t="s">
        <v>715</v>
      </c>
      <c r="J294" s="7">
        <f t="shared" si="0"/>
        <v>0</v>
      </c>
    </row>
    <row r="295" spans="1:10" hidden="1" x14ac:dyDescent="0.25">
      <c r="A295" s="1">
        <v>45085</v>
      </c>
      <c r="B295" t="s">
        <v>523</v>
      </c>
      <c r="D295" s="2">
        <v>0</v>
      </c>
      <c r="E295" s="2">
        <v>75000</v>
      </c>
      <c r="F295" s="2">
        <v>104677.9</v>
      </c>
      <c r="G295" t="s">
        <v>724</v>
      </c>
      <c r="H295" t="s">
        <v>719</v>
      </c>
      <c r="J295" s="7">
        <f t="shared" si="0"/>
        <v>75491.25</v>
      </c>
    </row>
    <row r="296" spans="1:10" hidden="1" x14ac:dyDescent="0.25">
      <c r="A296" s="1">
        <v>45085</v>
      </c>
      <c r="B296" t="s">
        <v>480</v>
      </c>
      <c r="D296" s="2">
        <v>3000</v>
      </c>
      <c r="E296" s="2">
        <v>0</v>
      </c>
      <c r="F296" s="2">
        <v>101677.9</v>
      </c>
      <c r="G296" t="s">
        <v>725</v>
      </c>
      <c r="H296" t="s">
        <v>719</v>
      </c>
      <c r="J296" s="7">
        <f t="shared" si="0"/>
        <v>0</v>
      </c>
    </row>
    <row r="297" spans="1:10" hidden="1" x14ac:dyDescent="0.25">
      <c r="A297" s="1">
        <v>45085</v>
      </c>
      <c r="B297" t="s">
        <v>472</v>
      </c>
      <c r="D297" s="2">
        <v>226.56</v>
      </c>
      <c r="E297" s="2">
        <v>0</v>
      </c>
      <c r="F297" s="2">
        <v>101451.34</v>
      </c>
      <c r="G297" t="s">
        <v>731</v>
      </c>
      <c r="H297" t="s">
        <v>719</v>
      </c>
      <c r="J297" s="7">
        <f t="shared" si="0"/>
        <v>0</v>
      </c>
    </row>
    <row r="298" spans="1:10" hidden="1" x14ac:dyDescent="0.25">
      <c r="A298" s="1">
        <v>45085</v>
      </c>
      <c r="B298" t="s">
        <v>472</v>
      </c>
      <c r="D298" s="2">
        <v>775.22</v>
      </c>
      <c r="E298" s="2">
        <v>0</v>
      </c>
      <c r="F298" s="2">
        <v>100676.12</v>
      </c>
      <c r="G298" t="s">
        <v>731</v>
      </c>
      <c r="H298" t="s">
        <v>719</v>
      </c>
      <c r="J298" s="7">
        <f t="shared" si="0"/>
        <v>0</v>
      </c>
    </row>
    <row r="299" spans="1:10" hidden="1" x14ac:dyDescent="0.25">
      <c r="A299" s="1">
        <v>45085</v>
      </c>
      <c r="B299" t="s">
        <v>472</v>
      </c>
      <c r="D299" s="2">
        <v>83.92</v>
      </c>
      <c r="E299" s="2">
        <v>0</v>
      </c>
      <c r="F299" s="2">
        <v>100592.2</v>
      </c>
      <c r="G299" t="s">
        <v>731</v>
      </c>
      <c r="H299" t="s">
        <v>719</v>
      </c>
      <c r="J299" s="7">
        <f t="shared" si="0"/>
        <v>0</v>
      </c>
    </row>
    <row r="300" spans="1:10" hidden="1" x14ac:dyDescent="0.25">
      <c r="A300" s="1">
        <v>45086</v>
      </c>
      <c r="B300" t="s">
        <v>63</v>
      </c>
      <c r="D300" s="2">
        <v>20000</v>
      </c>
      <c r="E300" s="2">
        <v>0</v>
      </c>
      <c r="F300" s="2">
        <v>85169.15</v>
      </c>
      <c r="G300" t="s">
        <v>726</v>
      </c>
      <c r="H300" t="s">
        <v>715</v>
      </c>
      <c r="J300" s="7">
        <f t="shared" si="0"/>
        <v>-4576.9499999999971</v>
      </c>
    </row>
    <row r="301" spans="1:10" hidden="1" x14ac:dyDescent="0.25">
      <c r="A301" s="1">
        <v>45086</v>
      </c>
      <c r="B301" t="s">
        <v>472</v>
      </c>
      <c r="D301" s="2">
        <v>226.18</v>
      </c>
      <c r="E301" s="2">
        <v>0</v>
      </c>
      <c r="F301" s="2">
        <v>100366.02</v>
      </c>
      <c r="G301" t="s">
        <v>731</v>
      </c>
      <c r="H301" t="s">
        <v>719</v>
      </c>
      <c r="J301" s="7">
        <f t="shared" si="0"/>
        <v>-15423.050000000003</v>
      </c>
    </row>
    <row r="302" spans="1:10" hidden="1" x14ac:dyDescent="0.25">
      <c r="A302" s="1">
        <v>45086</v>
      </c>
      <c r="B302" t="s">
        <v>524</v>
      </c>
      <c r="D302" s="2">
        <v>0</v>
      </c>
      <c r="E302" s="2">
        <v>20400</v>
      </c>
      <c r="F302" s="2">
        <v>120766.02</v>
      </c>
      <c r="G302" s="55" t="s">
        <v>1052</v>
      </c>
      <c r="H302" t="s">
        <v>719</v>
      </c>
      <c r="J302" s="7">
        <f t="shared" si="0"/>
        <v>0</v>
      </c>
    </row>
    <row r="303" spans="1:10" hidden="1" x14ac:dyDescent="0.25">
      <c r="A303" s="1">
        <v>45086</v>
      </c>
      <c r="B303" t="s">
        <v>525</v>
      </c>
      <c r="D303" s="2">
        <v>20000</v>
      </c>
      <c r="E303" s="2">
        <v>0</v>
      </c>
      <c r="F303" s="2">
        <v>100766.02</v>
      </c>
      <c r="G303" t="s">
        <v>726</v>
      </c>
      <c r="H303" t="s">
        <v>719</v>
      </c>
      <c r="J303" s="7">
        <f t="shared" si="0"/>
        <v>0</v>
      </c>
    </row>
    <row r="304" spans="1:10" hidden="1" x14ac:dyDescent="0.25">
      <c r="A304" s="1">
        <v>45086</v>
      </c>
      <c r="B304" t="s">
        <v>472</v>
      </c>
      <c r="D304" s="2">
        <v>7759.23</v>
      </c>
      <c r="E304" s="2">
        <v>0</v>
      </c>
      <c r="F304" s="2">
        <v>93006.79</v>
      </c>
      <c r="G304" t="s">
        <v>731</v>
      </c>
      <c r="H304" t="s">
        <v>719</v>
      </c>
      <c r="J304" s="7">
        <f t="shared" si="0"/>
        <v>0</v>
      </c>
    </row>
    <row r="305" spans="1:10" hidden="1" x14ac:dyDescent="0.25">
      <c r="A305" s="1">
        <v>45086</v>
      </c>
      <c r="B305" t="s">
        <v>201</v>
      </c>
      <c r="C305" t="s">
        <v>200</v>
      </c>
      <c r="D305" s="2">
        <v>17000</v>
      </c>
      <c r="E305" s="2">
        <v>0</v>
      </c>
      <c r="F305" s="2">
        <v>3853.21</v>
      </c>
      <c r="G305" s="55" t="s">
        <v>1052</v>
      </c>
      <c r="H305" t="s">
        <v>716</v>
      </c>
      <c r="J305" s="7">
        <f t="shared" si="0"/>
        <v>72153.579999999987</v>
      </c>
    </row>
    <row r="306" spans="1:10" hidden="1" x14ac:dyDescent="0.25">
      <c r="A306" s="1">
        <v>45087</v>
      </c>
      <c r="B306" t="s">
        <v>64</v>
      </c>
      <c r="D306" s="2">
        <v>60</v>
      </c>
      <c r="E306" s="2">
        <v>0</v>
      </c>
      <c r="F306" s="2">
        <v>85109.15</v>
      </c>
      <c r="G306" t="s">
        <v>792</v>
      </c>
      <c r="H306" t="s">
        <v>715</v>
      </c>
      <c r="J306" s="7">
        <f t="shared" si="0"/>
        <v>-81315.939999999988</v>
      </c>
    </row>
    <row r="307" spans="1:10" hidden="1" x14ac:dyDescent="0.25">
      <c r="A307" s="1">
        <v>45087</v>
      </c>
      <c r="B307" t="s">
        <v>287</v>
      </c>
      <c r="C307" t="s">
        <v>298</v>
      </c>
      <c r="D307" s="2">
        <v>424.8</v>
      </c>
      <c r="E307" s="2">
        <v>0</v>
      </c>
      <c r="F307" s="2">
        <v>3428.41</v>
      </c>
      <c r="G307" s="55" t="s">
        <v>1052</v>
      </c>
      <c r="H307" t="s">
        <v>716</v>
      </c>
      <c r="J307" s="7">
        <f t="shared" si="0"/>
        <v>81255.939999999988</v>
      </c>
    </row>
    <row r="308" spans="1:10" hidden="1" x14ac:dyDescent="0.25">
      <c r="A308" s="1">
        <v>45089</v>
      </c>
      <c r="B308" t="s">
        <v>504</v>
      </c>
      <c r="D308" s="2">
        <v>4000</v>
      </c>
      <c r="E308" s="2">
        <v>0</v>
      </c>
      <c r="F308" s="2">
        <v>89006.79</v>
      </c>
      <c r="G308" t="s">
        <v>725</v>
      </c>
      <c r="H308" t="s">
        <v>719</v>
      </c>
      <c r="J308" s="7">
        <f t="shared" si="0"/>
        <v>-89578.37999999999</v>
      </c>
    </row>
    <row r="309" spans="1:10" hidden="1" x14ac:dyDescent="0.25">
      <c r="A309" s="1">
        <v>45089</v>
      </c>
      <c r="B309" t="s">
        <v>480</v>
      </c>
      <c r="D309" s="2">
        <v>5000</v>
      </c>
      <c r="E309" s="2">
        <v>0</v>
      </c>
      <c r="F309" s="2">
        <v>84006.79</v>
      </c>
      <c r="G309" t="s">
        <v>725</v>
      </c>
      <c r="H309" t="s">
        <v>719</v>
      </c>
      <c r="J309" s="7">
        <f t="shared" si="0"/>
        <v>0</v>
      </c>
    </row>
    <row r="310" spans="1:10" hidden="1" x14ac:dyDescent="0.25">
      <c r="A310" s="1">
        <v>45089</v>
      </c>
      <c r="B310" t="s">
        <v>480</v>
      </c>
      <c r="D310" s="2">
        <v>3000</v>
      </c>
      <c r="E310" s="2">
        <v>0</v>
      </c>
      <c r="F310" s="2">
        <v>81006.789999999994</v>
      </c>
      <c r="G310" t="s">
        <v>725</v>
      </c>
      <c r="H310" t="s">
        <v>719</v>
      </c>
      <c r="J310" s="7">
        <f t="shared" si="0"/>
        <v>0</v>
      </c>
    </row>
    <row r="311" spans="1:10" hidden="1" x14ac:dyDescent="0.25">
      <c r="A311" s="1">
        <v>45089</v>
      </c>
      <c r="B311" t="s">
        <v>472</v>
      </c>
      <c r="D311" s="2">
        <v>667.05</v>
      </c>
      <c r="E311" s="2">
        <v>0</v>
      </c>
      <c r="F311" s="2">
        <v>80339.740000000005</v>
      </c>
      <c r="G311" t="s">
        <v>731</v>
      </c>
      <c r="H311" t="s">
        <v>719</v>
      </c>
      <c r="J311" s="7">
        <f t="shared" si="0"/>
        <v>0</v>
      </c>
    </row>
    <row r="312" spans="1:10" hidden="1" x14ac:dyDescent="0.25">
      <c r="A312" s="1">
        <v>45089</v>
      </c>
      <c r="B312" t="s">
        <v>472</v>
      </c>
      <c r="D312" s="2">
        <v>34794.36</v>
      </c>
      <c r="E312" s="2">
        <v>0</v>
      </c>
      <c r="F312" s="2">
        <v>45545.38</v>
      </c>
      <c r="G312" t="s">
        <v>731</v>
      </c>
      <c r="H312" t="s">
        <v>719</v>
      </c>
      <c r="J312" s="7">
        <f t="shared" si="0"/>
        <v>0</v>
      </c>
    </row>
    <row r="313" spans="1:10" hidden="1" x14ac:dyDescent="0.25">
      <c r="A313" s="1">
        <v>45089</v>
      </c>
      <c r="B313" t="s">
        <v>472</v>
      </c>
      <c r="D313" s="2">
        <v>579.98</v>
      </c>
      <c r="E313" s="2">
        <v>0</v>
      </c>
      <c r="F313" s="2">
        <v>44965.4</v>
      </c>
      <c r="G313" t="s">
        <v>731</v>
      </c>
      <c r="H313" t="s">
        <v>719</v>
      </c>
      <c r="J313" s="7">
        <f t="shared" si="0"/>
        <v>0</v>
      </c>
    </row>
    <row r="314" spans="1:10" hidden="1" x14ac:dyDescent="0.25">
      <c r="A314" s="1">
        <v>45089</v>
      </c>
      <c r="B314" t="s">
        <v>473</v>
      </c>
      <c r="D314" s="2">
        <v>0</v>
      </c>
      <c r="E314" s="2">
        <v>579.98</v>
      </c>
      <c r="F314" s="2">
        <v>45545.38</v>
      </c>
      <c r="G314" t="s">
        <v>731</v>
      </c>
      <c r="H314" t="s">
        <v>719</v>
      </c>
      <c r="J314" s="7">
        <f t="shared" si="0"/>
        <v>0</v>
      </c>
    </row>
    <row r="315" spans="1:10" hidden="1" x14ac:dyDescent="0.25">
      <c r="A315" s="1">
        <v>45089</v>
      </c>
      <c r="B315" t="s">
        <v>201</v>
      </c>
      <c r="C315" t="s">
        <v>200</v>
      </c>
      <c r="D315" s="2">
        <v>3000</v>
      </c>
      <c r="E315" s="2">
        <v>0</v>
      </c>
      <c r="F315" s="2">
        <v>428.41</v>
      </c>
      <c r="G315" s="55" t="s">
        <v>1052</v>
      </c>
      <c r="H315" t="s">
        <v>716</v>
      </c>
      <c r="J315" s="7">
        <f t="shared" si="0"/>
        <v>42116.969999999994</v>
      </c>
    </row>
    <row r="316" spans="1:10" hidden="1" x14ac:dyDescent="0.25">
      <c r="A316" s="1">
        <v>45089</v>
      </c>
      <c r="B316" t="s">
        <v>234</v>
      </c>
      <c r="C316" t="s">
        <v>297</v>
      </c>
      <c r="D316" s="2">
        <v>0</v>
      </c>
      <c r="E316" s="2">
        <v>10000</v>
      </c>
      <c r="F316" s="2">
        <v>10428.41</v>
      </c>
      <c r="G316" t="s">
        <v>724</v>
      </c>
      <c r="H316" t="s">
        <v>716</v>
      </c>
      <c r="J316" s="7">
        <f t="shared" si="0"/>
        <v>0</v>
      </c>
    </row>
    <row r="317" spans="1:10" hidden="1" x14ac:dyDescent="0.25">
      <c r="A317" s="1">
        <v>45089</v>
      </c>
      <c r="B317" t="s">
        <v>377</v>
      </c>
      <c r="C317" t="s">
        <v>383</v>
      </c>
      <c r="D317" s="2">
        <v>10000</v>
      </c>
      <c r="E317" s="2">
        <v>0</v>
      </c>
      <c r="F317" s="2">
        <v>-113565.37</v>
      </c>
      <c r="G317" t="s">
        <v>724</v>
      </c>
      <c r="H317" t="s">
        <v>718</v>
      </c>
      <c r="J317" s="7">
        <f t="shared" si="0"/>
        <v>113993.78</v>
      </c>
    </row>
    <row r="318" spans="1:10" hidden="1" x14ac:dyDescent="0.25">
      <c r="A318" s="1">
        <v>45090</v>
      </c>
      <c r="B318" t="s">
        <v>472</v>
      </c>
      <c r="D318" s="2">
        <v>213.54</v>
      </c>
      <c r="E318" s="2">
        <v>0</v>
      </c>
      <c r="F318" s="2">
        <v>45331.839999999997</v>
      </c>
      <c r="G318" t="s">
        <v>731</v>
      </c>
      <c r="H318" t="s">
        <v>719</v>
      </c>
      <c r="J318" s="7">
        <f t="shared" si="0"/>
        <v>-159110.75</v>
      </c>
    </row>
    <row r="319" spans="1:10" hidden="1" x14ac:dyDescent="0.25">
      <c r="A319" s="1">
        <v>45090</v>
      </c>
      <c r="B319" t="s">
        <v>472</v>
      </c>
      <c r="D319" s="2">
        <v>7898.28</v>
      </c>
      <c r="E319" s="2">
        <v>0</v>
      </c>
      <c r="F319" s="2">
        <v>37433.56</v>
      </c>
      <c r="G319" t="s">
        <v>731</v>
      </c>
      <c r="H319" t="s">
        <v>719</v>
      </c>
      <c r="J319" s="7">
        <f t="shared" si="0"/>
        <v>0</v>
      </c>
    </row>
    <row r="320" spans="1:10" hidden="1" x14ac:dyDescent="0.25">
      <c r="A320" s="1">
        <v>45090</v>
      </c>
      <c r="B320" t="s">
        <v>473</v>
      </c>
      <c r="D320" s="2">
        <v>0</v>
      </c>
      <c r="E320" s="2">
        <v>12795.52</v>
      </c>
      <c r="F320" s="2">
        <v>50229.08</v>
      </c>
      <c r="G320" t="s">
        <v>731</v>
      </c>
      <c r="H320" t="s">
        <v>719</v>
      </c>
      <c r="J320" s="7">
        <f t="shared" si="0"/>
        <v>0</v>
      </c>
    </row>
    <row r="321" spans="1:10" hidden="1" x14ac:dyDescent="0.25">
      <c r="A321" s="1">
        <v>45090</v>
      </c>
      <c r="B321" t="s">
        <v>472</v>
      </c>
      <c r="D321" s="2">
        <v>6380.26</v>
      </c>
      <c r="E321" s="2">
        <v>0</v>
      </c>
      <c r="F321" s="2">
        <v>43848.82</v>
      </c>
      <c r="G321" t="s">
        <v>731</v>
      </c>
      <c r="H321" t="s">
        <v>719</v>
      </c>
      <c r="J321" s="7">
        <f t="shared" si="0"/>
        <v>0</v>
      </c>
    </row>
    <row r="322" spans="1:10" hidden="1" x14ac:dyDescent="0.25">
      <c r="A322" s="1">
        <v>45090</v>
      </c>
      <c r="B322" t="s">
        <v>473</v>
      </c>
      <c r="D322" s="2">
        <v>0</v>
      </c>
      <c r="E322" s="2">
        <v>6380.26</v>
      </c>
      <c r="F322" s="2">
        <v>50229.08</v>
      </c>
      <c r="G322" t="s">
        <v>731</v>
      </c>
      <c r="H322" t="s">
        <v>719</v>
      </c>
      <c r="J322" s="7">
        <f t="shared" si="0"/>
        <v>0</v>
      </c>
    </row>
    <row r="323" spans="1:10" hidden="1" x14ac:dyDescent="0.25">
      <c r="A323" s="1">
        <v>45090</v>
      </c>
      <c r="B323" t="s">
        <v>201</v>
      </c>
      <c r="C323" t="s">
        <v>211</v>
      </c>
      <c r="D323" s="2">
        <v>602.98</v>
      </c>
      <c r="E323" s="2">
        <v>0</v>
      </c>
      <c r="F323" s="2">
        <v>9825.43</v>
      </c>
      <c r="G323" s="55" t="s">
        <v>1052</v>
      </c>
      <c r="H323" t="s">
        <v>716</v>
      </c>
      <c r="J323" s="7">
        <f t="shared" si="0"/>
        <v>39800.67</v>
      </c>
    </row>
    <row r="324" spans="1:10" hidden="1" x14ac:dyDescent="0.25">
      <c r="A324" s="1">
        <v>45091</v>
      </c>
      <c r="B324" t="s">
        <v>480</v>
      </c>
      <c r="D324" s="2">
        <v>3000</v>
      </c>
      <c r="E324" s="2">
        <v>0</v>
      </c>
      <c r="F324" s="2">
        <v>47229.08</v>
      </c>
      <c r="G324" t="s">
        <v>725</v>
      </c>
      <c r="H324" t="s">
        <v>719</v>
      </c>
      <c r="J324" s="7">
        <f t="shared" si="0"/>
        <v>-40403.65</v>
      </c>
    </row>
    <row r="325" spans="1:10" hidden="1" x14ac:dyDescent="0.25">
      <c r="A325" s="1">
        <v>45091</v>
      </c>
      <c r="B325" t="s">
        <v>472</v>
      </c>
      <c r="D325" s="2">
        <v>228.76</v>
      </c>
      <c r="E325" s="2">
        <v>0</v>
      </c>
      <c r="F325" s="2">
        <v>47000.32</v>
      </c>
      <c r="G325" t="s">
        <v>731</v>
      </c>
      <c r="H325" t="s">
        <v>719</v>
      </c>
      <c r="J325" s="7">
        <f t="shared" si="0"/>
        <v>0</v>
      </c>
    </row>
    <row r="326" spans="1:10" hidden="1" x14ac:dyDescent="0.25">
      <c r="A326" s="1">
        <v>45091</v>
      </c>
      <c r="B326" t="s">
        <v>473</v>
      </c>
      <c r="D326" s="2">
        <v>0</v>
      </c>
      <c r="E326" s="2">
        <v>2771.03</v>
      </c>
      <c r="F326" s="2">
        <v>49771.35</v>
      </c>
      <c r="G326" t="s">
        <v>731</v>
      </c>
      <c r="H326" t="s">
        <v>719</v>
      </c>
      <c r="J326" s="7">
        <f t="shared" si="0"/>
        <v>0</v>
      </c>
    </row>
    <row r="327" spans="1:10" hidden="1" x14ac:dyDescent="0.25">
      <c r="A327" s="1">
        <v>45092</v>
      </c>
      <c r="B327" t="s">
        <v>473</v>
      </c>
      <c r="D327" s="2">
        <v>0</v>
      </c>
      <c r="E327" s="2">
        <v>35058.39</v>
      </c>
      <c r="F327" s="2">
        <v>84829.74</v>
      </c>
      <c r="G327" t="s">
        <v>731</v>
      </c>
      <c r="H327" t="s">
        <v>719</v>
      </c>
      <c r="J327" s="7">
        <f t="shared" ref="J327:J390" si="1">F326-D327+E327-F327</f>
        <v>0</v>
      </c>
    </row>
    <row r="328" spans="1:10" hidden="1" x14ac:dyDescent="0.25">
      <c r="A328" s="1">
        <v>45092</v>
      </c>
      <c r="B328" t="s">
        <v>526</v>
      </c>
      <c r="D328" s="2">
        <v>1500</v>
      </c>
      <c r="E328" s="2">
        <v>0</v>
      </c>
      <c r="F328" s="2">
        <v>83329.740000000005</v>
      </c>
      <c r="G328" t="s">
        <v>725</v>
      </c>
      <c r="H328" t="s">
        <v>719</v>
      </c>
      <c r="J328" s="7">
        <f t="shared" si="1"/>
        <v>0</v>
      </c>
    </row>
    <row r="329" spans="1:10" hidden="1" x14ac:dyDescent="0.25">
      <c r="A329" s="1">
        <v>45092</v>
      </c>
      <c r="B329" t="s">
        <v>527</v>
      </c>
      <c r="D329" s="2">
        <v>2000</v>
      </c>
      <c r="E329" s="2">
        <v>0</v>
      </c>
      <c r="F329" s="2">
        <v>81329.740000000005</v>
      </c>
      <c r="G329" t="s">
        <v>725</v>
      </c>
      <c r="H329" t="s">
        <v>719</v>
      </c>
      <c r="J329" s="7">
        <f t="shared" si="1"/>
        <v>0</v>
      </c>
    </row>
    <row r="330" spans="1:10" hidden="1" x14ac:dyDescent="0.25">
      <c r="A330" s="1">
        <v>45092</v>
      </c>
      <c r="B330" t="s">
        <v>472</v>
      </c>
      <c r="D330" s="2">
        <v>1413.73</v>
      </c>
      <c r="E330" s="2">
        <v>0</v>
      </c>
      <c r="F330" s="2">
        <v>79916.009999999995</v>
      </c>
      <c r="G330" t="s">
        <v>731</v>
      </c>
      <c r="H330" t="s">
        <v>719</v>
      </c>
      <c r="J330" s="7">
        <f t="shared" si="1"/>
        <v>0</v>
      </c>
    </row>
    <row r="331" spans="1:10" hidden="1" x14ac:dyDescent="0.25">
      <c r="A331" s="1">
        <v>45092</v>
      </c>
      <c r="B331" t="s">
        <v>473</v>
      </c>
      <c r="D331" s="2">
        <v>0</v>
      </c>
      <c r="E331" s="2">
        <v>295.23</v>
      </c>
      <c r="F331" s="2">
        <v>80211.240000000005</v>
      </c>
      <c r="G331" t="s">
        <v>731</v>
      </c>
      <c r="H331" t="s">
        <v>719</v>
      </c>
      <c r="J331" s="7">
        <f t="shared" si="1"/>
        <v>0</v>
      </c>
    </row>
    <row r="332" spans="1:10" hidden="1" x14ac:dyDescent="0.25">
      <c r="A332" s="1">
        <v>45092</v>
      </c>
      <c r="B332" t="s">
        <v>234</v>
      </c>
      <c r="C332" t="s">
        <v>296</v>
      </c>
      <c r="D332" s="2">
        <v>0</v>
      </c>
      <c r="E332" s="2">
        <v>75000</v>
      </c>
      <c r="F332" s="2">
        <v>84825.43</v>
      </c>
      <c r="G332" t="s">
        <v>724</v>
      </c>
      <c r="H332" t="s">
        <v>716</v>
      </c>
      <c r="J332" s="7">
        <f t="shared" si="1"/>
        <v>70385.81</v>
      </c>
    </row>
    <row r="333" spans="1:10" hidden="1" x14ac:dyDescent="0.25">
      <c r="A333" s="1">
        <v>45092</v>
      </c>
      <c r="B333" t="s">
        <v>201</v>
      </c>
      <c r="C333" t="s">
        <v>200</v>
      </c>
      <c r="D333" s="2">
        <v>9775.42</v>
      </c>
      <c r="E333" s="2">
        <v>0</v>
      </c>
      <c r="F333" s="2">
        <v>75050.009999999995</v>
      </c>
      <c r="G333" s="55" t="s">
        <v>1052</v>
      </c>
      <c r="H333" t="s">
        <v>716</v>
      </c>
      <c r="J333" s="7">
        <f t="shared" si="1"/>
        <v>0</v>
      </c>
    </row>
    <row r="334" spans="1:10" hidden="1" x14ac:dyDescent="0.25">
      <c r="A334" s="1">
        <v>45092</v>
      </c>
      <c r="B334" t="s">
        <v>377</v>
      </c>
      <c r="C334" t="s">
        <v>384</v>
      </c>
      <c r="D334" s="2">
        <v>75000</v>
      </c>
      <c r="E334" s="2">
        <v>0</v>
      </c>
      <c r="F334" s="2">
        <v>-188565.37</v>
      </c>
      <c r="G334" t="s">
        <v>724</v>
      </c>
      <c r="H334" t="s">
        <v>718</v>
      </c>
      <c r="J334" s="7">
        <f t="shared" si="1"/>
        <v>188615.38</v>
      </c>
    </row>
    <row r="335" spans="1:10" hidden="1" x14ac:dyDescent="0.25">
      <c r="A335" s="1">
        <v>45093</v>
      </c>
      <c r="B335" t="s">
        <v>65</v>
      </c>
      <c r="D335" s="2">
        <v>0</v>
      </c>
      <c r="E335" s="2">
        <v>20000</v>
      </c>
      <c r="F335" s="2">
        <v>105109.15</v>
      </c>
      <c r="G335" s="55" t="s">
        <v>1052</v>
      </c>
      <c r="H335" t="s">
        <v>715</v>
      </c>
      <c r="J335" s="7">
        <f t="shared" si="1"/>
        <v>-273674.52</v>
      </c>
    </row>
    <row r="336" spans="1:10" hidden="1" x14ac:dyDescent="0.25">
      <c r="A336" s="1">
        <v>45093</v>
      </c>
      <c r="B336" t="s">
        <v>473</v>
      </c>
      <c r="D336" s="2">
        <v>0</v>
      </c>
      <c r="E336" s="2">
        <v>1441.18</v>
      </c>
      <c r="F336" s="2">
        <v>81652.42</v>
      </c>
      <c r="G336" t="s">
        <v>731</v>
      </c>
      <c r="H336" t="s">
        <v>719</v>
      </c>
      <c r="J336" s="7">
        <f t="shared" si="1"/>
        <v>24897.909999999989</v>
      </c>
    </row>
    <row r="337" spans="1:10" hidden="1" x14ac:dyDescent="0.25">
      <c r="A337" s="1">
        <v>45093</v>
      </c>
      <c r="B337" t="s">
        <v>528</v>
      </c>
      <c r="D337" s="2">
        <v>1227.2</v>
      </c>
      <c r="E337" s="2">
        <v>0</v>
      </c>
      <c r="F337" s="2">
        <v>80425.22</v>
      </c>
      <c r="G337" t="s">
        <v>729</v>
      </c>
      <c r="H337" t="s">
        <v>719</v>
      </c>
      <c r="J337" s="7">
        <f t="shared" si="1"/>
        <v>0</v>
      </c>
    </row>
    <row r="338" spans="1:10" hidden="1" x14ac:dyDescent="0.25">
      <c r="A338" s="1">
        <v>45093</v>
      </c>
      <c r="B338" t="s">
        <v>472</v>
      </c>
      <c r="D338" s="2">
        <v>221.11</v>
      </c>
      <c r="E338" s="2">
        <v>0</v>
      </c>
      <c r="F338" s="2">
        <v>80204.11</v>
      </c>
      <c r="G338" t="s">
        <v>731</v>
      </c>
      <c r="H338" t="s">
        <v>719</v>
      </c>
      <c r="J338" s="7">
        <f t="shared" si="1"/>
        <v>0</v>
      </c>
    </row>
    <row r="339" spans="1:10" hidden="1" x14ac:dyDescent="0.25">
      <c r="A339" s="1">
        <v>45093</v>
      </c>
      <c r="B339" t="s">
        <v>529</v>
      </c>
      <c r="D339" s="2">
        <v>0</v>
      </c>
      <c r="E339" s="2">
        <v>80</v>
      </c>
      <c r="F339" s="2">
        <v>80284.11</v>
      </c>
      <c r="G339" t="s">
        <v>736</v>
      </c>
      <c r="H339" t="s">
        <v>719</v>
      </c>
      <c r="J339" s="7">
        <f t="shared" si="1"/>
        <v>0</v>
      </c>
    </row>
    <row r="340" spans="1:10" hidden="1" x14ac:dyDescent="0.25">
      <c r="A340" s="1">
        <v>45093</v>
      </c>
      <c r="B340" t="s">
        <v>472</v>
      </c>
      <c r="D340" s="2">
        <v>8293.81</v>
      </c>
      <c r="E340" s="2">
        <v>0</v>
      </c>
      <c r="F340" s="2">
        <v>71990.3</v>
      </c>
      <c r="G340" t="s">
        <v>731</v>
      </c>
      <c r="H340" t="s">
        <v>719</v>
      </c>
      <c r="J340" s="7">
        <f t="shared" si="1"/>
        <v>0</v>
      </c>
    </row>
    <row r="341" spans="1:10" hidden="1" x14ac:dyDescent="0.25">
      <c r="A341" s="1">
        <v>45093</v>
      </c>
      <c r="B341" t="s">
        <v>295</v>
      </c>
      <c r="C341">
        <v>0</v>
      </c>
      <c r="D341" s="2">
        <v>0</v>
      </c>
      <c r="E341" s="2">
        <v>600</v>
      </c>
      <c r="F341" s="2">
        <v>75650.009999999995</v>
      </c>
      <c r="G341" t="s">
        <v>736</v>
      </c>
      <c r="H341" t="s">
        <v>716</v>
      </c>
      <c r="J341" s="7">
        <f t="shared" si="1"/>
        <v>-3059.7099999999919</v>
      </c>
    </row>
    <row r="342" spans="1:10" hidden="1" x14ac:dyDescent="0.25">
      <c r="A342" s="1">
        <v>45094</v>
      </c>
      <c r="B342" t="s">
        <v>472</v>
      </c>
      <c r="D342" s="2">
        <v>5713.58</v>
      </c>
      <c r="E342" s="2">
        <v>0</v>
      </c>
      <c r="F342" s="2">
        <v>66276.72</v>
      </c>
      <c r="G342" t="s">
        <v>731</v>
      </c>
      <c r="H342" t="s">
        <v>719</v>
      </c>
      <c r="J342" s="7">
        <f t="shared" si="1"/>
        <v>3659.7099999999919</v>
      </c>
    </row>
    <row r="343" spans="1:10" hidden="1" x14ac:dyDescent="0.25">
      <c r="A343" s="1">
        <v>45096</v>
      </c>
      <c r="B343" t="s">
        <v>66</v>
      </c>
      <c r="D343" s="2">
        <v>3302</v>
      </c>
      <c r="E343" s="2">
        <v>0</v>
      </c>
      <c r="F343" s="2">
        <v>101807.15</v>
      </c>
      <c r="G343" t="s">
        <v>792</v>
      </c>
      <c r="H343" t="s">
        <v>715</v>
      </c>
      <c r="J343" s="7">
        <f t="shared" si="1"/>
        <v>-38832.429999999993</v>
      </c>
    </row>
    <row r="344" spans="1:10" hidden="1" x14ac:dyDescent="0.25">
      <c r="A344" s="1">
        <v>45096</v>
      </c>
      <c r="B344" t="s">
        <v>472</v>
      </c>
      <c r="D344" s="2">
        <v>654.87</v>
      </c>
      <c r="E344" s="2">
        <v>0</v>
      </c>
      <c r="F344" s="2">
        <v>65621.850000000006</v>
      </c>
      <c r="G344" t="s">
        <v>731</v>
      </c>
      <c r="H344" t="s">
        <v>719</v>
      </c>
      <c r="J344" s="7">
        <f t="shared" si="1"/>
        <v>35530.429999999993</v>
      </c>
    </row>
    <row r="345" spans="1:10" hidden="1" x14ac:dyDescent="0.25">
      <c r="A345" s="1">
        <v>45096</v>
      </c>
      <c r="B345" t="s">
        <v>530</v>
      </c>
      <c r="D345" s="2">
        <v>2000</v>
      </c>
      <c r="E345" s="2">
        <v>0</v>
      </c>
      <c r="F345" s="2">
        <v>63621.85</v>
      </c>
      <c r="G345" t="s">
        <v>725</v>
      </c>
      <c r="H345" t="s">
        <v>719</v>
      </c>
      <c r="J345" s="7">
        <f t="shared" si="1"/>
        <v>0</v>
      </c>
    </row>
    <row r="346" spans="1:10" hidden="1" x14ac:dyDescent="0.25">
      <c r="A346" s="1">
        <v>45096</v>
      </c>
      <c r="B346" t="s">
        <v>472</v>
      </c>
      <c r="D346" s="2">
        <v>4452.9399999999996</v>
      </c>
      <c r="E346" s="2">
        <v>0</v>
      </c>
      <c r="F346" s="2">
        <v>59168.91</v>
      </c>
      <c r="G346" t="s">
        <v>731</v>
      </c>
      <c r="H346" t="s">
        <v>719</v>
      </c>
      <c r="J346" s="7">
        <f t="shared" si="1"/>
        <v>0</v>
      </c>
    </row>
    <row r="347" spans="1:10" hidden="1" x14ac:dyDescent="0.25">
      <c r="A347" s="1">
        <v>45096</v>
      </c>
      <c r="B347" t="s">
        <v>473</v>
      </c>
      <c r="D347" s="2">
        <v>0</v>
      </c>
      <c r="E347" s="2">
        <v>1289.47</v>
      </c>
      <c r="F347" s="2">
        <v>60458.38</v>
      </c>
      <c r="G347" t="s">
        <v>731</v>
      </c>
      <c r="H347" t="s">
        <v>719</v>
      </c>
      <c r="J347" s="7">
        <f t="shared" si="1"/>
        <v>0</v>
      </c>
    </row>
    <row r="348" spans="1:10" hidden="1" x14ac:dyDescent="0.25">
      <c r="A348" s="1">
        <v>45097</v>
      </c>
      <c r="B348" t="s">
        <v>472</v>
      </c>
      <c r="D348" s="2">
        <v>218.93</v>
      </c>
      <c r="E348" s="2">
        <v>0</v>
      </c>
      <c r="F348" s="2">
        <v>60239.45</v>
      </c>
      <c r="G348" t="s">
        <v>731</v>
      </c>
      <c r="H348" t="s">
        <v>719</v>
      </c>
      <c r="J348" s="7">
        <f t="shared" si="1"/>
        <v>0</v>
      </c>
    </row>
    <row r="349" spans="1:10" hidden="1" x14ac:dyDescent="0.25">
      <c r="A349" s="1">
        <v>45097</v>
      </c>
      <c r="B349" t="s">
        <v>473</v>
      </c>
      <c r="D349" s="2">
        <v>0</v>
      </c>
      <c r="E349" s="2">
        <v>21.33</v>
      </c>
      <c r="F349" s="2">
        <v>60260.78</v>
      </c>
      <c r="G349" t="s">
        <v>731</v>
      </c>
      <c r="H349" t="s">
        <v>719</v>
      </c>
      <c r="J349" s="7">
        <f t="shared" si="1"/>
        <v>0</v>
      </c>
    </row>
    <row r="350" spans="1:10" hidden="1" x14ac:dyDescent="0.25">
      <c r="A350" s="1">
        <v>45097</v>
      </c>
      <c r="B350" t="s">
        <v>194</v>
      </c>
      <c r="C350" t="s">
        <v>294</v>
      </c>
      <c r="D350" s="2">
        <v>22004</v>
      </c>
      <c r="E350" s="2">
        <v>0</v>
      </c>
      <c r="F350" s="2">
        <v>53646.01</v>
      </c>
      <c r="G350" t="s">
        <v>794</v>
      </c>
      <c r="H350" t="s">
        <v>716</v>
      </c>
      <c r="J350" s="7">
        <f t="shared" si="1"/>
        <v>-15389.230000000003</v>
      </c>
    </row>
    <row r="351" spans="1:10" hidden="1" x14ac:dyDescent="0.25">
      <c r="A351" s="1">
        <v>45098</v>
      </c>
      <c r="B351" t="s">
        <v>480</v>
      </c>
      <c r="D351" s="2">
        <v>3000</v>
      </c>
      <c r="E351" s="2">
        <v>0</v>
      </c>
      <c r="F351" s="2">
        <v>57260.78</v>
      </c>
      <c r="G351" t="s">
        <v>725</v>
      </c>
      <c r="H351" t="s">
        <v>719</v>
      </c>
      <c r="J351" s="7">
        <f t="shared" si="1"/>
        <v>-6614.7699999999968</v>
      </c>
    </row>
    <row r="352" spans="1:10" hidden="1" x14ac:dyDescent="0.25">
      <c r="A352" s="1">
        <v>45098</v>
      </c>
      <c r="B352" t="s">
        <v>472</v>
      </c>
      <c r="D352" s="2">
        <v>218.94</v>
      </c>
      <c r="E352" s="2">
        <v>0</v>
      </c>
      <c r="F352" s="2">
        <v>57041.84</v>
      </c>
      <c r="G352" t="s">
        <v>731</v>
      </c>
      <c r="H352" t="s">
        <v>719</v>
      </c>
      <c r="J352" s="7">
        <f t="shared" si="1"/>
        <v>0</v>
      </c>
    </row>
    <row r="353" spans="1:10" hidden="1" x14ac:dyDescent="0.25">
      <c r="A353" s="1">
        <v>45098</v>
      </c>
      <c r="B353" t="s">
        <v>531</v>
      </c>
      <c r="D353" s="2">
        <v>2000</v>
      </c>
      <c r="E353" s="2">
        <v>0</v>
      </c>
      <c r="F353" s="2">
        <v>55041.84</v>
      </c>
      <c r="G353" t="s">
        <v>725</v>
      </c>
      <c r="H353" t="s">
        <v>719</v>
      </c>
      <c r="J353" s="7">
        <f t="shared" si="1"/>
        <v>0</v>
      </c>
    </row>
    <row r="354" spans="1:10" hidden="1" x14ac:dyDescent="0.25">
      <c r="A354" s="1">
        <v>45098</v>
      </c>
      <c r="B354" t="s">
        <v>532</v>
      </c>
      <c r="D354" s="2">
        <v>2500</v>
      </c>
      <c r="E354" s="2">
        <v>0</v>
      </c>
      <c r="F354" s="2">
        <v>52541.84</v>
      </c>
      <c r="G354" t="s">
        <v>725</v>
      </c>
      <c r="H354" t="s">
        <v>719</v>
      </c>
      <c r="J354" s="7">
        <f t="shared" si="1"/>
        <v>0</v>
      </c>
    </row>
    <row r="355" spans="1:10" hidden="1" x14ac:dyDescent="0.25">
      <c r="A355" s="1">
        <v>45098</v>
      </c>
      <c r="B355" t="s">
        <v>472</v>
      </c>
      <c r="D355" s="2">
        <v>12347.88</v>
      </c>
      <c r="E355" s="2">
        <v>0</v>
      </c>
      <c r="F355" s="2">
        <v>40193.96</v>
      </c>
      <c r="G355" t="s">
        <v>731</v>
      </c>
      <c r="H355" t="s">
        <v>719</v>
      </c>
      <c r="J355" s="7">
        <f t="shared" si="1"/>
        <v>0</v>
      </c>
    </row>
    <row r="356" spans="1:10" hidden="1" x14ac:dyDescent="0.25">
      <c r="A356" s="1">
        <v>45098</v>
      </c>
      <c r="B356" t="s">
        <v>473</v>
      </c>
      <c r="D356" s="2">
        <v>0</v>
      </c>
      <c r="E356" s="2">
        <v>11130.12</v>
      </c>
      <c r="F356" s="2">
        <v>51324.08</v>
      </c>
      <c r="G356" t="s">
        <v>731</v>
      </c>
      <c r="H356" t="s">
        <v>719</v>
      </c>
      <c r="J356" s="7">
        <f t="shared" si="1"/>
        <v>0</v>
      </c>
    </row>
    <row r="357" spans="1:10" hidden="1" x14ac:dyDescent="0.25">
      <c r="A357" s="1">
        <v>45099</v>
      </c>
      <c r="B357" t="s">
        <v>472</v>
      </c>
      <c r="D357" s="2">
        <v>212.85</v>
      </c>
      <c r="E357" s="2">
        <v>0</v>
      </c>
      <c r="F357" s="2">
        <v>51111.23</v>
      </c>
      <c r="G357" t="s">
        <v>731</v>
      </c>
      <c r="H357" t="s">
        <v>719</v>
      </c>
      <c r="J357" s="7">
        <f t="shared" si="1"/>
        <v>0</v>
      </c>
    </row>
    <row r="358" spans="1:10" hidden="1" x14ac:dyDescent="0.25">
      <c r="A358" s="1">
        <v>45099</v>
      </c>
      <c r="B358" t="s">
        <v>533</v>
      </c>
      <c r="D358" s="2">
        <v>0</v>
      </c>
      <c r="E358" s="2">
        <v>700</v>
      </c>
      <c r="F358" s="2">
        <v>51811.23</v>
      </c>
      <c r="G358" t="s">
        <v>736</v>
      </c>
      <c r="H358" t="s">
        <v>719</v>
      </c>
      <c r="J358" s="7">
        <f t="shared" si="1"/>
        <v>0</v>
      </c>
    </row>
    <row r="359" spans="1:10" hidden="1" x14ac:dyDescent="0.25">
      <c r="A359" s="1">
        <v>45099</v>
      </c>
      <c r="B359" t="s">
        <v>472</v>
      </c>
      <c r="D359" s="2">
        <v>15053.91</v>
      </c>
      <c r="E359" s="2">
        <v>0</v>
      </c>
      <c r="F359" s="2">
        <v>36757.32</v>
      </c>
      <c r="G359" t="s">
        <v>731</v>
      </c>
      <c r="H359" t="s">
        <v>719</v>
      </c>
      <c r="J359" s="7">
        <f t="shared" si="1"/>
        <v>0</v>
      </c>
    </row>
    <row r="360" spans="1:10" hidden="1" x14ac:dyDescent="0.25">
      <c r="A360" s="1">
        <v>45100</v>
      </c>
      <c r="B360" t="s">
        <v>67</v>
      </c>
      <c r="D360" s="2">
        <v>2950</v>
      </c>
      <c r="E360" s="2">
        <v>0</v>
      </c>
      <c r="F360" s="2">
        <v>98857.15</v>
      </c>
      <c r="G360" t="s">
        <v>793</v>
      </c>
      <c r="H360" t="s">
        <v>715</v>
      </c>
      <c r="J360" s="7">
        <f t="shared" si="1"/>
        <v>-65049.829999999994</v>
      </c>
    </row>
    <row r="361" spans="1:10" hidden="1" x14ac:dyDescent="0.25">
      <c r="A361" s="1">
        <v>45100</v>
      </c>
      <c r="B361" t="s">
        <v>473</v>
      </c>
      <c r="D361" s="2">
        <v>0</v>
      </c>
      <c r="E361" s="2">
        <v>1624.79</v>
      </c>
      <c r="F361" s="2">
        <v>38382.11</v>
      </c>
      <c r="G361" t="s">
        <v>731</v>
      </c>
      <c r="H361" t="s">
        <v>719</v>
      </c>
      <c r="J361" s="7">
        <f t="shared" si="1"/>
        <v>62099.829999999987</v>
      </c>
    </row>
    <row r="362" spans="1:10" hidden="1" x14ac:dyDescent="0.25">
      <c r="A362" s="1">
        <v>45100</v>
      </c>
      <c r="B362" t="s">
        <v>472</v>
      </c>
      <c r="D362" s="2">
        <v>209.4</v>
      </c>
      <c r="E362" s="2">
        <v>0</v>
      </c>
      <c r="F362" s="2">
        <v>38172.71</v>
      </c>
      <c r="G362" t="s">
        <v>731</v>
      </c>
      <c r="H362" t="s">
        <v>719</v>
      </c>
      <c r="J362" s="7">
        <f t="shared" si="1"/>
        <v>0</v>
      </c>
    </row>
    <row r="363" spans="1:10" hidden="1" x14ac:dyDescent="0.25">
      <c r="A363" s="1">
        <v>45100</v>
      </c>
      <c r="B363" t="s">
        <v>472</v>
      </c>
      <c r="D363" s="2">
        <v>3169.23</v>
      </c>
      <c r="E363" s="2">
        <v>0</v>
      </c>
      <c r="F363" s="2">
        <v>35003.480000000003</v>
      </c>
      <c r="G363" t="s">
        <v>731</v>
      </c>
      <c r="H363" t="s">
        <v>719</v>
      </c>
      <c r="J363" s="7">
        <f t="shared" si="1"/>
        <v>0</v>
      </c>
    </row>
    <row r="364" spans="1:10" hidden="1" x14ac:dyDescent="0.25">
      <c r="A364" s="1">
        <v>45100</v>
      </c>
      <c r="B364" t="s">
        <v>472</v>
      </c>
      <c r="D364" s="2">
        <v>8234.7800000000007</v>
      </c>
      <c r="E364" s="2">
        <v>0</v>
      </c>
      <c r="F364" s="2">
        <v>26768.7</v>
      </c>
      <c r="G364" t="s">
        <v>731</v>
      </c>
      <c r="H364" t="s">
        <v>719</v>
      </c>
      <c r="J364" s="7">
        <f t="shared" si="1"/>
        <v>0</v>
      </c>
    </row>
    <row r="365" spans="1:10" hidden="1" x14ac:dyDescent="0.25">
      <c r="A365" s="1">
        <v>45101</v>
      </c>
      <c r="B365" t="s">
        <v>473</v>
      </c>
      <c r="D365" s="2">
        <v>0</v>
      </c>
      <c r="E365" s="2">
        <v>8234.7800000000007</v>
      </c>
      <c r="F365" s="2">
        <v>35003.480000000003</v>
      </c>
      <c r="G365" t="s">
        <v>731</v>
      </c>
      <c r="H365" t="s">
        <v>719</v>
      </c>
      <c r="J365" s="7">
        <f t="shared" si="1"/>
        <v>0</v>
      </c>
    </row>
    <row r="366" spans="1:10" hidden="1" x14ac:dyDescent="0.25">
      <c r="A366" s="1">
        <v>45101</v>
      </c>
      <c r="B366" t="s">
        <v>183</v>
      </c>
      <c r="C366" t="s">
        <v>293</v>
      </c>
      <c r="D366" s="2">
        <v>0</v>
      </c>
      <c r="E366" s="2">
        <v>15281.68</v>
      </c>
      <c r="F366" s="2">
        <v>68927.69</v>
      </c>
      <c r="G366" s="55" t="s">
        <v>1052</v>
      </c>
      <c r="H366" t="s">
        <v>716</v>
      </c>
      <c r="J366" s="7">
        <f t="shared" si="1"/>
        <v>-18642.53</v>
      </c>
    </row>
    <row r="367" spans="1:10" hidden="1" x14ac:dyDescent="0.25">
      <c r="A367" s="1">
        <v>45102</v>
      </c>
      <c r="B367" t="s">
        <v>197</v>
      </c>
      <c r="C367" t="s">
        <v>292</v>
      </c>
      <c r="D367" s="2">
        <v>40000</v>
      </c>
      <c r="E367" s="2">
        <v>0</v>
      </c>
      <c r="F367" s="2">
        <v>28927.69</v>
      </c>
      <c r="G367" t="s">
        <v>724</v>
      </c>
      <c r="H367" t="s">
        <v>716</v>
      </c>
      <c r="J367" s="7">
        <f t="shared" si="1"/>
        <v>0</v>
      </c>
    </row>
    <row r="368" spans="1:10" hidden="1" x14ac:dyDescent="0.25">
      <c r="A368" s="1">
        <v>45102</v>
      </c>
      <c r="B368" t="s">
        <v>187</v>
      </c>
      <c r="C368">
        <v>0</v>
      </c>
      <c r="D368" s="2">
        <v>0</v>
      </c>
      <c r="E368" s="2">
        <v>231</v>
      </c>
      <c r="F368" s="2">
        <v>29158.69</v>
      </c>
      <c r="G368" t="s">
        <v>788</v>
      </c>
      <c r="H368" t="s">
        <v>716</v>
      </c>
      <c r="J368" s="7">
        <f t="shared" si="1"/>
        <v>0</v>
      </c>
    </row>
    <row r="369" spans="1:10" hidden="1" x14ac:dyDescent="0.25">
      <c r="A369" s="1">
        <v>45102</v>
      </c>
      <c r="B369" t="s">
        <v>181</v>
      </c>
      <c r="C369" t="s">
        <v>385</v>
      </c>
      <c r="D369" s="2">
        <v>0</v>
      </c>
      <c r="E369" s="2">
        <v>40000</v>
      </c>
      <c r="F369" s="2">
        <v>-148565.37</v>
      </c>
      <c r="G369" t="s">
        <v>724</v>
      </c>
      <c r="H369" t="s">
        <v>718</v>
      </c>
      <c r="J369" s="7">
        <f t="shared" si="1"/>
        <v>217724.06</v>
      </c>
    </row>
    <row r="370" spans="1:10" hidden="1" x14ac:dyDescent="0.25">
      <c r="A370" s="1">
        <v>45103</v>
      </c>
      <c r="B370" t="s">
        <v>68</v>
      </c>
      <c r="D370" s="2">
        <v>0</v>
      </c>
      <c r="E370" s="2">
        <v>1950</v>
      </c>
      <c r="F370" s="2">
        <v>100807.15</v>
      </c>
      <c r="G370" t="s">
        <v>727</v>
      </c>
      <c r="H370" t="s">
        <v>715</v>
      </c>
      <c r="J370" s="7">
        <f t="shared" si="1"/>
        <v>-247422.52</v>
      </c>
    </row>
    <row r="371" spans="1:10" hidden="1" x14ac:dyDescent="0.25">
      <c r="A371" s="1">
        <v>45103</v>
      </c>
      <c r="B371" t="s">
        <v>517</v>
      </c>
      <c r="D371" s="2">
        <v>3000</v>
      </c>
      <c r="E371" s="2">
        <v>0</v>
      </c>
      <c r="F371" s="2">
        <v>32003.48</v>
      </c>
      <c r="G371" t="s">
        <v>725</v>
      </c>
      <c r="H371" t="s">
        <v>719</v>
      </c>
      <c r="J371" s="7">
        <f t="shared" si="1"/>
        <v>65803.67</v>
      </c>
    </row>
    <row r="372" spans="1:10" hidden="1" x14ac:dyDescent="0.25">
      <c r="A372" s="1">
        <v>45103</v>
      </c>
      <c r="B372" t="s">
        <v>472</v>
      </c>
      <c r="D372" s="2">
        <v>652.29</v>
      </c>
      <c r="E372" s="2">
        <v>0</v>
      </c>
      <c r="F372" s="2">
        <v>31351.19</v>
      </c>
      <c r="G372" t="s">
        <v>731</v>
      </c>
      <c r="H372" t="s">
        <v>719</v>
      </c>
      <c r="J372" s="7">
        <f t="shared" si="1"/>
        <v>0</v>
      </c>
    </row>
    <row r="373" spans="1:10" hidden="1" x14ac:dyDescent="0.25">
      <c r="A373" s="1">
        <v>45103</v>
      </c>
      <c r="B373" t="s">
        <v>534</v>
      </c>
      <c r="D373" s="2">
        <v>0</v>
      </c>
      <c r="E373" s="2">
        <v>1290</v>
      </c>
      <c r="F373" s="2">
        <v>32641.19</v>
      </c>
      <c r="G373" t="s">
        <v>736</v>
      </c>
      <c r="H373" t="s">
        <v>719</v>
      </c>
      <c r="J373" s="7">
        <f t="shared" si="1"/>
        <v>0</v>
      </c>
    </row>
    <row r="374" spans="1:10" hidden="1" x14ac:dyDescent="0.25">
      <c r="A374" s="1">
        <v>45103</v>
      </c>
      <c r="B374" t="s">
        <v>472</v>
      </c>
      <c r="D374" s="2">
        <v>8457.3799999999992</v>
      </c>
      <c r="E374" s="2">
        <v>0</v>
      </c>
      <c r="F374" s="2">
        <v>24183.81</v>
      </c>
      <c r="G374" t="s">
        <v>731</v>
      </c>
      <c r="H374" t="s">
        <v>719</v>
      </c>
      <c r="J374" s="7">
        <f t="shared" si="1"/>
        <v>0</v>
      </c>
    </row>
    <row r="375" spans="1:10" hidden="1" x14ac:dyDescent="0.25">
      <c r="A375" s="1">
        <v>45103</v>
      </c>
      <c r="B375" t="s">
        <v>535</v>
      </c>
      <c r="D375" s="2">
        <v>10000</v>
      </c>
      <c r="E375" s="2">
        <v>0</v>
      </c>
      <c r="F375" s="2">
        <v>14183.81</v>
      </c>
      <c r="G375" t="s">
        <v>726</v>
      </c>
      <c r="H375" t="s">
        <v>719</v>
      </c>
      <c r="J375" s="7">
        <f t="shared" si="1"/>
        <v>0</v>
      </c>
    </row>
    <row r="376" spans="1:10" hidden="1" x14ac:dyDescent="0.25">
      <c r="A376" s="1">
        <v>45103</v>
      </c>
      <c r="B376" t="s">
        <v>472</v>
      </c>
      <c r="D376" s="2">
        <v>1142.6199999999999</v>
      </c>
      <c r="E376" s="2">
        <v>0</v>
      </c>
      <c r="F376" s="2">
        <v>13041.19</v>
      </c>
      <c r="G376" t="s">
        <v>731</v>
      </c>
      <c r="H376" t="s">
        <v>719</v>
      </c>
      <c r="J376" s="7">
        <f t="shared" si="1"/>
        <v>0</v>
      </c>
    </row>
    <row r="377" spans="1:10" hidden="1" x14ac:dyDescent="0.25">
      <c r="A377" s="1">
        <v>45103</v>
      </c>
      <c r="B377" t="s">
        <v>473</v>
      </c>
      <c r="D377" s="2">
        <v>0</v>
      </c>
      <c r="E377" s="2">
        <v>1142.6199999999999</v>
      </c>
      <c r="F377" s="2">
        <v>14183.81</v>
      </c>
      <c r="G377" t="s">
        <v>731</v>
      </c>
      <c r="H377" t="s">
        <v>719</v>
      </c>
      <c r="J377" s="7">
        <f t="shared" si="1"/>
        <v>0</v>
      </c>
    </row>
    <row r="378" spans="1:10" hidden="1" x14ac:dyDescent="0.25">
      <c r="A378" s="1">
        <v>45104</v>
      </c>
      <c r="B378" t="s">
        <v>472</v>
      </c>
      <c r="D378" s="2">
        <v>215.85</v>
      </c>
      <c r="E378" s="2">
        <v>0</v>
      </c>
      <c r="F378" s="2">
        <v>13967.96</v>
      </c>
      <c r="G378" t="s">
        <v>731</v>
      </c>
      <c r="H378" t="s">
        <v>719</v>
      </c>
      <c r="J378" s="7">
        <f t="shared" si="1"/>
        <v>0</v>
      </c>
    </row>
    <row r="379" spans="1:10" hidden="1" x14ac:dyDescent="0.25">
      <c r="A379" s="1">
        <v>45104</v>
      </c>
      <c r="B379" t="s">
        <v>536</v>
      </c>
      <c r="D379" s="2">
        <v>0</v>
      </c>
      <c r="E379" s="2">
        <v>676.13</v>
      </c>
      <c r="F379" s="2">
        <v>14644.09</v>
      </c>
      <c r="G379" t="s">
        <v>732</v>
      </c>
      <c r="H379" t="s">
        <v>719</v>
      </c>
      <c r="J379" s="7">
        <f t="shared" si="1"/>
        <v>0</v>
      </c>
    </row>
    <row r="380" spans="1:10" hidden="1" x14ac:dyDescent="0.25">
      <c r="A380" s="1">
        <v>45104</v>
      </c>
      <c r="B380" t="s">
        <v>472</v>
      </c>
      <c r="D380" s="2">
        <v>308.14</v>
      </c>
      <c r="E380" s="2">
        <v>0</v>
      </c>
      <c r="F380" s="2">
        <v>14335.95</v>
      </c>
      <c r="G380" t="s">
        <v>731</v>
      </c>
      <c r="H380" t="s">
        <v>719</v>
      </c>
      <c r="J380" s="7">
        <f t="shared" si="1"/>
        <v>0</v>
      </c>
    </row>
    <row r="381" spans="1:10" hidden="1" x14ac:dyDescent="0.25">
      <c r="A381" s="1">
        <v>45104</v>
      </c>
      <c r="B381" t="s">
        <v>472</v>
      </c>
      <c r="D381" s="2">
        <v>7683.34</v>
      </c>
      <c r="E381" s="2">
        <v>0</v>
      </c>
      <c r="F381" s="2">
        <v>6652.61</v>
      </c>
      <c r="G381" t="s">
        <v>731</v>
      </c>
      <c r="H381" t="s">
        <v>719</v>
      </c>
      <c r="J381" s="7">
        <f t="shared" si="1"/>
        <v>0</v>
      </c>
    </row>
    <row r="382" spans="1:10" hidden="1" x14ac:dyDescent="0.25">
      <c r="A382" s="1">
        <v>45104</v>
      </c>
      <c r="B382" t="s">
        <v>473</v>
      </c>
      <c r="D382" s="2">
        <v>0</v>
      </c>
      <c r="E382" s="2">
        <v>7683.34</v>
      </c>
      <c r="F382" s="2">
        <v>14335.95</v>
      </c>
      <c r="G382" t="s">
        <v>731</v>
      </c>
      <c r="H382" t="s">
        <v>719</v>
      </c>
      <c r="J382" s="7">
        <f t="shared" si="1"/>
        <v>0</v>
      </c>
    </row>
    <row r="383" spans="1:10" hidden="1" x14ac:dyDescent="0.25">
      <c r="A383" s="1">
        <v>45105</v>
      </c>
      <c r="B383" t="s">
        <v>480</v>
      </c>
      <c r="D383" s="2">
        <v>3000</v>
      </c>
      <c r="E383" s="2">
        <v>0</v>
      </c>
      <c r="F383" s="2">
        <v>11335.95</v>
      </c>
      <c r="G383" t="s">
        <v>725</v>
      </c>
      <c r="H383" t="s">
        <v>719</v>
      </c>
      <c r="J383" s="7">
        <f t="shared" si="1"/>
        <v>0</v>
      </c>
    </row>
    <row r="384" spans="1:10" hidden="1" x14ac:dyDescent="0.25">
      <c r="A384" s="1">
        <v>45105</v>
      </c>
      <c r="B384" t="s">
        <v>472</v>
      </c>
      <c r="D384" s="2">
        <v>215.7</v>
      </c>
      <c r="E384" s="2">
        <v>0</v>
      </c>
      <c r="F384" s="2">
        <v>11120.25</v>
      </c>
      <c r="G384" t="s">
        <v>731</v>
      </c>
      <c r="H384" t="s">
        <v>719</v>
      </c>
      <c r="J384" s="7">
        <f t="shared" si="1"/>
        <v>0</v>
      </c>
    </row>
    <row r="385" spans="1:10" hidden="1" x14ac:dyDescent="0.25">
      <c r="A385" s="1">
        <v>45105</v>
      </c>
      <c r="B385" t="s">
        <v>473</v>
      </c>
      <c r="D385" s="2">
        <v>0</v>
      </c>
      <c r="E385" s="2">
        <v>12961.34</v>
      </c>
      <c r="F385" s="2">
        <v>24081.59</v>
      </c>
      <c r="G385" t="s">
        <v>731</v>
      </c>
      <c r="H385" t="s">
        <v>719</v>
      </c>
      <c r="J385" s="7">
        <f t="shared" si="1"/>
        <v>0</v>
      </c>
    </row>
    <row r="386" spans="1:10" hidden="1" x14ac:dyDescent="0.25">
      <c r="A386" s="1">
        <v>45105</v>
      </c>
      <c r="B386" t="s">
        <v>291</v>
      </c>
      <c r="C386" t="s">
        <v>290</v>
      </c>
      <c r="D386" s="2">
        <v>0</v>
      </c>
      <c r="E386" s="2">
        <v>500</v>
      </c>
      <c r="F386" s="2">
        <v>29658.69</v>
      </c>
      <c r="G386" s="55" t="s">
        <v>1052</v>
      </c>
      <c r="H386" t="s">
        <v>716</v>
      </c>
      <c r="J386" s="7">
        <f t="shared" si="1"/>
        <v>-5077.0999999999985</v>
      </c>
    </row>
    <row r="387" spans="1:10" hidden="1" x14ac:dyDescent="0.25">
      <c r="A387" s="1">
        <v>45106</v>
      </c>
      <c r="B387" t="s">
        <v>472</v>
      </c>
      <c r="D387" s="2">
        <v>5067.33</v>
      </c>
      <c r="E387" s="2">
        <v>0</v>
      </c>
      <c r="F387" s="2">
        <v>19014.259999999998</v>
      </c>
      <c r="G387" t="s">
        <v>731</v>
      </c>
      <c r="H387" t="s">
        <v>719</v>
      </c>
      <c r="J387" s="7">
        <f t="shared" si="1"/>
        <v>5577.1000000000022</v>
      </c>
    </row>
    <row r="388" spans="1:10" hidden="1" x14ac:dyDescent="0.25">
      <c r="A388" s="1">
        <v>45106</v>
      </c>
      <c r="B388" t="s">
        <v>473</v>
      </c>
      <c r="D388" s="2">
        <v>0</v>
      </c>
      <c r="E388" s="2">
        <v>6006.32</v>
      </c>
      <c r="F388" s="2">
        <v>25020.58</v>
      </c>
      <c r="G388" t="s">
        <v>731</v>
      </c>
      <c r="H388" t="s">
        <v>719</v>
      </c>
      <c r="J388" s="7">
        <f t="shared" si="1"/>
        <v>0</v>
      </c>
    </row>
    <row r="389" spans="1:10" hidden="1" x14ac:dyDescent="0.25">
      <c r="A389" s="1">
        <v>45107</v>
      </c>
      <c r="B389" t="s">
        <v>472</v>
      </c>
      <c r="D389" s="2">
        <v>426.4</v>
      </c>
      <c r="E389" s="2">
        <v>0</v>
      </c>
      <c r="F389" s="2">
        <v>24594.18</v>
      </c>
      <c r="G389" t="s">
        <v>731</v>
      </c>
      <c r="H389" t="s">
        <v>719</v>
      </c>
      <c r="J389" s="7">
        <f t="shared" si="1"/>
        <v>0</v>
      </c>
    </row>
    <row r="390" spans="1:10" hidden="1" x14ac:dyDescent="0.25">
      <c r="A390" s="1">
        <v>45107</v>
      </c>
      <c r="B390" t="s">
        <v>537</v>
      </c>
      <c r="D390" s="2">
        <v>0</v>
      </c>
      <c r="E390" s="2">
        <v>600</v>
      </c>
      <c r="F390" s="2">
        <v>25194.18</v>
      </c>
      <c r="G390" t="s">
        <v>736</v>
      </c>
      <c r="H390" t="s">
        <v>719</v>
      </c>
      <c r="J390" s="7">
        <f t="shared" si="1"/>
        <v>0</v>
      </c>
    </row>
    <row r="391" spans="1:10" hidden="1" x14ac:dyDescent="0.25">
      <c r="A391" s="1">
        <v>45107</v>
      </c>
      <c r="B391" t="s">
        <v>472</v>
      </c>
      <c r="D391" s="2">
        <v>10807.15</v>
      </c>
      <c r="E391" s="2">
        <v>0</v>
      </c>
      <c r="F391" s="2">
        <v>14387.03</v>
      </c>
      <c r="G391" t="s">
        <v>731</v>
      </c>
      <c r="H391" t="s">
        <v>719</v>
      </c>
      <c r="J391" s="7">
        <f t="shared" ref="J391:J454" si="2">F390-D391+E391-F391</f>
        <v>0</v>
      </c>
    </row>
    <row r="392" spans="1:10" hidden="1" x14ac:dyDescent="0.25">
      <c r="A392" s="1">
        <v>45107</v>
      </c>
      <c r="B392" t="s">
        <v>538</v>
      </c>
      <c r="D392" s="2">
        <v>0</v>
      </c>
      <c r="E392" s="2">
        <v>292</v>
      </c>
      <c r="F392" s="2">
        <v>14679.03</v>
      </c>
      <c r="G392" t="s">
        <v>788</v>
      </c>
      <c r="H392" t="s">
        <v>719</v>
      </c>
      <c r="J392" s="7">
        <f t="shared" si="2"/>
        <v>0</v>
      </c>
    </row>
    <row r="393" spans="1:10" hidden="1" x14ac:dyDescent="0.25">
      <c r="A393" s="1">
        <v>45107</v>
      </c>
      <c r="B393" t="s">
        <v>380</v>
      </c>
      <c r="C393">
        <v>0</v>
      </c>
      <c r="D393" s="2">
        <v>1130</v>
      </c>
      <c r="E393" s="2">
        <v>0</v>
      </c>
      <c r="F393" s="2">
        <v>-149695.37</v>
      </c>
      <c r="G393" t="s">
        <v>790</v>
      </c>
      <c r="H393" t="s">
        <v>718</v>
      </c>
      <c r="J393" s="7">
        <f t="shared" si="2"/>
        <v>163244.4</v>
      </c>
    </row>
    <row r="394" spans="1:10" hidden="1" x14ac:dyDescent="0.25">
      <c r="A394" s="1">
        <v>45108</v>
      </c>
      <c r="B394" t="s">
        <v>69</v>
      </c>
      <c r="D394" s="2">
        <v>50</v>
      </c>
      <c r="E394" s="2">
        <v>0</v>
      </c>
      <c r="F394" s="2">
        <v>100757.15</v>
      </c>
      <c r="G394" t="s">
        <v>792</v>
      </c>
      <c r="H394" t="s">
        <v>715</v>
      </c>
      <c r="J394" s="7">
        <f t="shared" si="2"/>
        <v>-250502.52</v>
      </c>
    </row>
    <row r="395" spans="1:10" hidden="1" x14ac:dyDescent="0.25">
      <c r="A395" s="1">
        <v>45108</v>
      </c>
      <c r="B395" t="s">
        <v>70</v>
      </c>
      <c r="D395" s="2">
        <v>0</v>
      </c>
      <c r="E395" s="2">
        <v>473</v>
      </c>
      <c r="F395" s="2">
        <v>101230.15</v>
      </c>
      <c r="G395" t="s">
        <v>788</v>
      </c>
      <c r="H395" t="s">
        <v>715</v>
      </c>
      <c r="J395" s="7">
        <f t="shared" si="2"/>
        <v>0</v>
      </c>
    </row>
    <row r="396" spans="1:10" hidden="1" x14ac:dyDescent="0.25">
      <c r="A396" s="1">
        <v>45108</v>
      </c>
      <c r="B396" t="s">
        <v>473</v>
      </c>
      <c r="D396" s="2">
        <v>0</v>
      </c>
      <c r="E396" s="2">
        <v>958.42</v>
      </c>
      <c r="F396" s="2">
        <v>15637.45</v>
      </c>
      <c r="G396" t="s">
        <v>731</v>
      </c>
      <c r="H396" t="s">
        <v>719</v>
      </c>
      <c r="J396" s="7">
        <f t="shared" si="2"/>
        <v>86551.12</v>
      </c>
    </row>
    <row r="397" spans="1:10" hidden="1" x14ac:dyDescent="0.25">
      <c r="A397" s="1">
        <v>45108</v>
      </c>
      <c r="B397" t="s">
        <v>472</v>
      </c>
      <c r="D397" s="2">
        <v>2361.29</v>
      </c>
      <c r="E397" s="2">
        <v>0</v>
      </c>
      <c r="F397" s="2">
        <v>13276.16</v>
      </c>
      <c r="G397" t="s">
        <v>731</v>
      </c>
      <c r="H397" t="s">
        <v>719</v>
      </c>
      <c r="J397" s="7">
        <f t="shared" si="2"/>
        <v>0</v>
      </c>
    </row>
    <row r="398" spans="1:10" hidden="1" x14ac:dyDescent="0.25">
      <c r="A398" s="1">
        <v>45108</v>
      </c>
      <c r="B398" t="s">
        <v>473</v>
      </c>
      <c r="D398" s="2">
        <v>0</v>
      </c>
      <c r="E398" s="2">
        <v>2361.29</v>
      </c>
      <c r="F398" s="2">
        <v>15637.45</v>
      </c>
      <c r="G398" t="s">
        <v>731</v>
      </c>
      <c r="H398" t="s">
        <v>719</v>
      </c>
      <c r="J398" s="7">
        <f t="shared" si="2"/>
        <v>0</v>
      </c>
    </row>
    <row r="399" spans="1:10" hidden="1" x14ac:dyDescent="0.25">
      <c r="A399" s="1">
        <v>45108</v>
      </c>
      <c r="B399" t="s">
        <v>539</v>
      </c>
      <c r="D399" s="2">
        <v>1500</v>
      </c>
      <c r="E399" s="2">
        <v>0</v>
      </c>
      <c r="F399" s="2">
        <v>14137.45</v>
      </c>
      <c r="G399" t="s">
        <v>725</v>
      </c>
      <c r="H399" t="s">
        <v>719</v>
      </c>
      <c r="J399" s="7">
        <f t="shared" si="2"/>
        <v>0</v>
      </c>
    </row>
    <row r="400" spans="1:10" hidden="1" x14ac:dyDescent="0.25">
      <c r="A400" s="1">
        <v>45108</v>
      </c>
      <c r="B400" t="s">
        <v>540</v>
      </c>
      <c r="D400" s="2">
        <v>2000</v>
      </c>
      <c r="E400" s="2">
        <v>0</v>
      </c>
      <c r="F400" s="2">
        <v>12137.45</v>
      </c>
      <c r="G400" t="s">
        <v>725</v>
      </c>
      <c r="H400" t="s">
        <v>719</v>
      </c>
      <c r="J400" s="7">
        <f t="shared" si="2"/>
        <v>0</v>
      </c>
    </row>
    <row r="401" spans="1:10" hidden="1" x14ac:dyDescent="0.25">
      <c r="A401" s="1">
        <v>45108</v>
      </c>
      <c r="B401" t="s">
        <v>541</v>
      </c>
      <c r="D401" s="2">
        <v>2000</v>
      </c>
      <c r="E401" s="2">
        <v>0</v>
      </c>
      <c r="F401" s="2">
        <v>10137.450000000001</v>
      </c>
      <c r="G401" t="s">
        <v>725</v>
      </c>
      <c r="H401" t="s">
        <v>719</v>
      </c>
      <c r="J401" s="7">
        <f t="shared" si="2"/>
        <v>0</v>
      </c>
    </row>
    <row r="402" spans="1:10" hidden="1" x14ac:dyDescent="0.25">
      <c r="A402" s="1">
        <v>45109</v>
      </c>
      <c r="B402" t="s">
        <v>214</v>
      </c>
      <c r="C402" t="s">
        <v>206</v>
      </c>
      <c r="D402" s="2">
        <v>26595</v>
      </c>
      <c r="E402" s="2">
        <v>0</v>
      </c>
      <c r="F402" s="2">
        <v>3063.69</v>
      </c>
      <c r="G402" t="s">
        <v>724</v>
      </c>
      <c r="H402" t="s">
        <v>716</v>
      </c>
      <c r="J402" s="7">
        <f t="shared" si="2"/>
        <v>-19521.239999999998</v>
      </c>
    </row>
    <row r="403" spans="1:10" hidden="1" x14ac:dyDescent="0.25">
      <c r="A403" s="1">
        <v>45109</v>
      </c>
      <c r="B403" t="s">
        <v>371</v>
      </c>
      <c r="C403" t="s">
        <v>372</v>
      </c>
      <c r="D403" s="2">
        <v>0</v>
      </c>
      <c r="E403" s="2">
        <v>26595</v>
      </c>
      <c r="F403" s="2">
        <v>-123100.37</v>
      </c>
      <c r="G403" t="s">
        <v>724</v>
      </c>
      <c r="H403" t="s">
        <v>718</v>
      </c>
      <c r="J403" s="7">
        <f t="shared" si="2"/>
        <v>152759.06</v>
      </c>
    </row>
    <row r="404" spans="1:10" hidden="1" x14ac:dyDescent="0.25">
      <c r="A404" s="1">
        <v>45110</v>
      </c>
      <c r="B404" t="s">
        <v>472</v>
      </c>
      <c r="D404" s="2">
        <v>641.01</v>
      </c>
      <c r="E404" s="2">
        <v>0</v>
      </c>
      <c r="F404" s="2">
        <v>9496.44</v>
      </c>
      <c r="G404" t="s">
        <v>731</v>
      </c>
      <c r="H404" t="s">
        <v>719</v>
      </c>
      <c r="J404" s="7">
        <f t="shared" si="2"/>
        <v>-133237.81999999998</v>
      </c>
    </row>
    <row r="405" spans="1:10" hidden="1" x14ac:dyDescent="0.25">
      <c r="A405" s="1">
        <v>45110</v>
      </c>
      <c r="B405" t="s">
        <v>542</v>
      </c>
      <c r="D405" s="2">
        <v>0</v>
      </c>
      <c r="E405" s="2">
        <v>168</v>
      </c>
      <c r="F405" s="2">
        <v>9664.44</v>
      </c>
      <c r="G405" t="s">
        <v>736</v>
      </c>
      <c r="H405" t="s">
        <v>719</v>
      </c>
      <c r="J405" s="7">
        <f t="shared" si="2"/>
        <v>0</v>
      </c>
    </row>
    <row r="406" spans="1:10" hidden="1" x14ac:dyDescent="0.25">
      <c r="A406" s="1">
        <v>45110</v>
      </c>
      <c r="B406" t="s">
        <v>543</v>
      </c>
      <c r="D406" s="2">
        <v>0</v>
      </c>
      <c r="E406" s="2">
        <v>1750</v>
      </c>
      <c r="F406" s="2">
        <v>11414.44</v>
      </c>
      <c r="G406" t="s">
        <v>736</v>
      </c>
      <c r="H406" t="s">
        <v>719</v>
      </c>
      <c r="J406" s="7">
        <f t="shared" si="2"/>
        <v>0</v>
      </c>
    </row>
    <row r="407" spans="1:10" hidden="1" x14ac:dyDescent="0.25">
      <c r="A407" s="1">
        <v>45110</v>
      </c>
      <c r="B407" t="s">
        <v>472</v>
      </c>
      <c r="D407" s="2">
        <v>72.14</v>
      </c>
      <c r="E407" s="2">
        <v>0</v>
      </c>
      <c r="F407" s="2">
        <v>11342.3</v>
      </c>
      <c r="G407" t="s">
        <v>731</v>
      </c>
      <c r="H407" t="s">
        <v>719</v>
      </c>
      <c r="J407" s="7">
        <f t="shared" si="2"/>
        <v>0</v>
      </c>
    </row>
    <row r="408" spans="1:10" hidden="1" x14ac:dyDescent="0.25">
      <c r="A408" s="1">
        <v>45110</v>
      </c>
      <c r="B408" t="s">
        <v>289</v>
      </c>
      <c r="C408">
        <v>0</v>
      </c>
      <c r="D408" s="2">
        <v>0</v>
      </c>
      <c r="E408" s="2">
        <v>600</v>
      </c>
      <c r="F408" s="2">
        <v>3663.69</v>
      </c>
      <c r="G408" t="s">
        <v>736</v>
      </c>
      <c r="H408" t="s">
        <v>716</v>
      </c>
      <c r="J408" s="7">
        <f t="shared" si="2"/>
        <v>8278.6099999999988</v>
      </c>
    </row>
    <row r="409" spans="1:10" hidden="1" x14ac:dyDescent="0.25">
      <c r="A409" s="1">
        <v>45110</v>
      </c>
      <c r="B409" t="s">
        <v>226</v>
      </c>
      <c r="C409">
        <v>0</v>
      </c>
      <c r="D409" s="2">
        <v>0</v>
      </c>
      <c r="E409" s="2">
        <v>437.5</v>
      </c>
      <c r="F409" s="2">
        <v>4101.1899999999996</v>
      </c>
      <c r="G409" t="s">
        <v>736</v>
      </c>
      <c r="H409" t="s">
        <v>716</v>
      </c>
      <c r="J409" s="7">
        <f t="shared" si="2"/>
        <v>0</v>
      </c>
    </row>
    <row r="410" spans="1:10" hidden="1" x14ac:dyDescent="0.25">
      <c r="A410" s="1">
        <v>45111</v>
      </c>
      <c r="B410" t="s">
        <v>71</v>
      </c>
      <c r="D410" s="2">
        <v>50</v>
      </c>
      <c r="E410" s="2">
        <v>0</v>
      </c>
      <c r="F410" s="2">
        <v>101180.15</v>
      </c>
      <c r="G410" t="s">
        <v>792</v>
      </c>
      <c r="H410" t="s">
        <v>715</v>
      </c>
      <c r="J410" s="7">
        <f t="shared" si="2"/>
        <v>-97128.959999999992</v>
      </c>
    </row>
    <row r="411" spans="1:10" hidden="1" x14ac:dyDescent="0.25">
      <c r="A411" s="1">
        <v>45111</v>
      </c>
      <c r="B411" t="s">
        <v>72</v>
      </c>
      <c r="D411" s="2">
        <v>86</v>
      </c>
      <c r="E411" s="2">
        <v>0</v>
      </c>
      <c r="F411" s="2">
        <v>101094.15</v>
      </c>
      <c r="G411" t="s">
        <v>792</v>
      </c>
      <c r="H411" t="s">
        <v>715</v>
      </c>
      <c r="J411" s="7">
        <f t="shared" si="2"/>
        <v>0</v>
      </c>
    </row>
    <row r="412" spans="1:10" hidden="1" x14ac:dyDescent="0.25">
      <c r="A412" s="1">
        <v>45111</v>
      </c>
      <c r="B412" t="s">
        <v>73</v>
      </c>
      <c r="D412" s="2">
        <v>284</v>
      </c>
      <c r="E412" s="2">
        <v>0</v>
      </c>
      <c r="F412" s="2">
        <v>100810.15</v>
      </c>
      <c r="G412" t="s">
        <v>792</v>
      </c>
      <c r="H412" t="s">
        <v>715</v>
      </c>
      <c r="J412" s="7">
        <f t="shared" si="2"/>
        <v>0</v>
      </c>
    </row>
    <row r="413" spans="1:10" hidden="1" x14ac:dyDescent="0.25">
      <c r="A413" s="1">
        <v>45111</v>
      </c>
      <c r="B413" t="s">
        <v>74</v>
      </c>
      <c r="D413" s="2">
        <v>50</v>
      </c>
      <c r="E413" s="2">
        <v>0</v>
      </c>
      <c r="F413" s="2">
        <v>100760.15</v>
      </c>
      <c r="G413" t="s">
        <v>792</v>
      </c>
      <c r="H413" t="s">
        <v>715</v>
      </c>
      <c r="J413" s="7">
        <f t="shared" si="2"/>
        <v>0</v>
      </c>
    </row>
    <row r="414" spans="1:10" hidden="1" x14ac:dyDescent="0.25">
      <c r="A414" s="1">
        <v>45111</v>
      </c>
      <c r="B414" t="s">
        <v>472</v>
      </c>
      <c r="D414" s="2">
        <v>213.63</v>
      </c>
      <c r="E414" s="2">
        <v>0</v>
      </c>
      <c r="F414" s="2">
        <v>11128.67</v>
      </c>
      <c r="G414" t="s">
        <v>731</v>
      </c>
      <c r="H414" t="s">
        <v>719</v>
      </c>
      <c r="J414" s="7">
        <f t="shared" si="2"/>
        <v>89417.849999999991</v>
      </c>
    </row>
    <row r="415" spans="1:10" hidden="1" x14ac:dyDescent="0.25">
      <c r="A415" s="1">
        <v>45111</v>
      </c>
      <c r="B415" t="s">
        <v>473</v>
      </c>
      <c r="D415" s="2">
        <v>0</v>
      </c>
      <c r="E415" s="2">
        <v>12974.33</v>
      </c>
      <c r="F415" s="2">
        <v>24103</v>
      </c>
      <c r="G415" t="s">
        <v>731</v>
      </c>
      <c r="H415" t="s">
        <v>719</v>
      </c>
      <c r="J415" s="7">
        <f t="shared" si="2"/>
        <v>0</v>
      </c>
    </row>
    <row r="416" spans="1:10" hidden="1" x14ac:dyDescent="0.25">
      <c r="A416" s="1">
        <v>45111</v>
      </c>
      <c r="B416" t="s">
        <v>544</v>
      </c>
      <c r="D416" s="2">
        <v>10</v>
      </c>
      <c r="E416" s="2">
        <v>0</v>
      </c>
      <c r="F416" s="2">
        <v>24093</v>
      </c>
      <c r="G416" t="s">
        <v>792</v>
      </c>
      <c r="H416" t="s">
        <v>719</v>
      </c>
      <c r="J416" s="7">
        <f t="shared" si="2"/>
        <v>0</v>
      </c>
    </row>
    <row r="417" spans="1:10" hidden="1" x14ac:dyDescent="0.25">
      <c r="A417" s="1">
        <v>45111</v>
      </c>
      <c r="B417" t="s">
        <v>472</v>
      </c>
      <c r="D417" s="2">
        <v>752.9</v>
      </c>
      <c r="E417" s="2">
        <v>0</v>
      </c>
      <c r="F417" s="2">
        <v>23340.1</v>
      </c>
      <c r="G417" t="s">
        <v>731</v>
      </c>
      <c r="H417" t="s">
        <v>719</v>
      </c>
      <c r="J417" s="7">
        <f t="shared" si="2"/>
        <v>0</v>
      </c>
    </row>
    <row r="418" spans="1:10" hidden="1" x14ac:dyDescent="0.25">
      <c r="A418" s="1">
        <v>45112</v>
      </c>
      <c r="B418" t="s">
        <v>75</v>
      </c>
      <c r="D418" s="2">
        <v>10</v>
      </c>
      <c r="E418" s="2">
        <v>0</v>
      </c>
      <c r="F418" s="2">
        <v>100750.15</v>
      </c>
      <c r="G418" t="s">
        <v>792</v>
      </c>
      <c r="H418" t="s">
        <v>715</v>
      </c>
      <c r="J418" s="7">
        <f t="shared" si="2"/>
        <v>-77420.049999999988</v>
      </c>
    </row>
    <row r="419" spans="1:10" hidden="1" x14ac:dyDescent="0.25">
      <c r="A419" s="1">
        <v>45112</v>
      </c>
      <c r="B419" t="s">
        <v>76</v>
      </c>
      <c r="D419" s="2">
        <v>10</v>
      </c>
      <c r="E419" s="2">
        <v>0</v>
      </c>
      <c r="F419" s="2">
        <v>100740.15</v>
      </c>
      <c r="G419" t="s">
        <v>792</v>
      </c>
      <c r="H419" t="s">
        <v>715</v>
      </c>
      <c r="J419" s="7">
        <f t="shared" si="2"/>
        <v>0</v>
      </c>
    </row>
    <row r="420" spans="1:10" hidden="1" x14ac:dyDescent="0.25">
      <c r="A420" s="1">
        <v>45112</v>
      </c>
      <c r="B420" t="s">
        <v>473</v>
      </c>
      <c r="D420" s="2">
        <v>0</v>
      </c>
      <c r="E420" s="2">
        <v>8625.26</v>
      </c>
      <c r="F420" s="2">
        <v>31965.360000000001</v>
      </c>
      <c r="G420" t="s">
        <v>731</v>
      </c>
      <c r="H420" t="s">
        <v>719</v>
      </c>
      <c r="J420" s="7">
        <f t="shared" si="2"/>
        <v>77400.049999999988</v>
      </c>
    </row>
    <row r="421" spans="1:10" hidden="1" x14ac:dyDescent="0.25">
      <c r="A421" s="1">
        <v>45112</v>
      </c>
      <c r="B421" t="s">
        <v>545</v>
      </c>
      <c r="D421" s="2">
        <v>0</v>
      </c>
      <c r="E421" s="2">
        <v>20000</v>
      </c>
      <c r="F421" s="2">
        <v>51965.36</v>
      </c>
      <c r="G421" t="s">
        <v>764</v>
      </c>
      <c r="H421" t="s">
        <v>719</v>
      </c>
      <c r="J421" s="7">
        <f t="shared" si="2"/>
        <v>0</v>
      </c>
    </row>
    <row r="422" spans="1:10" hidden="1" x14ac:dyDescent="0.25">
      <c r="A422" s="1">
        <v>45112</v>
      </c>
      <c r="B422" t="s">
        <v>480</v>
      </c>
      <c r="D422" s="2">
        <v>3000</v>
      </c>
      <c r="E422" s="2">
        <v>0</v>
      </c>
      <c r="F422" s="2">
        <v>48965.36</v>
      </c>
      <c r="G422" t="s">
        <v>725</v>
      </c>
      <c r="H422" t="s">
        <v>719</v>
      </c>
      <c r="J422" s="7">
        <f t="shared" si="2"/>
        <v>0</v>
      </c>
    </row>
    <row r="423" spans="1:10" hidden="1" x14ac:dyDescent="0.25">
      <c r="A423" s="1">
        <v>45112</v>
      </c>
      <c r="B423" t="s">
        <v>472</v>
      </c>
      <c r="D423" s="2">
        <v>213.26</v>
      </c>
      <c r="E423" s="2">
        <v>0</v>
      </c>
      <c r="F423" s="2">
        <v>48752.1</v>
      </c>
      <c r="G423" t="s">
        <v>731</v>
      </c>
      <c r="H423" t="s">
        <v>719</v>
      </c>
      <c r="J423" s="7">
        <f t="shared" si="2"/>
        <v>0</v>
      </c>
    </row>
    <row r="424" spans="1:10" hidden="1" x14ac:dyDescent="0.25">
      <c r="A424" s="1">
        <v>45112</v>
      </c>
      <c r="B424" t="s">
        <v>546</v>
      </c>
      <c r="D424" s="2">
        <v>0</v>
      </c>
      <c r="E424" s="2">
        <v>125</v>
      </c>
      <c r="F424" s="2">
        <v>48877.1</v>
      </c>
      <c r="G424" t="s">
        <v>732</v>
      </c>
      <c r="H424" t="s">
        <v>719</v>
      </c>
      <c r="J424" s="7">
        <f t="shared" si="2"/>
        <v>0</v>
      </c>
    </row>
    <row r="425" spans="1:10" hidden="1" x14ac:dyDescent="0.25">
      <c r="A425" s="1">
        <v>45112</v>
      </c>
      <c r="B425" t="s">
        <v>472</v>
      </c>
      <c r="D425" s="2">
        <v>7565.09</v>
      </c>
      <c r="E425" s="2">
        <v>0</v>
      </c>
      <c r="F425" s="2">
        <v>41312.01</v>
      </c>
      <c r="G425" t="s">
        <v>731</v>
      </c>
      <c r="H425" t="s">
        <v>719</v>
      </c>
      <c r="J425" s="7">
        <f t="shared" si="2"/>
        <v>0</v>
      </c>
    </row>
    <row r="426" spans="1:10" hidden="1" x14ac:dyDescent="0.25">
      <c r="A426" s="1">
        <v>45112</v>
      </c>
      <c r="B426" t="s">
        <v>473</v>
      </c>
      <c r="D426" s="2">
        <v>0</v>
      </c>
      <c r="E426" s="2">
        <v>2325.5</v>
      </c>
      <c r="F426" s="2">
        <v>43637.51</v>
      </c>
      <c r="G426" t="s">
        <v>731</v>
      </c>
      <c r="H426" t="s">
        <v>719</v>
      </c>
      <c r="J426" s="7">
        <f t="shared" si="2"/>
        <v>0</v>
      </c>
    </row>
    <row r="427" spans="1:10" hidden="1" x14ac:dyDescent="0.25">
      <c r="A427" s="1">
        <v>45112</v>
      </c>
      <c r="B427" t="s">
        <v>183</v>
      </c>
      <c r="C427" t="s">
        <v>288</v>
      </c>
      <c r="D427" s="2">
        <v>0</v>
      </c>
      <c r="E427" s="2">
        <v>10472.73</v>
      </c>
      <c r="F427" s="2">
        <v>14573.92</v>
      </c>
      <c r="G427" s="55" t="s">
        <v>1052</v>
      </c>
      <c r="H427" t="s">
        <v>716</v>
      </c>
      <c r="J427" s="7">
        <f t="shared" si="2"/>
        <v>39536.320000000007</v>
      </c>
    </row>
    <row r="428" spans="1:10" hidden="1" x14ac:dyDescent="0.25">
      <c r="A428" s="1">
        <v>45113</v>
      </c>
      <c r="B428" t="s">
        <v>472</v>
      </c>
      <c r="D428" s="2">
        <v>209.53</v>
      </c>
      <c r="E428" s="2">
        <v>0</v>
      </c>
      <c r="F428" s="2">
        <v>43427.98</v>
      </c>
      <c r="G428" t="s">
        <v>731</v>
      </c>
      <c r="H428" t="s">
        <v>719</v>
      </c>
      <c r="J428" s="7">
        <f t="shared" si="2"/>
        <v>-29063.590000000004</v>
      </c>
    </row>
    <row r="429" spans="1:10" hidden="1" x14ac:dyDescent="0.25">
      <c r="A429" s="1">
        <v>45113</v>
      </c>
      <c r="B429" t="s">
        <v>473</v>
      </c>
      <c r="D429" s="2">
        <v>0</v>
      </c>
      <c r="E429" s="2">
        <v>894.59</v>
      </c>
      <c r="F429" s="2">
        <v>44322.57</v>
      </c>
      <c r="G429" t="s">
        <v>731</v>
      </c>
      <c r="H429" t="s">
        <v>719</v>
      </c>
      <c r="J429" s="7">
        <f t="shared" si="2"/>
        <v>0</v>
      </c>
    </row>
    <row r="430" spans="1:10" hidden="1" x14ac:dyDescent="0.25">
      <c r="A430" s="1">
        <v>45114</v>
      </c>
      <c r="B430" t="s">
        <v>472</v>
      </c>
      <c r="D430" s="2">
        <v>220.76</v>
      </c>
      <c r="E430" s="2">
        <v>0</v>
      </c>
      <c r="F430" s="2">
        <v>44101.81</v>
      </c>
      <c r="G430" t="s">
        <v>731</v>
      </c>
      <c r="H430" t="s">
        <v>719</v>
      </c>
      <c r="J430" s="7">
        <f t="shared" si="2"/>
        <v>0</v>
      </c>
    </row>
    <row r="431" spans="1:10" hidden="1" x14ac:dyDescent="0.25">
      <c r="A431" s="1">
        <v>45114</v>
      </c>
      <c r="B431" t="s">
        <v>473</v>
      </c>
      <c r="D431" s="2">
        <v>0</v>
      </c>
      <c r="E431" s="2">
        <v>9232.0499999999993</v>
      </c>
      <c r="F431" s="2">
        <v>53333.86</v>
      </c>
      <c r="G431" t="s">
        <v>731</v>
      </c>
      <c r="H431" t="s">
        <v>719</v>
      </c>
      <c r="J431" s="7">
        <f t="shared" si="2"/>
        <v>0</v>
      </c>
    </row>
    <row r="432" spans="1:10" hidden="1" x14ac:dyDescent="0.25">
      <c r="A432" s="1">
        <v>45114</v>
      </c>
      <c r="B432" t="s">
        <v>547</v>
      </c>
      <c r="D432" s="2">
        <v>2000</v>
      </c>
      <c r="E432" s="2">
        <v>0</v>
      </c>
      <c r="F432" s="2">
        <v>51333.86</v>
      </c>
      <c r="G432" t="s">
        <v>725</v>
      </c>
      <c r="H432" t="s">
        <v>719</v>
      </c>
      <c r="J432" s="7">
        <f t="shared" si="2"/>
        <v>0</v>
      </c>
    </row>
    <row r="433" spans="1:10" hidden="1" x14ac:dyDescent="0.25">
      <c r="A433" s="1">
        <v>45114</v>
      </c>
      <c r="B433" t="s">
        <v>548</v>
      </c>
      <c r="D433" s="2">
        <v>2500</v>
      </c>
      <c r="E433" s="2">
        <v>0</v>
      </c>
      <c r="F433" s="2">
        <v>48833.86</v>
      </c>
      <c r="G433" t="s">
        <v>725</v>
      </c>
      <c r="H433" t="s">
        <v>719</v>
      </c>
      <c r="J433" s="7">
        <f t="shared" si="2"/>
        <v>0</v>
      </c>
    </row>
    <row r="434" spans="1:10" hidden="1" x14ac:dyDescent="0.25">
      <c r="A434" s="1">
        <v>45114</v>
      </c>
      <c r="B434" t="s">
        <v>472</v>
      </c>
      <c r="D434" s="2">
        <v>6808.25</v>
      </c>
      <c r="E434" s="2">
        <v>0</v>
      </c>
      <c r="F434" s="2">
        <v>42025.61</v>
      </c>
      <c r="G434" t="s">
        <v>731</v>
      </c>
      <c r="H434" t="s">
        <v>719</v>
      </c>
      <c r="J434" s="7">
        <f t="shared" si="2"/>
        <v>0</v>
      </c>
    </row>
    <row r="435" spans="1:10" hidden="1" x14ac:dyDescent="0.25">
      <c r="A435" s="1">
        <v>45114</v>
      </c>
      <c r="B435" t="s">
        <v>472</v>
      </c>
      <c r="D435" s="2">
        <v>7200.23</v>
      </c>
      <c r="E435" s="2">
        <v>0</v>
      </c>
      <c r="F435" s="2">
        <v>34825.379999999997</v>
      </c>
      <c r="G435" t="s">
        <v>731</v>
      </c>
      <c r="H435" t="s">
        <v>719</v>
      </c>
      <c r="J435" s="7">
        <f t="shared" si="2"/>
        <v>0</v>
      </c>
    </row>
    <row r="436" spans="1:10" hidden="1" x14ac:dyDescent="0.25">
      <c r="A436" s="1">
        <v>45114</v>
      </c>
      <c r="B436" t="s">
        <v>473</v>
      </c>
      <c r="D436" s="2">
        <v>0</v>
      </c>
      <c r="E436" s="2">
        <v>9318.14</v>
      </c>
      <c r="F436" s="2">
        <v>44143.519999999997</v>
      </c>
      <c r="G436" t="s">
        <v>731</v>
      </c>
      <c r="H436" t="s">
        <v>719</v>
      </c>
      <c r="J436" s="7">
        <f t="shared" si="2"/>
        <v>0</v>
      </c>
    </row>
    <row r="437" spans="1:10" hidden="1" x14ac:dyDescent="0.25">
      <c r="A437" s="1">
        <v>45115</v>
      </c>
      <c r="B437" t="s">
        <v>77</v>
      </c>
      <c r="D437" s="2">
        <v>41100</v>
      </c>
      <c r="E437" s="2">
        <v>0</v>
      </c>
      <c r="F437" s="2">
        <v>59640.15</v>
      </c>
      <c r="G437" t="s">
        <v>792</v>
      </c>
      <c r="H437" t="s">
        <v>715</v>
      </c>
      <c r="J437" s="7">
        <f t="shared" si="2"/>
        <v>-56596.630000000005</v>
      </c>
    </row>
    <row r="438" spans="1:10" hidden="1" x14ac:dyDescent="0.25">
      <c r="A438" s="1">
        <v>45115</v>
      </c>
      <c r="B438" t="s">
        <v>287</v>
      </c>
      <c r="C438" t="s">
        <v>286</v>
      </c>
      <c r="D438" s="2">
        <v>84.96</v>
      </c>
      <c r="E438" s="2">
        <v>0</v>
      </c>
      <c r="F438" s="2">
        <v>14488.96</v>
      </c>
      <c r="G438" s="55" t="s">
        <v>1052</v>
      </c>
      <c r="H438" t="s">
        <v>716</v>
      </c>
      <c r="J438" s="7">
        <f t="shared" si="2"/>
        <v>45066.23</v>
      </c>
    </row>
    <row r="439" spans="1:10" hidden="1" x14ac:dyDescent="0.25">
      <c r="A439" s="1">
        <v>45116</v>
      </c>
      <c r="B439" t="s">
        <v>78</v>
      </c>
      <c r="D439" s="2">
        <v>120</v>
      </c>
      <c r="E439" s="2">
        <v>0</v>
      </c>
      <c r="F439" s="2">
        <v>59520.15</v>
      </c>
      <c r="G439" t="s">
        <v>792</v>
      </c>
      <c r="H439" t="s">
        <v>715</v>
      </c>
      <c r="J439" s="7">
        <f t="shared" si="2"/>
        <v>-45151.19</v>
      </c>
    </row>
    <row r="440" spans="1:10" hidden="1" x14ac:dyDescent="0.25">
      <c r="A440" s="1">
        <v>45116</v>
      </c>
      <c r="B440" t="s">
        <v>79</v>
      </c>
      <c r="D440" s="2">
        <v>50</v>
      </c>
      <c r="E440" s="2">
        <v>0</v>
      </c>
      <c r="F440" s="2">
        <v>59470.15</v>
      </c>
      <c r="G440" t="s">
        <v>792</v>
      </c>
      <c r="H440" t="s">
        <v>715</v>
      </c>
      <c r="J440" s="7">
        <f t="shared" si="2"/>
        <v>0</v>
      </c>
    </row>
    <row r="441" spans="1:10" hidden="1" x14ac:dyDescent="0.25">
      <c r="A441" s="1">
        <v>45117</v>
      </c>
      <c r="B441" t="s">
        <v>25</v>
      </c>
      <c r="D441" s="2">
        <v>11927.25</v>
      </c>
      <c r="E441" s="2">
        <v>0</v>
      </c>
      <c r="F441" s="2">
        <v>47542.9</v>
      </c>
      <c r="G441" t="s">
        <v>794</v>
      </c>
      <c r="H441" t="s">
        <v>715</v>
      </c>
      <c r="J441" s="7">
        <f t="shared" si="2"/>
        <v>0</v>
      </c>
    </row>
    <row r="442" spans="1:10" hidden="1" x14ac:dyDescent="0.25">
      <c r="A442" s="1">
        <v>45117</v>
      </c>
      <c r="B442" t="s">
        <v>80</v>
      </c>
      <c r="D442" s="2">
        <v>3400</v>
      </c>
      <c r="E442" s="2">
        <v>0</v>
      </c>
      <c r="F442" s="2">
        <v>44142.9</v>
      </c>
      <c r="G442" t="s">
        <v>733</v>
      </c>
      <c r="H442" t="s">
        <v>715</v>
      </c>
      <c r="J442" s="7">
        <f t="shared" si="2"/>
        <v>0</v>
      </c>
    </row>
    <row r="443" spans="1:10" hidden="1" x14ac:dyDescent="0.25">
      <c r="A443" s="1">
        <v>45117</v>
      </c>
      <c r="B443" t="s">
        <v>81</v>
      </c>
      <c r="D443" s="2">
        <v>0</v>
      </c>
      <c r="E443" s="2">
        <v>100000</v>
      </c>
      <c r="F443" s="2">
        <v>144142.9</v>
      </c>
      <c r="G443" t="s">
        <v>724</v>
      </c>
      <c r="H443" t="s">
        <v>715</v>
      </c>
      <c r="J443" s="7">
        <f t="shared" si="2"/>
        <v>0</v>
      </c>
    </row>
    <row r="444" spans="1:10" hidden="1" x14ac:dyDescent="0.25">
      <c r="A444" s="1">
        <v>45117</v>
      </c>
      <c r="B444" t="s">
        <v>504</v>
      </c>
      <c r="D444" s="2">
        <v>4000</v>
      </c>
      <c r="E444" s="2">
        <v>0</v>
      </c>
      <c r="F444" s="2">
        <v>40143.519999999997</v>
      </c>
      <c r="G444" t="s">
        <v>725</v>
      </c>
      <c r="H444" t="s">
        <v>719</v>
      </c>
      <c r="J444" s="7">
        <f t="shared" si="2"/>
        <v>99999.38</v>
      </c>
    </row>
    <row r="445" spans="1:10" hidden="1" x14ac:dyDescent="0.25">
      <c r="A445" s="1">
        <v>45117</v>
      </c>
      <c r="B445" t="s">
        <v>480</v>
      </c>
      <c r="D445" s="2">
        <v>5000</v>
      </c>
      <c r="E445" s="2">
        <v>0</v>
      </c>
      <c r="F445" s="2">
        <v>35143.519999999997</v>
      </c>
      <c r="G445" t="s">
        <v>725</v>
      </c>
      <c r="H445" t="s">
        <v>719</v>
      </c>
      <c r="J445" s="7">
        <f t="shared" si="2"/>
        <v>0</v>
      </c>
    </row>
    <row r="446" spans="1:10" hidden="1" x14ac:dyDescent="0.25">
      <c r="A446" s="1">
        <v>45117</v>
      </c>
      <c r="B446" t="s">
        <v>480</v>
      </c>
      <c r="D446" s="2">
        <v>3000</v>
      </c>
      <c r="E446" s="2">
        <v>0</v>
      </c>
      <c r="F446" s="2">
        <v>32143.52</v>
      </c>
      <c r="G446" t="s">
        <v>725</v>
      </c>
      <c r="H446" t="s">
        <v>719</v>
      </c>
      <c r="J446" s="7">
        <f t="shared" si="2"/>
        <v>0</v>
      </c>
    </row>
    <row r="447" spans="1:10" hidden="1" x14ac:dyDescent="0.25">
      <c r="A447" s="1">
        <v>45117</v>
      </c>
      <c r="B447" t="s">
        <v>480</v>
      </c>
      <c r="D447" s="2">
        <v>3000</v>
      </c>
      <c r="E447" s="2">
        <v>0</v>
      </c>
      <c r="F447" s="2">
        <v>29143.52</v>
      </c>
      <c r="G447" t="s">
        <v>725</v>
      </c>
      <c r="H447" t="s">
        <v>719</v>
      </c>
      <c r="J447" s="7">
        <f t="shared" si="2"/>
        <v>0</v>
      </c>
    </row>
    <row r="448" spans="1:10" hidden="1" x14ac:dyDescent="0.25">
      <c r="A448" s="1">
        <v>45117</v>
      </c>
      <c r="B448" t="s">
        <v>472</v>
      </c>
      <c r="D448" s="2">
        <v>652.23</v>
      </c>
      <c r="E448" s="2">
        <v>0</v>
      </c>
      <c r="F448" s="2">
        <v>28491.29</v>
      </c>
      <c r="G448" t="s">
        <v>731</v>
      </c>
      <c r="H448" t="s">
        <v>719</v>
      </c>
      <c r="J448" s="7">
        <f t="shared" si="2"/>
        <v>0</v>
      </c>
    </row>
    <row r="449" spans="1:10" hidden="1" x14ac:dyDescent="0.25">
      <c r="A449" s="1">
        <v>45117</v>
      </c>
      <c r="B449" t="s">
        <v>549</v>
      </c>
      <c r="D449" s="2">
        <v>0</v>
      </c>
      <c r="E449" s="2">
        <v>720</v>
      </c>
      <c r="F449" s="2">
        <v>29211.29</v>
      </c>
      <c r="G449" t="s">
        <v>736</v>
      </c>
      <c r="H449" t="s">
        <v>719</v>
      </c>
      <c r="J449" s="7">
        <f t="shared" si="2"/>
        <v>0</v>
      </c>
    </row>
    <row r="450" spans="1:10" hidden="1" x14ac:dyDescent="0.25">
      <c r="A450" s="1">
        <v>45117</v>
      </c>
      <c r="B450" t="s">
        <v>472</v>
      </c>
      <c r="D450" s="2">
        <v>532.85</v>
      </c>
      <c r="E450" s="2">
        <v>0</v>
      </c>
      <c r="F450" s="2">
        <v>28678.44</v>
      </c>
      <c r="G450" t="s">
        <v>731</v>
      </c>
      <c r="H450" t="s">
        <v>719</v>
      </c>
      <c r="J450" s="7">
        <f t="shared" si="2"/>
        <v>0</v>
      </c>
    </row>
    <row r="451" spans="1:10" hidden="1" x14ac:dyDescent="0.25">
      <c r="A451" s="1">
        <v>45117</v>
      </c>
      <c r="B451" t="s">
        <v>386</v>
      </c>
      <c r="C451" t="s">
        <v>387</v>
      </c>
      <c r="D451" s="2">
        <v>100000</v>
      </c>
      <c r="E451" s="2">
        <v>0</v>
      </c>
      <c r="F451" s="2">
        <v>-223100.37</v>
      </c>
      <c r="G451" t="s">
        <v>724</v>
      </c>
      <c r="H451" t="s">
        <v>718</v>
      </c>
      <c r="J451" s="7">
        <f t="shared" si="2"/>
        <v>151778.81</v>
      </c>
    </row>
    <row r="452" spans="1:10" hidden="1" x14ac:dyDescent="0.25">
      <c r="A452" s="1">
        <v>45118</v>
      </c>
      <c r="B452" t="s">
        <v>82</v>
      </c>
      <c r="D452" s="2">
        <v>60000</v>
      </c>
      <c r="E452" s="2">
        <v>0</v>
      </c>
      <c r="F452" s="2">
        <v>84142.9</v>
      </c>
      <c r="G452" s="55" t="s">
        <v>1052</v>
      </c>
      <c r="H452" t="s">
        <v>715</v>
      </c>
      <c r="J452" s="7">
        <f t="shared" si="2"/>
        <v>-367243.27</v>
      </c>
    </row>
    <row r="453" spans="1:10" hidden="1" x14ac:dyDescent="0.25">
      <c r="A453" s="1">
        <v>45118</v>
      </c>
      <c r="B453" t="s">
        <v>472</v>
      </c>
      <c r="D453" s="2">
        <v>225.77</v>
      </c>
      <c r="E453" s="2">
        <v>0</v>
      </c>
      <c r="F453" s="2">
        <v>28452.67</v>
      </c>
      <c r="G453" t="s">
        <v>731</v>
      </c>
      <c r="H453" t="s">
        <v>719</v>
      </c>
      <c r="J453" s="7">
        <f t="shared" si="2"/>
        <v>55464.459999999992</v>
      </c>
    </row>
    <row r="454" spans="1:10" hidden="1" x14ac:dyDescent="0.25">
      <c r="A454" s="1">
        <v>45118</v>
      </c>
      <c r="B454" t="s">
        <v>550</v>
      </c>
      <c r="D454" s="2">
        <v>0</v>
      </c>
      <c r="E454" s="2">
        <v>1.01</v>
      </c>
      <c r="F454" s="2">
        <v>28453.68</v>
      </c>
      <c r="G454" s="55" t="s">
        <v>1052</v>
      </c>
      <c r="H454" t="s">
        <v>719</v>
      </c>
      <c r="J454" s="7">
        <f t="shared" si="2"/>
        <v>0</v>
      </c>
    </row>
    <row r="455" spans="1:10" hidden="1" x14ac:dyDescent="0.25">
      <c r="A455" s="1">
        <v>45118</v>
      </c>
      <c r="B455" t="s">
        <v>551</v>
      </c>
      <c r="D455" s="2">
        <v>0</v>
      </c>
      <c r="E455" s="2">
        <v>1.01</v>
      </c>
      <c r="F455" s="2">
        <v>28454.69</v>
      </c>
      <c r="G455" s="55" t="s">
        <v>1052</v>
      </c>
      <c r="H455" t="s">
        <v>719</v>
      </c>
      <c r="J455" s="7">
        <f t="shared" ref="J455:J518" si="3">F454-D455+E455-F455</f>
        <v>0</v>
      </c>
    </row>
    <row r="456" spans="1:10" hidden="1" x14ac:dyDescent="0.25">
      <c r="A456" s="1">
        <v>45118</v>
      </c>
      <c r="B456" t="s">
        <v>472</v>
      </c>
      <c r="D456" s="2">
        <v>1011.73</v>
      </c>
      <c r="E456" s="2">
        <v>0</v>
      </c>
      <c r="F456" s="2">
        <v>27442.959999999999</v>
      </c>
      <c r="G456" t="s">
        <v>731</v>
      </c>
      <c r="H456" t="s">
        <v>719</v>
      </c>
      <c r="J456" s="7">
        <f t="shared" si="3"/>
        <v>0</v>
      </c>
    </row>
    <row r="457" spans="1:10" hidden="1" x14ac:dyDescent="0.25">
      <c r="A457" s="1">
        <v>45118</v>
      </c>
      <c r="B457" t="s">
        <v>472</v>
      </c>
      <c r="D457" s="2">
        <v>1109.2</v>
      </c>
      <c r="E457" s="2">
        <v>0</v>
      </c>
      <c r="F457" s="2">
        <v>26333.759999999998</v>
      </c>
      <c r="G457" t="s">
        <v>731</v>
      </c>
      <c r="H457" t="s">
        <v>719</v>
      </c>
      <c r="J457" s="7">
        <f t="shared" si="3"/>
        <v>0</v>
      </c>
    </row>
    <row r="458" spans="1:10" hidden="1" x14ac:dyDescent="0.25">
      <c r="A458" s="1">
        <v>45118</v>
      </c>
      <c r="B458" t="s">
        <v>473</v>
      </c>
      <c r="D458" s="2">
        <v>0</v>
      </c>
      <c r="E458" s="2">
        <v>6835.98</v>
      </c>
      <c r="F458" s="2">
        <v>33169.74</v>
      </c>
      <c r="G458" t="s">
        <v>731</v>
      </c>
      <c r="H458" t="s">
        <v>719</v>
      </c>
      <c r="J458" s="7">
        <f t="shared" si="3"/>
        <v>0</v>
      </c>
    </row>
    <row r="459" spans="1:10" hidden="1" x14ac:dyDescent="0.25">
      <c r="A459" s="1">
        <v>45118</v>
      </c>
      <c r="B459" t="s">
        <v>201</v>
      </c>
      <c r="C459" t="s">
        <v>211</v>
      </c>
      <c r="D459" s="2">
        <v>1000</v>
      </c>
      <c r="E459" s="2">
        <v>0</v>
      </c>
      <c r="F459" s="2">
        <v>13488.96</v>
      </c>
      <c r="G459" s="55" t="s">
        <v>1052</v>
      </c>
      <c r="H459" t="s">
        <v>716</v>
      </c>
      <c r="J459" s="7">
        <f t="shared" si="3"/>
        <v>18680.78</v>
      </c>
    </row>
    <row r="460" spans="1:10" hidden="1" x14ac:dyDescent="0.25">
      <c r="A460" s="1">
        <v>45119</v>
      </c>
      <c r="B460" t="s">
        <v>472</v>
      </c>
      <c r="D460" s="2">
        <v>225.27</v>
      </c>
      <c r="E460" s="2">
        <v>0</v>
      </c>
      <c r="F460" s="2">
        <v>32944.47</v>
      </c>
      <c r="G460" t="s">
        <v>731</v>
      </c>
      <c r="H460" t="s">
        <v>719</v>
      </c>
      <c r="J460" s="7">
        <f t="shared" si="3"/>
        <v>-19680.780000000002</v>
      </c>
    </row>
    <row r="461" spans="1:10" hidden="1" x14ac:dyDescent="0.25">
      <c r="A461" s="1">
        <v>45119</v>
      </c>
      <c r="B461" t="s">
        <v>472</v>
      </c>
      <c r="D461" s="2">
        <v>5074.1499999999996</v>
      </c>
      <c r="E461" s="2">
        <v>0</v>
      </c>
      <c r="F461" s="2">
        <v>27870.32</v>
      </c>
      <c r="G461" t="s">
        <v>731</v>
      </c>
      <c r="H461" t="s">
        <v>719</v>
      </c>
      <c r="J461" s="7">
        <f t="shared" si="3"/>
        <v>0</v>
      </c>
    </row>
    <row r="462" spans="1:10" hidden="1" x14ac:dyDescent="0.25">
      <c r="A462" s="1">
        <v>45120</v>
      </c>
      <c r="B462" t="s">
        <v>473</v>
      </c>
      <c r="D462" s="2">
        <v>0</v>
      </c>
      <c r="E462" s="2">
        <v>2193.36</v>
      </c>
      <c r="F462" s="2">
        <v>30063.68</v>
      </c>
      <c r="G462" t="s">
        <v>731</v>
      </c>
      <c r="H462" t="s">
        <v>719</v>
      </c>
      <c r="J462" s="7">
        <f t="shared" si="3"/>
        <v>0</v>
      </c>
    </row>
    <row r="463" spans="1:10" hidden="1" x14ac:dyDescent="0.25">
      <c r="A463" s="1">
        <v>45120</v>
      </c>
      <c r="B463" t="s">
        <v>472</v>
      </c>
      <c r="D463" s="2">
        <v>222.77</v>
      </c>
      <c r="E463" s="2">
        <v>0</v>
      </c>
      <c r="F463" s="2">
        <v>29840.91</v>
      </c>
      <c r="G463" t="s">
        <v>731</v>
      </c>
      <c r="H463" t="s">
        <v>719</v>
      </c>
      <c r="J463" s="7">
        <f t="shared" si="3"/>
        <v>0</v>
      </c>
    </row>
    <row r="464" spans="1:10" hidden="1" x14ac:dyDescent="0.25">
      <c r="A464" s="1">
        <v>45120</v>
      </c>
      <c r="B464" t="s">
        <v>201</v>
      </c>
      <c r="C464" t="s">
        <v>211</v>
      </c>
      <c r="D464" s="2">
        <v>8344.24</v>
      </c>
      <c r="E464" s="2">
        <v>0</v>
      </c>
      <c r="F464" s="2">
        <v>5144.72</v>
      </c>
      <c r="G464" s="55" t="s">
        <v>1052</v>
      </c>
      <c r="H464" t="s">
        <v>716</v>
      </c>
      <c r="J464" s="7">
        <f t="shared" si="3"/>
        <v>16351.949999999997</v>
      </c>
    </row>
    <row r="465" spans="1:10" hidden="1" x14ac:dyDescent="0.25">
      <c r="A465" s="1">
        <v>45121</v>
      </c>
      <c r="B465" t="s">
        <v>473</v>
      </c>
      <c r="D465" s="2">
        <v>0</v>
      </c>
      <c r="E465" s="2">
        <v>2791.79</v>
      </c>
      <c r="F465" s="2">
        <v>32632.7</v>
      </c>
      <c r="G465" t="s">
        <v>731</v>
      </c>
      <c r="H465" t="s">
        <v>719</v>
      </c>
      <c r="J465" s="7">
        <f t="shared" si="3"/>
        <v>-24696.190000000002</v>
      </c>
    </row>
    <row r="466" spans="1:10" hidden="1" x14ac:dyDescent="0.25">
      <c r="A466" s="1">
        <v>45121</v>
      </c>
      <c r="B466" t="s">
        <v>552</v>
      </c>
      <c r="D466" s="2">
        <v>0</v>
      </c>
      <c r="E466" s="2">
        <v>24650.14</v>
      </c>
      <c r="F466" s="2">
        <v>57282.84</v>
      </c>
      <c r="G466" s="55" t="s">
        <v>1052</v>
      </c>
      <c r="H466" t="s">
        <v>719</v>
      </c>
      <c r="J466" s="7">
        <f t="shared" si="3"/>
        <v>0</v>
      </c>
    </row>
    <row r="467" spans="1:10" hidden="1" x14ac:dyDescent="0.25">
      <c r="A467" s="1">
        <v>45121</v>
      </c>
      <c r="B467" t="s">
        <v>553</v>
      </c>
      <c r="D467" s="2">
        <v>0</v>
      </c>
      <c r="E467" s="2">
        <v>4343.9399999999996</v>
      </c>
      <c r="F467" s="2">
        <v>61626.78</v>
      </c>
      <c r="G467" s="55" t="s">
        <v>1052</v>
      </c>
      <c r="H467" t="s">
        <v>719</v>
      </c>
      <c r="J467" s="7">
        <f t="shared" si="3"/>
        <v>0</v>
      </c>
    </row>
    <row r="468" spans="1:10" hidden="1" x14ac:dyDescent="0.25">
      <c r="A468" s="1">
        <v>45121</v>
      </c>
      <c r="B468" t="s">
        <v>480</v>
      </c>
      <c r="D468" s="2">
        <v>3000</v>
      </c>
      <c r="E468" s="2">
        <v>0</v>
      </c>
      <c r="F468" s="2">
        <v>58626.78</v>
      </c>
      <c r="G468" t="s">
        <v>725</v>
      </c>
      <c r="H468" t="s">
        <v>719</v>
      </c>
      <c r="J468" s="7">
        <f t="shared" si="3"/>
        <v>0</v>
      </c>
    </row>
    <row r="469" spans="1:10" hidden="1" x14ac:dyDescent="0.25">
      <c r="A469" s="1">
        <v>45121</v>
      </c>
      <c r="B469" t="s">
        <v>473</v>
      </c>
      <c r="D469" s="2">
        <v>0</v>
      </c>
      <c r="E469" s="2">
        <v>7555.3</v>
      </c>
      <c r="F469" s="2">
        <v>66182.080000000002</v>
      </c>
      <c r="G469" t="s">
        <v>731</v>
      </c>
      <c r="H469" t="s">
        <v>719</v>
      </c>
      <c r="J469" s="7">
        <f t="shared" si="3"/>
        <v>0</v>
      </c>
    </row>
    <row r="470" spans="1:10" hidden="1" x14ac:dyDescent="0.25">
      <c r="A470" s="1">
        <v>45121</v>
      </c>
      <c r="B470" t="s">
        <v>472</v>
      </c>
      <c r="D470" s="2">
        <v>11789.55</v>
      </c>
      <c r="E470" s="2">
        <v>0</v>
      </c>
      <c r="F470" s="2">
        <v>54392.53</v>
      </c>
      <c r="G470" t="s">
        <v>731</v>
      </c>
      <c r="H470" t="s">
        <v>719</v>
      </c>
      <c r="J470" s="7">
        <f t="shared" si="3"/>
        <v>0</v>
      </c>
    </row>
    <row r="471" spans="1:10" hidden="1" x14ac:dyDescent="0.25">
      <c r="A471" s="1">
        <v>45122</v>
      </c>
      <c r="B471" t="s">
        <v>472</v>
      </c>
      <c r="D471" s="2">
        <v>14406.5</v>
      </c>
      <c r="E471" s="2">
        <v>0</v>
      </c>
      <c r="F471" s="2">
        <v>39986.03</v>
      </c>
      <c r="G471" t="s">
        <v>731</v>
      </c>
      <c r="H471" t="s">
        <v>719</v>
      </c>
      <c r="J471" s="7">
        <f t="shared" si="3"/>
        <v>0</v>
      </c>
    </row>
    <row r="472" spans="1:10" hidden="1" x14ac:dyDescent="0.25">
      <c r="A472" s="1">
        <v>45122</v>
      </c>
      <c r="B472" t="s">
        <v>473</v>
      </c>
      <c r="D472" s="2">
        <v>0</v>
      </c>
      <c r="E472" s="2">
        <v>17397.509999999998</v>
      </c>
      <c r="F472" s="2">
        <v>57383.54</v>
      </c>
      <c r="G472" t="s">
        <v>731</v>
      </c>
      <c r="H472" t="s">
        <v>719</v>
      </c>
      <c r="J472" s="7">
        <f t="shared" si="3"/>
        <v>0</v>
      </c>
    </row>
    <row r="473" spans="1:10" hidden="1" x14ac:dyDescent="0.25">
      <c r="A473" s="1">
        <v>45122</v>
      </c>
      <c r="B473" t="s">
        <v>554</v>
      </c>
      <c r="D473" s="2">
        <v>1500</v>
      </c>
      <c r="E473" s="2">
        <v>0</v>
      </c>
      <c r="F473" s="2">
        <v>55883.54</v>
      </c>
      <c r="G473" t="s">
        <v>725</v>
      </c>
      <c r="H473" t="s">
        <v>719</v>
      </c>
      <c r="J473" s="7">
        <f t="shared" si="3"/>
        <v>0</v>
      </c>
    </row>
    <row r="474" spans="1:10" hidden="1" x14ac:dyDescent="0.25">
      <c r="A474" s="1">
        <v>45122</v>
      </c>
      <c r="B474" t="s">
        <v>555</v>
      </c>
      <c r="D474" s="2">
        <v>2000</v>
      </c>
      <c r="E474" s="2">
        <v>0</v>
      </c>
      <c r="F474" s="2">
        <v>53883.54</v>
      </c>
      <c r="G474" t="s">
        <v>725</v>
      </c>
      <c r="H474" t="s">
        <v>719</v>
      </c>
      <c r="J474" s="7">
        <f t="shared" si="3"/>
        <v>0</v>
      </c>
    </row>
    <row r="475" spans="1:10" hidden="1" x14ac:dyDescent="0.25">
      <c r="A475" s="1">
        <v>45122</v>
      </c>
      <c r="B475" t="s">
        <v>285</v>
      </c>
      <c r="C475" t="s">
        <v>284</v>
      </c>
      <c r="D475" s="2">
        <v>0</v>
      </c>
      <c r="E475" s="2">
        <v>50000</v>
      </c>
      <c r="F475" s="2">
        <v>55144.72</v>
      </c>
      <c r="G475" t="s">
        <v>724</v>
      </c>
      <c r="H475" t="s">
        <v>716</v>
      </c>
      <c r="J475" s="7">
        <f t="shared" si="3"/>
        <v>48738.820000000007</v>
      </c>
    </row>
    <row r="476" spans="1:10" hidden="1" x14ac:dyDescent="0.25">
      <c r="A476" s="1">
        <v>45122</v>
      </c>
      <c r="B476" t="s">
        <v>283</v>
      </c>
      <c r="C476" t="s">
        <v>282</v>
      </c>
      <c r="D476" s="2">
        <v>784</v>
      </c>
      <c r="E476" s="2">
        <v>0</v>
      </c>
      <c r="F476" s="2">
        <v>54360.72</v>
      </c>
      <c r="G476" t="s">
        <v>733</v>
      </c>
      <c r="H476" t="s">
        <v>716</v>
      </c>
      <c r="J476" s="7">
        <f t="shared" si="3"/>
        <v>0</v>
      </c>
    </row>
    <row r="477" spans="1:10" hidden="1" x14ac:dyDescent="0.25">
      <c r="A477" s="1">
        <v>45122</v>
      </c>
      <c r="B477" t="s">
        <v>388</v>
      </c>
      <c r="C477" t="s">
        <v>389</v>
      </c>
      <c r="D477" s="2">
        <v>50000</v>
      </c>
      <c r="E477" s="2">
        <v>0</v>
      </c>
      <c r="F477" s="2">
        <v>-273100.37</v>
      </c>
      <c r="G477" t="s">
        <v>724</v>
      </c>
      <c r="H477" t="s">
        <v>718</v>
      </c>
      <c r="J477" s="7">
        <f t="shared" si="3"/>
        <v>277461.08999999997</v>
      </c>
    </row>
    <row r="478" spans="1:10" hidden="1" x14ac:dyDescent="0.25">
      <c r="A478" s="1">
        <v>45123</v>
      </c>
      <c r="B478" t="s">
        <v>281</v>
      </c>
      <c r="C478" t="s">
        <v>280</v>
      </c>
      <c r="D478" s="2">
        <v>11.8</v>
      </c>
      <c r="E478" s="2">
        <v>0</v>
      </c>
      <c r="F478" s="2">
        <v>54348.92</v>
      </c>
      <c r="G478" s="55" t="s">
        <v>1052</v>
      </c>
      <c r="H478" t="s">
        <v>716</v>
      </c>
      <c r="J478" s="7">
        <f t="shared" si="3"/>
        <v>-327461.08999999997</v>
      </c>
    </row>
    <row r="479" spans="1:10" hidden="1" x14ac:dyDescent="0.25">
      <c r="A479" s="1">
        <v>45124</v>
      </c>
      <c r="B479" t="s">
        <v>83</v>
      </c>
      <c r="D479" s="2">
        <v>0</v>
      </c>
      <c r="E479" s="2">
        <v>30448.31</v>
      </c>
      <c r="F479" s="2">
        <v>114591.21</v>
      </c>
      <c r="G479" s="55" t="s">
        <v>1052</v>
      </c>
      <c r="H479" t="s">
        <v>715</v>
      </c>
      <c r="J479" s="7">
        <f t="shared" si="3"/>
        <v>-29793.98000000001</v>
      </c>
    </row>
    <row r="480" spans="1:10" hidden="1" x14ac:dyDescent="0.25">
      <c r="A480" s="1">
        <v>45124</v>
      </c>
      <c r="B480" t="s">
        <v>84</v>
      </c>
      <c r="D480" s="2">
        <v>10000</v>
      </c>
      <c r="E480" s="2">
        <v>0</v>
      </c>
      <c r="F480" s="2">
        <v>104591.21</v>
      </c>
      <c r="G480" t="s">
        <v>734</v>
      </c>
      <c r="H480" t="s">
        <v>715</v>
      </c>
      <c r="J480" s="7">
        <f t="shared" si="3"/>
        <v>0</v>
      </c>
    </row>
    <row r="481" spans="1:10" hidden="1" x14ac:dyDescent="0.25">
      <c r="A481" s="1">
        <v>45124</v>
      </c>
      <c r="B481" t="s">
        <v>85</v>
      </c>
      <c r="D481" s="2">
        <v>0</v>
      </c>
      <c r="E481" s="2">
        <v>7229</v>
      </c>
      <c r="F481" s="2">
        <v>111820.21</v>
      </c>
      <c r="G481" s="55" t="s">
        <v>1052</v>
      </c>
      <c r="H481" t="s">
        <v>715</v>
      </c>
      <c r="J481" s="7">
        <f t="shared" si="3"/>
        <v>0</v>
      </c>
    </row>
    <row r="482" spans="1:10" hidden="1" x14ac:dyDescent="0.25">
      <c r="A482" s="1">
        <v>45124</v>
      </c>
      <c r="B482" t="s">
        <v>472</v>
      </c>
      <c r="D482" s="2">
        <v>665.67</v>
      </c>
      <c r="E482" s="2">
        <v>0</v>
      </c>
      <c r="F482" s="2">
        <v>53217.87</v>
      </c>
      <c r="G482" t="s">
        <v>731</v>
      </c>
      <c r="H482" t="s">
        <v>719</v>
      </c>
      <c r="J482" s="7">
        <f t="shared" si="3"/>
        <v>57936.670000000006</v>
      </c>
    </row>
    <row r="483" spans="1:10" hidden="1" x14ac:dyDescent="0.25">
      <c r="A483" s="1">
        <v>45124</v>
      </c>
      <c r="B483" t="s">
        <v>556</v>
      </c>
      <c r="D483" s="2">
        <v>2000</v>
      </c>
      <c r="E483" s="2">
        <v>0</v>
      </c>
      <c r="F483" s="2">
        <v>51217.87</v>
      </c>
      <c r="G483" t="s">
        <v>725</v>
      </c>
      <c r="H483" t="s">
        <v>719</v>
      </c>
      <c r="J483" s="7">
        <f t="shared" si="3"/>
        <v>0</v>
      </c>
    </row>
    <row r="484" spans="1:10" hidden="1" x14ac:dyDescent="0.25">
      <c r="A484" s="1">
        <v>45124</v>
      </c>
      <c r="B484" t="s">
        <v>473</v>
      </c>
      <c r="D484" s="2">
        <v>0</v>
      </c>
      <c r="E484" s="2">
        <v>10026.1</v>
      </c>
      <c r="F484" s="2">
        <v>61243.97</v>
      </c>
      <c r="G484" t="s">
        <v>731</v>
      </c>
      <c r="H484" t="s">
        <v>719</v>
      </c>
      <c r="J484" s="7">
        <f t="shared" si="3"/>
        <v>0</v>
      </c>
    </row>
    <row r="485" spans="1:10" hidden="1" x14ac:dyDescent="0.25">
      <c r="A485" s="1">
        <v>45124</v>
      </c>
      <c r="B485" t="s">
        <v>473</v>
      </c>
      <c r="D485" s="2">
        <v>0</v>
      </c>
      <c r="E485" s="2">
        <v>2655</v>
      </c>
      <c r="F485" s="2">
        <v>63898.97</v>
      </c>
      <c r="G485" t="s">
        <v>731</v>
      </c>
      <c r="H485" t="s">
        <v>719</v>
      </c>
      <c r="J485" s="7">
        <f t="shared" si="3"/>
        <v>0</v>
      </c>
    </row>
    <row r="486" spans="1:10" hidden="1" x14ac:dyDescent="0.25">
      <c r="A486" s="1">
        <v>45125</v>
      </c>
      <c r="B486" t="s">
        <v>557</v>
      </c>
      <c r="D486" s="2">
        <v>1038.4000000000001</v>
      </c>
      <c r="E486" s="2">
        <v>0</v>
      </c>
      <c r="F486" s="2">
        <v>62860.57</v>
      </c>
      <c r="G486" t="s">
        <v>729</v>
      </c>
      <c r="H486" t="s">
        <v>719</v>
      </c>
      <c r="J486" s="7">
        <f t="shared" si="3"/>
        <v>0</v>
      </c>
    </row>
    <row r="487" spans="1:10" hidden="1" x14ac:dyDescent="0.25">
      <c r="A487" s="1">
        <v>45125</v>
      </c>
      <c r="B487" t="s">
        <v>558</v>
      </c>
      <c r="D487" s="2">
        <v>14.64</v>
      </c>
      <c r="E487" s="2">
        <v>0</v>
      </c>
      <c r="F487" s="2">
        <v>62845.93</v>
      </c>
      <c r="G487" t="s">
        <v>729</v>
      </c>
      <c r="H487" t="s">
        <v>719</v>
      </c>
      <c r="J487" s="7">
        <f t="shared" si="3"/>
        <v>0</v>
      </c>
    </row>
    <row r="488" spans="1:10" hidden="1" x14ac:dyDescent="0.25">
      <c r="A488" s="1">
        <v>45125</v>
      </c>
      <c r="B488" t="s">
        <v>472</v>
      </c>
      <c r="D488" s="2">
        <v>9829.5499999999993</v>
      </c>
      <c r="E488" s="2">
        <v>0</v>
      </c>
      <c r="F488" s="2">
        <v>53016.38</v>
      </c>
      <c r="G488" t="s">
        <v>731</v>
      </c>
      <c r="H488" t="s">
        <v>719</v>
      </c>
      <c r="J488" s="7">
        <f t="shared" si="3"/>
        <v>0</v>
      </c>
    </row>
    <row r="489" spans="1:10" hidden="1" x14ac:dyDescent="0.25">
      <c r="A489" s="1">
        <v>45125</v>
      </c>
      <c r="B489" t="s">
        <v>559</v>
      </c>
      <c r="D489" s="2">
        <v>0</v>
      </c>
      <c r="E489" s="2">
        <v>1196.5</v>
      </c>
      <c r="F489" s="2">
        <v>54212.88</v>
      </c>
      <c r="G489" t="s">
        <v>732</v>
      </c>
      <c r="H489" t="s">
        <v>719</v>
      </c>
      <c r="J489" s="7">
        <f t="shared" si="3"/>
        <v>0</v>
      </c>
    </row>
    <row r="490" spans="1:10" hidden="1" x14ac:dyDescent="0.25">
      <c r="A490" s="1">
        <v>45125</v>
      </c>
      <c r="B490" t="s">
        <v>279</v>
      </c>
      <c r="C490">
        <v>0</v>
      </c>
      <c r="D490" s="2">
        <v>0</v>
      </c>
      <c r="E490" s="2">
        <v>1500</v>
      </c>
      <c r="F490" s="2">
        <v>55848.92</v>
      </c>
      <c r="G490" t="s">
        <v>736</v>
      </c>
      <c r="H490" t="s">
        <v>716</v>
      </c>
      <c r="J490" s="7">
        <f t="shared" si="3"/>
        <v>-136.04000000000087</v>
      </c>
    </row>
    <row r="491" spans="1:10" hidden="1" x14ac:dyDescent="0.25">
      <c r="A491" s="1">
        <v>45126</v>
      </c>
      <c r="B491" t="s">
        <v>473</v>
      </c>
      <c r="D491" s="2">
        <v>0</v>
      </c>
      <c r="E491" s="2">
        <v>3572.99</v>
      </c>
      <c r="F491" s="2">
        <v>57785.87</v>
      </c>
      <c r="G491" t="s">
        <v>731</v>
      </c>
      <c r="H491" t="s">
        <v>719</v>
      </c>
      <c r="J491" s="7">
        <f t="shared" si="3"/>
        <v>1636.0399999999936</v>
      </c>
    </row>
    <row r="492" spans="1:10" hidden="1" x14ac:dyDescent="0.25">
      <c r="A492" s="1">
        <v>45126</v>
      </c>
      <c r="B492" t="s">
        <v>472</v>
      </c>
      <c r="D492" s="2">
        <v>237.72</v>
      </c>
      <c r="E492" s="2">
        <v>0</v>
      </c>
      <c r="F492" s="2">
        <v>57548.15</v>
      </c>
      <c r="G492" t="s">
        <v>731</v>
      </c>
      <c r="H492" t="s">
        <v>719</v>
      </c>
      <c r="J492" s="7">
        <f t="shared" si="3"/>
        <v>0</v>
      </c>
    </row>
    <row r="493" spans="1:10" hidden="1" x14ac:dyDescent="0.25">
      <c r="A493" s="1">
        <v>45126</v>
      </c>
      <c r="B493" t="s">
        <v>473</v>
      </c>
      <c r="D493" s="2">
        <v>0</v>
      </c>
      <c r="E493" s="2">
        <v>153.26</v>
      </c>
      <c r="F493" s="2">
        <v>57701.41</v>
      </c>
      <c r="G493" t="s">
        <v>731</v>
      </c>
      <c r="H493" t="s">
        <v>719</v>
      </c>
      <c r="J493" s="7">
        <f t="shared" si="3"/>
        <v>0</v>
      </c>
    </row>
    <row r="494" spans="1:10" hidden="1" x14ac:dyDescent="0.25">
      <c r="A494" s="1">
        <v>45127</v>
      </c>
      <c r="B494" t="s">
        <v>480</v>
      </c>
      <c r="D494" s="2">
        <v>5000</v>
      </c>
      <c r="E494" s="2">
        <v>0</v>
      </c>
      <c r="F494" s="2">
        <v>52701.41</v>
      </c>
      <c r="G494" t="s">
        <v>725</v>
      </c>
      <c r="H494" t="s">
        <v>719</v>
      </c>
      <c r="J494" s="7">
        <f t="shared" si="3"/>
        <v>0</v>
      </c>
    </row>
    <row r="495" spans="1:10" hidden="1" x14ac:dyDescent="0.25">
      <c r="A495" s="1">
        <v>45127</v>
      </c>
      <c r="B495" t="s">
        <v>480</v>
      </c>
      <c r="D495" s="2">
        <v>5000</v>
      </c>
      <c r="E495" s="2">
        <v>0</v>
      </c>
      <c r="F495" s="2">
        <v>47701.41</v>
      </c>
      <c r="G495" t="s">
        <v>725</v>
      </c>
      <c r="H495" t="s">
        <v>719</v>
      </c>
      <c r="J495" s="7">
        <f t="shared" si="3"/>
        <v>0</v>
      </c>
    </row>
    <row r="496" spans="1:10" hidden="1" x14ac:dyDescent="0.25">
      <c r="A496" s="1">
        <v>45127</v>
      </c>
      <c r="B496" t="s">
        <v>472</v>
      </c>
      <c r="D496" s="2">
        <v>237.8</v>
      </c>
      <c r="E496" s="2">
        <v>0</v>
      </c>
      <c r="F496" s="2">
        <v>47463.61</v>
      </c>
      <c r="G496" t="s">
        <v>731</v>
      </c>
      <c r="H496" t="s">
        <v>719</v>
      </c>
      <c r="J496" s="7">
        <f t="shared" si="3"/>
        <v>0</v>
      </c>
    </row>
    <row r="497" spans="1:10" hidden="1" x14ac:dyDescent="0.25">
      <c r="A497" s="1">
        <v>45127</v>
      </c>
      <c r="B497" t="s">
        <v>560</v>
      </c>
      <c r="D497" s="2">
        <v>0</v>
      </c>
      <c r="E497" s="2">
        <v>300.44</v>
      </c>
      <c r="F497" s="2">
        <v>47764.05</v>
      </c>
      <c r="G497" t="s">
        <v>732</v>
      </c>
      <c r="H497" t="s">
        <v>719</v>
      </c>
      <c r="J497" s="7">
        <f t="shared" si="3"/>
        <v>0</v>
      </c>
    </row>
    <row r="498" spans="1:10" hidden="1" x14ac:dyDescent="0.25">
      <c r="A498" s="1">
        <v>45127</v>
      </c>
      <c r="B498" t="s">
        <v>472</v>
      </c>
      <c r="D498" s="2">
        <v>17903.91</v>
      </c>
      <c r="E498" s="2">
        <v>0</v>
      </c>
      <c r="F498" s="2">
        <v>29860.14</v>
      </c>
      <c r="G498" t="s">
        <v>731</v>
      </c>
      <c r="H498" t="s">
        <v>719</v>
      </c>
      <c r="J498" s="7">
        <f t="shared" si="3"/>
        <v>0</v>
      </c>
    </row>
    <row r="499" spans="1:10" hidden="1" x14ac:dyDescent="0.25">
      <c r="A499" s="1">
        <v>45128</v>
      </c>
      <c r="B499" t="s">
        <v>86</v>
      </c>
      <c r="D499" s="2">
        <v>10</v>
      </c>
      <c r="E499" s="2">
        <v>0</v>
      </c>
      <c r="F499" s="2">
        <v>111810.21</v>
      </c>
      <c r="G499" t="s">
        <v>792</v>
      </c>
      <c r="H499" t="s">
        <v>715</v>
      </c>
      <c r="J499" s="7">
        <f t="shared" si="3"/>
        <v>-81960.070000000007</v>
      </c>
    </row>
    <row r="500" spans="1:10" hidden="1" x14ac:dyDescent="0.25">
      <c r="A500" s="1">
        <v>45128</v>
      </c>
      <c r="B500" t="s">
        <v>87</v>
      </c>
      <c r="D500" s="2">
        <v>111</v>
      </c>
      <c r="E500" s="2">
        <v>0</v>
      </c>
      <c r="F500" s="2">
        <v>111699.21</v>
      </c>
      <c r="G500" t="s">
        <v>792</v>
      </c>
      <c r="H500" t="s">
        <v>715</v>
      </c>
      <c r="J500" s="7">
        <f t="shared" si="3"/>
        <v>0</v>
      </c>
    </row>
    <row r="501" spans="1:10" hidden="1" x14ac:dyDescent="0.25">
      <c r="A501" s="1">
        <v>45128</v>
      </c>
      <c r="B501" t="s">
        <v>88</v>
      </c>
      <c r="D501" s="2">
        <v>120</v>
      </c>
      <c r="E501" s="2">
        <v>0</v>
      </c>
      <c r="F501" s="2">
        <v>111579.21</v>
      </c>
      <c r="G501" t="s">
        <v>792</v>
      </c>
      <c r="H501" t="s">
        <v>715</v>
      </c>
      <c r="J501" s="7">
        <f t="shared" si="3"/>
        <v>0</v>
      </c>
    </row>
    <row r="502" spans="1:10" hidden="1" x14ac:dyDescent="0.25">
      <c r="A502" s="1">
        <v>45128</v>
      </c>
      <c r="B502" t="s">
        <v>480</v>
      </c>
      <c r="D502" s="2">
        <v>3000</v>
      </c>
      <c r="E502" s="2">
        <v>0</v>
      </c>
      <c r="F502" s="2">
        <v>26860.14</v>
      </c>
      <c r="G502" t="s">
        <v>725</v>
      </c>
      <c r="H502" t="s">
        <v>719</v>
      </c>
      <c r="J502" s="7">
        <f t="shared" si="3"/>
        <v>81719.070000000007</v>
      </c>
    </row>
    <row r="503" spans="1:10" hidden="1" x14ac:dyDescent="0.25">
      <c r="A503" s="1">
        <v>45128</v>
      </c>
      <c r="B503" t="s">
        <v>472</v>
      </c>
      <c r="D503" s="2">
        <v>228.97</v>
      </c>
      <c r="E503" s="2">
        <v>0</v>
      </c>
      <c r="F503" s="2">
        <v>26631.17</v>
      </c>
      <c r="G503" t="s">
        <v>731</v>
      </c>
      <c r="H503" t="s">
        <v>719</v>
      </c>
      <c r="J503" s="7">
        <f t="shared" si="3"/>
        <v>0</v>
      </c>
    </row>
    <row r="504" spans="1:10" hidden="1" x14ac:dyDescent="0.25">
      <c r="A504" s="1">
        <v>45128</v>
      </c>
      <c r="B504" t="s">
        <v>561</v>
      </c>
      <c r="D504" s="2">
        <v>0</v>
      </c>
      <c r="E504" s="2">
        <v>400</v>
      </c>
      <c r="F504" s="2">
        <v>27031.17</v>
      </c>
      <c r="G504" t="s">
        <v>736</v>
      </c>
      <c r="H504" t="s">
        <v>719</v>
      </c>
      <c r="J504" s="7">
        <f t="shared" si="3"/>
        <v>0</v>
      </c>
    </row>
    <row r="505" spans="1:10" hidden="1" x14ac:dyDescent="0.25">
      <c r="A505" s="1">
        <v>45128</v>
      </c>
      <c r="B505" t="s">
        <v>562</v>
      </c>
      <c r="D505" s="2">
        <v>0</v>
      </c>
      <c r="E505" s="2">
        <v>450</v>
      </c>
      <c r="F505" s="2">
        <v>27481.17</v>
      </c>
      <c r="G505" t="s">
        <v>736</v>
      </c>
      <c r="H505" t="s">
        <v>719</v>
      </c>
      <c r="J505" s="7">
        <f t="shared" si="3"/>
        <v>0</v>
      </c>
    </row>
    <row r="506" spans="1:10" hidden="1" x14ac:dyDescent="0.25">
      <c r="A506" s="1">
        <v>45128</v>
      </c>
      <c r="B506" t="s">
        <v>563</v>
      </c>
      <c r="D506" s="2">
        <v>2000</v>
      </c>
      <c r="E506" s="2">
        <v>0</v>
      </c>
      <c r="F506" s="2">
        <v>25481.17</v>
      </c>
      <c r="G506" t="s">
        <v>725</v>
      </c>
      <c r="H506" t="s">
        <v>719</v>
      </c>
      <c r="J506" s="7">
        <f t="shared" si="3"/>
        <v>0</v>
      </c>
    </row>
    <row r="507" spans="1:10" hidden="1" x14ac:dyDescent="0.25">
      <c r="A507" s="1">
        <v>45128</v>
      </c>
      <c r="B507" t="s">
        <v>564</v>
      </c>
      <c r="D507" s="2">
        <v>2500</v>
      </c>
      <c r="E507" s="2">
        <v>0</v>
      </c>
      <c r="F507" s="2">
        <v>22981.17</v>
      </c>
      <c r="G507" t="s">
        <v>725</v>
      </c>
      <c r="H507" t="s">
        <v>719</v>
      </c>
      <c r="J507" s="7">
        <f t="shared" si="3"/>
        <v>0</v>
      </c>
    </row>
    <row r="508" spans="1:10" hidden="1" x14ac:dyDescent="0.25">
      <c r="A508" s="1">
        <v>45128</v>
      </c>
      <c r="B508" t="s">
        <v>472</v>
      </c>
      <c r="D508" s="2">
        <v>17459.419999999998</v>
      </c>
      <c r="E508" s="2">
        <v>0</v>
      </c>
      <c r="F508" s="2">
        <v>5521.75</v>
      </c>
      <c r="G508" t="s">
        <v>731</v>
      </c>
      <c r="H508" t="s">
        <v>719</v>
      </c>
      <c r="J508" s="7">
        <f t="shared" si="3"/>
        <v>0</v>
      </c>
    </row>
    <row r="509" spans="1:10" hidden="1" x14ac:dyDescent="0.25">
      <c r="A509" s="1">
        <v>45128</v>
      </c>
      <c r="B509" t="s">
        <v>472</v>
      </c>
      <c r="D509" s="2">
        <v>3237.25</v>
      </c>
      <c r="E509" s="2">
        <v>0</v>
      </c>
      <c r="F509" s="2">
        <v>2284.5</v>
      </c>
      <c r="G509" t="s">
        <v>731</v>
      </c>
      <c r="H509" t="s">
        <v>719</v>
      </c>
      <c r="J509" s="7">
        <f t="shared" si="3"/>
        <v>0</v>
      </c>
    </row>
    <row r="510" spans="1:10" hidden="1" x14ac:dyDescent="0.25">
      <c r="A510" s="1">
        <v>45128</v>
      </c>
      <c r="B510" t="s">
        <v>565</v>
      </c>
      <c r="D510" s="2">
        <v>0</v>
      </c>
      <c r="E510" s="2">
        <v>15000</v>
      </c>
      <c r="F510" s="2">
        <v>17284.5</v>
      </c>
      <c r="G510" t="s">
        <v>763</v>
      </c>
      <c r="H510" t="s">
        <v>719</v>
      </c>
      <c r="J510" s="7">
        <f t="shared" si="3"/>
        <v>0</v>
      </c>
    </row>
    <row r="511" spans="1:10" hidden="1" x14ac:dyDescent="0.25">
      <c r="A511" s="1">
        <v>45129</v>
      </c>
      <c r="B511" t="s">
        <v>183</v>
      </c>
      <c r="C511" t="s">
        <v>278</v>
      </c>
      <c r="D511" s="2">
        <v>0</v>
      </c>
      <c r="E511" s="2">
        <v>1735.8</v>
      </c>
      <c r="F511" s="2">
        <v>57584.72</v>
      </c>
      <c r="G511" s="55" t="s">
        <v>1052</v>
      </c>
      <c r="H511" t="s">
        <v>716</v>
      </c>
      <c r="J511" s="7">
        <f t="shared" si="3"/>
        <v>-38564.42</v>
      </c>
    </row>
    <row r="512" spans="1:10" hidden="1" x14ac:dyDescent="0.25">
      <c r="A512" s="1">
        <v>45131</v>
      </c>
      <c r="B512" t="s">
        <v>566</v>
      </c>
      <c r="D512" s="2">
        <v>0</v>
      </c>
      <c r="E512" s="2">
        <v>2960</v>
      </c>
      <c r="F512" s="2">
        <v>20244.5</v>
      </c>
      <c r="G512" t="s">
        <v>736</v>
      </c>
      <c r="H512" t="s">
        <v>719</v>
      </c>
      <c r="J512" s="7">
        <f t="shared" si="3"/>
        <v>40300.22</v>
      </c>
    </row>
    <row r="513" spans="1:10" hidden="1" x14ac:dyDescent="0.25">
      <c r="A513" s="1">
        <v>45131</v>
      </c>
      <c r="B513" t="s">
        <v>472</v>
      </c>
      <c r="D513" s="2">
        <v>760.56</v>
      </c>
      <c r="E513" s="2">
        <v>0</v>
      </c>
      <c r="F513" s="2">
        <v>19483.939999999999</v>
      </c>
      <c r="G513" t="s">
        <v>731</v>
      </c>
      <c r="H513" t="s">
        <v>719</v>
      </c>
      <c r="J513" s="7">
        <f t="shared" si="3"/>
        <v>0</v>
      </c>
    </row>
    <row r="514" spans="1:10" hidden="1" x14ac:dyDescent="0.25">
      <c r="A514" s="1">
        <v>45131</v>
      </c>
      <c r="B514" t="s">
        <v>472</v>
      </c>
      <c r="D514" s="2">
        <v>6512.18</v>
      </c>
      <c r="E514" s="2">
        <v>0</v>
      </c>
      <c r="F514" s="2">
        <v>12971.76</v>
      </c>
      <c r="G514" t="s">
        <v>731</v>
      </c>
      <c r="H514" t="s">
        <v>719</v>
      </c>
      <c r="J514" s="7">
        <f t="shared" si="3"/>
        <v>0</v>
      </c>
    </row>
    <row r="515" spans="1:10" hidden="1" x14ac:dyDescent="0.25">
      <c r="A515" s="1">
        <v>45131</v>
      </c>
      <c r="B515" t="s">
        <v>194</v>
      </c>
      <c r="C515" t="s">
        <v>277</v>
      </c>
      <c r="D515" s="2">
        <v>11996</v>
      </c>
      <c r="E515" s="2">
        <v>0</v>
      </c>
      <c r="F515" s="2">
        <v>45588.72</v>
      </c>
      <c r="G515" t="s">
        <v>794</v>
      </c>
      <c r="H515" t="s">
        <v>716</v>
      </c>
      <c r="J515" s="7">
        <f t="shared" si="3"/>
        <v>-44612.959999999999</v>
      </c>
    </row>
    <row r="516" spans="1:10" hidden="1" x14ac:dyDescent="0.25">
      <c r="A516" s="1">
        <v>45132</v>
      </c>
      <c r="B516" t="s">
        <v>517</v>
      </c>
      <c r="D516" s="2">
        <v>3000</v>
      </c>
      <c r="E516" s="2">
        <v>0</v>
      </c>
      <c r="F516" s="2">
        <v>9971.76</v>
      </c>
      <c r="G516" t="s">
        <v>725</v>
      </c>
      <c r="H516" t="s">
        <v>719</v>
      </c>
      <c r="J516" s="7">
        <f t="shared" si="3"/>
        <v>32616.959999999999</v>
      </c>
    </row>
    <row r="517" spans="1:10" hidden="1" x14ac:dyDescent="0.25">
      <c r="A517" s="1">
        <v>45132</v>
      </c>
      <c r="B517" t="s">
        <v>567</v>
      </c>
      <c r="D517" s="2">
        <v>0</v>
      </c>
      <c r="E517" s="2">
        <v>5000</v>
      </c>
      <c r="F517" s="2">
        <v>14971.76</v>
      </c>
      <c r="G517" t="s">
        <v>764</v>
      </c>
      <c r="H517" t="s">
        <v>719</v>
      </c>
      <c r="J517" s="7">
        <f t="shared" si="3"/>
        <v>0</v>
      </c>
    </row>
    <row r="518" spans="1:10" hidden="1" x14ac:dyDescent="0.25">
      <c r="A518" s="1">
        <v>45132</v>
      </c>
      <c r="B518" t="s">
        <v>472</v>
      </c>
      <c r="D518" s="2">
        <v>250.31</v>
      </c>
      <c r="E518" s="2">
        <v>0</v>
      </c>
      <c r="F518" s="2">
        <v>14721.45</v>
      </c>
      <c r="G518" t="s">
        <v>731</v>
      </c>
      <c r="H518" t="s">
        <v>719</v>
      </c>
      <c r="J518" s="7">
        <f t="shared" si="3"/>
        <v>0</v>
      </c>
    </row>
    <row r="519" spans="1:10" hidden="1" x14ac:dyDescent="0.25">
      <c r="A519" s="1">
        <v>45132</v>
      </c>
      <c r="B519" t="s">
        <v>568</v>
      </c>
      <c r="D519" s="2">
        <v>0</v>
      </c>
      <c r="E519" s="2">
        <v>46483.94</v>
      </c>
      <c r="F519" s="2">
        <v>61205.39</v>
      </c>
      <c r="G519" t="s">
        <v>730</v>
      </c>
      <c r="H519" t="s">
        <v>719</v>
      </c>
      <c r="J519" s="7">
        <f t="shared" ref="J519:J582" si="4">F518-D519+E519-F519</f>
        <v>0</v>
      </c>
    </row>
    <row r="520" spans="1:10" hidden="1" x14ac:dyDescent="0.25">
      <c r="A520" s="1">
        <v>45132</v>
      </c>
      <c r="B520" t="s">
        <v>569</v>
      </c>
      <c r="D520" s="2">
        <v>0</v>
      </c>
      <c r="E520" s="2">
        <v>475</v>
      </c>
      <c r="F520" s="2">
        <v>61680.39</v>
      </c>
      <c r="G520" t="s">
        <v>736</v>
      </c>
      <c r="H520" t="s">
        <v>719</v>
      </c>
      <c r="J520" s="7">
        <f t="shared" si="4"/>
        <v>0</v>
      </c>
    </row>
    <row r="521" spans="1:10" hidden="1" x14ac:dyDescent="0.25">
      <c r="A521" s="1">
        <v>45132</v>
      </c>
      <c r="B521" t="s">
        <v>472</v>
      </c>
      <c r="D521" s="2">
        <v>7814.28</v>
      </c>
      <c r="E521" s="2">
        <v>0</v>
      </c>
      <c r="F521" s="2">
        <v>53866.11</v>
      </c>
      <c r="G521" t="s">
        <v>731</v>
      </c>
      <c r="H521" t="s">
        <v>719</v>
      </c>
      <c r="J521" s="7">
        <f t="shared" si="4"/>
        <v>0</v>
      </c>
    </row>
    <row r="522" spans="1:10" hidden="1" x14ac:dyDescent="0.25">
      <c r="A522" s="1">
        <v>45132</v>
      </c>
      <c r="B522" t="s">
        <v>570</v>
      </c>
      <c r="D522" s="2">
        <v>5000</v>
      </c>
      <c r="E522" s="2">
        <v>0</v>
      </c>
      <c r="F522" s="2">
        <v>48866.11</v>
      </c>
      <c r="G522" t="s">
        <v>726</v>
      </c>
      <c r="H522" t="s">
        <v>719</v>
      </c>
      <c r="J522" s="7">
        <f t="shared" si="4"/>
        <v>0</v>
      </c>
    </row>
    <row r="523" spans="1:10" hidden="1" x14ac:dyDescent="0.25">
      <c r="A523" s="1">
        <v>45132</v>
      </c>
      <c r="B523" t="s">
        <v>571</v>
      </c>
      <c r="D523" s="2">
        <v>15000</v>
      </c>
      <c r="E523" s="2">
        <v>0</v>
      </c>
      <c r="F523" s="2">
        <v>33866.11</v>
      </c>
      <c r="G523" t="s">
        <v>728</v>
      </c>
      <c r="H523" t="s">
        <v>719</v>
      </c>
      <c r="J523" s="7">
        <f t="shared" si="4"/>
        <v>0</v>
      </c>
    </row>
    <row r="524" spans="1:10" hidden="1" x14ac:dyDescent="0.25">
      <c r="A524" s="1">
        <v>45132</v>
      </c>
      <c r="B524" t="s">
        <v>472</v>
      </c>
      <c r="D524" s="2">
        <v>3755.36</v>
      </c>
      <c r="E524" s="2">
        <v>0</v>
      </c>
      <c r="F524" s="2">
        <v>30110.75</v>
      </c>
      <c r="G524" t="s">
        <v>731</v>
      </c>
      <c r="H524" t="s">
        <v>719</v>
      </c>
      <c r="J524" s="7">
        <f t="shared" si="4"/>
        <v>0</v>
      </c>
    </row>
    <row r="525" spans="1:10" hidden="1" x14ac:dyDescent="0.25">
      <c r="A525" s="1">
        <v>45132</v>
      </c>
      <c r="B525" t="s">
        <v>201</v>
      </c>
      <c r="C525" t="s">
        <v>211</v>
      </c>
      <c r="D525" s="2">
        <v>6660.9</v>
      </c>
      <c r="E525" s="2">
        <v>0</v>
      </c>
      <c r="F525" s="2">
        <v>38927.82</v>
      </c>
      <c r="G525" s="55" t="s">
        <v>1052</v>
      </c>
      <c r="H525" t="s">
        <v>716</v>
      </c>
      <c r="J525" s="7">
        <f t="shared" si="4"/>
        <v>-15477.970000000001</v>
      </c>
    </row>
    <row r="526" spans="1:10" hidden="1" x14ac:dyDescent="0.25">
      <c r="A526" s="1">
        <v>45133</v>
      </c>
      <c r="B526" t="s">
        <v>89</v>
      </c>
      <c r="D526" s="2">
        <v>1470</v>
      </c>
      <c r="E526" s="2">
        <v>0</v>
      </c>
      <c r="F526" s="2">
        <v>110109.21</v>
      </c>
      <c r="G526" t="s">
        <v>793</v>
      </c>
      <c r="H526" t="s">
        <v>715</v>
      </c>
      <c r="J526" s="7">
        <f t="shared" si="4"/>
        <v>-72651.390000000014</v>
      </c>
    </row>
    <row r="527" spans="1:10" hidden="1" x14ac:dyDescent="0.25">
      <c r="A527" s="1">
        <v>45133</v>
      </c>
      <c r="B527" t="s">
        <v>472</v>
      </c>
      <c r="D527" s="2">
        <v>252.39</v>
      </c>
      <c r="E527" s="2">
        <v>0</v>
      </c>
      <c r="F527" s="2">
        <v>29858.36</v>
      </c>
      <c r="G527" t="s">
        <v>731</v>
      </c>
      <c r="H527" t="s">
        <v>719</v>
      </c>
      <c r="J527" s="7">
        <f t="shared" si="4"/>
        <v>79998.460000000006</v>
      </c>
    </row>
    <row r="528" spans="1:10" hidden="1" x14ac:dyDescent="0.25">
      <c r="A528" s="1">
        <v>45133</v>
      </c>
      <c r="B528" t="s">
        <v>472</v>
      </c>
      <c r="D528" s="2">
        <v>3900.12</v>
      </c>
      <c r="E528" s="2">
        <v>0</v>
      </c>
      <c r="F528" s="2">
        <v>25958.240000000002</v>
      </c>
      <c r="G528" t="s">
        <v>731</v>
      </c>
      <c r="H528" t="s">
        <v>719</v>
      </c>
      <c r="J528" s="7">
        <f t="shared" si="4"/>
        <v>0</v>
      </c>
    </row>
    <row r="529" spans="1:10" hidden="1" x14ac:dyDescent="0.25">
      <c r="A529" s="1">
        <v>45134</v>
      </c>
      <c r="B529" t="s">
        <v>472</v>
      </c>
      <c r="D529" s="2">
        <v>255.7</v>
      </c>
      <c r="E529" s="2">
        <v>0</v>
      </c>
      <c r="F529" s="2">
        <v>25702.54</v>
      </c>
      <c r="G529" t="s">
        <v>731</v>
      </c>
      <c r="H529" t="s">
        <v>719</v>
      </c>
      <c r="J529" s="7">
        <f t="shared" si="4"/>
        <v>0</v>
      </c>
    </row>
    <row r="530" spans="1:10" hidden="1" x14ac:dyDescent="0.25">
      <c r="A530" s="1">
        <v>45135</v>
      </c>
      <c r="B530" t="s">
        <v>90</v>
      </c>
      <c r="D530" s="2">
        <v>3300</v>
      </c>
      <c r="E530" s="2">
        <v>0</v>
      </c>
      <c r="F530" s="2">
        <v>106809.21</v>
      </c>
      <c r="G530" t="s">
        <v>792</v>
      </c>
      <c r="H530" t="s">
        <v>715</v>
      </c>
      <c r="J530" s="7">
        <f t="shared" si="4"/>
        <v>-84406.670000000013</v>
      </c>
    </row>
    <row r="531" spans="1:10" hidden="1" x14ac:dyDescent="0.25">
      <c r="A531" s="1">
        <v>45135</v>
      </c>
      <c r="B531" t="s">
        <v>473</v>
      </c>
      <c r="D531" s="2">
        <v>0</v>
      </c>
      <c r="E531" s="2">
        <v>945.73</v>
      </c>
      <c r="F531" s="2">
        <v>26648.27</v>
      </c>
      <c r="G531" t="s">
        <v>731</v>
      </c>
      <c r="H531" t="s">
        <v>719</v>
      </c>
      <c r="J531" s="7">
        <f t="shared" si="4"/>
        <v>81106.67</v>
      </c>
    </row>
    <row r="532" spans="1:10" hidden="1" x14ac:dyDescent="0.25">
      <c r="A532" s="1">
        <v>45135</v>
      </c>
      <c r="B532" t="s">
        <v>473</v>
      </c>
      <c r="D532" s="2">
        <v>0</v>
      </c>
      <c r="E532" s="2">
        <v>1593</v>
      </c>
      <c r="F532" s="2">
        <v>28241.27</v>
      </c>
      <c r="G532" t="s">
        <v>731</v>
      </c>
      <c r="H532" t="s">
        <v>719</v>
      </c>
      <c r="J532" s="7">
        <f t="shared" si="4"/>
        <v>0</v>
      </c>
    </row>
    <row r="533" spans="1:10" hidden="1" x14ac:dyDescent="0.25">
      <c r="A533" s="1">
        <v>45135</v>
      </c>
      <c r="B533" t="s">
        <v>480</v>
      </c>
      <c r="D533" s="2">
        <v>3000</v>
      </c>
      <c r="E533" s="2">
        <v>0</v>
      </c>
      <c r="F533" s="2">
        <v>25241.27</v>
      </c>
      <c r="G533" t="s">
        <v>725</v>
      </c>
      <c r="H533" t="s">
        <v>719</v>
      </c>
      <c r="J533" s="7">
        <f t="shared" si="4"/>
        <v>0</v>
      </c>
    </row>
    <row r="534" spans="1:10" hidden="1" x14ac:dyDescent="0.25">
      <c r="A534" s="1">
        <v>45135</v>
      </c>
      <c r="B534" t="s">
        <v>472</v>
      </c>
      <c r="D534" s="2">
        <v>261.17</v>
      </c>
      <c r="E534" s="2">
        <v>0</v>
      </c>
      <c r="F534" s="2">
        <v>24980.1</v>
      </c>
      <c r="G534" t="s">
        <v>731</v>
      </c>
      <c r="H534" t="s">
        <v>719</v>
      </c>
      <c r="J534" s="7">
        <f t="shared" si="4"/>
        <v>0</v>
      </c>
    </row>
    <row r="535" spans="1:10" hidden="1" x14ac:dyDescent="0.25">
      <c r="A535" s="1">
        <v>45135</v>
      </c>
      <c r="B535" t="s">
        <v>572</v>
      </c>
      <c r="D535" s="2">
        <v>0</v>
      </c>
      <c r="E535" s="2">
        <v>140</v>
      </c>
      <c r="F535" s="2">
        <v>25120.1</v>
      </c>
      <c r="G535" t="s">
        <v>736</v>
      </c>
      <c r="H535" t="s">
        <v>719</v>
      </c>
      <c r="J535" s="7">
        <f t="shared" si="4"/>
        <v>0</v>
      </c>
    </row>
    <row r="536" spans="1:10" hidden="1" x14ac:dyDescent="0.25">
      <c r="A536" s="1">
        <v>45136</v>
      </c>
      <c r="B536" t="s">
        <v>91</v>
      </c>
      <c r="D536" s="2">
        <v>0</v>
      </c>
      <c r="E536" s="2">
        <v>3300</v>
      </c>
      <c r="F536" s="2">
        <v>110109.21</v>
      </c>
      <c r="G536" t="s">
        <v>727</v>
      </c>
      <c r="H536" t="s">
        <v>715</v>
      </c>
      <c r="J536" s="7">
        <f t="shared" si="4"/>
        <v>-81689.110000000015</v>
      </c>
    </row>
    <row r="537" spans="1:10" hidden="1" x14ac:dyDescent="0.25">
      <c r="A537" s="1">
        <v>45136</v>
      </c>
      <c r="B537" t="s">
        <v>473</v>
      </c>
      <c r="D537" s="2">
        <v>0</v>
      </c>
      <c r="E537" s="2">
        <v>1962.51</v>
      </c>
      <c r="F537" s="2">
        <v>27082.61</v>
      </c>
      <c r="G537" t="s">
        <v>731</v>
      </c>
      <c r="H537" t="s">
        <v>719</v>
      </c>
      <c r="J537" s="7">
        <f t="shared" si="4"/>
        <v>84989.11</v>
      </c>
    </row>
    <row r="538" spans="1:10" hidden="1" x14ac:dyDescent="0.25">
      <c r="A538" s="1">
        <v>45137</v>
      </c>
      <c r="B538" t="s">
        <v>92</v>
      </c>
      <c r="D538" s="2">
        <v>32000</v>
      </c>
      <c r="E538" s="2">
        <v>0</v>
      </c>
      <c r="F538" s="2">
        <v>78109.210000000006</v>
      </c>
      <c r="G538" t="s">
        <v>795</v>
      </c>
      <c r="H538" t="s">
        <v>715</v>
      </c>
      <c r="J538" s="7">
        <f t="shared" si="4"/>
        <v>-83026.600000000006</v>
      </c>
    </row>
    <row r="539" spans="1:10" hidden="1" x14ac:dyDescent="0.25">
      <c r="A539" s="1">
        <v>45138</v>
      </c>
      <c r="B539" t="s">
        <v>472</v>
      </c>
      <c r="D539" s="2">
        <v>786.39</v>
      </c>
      <c r="E539" s="2">
        <v>0</v>
      </c>
      <c r="F539" s="2">
        <v>26296.22</v>
      </c>
      <c r="G539" t="s">
        <v>731</v>
      </c>
      <c r="H539" t="s">
        <v>719</v>
      </c>
      <c r="J539" s="7">
        <f t="shared" si="4"/>
        <v>51026.600000000006</v>
      </c>
    </row>
    <row r="540" spans="1:10" hidden="1" x14ac:dyDescent="0.25">
      <c r="A540" s="1">
        <v>45138</v>
      </c>
      <c r="B540" t="s">
        <v>473</v>
      </c>
      <c r="D540" s="2">
        <v>0</v>
      </c>
      <c r="E540" s="2">
        <v>505.46</v>
      </c>
      <c r="F540" s="2">
        <v>26801.68</v>
      </c>
      <c r="G540" t="s">
        <v>731</v>
      </c>
      <c r="H540" t="s">
        <v>719</v>
      </c>
      <c r="J540" s="7">
        <f t="shared" si="4"/>
        <v>0</v>
      </c>
    </row>
    <row r="541" spans="1:10" hidden="1" x14ac:dyDescent="0.25">
      <c r="A541" s="1">
        <v>45138</v>
      </c>
      <c r="B541" t="s">
        <v>183</v>
      </c>
      <c r="C541" t="s">
        <v>276</v>
      </c>
      <c r="D541" s="2">
        <v>0</v>
      </c>
      <c r="E541" s="2">
        <v>4020.82</v>
      </c>
      <c r="F541" s="2">
        <v>42948.639999999999</v>
      </c>
      <c r="G541" s="55" t="s">
        <v>1052</v>
      </c>
      <c r="H541" t="s">
        <v>716</v>
      </c>
      <c r="J541" s="7">
        <f t="shared" si="4"/>
        <v>-12126.14</v>
      </c>
    </row>
    <row r="542" spans="1:10" hidden="1" x14ac:dyDescent="0.25">
      <c r="A542" s="1">
        <v>45138</v>
      </c>
      <c r="B542" t="s">
        <v>380</v>
      </c>
      <c r="C542">
        <v>0</v>
      </c>
      <c r="D542" s="2">
        <v>1955</v>
      </c>
      <c r="E542" s="2">
        <v>0</v>
      </c>
      <c r="F542" s="2">
        <v>-275055.37</v>
      </c>
      <c r="G542" t="s">
        <v>790</v>
      </c>
      <c r="H542" t="s">
        <v>718</v>
      </c>
      <c r="J542" s="7">
        <f t="shared" si="4"/>
        <v>316049.01</v>
      </c>
    </row>
    <row r="543" spans="1:10" hidden="1" x14ac:dyDescent="0.25">
      <c r="A543" s="1">
        <v>45139</v>
      </c>
      <c r="B543" t="s">
        <v>93</v>
      </c>
      <c r="D543" s="2">
        <v>992.81</v>
      </c>
      <c r="E543" s="2">
        <v>0</v>
      </c>
      <c r="F543" s="2">
        <v>77116.399999999994</v>
      </c>
      <c r="G543" s="55" t="s">
        <v>1052</v>
      </c>
      <c r="H543" t="s">
        <v>715</v>
      </c>
      <c r="J543" s="7">
        <f t="shared" si="4"/>
        <v>-353164.57999999996</v>
      </c>
    </row>
    <row r="544" spans="1:10" hidden="1" x14ac:dyDescent="0.25">
      <c r="A544" s="1">
        <v>45139</v>
      </c>
      <c r="B544" t="s">
        <v>472</v>
      </c>
      <c r="D544" s="2">
        <v>262.38</v>
      </c>
      <c r="E544" s="2">
        <v>0</v>
      </c>
      <c r="F544" s="2">
        <v>26539.3</v>
      </c>
      <c r="G544" t="s">
        <v>731</v>
      </c>
      <c r="H544" t="s">
        <v>719</v>
      </c>
      <c r="J544" s="7">
        <f t="shared" si="4"/>
        <v>50314.719999999987</v>
      </c>
    </row>
    <row r="545" spans="1:10" hidden="1" x14ac:dyDescent="0.25">
      <c r="A545" s="1">
        <v>45139</v>
      </c>
      <c r="B545" t="s">
        <v>573</v>
      </c>
      <c r="D545" s="2">
        <v>0</v>
      </c>
      <c r="E545" s="2">
        <v>600</v>
      </c>
      <c r="F545" s="2">
        <v>27139.3</v>
      </c>
      <c r="G545" t="s">
        <v>736</v>
      </c>
      <c r="H545" t="s">
        <v>719</v>
      </c>
      <c r="J545" s="7">
        <f t="shared" si="4"/>
        <v>0</v>
      </c>
    </row>
    <row r="546" spans="1:10" hidden="1" x14ac:dyDescent="0.25">
      <c r="A546" s="1">
        <v>45139</v>
      </c>
      <c r="B546" t="s">
        <v>574</v>
      </c>
      <c r="D546" s="2">
        <v>1500</v>
      </c>
      <c r="E546" s="2">
        <v>0</v>
      </c>
      <c r="F546" s="2">
        <v>25639.3</v>
      </c>
      <c r="G546" t="s">
        <v>725</v>
      </c>
      <c r="H546" t="s">
        <v>719</v>
      </c>
      <c r="J546" s="7">
        <f t="shared" si="4"/>
        <v>0</v>
      </c>
    </row>
    <row r="547" spans="1:10" hidden="1" x14ac:dyDescent="0.25">
      <c r="A547" s="1">
        <v>45139</v>
      </c>
      <c r="B547" t="s">
        <v>575</v>
      </c>
      <c r="D547" s="2">
        <v>2000</v>
      </c>
      <c r="E547" s="2">
        <v>0</v>
      </c>
      <c r="F547" s="2">
        <v>23639.3</v>
      </c>
      <c r="G547" t="s">
        <v>725</v>
      </c>
      <c r="H547" t="s">
        <v>719</v>
      </c>
      <c r="J547" s="7">
        <f t="shared" si="4"/>
        <v>0</v>
      </c>
    </row>
    <row r="548" spans="1:10" hidden="1" x14ac:dyDescent="0.25">
      <c r="A548" s="1">
        <v>45139</v>
      </c>
      <c r="B548" t="s">
        <v>576</v>
      </c>
      <c r="D548" s="2">
        <v>2000</v>
      </c>
      <c r="E548" s="2">
        <v>0</v>
      </c>
      <c r="F548" s="2">
        <v>21639.3</v>
      </c>
      <c r="G548" t="s">
        <v>725</v>
      </c>
      <c r="H548" t="s">
        <v>719</v>
      </c>
      <c r="J548" s="7">
        <f t="shared" si="4"/>
        <v>0</v>
      </c>
    </row>
    <row r="549" spans="1:10" hidden="1" x14ac:dyDescent="0.25">
      <c r="A549" s="1">
        <v>45139</v>
      </c>
      <c r="B549" t="s">
        <v>577</v>
      </c>
      <c r="D549" s="2">
        <v>0</v>
      </c>
      <c r="E549" s="2">
        <v>150000</v>
      </c>
      <c r="F549" s="2">
        <v>171639.3</v>
      </c>
      <c r="G549" t="s">
        <v>724</v>
      </c>
      <c r="H549" t="s">
        <v>719</v>
      </c>
      <c r="J549" s="7">
        <f t="shared" si="4"/>
        <v>0</v>
      </c>
    </row>
    <row r="550" spans="1:10" hidden="1" x14ac:dyDescent="0.25">
      <c r="A550" s="1">
        <v>45139</v>
      </c>
      <c r="B550" t="s">
        <v>578</v>
      </c>
      <c r="D550" s="2">
        <v>150000</v>
      </c>
      <c r="E550" s="2">
        <v>0</v>
      </c>
      <c r="F550" s="2">
        <v>21639.3</v>
      </c>
      <c r="G550" t="s">
        <v>735</v>
      </c>
      <c r="H550" t="s">
        <v>719</v>
      </c>
      <c r="J550" s="7">
        <f t="shared" si="4"/>
        <v>0</v>
      </c>
    </row>
    <row r="551" spans="1:10" hidden="1" x14ac:dyDescent="0.25">
      <c r="A551" s="1">
        <v>45139</v>
      </c>
      <c r="B551" t="s">
        <v>472</v>
      </c>
      <c r="D551" s="2">
        <v>17154.04</v>
      </c>
      <c r="E551" s="2">
        <v>0</v>
      </c>
      <c r="F551" s="2">
        <v>4485.26</v>
      </c>
      <c r="G551" t="s">
        <v>731</v>
      </c>
      <c r="H551" t="s">
        <v>719</v>
      </c>
      <c r="J551" s="7">
        <f t="shared" si="4"/>
        <v>0</v>
      </c>
    </row>
    <row r="552" spans="1:10" hidden="1" x14ac:dyDescent="0.25">
      <c r="A552" s="1">
        <v>45139</v>
      </c>
      <c r="B552" t="s">
        <v>579</v>
      </c>
      <c r="D552" s="2">
        <v>0</v>
      </c>
      <c r="E552" s="2">
        <v>50000</v>
      </c>
      <c r="F552" s="2">
        <v>54485.26</v>
      </c>
      <c r="G552" t="s">
        <v>724</v>
      </c>
      <c r="H552" t="s">
        <v>719</v>
      </c>
      <c r="J552" s="7">
        <f t="shared" si="4"/>
        <v>0</v>
      </c>
    </row>
    <row r="553" spans="1:10" hidden="1" x14ac:dyDescent="0.25">
      <c r="A553" s="1">
        <v>45139</v>
      </c>
      <c r="B553" t="s">
        <v>473</v>
      </c>
      <c r="D553" s="2">
        <v>0</v>
      </c>
      <c r="E553" s="2">
        <v>6413.27</v>
      </c>
      <c r="F553" s="2">
        <v>60898.53</v>
      </c>
      <c r="G553" t="s">
        <v>731</v>
      </c>
      <c r="H553" t="s">
        <v>719</v>
      </c>
      <c r="J553" s="7">
        <f t="shared" si="4"/>
        <v>0</v>
      </c>
    </row>
    <row r="554" spans="1:10" hidden="1" x14ac:dyDescent="0.25">
      <c r="A554" s="1">
        <v>45139</v>
      </c>
      <c r="B554" t="s">
        <v>234</v>
      </c>
      <c r="C554" t="s">
        <v>275</v>
      </c>
      <c r="D554" s="2">
        <v>0</v>
      </c>
      <c r="E554" s="2">
        <v>200000</v>
      </c>
      <c r="F554" s="2">
        <v>242948.64</v>
      </c>
      <c r="G554" t="s">
        <v>724</v>
      </c>
      <c r="H554" t="s">
        <v>716</v>
      </c>
      <c r="J554" s="7">
        <f t="shared" si="4"/>
        <v>17949.889999999985</v>
      </c>
    </row>
    <row r="555" spans="1:10" hidden="1" x14ac:dyDescent="0.25">
      <c r="A555" s="1">
        <v>45139</v>
      </c>
      <c r="B555" t="s">
        <v>274</v>
      </c>
      <c r="C555" t="s">
        <v>273</v>
      </c>
      <c r="D555" s="2">
        <v>50000</v>
      </c>
      <c r="E555" s="2">
        <v>0</v>
      </c>
      <c r="F555" s="2">
        <v>192948.64</v>
      </c>
      <c r="G555" t="s">
        <v>724</v>
      </c>
      <c r="H555" t="s">
        <v>716</v>
      </c>
      <c r="J555" s="7">
        <f t="shared" si="4"/>
        <v>0</v>
      </c>
    </row>
    <row r="556" spans="1:10" hidden="1" x14ac:dyDescent="0.25">
      <c r="A556" s="1">
        <v>45139</v>
      </c>
      <c r="B556" t="s">
        <v>183</v>
      </c>
      <c r="C556" t="s">
        <v>272</v>
      </c>
      <c r="D556" s="2">
        <v>0</v>
      </c>
      <c r="E556" s="2">
        <v>6826.36</v>
      </c>
      <c r="F556" s="2">
        <v>199775</v>
      </c>
      <c r="G556" s="55" t="s">
        <v>1052</v>
      </c>
      <c r="H556" t="s">
        <v>716</v>
      </c>
      <c r="J556" s="7">
        <f t="shared" si="4"/>
        <v>0</v>
      </c>
    </row>
    <row r="557" spans="1:10" hidden="1" x14ac:dyDescent="0.25">
      <c r="A557" s="1">
        <v>45139</v>
      </c>
      <c r="B557" t="s">
        <v>377</v>
      </c>
      <c r="C557" t="s">
        <v>390</v>
      </c>
      <c r="D557" s="2">
        <v>200000</v>
      </c>
      <c r="E557" s="2">
        <v>0</v>
      </c>
      <c r="F557" s="2">
        <v>-475055.37</v>
      </c>
      <c r="G557" t="s">
        <v>724</v>
      </c>
      <c r="H557" t="s">
        <v>718</v>
      </c>
      <c r="J557" s="7">
        <f t="shared" si="4"/>
        <v>474830.37</v>
      </c>
    </row>
    <row r="558" spans="1:10" hidden="1" x14ac:dyDescent="0.25">
      <c r="A558" s="1">
        <v>45139</v>
      </c>
      <c r="B558" t="s">
        <v>391</v>
      </c>
      <c r="C558" t="s">
        <v>392</v>
      </c>
      <c r="D558" s="2">
        <v>150000</v>
      </c>
      <c r="E558" s="2">
        <v>0</v>
      </c>
      <c r="F558" s="2">
        <v>-625055.37</v>
      </c>
      <c r="G558" t="s">
        <v>728</v>
      </c>
      <c r="H558" t="s">
        <v>718</v>
      </c>
      <c r="J558" s="7">
        <f t="shared" si="4"/>
        <v>0</v>
      </c>
    </row>
    <row r="559" spans="1:10" hidden="1" x14ac:dyDescent="0.25">
      <c r="A559" s="1">
        <v>45139</v>
      </c>
      <c r="B559" t="s">
        <v>393</v>
      </c>
      <c r="C559" t="s">
        <v>394</v>
      </c>
      <c r="D559" s="2">
        <v>150000</v>
      </c>
      <c r="E559" s="2">
        <v>0</v>
      </c>
      <c r="F559" s="2">
        <v>-775055.37</v>
      </c>
      <c r="G559" t="s">
        <v>724</v>
      </c>
      <c r="H559" t="s">
        <v>718</v>
      </c>
      <c r="J559" s="7">
        <f t="shared" si="4"/>
        <v>0</v>
      </c>
    </row>
    <row r="560" spans="1:10" hidden="1" x14ac:dyDescent="0.25">
      <c r="A560" s="1">
        <v>45140</v>
      </c>
      <c r="B560" t="s">
        <v>472</v>
      </c>
      <c r="D560" s="2">
        <v>253.92</v>
      </c>
      <c r="E560" s="2">
        <v>0</v>
      </c>
      <c r="F560" s="2">
        <v>60644.61</v>
      </c>
      <c r="G560" t="s">
        <v>731</v>
      </c>
      <c r="H560" t="s">
        <v>719</v>
      </c>
      <c r="J560" s="7">
        <f t="shared" si="4"/>
        <v>-835953.9</v>
      </c>
    </row>
    <row r="561" spans="1:10" hidden="1" x14ac:dyDescent="0.25">
      <c r="A561" s="1">
        <v>45140</v>
      </c>
      <c r="B561" t="s">
        <v>580</v>
      </c>
      <c r="D561" s="2">
        <v>0</v>
      </c>
      <c r="E561" s="2">
        <v>850</v>
      </c>
      <c r="F561" s="2">
        <v>61494.61</v>
      </c>
      <c r="G561" t="s">
        <v>736</v>
      </c>
      <c r="H561" t="s">
        <v>719</v>
      </c>
      <c r="J561" s="7">
        <f t="shared" si="4"/>
        <v>0</v>
      </c>
    </row>
    <row r="562" spans="1:10" hidden="1" x14ac:dyDescent="0.25">
      <c r="A562" s="1">
        <v>45140</v>
      </c>
      <c r="B562" t="s">
        <v>581</v>
      </c>
      <c r="D562" s="2">
        <v>0</v>
      </c>
      <c r="E562" s="2">
        <v>100000</v>
      </c>
      <c r="F562" s="2">
        <v>161494.60999999999</v>
      </c>
      <c r="G562" t="s">
        <v>724</v>
      </c>
      <c r="H562" t="s">
        <v>719</v>
      </c>
      <c r="J562" s="7">
        <f t="shared" si="4"/>
        <v>0</v>
      </c>
    </row>
    <row r="563" spans="1:10" hidden="1" x14ac:dyDescent="0.25">
      <c r="A563" s="1">
        <v>45140</v>
      </c>
      <c r="B563" t="s">
        <v>473</v>
      </c>
      <c r="D563" s="2">
        <v>0</v>
      </c>
      <c r="E563" s="2">
        <v>902.19</v>
      </c>
      <c r="F563" s="2">
        <v>162396.79999999999</v>
      </c>
      <c r="G563" t="s">
        <v>731</v>
      </c>
      <c r="H563" t="s">
        <v>719</v>
      </c>
      <c r="J563" s="7">
        <f t="shared" si="4"/>
        <v>0</v>
      </c>
    </row>
    <row r="564" spans="1:10" hidden="1" x14ac:dyDescent="0.25">
      <c r="A564" s="1">
        <v>45140</v>
      </c>
      <c r="B564" t="s">
        <v>214</v>
      </c>
      <c r="C564" t="s">
        <v>206</v>
      </c>
      <c r="D564" s="2">
        <v>26595</v>
      </c>
      <c r="E564" s="2">
        <v>0</v>
      </c>
      <c r="F564" s="2">
        <v>173180</v>
      </c>
      <c r="G564" t="s">
        <v>724</v>
      </c>
      <c r="H564" t="s">
        <v>716</v>
      </c>
      <c r="J564" s="7">
        <f t="shared" si="4"/>
        <v>-37378.200000000012</v>
      </c>
    </row>
    <row r="565" spans="1:10" hidden="1" x14ac:dyDescent="0.25">
      <c r="A565" s="1">
        <v>45140</v>
      </c>
      <c r="B565" t="s">
        <v>371</v>
      </c>
      <c r="C565" t="s">
        <v>372</v>
      </c>
      <c r="D565" s="2">
        <v>0</v>
      </c>
      <c r="E565" s="2">
        <v>26595</v>
      </c>
      <c r="F565" s="2">
        <v>-748460.37</v>
      </c>
      <c r="G565" t="s">
        <v>724</v>
      </c>
      <c r="H565" t="s">
        <v>718</v>
      </c>
      <c r="J565" s="7">
        <f t="shared" si="4"/>
        <v>948235.37</v>
      </c>
    </row>
    <row r="566" spans="1:10" hidden="1" x14ac:dyDescent="0.25">
      <c r="A566" s="1">
        <v>45140</v>
      </c>
      <c r="B566" t="s">
        <v>395</v>
      </c>
      <c r="C566" t="s">
        <v>396</v>
      </c>
      <c r="D566" s="2">
        <v>100000</v>
      </c>
      <c r="E566" s="2">
        <v>0</v>
      </c>
      <c r="F566" s="2">
        <v>-848460.37</v>
      </c>
      <c r="G566" t="s">
        <v>724</v>
      </c>
      <c r="H566" t="s">
        <v>718</v>
      </c>
      <c r="J566" s="7">
        <f t="shared" si="4"/>
        <v>0</v>
      </c>
    </row>
    <row r="567" spans="1:10" hidden="1" x14ac:dyDescent="0.25">
      <c r="A567" s="1">
        <v>45141</v>
      </c>
      <c r="B567" t="s">
        <v>473</v>
      </c>
      <c r="D567" s="2">
        <v>0</v>
      </c>
      <c r="E567" s="2">
        <v>7002.17</v>
      </c>
      <c r="F567" s="2">
        <v>169398.97</v>
      </c>
      <c r="G567" t="s">
        <v>731</v>
      </c>
      <c r="H567" t="s">
        <v>719</v>
      </c>
      <c r="J567" s="7">
        <f t="shared" si="4"/>
        <v>-1010857.1699999999</v>
      </c>
    </row>
    <row r="568" spans="1:10" hidden="1" x14ac:dyDescent="0.25">
      <c r="A568" s="1">
        <v>45141</v>
      </c>
      <c r="B568" t="s">
        <v>472</v>
      </c>
      <c r="D568" s="2">
        <v>278.20999999999998</v>
      </c>
      <c r="E568" s="2">
        <v>0</v>
      </c>
      <c r="F568" s="2">
        <v>169120.76</v>
      </c>
      <c r="G568" t="s">
        <v>731</v>
      </c>
      <c r="H568" t="s">
        <v>719</v>
      </c>
      <c r="J568" s="7">
        <f t="shared" si="4"/>
        <v>0</v>
      </c>
    </row>
    <row r="569" spans="1:10" hidden="1" x14ac:dyDescent="0.25">
      <c r="A569" s="1">
        <v>45141</v>
      </c>
      <c r="B569" t="s">
        <v>480</v>
      </c>
      <c r="D569" s="2">
        <v>25000</v>
      </c>
      <c r="E569" s="2">
        <v>0</v>
      </c>
      <c r="F569" s="2">
        <v>144120.76</v>
      </c>
      <c r="G569" t="s">
        <v>725</v>
      </c>
      <c r="H569" t="s">
        <v>719</v>
      </c>
      <c r="J569" s="7">
        <f t="shared" si="4"/>
        <v>0</v>
      </c>
    </row>
    <row r="570" spans="1:10" hidden="1" x14ac:dyDescent="0.25">
      <c r="A570" s="1">
        <v>45141</v>
      </c>
      <c r="B570" t="s">
        <v>480</v>
      </c>
      <c r="D570" s="2">
        <v>25000</v>
      </c>
      <c r="E570" s="2">
        <v>0</v>
      </c>
      <c r="F570" s="2">
        <v>119120.76</v>
      </c>
      <c r="G570" t="s">
        <v>725</v>
      </c>
      <c r="H570" t="s">
        <v>719</v>
      </c>
      <c r="J570" s="7">
        <f t="shared" si="4"/>
        <v>0</v>
      </c>
    </row>
    <row r="571" spans="1:10" hidden="1" x14ac:dyDescent="0.25">
      <c r="A571" s="1">
        <v>45141</v>
      </c>
      <c r="B571" t="s">
        <v>472</v>
      </c>
      <c r="D571" s="2">
        <v>43819.02</v>
      </c>
      <c r="E571" s="2">
        <v>0</v>
      </c>
      <c r="F571" s="2">
        <v>75301.740000000005</v>
      </c>
      <c r="G571" t="s">
        <v>731</v>
      </c>
      <c r="H571" t="s">
        <v>719</v>
      </c>
      <c r="J571" s="7">
        <f t="shared" si="4"/>
        <v>0</v>
      </c>
    </row>
    <row r="572" spans="1:10" hidden="1" x14ac:dyDescent="0.25">
      <c r="A572" s="1">
        <v>45141</v>
      </c>
      <c r="B572" t="s">
        <v>582</v>
      </c>
      <c r="D572" s="2">
        <v>0</v>
      </c>
      <c r="E572" s="2">
        <v>100000</v>
      </c>
      <c r="F572" s="2">
        <v>175301.74</v>
      </c>
      <c r="G572" t="s">
        <v>724</v>
      </c>
      <c r="H572" t="s">
        <v>719</v>
      </c>
      <c r="J572" s="7">
        <f t="shared" si="4"/>
        <v>0</v>
      </c>
    </row>
    <row r="573" spans="1:10" hidden="1" x14ac:dyDescent="0.25">
      <c r="A573" s="1">
        <v>45141</v>
      </c>
      <c r="B573" t="s">
        <v>472</v>
      </c>
      <c r="D573" s="2">
        <v>34072.26</v>
      </c>
      <c r="E573" s="2">
        <v>0</v>
      </c>
      <c r="F573" s="2">
        <v>141229.48000000001</v>
      </c>
      <c r="G573" t="s">
        <v>731</v>
      </c>
      <c r="H573" t="s">
        <v>719</v>
      </c>
      <c r="J573" s="7">
        <f t="shared" si="4"/>
        <v>0</v>
      </c>
    </row>
    <row r="574" spans="1:10" hidden="1" x14ac:dyDescent="0.25">
      <c r="A574" s="1">
        <v>45141</v>
      </c>
      <c r="B574" t="s">
        <v>271</v>
      </c>
      <c r="C574">
        <v>0</v>
      </c>
      <c r="D574" s="2">
        <v>0</v>
      </c>
      <c r="E574" s="2">
        <v>560</v>
      </c>
      <c r="F574" s="2">
        <v>173740</v>
      </c>
      <c r="G574" t="s">
        <v>736</v>
      </c>
      <c r="H574" t="s">
        <v>716</v>
      </c>
      <c r="J574" s="7">
        <f t="shared" si="4"/>
        <v>-31950.51999999999</v>
      </c>
    </row>
    <row r="575" spans="1:10" hidden="1" x14ac:dyDescent="0.25">
      <c r="A575" s="1">
        <v>45141</v>
      </c>
      <c r="B575" t="s">
        <v>201</v>
      </c>
      <c r="C575" t="s">
        <v>200</v>
      </c>
      <c r="D575" s="2">
        <v>2783.24</v>
      </c>
      <c r="E575" s="2">
        <v>0</v>
      </c>
      <c r="F575" s="2">
        <v>170956.76</v>
      </c>
      <c r="G575" s="55" t="s">
        <v>1052</v>
      </c>
      <c r="H575" t="s">
        <v>716</v>
      </c>
      <c r="J575" s="7">
        <f t="shared" si="4"/>
        <v>0</v>
      </c>
    </row>
    <row r="576" spans="1:10" hidden="1" x14ac:dyDescent="0.25">
      <c r="A576" s="1">
        <v>45141</v>
      </c>
      <c r="B576" t="s">
        <v>397</v>
      </c>
      <c r="C576" t="s">
        <v>398</v>
      </c>
      <c r="D576" s="2">
        <v>100000</v>
      </c>
      <c r="E576" s="2">
        <v>0</v>
      </c>
      <c r="F576" s="2">
        <v>-948460.37</v>
      </c>
      <c r="G576" t="s">
        <v>724</v>
      </c>
      <c r="H576" t="s">
        <v>718</v>
      </c>
      <c r="J576" s="7">
        <f t="shared" si="4"/>
        <v>1019417.13</v>
      </c>
    </row>
    <row r="577" spans="1:10" hidden="1" x14ac:dyDescent="0.25">
      <c r="A577" s="1">
        <v>45142</v>
      </c>
      <c r="B577" t="s">
        <v>94</v>
      </c>
      <c r="D577" s="2">
        <v>390.55</v>
      </c>
      <c r="E577" s="2">
        <v>0</v>
      </c>
      <c r="F577" s="2">
        <v>76725.850000000006</v>
      </c>
      <c r="G577" s="55" t="s">
        <v>1052</v>
      </c>
      <c r="H577" t="s">
        <v>715</v>
      </c>
      <c r="J577" s="7">
        <f t="shared" si="4"/>
        <v>-1025576.77</v>
      </c>
    </row>
    <row r="578" spans="1:10" hidden="1" x14ac:dyDescent="0.25">
      <c r="A578" s="1">
        <v>45142</v>
      </c>
      <c r="B578" t="s">
        <v>583</v>
      </c>
      <c r="D578" s="2">
        <v>50000</v>
      </c>
      <c r="E578" s="2">
        <v>0</v>
      </c>
      <c r="F578" s="2">
        <v>91229.48</v>
      </c>
      <c r="G578" t="s">
        <v>728</v>
      </c>
      <c r="H578" t="s">
        <v>719</v>
      </c>
      <c r="J578" s="7">
        <f t="shared" si="4"/>
        <v>-64503.62999999999</v>
      </c>
    </row>
    <row r="579" spans="1:10" hidden="1" x14ac:dyDescent="0.25">
      <c r="A579" s="1">
        <v>45142</v>
      </c>
      <c r="B579" t="s">
        <v>472</v>
      </c>
      <c r="D579" s="2">
        <v>261.39999999999998</v>
      </c>
      <c r="E579" s="2">
        <v>0</v>
      </c>
      <c r="F579" s="2">
        <v>90968.08</v>
      </c>
      <c r="G579" t="s">
        <v>731</v>
      </c>
      <c r="H579" t="s">
        <v>719</v>
      </c>
      <c r="J579" s="7">
        <f t="shared" si="4"/>
        <v>0</v>
      </c>
    </row>
    <row r="580" spans="1:10" hidden="1" x14ac:dyDescent="0.25">
      <c r="A580" s="1">
        <v>45142</v>
      </c>
      <c r="B580" t="s">
        <v>480</v>
      </c>
      <c r="D580" s="2">
        <v>50000</v>
      </c>
      <c r="E580" s="2">
        <v>0</v>
      </c>
      <c r="F580" s="2">
        <v>40968.080000000002</v>
      </c>
      <c r="G580" t="s">
        <v>725</v>
      </c>
      <c r="H580" t="s">
        <v>719</v>
      </c>
      <c r="J580" s="7">
        <f t="shared" si="4"/>
        <v>0</v>
      </c>
    </row>
    <row r="581" spans="1:10" hidden="1" x14ac:dyDescent="0.25">
      <c r="A581" s="1">
        <v>45142</v>
      </c>
      <c r="B581" t="s">
        <v>472</v>
      </c>
      <c r="D581" s="2">
        <v>5491.94</v>
      </c>
      <c r="E581" s="2">
        <v>0</v>
      </c>
      <c r="F581" s="2">
        <v>35476.14</v>
      </c>
      <c r="G581" t="s">
        <v>731</v>
      </c>
      <c r="H581" t="s">
        <v>719</v>
      </c>
      <c r="J581" s="7">
        <f t="shared" si="4"/>
        <v>0</v>
      </c>
    </row>
    <row r="582" spans="1:10" hidden="1" x14ac:dyDescent="0.25">
      <c r="A582" s="1">
        <v>45142</v>
      </c>
      <c r="B582" t="s">
        <v>472</v>
      </c>
      <c r="D582" s="2">
        <v>35122.14</v>
      </c>
      <c r="E582" s="2">
        <v>0</v>
      </c>
      <c r="F582" s="2">
        <v>354</v>
      </c>
      <c r="G582" t="s">
        <v>731</v>
      </c>
      <c r="H582" t="s">
        <v>719</v>
      </c>
      <c r="J582" s="7">
        <f t="shared" si="4"/>
        <v>0</v>
      </c>
    </row>
    <row r="583" spans="1:10" hidden="1" x14ac:dyDescent="0.25">
      <c r="A583" s="1">
        <v>45143</v>
      </c>
      <c r="B583" t="s">
        <v>95</v>
      </c>
      <c r="D583" s="2">
        <v>500</v>
      </c>
      <c r="E583" s="2">
        <v>0</v>
      </c>
      <c r="F583" s="2">
        <v>76225.850000000006</v>
      </c>
      <c r="G583" s="55" t="s">
        <v>1052</v>
      </c>
      <c r="H583" t="s">
        <v>715</v>
      </c>
      <c r="J583" s="7">
        <f t="shared" ref="J583:J646" si="5">F582-D583+E583-F583</f>
        <v>-76371.850000000006</v>
      </c>
    </row>
    <row r="584" spans="1:10" hidden="1" x14ac:dyDescent="0.25">
      <c r="A584" s="1">
        <v>45143</v>
      </c>
      <c r="B584" t="s">
        <v>584</v>
      </c>
      <c r="D584" s="2">
        <v>0</v>
      </c>
      <c r="E584" s="2">
        <v>100000</v>
      </c>
      <c r="F584" s="2">
        <v>100354</v>
      </c>
      <c r="G584" t="s">
        <v>724</v>
      </c>
      <c r="H584" t="s">
        <v>719</v>
      </c>
      <c r="J584" s="7">
        <f t="shared" si="5"/>
        <v>75871.850000000006</v>
      </c>
    </row>
    <row r="585" spans="1:10" hidden="1" x14ac:dyDescent="0.25">
      <c r="A585" s="1">
        <v>45143</v>
      </c>
      <c r="B585" t="s">
        <v>585</v>
      </c>
      <c r="D585" s="2">
        <v>25000</v>
      </c>
      <c r="E585" s="2">
        <v>0</v>
      </c>
      <c r="F585" s="2">
        <v>75354</v>
      </c>
      <c r="G585" t="s">
        <v>726</v>
      </c>
      <c r="H585" t="s">
        <v>719</v>
      </c>
      <c r="J585" s="7">
        <f t="shared" si="5"/>
        <v>0</v>
      </c>
    </row>
    <row r="586" spans="1:10" hidden="1" x14ac:dyDescent="0.25">
      <c r="A586" s="1">
        <v>45143</v>
      </c>
      <c r="B586" t="s">
        <v>586</v>
      </c>
      <c r="D586" s="2">
        <v>25000</v>
      </c>
      <c r="E586" s="2">
        <v>0</v>
      </c>
      <c r="F586" s="2">
        <v>50354</v>
      </c>
      <c r="G586" t="s">
        <v>728</v>
      </c>
      <c r="H586" t="s">
        <v>719</v>
      </c>
      <c r="J586" s="7">
        <f t="shared" si="5"/>
        <v>0</v>
      </c>
    </row>
    <row r="587" spans="1:10" hidden="1" x14ac:dyDescent="0.25">
      <c r="A587" s="1">
        <v>45143</v>
      </c>
      <c r="B587" t="s">
        <v>399</v>
      </c>
      <c r="C587" t="s">
        <v>400</v>
      </c>
      <c r="D587" s="2">
        <v>100000</v>
      </c>
      <c r="E587" s="2">
        <v>0</v>
      </c>
      <c r="F587" s="2">
        <v>-1048460.37</v>
      </c>
      <c r="G587" t="s">
        <v>724</v>
      </c>
      <c r="H587" t="s">
        <v>718</v>
      </c>
      <c r="J587" s="7">
        <f t="shared" si="5"/>
        <v>998814.37</v>
      </c>
    </row>
    <row r="588" spans="1:10" hidden="1" x14ac:dyDescent="0.25">
      <c r="A588" s="1">
        <v>45145</v>
      </c>
      <c r="B588" t="s">
        <v>25</v>
      </c>
      <c r="D588" s="2">
        <v>5288.93</v>
      </c>
      <c r="E588" s="2">
        <v>0</v>
      </c>
      <c r="F588" s="2">
        <v>70936.92</v>
      </c>
      <c r="G588" t="s">
        <v>794</v>
      </c>
      <c r="H588" t="s">
        <v>715</v>
      </c>
      <c r="J588" s="7">
        <f t="shared" si="5"/>
        <v>-1124686.22</v>
      </c>
    </row>
    <row r="589" spans="1:10" hidden="1" x14ac:dyDescent="0.25">
      <c r="A589" s="1">
        <v>45145</v>
      </c>
      <c r="B589" t="s">
        <v>472</v>
      </c>
      <c r="D589" s="2">
        <v>9027.7099999999991</v>
      </c>
      <c r="E589" s="2">
        <v>0</v>
      </c>
      <c r="F589" s="2">
        <v>41326.29</v>
      </c>
      <c r="G589" t="s">
        <v>731</v>
      </c>
      <c r="H589" t="s">
        <v>719</v>
      </c>
      <c r="J589" s="7">
        <f t="shared" si="5"/>
        <v>20582.919999999998</v>
      </c>
    </row>
    <row r="590" spans="1:10" hidden="1" x14ac:dyDescent="0.25">
      <c r="A590" s="1">
        <v>45145</v>
      </c>
      <c r="B590" t="s">
        <v>587</v>
      </c>
      <c r="D590" s="2">
        <v>10000</v>
      </c>
      <c r="E590" s="2">
        <v>0</v>
      </c>
      <c r="F590" s="2">
        <v>31326.29</v>
      </c>
      <c r="G590" t="s">
        <v>726</v>
      </c>
      <c r="H590" t="s">
        <v>719</v>
      </c>
      <c r="J590" s="7">
        <f t="shared" si="5"/>
        <v>0</v>
      </c>
    </row>
    <row r="591" spans="1:10" hidden="1" x14ac:dyDescent="0.25">
      <c r="A591" s="1">
        <v>45145</v>
      </c>
      <c r="B591" t="s">
        <v>588</v>
      </c>
      <c r="D591" s="2">
        <v>10000</v>
      </c>
      <c r="E591" s="2">
        <v>0</v>
      </c>
      <c r="F591" s="2">
        <v>21326.29</v>
      </c>
      <c r="G591" t="s">
        <v>728</v>
      </c>
      <c r="H591" t="s">
        <v>719</v>
      </c>
      <c r="J591" s="7">
        <f t="shared" si="5"/>
        <v>0</v>
      </c>
    </row>
    <row r="592" spans="1:10" hidden="1" x14ac:dyDescent="0.25">
      <c r="A592" s="1">
        <v>45145</v>
      </c>
      <c r="B592" t="s">
        <v>480</v>
      </c>
      <c r="D592" s="2">
        <v>3000</v>
      </c>
      <c r="E592" s="2">
        <v>0</v>
      </c>
      <c r="F592" s="2">
        <v>18326.29</v>
      </c>
      <c r="G592" t="s">
        <v>725</v>
      </c>
      <c r="H592" t="s">
        <v>719</v>
      </c>
      <c r="J592" s="7">
        <f t="shared" si="5"/>
        <v>0</v>
      </c>
    </row>
    <row r="593" spans="1:10" hidden="1" x14ac:dyDescent="0.25">
      <c r="A593" s="1">
        <v>45145</v>
      </c>
      <c r="B593" t="s">
        <v>472</v>
      </c>
      <c r="D593" s="2">
        <v>4420.05</v>
      </c>
      <c r="E593" s="2">
        <v>0</v>
      </c>
      <c r="F593" s="2">
        <v>13906.24</v>
      </c>
      <c r="G593" t="s">
        <v>731</v>
      </c>
      <c r="H593" t="s">
        <v>719</v>
      </c>
      <c r="J593" s="7">
        <f t="shared" si="5"/>
        <v>0</v>
      </c>
    </row>
    <row r="594" spans="1:10" hidden="1" x14ac:dyDescent="0.25">
      <c r="A594" s="1">
        <v>45145</v>
      </c>
      <c r="B594" t="s">
        <v>589</v>
      </c>
      <c r="D594" s="2">
        <v>0</v>
      </c>
      <c r="E594" s="2">
        <v>63</v>
      </c>
      <c r="F594" s="2">
        <v>13969.24</v>
      </c>
      <c r="G594" t="s">
        <v>736</v>
      </c>
      <c r="H594" t="s">
        <v>719</v>
      </c>
      <c r="J594" s="7">
        <f t="shared" si="5"/>
        <v>0</v>
      </c>
    </row>
    <row r="595" spans="1:10" hidden="1" x14ac:dyDescent="0.25">
      <c r="A595" s="1">
        <v>45145</v>
      </c>
      <c r="B595" t="s">
        <v>590</v>
      </c>
      <c r="D595" s="2">
        <v>2500</v>
      </c>
      <c r="E595" s="2">
        <v>0</v>
      </c>
      <c r="F595" s="2">
        <v>11469.24</v>
      </c>
      <c r="G595" t="s">
        <v>725</v>
      </c>
      <c r="H595" t="s">
        <v>719</v>
      </c>
      <c r="J595" s="7">
        <f t="shared" si="5"/>
        <v>0</v>
      </c>
    </row>
    <row r="596" spans="1:10" hidden="1" x14ac:dyDescent="0.25">
      <c r="A596" s="1">
        <v>45145</v>
      </c>
      <c r="B596" t="s">
        <v>591</v>
      </c>
      <c r="D596" s="2">
        <v>2000</v>
      </c>
      <c r="E596" s="2">
        <v>0</v>
      </c>
      <c r="F596" s="2">
        <v>9469.24</v>
      </c>
      <c r="G596" t="s">
        <v>725</v>
      </c>
      <c r="H596" t="s">
        <v>719</v>
      </c>
      <c r="J596" s="7">
        <f t="shared" si="5"/>
        <v>0</v>
      </c>
    </row>
    <row r="597" spans="1:10" hidden="1" x14ac:dyDescent="0.25">
      <c r="A597" s="1">
        <v>45145</v>
      </c>
      <c r="B597" t="s">
        <v>592</v>
      </c>
      <c r="D597" s="2">
        <v>0</v>
      </c>
      <c r="E597" s="2">
        <v>100000</v>
      </c>
      <c r="F597" s="2">
        <v>109469.24</v>
      </c>
      <c r="G597" t="s">
        <v>724</v>
      </c>
      <c r="H597" t="s">
        <v>719</v>
      </c>
      <c r="J597" s="7">
        <f t="shared" si="5"/>
        <v>0</v>
      </c>
    </row>
    <row r="598" spans="1:10" hidden="1" x14ac:dyDescent="0.25">
      <c r="A598" s="1">
        <v>45145</v>
      </c>
      <c r="B598" t="s">
        <v>593</v>
      </c>
      <c r="D598" s="2">
        <v>25000</v>
      </c>
      <c r="E598" s="2">
        <v>0</v>
      </c>
      <c r="F598" s="2">
        <v>84469.24</v>
      </c>
      <c r="G598" t="s">
        <v>726</v>
      </c>
      <c r="H598" t="s">
        <v>719</v>
      </c>
      <c r="J598" s="7">
        <f t="shared" si="5"/>
        <v>0</v>
      </c>
    </row>
    <row r="599" spans="1:10" hidden="1" x14ac:dyDescent="0.25">
      <c r="A599" s="1">
        <v>45145</v>
      </c>
      <c r="B599" t="s">
        <v>586</v>
      </c>
      <c r="D599" s="2">
        <v>25000</v>
      </c>
      <c r="E599" s="2">
        <v>0</v>
      </c>
      <c r="F599" s="2">
        <v>59469.24</v>
      </c>
      <c r="G599" t="s">
        <v>728</v>
      </c>
      <c r="H599" t="s">
        <v>719</v>
      </c>
      <c r="J599" s="7">
        <f t="shared" si="5"/>
        <v>0</v>
      </c>
    </row>
    <row r="600" spans="1:10" hidden="1" x14ac:dyDescent="0.25">
      <c r="A600" s="1">
        <v>45145</v>
      </c>
      <c r="B600" t="s">
        <v>270</v>
      </c>
      <c r="C600">
        <v>0</v>
      </c>
      <c r="D600" s="2">
        <v>0</v>
      </c>
      <c r="E600" s="2">
        <v>225</v>
      </c>
      <c r="F600" s="2">
        <v>171181.76</v>
      </c>
      <c r="G600" t="s">
        <v>736</v>
      </c>
      <c r="H600" t="s">
        <v>716</v>
      </c>
      <c r="J600" s="7">
        <f t="shared" si="5"/>
        <v>-111487.52000000002</v>
      </c>
    </row>
    <row r="601" spans="1:10" hidden="1" x14ac:dyDescent="0.25">
      <c r="A601" s="1">
        <v>45145</v>
      </c>
      <c r="B601" t="s">
        <v>401</v>
      </c>
      <c r="C601" t="s">
        <v>402</v>
      </c>
      <c r="D601" s="2">
        <v>100000</v>
      </c>
      <c r="E601" s="2">
        <v>0</v>
      </c>
      <c r="F601" s="2">
        <v>-1148460.3700000001</v>
      </c>
      <c r="G601" t="s">
        <v>724</v>
      </c>
      <c r="H601" t="s">
        <v>718</v>
      </c>
      <c r="J601" s="7">
        <f t="shared" si="5"/>
        <v>1219642.1300000001</v>
      </c>
    </row>
    <row r="602" spans="1:10" hidden="1" x14ac:dyDescent="0.25">
      <c r="A602" s="1">
        <v>45146</v>
      </c>
      <c r="B602" t="s">
        <v>473</v>
      </c>
      <c r="D602" s="2">
        <v>0</v>
      </c>
      <c r="E602" s="2">
        <v>2333.67</v>
      </c>
      <c r="F602" s="2">
        <v>61802.91</v>
      </c>
      <c r="G602" t="s">
        <v>731</v>
      </c>
      <c r="H602" t="s">
        <v>719</v>
      </c>
      <c r="J602" s="7">
        <f t="shared" si="5"/>
        <v>-1207929.6100000001</v>
      </c>
    </row>
    <row r="603" spans="1:10" hidden="1" x14ac:dyDescent="0.25">
      <c r="A603" s="1">
        <v>45146</v>
      </c>
      <c r="B603" t="s">
        <v>473</v>
      </c>
      <c r="D603" s="2">
        <v>0</v>
      </c>
      <c r="E603" s="2">
        <v>3535.77</v>
      </c>
      <c r="F603" s="2">
        <v>65338.68</v>
      </c>
      <c r="G603" t="s">
        <v>731</v>
      </c>
      <c r="H603" t="s">
        <v>719</v>
      </c>
      <c r="J603" s="7">
        <f t="shared" si="5"/>
        <v>0</v>
      </c>
    </row>
    <row r="604" spans="1:10" hidden="1" x14ac:dyDescent="0.25">
      <c r="A604" s="1">
        <v>45146</v>
      </c>
      <c r="B604" t="s">
        <v>480</v>
      </c>
      <c r="D604" s="2">
        <v>3000</v>
      </c>
      <c r="E604" s="2">
        <v>0</v>
      </c>
      <c r="F604" s="2">
        <v>62338.68</v>
      </c>
      <c r="G604" t="s">
        <v>725</v>
      </c>
      <c r="H604" t="s">
        <v>719</v>
      </c>
      <c r="J604" s="7">
        <f t="shared" si="5"/>
        <v>0</v>
      </c>
    </row>
    <row r="605" spans="1:10" hidden="1" x14ac:dyDescent="0.25">
      <c r="A605" s="1">
        <v>45146</v>
      </c>
      <c r="B605" t="s">
        <v>472</v>
      </c>
      <c r="D605" s="2">
        <v>313.79000000000002</v>
      </c>
      <c r="E605" s="2">
        <v>0</v>
      </c>
      <c r="F605" s="2">
        <v>62024.89</v>
      </c>
      <c r="G605" t="s">
        <v>731</v>
      </c>
      <c r="H605" t="s">
        <v>719</v>
      </c>
      <c r="J605" s="7">
        <f t="shared" si="5"/>
        <v>0</v>
      </c>
    </row>
    <row r="606" spans="1:10" hidden="1" x14ac:dyDescent="0.25">
      <c r="A606" s="1">
        <v>45146</v>
      </c>
      <c r="B606" t="s">
        <v>472</v>
      </c>
      <c r="D606" s="2">
        <v>10771.01</v>
      </c>
      <c r="E606" s="2">
        <v>0</v>
      </c>
      <c r="F606" s="2">
        <v>51253.88</v>
      </c>
      <c r="G606" t="s">
        <v>731</v>
      </c>
      <c r="H606" t="s">
        <v>719</v>
      </c>
      <c r="J606" s="7">
        <f t="shared" si="5"/>
        <v>0</v>
      </c>
    </row>
    <row r="607" spans="1:10" hidden="1" x14ac:dyDescent="0.25">
      <c r="A607" s="1">
        <v>45146</v>
      </c>
      <c r="B607" t="s">
        <v>473</v>
      </c>
      <c r="D607" s="2">
        <v>0</v>
      </c>
      <c r="E607" s="2">
        <v>7800.21</v>
      </c>
      <c r="F607" s="2">
        <v>59054.09</v>
      </c>
      <c r="G607" t="s">
        <v>731</v>
      </c>
      <c r="H607" t="s">
        <v>719</v>
      </c>
      <c r="J607" s="7">
        <f t="shared" si="5"/>
        <v>0</v>
      </c>
    </row>
    <row r="608" spans="1:10" hidden="1" x14ac:dyDescent="0.25">
      <c r="A608" s="1">
        <v>45146</v>
      </c>
      <c r="B608" t="s">
        <v>183</v>
      </c>
      <c r="C608" t="s">
        <v>269</v>
      </c>
      <c r="D608" s="2">
        <v>0</v>
      </c>
      <c r="E608" s="2">
        <v>6019.92</v>
      </c>
      <c r="F608" s="2">
        <v>177201.68</v>
      </c>
      <c r="G608" s="55" t="s">
        <v>1052</v>
      </c>
      <c r="H608" t="s">
        <v>716</v>
      </c>
      <c r="J608" s="7">
        <f t="shared" si="5"/>
        <v>-112127.67</v>
      </c>
    </row>
    <row r="609" spans="1:10" hidden="1" x14ac:dyDescent="0.25">
      <c r="A609" s="1">
        <v>45146</v>
      </c>
      <c r="B609" t="s">
        <v>183</v>
      </c>
      <c r="C609" t="s">
        <v>268</v>
      </c>
      <c r="D609" s="2">
        <v>0</v>
      </c>
      <c r="E609" s="2">
        <v>109.74</v>
      </c>
      <c r="F609" s="2">
        <v>177311.42</v>
      </c>
      <c r="G609" s="55" t="s">
        <v>1052</v>
      </c>
      <c r="H609" t="s">
        <v>716</v>
      </c>
      <c r="J609" s="7">
        <f t="shared" si="5"/>
        <v>0</v>
      </c>
    </row>
    <row r="610" spans="1:10" hidden="1" x14ac:dyDescent="0.25">
      <c r="A610" s="1">
        <v>45147</v>
      </c>
      <c r="B610" t="s">
        <v>472</v>
      </c>
      <c r="D610" s="2">
        <v>308.48</v>
      </c>
      <c r="E610" s="2">
        <v>0</v>
      </c>
      <c r="F610" s="2">
        <v>58745.61</v>
      </c>
      <c r="G610" t="s">
        <v>731</v>
      </c>
      <c r="H610" t="s">
        <v>719</v>
      </c>
      <c r="J610" s="7">
        <f t="shared" si="5"/>
        <v>118257.33</v>
      </c>
    </row>
    <row r="611" spans="1:10" hidden="1" x14ac:dyDescent="0.25">
      <c r="A611" s="1">
        <v>45147</v>
      </c>
      <c r="B611" t="s">
        <v>473</v>
      </c>
      <c r="D611" s="2">
        <v>0</v>
      </c>
      <c r="E611" s="2">
        <v>1972.67</v>
      </c>
      <c r="F611" s="2">
        <v>60718.28</v>
      </c>
      <c r="G611" t="s">
        <v>731</v>
      </c>
      <c r="H611" t="s">
        <v>719</v>
      </c>
      <c r="J611" s="7">
        <f t="shared" si="5"/>
        <v>0</v>
      </c>
    </row>
    <row r="612" spans="1:10" hidden="1" x14ac:dyDescent="0.25">
      <c r="A612" s="1">
        <v>45147</v>
      </c>
      <c r="B612" t="s">
        <v>473</v>
      </c>
      <c r="D612" s="2">
        <v>0</v>
      </c>
      <c r="E612" s="2">
        <v>5508.56</v>
      </c>
      <c r="F612" s="2">
        <v>66226.84</v>
      </c>
      <c r="G612" t="s">
        <v>731</v>
      </c>
      <c r="H612" t="s">
        <v>719</v>
      </c>
      <c r="J612" s="7">
        <f t="shared" si="5"/>
        <v>0</v>
      </c>
    </row>
    <row r="613" spans="1:10" hidden="1" x14ac:dyDescent="0.25">
      <c r="A613" s="1">
        <v>45148</v>
      </c>
      <c r="B613" t="s">
        <v>96</v>
      </c>
      <c r="D613" s="2">
        <v>3500</v>
      </c>
      <c r="E613" s="2">
        <v>0</v>
      </c>
      <c r="F613" s="2">
        <v>67436.92</v>
      </c>
      <c r="G613" t="s">
        <v>792</v>
      </c>
      <c r="H613" t="s">
        <v>715</v>
      </c>
      <c r="J613" s="7">
        <f t="shared" si="5"/>
        <v>-4710.0800000000017</v>
      </c>
    </row>
    <row r="614" spans="1:10" hidden="1" x14ac:dyDescent="0.25">
      <c r="A614" s="1">
        <v>45148</v>
      </c>
      <c r="B614" t="s">
        <v>504</v>
      </c>
      <c r="D614" s="2">
        <v>4000</v>
      </c>
      <c r="E614" s="2">
        <v>0</v>
      </c>
      <c r="F614" s="2">
        <v>62226.84</v>
      </c>
      <c r="G614" t="s">
        <v>725</v>
      </c>
      <c r="H614" t="s">
        <v>719</v>
      </c>
      <c r="J614" s="7">
        <f t="shared" si="5"/>
        <v>1210.0800000000017</v>
      </c>
    </row>
    <row r="615" spans="1:10" hidden="1" x14ac:dyDescent="0.25">
      <c r="A615" s="1">
        <v>45148</v>
      </c>
      <c r="B615" t="s">
        <v>480</v>
      </c>
      <c r="D615" s="2">
        <v>3000</v>
      </c>
      <c r="E615" s="2">
        <v>0</v>
      </c>
      <c r="F615" s="2">
        <v>59226.84</v>
      </c>
      <c r="G615" t="s">
        <v>725</v>
      </c>
      <c r="H615" t="s">
        <v>719</v>
      </c>
      <c r="J615" s="7">
        <f t="shared" si="5"/>
        <v>0</v>
      </c>
    </row>
    <row r="616" spans="1:10" hidden="1" x14ac:dyDescent="0.25">
      <c r="A616" s="1">
        <v>45148</v>
      </c>
      <c r="B616" t="s">
        <v>480</v>
      </c>
      <c r="D616" s="2">
        <v>5000</v>
      </c>
      <c r="E616" s="2">
        <v>0</v>
      </c>
      <c r="F616" s="2">
        <v>54226.84</v>
      </c>
      <c r="G616" t="s">
        <v>725</v>
      </c>
      <c r="H616" t="s">
        <v>719</v>
      </c>
      <c r="J616" s="7">
        <f t="shared" si="5"/>
        <v>0</v>
      </c>
    </row>
    <row r="617" spans="1:10" hidden="1" x14ac:dyDescent="0.25">
      <c r="A617" s="1">
        <v>45148</v>
      </c>
      <c r="B617" t="s">
        <v>472</v>
      </c>
      <c r="D617" s="2">
        <v>329.41</v>
      </c>
      <c r="E617" s="2">
        <v>0</v>
      </c>
      <c r="F617" s="2">
        <v>53897.43</v>
      </c>
      <c r="G617" t="s">
        <v>731</v>
      </c>
      <c r="H617" t="s">
        <v>719</v>
      </c>
      <c r="J617" s="7">
        <f t="shared" si="5"/>
        <v>0</v>
      </c>
    </row>
    <row r="618" spans="1:10" hidden="1" x14ac:dyDescent="0.25">
      <c r="A618" s="1">
        <v>45148</v>
      </c>
      <c r="B618" t="s">
        <v>480</v>
      </c>
      <c r="D618" s="2">
        <v>10000</v>
      </c>
      <c r="E618" s="2">
        <v>0</v>
      </c>
      <c r="F618" s="2">
        <v>43897.43</v>
      </c>
      <c r="G618" t="s">
        <v>725</v>
      </c>
      <c r="H618" t="s">
        <v>719</v>
      </c>
      <c r="J618" s="7">
        <f t="shared" si="5"/>
        <v>0</v>
      </c>
    </row>
    <row r="619" spans="1:10" hidden="1" x14ac:dyDescent="0.25">
      <c r="A619" s="1">
        <v>45148</v>
      </c>
      <c r="B619" t="s">
        <v>594</v>
      </c>
      <c r="D619" s="2">
        <v>0</v>
      </c>
      <c r="E619" s="2">
        <v>847.5</v>
      </c>
      <c r="F619" s="2">
        <v>44744.93</v>
      </c>
      <c r="G619" t="s">
        <v>736</v>
      </c>
      <c r="H619" t="s">
        <v>719</v>
      </c>
      <c r="J619" s="7">
        <f t="shared" si="5"/>
        <v>0</v>
      </c>
    </row>
    <row r="620" spans="1:10" hidden="1" x14ac:dyDescent="0.25">
      <c r="A620" s="1">
        <v>45148</v>
      </c>
      <c r="B620" t="s">
        <v>267</v>
      </c>
      <c r="C620" t="s">
        <v>266</v>
      </c>
      <c r="D620" s="2">
        <v>1092.55</v>
      </c>
      <c r="E620" s="2">
        <v>0</v>
      </c>
      <c r="F620" s="2">
        <v>176218.87</v>
      </c>
      <c r="G620" t="s">
        <v>733</v>
      </c>
      <c r="H620" t="s">
        <v>716</v>
      </c>
      <c r="J620" s="7">
        <f t="shared" si="5"/>
        <v>-132566.49</v>
      </c>
    </row>
    <row r="621" spans="1:10" hidden="1" x14ac:dyDescent="0.25">
      <c r="A621" s="1">
        <v>45148</v>
      </c>
      <c r="B621" t="s">
        <v>183</v>
      </c>
      <c r="C621" t="s">
        <v>265</v>
      </c>
      <c r="D621" s="2">
        <v>0</v>
      </c>
      <c r="E621" s="2">
        <v>16490.509999999998</v>
      </c>
      <c r="F621" s="2">
        <v>192709.38</v>
      </c>
      <c r="G621" s="55" t="s">
        <v>1052</v>
      </c>
      <c r="H621" t="s">
        <v>716</v>
      </c>
      <c r="J621" s="7">
        <f t="shared" si="5"/>
        <v>0</v>
      </c>
    </row>
    <row r="622" spans="1:10" hidden="1" x14ac:dyDescent="0.25">
      <c r="A622" s="1">
        <v>45148</v>
      </c>
      <c r="B622" t="s">
        <v>201</v>
      </c>
      <c r="C622" t="s">
        <v>211</v>
      </c>
      <c r="D622" s="2">
        <v>555.86</v>
      </c>
      <c r="E622" s="2">
        <v>0</v>
      </c>
      <c r="F622" s="2">
        <v>192153.52</v>
      </c>
      <c r="G622" s="55" t="s">
        <v>1052</v>
      </c>
      <c r="H622" t="s">
        <v>716</v>
      </c>
      <c r="J622" s="7">
        <f t="shared" si="5"/>
        <v>0</v>
      </c>
    </row>
    <row r="623" spans="1:10" hidden="1" x14ac:dyDescent="0.25">
      <c r="A623" s="1">
        <v>45149</v>
      </c>
      <c r="B623" t="s">
        <v>97</v>
      </c>
      <c r="D623" s="2">
        <v>330</v>
      </c>
      <c r="E623" s="2">
        <v>0</v>
      </c>
      <c r="F623" s="2">
        <v>67106.92</v>
      </c>
      <c r="G623" t="s">
        <v>792</v>
      </c>
      <c r="H623" t="s">
        <v>715</v>
      </c>
      <c r="J623" s="7">
        <f t="shared" si="5"/>
        <v>124716.59999999999</v>
      </c>
    </row>
    <row r="624" spans="1:10" hidden="1" x14ac:dyDescent="0.25">
      <c r="A624" s="1">
        <v>45149</v>
      </c>
      <c r="B624" t="s">
        <v>98</v>
      </c>
      <c r="D624" s="2">
        <v>10000</v>
      </c>
      <c r="E624" s="2">
        <v>0</v>
      </c>
      <c r="F624" s="2">
        <v>57106.92</v>
      </c>
      <c r="G624" t="s">
        <v>734</v>
      </c>
      <c r="H624" t="s">
        <v>715</v>
      </c>
      <c r="J624" s="7">
        <f t="shared" si="5"/>
        <v>0</v>
      </c>
    </row>
    <row r="625" spans="1:10" hidden="1" x14ac:dyDescent="0.25">
      <c r="A625" s="1">
        <v>45149</v>
      </c>
      <c r="B625" t="s">
        <v>472</v>
      </c>
      <c r="D625" s="2">
        <v>20772.759999999998</v>
      </c>
      <c r="E625" s="2">
        <v>0</v>
      </c>
      <c r="F625" s="2">
        <v>23972.17</v>
      </c>
      <c r="G625" t="s">
        <v>731</v>
      </c>
      <c r="H625" t="s">
        <v>719</v>
      </c>
      <c r="J625" s="7">
        <f t="shared" si="5"/>
        <v>12361.990000000005</v>
      </c>
    </row>
    <row r="626" spans="1:10" hidden="1" x14ac:dyDescent="0.25">
      <c r="A626" s="1">
        <v>45149</v>
      </c>
      <c r="B626" t="s">
        <v>595</v>
      </c>
      <c r="D626" s="2">
        <v>0</v>
      </c>
      <c r="E626" s="2">
        <v>150000</v>
      </c>
      <c r="F626" s="2">
        <v>173972.17</v>
      </c>
      <c r="G626" t="s">
        <v>724</v>
      </c>
      <c r="H626" t="s">
        <v>719</v>
      </c>
      <c r="J626" s="7">
        <f t="shared" si="5"/>
        <v>0</v>
      </c>
    </row>
    <row r="627" spans="1:10" hidden="1" x14ac:dyDescent="0.25">
      <c r="A627" s="1">
        <v>45149</v>
      </c>
      <c r="B627" t="s">
        <v>596</v>
      </c>
      <c r="D627" s="2">
        <v>0</v>
      </c>
      <c r="E627" s="2">
        <v>3040</v>
      </c>
      <c r="F627" s="2">
        <v>177012.17</v>
      </c>
      <c r="G627" t="s">
        <v>736</v>
      </c>
      <c r="H627" t="s">
        <v>719</v>
      </c>
      <c r="J627" s="7">
        <f t="shared" si="5"/>
        <v>0</v>
      </c>
    </row>
    <row r="628" spans="1:10" hidden="1" x14ac:dyDescent="0.25">
      <c r="A628" s="1">
        <v>45149</v>
      </c>
      <c r="B628" t="s">
        <v>472</v>
      </c>
      <c r="D628" s="2">
        <v>319.17</v>
      </c>
      <c r="E628" s="2">
        <v>0</v>
      </c>
      <c r="F628" s="2">
        <v>176693</v>
      </c>
      <c r="G628" t="s">
        <v>731</v>
      </c>
      <c r="H628" t="s">
        <v>719</v>
      </c>
      <c r="J628" s="7">
        <f t="shared" si="5"/>
        <v>0</v>
      </c>
    </row>
    <row r="629" spans="1:10" hidden="1" x14ac:dyDescent="0.25">
      <c r="A629" s="1">
        <v>45149</v>
      </c>
      <c r="B629" t="s">
        <v>472</v>
      </c>
      <c r="D629" s="2">
        <v>15525.32</v>
      </c>
      <c r="E629" s="2">
        <v>0</v>
      </c>
      <c r="F629" s="2">
        <v>161167.67999999999</v>
      </c>
      <c r="G629" t="s">
        <v>731</v>
      </c>
      <c r="H629" t="s">
        <v>719</v>
      </c>
      <c r="J629" s="7">
        <f t="shared" si="5"/>
        <v>0</v>
      </c>
    </row>
    <row r="630" spans="1:10" hidden="1" x14ac:dyDescent="0.25">
      <c r="A630" s="1">
        <v>45149</v>
      </c>
      <c r="B630" t="s">
        <v>472</v>
      </c>
      <c r="D630" s="2">
        <v>3403.93</v>
      </c>
      <c r="E630" s="2">
        <v>0</v>
      </c>
      <c r="F630" s="2">
        <v>157763.75</v>
      </c>
      <c r="G630" t="s">
        <v>731</v>
      </c>
      <c r="H630" t="s">
        <v>719</v>
      </c>
      <c r="J630" s="7">
        <f t="shared" si="5"/>
        <v>0</v>
      </c>
    </row>
    <row r="631" spans="1:10" hidden="1" x14ac:dyDescent="0.25">
      <c r="A631" s="1">
        <v>45149</v>
      </c>
      <c r="B631" t="s">
        <v>264</v>
      </c>
      <c r="C631" t="s">
        <v>263</v>
      </c>
      <c r="D631" s="2">
        <v>150000</v>
      </c>
      <c r="E631" s="2">
        <v>0</v>
      </c>
      <c r="F631" s="2">
        <v>42153.52</v>
      </c>
      <c r="G631" t="s">
        <v>724</v>
      </c>
      <c r="H631" t="s">
        <v>716</v>
      </c>
      <c r="J631" s="7">
        <f t="shared" si="5"/>
        <v>-34389.769999999997</v>
      </c>
    </row>
    <row r="632" spans="1:10" hidden="1" x14ac:dyDescent="0.25">
      <c r="A632" s="1">
        <v>45152</v>
      </c>
      <c r="B632" t="s">
        <v>480</v>
      </c>
      <c r="D632" s="2">
        <v>3000</v>
      </c>
      <c r="E632" s="2">
        <v>0</v>
      </c>
      <c r="F632" s="2">
        <v>154763.75</v>
      </c>
      <c r="G632" t="s">
        <v>725</v>
      </c>
      <c r="H632" t="s">
        <v>719</v>
      </c>
      <c r="J632" s="7">
        <f t="shared" si="5"/>
        <v>-115610.23000000001</v>
      </c>
    </row>
    <row r="633" spans="1:10" hidden="1" x14ac:dyDescent="0.25">
      <c r="A633" s="1">
        <v>45152</v>
      </c>
      <c r="B633" t="s">
        <v>472</v>
      </c>
      <c r="D633" s="2">
        <v>1060.95</v>
      </c>
      <c r="E633" s="2">
        <v>0</v>
      </c>
      <c r="F633" s="2">
        <v>153702.79999999999</v>
      </c>
      <c r="G633" t="s">
        <v>731</v>
      </c>
      <c r="H633" t="s">
        <v>719</v>
      </c>
      <c r="J633" s="7">
        <f t="shared" si="5"/>
        <v>0</v>
      </c>
    </row>
    <row r="634" spans="1:10" hidden="1" x14ac:dyDescent="0.25">
      <c r="A634" s="1">
        <v>45152</v>
      </c>
      <c r="B634" t="s">
        <v>472</v>
      </c>
      <c r="D634" s="2">
        <v>33514.99</v>
      </c>
      <c r="E634" s="2">
        <v>0</v>
      </c>
      <c r="F634" s="2">
        <v>120187.81</v>
      </c>
      <c r="G634" t="s">
        <v>731</v>
      </c>
      <c r="H634" t="s">
        <v>719</v>
      </c>
      <c r="J634" s="7">
        <f t="shared" si="5"/>
        <v>0</v>
      </c>
    </row>
    <row r="635" spans="1:10" hidden="1" x14ac:dyDescent="0.25">
      <c r="A635" s="1">
        <v>45152</v>
      </c>
      <c r="B635" t="s">
        <v>201</v>
      </c>
      <c r="C635" t="s">
        <v>211</v>
      </c>
      <c r="D635" s="2">
        <v>19795.490000000002</v>
      </c>
      <c r="E635" s="2">
        <v>0</v>
      </c>
      <c r="F635" s="2">
        <v>22358.03</v>
      </c>
      <c r="G635" s="55" t="s">
        <v>1052</v>
      </c>
      <c r="H635" t="s">
        <v>716</v>
      </c>
      <c r="J635" s="7">
        <f t="shared" si="5"/>
        <v>78034.289999999994</v>
      </c>
    </row>
    <row r="636" spans="1:10" hidden="1" x14ac:dyDescent="0.25">
      <c r="A636" s="1">
        <v>45153</v>
      </c>
      <c r="B636" t="s">
        <v>99</v>
      </c>
      <c r="D636" s="2">
        <v>165</v>
      </c>
      <c r="E636" s="2">
        <v>0</v>
      </c>
      <c r="F636" s="2">
        <v>56941.919999999998</v>
      </c>
      <c r="G636" t="s">
        <v>792</v>
      </c>
      <c r="H636" t="s">
        <v>715</v>
      </c>
      <c r="J636" s="7">
        <f t="shared" si="5"/>
        <v>-34748.89</v>
      </c>
    </row>
    <row r="637" spans="1:10" hidden="1" x14ac:dyDescent="0.25">
      <c r="A637" s="1">
        <v>45154</v>
      </c>
      <c r="B637" t="s">
        <v>472</v>
      </c>
      <c r="D637" s="2">
        <v>686.64</v>
      </c>
      <c r="E637" s="2">
        <v>0</v>
      </c>
      <c r="F637" s="2">
        <v>119501.17</v>
      </c>
      <c r="G637" t="s">
        <v>731</v>
      </c>
      <c r="H637" t="s">
        <v>719</v>
      </c>
      <c r="J637" s="7">
        <f t="shared" si="5"/>
        <v>-63245.89</v>
      </c>
    </row>
    <row r="638" spans="1:10" hidden="1" x14ac:dyDescent="0.25">
      <c r="A638" s="1">
        <v>45154</v>
      </c>
      <c r="B638" t="s">
        <v>597</v>
      </c>
      <c r="D638" s="2">
        <v>1500</v>
      </c>
      <c r="E638" s="2">
        <v>0</v>
      </c>
      <c r="F638" s="2">
        <v>118001.17</v>
      </c>
      <c r="G638" t="s">
        <v>725</v>
      </c>
      <c r="H638" t="s">
        <v>719</v>
      </c>
      <c r="J638" s="7">
        <f t="shared" si="5"/>
        <v>0</v>
      </c>
    </row>
    <row r="639" spans="1:10" hidden="1" x14ac:dyDescent="0.25">
      <c r="A639" s="1">
        <v>45154</v>
      </c>
      <c r="B639" t="s">
        <v>598</v>
      </c>
      <c r="D639" s="2">
        <v>2000</v>
      </c>
      <c r="E639" s="2">
        <v>0</v>
      </c>
      <c r="F639" s="2">
        <v>116001.17</v>
      </c>
      <c r="G639" t="s">
        <v>725</v>
      </c>
      <c r="H639" t="s">
        <v>719</v>
      </c>
      <c r="J639" s="7">
        <f t="shared" si="5"/>
        <v>0</v>
      </c>
    </row>
    <row r="640" spans="1:10" hidden="1" x14ac:dyDescent="0.25">
      <c r="A640" s="1">
        <v>45154</v>
      </c>
      <c r="B640" t="s">
        <v>472</v>
      </c>
      <c r="D640" s="2">
        <v>7630.28</v>
      </c>
      <c r="E640" s="2">
        <v>0</v>
      </c>
      <c r="F640" s="2">
        <v>108370.89</v>
      </c>
      <c r="G640" t="s">
        <v>731</v>
      </c>
      <c r="H640" t="s">
        <v>719</v>
      </c>
      <c r="J640" s="7">
        <f t="shared" si="5"/>
        <v>0</v>
      </c>
    </row>
    <row r="641" spans="1:10" hidden="1" x14ac:dyDescent="0.25">
      <c r="A641" s="1">
        <v>45154</v>
      </c>
      <c r="B641" t="s">
        <v>472</v>
      </c>
      <c r="D641" s="2">
        <v>3926.04</v>
      </c>
      <c r="E641" s="2">
        <v>0</v>
      </c>
      <c r="F641" s="2">
        <v>104444.85</v>
      </c>
      <c r="G641" t="s">
        <v>731</v>
      </c>
      <c r="H641" t="s">
        <v>719</v>
      </c>
      <c r="J641" s="7">
        <f t="shared" si="5"/>
        <v>0</v>
      </c>
    </row>
    <row r="642" spans="1:10" hidden="1" x14ac:dyDescent="0.25">
      <c r="A642" s="1">
        <v>45155</v>
      </c>
      <c r="B642" t="s">
        <v>472</v>
      </c>
      <c r="D642" s="2">
        <v>341.38</v>
      </c>
      <c r="E642" s="2">
        <v>0</v>
      </c>
      <c r="F642" s="2">
        <v>104103.47</v>
      </c>
      <c r="G642" t="s">
        <v>731</v>
      </c>
      <c r="H642" t="s">
        <v>719</v>
      </c>
      <c r="J642" s="7">
        <f t="shared" si="5"/>
        <v>0</v>
      </c>
    </row>
    <row r="643" spans="1:10" hidden="1" x14ac:dyDescent="0.25">
      <c r="A643" s="1">
        <v>45155</v>
      </c>
      <c r="B643" t="s">
        <v>599</v>
      </c>
      <c r="D643" s="2">
        <v>2000</v>
      </c>
      <c r="E643" s="2">
        <v>0</v>
      </c>
      <c r="F643" s="2">
        <v>102103.47</v>
      </c>
      <c r="G643" t="s">
        <v>725</v>
      </c>
      <c r="H643" t="s">
        <v>719</v>
      </c>
      <c r="J643" s="7">
        <f t="shared" si="5"/>
        <v>0</v>
      </c>
    </row>
    <row r="644" spans="1:10" hidden="1" x14ac:dyDescent="0.25">
      <c r="A644" s="1">
        <v>45155</v>
      </c>
      <c r="B644" t="s">
        <v>472</v>
      </c>
      <c r="D644" s="2">
        <v>986.75</v>
      </c>
      <c r="E644" s="2">
        <v>0</v>
      </c>
      <c r="F644" s="2">
        <v>101116.72</v>
      </c>
      <c r="G644" t="s">
        <v>731</v>
      </c>
      <c r="H644" t="s">
        <v>719</v>
      </c>
      <c r="J644" s="7">
        <f t="shared" si="5"/>
        <v>0</v>
      </c>
    </row>
    <row r="645" spans="1:10" hidden="1" x14ac:dyDescent="0.25">
      <c r="A645" s="1">
        <v>45156</v>
      </c>
      <c r="B645" t="s">
        <v>100</v>
      </c>
      <c r="D645" s="2">
        <v>50</v>
      </c>
      <c r="E645" s="2">
        <v>0</v>
      </c>
      <c r="F645" s="2">
        <v>56891.92</v>
      </c>
      <c r="G645" t="s">
        <v>792</v>
      </c>
      <c r="H645" t="s">
        <v>715</v>
      </c>
      <c r="J645" s="7">
        <f t="shared" si="5"/>
        <v>44174.8</v>
      </c>
    </row>
    <row r="646" spans="1:10" hidden="1" x14ac:dyDescent="0.25">
      <c r="A646" s="1">
        <v>45156</v>
      </c>
      <c r="B646" t="s">
        <v>600</v>
      </c>
      <c r="D646" s="2">
        <v>75000</v>
      </c>
      <c r="E646" s="2">
        <v>0</v>
      </c>
      <c r="F646" s="2">
        <v>26116.720000000001</v>
      </c>
      <c r="G646" t="s">
        <v>728</v>
      </c>
      <c r="H646" t="s">
        <v>719</v>
      </c>
      <c r="J646" s="7">
        <f t="shared" si="5"/>
        <v>-44224.800000000003</v>
      </c>
    </row>
    <row r="647" spans="1:10" hidden="1" x14ac:dyDescent="0.25">
      <c r="A647" s="1">
        <v>45156</v>
      </c>
      <c r="B647" t="s">
        <v>601</v>
      </c>
      <c r="D647" s="2">
        <v>0</v>
      </c>
      <c r="E647" s="2">
        <v>100000</v>
      </c>
      <c r="F647" s="2">
        <v>126116.72</v>
      </c>
      <c r="G647" t="s">
        <v>724</v>
      </c>
      <c r="H647" t="s">
        <v>719</v>
      </c>
      <c r="J647" s="7">
        <f t="shared" ref="J647:J710" si="6">F646-D647+E647-F647</f>
        <v>0</v>
      </c>
    </row>
    <row r="648" spans="1:10" hidden="1" x14ac:dyDescent="0.25">
      <c r="A648" s="1">
        <v>45156</v>
      </c>
      <c r="B648" t="s">
        <v>472</v>
      </c>
      <c r="D648" s="2">
        <v>347.83</v>
      </c>
      <c r="E648" s="2">
        <v>0</v>
      </c>
      <c r="F648" s="2">
        <v>125768.89</v>
      </c>
      <c r="G648" t="s">
        <v>731</v>
      </c>
      <c r="H648" t="s">
        <v>719</v>
      </c>
      <c r="J648" s="7">
        <f t="shared" si="6"/>
        <v>0</v>
      </c>
    </row>
    <row r="649" spans="1:10" hidden="1" x14ac:dyDescent="0.25">
      <c r="A649" s="1">
        <v>45156</v>
      </c>
      <c r="B649" t="s">
        <v>602</v>
      </c>
      <c r="D649" s="2">
        <v>955.8</v>
      </c>
      <c r="E649" s="2">
        <v>0</v>
      </c>
      <c r="F649" s="2">
        <v>124813.09</v>
      </c>
      <c r="G649" t="s">
        <v>729</v>
      </c>
      <c r="H649" t="s">
        <v>719</v>
      </c>
      <c r="J649" s="7">
        <f t="shared" si="6"/>
        <v>0</v>
      </c>
    </row>
    <row r="650" spans="1:10" hidden="1" x14ac:dyDescent="0.25">
      <c r="A650" s="1">
        <v>45156</v>
      </c>
      <c r="B650" t="s">
        <v>480</v>
      </c>
      <c r="D650" s="2">
        <v>10000</v>
      </c>
      <c r="E650" s="2">
        <v>0</v>
      </c>
      <c r="F650" s="2">
        <v>114813.09</v>
      </c>
      <c r="G650" t="s">
        <v>725</v>
      </c>
      <c r="H650" t="s">
        <v>719</v>
      </c>
      <c r="J650" s="7">
        <f t="shared" si="6"/>
        <v>0</v>
      </c>
    </row>
    <row r="651" spans="1:10" hidden="1" x14ac:dyDescent="0.25">
      <c r="A651" s="1">
        <v>45156</v>
      </c>
      <c r="B651" t="s">
        <v>480</v>
      </c>
      <c r="D651" s="2">
        <v>10000</v>
      </c>
      <c r="E651" s="2">
        <v>0</v>
      </c>
      <c r="F651" s="2">
        <v>104813.09</v>
      </c>
      <c r="G651" t="s">
        <v>725</v>
      </c>
      <c r="H651" t="s">
        <v>719</v>
      </c>
      <c r="J651" s="7">
        <f t="shared" si="6"/>
        <v>0</v>
      </c>
    </row>
    <row r="652" spans="1:10" hidden="1" x14ac:dyDescent="0.25">
      <c r="A652" s="1">
        <v>45156</v>
      </c>
      <c r="B652" t="s">
        <v>480</v>
      </c>
      <c r="D652" s="2">
        <v>10000</v>
      </c>
      <c r="E652" s="2">
        <v>0</v>
      </c>
      <c r="F652" s="2">
        <v>94813.09</v>
      </c>
      <c r="G652" t="s">
        <v>725</v>
      </c>
      <c r="H652" t="s">
        <v>719</v>
      </c>
      <c r="J652" s="7">
        <f t="shared" si="6"/>
        <v>0</v>
      </c>
    </row>
    <row r="653" spans="1:10" hidden="1" x14ac:dyDescent="0.25">
      <c r="A653" s="1">
        <v>45156</v>
      </c>
      <c r="B653" t="s">
        <v>603</v>
      </c>
      <c r="D653" s="2">
        <v>0</v>
      </c>
      <c r="E653" s="2">
        <v>340</v>
      </c>
      <c r="F653" s="2">
        <v>95153.09</v>
      </c>
      <c r="G653" t="s">
        <v>736</v>
      </c>
      <c r="H653" t="s">
        <v>719</v>
      </c>
      <c r="J653" s="7">
        <f t="shared" si="6"/>
        <v>0</v>
      </c>
    </row>
    <row r="654" spans="1:10" hidden="1" x14ac:dyDescent="0.25">
      <c r="A654" s="1">
        <v>45156</v>
      </c>
      <c r="B654" t="s">
        <v>472</v>
      </c>
      <c r="D654" s="2">
        <v>135.35</v>
      </c>
      <c r="E654" s="2">
        <v>0</v>
      </c>
      <c r="F654" s="2">
        <v>95017.74</v>
      </c>
      <c r="G654" t="s">
        <v>731</v>
      </c>
      <c r="H654" t="s">
        <v>719</v>
      </c>
      <c r="J654" s="7">
        <f t="shared" si="6"/>
        <v>0</v>
      </c>
    </row>
    <row r="655" spans="1:10" hidden="1" x14ac:dyDescent="0.25">
      <c r="A655" s="1">
        <v>45156</v>
      </c>
      <c r="B655" t="s">
        <v>403</v>
      </c>
      <c r="C655" t="s">
        <v>404</v>
      </c>
      <c r="D655" s="2">
        <v>100000</v>
      </c>
      <c r="E655" s="2">
        <v>0</v>
      </c>
      <c r="F655" s="2">
        <v>-1248460.3700000001</v>
      </c>
      <c r="G655" t="s">
        <v>724</v>
      </c>
      <c r="H655" t="s">
        <v>718</v>
      </c>
      <c r="J655" s="7">
        <f t="shared" si="6"/>
        <v>1243478.1100000001</v>
      </c>
    </row>
    <row r="656" spans="1:10" hidden="1" x14ac:dyDescent="0.25">
      <c r="A656" s="1">
        <v>45157</v>
      </c>
      <c r="B656" t="s">
        <v>101</v>
      </c>
      <c r="D656" s="2">
        <v>3000</v>
      </c>
      <c r="E656" s="2">
        <v>0</v>
      </c>
      <c r="F656" s="2">
        <v>53891.92</v>
      </c>
      <c r="G656" t="s">
        <v>792</v>
      </c>
      <c r="H656" t="s">
        <v>715</v>
      </c>
      <c r="J656" s="7">
        <f t="shared" si="6"/>
        <v>-1305352.29</v>
      </c>
    </row>
    <row r="657" spans="1:10" hidden="1" x14ac:dyDescent="0.25">
      <c r="A657" s="1">
        <v>45157</v>
      </c>
      <c r="B657" t="s">
        <v>604</v>
      </c>
      <c r="D657" s="2">
        <v>0</v>
      </c>
      <c r="E657" s="2">
        <v>50000</v>
      </c>
      <c r="F657" s="2">
        <v>145017.74</v>
      </c>
      <c r="G657" t="s">
        <v>724</v>
      </c>
      <c r="H657" t="s">
        <v>719</v>
      </c>
      <c r="J657" s="7">
        <f t="shared" si="6"/>
        <v>-41125.819999999992</v>
      </c>
    </row>
    <row r="658" spans="1:10" hidden="1" x14ac:dyDescent="0.25">
      <c r="A658" s="1">
        <v>45157</v>
      </c>
      <c r="B658" t="s">
        <v>405</v>
      </c>
      <c r="C658" t="s">
        <v>406</v>
      </c>
      <c r="D658" s="2">
        <v>50000</v>
      </c>
      <c r="E658" s="2">
        <v>0</v>
      </c>
      <c r="F658" s="2">
        <v>-1298460.3700000001</v>
      </c>
      <c r="G658" t="s">
        <v>724</v>
      </c>
      <c r="H658" t="s">
        <v>718</v>
      </c>
      <c r="J658" s="7">
        <f t="shared" si="6"/>
        <v>1393478.11</v>
      </c>
    </row>
    <row r="659" spans="1:10" hidden="1" x14ac:dyDescent="0.25">
      <c r="A659" s="1">
        <v>45159</v>
      </c>
      <c r="B659" t="s">
        <v>102</v>
      </c>
      <c r="D659" s="2">
        <v>5000</v>
      </c>
      <c r="E659" s="2">
        <v>0</v>
      </c>
      <c r="F659" s="2">
        <v>48891.92</v>
      </c>
      <c r="G659" t="s">
        <v>734</v>
      </c>
      <c r="H659" t="s">
        <v>715</v>
      </c>
      <c r="J659" s="7">
        <f t="shared" si="6"/>
        <v>-1352352.29</v>
      </c>
    </row>
    <row r="660" spans="1:10" hidden="1" x14ac:dyDescent="0.25">
      <c r="A660" s="1">
        <v>45159</v>
      </c>
      <c r="B660" t="s">
        <v>480</v>
      </c>
      <c r="D660" s="2">
        <v>3000</v>
      </c>
      <c r="E660" s="2">
        <v>0</v>
      </c>
      <c r="F660" s="2">
        <v>142017.74</v>
      </c>
      <c r="G660" t="s">
        <v>725</v>
      </c>
      <c r="H660" t="s">
        <v>719</v>
      </c>
      <c r="J660" s="7">
        <f t="shared" si="6"/>
        <v>-96125.819999999992</v>
      </c>
    </row>
    <row r="661" spans="1:10" hidden="1" x14ac:dyDescent="0.25">
      <c r="A661" s="1">
        <v>45159</v>
      </c>
      <c r="B661" t="s">
        <v>480</v>
      </c>
      <c r="D661" s="2">
        <v>5000</v>
      </c>
      <c r="E661" s="2">
        <v>0</v>
      </c>
      <c r="F661" s="2">
        <v>137017.74</v>
      </c>
      <c r="G661" t="s">
        <v>725</v>
      </c>
      <c r="H661" t="s">
        <v>719</v>
      </c>
      <c r="J661" s="7">
        <f t="shared" si="6"/>
        <v>0</v>
      </c>
    </row>
    <row r="662" spans="1:10" hidden="1" x14ac:dyDescent="0.25">
      <c r="A662" s="1">
        <v>45159</v>
      </c>
      <c r="B662" t="s">
        <v>480</v>
      </c>
      <c r="D662" s="2">
        <v>5000</v>
      </c>
      <c r="E662" s="2">
        <v>0</v>
      </c>
      <c r="F662" s="2">
        <v>132017.74</v>
      </c>
      <c r="G662" t="s">
        <v>725</v>
      </c>
      <c r="H662" t="s">
        <v>719</v>
      </c>
      <c r="J662" s="7">
        <f t="shared" si="6"/>
        <v>0</v>
      </c>
    </row>
    <row r="663" spans="1:10" hidden="1" x14ac:dyDescent="0.25">
      <c r="A663" s="1">
        <v>45159</v>
      </c>
      <c r="B663" t="s">
        <v>472</v>
      </c>
      <c r="D663" s="2">
        <v>1043.28</v>
      </c>
      <c r="E663" s="2">
        <v>0</v>
      </c>
      <c r="F663" s="2">
        <v>130974.46</v>
      </c>
      <c r="G663" t="s">
        <v>731</v>
      </c>
      <c r="H663" t="s">
        <v>719</v>
      </c>
      <c r="J663" s="7">
        <f t="shared" si="6"/>
        <v>0</v>
      </c>
    </row>
    <row r="664" spans="1:10" hidden="1" x14ac:dyDescent="0.25">
      <c r="A664" s="1">
        <v>45159</v>
      </c>
      <c r="B664" t="s">
        <v>605</v>
      </c>
      <c r="D664" s="2">
        <v>2000</v>
      </c>
      <c r="E664" s="2">
        <v>0</v>
      </c>
      <c r="F664" s="2">
        <v>128974.46</v>
      </c>
      <c r="G664" t="s">
        <v>725</v>
      </c>
      <c r="H664" t="s">
        <v>719</v>
      </c>
      <c r="J664" s="7">
        <f t="shared" si="6"/>
        <v>0</v>
      </c>
    </row>
    <row r="665" spans="1:10" hidden="1" x14ac:dyDescent="0.25">
      <c r="A665" s="1">
        <v>45159</v>
      </c>
      <c r="B665" t="s">
        <v>606</v>
      </c>
      <c r="D665" s="2">
        <v>2500</v>
      </c>
      <c r="E665" s="2">
        <v>0</v>
      </c>
      <c r="F665" s="2">
        <v>126474.46</v>
      </c>
      <c r="G665" t="s">
        <v>725</v>
      </c>
      <c r="H665" t="s">
        <v>719</v>
      </c>
      <c r="J665" s="7">
        <f t="shared" si="6"/>
        <v>0</v>
      </c>
    </row>
    <row r="666" spans="1:10" hidden="1" x14ac:dyDescent="0.25">
      <c r="A666" s="1">
        <v>45159</v>
      </c>
      <c r="B666" t="s">
        <v>472</v>
      </c>
      <c r="D666" s="2">
        <v>12610.8</v>
      </c>
      <c r="E666" s="2">
        <v>0</v>
      </c>
      <c r="F666" s="2">
        <v>113863.66</v>
      </c>
      <c r="G666" t="s">
        <v>731</v>
      </c>
      <c r="H666" t="s">
        <v>719</v>
      </c>
      <c r="J666" s="7">
        <f t="shared" si="6"/>
        <v>0</v>
      </c>
    </row>
    <row r="667" spans="1:10" hidden="1" x14ac:dyDescent="0.25">
      <c r="A667" s="1">
        <v>45159</v>
      </c>
      <c r="B667" t="s">
        <v>473</v>
      </c>
      <c r="D667" s="2">
        <v>0</v>
      </c>
      <c r="E667" s="2">
        <v>930.48</v>
      </c>
      <c r="F667" s="2">
        <v>114794.14</v>
      </c>
      <c r="G667" t="s">
        <v>731</v>
      </c>
      <c r="H667" t="s">
        <v>719</v>
      </c>
      <c r="J667" s="7">
        <f t="shared" si="6"/>
        <v>0</v>
      </c>
    </row>
    <row r="668" spans="1:10" hidden="1" x14ac:dyDescent="0.25">
      <c r="A668" s="1">
        <v>45160</v>
      </c>
      <c r="B668" t="s">
        <v>103</v>
      </c>
      <c r="D668" s="2">
        <v>30</v>
      </c>
      <c r="E668" s="2">
        <v>0</v>
      </c>
      <c r="F668" s="2">
        <v>48861.919999999998</v>
      </c>
      <c r="G668" t="s">
        <v>792</v>
      </c>
      <c r="H668" t="s">
        <v>715</v>
      </c>
      <c r="J668" s="7">
        <f t="shared" si="6"/>
        <v>65902.22</v>
      </c>
    </row>
    <row r="669" spans="1:10" hidden="1" x14ac:dyDescent="0.25">
      <c r="A669" s="1">
        <v>45160</v>
      </c>
      <c r="B669" t="s">
        <v>472</v>
      </c>
      <c r="D669" s="2">
        <v>348.22</v>
      </c>
      <c r="E669" s="2">
        <v>0</v>
      </c>
      <c r="F669" s="2">
        <v>114445.92</v>
      </c>
      <c r="G669" t="s">
        <v>731</v>
      </c>
      <c r="H669" t="s">
        <v>719</v>
      </c>
      <c r="J669" s="7">
        <f t="shared" si="6"/>
        <v>-65932.22</v>
      </c>
    </row>
    <row r="670" spans="1:10" hidden="1" x14ac:dyDescent="0.25">
      <c r="A670" s="1">
        <v>45160</v>
      </c>
      <c r="B670" t="s">
        <v>607</v>
      </c>
      <c r="D670" s="2">
        <v>0</v>
      </c>
      <c r="E670" s="2">
        <v>198</v>
      </c>
      <c r="F670" s="2">
        <v>114643.92</v>
      </c>
      <c r="G670" t="s">
        <v>736</v>
      </c>
      <c r="H670" t="s">
        <v>719</v>
      </c>
      <c r="J670" s="7">
        <f t="shared" si="6"/>
        <v>0</v>
      </c>
    </row>
    <row r="671" spans="1:10" hidden="1" x14ac:dyDescent="0.25">
      <c r="A671" s="1">
        <v>45160</v>
      </c>
      <c r="B671" t="s">
        <v>472</v>
      </c>
      <c r="D671" s="2">
        <v>7716.78</v>
      </c>
      <c r="E671" s="2">
        <v>0</v>
      </c>
      <c r="F671" s="2">
        <v>106927.14</v>
      </c>
      <c r="G671" t="s">
        <v>731</v>
      </c>
      <c r="H671" t="s">
        <v>719</v>
      </c>
      <c r="J671" s="7">
        <f t="shared" si="6"/>
        <v>0</v>
      </c>
    </row>
    <row r="672" spans="1:10" hidden="1" x14ac:dyDescent="0.25">
      <c r="A672" s="1">
        <v>45160</v>
      </c>
      <c r="B672" t="s">
        <v>472</v>
      </c>
      <c r="D672" s="2">
        <v>2944.46</v>
      </c>
      <c r="E672" s="2">
        <v>0</v>
      </c>
      <c r="F672" s="2">
        <v>103982.68</v>
      </c>
      <c r="G672" t="s">
        <v>731</v>
      </c>
      <c r="H672" t="s">
        <v>719</v>
      </c>
      <c r="J672" s="7">
        <f t="shared" si="6"/>
        <v>0</v>
      </c>
    </row>
    <row r="673" spans="1:16" hidden="1" x14ac:dyDescent="0.25">
      <c r="A673" s="1">
        <v>45160</v>
      </c>
      <c r="B673" t="s">
        <v>201</v>
      </c>
      <c r="C673" t="s">
        <v>211</v>
      </c>
      <c r="D673" s="2">
        <v>4.51</v>
      </c>
      <c r="E673" s="2">
        <v>0</v>
      </c>
      <c r="F673" s="2">
        <v>22353.52</v>
      </c>
      <c r="G673" s="55" t="s">
        <v>1052</v>
      </c>
      <c r="H673" t="s">
        <v>716</v>
      </c>
      <c r="J673" s="7">
        <f t="shared" si="6"/>
        <v>81624.649999999994</v>
      </c>
    </row>
    <row r="674" spans="1:16" hidden="1" x14ac:dyDescent="0.25">
      <c r="A674" s="1">
        <v>45161</v>
      </c>
      <c r="B674" t="s">
        <v>608</v>
      </c>
      <c r="D674" s="2">
        <v>0</v>
      </c>
      <c r="E674" s="2">
        <v>480</v>
      </c>
      <c r="F674" s="2">
        <v>104462.68</v>
      </c>
      <c r="G674" t="s">
        <v>736</v>
      </c>
      <c r="H674" t="s">
        <v>719</v>
      </c>
      <c r="J674" s="7">
        <f t="shared" si="6"/>
        <v>-81629.159999999989</v>
      </c>
    </row>
    <row r="675" spans="1:16" hidden="1" x14ac:dyDescent="0.25">
      <c r="A675" s="1">
        <v>45161</v>
      </c>
      <c r="B675" t="s">
        <v>472</v>
      </c>
      <c r="D675" s="2">
        <v>346.77</v>
      </c>
      <c r="E675" s="2">
        <v>0</v>
      </c>
      <c r="F675" s="2">
        <v>104115.91</v>
      </c>
      <c r="G675" t="s">
        <v>731</v>
      </c>
      <c r="H675" t="s">
        <v>719</v>
      </c>
      <c r="J675" s="7">
        <f t="shared" si="6"/>
        <v>0</v>
      </c>
    </row>
    <row r="676" spans="1:16" hidden="1" x14ac:dyDescent="0.25">
      <c r="A676" s="1">
        <v>45161</v>
      </c>
      <c r="B676" t="s">
        <v>609</v>
      </c>
      <c r="D676" s="2">
        <v>0</v>
      </c>
      <c r="E676" s="2">
        <v>15680</v>
      </c>
      <c r="F676" s="2">
        <v>119795.91</v>
      </c>
      <c r="G676" t="s">
        <v>792</v>
      </c>
      <c r="H676" t="s">
        <v>719</v>
      </c>
      <c r="J676" s="7">
        <f t="shared" si="6"/>
        <v>0</v>
      </c>
      <c r="P676" s="7"/>
    </row>
    <row r="677" spans="1:16" hidden="1" x14ac:dyDescent="0.25">
      <c r="A677" s="1">
        <v>45161</v>
      </c>
      <c r="B677" t="s">
        <v>473</v>
      </c>
      <c r="D677" s="2">
        <v>0</v>
      </c>
      <c r="E677" s="2">
        <v>207.04</v>
      </c>
      <c r="F677" s="2">
        <v>120002.95</v>
      </c>
      <c r="G677" t="s">
        <v>731</v>
      </c>
      <c r="H677" t="s">
        <v>719</v>
      </c>
      <c r="J677" s="7">
        <f t="shared" si="6"/>
        <v>0</v>
      </c>
    </row>
    <row r="678" spans="1:16" hidden="1" x14ac:dyDescent="0.25">
      <c r="A678" s="1">
        <v>45162</v>
      </c>
      <c r="B678" t="s">
        <v>104</v>
      </c>
      <c r="D678" s="2">
        <v>0</v>
      </c>
      <c r="E678" s="2">
        <v>1512412</v>
      </c>
      <c r="F678" s="2">
        <v>1561273.92</v>
      </c>
      <c r="G678" s="11" t="s">
        <v>762</v>
      </c>
      <c r="H678" t="s">
        <v>715</v>
      </c>
      <c r="J678" s="7">
        <f t="shared" si="6"/>
        <v>71141.030000000028</v>
      </c>
    </row>
    <row r="679" spans="1:16" hidden="1" x14ac:dyDescent="0.25">
      <c r="A679" s="1">
        <v>45162</v>
      </c>
      <c r="B679" t="s">
        <v>105</v>
      </c>
      <c r="D679" s="2">
        <v>500000</v>
      </c>
      <c r="E679" s="2">
        <v>0</v>
      </c>
      <c r="F679" s="2">
        <v>1061273.92</v>
      </c>
      <c r="G679" t="s">
        <v>724</v>
      </c>
      <c r="H679" t="s">
        <v>715</v>
      </c>
      <c r="J679" s="7">
        <f t="shared" si="6"/>
        <v>0</v>
      </c>
    </row>
    <row r="680" spans="1:16" hidden="1" x14ac:dyDescent="0.25">
      <c r="A680" s="1">
        <v>45162</v>
      </c>
      <c r="B680" t="s">
        <v>106</v>
      </c>
      <c r="D680" s="2">
        <v>500000</v>
      </c>
      <c r="E680" s="2">
        <v>0</v>
      </c>
      <c r="F680" s="2">
        <v>561273.92000000004</v>
      </c>
      <c r="G680" t="s">
        <v>724</v>
      </c>
      <c r="H680" t="s">
        <v>715</v>
      </c>
      <c r="J680" s="7">
        <f t="shared" si="6"/>
        <v>0</v>
      </c>
    </row>
    <row r="681" spans="1:16" hidden="1" x14ac:dyDescent="0.25">
      <c r="A681" s="1">
        <v>45162</v>
      </c>
      <c r="B681" t="s">
        <v>535</v>
      </c>
      <c r="D681" s="2">
        <v>40000</v>
      </c>
      <c r="E681" s="2">
        <v>0</v>
      </c>
      <c r="F681" s="2">
        <v>80002.95</v>
      </c>
      <c r="G681" t="s">
        <v>726</v>
      </c>
      <c r="H681" t="s">
        <v>719</v>
      </c>
      <c r="J681" s="7">
        <f t="shared" si="6"/>
        <v>441270.97000000003</v>
      </c>
    </row>
    <row r="682" spans="1:16" hidden="1" x14ac:dyDescent="0.25">
      <c r="A682" s="1">
        <v>45162</v>
      </c>
      <c r="B682" t="s">
        <v>600</v>
      </c>
      <c r="D682" s="2">
        <v>50000</v>
      </c>
      <c r="E682" s="2">
        <v>0</v>
      </c>
      <c r="F682" s="2">
        <v>30002.95</v>
      </c>
      <c r="G682" t="s">
        <v>728</v>
      </c>
      <c r="H682" t="s">
        <v>719</v>
      </c>
      <c r="J682" s="7">
        <f t="shared" si="6"/>
        <v>0</v>
      </c>
    </row>
    <row r="683" spans="1:16" hidden="1" x14ac:dyDescent="0.25">
      <c r="A683" s="1">
        <v>45162</v>
      </c>
      <c r="B683" t="s">
        <v>472</v>
      </c>
      <c r="D683" s="2">
        <v>346.87</v>
      </c>
      <c r="E683" s="2">
        <v>0</v>
      </c>
      <c r="F683" s="2">
        <v>29656.080000000002</v>
      </c>
      <c r="G683" t="s">
        <v>731</v>
      </c>
      <c r="H683" t="s">
        <v>719</v>
      </c>
      <c r="J683" s="7">
        <f t="shared" si="6"/>
        <v>0</v>
      </c>
    </row>
    <row r="684" spans="1:16" hidden="1" x14ac:dyDescent="0.25">
      <c r="A684" s="1">
        <v>45162</v>
      </c>
      <c r="B684" t="s">
        <v>610</v>
      </c>
      <c r="D684" s="2">
        <v>0</v>
      </c>
      <c r="E684" s="2">
        <v>500000</v>
      </c>
      <c r="F684" s="2">
        <v>529656.07999999996</v>
      </c>
      <c r="G684" t="s">
        <v>724</v>
      </c>
      <c r="H684" t="s">
        <v>719</v>
      </c>
      <c r="J684" s="7">
        <f t="shared" si="6"/>
        <v>0</v>
      </c>
    </row>
    <row r="685" spans="1:16" hidden="1" x14ac:dyDescent="0.25">
      <c r="A685" s="1">
        <v>45162</v>
      </c>
      <c r="B685" t="s">
        <v>611</v>
      </c>
      <c r="D685" s="2">
        <v>100000</v>
      </c>
      <c r="E685" s="2">
        <v>0</v>
      </c>
      <c r="F685" s="2">
        <v>429656.08</v>
      </c>
      <c r="G685" t="s">
        <v>735</v>
      </c>
      <c r="H685" t="s">
        <v>719</v>
      </c>
      <c r="J685" s="7">
        <f t="shared" si="6"/>
        <v>0</v>
      </c>
    </row>
    <row r="686" spans="1:16" hidden="1" x14ac:dyDescent="0.25">
      <c r="A686" s="1">
        <v>45162</v>
      </c>
      <c r="B686" t="s">
        <v>612</v>
      </c>
      <c r="D686" s="2">
        <v>0</v>
      </c>
      <c r="E686" s="2">
        <v>60.5</v>
      </c>
      <c r="F686" s="2">
        <v>429716.58</v>
      </c>
      <c r="G686" t="s">
        <v>736</v>
      </c>
      <c r="H686" t="s">
        <v>719</v>
      </c>
      <c r="J686" s="7">
        <f t="shared" si="6"/>
        <v>0</v>
      </c>
    </row>
    <row r="687" spans="1:16" hidden="1" x14ac:dyDescent="0.25">
      <c r="A687" s="1">
        <v>45162</v>
      </c>
      <c r="B687" t="s">
        <v>472</v>
      </c>
      <c r="D687" s="2">
        <v>8825.35</v>
      </c>
      <c r="E687" s="2">
        <v>0</v>
      </c>
      <c r="F687" s="2">
        <v>420891.23</v>
      </c>
      <c r="G687" t="s">
        <v>731</v>
      </c>
      <c r="H687" t="s">
        <v>719</v>
      </c>
      <c r="J687" s="7">
        <f t="shared" si="6"/>
        <v>0</v>
      </c>
    </row>
    <row r="688" spans="1:16" hidden="1" x14ac:dyDescent="0.25">
      <c r="A688" s="1">
        <v>45162</v>
      </c>
      <c r="B688" t="s">
        <v>613</v>
      </c>
      <c r="D688" s="2">
        <v>100000</v>
      </c>
      <c r="E688" s="2">
        <v>0</v>
      </c>
      <c r="F688" s="2">
        <v>320891.23</v>
      </c>
      <c r="G688" t="s">
        <v>728</v>
      </c>
      <c r="H688" t="s">
        <v>719</v>
      </c>
      <c r="J688" s="7">
        <f t="shared" si="6"/>
        <v>0</v>
      </c>
    </row>
    <row r="689" spans="1:10" hidden="1" x14ac:dyDescent="0.25">
      <c r="A689" s="1">
        <v>45162</v>
      </c>
      <c r="B689" t="s">
        <v>614</v>
      </c>
      <c r="D689" s="2">
        <v>10000</v>
      </c>
      <c r="E689" s="2">
        <v>0</v>
      </c>
      <c r="F689" s="2">
        <v>310891.23</v>
      </c>
      <c r="G689" t="s">
        <v>725</v>
      </c>
      <c r="H689" t="s">
        <v>719</v>
      </c>
      <c r="J689" s="7">
        <f t="shared" si="6"/>
        <v>0</v>
      </c>
    </row>
    <row r="690" spans="1:10" hidden="1" x14ac:dyDescent="0.25">
      <c r="A690" s="1">
        <v>45162</v>
      </c>
      <c r="B690" t="s">
        <v>472</v>
      </c>
      <c r="D690" s="2">
        <v>2435.86</v>
      </c>
      <c r="E690" s="2">
        <v>0</v>
      </c>
      <c r="F690" s="2">
        <v>308455.37</v>
      </c>
      <c r="G690" t="s">
        <v>731</v>
      </c>
      <c r="H690" t="s">
        <v>719</v>
      </c>
      <c r="J690" s="7">
        <f t="shared" si="6"/>
        <v>0</v>
      </c>
    </row>
    <row r="691" spans="1:10" hidden="1" x14ac:dyDescent="0.25">
      <c r="A691" s="1">
        <v>45162</v>
      </c>
      <c r="B691" t="s">
        <v>201</v>
      </c>
      <c r="C691" t="s">
        <v>200</v>
      </c>
      <c r="D691" s="2">
        <v>327.52</v>
      </c>
      <c r="E691" s="2">
        <v>0</v>
      </c>
      <c r="F691" s="2">
        <v>22026</v>
      </c>
      <c r="G691" s="55" t="s">
        <v>1052</v>
      </c>
      <c r="H691" t="s">
        <v>716</v>
      </c>
      <c r="J691" s="7">
        <f t="shared" si="6"/>
        <v>286101.84999999998</v>
      </c>
    </row>
    <row r="692" spans="1:10" hidden="1" x14ac:dyDescent="0.25">
      <c r="A692" s="1">
        <v>45162</v>
      </c>
      <c r="B692" t="s">
        <v>407</v>
      </c>
      <c r="C692" t="s">
        <v>408</v>
      </c>
      <c r="D692" s="2">
        <v>0</v>
      </c>
      <c r="E692" s="2">
        <v>500000</v>
      </c>
      <c r="F692" s="2">
        <v>-798460.37</v>
      </c>
      <c r="G692" t="s">
        <v>724</v>
      </c>
      <c r="H692" t="s">
        <v>718</v>
      </c>
      <c r="J692" s="7">
        <f t="shared" si="6"/>
        <v>1320486.3700000001</v>
      </c>
    </row>
    <row r="693" spans="1:10" hidden="1" x14ac:dyDescent="0.25">
      <c r="A693" s="1">
        <v>45163</v>
      </c>
      <c r="B693" t="s">
        <v>107</v>
      </c>
      <c r="D693" s="2">
        <v>1800</v>
      </c>
      <c r="E693" s="2">
        <v>0</v>
      </c>
      <c r="F693" s="2">
        <v>559473.92000000004</v>
      </c>
      <c r="G693" t="s">
        <v>793</v>
      </c>
      <c r="H693" t="s">
        <v>715</v>
      </c>
      <c r="J693" s="7">
        <f t="shared" si="6"/>
        <v>-1359734.29</v>
      </c>
    </row>
    <row r="694" spans="1:10" hidden="1" x14ac:dyDescent="0.25">
      <c r="A694" s="1">
        <v>45163</v>
      </c>
      <c r="B694" t="s">
        <v>517</v>
      </c>
      <c r="D694" s="2">
        <v>3000</v>
      </c>
      <c r="E694" s="2">
        <v>0</v>
      </c>
      <c r="F694" s="2">
        <v>305455.37</v>
      </c>
      <c r="G694" t="s">
        <v>725</v>
      </c>
      <c r="H694" t="s">
        <v>719</v>
      </c>
      <c r="J694" s="7">
        <f t="shared" si="6"/>
        <v>251018.55000000005</v>
      </c>
    </row>
    <row r="695" spans="1:10" hidden="1" x14ac:dyDescent="0.25">
      <c r="A695" s="1">
        <v>45163</v>
      </c>
      <c r="B695" t="s">
        <v>480</v>
      </c>
      <c r="D695" s="2">
        <v>10000</v>
      </c>
      <c r="E695" s="2">
        <v>0</v>
      </c>
      <c r="F695" s="2">
        <v>295455.37</v>
      </c>
      <c r="G695" t="s">
        <v>725</v>
      </c>
      <c r="H695" t="s">
        <v>719</v>
      </c>
      <c r="J695" s="7">
        <f t="shared" si="6"/>
        <v>0</v>
      </c>
    </row>
    <row r="696" spans="1:10" hidden="1" x14ac:dyDescent="0.25">
      <c r="A696" s="1">
        <v>45163</v>
      </c>
      <c r="B696" t="s">
        <v>480</v>
      </c>
      <c r="D696" s="2">
        <v>10000</v>
      </c>
      <c r="E696" s="2">
        <v>0</v>
      </c>
      <c r="F696" s="2">
        <v>285455.37</v>
      </c>
      <c r="G696" t="s">
        <v>725</v>
      </c>
      <c r="H696" t="s">
        <v>719</v>
      </c>
      <c r="J696" s="7">
        <f t="shared" si="6"/>
        <v>0</v>
      </c>
    </row>
    <row r="697" spans="1:10" hidden="1" x14ac:dyDescent="0.25">
      <c r="A697" s="1">
        <v>45163</v>
      </c>
      <c r="B697" t="s">
        <v>472</v>
      </c>
      <c r="D697" s="2">
        <v>345.67</v>
      </c>
      <c r="E697" s="2">
        <v>0</v>
      </c>
      <c r="F697" s="2">
        <v>285109.7</v>
      </c>
      <c r="G697" t="s">
        <v>731</v>
      </c>
      <c r="H697" t="s">
        <v>719</v>
      </c>
      <c r="J697" s="7">
        <f t="shared" si="6"/>
        <v>0</v>
      </c>
    </row>
    <row r="698" spans="1:10" hidden="1" x14ac:dyDescent="0.25">
      <c r="A698" s="1">
        <v>45163</v>
      </c>
      <c r="B698" t="s">
        <v>472</v>
      </c>
      <c r="D698" s="2">
        <v>14426.53</v>
      </c>
      <c r="E698" s="2">
        <v>0</v>
      </c>
      <c r="F698" s="2">
        <v>270683.17</v>
      </c>
      <c r="G698" t="s">
        <v>731</v>
      </c>
      <c r="H698" t="s">
        <v>719</v>
      </c>
      <c r="J698" s="7">
        <f t="shared" si="6"/>
        <v>0</v>
      </c>
    </row>
    <row r="699" spans="1:10" hidden="1" x14ac:dyDescent="0.25">
      <c r="A699" s="1">
        <v>45163</v>
      </c>
      <c r="B699" t="s">
        <v>472</v>
      </c>
      <c r="D699" s="2">
        <v>14704.48</v>
      </c>
      <c r="E699" s="2">
        <v>0</v>
      </c>
      <c r="F699" s="2">
        <v>255978.69</v>
      </c>
      <c r="G699" t="s">
        <v>731</v>
      </c>
      <c r="H699" t="s">
        <v>719</v>
      </c>
      <c r="J699" s="7">
        <f t="shared" si="6"/>
        <v>0</v>
      </c>
    </row>
    <row r="700" spans="1:10" hidden="1" x14ac:dyDescent="0.25">
      <c r="A700" s="1">
        <v>45163</v>
      </c>
      <c r="B700" t="s">
        <v>234</v>
      </c>
      <c r="C700" t="s">
        <v>262</v>
      </c>
      <c r="D700" s="2">
        <v>0</v>
      </c>
      <c r="E700" s="2">
        <v>10000</v>
      </c>
      <c r="F700" s="2">
        <v>32026</v>
      </c>
      <c r="G700" t="s">
        <v>724</v>
      </c>
      <c r="H700" t="s">
        <v>716</v>
      </c>
      <c r="J700" s="7">
        <f t="shared" si="6"/>
        <v>233952.69</v>
      </c>
    </row>
    <row r="701" spans="1:10" hidden="1" x14ac:dyDescent="0.25">
      <c r="A701" s="1">
        <v>45163</v>
      </c>
      <c r="B701" t="s">
        <v>377</v>
      </c>
      <c r="C701" t="s">
        <v>409</v>
      </c>
      <c r="D701" s="2">
        <v>10000</v>
      </c>
      <c r="E701" s="2">
        <v>0</v>
      </c>
      <c r="F701" s="2">
        <v>-808460.37</v>
      </c>
      <c r="G701" t="s">
        <v>724</v>
      </c>
      <c r="H701" t="s">
        <v>718</v>
      </c>
      <c r="J701" s="7">
        <f t="shared" si="6"/>
        <v>830486.37</v>
      </c>
    </row>
    <row r="702" spans="1:10" hidden="1" x14ac:dyDescent="0.25">
      <c r="A702" s="1">
        <v>45164</v>
      </c>
      <c r="B702" t="s">
        <v>108</v>
      </c>
      <c r="D702" s="2">
        <v>0</v>
      </c>
      <c r="E702" s="2">
        <v>1.61</v>
      </c>
      <c r="F702" s="2">
        <v>559475.53</v>
      </c>
      <c r="G702" s="55" t="s">
        <v>1052</v>
      </c>
      <c r="H702" t="s">
        <v>715</v>
      </c>
      <c r="J702" s="7">
        <f t="shared" si="6"/>
        <v>-1367934.29</v>
      </c>
    </row>
    <row r="703" spans="1:10" hidden="1" x14ac:dyDescent="0.25">
      <c r="A703" s="1">
        <v>45166</v>
      </c>
      <c r="B703" t="s">
        <v>109</v>
      </c>
      <c r="D703" s="2">
        <v>992.81</v>
      </c>
      <c r="E703" s="2">
        <v>0</v>
      </c>
      <c r="F703" s="2">
        <v>558482.72</v>
      </c>
      <c r="G703" s="55" t="s">
        <v>1052</v>
      </c>
      <c r="H703" t="s">
        <v>715</v>
      </c>
      <c r="J703" s="7">
        <f t="shared" si="6"/>
        <v>0</v>
      </c>
    </row>
    <row r="704" spans="1:10" hidden="1" x14ac:dyDescent="0.25">
      <c r="A704" s="1">
        <v>45166</v>
      </c>
      <c r="B704" t="s">
        <v>110</v>
      </c>
      <c r="D704" s="2">
        <v>200000</v>
      </c>
      <c r="E704" s="2">
        <v>0</v>
      </c>
      <c r="F704" s="2">
        <v>358482.72</v>
      </c>
      <c r="G704" t="s">
        <v>724</v>
      </c>
      <c r="H704" t="s">
        <v>715</v>
      </c>
      <c r="J704" s="7">
        <f t="shared" si="6"/>
        <v>0</v>
      </c>
    </row>
    <row r="705" spans="1:10" hidden="1" x14ac:dyDescent="0.25">
      <c r="A705" s="1">
        <v>45166</v>
      </c>
      <c r="B705" t="s">
        <v>51</v>
      </c>
      <c r="D705" s="2">
        <v>25000</v>
      </c>
      <c r="E705" s="2">
        <v>0</v>
      </c>
      <c r="F705" s="2">
        <v>333482.71999999997</v>
      </c>
      <c r="G705" t="s">
        <v>728</v>
      </c>
      <c r="H705" t="s">
        <v>715</v>
      </c>
      <c r="J705" s="7">
        <f t="shared" si="6"/>
        <v>0</v>
      </c>
    </row>
    <row r="706" spans="1:10" hidden="1" x14ac:dyDescent="0.25">
      <c r="A706" s="1">
        <v>45166</v>
      </c>
      <c r="B706" t="s">
        <v>111</v>
      </c>
      <c r="D706" s="2">
        <v>5000</v>
      </c>
      <c r="E706" s="2">
        <v>0</v>
      </c>
      <c r="F706" s="2">
        <v>328482.71999999997</v>
      </c>
      <c r="G706" t="s">
        <v>735</v>
      </c>
      <c r="H706" t="s">
        <v>715</v>
      </c>
      <c r="J706" s="7">
        <f t="shared" si="6"/>
        <v>0</v>
      </c>
    </row>
    <row r="707" spans="1:10" hidden="1" x14ac:dyDescent="0.25">
      <c r="A707" s="1">
        <v>45166</v>
      </c>
      <c r="B707" t="s">
        <v>615</v>
      </c>
      <c r="D707" s="2">
        <v>200000</v>
      </c>
      <c r="E707" s="2">
        <v>0</v>
      </c>
      <c r="F707" s="2">
        <v>55978.69</v>
      </c>
      <c r="G707" t="s">
        <v>728</v>
      </c>
      <c r="H707" t="s">
        <v>719</v>
      </c>
      <c r="J707" s="7">
        <f t="shared" si="6"/>
        <v>72504.02999999997</v>
      </c>
    </row>
    <row r="708" spans="1:10" hidden="1" x14ac:dyDescent="0.25">
      <c r="A708" s="1">
        <v>45166</v>
      </c>
      <c r="B708" t="s">
        <v>480</v>
      </c>
      <c r="D708" s="2">
        <v>3000</v>
      </c>
      <c r="E708" s="2">
        <v>0</v>
      </c>
      <c r="F708" s="2">
        <v>52978.69</v>
      </c>
      <c r="G708" t="s">
        <v>725</v>
      </c>
      <c r="H708" t="s">
        <v>719</v>
      </c>
      <c r="J708" s="7">
        <f t="shared" si="6"/>
        <v>0</v>
      </c>
    </row>
    <row r="709" spans="1:10" hidden="1" x14ac:dyDescent="0.25">
      <c r="A709" s="1">
        <v>45166</v>
      </c>
      <c r="B709" t="s">
        <v>472</v>
      </c>
      <c r="D709" s="2">
        <v>1026.33</v>
      </c>
      <c r="E709" s="2">
        <v>0</v>
      </c>
      <c r="F709" s="2">
        <v>51952.36</v>
      </c>
      <c r="G709" t="s">
        <v>731</v>
      </c>
      <c r="H709" t="s">
        <v>719</v>
      </c>
      <c r="J709" s="7">
        <f t="shared" si="6"/>
        <v>0</v>
      </c>
    </row>
    <row r="710" spans="1:10" hidden="1" x14ac:dyDescent="0.25">
      <c r="A710" s="1">
        <v>45166</v>
      </c>
      <c r="B710" t="s">
        <v>472</v>
      </c>
      <c r="D710" s="2">
        <v>10448.16</v>
      </c>
      <c r="E710" s="2">
        <v>0</v>
      </c>
      <c r="F710" s="2">
        <v>41504.199999999997</v>
      </c>
      <c r="G710" t="s">
        <v>731</v>
      </c>
      <c r="H710" t="s">
        <v>719</v>
      </c>
      <c r="J710" s="7">
        <f t="shared" si="6"/>
        <v>0</v>
      </c>
    </row>
    <row r="711" spans="1:10" hidden="1" x14ac:dyDescent="0.25">
      <c r="A711" s="1">
        <v>45166</v>
      </c>
      <c r="B711" t="s">
        <v>616</v>
      </c>
      <c r="D711" s="2">
        <v>0</v>
      </c>
      <c r="E711" s="2">
        <v>36</v>
      </c>
      <c r="F711" s="2">
        <v>41540.199999999997</v>
      </c>
      <c r="G711" t="s">
        <v>736</v>
      </c>
      <c r="H711" t="s">
        <v>719</v>
      </c>
      <c r="J711" s="7">
        <f t="shared" ref="J711:J774" si="7">F710-D711+E711-F711</f>
        <v>0</v>
      </c>
    </row>
    <row r="712" spans="1:10" hidden="1" x14ac:dyDescent="0.25">
      <c r="A712" s="1">
        <v>45166</v>
      </c>
      <c r="B712" t="s">
        <v>472</v>
      </c>
      <c r="D712" s="2">
        <v>3167.57</v>
      </c>
      <c r="E712" s="2">
        <v>0</v>
      </c>
      <c r="F712" s="2">
        <v>38372.629999999997</v>
      </c>
      <c r="G712" t="s">
        <v>731</v>
      </c>
      <c r="H712" t="s">
        <v>719</v>
      </c>
      <c r="J712" s="7">
        <f t="shared" si="7"/>
        <v>0</v>
      </c>
    </row>
    <row r="713" spans="1:10" hidden="1" x14ac:dyDescent="0.25">
      <c r="A713" s="1">
        <v>45166</v>
      </c>
      <c r="B713" t="s">
        <v>617</v>
      </c>
      <c r="D713" s="2">
        <v>0</v>
      </c>
      <c r="E713" s="2">
        <v>200000</v>
      </c>
      <c r="F713" s="2">
        <v>238372.63</v>
      </c>
      <c r="G713" t="s">
        <v>724</v>
      </c>
      <c r="H713" t="s">
        <v>719</v>
      </c>
      <c r="J713" s="7">
        <f t="shared" si="7"/>
        <v>0</v>
      </c>
    </row>
    <row r="714" spans="1:10" hidden="1" x14ac:dyDescent="0.25">
      <c r="A714" s="1">
        <v>45167</v>
      </c>
      <c r="B714" t="s">
        <v>112</v>
      </c>
      <c r="D714" s="2">
        <v>20</v>
      </c>
      <c r="E714" s="2">
        <v>0</v>
      </c>
      <c r="F714" s="2">
        <v>328462.71999999997</v>
      </c>
      <c r="G714" t="s">
        <v>792</v>
      </c>
      <c r="H714" t="s">
        <v>715</v>
      </c>
      <c r="J714" s="7">
        <f t="shared" si="7"/>
        <v>-90110.089999999967</v>
      </c>
    </row>
    <row r="715" spans="1:10" hidden="1" x14ac:dyDescent="0.25">
      <c r="A715" s="1">
        <v>45167</v>
      </c>
      <c r="B715" t="s">
        <v>113</v>
      </c>
      <c r="D715" s="2">
        <v>609.84</v>
      </c>
      <c r="E715" s="2">
        <v>0</v>
      </c>
      <c r="F715" s="2">
        <v>327852.88</v>
      </c>
      <c r="G715" t="s">
        <v>792</v>
      </c>
      <c r="H715" t="s">
        <v>715</v>
      </c>
      <c r="J715" s="7">
        <f t="shared" si="7"/>
        <v>0</v>
      </c>
    </row>
    <row r="716" spans="1:10" hidden="1" x14ac:dyDescent="0.25">
      <c r="A716" s="1">
        <v>45167</v>
      </c>
      <c r="B716" t="s">
        <v>472</v>
      </c>
      <c r="D716" s="2">
        <v>362.29</v>
      </c>
      <c r="E716" s="2">
        <v>0</v>
      </c>
      <c r="F716" s="2">
        <v>238010.34</v>
      </c>
      <c r="G716" t="s">
        <v>731</v>
      </c>
      <c r="H716" t="s">
        <v>719</v>
      </c>
      <c r="J716" s="7">
        <f t="shared" si="7"/>
        <v>89480.250000000029</v>
      </c>
    </row>
    <row r="717" spans="1:10" hidden="1" x14ac:dyDescent="0.25">
      <c r="A717" s="1">
        <v>45167</v>
      </c>
      <c r="B717" t="s">
        <v>472</v>
      </c>
      <c r="D717" s="2">
        <v>7009.73</v>
      </c>
      <c r="E717" s="2">
        <v>0</v>
      </c>
      <c r="F717" s="2">
        <v>231000.61</v>
      </c>
      <c r="G717" t="s">
        <v>731</v>
      </c>
      <c r="H717" t="s">
        <v>719</v>
      </c>
      <c r="J717" s="7">
        <f t="shared" si="7"/>
        <v>0</v>
      </c>
    </row>
    <row r="718" spans="1:10" hidden="1" x14ac:dyDescent="0.25">
      <c r="A718" s="1">
        <v>45167</v>
      </c>
      <c r="B718" t="s">
        <v>472</v>
      </c>
      <c r="D718" s="2">
        <v>5380.03</v>
      </c>
      <c r="E718" s="2">
        <v>0</v>
      </c>
      <c r="F718" s="2">
        <v>225620.58</v>
      </c>
      <c r="G718" t="s">
        <v>731</v>
      </c>
      <c r="H718" t="s">
        <v>719</v>
      </c>
      <c r="J718" s="7">
        <f t="shared" si="7"/>
        <v>0</v>
      </c>
    </row>
    <row r="719" spans="1:10" hidden="1" x14ac:dyDescent="0.25">
      <c r="A719" s="1">
        <v>45167</v>
      </c>
      <c r="B719" t="s">
        <v>183</v>
      </c>
      <c r="C719" t="s">
        <v>261</v>
      </c>
      <c r="D719" s="2">
        <v>0</v>
      </c>
      <c r="E719" s="2">
        <v>195190.1</v>
      </c>
      <c r="F719" s="2">
        <v>227216.1</v>
      </c>
      <c r="G719" s="55" t="s">
        <v>1052</v>
      </c>
      <c r="H719" t="s">
        <v>716</v>
      </c>
      <c r="J719" s="7">
        <f t="shared" si="7"/>
        <v>193594.58</v>
      </c>
    </row>
    <row r="720" spans="1:10" hidden="1" x14ac:dyDescent="0.25">
      <c r="A720" s="1">
        <v>45168</v>
      </c>
      <c r="B720" t="s">
        <v>114</v>
      </c>
      <c r="D720" s="2">
        <v>20000</v>
      </c>
      <c r="E720" s="2">
        <v>0</v>
      </c>
      <c r="F720" s="2">
        <v>307852.88</v>
      </c>
      <c r="G720" t="s">
        <v>734</v>
      </c>
      <c r="H720" t="s">
        <v>715</v>
      </c>
      <c r="J720" s="7">
        <f t="shared" si="7"/>
        <v>-100636.78</v>
      </c>
    </row>
    <row r="721" spans="1:10" hidden="1" x14ac:dyDescent="0.25">
      <c r="A721" s="1">
        <v>45168</v>
      </c>
      <c r="B721" t="s">
        <v>115</v>
      </c>
      <c r="D721" s="2">
        <v>150000</v>
      </c>
      <c r="E721" s="2">
        <v>0</v>
      </c>
      <c r="F721" s="2">
        <v>157852.88</v>
      </c>
      <c r="G721" t="s">
        <v>724</v>
      </c>
      <c r="H721" t="s">
        <v>715</v>
      </c>
      <c r="J721" s="7">
        <f t="shared" si="7"/>
        <v>0</v>
      </c>
    </row>
    <row r="722" spans="1:10" hidden="1" x14ac:dyDescent="0.25">
      <c r="A722" s="1">
        <v>45168</v>
      </c>
      <c r="B722" t="s">
        <v>116</v>
      </c>
      <c r="D722" s="2">
        <v>1080</v>
      </c>
      <c r="E722" s="2">
        <v>0</v>
      </c>
      <c r="F722" s="2">
        <v>156772.88</v>
      </c>
      <c r="G722" t="s">
        <v>792</v>
      </c>
      <c r="H722" t="s">
        <v>715</v>
      </c>
      <c r="J722" s="7">
        <f t="shared" si="7"/>
        <v>0</v>
      </c>
    </row>
    <row r="723" spans="1:10" hidden="1" x14ac:dyDescent="0.25">
      <c r="A723" s="1">
        <v>45168</v>
      </c>
      <c r="B723" t="s">
        <v>618</v>
      </c>
      <c r="D723" s="2">
        <v>0</v>
      </c>
      <c r="E723" s="2">
        <v>1392.78</v>
      </c>
      <c r="F723" s="2">
        <v>227013.36</v>
      </c>
      <c r="G723" t="s">
        <v>731</v>
      </c>
      <c r="H723" t="s">
        <v>719</v>
      </c>
      <c r="J723" s="7">
        <f t="shared" si="7"/>
        <v>-68847.699999999983</v>
      </c>
    </row>
    <row r="724" spans="1:10" hidden="1" x14ac:dyDescent="0.25">
      <c r="A724" s="1">
        <v>45168</v>
      </c>
      <c r="B724" t="s">
        <v>472</v>
      </c>
      <c r="D724" s="2">
        <v>365.04</v>
      </c>
      <c r="E724" s="2">
        <v>0</v>
      </c>
      <c r="F724" s="2">
        <v>226648.32000000001</v>
      </c>
      <c r="G724" t="s">
        <v>731</v>
      </c>
      <c r="H724" t="s">
        <v>719</v>
      </c>
      <c r="J724" s="7">
        <f t="shared" si="7"/>
        <v>0</v>
      </c>
    </row>
    <row r="725" spans="1:10" hidden="1" x14ac:dyDescent="0.25">
      <c r="A725" s="1">
        <v>45168</v>
      </c>
      <c r="B725" t="s">
        <v>619</v>
      </c>
      <c r="D725" s="2">
        <v>0</v>
      </c>
      <c r="E725" s="2">
        <v>584.66</v>
      </c>
      <c r="F725" s="2">
        <v>227232.98</v>
      </c>
      <c r="G725" t="s">
        <v>732</v>
      </c>
      <c r="H725" t="s">
        <v>719</v>
      </c>
      <c r="J725" s="7">
        <f t="shared" si="7"/>
        <v>0</v>
      </c>
    </row>
    <row r="726" spans="1:10" hidden="1" x14ac:dyDescent="0.25">
      <c r="A726" s="1">
        <v>45168</v>
      </c>
      <c r="B726" t="s">
        <v>620</v>
      </c>
      <c r="D726" s="2">
        <v>150000</v>
      </c>
      <c r="E726" s="2">
        <v>0</v>
      </c>
      <c r="F726" s="2">
        <v>77232.98</v>
      </c>
      <c r="G726" t="s">
        <v>726</v>
      </c>
      <c r="H726" t="s">
        <v>719</v>
      </c>
      <c r="J726" s="7">
        <f t="shared" si="7"/>
        <v>0</v>
      </c>
    </row>
    <row r="727" spans="1:10" hidden="1" x14ac:dyDescent="0.25">
      <c r="A727" s="1">
        <v>45168</v>
      </c>
      <c r="B727" t="s">
        <v>613</v>
      </c>
      <c r="D727" s="2">
        <v>50000</v>
      </c>
      <c r="E727" s="2">
        <v>0</v>
      </c>
      <c r="F727" s="2">
        <v>27232.98</v>
      </c>
      <c r="G727" t="s">
        <v>728</v>
      </c>
      <c r="H727" t="s">
        <v>719</v>
      </c>
      <c r="J727" s="7">
        <f t="shared" si="7"/>
        <v>0</v>
      </c>
    </row>
    <row r="728" spans="1:10" hidden="1" x14ac:dyDescent="0.25">
      <c r="A728" s="1">
        <v>45168</v>
      </c>
      <c r="B728" t="s">
        <v>621</v>
      </c>
      <c r="D728" s="2">
        <v>0</v>
      </c>
      <c r="E728" s="2">
        <v>150000</v>
      </c>
      <c r="F728" s="2">
        <v>177232.98</v>
      </c>
      <c r="G728" t="s">
        <v>724</v>
      </c>
      <c r="H728" t="s">
        <v>719</v>
      </c>
      <c r="J728" s="7">
        <f t="shared" si="7"/>
        <v>0</v>
      </c>
    </row>
    <row r="729" spans="1:10" hidden="1" x14ac:dyDescent="0.25">
      <c r="A729" s="1">
        <v>45168</v>
      </c>
      <c r="B729" t="s">
        <v>622</v>
      </c>
      <c r="D729" s="2">
        <v>100000</v>
      </c>
      <c r="E729" s="2">
        <v>0</v>
      </c>
      <c r="F729" s="2">
        <v>77232.98</v>
      </c>
      <c r="G729" t="s">
        <v>735</v>
      </c>
      <c r="H729" t="s">
        <v>719</v>
      </c>
      <c r="J729" s="7">
        <f t="shared" si="7"/>
        <v>0</v>
      </c>
    </row>
    <row r="730" spans="1:10" hidden="1" x14ac:dyDescent="0.25">
      <c r="A730" s="1">
        <v>45168</v>
      </c>
      <c r="B730" t="s">
        <v>472</v>
      </c>
      <c r="D730" s="2">
        <v>16498.04</v>
      </c>
      <c r="E730" s="2">
        <v>0</v>
      </c>
      <c r="F730" s="2">
        <v>60734.94</v>
      </c>
      <c r="G730" t="s">
        <v>731</v>
      </c>
      <c r="H730" t="s">
        <v>719</v>
      </c>
      <c r="J730" s="7">
        <f t="shared" si="7"/>
        <v>0</v>
      </c>
    </row>
    <row r="731" spans="1:10" hidden="1" x14ac:dyDescent="0.25">
      <c r="A731" s="1">
        <v>45169</v>
      </c>
      <c r="B731" t="s">
        <v>472</v>
      </c>
      <c r="D731" s="2">
        <v>368.67</v>
      </c>
      <c r="E731" s="2">
        <v>0</v>
      </c>
      <c r="F731" s="2">
        <v>60366.27</v>
      </c>
      <c r="G731" t="s">
        <v>731</v>
      </c>
      <c r="H731" t="s">
        <v>719</v>
      </c>
      <c r="J731" s="7">
        <f t="shared" si="7"/>
        <v>0</v>
      </c>
    </row>
    <row r="732" spans="1:10" hidden="1" x14ac:dyDescent="0.25">
      <c r="A732" s="1">
        <v>45169</v>
      </c>
      <c r="B732" t="s">
        <v>380</v>
      </c>
      <c r="C732">
        <v>0</v>
      </c>
      <c r="D732" s="2">
        <v>9201</v>
      </c>
      <c r="E732" s="2">
        <v>0</v>
      </c>
      <c r="F732" s="2">
        <v>-817661.37</v>
      </c>
      <c r="G732" t="s">
        <v>790</v>
      </c>
      <c r="H732" t="s">
        <v>718</v>
      </c>
      <c r="J732" s="7">
        <f t="shared" si="7"/>
        <v>868826.64</v>
      </c>
    </row>
    <row r="733" spans="1:10" hidden="1" x14ac:dyDescent="0.25">
      <c r="A733" s="1">
        <v>45170</v>
      </c>
      <c r="B733" t="s">
        <v>117</v>
      </c>
      <c r="D733" s="2">
        <v>3850</v>
      </c>
      <c r="E733" s="2">
        <v>0</v>
      </c>
      <c r="F733" s="2">
        <v>152922.88</v>
      </c>
      <c r="G733" t="s">
        <v>792</v>
      </c>
      <c r="H733" t="s">
        <v>715</v>
      </c>
      <c r="J733" s="7">
        <f t="shared" si="7"/>
        <v>-974434.25</v>
      </c>
    </row>
    <row r="734" spans="1:10" hidden="1" x14ac:dyDescent="0.25">
      <c r="A734" s="1">
        <v>45170</v>
      </c>
      <c r="B734" t="s">
        <v>618</v>
      </c>
      <c r="D734" s="2">
        <v>0</v>
      </c>
      <c r="E734" s="2">
        <v>424.61</v>
      </c>
      <c r="F734" s="2">
        <v>60790.879999999997</v>
      </c>
      <c r="G734" t="s">
        <v>731</v>
      </c>
      <c r="H734" t="s">
        <v>719</v>
      </c>
      <c r="J734" s="7">
        <f t="shared" si="7"/>
        <v>92556.609999999986</v>
      </c>
    </row>
    <row r="735" spans="1:10" hidden="1" x14ac:dyDescent="0.25">
      <c r="A735" s="1">
        <v>45170</v>
      </c>
      <c r="B735" t="s">
        <v>472</v>
      </c>
      <c r="D735" s="2">
        <v>368.67</v>
      </c>
      <c r="E735" s="2">
        <v>0</v>
      </c>
      <c r="F735" s="2">
        <v>60422.21</v>
      </c>
      <c r="G735" t="s">
        <v>731</v>
      </c>
      <c r="H735" t="s">
        <v>719</v>
      </c>
      <c r="J735" s="7">
        <f t="shared" si="7"/>
        <v>0</v>
      </c>
    </row>
    <row r="736" spans="1:10" hidden="1" x14ac:dyDescent="0.25">
      <c r="A736" s="1">
        <v>45170</v>
      </c>
      <c r="B736" t="s">
        <v>623</v>
      </c>
      <c r="D736" s="2">
        <v>0</v>
      </c>
      <c r="E736" s="2">
        <v>800</v>
      </c>
      <c r="F736" s="2">
        <v>61222.21</v>
      </c>
      <c r="G736" t="s">
        <v>736</v>
      </c>
      <c r="H736" t="s">
        <v>719</v>
      </c>
      <c r="J736" s="7">
        <f t="shared" si="7"/>
        <v>0</v>
      </c>
    </row>
    <row r="737" spans="1:10" hidden="1" x14ac:dyDescent="0.25">
      <c r="A737" s="1">
        <v>45170</v>
      </c>
      <c r="B737" t="s">
        <v>624</v>
      </c>
      <c r="D737" s="2">
        <v>0</v>
      </c>
      <c r="E737" s="2">
        <v>4</v>
      </c>
      <c r="F737" s="2">
        <v>61226.21</v>
      </c>
      <c r="G737" t="s">
        <v>736</v>
      </c>
      <c r="H737" t="s">
        <v>719</v>
      </c>
      <c r="J737" s="7">
        <f t="shared" si="7"/>
        <v>0</v>
      </c>
    </row>
    <row r="738" spans="1:10" hidden="1" x14ac:dyDescent="0.25">
      <c r="A738" s="1">
        <v>45170</v>
      </c>
      <c r="B738" t="s">
        <v>625</v>
      </c>
      <c r="D738" s="2">
        <v>1500</v>
      </c>
      <c r="E738" s="2">
        <v>0</v>
      </c>
      <c r="F738" s="2">
        <v>59726.21</v>
      </c>
      <c r="G738" t="s">
        <v>725</v>
      </c>
      <c r="H738" t="s">
        <v>719</v>
      </c>
      <c r="J738" s="7">
        <f t="shared" si="7"/>
        <v>0</v>
      </c>
    </row>
    <row r="739" spans="1:10" hidden="1" x14ac:dyDescent="0.25">
      <c r="A739" s="1">
        <v>45170</v>
      </c>
      <c r="B739" t="s">
        <v>626</v>
      </c>
      <c r="D739" s="2">
        <v>2000</v>
      </c>
      <c r="E739" s="2">
        <v>0</v>
      </c>
      <c r="F739" s="2">
        <v>57726.21</v>
      </c>
      <c r="G739" t="s">
        <v>725</v>
      </c>
      <c r="H739" t="s">
        <v>719</v>
      </c>
      <c r="J739" s="7">
        <f t="shared" si="7"/>
        <v>0</v>
      </c>
    </row>
    <row r="740" spans="1:10" hidden="1" x14ac:dyDescent="0.25">
      <c r="A740" s="1">
        <v>45170</v>
      </c>
      <c r="B740" t="s">
        <v>627</v>
      </c>
      <c r="D740" s="2">
        <v>2000</v>
      </c>
      <c r="E740" s="2">
        <v>0</v>
      </c>
      <c r="F740" s="2">
        <v>55726.21</v>
      </c>
      <c r="G740" t="s">
        <v>725</v>
      </c>
      <c r="H740" t="s">
        <v>719</v>
      </c>
      <c r="J740" s="7">
        <f t="shared" si="7"/>
        <v>0</v>
      </c>
    </row>
    <row r="741" spans="1:10" hidden="1" x14ac:dyDescent="0.25">
      <c r="A741" s="1">
        <v>45170</v>
      </c>
      <c r="B741" t="s">
        <v>628</v>
      </c>
      <c r="D741" s="2">
        <v>0</v>
      </c>
      <c r="E741" s="2">
        <v>138.25</v>
      </c>
      <c r="F741" s="2">
        <v>55864.46</v>
      </c>
      <c r="G741" t="s">
        <v>736</v>
      </c>
      <c r="H741" t="s">
        <v>719</v>
      </c>
      <c r="J741" s="7">
        <f t="shared" si="7"/>
        <v>0</v>
      </c>
    </row>
    <row r="742" spans="1:10" hidden="1" x14ac:dyDescent="0.25">
      <c r="A742" s="1">
        <v>45170</v>
      </c>
      <c r="B742" t="s">
        <v>618</v>
      </c>
      <c r="D742" s="2">
        <v>0</v>
      </c>
      <c r="E742" s="2">
        <v>4910.1899999999996</v>
      </c>
      <c r="F742" s="2">
        <v>60774.65</v>
      </c>
      <c r="G742" t="s">
        <v>731</v>
      </c>
      <c r="H742" t="s">
        <v>719</v>
      </c>
      <c r="J742" s="7">
        <f t="shared" si="7"/>
        <v>0</v>
      </c>
    </row>
    <row r="743" spans="1:10" hidden="1" x14ac:dyDescent="0.25">
      <c r="A743" s="1">
        <v>45170</v>
      </c>
      <c r="B743" t="s">
        <v>183</v>
      </c>
      <c r="C743" t="s">
        <v>260</v>
      </c>
      <c r="D743" s="2">
        <v>0</v>
      </c>
      <c r="E743" s="2">
        <v>194689.11</v>
      </c>
      <c r="F743" s="2">
        <v>421905.21</v>
      </c>
      <c r="G743" s="55" t="s">
        <v>1052</v>
      </c>
      <c r="H743" t="s">
        <v>716</v>
      </c>
      <c r="J743" s="7">
        <f t="shared" si="7"/>
        <v>-166441.45000000004</v>
      </c>
    </row>
    <row r="744" spans="1:10" hidden="1" x14ac:dyDescent="0.25">
      <c r="A744" s="1">
        <v>45170</v>
      </c>
      <c r="B744" t="s">
        <v>197</v>
      </c>
      <c r="C744" t="s">
        <v>259</v>
      </c>
      <c r="D744" s="2">
        <v>200000</v>
      </c>
      <c r="E744" s="2">
        <v>0</v>
      </c>
      <c r="F744" s="2">
        <v>221905.21</v>
      </c>
      <c r="G744" t="s">
        <v>724</v>
      </c>
      <c r="H744" t="s">
        <v>716</v>
      </c>
      <c r="J744" s="7">
        <f t="shared" si="7"/>
        <v>0</v>
      </c>
    </row>
    <row r="745" spans="1:10" hidden="1" x14ac:dyDescent="0.25">
      <c r="A745" s="1">
        <v>45170</v>
      </c>
      <c r="B745" t="s">
        <v>181</v>
      </c>
      <c r="C745" t="s">
        <v>410</v>
      </c>
      <c r="D745" s="2">
        <v>0</v>
      </c>
      <c r="E745" s="2">
        <v>200000</v>
      </c>
      <c r="F745" s="2">
        <v>-617661.37</v>
      </c>
      <c r="G745" t="s">
        <v>724</v>
      </c>
      <c r="H745" t="s">
        <v>718</v>
      </c>
      <c r="J745" s="7">
        <f t="shared" si="7"/>
        <v>1039566.58</v>
      </c>
    </row>
    <row r="746" spans="1:10" hidden="1" x14ac:dyDescent="0.25">
      <c r="A746" s="1">
        <v>45171</v>
      </c>
      <c r="B746" t="s">
        <v>214</v>
      </c>
      <c r="C746" t="s">
        <v>206</v>
      </c>
      <c r="D746" s="2">
        <v>26595</v>
      </c>
      <c r="E746" s="2">
        <v>0</v>
      </c>
      <c r="F746" s="2">
        <v>195310.21</v>
      </c>
      <c r="G746" t="s">
        <v>724</v>
      </c>
      <c r="H746" t="s">
        <v>716</v>
      </c>
      <c r="J746" s="7">
        <f t="shared" si="7"/>
        <v>-839566.58</v>
      </c>
    </row>
    <row r="747" spans="1:10" hidden="1" x14ac:dyDescent="0.25">
      <c r="A747" s="1">
        <v>45171</v>
      </c>
      <c r="B747" t="s">
        <v>371</v>
      </c>
      <c r="C747" t="s">
        <v>372</v>
      </c>
      <c r="D747" s="2">
        <v>0</v>
      </c>
      <c r="E747" s="2">
        <v>26595</v>
      </c>
      <c r="F747" s="2">
        <v>-591066.37</v>
      </c>
      <c r="G747" t="s">
        <v>724</v>
      </c>
      <c r="H747" t="s">
        <v>718</v>
      </c>
      <c r="J747" s="7">
        <f t="shared" si="7"/>
        <v>812971.58</v>
      </c>
    </row>
    <row r="748" spans="1:10" hidden="1" x14ac:dyDescent="0.25">
      <c r="A748" s="1">
        <v>45173</v>
      </c>
      <c r="B748" t="s">
        <v>118</v>
      </c>
      <c r="D748" s="2">
        <v>2400.84</v>
      </c>
      <c r="E748" s="2">
        <v>0</v>
      </c>
      <c r="F748" s="2">
        <v>150522.04</v>
      </c>
      <c r="G748" t="s">
        <v>792</v>
      </c>
      <c r="H748" t="s">
        <v>715</v>
      </c>
      <c r="J748" s="7">
        <f t="shared" si="7"/>
        <v>-743989.25</v>
      </c>
    </row>
    <row r="749" spans="1:10" hidden="1" x14ac:dyDescent="0.25">
      <c r="A749" s="1">
        <v>45173</v>
      </c>
      <c r="B749" t="s">
        <v>618</v>
      </c>
      <c r="D749" s="2">
        <v>0</v>
      </c>
      <c r="E749" s="2">
        <v>988.65</v>
      </c>
      <c r="F749" s="2">
        <v>61763.3</v>
      </c>
      <c r="G749" t="s">
        <v>731</v>
      </c>
      <c r="H749" t="s">
        <v>719</v>
      </c>
      <c r="J749" s="7">
        <f t="shared" si="7"/>
        <v>89747.39</v>
      </c>
    </row>
    <row r="750" spans="1:10" hidden="1" x14ac:dyDescent="0.25">
      <c r="A750" s="1">
        <v>45173</v>
      </c>
      <c r="B750" t="s">
        <v>618</v>
      </c>
      <c r="D750" s="2">
        <v>0</v>
      </c>
      <c r="E750" s="2">
        <v>2737.85</v>
      </c>
      <c r="F750" s="2">
        <v>64501.15</v>
      </c>
      <c r="G750" t="s">
        <v>731</v>
      </c>
      <c r="H750" t="s">
        <v>719</v>
      </c>
      <c r="J750" s="7">
        <f t="shared" si="7"/>
        <v>0</v>
      </c>
    </row>
    <row r="751" spans="1:10" hidden="1" x14ac:dyDescent="0.25">
      <c r="A751" s="1">
        <v>45173</v>
      </c>
      <c r="B751" t="s">
        <v>472</v>
      </c>
      <c r="D751" s="2">
        <v>1113.9000000000001</v>
      </c>
      <c r="E751" s="2">
        <v>0</v>
      </c>
      <c r="F751" s="2">
        <v>63387.25</v>
      </c>
      <c r="G751" t="s">
        <v>731</v>
      </c>
      <c r="H751" t="s">
        <v>719</v>
      </c>
      <c r="J751" s="7">
        <f t="shared" si="7"/>
        <v>0</v>
      </c>
    </row>
    <row r="752" spans="1:10" hidden="1" x14ac:dyDescent="0.25">
      <c r="A752" s="1">
        <v>45173</v>
      </c>
      <c r="B752" t="s">
        <v>629</v>
      </c>
      <c r="D752" s="2">
        <v>0</v>
      </c>
      <c r="E752" s="2">
        <v>2400</v>
      </c>
      <c r="F752" s="2">
        <v>65787.25</v>
      </c>
      <c r="G752" t="s">
        <v>736</v>
      </c>
      <c r="H752" t="s">
        <v>719</v>
      </c>
      <c r="J752" s="7">
        <f t="shared" si="7"/>
        <v>0</v>
      </c>
    </row>
    <row r="753" spans="1:10" hidden="1" x14ac:dyDescent="0.25">
      <c r="A753" s="1">
        <v>45174</v>
      </c>
      <c r="B753" t="s">
        <v>618</v>
      </c>
      <c r="D753" s="2">
        <v>0</v>
      </c>
      <c r="E753" s="2">
        <v>4111.45</v>
      </c>
      <c r="F753" s="2">
        <v>69898.7</v>
      </c>
      <c r="G753" t="s">
        <v>731</v>
      </c>
      <c r="H753" t="s">
        <v>719</v>
      </c>
      <c r="J753" s="7">
        <f t="shared" si="7"/>
        <v>0</v>
      </c>
    </row>
    <row r="754" spans="1:10" hidden="1" x14ac:dyDescent="0.25">
      <c r="A754" s="1">
        <v>45174</v>
      </c>
      <c r="B754" t="s">
        <v>480</v>
      </c>
      <c r="D754" s="2">
        <v>3000</v>
      </c>
      <c r="E754" s="2">
        <v>0</v>
      </c>
      <c r="F754" s="2">
        <v>66898.7</v>
      </c>
      <c r="G754" t="s">
        <v>725</v>
      </c>
      <c r="H754" t="s">
        <v>719</v>
      </c>
      <c r="J754" s="7">
        <f t="shared" si="7"/>
        <v>0</v>
      </c>
    </row>
    <row r="755" spans="1:10" hidden="1" x14ac:dyDescent="0.25">
      <c r="A755" s="1">
        <v>45174</v>
      </c>
      <c r="B755" t="s">
        <v>472</v>
      </c>
      <c r="D755" s="2">
        <v>364.85</v>
      </c>
      <c r="E755" s="2">
        <v>0</v>
      </c>
      <c r="F755" s="2">
        <v>66533.850000000006</v>
      </c>
      <c r="G755" t="s">
        <v>731</v>
      </c>
      <c r="H755" t="s">
        <v>719</v>
      </c>
      <c r="J755" s="7">
        <f t="shared" si="7"/>
        <v>0</v>
      </c>
    </row>
    <row r="756" spans="1:10" hidden="1" x14ac:dyDescent="0.25">
      <c r="A756" s="1">
        <v>45175</v>
      </c>
      <c r="B756" t="s">
        <v>618</v>
      </c>
      <c r="D756" s="2">
        <v>0</v>
      </c>
      <c r="E756" s="2">
        <v>2744.47</v>
      </c>
      <c r="F756" s="2">
        <v>69278.320000000007</v>
      </c>
      <c r="G756" t="s">
        <v>731</v>
      </c>
      <c r="H756" t="s">
        <v>719</v>
      </c>
      <c r="J756" s="7">
        <f t="shared" si="7"/>
        <v>0</v>
      </c>
    </row>
    <row r="757" spans="1:10" hidden="1" x14ac:dyDescent="0.25">
      <c r="A757" s="1">
        <v>45175</v>
      </c>
      <c r="B757" t="s">
        <v>618</v>
      </c>
      <c r="D757" s="2">
        <v>0</v>
      </c>
      <c r="E757" s="2">
        <v>622.32000000000005</v>
      </c>
      <c r="F757" s="2">
        <v>69900.639999999999</v>
      </c>
      <c r="G757" t="s">
        <v>731</v>
      </c>
      <c r="H757" t="s">
        <v>719</v>
      </c>
      <c r="J757" s="7">
        <f t="shared" si="7"/>
        <v>0</v>
      </c>
    </row>
    <row r="758" spans="1:10" hidden="1" x14ac:dyDescent="0.25">
      <c r="A758" s="1">
        <v>45175</v>
      </c>
      <c r="B758" t="s">
        <v>472</v>
      </c>
      <c r="D758" s="2">
        <v>361.59</v>
      </c>
      <c r="E758" s="2">
        <v>0</v>
      </c>
      <c r="F758" s="2">
        <v>69539.05</v>
      </c>
      <c r="G758" t="s">
        <v>731</v>
      </c>
      <c r="H758" t="s">
        <v>719</v>
      </c>
      <c r="J758" s="7">
        <f t="shared" si="7"/>
        <v>0</v>
      </c>
    </row>
    <row r="759" spans="1:10" hidden="1" x14ac:dyDescent="0.25">
      <c r="A759" s="1">
        <v>45175</v>
      </c>
      <c r="B759" t="s">
        <v>472</v>
      </c>
      <c r="D759" s="2">
        <v>18047.66</v>
      </c>
      <c r="E759" s="2">
        <v>0</v>
      </c>
      <c r="F759" s="2">
        <v>51491.39</v>
      </c>
      <c r="G759" t="s">
        <v>731</v>
      </c>
      <c r="H759" t="s">
        <v>719</v>
      </c>
      <c r="J759" s="7">
        <f t="shared" si="7"/>
        <v>0</v>
      </c>
    </row>
    <row r="760" spans="1:10" hidden="1" x14ac:dyDescent="0.25">
      <c r="A760" s="1">
        <v>45176</v>
      </c>
      <c r="B760" t="s">
        <v>25</v>
      </c>
      <c r="D760" s="2">
        <v>68959.710000000006</v>
      </c>
      <c r="E760" s="2">
        <v>0</v>
      </c>
      <c r="F760" s="2">
        <v>81562.33</v>
      </c>
      <c r="G760" t="s">
        <v>794</v>
      </c>
      <c r="H760" t="s">
        <v>715</v>
      </c>
      <c r="J760" s="7">
        <f t="shared" si="7"/>
        <v>-99030.650000000009</v>
      </c>
    </row>
    <row r="761" spans="1:10" hidden="1" x14ac:dyDescent="0.25">
      <c r="A761" s="1">
        <v>45176</v>
      </c>
      <c r="B761" t="s">
        <v>472</v>
      </c>
      <c r="D761" s="2">
        <v>354.04</v>
      </c>
      <c r="E761" s="2">
        <v>0</v>
      </c>
      <c r="F761" s="2">
        <v>51137.35</v>
      </c>
      <c r="G761" t="s">
        <v>731</v>
      </c>
      <c r="H761" t="s">
        <v>719</v>
      </c>
      <c r="J761" s="7">
        <f t="shared" si="7"/>
        <v>30070.94000000001</v>
      </c>
    </row>
    <row r="762" spans="1:10" hidden="1" x14ac:dyDescent="0.25">
      <c r="A762" s="1">
        <v>45176</v>
      </c>
      <c r="B762" t="s">
        <v>630</v>
      </c>
      <c r="D762" s="2">
        <v>0</v>
      </c>
      <c r="E762" s="2">
        <v>591.5</v>
      </c>
      <c r="F762" s="2">
        <v>51728.85</v>
      </c>
      <c r="G762" t="s">
        <v>732</v>
      </c>
      <c r="H762" t="s">
        <v>719</v>
      </c>
      <c r="J762" s="7">
        <f t="shared" si="7"/>
        <v>0</v>
      </c>
    </row>
    <row r="763" spans="1:10" hidden="1" x14ac:dyDescent="0.25">
      <c r="A763" s="1">
        <v>45176</v>
      </c>
      <c r="B763" t="s">
        <v>472</v>
      </c>
      <c r="D763" s="2">
        <v>9266.2000000000007</v>
      </c>
      <c r="E763" s="2">
        <v>0</v>
      </c>
      <c r="F763" s="2">
        <v>42462.65</v>
      </c>
      <c r="G763" t="s">
        <v>731</v>
      </c>
      <c r="H763" t="s">
        <v>719</v>
      </c>
      <c r="J763" s="7">
        <f t="shared" si="7"/>
        <v>0</v>
      </c>
    </row>
    <row r="764" spans="1:10" hidden="1" x14ac:dyDescent="0.25">
      <c r="A764" s="1">
        <v>45176</v>
      </c>
      <c r="B764" t="s">
        <v>258</v>
      </c>
      <c r="C764" t="s">
        <v>188</v>
      </c>
      <c r="D764" s="2">
        <v>14994</v>
      </c>
      <c r="E764" s="2">
        <v>0</v>
      </c>
      <c r="F764" s="2">
        <v>180316.21</v>
      </c>
      <c r="G764" t="s">
        <v>791</v>
      </c>
      <c r="H764" t="s">
        <v>716</v>
      </c>
      <c r="J764" s="7">
        <f t="shared" si="7"/>
        <v>-152847.56</v>
      </c>
    </row>
    <row r="765" spans="1:10" hidden="1" x14ac:dyDescent="0.25">
      <c r="A765" s="1">
        <v>45176</v>
      </c>
      <c r="B765" t="s">
        <v>183</v>
      </c>
      <c r="C765" t="s">
        <v>257</v>
      </c>
      <c r="D765" s="2">
        <v>0</v>
      </c>
      <c r="E765" s="2">
        <v>10908.04</v>
      </c>
      <c r="F765" s="2">
        <v>191224.25</v>
      </c>
      <c r="G765" s="55" t="s">
        <v>1052</v>
      </c>
      <c r="H765" t="s">
        <v>716</v>
      </c>
      <c r="J765" s="7">
        <f t="shared" si="7"/>
        <v>0</v>
      </c>
    </row>
    <row r="766" spans="1:10" hidden="1" x14ac:dyDescent="0.25">
      <c r="A766" s="1">
        <v>45177</v>
      </c>
      <c r="B766" t="s">
        <v>618</v>
      </c>
      <c r="D766" s="2">
        <v>0</v>
      </c>
      <c r="E766" s="2">
        <v>4396.8999999999996</v>
      </c>
      <c r="F766" s="2">
        <v>46859.55</v>
      </c>
      <c r="G766" t="s">
        <v>731</v>
      </c>
      <c r="H766" t="s">
        <v>719</v>
      </c>
      <c r="J766" s="7">
        <f t="shared" si="7"/>
        <v>148761.59999999998</v>
      </c>
    </row>
    <row r="767" spans="1:10" hidden="1" x14ac:dyDescent="0.25">
      <c r="A767" s="1">
        <v>45177</v>
      </c>
      <c r="B767" t="s">
        <v>618</v>
      </c>
      <c r="D767" s="2">
        <v>0</v>
      </c>
      <c r="E767" s="2">
        <v>16309.08</v>
      </c>
      <c r="F767" s="2">
        <v>63168.63</v>
      </c>
      <c r="G767" t="s">
        <v>731</v>
      </c>
      <c r="H767" t="s">
        <v>719</v>
      </c>
      <c r="J767" s="7">
        <f t="shared" si="7"/>
        <v>0</v>
      </c>
    </row>
    <row r="768" spans="1:10" hidden="1" x14ac:dyDescent="0.25">
      <c r="A768" s="1">
        <v>45177</v>
      </c>
      <c r="B768" t="s">
        <v>480</v>
      </c>
      <c r="D768" s="2">
        <v>3000</v>
      </c>
      <c r="E768" s="2">
        <v>0</v>
      </c>
      <c r="F768" s="2">
        <v>60168.63</v>
      </c>
      <c r="G768" t="s">
        <v>725</v>
      </c>
      <c r="H768" t="s">
        <v>719</v>
      </c>
      <c r="J768" s="7">
        <f t="shared" si="7"/>
        <v>0</v>
      </c>
    </row>
    <row r="769" spans="1:10" hidden="1" x14ac:dyDescent="0.25">
      <c r="A769" s="1">
        <v>45177</v>
      </c>
      <c r="B769" t="s">
        <v>472</v>
      </c>
      <c r="D769" s="2">
        <v>349.47</v>
      </c>
      <c r="E769" s="2">
        <v>0</v>
      </c>
      <c r="F769" s="2">
        <v>59819.16</v>
      </c>
      <c r="G769" t="s">
        <v>731</v>
      </c>
      <c r="H769" t="s">
        <v>719</v>
      </c>
      <c r="J769" s="7">
        <f t="shared" si="7"/>
        <v>0</v>
      </c>
    </row>
    <row r="770" spans="1:10" hidden="1" x14ac:dyDescent="0.25">
      <c r="A770" s="1">
        <v>45177</v>
      </c>
      <c r="B770" t="s">
        <v>631</v>
      </c>
      <c r="D770" s="2">
        <v>2500</v>
      </c>
      <c r="E770" s="2">
        <v>0</v>
      </c>
      <c r="F770" s="2">
        <v>57319.16</v>
      </c>
      <c r="G770" t="s">
        <v>725</v>
      </c>
      <c r="H770" t="s">
        <v>719</v>
      </c>
      <c r="J770" s="7">
        <f t="shared" si="7"/>
        <v>0</v>
      </c>
    </row>
    <row r="771" spans="1:10" hidden="1" x14ac:dyDescent="0.25">
      <c r="A771" s="1">
        <v>45177</v>
      </c>
      <c r="B771" t="s">
        <v>632</v>
      </c>
      <c r="D771" s="2">
        <v>2000</v>
      </c>
      <c r="E771" s="2">
        <v>0</v>
      </c>
      <c r="F771" s="2">
        <v>55319.16</v>
      </c>
      <c r="G771" t="s">
        <v>725</v>
      </c>
      <c r="H771" t="s">
        <v>719</v>
      </c>
      <c r="J771" s="7">
        <f t="shared" si="7"/>
        <v>0</v>
      </c>
    </row>
    <row r="772" spans="1:10" hidden="1" x14ac:dyDescent="0.25">
      <c r="A772" s="1">
        <v>45177</v>
      </c>
      <c r="B772" t="s">
        <v>472</v>
      </c>
      <c r="D772" s="2">
        <v>8153.08</v>
      </c>
      <c r="E772" s="2">
        <v>0</v>
      </c>
      <c r="F772" s="2">
        <v>47166.080000000002</v>
      </c>
      <c r="G772" t="s">
        <v>731</v>
      </c>
      <c r="H772" t="s">
        <v>719</v>
      </c>
      <c r="J772" s="7">
        <f t="shared" si="7"/>
        <v>0</v>
      </c>
    </row>
    <row r="773" spans="1:10" hidden="1" x14ac:dyDescent="0.25">
      <c r="A773" s="1">
        <v>45177</v>
      </c>
      <c r="B773" t="s">
        <v>633</v>
      </c>
      <c r="D773" s="2">
        <v>0</v>
      </c>
      <c r="E773" s="2">
        <v>127.93</v>
      </c>
      <c r="F773" s="2">
        <v>47294.01</v>
      </c>
      <c r="G773" t="s">
        <v>732</v>
      </c>
      <c r="H773" t="s">
        <v>719</v>
      </c>
      <c r="J773" s="7">
        <f t="shared" si="7"/>
        <v>0</v>
      </c>
    </row>
    <row r="774" spans="1:10" hidden="1" x14ac:dyDescent="0.25">
      <c r="A774" s="1">
        <v>45177</v>
      </c>
      <c r="B774" t="s">
        <v>472</v>
      </c>
      <c r="D774" s="2">
        <v>32991.42</v>
      </c>
      <c r="E774" s="2">
        <v>0</v>
      </c>
      <c r="F774" s="2">
        <v>14302.59</v>
      </c>
      <c r="G774" t="s">
        <v>731</v>
      </c>
      <c r="H774" t="s">
        <v>719</v>
      </c>
      <c r="J774" s="7">
        <f t="shared" si="7"/>
        <v>0</v>
      </c>
    </row>
    <row r="775" spans="1:10" hidden="1" x14ac:dyDescent="0.25">
      <c r="A775" s="1">
        <v>45177</v>
      </c>
      <c r="B775" t="s">
        <v>256</v>
      </c>
      <c r="C775" t="s">
        <v>231</v>
      </c>
      <c r="D775" s="2">
        <v>5000</v>
      </c>
      <c r="E775" s="2">
        <v>0</v>
      </c>
      <c r="F775" s="2">
        <v>186224.25</v>
      </c>
      <c r="G775" s="55" t="s">
        <v>1052</v>
      </c>
      <c r="H775" t="s">
        <v>716</v>
      </c>
      <c r="J775" s="7">
        <f t="shared" ref="J775:J838" si="8">F774-D775+E775-F775</f>
        <v>-176921.66</v>
      </c>
    </row>
    <row r="776" spans="1:10" hidden="1" x14ac:dyDescent="0.25">
      <c r="A776" s="1">
        <v>45177</v>
      </c>
      <c r="B776" t="s">
        <v>183</v>
      </c>
      <c r="C776" t="s">
        <v>255</v>
      </c>
      <c r="D776" s="2">
        <v>0</v>
      </c>
      <c r="E776" s="2">
        <v>11088.25</v>
      </c>
      <c r="F776" s="2">
        <v>197312.5</v>
      </c>
      <c r="G776" s="55" t="s">
        <v>1052</v>
      </c>
      <c r="H776" t="s">
        <v>716</v>
      </c>
      <c r="J776" s="7">
        <f t="shared" si="8"/>
        <v>0</v>
      </c>
    </row>
    <row r="777" spans="1:10" hidden="1" x14ac:dyDescent="0.25">
      <c r="A777" s="1">
        <v>45178</v>
      </c>
      <c r="B777" t="s">
        <v>119</v>
      </c>
      <c r="D777" s="2">
        <v>60000</v>
      </c>
      <c r="E777" s="2">
        <v>0</v>
      </c>
      <c r="F777" s="2">
        <v>21562.33</v>
      </c>
      <c r="G777" t="s">
        <v>724</v>
      </c>
      <c r="H777" t="s">
        <v>715</v>
      </c>
      <c r="J777" s="7">
        <f t="shared" si="8"/>
        <v>115750.17</v>
      </c>
    </row>
    <row r="778" spans="1:10" hidden="1" x14ac:dyDescent="0.25">
      <c r="A778" s="1">
        <v>45178</v>
      </c>
      <c r="B778" t="s">
        <v>634</v>
      </c>
      <c r="D778" s="2">
        <v>0</v>
      </c>
      <c r="E778" s="2">
        <v>60000</v>
      </c>
      <c r="F778" s="2">
        <v>74302.59</v>
      </c>
      <c r="G778" t="s">
        <v>724</v>
      </c>
      <c r="H778" t="s">
        <v>719</v>
      </c>
      <c r="J778" s="7">
        <f t="shared" si="8"/>
        <v>7259.7400000000052</v>
      </c>
    </row>
    <row r="779" spans="1:10" hidden="1" x14ac:dyDescent="0.25">
      <c r="A779" s="1">
        <v>45178</v>
      </c>
      <c r="B779" t="s">
        <v>197</v>
      </c>
      <c r="C779" t="s">
        <v>254</v>
      </c>
      <c r="D779" s="2">
        <v>150000</v>
      </c>
      <c r="E779" s="2">
        <v>0</v>
      </c>
      <c r="F779" s="2">
        <v>47312.5</v>
      </c>
      <c r="G779" t="s">
        <v>724</v>
      </c>
      <c r="H779" t="s">
        <v>716</v>
      </c>
      <c r="J779" s="7">
        <f t="shared" si="8"/>
        <v>-123009.91</v>
      </c>
    </row>
    <row r="780" spans="1:10" hidden="1" x14ac:dyDescent="0.25">
      <c r="A780" s="1">
        <v>45178</v>
      </c>
      <c r="B780" t="s">
        <v>181</v>
      </c>
      <c r="C780" t="s">
        <v>411</v>
      </c>
      <c r="D780" s="2">
        <v>0</v>
      </c>
      <c r="E780" s="2">
        <v>150000</v>
      </c>
      <c r="F780" s="2">
        <v>-441066.37</v>
      </c>
      <c r="G780" t="s">
        <v>724</v>
      </c>
      <c r="H780" t="s">
        <v>718</v>
      </c>
      <c r="J780" s="7">
        <f t="shared" si="8"/>
        <v>638378.87</v>
      </c>
    </row>
    <row r="781" spans="1:10" hidden="1" x14ac:dyDescent="0.25">
      <c r="A781" s="1">
        <v>45180</v>
      </c>
      <c r="B781" t="s">
        <v>120</v>
      </c>
      <c r="D781" s="2">
        <v>2000</v>
      </c>
      <c r="E781" s="2">
        <v>0</v>
      </c>
      <c r="F781" s="2">
        <v>19562.330000000002</v>
      </c>
      <c r="G781" t="s">
        <v>792</v>
      </c>
      <c r="H781" t="s">
        <v>715</v>
      </c>
      <c r="J781" s="7">
        <f t="shared" si="8"/>
        <v>-462628.7</v>
      </c>
    </row>
    <row r="782" spans="1:10" hidden="1" x14ac:dyDescent="0.25">
      <c r="A782" s="1">
        <v>45180</v>
      </c>
      <c r="B782" t="s">
        <v>121</v>
      </c>
      <c r="D782" s="2">
        <v>418</v>
      </c>
      <c r="E782" s="2">
        <v>0</v>
      </c>
      <c r="F782" s="2">
        <v>19144.330000000002</v>
      </c>
      <c r="G782" t="s">
        <v>792</v>
      </c>
      <c r="H782" t="s">
        <v>715</v>
      </c>
      <c r="J782" s="7">
        <f t="shared" si="8"/>
        <v>0</v>
      </c>
    </row>
    <row r="783" spans="1:10" hidden="1" x14ac:dyDescent="0.25">
      <c r="A783" s="1">
        <v>45180</v>
      </c>
      <c r="B783" t="s">
        <v>504</v>
      </c>
      <c r="D783" s="2">
        <v>4000</v>
      </c>
      <c r="E783" s="2">
        <v>0</v>
      </c>
      <c r="F783" s="2">
        <v>70302.59</v>
      </c>
      <c r="G783" t="s">
        <v>725</v>
      </c>
      <c r="H783" t="s">
        <v>719</v>
      </c>
      <c r="J783" s="7">
        <f t="shared" si="8"/>
        <v>-55158.259999999995</v>
      </c>
    </row>
    <row r="784" spans="1:10" hidden="1" x14ac:dyDescent="0.25">
      <c r="A784" s="1">
        <v>45180</v>
      </c>
      <c r="B784" t="s">
        <v>480</v>
      </c>
      <c r="D784" s="2">
        <v>5000</v>
      </c>
      <c r="E784" s="2">
        <v>0</v>
      </c>
      <c r="F784" s="2">
        <v>65302.59</v>
      </c>
      <c r="G784" t="s">
        <v>725</v>
      </c>
      <c r="H784" t="s">
        <v>719</v>
      </c>
      <c r="J784" s="7">
        <f t="shared" si="8"/>
        <v>0</v>
      </c>
    </row>
    <row r="785" spans="1:10" hidden="1" x14ac:dyDescent="0.25">
      <c r="A785" s="1">
        <v>45180</v>
      </c>
      <c r="B785" t="s">
        <v>480</v>
      </c>
      <c r="D785" s="2">
        <v>3000</v>
      </c>
      <c r="E785" s="2">
        <v>0</v>
      </c>
      <c r="F785" s="2">
        <v>62302.59</v>
      </c>
      <c r="G785" t="s">
        <v>725</v>
      </c>
      <c r="H785" t="s">
        <v>719</v>
      </c>
      <c r="J785" s="7">
        <f t="shared" si="8"/>
        <v>0</v>
      </c>
    </row>
    <row r="786" spans="1:10" hidden="1" x14ac:dyDescent="0.25">
      <c r="A786" s="1">
        <v>45180</v>
      </c>
      <c r="B786" t="s">
        <v>472</v>
      </c>
      <c r="D786" s="2">
        <v>946.47</v>
      </c>
      <c r="E786" s="2">
        <v>0</v>
      </c>
      <c r="F786" s="2">
        <v>61356.12</v>
      </c>
      <c r="G786" t="s">
        <v>731</v>
      </c>
      <c r="H786" t="s">
        <v>719</v>
      </c>
      <c r="J786" s="7">
        <f t="shared" si="8"/>
        <v>0</v>
      </c>
    </row>
    <row r="787" spans="1:10" hidden="1" x14ac:dyDescent="0.25">
      <c r="A787" s="1">
        <v>45180</v>
      </c>
      <c r="B787" t="s">
        <v>635</v>
      </c>
      <c r="D787" s="2">
        <v>295</v>
      </c>
      <c r="E787" s="2">
        <v>0</v>
      </c>
      <c r="F787" s="2">
        <v>61061.120000000003</v>
      </c>
      <c r="G787" t="s">
        <v>729</v>
      </c>
      <c r="H787" t="s">
        <v>719</v>
      </c>
      <c r="J787" s="7">
        <f t="shared" si="8"/>
        <v>0</v>
      </c>
    </row>
    <row r="788" spans="1:10" hidden="1" x14ac:dyDescent="0.25">
      <c r="A788" s="1">
        <v>45180</v>
      </c>
      <c r="B788" t="s">
        <v>636</v>
      </c>
      <c r="D788" s="2">
        <v>0</v>
      </c>
      <c r="E788" s="2">
        <v>1589137</v>
      </c>
      <c r="F788" s="2">
        <v>1650198.12</v>
      </c>
      <c r="G788" t="s">
        <v>737</v>
      </c>
      <c r="H788" t="s">
        <v>719</v>
      </c>
      <c r="J788" s="7">
        <f t="shared" si="8"/>
        <v>0</v>
      </c>
    </row>
    <row r="789" spans="1:10" hidden="1" x14ac:dyDescent="0.25">
      <c r="A789" s="1">
        <v>45180</v>
      </c>
      <c r="B789" t="s">
        <v>637</v>
      </c>
      <c r="D789" s="2">
        <v>0</v>
      </c>
      <c r="E789" s="2">
        <v>291.38</v>
      </c>
      <c r="F789" s="2">
        <v>1650489.5</v>
      </c>
      <c r="G789" t="s">
        <v>732</v>
      </c>
      <c r="H789" t="s">
        <v>719</v>
      </c>
      <c r="J789" s="7">
        <f t="shared" si="8"/>
        <v>0</v>
      </c>
    </row>
    <row r="790" spans="1:10" hidden="1" x14ac:dyDescent="0.25">
      <c r="A790" s="1">
        <v>45180</v>
      </c>
      <c r="B790" t="s">
        <v>472</v>
      </c>
      <c r="D790" s="2">
        <v>28718.18</v>
      </c>
      <c r="E790" s="2">
        <v>0</v>
      </c>
      <c r="F790" s="2">
        <v>1621771.32</v>
      </c>
      <c r="G790" t="s">
        <v>731</v>
      </c>
      <c r="H790" t="s">
        <v>719</v>
      </c>
      <c r="J790" s="7">
        <f t="shared" si="8"/>
        <v>0</v>
      </c>
    </row>
    <row r="791" spans="1:10" hidden="1" x14ac:dyDescent="0.25">
      <c r="A791" s="1">
        <v>45180</v>
      </c>
      <c r="B791" t="s">
        <v>472</v>
      </c>
      <c r="D791" s="2">
        <v>2638.2</v>
      </c>
      <c r="E791" s="2">
        <v>0</v>
      </c>
      <c r="F791" s="2">
        <v>1619133.12</v>
      </c>
      <c r="G791" t="s">
        <v>731</v>
      </c>
      <c r="H791" t="s">
        <v>719</v>
      </c>
      <c r="J791" s="7">
        <f t="shared" si="8"/>
        <v>0</v>
      </c>
    </row>
    <row r="792" spans="1:10" hidden="1" x14ac:dyDescent="0.25">
      <c r="A792" s="1">
        <v>45180</v>
      </c>
      <c r="B792" t="s">
        <v>201</v>
      </c>
      <c r="C792" t="s">
        <v>211</v>
      </c>
      <c r="D792" s="2">
        <v>16869.669999999998</v>
      </c>
      <c r="E792" s="2">
        <v>0</v>
      </c>
      <c r="F792" s="2">
        <v>30442.83</v>
      </c>
      <c r="G792" s="55" t="s">
        <v>1052</v>
      </c>
      <c r="H792" t="s">
        <v>716</v>
      </c>
      <c r="J792" s="7">
        <f t="shared" si="8"/>
        <v>1571820.62</v>
      </c>
    </row>
    <row r="793" spans="1:10" hidden="1" x14ac:dyDescent="0.25">
      <c r="A793" s="1">
        <v>45181</v>
      </c>
      <c r="B793" t="s">
        <v>618</v>
      </c>
      <c r="D793" s="2">
        <v>0</v>
      </c>
      <c r="E793" s="2">
        <v>16817.41</v>
      </c>
      <c r="F793" s="2">
        <v>1635950.53</v>
      </c>
      <c r="G793" t="s">
        <v>731</v>
      </c>
      <c r="H793" t="s">
        <v>719</v>
      </c>
      <c r="J793" s="7">
        <f t="shared" si="8"/>
        <v>-1588690.29</v>
      </c>
    </row>
    <row r="794" spans="1:10" hidden="1" x14ac:dyDescent="0.25">
      <c r="A794" s="1">
        <v>45181</v>
      </c>
      <c r="B794" t="s">
        <v>472</v>
      </c>
      <c r="D794" s="2">
        <v>300.02999999999997</v>
      </c>
      <c r="E794" s="2">
        <v>0</v>
      </c>
      <c r="F794" s="2">
        <v>1635650.5</v>
      </c>
      <c r="G794" t="s">
        <v>731</v>
      </c>
      <c r="H794" t="s">
        <v>719</v>
      </c>
      <c r="J794" s="7">
        <f t="shared" si="8"/>
        <v>0</v>
      </c>
    </row>
    <row r="795" spans="1:10" hidden="1" x14ac:dyDescent="0.25">
      <c r="A795" s="1">
        <v>45181</v>
      </c>
      <c r="B795" t="s">
        <v>472</v>
      </c>
      <c r="D795" s="2">
        <v>18074.759999999998</v>
      </c>
      <c r="E795" s="2">
        <v>0</v>
      </c>
      <c r="F795" s="2">
        <v>1617575.74</v>
      </c>
      <c r="G795" t="s">
        <v>731</v>
      </c>
      <c r="H795" t="s">
        <v>719</v>
      </c>
      <c r="J795" s="7">
        <f t="shared" si="8"/>
        <v>0</v>
      </c>
    </row>
    <row r="796" spans="1:10" hidden="1" x14ac:dyDescent="0.25">
      <c r="A796" s="1">
        <v>45181</v>
      </c>
      <c r="B796" t="s">
        <v>638</v>
      </c>
      <c r="D796" s="2">
        <v>200000</v>
      </c>
      <c r="E796" s="2">
        <v>0</v>
      </c>
      <c r="F796" s="2">
        <v>1417575.74</v>
      </c>
      <c r="G796" t="s">
        <v>735</v>
      </c>
      <c r="H796" t="s">
        <v>719</v>
      </c>
      <c r="J796" s="7">
        <f t="shared" si="8"/>
        <v>0</v>
      </c>
    </row>
    <row r="797" spans="1:10" hidden="1" x14ac:dyDescent="0.25">
      <c r="A797" s="1">
        <v>45181</v>
      </c>
      <c r="B797" t="s">
        <v>639</v>
      </c>
      <c r="D797" s="2">
        <v>500000</v>
      </c>
      <c r="E797" s="2">
        <v>0</v>
      </c>
      <c r="F797" s="2">
        <v>917575.74</v>
      </c>
      <c r="G797" t="s">
        <v>724</v>
      </c>
      <c r="H797" t="s">
        <v>719</v>
      </c>
      <c r="J797" s="7">
        <f t="shared" si="8"/>
        <v>0</v>
      </c>
    </row>
    <row r="798" spans="1:10" hidden="1" x14ac:dyDescent="0.25">
      <c r="A798" s="1">
        <v>45181</v>
      </c>
      <c r="B798" t="s">
        <v>472</v>
      </c>
      <c r="D798" s="2">
        <v>6225.12</v>
      </c>
      <c r="E798" s="2">
        <v>0</v>
      </c>
      <c r="F798" s="2">
        <v>911350.62</v>
      </c>
      <c r="G798" t="s">
        <v>731</v>
      </c>
      <c r="H798" t="s">
        <v>719</v>
      </c>
      <c r="J798" s="7">
        <f t="shared" si="8"/>
        <v>0</v>
      </c>
    </row>
    <row r="799" spans="1:10" hidden="1" x14ac:dyDescent="0.25">
      <c r="A799" s="1">
        <v>45181</v>
      </c>
      <c r="B799" t="s">
        <v>234</v>
      </c>
      <c r="C799" t="s">
        <v>253</v>
      </c>
      <c r="D799" s="2">
        <v>0</v>
      </c>
      <c r="E799" s="2">
        <v>1000</v>
      </c>
      <c r="F799" s="2">
        <v>31442.83</v>
      </c>
      <c r="G799" t="s">
        <v>724</v>
      </c>
      <c r="H799" t="s">
        <v>716</v>
      </c>
      <c r="J799" s="7">
        <f t="shared" si="8"/>
        <v>880907.79</v>
      </c>
    </row>
    <row r="800" spans="1:10" hidden="1" x14ac:dyDescent="0.25">
      <c r="A800" s="1">
        <v>45181</v>
      </c>
      <c r="B800" t="s">
        <v>234</v>
      </c>
      <c r="C800" t="s">
        <v>252</v>
      </c>
      <c r="D800" s="2">
        <v>0</v>
      </c>
      <c r="E800" s="2">
        <v>10000</v>
      </c>
      <c r="F800" s="2">
        <v>41442.83</v>
      </c>
      <c r="G800" t="s">
        <v>724</v>
      </c>
      <c r="H800" t="s">
        <v>716</v>
      </c>
      <c r="J800" s="7">
        <f t="shared" si="8"/>
        <v>0</v>
      </c>
    </row>
    <row r="801" spans="1:10" hidden="1" x14ac:dyDescent="0.25">
      <c r="A801" s="1">
        <v>45181</v>
      </c>
      <c r="B801" t="s">
        <v>201</v>
      </c>
      <c r="C801" t="s">
        <v>211</v>
      </c>
      <c r="D801" s="2">
        <v>2503.86</v>
      </c>
      <c r="E801" s="2">
        <v>0</v>
      </c>
      <c r="F801" s="2">
        <v>38938.97</v>
      </c>
      <c r="G801" s="55" t="s">
        <v>1052</v>
      </c>
      <c r="H801" t="s">
        <v>716</v>
      </c>
      <c r="J801" s="7">
        <f t="shared" si="8"/>
        <v>0</v>
      </c>
    </row>
    <row r="802" spans="1:10" hidden="1" x14ac:dyDescent="0.25">
      <c r="A802" s="1">
        <v>45181</v>
      </c>
      <c r="B802" t="s">
        <v>234</v>
      </c>
      <c r="C802" t="s">
        <v>251</v>
      </c>
      <c r="D802" s="2">
        <v>0</v>
      </c>
      <c r="E802" s="2">
        <v>75000</v>
      </c>
      <c r="F802" s="2">
        <v>113938.97</v>
      </c>
      <c r="G802" t="s">
        <v>724</v>
      </c>
      <c r="H802" t="s">
        <v>716</v>
      </c>
      <c r="J802" s="7">
        <f t="shared" si="8"/>
        <v>0</v>
      </c>
    </row>
    <row r="803" spans="1:10" hidden="1" x14ac:dyDescent="0.25">
      <c r="A803" s="1">
        <v>45181</v>
      </c>
      <c r="B803" t="s">
        <v>377</v>
      </c>
      <c r="C803" t="s">
        <v>412</v>
      </c>
      <c r="D803" s="2">
        <v>1000</v>
      </c>
      <c r="E803" s="2">
        <v>0</v>
      </c>
      <c r="F803" s="2">
        <v>-442066.37</v>
      </c>
      <c r="G803" t="s">
        <v>724</v>
      </c>
      <c r="H803" t="s">
        <v>718</v>
      </c>
      <c r="J803" s="7">
        <f t="shared" si="8"/>
        <v>555005.34</v>
      </c>
    </row>
    <row r="804" spans="1:10" hidden="1" x14ac:dyDescent="0.25">
      <c r="A804" s="1">
        <v>45181</v>
      </c>
      <c r="B804" t="s">
        <v>377</v>
      </c>
      <c r="C804" t="s">
        <v>413</v>
      </c>
      <c r="D804" s="2">
        <v>10000</v>
      </c>
      <c r="E804" s="2">
        <v>0</v>
      </c>
      <c r="F804" s="2">
        <v>-452066.37</v>
      </c>
      <c r="G804" t="s">
        <v>724</v>
      </c>
      <c r="H804" t="s">
        <v>718</v>
      </c>
      <c r="J804" s="7">
        <f t="shared" si="8"/>
        <v>0</v>
      </c>
    </row>
    <row r="805" spans="1:10" hidden="1" x14ac:dyDescent="0.25">
      <c r="A805" s="1">
        <v>45181</v>
      </c>
      <c r="B805" t="s">
        <v>377</v>
      </c>
      <c r="C805" t="s">
        <v>414</v>
      </c>
      <c r="D805" s="2">
        <v>75000</v>
      </c>
      <c r="E805" s="2">
        <v>0</v>
      </c>
      <c r="F805" s="2">
        <v>-527066.37</v>
      </c>
      <c r="G805" t="s">
        <v>724</v>
      </c>
      <c r="H805" t="s">
        <v>718</v>
      </c>
      <c r="J805" s="7">
        <f t="shared" si="8"/>
        <v>0</v>
      </c>
    </row>
    <row r="806" spans="1:10" hidden="1" x14ac:dyDescent="0.25">
      <c r="A806" s="1">
        <v>45181</v>
      </c>
      <c r="B806" t="s">
        <v>415</v>
      </c>
      <c r="C806" t="s">
        <v>416</v>
      </c>
      <c r="D806" s="2">
        <v>0</v>
      </c>
      <c r="E806" s="2">
        <v>500000</v>
      </c>
      <c r="F806" s="2">
        <v>-27066.37</v>
      </c>
      <c r="G806" t="s">
        <v>724</v>
      </c>
      <c r="H806" t="s">
        <v>718</v>
      </c>
      <c r="J806" s="7">
        <f t="shared" si="8"/>
        <v>0</v>
      </c>
    </row>
    <row r="807" spans="1:10" hidden="1" x14ac:dyDescent="0.25">
      <c r="A807" s="1">
        <v>45182</v>
      </c>
      <c r="B807" t="s">
        <v>122</v>
      </c>
      <c r="D807" s="2">
        <v>0</v>
      </c>
      <c r="E807" s="2">
        <v>100000</v>
      </c>
      <c r="F807" s="2">
        <v>119144.33</v>
      </c>
      <c r="G807" t="s">
        <v>724</v>
      </c>
      <c r="H807" t="s">
        <v>715</v>
      </c>
      <c r="J807" s="7">
        <f t="shared" si="8"/>
        <v>-46210.7</v>
      </c>
    </row>
    <row r="808" spans="1:10" hidden="1" x14ac:dyDescent="0.25">
      <c r="A808" s="1">
        <v>45182</v>
      </c>
      <c r="B808" t="s">
        <v>620</v>
      </c>
      <c r="D808" s="2">
        <v>200000</v>
      </c>
      <c r="E808" s="2">
        <v>0</v>
      </c>
      <c r="F808" s="2">
        <v>711350.62</v>
      </c>
      <c r="G808" t="s">
        <v>726</v>
      </c>
      <c r="H808" t="s">
        <v>719</v>
      </c>
      <c r="J808" s="7">
        <f t="shared" si="8"/>
        <v>-792206.29</v>
      </c>
    </row>
    <row r="809" spans="1:10" hidden="1" x14ac:dyDescent="0.25">
      <c r="A809" s="1">
        <v>45182</v>
      </c>
      <c r="B809" t="s">
        <v>640</v>
      </c>
      <c r="D809" s="2">
        <v>100000</v>
      </c>
      <c r="E809" s="2">
        <v>0</v>
      </c>
      <c r="F809" s="2">
        <v>611350.62</v>
      </c>
      <c r="G809" t="s">
        <v>724</v>
      </c>
      <c r="H809" t="s">
        <v>719</v>
      </c>
      <c r="J809" s="7">
        <f t="shared" si="8"/>
        <v>0</v>
      </c>
    </row>
    <row r="810" spans="1:10" hidden="1" x14ac:dyDescent="0.25">
      <c r="A810" s="1">
        <v>45182</v>
      </c>
      <c r="B810" t="s">
        <v>641</v>
      </c>
      <c r="D810" s="2">
        <v>0</v>
      </c>
      <c r="E810" s="2">
        <v>8000</v>
      </c>
      <c r="F810" s="2">
        <v>619350.62</v>
      </c>
      <c r="G810" s="55" t="s">
        <v>1052</v>
      </c>
      <c r="H810" t="s">
        <v>719</v>
      </c>
      <c r="J810" s="7">
        <f t="shared" si="8"/>
        <v>0</v>
      </c>
    </row>
    <row r="811" spans="1:10" hidden="1" x14ac:dyDescent="0.25">
      <c r="A811" s="1">
        <v>45182</v>
      </c>
      <c r="B811" t="s">
        <v>642</v>
      </c>
      <c r="D811" s="2">
        <v>0</v>
      </c>
      <c r="E811" s="2">
        <v>1</v>
      </c>
      <c r="F811" s="2">
        <v>619351.62</v>
      </c>
      <c r="G811" t="s">
        <v>792</v>
      </c>
      <c r="H811" t="s">
        <v>719</v>
      </c>
      <c r="J811" s="7">
        <f t="shared" si="8"/>
        <v>0</v>
      </c>
    </row>
    <row r="812" spans="1:10" hidden="1" x14ac:dyDescent="0.25">
      <c r="A812" s="1">
        <v>45182</v>
      </c>
      <c r="B812" t="s">
        <v>643</v>
      </c>
      <c r="D812" s="2">
        <v>0</v>
      </c>
      <c r="E812" s="2">
        <v>2999</v>
      </c>
      <c r="F812" s="2">
        <v>622350.62</v>
      </c>
      <c r="G812" t="s">
        <v>792</v>
      </c>
      <c r="H812" t="s">
        <v>719</v>
      </c>
      <c r="J812" s="7">
        <f t="shared" si="8"/>
        <v>0</v>
      </c>
    </row>
    <row r="813" spans="1:10" hidden="1" x14ac:dyDescent="0.25">
      <c r="A813" s="1">
        <v>45182</v>
      </c>
      <c r="B813" t="s">
        <v>472</v>
      </c>
      <c r="D813" s="2">
        <v>296.95999999999998</v>
      </c>
      <c r="E813" s="2">
        <v>0</v>
      </c>
      <c r="F813" s="2">
        <v>622053.66</v>
      </c>
      <c r="G813" t="s">
        <v>731</v>
      </c>
      <c r="H813" t="s">
        <v>719</v>
      </c>
      <c r="J813" s="7">
        <f t="shared" si="8"/>
        <v>0</v>
      </c>
    </row>
    <row r="814" spans="1:10" hidden="1" x14ac:dyDescent="0.25">
      <c r="A814" s="1">
        <v>45182</v>
      </c>
      <c r="B814" t="s">
        <v>472</v>
      </c>
      <c r="D814" s="2">
        <v>14595.41</v>
      </c>
      <c r="E814" s="2">
        <v>0</v>
      </c>
      <c r="F814" s="2">
        <v>607458.25</v>
      </c>
      <c r="G814" t="s">
        <v>731</v>
      </c>
      <c r="H814" t="s">
        <v>719</v>
      </c>
      <c r="J814" s="7">
        <f t="shared" si="8"/>
        <v>0</v>
      </c>
    </row>
    <row r="815" spans="1:10" hidden="1" x14ac:dyDescent="0.25">
      <c r="A815" s="1">
        <v>45182</v>
      </c>
      <c r="B815" t="s">
        <v>250</v>
      </c>
      <c r="C815" t="s">
        <v>249</v>
      </c>
      <c r="D815" s="2">
        <v>0</v>
      </c>
      <c r="E815" s="2">
        <v>28000</v>
      </c>
      <c r="F815" s="2">
        <v>141938.97</v>
      </c>
      <c r="G815" s="55" t="s">
        <v>1052</v>
      </c>
      <c r="H815" t="s">
        <v>716</v>
      </c>
      <c r="J815" s="7">
        <f t="shared" si="8"/>
        <v>493519.28</v>
      </c>
    </row>
    <row r="816" spans="1:10" hidden="1" x14ac:dyDescent="0.25">
      <c r="A816" s="1">
        <v>45183</v>
      </c>
      <c r="B816" t="s">
        <v>618</v>
      </c>
      <c r="D816" s="2">
        <v>0</v>
      </c>
      <c r="E816" s="2">
        <v>779.07</v>
      </c>
      <c r="F816" s="2">
        <v>608237.31999999995</v>
      </c>
      <c r="G816" t="s">
        <v>731</v>
      </c>
      <c r="H816" t="s">
        <v>719</v>
      </c>
      <c r="J816" s="7">
        <f t="shared" si="8"/>
        <v>-465519.27999999991</v>
      </c>
    </row>
    <row r="817" spans="1:10" hidden="1" x14ac:dyDescent="0.25">
      <c r="A817" s="1">
        <v>45183</v>
      </c>
      <c r="B817" t="s">
        <v>480</v>
      </c>
      <c r="D817" s="2">
        <v>3000</v>
      </c>
      <c r="E817" s="2">
        <v>0</v>
      </c>
      <c r="F817" s="2">
        <v>605237.31999999995</v>
      </c>
      <c r="G817" t="s">
        <v>725</v>
      </c>
      <c r="H817" t="s">
        <v>719</v>
      </c>
      <c r="J817" s="7">
        <f t="shared" si="8"/>
        <v>0</v>
      </c>
    </row>
    <row r="818" spans="1:10" hidden="1" x14ac:dyDescent="0.25">
      <c r="A818" s="1">
        <v>45183</v>
      </c>
      <c r="B818" t="s">
        <v>472</v>
      </c>
      <c r="D818" s="2">
        <v>307.83999999999997</v>
      </c>
      <c r="E818" s="2">
        <v>0</v>
      </c>
      <c r="F818" s="2">
        <v>604929.48</v>
      </c>
      <c r="G818" t="s">
        <v>731</v>
      </c>
      <c r="H818" t="s">
        <v>719</v>
      </c>
      <c r="J818" s="7">
        <f t="shared" si="8"/>
        <v>0</v>
      </c>
    </row>
    <row r="819" spans="1:10" hidden="1" x14ac:dyDescent="0.25">
      <c r="A819" s="1">
        <v>45183</v>
      </c>
      <c r="B819" t="s">
        <v>472</v>
      </c>
      <c r="D819" s="2">
        <v>37399.18</v>
      </c>
      <c r="E819" s="2">
        <v>0</v>
      </c>
      <c r="F819" s="2">
        <v>567530.30000000005</v>
      </c>
      <c r="G819" t="s">
        <v>731</v>
      </c>
      <c r="H819" t="s">
        <v>719</v>
      </c>
      <c r="J819" s="7">
        <f t="shared" si="8"/>
        <v>0</v>
      </c>
    </row>
    <row r="820" spans="1:10" hidden="1" x14ac:dyDescent="0.25">
      <c r="A820" s="1">
        <v>45183</v>
      </c>
      <c r="B820" t="s">
        <v>183</v>
      </c>
      <c r="C820" t="s">
        <v>248</v>
      </c>
      <c r="D820" s="2">
        <v>0</v>
      </c>
      <c r="E820" s="2">
        <v>14953.38</v>
      </c>
      <c r="F820" s="2">
        <v>156892.35</v>
      </c>
      <c r="G820" s="55" t="s">
        <v>1052</v>
      </c>
      <c r="H820" t="s">
        <v>716</v>
      </c>
      <c r="J820" s="7">
        <f t="shared" si="8"/>
        <v>425591.33000000007</v>
      </c>
    </row>
    <row r="821" spans="1:10" hidden="1" x14ac:dyDescent="0.25">
      <c r="A821" s="1">
        <v>45184</v>
      </c>
      <c r="B821" t="s">
        <v>618</v>
      </c>
      <c r="D821" s="2">
        <v>0</v>
      </c>
      <c r="E821" s="2">
        <v>1125.29</v>
      </c>
      <c r="F821" s="2">
        <v>568655.59</v>
      </c>
      <c r="G821" t="s">
        <v>731</v>
      </c>
      <c r="H821" t="s">
        <v>719</v>
      </c>
      <c r="J821" s="7">
        <f t="shared" si="8"/>
        <v>-410637.94999999995</v>
      </c>
    </row>
    <row r="822" spans="1:10" hidden="1" x14ac:dyDescent="0.25">
      <c r="A822" s="1">
        <v>45184</v>
      </c>
      <c r="B822" t="s">
        <v>618</v>
      </c>
      <c r="D822" s="2">
        <v>0</v>
      </c>
      <c r="E822" s="2">
        <v>22554.68</v>
      </c>
      <c r="F822" s="2">
        <v>591210.27</v>
      </c>
      <c r="G822" t="s">
        <v>731</v>
      </c>
      <c r="H822" t="s">
        <v>719</v>
      </c>
      <c r="J822" s="7">
        <f t="shared" si="8"/>
        <v>0</v>
      </c>
    </row>
    <row r="823" spans="1:10" hidden="1" x14ac:dyDescent="0.25">
      <c r="A823" s="1">
        <v>45184</v>
      </c>
      <c r="B823" t="s">
        <v>644</v>
      </c>
      <c r="D823" s="2">
        <v>0</v>
      </c>
      <c r="E823" s="2">
        <v>480</v>
      </c>
      <c r="F823" s="2">
        <v>591690.27</v>
      </c>
      <c r="G823" t="s">
        <v>736</v>
      </c>
      <c r="H823" t="s">
        <v>719</v>
      </c>
      <c r="J823" s="7">
        <f t="shared" si="8"/>
        <v>0</v>
      </c>
    </row>
    <row r="824" spans="1:10" hidden="1" x14ac:dyDescent="0.25">
      <c r="A824" s="1">
        <v>45184</v>
      </c>
      <c r="B824" t="s">
        <v>645</v>
      </c>
      <c r="D824" s="2">
        <v>1500</v>
      </c>
      <c r="E824" s="2">
        <v>0</v>
      </c>
      <c r="F824" s="2">
        <v>590190.27</v>
      </c>
      <c r="G824" t="s">
        <v>725</v>
      </c>
      <c r="H824" t="s">
        <v>719</v>
      </c>
      <c r="J824" s="7">
        <f t="shared" si="8"/>
        <v>0</v>
      </c>
    </row>
    <row r="825" spans="1:10" hidden="1" x14ac:dyDescent="0.25">
      <c r="A825" s="1">
        <v>45184</v>
      </c>
      <c r="B825" t="s">
        <v>646</v>
      </c>
      <c r="D825" s="2">
        <v>2000</v>
      </c>
      <c r="E825" s="2">
        <v>0</v>
      </c>
      <c r="F825" s="2">
        <v>588190.27</v>
      </c>
      <c r="G825" t="s">
        <v>725</v>
      </c>
      <c r="H825" t="s">
        <v>719</v>
      </c>
      <c r="J825" s="7">
        <f t="shared" si="8"/>
        <v>0</v>
      </c>
    </row>
    <row r="826" spans="1:10" hidden="1" x14ac:dyDescent="0.25">
      <c r="A826" s="1">
        <v>45184</v>
      </c>
      <c r="B826" t="s">
        <v>247</v>
      </c>
      <c r="C826">
        <v>0</v>
      </c>
      <c r="D826" s="2">
        <v>147.5</v>
      </c>
      <c r="E826" s="2">
        <v>0</v>
      </c>
      <c r="F826" s="2">
        <v>156744.85</v>
      </c>
      <c r="G826" t="s">
        <v>729</v>
      </c>
      <c r="H826" t="s">
        <v>716</v>
      </c>
      <c r="J826" s="7">
        <f t="shared" si="8"/>
        <v>431297.92000000004</v>
      </c>
    </row>
    <row r="827" spans="1:10" hidden="1" x14ac:dyDescent="0.25">
      <c r="A827" s="1">
        <v>45185</v>
      </c>
      <c r="B827" t="s">
        <v>123</v>
      </c>
      <c r="D827" s="2">
        <v>144.68</v>
      </c>
      <c r="E827" s="2">
        <v>0</v>
      </c>
      <c r="F827" s="2">
        <v>118999.65</v>
      </c>
      <c r="G827" t="s">
        <v>792</v>
      </c>
      <c r="H827" t="s">
        <v>715</v>
      </c>
      <c r="J827" s="7">
        <f t="shared" si="8"/>
        <v>37600.520000000019</v>
      </c>
    </row>
    <row r="828" spans="1:10" hidden="1" x14ac:dyDescent="0.25">
      <c r="A828" s="1">
        <v>45185</v>
      </c>
      <c r="B828" t="s">
        <v>472</v>
      </c>
      <c r="D828" s="2">
        <v>29239.43</v>
      </c>
      <c r="E828" s="2">
        <v>0</v>
      </c>
      <c r="F828" s="2">
        <v>558950.84</v>
      </c>
      <c r="G828" t="s">
        <v>731</v>
      </c>
      <c r="H828" t="s">
        <v>719</v>
      </c>
      <c r="J828" s="7">
        <f t="shared" si="8"/>
        <v>-469190.62</v>
      </c>
    </row>
    <row r="829" spans="1:10" hidden="1" x14ac:dyDescent="0.25">
      <c r="A829" s="1">
        <v>45185</v>
      </c>
      <c r="B829" t="s">
        <v>647</v>
      </c>
      <c r="D829" s="2">
        <v>500</v>
      </c>
      <c r="E829" s="2">
        <v>0</v>
      </c>
      <c r="F829" s="2">
        <v>558450.84</v>
      </c>
      <c r="G829" t="s">
        <v>734</v>
      </c>
      <c r="H829" t="s">
        <v>719</v>
      </c>
      <c r="J829" s="7">
        <f t="shared" si="8"/>
        <v>0</v>
      </c>
    </row>
    <row r="830" spans="1:10" hidden="1" x14ac:dyDescent="0.25">
      <c r="A830" s="1">
        <v>45187</v>
      </c>
      <c r="B830" t="s">
        <v>618</v>
      </c>
      <c r="D830" s="2">
        <v>0</v>
      </c>
      <c r="E830" s="2">
        <v>93.54</v>
      </c>
      <c r="F830" s="2">
        <v>558544.38</v>
      </c>
      <c r="G830" t="s">
        <v>731</v>
      </c>
      <c r="H830" t="s">
        <v>719</v>
      </c>
      <c r="J830" s="7">
        <f t="shared" si="8"/>
        <v>0</v>
      </c>
    </row>
    <row r="831" spans="1:10" hidden="1" x14ac:dyDescent="0.25">
      <c r="A831" s="1">
        <v>45187</v>
      </c>
      <c r="B831" t="s">
        <v>618</v>
      </c>
      <c r="D831" s="2">
        <v>0</v>
      </c>
      <c r="E831" s="2">
        <v>76579.47</v>
      </c>
      <c r="F831" s="2">
        <v>635123.85</v>
      </c>
      <c r="G831" t="s">
        <v>731</v>
      </c>
      <c r="H831" t="s">
        <v>719</v>
      </c>
      <c r="J831" s="7">
        <f t="shared" si="8"/>
        <v>0</v>
      </c>
    </row>
    <row r="832" spans="1:10" hidden="1" x14ac:dyDescent="0.25">
      <c r="A832" s="1">
        <v>45187</v>
      </c>
      <c r="B832" t="s">
        <v>472</v>
      </c>
      <c r="D832" s="2">
        <v>809.79</v>
      </c>
      <c r="E832" s="2">
        <v>0</v>
      </c>
      <c r="F832" s="2">
        <v>634314.06000000006</v>
      </c>
      <c r="G832" t="s">
        <v>731</v>
      </c>
      <c r="H832" t="s">
        <v>719</v>
      </c>
      <c r="J832" s="7">
        <f t="shared" si="8"/>
        <v>0</v>
      </c>
    </row>
    <row r="833" spans="1:10" hidden="1" x14ac:dyDescent="0.25">
      <c r="A833" s="1">
        <v>45187</v>
      </c>
      <c r="B833" t="s">
        <v>648</v>
      </c>
      <c r="D833" s="2">
        <v>1097.4000000000001</v>
      </c>
      <c r="E833" s="2">
        <v>0</v>
      </c>
      <c r="F833" s="2">
        <v>633216.66</v>
      </c>
      <c r="G833" t="s">
        <v>729</v>
      </c>
      <c r="H833" t="s">
        <v>719</v>
      </c>
      <c r="J833" s="7">
        <f t="shared" si="8"/>
        <v>0</v>
      </c>
    </row>
    <row r="834" spans="1:10" hidden="1" x14ac:dyDescent="0.25">
      <c r="A834" s="1">
        <v>45187</v>
      </c>
      <c r="B834" t="s">
        <v>472</v>
      </c>
      <c r="D834" s="2">
        <v>180819.24</v>
      </c>
      <c r="E834" s="2">
        <v>0</v>
      </c>
      <c r="F834" s="2">
        <v>452397.42</v>
      </c>
      <c r="G834" t="s">
        <v>731</v>
      </c>
      <c r="H834" t="s">
        <v>719</v>
      </c>
      <c r="J834" s="7">
        <f t="shared" si="8"/>
        <v>0</v>
      </c>
    </row>
    <row r="835" spans="1:10" hidden="1" x14ac:dyDescent="0.25">
      <c r="A835" s="1">
        <v>45187</v>
      </c>
      <c r="B835" t="s">
        <v>649</v>
      </c>
      <c r="D835" s="2">
        <v>176190</v>
      </c>
      <c r="E835" s="2">
        <v>0</v>
      </c>
      <c r="F835" s="2">
        <v>276207.42</v>
      </c>
      <c r="G835" s="55" t="s">
        <v>1052</v>
      </c>
      <c r="H835" t="s">
        <v>719</v>
      </c>
      <c r="J835" s="7">
        <f t="shared" si="8"/>
        <v>0</v>
      </c>
    </row>
    <row r="836" spans="1:10" hidden="1" x14ac:dyDescent="0.25">
      <c r="A836" s="1">
        <v>45187</v>
      </c>
      <c r="B836" t="s">
        <v>472</v>
      </c>
      <c r="D836" s="2">
        <v>88756.5</v>
      </c>
      <c r="E836" s="2">
        <v>0</v>
      </c>
      <c r="F836" s="2">
        <v>187450.92</v>
      </c>
      <c r="G836" t="s">
        <v>731</v>
      </c>
      <c r="H836" t="s">
        <v>719</v>
      </c>
      <c r="J836" s="7">
        <f t="shared" si="8"/>
        <v>0</v>
      </c>
    </row>
    <row r="837" spans="1:10" hidden="1" x14ac:dyDescent="0.25">
      <c r="A837" s="1">
        <v>45187</v>
      </c>
      <c r="B837" t="s">
        <v>183</v>
      </c>
      <c r="C837" t="s">
        <v>246</v>
      </c>
      <c r="D837" s="2">
        <v>0</v>
      </c>
      <c r="E837" s="2">
        <v>10732.31</v>
      </c>
      <c r="F837" s="2">
        <v>167477.16</v>
      </c>
      <c r="G837" s="55" t="s">
        <v>1052</v>
      </c>
      <c r="H837" t="s">
        <v>716</v>
      </c>
      <c r="J837" s="7">
        <f t="shared" si="8"/>
        <v>30706.070000000007</v>
      </c>
    </row>
    <row r="838" spans="1:10" hidden="1" x14ac:dyDescent="0.25">
      <c r="A838" s="1">
        <v>45188</v>
      </c>
      <c r="B838" t="s">
        <v>194</v>
      </c>
      <c r="C838" t="s">
        <v>245</v>
      </c>
      <c r="D838" s="2">
        <v>104832</v>
      </c>
      <c r="E838" s="2">
        <v>0</v>
      </c>
      <c r="F838" s="2">
        <v>62645.16</v>
      </c>
      <c r="G838" t="s">
        <v>794</v>
      </c>
      <c r="H838" t="s">
        <v>716</v>
      </c>
      <c r="J838" s="7">
        <f t="shared" si="8"/>
        <v>0</v>
      </c>
    </row>
    <row r="839" spans="1:10" hidden="1" x14ac:dyDescent="0.25">
      <c r="A839" s="1">
        <v>45189</v>
      </c>
      <c r="B839" t="s">
        <v>124</v>
      </c>
      <c r="D839" s="2">
        <v>236</v>
      </c>
      <c r="E839" s="2">
        <v>0</v>
      </c>
      <c r="F839" s="2">
        <v>118763.65</v>
      </c>
      <c r="G839" t="s">
        <v>792</v>
      </c>
      <c r="H839" t="s">
        <v>715</v>
      </c>
      <c r="J839" s="7">
        <f t="shared" ref="J839:J902" si="9">F838-D839+E839-F839</f>
        <v>-56354.489999999991</v>
      </c>
    </row>
    <row r="840" spans="1:10" hidden="1" x14ac:dyDescent="0.25">
      <c r="A840" s="1">
        <v>45189</v>
      </c>
      <c r="B840" t="s">
        <v>480</v>
      </c>
      <c r="D840" s="2">
        <v>5000</v>
      </c>
      <c r="E840" s="2">
        <v>0</v>
      </c>
      <c r="F840" s="2">
        <v>182450.92</v>
      </c>
      <c r="G840" t="s">
        <v>725</v>
      </c>
      <c r="H840" t="s">
        <v>719</v>
      </c>
      <c r="J840" s="7">
        <f t="shared" si="9"/>
        <v>-68687.270000000019</v>
      </c>
    </row>
    <row r="841" spans="1:10" hidden="1" x14ac:dyDescent="0.25">
      <c r="A841" s="1">
        <v>45189</v>
      </c>
      <c r="B841" t="s">
        <v>480</v>
      </c>
      <c r="D841" s="2">
        <v>5000</v>
      </c>
      <c r="E841" s="2">
        <v>0</v>
      </c>
      <c r="F841" s="2">
        <v>177450.92</v>
      </c>
      <c r="G841" t="s">
        <v>725</v>
      </c>
      <c r="H841" t="s">
        <v>719</v>
      </c>
      <c r="J841" s="7">
        <f t="shared" si="9"/>
        <v>0</v>
      </c>
    </row>
    <row r="842" spans="1:10" hidden="1" x14ac:dyDescent="0.25">
      <c r="A842" s="1">
        <v>45189</v>
      </c>
      <c r="B842" t="s">
        <v>472</v>
      </c>
      <c r="D842" s="2">
        <v>420.7</v>
      </c>
      <c r="E842" s="2">
        <v>0</v>
      </c>
      <c r="F842" s="2">
        <v>177030.22</v>
      </c>
      <c r="G842" t="s">
        <v>731</v>
      </c>
      <c r="H842" t="s">
        <v>719</v>
      </c>
      <c r="J842" s="7">
        <f t="shared" si="9"/>
        <v>0</v>
      </c>
    </row>
    <row r="843" spans="1:10" hidden="1" x14ac:dyDescent="0.25">
      <c r="A843" s="1">
        <v>45189</v>
      </c>
      <c r="B843" t="s">
        <v>650</v>
      </c>
      <c r="D843" s="2">
        <v>0</v>
      </c>
      <c r="E843" s="2">
        <v>2000</v>
      </c>
      <c r="F843" s="2">
        <v>179030.22</v>
      </c>
      <c r="G843" s="55" t="s">
        <v>1052</v>
      </c>
      <c r="H843" t="s">
        <v>719</v>
      </c>
      <c r="J843" s="7">
        <f t="shared" si="9"/>
        <v>0</v>
      </c>
    </row>
    <row r="844" spans="1:10" hidden="1" x14ac:dyDescent="0.25">
      <c r="A844" s="1">
        <v>45189</v>
      </c>
      <c r="B844" t="s">
        <v>651</v>
      </c>
      <c r="D844" s="2">
        <v>0</v>
      </c>
      <c r="E844" s="2">
        <v>3000</v>
      </c>
      <c r="F844" s="2">
        <v>182030.22</v>
      </c>
      <c r="G844" s="55" t="s">
        <v>1052</v>
      </c>
      <c r="H844" t="s">
        <v>719</v>
      </c>
      <c r="J844" s="7">
        <f t="shared" si="9"/>
        <v>0</v>
      </c>
    </row>
    <row r="845" spans="1:10" hidden="1" x14ac:dyDescent="0.25">
      <c r="A845" s="1">
        <v>45189</v>
      </c>
      <c r="B845" t="s">
        <v>472</v>
      </c>
      <c r="D845" s="2">
        <v>562.02</v>
      </c>
      <c r="E845" s="2">
        <v>0</v>
      </c>
      <c r="F845" s="2">
        <v>181468.2</v>
      </c>
      <c r="G845" t="s">
        <v>731</v>
      </c>
      <c r="H845" t="s">
        <v>719</v>
      </c>
      <c r="J845" s="7">
        <f t="shared" si="9"/>
        <v>0</v>
      </c>
    </row>
    <row r="846" spans="1:10" hidden="1" x14ac:dyDescent="0.25">
      <c r="A846" s="1">
        <v>45190</v>
      </c>
      <c r="B846" t="s">
        <v>125</v>
      </c>
      <c r="D846" s="2">
        <v>249</v>
      </c>
      <c r="E846" s="2">
        <v>0</v>
      </c>
      <c r="F846" s="2">
        <v>118514.65</v>
      </c>
      <c r="G846" t="s">
        <v>792</v>
      </c>
      <c r="H846" t="s">
        <v>715</v>
      </c>
      <c r="J846" s="7">
        <f t="shared" si="9"/>
        <v>62704.550000000017</v>
      </c>
    </row>
    <row r="847" spans="1:10" hidden="1" x14ac:dyDescent="0.25">
      <c r="A847" s="1">
        <v>45190</v>
      </c>
      <c r="B847" t="s">
        <v>480</v>
      </c>
      <c r="D847" s="2">
        <v>3000</v>
      </c>
      <c r="E847" s="2">
        <v>0</v>
      </c>
      <c r="F847" s="2">
        <v>178468.2</v>
      </c>
      <c r="G847" t="s">
        <v>725</v>
      </c>
      <c r="H847" t="s">
        <v>719</v>
      </c>
      <c r="J847" s="7">
        <f t="shared" si="9"/>
        <v>-62953.550000000017</v>
      </c>
    </row>
    <row r="848" spans="1:10" hidden="1" x14ac:dyDescent="0.25">
      <c r="A848" s="1">
        <v>45190</v>
      </c>
      <c r="B848" t="s">
        <v>472</v>
      </c>
      <c r="D848" s="2">
        <v>210.07</v>
      </c>
      <c r="E848" s="2">
        <v>0</v>
      </c>
      <c r="F848" s="2">
        <v>178258.13</v>
      </c>
      <c r="G848" t="s">
        <v>731</v>
      </c>
      <c r="H848" t="s">
        <v>719</v>
      </c>
      <c r="J848" s="7">
        <f t="shared" si="9"/>
        <v>0</v>
      </c>
    </row>
    <row r="849" spans="1:10" hidden="1" x14ac:dyDescent="0.25">
      <c r="A849" s="1">
        <v>45190</v>
      </c>
      <c r="B849" t="s">
        <v>652</v>
      </c>
      <c r="D849" s="2">
        <v>2000</v>
      </c>
      <c r="E849" s="2">
        <v>0</v>
      </c>
      <c r="F849" s="2">
        <v>176258.13</v>
      </c>
      <c r="G849" t="s">
        <v>725</v>
      </c>
      <c r="H849" t="s">
        <v>719</v>
      </c>
      <c r="J849" s="7">
        <f t="shared" si="9"/>
        <v>0</v>
      </c>
    </row>
    <row r="850" spans="1:10" hidden="1" x14ac:dyDescent="0.25">
      <c r="A850" s="1">
        <v>45190</v>
      </c>
      <c r="B850" t="s">
        <v>653</v>
      </c>
      <c r="D850" s="2">
        <v>2500</v>
      </c>
      <c r="E850" s="2">
        <v>0</v>
      </c>
      <c r="F850" s="2">
        <v>173758.13</v>
      </c>
      <c r="G850" t="s">
        <v>725</v>
      </c>
      <c r="H850" t="s">
        <v>719</v>
      </c>
      <c r="J850" s="7">
        <f t="shared" si="9"/>
        <v>0</v>
      </c>
    </row>
    <row r="851" spans="1:10" hidden="1" x14ac:dyDescent="0.25">
      <c r="A851" s="1">
        <v>45190</v>
      </c>
      <c r="B851" t="s">
        <v>472</v>
      </c>
      <c r="D851" s="2">
        <v>1311.21</v>
      </c>
      <c r="E851" s="2">
        <v>0</v>
      </c>
      <c r="F851" s="2">
        <v>172446.92</v>
      </c>
      <c r="G851" t="s">
        <v>731</v>
      </c>
      <c r="H851" t="s">
        <v>719</v>
      </c>
      <c r="J851" s="7">
        <f t="shared" si="9"/>
        <v>0</v>
      </c>
    </row>
    <row r="852" spans="1:10" hidden="1" x14ac:dyDescent="0.25">
      <c r="A852" s="1">
        <v>45191</v>
      </c>
      <c r="B852" t="s">
        <v>480</v>
      </c>
      <c r="D852" s="2">
        <v>5000</v>
      </c>
      <c r="E852" s="2">
        <v>0</v>
      </c>
      <c r="F852" s="2">
        <v>167446.92000000001</v>
      </c>
      <c r="G852" t="s">
        <v>725</v>
      </c>
      <c r="H852" t="s">
        <v>719</v>
      </c>
      <c r="J852" s="7">
        <f t="shared" si="9"/>
        <v>0</v>
      </c>
    </row>
    <row r="853" spans="1:10" hidden="1" x14ac:dyDescent="0.25">
      <c r="A853" s="1">
        <v>45191</v>
      </c>
      <c r="B853" t="s">
        <v>480</v>
      </c>
      <c r="D853" s="2">
        <v>5000</v>
      </c>
      <c r="E853" s="2">
        <v>0</v>
      </c>
      <c r="F853" s="2">
        <v>162446.92000000001</v>
      </c>
      <c r="G853" t="s">
        <v>725</v>
      </c>
      <c r="H853" t="s">
        <v>719</v>
      </c>
      <c r="J853" s="7">
        <f t="shared" si="9"/>
        <v>0</v>
      </c>
    </row>
    <row r="854" spans="1:10" hidden="1" x14ac:dyDescent="0.25">
      <c r="A854" s="1">
        <v>45191</v>
      </c>
      <c r="B854" t="s">
        <v>472</v>
      </c>
      <c r="D854" s="2">
        <v>209.43</v>
      </c>
      <c r="E854" s="2">
        <v>0</v>
      </c>
      <c r="F854" s="2">
        <v>162237.49</v>
      </c>
      <c r="G854" t="s">
        <v>731</v>
      </c>
      <c r="H854" t="s">
        <v>719</v>
      </c>
      <c r="J854" s="7">
        <f t="shared" si="9"/>
        <v>0</v>
      </c>
    </row>
    <row r="855" spans="1:10" hidden="1" x14ac:dyDescent="0.25">
      <c r="A855" s="1">
        <v>45191</v>
      </c>
      <c r="B855" t="s">
        <v>472</v>
      </c>
      <c r="D855" s="2">
        <v>1668.2</v>
      </c>
      <c r="E855" s="2">
        <v>0</v>
      </c>
      <c r="F855" s="2">
        <v>160569.29</v>
      </c>
      <c r="G855" t="s">
        <v>731</v>
      </c>
      <c r="H855" t="s">
        <v>719</v>
      </c>
      <c r="J855" s="7">
        <f t="shared" si="9"/>
        <v>0</v>
      </c>
    </row>
    <row r="856" spans="1:10" hidden="1" x14ac:dyDescent="0.25">
      <c r="A856" s="1">
        <v>45192</v>
      </c>
      <c r="B856" t="s">
        <v>126</v>
      </c>
      <c r="D856" s="2">
        <v>50</v>
      </c>
      <c r="E856" s="2">
        <v>0</v>
      </c>
      <c r="F856" s="2">
        <v>118464.65</v>
      </c>
      <c r="G856" t="s">
        <v>792</v>
      </c>
      <c r="H856" t="s">
        <v>715</v>
      </c>
      <c r="J856" s="7">
        <f t="shared" si="9"/>
        <v>42054.640000000014</v>
      </c>
    </row>
    <row r="857" spans="1:10" hidden="1" x14ac:dyDescent="0.25">
      <c r="A857" s="1">
        <v>45192</v>
      </c>
      <c r="B857" t="s">
        <v>127</v>
      </c>
      <c r="D857" s="2">
        <v>1530</v>
      </c>
      <c r="E857" s="2">
        <v>0</v>
      </c>
      <c r="F857" s="2">
        <v>116934.65</v>
      </c>
      <c r="G857" t="s">
        <v>793</v>
      </c>
      <c r="H857" t="s">
        <v>715</v>
      </c>
      <c r="J857" s="7">
        <f t="shared" si="9"/>
        <v>0</v>
      </c>
    </row>
    <row r="858" spans="1:10" hidden="1" x14ac:dyDescent="0.25">
      <c r="A858" s="1">
        <v>45194</v>
      </c>
      <c r="B858" t="s">
        <v>618</v>
      </c>
      <c r="D858" s="2">
        <v>0</v>
      </c>
      <c r="E858" s="2">
        <v>154.68</v>
      </c>
      <c r="F858" s="2">
        <v>160723.97</v>
      </c>
      <c r="G858" t="s">
        <v>731</v>
      </c>
      <c r="H858" t="s">
        <v>719</v>
      </c>
      <c r="J858" s="7">
        <f t="shared" si="9"/>
        <v>-43634.640000000014</v>
      </c>
    </row>
    <row r="859" spans="1:10" hidden="1" x14ac:dyDescent="0.25">
      <c r="A859" s="1">
        <v>45194</v>
      </c>
      <c r="B859" t="s">
        <v>618</v>
      </c>
      <c r="D859" s="2">
        <v>0</v>
      </c>
      <c r="E859" s="2">
        <v>6640.5</v>
      </c>
      <c r="F859" s="2">
        <v>167364.47</v>
      </c>
      <c r="G859" t="s">
        <v>731</v>
      </c>
      <c r="H859" t="s">
        <v>719</v>
      </c>
      <c r="J859" s="7">
        <f t="shared" si="9"/>
        <v>0</v>
      </c>
    </row>
    <row r="860" spans="1:10" hidden="1" x14ac:dyDescent="0.25">
      <c r="A860" s="1">
        <v>45194</v>
      </c>
      <c r="B860" t="s">
        <v>472</v>
      </c>
      <c r="D860" s="2">
        <v>625.83000000000004</v>
      </c>
      <c r="E860" s="2">
        <v>0</v>
      </c>
      <c r="F860" s="2">
        <v>166738.64000000001</v>
      </c>
      <c r="G860" t="s">
        <v>731</v>
      </c>
      <c r="H860" t="s">
        <v>719</v>
      </c>
      <c r="J860" s="7">
        <f t="shared" si="9"/>
        <v>0</v>
      </c>
    </row>
    <row r="861" spans="1:10" hidden="1" x14ac:dyDescent="0.25">
      <c r="A861" s="1">
        <v>45194</v>
      </c>
      <c r="B861" t="s">
        <v>472</v>
      </c>
      <c r="D861" s="2">
        <v>5026.76</v>
      </c>
      <c r="E861" s="2">
        <v>0</v>
      </c>
      <c r="F861" s="2">
        <v>161711.88</v>
      </c>
      <c r="G861" t="s">
        <v>731</v>
      </c>
      <c r="H861" t="s">
        <v>719</v>
      </c>
      <c r="J861" s="7">
        <f t="shared" si="9"/>
        <v>0</v>
      </c>
    </row>
    <row r="862" spans="1:10" hidden="1" x14ac:dyDescent="0.25">
      <c r="A862" s="1">
        <v>45194</v>
      </c>
      <c r="B862" t="s">
        <v>187</v>
      </c>
      <c r="C862">
        <v>0</v>
      </c>
      <c r="D862" s="2">
        <v>0</v>
      </c>
      <c r="E862" s="2">
        <v>540</v>
      </c>
      <c r="F862" s="2">
        <v>63185.16</v>
      </c>
      <c r="G862" t="s">
        <v>788</v>
      </c>
      <c r="H862" t="s">
        <v>716</v>
      </c>
      <c r="J862" s="7">
        <f t="shared" si="9"/>
        <v>99066.72</v>
      </c>
    </row>
    <row r="863" spans="1:10" hidden="1" x14ac:dyDescent="0.25">
      <c r="A863" s="1">
        <v>45195</v>
      </c>
      <c r="B863" t="s">
        <v>472</v>
      </c>
      <c r="D863" s="2">
        <v>205.67</v>
      </c>
      <c r="E863" s="2">
        <v>0</v>
      </c>
      <c r="F863" s="2">
        <v>161506.21</v>
      </c>
      <c r="G863" t="s">
        <v>731</v>
      </c>
      <c r="H863" t="s">
        <v>719</v>
      </c>
      <c r="J863" s="7">
        <f t="shared" si="9"/>
        <v>-98526.719999999987</v>
      </c>
    </row>
    <row r="864" spans="1:10" hidden="1" x14ac:dyDescent="0.25">
      <c r="A864" s="1">
        <v>45195</v>
      </c>
      <c r="B864" t="s">
        <v>472</v>
      </c>
      <c r="D864" s="2">
        <v>10787.08</v>
      </c>
      <c r="E864" s="2">
        <v>0</v>
      </c>
      <c r="F864" s="2">
        <v>150719.13</v>
      </c>
      <c r="G864" t="s">
        <v>731</v>
      </c>
      <c r="H864" t="s">
        <v>719</v>
      </c>
      <c r="J864" s="7">
        <f t="shared" si="9"/>
        <v>0</v>
      </c>
    </row>
    <row r="865" spans="1:10" hidden="1" x14ac:dyDescent="0.25">
      <c r="A865" s="1">
        <v>45195</v>
      </c>
      <c r="B865" t="s">
        <v>472</v>
      </c>
      <c r="D865" s="2">
        <v>318.19</v>
      </c>
      <c r="E865" s="2">
        <v>0</v>
      </c>
      <c r="F865" s="2">
        <v>150400.94</v>
      </c>
      <c r="G865" t="s">
        <v>731</v>
      </c>
      <c r="H865" t="s">
        <v>719</v>
      </c>
      <c r="J865" s="7">
        <f t="shared" si="9"/>
        <v>0</v>
      </c>
    </row>
    <row r="866" spans="1:10" hidden="1" x14ac:dyDescent="0.25">
      <c r="A866" s="1">
        <v>45196</v>
      </c>
      <c r="B866" t="s">
        <v>472</v>
      </c>
      <c r="D866" s="2">
        <v>209.66</v>
      </c>
      <c r="E866" s="2">
        <v>0</v>
      </c>
      <c r="F866" s="2">
        <v>150191.28</v>
      </c>
      <c r="G866" t="s">
        <v>731</v>
      </c>
      <c r="H866" t="s">
        <v>719</v>
      </c>
      <c r="J866" s="7">
        <f t="shared" si="9"/>
        <v>0</v>
      </c>
    </row>
    <row r="867" spans="1:10" hidden="1" x14ac:dyDescent="0.25">
      <c r="A867" s="1">
        <v>45196</v>
      </c>
      <c r="B867" t="s">
        <v>654</v>
      </c>
      <c r="D867" s="2">
        <v>30000</v>
      </c>
      <c r="E867" s="2">
        <v>0</v>
      </c>
      <c r="F867" s="2">
        <v>120191.28</v>
      </c>
      <c r="G867" s="55" t="s">
        <v>1052</v>
      </c>
      <c r="H867" t="s">
        <v>719</v>
      </c>
      <c r="J867" s="7">
        <f t="shared" si="9"/>
        <v>0</v>
      </c>
    </row>
    <row r="868" spans="1:10" hidden="1" x14ac:dyDescent="0.25">
      <c r="A868" s="1">
        <v>45196</v>
      </c>
      <c r="B868" t="s">
        <v>244</v>
      </c>
      <c r="C868">
        <v>0</v>
      </c>
      <c r="D868" s="2">
        <v>0</v>
      </c>
      <c r="E868" s="2">
        <v>210</v>
      </c>
      <c r="F868" s="2">
        <v>63395.16</v>
      </c>
      <c r="G868" t="s">
        <v>736</v>
      </c>
      <c r="H868" t="s">
        <v>716</v>
      </c>
      <c r="J868" s="7">
        <f t="shared" si="9"/>
        <v>57006.119999999995</v>
      </c>
    </row>
    <row r="869" spans="1:10" hidden="1" x14ac:dyDescent="0.25">
      <c r="A869" s="1">
        <v>45197</v>
      </c>
      <c r="B869" t="s">
        <v>618</v>
      </c>
      <c r="D869" s="2">
        <v>0</v>
      </c>
      <c r="E869" s="2">
        <v>1985.82</v>
      </c>
      <c r="F869" s="2">
        <v>122177.1</v>
      </c>
      <c r="G869" t="s">
        <v>731</v>
      </c>
      <c r="H869" t="s">
        <v>719</v>
      </c>
      <c r="J869" s="7">
        <f t="shared" si="9"/>
        <v>-56796.12</v>
      </c>
    </row>
    <row r="870" spans="1:10" hidden="1" x14ac:dyDescent="0.25">
      <c r="A870" s="1">
        <v>45197</v>
      </c>
      <c r="B870" t="s">
        <v>618</v>
      </c>
      <c r="D870" s="2">
        <v>0</v>
      </c>
      <c r="E870" s="2">
        <v>18671.259999999998</v>
      </c>
      <c r="F870" s="2">
        <v>140848.35999999999</v>
      </c>
      <c r="G870" t="s">
        <v>731</v>
      </c>
      <c r="H870" t="s">
        <v>719</v>
      </c>
      <c r="J870" s="7">
        <f t="shared" si="9"/>
        <v>0</v>
      </c>
    </row>
    <row r="871" spans="1:10" hidden="1" x14ac:dyDescent="0.25">
      <c r="A871" s="1">
        <v>45197</v>
      </c>
      <c r="B871" t="s">
        <v>480</v>
      </c>
      <c r="D871" s="2">
        <v>3000</v>
      </c>
      <c r="E871" s="2">
        <v>0</v>
      </c>
      <c r="F871" s="2">
        <v>137848.35999999999</v>
      </c>
      <c r="G871" t="s">
        <v>725</v>
      </c>
      <c r="H871" t="s">
        <v>719</v>
      </c>
      <c r="J871" s="7">
        <f t="shared" si="9"/>
        <v>0</v>
      </c>
    </row>
    <row r="872" spans="1:10" hidden="1" x14ac:dyDescent="0.25">
      <c r="A872" s="1">
        <v>45197</v>
      </c>
      <c r="B872" t="s">
        <v>472</v>
      </c>
      <c r="D872" s="2">
        <v>209.66</v>
      </c>
      <c r="E872" s="2">
        <v>0</v>
      </c>
      <c r="F872" s="2">
        <v>137638.70000000001</v>
      </c>
      <c r="G872" t="s">
        <v>731</v>
      </c>
      <c r="H872" t="s">
        <v>719</v>
      </c>
      <c r="J872" s="7">
        <f t="shared" si="9"/>
        <v>0</v>
      </c>
    </row>
    <row r="873" spans="1:10" hidden="1" x14ac:dyDescent="0.25">
      <c r="A873" s="1">
        <v>45198</v>
      </c>
      <c r="B873" t="s">
        <v>128</v>
      </c>
      <c r="D873" s="2">
        <v>992.81</v>
      </c>
      <c r="E873" s="2">
        <v>0</v>
      </c>
      <c r="F873" s="2">
        <v>115941.84</v>
      </c>
      <c r="G873" s="55" t="s">
        <v>1052</v>
      </c>
      <c r="H873" t="s">
        <v>715</v>
      </c>
      <c r="J873" s="7">
        <f t="shared" si="9"/>
        <v>20704.050000000017</v>
      </c>
    </row>
    <row r="874" spans="1:10" hidden="1" x14ac:dyDescent="0.25">
      <c r="A874" s="1">
        <v>45198</v>
      </c>
      <c r="B874" t="s">
        <v>472</v>
      </c>
      <c r="D874" s="2">
        <v>32139.83</v>
      </c>
      <c r="E874" s="2">
        <v>0</v>
      </c>
      <c r="F874" s="2">
        <v>105498.87</v>
      </c>
      <c r="G874" t="s">
        <v>731</v>
      </c>
      <c r="H874" t="s">
        <v>719</v>
      </c>
      <c r="J874" s="7">
        <f t="shared" si="9"/>
        <v>-21696.86</v>
      </c>
    </row>
    <row r="875" spans="1:10" hidden="1" x14ac:dyDescent="0.25">
      <c r="A875" s="1">
        <v>45198</v>
      </c>
      <c r="B875" t="s">
        <v>472</v>
      </c>
      <c r="D875" s="2">
        <v>194.79</v>
      </c>
      <c r="E875" s="2">
        <v>0</v>
      </c>
      <c r="F875" s="2">
        <v>105304.08</v>
      </c>
      <c r="G875" t="s">
        <v>731</v>
      </c>
      <c r="H875" t="s">
        <v>719</v>
      </c>
      <c r="J875" s="7">
        <f t="shared" si="9"/>
        <v>0</v>
      </c>
    </row>
    <row r="876" spans="1:10" hidden="1" x14ac:dyDescent="0.25">
      <c r="A876" s="1">
        <v>45198</v>
      </c>
      <c r="B876" t="s">
        <v>655</v>
      </c>
      <c r="D876" s="2">
        <v>0</v>
      </c>
      <c r="E876" s="2">
        <v>175</v>
      </c>
      <c r="F876" s="2">
        <v>105479.08</v>
      </c>
      <c r="G876" t="s">
        <v>736</v>
      </c>
      <c r="H876" t="s">
        <v>719</v>
      </c>
      <c r="J876" s="7">
        <f t="shared" si="9"/>
        <v>0</v>
      </c>
    </row>
    <row r="877" spans="1:10" hidden="1" x14ac:dyDescent="0.25">
      <c r="A877" s="1">
        <v>45198</v>
      </c>
      <c r="B877" t="s">
        <v>656</v>
      </c>
      <c r="D877" s="2">
        <v>0</v>
      </c>
      <c r="E877" s="2">
        <v>125</v>
      </c>
      <c r="F877" s="2">
        <v>105604.08</v>
      </c>
      <c r="G877" t="s">
        <v>736</v>
      </c>
      <c r="H877" t="s">
        <v>719</v>
      </c>
      <c r="J877" s="7">
        <f t="shared" si="9"/>
        <v>0</v>
      </c>
    </row>
    <row r="878" spans="1:10" hidden="1" x14ac:dyDescent="0.25">
      <c r="A878" s="1">
        <v>45199</v>
      </c>
      <c r="B878" t="s">
        <v>380</v>
      </c>
      <c r="C878">
        <v>0</v>
      </c>
      <c r="D878" s="2">
        <v>1869</v>
      </c>
      <c r="E878" s="2">
        <v>0</v>
      </c>
      <c r="F878" s="2">
        <v>-28935.37</v>
      </c>
      <c r="G878" t="s">
        <v>790</v>
      </c>
      <c r="H878" t="s">
        <v>718</v>
      </c>
      <c r="J878" s="7">
        <f t="shared" si="9"/>
        <v>132670.45000000001</v>
      </c>
    </row>
    <row r="879" spans="1:10" hidden="1" x14ac:dyDescent="0.25">
      <c r="A879" s="1">
        <v>45200</v>
      </c>
      <c r="B879" t="s">
        <v>129</v>
      </c>
      <c r="D879" s="2">
        <v>0</v>
      </c>
      <c r="E879" s="2">
        <v>905</v>
      </c>
      <c r="F879" s="2">
        <v>116846.84</v>
      </c>
      <c r="G879" t="s">
        <v>788</v>
      </c>
      <c r="H879" t="s">
        <v>715</v>
      </c>
      <c r="J879" s="7">
        <f t="shared" si="9"/>
        <v>-144877.21</v>
      </c>
    </row>
    <row r="880" spans="1:10" hidden="1" x14ac:dyDescent="0.25">
      <c r="A880" s="1">
        <v>45200</v>
      </c>
      <c r="B880" t="s">
        <v>538</v>
      </c>
      <c r="D880" s="2">
        <v>0</v>
      </c>
      <c r="E880" s="2">
        <v>945</v>
      </c>
      <c r="F880" s="2">
        <v>106549.08</v>
      </c>
      <c r="G880" t="s">
        <v>788</v>
      </c>
      <c r="H880" t="s">
        <v>719</v>
      </c>
      <c r="J880" s="7">
        <f t="shared" si="9"/>
        <v>11242.759999999995</v>
      </c>
    </row>
    <row r="881" spans="1:10" hidden="1" x14ac:dyDescent="0.25">
      <c r="A881" s="1">
        <v>45200</v>
      </c>
      <c r="B881" t="s">
        <v>243</v>
      </c>
      <c r="C881">
        <v>0</v>
      </c>
      <c r="D881" s="2">
        <v>5000</v>
      </c>
      <c r="E881" s="2">
        <v>0</v>
      </c>
      <c r="F881" s="2">
        <v>58395.16</v>
      </c>
      <c r="G881" t="s">
        <v>734</v>
      </c>
      <c r="H881" t="s">
        <v>716</v>
      </c>
      <c r="J881" s="7">
        <f t="shared" si="9"/>
        <v>43153.919999999998</v>
      </c>
    </row>
    <row r="882" spans="1:10" hidden="1" x14ac:dyDescent="0.25">
      <c r="A882" s="1">
        <v>45201</v>
      </c>
      <c r="B882" t="s">
        <v>130</v>
      </c>
      <c r="D882" s="2">
        <v>356</v>
      </c>
      <c r="E882" s="2">
        <v>0</v>
      </c>
      <c r="F882" s="2">
        <v>116490.84</v>
      </c>
      <c r="G882" t="s">
        <v>792</v>
      </c>
      <c r="H882" t="s">
        <v>715</v>
      </c>
      <c r="J882" s="7">
        <f t="shared" si="9"/>
        <v>-58451.679999999993</v>
      </c>
    </row>
    <row r="883" spans="1:10" hidden="1" x14ac:dyDescent="0.25">
      <c r="A883" s="1">
        <v>45201</v>
      </c>
      <c r="B883" t="s">
        <v>214</v>
      </c>
      <c r="C883" t="s">
        <v>206</v>
      </c>
      <c r="D883" s="2">
        <v>26595</v>
      </c>
      <c r="E883" s="2">
        <v>0</v>
      </c>
      <c r="F883" s="2">
        <v>31800.16</v>
      </c>
      <c r="G883" t="s">
        <v>724</v>
      </c>
      <c r="H883" t="s">
        <v>716</v>
      </c>
      <c r="J883" s="7">
        <f t="shared" si="9"/>
        <v>58095.679999999993</v>
      </c>
    </row>
    <row r="884" spans="1:10" hidden="1" x14ac:dyDescent="0.25">
      <c r="A884" s="1">
        <v>45201</v>
      </c>
      <c r="B884" t="s">
        <v>371</v>
      </c>
      <c r="C884" t="s">
        <v>372</v>
      </c>
      <c r="D884" s="2">
        <v>0</v>
      </c>
      <c r="E884" s="2">
        <v>26595</v>
      </c>
      <c r="F884" s="2">
        <v>-2340.37</v>
      </c>
      <c r="G884" t="s">
        <v>724</v>
      </c>
      <c r="H884" t="s">
        <v>718</v>
      </c>
      <c r="J884" s="7">
        <f t="shared" si="9"/>
        <v>60735.530000000006</v>
      </c>
    </row>
    <row r="885" spans="1:10" hidden="1" x14ac:dyDescent="0.25">
      <c r="A885" s="1">
        <v>45202</v>
      </c>
      <c r="B885" t="s">
        <v>618</v>
      </c>
      <c r="D885" s="2">
        <v>0</v>
      </c>
      <c r="E885" s="2">
        <v>13464.94</v>
      </c>
      <c r="F885" s="2">
        <v>120014.02</v>
      </c>
      <c r="G885" t="s">
        <v>731</v>
      </c>
      <c r="H885" t="s">
        <v>719</v>
      </c>
      <c r="J885" s="7">
        <f t="shared" si="9"/>
        <v>-108889.45000000001</v>
      </c>
    </row>
    <row r="886" spans="1:10" hidden="1" x14ac:dyDescent="0.25">
      <c r="A886" s="1">
        <v>45202</v>
      </c>
      <c r="B886" t="s">
        <v>618</v>
      </c>
      <c r="D886" s="2">
        <v>0</v>
      </c>
      <c r="E886" s="2">
        <v>19541.150000000001</v>
      </c>
      <c r="F886" s="2">
        <v>139555.17000000001</v>
      </c>
      <c r="G886" t="s">
        <v>731</v>
      </c>
      <c r="H886" t="s">
        <v>719</v>
      </c>
      <c r="J886" s="7">
        <f t="shared" si="9"/>
        <v>0</v>
      </c>
    </row>
    <row r="887" spans="1:10" hidden="1" x14ac:dyDescent="0.25">
      <c r="A887" s="1">
        <v>45203</v>
      </c>
      <c r="B887" t="s">
        <v>472</v>
      </c>
      <c r="D887" s="2">
        <v>52206.41</v>
      </c>
      <c r="E887" s="2">
        <v>0</v>
      </c>
      <c r="F887" s="2">
        <v>87348.76</v>
      </c>
      <c r="G887" t="s">
        <v>731</v>
      </c>
      <c r="H887" t="s">
        <v>719</v>
      </c>
      <c r="J887" s="7">
        <f t="shared" si="9"/>
        <v>0</v>
      </c>
    </row>
    <row r="888" spans="1:10" hidden="1" x14ac:dyDescent="0.25">
      <c r="A888" s="1">
        <v>45203</v>
      </c>
      <c r="B888" t="s">
        <v>618</v>
      </c>
      <c r="D888" s="2">
        <v>0</v>
      </c>
      <c r="E888" s="2">
        <v>56306</v>
      </c>
      <c r="F888" s="2">
        <v>143654.76</v>
      </c>
      <c r="G888" t="s">
        <v>731</v>
      </c>
      <c r="H888" t="s">
        <v>719</v>
      </c>
      <c r="J888" s="7">
        <f t="shared" si="9"/>
        <v>0</v>
      </c>
    </row>
    <row r="889" spans="1:10" hidden="1" x14ac:dyDescent="0.25">
      <c r="A889" s="1">
        <v>45203</v>
      </c>
      <c r="B889" t="s">
        <v>472</v>
      </c>
      <c r="D889" s="2">
        <v>176.75</v>
      </c>
      <c r="E889" s="2">
        <v>0</v>
      </c>
      <c r="F889" s="2">
        <v>143478.01</v>
      </c>
      <c r="G889" t="s">
        <v>731</v>
      </c>
      <c r="H889" t="s">
        <v>719</v>
      </c>
      <c r="J889" s="7">
        <f t="shared" si="9"/>
        <v>0</v>
      </c>
    </row>
    <row r="890" spans="1:10" hidden="1" x14ac:dyDescent="0.25">
      <c r="A890" s="1">
        <v>45203</v>
      </c>
      <c r="B890" t="s">
        <v>657</v>
      </c>
      <c r="D890" s="2">
        <v>0</v>
      </c>
      <c r="E890" s="2">
        <v>2694</v>
      </c>
      <c r="F890" s="2">
        <v>146172.01</v>
      </c>
      <c r="G890" t="s">
        <v>736</v>
      </c>
      <c r="H890" t="s">
        <v>719</v>
      </c>
      <c r="J890" s="7">
        <f t="shared" si="9"/>
        <v>0</v>
      </c>
    </row>
    <row r="891" spans="1:10" hidden="1" x14ac:dyDescent="0.25">
      <c r="A891" s="1">
        <v>45203</v>
      </c>
      <c r="B891" t="s">
        <v>472</v>
      </c>
      <c r="D891" s="2">
        <v>8123.31</v>
      </c>
      <c r="E891" s="2">
        <v>0</v>
      </c>
      <c r="F891" s="2">
        <v>138048.70000000001</v>
      </c>
      <c r="G891" t="s">
        <v>731</v>
      </c>
      <c r="H891" t="s">
        <v>719</v>
      </c>
      <c r="J891" s="7">
        <f t="shared" si="9"/>
        <v>0</v>
      </c>
    </row>
    <row r="892" spans="1:10" hidden="1" x14ac:dyDescent="0.25">
      <c r="A892" s="1">
        <v>45203</v>
      </c>
      <c r="B892" t="s">
        <v>472</v>
      </c>
      <c r="D892" s="2">
        <v>48808.14</v>
      </c>
      <c r="E892" s="2">
        <v>0</v>
      </c>
      <c r="F892" s="2">
        <v>89240.56</v>
      </c>
      <c r="G892" t="s">
        <v>731</v>
      </c>
      <c r="H892" t="s">
        <v>719</v>
      </c>
      <c r="J892" s="7">
        <f t="shared" si="9"/>
        <v>0</v>
      </c>
    </row>
    <row r="893" spans="1:10" hidden="1" x14ac:dyDescent="0.25">
      <c r="A893" s="1">
        <v>45203</v>
      </c>
      <c r="B893" t="s">
        <v>242</v>
      </c>
      <c r="C893">
        <v>0</v>
      </c>
      <c r="D893" s="2">
        <v>0</v>
      </c>
      <c r="E893" s="2">
        <v>384</v>
      </c>
      <c r="F893" s="2">
        <v>32184.16</v>
      </c>
      <c r="G893" t="s">
        <v>736</v>
      </c>
      <c r="H893" t="s">
        <v>716</v>
      </c>
      <c r="J893" s="7">
        <f t="shared" si="9"/>
        <v>57440.399999999994</v>
      </c>
    </row>
    <row r="894" spans="1:10" hidden="1" x14ac:dyDescent="0.25">
      <c r="A894" s="1">
        <v>45204</v>
      </c>
      <c r="B894" t="s">
        <v>472</v>
      </c>
      <c r="D894" s="2">
        <v>152.68</v>
      </c>
      <c r="E894" s="2">
        <v>0</v>
      </c>
      <c r="F894" s="2">
        <v>89087.88</v>
      </c>
      <c r="G894" t="s">
        <v>731</v>
      </c>
      <c r="H894" t="s">
        <v>719</v>
      </c>
      <c r="J894" s="7">
        <f t="shared" si="9"/>
        <v>-57056.400000000009</v>
      </c>
    </row>
    <row r="895" spans="1:10" hidden="1" x14ac:dyDescent="0.25">
      <c r="A895" s="1">
        <v>45204</v>
      </c>
      <c r="B895" t="s">
        <v>658</v>
      </c>
      <c r="D895" s="2">
        <v>0</v>
      </c>
      <c r="E895" s="2">
        <v>20</v>
      </c>
      <c r="F895" s="2">
        <v>89107.88</v>
      </c>
      <c r="G895" t="s">
        <v>736</v>
      </c>
      <c r="H895" t="s">
        <v>719</v>
      </c>
      <c r="J895" s="7">
        <f t="shared" si="9"/>
        <v>0</v>
      </c>
    </row>
    <row r="896" spans="1:10" hidden="1" x14ac:dyDescent="0.25">
      <c r="A896" s="1">
        <v>45204</v>
      </c>
      <c r="B896" t="s">
        <v>472</v>
      </c>
      <c r="D896" s="2">
        <v>170.27</v>
      </c>
      <c r="E896" s="2">
        <v>0</v>
      </c>
      <c r="F896" s="2">
        <v>88937.61</v>
      </c>
      <c r="G896" t="s">
        <v>731</v>
      </c>
      <c r="H896" t="s">
        <v>719</v>
      </c>
      <c r="J896" s="7">
        <f t="shared" si="9"/>
        <v>0</v>
      </c>
    </row>
    <row r="897" spans="1:10" hidden="1" x14ac:dyDescent="0.25">
      <c r="A897" s="1">
        <v>45205</v>
      </c>
      <c r="B897" t="s">
        <v>618</v>
      </c>
      <c r="D897" s="2">
        <v>0</v>
      </c>
      <c r="E897" s="2">
        <v>30492.39</v>
      </c>
      <c r="F897" s="2">
        <v>119430</v>
      </c>
      <c r="G897" t="s">
        <v>731</v>
      </c>
      <c r="H897" t="s">
        <v>719</v>
      </c>
      <c r="J897" s="7">
        <f t="shared" si="9"/>
        <v>0</v>
      </c>
    </row>
    <row r="898" spans="1:10" hidden="1" x14ac:dyDescent="0.25">
      <c r="A898" s="1">
        <v>45205</v>
      </c>
      <c r="B898" t="s">
        <v>472</v>
      </c>
      <c r="D898" s="2">
        <v>160.56</v>
      </c>
      <c r="E898" s="2">
        <v>0</v>
      </c>
      <c r="F898" s="2">
        <v>119269.44</v>
      </c>
      <c r="G898" t="s">
        <v>731</v>
      </c>
      <c r="H898" t="s">
        <v>719</v>
      </c>
      <c r="J898" s="7">
        <f t="shared" si="9"/>
        <v>0</v>
      </c>
    </row>
    <row r="899" spans="1:10" hidden="1" x14ac:dyDescent="0.25">
      <c r="A899" s="1">
        <v>45205</v>
      </c>
      <c r="B899" t="s">
        <v>472</v>
      </c>
      <c r="D899" s="2">
        <v>16477.41</v>
      </c>
      <c r="E899" s="2">
        <v>0</v>
      </c>
      <c r="F899" s="2">
        <v>102792.03</v>
      </c>
      <c r="G899" t="s">
        <v>731</v>
      </c>
      <c r="H899" t="s">
        <v>719</v>
      </c>
      <c r="J899" s="7">
        <f t="shared" si="9"/>
        <v>0</v>
      </c>
    </row>
    <row r="900" spans="1:10" hidden="1" x14ac:dyDescent="0.25">
      <c r="A900" s="1">
        <v>45205</v>
      </c>
      <c r="B900" t="s">
        <v>241</v>
      </c>
      <c r="C900">
        <v>0</v>
      </c>
      <c r="D900" s="2">
        <v>0</v>
      </c>
      <c r="E900" s="2">
        <v>13.5</v>
      </c>
      <c r="F900" s="2">
        <v>32197.66</v>
      </c>
      <c r="G900" t="s">
        <v>736</v>
      </c>
      <c r="H900" t="s">
        <v>716</v>
      </c>
      <c r="J900" s="7">
        <f t="shared" si="9"/>
        <v>70607.87</v>
      </c>
    </row>
    <row r="901" spans="1:10" hidden="1" x14ac:dyDescent="0.25">
      <c r="A901" s="1">
        <v>45205</v>
      </c>
      <c r="B901" t="s">
        <v>183</v>
      </c>
      <c r="C901" t="s">
        <v>240</v>
      </c>
      <c r="D901" s="2">
        <v>0</v>
      </c>
      <c r="E901" s="2">
        <v>10636.95</v>
      </c>
      <c r="F901" s="2">
        <v>42834.61</v>
      </c>
      <c r="G901" s="55" t="s">
        <v>1052</v>
      </c>
      <c r="H901" t="s">
        <v>716</v>
      </c>
      <c r="J901" s="7">
        <f t="shared" si="9"/>
        <v>0</v>
      </c>
    </row>
    <row r="902" spans="1:10" hidden="1" x14ac:dyDescent="0.25">
      <c r="A902" s="1">
        <v>45208</v>
      </c>
      <c r="B902" t="s">
        <v>25</v>
      </c>
      <c r="D902" s="2">
        <v>9198.4699999999993</v>
      </c>
      <c r="E902" s="2">
        <v>0</v>
      </c>
      <c r="F902" s="2">
        <v>107292.37</v>
      </c>
      <c r="G902" t="s">
        <v>794</v>
      </c>
      <c r="H902" t="s">
        <v>715</v>
      </c>
      <c r="J902" s="7">
        <f t="shared" si="9"/>
        <v>-73656.23</v>
      </c>
    </row>
    <row r="903" spans="1:10" hidden="1" x14ac:dyDescent="0.25">
      <c r="A903" s="1">
        <v>45208</v>
      </c>
      <c r="B903" t="s">
        <v>131</v>
      </c>
      <c r="D903" s="2">
        <v>450</v>
      </c>
      <c r="E903" s="2">
        <v>0</v>
      </c>
      <c r="F903" s="2">
        <v>106842.37</v>
      </c>
      <c r="G903" t="s">
        <v>792</v>
      </c>
      <c r="H903" t="s">
        <v>715</v>
      </c>
      <c r="J903" s="7">
        <f t="shared" ref="J903:J966" si="10">F902-D903+E903-F903</f>
        <v>0</v>
      </c>
    </row>
    <row r="904" spans="1:10" hidden="1" x14ac:dyDescent="0.25">
      <c r="A904" s="1">
        <v>45208</v>
      </c>
      <c r="B904" t="s">
        <v>132</v>
      </c>
      <c r="D904" s="2">
        <v>675</v>
      </c>
      <c r="E904" s="2">
        <v>0</v>
      </c>
      <c r="F904" s="2">
        <v>106167.37</v>
      </c>
      <c r="G904" t="s">
        <v>792</v>
      </c>
      <c r="H904" t="s">
        <v>715</v>
      </c>
      <c r="J904" s="7">
        <f t="shared" si="10"/>
        <v>0</v>
      </c>
    </row>
    <row r="905" spans="1:10" hidden="1" x14ac:dyDescent="0.25">
      <c r="A905" s="1">
        <v>45208</v>
      </c>
      <c r="B905" t="s">
        <v>133</v>
      </c>
      <c r="D905" s="2">
        <v>250</v>
      </c>
      <c r="E905" s="2">
        <v>0</v>
      </c>
      <c r="F905" s="2">
        <v>105917.37</v>
      </c>
      <c r="G905" t="s">
        <v>792</v>
      </c>
      <c r="H905" t="s">
        <v>715</v>
      </c>
      <c r="J905" s="7">
        <f t="shared" si="10"/>
        <v>0</v>
      </c>
    </row>
    <row r="906" spans="1:10" hidden="1" x14ac:dyDescent="0.25">
      <c r="A906" s="1">
        <v>45208</v>
      </c>
      <c r="B906" t="s">
        <v>618</v>
      </c>
      <c r="D906" s="2">
        <v>0</v>
      </c>
      <c r="E906" s="2">
        <v>20410.2</v>
      </c>
      <c r="F906" s="2">
        <v>123202.23</v>
      </c>
      <c r="G906" t="s">
        <v>731</v>
      </c>
      <c r="H906" t="s">
        <v>719</v>
      </c>
      <c r="J906" s="7">
        <f t="shared" si="10"/>
        <v>3125.3399999999965</v>
      </c>
    </row>
    <row r="907" spans="1:10" hidden="1" x14ac:dyDescent="0.25">
      <c r="A907" s="1">
        <v>45208</v>
      </c>
      <c r="B907" t="s">
        <v>480</v>
      </c>
      <c r="D907" s="2">
        <v>3000</v>
      </c>
      <c r="E907" s="2">
        <v>0</v>
      </c>
      <c r="F907" s="2">
        <v>120202.23</v>
      </c>
      <c r="G907" t="s">
        <v>725</v>
      </c>
      <c r="H907" t="s">
        <v>719</v>
      </c>
      <c r="J907" s="7">
        <f t="shared" si="10"/>
        <v>0</v>
      </c>
    </row>
    <row r="908" spans="1:10" hidden="1" x14ac:dyDescent="0.25">
      <c r="A908" s="1">
        <v>45208</v>
      </c>
      <c r="B908" t="s">
        <v>472</v>
      </c>
      <c r="D908" s="2">
        <v>457.32</v>
      </c>
      <c r="E908" s="2">
        <v>0</v>
      </c>
      <c r="F908" s="2">
        <v>119744.91</v>
      </c>
      <c r="G908" t="s">
        <v>731</v>
      </c>
      <c r="H908" t="s">
        <v>719</v>
      </c>
      <c r="J908" s="7">
        <f t="shared" si="10"/>
        <v>0</v>
      </c>
    </row>
    <row r="909" spans="1:10" hidden="1" x14ac:dyDescent="0.25">
      <c r="A909" s="1">
        <v>45208</v>
      </c>
      <c r="B909" t="s">
        <v>472</v>
      </c>
      <c r="D909" s="2">
        <v>25213.45</v>
      </c>
      <c r="E909" s="2">
        <v>0</v>
      </c>
      <c r="F909" s="2">
        <v>94531.46</v>
      </c>
      <c r="G909" t="s">
        <v>731</v>
      </c>
      <c r="H909" t="s">
        <v>719</v>
      </c>
      <c r="J909" s="7">
        <f t="shared" si="10"/>
        <v>0</v>
      </c>
    </row>
    <row r="910" spans="1:10" hidden="1" x14ac:dyDescent="0.25">
      <c r="A910" s="1">
        <v>45208</v>
      </c>
      <c r="B910" t="s">
        <v>472</v>
      </c>
      <c r="D910" s="2">
        <v>1049.1099999999999</v>
      </c>
      <c r="E910" s="2">
        <v>0</v>
      </c>
      <c r="F910" s="2">
        <v>93482.35</v>
      </c>
      <c r="G910" t="s">
        <v>731</v>
      </c>
      <c r="H910" t="s">
        <v>719</v>
      </c>
      <c r="J910" s="7">
        <f t="shared" si="10"/>
        <v>0</v>
      </c>
    </row>
    <row r="911" spans="1:10" hidden="1" x14ac:dyDescent="0.25">
      <c r="A911" s="1">
        <v>45209</v>
      </c>
      <c r="B911" t="s">
        <v>480</v>
      </c>
      <c r="D911" s="2">
        <v>3000</v>
      </c>
      <c r="E911" s="2">
        <v>0</v>
      </c>
      <c r="F911" s="2">
        <v>90482.35</v>
      </c>
      <c r="G911" t="s">
        <v>725</v>
      </c>
      <c r="H911" t="s">
        <v>719</v>
      </c>
      <c r="J911" s="7">
        <f t="shared" si="10"/>
        <v>0</v>
      </c>
    </row>
    <row r="912" spans="1:10" hidden="1" x14ac:dyDescent="0.25">
      <c r="A912" s="1">
        <v>45209</v>
      </c>
      <c r="B912" t="s">
        <v>480</v>
      </c>
      <c r="D912" s="2">
        <v>5000</v>
      </c>
      <c r="E912" s="2">
        <v>0</v>
      </c>
      <c r="F912" s="2">
        <v>85482.35</v>
      </c>
      <c r="G912" t="s">
        <v>725</v>
      </c>
      <c r="H912" t="s">
        <v>719</v>
      </c>
      <c r="J912" s="7">
        <f t="shared" si="10"/>
        <v>0</v>
      </c>
    </row>
    <row r="913" spans="1:10" hidden="1" x14ac:dyDescent="0.25">
      <c r="A913" s="1">
        <v>45209</v>
      </c>
      <c r="B913" t="s">
        <v>472</v>
      </c>
      <c r="D913" s="2">
        <v>151.91999999999999</v>
      </c>
      <c r="E913" s="2">
        <v>0</v>
      </c>
      <c r="F913" s="2">
        <v>85330.43</v>
      </c>
      <c r="G913" t="s">
        <v>731</v>
      </c>
      <c r="H913" t="s">
        <v>719</v>
      </c>
      <c r="J913" s="7">
        <f t="shared" si="10"/>
        <v>0</v>
      </c>
    </row>
    <row r="914" spans="1:10" hidden="1" x14ac:dyDescent="0.25">
      <c r="A914" s="1">
        <v>45210</v>
      </c>
      <c r="B914" t="s">
        <v>134</v>
      </c>
      <c r="D914" s="2">
        <v>3000</v>
      </c>
      <c r="E914" s="2">
        <v>0</v>
      </c>
      <c r="F914" s="2">
        <v>102917.37</v>
      </c>
      <c r="G914" t="s">
        <v>792</v>
      </c>
      <c r="H914" t="s">
        <v>715</v>
      </c>
      <c r="J914" s="7">
        <f t="shared" si="10"/>
        <v>-20586.940000000002</v>
      </c>
    </row>
    <row r="915" spans="1:10" hidden="1" x14ac:dyDescent="0.25">
      <c r="A915" s="1">
        <v>45210</v>
      </c>
      <c r="B915" t="s">
        <v>135</v>
      </c>
      <c r="D915" s="2">
        <v>1000</v>
      </c>
      <c r="E915" s="2">
        <v>0</v>
      </c>
      <c r="F915" s="2">
        <v>101917.37</v>
      </c>
      <c r="G915" t="s">
        <v>792</v>
      </c>
      <c r="H915" t="s">
        <v>715</v>
      </c>
      <c r="J915" s="7">
        <f t="shared" si="10"/>
        <v>0</v>
      </c>
    </row>
    <row r="916" spans="1:10" hidden="1" x14ac:dyDescent="0.25">
      <c r="A916" s="1">
        <v>45210</v>
      </c>
      <c r="B916" t="s">
        <v>136</v>
      </c>
      <c r="D916" s="2">
        <v>10000</v>
      </c>
      <c r="E916" s="2">
        <v>0</v>
      </c>
      <c r="F916" s="2">
        <v>91917.37</v>
      </c>
      <c r="G916" t="s">
        <v>734</v>
      </c>
      <c r="H916" t="s">
        <v>715</v>
      </c>
      <c r="J916" s="7">
        <f t="shared" si="10"/>
        <v>0</v>
      </c>
    </row>
    <row r="917" spans="1:10" hidden="1" x14ac:dyDescent="0.25">
      <c r="A917" s="1">
        <v>45210</v>
      </c>
      <c r="B917" t="s">
        <v>618</v>
      </c>
      <c r="D917" s="2">
        <v>0</v>
      </c>
      <c r="E917" s="2">
        <v>581.45000000000005</v>
      </c>
      <c r="F917" s="2">
        <v>85911.88</v>
      </c>
      <c r="G917" t="s">
        <v>731</v>
      </c>
      <c r="H917" t="s">
        <v>719</v>
      </c>
      <c r="J917" s="7">
        <f t="shared" si="10"/>
        <v>6586.9399999999878</v>
      </c>
    </row>
    <row r="918" spans="1:10" hidden="1" x14ac:dyDescent="0.25">
      <c r="A918" s="1">
        <v>45210</v>
      </c>
      <c r="B918" t="s">
        <v>472</v>
      </c>
      <c r="D918" s="2">
        <v>151.91999999999999</v>
      </c>
      <c r="E918" s="2">
        <v>0</v>
      </c>
      <c r="F918" s="2">
        <v>85759.96</v>
      </c>
      <c r="G918" t="s">
        <v>731</v>
      </c>
      <c r="H918" t="s">
        <v>719</v>
      </c>
      <c r="J918" s="7">
        <f t="shared" si="10"/>
        <v>0</v>
      </c>
    </row>
    <row r="919" spans="1:10" hidden="1" x14ac:dyDescent="0.25">
      <c r="A919" s="1">
        <v>45210</v>
      </c>
      <c r="B919" t="s">
        <v>472</v>
      </c>
      <c r="D919" s="2">
        <v>24233.34</v>
      </c>
      <c r="E919" s="2">
        <v>0</v>
      </c>
      <c r="F919" s="2">
        <v>61526.62</v>
      </c>
      <c r="G919" t="s">
        <v>731</v>
      </c>
      <c r="H919" t="s">
        <v>719</v>
      </c>
      <c r="J919" s="7">
        <f t="shared" si="10"/>
        <v>0</v>
      </c>
    </row>
    <row r="920" spans="1:10" hidden="1" x14ac:dyDescent="0.25">
      <c r="A920" s="1">
        <v>45211</v>
      </c>
      <c r="B920" t="s">
        <v>472</v>
      </c>
      <c r="D920" s="2">
        <v>140.26</v>
      </c>
      <c r="E920" s="2">
        <v>0</v>
      </c>
      <c r="F920" s="2">
        <v>61386.36</v>
      </c>
      <c r="G920" t="s">
        <v>731</v>
      </c>
      <c r="H920" t="s">
        <v>719</v>
      </c>
      <c r="J920" s="7">
        <f t="shared" si="10"/>
        <v>0</v>
      </c>
    </row>
    <row r="921" spans="1:10" hidden="1" x14ac:dyDescent="0.25">
      <c r="A921" s="1">
        <v>45211</v>
      </c>
      <c r="B921" t="s">
        <v>659</v>
      </c>
      <c r="D921" s="2">
        <v>2360</v>
      </c>
      <c r="E921" s="2">
        <v>0</v>
      </c>
      <c r="F921" s="2">
        <v>59026.36</v>
      </c>
      <c r="G921" t="s">
        <v>729</v>
      </c>
      <c r="H921" t="s">
        <v>719</v>
      </c>
      <c r="J921" s="7">
        <f t="shared" si="10"/>
        <v>0</v>
      </c>
    </row>
    <row r="922" spans="1:10" hidden="1" x14ac:dyDescent="0.25">
      <c r="A922" s="1">
        <v>45211</v>
      </c>
      <c r="B922" t="s">
        <v>660</v>
      </c>
      <c r="D922" s="2">
        <v>0</v>
      </c>
      <c r="E922" s="2">
        <v>70</v>
      </c>
      <c r="F922" s="2">
        <v>59096.36</v>
      </c>
      <c r="G922" t="s">
        <v>736</v>
      </c>
      <c r="H922" t="s">
        <v>719</v>
      </c>
      <c r="J922" s="7">
        <f t="shared" si="10"/>
        <v>0</v>
      </c>
    </row>
    <row r="923" spans="1:10" hidden="1" x14ac:dyDescent="0.25">
      <c r="A923" s="1">
        <v>45211</v>
      </c>
      <c r="B923" t="s">
        <v>472</v>
      </c>
      <c r="D923" s="2">
        <v>5159.1099999999997</v>
      </c>
      <c r="E923" s="2">
        <v>0</v>
      </c>
      <c r="F923" s="2">
        <v>53937.25</v>
      </c>
      <c r="G923" t="s">
        <v>731</v>
      </c>
      <c r="H923" t="s">
        <v>719</v>
      </c>
      <c r="J923" s="7">
        <f t="shared" si="10"/>
        <v>0</v>
      </c>
    </row>
    <row r="924" spans="1:10" hidden="1" x14ac:dyDescent="0.25">
      <c r="A924" s="1">
        <v>45211</v>
      </c>
      <c r="B924" t="s">
        <v>194</v>
      </c>
      <c r="C924" t="s">
        <v>239</v>
      </c>
      <c r="D924" s="2">
        <v>14636</v>
      </c>
      <c r="E924" s="2">
        <v>0</v>
      </c>
      <c r="F924" s="2">
        <v>28198.61</v>
      </c>
      <c r="G924" t="s">
        <v>794</v>
      </c>
      <c r="H924" t="s">
        <v>716</v>
      </c>
      <c r="J924" s="7">
        <f t="shared" si="10"/>
        <v>11102.64</v>
      </c>
    </row>
    <row r="925" spans="1:10" hidden="1" x14ac:dyDescent="0.25">
      <c r="A925" s="1">
        <v>45211</v>
      </c>
      <c r="B925" t="s">
        <v>201</v>
      </c>
      <c r="C925" t="s">
        <v>200</v>
      </c>
      <c r="D925" s="2">
        <v>7092.45</v>
      </c>
      <c r="E925" s="2">
        <v>0</v>
      </c>
      <c r="F925" s="2">
        <v>21106.16</v>
      </c>
      <c r="G925" s="55" t="s">
        <v>1052</v>
      </c>
      <c r="H925" t="s">
        <v>716</v>
      </c>
      <c r="J925" s="7">
        <f t="shared" si="10"/>
        <v>0</v>
      </c>
    </row>
    <row r="926" spans="1:10" hidden="1" x14ac:dyDescent="0.25">
      <c r="A926" s="1">
        <v>45212</v>
      </c>
      <c r="B926" t="s">
        <v>137</v>
      </c>
      <c r="D926" s="2">
        <v>100</v>
      </c>
      <c r="E926" s="2">
        <v>0</v>
      </c>
      <c r="F926" s="2">
        <v>91817.37</v>
      </c>
      <c r="G926" t="s">
        <v>792</v>
      </c>
      <c r="H926" t="s">
        <v>715</v>
      </c>
      <c r="J926" s="7">
        <f t="shared" si="10"/>
        <v>-70811.209999999992</v>
      </c>
    </row>
    <row r="927" spans="1:10" hidden="1" x14ac:dyDescent="0.25">
      <c r="A927" s="1">
        <v>45212</v>
      </c>
      <c r="B927" t="s">
        <v>472</v>
      </c>
      <c r="D927" s="2">
        <v>141.16999999999999</v>
      </c>
      <c r="E927" s="2">
        <v>0</v>
      </c>
      <c r="F927" s="2">
        <v>53796.08</v>
      </c>
      <c r="G927" t="s">
        <v>731</v>
      </c>
      <c r="H927" t="s">
        <v>719</v>
      </c>
      <c r="J927" s="7">
        <f t="shared" si="10"/>
        <v>37880.119999999995</v>
      </c>
    </row>
    <row r="928" spans="1:10" x14ac:dyDescent="0.25">
      <c r="A928" s="1">
        <v>45212</v>
      </c>
      <c r="B928" t="s">
        <v>238</v>
      </c>
      <c r="C928" t="s">
        <v>237</v>
      </c>
      <c r="D928" s="2">
        <v>20000</v>
      </c>
      <c r="E928" s="2">
        <v>0</v>
      </c>
      <c r="F928" s="2">
        <v>1106.1600000000001</v>
      </c>
      <c r="G928" s="55" t="s">
        <v>1056</v>
      </c>
      <c r="H928" t="s">
        <v>716</v>
      </c>
      <c r="J928" s="7">
        <f t="shared" si="10"/>
        <v>32689.920000000002</v>
      </c>
    </row>
    <row r="929" spans="1:10" hidden="1" x14ac:dyDescent="0.25">
      <c r="A929" s="1">
        <v>45212</v>
      </c>
      <c r="B929" t="s">
        <v>236</v>
      </c>
      <c r="C929" t="s">
        <v>235</v>
      </c>
      <c r="D929" s="2">
        <v>0</v>
      </c>
      <c r="E929" s="2">
        <v>10000</v>
      </c>
      <c r="F929" s="2">
        <v>11106.16</v>
      </c>
      <c r="G929" t="s">
        <v>724</v>
      </c>
      <c r="H929" t="s">
        <v>716</v>
      </c>
      <c r="J929" s="7">
        <f t="shared" si="10"/>
        <v>0</v>
      </c>
    </row>
    <row r="930" spans="1:10" hidden="1" x14ac:dyDescent="0.25">
      <c r="A930" s="1">
        <v>45212</v>
      </c>
      <c r="B930" t="s">
        <v>238</v>
      </c>
      <c r="C930" t="s">
        <v>417</v>
      </c>
      <c r="D930" s="2">
        <v>10000</v>
      </c>
      <c r="E930" s="2">
        <v>0</v>
      </c>
      <c r="F930" s="2">
        <v>-12340.37</v>
      </c>
      <c r="G930" t="s">
        <v>724</v>
      </c>
      <c r="H930" t="s">
        <v>718</v>
      </c>
      <c r="J930" s="7">
        <f t="shared" si="10"/>
        <v>13446.53</v>
      </c>
    </row>
    <row r="931" spans="1:10" hidden="1" x14ac:dyDescent="0.25">
      <c r="A931" s="1">
        <v>45214</v>
      </c>
      <c r="B931" t="s">
        <v>138</v>
      </c>
      <c r="D931" s="2">
        <v>50</v>
      </c>
      <c r="E931" s="2">
        <v>0</v>
      </c>
      <c r="F931" s="2">
        <v>91767.37</v>
      </c>
      <c r="G931" s="55" t="s">
        <v>1052</v>
      </c>
      <c r="H931" t="s">
        <v>715</v>
      </c>
      <c r="J931" s="7">
        <f t="shared" si="10"/>
        <v>-104157.73999999999</v>
      </c>
    </row>
    <row r="932" spans="1:10" hidden="1" x14ac:dyDescent="0.25">
      <c r="A932" s="1">
        <v>45214</v>
      </c>
      <c r="B932" t="s">
        <v>139</v>
      </c>
      <c r="D932" s="2">
        <v>50</v>
      </c>
      <c r="E932" s="2">
        <v>0</v>
      </c>
      <c r="F932" s="2">
        <v>91717.37</v>
      </c>
      <c r="G932" t="s">
        <v>792</v>
      </c>
      <c r="H932" t="s">
        <v>715</v>
      </c>
      <c r="J932" s="7">
        <f t="shared" si="10"/>
        <v>0</v>
      </c>
    </row>
    <row r="933" spans="1:10" hidden="1" x14ac:dyDescent="0.25">
      <c r="A933" s="1">
        <v>45214</v>
      </c>
      <c r="B933" t="s">
        <v>140</v>
      </c>
      <c r="D933" s="2">
        <v>50</v>
      </c>
      <c r="E933" s="2">
        <v>0</v>
      </c>
      <c r="F933" s="2">
        <v>91667.37</v>
      </c>
      <c r="G933" t="s">
        <v>792</v>
      </c>
      <c r="H933" t="s">
        <v>715</v>
      </c>
      <c r="J933" s="7">
        <f t="shared" si="10"/>
        <v>0</v>
      </c>
    </row>
    <row r="934" spans="1:10" hidden="1" x14ac:dyDescent="0.25">
      <c r="A934" s="1">
        <v>45214</v>
      </c>
      <c r="B934" t="s">
        <v>141</v>
      </c>
      <c r="D934" s="2">
        <v>170</v>
      </c>
      <c r="E934" s="2">
        <v>0</v>
      </c>
      <c r="F934" s="2">
        <v>91497.37</v>
      </c>
      <c r="G934" t="s">
        <v>792</v>
      </c>
      <c r="H934" t="s">
        <v>715</v>
      </c>
      <c r="J934" s="7">
        <f t="shared" si="10"/>
        <v>0</v>
      </c>
    </row>
    <row r="935" spans="1:10" hidden="1" x14ac:dyDescent="0.25">
      <c r="A935" s="1">
        <v>45215</v>
      </c>
      <c r="B935" t="s">
        <v>618</v>
      </c>
      <c r="D935" s="2">
        <v>0</v>
      </c>
      <c r="E935" s="2">
        <v>389.87</v>
      </c>
      <c r="F935" s="2">
        <v>54185.95</v>
      </c>
      <c r="G935" t="s">
        <v>731</v>
      </c>
      <c r="H935" t="s">
        <v>719</v>
      </c>
      <c r="J935" s="7">
        <f t="shared" si="10"/>
        <v>37701.289999999994</v>
      </c>
    </row>
    <row r="936" spans="1:10" hidden="1" x14ac:dyDescent="0.25">
      <c r="A936" s="1">
        <v>45215</v>
      </c>
      <c r="B936" t="s">
        <v>472</v>
      </c>
      <c r="D936" s="2">
        <v>449.4</v>
      </c>
      <c r="E936" s="2">
        <v>0</v>
      </c>
      <c r="F936" s="2">
        <v>53736.55</v>
      </c>
      <c r="G936" t="s">
        <v>731</v>
      </c>
      <c r="H936" t="s">
        <v>719</v>
      </c>
      <c r="J936" s="7">
        <f t="shared" si="10"/>
        <v>0</v>
      </c>
    </row>
    <row r="937" spans="1:10" hidden="1" x14ac:dyDescent="0.25">
      <c r="A937" s="1">
        <v>45215</v>
      </c>
      <c r="B937" t="s">
        <v>472</v>
      </c>
      <c r="D937" s="2">
        <v>1242.49</v>
      </c>
      <c r="E937" s="2">
        <v>0</v>
      </c>
      <c r="F937" s="2">
        <v>52494.06</v>
      </c>
      <c r="G937" t="s">
        <v>731</v>
      </c>
      <c r="H937" t="s">
        <v>719</v>
      </c>
      <c r="J937" s="7">
        <f t="shared" si="10"/>
        <v>0</v>
      </c>
    </row>
    <row r="938" spans="1:10" hidden="1" x14ac:dyDescent="0.25">
      <c r="A938" s="1">
        <v>45216</v>
      </c>
      <c r="B938" t="s">
        <v>472</v>
      </c>
      <c r="D938" s="2">
        <v>149.38</v>
      </c>
      <c r="E938" s="2">
        <v>0</v>
      </c>
      <c r="F938" s="2">
        <v>52344.68</v>
      </c>
      <c r="G938" t="s">
        <v>731</v>
      </c>
      <c r="H938" t="s">
        <v>719</v>
      </c>
      <c r="J938" s="7">
        <f t="shared" si="10"/>
        <v>0</v>
      </c>
    </row>
    <row r="939" spans="1:10" hidden="1" x14ac:dyDescent="0.25">
      <c r="A939" s="1">
        <v>45217</v>
      </c>
      <c r="B939" t="s">
        <v>618</v>
      </c>
      <c r="D939" s="2">
        <v>0</v>
      </c>
      <c r="E939" s="2">
        <v>1064.57</v>
      </c>
      <c r="F939" s="2">
        <v>53409.25</v>
      </c>
      <c r="G939" t="s">
        <v>731</v>
      </c>
      <c r="H939" t="s">
        <v>719</v>
      </c>
      <c r="J939" s="7">
        <f t="shared" si="10"/>
        <v>0</v>
      </c>
    </row>
    <row r="940" spans="1:10" hidden="1" x14ac:dyDescent="0.25">
      <c r="A940" s="1">
        <v>45217</v>
      </c>
      <c r="B940" t="s">
        <v>618</v>
      </c>
      <c r="D940" s="2">
        <v>0</v>
      </c>
      <c r="E940" s="2">
        <v>8783.18</v>
      </c>
      <c r="F940" s="2">
        <v>62192.43</v>
      </c>
      <c r="G940" t="s">
        <v>731</v>
      </c>
      <c r="H940" t="s">
        <v>719</v>
      </c>
      <c r="J940" s="7">
        <f t="shared" si="10"/>
        <v>0</v>
      </c>
    </row>
    <row r="941" spans="1:10" hidden="1" x14ac:dyDescent="0.25">
      <c r="A941" s="1">
        <v>45217</v>
      </c>
      <c r="B941" t="s">
        <v>472</v>
      </c>
      <c r="D941" s="2">
        <v>149.38</v>
      </c>
      <c r="E941" s="2">
        <v>0</v>
      </c>
      <c r="F941" s="2">
        <v>62043.05</v>
      </c>
      <c r="G941" t="s">
        <v>731</v>
      </c>
      <c r="H941" t="s">
        <v>719</v>
      </c>
      <c r="J941" s="7">
        <f t="shared" si="10"/>
        <v>0</v>
      </c>
    </row>
    <row r="942" spans="1:10" hidden="1" x14ac:dyDescent="0.25">
      <c r="A942" s="1">
        <v>45218</v>
      </c>
      <c r="B942" t="s">
        <v>618</v>
      </c>
      <c r="D942" s="2">
        <v>0</v>
      </c>
      <c r="E942" s="2">
        <v>3392.76</v>
      </c>
      <c r="F942" s="2">
        <v>65435.81</v>
      </c>
      <c r="G942" t="s">
        <v>731</v>
      </c>
      <c r="H942" t="s">
        <v>719</v>
      </c>
      <c r="J942" s="7">
        <f t="shared" si="10"/>
        <v>0</v>
      </c>
    </row>
    <row r="943" spans="1:10" hidden="1" x14ac:dyDescent="0.25">
      <c r="A943" s="1">
        <v>45218</v>
      </c>
      <c r="B943" t="s">
        <v>472</v>
      </c>
      <c r="D943" s="2">
        <v>149.91</v>
      </c>
      <c r="E943" s="2">
        <v>0</v>
      </c>
      <c r="F943" s="2">
        <v>65285.9</v>
      </c>
      <c r="G943" t="s">
        <v>731</v>
      </c>
      <c r="H943" t="s">
        <v>719</v>
      </c>
      <c r="J943" s="7">
        <f t="shared" si="10"/>
        <v>0</v>
      </c>
    </row>
    <row r="944" spans="1:10" hidden="1" x14ac:dyDescent="0.25">
      <c r="A944" s="1">
        <v>45218</v>
      </c>
      <c r="B944" t="s">
        <v>234</v>
      </c>
      <c r="C944" t="s">
        <v>233</v>
      </c>
      <c r="D944" s="2">
        <v>0</v>
      </c>
      <c r="E944" s="2">
        <v>10000</v>
      </c>
      <c r="F944" s="2">
        <v>21106.16</v>
      </c>
      <c r="G944" t="s">
        <v>724</v>
      </c>
      <c r="H944" t="s">
        <v>716</v>
      </c>
      <c r="J944" s="7">
        <f t="shared" si="10"/>
        <v>54179.739999999991</v>
      </c>
    </row>
    <row r="945" spans="1:10" hidden="1" x14ac:dyDescent="0.25">
      <c r="A945" s="1">
        <v>45218</v>
      </c>
      <c r="B945" t="s">
        <v>377</v>
      </c>
      <c r="C945" t="s">
        <v>418</v>
      </c>
      <c r="D945" s="2">
        <v>10000</v>
      </c>
      <c r="E945" s="2">
        <v>0</v>
      </c>
      <c r="F945" s="2">
        <v>-22340.37</v>
      </c>
      <c r="G945" t="s">
        <v>724</v>
      </c>
      <c r="H945" t="s">
        <v>718</v>
      </c>
      <c r="J945" s="7">
        <f t="shared" si="10"/>
        <v>33446.53</v>
      </c>
    </row>
    <row r="946" spans="1:10" hidden="1" x14ac:dyDescent="0.25">
      <c r="A946" s="1">
        <v>45219</v>
      </c>
      <c r="B946" t="s">
        <v>618</v>
      </c>
      <c r="D946" s="2">
        <v>0</v>
      </c>
      <c r="E946" s="2">
        <v>53.74</v>
      </c>
      <c r="F946" s="2">
        <v>65339.64</v>
      </c>
      <c r="G946" t="s">
        <v>731</v>
      </c>
      <c r="H946" t="s">
        <v>719</v>
      </c>
      <c r="J946" s="7">
        <f t="shared" si="10"/>
        <v>-87626.26999999999</v>
      </c>
    </row>
    <row r="947" spans="1:10" hidden="1" x14ac:dyDescent="0.25">
      <c r="A947" s="1">
        <v>45219</v>
      </c>
      <c r="B947" t="s">
        <v>618</v>
      </c>
      <c r="D947" s="2">
        <v>0</v>
      </c>
      <c r="E947" s="2">
        <v>27043.89</v>
      </c>
      <c r="F947" s="2">
        <v>92383.53</v>
      </c>
      <c r="G947" t="s">
        <v>731</v>
      </c>
      <c r="H947" t="s">
        <v>719</v>
      </c>
      <c r="J947" s="7">
        <f t="shared" si="10"/>
        <v>0</v>
      </c>
    </row>
    <row r="948" spans="1:10" hidden="1" x14ac:dyDescent="0.25">
      <c r="A948" s="1">
        <v>45219</v>
      </c>
      <c r="B948" t="s">
        <v>472</v>
      </c>
      <c r="D948" s="2">
        <v>145.88</v>
      </c>
      <c r="E948" s="2">
        <v>0</v>
      </c>
      <c r="F948" s="2">
        <v>92237.65</v>
      </c>
      <c r="G948" t="s">
        <v>731</v>
      </c>
      <c r="H948" t="s">
        <v>719</v>
      </c>
      <c r="J948" s="7">
        <f t="shared" si="10"/>
        <v>0</v>
      </c>
    </row>
    <row r="949" spans="1:10" hidden="1" x14ac:dyDescent="0.25">
      <c r="A949" s="1">
        <v>45219</v>
      </c>
      <c r="B949" t="s">
        <v>472</v>
      </c>
      <c r="D949" s="2">
        <v>1956.53</v>
      </c>
      <c r="E949" s="2">
        <v>0</v>
      </c>
      <c r="F949" s="2">
        <v>90281.12</v>
      </c>
      <c r="G949" t="s">
        <v>731</v>
      </c>
      <c r="H949" t="s">
        <v>719</v>
      </c>
      <c r="J949" s="7">
        <f t="shared" si="10"/>
        <v>0</v>
      </c>
    </row>
    <row r="950" spans="1:10" hidden="1" x14ac:dyDescent="0.25">
      <c r="A950" s="1">
        <v>45220</v>
      </c>
      <c r="B950" t="s">
        <v>142</v>
      </c>
      <c r="D950" s="2">
        <v>40</v>
      </c>
      <c r="E950" s="2">
        <v>0</v>
      </c>
      <c r="F950" s="2">
        <v>91457.37</v>
      </c>
      <c r="G950" t="s">
        <v>792</v>
      </c>
      <c r="H950" t="s">
        <v>715</v>
      </c>
      <c r="J950" s="7">
        <f t="shared" si="10"/>
        <v>-1216.25</v>
      </c>
    </row>
    <row r="951" spans="1:10" hidden="1" x14ac:dyDescent="0.25">
      <c r="A951" s="1">
        <v>45220</v>
      </c>
      <c r="B951" t="s">
        <v>143</v>
      </c>
      <c r="D951" s="2">
        <v>229.51</v>
      </c>
      <c r="E951" s="2">
        <v>0</v>
      </c>
      <c r="F951" s="2">
        <v>91227.86</v>
      </c>
      <c r="G951" t="s">
        <v>792</v>
      </c>
      <c r="H951" t="s">
        <v>715</v>
      </c>
      <c r="J951" s="7">
        <f t="shared" si="10"/>
        <v>0</v>
      </c>
    </row>
    <row r="952" spans="1:10" hidden="1" x14ac:dyDescent="0.25">
      <c r="A952" s="1">
        <v>45221</v>
      </c>
      <c r="B952" t="s">
        <v>232</v>
      </c>
      <c r="C952" t="s">
        <v>231</v>
      </c>
      <c r="D952" s="2">
        <v>2000</v>
      </c>
      <c r="E952" s="2">
        <v>0</v>
      </c>
      <c r="F952" s="2">
        <v>19106.16</v>
      </c>
      <c r="G952" s="55" t="s">
        <v>1052</v>
      </c>
      <c r="H952" t="s">
        <v>716</v>
      </c>
      <c r="J952" s="7">
        <f t="shared" si="10"/>
        <v>70121.7</v>
      </c>
    </row>
    <row r="953" spans="1:10" hidden="1" x14ac:dyDescent="0.25">
      <c r="A953" s="1">
        <v>45222</v>
      </c>
      <c r="B953" t="s">
        <v>144</v>
      </c>
      <c r="D953" s="2">
        <v>2240</v>
      </c>
      <c r="E953" s="2">
        <v>0</v>
      </c>
      <c r="F953" s="2">
        <v>88987.86</v>
      </c>
      <c r="G953" t="s">
        <v>793</v>
      </c>
      <c r="H953" t="s">
        <v>715</v>
      </c>
      <c r="J953" s="7">
        <f t="shared" si="10"/>
        <v>-72121.7</v>
      </c>
    </row>
    <row r="954" spans="1:10" hidden="1" x14ac:dyDescent="0.25">
      <c r="A954" s="1">
        <v>45222</v>
      </c>
      <c r="B954" t="s">
        <v>618</v>
      </c>
      <c r="D954" s="2">
        <v>0</v>
      </c>
      <c r="E954" s="2">
        <v>15927.28</v>
      </c>
      <c r="F954" s="2">
        <v>106208.4</v>
      </c>
      <c r="G954" t="s">
        <v>731</v>
      </c>
      <c r="H954" t="s">
        <v>719</v>
      </c>
      <c r="J954" s="7">
        <f t="shared" si="10"/>
        <v>-1293.2599999999948</v>
      </c>
    </row>
    <row r="955" spans="1:10" hidden="1" x14ac:dyDescent="0.25">
      <c r="A955" s="1">
        <v>45222</v>
      </c>
      <c r="B955" t="s">
        <v>472</v>
      </c>
      <c r="D955" s="2">
        <v>434.82</v>
      </c>
      <c r="E955" s="2">
        <v>0</v>
      </c>
      <c r="F955" s="2">
        <v>105773.58</v>
      </c>
      <c r="G955" t="s">
        <v>731</v>
      </c>
      <c r="H955" t="s">
        <v>719</v>
      </c>
      <c r="J955" s="7">
        <f t="shared" si="10"/>
        <v>0</v>
      </c>
    </row>
    <row r="956" spans="1:10" hidden="1" x14ac:dyDescent="0.25">
      <c r="A956" s="1">
        <v>45222</v>
      </c>
      <c r="B956" t="s">
        <v>661</v>
      </c>
      <c r="D956" s="2">
        <v>0</v>
      </c>
      <c r="E956" s="2">
        <v>253</v>
      </c>
      <c r="F956" s="2">
        <v>106026.58</v>
      </c>
      <c r="G956" t="s">
        <v>736</v>
      </c>
      <c r="H956" t="s">
        <v>719</v>
      </c>
      <c r="J956" s="7">
        <f t="shared" si="10"/>
        <v>0</v>
      </c>
    </row>
    <row r="957" spans="1:10" hidden="1" x14ac:dyDescent="0.25">
      <c r="A957" s="1">
        <v>45222</v>
      </c>
      <c r="B957" t="s">
        <v>662</v>
      </c>
      <c r="D957" s="2">
        <v>0</v>
      </c>
      <c r="E957" s="2">
        <v>200000</v>
      </c>
      <c r="F957" s="2">
        <v>306026.58</v>
      </c>
      <c r="G957" t="s">
        <v>724</v>
      </c>
      <c r="H957" t="s">
        <v>719</v>
      </c>
      <c r="J957" s="7">
        <f t="shared" si="10"/>
        <v>0</v>
      </c>
    </row>
    <row r="958" spans="1:10" hidden="1" x14ac:dyDescent="0.25">
      <c r="A958" s="1">
        <v>45222</v>
      </c>
      <c r="B958" t="s">
        <v>472</v>
      </c>
      <c r="D958" s="2">
        <v>4167.32</v>
      </c>
      <c r="E958" s="2">
        <v>0</v>
      </c>
      <c r="F958" s="2">
        <v>301859.26</v>
      </c>
      <c r="G958" t="s">
        <v>731</v>
      </c>
      <c r="H958" t="s">
        <v>719</v>
      </c>
      <c r="J958" s="7">
        <f t="shared" si="10"/>
        <v>0</v>
      </c>
    </row>
    <row r="959" spans="1:10" hidden="1" x14ac:dyDescent="0.25">
      <c r="A959" s="1">
        <v>45222</v>
      </c>
      <c r="B959" t="s">
        <v>419</v>
      </c>
      <c r="C959" t="s">
        <v>420</v>
      </c>
      <c r="D959" s="2">
        <v>200000</v>
      </c>
      <c r="E959" s="2">
        <v>0</v>
      </c>
      <c r="F959" s="2">
        <v>-222340.37</v>
      </c>
      <c r="G959" t="s">
        <v>724</v>
      </c>
      <c r="H959" t="s">
        <v>718</v>
      </c>
      <c r="J959" s="7">
        <f t="shared" si="10"/>
        <v>324199.63</v>
      </c>
    </row>
    <row r="960" spans="1:10" hidden="1" x14ac:dyDescent="0.25">
      <c r="A960" s="1">
        <v>45223</v>
      </c>
      <c r="B960" t="s">
        <v>663</v>
      </c>
      <c r="D960" s="2">
        <v>250000</v>
      </c>
      <c r="E960" s="2">
        <v>0</v>
      </c>
      <c r="F960" s="2">
        <v>51859.26</v>
      </c>
      <c r="G960" t="s">
        <v>726</v>
      </c>
      <c r="H960" t="s">
        <v>719</v>
      </c>
      <c r="J960" s="7">
        <f t="shared" si="10"/>
        <v>-524199.63</v>
      </c>
    </row>
    <row r="961" spans="1:10" hidden="1" x14ac:dyDescent="0.25">
      <c r="A961" s="1">
        <v>45224</v>
      </c>
      <c r="B961" t="s">
        <v>145</v>
      </c>
      <c r="D961" s="2">
        <v>10000</v>
      </c>
      <c r="E961" s="2">
        <v>0</v>
      </c>
      <c r="F961" s="2">
        <v>78987.86</v>
      </c>
      <c r="G961" t="s">
        <v>734</v>
      </c>
      <c r="H961" t="s">
        <v>715</v>
      </c>
      <c r="J961" s="7">
        <f t="shared" si="10"/>
        <v>-37128.6</v>
      </c>
    </row>
    <row r="962" spans="1:10" hidden="1" x14ac:dyDescent="0.25">
      <c r="A962" s="1">
        <v>45224</v>
      </c>
      <c r="B962" t="s">
        <v>472</v>
      </c>
      <c r="D962" s="2">
        <v>206.4</v>
      </c>
      <c r="E962" s="2">
        <v>0</v>
      </c>
      <c r="F962" s="2">
        <v>51652.86</v>
      </c>
      <c r="G962" t="s">
        <v>731</v>
      </c>
      <c r="H962" t="s">
        <v>719</v>
      </c>
      <c r="J962" s="7">
        <f t="shared" si="10"/>
        <v>27128.600000000006</v>
      </c>
    </row>
    <row r="963" spans="1:10" hidden="1" x14ac:dyDescent="0.25">
      <c r="A963" s="1">
        <v>45224</v>
      </c>
      <c r="B963" t="s">
        <v>472</v>
      </c>
      <c r="D963" s="2">
        <v>4085.1</v>
      </c>
      <c r="E963" s="2">
        <v>0</v>
      </c>
      <c r="F963" s="2">
        <v>47567.76</v>
      </c>
      <c r="G963" t="s">
        <v>731</v>
      </c>
      <c r="H963" t="s">
        <v>719</v>
      </c>
      <c r="J963" s="7">
        <f t="shared" si="10"/>
        <v>0</v>
      </c>
    </row>
    <row r="964" spans="1:10" hidden="1" x14ac:dyDescent="0.25">
      <c r="A964" s="1">
        <v>45225</v>
      </c>
      <c r="B964" t="s">
        <v>472</v>
      </c>
      <c r="D964" s="2">
        <v>101.74</v>
      </c>
      <c r="E964" s="2">
        <v>0</v>
      </c>
      <c r="F964" s="2">
        <v>47466.02</v>
      </c>
      <c r="G964" t="s">
        <v>731</v>
      </c>
      <c r="H964" t="s">
        <v>719</v>
      </c>
      <c r="J964" s="7">
        <f t="shared" si="10"/>
        <v>0</v>
      </c>
    </row>
    <row r="965" spans="1:10" hidden="1" x14ac:dyDescent="0.25">
      <c r="A965" s="1">
        <v>45225</v>
      </c>
      <c r="B965" t="s">
        <v>664</v>
      </c>
      <c r="D965" s="2">
        <v>0</v>
      </c>
      <c r="E965" s="2">
        <v>60000</v>
      </c>
      <c r="F965" s="2">
        <v>107466.02</v>
      </c>
      <c r="G965" t="s">
        <v>792</v>
      </c>
      <c r="H965" t="s">
        <v>719</v>
      </c>
      <c r="J965" s="7">
        <f t="shared" si="10"/>
        <v>0</v>
      </c>
    </row>
    <row r="966" spans="1:10" hidden="1" x14ac:dyDescent="0.25">
      <c r="A966" s="1">
        <v>45225</v>
      </c>
      <c r="B966" t="s">
        <v>472</v>
      </c>
      <c r="D966" s="2">
        <v>2544.9499999999998</v>
      </c>
      <c r="E966" s="2">
        <v>0</v>
      </c>
      <c r="F966" s="2">
        <v>104921.07</v>
      </c>
      <c r="G966" t="s">
        <v>731</v>
      </c>
      <c r="H966" t="s">
        <v>719</v>
      </c>
      <c r="J966" s="7">
        <f t="shared" si="10"/>
        <v>0</v>
      </c>
    </row>
    <row r="967" spans="1:10" hidden="1" x14ac:dyDescent="0.25">
      <c r="A967" s="1">
        <v>45226</v>
      </c>
      <c r="B967" t="s">
        <v>146</v>
      </c>
      <c r="D967" s="2">
        <v>50</v>
      </c>
      <c r="E967" s="2">
        <v>0</v>
      </c>
      <c r="F967" s="2">
        <v>78937.86</v>
      </c>
      <c r="G967" t="s">
        <v>792</v>
      </c>
      <c r="H967" t="s">
        <v>715</v>
      </c>
      <c r="J967" s="7">
        <f t="shared" ref="J967:J1030" si="11">F966-D967+E967-F967</f>
        <v>25933.210000000006</v>
      </c>
    </row>
    <row r="968" spans="1:10" hidden="1" x14ac:dyDescent="0.25">
      <c r="A968" s="1">
        <v>45226</v>
      </c>
      <c r="B968" t="s">
        <v>472</v>
      </c>
      <c r="D968" s="2">
        <v>100.84</v>
      </c>
      <c r="E968" s="2">
        <v>0</v>
      </c>
      <c r="F968" s="2">
        <v>104820.23</v>
      </c>
      <c r="G968" t="s">
        <v>731</v>
      </c>
      <c r="H968" t="s">
        <v>719</v>
      </c>
      <c r="J968" s="7">
        <f t="shared" si="11"/>
        <v>-25983.209999999992</v>
      </c>
    </row>
    <row r="969" spans="1:10" hidden="1" x14ac:dyDescent="0.25">
      <c r="A969" s="1">
        <v>45226</v>
      </c>
      <c r="B969" t="s">
        <v>472</v>
      </c>
      <c r="D969" s="2">
        <v>8865.23</v>
      </c>
      <c r="E969" s="2">
        <v>0</v>
      </c>
      <c r="F969" s="2">
        <v>95955</v>
      </c>
      <c r="G969" t="s">
        <v>731</v>
      </c>
      <c r="H969" t="s">
        <v>719</v>
      </c>
      <c r="J969" s="7">
        <f t="shared" si="11"/>
        <v>0</v>
      </c>
    </row>
    <row r="970" spans="1:10" hidden="1" x14ac:dyDescent="0.25">
      <c r="A970" s="1">
        <v>45226</v>
      </c>
      <c r="B970" t="s">
        <v>201</v>
      </c>
      <c r="C970" t="s">
        <v>211</v>
      </c>
      <c r="D970" s="2">
        <v>13067.44</v>
      </c>
      <c r="E970" s="2">
        <v>0</v>
      </c>
      <c r="F970" s="2">
        <v>6038.72</v>
      </c>
      <c r="G970" s="55" t="s">
        <v>1052</v>
      </c>
      <c r="H970" t="s">
        <v>716</v>
      </c>
      <c r="J970" s="7">
        <f t="shared" si="11"/>
        <v>76848.84</v>
      </c>
    </row>
    <row r="971" spans="1:10" hidden="1" x14ac:dyDescent="0.25">
      <c r="A971" s="1">
        <v>45228</v>
      </c>
      <c r="B971" t="s">
        <v>147</v>
      </c>
      <c r="D971" s="2">
        <v>136</v>
      </c>
      <c r="E971" s="2">
        <v>0</v>
      </c>
      <c r="F971" s="2">
        <v>78801.86</v>
      </c>
      <c r="G971" t="s">
        <v>792</v>
      </c>
      <c r="H971" t="s">
        <v>715</v>
      </c>
      <c r="J971" s="7">
        <f t="shared" si="11"/>
        <v>-72899.14</v>
      </c>
    </row>
    <row r="972" spans="1:10" hidden="1" x14ac:dyDescent="0.25">
      <c r="A972" s="1">
        <v>45229</v>
      </c>
      <c r="B972" t="s">
        <v>148</v>
      </c>
      <c r="D972" s="2">
        <v>50</v>
      </c>
      <c r="E972" s="2">
        <v>0</v>
      </c>
      <c r="F972" s="2">
        <v>78751.86</v>
      </c>
      <c r="G972" t="s">
        <v>792</v>
      </c>
      <c r="H972" t="s">
        <v>715</v>
      </c>
      <c r="J972" s="7">
        <f t="shared" si="11"/>
        <v>0</v>
      </c>
    </row>
    <row r="973" spans="1:10" hidden="1" x14ac:dyDescent="0.25">
      <c r="A973" s="1">
        <v>45229</v>
      </c>
      <c r="B973" t="s">
        <v>618</v>
      </c>
      <c r="D973" s="2">
        <v>0</v>
      </c>
      <c r="E973" s="2">
        <v>8212.1200000000008</v>
      </c>
      <c r="F973" s="2">
        <v>104167.12</v>
      </c>
      <c r="G973" t="s">
        <v>731</v>
      </c>
      <c r="H973" t="s">
        <v>719</v>
      </c>
      <c r="J973" s="7">
        <f t="shared" si="11"/>
        <v>-17203.14</v>
      </c>
    </row>
    <row r="974" spans="1:10" hidden="1" x14ac:dyDescent="0.25">
      <c r="A974" s="1">
        <v>45229</v>
      </c>
      <c r="B974" t="s">
        <v>472</v>
      </c>
      <c r="D974" s="2">
        <v>293.04000000000002</v>
      </c>
      <c r="E974" s="2">
        <v>0</v>
      </c>
      <c r="F974" s="2">
        <v>103874.08</v>
      </c>
      <c r="G974" t="s">
        <v>731</v>
      </c>
      <c r="H974" t="s">
        <v>719</v>
      </c>
      <c r="J974" s="7">
        <f t="shared" si="11"/>
        <v>0</v>
      </c>
    </row>
    <row r="975" spans="1:10" hidden="1" x14ac:dyDescent="0.25">
      <c r="A975" s="1">
        <v>45229</v>
      </c>
      <c r="B975" t="s">
        <v>472</v>
      </c>
      <c r="D975" s="2">
        <v>23863.08</v>
      </c>
      <c r="E975" s="2">
        <v>0</v>
      </c>
      <c r="F975" s="2">
        <v>80011</v>
      </c>
      <c r="G975" t="s">
        <v>731</v>
      </c>
      <c r="H975" t="s">
        <v>719</v>
      </c>
      <c r="J975" s="7">
        <f t="shared" si="11"/>
        <v>0</v>
      </c>
    </row>
    <row r="976" spans="1:10" hidden="1" x14ac:dyDescent="0.25">
      <c r="A976" s="1">
        <v>45230</v>
      </c>
      <c r="B976" t="s">
        <v>149</v>
      </c>
      <c r="D976" s="2">
        <v>100</v>
      </c>
      <c r="E976" s="2">
        <v>0</v>
      </c>
      <c r="F976" s="2">
        <v>78651.86</v>
      </c>
      <c r="G976" t="s">
        <v>792</v>
      </c>
      <c r="H976" t="s">
        <v>715</v>
      </c>
      <c r="J976" s="7">
        <f t="shared" si="11"/>
        <v>1259.1399999999994</v>
      </c>
    </row>
    <row r="977" spans="1:10" hidden="1" x14ac:dyDescent="0.25">
      <c r="A977" s="1">
        <v>45230</v>
      </c>
      <c r="B977" t="s">
        <v>618</v>
      </c>
      <c r="D977" s="2">
        <v>0</v>
      </c>
      <c r="E977" s="2">
        <v>189199.23</v>
      </c>
      <c r="F977" s="2">
        <v>269210.23</v>
      </c>
      <c r="G977" t="s">
        <v>731</v>
      </c>
      <c r="H977" t="s">
        <v>719</v>
      </c>
      <c r="J977" s="7">
        <f t="shared" si="11"/>
        <v>-1359.1399999999558</v>
      </c>
    </row>
    <row r="978" spans="1:10" hidden="1" x14ac:dyDescent="0.25">
      <c r="A978" s="1">
        <v>45230</v>
      </c>
      <c r="B978" t="s">
        <v>665</v>
      </c>
      <c r="D978" s="2">
        <v>0</v>
      </c>
      <c r="E978" s="2">
        <v>300</v>
      </c>
      <c r="F978" s="2">
        <v>269510.23</v>
      </c>
      <c r="G978" t="s">
        <v>736</v>
      </c>
      <c r="H978" t="s">
        <v>719</v>
      </c>
      <c r="J978" s="7">
        <f t="shared" si="11"/>
        <v>0</v>
      </c>
    </row>
    <row r="979" spans="1:10" hidden="1" x14ac:dyDescent="0.25">
      <c r="A979" s="1">
        <v>45230</v>
      </c>
      <c r="B979" t="s">
        <v>472</v>
      </c>
      <c r="D979" s="2">
        <v>103.42</v>
      </c>
      <c r="E979" s="2">
        <v>0</v>
      </c>
      <c r="F979" s="2">
        <v>269406.81</v>
      </c>
      <c r="G979" t="s">
        <v>731</v>
      </c>
      <c r="H979" t="s">
        <v>719</v>
      </c>
      <c r="J979" s="7">
        <f t="shared" si="11"/>
        <v>0</v>
      </c>
    </row>
    <row r="980" spans="1:10" hidden="1" x14ac:dyDescent="0.25">
      <c r="A980" s="1">
        <v>45230</v>
      </c>
      <c r="B980" t="s">
        <v>666</v>
      </c>
      <c r="D980" s="2">
        <v>0</v>
      </c>
      <c r="E980" s="2">
        <v>1</v>
      </c>
      <c r="F980" s="2">
        <v>269407.81</v>
      </c>
      <c r="G980" s="55" t="s">
        <v>1052</v>
      </c>
      <c r="H980" t="s">
        <v>719</v>
      </c>
      <c r="J980" s="7">
        <f t="shared" si="11"/>
        <v>0</v>
      </c>
    </row>
    <row r="981" spans="1:10" hidden="1" x14ac:dyDescent="0.25">
      <c r="A981" s="1">
        <v>45230</v>
      </c>
      <c r="B981" t="s">
        <v>667</v>
      </c>
      <c r="D981" s="2">
        <v>0</v>
      </c>
      <c r="E981" s="2">
        <v>300000</v>
      </c>
      <c r="F981" s="2">
        <v>569407.81000000006</v>
      </c>
      <c r="G981" t="s">
        <v>724</v>
      </c>
      <c r="H981" t="s">
        <v>719</v>
      </c>
      <c r="J981" s="7">
        <f t="shared" si="11"/>
        <v>0</v>
      </c>
    </row>
    <row r="982" spans="1:10" hidden="1" x14ac:dyDescent="0.25">
      <c r="A982" s="1">
        <v>45230</v>
      </c>
      <c r="B982" t="s">
        <v>668</v>
      </c>
      <c r="D982" s="2">
        <v>350000</v>
      </c>
      <c r="E982" s="2">
        <v>0</v>
      </c>
      <c r="F982" s="2">
        <v>219407.81</v>
      </c>
      <c r="G982" t="s">
        <v>724</v>
      </c>
      <c r="H982" t="s">
        <v>719</v>
      </c>
      <c r="J982" s="7">
        <f t="shared" si="11"/>
        <v>0</v>
      </c>
    </row>
    <row r="983" spans="1:10" hidden="1" x14ac:dyDescent="0.25">
      <c r="A983" s="1">
        <v>45230</v>
      </c>
      <c r="B983" t="s">
        <v>472</v>
      </c>
      <c r="D983" s="2">
        <v>28075.65</v>
      </c>
      <c r="E983" s="2">
        <v>0</v>
      </c>
      <c r="F983" s="2">
        <v>191332.16</v>
      </c>
      <c r="G983" t="s">
        <v>731</v>
      </c>
      <c r="H983" t="s">
        <v>719</v>
      </c>
      <c r="J983" s="7">
        <f t="shared" si="11"/>
        <v>0</v>
      </c>
    </row>
    <row r="984" spans="1:10" hidden="1" x14ac:dyDescent="0.25">
      <c r="A984" s="1">
        <v>45230</v>
      </c>
      <c r="B984" t="s">
        <v>181</v>
      </c>
      <c r="C984" t="s">
        <v>230</v>
      </c>
      <c r="D984" s="2">
        <v>0</v>
      </c>
      <c r="E984" s="2">
        <v>25000</v>
      </c>
      <c r="F984" s="2">
        <v>31038.720000000001</v>
      </c>
      <c r="G984" t="s">
        <v>724</v>
      </c>
      <c r="H984" t="s">
        <v>716</v>
      </c>
      <c r="J984" s="7">
        <f t="shared" si="11"/>
        <v>185293.44</v>
      </c>
    </row>
    <row r="985" spans="1:10" hidden="1" x14ac:dyDescent="0.25">
      <c r="A985" s="1">
        <v>45230</v>
      </c>
      <c r="B985" t="s">
        <v>183</v>
      </c>
      <c r="C985" t="s">
        <v>229</v>
      </c>
      <c r="D985" s="2">
        <v>0</v>
      </c>
      <c r="E985" s="2">
        <v>8420.7800000000007</v>
      </c>
      <c r="F985" s="2">
        <v>39459.5</v>
      </c>
      <c r="G985" s="55" t="s">
        <v>1052</v>
      </c>
      <c r="H985" t="s">
        <v>716</v>
      </c>
      <c r="J985" s="7">
        <f t="shared" si="11"/>
        <v>0</v>
      </c>
    </row>
    <row r="986" spans="1:10" hidden="1" x14ac:dyDescent="0.25">
      <c r="A986" s="1">
        <v>45230</v>
      </c>
      <c r="B986" t="s">
        <v>197</v>
      </c>
      <c r="C986" t="s">
        <v>421</v>
      </c>
      <c r="D986" s="2">
        <v>25000</v>
      </c>
      <c r="E986" s="2">
        <v>0</v>
      </c>
      <c r="F986" s="2">
        <v>-247340.37</v>
      </c>
      <c r="G986" t="s">
        <v>724</v>
      </c>
      <c r="H986" t="s">
        <v>718</v>
      </c>
      <c r="J986" s="7">
        <f t="shared" si="11"/>
        <v>261799.87</v>
      </c>
    </row>
    <row r="987" spans="1:10" hidden="1" x14ac:dyDescent="0.25">
      <c r="A987" s="1">
        <v>45230</v>
      </c>
      <c r="B987" t="s">
        <v>422</v>
      </c>
      <c r="C987" t="s">
        <v>423</v>
      </c>
      <c r="D987" s="2">
        <v>300000</v>
      </c>
      <c r="E987" s="2">
        <v>0</v>
      </c>
      <c r="F987" s="2">
        <v>-547340.37</v>
      </c>
      <c r="G987" t="s">
        <v>724</v>
      </c>
      <c r="H987" t="s">
        <v>718</v>
      </c>
      <c r="J987" s="7">
        <f t="shared" si="11"/>
        <v>0</v>
      </c>
    </row>
    <row r="988" spans="1:10" hidden="1" x14ac:dyDescent="0.25">
      <c r="A988" s="1">
        <v>45230</v>
      </c>
      <c r="B988" t="s">
        <v>424</v>
      </c>
      <c r="C988" t="s">
        <v>425</v>
      </c>
      <c r="D988" s="2">
        <v>0</v>
      </c>
      <c r="E988" s="2">
        <v>350000</v>
      </c>
      <c r="F988" s="2">
        <v>-197340.37</v>
      </c>
      <c r="G988" t="s">
        <v>724</v>
      </c>
      <c r="H988" t="s">
        <v>718</v>
      </c>
      <c r="J988" s="7">
        <f t="shared" si="11"/>
        <v>0</v>
      </c>
    </row>
    <row r="989" spans="1:10" hidden="1" x14ac:dyDescent="0.25">
      <c r="A989" s="1">
        <v>45230</v>
      </c>
      <c r="B989" t="s">
        <v>380</v>
      </c>
      <c r="C989">
        <v>0</v>
      </c>
      <c r="D989" s="2">
        <v>622</v>
      </c>
      <c r="E989" s="2">
        <v>0</v>
      </c>
      <c r="F989" s="2">
        <v>-197962.37</v>
      </c>
      <c r="G989" t="s">
        <v>790</v>
      </c>
      <c r="H989" t="s">
        <v>718</v>
      </c>
      <c r="J989" s="7">
        <f t="shared" si="11"/>
        <v>0</v>
      </c>
    </row>
    <row r="990" spans="1:10" hidden="1" x14ac:dyDescent="0.25">
      <c r="A990" s="1">
        <v>45231</v>
      </c>
      <c r="B990" t="s">
        <v>669</v>
      </c>
      <c r="D990" s="2">
        <v>2</v>
      </c>
      <c r="E990" s="2">
        <v>0</v>
      </c>
      <c r="F990" s="2">
        <v>191330.16</v>
      </c>
      <c r="G990" s="55" t="s">
        <v>1052</v>
      </c>
      <c r="H990" t="s">
        <v>719</v>
      </c>
      <c r="J990" s="7">
        <f t="shared" si="11"/>
        <v>-389294.53</v>
      </c>
    </row>
    <row r="991" spans="1:10" hidden="1" x14ac:dyDescent="0.25">
      <c r="A991" s="1">
        <v>45231</v>
      </c>
      <c r="B991" t="s">
        <v>618</v>
      </c>
      <c r="D991" s="2">
        <v>0</v>
      </c>
      <c r="E991" s="2">
        <v>35752.97</v>
      </c>
      <c r="F991" s="2">
        <v>227083.13</v>
      </c>
      <c r="G991" t="s">
        <v>731</v>
      </c>
      <c r="H991" t="s">
        <v>719</v>
      </c>
      <c r="J991" s="7">
        <f t="shared" si="11"/>
        <v>0</v>
      </c>
    </row>
    <row r="992" spans="1:10" hidden="1" x14ac:dyDescent="0.25">
      <c r="A992" s="1">
        <v>45231</v>
      </c>
      <c r="B992" t="s">
        <v>670</v>
      </c>
      <c r="D992" s="2">
        <v>5000</v>
      </c>
      <c r="E992" s="2">
        <v>0</v>
      </c>
      <c r="F992" s="2">
        <v>222083.13</v>
      </c>
      <c r="G992" s="55" t="s">
        <v>1052</v>
      </c>
      <c r="H992" t="s">
        <v>719</v>
      </c>
      <c r="J992" s="7">
        <f t="shared" si="11"/>
        <v>0</v>
      </c>
    </row>
    <row r="993" spans="1:10" hidden="1" x14ac:dyDescent="0.25">
      <c r="A993" s="1">
        <v>45231</v>
      </c>
      <c r="B993" t="s">
        <v>472</v>
      </c>
      <c r="D993" s="2">
        <v>93.42</v>
      </c>
      <c r="E993" s="2">
        <v>0</v>
      </c>
      <c r="F993" s="2">
        <v>221989.71</v>
      </c>
      <c r="G993" t="s">
        <v>731</v>
      </c>
      <c r="H993" t="s">
        <v>719</v>
      </c>
      <c r="J993" s="7">
        <f t="shared" si="11"/>
        <v>0</v>
      </c>
    </row>
    <row r="994" spans="1:10" hidden="1" x14ac:dyDescent="0.25">
      <c r="A994" s="1">
        <v>45231</v>
      </c>
      <c r="B994" t="s">
        <v>472</v>
      </c>
      <c r="D994" s="2">
        <v>7436.79</v>
      </c>
      <c r="E994" s="2">
        <v>0</v>
      </c>
      <c r="F994" s="2">
        <v>214552.92</v>
      </c>
      <c r="G994" t="s">
        <v>731</v>
      </c>
      <c r="H994" t="s">
        <v>719</v>
      </c>
      <c r="J994" s="7">
        <f t="shared" si="11"/>
        <v>0</v>
      </c>
    </row>
    <row r="995" spans="1:10" hidden="1" x14ac:dyDescent="0.25">
      <c r="A995" s="1">
        <v>45231</v>
      </c>
      <c r="B995" t="s">
        <v>472</v>
      </c>
      <c r="D995" s="2">
        <v>61667.51</v>
      </c>
      <c r="E995" s="2">
        <v>0</v>
      </c>
      <c r="F995" s="2">
        <v>152885.41</v>
      </c>
      <c r="G995" t="s">
        <v>731</v>
      </c>
      <c r="H995" t="s">
        <v>719</v>
      </c>
      <c r="J995" s="7">
        <f t="shared" si="11"/>
        <v>0</v>
      </c>
    </row>
    <row r="996" spans="1:10" hidden="1" x14ac:dyDescent="0.25">
      <c r="A996" s="1">
        <v>45231</v>
      </c>
      <c r="B996" t="s">
        <v>228</v>
      </c>
      <c r="C996" t="s">
        <v>227</v>
      </c>
      <c r="D996" s="2">
        <v>0</v>
      </c>
      <c r="E996" s="2">
        <v>1000</v>
      </c>
      <c r="F996" s="2">
        <v>40459.5</v>
      </c>
      <c r="G996" s="55" t="s">
        <v>1052</v>
      </c>
      <c r="H996" t="s">
        <v>716</v>
      </c>
      <c r="J996" s="7">
        <f t="shared" si="11"/>
        <v>113425.91</v>
      </c>
    </row>
    <row r="997" spans="1:10" hidden="1" x14ac:dyDescent="0.25">
      <c r="A997" s="1">
        <v>45232</v>
      </c>
      <c r="B997" t="s">
        <v>671</v>
      </c>
      <c r="D997" s="2">
        <v>25000</v>
      </c>
      <c r="E997" s="2">
        <v>0</v>
      </c>
      <c r="F997" s="2">
        <v>127885.41</v>
      </c>
      <c r="G997" s="55" t="s">
        <v>1052</v>
      </c>
      <c r="H997" t="s">
        <v>719</v>
      </c>
      <c r="J997" s="7">
        <f t="shared" si="11"/>
        <v>-112425.91</v>
      </c>
    </row>
    <row r="998" spans="1:10" hidden="1" x14ac:dyDescent="0.25">
      <c r="A998" s="1">
        <v>45232</v>
      </c>
      <c r="B998" t="s">
        <v>472</v>
      </c>
      <c r="D998" s="2">
        <v>80.52</v>
      </c>
      <c r="E998" s="2">
        <v>0</v>
      </c>
      <c r="F998" s="2">
        <v>127804.89</v>
      </c>
      <c r="G998" t="s">
        <v>731</v>
      </c>
      <c r="H998" t="s">
        <v>719</v>
      </c>
      <c r="J998" s="7">
        <f t="shared" si="11"/>
        <v>0</v>
      </c>
    </row>
    <row r="999" spans="1:10" hidden="1" x14ac:dyDescent="0.25">
      <c r="A999" s="1">
        <v>45232</v>
      </c>
      <c r="B999" t="s">
        <v>672</v>
      </c>
      <c r="D999" s="2">
        <v>24.08</v>
      </c>
      <c r="E999" s="2">
        <v>0</v>
      </c>
      <c r="F999" s="2">
        <v>127780.81</v>
      </c>
      <c r="G999" t="s">
        <v>729</v>
      </c>
      <c r="H999" t="s">
        <v>719</v>
      </c>
      <c r="J999" s="7">
        <f t="shared" si="11"/>
        <v>0</v>
      </c>
    </row>
    <row r="1000" spans="1:10" hidden="1" x14ac:dyDescent="0.25">
      <c r="A1000" s="1">
        <v>45232</v>
      </c>
      <c r="B1000" t="s">
        <v>673</v>
      </c>
      <c r="D1000" s="2">
        <v>75000</v>
      </c>
      <c r="E1000" s="2">
        <v>0</v>
      </c>
      <c r="F1000" s="2">
        <v>52780.81</v>
      </c>
      <c r="G1000" t="s">
        <v>724</v>
      </c>
      <c r="H1000" t="s">
        <v>719</v>
      </c>
      <c r="J1000" s="7">
        <f t="shared" si="11"/>
        <v>0</v>
      </c>
    </row>
    <row r="1001" spans="1:10" hidden="1" x14ac:dyDescent="0.25">
      <c r="A1001" s="1">
        <v>45232</v>
      </c>
      <c r="B1001" t="s">
        <v>498</v>
      </c>
      <c r="D1001" s="2">
        <v>0</v>
      </c>
      <c r="E1001" s="2">
        <v>595.13</v>
      </c>
      <c r="F1001" s="2">
        <v>53375.94</v>
      </c>
      <c r="G1001" t="s">
        <v>732</v>
      </c>
      <c r="H1001" t="s">
        <v>719</v>
      </c>
      <c r="J1001" s="7">
        <f t="shared" si="11"/>
        <v>0</v>
      </c>
    </row>
    <row r="1002" spans="1:10" hidden="1" x14ac:dyDescent="0.25">
      <c r="A1002" s="1">
        <v>45232</v>
      </c>
      <c r="B1002" t="s">
        <v>472</v>
      </c>
      <c r="D1002" s="2">
        <v>2521.4299999999998</v>
      </c>
      <c r="E1002" s="2">
        <v>0</v>
      </c>
      <c r="F1002" s="2">
        <v>50854.51</v>
      </c>
      <c r="G1002" t="s">
        <v>731</v>
      </c>
      <c r="H1002" t="s">
        <v>719</v>
      </c>
      <c r="J1002" s="7">
        <f t="shared" si="11"/>
        <v>0</v>
      </c>
    </row>
    <row r="1003" spans="1:10" hidden="1" x14ac:dyDescent="0.25">
      <c r="A1003" s="1">
        <v>45232</v>
      </c>
      <c r="B1003" t="s">
        <v>214</v>
      </c>
      <c r="C1003" t="s">
        <v>206</v>
      </c>
      <c r="D1003" s="2">
        <v>26595</v>
      </c>
      <c r="E1003" s="2">
        <v>0</v>
      </c>
      <c r="F1003" s="2">
        <v>13864.5</v>
      </c>
      <c r="G1003" t="s">
        <v>724</v>
      </c>
      <c r="H1003" t="s">
        <v>716</v>
      </c>
      <c r="J1003" s="7">
        <f t="shared" si="11"/>
        <v>10395.010000000002</v>
      </c>
    </row>
    <row r="1004" spans="1:10" hidden="1" x14ac:dyDescent="0.25">
      <c r="A1004" s="1">
        <v>45232</v>
      </c>
      <c r="B1004" t="s">
        <v>371</v>
      </c>
      <c r="C1004" t="s">
        <v>372</v>
      </c>
      <c r="D1004" s="2">
        <v>0</v>
      </c>
      <c r="E1004" s="2">
        <v>26595</v>
      </c>
      <c r="F1004" s="2">
        <v>-171367.37</v>
      </c>
      <c r="G1004" t="s">
        <v>724</v>
      </c>
      <c r="H1004" t="s">
        <v>718</v>
      </c>
      <c r="J1004" s="7">
        <f t="shared" si="11"/>
        <v>211826.87</v>
      </c>
    </row>
    <row r="1005" spans="1:10" hidden="1" x14ac:dyDescent="0.25">
      <c r="A1005" s="1">
        <v>45232</v>
      </c>
      <c r="B1005" t="s">
        <v>426</v>
      </c>
      <c r="C1005" t="s">
        <v>427</v>
      </c>
      <c r="D1005" s="2">
        <v>0</v>
      </c>
      <c r="E1005" s="2">
        <v>75000</v>
      </c>
      <c r="F1005" s="2">
        <v>-96367.37</v>
      </c>
      <c r="G1005" t="s">
        <v>724</v>
      </c>
      <c r="H1005" t="s">
        <v>718</v>
      </c>
      <c r="J1005" s="7">
        <f t="shared" si="11"/>
        <v>0</v>
      </c>
    </row>
    <row r="1006" spans="1:10" hidden="1" x14ac:dyDescent="0.25">
      <c r="A1006" s="1">
        <v>45233</v>
      </c>
      <c r="B1006" t="s">
        <v>618</v>
      </c>
      <c r="D1006" s="2">
        <v>0</v>
      </c>
      <c r="E1006" s="2">
        <v>2408.84</v>
      </c>
      <c r="F1006" s="2">
        <v>53263.35</v>
      </c>
      <c r="G1006" t="s">
        <v>731</v>
      </c>
      <c r="H1006" t="s">
        <v>719</v>
      </c>
      <c r="J1006" s="7">
        <f t="shared" si="11"/>
        <v>-147221.88</v>
      </c>
    </row>
    <row r="1007" spans="1:10" hidden="1" x14ac:dyDescent="0.25">
      <c r="A1007" s="1">
        <v>45233</v>
      </c>
      <c r="B1007" t="s">
        <v>618</v>
      </c>
      <c r="D1007" s="2">
        <v>0</v>
      </c>
      <c r="E1007" s="2">
        <v>11152.79</v>
      </c>
      <c r="F1007" s="2">
        <v>64416.14</v>
      </c>
      <c r="G1007" t="s">
        <v>731</v>
      </c>
      <c r="H1007" t="s">
        <v>719</v>
      </c>
      <c r="J1007" s="7">
        <f t="shared" si="11"/>
        <v>0</v>
      </c>
    </row>
    <row r="1008" spans="1:10" hidden="1" x14ac:dyDescent="0.25">
      <c r="A1008" s="1">
        <v>45233</v>
      </c>
      <c r="B1008" t="s">
        <v>472</v>
      </c>
      <c r="D1008" s="2">
        <v>94.8</v>
      </c>
      <c r="E1008" s="2">
        <v>0</v>
      </c>
      <c r="F1008" s="2">
        <v>64321.34</v>
      </c>
      <c r="G1008" t="s">
        <v>731</v>
      </c>
      <c r="H1008" t="s">
        <v>719</v>
      </c>
      <c r="J1008" s="7">
        <f t="shared" si="11"/>
        <v>0</v>
      </c>
    </row>
    <row r="1009" spans="1:10" hidden="1" x14ac:dyDescent="0.25">
      <c r="A1009" s="1">
        <v>45233</v>
      </c>
      <c r="B1009" t="s">
        <v>472</v>
      </c>
      <c r="D1009" s="2">
        <v>7029.27</v>
      </c>
      <c r="E1009" s="2">
        <v>0</v>
      </c>
      <c r="F1009" s="2">
        <v>57292.07</v>
      </c>
      <c r="G1009" t="s">
        <v>731</v>
      </c>
      <c r="H1009" t="s">
        <v>719</v>
      </c>
      <c r="J1009" s="7">
        <f t="shared" si="11"/>
        <v>0</v>
      </c>
    </row>
    <row r="1010" spans="1:10" hidden="1" x14ac:dyDescent="0.25">
      <c r="A1010" s="1">
        <v>45233</v>
      </c>
      <c r="B1010" t="s">
        <v>472</v>
      </c>
      <c r="D1010" s="2">
        <v>39366.959999999999</v>
      </c>
      <c r="E1010" s="2">
        <v>0</v>
      </c>
      <c r="F1010" s="2">
        <v>17925.11</v>
      </c>
      <c r="G1010" t="s">
        <v>731</v>
      </c>
      <c r="H1010" t="s">
        <v>719</v>
      </c>
      <c r="J1010" s="7">
        <f t="shared" si="11"/>
        <v>0</v>
      </c>
    </row>
    <row r="1011" spans="1:10" hidden="1" x14ac:dyDescent="0.25">
      <c r="A1011" s="1">
        <v>45234</v>
      </c>
      <c r="B1011" t="s">
        <v>150</v>
      </c>
      <c r="D1011" s="2">
        <v>10000</v>
      </c>
      <c r="E1011" s="2">
        <v>0</v>
      </c>
      <c r="F1011" s="2">
        <v>68651.86</v>
      </c>
      <c r="G1011" t="s">
        <v>734</v>
      </c>
      <c r="H1011" t="s">
        <v>715</v>
      </c>
      <c r="J1011" s="7">
        <f t="shared" si="11"/>
        <v>-60726.75</v>
      </c>
    </row>
    <row r="1012" spans="1:10" hidden="1" x14ac:dyDescent="0.25">
      <c r="A1012" s="1">
        <v>45236</v>
      </c>
      <c r="B1012" t="s">
        <v>674</v>
      </c>
      <c r="D1012" s="2">
        <v>0</v>
      </c>
      <c r="E1012" s="2">
        <v>100000</v>
      </c>
      <c r="F1012" s="2">
        <v>117925.11</v>
      </c>
      <c r="G1012" t="s">
        <v>724</v>
      </c>
      <c r="H1012" t="s">
        <v>719</v>
      </c>
      <c r="J1012" s="7">
        <f t="shared" si="11"/>
        <v>50726.749999999985</v>
      </c>
    </row>
    <row r="1013" spans="1:10" hidden="1" x14ac:dyDescent="0.25">
      <c r="A1013" s="1">
        <v>45236</v>
      </c>
      <c r="B1013" t="s">
        <v>675</v>
      </c>
      <c r="D1013" s="2">
        <v>75000</v>
      </c>
      <c r="E1013" s="2">
        <v>0</v>
      </c>
      <c r="F1013" s="2">
        <v>42925.11</v>
      </c>
      <c r="G1013" t="s">
        <v>735</v>
      </c>
      <c r="H1013" t="s">
        <v>719</v>
      </c>
      <c r="J1013" s="7">
        <f t="shared" si="11"/>
        <v>0</v>
      </c>
    </row>
    <row r="1014" spans="1:10" hidden="1" x14ac:dyDescent="0.25">
      <c r="A1014" s="1">
        <v>45236</v>
      </c>
      <c r="B1014" t="s">
        <v>472</v>
      </c>
      <c r="D1014" s="2">
        <v>231.99</v>
      </c>
      <c r="E1014" s="2">
        <v>0</v>
      </c>
      <c r="F1014" s="2">
        <v>42693.120000000003</v>
      </c>
      <c r="G1014" t="s">
        <v>731</v>
      </c>
      <c r="H1014" t="s">
        <v>719</v>
      </c>
      <c r="J1014" s="7">
        <f t="shared" si="11"/>
        <v>0</v>
      </c>
    </row>
    <row r="1015" spans="1:10" hidden="1" x14ac:dyDescent="0.25">
      <c r="A1015" s="1">
        <v>45236</v>
      </c>
      <c r="B1015" t="s">
        <v>676</v>
      </c>
      <c r="D1015" s="2">
        <v>0</v>
      </c>
      <c r="E1015" s="2">
        <v>1460</v>
      </c>
      <c r="F1015" s="2">
        <v>44153.120000000003</v>
      </c>
      <c r="G1015" t="s">
        <v>736</v>
      </c>
      <c r="H1015" t="s">
        <v>719</v>
      </c>
      <c r="J1015" s="7">
        <f t="shared" si="11"/>
        <v>0</v>
      </c>
    </row>
    <row r="1016" spans="1:10" hidden="1" x14ac:dyDescent="0.25">
      <c r="A1016" s="1">
        <v>45236</v>
      </c>
      <c r="B1016" t="s">
        <v>677</v>
      </c>
      <c r="D1016" s="2">
        <v>0</v>
      </c>
      <c r="E1016" s="2">
        <v>1890</v>
      </c>
      <c r="F1016" s="2">
        <v>46043.12</v>
      </c>
      <c r="G1016" t="s">
        <v>736</v>
      </c>
      <c r="H1016" t="s">
        <v>719</v>
      </c>
      <c r="J1016" s="7">
        <f t="shared" si="11"/>
        <v>0</v>
      </c>
    </row>
    <row r="1017" spans="1:10" hidden="1" x14ac:dyDescent="0.25">
      <c r="A1017" s="1">
        <v>45236</v>
      </c>
      <c r="B1017" t="s">
        <v>226</v>
      </c>
      <c r="C1017">
        <v>0</v>
      </c>
      <c r="D1017" s="2">
        <v>0</v>
      </c>
      <c r="E1017" s="2">
        <v>450</v>
      </c>
      <c r="F1017" s="2">
        <v>14314.5</v>
      </c>
      <c r="G1017" t="s">
        <v>736</v>
      </c>
      <c r="H1017" t="s">
        <v>716</v>
      </c>
      <c r="J1017" s="7">
        <f t="shared" si="11"/>
        <v>32178.620000000003</v>
      </c>
    </row>
    <row r="1018" spans="1:10" hidden="1" x14ac:dyDescent="0.25">
      <c r="A1018" s="1">
        <v>45236</v>
      </c>
      <c r="B1018" t="s">
        <v>428</v>
      </c>
      <c r="C1018" t="s">
        <v>429</v>
      </c>
      <c r="D1018" s="2">
        <v>100000</v>
      </c>
      <c r="E1018" s="2">
        <v>0</v>
      </c>
      <c r="F1018" s="2">
        <v>-196367.37</v>
      </c>
      <c r="G1018" t="s">
        <v>724</v>
      </c>
      <c r="H1018" t="s">
        <v>718</v>
      </c>
      <c r="J1018" s="7">
        <f t="shared" si="11"/>
        <v>110681.87</v>
      </c>
    </row>
    <row r="1019" spans="1:10" hidden="1" x14ac:dyDescent="0.25">
      <c r="A1019" s="1">
        <v>45237</v>
      </c>
      <c r="B1019" t="s">
        <v>25</v>
      </c>
      <c r="D1019" s="2">
        <v>4947.78</v>
      </c>
      <c r="E1019" s="2">
        <v>0</v>
      </c>
      <c r="F1019" s="2">
        <v>63704.08</v>
      </c>
      <c r="G1019" t="s">
        <v>794</v>
      </c>
      <c r="H1019" t="s">
        <v>715</v>
      </c>
      <c r="J1019" s="7">
        <f t="shared" si="11"/>
        <v>-265019.23</v>
      </c>
    </row>
    <row r="1020" spans="1:10" hidden="1" x14ac:dyDescent="0.25">
      <c r="A1020" s="1">
        <v>45237</v>
      </c>
      <c r="B1020" t="s">
        <v>151</v>
      </c>
      <c r="D1020" s="2">
        <v>1300</v>
      </c>
      <c r="E1020" s="2">
        <v>0</v>
      </c>
      <c r="F1020" s="2">
        <v>62404.08</v>
      </c>
      <c r="G1020" t="s">
        <v>733</v>
      </c>
      <c r="H1020" t="s">
        <v>715</v>
      </c>
      <c r="J1020" s="7">
        <f t="shared" si="11"/>
        <v>0</v>
      </c>
    </row>
    <row r="1021" spans="1:10" hidden="1" x14ac:dyDescent="0.25">
      <c r="A1021" s="1">
        <v>45237</v>
      </c>
      <c r="B1021" t="s">
        <v>618</v>
      </c>
      <c r="D1021" s="2">
        <v>0</v>
      </c>
      <c r="E1021" s="2">
        <v>16597.91</v>
      </c>
      <c r="F1021" s="2">
        <v>62641.03</v>
      </c>
      <c r="G1021" t="s">
        <v>731</v>
      </c>
      <c r="H1021" t="s">
        <v>719</v>
      </c>
      <c r="J1021" s="7">
        <f t="shared" si="11"/>
        <v>16360.960000000006</v>
      </c>
    </row>
    <row r="1022" spans="1:10" hidden="1" x14ac:dyDescent="0.25">
      <c r="A1022" s="1">
        <v>45237</v>
      </c>
      <c r="B1022" t="s">
        <v>618</v>
      </c>
      <c r="D1022" s="2">
        <v>0</v>
      </c>
      <c r="E1022" s="2">
        <v>33641.08</v>
      </c>
      <c r="F1022" s="2">
        <v>96282.11</v>
      </c>
      <c r="G1022" t="s">
        <v>731</v>
      </c>
      <c r="H1022" t="s">
        <v>719</v>
      </c>
      <c r="J1022" s="7">
        <f t="shared" si="11"/>
        <v>0</v>
      </c>
    </row>
    <row r="1023" spans="1:10" hidden="1" x14ac:dyDescent="0.25">
      <c r="A1023" s="1">
        <v>45237</v>
      </c>
      <c r="B1023" t="s">
        <v>472</v>
      </c>
      <c r="D1023" s="2">
        <v>95.6</v>
      </c>
      <c r="E1023" s="2">
        <v>0</v>
      </c>
      <c r="F1023" s="2">
        <v>96186.51</v>
      </c>
      <c r="G1023" t="s">
        <v>731</v>
      </c>
      <c r="H1023" t="s">
        <v>719</v>
      </c>
      <c r="J1023" s="7">
        <f t="shared" si="11"/>
        <v>0</v>
      </c>
    </row>
    <row r="1024" spans="1:10" hidden="1" x14ac:dyDescent="0.25">
      <c r="A1024" s="1">
        <v>45237</v>
      </c>
      <c r="B1024" t="s">
        <v>678</v>
      </c>
      <c r="D1024" s="2">
        <v>0</v>
      </c>
      <c r="E1024" s="2">
        <v>81</v>
      </c>
      <c r="F1024" s="2">
        <v>96267.51</v>
      </c>
      <c r="G1024" t="s">
        <v>736</v>
      </c>
      <c r="H1024" t="s">
        <v>719</v>
      </c>
      <c r="J1024" s="7">
        <f t="shared" si="11"/>
        <v>0</v>
      </c>
    </row>
    <row r="1025" spans="1:11" hidden="1" x14ac:dyDescent="0.25">
      <c r="A1025" s="1">
        <v>45237</v>
      </c>
      <c r="B1025" t="s">
        <v>225</v>
      </c>
      <c r="C1025">
        <v>0</v>
      </c>
      <c r="D1025" s="2">
        <v>0</v>
      </c>
      <c r="E1025" s="2">
        <v>171</v>
      </c>
      <c r="F1025" s="2">
        <v>14485.5</v>
      </c>
      <c r="G1025" t="s">
        <v>736</v>
      </c>
      <c r="H1025" t="s">
        <v>716</v>
      </c>
      <c r="J1025" s="7">
        <f t="shared" si="11"/>
        <v>81953.009999999995</v>
      </c>
    </row>
    <row r="1026" spans="1:11" hidden="1" x14ac:dyDescent="0.25">
      <c r="A1026" s="1">
        <v>45238</v>
      </c>
      <c r="B1026" t="s">
        <v>152</v>
      </c>
      <c r="D1026" s="2">
        <v>16660</v>
      </c>
      <c r="E1026" s="2">
        <v>0</v>
      </c>
      <c r="F1026" s="2">
        <v>45744.08</v>
      </c>
      <c r="G1026" s="55" t="s">
        <v>1052</v>
      </c>
      <c r="H1026" t="s">
        <v>715</v>
      </c>
      <c r="I1026" s="13"/>
      <c r="J1026" s="7">
        <f t="shared" si="11"/>
        <v>-47918.58</v>
      </c>
      <c r="K1026" s="14"/>
    </row>
    <row r="1027" spans="1:11" hidden="1" x14ac:dyDescent="0.25">
      <c r="A1027" s="1">
        <v>45238</v>
      </c>
      <c r="B1027" t="s">
        <v>153</v>
      </c>
      <c r="D1027" s="2">
        <v>1699</v>
      </c>
      <c r="E1027" s="2">
        <v>0</v>
      </c>
      <c r="F1027" s="2">
        <v>44045.08</v>
      </c>
      <c r="G1027" s="55" t="s">
        <v>1052</v>
      </c>
      <c r="H1027" t="s">
        <v>715</v>
      </c>
      <c r="J1027" s="7">
        <f t="shared" si="11"/>
        <v>0</v>
      </c>
    </row>
    <row r="1028" spans="1:11" hidden="1" x14ac:dyDescent="0.25">
      <c r="A1028" s="1">
        <v>45238</v>
      </c>
      <c r="B1028" t="s">
        <v>154</v>
      </c>
      <c r="D1028" s="2">
        <v>105</v>
      </c>
      <c r="E1028" s="2">
        <v>0</v>
      </c>
      <c r="F1028" s="2">
        <v>43940.08</v>
      </c>
      <c r="G1028" t="s">
        <v>792</v>
      </c>
      <c r="H1028" t="s">
        <v>715</v>
      </c>
      <c r="J1028" s="7">
        <f t="shared" si="11"/>
        <v>0</v>
      </c>
    </row>
    <row r="1029" spans="1:11" hidden="1" x14ac:dyDescent="0.25">
      <c r="A1029" s="1">
        <v>45238</v>
      </c>
      <c r="B1029" t="s">
        <v>618</v>
      </c>
      <c r="D1029" s="2">
        <v>0</v>
      </c>
      <c r="E1029" s="2">
        <v>500.26</v>
      </c>
      <c r="F1029" s="2">
        <v>96767.77</v>
      </c>
      <c r="G1029" t="s">
        <v>731</v>
      </c>
      <c r="H1029" t="s">
        <v>719</v>
      </c>
      <c r="J1029" s="7">
        <f t="shared" si="11"/>
        <v>-52327.43</v>
      </c>
    </row>
    <row r="1030" spans="1:11" hidden="1" x14ac:dyDescent="0.25">
      <c r="A1030" s="1">
        <v>45238</v>
      </c>
      <c r="B1030" t="s">
        <v>618</v>
      </c>
      <c r="D1030" s="2">
        <v>0</v>
      </c>
      <c r="E1030" s="2">
        <v>5764.46</v>
      </c>
      <c r="F1030" s="2">
        <v>102532.23</v>
      </c>
      <c r="G1030" t="s">
        <v>731</v>
      </c>
      <c r="H1030" t="s">
        <v>719</v>
      </c>
      <c r="J1030" s="7">
        <f t="shared" si="11"/>
        <v>0</v>
      </c>
    </row>
    <row r="1031" spans="1:11" hidden="1" x14ac:dyDescent="0.25">
      <c r="A1031" s="1">
        <v>45238</v>
      </c>
      <c r="B1031" t="s">
        <v>472</v>
      </c>
      <c r="D1031" s="2">
        <v>110.88</v>
      </c>
      <c r="E1031" s="2">
        <v>0</v>
      </c>
      <c r="F1031" s="2">
        <v>102421.35</v>
      </c>
      <c r="G1031" t="s">
        <v>731</v>
      </c>
      <c r="H1031" t="s">
        <v>719</v>
      </c>
      <c r="J1031" s="7">
        <f t="shared" ref="J1031:J1094" si="12">F1030-D1031+E1031-F1031</f>
        <v>0</v>
      </c>
    </row>
    <row r="1032" spans="1:11" hidden="1" x14ac:dyDescent="0.25">
      <c r="A1032" s="1">
        <v>45238</v>
      </c>
      <c r="B1032" t="s">
        <v>472</v>
      </c>
      <c r="D1032" s="2">
        <v>16094.15</v>
      </c>
      <c r="E1032" s="2">
        <v>0</v>
      </c>
      <c r="F1032" s="2">
        <v>86327.2</v>
      </c>
      <c r="G1032" t="s">
        <v>731</v>
      </c>
      <c r="H1032" t="s">
        <v>719</v>
      </c>
      <c r="J1032" s="7">
        <f t="shared" si="12"/>
        <v>0</v>
      </c>
    </row>
    <row r="1033" spans="1:11" hidden="1" x14ac:dyDescent="0.25">
      <c r="A1033" s="1">
        <v>45238</v>
      </c>
      <c r="B1033" t="s">
        <v>472</v>
      </c>
      <c r="D1033" s="2">
        <v>27124.59</v>
      </c>
      <c r="E1033" s="2">
        <v>0</v>
      </c>
      <c r="F1033" s="2">
        <v>59202.61</v>
      </c>
      <c r="G1033" t="s">
        <v>731</v>
      </c>
      <c r="H1033" t="s">
        <v>719</v>
      </c>
      <c r="J1033" s="7">
        <f t="shared" si="12"/>
        <v>0</v>
      </c>
    </row>
    <row r="1034" spans="1:11" hidden="1" x14ac:dyDescent="0.25">
      <c r="A1034" s="1">
        <v>45239</v>
      </c>
      <c r="B1034" t="s">
        <v>472</v>
      </c>
      <c r="D1034" s="2">
        <v>101.4</v>
      </c>
      <c r="E1034" s="2">
        <v>0</v>
      </c>
      <c r="F1034" s="2">
        <v>59101.21</v>
      </c>
      <c r="G1034" t="s">
        <v>731</v>
      </c>
      <c r="H1034" t="s">
        <v>719</v>
      </c>
      <c r="J1034" s="7">
        <f t="shared" si="12"/>
        <v>0</v>
      </c>
    </row>
    <row r="1035" spans="1:11" hidden="1" x14ac:dyDescent="0.25">
      <c r="A1035" s="1">
        <v>45239</v>
      </c>
      <c r="B1035" t="s">
        <v>679</v>
      </c>
      <c r="D1035" s="2">
        <v>295</v>
      </c>
      <c r="E1035" s="2">
        <v>0</v>
      </c>
      <c r="F1035" s="2">
        <v>58806.21</v>
      </c>
      <c r="G1035" t="s">
        <v>729</v>
      </c>
      <c r="H1035" t="s">
        <v>719</v>
      </c>
      <c r="J1035" s="7">
        <f t="shared" si="12"/>
        <v>0</v>
      </c>
    </row>
    <row r="1036" spans="1:11" hidden="1" x14ac:dyDescent="0.25">
      <c r="A1036" s="1">
        <v>45239</v>
      </c>
      <c r="B1036" t="s">
        <v>680</v>
      </c>
      <c r="D1036" s="2">
        <v>0</v>
      </c>
      <c r="E1036" s="2">
        <v>188.09</v>
      </c>
      <c r="F1036" s="2">
        <v>58994.3</v>
      </c>
      <c r="G1036" s="55" t="s">
        <v>1052</v>
      </c>
      <c r="H1036" t="s">
        <v>719</v>
      </c>
      <c r="J1036" s="7">
        <f t="shared" si="12"/>
        <v>0</v>
      </c>
    </row>
    <row r="1037" spans="1:11" hidden="1" x14ac:dyDescent="0.25">
      <c r="A1037" s="1">
        <v>45240</v>
      </c>
      <c r="B1037" t="s">
        <v>155</v>
      </c>
      <c r="D1037" s="2">
        <v>10000</v>
      </c>
      <c r="E1037" s="2">
        <v>0</v>
      </c>
      <c r="F1037" s="2">
        <v>33940.080000000002</v>
      </c>
      <c r="G1037" t="s">
        <v>734</v>
      </c>
      <c r="H1037" t="s">
        <v>715</v>
      </c>
      <c r="J1037" s="7">
        <f t="shared" si="12"/>
        <v>15054.220000000001</v>
      </c>
    </row>
    <row r="1038" spans="1:11" hidden="1" x14ac:dyDescent="0.25">
      <c r="A1038" s="1">
        <v>45240</v>
      </c>
      <c r="B1038" t="s">
        <v>618</v>
      </c>
      <c r="D1038" s="2">
        <v>0</v>
      </c>
      <c r="E1038" s="2">
        <v>351.47</v>
      </c>
      <c r="F1038" s="2">
        <v>59345.77</v>
      </c>
      <c r="G1038" t="s">
        <v>731</v>
      </c>
      <c r="H1038" t="s">
        <v>719</v>
      </c>
      <c r="J1038" s="7">
        <f t="shared" si="12"/>
        <v>-25054.219999999994</v>
      </c>
    </row>
    <row r="1039" spans="1:11" hidden="1" x14ac:dyDescent="0.25">
      <c r="A1039" s="1">
        <v>45240</v>
      </c>
      <c r="B1039" t="s">
        <v>681</v>
      </c>
      <c r="D1039" s="2">
        <v>10000</v>
      </c>
      <c r="E1039" s="2">
        <v>0</v>
      </c>
      <c r="F1039" s="2">
        <v>49345.77</v>
      </c>
      <c r="G1039" t="s">
        <v>725</v>
      </c>
      <c r="H1039" t="s">
        <v>719</v>
      </c>
      <c r="J1039" s="7">
        <f t="shared" si="12"/>
        <v>0</v>
      </c>
    </row>
    <row r="1040" spans="1:11" hidden="1" x14ac:dyDescent="0.25">
      <c r="A1040" s="1">
        <v>45240</v>
      </c>
      <c r="B1040" t="s">
        <v>472</v>
      </c>
      <c r="D1040" s="2">
        <v>126.73</v>
      </c>
      <c r="E1040" s="2">
        <v>0</v>
      </c>
      <c r="F1040" s="2">
        <v>49219.040000000001</v>
      </c>
      <c r="G1040" t="s">
        <v>731</v>
      </c>
      <c r="H1040" t="s">
        <v>719</v>
      </c>
      <c r="J1040" s="7">
        <f t="shared" si="12"/>
        <v>0</v>
      </c>
    </row>
    <row r="1041" spans="1:10" hidden="1" x14ac:dyDescent="0.25">
      <c r="A1041" s="1">
        <v>45240</v>
      </c>
      <c r="B1041" t="s">
        <v>618</v>
      </c>
      <c r="D1041" s="2">
        <v>0</v>
      </c>
      <c r="E1041" s="2">
        <v>394.72</v>
      </c>
      <c r="F1041" s="2">
        <v>49613.760000000002</v>
      </c>
      <c r="G1041" t="s">
        <v>731</v>
      </c>
      <c r="H1041" t="s">
        <v>719</v>
      </c>
      <c r="J1041" s="7">
        <f t="shared" si="12"/>
        <v>0</v>
      </c>
    </row>
    <row r="1042" spans="1:10" hidden="1" x14ac:dyDescent="0.25">
      <c r="A1042" s="1">
        <v>45243</v>
      </c>
      <c r="B1042" t="s">
        <v>472</v>
      </c>
      <c r="D1042" s="2">
        <v>6423.96</v>
      </c>
      <c r="E1042" s="2">
        <v>0</v>
      </c>
      <c r="F1042" s="2">
        <v>43189.8</v>
      </c>
      <c r="G1042" t="s">
        <v>731</v>
      </c>
      <c r="H1042" t="s">
        <v>719</v>
      </c>
      <c r="J1042" s="7">
        <f t="shared" si="12"/>
        <v>0</v>
      </c>
    </row>
    <row r="1043" spans="1:10" hidden="1" x14ac:dyDescent="0.25">
      <c r="A1043" s="1">
        <v>45243</v>
      </c>
      <c r="B1043" t="s">
        <v>618</v>
      </c>
      <c r="D1043" s="2">
        <v>0</v>
      </c>
      <c r="E1043" s="2">
        <v>2610.5100000000002</v>
      </c>
      <c r="F1043" s="2">
        <v>45800.31</v>
      </c>
      <c r="G1043" t="s">
        <v>731</v>
      </c>
      <c r="H1043" t="s">
        <v>719</v>
      </c>
      <c r="J1043" s="7">
        <f t="shared" si="12"/>
        <v>0</v>
      </c>
    </row>
    <row r="1044" spans="1:10" hidden="1" x14ac:dyDescent="0.25">
      <c r="A1044" s="1">
        <v>45243</v>
      </c>
      <c r="B1044" t="s">
        <v>682</v>
      </c>
      <c r="D1044" s="2">
        <v>0</v>
      </c>
      <c r="E1044" s="2">
        <v>40000</v>
      </c>
      <c r="F1044" s="2">
        <v>85800.31</v>
      </c>
      <c r="G1044" t="s">
        <v>765</v>
      </c>
      <c r="H1044" t="s">
        <v>719</v>
      </c>
      <c r="J1044" s="7">
        <f t="shared" si="12"/>
        <v>0</v>
      </c>
    </row>
    <row r="1045" spans="1:10" hidden="1" x14ac:dyDescent="0.25">
      <c r="A1045" s="1">
        <v>45243</v>
      </c>
      <c r="B1045" t="s">
        <v>683</v>
      </c>
      <c r="D1045" s="2">
        <v>0</v>
      </c>
      <c r="E1045" s="2">
        <v>50000</v>
      </c>
      <c r="F1045" s="2">
        <v>135800.31</v>
      </c>
      <c r="G1045" t="s">
        <v>763</v>
      </c>
      <c r="H1045" t="s">
        <v>719</v>
      </c>
      <c r="J1045" s="7">
        <f t="shared" si="12"/>
        <v>0</v>
      </c>
    </row>
    <row r="1046" spans="1:10" hidden="1" x14ac:dyDescent="0.25">
      <c r="A1046" s="1">
        <v>45243</v>
      </c>
      <c r="B1046" t="s">
        <v>684</v>
      </c>
      <c r="D1046" s="2">
        <v>75000</v>
      </c>
      <c r="E1046" s="2">
        <v>0</v>
      </c>
      <c r="F1046" s="2">
        <v>60800.31</v>
      </c>
      <c r="G1046" t="s">
        <v>724</v>
      </c>
      <c r="H1046" t="s">
        <v>719</v>
      </c>
      <c r="J1046" s="7">
        <f t="shared" si="12"/>
        <v>0</v>
      </c>
    </row>
    <row r="1047" spans="1:10" hidden="1" x14ac:dyDescent="0.25">
      <c r="A1047" s="1">
        <v>45243</v>
      </c>
      <c r="B1047" t="s">
        <v>472</v>
      </c>
      <c r="D1047" s="2">
        <v>5084.8100000000004</v>
      </c>
      <c r="E1047" s="2">
        <v>0</v>
      </c>
      <c r="F1047" s="2">
        <v>55715.5</v>
      </c>
      <c r="G1047" t="s">
        <v>731</v>
      </c>
      <c r="H1047" t="s">
        <v>719</v>
      </c>
      <c r="J1047" s="7">
        <f t="shared" si="12"/>
        <v>0</v>
      </c>
    </row>
    <row r="1048" spans="1:10" hidden="1" x14ac:dyDescent="0.25">
      <c r="A1048" s="1">
        <v>45243</v>
      </c>
      <c r="B1048" t="s">
        <v>183</v>
      </c>
      <c r="C1048" t="s">
        <v>224</v>
      </c>
      <c r="D1048" s="2">
        <v>0</v>
      </c>
      <c r="E1048" s="2">
        <v>5287.92</v>
      </c>
      <c r="F1048" s="2">
        <v>19773.419999999998</v>
      </c>
      <c r="G1048" s="55" t="s">
        <v>1052</v>
      </c>
      <c r="H1048" t="s">
        <v>716</v>
      </c>
      <c r="J1048" s="7">
        <f t="shared" si="12"/>
        <v>41230</v>
      </c>
    </row>
    <row r="1049" spans="1:10" hidden="1" x14ac:dyDescent="0.25">
      <c r="A1049" s="1">
        <v>45243</v>
      </c>
      <c r="B1049" t="s">
        <v>430</v>
      </c>
      <c r="C1049" t="s">
        <v>431</v>
      </c>
      <c r="D1049" s="2">
        <v>0</v>
      </c>
      <c r="E1049" s="2">
        <v>75000</v>
      </c>
      <c r="F1049" s="2">
        <v>-121367.37</v>
      </c>
      <c r="G1049" t="s">
        <v>724</v>
      </c>
      <c r="H1049" t="s">
        <v>718</v>
      </c>
      <c r="J1049" s="7">
        <f t="shared" si="12"/>
        <v>216140.78999999998</v>
      </c>
    </row>
    <row r="1050" spans="1:10" hidden="1" x14ac:dyDescent="0.25">
      <c r="A1050" s="1">
        <v>45245</v>
      </c>
      <c r="B1050" t="s">
        <v>618</v>
      </c>
      <c r="D1050" s="2">
        <v>0</v>
      </c>
      <c r="E1050" s="2">
        <v>23004.18</v>
      </c>
      <c r="F1050" s="2">
        <v>78719.679999999993</v>
      </c>
      <c r="G1050" t="s">
        <v>731</v>
      </c>
      <c r="H1050" t="s">
        <v>719</v>
      </c>
      <c r="J1050" s="7">
        <f t="shared" si="12"/>
        <v>-177082.87</v>
      </c>
    </row>
    <row r="1051" spans="1:10" hidden="1" x14ac:dyDescent="0.25">
      <c r="A1051" s="1">
        <v>45245</v>
      </c>
      <c r="B1051" t="s">
        <v>681</v>
      </c>
      <c r="D1051" s="2">
        <v>10000</v>
      </c>
      <c r="E1051" s="2">
        <v>0</v>
      </c>
      <c r="F1051" s="2">
        <v>68719.679999999993</v>
      </c>
      <c r="G1051" t="s">
        <v>725</v>
      </c>
      <c r="H1051" t="s">
        <v>719</v>
      </c>
      <c r="J1051" s="7">
        <f t="shared" si="12"/>
        <v>0</v>
      </c>
    </row>
    <row r="1052" spans="1:10" hidden="1" x14ac:dyDescent="0.25">
      <c r="A1052" s="1">
        <v>45245</v>
      </c>
      <c r="B1052" t="s">
        <v>685</v>
      </c>
      <c r="D1052" s="2">
        <v>15000</v>
      </c>
      <c r="E1052" s="2">
        <v>0</v>
      </c>
      <c r="F1052" s="2">
        <v>53719.68</v>
      </c>
      <c r="G1052" t="s">
        <v>728</v>
      </c>
      <c r="H1052" t="s">
        <v>719</v>
      </c>
      <c r="J1052" s="7">
        <f t="shared" si="12"/>
        <v>0</v>
      </c>
    </row>
    <row r="1053" spans="1:10" hidden="1" x14ac:dyDescent="0.25">
      <c r="A1053" s="1">
        <v>45245</v>
      </c>
      <c r="B1053" t="s">
        <v>472</v>
      </c>
      <c r="D1053" s="2">
        <v>262.5</v>
      </c>
      <c r="E1053" s="2">
        <v>0</v>
      </c>
      <c r="F1053" s="2">
        <v>53457.18</v>
      </c>
      <c r="G1053" t="s">
        <v>731</v>
      </c>
      <c r="H1053" t="s">
        <v>719</v>
      </c>
      <c r="J1053" s="7">
        <f t="shared" si="12"/>
        <v>0</v>
      </c>
    </row>
    <row r="1054" spans="1:10" hidden="1" x14ac:dyDescent="0.25">
      <c r="A1054" s="1">
        <v>45245</v>
      </c>
      <c r="B1054" t="s">
        <v>686</v>
      </c>
      <c r="D1054" s="2">
        <v>1779.98</v>
      </c>
      <c r="E1054" s="2">
        <v>0</v>
      </c>
      <c r="F1054" s="2">
        <v>51677.2</v>
      </c>
      <c r="G1054" t="s">
        <v>729</v>
      </c>
      <c r="H1054" t="s">
        <v>719</v>
      </c>
      <c r="J1054" s="7">
        <f t="shared" si="12"/>
        <v>0</v>
      </c>
    </row>
    <row r="1055" spans="1:10" hidden="1" x14ac:dyDescent="0.25">
      <c r="A1055" s="1">
        <v>45245</v>
      </c>
      <c r="B1055" t="s">
        <v>472</v>
      </c>
      <c r="D1055" s="2">
        <v>20393.02</v>
      </c>
      <c r="E1055" s="2">
        <v>0</v>
      </c>
      <c r="F1055" s="2">
        <v>31284.18</v>
      </c>
      <c r="G1055" t="s">
        <v>731</v>
      </c>
      <c r="H1055" t="s">
        <v>719</v>
      </c>
      <c r="J1055" s="7">
        <f t="shared" si="12"/>
        <v>0</v>
      </c>
    </row>
    <row r="1056" spans="1:10" hidden="1" x14ac:dyDescent="0.25">
      <c r="A1056" s="1">
        <v>45246</v>
      </c>
      <c r="B1056" t="s">
        <v>156</v>
      </c>
      <c r="D1056" s="2">
        <v>195</v>
      </c>
      <c r="E1056" s="2">
        <v>0</v>
      </c>
      <c r="F1056" s="2">
        <v>33745.08</v>
      </c>
      <c r="G1056" t="s">
        <v>792</v>
      </c>
      <c r="H1056" t="s">
        <v>715</v>
      </c>
      <c r="J1056" s="7">
        <f t="shared" si="12"/>
        <v>-2655.9000000000015</v>
      </c>
    </row>
    <row r="1057" spans="1:10" hidden="1" x14ac:dyDescent="0.25">
      <c r="A1057" s="1">
        <v>45246</v>
      </c>
      <c r="B1057" t="s">
        <v>618</v>
      </c>
      <c r="D1057" s="2">
        <v>0</v>
      </c>
      <c r="E1057" s="2">
        <v>39620.21</v>
      </c>
      <c r="F1057" s="2">
        <v>70904.39</v>
      </c>
      <c r="G1057" t="s">
        <v>731</v>
      </c>
      <c r="H1057" t="s">
        <v>719</v>
      </c>
      <c r="J1057" s="7">
        <f t="shared" si="12"/>
        <v>2460.9000000000087</v>
      </c>
    </row>
    <row r="1058" spans="1:10" hidden="1" x14ac:dyDescent="0.25">
      <c r="A1058" s="1">
        <v>45246</v>
      </c>
      <c r="B1058" t="s">
        <v>472</v>
      </c>
      <c r="D1058" s="2">
        <v>127.9</v>
      </c>
      <c r="E1058" s="2">
        <v>0</v>
      </c>
      <c r="F1058" s="2">
        <v>70776.490000000005</v>
      </c>
      <c r="G1058" t="s">
        <v>731</v>
      </c>
      <c r="H1058" t="s">
        <v>719</v>
      </c>
      <c r="J1058" s="7">
        <f t="shared" si="12"/>
        <v>0</v>
      </c>
    </row>
    <row r="1059" spans="1:10" hidden="1" x14ac:dyDescent="0.25">
      <c r="A1059" s="1">
        <v>45246</v>
      </c>
      <c r="B1059" t="s">
        <v>472</v>
      </c>
      <c r="D1059" s="2">
        <v>33588.69</v>
      </c>
      <c r="E1059" s="2">
        <v>0</v>
      </c>
      <c r="F1059" s="2">
        <v>37187.800000000003</v>
      </c>
      <c r="G1059" t="s">
        <v>731</v>
      </c>
      <c r="H1059" t="s">
        <v>719</v>
      </c>
      <c r="J1059" s="7">
        <f t="shared" si="12"/>
        <v>0</v>
      </c>
    </row>
    <row r="1060" spans="1:10" hidden="1" x14ac:dyDescent="0.25">
      <c r="A1060" s="1">
        <v>45246</v>
      </c>
      <c r="B1060" t="s">
        <v>687</v>
      </c>
      <c r="D1060" s="2">
        <v>0</v>
      </c>
      <c r="E1060" s="2">
        <v>15000</v>
      </c>
      <c r="F1060" s="2">
        <v>52187.8</v>
      </c>
      <c r="G1060" t="s">
        <v>763</v>
      </c>
      <c r="H1060" t="s">
        <v>719</v>
      </c>
      <c r="J1060" s="7">
        <f t="shared" si="12"/>
        <v>0</v>
      </c>
    </row>
    <row r="1061" spans="1:10" hidden="1" x14ac:dyDescent="0.25">
      <c r="A1061" s="1">
        <v>45247</v>
      </c>
      <c r="B1061" t="s">
        <v>618</v>
      </c>
      <c r="D1061" s="2">
        <v>0</v>
      </c>
      <c r="E1061" s="2">
        <v>16184.97</v>
      </c>
      <c r="F1061" s="2">
        <v>68372.77</v>
      </c>
      <c r="G1061" t="s">
        <v>731</v>
      </c>
      <c r="H1061" t="s">
        <v>719</v>
      </c>
      <c r="J1061" s="7">
        <f t="shared" si="12"/>
        <v>0</v>
      </c>
    </row>
    <row r="1062" spans="1:10" hidden="1" x14ac:dyDescent="0.25">
      <c r="A1062" s="1">
        <v>45247</v>
      </c>
      <c r="B1062" t="s">
        <v>472</v>
      </c>
      <c r="D1062" s="2">
        <v>129.12</v>
      </c>
      <c r="E1062" s="2">
        <v>0</v>
      </c>
      <c r="F1062" s="2">
        <v>68243.649999999994</v>
      </c>
      <c r="G1062" t="s">
        <v>731</v>
      </c>
      <c r="H1062" t="s">
        <v>719</v>
      </c>
      <c r="J1062" s="7">
        <f t="shared" si="12"/>
        <v>0</v>
      </c>
    </row>
    <row r="1063" spans="1:10" hidden="1" x14ac:dyDescent="0.25">
      <c r="A1063" s="1">
        <v>45247</v>
      </c>
      <c r="B1063" t="s">
        <v>688</v>
      </c>
      <c r="D1063" s="2">
        <v>0</v>
      </c>
      <c r="E1063" s="2">
        <v>70000</v>
      </c>
      <c r="F1063" s="2">
        <v>138243.65</v>
      </c>
      <c r="G1063" t="s">
        <v>763</v>
      </c>
      <c r="H1063" t="s">
        <v>719</v>
      </c>
      <c r="J1063" s="7">
        <f t="shared" si="12"/>
        <v>0</v>
      </c>
    </row>
    <row r="1064" spans="1:10" hidden="1" x14ac:dyDescent="0.25">
      <c r="A1064" s="1">
        <v>45247</v>
      </c>
      <c r="B1064" t="s">
        <v>689</v>
      </c>
      <c r="D1064" s="2">
        <v>100000</v>
      </c>
      <c r="E1064" s="2">
        <v>0</v>
      </c>
      <c r="F1064" s="2">
        <v>38243.65</v>
      </c>
      <c r="G1064" t="s">
        <v>724</v>
      </c>
      <c r="H1064" t="s">
        <v>719</v>
      </c>
      <c r="J1064" s="7">
        <f t="shared" si="12"/>
        <v>0</v>
      </c>
    </row>
    <row r="1065" spans="1:10" hidden="1" x14ac:dyDescent="0.25">
      <c r="A1065" s="1">
        <v>45247</v>
      </c>
      <c r="B1065" t="s">
        <v>472</v>
      </c>
      <c r="D1065" s="2">
        <v>1167.68</v>
      </c>
      <c r="E1065" s="2">
        <v>0</v>
      </c>
      <c r="F1065" s="2">
        <v>37075.97</v>
      </c>
      <c r="G1065" t="s">
        <v>731</v>
      </c>
      <c r="H1065" t="s">
        <v>719</v>
      </c>
      <c r="J1065" s="7">
        <f t="shared" si="12"/>
        <v>0</v>
      </c>
    </row>
    <row r="1066" spans="1:10" hidden="1" x14ac:dyDescent="0.25">
      <c r="A1066" s="1">
        <v>45247</v>
      </c>
      <c r="B1066" t="s">
        <v>432</v>
      </c>
      <c r="C1066" t="s">
        <v>433</v>
      </c>
      <c r="D1066" s="2">
        <v>0</v>
      </c>
      <c r="E1066" s="2">
        <v>100000</v>
      </c>
      <c r="F1066" s="2">
        <v>-21367.37</v>
      </c>
      <c r="G1066" t="s">
        <v>724</v>
      </c>
      <c r="H1066" t="s">
        <v>718</v>
      </c>
      <c r="J1066" s="7">
        <f t="shared" si="12"/>
        <v>158443.34</v>
      </c>
    </row>
    <row r="1067" spans="1:10" hidden="1" x14ac:dyDescent="0.25">
      <c r="A1067" s="1">
        <v>45248</v>
      </c>
      <c r="B1067" t="s">
        <v>511</v>
      </c>
      <c r="D1067" s="2">
        <v>0</v>
      </c>
      <c r="E1067" s="2">
        <v>129.43</v>
      </c>
      <c r="F1067" s="2">
        <v>37205.4</v>
      </c>
      <c r="G1067" t="s">
        <v>732</v>
      </c>
      <c r="H1067" t="s">
        <v>719</v>
      </c>
      <c r="J1067" s="7">
        <f t="shared" si="12"/>
        <v>-58443.34</v>
      </c>
    </row>
    <row r="1068" spans="1:10" hidden="1" x14ac:dyDescent="0.25">
      <c r="A1068" s="1">
        <v>45250</v>
      </c>
      <c r="B1068" t="s">
        <v>618</v>
      </c>
      <c r="D1068" s="2">
        <v>0</v>
      </c>
      <c r="E1068" s="2">
        <v>27535.18</v>
      </c>
      <c r="F1068" s="2">
        <v>64740.58</v>
      </c>
      <c r="G1068" t="s">
        <v>731</v>
      </c>
      <c r="H1068" t="s">
        <v>719</v>
      </c>
      <c r="J1068" s="7">
        <f t="shared" si="12"/>
        <v>0</v>
      </c>
    </row>
    <row r="1069" spans="1:10" hidden="1" x14ac:dyDescent="0.25">
      <c r="A1069" s="1">
        <v>45250</v>
      </c>
      <c r="B1069" t="s">
        <v>681</v>
      </c>
      <c r="D1069" s="2">
        <v>10000</v>
      </c>
      <c r="E1069" s="2">
        <v>0</v>
      </c>
      <c r="F1069" s="2">
        <v>54740.58</v>
      </c>
      <c r="G1069" t="s">
        <v>725</v>
      </c>
      <c r="H1069" t="s">
        <v>719</v>
      </c>
      <c r="J1069" s="7">
        <f t="shared" si="12"/>
        <v>0</v>
      </c>
    </row>
    <row r="1070" spans="1:10" hidden="1" x14ac:dyDescent="0.25">
      <c r="A1070" s="1">
        <v>45250</v>
      </c>
      <c r="B1070" t="s">
        <v>472</v>
      </c>
      <c r="D1070" s="2">
        <v>386.13</v>
      </c>
      <c r="E1070" s="2">
        <v>0</v>
      </c>
      <c r="F1070" s="2">
        <v>54354.45</v>
      </c>
      <c r="G1070" t="s">
        <v>731</v>
      </c>
      <c r="H1070" t="s">
        <v>719</v>
      </c>
      <c r="J1070" s="7">
        <f t="shared" si="12"/>
        <v>0</v>
      </c>
    </row>
    <row r="1071" spans="1:10" hidden="1" x14ac:dyDescent="0.25">
      <c r="A1071" s="1">
        <v>45250</v>
      </c>
      <c r="B1071" t="s">
        <v>472</v>
      </c>
      <c r="D1071" s="2">
        <v>8116.38</v>
      </c>
      <c r="E1071" s="2">
        <v>0</v>
      </c>
      <c r="F1071" s="2">
        <v>46238.07</v>
      </c>
      <c r="G1071" t="s">
        <v>731</v>
      </c>
      <c r="H1071" t="s">
        <v>719</v>
      </c>
      <c r="J1071" s="7">
        <f t="shared" si="12"/>
        <v>0</v>
      </c>
    </row>
    <row r="1072" spans="1:10" hidden="1" x14ac:dyDescent="0.25">
      <c r="A1072" s="1">
        <v>45251</v>
      </c>
      <c r="B1072" t="s">
        <v>618</v>
      </c>
      <c r="D1072" s="2">
        <v>0</v>
      </c>
      <c r="E1072" s="2">
        <v>39784.910000000003</v>
      </c>
      <c r="F1072" s="2">
        <v>86022.98</v>
      </c>
      <c r="G1072" t="s">
        <v>731</v>
      </c>
      <c r="H1072" t="s">
        <v>719</v>
      </c>
      <c r="J1072" s="7">
        <f t="shared" si="12"/>
        <v>0</v>
      </c>
    </row>
    <row r="1073" spans="1:10" hidden="1" x14ac:dyDescent="0.25">
      <c r="A1073" s="1">
        <v>45251</v>
      </c>
      <c r="B1073" t="s">
        <v>472</v>
      </c>
      <c r="D1073" s="2">
        <v>117.44</v>
      </c>
      <c r="E1073" s="2">
        <v>0</v>
      </c>
      <c r="F1073" s="2">
        <v>85905.54</v>
      </c>
      <c r="G1073" t="s">
        <v>731</v>
      </c>
      <c r="H1073" t="s">
        <v>719</v>
      </c>
      <c r="J1073" s="7">
        <f t="shared" si="12"/>
        <v>0</v>
      </c>
    </row>
    <row r="1074" spans="1:10" hidden="1" x14ac:dyDescent="0.25">
      <c r="A1074" s="1">
        <v>45251</v>
      </c>
      <c r="B1074" t="s">
        <v>690</v>
      </c>
      <c r="D1074" s="2">
        <v>0</v>
      </c>
      <c r="E1074" s="2">
        <v>1020</v>
      </c>
      <c r="F1074" s="2">
        <v>86925.54</v>
      </c>
      <c r="G1074" t="s">
        <v>736</v>
      </c>
      <c r="H1074" t="s">
        <v>719</v>
      </c>
      <c r="J1074" s="7">
        <f t="shared" si="12"/>
        <v>0</v>
      </c>
    </row>
    <row r="1075" spans="1:10" hidden="1" x14ac:dyDescent="0.25">
      <c r="A1075" s="1">
        <v>45251</v>
      </c>
      <c r="B1075" t="s">
        <v>472</v>
      </c>
      <c r="D1075" s="2">
        <v>17204.93</v>
      </c>
      <c r="E1075" s="2">
        <v>0</v>
      </c>
      <c r="F1075" s="2">
        <v>69720.61</v>
      </c>
      <c r="G1075" t="s">
        <v>731</v>
      </c>
      <c r="H1075" t="s">
        <v>719</v>
      </c>
      <c r="J1075" s="7">
        <f t="shared" si="12"/>
        <v>0</v>
      </c>
    </row>
    <row r="1076" spans="1:10" hidden="1" x14ac:dyDescent="0.25">
      <c r="A1076" s="1">
        <v>45251</v>
      </c>
      <c r="B1076" t="s">
        <v>183</v>
      </c>
      <c r="C1076" t="s">
        <v>223</v>
      </c>
      <c r="D1076" s="2">
        <v>0</v>
      </c>
      <c r="E1076" s="2">
        <v>17987.990000000002</v>
      </c>
      <c r="F1076" s="2">
        <v>37761.410000000003</v>
      </c>
      <c r="G1076" s="55" t="s">
        <v>1052</v>
      </c>
      <c r="H1076" t="s">
        <v>716</v>
      </c>
      <c r="J1076" s="7">
        <f t="shared" si="12"/>
        <v>49947.19</v>
      </c>
    </row>
    <row r="1077" spans="1:10" hidden="1" x14ac:dyDescent="0.25">
      <c r="A1077" s="1">
        <v>45252</v>
      </c>
      <c r="B1077" t="s">
        <v>618</v>
      </c>
      <c r="D1077" s="2">
        <v>0</v>
      </c>
      <c r="E1077" s="2">
        <v>34843.980000000003</v>
      </c>
      <c r="F1077" s="2">
        <v>104564.59</v>
      </c>
      <c r="G1077" t="s">
        <v>731</v>
      </c>
      <c r="H1077" t="s">
        <v>719</v>
      </c>
      <c r="J1077" s="7">
        <f t="shared" si="12"/>
        <v>-31959.199999999983</v>
      </c>
    </row>
    <row r="1078" spans="1:10" hidden="1" x14ac:dyDescent="0.25">
      <c r="A1078" s="1">
        <v>45252</v>
      </c>
      <c r="B1078" t="s">
        <v>472</v>
      </c>
      <c r="D1078" s="2">
        <v>111.31</v>
      </c>
      <c r="E1078" s="2">
        <v>0</v>
      </c>
      <c r="F1078" s="2">
        <v>104453.28</v>
      </c>
      <c r="G1078" t="s">
        <v>731</v>
      </c>
      <c r="H1078" t="s">
        <v>719</v>
      </c>
      <c r="J1078" s="7">
        <f t="shared" si="12"/>
        <v>0</v>
      </c>
    </row>
    <row r="1079" spans="1:10" hidden="1" x14ac:dyDescent="0.25">
      <c r="A1079" s="1">
        <v>45252</v>
      </c>
      <c r="B1079" t="s">
        <v>472</v>
      </c>
      <c r="D1079" s="2">
        <v>9620.85</v>
      </c>
      <c r="E1079" s="2">
        <v>0</v>
      </c>
      <c r="F1079" s="2">
        <v>94832.43</v>
      </c>
      <c r="G1079" t="s">
        <v>731</v>
      </c>
      <c r="H1079" t="s">
        <v>719</v>
      </c>
      <c r="J1079" s="7">
        <f t="shared" si="12"/>
        <v>0</v>
      </c>
    </row>
    <row r="1080" spans="1:10" hidden="1" x14ac:dyDescent="0.25">
      <c r="A1080" s="1">
        <v>45252</v>
      </c>
      <c r="B1080" t="s">
        <v>472</v>
      </c>
      <c r="D1080" s="2">
        <v>21125.25</v>
      </c>
      <c r="E1080" s="2">
        <v>0</v>
      </c>
      <c r="F1080" s="2">
        <v>73707.179999999993</v>
      </c>
      <c r="G1080" t="s">
        <v>731</v>
      </c>
      <c r="H1080" t="s">
        <v>719</v>
      </c>
      <c r="J1080" s="7">
        <f t="shared" si="12"/>
        <v>0</v>
      </c>
    </row>
    <row r="1081" spans="1:10" hidden="1" x14ac:dyDescent="0.25">
      <c r="A1081" s="1">
        <v>45252</v>
      </c>
      <c r="B1081" t="s">
        <v>183</v>
      </c>
      <c r="C1081" t="s">
        <v>222</v>
      </c>
      <c r="D1081" s="2">
        <v>0</v>
      </c>
      <c r="E1081" s="2">
        <v>165252.64000000001</v>
      </c>
      <c r="F1081" s="2">
        <v>203014.05</v>
      </c>
      <c r="G1081" s="55" t="s">
        <v>1052</v>
      </c>
      <c r="H1081" t="s">
        <v>716</v>
      </c>
      <c r="J1081" s="7">
        <f t="shared" si="12"/>
        <v>35945.770000000019</v>
      </c>
    </row>
    <row r="1082" spans="1:10" hidden="1" x14ac:dyDescent="0.25">
      <c r="A1082" s="1">
        <v>45253</v>
      </c>
      <c r="B1082" t="s">
        <v>157</v>
      </c>
      <c r="D1082" s="2">
        <v>2100</v>
      </c>
      <c r="E1082" s="2">
        <v>0</v>
      </c>
      <c r="F1082" s="2">
        <v>31645.08</v>
      </c>
      <c r="G1082" t="s">
        <v>793</v>
      </c>
      <c r="H1082" t="s">
        <v>715</v>
      </c>
      <c r="J1082" s="7">
        <f t="shared" si="12"/>
        <v>169268.96999999997</v>
      </c>
    </row>
    <row r="1083" spans="1:10" hidden="1" x14ac:dyDescent="0.25">
      <c r="A1083" s="1">
        <v>45253</v>
      </c>
      <c r="B1083" t="s">
        <v>472</v>
      </c>
      <c r="D1083" s="2">
        <v>103.78</v>
      </c>
      <c r="E1083" s="2">
        <v>0</v>
      </c>
      <c r="F1083" s="2">
        <v>73603.399999999994</v>
      </c>
      <c r="G1083" t="s">
        <v>731</v>
      </c>
      <c r="H1083" t="s">
        <v>719</v>
      </c>
      <c r="J1083" s="7">
        <f t="shared" si="12"/>
        <v>-42062.099999999991</v>
      </c>
    </row>
    <row r="1084" spans="1:10" hidden="1" x14ac:dyDescent="0.25">
      <c r="A1084" s="1">
        <v>45253</v>
      </c>
      <c r="B1084" t="s">
        <v>472</v>
      </c>
      <c r="D1084" s="2">
        <v>12174.86</v>
      </c>
      <c r="E1084" s="2">
        <v>0</v>
      </c>
      <c r="F1084" s="2">
        <v>61428.54</v>
      </c>
      <c r="G1084" t="s">
        <v>731</v>
      </c>
      <c r="H1084" t="s">
        <v>719</v>
      </c>
      <c r="J1084" s="7">
        <f t="shared" si="12"/>
        <v>0</v>
      </c>
    </row>
    <row r="1085" spans="1:10" hidden="1" x14ac:dyDescent="0.25">
      <c r="A1085" s="1">
        <v>45253</v>
      </c>
      <c r="B1085" t="s">
        <v>194</v>
      </c>
      <c r="C1085" t="s">
        <v>221</v>
      </c>
      <c r="D1085" s="2">
        <v>31936</v>
      </c>
      <c r="E1085" s="2">
        <v>0</v>
      </c>
      <c r="F1085" s="2">
        <v>171078.05</v>
      </c>
      <c r="G1085" t="s">
        <v>794</v>
      </c>
      <c r="H1085" t="s">
        <v>716</v>
      </c>
      <c r="J1085" s="7">
        <f t="shared" si="12"/>
        <v>-141585.50999999998</v>
      </c>
    </row>
    <row r="1086" spans="1:10" hidden="1" x14ac:dyDescent="0.25">
      <c r="A1086" s="1">
        <v>45253</v>
      </c>
      <c r="B1086" t="s">
        <v>197</v>
      </c>
      <c r="C1086" t="s">
        <v>220</v>
      </c>
      <c r="D1086" s="2">
        <v>20000</v>
      </c>
      <c r="E1086" s="2">
        <v>0</v>
      </c>
      <c r="F1086" s="2">
        <v>151078.04999999999</v>
      </c>
      <c r="G1086" t="s">
        <v>724</v>
      </c>
      <c r="H1086" t="s">
        <v>716</v>
      </c>
      <c r="J1086" s="7">
        <f t="shared" si="12"/>
        <v>0</v>
      </c>
    </row>
    <row r="1087" spans="1:10" hidden="1" x14ac:dyDescent="0.25">
      <c r="A1087" s="1">
        <v>45253</v>
      </c>
      <c r="B1087" t="s">
        <v>201</v>
      </c>
      <c r="C1087" t="s">
        <v>211</v>
      </c>
      <c r="D1087" s="2">
        <v>64277.97</v>
      </c>
      <c r="E1087" s="2">
        <v>0</v>
      </c>
      <c r="F1087" s="2">
        <v>86800.08</v>
      </c>
      <c r="G1087" s="55" t="s">
        <v>1052</v>
      </c>
      <c r="H1087" t="s">
        <v>716</v>
      </c>
      <c r="J1087" s="7">
        <f t="shared" si="12"/>
        <v>0</v>
      </c>
    </row>
    <row r="1088" spans="1:10" hidden="1" x14ac:dyDescent="0.25">
      <c r="A1088" s="1">
        <v>45253</v>
      </c>
      <c r="B1088" t="s">
        <v>181</v>
      </c>
      <c r="C1088" t="s">
        <v>434</v>
      </c>
      <c r="D1088" s="2">
        <v>0</v>
      </c>
      <c r="E1088" s="2">
        <v>20000</v>
      </c>
      <c r="F1088" s="2">
        <v>-1367.37</v>
      </c>
      <c r="G1088" t="s">
        <v>724</v>
      </c>
      <c r="H1088" t="s">
        <v>718</v>
      </c>
      <c r="J1088" s="7">
        <f t="shared" si="12"/>
        <v>108167.45</v>
      </c>
    </row>
    <row r="1089" spans="1:10" hidden="1" x14ac:dyDescent="0.25">
      <c r="A1089" s="1">
        <v>45254</v>
      </c>
      <c r="B1089" t="s">
        <v>158</v>
      </c>
      <c r="D1089" s="2">
        <v>50</v>
      </c>
      <c r="E1089" s="2">
        <v>0</v>
      </c>
      <c r="F1089" s="2">
        <v>31595.08</v>
      </c>
      <c r="G1089" t="s">
        <v>792</v>
      </c>
      <c r="H1089" t="s">
        <v>715</v>
      </c>
      <c r="J1089" s="7">
        <f t="shared" si="12"/>
        <v>-33012.450000000004</v>
      </c>
    </row>
    <row r="1090" spans="1:10" hidden="1" x14ac:dyDescent="0.25">
      <c r="A1090" s="1">
        <v>45254</v>
      </c>
      <c r="B1090" t="s">
        <v>159</v>
      </c>
      <c r="D1090" s="2">
        <v>240</v>
      </c>
      <c r="E1090" s="2">
        <v>0</v>
      </c>
      <c r="F1090" s="2">
        <v>31355.08</v>
      </c>
      <c r="G1090" t="s">
        <v>792</v>
      </c>
      <c r="H1090" t="s">
        <v>715</v>
      </c>
      <c r="J1090" s="7">
        <f t="shared" si="12"/>
        <v>0</v>
      </c>
    </row>
    <row r="1091" spans="1:10" hidden="1" x14ac:dyDescent="0.25">
      <c r="A1091" s="1">
        <v>45254</v>
      </c>
      <c r="B1091" t="s">
        <v>472</v>
      </c>
      <c r="D1091" s="2">
        <v>120.39</v>
      </c>
      <c r="E1091" s="2">
        <v>0</v>
      </c>
      <c r="F1091" s="2">
        <v>61308.15</v>
      </c>
      <c r="G1091" t="s">
        <v>731</v>
      </c>
      <c r="H1091" t="s">
        <v>719</v>
      </c>
      <c r="J1091" s="7">
        <f t="shared" si="12"/>
        <v>-30073.46</v>
      </c>
    </row>
    <row r="1092" spans="1:10" hidden="1" x14ac:dyDescent="0.25">
      <c r="A1092" s="1">
        <v>45254</v>
      </c>
      <c r="B1092" t="s">
        <v>472</v>
      </c>
      <c r="D1092" s="2">
        <v>5805.03</v>
      </c>
      <c r="E1092" s="2">
        <v>0</v>
      </c>
      <c r="F1092" s="2">
        <v>55503.12</v>
      </c>
      <c r="G1092" t="s">
        <v>731</v>
      </c>
      <c r="H1092" t="s">
        <v>719</v>
      </c>
      <c r="J1092" s="7">
        <f t="shared" si="12"/>
        <v>0</v>
      </c>
    </row>
    <row r="1093" spans="1:10" hidden="1" x14ac:dyDescent="0.25">
      <c r="A1093" s="1">
        <v>45258</v>
      </c>
      <c r="B1093" t="s">
        <v>160</v>
      </c>
      <c r="D1093" s="2">
        <v>0</v>
      </c>
      <c r="E1093" s="2">
        <v>2000</v>
      </c>
      <c r="F1093" s="2">
        <v>33355.08</v>
      </c>
      <c r="G1093" t="s">
        <v>792</v>
      </c>
      <c r="H1093" t="s">
        <v>715</v>
      </c>
      <c r="J1093" s="7">
        <f t="shared" si="12"/>
        <v>24148.04</v>
      </c>
    </row>
    <row r="1094" spans="1:10" hidden="1" x14ac:dyDescent="0.25">
      <c r="A1094" s="1">
        <v>45258</v>
      </c>
      <c r="B1094" t="s">
        <v>161</v>
      </c>
      <c r="D1094" s="2">
        <v>0</v>
      </c>
      <c r="E1094" s="2">
        <v>23000</v>
      </c>
      <c r="F1094" s="2">
        <v>56355.08</v>
      </c>
      <c r="G1094" t="s">
        <v>792</v>
      </c>
      <c r="H1094" t="s">
        <v>715</v>
      </c>
      <c r="J1094" s="7">
        <f t="shared" si="12"/>
        <v>0</v>
      </c>
    </row>
    <row r="1095" spans="1:10" hidden="1" x14ac:dyDescent="0.25">
      <c r="A1095" s="1">
        <v>45258</v>
      </c>
      <c r="B1095" t="s">
        <v>618</v>
      </c>
      <c r="D1095" s="2">
        <v>0</v>
      </c>
      <c r="E1095" s="2">
        <v>33401</v>
      </c>
      <c r="F1095" s="2">
        <v>88904.12</v>
      </c>
      <c r="G1095" t="s">
        <v>731</v>
      </c>
      <c r="H1095" t="s">
        <v>719</v>
      </c>
      <c r="J1095" s="7">
        <f t="shared" ref="J1095:J1105" si="13">F1094-D1095+E1095-F1095</f>
        <v>851.9600000000064</v>
      </c>
    </row>
    <row r="1096" spans="1:10" hidden="1" x14ac:dyDescent="0.25">
      <c r="A1096" s="1">
        <v>45258</v>
      </c>
      <c r="B1096" t="s">
        <v>472</v>
      </c>
      <c r="D1096" s="2">
        <v>520.91999999999996</v>
      </c>
      <c r="E1096" s="2">
        <v>0</v>
      </c>
      <c r="F1096" s="2">
        <v>88383.2</v>
      </c>
      <c r="G1096" t="s">
        <v>731</v>
      </c>
      <c r="H1096" t="s">
        <v>719</v>
      </c>
      <c r="J1096" s="7">
        <f t="shared" si="13"/>
        <v>0</v>
      </c>
    </row>
    <row r="1097" spans="1:10" hidden="1" x14ac:dyDescent="0.25">
      <c r="A1097" s="1">
        <v>45258</v>
      </c>
      <c r="B1097" t="s">
        <v>472</v>
      </c>
      <c r="D1097" s="2">
        <v>13553.55</v>
      </c>
      <c r="E1097" s="2">
        <v>0</v>
      </c>
      <c r="F1097" s="2">
        <v>74829.649999999994</v>
      </c>
      <c r="G1097" t="s">
        <v>731</v>
      </c>
      <c r="H1097" t="s">
        <v>719</v>
      </c>
      <c r="J1097" s="7">
        <f t="shared" si="13"/>
        <v>0</v>
      </c>
    </row>
    <row r="1098" spans="1:10" hidden="1" x14ac:dyDescent="0.25">
      <c r="A1098" s="1">
        <v>45258</v>
      </c>
      <c r="B1098" t="s">
        <v>219</v>
      </c>
      <c r="C1098" t="s">
        <v>188</v>
      </c>
      <c r="D1098" s="2">
        <v>14720</v>
      </c>
      <c r="E1098" s="2">
        <v>0</v>
      </c>
      <c r="F1098" s="2">
        <v>72080.08</v>
      </c>
      <c r="G1098" t="s">
        <v>791</v>
      </c>
      <c r="H1098" t="s">
        <v>716</v>
      </c>
      <c r="J1098" s="7">
        <f t="shared" si="13"/>
        <v>-11970.430000000008</v>
      </c>
    </row>
    <row r="1099" spans="1:10" hidden="1" x14ac:dyDescent="0.25">
      <c r="A1099" s="1">
        <v>45259</v>
      </c>
      <c r="B1099" t="s">
        <v>472</v>
      </c>
      <c r="D1099" s="2">
        <v>131.80000000000001</v>
      </c>
      <c r="E1099" s="2">
        <v>0</v>
      </c>
      <c r="F1099" s="2">
        <v>74697.850000000006</v>
      </c>
      <c r="G1099" t="s">
        <v>731</v>
      </c>
      <c r="H1099" t="s">
        <v>719</v>
      </c>
      <c r="J1099" s="7">
        <f t="shared" si="13"/>
        <v>-2749.570000000007</v>
      </c>
    </row>
    <row r="1100" spans="1:10" hidden="1" x14ac:dyDescent="0.25">
      <c r="A1100" s="1">
        <v>45259</v>
      </c>
      <c r="B1100" t="s">
        <v>183</v>
      </c>
      <c r="C1100" t="s">
        <v>218</v>
      </c>
      <c r="D1100" s="2">
        <v>0</v>
      </c>
      <c r="E1100" s="2">
        <v>3439.69</v>
      </c>
      <c r="F1100" s="2">
        <v>75519.77</v>
      </c>
      <c r="G1100" s="55" t="s">
        <v>1052</v>
      </c>
      <c r="H1100" t="s">
        <v>716</v>
      </c>
      <c r="J1100" s="7">
        <f t="shared" si="13"/>
        <v>2617.7700000000041</v>
      </c>
    </row>
    <row r="1101" spans="1:10" hidden="1" x14ac:dyDescent="0.25">
      <c r="A1101" s="1">
        <v>45260</v>
      </c>
      <c r="B1101" t="s">
        <v>618</v>
      </c>
      <c r="D1101" s="2">
        <v>0</v>
      </c>
      <c r="E1101" s="2">
        <v>12365.31</v>
      </c>
      <c r="F1101" s="2">
        <v>87063.16</v>
      </c>
      <c r="G1101" t="s">
        <v>731</v>
      </c>
      <c r="H1101" t="s">
        <v>719</v>
      </c>
      <c r="J1101" s="7">
        <f t="shared" si="13"/>
        <v>821.91999999999825</v>
      </c>
    </row>
    <row r="1102" spans="1:10" hidden="1" x14ac:dyDescent="0.25">
      <c r="A1102" s="1">
        <v>45260</v>
      </c>
      <c r="B1102" t="s">
        <v>618</v>
      </c>
      <c r="D1102" s="2">
        <v>0</v>
      </c>
      <c r="E1102" s="2">
        <v>20938.32</v>
      </c>
      <c r="F1102" s="2">
        <v>108001.48</v>
      </c>
      <c r="G1102" t="s">
        <v>731</v>
      </c>
      <c r="H1102" t="s">
        <v>719</v>
      </c>
      <c r="J1102" s="7">
        <f t="shared" si="13"/>
        <v>0</v>
      </c>
    </row>
    <row r="1103" spans="1:10" hidden="1" x14ac:dyDescent="0.25">
      <c r="A1103" s="1">
        <v>45260</v>
      </c>
      <c r="B1103" t="s">
        <v>472</v>
      </c>
      <c r="D1103" s="2">
        <v>148.11000000000001</v>
      </c>
      <c r="E1103" s="2">
        <v>0</v>
      </c>
      <c r="F1103" s="2">
        <v>107853.37</v>
      </c>
      <c r="G1103" t="s">
        <v>731</v>
      </c>
      <c r="H1103" t="s">
        <v>719</v>
      </c>
      <c r="J1103" s="7">
        <f t="shared" si="13"/>
        <v>0</v>
      </c>
    </row>
    <row r="1104" spans="1:10" hidden="1" x14ac:dyDescent="0.25">
      <c r="A1104" s="1">
        <v>45260</v>
      </c>
      <c r="B1104" t="s">
        <v>691</v>
      </c>
      <c r="D1104" s="2">
        <v>0</v>
      </c>
      <c r="E1104" s="2">
        <v>120</v>
      </c>
      <c r="F1104" s="2">
        <v>107973.37</v>
      </c>
      <c r="G1104" t="s">
        <v>736</v>
      </c>
      <c r="H1104" t="s">
        <v>719</v>
      </c>
      <c r="J1104" s="7">
        <f t="shared" si="13"/>
        <v>0</v>
      </c>
    </row>
    <row r="1105" spans="1:10" hidden="1" x14ac:dyDescent="0.25">
      <c r="A1105" s="1">
        <v>45260</v>
      </c>
      <c r="B1105" t="s">
        <v>217</v>
      </c>
      <c r="C1105">
        <v>0</v>
      </c>
      <c r="D1105" s="2">
        <v>0</v>
      </c>
      <c r="E1105" s="2">
        <v>412.5</v>
      </c>
      <c r="F1105" s="2">
        <v>75932.27</v>
      </c>
      <c r="G1105" t="s">
        <v>736</v>
      </c>
      <c r="H1105" t="s">
        <v>716</v>
      </c>
      <c r="J1105" s="7">
        <f t="shared" si="13"/>
        <v>32453.599999999991</v>
      </c>
    </row>
    <row r="1106" spans="1:10" hidden="1" x14ac:dyDescent="0.25">
      <c r="A1106" s="1">
        <v>45260</v>
      </c>
      <c r="B1106" t="s">
        <v>380</v>
      </c>
      <c r="C1106">
        <v>0</v>
      </c>
      <c r="D1106" s="2">
        <v>732</v>
      </c>
      <c r="E1106" s="2">
        <v>0</v>
      </c>
      <c r="F1106" s="2">
        <v>-2099.37</v>
      </c>
      <c r="G1106" t="s">
        <v>790</v>
      </c>
      <c r="H1106" t="s">
        <v>718</v>
      </c>
    </row>
    <row r="1107" spans="1:10" hidden="1" x14ac:dyDescent="0.25">
      <c r="A1107" s="1">
        <v>45261</v>
      </c>
      <c r="B1107" t="s">
        <v>618</v>
      </c>
      <c r="D1107" s="2">
        <v>0</v>
      </c>
      <c r="E1107" s="2">
        <v>528.17999999999995</v>
      </c>
      <c r="F1107" s="2">
        <v>108501.55</v>
      </c>
      <c r="G1107" t="s">
        <v>731</v>
      </c>
      <c r="H1107" t="s">
        <v>719</v>
      </c>
      <c r="I1107" s="7"/>
    </row>
    <row r="1108" spans="1:10" hidden="1" x14ac:dyDescent="0.25">
      <c r="A1108" s="1">
        <v>45261</v>
      </c>
      <c r="B1108" t="s">
        <v>618</v>
      </c>
      <c r="D1108" s="2">
        <v>0</v>
      </c>
      <c r="E1108" s="2">
        <v>35447.519999999997</v>
      </c>
      <c r="F1108" s="2">
        <v>143949.07</v>
      </c>
      <c r="G1108" t="s">
        <v>731</v>
      </c>
      <c r="H1108" t="s">
        <v>719</v>
      </c>
      <c r="I1108" s="7"/>
    </row>
    <row r="1109" spans="1:10" hidden="1" x14ac:dyDescent="0.25">
      <c r="A1109" s="1">
        <v>45261</v>
      </c>
      <c r="B1109" t="s">
        <v>472</v>
      </c>
      <c r="D1109" s="2">
        <v>138.9</v>
      </c>
      <c r="E1109" s="2">
        <v>0</v>
      </c>
      <c r="F1109" s="2">
        <v>143810.17000000001</v>
      </c>
      <c r="G1109" t="s">
        <v>731</v>
      </c>
      <c r="H1109" t="s">
        <v>719</v>
      </c>
      <c r="I1109" s="7"/>
    </row>
    <row r="1110" spans="1:10" hidden="1" x14ac:dyDescent="0.25">
      <c r="A1110" s="1">
        <v>45261</v>
      </c>
      <c r="B1110" t="s">
        <v>692</v>
      </c>
      <c r="D1110" s="2">
        <v>295</v>
      </c>
      <c r="E1110" s="2">
        <v>0</v>
      </c>
      <c r="F1110" s="2">
        <v>143515.17000000001</v>
      </c>
      <c r="G1110" t="s">
        <v>729</v>
      </c>
      <c r="H1110" t="s">
        <v>719</v>
      </c>
      <c r="I1110" s="7"/>
    </row>
    <row r="1111" spans="1:10" hidden="1" x14ac:dyDescent="0.25">
      <c r="A1111" s="1">
        <v>45261</v>
      </c>
      <c r="B1111" t="s">
        <v>693</v>
      </c>
      <c r="D1111" s="2">
        <v>0</v>
      </c>
      <c r="E1111" s="2">
        <v>150000</v>
      </c>
      <c r="F1111" s="2">
        <v>293515.17</v>
      </c>
      <c r="G1111" t="s">
        <v>763</v>
      </c>
      <c r="H1111" t="s">
        <v>719</v>
      </c>
      <c r="I1111" s="7"/>
    </row>
    <row r="1112" spans="1:10" hidden="1" x14ac:dyDescent="0.25">
      <c r="A1112" s="1">
        <v>45261</v>
      </c>
      <c r="B1112" t="s">
        <v>694</v>
      </c>
      <c r="D1112" s="2">
        <v>0</v>
      </c>
      <c r="E1112" s="2">
        <v>75000</v>
      </c>
      <c r="F1112" s="2">
        <v>368515.17</v>
      </c>
      <c r="G1112" t="s">
        <v>764</v>
      </c>
      <c r="H1112" t="s">
        <v>719</v>
      </c>
      <c r="I1112" s="7"/>
    </row>
    <row r="1113" spans="1:10" hidden="1" x14ac:dyDescent="0.25">
      <c r="A1113" s="1">
        <v>45261</v>
      </c>
      <c r="B1113" t="s">
        <v>695</v>
      </c>
      <c r="D1113" s="2">
        <v>0</v>
      </c>
      <c r="E1113" s="2">
        <v>250000</v>
      </c>
      <c r="F1113" s="2">
        <v>618515.17000000004</v>
      </c>
      <c r="G1113" t="s">
        <v>724</v>
      </c>
      <c r="H1113" t="s">
        <v>719</v>
      </c>
      <c r="I1113" s="7"/>
    </row>
    <row r="1114" spans="1:10" hidden="1" x14ac:dyDescent="0.25">
      <c r="A1114" s="1">
        <v>45261</v>
      </c>
      <c r="B1114" t="s">
        <v>472</v>
      </c>
      <c r="D1114" s="2">
        <v>15600.6</v>
      </c>
      <c r="E1114" s="2">
        <v>0</v>
      </c>
      <c r="F1114" s="2">
        <v>602914.56999999995</v>
      </c>
      <c r="G1114" t="s">
        <v>731</v>
      </c>
      <c r="H1114" t="s">
        <v>719</v>
      </c>
      <c r="I1114" s="7"/>
    </row>
    <row r="1115" spans="1:10" hidden="1" x14ac:dyDescent="0.25">
      <c r="A1115" s="1">
        <v>45261</v>
      </c>
      <c r="B1115" t="s">
        <v>472</v>
      </c>
      <c r="D1115" s="2">
        <v>820.22</v>
      </c>
      <c r="E1115" s="2">
        <v>0</v>
      </c>
      <c r="F1115" s="2">
        <v>602094.35</v>
      </c>
      <c r="G1115" t="s">
        <v>731</v>
      </c>
      <c r="H1115" t="s">
        <v>719</v>
      </c>
      <c r="I1115" s="7"/>
    </row>
    <row r="1116" spans="1:10" hidden="1" x14ac:dyDescent="0.25">
      <c r="A1116" s="1">
        <v>45261</v>
      </c>
      <c r="B1116" t="s">
        <v>183</v>
      </c>
      <c r="C1116" t="s">
        <v>216</v>
      </c>
      <c r="D1116" s="2">
        <v>0</v>
      </c>
      <c r="E1116" s="2">
        <v>36184.660000000003</v>
      </c>
      <c r="F1116" s="2">
        <v>112116.93</v>
      </c>
      <c r="G1116" s="55" t="s">
        <v>1052</v>
      </c>
      <c r="H1116" t="s">
        <v>716</v>
      </c>
      <c r="I1116" s="7"/>
    </row>
    <row r="1117" spans="1:10" hidden="1" x14ac:dyDescent="0.25">
      <c r="A1117" s="1">
        <v>45261</v>
      </c>
      <c r="B1117" t="s">
        <v>197</v>
      </c>
      <c r="C1117" t="s">
        <v>215</v>
      </c>
      <c r="D1117" s="2">
        <v>70000</v>
      </c>
      <c r="E1117" s="2">
        <v>0</v>
      </c>
      <c r="F1117" s="2">
        <v>42116.93</v>
      </c>
      <c r="G1117" t="s">
        <v>724</v>
      </c>
      <c r="H1117" t="s">
        <v>716</v>
      </c>
      <c r="I1117" s="7"/>
    </row>
    <row r="1118" spans="1:10" hidden="1" x14ac:dyDescent="0.25">
      <c r="A1118" s="1">
        <v>45261</v>
      </c>
      <c r="B1118" t="s">
        <v>435</v>
      </c>
      <c r="C1118" t="s">
        <v>436</v>
      </c>
      <c r="D1118" s="2">
        <v>250000</v>
      </c>
      <c r="E1118" s="2">
        <v>0</v>
      </c>
      <c r="F1118" s="2">
        <v>-252099.37</v>
      </c>
      <c r="G1118" t="s">
        <v>724</v>
      </c>
      <c r="H1118" t="s">
        <v>718</v>
      </c>
      <c r="I1118" s="7"/>
    </row>
    <row r="1119" spans="1:10" hidden="1" x14ac:dyDescent="0.25">
      <c r="A1119" s="1">
        <v>45261</v>
      </c>
      <c r="B1119" t="s">
        <v>181</v>
      </c>
      <c r="C1119" t="s">
        <v>437</v>
      </c>
      <c r="D1119" s="2">
        <v>0</v>
      </c>
      <c r="E1119" s="2">
        <v>70000</v>
      </c>
      <c r="F1119" s="2">
        <v>-182099.37</v>
      </c>
      <c r="G1119" t="s">
        <v>724</v>
      </c>
      <c r="H1119" t="s">
        <v>718</v>
      </c>
      <c r="I1119" s="7"/>
    </row>
    <row r="1120" spans="1:10" hidden="1" x14ac:dyDescent="0.25">
      <c r="A1120" s="1">
        <v>45262</v>
      </c>
      <c r="B1120" t="s">
        <v>162</v>
      </c>
      <c r="D1120" s="2">
        <v>100</v>
      </c>
      <c r="E1120" s="2">
        <v>0</v>
      </c>
      <c r="F1120" s="2">
        <v>56255.08</v>
      </c>
      <c r="G1120" t="s">
        <v>792</v>
      </c>
      <c r="H1120" t="s">
        <v>715</v>
      </c>
      <c r="I1120" s="7"/>
    </row>
    <row r="1121" spans="1:9" hidden="1" x14ac:dyDescent="0.25">
      <c r="A1121" s="1">
        <v>45262</v>
      </c>
      <c r="B1121" t="s">
        <v>669</v>
      </c>
      <c r="D1121" s="2">
        <v>523543</v>
      </c>
      <c r="E1121" s="2">
        <v>0</v>
      </c>
      <c r="F1121" s="2">
        <v>78551.350000000006</v>
      </c>
      <c r="G1121" s="55" t="s">
        <v>1052</v>
      </c>
      <c r="H1121" t="s">
        <v>719</v>
      </c>
      <c r="I1121" s="7"/>
    </row>
    <row r="1122" spans="1:9" hidden="1" x14ac:dyDescent="0.25">
      <c r="A1122" s="1">
        <v>45262</v>
      </c>
      <c r="B1122" t="s">
        <v>214</v>
      </c>
      <c r="C1122" t="s">
        <v>206</v>
      </c>
      <c r="D1122" s="2">
        <v>26595</v>
      </c>
      <c r="E1122" s="2">
        <v>0</v>
      </c>
      <c r="F1122" s="2">
        <v>15521.93</v>
      </c>
      <c r="G1122" t="s">
        <v>724</v>
      </c>
      <c r="H1122" t="s">
        <v>716</v>
      </c>
      <c r="I1122" s="7"/>
    </row>
    <row r="1123" spans="1:9" hidden="1" x14ac:dyDescent="0.25">
      <c r="A1123" s="1">
        <v>45262</v>
      </c>
      <c r="B1123" t="s">
        <v>371</v>
      </c>
      <c r="C1123" t="s">
        <v>372</v>
      </c>
      <c r="D1123" s="2">
        <v>0</v>
      </c>
      <c r="E1123" s="2">
        <v>26595</v>
      </c>
      <c r="F1123" s="2">
        <v>-155504.37</v>
      </c>
      <c r="G1123" t="s">
        <v>724</v>
      </c>
      <c r="H1123" t="s">
        <v>718</v>
      </c>
      <c r="I1123" s="7"/>
    </row>
    <row r="1124" spans="1:9" hidden="1" x14ac:dyDescent="0.25">
      <c r="A1124" s="1">
        <v>45264</v>
      </c>
      <c r="B1124" t="s">
        <v>696</v>
      </c>
      <c r="D1124" s="2">
        <v>60000</v>
      </c>
      <c r="E1124" s="2">
        <v>0</v>
      </c>
      <c r="F1124" s="2">
        <v>18551.349999999999</v>
      </c>
      <c r="G1124" t="s">
        <v>735</v>
      </c>
      <c r="H1124" t="s">
        <v>719</v>
      </c>
      <c r="I1124" s="7"/>
    </row>
    <row r="1125" spans="1:9" hidden="1" x14ac:dyDescent="0.25">
      <c r="A1125" s="1">
        <v>45264</v>
      </c>
      <c r="B1125" t="s">
        <v>697</v>
      </c>
      <c r="D1125" s="2">
        <v>0</v>
      </c>
      <c r="E1125" s="2">
        <v>150000</v>
      </c>
      <c r="F1125" s="2">
        <v>168551.35</v>
      </c>
      <c r="G1125" t="s">
        <v>724</v>
      </c>
      <c r="H1125" t="s">
        <v>719</v>
      </c>
      <c r="I1125" s="7"/>
    </row>
    <row r="1126" spans="1:9" hidden="1" x14ac:dyDescent="0.25">
      <c r="A1126" s="1">
        <v>45264</v>
      </c>
      <c r="B1126" t="s">
        <v>586</v>
      </c>
      <c r="D1126" s="2">
        <v>100000</v>
      </c>
      <c r="E1126" s="2">
        <v>0</v>
      </c>
      <c r="F1126" s="2">
        <v>68551.350000000006</v>
      </c>
      <c r="G1126" t="s">
        <v>728</v>
      </c>
      <c r="H1126" t="s">
        <v>719</v>
      </c>
      <c r="I1126" s="7"/>
    </row>
    <row r="1127" spans="1:9" hidden="1" x14ac:dyDescent="0.25">
      <c r="A1127" s="1">
        <v>45264</v>
      </c>
      <c r="B1127" t="s">
        <v>472</v>
      </c>
      <c r="D1127" s="2">
        <v>416.4</v>
      </c>
      <c r="E1127" s="2">
        <v>0</v>
      </c>
      <c r="F1127" s="2">
        <v>68134.95</v>
      </c>
      <c r="G1127" t="s">
        <v>731</v>
      </c>
      <c r="H1127" t="s">
        <v>719</v>
      </c>
      <c r="I1127" s="7"/>
    </row>
    <row r="1128" spans="1:9" hidden="1" x14ac:dyDescent="0.25">
      <c r="A1128" s="1">
        <v>45264</v>
      </c>
      <c r="B1128" t="s">
        <v>472</v>
      </c>
      <c r="D1128" s="2">
        <v>30004.51</v>
      </c>
      <c r="E1128" s="2">
        <v>0</v>
      </c>
      <c r="F1128" s="2">
        <v>38130.44</v>
      </c>
      <c r="G1128" t="s">
        <v>731</v>
      </c>
      <c r="H1128" t="s">
        <v>719</v>
      </c>
      <c r="I1128" s="7"/>
    </row>
    <row r="1129" spans="1:9" hidden="1" x14ac:dyDescent="0.25">
      <c r="A1129" s="1">
        <v>45264</v>
      </c>
      <c r="B1129" t="s">
        <v>438</v>
      </c>
      <c r="C1129" t="s">
        <v>439</v>
      </c>
      <c r="D1129" s="2">
        <v>150000</v>
      </c>
      <c r="E1129" s="2">
        <v>0</v>
      </c>
      <c r="F1129" s="2">
        <v>-305504.37</v>
      </c>
      <c r="G1129" t="s">
        <v>724</v>
      </c>
      <c r="H1129" t="s">
        <v>718</v>
      </c>
      <c r="I1129" s="7"/>
    </row>
    <row r="1130" spans="1:9" hidden="1" x14ac:dyDescent="0.25">
      <c r="A1130" s="1">
        <v>45265</v>
      </c>
      <c r="B1130" t="s">
        <v>163</v>
      </c>
      <c r="D1130" s="2">
        <v>10000</v>
      </c>
      <c r="E1130" s="2">
        <v>0</v>
      </c>
      <c r="F1130" s="2">
        <v>46255.08</v>
      </c>
      <c r="G1130" t="s">
        <v>734</v>
      </c>
      <c r="H1130" t="s">
        <v>715</v>
      </c>
      <c r="I1130" s="7"/>
    </row>
    <row r="1131" spans="1:9" hidden="1" x14ac:dyDescent="0.25">
      <c r="A1131" s="1">
        <v>45265</v>
      </c>
      <c r="B1131" t="s">
        <v>618</v>
      </c>
      <c r="D1131" s="2">
        <v>0</v>
      </c>
      <c r="E1131" s="2">
        <v>100.3</v>
      </c>
      <c r="F1131" s="2">
        <v>38230.74</v>
      </c>
      <c r="G1131" t="s">
        <v>731</v>
      </c>
      <c r="H1131" t="s">
        <v>719</v>
      </c>
      <c r="I1131" s="7"/>
    </row>
    <row r="1132" spans="1:9" hidden="1" x14ac:dyDescent="0.25">
      <c r="A1132" s="1">
        <v>45265</v>
      </c>
      <c r="B1132" t="s">
        <v>472</v>
      </c>
      <c r="D1132" s="2">
        <v>138.80000000000001</v>
      </c>
      <c r="E1132" s="2">
        <v>0</v>
      </c>
      <c r="F1132" s="2">
        <v>38091.94</v>
      </c>
      <c r="G1132" t="s">
        <v>731</v>
      </c>
      <c r="H1132" t="s">
        <v>719</v>
      </c>
      <c r="I1132" s="7"/>
    </row>
    <row r="1133" spans="1:9" hidden="1" x14ac:dyDescent="0.25">
      <c r="A1133" s="1">
        <v>45265</v>
      </c>
      <c r="B1133" t="s">
        <v>472</v>
      </c>
      <c r="D1133" s="2">
        <v>7784.25</v>
      </c>
      <c r="E1133" s="2">
        <v>0</v>
      </c>
      <c r="F1133" s="2">
        <v>30307.69</v>
      </c>
      <c r="G1133" t="s">
        <v>731</v>
      </c>
      <c r="H1133" t="s">
        <v>719</v>
      </c>
      <c r="I1133" s="7"/>
    </row>
    <row r="1134" spans="1:9" hidden="1" x14ac:dyDescent="0.25">
      <c r="A1134" s="1">
        <v>45265</v>
      </c>
      <c r="B1134" t="s">
        <v>183</v>
      </c>
      <c r="C1134" t="s">
        <v>213</v>
      </c>
      <c r="D1134" s="2">
        <v>0</v>
      </c>
      <c r="E1134" s="2">
        <v>72095.399999999994</v>
      </c>
      <c r="F1134" s="2">
        <v>87617.33</v>
      </c>
      <c r="G1134" s="55" t="s">
        <v>1052</v>
      </c>
      <c r="H1134" t="s">
        <v>716</v>
      </c>
      <c r="I1134" s="7"/>
    </row>
    <row r="1135" spans="1:9" hidden="1" x14ac:dyDescent="0.25">
      <c r="A1135" s="1">
        <v>45265</v>
      </c>
      <c r="B1135" t="s">
        <v>197</v>
      </c>
      <c r="C1135" t="s">
        <v>212</v>
      </c>
      <c r="D1135" s="2">
        <v>75000</v>
      </c>
      <c r="E1135" s="2">
        <v>0</v>
      </c>
      <c r="F1135" s="2">
        <v>12617.33</v>
      </c>
      <c r="G1135" t="s">
        <v>724</v>
      </c>
      <c r="H1135" t="s">
        <v>716</v>
      </c>
      <c r="I1135" s="7"/>
    </row>
    <row r="1136" spans="1:9" hidden="1" x14ac:dyDescent="0.25">
      <c r="A1136" s="1">
        <v>45265</v>
      </c>
      <c r="B1136" t="s">
        <v>181</v>
      </c>
      <c r="C1136" t="s">
        <v>440</v>
      </c>
      <c r="D1136" s="2">
        <v>0</v>
      </c>
      <c r="E1136" s="2">
        <v>75000</v>
      </c>
      <c r="F1136" s="2">
        <v>-230504.37</v>
      </c>
      <c r="G1136" t="s">
        <v>724</v>
      </c>
      <c r="H1136" t="s">
        <v>718</v>
      </c>
      <c r="I1136" s="7"/>
    </row>
    <row r="1137" spans="1:9" hidden="1" x14ac:dyDescent="0.25">
      <c r="A1137" s="1">
        <v>45266</v>
      </c>
      <c r="B1137" t="s">
        <v>618</v>
      </c>
      <c r="D1137" s="2">
        <v>0</v>
      </c>
      <c r="E1137" s="2">
        <v>63409.56</v>
      </c>
      <c r="F1137" s="2">
        <v>93717.25</v>
      </c>
      <c r="G1137" t="s">
        <v>731</v>
      </c>
      <c r="H1137" t="s">
        <v>719</v>
      </c>
      <c r="I1137" s="7"/>
    </row>
    <row r="1138" spans="1:9" hidden="1" x14ac:dyDescent="0.25">
      <c r="A1138" s="1">
        <v>45266</v>
      </c>
      <c r="B1138" t="s">
        <v>472</v>
      </c>
      <c r="D1138" s="2">
        <v>136.06</v>
      </c>
      <c r="E1138" s="2">
        <v>0</v>
      </c>
      <c r="F1138" s="2">
        <v>93581.19</v>
      </c>
      <c r="G1138" t="s">
        <v>731</v>
      </c>
      <c r="H1138" t="s">
        <v>719</v>
      </c>
      <c r="I1138" s="7"/>
    </row>
    <row r="1139" spans="1:9" hidden="1" x14ac:dyDescent="0.25">
      <c r="A1139" s="1">
        <v>45266</v>
      </c>
      <c r="B1139" t="s">
        <v>698</v>
      </c>
      <c r="D1139" s="2">
        <v>8350</v>
      </c>
      <c r="E1139" s="2">
        <v>0</v>
      </c>
      <c r="F1139" s="2">
        <v>85231.19</v>
      </c>
      <c r="G1139" t="s">
        <v>792</v>
      </c>
      <c r="H1139" t="s">
        <v>719</v>
      </c>
      <c r="I1139" s="7"/>
    </row>
    <row r="1140" spans="1:9" hidden="1" x14ac:dyDescent="0.25">
      <c r="A1140" s="1">
        <v>45266</v>
      </c>
      <c r="B1140" t="s">
        <v>472</v>
      </c>
      <c r="D1140" s="2">
        <v>36940.15</v>
      </c>
      <c r="E1140" s="2">
        <v>0</v>
      </c>
      <c r="F1140" s="2">
        <v>48291.040000000001</v>
      </c>
      <c r="G1140" t="s">
        <v>731</v>
      </c>
      <c r="H1140" t="s">
        <v>719</v>
      </c>
      <c r="I1140" s="7"/>
    </row>
    <row r="1141" spans="1:9" hidden="1" x14ac:dyDescent="0.25">
      <c r="A1141" s="1">
        <v>45266</v>
      </c>
      <c r="B1141" t="s">
        <v>201</v>
      </c>
      <c r="C1141" t="s">
        <v>211</v>
      </c>
      <c r="D1141" s="2">
        <v>9535.76</v>
      </c>
      <c r="E1141" s="2">
        <v>0</v>
      </c>
      <c r="F1141" s="2">
        <v>3081.57</v>
      </c>
      <c r="G1141" s="55" t="s">
        <v>1052</v>
      </c>
      <c r="H1141" t="s">
        <v>716</v>
      </c>
      <c r="I1141" s="7"/>
    </row>
    <row r="1142" spans="1:9" hidden="1" x14ac:dyDescent="0.25">
      <c r="A1142" s="1">
        <v>45267</v>
      </c>
      <c r="B1142" t="s">
        <v>164</v>
      </c>
      <c r="D1142" s="2">
        <v>50</v>
      </c>
      <c r="E1142" s="2">
        <v>0</v>
      </c>
      <c r="F1142" s="2">
        <v>46205.08</v>
      </c>
      <c r="G1142" t="s">
        <v>792</v>
      </c>
      <c r="H1142" t="s">
        <v>715</v>
      </c>
      <c r="I1142" s="7"/>
    </row>
    <row r="1143" spans="1:9" hidden="1" x14ac:dyDescent="0.25">
      <c r="A1143" s="1">
        <v>45267</v>
      </c>
      <c r="B1143" t="s">
        <v>618</v>
      </c>
      <c r="D1143" s="2">
        <v>0</v>
      </c>
      <c r="E1143" s="2">
        <v>44238.16</v>
      </c>
      <c r="F1143" s="2">
        <v>92529.2</v>
      </c>
      <c r="G1143" t="s">
        <v>731</v>
      </c>
      <c r="H1143" t="s">
        <v>719</v>
      </c>
      <c r="I1143" s="7"/>
    </row>
    <row r="1144" spans="1:9" hidden="1" x14ac:dyDescent="0.25">
      <c r="A1144" s="1">
        <v>45267</v>
      </c>
      <c r="B1144" t="s">
        <v>472</v>
      </c>
      <c r="D1144" s="2">
        <v>133.01</v>
      </c>
      <c r="E1144" s="2">
        <v>0</v>
      </c>
      <c r="F1144" s="2">
        <v>92396.19</v>
      </c>
      <c r="G1144" t="s">
        <v>731</v>
      </c>
      <c r="H1144" t="s">
        <v>719</v>
      </c>
      <c r="I1144" s="7"/>
    </row>
    <row r="1145" spans="1:9" hidden="1" x14ac:dyDescent="0.25">
      <c r="A1145" s="1">
        <v>45267</v>
      </c>
      <c r="B1145" t="s">
        <v>699</v>
      </c>
      <c r="D1145" s="2">
        <v>0</v>
      </c>
      <c r="E1145" s="2">
        <v>81</v>
      </c>
      <c r="F1145" s="2">
        <v>92477.19</v>
      </c>
      <c r="G1145" t="s">
        <v>736</v>
      </c>
      <c r="H1145" t="s">
        <v>719</v>
      </c>
      <c r="I1145" s="7"/>
    </row>
    <row r="1146" spans="1:9" hidden="1" x14ac:dyDescent="0.25">
      <c r="A1146" s="1">
        <v>45267</v>
      </c>
      <c r="B1146" t="s">
        <v>472</v>
      </c>
      <c r="D1146" s="2">
        <v>30648.48</v>
      </c>
      <c r="E1146" s="2">
        <v>0</v>
      </c>
      <c r="F1146" s="2">
        <v>61828.71</v>
      </c>
      <c r="G1146" t="s">
        <v>731</v>
      </c>
      <c r="H1146" t="s">
        <v>719</v>
      </c>
      <c r="I1146" s="7"/>
    </row>
    <row r="1147" spans="1:9" hidden="1" x14ac:dyDescent="0.25">
      <c r="A1147" s="1">
        <v>45267</v>
      </c>
      <c r="B1147" t="s">
        <v>700</v>
      </c>
      <c r="D1147" s="2">
        <v>10000</v>
      </c>
      <c r="E1147" s="2">
        <v>0</v>
      </c>
      <c r="F1147" s="2">
        <v>51828.71</v>
      </c>
      <c r="G1147" t="s">
        <v>735</v>
      </c>
      <c r="H1147" t="s">
        <v>719</v>
      </c>
      <c r="I1147" s="7"/>
    </row>
    <row r="1148" spans="1:9" hidden="1" x14ac:dyDescent="0.25">
      <c r="A1148" s="1">
        <v>45267</v>
      </c>
      <c r="B1148" t="s">
        <v>472</v>
      </c>
      <c r="D1148" s="2">
        <v>30928.21</v>
      </c>
      <c r="E1148" s="2">
        <v>0</v>
      </c>
      <c r="F1148" s="2">
        <v>20900.5</v>
      </c>
      <c r="G1148" t="s">
        <v>731</v>
      </c>
      <c r="H1148" t="s">
        <v>719</v>
      </c>
      <c r="I1148" s="7"/>
    </row>
    <row r="1149" spans="1:9" hidden="1" x14ac:dyDescent="0.25">
      <c r="A1149" s="1">
        <v>45268</v>
      </c>
      <c r="B1149" t="s">
        <v>25</v>
      </c>
      <c r="D1149" s="2">
        <v>17767.18</v>
      </c>
      <c r="E1149" s="2">
        <v>0</v>
      </c>
      <c r="F1149" s="2">
        <v>28437.9</v>
      </c>
      <c r="G1149" t="s">
        <v>794</v>
      </c>
      <c r="H1149" t="s">
        <v>715</v>
      </c>
      <c r="I1149" s="7"/>
    </row>
    <row r="1150" spans="1:9" hidden="1" x14ac:dyDescent="0.25">
      <c r="A1150" s="1">
        <v>45268</v>
      </c>
      <c r="B1150" t="s">
        <v>472</v>
      </c>
      <c r="D1150" s="2">
        <v>162.16</v>
      </c>
      <c r="E1150" s="2">
        <v>0</v>
      </c>
      <c r="F1150" s="2">
        <v>20738.34</v>
      </c>
      <c r="G1150" t="s">
        <v>731</v>
      </c>
      <c r="H1150" t="s">
        <v>719</v>
      </c>
      <c r="I1150" s="7"/>
    </row>
    <row r="1151" spans="1:9" hidden="1" x14ac:dyDescent="0.25">
      <c r="A1151" s="1">
        <v>45268</v>
      </c>
      <c r="B1151" t="s">
        <v>701</v>
      </c>
      <c r="D1151" s="2">
        <v>1781.8</v>
      </c>
      <c r="E1151" s="2">
        <v>0</v>
      </c>
      <c r="F1151" s="2">
        <v>18956.54</v>
      </c>
      <c r="G1151" t="s">
        <v>729</v>
      </c>
      <c r="H1151" t="s">
        <v>719</v>
      </c>
      <c r="I1151" s="7"/>
    </row>
    <row r="1152" spans="1:9" hidden="1" x14ac:dyDescent="0.25">
      <c r="A1152" s="1">
        <v>45268</v>
      </c>
      <c r="B1152" t="s">
        <v>472</v>
      </c>
      <c r="D1152" s="2">
        <v>940.02</v>
      </c>
      <c r="E1152" s="2">
        <v>0</v>
      </c>
      <c r="F1152" s="2">
        <v>18016.52</v>
      </c>
      <c r="G1152" t="s">
        <v>731</v>
      </c>
      <c r="H1152" t="s">
        <v>719</v>
      </c>
      <c r="I1152" s="7"/>
    </row>
    <row r="1153" spans="1:9" hidden="1" x14ac:dyDescent="0.25">
      <c r="A1153" s="1">
        <v>45269</v>
      </c>
      <c r="B1153" t="s">
        <v>183</v>
      </c>
      <c r="C1153" t="s">
        <v>210</v>
      </c>
      <c r="D1153" s="2">
        <v>0</v>
      </c>
      <c r="E1153" s="2">
        <v>112523.38</v>
      </c>
      <c r="F1153" s="2">
        <v>115604.95</v>
      </c>
      <c r="G1153" s="55" t="s">
        <v>1052</v>
      </c>
      <c r="H1153" t="s">
        <v>716</v>
      </c>
      <c r="I1153" s="7"/>
    </row>
    <row r="1154" spans="1:9" hidden="1" x14ac:dyDescent="0.25">
      <c r="A1154" s="1">
        <v>45270</v>
      </c>
      <c r="B1154" t="s">
        <v>165</v>
      </c>
      <c r="D1154" s="2">
        <v>10</v>
      </c>
      <c r="E1154" s="2">
        <v>0</v>
      </c>
      <c r="F1154" s="2">
        <v>28427.9</v>
      </c>
      <c r="G1154" t="s">
        <v>792</v>
      </c>
      <c r="H1154" t="s">
        <v>715</v>
      </c>
      <c r="I1154" s="7"/>
    </row>
    <row r="1155" spans="1:9" hidden="1" x14ac:dyDescent="0.25">
      <c r="A1155" s="1">
        <v>45271</v>
      </c>
      <c r="B1155" t="s">
        <v>166</v>
      </c>
      <c r="D1155" s="2">
        <v>10</v>
      </c>
      <c r="E1155" s="2">
        <v>0</v>
      </c>
      <c r="F1155" s="2">
        <v>28417.9</v>
      </c>
      <c r="G1155" t="s">
        <v>792</v>
      </c>
      <c r="H1155" t="s">
        <v>715</v>
      </c>
      <c r="I1155" s="7"/>
    </row>
    <row r="1156" spans="1:9" hidden="1" x14ac:dyDescent="0.25">
      <c r="A1156" s="1">
        <v>45271</v>
      </c>
      <c r="B1156" t="s">
        <v>681</v>
      </c>
      <c r="D1156" s="2">
        <v>10000</v>
      </c>
      <c r="E1156" s="2">
        <v>0</v>
      </c>
      <c r="F1156" s="2">
        <v>8016.52</v>
      </c>
      <c r="G1156" t="s">
        <v>725</v>
      </c>
      <c r="H1156" t="s">
        <v>719</v>
      </c>
      <c r="I1156" s="7"/>
    </row>
    <row r="1157" spans="1:9" hidden="1" x14ac:dyDescent="0.25">
      <c r="A1157" s="1">
        <v>45271</v>
      </c>
      <c r="B1157" t="s">
        <v>472</v>
      </c>
      <c r="D1157" s="2">
        <v>588.51</v>
      </c>
      <c r="E1157" s="2">
        <v>0</v>
      </c>
      <c r="F1157" s="2">
        <v>7428.01</v>
      </c>
      <c r="G1157" t="s">
        <v>731</v>
      </c>
      <c r="H1157" t="s">
        <v>719</v>
      </c>
      <c r="I1157" s="7"/>
    </row>
    <row r="1158" spans="1:9" hidden="1" x14ac:dyDescent="0.25">
      <c r="A1158" s="1">
        <v>45271</v>
      </c>
      <c r="B1158" t="s">
        <v>702</v>
      </c>
      <c r="D1158" s="2">
        <v>0</v>
      </c>
      <c r="E1158" s="2">
        <v>10000</v>
      </c>
      <c r="F1158" s="2">
        <v>17428.009999999998</v>
      </c>
      <c r="G1158" t="s">
        <v>764</v>
      </c>
      <c r="H1158" t="s">
        <v>719</v>
      </c>
      <c r="I1158" s="7"/>
    </row>
    <row r="1159" spans="1:9" hidden="1" x14ac:dyDescent="0.25">
      <c r="A1159" s="1">
        <v>45271</v>
      </c>
      <c r="B1159" t="s">
        <v>472</v>
      </c>
      <c r="D1159" s="2">
        <v>2135.08</v>
      </c>
      <c r="E1159" s="2">
        <v>0</v>
      </c>
      <c r="F1159" s="2">
        <v>15292.93</v>
      </c>
      <c r="G1159" t="s">
        <v>731</v>
      </c>
      <c r="H1159" t="s">
        <v>719</v>
      </c>
      <c r="I1159" s="7"/>
    </row>
    <row r="1160" spans="1:9" hidden="1" x14ac:dyDescent="0.25">
      <c r="A1160" s="1">
        <v>45271</v>
      </c>
      <c r="B1160" t="s">
        <v>201</v>
      </c>
      <c r="C1160" t="s">
        <v>200</v>
      </c>
      <c r="D1160" s="2">
        <v>14.53</v>
      </c>
      <c r="E1160" s="2">
        <v>0</v>
      </c>
      <c r="F1160" s="2">
        <v>115590.42</v>
      </c>
      <c r="G1160" s="55" t="s">
        <v>1052</v>
      </c>
      <c r="H1160" t="s">
        <v>716</v>
      </c>
      <c r="I1160" s="7"/>
    </row>
    <row r="1161" spans="1:9" hidden="1" x14ac:dyDescent="0.25">
      <c r="A1161" s="1">
        <v>45272</v>
      </c>
      <c r="B1161" t="s">
        <v>618</v>
      </c>
      <c r="D1161" s="2">
        <v>0</v>
      </c>
      <c r="E1161" s="2">
        <v>36330.589999999997</v>
      </c>
      <c r="F1161" s="2">
        <v>51623.519999999997</v>
      </c>
      <c r="G1161" t="s">
        <v>731</v>
      </c>
      <c r="H1161" t="s">
        <v>719</v>
      </c>
      <c r="I1161" s="7"/>
    </row>
    <row r="1162" spans="1:9" hidden="1" x14ac:dyDescent="0.25">
      <c r="A1162" s="1">
        <v>45272</v>
      </c>
      <c r="B1162" t="s">
        <v>703</v>
      </c>
      <c r="D1162" s="2">
        <v>10000</v>
      </c>
      <c r="E1162" s="2">
        <v>0</v>
      </c>
      <c r="F1162" s="2">
        <v>41623.519999999997</v>
      </c>
      <c r="G1162" t="s">
        <v>726</v>
      </c>
      <c r="H1162" t="s">
        <v>719</v>
      </c>
      <c r="I1162" s="7"/>
    </row>
    <row r="1163" spans="1:9" hidden="1" x14ac:dyDescent="0.25">
      <c r="A1163" s="1">
        <v>45272</v>
      </c>
      <c r="B1163" t="s">
        <v>472</v>
      </c>
      <c r="D1163" s="2">
        <v>195.41</v>
      </c>
      <c r="E1163" s="2">
        <v>0</v>
      </c>
      <c r="F1163" s="2">
        <v>41428.11</v>
      </c>
      <c r="G1163" t="s">
        <v>731</v>
      </c>
      <c r="H1163" t="s">
        <v>719</v>
      </c>
      <c r="I1163" s="7"/>
    </row>
    <row r="1164" spans="1:9" hidden="1" x14ac:dyDescent="0.25">
      <c r="A1164" s="1">
        <v>45272</v>
      </c>
      <c r="B1164" t="s">
        <v>704</v>
      </c>
      <c r="D1164" s="2">
        <v>0</v>
      </c>
      <c r="E1164" s="2">
        <v>20750</v>
      </c>
      <c r="F1164" s="2">
        <v>62178.11</v>
      </c>
      <c r="G1164" s="55" t="s">
        <v>1052</v>
      </c>
      <c r="H1164" t="s">
        <v>719</v>
      </c>
      <c r="I1164" s="7"/>
    </row>
    <row r="1165" spans="1:9" hidden="1" x14ac:dyDescent="0.25">
      <c r="A1165" s="1">
        <v>45272</v>
      </c>
      <c r="B1165" t="s">
        <v>705</v>
      </c>
      <c r="D1165" s="2">
        <v>0</v>
      </c>
      <c r="E1165" s="2">
        <v>200000</v>
      </c>
      <c r="F1165" s="2">
        <v>262178.11</v>
      </c>
      <c r="G1165" t="s">
        <v>724</v>
      </c>
      <c r="H1165" t="s">
        <v>719</v>
      </c>
      <c r="I1165" s="7"/>
    </row>
    <row r="1166" spans="1:9" hidden="1" x14ac:dyDescent="0.25">
      <c r="A1166" s="1">
        <v>45272</v>
      </c>
      <c r="B1166" t="s">
        <v>696</v>
      </c>
      <c r="D1166" s="2">
        <v>100000</v>
      </c>
      <c r="E1166" s="2">
        <v>0</v>
      </c>
      <c r="F1166" s="2">
        <v>162178.10999999999</v>
      </c>
      <c r="G1166" t="s">
        <v>735</v>
      </c>
      <c r="H1166" t="s">
        <v>719</v>
      </c>
      <c r="I1166" s="7"/>
    </row>
    <row r="1167" spans="1:9" hidden="1" x14ac:dyDescent="0.25">
      <c r="A1167" s="1">
        <v>45272</v>
      </c>
      <c r="B1167" t="s">
        <v>472</v>
      </c>
      <c r="D1167" s="2">
        <v>6173.65</v>
      </c>
      <c r="E1167" s="2">
        <v>0</v>
      </c>
      <c r="F1167" s="2">
        <v>156004.46</v>
      </c>
      <c r="G1167" t="s">
        <v>731</v>
      </c>
      <c r="H1167" t="s">
        <v>719</v>
      </c>
      <c r="I1167" s="7"/>
    </row>
    <row r="1168" spans="1:9" hidden="1" x14ac:dyDescent="0.25">
      <c r="A1168" s="1">
        <v>45272</v>
      </c>
      <c r="B1168" t="s">
        <v>209</v>
      </c>
      <c r="C1168" t="s">
        <v>208</v>
      </c>
      <c r="D1168" s="2">
        <v>0</v>
      </c>
      <c r="E1168" s="2">
        <v>865508</v>
      </c>
      <c r="F1168" s="2">
        <v>981098.42</v>
      </c>
      <c r="G1168" s="55" t="s">
        <v>1052</v>
      </c>
      <c r="H1168" t="s">
        <v>716</v>
      </c>
      <c r="I1168" s="7"/>
    </row>
    <row r="1169" spans="1:9" hidden="1" x14ac:dyDescent="0.25">
      <c r="A1169" s="1">
        <v>45272</v>
      </c>
      <c r="B1169" t="s">
        <v>207</v>
      </c>
      <c r="C1169" t="s">
        <v>206</v>
      </c>
      <c r="D1169" s="2">
        <v>225000</v>
      </c>
      <c r="E1169" s="2">
        <v>0</v>
      </c>
      <c r="F1169" s="2">
        <v>756098.42</v>
      </c>
      <c r="G1169" t="s">
        <v>724</v>
      </c>
      <c r="H1169" t="s">
        <v>716</v>
      </c>
      <c r="I1169" s="7"/>
    </row>
    <row r="1170" spans="1:9" hidden="1" x14ac:dyDescent="0.25">
      <c r="A1170" s="1">
        <v>45272</v>
      </c>
      <c r="B1170" t="s">
        <v>205</v>
      </c>
      <c r="C1170" t="s">
        <v>204</v>
      </c>
      <c r="D1170" s="2">
        <v>0</v>
      </c>
      <c r="E1170" s="2">
        <v>24900</v>
      </c>
      <c r="F1170" s="2">
        <v>780998.42</v>
      </c>
      <c r="G1170" s="55" t="s">
        <v>1052</v>
      </c>
      <c r="H1170" t="s">
        <v>716</v>
      </c>
      <c r="I1170" s="7"/>
    </row>
    <row r="1171" spans="1:9" hidden="1" x14ac:dyDescent="0.25">
      <c r="A1171" s="1">
        <v>45272</v>
      </c>
      <c r="B1171" t="s">
        <v>203</v>
      </c>
      <c r="C1171" t="s">
        <v>202</v>
      </c>
      <c r="D1171" s="2">
        <v>200000</v>
      </c>
      <c r="E1171" s="2">
        <v>0</v>
      </c>
      <c r="F1171" s="2">
        <v>580998.42000000004</v>
      </c>
      <c r="G1171" t="s">
        <v>724</v>
      </c>
      <c r="H1171" t="s">
        <v>716</v>
      </c>
      <c r="I1171" s="7"/>
    </row>
    <row r="1172" spans="1:9" hidden="1" x14ac:dyDescent="0.25">
      <c r="A1172" s="1">
        <v>45272</v>
      </c>
      <c r="B1172" t="s">
        <v>201</v>
      </c>
      <c r="C1172" t="s">
        <v>200</v>
      </c>
      <c r="D1172" s="2">
        <v>28716.74</v>
      </c>
      <c r="E1172" s="2">
        <v>0</v>
      </c>
      <c r="F1172" s="2">
        <v>552281.68000000005</v>
      </c>
      <c r="G1172" s="55" t="s">
        <v>1052</v>
      </c>
      <c r="H1172" t="s">
        <v>716</v>
      </c>
      <c r="I1172" s="7"/>
    </row>
    <row r="1173" spans="1:9" hidden="1" x14ac:dyDescent="0.25">
      <c r="A1173" s="1">
        <v>45272</v>
      </c>
      <c r="B1173" t="s">
        <v>441</v>
      </c>
      <c r="C1173" t="s">
        <v>372</v>
      </c>
      <c r="D1173" s="2">
        <v>0</v>
      </c>
      <c r="E1173" s="2">
        <v>225000</v>
      </c>
      <c r="F1173" s="2">
        <v>-5504.37</v>
      </c>
      <c r="G1173" t="s">
        <v>724</v>
      </c>
      <c r="H1173" t="s">
        <v>718</v>
      </c>
      <c r="I1173" s="7"/>
    </row>
    <row r="1174" spans="1:9" hidden="1" x14ac:dyDescent="0.25">
      <c r="A1174" s="1">
        <v>45273</v>
      </c>
      <c r="B1174" t="s">
        <v>167</v>
      </c>
      <c r="D1174" s="2">
        <v>6</v>
      </c>
      <c r="E1174" s="2">
        <v>0</v>
      </c>
      <c r="F1174" s="2">
        <v>28411.9</v>
      </c>
      <c r="G1174" t="s">
        <v>792</v>
      </c>
      <c r="H1174" t="s">
        <v>715</v>
      </c>
      <c r="I1174" s="7"/>
    </row>
    <row r="1175" spans="1:9" hidden="1" x14ac:dyDescent="0.25">
      <c r="A1175" s="1">
        <v>45273</v>
      </c>
      <c r="B1175" t="s">
        <v>618</v>
      </c>
      <c r="D1175" s="2">
        <v>0</v>
      </c>
      <c r="E1175" s="2">
        <v>9097.08</v>
      </c>
      <c r="F1175" s="2">
        <v>165101.54</v>
      </c>
      <c r="G1175" t="s">
        <v>731</v>
      </c>
      <c r="H1175" t="s">
        <v>719</v>
      </c>
      <c r="I1175" s="7"/>
    </row>
    <row r="1176" spans="1:9" hidden="1" x14ac:dyDescent="0.25">
      <c r="A1176" s="1">
        <v>45273</v>
      </c>
      <c r="B1176" t="s">
        <v>472</v>
      </c>
      <c r="D1176" s="2">
        <v>193.21</v>
      </c>
      <c r="E1176" s="2">
        <v>0</v>
      </c>
      <c r="F1176" s="2">
        <v>164908.32999999999</v>
      </c>
      <c r="G1176" t="s">
        <v>731</v>
      </c>
      <c r="H1176" t="s">
        <v>719</v>
      </c>
      <c r="I1176" s="7"/>
    </row>
    <row r="1177" spans="1:9" hidden="1" x14ac:dyDescent="0.25">
      <c r="A1177" s="1">
        <v>45273</v>
      </c>
      <c r="B1177" t="s">
        <v>472</v>
      </c>
      <c r="D1177" s="2">
        <v>49505.99</v>
      </c>
      <c r="E1177" s="2">
        <v>0</v>
      </c>
      <c r="F1177" s="2">
        <v>115402.34</v>
      </c>
      <c r="G1177" t="s">
        <v>731</v>
      </c>
      <c r="H1177" t="s">
        <v>719</v>
      </c>
      <c r="I1177" s="7"/>
    </row>
    <row r="1178" spans="1:9" hidden="1" x14ac:dyDescent="0.25">
      <c r="A1178" s="1">
        <v>45274</v>
      </c>
      <c r="B1178" t="s">
        <v>706</v>
      </c>
      <c r="D1178" s="2">
        <v>100000</v>
      </c>
      <c r="E1178" s="2">
        <v>0</v>
      </c>
      <c r="F1178" s="2">
        <v>15402.34</v>
      </c>
      <c r="G1178" t="s">
        <v>726</v>
      </c>
      <c r="H1178" t="s">
        <v>719</v>
      </c>
      <c r="I1178" s="7"/>
    </row>
    <row r="1179" spans="1:9" hidden="1" x14ac:dyDescent="0.25">
      <c r="A1179" s="1">
        <v>45274</v>
      </c>
      <c r="B1179" t="s">
        <v>707</v>
      </c>
      <c r="D1179" s="2">
        <v>0</v>
      </c>
      <c r="E1179" s="2">
        <v>300000</v>
      </c>
      <c r="F1179" s="2">
        <v>315402.34000000003</v>
      </c>
      <c r="G1179" t="s">
        <v>724</v>
      </c>
      <c r="H1179" t="s">
        <v>719</v>
      </c>
      <c r="I1179" s="7"/>
    </row>
    <row r="1180" spans="1:9" hidden="1" x14ac:dyDescent="0.25">
      <c r="A1180" s="1">
        <v>45274</v>
      </c>
      <c r="B1180" t="s">
        <v>472</v>
      </c>
      <c r="D1180" s="2">
        <v>181.82</v>
      </c>
      <c r="E1180" s="2">
        <v>0</v>
      </c>
      <c r="F1180" s="2">
        <v>315220.52</v>
      </c>
      <c r="G1180" t="s">
        <v>731</v>
      </c>
      <c r="H1180" t="s">
        <v>719</v>
      </c>
      <c r="I1180" s="7"/>
    </row>
    <row r="1181" spans="1:9" hidden="1" x14ac:dyDescent="0.25">
      <c r="A1181" s="1">
        <v>45274</v>
      </c>
      <c r="B1181" t="s">
        <v>708</v>
      </c>
      <c r="D1181" s="2">
        <v>30000</v>
      </c>
      <c r="E1181" s="2">
        <v>0</v>
      </c>
      <c r="F1181" s="2">
        <v>285220.52</v>
      </c>
      <c r="G1181" t="s">
        <v>726</v>
      </c>
      <c r="H1181" t="s">
        <v>719</v>
      </c>
      <c r="I1181" s="7"/>
    </row>
    <row r="1182" spans="1:9" hidden="1" x14ac:dyDescent="0.25">
      <c r="A1182" s="1">
        <v>45274</v>
      </c>
      <c r="B1182" t="s">
        <v>709</v>
      </c>
      <c r="D1182" s="2">
        <v>30000</v>
      </c>
      <c r="E1182" s="2">
        <v>0</v>
      </c>
      <c r="F1182" s="2">
        <v>255220.52</v>
      </c>
      <c r="G1182" t="s">
        <v>735</v>
      </c>
      <c r="H1182" t="s">
        <v>719</v>
      </c>
      <c r="I1182" s="7"/>
    </row>
    <row r="1183" spans="1:9" hidden="1" x14ac:dyDescent="0.25">
      <c r="A1183" s="1">
        <v>45274</v>
      </c>
      <c r="B1183" t="s">
        <v>199</v>
      </c>
      <c r="C1183" t="s">
        <v>198</v>
      </c>
      <c r="D1183" s="2">
        <v>300000</v>
      </c>
      <c r="E1183" s="2">
        <v>0</v>
      </c>
      <c r="F1183" s="2">
        <v>252281.68</v>
      </c>
      <c r="G1183" t="s">
        <v>724</v>
      </c>
      <c r="H1183" t="s">
        <v>716</v>
      </c>
      <c r="I1183" s="7"/>
    </row>
    <row r="1184" spans="1:9" hidden="1" x14ac:dyDescent="0.25">
      <c r="A1184" s="1">
        <v>45274</v>
      </c>
      <c r="B1184" t="s">
        <v>197</v>
      </c>
      <c r="C1184" t="s">
        <v>196</v>
      </c>
      <c r="D1184" s="2">
        <v>5000</v>
      </c>
      <c r="E1184" s="2">
        <v>0</v>
      </c>
      <c r="F1184" s="2">
        <v>247281.68</v>
      </c>
      <c r="G1184" t="s">
        <v>724</v>
      </c>
      <c r="H1184" t="s">
        <v>716</v>
      </c>
      <c r="I1184" s="7"/>
    </row>
    <row r="1185" spans="1:9" hidden="1" x14ac:dyDescent="0.25">
      <c r="A1185" s="1">
        <v>45274</v>
      </c>
      <c r="B1185" t="s">
        <v>181</v>
      </c>
      <c r="C1185" t="s">
        <v>442</v>
      </c>
      <c r="D1185" s="2">
        <v>0</v>
      </c>
      <c r="E1185" s="2">
        <v>5000</v>
      </c>
      <c r="F1185" s="2">
        <v>-504.37</v>
      </c>
      <c r="G1185" t="s">
        <v>724</v>
      </c>
      <c r="H1185" t="s">
        <v>718</v>
      </c>
      <c r="I1185" s="7"/>
    </row>
    <row r="1186" spans="1:9" hidden="1" x14ac:dyDescent="0.25">
      <c r="A1186" s="1">
        <v>45275</v>
      </c>
      <c r="B1186" t="s">
        <v>472</v>
      </c>
      <c r="D1186" s="2">
        <v>15277.87</v>
      </c>
      <c r="E1186" s="2">
        <v>0</v>
      </c>
      <c r="F1186" s="2">
        <v>239942.65</v>
      </c>
      <c r="G1186" t="s">
        <v>731</v>
      </c>
      <c r="H1186" t="s">
        <v>719</v>
      </c>
      <c r="I1186" s="7"/>
    </row>
    <row r="1187" spans="1:9" hidden="1" x14ac:dyDescent="0.25">
      <c r="A1187" s="1">
        <v>45275</v>
      </c>
      <c r="B1187" t="s">
        <v>618</v>
      </c>
      <c r="D1187" s="2">
        <v>0</v>
      </c>
      <c r="E1187" s="2">
        <v>16787.41</v>
      </c>
      <c r="F1187" s="2">
        <v>256730.06</v>
      </c>
      <c r="G1187" t="s">
        <v>731</v>
      </c>
      <c r="H1187" t="s">
        <v>719</v>
      </c>
      <c r="I1187" s="7"/>
    </row>
    <row r="1188" spans="1:9" hidden="1" x14ac:dyDescent="0.25">
      <c r="A1188" s="1">
        <v>45275</v>
      </c>
      <c r="B1188" t="s">
        <v>681</v>
      </c>
      <c r="D1188" s="2">
        <v>10000</v>
      </c>
      <c r="E1188" s="2">
        <v>0</v>
      </c>
      <c r="F1188" s="2">
        <v>246730.06</v>
      </c>
      <c r="G1188" t="s">
        <v>725</v>
      </c>
      <c r="H1188" t="s">
        <v>719</v>
      </c>
      <c r="I1188" s="7"/>
    </row>
    <row r="1189" spans="1:9" hidden="1" x14ac:dyDescent="0.25">
      <c r="A1189" s="1">
        <v>45275</v>
      </c>
      <c r="B1189" t="s">
        <v>472</v>
      </c>
      <c r="D1189" s="2">
        <v>176.38</v>
      </c>
      <c r="E1189" s="2">
        <v>0</v>
      </c>
      <c r="F1189" s="2">
        <v>246553.68</v>
      </c>
      <c r="G1189" t="s">
        <v>731</v>
      </c>
      <c r="H1189" t="s">
        <v>719</v>
      </c>
      <c r="I1189" s="7"/>
    </row>
    <row r="1190" spans="1:9" hidden="1" x14ac:dyDescent="0.25">
      <c r="A1190" s="1">
        <v>45275</v>
      </c>
      <c r="B1190" t="s">
        <v>472</v>
      </c>
      <c r="D1190" s="2">
        <v>76721.78</v>
      </c>
      <c r="E1190" s="2">
        <v>0</v>
      </c>
      <c r="F1190" s="2">
        <v>169831.9</v>
      </c>
      <c r="G1190" t="s">
        <v>731</v>
      </c>
      <c r="H1190" t="s">
        <v>719</v>
      </c>
      <c r="I1190" s="7"/>
    </row>
    <row r="1191" spans="1:9" hidden="1" x14ac:dyDescent="0.25">
      <c r="A1191" s="1">
        <v>45275</v>
      </c>
      <c r="B1191" t="s">
        <v>183</v>
      </c>
      <c r="C1191" t="s">
        <v>195</v>
      </c>
      <c r="D1191" s="2">
        <v>0</v>
      </c>
      <c r="E1191" s="2">
        <v>28276.959999999999</v>
      </c>
      <c r="F1191" s="2">
        <v>275558.64</v>
      </c>
      <c r="G1191" s="55" t="s">
        <v>1052</v>
      </c>
      <c r="H1191" t="s">
        <v>716</v>
      </c>
      <c r="I1191" s="7"/>
    </row>
    <row r="1192" spans="1:9" hidden="1" x14ac:dyDescent="0.25">
      <c r="A1192" s="1">
        <v>45275</v>
      </c>
      <c r="B1192" t="s">
        <v>194</v>
      </c>
      <c r="C1192" t="s">
        <v>193</v>
      </c>
      <c r="D1192" s="2">
        <v>5470</v>
      </c>
      <c r="E1192" s="2">
        <v>0</v>
      </c>
      <c r="F1192" s="2">
        <v>270088.64</v>
      </c>
      <c r="G1192" t="s">
        <v>794</v>
      </c>
      <c r="H1192" t="s">
        <v>716</v>
      </c>
      <c r="I1192" s="7"/>
    </row>
    <row r="1193" spans="1:9" hidden="1" x14ac:dyDescent="0.25">
      <c r="A1193" s="1">
        <v>45277</v>
      </c>
      <c r="B1193" t="s">
        <v>51</v>
      </c>
      <c r="D1193" s="2">
        <v>10000</v>
      </c>
      <c r="E1193" s="2">
        <v>0</v>
      </c>
      <c r="F1193" s="2">
        <v>18411.900000000001</v>
      </c>
      <c r="G1193" t="s">
        <v>728</v>
      </c>
      <c r="H1193" t="s">
        <v>715</v>
      </c>
      <c r="I1193" s="7"/>
    </row>
    <row r="1194" spans="1:9" hidden="1" x14ac:dyDescent="0.25">
      <c r="A1194" s="1">
        <v>45277</v>
      </c>
      <c r="B1194" t="s">
        <v>168</v>
      </c>
      <c r="D1194" s="2">
        <v>0</v>
      </c>
      <c r="E1194" s="2">
        <v>50000</v>
      </c>
      <c r="F1194" s="2">
        <v>68411.899999999994</v>
      </c>
      <c r="G1194" t="s">
        <v>724</v>
      </c>
      <c r="H1194" t="s">
        <v>715</v>
      </c>
      <c r="I1194" s="7"/>
    </row>
    <row r="1195" spans="1:9" hidden="1" x14ac:dyDescent="0.25">
      <c r="A1195" s="1">
        <v>45277</v>
      </c>
      <c r="B1195" t="s">
        <v>710</v>
      </c>
      <c r="D1195" s="2">
        <v>50000</v>
      </c>
      <c r="E1195" s="2">
        <v>0</v>
      </c>
      <c r="F1195" s="2">
        <v>119831.9</v>
      </c>
      <c r="G1195" t="s">
        <v>724</v>
      </c>
      <c r="H1195" t="s">
        <v>719</v>
      </c>
      <c r="I1195" s="7"/>
    </row>
    <row r="1196" spans="1:9" hidden="1" x14ac:dyDescent="0.25">
      <c r="A1196" s="1">
        <v>45278</v>
      </c>
      <c r="B1196" t="s">
        <v>618</v>
      </c>
      <c r="D1196" s="2">
        <v>0</v>
      </c>
      <c r="E1196" s="2">
        <v>4180</v>
      </c>
      <c r="F1196" s="2">
        <v>124011.9</v>
      </c>
      <c r="G1196" t="s">
        <v>731</v>
      </c>
      <c r="H1196" t="s">
        <v>719</v>
      </c>
      <c r="I1196" s="7"/>
    </row>
    <row r="1197" spans="1:9" hidden="1" x14ac:dyDescent="0.25">
      <c r="A1197" s="1">
        <v>45278</v>
      </c>
      <c r="B1197" t="s">
        <v>472</v>
      </c>
      <c r="D1197" s="2">
        <v>495.66</v>
      </c>
      <c r="E1197" s="2">
        <v>0</v>
      </c>
      <c r="F1197" s="2">
        <v>123516.24</v>
      </c>
      <c r="G1197" t="s">
        <v>731</v>
      </c>
      <c r="H1197" t="s">
        <v>719</v>
      </c>
      <c r="I1197" s="7"/>
    </row>
    <row r="1198" spans="1:9" hidden="1" x14ac:dyDescent="0.25">
      <c r="A1198" s="1">
        <v>45278</v>
      </c>
      <c r="B1198" t="s">
        <v>472</v>
      </c>
      <c r="D1198" s="2">
        <v>6550.82</v>
      </c>
      <c r="E1198" s="2">
        <v>0</v>
      </c>
      <c r="F1198" s="2">
        <v>116965.42</v>
      </c>
      <c r="G1198" t="s">
        <v>731</v>
      </c>
      <c r="H1198" t="s">
        <v>719</v>
      </c>
      <c r="I1198" s="7"/>
    </row>
    <row r="1199" spans="1:9" hidden="1" x14ac:dyDescent="0.25">
      <c r="A1199" s="1">
        <v>45278</v>
      </c>
      <c r="B1199" t="s">
        <v>472</v>
      </c>
      <c r="D1199" s="2">
        <v>10782.4</v>
      </c>
      <c r="E1199" s="2">
        <v>0</v>
      </c>
      <c r="F1199" s="2">
        <v>106183.02</v>
      </c>
      <c r="G1199" t="s">
        <v>731</v>
      </c>
      <c r="H1199" t="s">
        <v>719</v>
      </c>
      <c r="I1199" s="7"/>
    </row>
    <row r="1200" spans="1:9" hidden="1" x14ac:dyDescent="0.25">
      <c r="A1200" s="1">
        <v>45279</v>
      </c>
      <c r="B1200" t="s">
        <v>472</v>
      </c>
      <c r="D1200" s="2">
        <v>169.11</v>
      </c>
      <c r="E1200" s="2">
        <v>0</v>
      </c>
      <c r="F1200" s="2">
        <v>106013.91</v>
      </c>
      <c r="G1200" t="s">
        <v>731</v>
      </c>
      <c r="H1200" t="s">
        <v>719</v>
      </c>
      <c r="I1200" s="7"/>
    </row>
    <row r="1201" spans="1:9" hidden="1" x14ac:dyDescent="0.25">
      <c r="A1201" s="1">
        <v>45279</v>
      </c>
      <c r="B1201" t="s">
        <v>472</v>
      </c>
      <c r="D1201" s="2">
        <v>27284.69</v>
      </c>
      <c r="E1201" s="2">
        <v>0</v>
      </c>
      <c r="F1201" s="2">
        <v>78729.22</v>
      </c>
      <c r="G1201" t="s">
        <v>731</v>
      </c>
      <c r="H1201" t="s">
        <v>719</v>
      </c>
      <c r="I1201" s="7"/>
    </row>
    <row r="1202" spans="1:9" hidden="1" x14ac:dyDescent="0.25">
      <c r="A1202" s="1">
        <v>45279</v>
      </c>
      <c r="B1202" t="s">
        <v>183</v>
      </c>
      <c r="C1202" t="s">
        <v>192</v>
      </c>
      <c r="D1202" s="2">
        <v>0</v>
      </c>
      <c r="E1202" s="2">
        <v>28064.41</v>
      </c>
      <c r="F1202" s="2">
        <v>298153.05</v>
      </c>
      <c r="G1202" s="55" t="s">
        <v>1052</v>
      </c>
      <c r="H1202" t="s">
        <v>716</v>
      </c>
      <c r="I1202" s="7"/>
    </row>
    <row r="1203" spans="1:9" hidden="1" x14ac:dyDescent="0.25">
      <c r="A1203" s="1">
        <v>45280</v>
      </c>
      <c r="B1203" t="s">
        <v>618</v>
      </c>
      <c r="D1203" s="2">
        <v>0</v>
      </c>
      <c r="E1203" s="2">
        <v>1011.25</v>
      </c>
      <c r="F1203" s="2">
        <v>79740.47</v>
      </c>
      <c r="G1203" t="s">
        <v>731</v>
      </c>
      <c r="H1203" t="s">
        <v>719</v>
      </c>
      <c r="I1203" s="7"/>
    </row>
    <row r="1204" spans="1:9" hidden="1" x14ac:dyDescent="0.25">
      <c r="A1204" s="1">
        <v>45280</v>
      </c>
      <c r="B1204" t="s">
        <v>681</v>
      </c>
      <c r="D1204" s="2">
        <v>10000</v>
      </c>
      <c r="E1204" s="2">
        <v>0</v>
      </c>
      <c r="F1204" s="2">
        <v>69740.47</v>
      </c>
      <c r="G1204" t="s">
        <v>725</v>
      </c>
      <c r="H1204" t="s">
        <v>719</v>
      </c>
      <c r="I1204" s="7"/>
    </row>
    <row r="1205" spans="1:9" hidden="1" x14ac:dyDescent="0.25">
      <c r="A1205" s="1">
        <v>45280</v>
      </c>
      <c r="B1205" t="s">
        <v>472</v>
      </c>
      <c r="D1205" s="2">
        <v>180.4</v>
      </c>
      <c r="E1205" s="2">
        <v>0</v>
      </c>
      <c r="F1205" s="2">
        <v>69560.070000000007</v>
      </c>
      <c r="G1205" t="s">
        <v>731</v>
      </c>
      <c r="H1205" t="s">
        <v>719</v>
      </c>
      <c r="I1205" s="7"/>
    </row>
    <row r="1206" spans="1:9" hidden="1" x14ac:dyDescent="0.25">
      <c r="A1206" s="1">
        <v>45280</v>
      </c>
      <c r="B1206" t="s">
        <v>711</v>
      </c>
      <c r="D1206" s="2">
        <v>0</v>
      </c>
      <c r="E1206" s="2">
        <v>100000</v>
      </c>
      <c r="F1206" s="2">
        <v>169560.07</v>
      </c>
      <c r="G1206" t="s">
        <v>724</v>
      </c>
      <c r="H1206" t="s">
        <v>719</v>
      </c>
      <c r="I1206" s="7"/>
    </row>
    <row r="1207" spans="1:9" hidden="1" x14ac:dyDescent="0.25">
      <c r="A1207" s="1">
        <v>45280</v>
      </c>
      <c r="B1207" t="s">
        <v>712</v>
      </c>
      <c r="D1207" s="2">
        <v>50000</v>
      </c>
      <c r="E1207" s="2">
        <v>0</v>
      </c>
      <c r="F1207" s="2">
        <v>119560.07</v>
      </c>
      <c r="G1207" s="55" t="s">
        <v>1052</v>
      </c>
      <c r="H1207" t="s">
        <v>719</v>
      </c>
      <c r="I1207" s="7"/>
    </row>
    <row r="1208" spans="1:9" hidden="1" x14ac:dyDescent="0.25">
      <c r="A1208" s="1">
        <v>45280</v>
      </c>
      <c r="B1208" t="s">
        <v>191</v>
      </c>
      <c r="C1208" t="s">
        <v>190</v>
      </c>
      <c r="D1208" s="2">
        <v>100000</v>
      </c>
      <c r="E1208" s="2">
        <v>0</v>
      </c>
      <c r="F1208" s="2">
        <v>198153.05</v>
      </c>
      <c r="G1208" t="s">
        <v>724</v>
      </c>
      <c r="H1208" t="s">
        <v>716</v>
      </c>
      <c r="I1208" s="7"/>
    </row>
    <row r="1209" spans="1:9" hidden="1" x14ac:dyDescent="0.25">
      <c r="A1209" s="1">
        <v>45281</v>
      </c>
      <c r="B1209" t="s">
        <v>169</v>
      </c>
      <c r="D1209" s="2">
        <v>195</v>
      </c>
      <c r="E1209" s="2">
        <v>0</v>
      </c>
      <c r="F1209" s="2">
        <v>68216.899999999994</v>
      </c>
      <c r="G1209" t="s">
        <v>792</v>
      </c>
      <c r="H1209" t="s">
        <v>715</v>
      </c>
      <c r="I1209" s="7"/>
    </row>
    <row r="1210" spans="1:9" hidden="1" x14ac:dyDescent="0.25">
      <c r="A1210" s="1">
        <v>45281</v>
      </c>
      <c r="B1210" t="s">
        <v>472</v>
      </c>
      <c r="D1210" s="2">
        <v>12029.92</v>
      </c>
      <c r="E1210" s="2">
        <v>0</v>
      </c>
      <c r="F1210" s="2">
        <v>107530.15</v>
      </c>
      <c r="G1210" t="s">
        <v>731</v>
      </c>
      <c r="H1210" t="s">
        <v>719</v>
      </c>
      <c r="I1210" s="7"/>
    </row>
    <row r="1211" spans="1:9" hidden="1" x14ac:dyDescent="0.25">
      <c r="A1211" s="1">
        <v>45281</v>
      </c>
      <c r="B1211" t="s">
        <v>618</v>
      </c>
      <c r="D1211" s="2">
        <v>0</v>
      </c>
      <c r="E1211" s="2">
        <v>21419.78</v>
      </c>
      <c r="F1211" s="2">
        <v>128949.93</v>
      </c>
      <c r="G1211" t="s">
        <v>731</v>
      </c>
      <c r="H1211" t="s">
        <v>719</v>
      </c>
      <c r="I1211" s="7"/>
    </row>
    <row r="1212" spans="1:9" hidden="1" x14ac:dyDescent="0.25">
      <c r="A1212" s="1">
        <v>45281</v>
      </c>
      <c r="B1212" t="s">
        <v>472</v>
      </c>
      <c r="D1212" s="2">
        <v>176.48</v>
      </c>
      <c r="E1212" s="2">
        <v>0</v>
      </c>
      <c r="F1212" s="2">
        <v>128773.45</v>
      </c>
      <c r="G1212" t="s">
        <v>731</v>
      </c>
      <c r="H1212" t="s">
        <v>719</v>
      </c>
      <c r="I1212" s="7"/>
    </row>
    <row r="1213" spans="1:9" hidden="1" x14ac:dyDescent="0.25">
      <c r="A1213" s="1">
        <v>45282</v>
      </c>
      <c r="B1213" t="s">
        <v>170</v>
      </c>
      <c r="D1213" s="2">
        <v>300</v>
      </c>
      <c r="E1213" s="2">
        <v>0</v>
      </c>
      <c r="F1213" s="2">
        <v>67916.899999999994</v>
      </c>
      <c r="G1213" t="s">
        <v>792</v>
      </c>
      <c r="H1213" t="s">
        <v>715</v>
      </c>
      <c r="I1213" s="7"/>
    </row>
    <row r="1214" spans="1:9" hidden="1" x14ac:dyDescent="0.25">
      <c r="A1214" s="1">
        <v>45282</v>
      </c>
      <c r="B1214" t="s">
        <v>618</v>
      </c>
      <c r="D1214" s="2">
        <v>0</v>
      </c>
      <c r="E1214" s="2">
        <v>4080.7</v>
      </c>
      <c r="F1214" s="2">
        <v>132854.15</v>
      </c>
      <c r="G1214" t="s">
        <v>731</v>
      </c>
      <c r="H1214" t="s">
        <v>719</v>
      </c>
      <c r="I1214" s="7"/>
    </row>
    <row r="1215" spans="1:9" hidden="1" x14ac:dyDescent="0.25">
      <c r="A1215" s="1">
        <v>45282</v>
      </c>
      <c r="B1215" t="s">
        <v>472</v>
      </c>
      <c r="D1215" s="2">
        <v>184.08</v>
      </c>
      <c r="E1215" s="2">
        <v>0</v>
      </c>
      <c r="F1215" s="2">
        <v>132670.07</v>
      </c>
      <c r="G1215" t="s">
        <v>731</v>
      </c>
      <c r="H1215" t="s">
        <v>719</v>
      </c>
      <c r="I1215" s="7"/>
    </row>
    <row r="1216" spans="1:9" hidden="1" x14ac:dyDescent="0.25">
      <c r="A1216" s="1">
        <v>45282</v>
      </c>
      <c r="B1216" t="s">
        <v>472</v>
      </c>
      <c r="D1216" s="2">
        <v>28822.49</v>
      </c>
      <c r="E1216" s="2">
        <v>0</v>
      </c>
      <c r="F1216" s="2">
        <v>103847.58</v>
      </c>
      <c r="G1216" t="s">
        <v>731</v>
      </c>
      <c r="H1216" t="s">
        <v>719</v>
      </c>
      <c r="I1216" s="7"/>
    </row>
    <row r="1217" spans="1:10" hidden="1" x14ac:dyDescent="0.25">
      <c r="A1217" s="1">
        <v>45282</v>
      </c>
      <c r="B1217" t="s">
        <v>189</v>
      </c>
      <c r="C1217" t="s">
        <v>188</v>
      </c>
      <c r="D1217" s="2">
        <v>14760</v>
      </c>
      <c r="E1217" s="2">
        <v>0</v>
      </c>
      <c r="F1217" s="2">
        <v>183393.05</v>
      </c>
      <c r="G1217" t="s">
        <v>791</v>
      </c>
      <c r="H1217" t="s">
        <v>716</v>
      </c>
      <c r="I1217" s="7"/>
    </row>
    <row r="1218" spans="1:10" hidden="1" x14ac:dyDescent="0.25">
      <c r="A1218" s="1">
        <v>45283</v>
      </c>
      <c r="B1218" t="s">
        <v>171</v>
      </c>
      <c r="D1218" s="2">
        <v>1650</v>
      </c>
      <c r="E1218" s="2">
        <v>0</v>
      </c>
      <c r="F1218" s="2">
        <v>66266.899999999994</v>
      </c>
      <c r="G1218" t="s">
        <v>793</v>
      </c>
      <c r="H1218" t="s">
        <v>715</v>
      </c>
      <c r="I1218" s="7"/>
    </row>
    <row r="1219" spans="1:10" hidden="1" x14ac:dyDescent="0.25">
      <c r="A1219" s="1">
        <v>45283</v>
      </c>
      <c r="B1219" t="s">
        <v>172</v>
      </c>
      <c r="D1219" s="2">
        <v>10000</v>
      </c>
      <c r="E1219" s="2">
        <v>0</v>
      </c>
      <c r="F1219" s="2">
        <v>56266.9</v>
      </c>
      <c r="G1219" t="s">
        <v>734</v>
      </c>
      <c r="H1219" t="s">
        <v>715</v>
      </c>
      <c r="I1219" s="7"/>
    </row>
    <row r="1220" spans="1:10" hidden="1" x14ac:dyDescent="0.25">
      <c r="A1220" s="1">
        <v>45284</v>
      </c>
      <c r="B1220" t="s">
        <v>173</v>
      </c>
      <c r="D1220" s="2">
        <v>20</v>
      </c>
      <c r="E1220" s="2">
        <v>0</v>
      </c>
      <c r="F1220" s="2">
        <v>56246.9</v>
      </c>
      <c r="G1220" t="s">
        <v>792</v>
      </c>
      <c r="H1220" t="s">
        <v>715</v>
      </c>
      <c r="I1220" s="7"/>
    </row>
    <row r="1221" spans="1:10" hidden="1" x14ac:dyDescent="0.25">
      <c r="A1221" s="1">
        <v>45284</v>
      </c>
      <c r="B1221" t="s">
        <v>713</v>
      </c>
      <c r="D1221" s="2">
        <v>5000</v>
      </c>
      <c r="E1221" s="2">
        <v>0</v>
      </c>
      <c r="F1221" s="2">
        <v>98847.58</v>
      </c>
      <c r="G1221" t="s">
        <v>733</v>
      </c>
      <c r="H1221" t="s">
        <v>719</v>
      </c>
      <c r="I1221" s="7"/>
    </row>
    <row r="1222" spans="1:10" hidden="1" x14ac:dyDescent="0.25">
      <c r="A1222" s="1">
        <v>45285</v>
      </c>
      <c r="B1222" t="s">
        <v>174</v>
      </c>
      <c r="D1222" s="2">
        <v>351.49</v>
      </c>
      <c r="E1222" s="2">
        <v>0</v>
      </c>
      <c r="F1222" s="2">
        <v>55895.41</v>
      </c>
      <c r="G1222" t="s">
        <v>792</v>
      </c>
      <c r="H1222" t="s">
        <v>715</v>
      </c>
      <c r="I1222" s="7"/>
    </row>
    <row r="1223" spans="1:10" hidden="1" x14ac:dyDescent="0.25">
      <c r="A1223" s="1">
        <v>45285</v>
      </c>
      <c r="B1223" t="s">
        <v>187</v>
      </c>
      <c r="C1223">
        <v>0</v>
      </c>
      <c r="D1223" s="2">
        <v>0</v>
      </c>
      <c r="E1223" s="2">
        <v>491</v>
      </c>
      <c r="F1223" s="2">
        <v>183884.05</v>
      </c>
      <c r="G1223" t="s">
        <v>788</v>
      </c>
      <c r="H1223" t="s">
        <v>716</v>
      </c>
      <c r="I1223" s="7"/>
    </row>
    <row r="1224" spans="1:10" hidden="1" x14ac:dyDescent="0.25">
      <c r="A1224" s="1">
        <v>45286</v>
      </c>
      <c r="B1224" t="s">
        <v>472</v>
      </c>
      <c r="D1224" s="2">
        <v>701.04</v>
      </c>
      <c r="E1224" s="2">
        <v>0</v>
      </c>
      <c r="F1224" s="2">
        <v>98146.54</v>
      </c>
      <c r="G1224" t="s">
        <v>731</v>
      </c>
      <c r="H1224" t="s">
        <v>719</v>
      </c>
      <c r="I1224" s="7"/>
    </row>
    <row r="1225" spans="1:10" hidden="1" x14ac:dyDescent="0.25">
      <c r="A1225" s="1">
        <v>45286</v>
      </c>
      <c r="B1225" t="s">
        <v>714</v>
      </c>
      <c r="D1225" s="2">
        <v>0</v>
      </c>
      <c r="E1225" s="2">
        <v>50000</v>
      </c>
      <c r="F1225" s="2">
        <v>148146.54</v>
      </c>
      <c r="G1225" t="s">
        <v>724</v>
      </c>
      <c r="H1225" t="s">
        <v>719</v>
      </c>
      <c r="I1225" s="7"/>
    </row>
    <row r="1226" spans="1:10" hidden="1" x14ac:dyDescent="0.25">
      <c r="A1226" s="1">
        <v>45286</v>
      </c>
      <c r="B1226" t="s">
        <v>472</v>
      </c>
      <c r="D1226" s="2">
        <v>32775.11</v>
      </c>
      <c r="E1226" s="2">
        <v>0</v>
      </c>
      <c r="F1226" s="2">
        <v>115371.43</v>
      </c>
      <c r="G1226" t="s">
        <v>731</v>
      </c>
      <c r="H1226" t="s">
        <v>719</v>
      </c>
      <c r="I1226" s="7"/>
    </row>
    <row r="1227" spans="1:10" hidden="1" x14ac:dyDescent="0.25">
      <c r="A1227" s="1">
        <v>45286</v>
      </c>
      <c r="B1227" t="s">
        <v>472</v>
      </c>
      <c r="D1227" s="2">
        <v>50026.879999999997</v>
      </c>
      <c r="E1227" s="2">
        <v>0</v>
      </c>
      <c r="F1227" s="2">
        <v>65344.55</v>
      </c>
      <c r="G1227" t="s">
        <v>731</v>
      </c>
      <c r="H1227" t="s">
        <v>719</v>
      </c>
      <c r="I1227" s="7"/>
    </row>
    <row r="1228" spans="1:10" hidden="1" x14ac:dyDescent="0.25">
      <c r="A1228" s="1">
        <v>45286</v>
      </c>
      <c r="B1228" t="s">
        <v>186</v>
      </c>
      <c r="C1228" t="s">
        <v>185</v>
      </c>
      <c r="D1228" s="2">
        <v>50000</v>
      </c>
      <c r="E1228" s="2">
        <v>0</v>
      </c>
      <c r="F1228" s="2">
        <v>133884.04999999999</v>
      </c>
      <c r="G1228" t="s">
        <v>724</v>
      </c>
      <c r="H1228" t="s">
        <v>716</v>
      </c>
      <c r="I1228" s="7"/>
    </row>
    <row r="1229" spans="1:10" hidden="1" x14ac:dyDescent="0.25">
      <c r="A1229" s="1">
        <v>45287</v>
      </c>
      <c r="B1229" t="s">
        <v>782</v>
      </c>
      <c r="D1229" s="2">
        <v>0</v>
      </c>
      <c r="E1229" s="2">
        <v>173</v>
      </c>
      <c r="F1229" s="2">
        <f>E1229</f>
        <v>173</v>
      </c>
      <c r="G1229" s="55" t="s">
        <v>1055</v>
      </c>
      <c r="H1229" t="s">
        <v>787</v>
      </c>
      <c r="I1229" s="7"/>
      <c r="J1229">
        <f>2908+2408+1828+84</f>
        <v>7228</v>
      </c>
    </row>
    <row r="1230" spans="1:10" hidden="1" x14ac:dyDescent="0.25">
      <c r="A1230" s="1">
        <v>45287</v>
      </c>
      <c r="B1230" t="s">
        <v>782</v>
      </c>
      <c r="D1230" s="2">
        <v>0</v>
      </c>
      <c r="E1230" s="2">
        <v>8641</v>
      </c>
      <c r="F1230" s="2">
        <f>F1229+E1230</f>
        <v>8814</v>
      </c>
      <c r="G1230" t="s">
        <v>724</v>
      </c>
      <c r="H1230" t="s">
        <v>787</v>
      </c>
      <c r="I1230" s="7"/>
    </row>
    <row r="1231" spans="1:10" hidden="1" x14ac:dyDescent="0.25">
      <c r="A1231" s="1">
        <v>45287</v>
      </c>
      <c r="B1231" t="s">
        <v>472</v>
      </c>
      <c r="D1231" s="2">
        <v>192.92</v>
      </c>
      <c r="E1231" s="2">
        <v>0</v>
      </c>
      <c r="F1231" s="2">
        <v>65151.63</v>
      </c>
      <c r="G1231" t="s">
        <v>731</v>
      </c>
      <c r="H1231" t="s">
        <v>719</v>
      </c>
      <c r="I1231" s="7"/>
    </row>
    <row r="1232" spans="1:10" hidden="1" x14ac:dyDescent="0.25">
      <c r="A1232" s="1">
        <v>45287</v>
      </c>
      <c r="B1232" t="s">
        <v>536</v>
      </c>
      <c r="D1232" s="2">
        <v>0</v>
      </c>
      <c r="E1232" s="2">
        <v>676.13</v>
      </c>
      <c r="F1232" s="2">
        <v>65827.759999999995</v>
      </c>
      <c r="G1232" t="s">
        <v>732</v>
      </c>
      <c r="H1232" t="s">
        <v>719</v>
      </c>
      <c r="I1232" s="7"/>
    </row>
    <row r="1233" spans="1:9" hidden="1" x14ac:dyDescent="0.25">
      <c r="A1233" s="1">
        <v>45288</v>
      </c>
      <c r="B1233" t="s">
        <v>175</v>
      </c>
      <c r="D1233" s="2">
        <v>10000</v>
      </c>
      <c r="E1233" s="2">
        <v>0</v>
      </c>
      <c r="F1233" s="2">
        <v>45895.41</v>
      </c>
      <c r="G1233" t="s">
        <v>734</v>
      </c>
      <c r="H1233" t="s">
        <v>715</v>
      </c>
      <c r="I1233" s="7"/>
    </row>
    <row r="1234" spans="1:9" hidden="1" x14ac:dyDescent="0.25">
      <c r="A1234" s="1">
        <v>45288</v>
      </c>
      <c r="B1234" t="s">
        <v>176</v>
      </c>
      <c r="D1234" s="2">
        <v>5000</v>
      </c>
      <c r="E1234" s="2">
        <v>0</v>
      </c>
      <c r="F1234" s="2">
        <v>40895.410000000003</v>
      </c>
      <c r="G1234" t="s">
        <v>733</v>
      </c>
      <c r="H1234" t="s">
        <v>715</v>
      </c>
      <c r="I1234" s="7"/>
    </row>
    <row r="1235" spans="1:9" hidden="1" x14ac:dyDescent="0.25">
      <c r="A1235" s="1">
        <v>45288</v>
      </c>
      <c r="B1235" t="s">
        <v>783</v>
      </c>
      <c r="D1235" s="2">
        <v>0</v>
      </c>
      <c r="E1235" s="2">
        <v>1000</v>
      </c>
      <c r="F1235" s="2">
        <v>9814</v>
      </c>
      <c r="G1235" t="s">
        <v>789</v>
      </c>
      <c r="H1235" t="s">
        <v>787</v>
      </c>
      <c r="I1235" s="7"/>
    </row>
    <row r="1236" spans="1:9" hidden="1" x14ac:dyDescent="0.25">
      <c r="A1236" s="1">
        <v>45288</v>
      </c>
      <c r="B1236" t="s">
        <v>472</v>
      </c>
      <c r="D1236" s="2">
        <v>21737.68</v>
      </c>
      <c r="E1236" s="2">
        <v>0</v>
      </c>
      <c r="F1236" s="2">
        <v>44090.080000000002</v>
      </c>
      <c r="G1236" t="s">
        <v>731</v>
      </c>
      <c r="H1236" t="s">
        <v>719</v>
      </c>
      <c r="I1236" s="7"/>
    </row>
    <row r="1237" spans="1:9" hidden="1" x14ac:dyDescent="0.25">
      <c r="A1237" s="1">
        <v>45288</v>
      </c>
      <c r="B1237" t="s">
        <v>472</v>
      </c>
      <c r="D1237" s="2">
        <v>191.06</v>
      </c>
      <c r="E1237" s="2">
        <v>0</v>
      </c>
      <c r="F1237" s="2">
        <v>43899.02</v>
      </c>
      <c r="G1237" t="s">
        <v>731</v>
      </c>
      <c r="H1237" t="s">
        <v>719</v>
      </c>
      <c r="I1237" s="7"/>
    </row>
    <row r="1238" spans="1:9" hidden="1" x14ac:dyDescent="0.25">
      <c r="A1238" s="1">
        <v>45288</v>
      </c>
      <c r="B1238" t="s">
        <v>183</v>
      </c>
      <c r="C1238" t="s">
        <v>184</v>
      </c>
      <c r="D1238" s="2">
        <v>0</v>
      </c>
      <c r="E1238" s="2">
        <v>43680.14</v>
      </c>
      <c r="F1238" s="2">
        <v>177564.19</v>
      </c>
      <c r="G1238" s="55" t="s">
        <v>1052</v>
      </c>
      <c r="H1238" t="s">
        <v>716</v>
      </c>
      <c r="I1238" s="7"/>
    </row>
    <row r="1239" spans="1:9" hidden="1" x14ac:dyDescent="0.25">
      <c r="A1239" s="1">
        <v>45289</v>
      </c>
      <c r="B1239" t="s">
        <v>618</v>
      </c>
      <c r="D1239" s="2">
        <v>0</v>
      </c>
      <c r="E1239" s="2">
        <v>9206.14</v>
      </c>
      <c r="F1239" s="2">
        <v>53105.16</v>
      </c>
      <c r="G1239" t="s">
        <v>731</v>
      </c>
      <c r="H1239" t="s">
        <v>719</v>
      </c>
      <c r="I1239" s="7"/>
    </row>
    <row r="1240" spans="1:9" hidden="1" x14ac:dyDescent="0.25">
      <c r="A1240" s="1">
        <v>45289</v>
      </c>
      <c r="B1240" t="s">
        <v>618</v>
      </c>
      <c r="D1240" s="2">
        <v>0</v>
      </c>
      <c r="E1240" s="2">
        <v>23035.24</v>
      </c>
      <c r="F1240" s="2">
        <v>76140.399999999994</v>
      </c>
      <c r="G1240" t="s">
        <v>731</v>
      </c>
      <c r="H1240" t="s">
        <v>719</v>
      </c>
      <c r="I1240" s="7"/>
    </row>
    <row r="1241" spans="1:9" hidden="1" x14ac:dyDescent="0.25">
      <c r="A1241" s="1">
        <v>45289</v>
      </c>
      <c r="B1241" t="s">
        <v>472</v>
      </c>
      <c r="D1241" s="2">
        <v>217.58</v>
      </c>
      <c r="E1241" s="2">
        <v>0</v>
      </c>
      <c r="F1241" s="2">
        <v>75922.820000000007</v>
      </c>
      <c r="G1241" t="s">
        <v>731</v>
      </c>
      <c r="H1241" t="s">
        <v>719</v>
      </c>
      <c r="I1241" s="7"/>
    </row>
    <row r="1242" spans="1:9" hidden="1" x14ac:dyDescent="0.25">
      <c r="A1242" s="1">
        <v>45289</v>
      </c>
      <c r="B1242" t="s">
        <v>472</v>
      </c>
      <c r="D1242" s="2">
        <v>17100.830000000002</v>
      </c>
      <c r="E1242" s="2">
        <v>0</v>
      </c>
      <c r="F1242" s="2">
        <v>58821.99</v>
      </c>
      <c r="G1242" t="s">
        <v>731</v>
      </c>
      <c r="H1242" t="s">
        <v>719</v>
      </c>
      <c r="I1242" s="7"/>
    </row>
    <row r="1243" spans="1:9" hidden="1" x14ac:dyDescent="0.25">
      <c r="A1243" s="1">
        <v>45289</v>
      </c>
      <c r="B1243" t="s">
        <v>472</v>
      </c>
      <c r="D1243" s="2">
        <v>2354.0500000000002</v>
      </c>
      <c r="E1243" s="2">
        <v>0</v>
      </c>
      <c r="F1243" s="2">
        <v>56467.94</v>
      </c>
      <c r="G1243" t="s">
        <v>731</v>
      </c>
      <c r="H1243" t="s">
        <v>719</v>
      </c>
      <c r="I1243" s="7"/>
    </row>
    <row r="1244" spans="1:9" hidden="1" x14ac:dyDescent="0.25">
      <c r="A1244" s="1">
        <v>45289</v>
      </c>
      <c r="B1244" t="s">
        <v>183</v>
      </c>
      <c r="C1244" t="s">
        <v>182</v>
      </c>
      <c r="D1244" s="2">
        <v>0</v>
      </c>
      <c r="E1244" s="2">
        <v>111824.33</v>
      </c>
      <c r="F1244" s="2">
        <v>289388.52</v>
      </c>
      <c r="G1244" s="55" t="s">
        <v>1052</v>
      </c>
      <c r="H1244" t="s">
        <v>716</v>
      </c>
      <c r="I1244" s="7"/>
    </row>
    <row r="1245" spans="1:9" hidden="1" x14ac:dyDescent="0.25">
      <c r="A1245" s="1">
        <v>45291</v>
      </c>
      <c r="B1245" t="s">
        <v>177</v>
      </c>
      <c r="D1245" s="2">
        <v>10200</v>
      </c>
      <c r="E1245" s="2">
        <v>0</v>
      </c>
      <c r="F1245" s="2">
        <v>30695.41</v>
      </c>
      <c r="G1245" t="s">
        <v>792</v>
      </c>
      <c r="H1245" t="s">
        <v>715</v>
      </c>
      <c r="I1245" s="7"/>
    </row>
    <row r="1246" spans="1:9" hidden="1" x14ac:dyDescent="0.25">
      <c r="A1246" s="1">
        <v>45291</v>
      </c>
      <c r="B1246" t="s">
        <v>181</v>
      </c>
      <c r="C1246" t="s">
        <v>180</v>
      </c>
      <c r="D1246" s="2">
        <v>0</v>
      </c>
      <c r="E1246" s="2">
        <v>27000</v>
      </c>
      <c r="F1246" s="2">
        <v>316388.52</v>
      </c>
      <c r="G1246" t="s">
        <v>724</v>
      </c>
      <c r="H1246" t="s">
        <v>716</v>
      </c>
      <c r="I1246" s="7"/>
    </row>
    <row r="1247" spans="1:9" hidden="1" x14ac:dyDescent="0.25">
      <c r="A1247" s="1">
        <v>45291</v>
      </c>
      <c r="B1247" t="s">
        <v>197</v>
      </c>
      <c r="C1247" t="s">
        <v>443</v>
      </c>
      <c r="D1247" s="2">
        <v>27000</v>
      </c>
      <c r="E1247" s="2">
        <v>0</v>
      </c>
      <c r="F1247" s="2">
        <v>-27504.37</v>
      </c>
      <c r="G1247" t="s">
        <v>724</v>
      </c>
      <c r="H1247" t="s">
        <v>718</v>
      </c>
      <c r="I1247" s="7"/>
    </row>
    <row r="1248" spans="1:9" hidden="1" x14ac:dyDescent="0.25">
      <c r="A1248" s="1">
        <v>45291</v>
      </c>
      <c r="B1248" t="s">
        <v>380</v>
      </c>
      <c r="C1248">
        <v>0</v>
      </c>
      <c r="D1248" s="2">
        <v>698</v>
      </c>
      <c r="E1248" s="2">
        <v>0</v>
      </c>
      <c r="F1248" s="2">
        <v>-28202.37</v>
      </c>
      <c r="G1248" t="s">
        <v>790</v>
      </c>
      <c r="H1248" t="s">
        <v>718</v>
      </c>
      <c r="I1248" s="7"/>
    </row>
    <row r="1249" spans="1:11" hidden="1" x14ac:dyDescent="0.25">
      <c r="A1249" s="1">
        <v>45292</v>
      </c>
      <c r="B1249" t="s">
        <v>178</v>
      </c>
      <c r="D1249" s="2">
        <v>0</v>
      </c>
      <c r="E1249" s="2">
        <v>476</v>
      </c>
      <c r="F1249" s="2">
        <v>31151.41</v>
      </c>
      <c r="G1249" t="s">
        <v>788</v>
      </c>
      <c r="H1249" t="s">
        <v>715</v>
      </c>
      <c r="I1249" s="7"/>
    </row>
    <row r="1250" spans="1:11" hidden="1" x14ac:dyDescent="0.25">
      <c r="A1250" s="1">
        <v>45292</v>
      </c>
      <c r="B1250" t="s">
        <v>846</v>
      </c>
      <c r="D1250" s="2">
        <v>20</v>
      </c>
      <c r="E1250" s="2">
        <v>0</v>
      </c>
      <c r="F1250" s="2">
        <v>30675.41</v>
      </c>
      <c r="G1250" s="55" t="s">
        <v>792</v>
      </c>
      <c r="H1250" t="s">
        <v>715</v>
      </c>
      <c r="I1250" s="7"/>
    </row>
    <row r="1251" spans="1:11" hidden="1" x14ac:dyDescent="0.25">
      <c r="A1251" s="1">
        <v>45292</v>
      </c>
      <c r="B1251" t="s">
        <v>847</v>
      </c>
      <c r="D1251" s="2">
        <v>0</v>
      </c>
      <c r="E1251" s="2">
        <v>100000</v>
      </c>
      <c r="F1251" s="2">
        <v>131151.41</v>
      </c>
      <c r="G1251" s="55" t="s">
        <v>724</v>
      </c>
      <c r="H1251" t="s">
        <v>715</v>
      </c>
      <c r="I1251" s="7"/>
      <c r="K1251" s="14"/>
    </row>
    <row r="1252" spans="1:11" hidden="1" x14ac:dyDescent="0.25">
      <c r="A1252" s="1">
        <v>45292</v>
      </c>
      <c r="B1252" t="s">
        <v>538</v>
      </c>
      <c r="D1252" s="2">
        <v>0</v>
      </c>
      <c r="E1252" s="2">
        <v>633</v>
      </c>
      <c r="F1252" s="2">
        <v>57100.94</v>
      </c>
      <c r="G1252" t="s">
        <v>788</v>
      </c>
      <c r="H1252" t="s">
        <v>719</v>
      </c>
      <c r="I1252" s="7"/>
    </row>
    <row r="1253" spans="1:11" hidden="1" x14ac:dyDescent="0.25">
      <c r="A1253" s="1">
        <v>45292</v>
      </c>
      <c r="B1253" t="s">
        <v>472</v>
      </c>
      <c r="D1253" s="2">
        <v>625.77</v>
      </c>
      <c r="E1253" s="2">
        <v>0</v>
      </c>
      <c r="F1253" s="2">
        <v>56475.17</v>
      </c>
      <c r="G1253" t="s">
        <v>731</v>
      </c>
      <c r="H1253" t="s">
        <v>719</v>
      </c>
      <c r="I1253" s="7"/>
    </row>
    <row r="1254" spans="1:11" hidden="1" x14ac:dyDescent="0.25">
      <c r="A1254" s="1">
        <v>45292</v>
      </c>
      <c r="B1254" t="s">
        <v>921</v>
      </c>
      <c r="D1254" s="2">
        <v>2000</v>
      </c>
      <c r="E1254" s="2">
        <v>0</v>
      </c>
      <c r="F1254" s="2">
        <v>54475.17</v>
      </c>
      <c r="G1254" s="55" t="s">
        <v>1049</v>
      </c>
      <c r="H1254" t="s">
        <v>719</v>
      </c>
      <c r="I1254" s="7"/>
    </row>
    <row r="1255" spans="1:11" hidden="1" x14ac:dyDescent="0.25">
      <c r="A1255" s="1">
        <v>45292</v>
      </c>
      <c r="B1255" t="s">
        <v>472</v>
      </c>
      <c r="D1255" s="2">
        <v>5194.1400000000003</v>
      </c>
      <c r="E1255" s="2">
        <v>0</v>
      </c>
      <c r="F1255" s="2">
        <v>49281.03</v>
      </c>
      <c r="G1255" t="s">
        <v>731</v>
      </c>
      <c r="H1255" t="s">
        <v>719</v>
      </c>
      <c r="I1255" s="7"/>
    </row>
    <row r="1256" spans="1:11" hidden="1" x14ac:dyDescent="0.25">
      <c r="A1256" s="1">
        <v>45292</v>
      </c>
      <c r="B1256" t="s">
        <v>990</v>
      </c>
      <c r="C1256" t="s">
        <v>991</v>
      </c>
      <c r="D1256" s="2">
        <v>100000</v>
      </c>
      <c r="E1256" s="2">
        <v>0</v>
      </c>
      <c r="F1256" s="2">
        <v>216388.52</v>
      </c>
      <c r="G1256" s="55" t="s">
        <v>724</v>
      </c>
      <c r="H1256" t="s">
        <v>716</v>
      </c>
      <c r="I1256" s="7"/>
    </row>
    <row r="1257" spans="1:11" hidden="1" x14ac:dyDescent="0.25">
      <c r="A1257" s="1">
        <v>45293</v>
      </c>
      <c r="B1257" t="s">
        <v>618</v>
      </c>
      <c r="D1257" s="2">
        <v>0</v>
      </c>
      <c r="E1257" s="2">
        <v>61694.37</v>
      </c>
      <c r="F1257" s="2">
        <v>110975.4</v>
      </c>
      <c r="G1257" t="s">
        <v>731</v>
      </c>
      <c r="H1257" t="s">
        <v>719</v>
      </c>
      <c r="I1257" s="7"/>
    </row>
    <row r="1258" spans="1:11" hidden="1" x14ac:dyDescent="0.25">
      <c r="A1258" s="1">
        <v>45293</v>
      </c>
      <c r="B1258" t="s">
        <v>472</v>
      </c>
      <c r="D1258" s="2">
        <v>210.42</v>
      </c>
      <c r="E1258" s="2">
        <v>0</v>
      </c>
      <c r="F1258" s="2">
        <v>110764.98</v>
      </c>
      <c r="G1258" t="s">
        <v>731</v>
      </c>
      <c r="H1258" t="s">
        <v>719</v>
      </c>
      <c r="I1258" s="7"/>
    </row>
    <row r="1259" spans="1:11" hidden="1" x14ac:dyDescent="0.25">
      <c r="A1259" s="1">
        <v>45293</v>
      </c>
      <c r="B1259" t="s">
        <v>472</v>
      </c>
      <c r="D1259" s="2">
        <v>41170.07</v>
      </c>
      <c r="E1259" s="2">
        <v>0</v>
      </c>
      <c r="F1259" s="2">
        <v>69594.91</v>
      </c>
      <c r="G1259" t="s">
        <v>731</v>
      </c>
      <c r="H1259" t="s">
        <v>719</v>
      </c>
      <c r="I1259" s="7"/>
    </row>
    <row r="1260" spans="1:11" hidden="1" x14ac:dyDescent="0.25">
      <c r="A1260" s="1">
        <v>45293</v>
      </c>
      <c r="B1260" t="s">
        <v>214</v>
      </c>
      <c r="C1260" t="s">
        <v>206</v>
      </c>
      <c r="D1260" s="2">
        <v>26595</v>
      </c>
      <c r="E1260" s="2">
        <v>0</v>
      </c>
      <c r="F1260" s="2">
        <v>189793.52</v>
      </c>
      <c r="G1260" s="55" t="s">
        <v>724</v>
      </c>
      <c r="H1260" t="s">
        <v>716</v>
      </c>
      <c r="I1260" s="7"/>
    </row>
    <row r="1261" spans="1:11" hidden="1" x14ac:dyDescent="0.25">
      <c r="A1261" s="1">
        <v>45293</v>
      </c>
      <c r="B1261" t="s">
        <v>371</v>
      </c>
      <c r="C1261" t="s">
        <v>372</v>
      </c>
      <c r="D1261" s="2">
        <v>0</v>
      </c>
      <c r="E1261" s="2">
        <v>26595</v>
      </c>
      <c r="F1261" s="2">
        <v>-1607.37</v>
      </c>
      <c r="G1261" s="55" t="s">
        <v>724</v>
      </c>
      <c r="H1261" t="s">
        <v>718</v>
      </c>
      <c r="I1261" s="7"/>
    </row>
    <row r="1262" spans="1:11" hidden="1" x14ac:dyDescent="0.25">
      <c r="A1262" s="1">
        <v>45294</v>
      </c>
      <c r="B1262" t="s">
        <v>472</v>
      </c>
      <c r="D1262" s="2">
        <v>198.82</v>
      </c>
      <c r="E1262" s="2">
        <v>0</v>
      </c>
      <c r="F1262" s="2">
        <v>69396.09</v>
      </c>
      <c r="G1262" t="s">
        <v>731</v>
      </c>
      <c r="H1262" t="s">
        <v>719</v>
      </c>
      <c r="I1262" s="7"/>
    </row>
    <row r="1263" spans="1:11" hidden="1" x14ac:dyDescent="0.25">
      <c r="A1263" s="1">
        <v>45294</v>
      </c>
      <c r="B1263" t="s">
        <v>472</v>
      </c>
      <c r="D1263" s="2">
        <v>31696.16</v>
      </c>
      <c r="E1263" s="2">
        <v>0</v>
      </c>
      <c r="F1263" s="2">
        <v>37699.93</v>
      </c>
      <c r="G1263" t="s">
        <v>731</v>
      </c>
      <c r="H1263" t="s">
        <v>719</v>
      </c>
      <c r="I1263" s="7"/>
    </row>
    <row r="1264" spans="1:11" hidden="1" x14ac:dyDescent="0.25">
      <c r="A1264" s="1">
        <v>45294</v>
      </c>
      <c r="B1264" t="s">
        <v>472</v>
      </c>
      <c r="D1264" s="2">
        <v>8461.39</v>
      </c>
      <c r="E1264" s="2">
        <v>0</v>
      </c>
      <c r="F1264" s="2">
        <v>29238.54</v>
      </c>
      <c r="G1264" t="s">
        <v>731</v>
      </c>
      <c r="H1264" t="s">
        <v>719</v>
      </c>
      <c r="I1264" s="7"/>
    </row>
    <row r="1265" spans="1:9" hidden="1" x14ac:dyDescent="0.25">
      <c r="A1265" s="1">
        <v>45295</v>
      </c>
      <c r="B1265" t="s">
        <v>922</v>
      </c>
      <c r="D1265" s="2">
        <v>0</v>
      </c>
      <c r="E1265" s="2">
        <v>80000</v>
      </c>
      <c r="F1265" s="2">
        <v>109238.54</v>
      </c>
      <c r="G1265" s="55" t="s">
        <v>724</v>
      </c>
      <c r="H1265" t="s">
        <v>719</v>
      </c>
      <c r="I1265" s="7"/>
    </row>
    <row r="1266" spans="1:9" hidden="1" x14ac:dyDescent="0.25">
      <c r="A1266" s="1">
        <v>45295</v>
      </c>
      <c r="B1266" t="s">
        <v>472</v>
      </c>
      <c r="D1266" s="2">
        <v>210.46</v>
      </c>
      <c r="E1266" s="2">
        <v>0</v>
      </c>
      <c r="F1266" s="2">
        <v>109028.08</v>
      </c>
      <c r="G1266" t="s">
        <v>731</v>
      </c>
      <c r="H1266" t="s">
        <v>719</v>
      </c>
      <c r="I1266" s="7"/>
    </row>
    <row r="1267" spans="1:9" hidden="1" x14ac:dyDescent="0.25">
      <c r="A1267" s="1">
        <v>45295</v>
      </c>
      <c r="B1267" t="s">
        <v>472</v>
      </c>
      <c r="D1267" s="2">
        <v>8414.32</v>
      </c>
      <c r="E1267" s="2">
        <v>0</v>
      </c>
      <c r="F1267" s="2">
        <v>100613.75999999999</v>
      </c>
      <c r="G1267" t="s">
        <v>731</v>
      </c>
      <c r="H1267" t="s">
        <v>719</v>
      </c>
      <c r="I1267" s="7"/>
    </row>
    <row r="1268" spans="1:9" hidden="1" x14ac:dyDescent="0.25">
      <c r="A1268" s="1">
        <v>45295</v>
      </c>
      <c r="B1268" t="s">
        <v>472</v>
      </c>
      <c r="D1268" s="2">
        <v>765.97</v>
      </c>
      <c r="E1268" s="2">
        <v>0</v>
      </c>
      <c r="F1268" s="2">
        <v>99847.79</v>
      </c>
      <c r="G1268" t="s">
        <v>731</v>
      </c>
      <c r="H1268" t="s">
        <v>719</v>
      </c>
      <c r="I1268" s="7"/>
    </row>
    <row r="1269" spans="1:9" hidden="1" x14ac:dyDescent="0.25">
      <c r="A1269" s="1">
        <v>45295</v>
      </c>
      <c r="B1269" t="s">
        <v>992</v>
      </c>
      <c r="C1269" t="s">
        <v>993</v>
      </c>
      <c r="D1269" s="2">
        <v>80000</v>
      </c>
      <c r="E1269" s="2">
        <v>0</v>
      </c>
      <c r="F1269" s="2">
        <v>109793.52</v>
      </c>
      <c r="G1269" s="55" t="s">
        <v>724</v>
      </c>
      <c r="H1269" t="s">
        <v>716</v>
      </c>
      <c r="I1269" s="7"/>
    </row>
    <row r="1270" spans="1:9" hidden="1" x14ac:dyDescent="0.25">
      <c r="A1270" s="1">
        <v>45296</v>
      </c>
      <c r="B1270" t="s">
        <v>51</v>
      </c>
      <c r="D1270" s="2">
        <v>40000</v>
      </c>
      <c r="E1270" s="2">
        <v>0</v>
      </c>
      <c r="F1270" s="2">
        <v>91151.41</v>
      </c>
      <c r="G1270" t="s">
        <v>728</v>
      </c>
      <c r="H1270" t="s">
        <v>715</v>
      </c>
      <c r="I1270" s="7"/>
    </row>
    <row r="1271" spans="1:9" hidden="1" x14ac:dyDescent="0.25">
      <c r="A1271" s="1">
        <v>45296</v>
      </c>
      <c r="B1271" t="s">
        <v>1037</v>
      </c>
      <c r="D1271" s="2">
        <v>0</v>
      </c>
      <c r="E1271" s="2">
        <v>1000</v>
      </c>
      <c r="F1271" s="2">
        <v>10814</v>
      </c>
      <c r="G1271" t="s">
        <v>789</v>
      </c>
      <c r="H1271" t="s">
        <v>787</v>
      </c>
      <c r="I1271" s="7"/>
    </row>
    <row r="1272" spans="1:9" hidden="1" x14ac:dyDescent="0.25">
      <c r="A1272" s="1">
        <v>45296</v>
      </c>
      <c r="B1272" t="s">
        <v>1038</v>
      </c>
      <c r="D1272" s="2">
        <v>0</v>
      </c>
      <c r="E1272" s="2">
        <v>29</v>
      </c>
      <c r="F1272" s="2">
        <v>10843</v>
      </c>
      <c r="G1272" s="55" t="s">
        <v>788</v>
      </c>
      <c r="H1272" t="s">
        <v>787</v>
      </c>
      <c r="I1272" s="7"/>
    </row>
    <row r="1273" spans="1:9" hidden="1" x14ac:dyDescent="0.25">
      <c r="A1273" s="1">
        <v>45296</v>
      </c>
      <c r="B1273" t="s">
        <v>472</v>
      </c>
      <c r="D1273" s="2">
        <v>46725.3</v>
      </c>
      <c r="E1273" s="2">
        <v>0</v>
      </c>
      <c r="F1273" s="2">
        <v>53122.49</v>
      </c>
      <c r="G1273" t="s">
        <v>731</v>
      </c>
      <c r="H1273" t="s">
        <v>719</v>
      </c>
      <c r="I1273" s="7"/>
    </row>
    <row r="1274" spans="1:9" hidden="1" x14ac:dyDescent="0.25">
      <c r="A1274" s="1">
        <v>45296</v>
      </c>
      <c r="B1274" t="s">
        <v>923</v>
      </c>
      <c r="D1274" s="2">
        <v>0</v>
      </c>
      <c r="E1274" s="2">
        <v>100000</v>
      </c>
      <c r="F1274" s="2">
        <v>153122.49</v>
      </c>
      <c r="G1274" s="55" t="s">
        <v>724</v>
      </c>
      <c r="H1274" t="s">
        <v>719</v>
      </c>
      <c r="I1274" s="7"/>
    </row>
    <row r="1275" spans="1:9" hidden="1" x14ac:dyDescent="0.25">
      <c r="A1275" s="1">
        <v>45296</v>
      </c>
      <c r="B1275" t="s">
        <v>546</v>
      </c>
      <c r="D1275" s="2">
        <v>0</v>
      </c>
      <c r="E1275" s="2">
        <v>125</v>
      </c>
      <c r="F1275" s="2">
        <v>153247.49</v>
      </c>
      <c r="G1275" s="55" t="s">
        <v>1052</v>
      </c>
      <c r="H1275" t="s">
        <v>719</v>
      </c>
      <c r="I1275" s="7"/>
    </row>
    <row r="1276" spans="1:9" hidden="1" x14ac:dyDescent="0.25">
      <c r="A1276" s="1">
        <v>45296</v>
      </c>
      <c r="B1276" t="s">
        <v>600</v>
      </c>
      <c r="D1276" s="2">
        <v>120000</v>
      </c>
      <c r="E1276" s="2">
        <v>0</v>
      </c>
      <c r="F1276" s="2">
        <v>33247.49</v>
      </c>
      <c r="G1276" t="s">
        <v>728</v>
      </c>
      <c r="H1276" t="s">
        <v>719</v>
      </c>
      <c r="I1276" s="7"/>
    </row>
    <row r="1277" spans="1:9" hidden="1" x14ac:dyDescent="0.25">
      <c r="A1277" s="1">
        <v>45296</v>
      </c>
      <c r="B1277" t="s">
        <v>472</v>
      </c>
      <c r="D1277" s="2">
        <v>7723.33</v>
      </c>
      <c r="E1277" s="2">
        <v>0</v>
      </c>
      <c r="F1277" s="2">
        <v>25524.16</v>
      </c>
      <c r="G1277" t="s">
        <v>731</v>
      </c>
      <c r="H1277" t="s">
        <v>719</v>
      </c>
      <c r="I1277" s="7"/>
    </row>
    <row r="1278" spans="1:9" hidden="1" x14ac:dyDescent="0.25">
      <c r="A1278" s="1">
        <v>45296</v>
      </c>
      <c r="B1278" t="s">
        <v>994</v>
      </c>
      <c r="C1278" t="s">
        <v>995</v>
      </c>
      <c r="D1278" s="2">
        <v>100000</v>
      </c>
      <c r="E1278" s="2">
        <v>0</v>
      </c>
      <c r="F1278" s="2">
        <v>9793.52</v>
      </c>
      <c r="G1278" s="55" t="s">
        <v>724</v>
      </c>
      <c r="H1278" t="s">
        <v>716</v>
      </c>
      <c r="I1278" s="7"/>
    </row>
    <row r="1279" spans="1:9" hidden="1" x14ac:dyDescent="0.25">
      <c r="A1279" s="1">
        <v>45296</v>
      </c>
      <c r="B1279" t="s">
        <v>996</v>
      </c>
      <c r="C1279" t="s">
        <v>997</v>
      </c>
      <c r="D1279" s="2">
        <v>1000</v>
      </c>
      <c r="E1279" s="2">
        <v>0</v>
      </c>
      <c r="F1279" s="2">
        <v>8793.52</v>
      </c>
      <c r="G1279" s="55" t="s">
        <v>1052</v>
      </c>
      <c r="H1279" t="s">
        <v>716</v>
      </c>
      <c r="I1279" s="7"/>
    </row>
    <row r="1280" spans="1:9" hidden="1" x14ac:dyDescent="0.25">
      <c r="A1280" s="1">
        <v>45298</v>
      </c>
      <c r="B1280" t="s">
        <v>848</v>
      </c>
      <c r="D1280" s="2">
        <v>3400</v>
      </c>
      <c r="E1280" s="2">
        <v>0</v>
      </c>
      <c r="F1280" s="2">
        <v>87751.41</v>
      </c>
      <c r="G1280" s="55" t="s">
        <v>792</v>
      </c>
      <c r="H1280" t="s">
        <v>715</v>
      </c>
      <c r="I1280" s="7"/>
    </row>
    <row r="1281" spans="1:9" hidden="1" x14ac:dyDescent="0.25">
      <c r="A1281" s="1">
        <v>45298</v>
      </c>
      <c r="B1281" t="s">
        <v>287</v>
      </c>
      <c r="C1281" t="s">
        <v>998</v>
      </c>
      <c r="D1281" s="2">
        <v>24.78</v>
      </c>
      <c r="E1281" s="2">
        <v>0</v>
      </c>
      <c r="F1281" s="2">
        <v>8768.74</v>
      </c>
      <c r="G1281" s="55" t="s">
        <v>1052</v>
      </c>
      <c r="H1281" t="s">
        <v>716</v>
      </c>
      <c r="I1281" s="7"/>
    </row>
    <row r="1282" spans="1:9" hidden="1" x14ac:dyDescent="0.25">
      <c r="A1282" s="1">
        <v>45299</v>
      </c>
      <c r="B1282" t="s">
        <v>25</v>
      </c>
      <c r="D1282" s="2">
        <v>37610.07</v>
      </c>
      <c r="E1282" s="2">
        <v>0</v>
      </c>
      <c r="F1282" s="2">
        <v>50141.34</v>
      </c>
      <c r="G1282" s="55" t="s">
        <v>1052</v>
      </c>
      <c r="H1282" t="s">
        <v>715</v>
      </c>
      <c r="I1282" s="7"/>
    </row>
    <row r="1283" spans="1:9" hidden="1" x14ac:dyDescent="0.25">
      <c r="A1283" s="1">
        <v>45299</v>
      </c>
      <c r="B1283" t="s">
        <v>849</v>
      </c>
      <c r="D1283" s="2">
        <v>10000</v>
      </c>
      <c r="E1283" s="2">
        <v>0</v>
      </c>
      <c r="F1283" s="2">
        <v>40141.339999999997</v>
      </c>
      <c r="G1283" t="s">
        <v>734</v>
      </c>
      <c r="H1283" t="s">
        <v>715</v>
      </c>
      <c r="I1283" s="7"/>
    </row>
    <row r="1284" spans="1:9" hidden="1" x14ac:dyDescent="0.25">
      <c r="A1284" s="1">
        <v>45299</v>
      </c>
      <c r="B1284" t="s">
        <v>472</v>
      </c>
      <c r="D1284" s="2">
        <v>7414.75</v>
      </c>
      <c r="E1284" s="2">
        <v>0</v>
      </c>
      <c r="F1284" s="2">
        <v>18109.41</v>
      </c>
      <c r="G1284" t="s">
        <v>731</v>
      </c>
      <c r="H1284" t="s">
        <v>719</v>
      </c>
      <c r="I1284" s="7"/>
    </row>
    <row r="1285" spans="1:9" hidden="1" x14ac:dyDescent="0.25">
      <c r="A1285" s="1">
        <v>45300</v>
      </c>
      <c r="B1285" t="s">
        <v>850</v>
      </c>
      <c r="D1285" s="2">
        <v>2500</v>
      </c>
      <c r="E1285" s="2">
        <v>0</v>
      </c>
      <c r="F1285" s="2">
        <v>37641.339999999997</v>
      </c>
      <c r="G1285" s="55" t="s">
        <v>792</v>
      </c>
      <c r="H1285" t="s">
        <v>715</v>
      </c>
      <c r="I1285" s="7"/>
    </row>
    <row r="1286" spans="1:9" hidden="1" x14ac:dyDescent="0.25">
      <c r="A1286" s="1">
        <v>45300</v>
      </c>
      <c r="B1286" t="s">
        <v>924</v>
      </c>
      <c r="D1286" s="2">
        <v>0</v>
      </c>
      <c r="E1286" s="2">
        <v>50000</v>
      </c>
      <c r="F1286" s="2">
        <v>68109.41</v>
      </c>
      <c r="G1286" t="s">
        <v>763</v>
      </c>
      <c r="H1286" t="s">
        <v>719</v>
      </c>
      <c r="I1286" s="7"/>
    </row>
    <row r="1287" spans="1:9" hidden="1" x14ac:dyDescent="0.25">
      <c r="A1287" s="1">
        <v>45300</v>
      </c>
      <c r="B1287" t="s">
        <v>472</v>
      </c>
      <c r="D1287" s="2">
        <v>226.1</v>
      </c>
      <c r="E1287" s="2">
        <v>0</v>
      </c>
      <c r="F1287" s="2">
        <v>67883.31</v>
      </c>
      <c r="G1287" t="s">
        <v>731</v>
      </c>
      <c r="H1287" t="s">
        <v>719</v>
      </c>
      <c r="I1287" s="7"/>
    </row>
    <row r="1288" spans="1:9" hidden="1" x14ac:dyDescent="0.25">
      <c r="A1288" s="1">
        <v>45300</v>
      </c>
      <c r="B1288" t="s">
        <v>472</v>
      </c>
      <c r="D1288" s="2">
        <v>14235.87</v>
      </c>
      <c r="E1288" s="2">
        <v>0</v>
      </c>
      <c r="F1288" s="2">
        <v>53647.44</v>
      </c>
      <c r="G1288" t="s">
        <v>731</v>
      </c>
      <c r="H1288" t="s">
        <v>719</v>
      </c>
      <c r="I1288" s="7"/>
    </row>
    <row r="1289" spans="1:9" hidden="1" x14ac:dyDescent="0.25">
      <c r="A1289" s="1">
        <v>45300</v>
      </c>
      <c r="B1289" t="s">
        <v>234</v>
      </c>
      <c r="C1289" t="s">
        <v>999</v>
      </c>
      <c r="D1289" s="2">
        <v>0</v>
      </c>
      <c r="E1289" s="2">
        <v>15000</v>
      </c>
      <c r="F1289" s="2">
        <v>23768.74</v>
      </c>
      <c r="G1289" s="55" t="s">
        <v>724</v>
      </c>
      <c r="H1289" t="s">
        <v>716</v>
      </c>
      <c r="I1289" s="7"/>
    </row>
    <row r="1290" spans="1:9" hidden="1" x14ac:dyDescent="0.25">
      <c r="A1290" s="1">
        <v>45300</v>
      </c>
      <c r="B1290" t="s">
        <v>377</v>
      </c>
      <c r="C1290" t="s">
        <v>979</v>
      </c>
      <c r="D1290" s="2">
        <v>15000</v>
      </c>
      <c r="E1290" s="2">
        <v>0</v>
      </c>
      <c r="F1290" s="2">
        <v>-16607.37</v>
      </c>
      <c r="G1290" s="55" t="s">
        <v>724</v>
      </c>
      <c r="H1290" t="s">
        <v>718</v>
      </c>
      <c r="I1290" s="7"/>
    </row>
    <row r="1291" spans="1:9" hidden="1" x14ac:dyDescent="0.25">
      <c r="A1291" s="1">
        <v>45301</v>
      </c>
      <c r="B1291" t="s">
        <v>681</v>
      </c>
      <c r="D1291" s="2">
        <v>10000</v>
      </c>
      <c r="E1291" s="2">
        <v>0</v>
      </c>
      <c r="F1291" s="2">
        <v>43647.44</v>
      </c>
      <c r="G1291" s="55" t="s">
        <v>1048</v>
      </c>
      <c r="H1291" t="s">
        <v>719</v>
      </c>
      <c r="I1291" s="7"/>
    </row>
    <row r="1292" spans="1:9" hidden="1" x14ac:dyDescent="0.25">
      <c r="A1292" s="1">
        <v>45301</v>
      </c>
      <c r="B1292" t="s">
        <v>472</v>
      </c>
      <c r="D1292" s="2">
        <v>221.03</v>
      </c>
      <c r="E1292" s="2">
        <v>0</v>
      </c>
      <c r="F1292" s="2">
        <v>43426.41</v>
      </c>
      <c r="G1292" t="s">
        <v>731</v>
      </c>
      <c r="H1292" t="s">
        <v>719</v>
      </c>
      <c r="I1292" s="7"/>
    </row>
    <row r="1293" spans="1:9" hidden="1" x14ac:dyDescent="0.25">
      <c r="A1293" s="1">
        <v>45301</v>
      </c>
      <c r="B1293" t="s">
        <v>472</v>
      </c>
      <c r="D1293" s="2">
        <v>1179.22</v>
      </c>
      <c r="E1293" s="2">
        <v>0</v>
      </c>
      <c r="F1293" s="2">
        <v>42247.19</v>
      </c>
      <c r="G1293" t="s">
        <v>731</v>
      </c>
      <c r="H1293" t="s">
        <v>719</v>
      </c>
      <c r="I1293" s="7"/>
    </row>
    <row r="1294" spans="1:9" hidden="1" x14ac:dyDescent="0.25">
      <c r="A1294" s="1">
        <v>45302</v>
      </c>
      <c r="B1294" t="s">
        <v>472</v>
      </c>
      <c r="D1294" s="2">
        <v>229.48</v>
      </c>
      <c r="E1294" s="2">
        <v>0</v>
      </c>
      <c r="F1294" s="2">
        <v>42017.71</v>
      </c>
      <c r="G1294" t="s">
        <v>731</v>
      </c>
      <c r="H1294" t="s">
        <v>719</v>
      </c>
      <c r="I1294" s="7"/>
    </row>
    <row r="1295" spans="1:9" hidden="1" x14ac:dyDescent="0.25">
      <c r="A1295" s="1">
        <v>45302</v>
      </c>
      <c r="B1295" t="s">
        <v>925</v>
      </c>
      <c r="D1295" s="2">
        <v>2301</v>
      </c>
      <c r="E1295" s="2">
        <v>0</v>
      </c>
      <c r="F1295" s="2">
        <v>39716.71</v>
      </c>
      <c r="G1295" s="55" t="s">
        <v>1052</v>
      </c>
      <c r="H1295" t="s">
        <v>719</v>
      </c>
      <c r="I1295" s="7"/>
    </row>
    <row r="1296" spans="1:9" hidden="1" x14ac:dyDescent="0.25">
      <c r="A1296" s="1">
        <v>45302</v>
      </c>
      <c r="B1296" t="s">
        <v>472</v>
      </c>
      <c r="D1296" s="2">
        <v>16570.12</v>
      </c>
      <c r="E1296" s="2">
        <v>0</v>
      </c>
      <c r="F1296" s="2">
        <v>23146.59</v>
      </c>
      <c r="G1296" t="s">
        <v>731</v>
      </c>
      <c r="H1296" t="s">
        <v>719</v>
      </c>
      <c r="I1296" s="7"/>
    </row>
    <row r="1297" spans="1:9" hidden="1" x14ac:dyDescent="0.25">
      <c r="A1297" s="1">
        <v>45302</v>
      </c>
      <c r="B1297" t="s">
        <v>472</v>
      </c>
      <c r="D1297" s="2">
        <v>7856.51</v>
      </c>
      <c r="E1297" s="2">
        <v>0</v>
      </c>
      <c r="F1297" s="2">
        <v>15290.08</v>
      </c>
      <c r="G1297" t="s">
        <v>731</v>
      </c>
      <c r="H1297" t="s">
        <v>719</v>
      </c>
      <c r="I1297" s="7"/>
    </row>
    <row r="1298" spans="1:9" hidden="1" x14ac:dyDescent="0.25">
      <c r="A1298" s="1">
        <v>45303</v>
      </c>
      <c r="B1298" t="s">
        <v>472</v>
      </c>
      <c r="D1298" s="2">
        <v>226.69</v>
      </c>
      <c r="E1298" s="2">
        <v>0</v>
      </c>
      <c r="F1298" s="2">
        <v>15063.39</v>
      </c>
      <c r="G1298" t="s">
        <v>731</v>
      </c>
      <c r="H1298" t="s">
        <v>719</v>
      </c>
      <c r="I1298" s="7"/>
    </row>
    <row r="1299" spans="1:9" hidden="1" x14ac:dyDescent="0.25">
      <c r="A1299" s="1">
        <v>45303</v>
      </c>
      <c r="B1299" t="s">
        <v>618</v>
      </c>
      <c r="D1299" s="2">
        <v>0</v>
      </c>
      <c r="E1299" s="2">
        <v>8051.74</v>
      </c>
      <c r="F1299" s="2">
        <v>23115.13</v>
      </c>
      <c r="G1299" t="s">
        <v>731</v>
      </c>
      <c r="H1299" t="s">
        <v>719</v>
      </c>
      <c r="I1299" s="7"/>
    </row>
    <row r="1300" spans="1:9" hidden="1" x14ac:dyDescent="0.25">
      <c r="A1300" s="1">
        <v>45304</v>
      </c>
      <c r="B1300" t="s">
        <v>851</v>
      </c>
      <c r="D1300" s="2">
        <v>300</v>
      </c>
      <c r="E1300" s="2">
        <v>0</v>
      </c>
      <c r="F1300" s="2">
        <v>37341.339999999997</v>
      </c>
      <c r="G1300" s="55" t="s">
        <v>792</v>
      </c>
      <c r="H1300" t="s">
        <v>715</v>
      </c>
      <c r="I1300" s="7"/>
    </row>
    <row r="1301" spans="1:9" hidden="1" x14ac:dyDescent="0.25">
      <c r="A1301" s="1">
        <v>45304</v>
      </c>
      <c r="B1301" t="s">
        <v>926</v>
      </c>
      <c r="D1301" s="2">
        <v>0</v>
      </c>
      <c r="E1301" s="2">
        <v>100000</v>
      </c>
      <c r="F1301" s="2">
        <v>123115.13</v>
      </c>
      <c r="G1301" s="55" t="s">
        <v>724</v>
      </c>
      <c r="H1301" t="s">
        <v>719</v>
      </c>
      <c r="I1301" s="7"/>
    </row>
    <row r="1302" spans="1:9" hidden="1" x14ac:dyDescent="0.25">
      <c r="A1302" s="1">
        <v>45304</v>
      </c>
      <c r="B1302" t="s">
        <v>927</v>
      </c>
      <c r="D1302" s="2">
        <v>0</v>
      </c>
      <c r="E1302" s="2">
        <v>17250</v>
      </c>
      <c r="F1302" s="2">
        <v>140365.13</v>
      </c>
      <c r="G1302" s="55" t="s">
        <v>733</v>
      </c>
      <c r="H1302" t="s">
        <v>719</v>
      </c>
      <c r="I1302" s="7"/>
    </row>
    <row r="1303" spans="1:9" hidden="1" x14ac:dyDescent="0.25">
      <c r="A1303" s="1">
        <v>45304</v>
      </c>
      <c r="B1303" t="s">
        <v>980</v>
      </c>
      <c r="C1303" t="s">
        <v>981</v>
      </c>
      <c r="D1303" s="2">
        <v>100000</v>
      </c>
      <c r="E1303" s="2">
        <v>0</v>
      </c>
      <c r="F1303" s="2">
        <v>-116607.37</v>
      </c>
      <c r="G1303" s="55" t="s">
        <v>724</v>
      </c>
      <c r="H1303" t="s">
        <v>718</v>
      </c>
      <c r="I1303" s="7"/>
    </row>
    <row r="1304" spans="1:9" hidden="1" x14ac:dyDescent="0.25">
      <c r="A1304" s="1">
        <v>45305</v>
      </c>
      <c r="B1304" t="s">
        <v>852</v>
      </c>
      <c r="D1304" s="2">
        <v>0</v>
      </c>
      <c r="E1304" s="2">
        <v>10793</v>
      </c>
      <c r="F1304" s="2">
        <v>48134.34</v>
      </c>
      <c r="G1304" s="55" t="s">
        <v>1052</v>
      </c>
      <c r="H1304" t="s">
        <v>715</v>
      </c>
      <c r="I1304" s="7"/>
    </row>
    <row r="1305" spans="1:9" hidden="1" x14ac:dyDescent="0.25">
      <c r="A1305" s="1">
        <v>45306</v>
      </c>
      <c r="B1305" t="s">
        <v>618</v>
      </c>
      <c r="D1305" s="2">
        <v>0</v>
      </c>
      <c r="E1305" s="2">
        <v>2412.35</v>
      </c>
      <c r="F1305" s="2">
        <v>142777.48000000001</v>
      </c>
      <c r="G1305" t="s">
        <v>731</v>
      </c>
      <c r="H1305" t="s">
        <v>719</v>
      </c>
      <c r="I1305" s="7"/>
    </row>
    <row r="1306" spans="1:9" hidden="1" x14ac:dyDescent="0.25">
      <c r="A1306" s="1">
        <v>45306</v>
      </c>
      <c r="B1306" t="s">
        <v>618</v>
      </c>
      <c r="D1306" s="2">
        <v>0</v>
      </c>
      <c r="E1306" s="2">
        <v>23176.5</v>
      </c>
      <c r="F1306" s="2">
        <v>165953.98000000001</v>
      </c>
      <c r="G1306" t="s">
        <v>731</v>
      </c>
      <c r="H1306" t="s">
        <v>719</v>
      </c>
      <c r="I1306" s="7"/>
    </row>
    <row r="1307" spans="1:9" hidden="1" x14ac:dyDescent="0.25">
      <c r="A1307" s="1">
        <v>45306</v>
      </c>
      <c r="B1307" t="s">
        <v>681</v>
      </c>
      <c r="D1307" s="2">
        <v>10000</v>
      </c>
      <c r="E1307" s="2">
        <v>0</v>
      </c>
      <c r="F1307" s="2">
        <v>155953.98000000001</v>
      </c>
      <c r="G1307" s="55" t="s">
        <v>1048</v>
      </c>
      <c r="H1307" t="s">
        <v>719</v>
      </c>
      <c r="I1307" s="7"/>
    </row>
    <row r="1308" spans="1:9" hidden="1" x14ac:dyDescent="0.25">
      <c r="A1308" s="1">
        <v>45306</v>
      </c>
      <c r="B1308" t="s">
        <v>472</v>
      </c>
      <c r="D1308" s="2">
        <v>729.09</v>
      </c>
      <c r="E1308" s="2">
        <v>0</v>
      </c>
      <c r="F1308" s="2">
        <v>155224.89000000001</v>
      </c>
      <c r="G1308" t="s">
        <v>731</v>
      </c>
      <c r="H1308" t="s">
        <v>719</v>
      </c>
      <c r="I1308" s="7"/>
    </row>
    <row r="1309" spans="1:9" hidden="1" x14ac:dyDescent="0.25">
      <c r="A1309" s="1">
        <v>45307</v>
      </c>
      <c r="B1309" t="s">
        <v>618</v>
      </c>
      <c r="D1309" s="2">
        <v>0</v>
      </c>
      <c r="E1309" s="2">
        <v>854.97</v>
      </c>
      <c r="F1309" s="2">
        <v>156079.85999999999</v>
      </c>
      <c r="G1309" t="s">
        <v>731</v>
      </c>
      <c r="H1309" t="s">
        <v>719</v>
      </c>
      <c r="I1309" s="7"/>
    </row>
    <row r="1310" spans="1:9" hidden="1" x14ac:dyDescent="0.25">
      <c r="A1310" s="1">
        <v>45307</v>
      </c>
      <c r="B1310" t="s">
        <v>618</v>
      </c>
      <c r="D1310" s="2">
        <v>0</v>
      </c>
      <c r="E1310" s="2">
        <v>73493.570000000007</v>
      </c>
      <c r="F1310" s="2">
        <v>229573.43</v>
      </c>
      <c r="G1310" t="s">
        <v>731</v>
      </c>
      <c r="H1310" t="s">
        <v>719</v>
      </c>
      <c r="I1310" s="7"/>
    </row>
    <row r="1311" spans="1:9" hidden="1" x14ac:dyDescent="0.25">
      <c r="A1311" s="1">
        <v>45307</v>
      </c>
      <c r="B1311" t="s">
        <v>472</v>
      </c>
      <c r="D1311" s="2">
        <v>229.55</v>
      </c>
      <c r="E1311" s="2">
        <v>0</v>
      </c>
      <c r="F1311" s="2">
        <v>229343.88</v>
      </c>
      <c r="G1311" t="s">
        <v>731</v>
      </c>
      <c r="H1311" t="s">
        <v>719</v>
      </c>
      <c r="I1311" s="7"/>
    </row>
    <row r="1312" spans="1:9" hidden="1" x14ac:dyDescent="0.25">
      <c r="A1312" s="1">
        <v>45307</v>
      </c>
      <c r="B1312" t="s">
        <v>472</v>
      </c>
      <c r="D1312" s="2">
        <v>100042.47</v>
      </c>
      <c r="E1312" s="2">
        <v>0</v>
      </c>
      <c r="F1312" s="2">
        <v>129301.41</v>
      </c>
      <c r="G1312" t="s">
        <v>731</v>
      </c>
      <c r="H1312" t="s">
        <v>719</v>
      </c>
      <c r="I1312" s="7"/>
    </row>
    <row r="1313" spans="1:9" hidden="1" x14ac:dyDescent="0.25">
      <c r="A1313" s="1">
        <v>45307</v>
      </c>
      <c r="B1313" t="s">
        <v>472</v>
      </c>
      <c r="D1313" s="2">
        <v>85946.35</v>
      </c>
      <c r="E1313" s="2">
        <v>0</v>
      </c>
      <c r="F1313" s="2">
        <v>43355.06</v>
      </c>
      <c r="G1313" t="s">
        <v>731</v>
      </c>
      <c r="H1313" t="s">
        <v>719</v>
      </c>
    </row>
    <row r="1314" spans="1:9" hidden="1" x14ac:dyDescent="0.25">
      <c r="A1314" s="1">
        <v>45308</v>
      </c>
      <c r="B1314" t="s">
        <v>472</v>
      </c>
      <c r="D1314" s="2">
        <v>199.25</v>
      </c>
      <c r="E1314" s="2">
        <v>0</v>
      </c>
      <c r="F1314" s="2">
        <v>43155.81</v>
      </c>
      <c r="G1314" t="s">
        <v>731</v>
      </c>
      <c r="H1314" t="s">
        <v>719</v>
      </c>
      <c r="I1314" s="7"/>
    </row>
    <row r="1315" spans="1:9" hidden="1" x14ac:dyDescent="0.25">
      <c r="A1315" s="1">
        <v>45308</v>
      </c>
      <c r="B1315" t="s">
        <v>928</v>
      </c>
      <c r="D1315" s="2">
        <v>14160</v>
      </c>
      <c r="E1315" s="2">
        <v>0</v>
      </c>
      <c r="F1315" s="2">
        <v>28995.81</v>
      </c>
      <c r="G1315" s="55" t="s">
        <v>1052</v>
      </c>
      <c r="H1315" t="s">
        <v>719</v>
      </c>
      <c r="I1315" s="7"/>
    </row>
    <row r="1316" spans="1:9" hidden="1" x14ac:dyDescent="0.25">
      <c r="A1316" s="1">
        <v>45308</v>
      </c>
      <c r="B1316" t="s">
        <v>928</v>
      </c>
      <c r="D1316" s="2">
        <v>0</v>
      </c>
      <c r="E1316" s="2">
        <v>14160</v>
      </c>
      <c r="F1316" s="2">
        <v>43155.81</v>
      </c>
      <c r="G1316" s="55" t="s">
        <v>1052</v>
      </c>
      <c r="H1316" t="s">
        <v>719</v>
      </c>
      <c r="I1316" s="7"/>
    </row>
    <row r="1317" spans="1:9" hidden="1" x14ac:dyDescent="0.25">
      <c r="A1317" s="1">
        <v>45308</v>
      </c>
      <c r="B1317" t="s">
        <v>929</v>
      </c>
      <c r="D1317" s="2">
        <v>0</v>
      </c>
      <c r="E1317" s="2">
        <v>20000</v>
      </c>
      <c r="F1317" s="2">
        <v>63155.81</v>
      </c>
      <c r="G1317" t="s">
        <v>763</v>
      </c>
      <c r="H1317" t="s">
        <v>719</v>
      </c>
      <c r="I1317" s="7"/>
    </row>
    <row r="1318" spans="1:9" hidden="1" x14ac:dyDescent="0.25">
      <c r="A1318" s="1">
        <v>45309</v>
      </c>
      <c r="B1318" t="s">
        <v>472</v>
      </c>
      <c r="D1318" s="2">
        <v>20682.73</v>
      </c>
      <c r="E1318" s="2">
        <v>0</v>
      </c>
      <c r="F1318" s="2">
        <v>42473.08</v>
      </c>
      <c r="G1318" t="s">
        <v>731</v>
      </c>
      <c r="H1318" t="s">
        <v>719</v>
      </c>
      <c r="I1318" s="7"/>
    </row>
    <row r="1319" spans="1:9" hidden="1" x14ac:dyDescent="0.25">
      <c r="A1319" s="1">
        <v>45309</v>
      </c>
      <c r="B1319" t="s">
        <v>618</v>
      </c>
      <c r="D1319" s="2">
        <v>0</v>
      </c>
      <c r="E1319" s="2">
        <v>40909.83</v>
      </c>
      <c r="F1319" s="2">
        <v>83382.91</v>
      </c>
      <c r="G1319" t="s">
        <v>731</v>
      </c>
      <c r="H1319" t="s">
        <v>719</v>
      </c>
      <c r="I1319" s="7"/>
    </row>
    <row r="1320" spans="1:9" hidden="1" x14ac:dyDescent="0.25">
      <c r="A1320" s="1">
        <v>45309</v>
      </c>
      <c r="B1320" t="s">
        <v>930</v>
      </c>
      <c r="D1320" s="2">
        <v>0</v>
      </c>
      <c r="E1320" s="2">
        <v>100000</v>
      </c>
      <c r="F1320" s="2">
        <v>183382.91</v>
      </c>
      <c r="G1320" s="55" t="s">
        <v>724</v>
      </c>
      <c r="H1320" t="s">
        <v>719</v>
      </c>
      <c r="I1320" s="7"/>
    </row>
    <row r="1321" spans="1:9" hidden="1" x14ac:dyDescent="0.25">
      <c r="A1321" s="1">
        <v>45309</v>
      </c>
      <c r="B1321" t="s">
        <v>472</v>
      </c>
      <c r="D1321" s="2">
        <v>205.71</v>
      </c>
      <c r="E1321" s="2">
        <v>0</v>
      </c>
      <c r="F1321" s="2">
        <v>183177.2</v>
      </c>
      <c r="G1321" t="s">
        <v>731</v>
      </c>
      <c r="H1321" t="s">
        <v>719</v>
      </c>
      <c r="I1321" s="7"/>
    </row>
    <row r="1322" spans="1:9" hidden="1" x14ac:dyDescent="0.25">
      <c r="A1322" s="1">
        <v>45309</v>
      </c>
      <c r="B1322" t="s">
        <v>559</v>
      </c>
      <c r="D1322" s="2">
        <v>0</v>
      </c>
      <c r="E1322" s="2">
        <v>1196.5</v>
      </c>
      <c r="F1322" s="2">
        <v>184373.7</v>
      </c>
      <c r="G1322" s="55" t="s">
        <v>1052</v>
      </c>
      <c r="H1322" t="s">
        <v>719</v>
      </c>
      <c r="I1322" s="7"/>
    </row>
    <row r="1323" spans="1:9" hidden="1" x14ac:dyDescent="0.25">
      <c r="A1323" s="1">
        <v>45309</v>
      </c>
      <c r="B1323" t="s">
        <v>472</v>
      </c>
      <c r="D1323" s="2">
        <v>67995.53</v>
      </c>
      <c r="E1323" s="2">
        <v>0</v>
      </c>
      <c r="F1323" s="2">
        <v>116378.17</v>
      </c>
      <c r="G1323" t="s">
        <v>731</v>
      </c>
      <c r="H1323" t="s">
        <v>719</v>
      </c>
      <c r="I1323" s="7"/>
    </row>
    <row r="1324" spans="1:9" hidden="1" x14ac:dyDescent="0.25">
      <c r="A1324" s="1">
        <v>45309</v>
      </c>
      <c r="B1324" t="s">
        <v>194</v>
      </c>
      <c r="C1324" t="s">
        <v>1000</v>
      </c>
      <c r="D1324" s="2">
        <v>4178</v>
      </c>
      <c r="E1324" s="2">
        <v>0</v>
      </c>
      <c r="F1324" s="2">
        <v>19590.740000000002</v>
      </c>
      <c r="G1324" s="55" t="s">
        <v>1052</v>
      </c>
      <c r="H1324" t="s">
        <v>716</v>
      </c>
      <c r="I1324" s="7"/>
    </row>
    <row r="1325" spans="1:9" hidden="1" x14ac:dyDescent="0.25">
      <c r="A1325" s="1">
        <v>45309</v>
      </c>
      <c r="B1325" t="s">
        <v>982</v>
      </c>
      <c r="C1325" t="s">
        <v>983</v>
      </c>
      <c r="D1325" s="2">
        <v>100000</v>
      </c>
      <c r="E1325" s="2">
        <v>0</v>
      </c>
      <c r="F1325" s="2">
        <v>-216607.37</v>
      </c>
      <c r="G1325" s="55" t="s">
        <v>724</v>
      </c>
      <c r="H1325" t="s">
        <v>718</v>
      </c>
      <c r="I1325" s="7"/>
    </row>
    <row r="1326" spans="1:9" hidden="1" x14ac:dyDescent="0.25">
      <c r="A1326" s="1">
        <v>45310</v>
      </c>
      <c r="B1326" t="s">
        <v>853</v>
      </c>
      <c r="D1326" s="2">
        <v>0</v>
      </c>
      <c r="E1326" s="2">
        <v>10802</v>
      </c>
      <c r="F1326" s="2">
        <v>58936.34</v>
      </c>
      <c r="G1326" s="55" t="s">
        <v>1052</v>
      </c>
      <c r="H1326" t="s">
        <v>715</v>
      </c>
      <c r="I1326" s="7"/>
    </row>
    <row r="1327" spans="1:9" hidden="1" x14ac:dyDescent="0.25">
      <c r="A1327" s="1">
        <v>45310</v>
      </c>
      <c r="B1327" t="s">
        <v>854</v>
      </c>
      <c r="D1327" s="2">
        <v>0</v>
      </c>
      <c r="E1327" s="2">
        <v>10802</v>
      </c>
      <c r="F1327" s="2">
        <v>69738.34</v>
      </c>
      <c r="G1327" s="55" t="s">
        <v>1052</v>
      </c>
      <c r="H1327" t="s">
        <v>715</v>
      </c>
      <c r="I1327" s="7"/>
    </row>
    <row r="1328" spans="1:9" hidden="1" x14ac:dyDescent="0.25">
      <c r="A1328" s="1">
        <v>45310</v>
      </c>
      <c r="B1328" t="s">
        <v>855</v>
      </c>
      <c r="D1328" s="2">
        <v>0</v>
      </c>
      <c r="E1328" s="2">
        <v>28774.7</v>
      </c>
      <c r="F1328" s="2">
        <v>98513.04</v>
      </c>
      <c r="G1328" s="55" t="s">
        <v>1052</v>
      </c>
      <c r="H1328" t="s">
        <v>715</v>
      </c>
      <c r="I1328" s="7"/>
    </row>
    <row r="1329" spans="1:9" hidden="1" x14ac:dyDescent="0.25">
      <c r="A1329" s="1">
        <v>45310</v>
      </c>
      <c r="B1329" t="s">
        <v>856</v>
      </c>
      <c r="D1329" s="2">
        <v>0</v>
      </c>
      <c r="E1329" s="2">
        <v>70860.89</v>
      </c>
      <c r="F1329" s="2">
        <v>169373.93</v>
      </c>
      <c r="G1329" s="55" t="s">
        <v>1052</v>
      </c>
      <c r="H1329" t="s">
        <v>715</v>
      </c>
      <c r="I1329" s="7"/>
    </row>
    <row r="1330" spans="1:9" hidden="1" x14ac:dyDescent="0.25">
      <c r="A1330" s="1">
        <v>45310</v>
      </c>
      <c r="B1330" t="s">
        <v>857</v>
      </c>
      <c r="D1330" s="2">
        <v>100</v>
      </c>
      <c r="E1330" s="2">
        <v>0</v>
      </c>
      <c r="F1330" s="2">
        <v>169273.93</v>
      </c>
      <c r="G1330" s="55" t="s">
        <v>792</v>
      </c>
      <c r="H1330" t="s">
        <v>715</v>
      </c>
      <c r="I1330" s="7"/>
    </row>
    <row r="1331" spans="1:9" hidden="1" x14ac:dyDescent="0.25">
      <c r="A1331" s="1">
        <v>45310</v>
      </c>
      <c r="B1331" t="s">
        <v>858</v>
      </c>
      <c r="D1331" s="2">
        <v>0</v>
      </c>
      <c r="E1331" s="2">
        <v>16056.49</v>
      </c>
      <c r="F1331" s="2">
        <v>185330.42</v>
      </c>
      <c r="G1331" s="55" t="s">
        <v>1052</v>
      </c>
      <c r="H1331" t="s">
        <v>715</v>
      </c>
      <c r="I1331" s="7"/>
    </row>
    <row r="1332" spans="1:9" hidden="1" x14ac:dyDescent="0.25">
      <c r="A1332" s="1">
        <v>45310</v>
      </c>
      <c r="B1332" t="s">
        <v>859</v>
      </c>
      <c r="D1332" s="2">
        <v>10000</v>
      </c>
      <c r="E1332" s="2">
        <v>0</v>
      </c>
      <c r="F1332" s="2">
        <v>175330.42</v>
      </c>
      <c r="G1332" t="s">
        <v>734</v>
      </c>
      <c r="H1332" t="s">
        <v>715</v>
      </c>
      <c r="I1332" s="7"/>
    </row>
    <row r="1333" spans="1:9" hidden="1" x14ac:dyDescent="0.25">
      <c r="A1333" s="1">
        <v>45310</v>
      </c>
      <c r="B1333" t="s">
        <v>618</v>
      </c>
      <c r="D1333" s="2">
        <v>0</v>
      </c>
      <c r="E1333" s="2">
        <v>35071.980000000003</v>
      </c>
      <c r="F1333" s="2">
        <v>151450.15</v>
      </c>
      <c r="G1333" t="s">
        <v>731</v>
      </c>
      <c r="H1333" t="s">
        <v>719</v>
      </c>
      <c r="I1333" s="7"/>
    </row>
    <row r="1334" spans="1:9" hidden="1" x14ac:dyDescent="0.25">
      <c r="A1334" s="1">
        <v>45310</v>
      </c>
      <c r="B1334" t="s">
        <v>931</v>
      </c>
      <c r="D1334" s="2">
        <v>0</v>
      </c>
      <c r="E1334" s="2">
        <v>175327.02</v>
      </c>
      <c r="F1334" s="2">
        <v>326777.17</v>
      </c>
      <c r="G1334" s="55" t="s">
        <v>1052</v>
      </c>
      <c r="H1334" t="s">
        <v>719</v>
      </c>
      <c r="I1334" s="7"/>
    </row>
    <row r="1335" spans="1:9" hidden="1" x14ac:dyDescent="0.25">
      <c r="A1335" s="1">
        <v>45310</v>
      </c>
      <c r="B1335" t="s">
        <v>472</v>
      </c>
      <c r="D1335" s="2">
        <v>199.67</v>
      </c>
      <c r="E1335" s="2">
        <v>0</v>
      </c>
      <c r="F1335" s="2">
        <v>326577.5</v>
      </c>
      <c r="G1335" t="s">
        <v>731</v>
      </c>
      <c r="H1335" t="s">
        <v>719</v>
      </c>
      <c r="I1335" s="7"/>
    </row>
    <row r="1336" spans="1:9" hidden="1" x14ac:dyDescent="0.25">
      <c r="A1336" s="1">
        <v>45310</v>
      </c>
      <c r="B1336" t="s">
        <v>932</v>
      </c>
      <c r="D1336" s="2">
        <v>175000</v>
      </c>
      <c r="E1336" s="2">
        <v>0</v>
      </c>
      <c r="F1336" s="2">
        <v>151577.5</v>
      </c>
      <c r="G1336" s="55" t="s">
        <v>1052</v>
      </c>
      <c r="H1336" t="s">
        <v>719</v>
      </c>
      <c r="I1336" s="7"/>
    </row>
    <row r="1337" spans="1:9" hidden="1" x14ac:dyDescent="0.25">
      <c r="A1337" s="1">
        <v>45310</v>
      </c>
      <c r="B1337" t="s">
        <v>472</v>
      </c>
      <c r="D1337" s="2">
        <v>20877.189999999999</v>
      </c>
      <c r="E1337" s="2">
        <v>0</v>
      </c>
      <c r="F1337" s="2">
        <v>130700.31</v>
      </c>
      <c r="G1337" t="s">
        <v>731</v>
      </c>
      <c r="H1337" t="s">
        <v>719</v>
      </c>
      <c r="I1337" s="7"/>
    </row>
    <row r="1338" spans="1:9" hidden="1" x14ac:dyDescent="0.25">
      <c r="A1338" s="1">
        <v>45310</v>
      </c>
      <c r="B1338" t="s">
        <v>183</v>
      </c>
      <c r="C1338" t="s">
        <v>1001</v>
      </c>
      <c r="D1338" s="2">
        <v>0</v>
      </c>
      <c r="E1338" s="2">
        <v>83110.210000000006</v>
      </c>
      <c r="F1338" s="2">
        <v>102700.95</v>
      </c>
      <c r="G1338" s="55" t="s">
        <v>1052</v>
      </c>
      <c r="H1338" t="s">
        <v>716</v>
      </c>
      <c r="I1338" s="7"/>
    </row>
    <row r="1339" spans="1:9" hidden="1" x14ac:dyDescent="0.25">
      <c r="A1339" s="1">
        <v>45311</v>
      </c>
      <c r="B1339" t="s">
        <v>472</v>
      </c>
      <c r="D1339" s="2">
        <v>5893.6</v>
      </c>
      <c r="E1339" s="2">
        <v>0</v>
      </c>
      <c r="F1339" s="2">
        <v>124806.71</v>
      </c>
      <c r="G1339" t="s">
        <v>731</v>
      </c>
      <c r="H1339" t="s">
        <v>719</v>
      </c>
      <c r="I1339" s="7"/>
    </row>
    <row r="1340" spans="1:9" hidden="1" x14ac:dyDescent="0.25">
      <c r="A1340" s="1">
        <v>45311</v>
      </c>
      <c r="B1340" t="s">
        <v>618</v>
      </c>
      <c r="D1340" s="2">
        <v>0</v>
      </c>
      <c r="E1340" s="2">
        <v>20877.189999999999</v>
      </c>
      <c r="F1340" s="2">
        <v>145683.9</v>
      </c>
      <c r="G1340" t="s">
        <v>731</v>
      </c>
      <c r="H1340" t="s">
        <v>719</v>
      </c>
      <c r="I1340" s="7"/>
    </row>
    <row r="1341" spans="1:9" hidden="1" x14ac:dyDescent="0.25">
      <c r="A1341" s="1">
        <v>45311</v>
      </c>
      <c r="B1341" t="s">
        <v>472</v>
      </c>
      <c r="D1341" s="2">
        <v>262.77</v>
      </c>
      <c r="E1341" s="2">
        <v>0</v>
      </c>
      <c r="F1341" s="2">
        <v>145421.13</v>
      </c>
      <c r="G1341" t="s">
        <v>731</v>
      </c>
      <c r="H1341" t="s">
        <v>719</v>
      </c>
      <c r="I1341" s="7"/>
    </row>
    <row r="1342" spans="1:9" hidden="1" x14ac:dyDescent="0.25">
      <c r="A1342" s="1">
        <v>45311</v>
      </c>
      <c r="B1342" t="s">
        <v>933</v>
      </c>
      <c r="D1342" s="2">
        <v>8.9600000000000009</v>
      </c>
      <c r="E1342" s="2">
        <v>0</v>
      </c>
      <c r="F1342" s="2">
        <v>145412.17000000001</v>
      </c>
      <c r="G1342" s="55" t="s">
        <v>729</v>
      </c>
      <c r="H1342" t="s">
        <v>719</v>
      </c>
      <c r="I1342" s="7"/>
    </row>
    <row r="1343" spans="1:9" hidden="1" x14ac:dyDescent="0.25">
      <c r="A1343" s="1">
        <v>45311</v>
      </c>
      <c r="B1343" t="s">
        <v>560</v>
      </c>
      <c r="D1343" s="2">
        <v>0</v>
      </c>
      <c r="E1343" s="2">
        <v>300.44</v>
      </c>
      <c r="F1343" s="2">
        <v>145712.60999999999</v>
      </c>
      <c r="G1343" s="55" t="s">
        <v>1052</v>
      </c>
      <c r="H1343" t="s">
        <v>719</v>
      </c>
      <c r="I1343" s="7"/>
    </row>
    <row r="1344" spans="1:9" hidden="1" x14ac:dyDescent="0.25">
      <c r="A1344" s="1">
        <v>45311</v>
      </c>
      <c r="B1344" t="s">
        <v>472</v>
      </c>
      <c r="D1344" s="2">
        <v>4795.17</v>
      </c>
      <c r="E1344" s="2">
        <v>0</v>
      </c>
      <c r="F1344" s="2">
        <v>140917.44</v>
      </c>
      <c r="G1344" t="s">
        <v>731</v>
      </c>
      <c r="H1344" t="s">
        <v>719</v>
      </c>
      <c r="I1344" s="7"/>
    </row>
    <row r="1345" spans="1:9" hidden="1" x14ac:dyDescent="0.25">
      <c r="A1345" s="1">
        <v>45311</v>
      </c>
      <c r="B1345" t="s">
        <v>181</v>
      </c>
      <c r="C1345" t="s">
        <v>1002</v>
      </c>
      <c r="D1345" s="2">
        <v>0</v>
      </c>
      <c r="E1345" s="2">
        <v>75000</v>
      </c>
      <c r="F1345" s="2">
        <v>177700.95</v>
      </c>
      <c r="G1345" s="55" t="s">
        <v>724</v>
      </c>
      <c r="H1345" t="s">
        <v>716</v>
      </c>
      <c r="I1345" s="7"/>
    </row>
    <row r="1346" spans="1:9" hidden="1" x14ac:dyDescent="0.25">
      <c r="A1346" s="1">
        <v>45311</v>
      </c>
      <c r="B1346" t="s">
        <v>197</v>
      </c>
      <c r="C1346" t="s">
        <v>1003</v>
      </c>
      <c r="D1346" s="2">
        <v>150000</v>
      </c>
      <c r="E1346" s="2">
        <v>0</v>
      </c>
      <c r="F1346" s="2">
        <v>27700.95</v>
      </c>
      <c r="G1346" s="55" t="s">
        <v>724</v>
      </c>
      <c r="H1346" t="s">
        <v>716</v>
      </c>
      <c r="I1346" s="7"/>
    </row>
    <row r="1347" spans="1:9" hidden="1" x14ac:dyDescent="0.25">
      <c r="A1347" s="1">
        <v>45311</v>
      </c>
      <c r="B1347" t="s">
        <v>197</v>
      </c>
      <c r="C1347" t="s">
        <v>984</v>
      </c>
      <c r="D1347" s="2">
        <v>75000</v>
      </c>
      <c r="E1347" s="2">
        <v>0</v>
      </c>
      <c r="F1347" s="2">
        <v>-291607.37</v>
      </c>
      <c r="G1347" s="55" t="s">
        <v>724</v>
      </c>
      <c r="H1347" t="s">
        <v>718</v>
      </c>
      <c r="I1347" s="7"/>
    </row>
    <row r="1348" spans="1:9" hidden="1" x14ac:dyDescent="0.25">
      <c r="A1348" s="1">
        <v>45311</v>
      </c>
      <c r="B1348" t="s">
        <v>181</v>
      </c>
      <c r="C1348" t="s">
        <v>985</v>
      </c>
      <c r="D1348" s="2">
        <v>0</v>
      </c>
      <c r="E1348" s="2">
        <v>150000</v>
      </c>
      <c r="F1348" s="2">
        <v>-141607.37</v>
      </c>
      <c r="G1348" s="55" t="s">
        <v>724</v>
      </c>
      <c r="H1348" t="s">
        <v>718</v>
      </c>
      <c r="I1348" s="7"/>
    </row>
    <row r="1349" spans="1:9" hidden="1" x14ac:dyDescent="0.25">
      <c r="A1349" s="1">
        <v>45313</v>
      </c>
      <c r="B1349" t="s">
        <v>860</v>
      </c>
      <c r="D1349" s="2">
        <v>121</v>
      </c>
      <c r="E1349" s="2">
        <v>0</v>
      </c>
      <c r="F1349" s="2">
        <v>175209.42</v>
      </c>
      <c r="G1349" s="55" t="s">
        <v>792</v>
      </c>
      <c r="H1349" t="s">
        <v>715</v>
      </c>
      <c r="I1349" s="7"/>
    </row>
    <row r="1350" spans="1:9" hidden="1" x14ac:dyDescent="0.25">
      <c r="A1350" s="1">
        <v>45313</v>
      </c>
      <c r="B1350" t="s">
        <v>681</v>
      </c>
      <c r="D1350" s="2">
        <v>10000</v>
      </c>
      <c r="E1350" s="2">
        <v>0</v>
      </c>
      <c r="F1350" s="2">
        <v>130917.44</v>
      </c>
      <c r="G1350" s="55" t="s">
        <v>1048</v>
      </c>
      <c r="H1350" t="s">
        <v>719</v>
      </c>
      <c r="I1350" s="7"/>
    </row>
    <row r="1351" spans="1:9" hidden="1" x14ac:dyDescent="0.25">
      <c r="A1351" s="1">
        <v>45314</v>
      </c>
      <c r="B1351" t="s">
        <v>618</v>
      </c>
      <c r="D1351" s="2">
        <v>0</v>
      </c>
      <c r="E1351" s="2">
        <v>9108.2000000000007</v>
      </c>
      <c r="F1351" s="2">
        <v>140025.64000000001</v>
      </c>
      <c r="G1351" t="s">
        <v>731</v>
      </c>
      <c r="H1351" t="s">
        <v>719</v>
      </c>
      <c r="I1351" s="7"/>
    </row>
    <row r="1352" spans="1:9" hidden="1" x14ac:dyDescent="0.25">
      <c r="A1352" s="1">
        <v>45314</v>
      </c>
      <c r="B1352" t="s">
        <v>618</v>
      </c>
      <c r="D1352" s="2">
        <v>0</v>
      </c>
      <c r="E1352" s="2">
        <v>4022.14</v>
      </c>
      <c r="F1352" s="2">
        <v>144047.78</v>
      </c>
      <c r="G1352" t="s">
        <v>731</v>
      </c>
      <c r="H1352" t="s">
        <v>719</v>
      </c>
      <c r="I1352" s="7"/>
    </row>
    <row r="1353" spans="1:9" hidden="1" x14ac:dyDescent="0.25">
      <c r="A1353" s="1">
        <v>45314</v>
      </c>
      <c r="B1353" t="s">
        <v>472</v>
      </c>
      <c r="D1353" s="2">
        <v>783.18</v>
      </c>
      <c r="E1353" s="2">
        <v>0</v>
      </c>
      <c r="F1353" s="2">
        <v>143264.6</v>
      </c>
      <c r="G1353" t="s">
        <v>731</v>
      </c>
      <c r="H1353" t="s">
        <v>719</v>
      </c>
      <c r="I1353" s="7"/>
    </row>
    <row r="1354" spans="1:9" hidden="1" x14ac:dyDescent="0.25">
      <c r="A1354" s="1">
        <v>45314</v>
      </c>
      <c r="B1354" t="s">
        <v>472</v>
      </c>
      <c r="D1354" s="2">
        <v>35830.93</v>
      </c>
      <c r="E1354" s="2">
        <v>0</v>
      </c>
      <c r="F1354" s="2">
        <v>107433.67</v>
      </c>
      <c r="G1354" t="s">
        <v>731</v>
      </c>
      <c r="H1354" t="s">
        <v>719</v>
      </c>
      <c r="I1354" s="7"/>
    </row>
    <row r="1355" spans="1:9" hidden="1" x14ac:dyDescent="0.25">
      <c r="A1355" s="1">
        <v>45315</v>
      </c>
      <c r="B1355" t="s">
        <v>861</v>
      </c>
      <c r="D1355" s="2">
        <v>5007.33</v>
      </c>
      <c r="E1355" s="2">
        <v>0</v>
      </c>
      <c r="F1355" s="2">
        <v>170202.09</v>
      </c>
      <c r="G1355" s="55" t="s">
        <v>729</v>
      </c>
      <c r="H1355" t="s">
        <v>715</v>
      </c>
      <c r="I1355" s="7"/>
    </row>
    <row r="1356" spans="1:9" hidden="1" x14ac:dyDescent="0.25">
      <c r="A1356" s="1">
        <v>45315</v>
      </c>
      <c r="B1356" t="s">
        <v>862</v>
      </c>
      <c r="D1356" s="2">
        <v>1950</v>
      </c>
      <c r="E1356" s="2">
        <v>0</v>
      </c>
      <c r="F1356" s="2">
        <v>168252.09</v>
      </c>
      <c r="G1356" s="55" t="s">
        <v>792</v>
      </c>
      <c r="H1356" t="s">
        <v>715</v>
      </c>
      <c r="I1356" s="7"/>
    </row>
    <row r="1357" spans="1:9" hidden="1" x14ac:dyDescent="0.25">
      <c r="A1357" s="1">
        <v>45315</v>
      </c>
      <c r="B1357" t="s">
        <v>863</v>
      </c>
      <c r="D1357" s="2">
        <v>10</v>
      </c>
      <c r="E1357" s="2">
        <v>0</v>
      </c>
      <c r="F1357" s="2">
        <v>168242.09</v>
      </c>
      <c r="G1357" s="55" t="s">
        <v>792</v>
      </c>
      <c r="H1357" t="s">
        <v>715</v>
      </c>
      <c r="I1357" s="7"/>
    </row>
    <row r="1358" spans="1:9" hidden="1" x14ac:dyDescent="0.25">
      <c r="A1358" s="1">
        <v>45315</v>
      </c>
      <c r="B1358" t="s">
        <v>864</v>
      </c>
      <c r="D1358" s="2">
        <v>50</v>
      </c>
      <c r="E1358" s="2">
        <v>0</v>
      </c>
      <c r="F1358" s="2">
        <v>168192.09</v>
      </c>
      <c r="G1358" s="55" t="s">
        <v>792</v>
      </c>
      <c r="H1358" t="s">
        <v>715</v>
      </c>
      <c r="I1358" s="7"/>
    </row>
    <row r="1359" spans="1:9" hidden="1" x14ac:dyDescent="0.25">
      <c r="A1359" s="1">
        <v>45315</v>
      </c>
      <c r="B1359" t="s">
        <v>472</v>
      </c>
      <c r="D1359" s="2">
        <v>55633.33</v>
      </c>
      <c r="E1359" s="2">
        <v>0</v>
      </c>
      <c r="F1359" s="2">
        <v>51800.34</v>
      </c>
      <c r="G1359" t="s">
        <v>731</v>
      </c>
      <c r="H1359" t="s">
        <v>719</v>
      </c>
      <c r="I1359" s="7"/>
    </row>
    <row r="1360" spans="1:9" hidden="1" x14ac:dyDescent="0.25">
      <c r="A1360" s="1">
        <v>45315</v>
      </c>
      <c r="B1360" t="s">
        <v>472</v>
      </c>
      <c r="D1360" s="2">
        <v>257.39</v>
      </c>
      <c r="E1360" s="2">
        <v>0</v>
      </c>
      <c r="F1360" s="2">
        <v>51542.95</v>
      </c>
      <c r="G1360" t="s">
        <v>731</v>
      </c>
      <c r="H1360" t="s">
        <v>719</v>
      </c>
      <c r="I1360" s="7"/>
    </row>
    <row r="1361" spans="1:9" hidden="1" x14ac:dyDescent="0.25">
      <c r="A1361" s="1">
        <v>45315</v>
      </c>
      <c r="B1361" t="s">
        <v>934</v>
      </c>
      <c r="D1361" s="2">
        <v>17250</v>
      </c>
      <c r="E1361" s="2">
        <v>0</v>
      </c>
      <c r="F1361" s="2">
        <v>34292.949999999997</v>
      </c>
      <c r="G1361" s="55" t="s">
        <v>733</v>
      </c>
      <c r="H1361" t="s">
        <v>719</v>
      </c>
      <c r="I1361" s="7"/>
    </row>
    <row r="1362" spans="1:9" hidden="1" x14ac:dyDescent="0.25">
      <c r="A1362" s="1">
        <v>45316</v>
      </c>
      <c r="B1362" t="s">
        <v>618</v>
      </c>
      <c r="D1362" s="2">
        <v>0</v>
      </c>
      <c r="E1362" s="2">
        <v>25993.37</v>
      </c>
      <c r="F1362" s="2">
        <v>60286.32</v>
      </c>
      <c r="G1362" t="s">
        <v>731</v>
      </c>
      <c r="H1362" t="s">
        <v>719</v>
      </c>
      <c r="I1362" s="7"/>
    </row>
    <row r="1363" spans="1:9" hidden="1" x14ac:dyDescent="0.25">
      <c r="A1363" s="1">
        <v>45316</v>
      </c>
      <c r="B1363" t="s">
        <v>472</v>
      </c>
      <c r="D1363" s="2">
        <v>298.16000000000003</v>
      </c>
      <c r="E1363" s="2">
        <v>0</v>
      </c>
      <c r="F1363" s="2">
        <v>59988.160000000003</v>
      </c>
      <c r="G1363" t="s">
        <v>731</v>
      </c>
      <c r="H1363" t="s">
        <v>719</v>
      </c>
      <c r="I1363" s="7"/>
    </row>
    <row r="1364" spans="1:9" hidden="1" x14ac:dyDescent="0.25">
      <c r="A1364" s="1">
        <v>45317</v>
      </c>
      <c r="B1364" t="s">
        <v>472</v>
      </c>
      <c r="D1364" s="2">
        <v>38760.99</v>
      </c>
      <c r="E1364" s="2">
        <v>0</v>
      </c>
      <c r="F1364" s="2">
        <v>21227.17</v>
      </c>
      <c r="G1364" t="s">
        <v>731</v>
      </c>
      <c r="H1364" t="s">
        <v>719</v>
      </c>
      <c r="I1364" s="7"/>
    </row>
    <row r="1365" spans="1:9" hidden="1" x14ac:dyDescent="0.25">
      <c r="A1365" s="1">
        <v>45320</v>
      </c>
      <c r="B1365" t="s">
        <v>472</v>
      </c>
      <c r="D1365" s="2">
        <v>1152.6400000000001</v>
      </c>
      <c r="E1365" s="2">
        <v>0</v>
      </c>
      <c r="F1365" s="2">
        <v>20074.53</v>
      </c>
      <c r="G1365" t="s">
        <v>731</v>
      </c>
      <c r="H1365" t="s">
        <v>719</v>
      </c>
      <c r="I1365" s="7"/>
    </row>
    <row r="1366" spans="1:9" hidden="1" x14ac:dyDescent="0.25">
      <c r="A1366" s="1">
        <v>45320</v>
      </c>
      <c r="B1366" t="s">
        <v>935</v>
      </c>
      <c r="D1366" s="2">
        <v>531</v>
      </c>
      <c r="E1366" s="2">
        <v>0</v>
      </c>
      <c r="F1366" s="2">
        <v>19543.53</v>
      </c>
      <c r="G1366" s="55" t="s">
        <v>729</v>
      </c>
      <c r="H1366" t="s">
        <v>719</v>
      </c>
      <c r="I1366" s="7"/>
    </row>
    <row r="1367" spans="1:9" hidden="1" x14ac:dyDescent="0.25">
      <c r="A1367" s="1">
        <v>45321</v>
      </c>
      <c r="B1367" t="s">
        <v>865</v>
      </c>
      <c r="D1367" s="2">
        <v>18200</v>
      </c>
      <c r="E1367" s="2">
        <v>0</v>
      </c>
      <c r="F1367" s="2">
        <v>149992.09</v>
      </c>
      <c r="G1367" s="55" t="s">
        <v>792</v>
      </c>
      <c r="H1367" t="s">
        <v>715</v>
      </c>
      <c r="I1367" s="7"/>
    </row>
    <row r="1368" spans="1:9" hidden="1" x14ac:dyDescent="0.25">
      <c r="A1368" s="1">
        <v>45321</v>
      </c>
      <c r="B1368" t="s">
        <v>472</v>
      </c>
      <c r="D1368" s="2">
        <v>1683.75</v>
      </c>
      <c r="E1368" s="2">
        <v>0</v>
      </c>
      <c r="F1368" s="2">
        <v>17859.78</v>
      </c>
      <c r="G1368" t="s">
        <v>731</v>
      </c>
      <c r="H1368" t="s">
        <v>719</v>
      </c>
      <c r="I1368" s="7"/>
    </row>
    <row r="1369" spans="1:9" hidden="1" x14ac:dyDescent="0.25">
      <c r="A1369" s="1">
        <v>45321</v>
      </c>
      <c r="B1369" t="s">
        <v>618</v>
      </c>
      <c r="D1369" s="2">
        <v>0</v>
      </c>
      <c r="E1369" s="2">
        <v>492.7</v>
      </c>
      <c r="F1369" s="2">
        <v>18352.48</v>
      </c>
      <c r="G1369" t="s">
        <v>731</v>
      </c>
      <c r="H1369" t="s">
        <v>719</v>
      </c>
      <c r="I1369" s="7"/>
    </row>
    <row r="1370" spans="1:9" hidden="1" x14ac:dyDescent="0.25">
      <c r="A1370" s="1">
        <v>45321</v>
      </c>
      <c r="B1370" t="s">
        <v>936</v>
      </c>
      <c r="D1370" s="2">
        <v>295</v>
      </c>
      <c r="E1370" s="2">
        <v>0</v>
      </c>
      <c r="F1370" s="2">
        <v>18057.48</v>
      </c>
      <c r="G1370" s="55" t="s">
        <v>729</v>
      </c>
      <c r="H1370" t="s">
        <v>719</v>
      </c>
      <c r="I1370" s="7"/>
    </row>
    <row r="1371" spans="1:9" hidden="1" x14ac:dyDescent="0.25">
      <c r="A1371" s="1">
        <v>45321</v>
      </c>
      <c r="B1371" t="s">
        <v>472</v>
      </c>
      <c r="D1371" s="2">
        <v>322.29000000000002</v>
      </c>
      <c r="E1371" s="2">
        <v>0</v>
      </c>
      <c r="F1371" s="2">
        <v>17735.189999999999</v>
      </c>
      <c r="G1371" t="s">
        <v>731</v>
      </c>
      <c r="H1371" t="s">
        <v>719</v>
      </c>
      <c r="I1371" s="7"/>
    </row>
    <row r="1372" spans="1:9" hidden="1" x14ac:dyDescent="0.25">
      <c r="A1372" s="1">
        <v>45322</v>
      </c>
      <c r="B1372" t="s">
        <v>618</v>
      </c>
      <c r="D1372" s="2">
        <v>0</v>
      </c>
      <c r="E1372" s="2">
        <v>13300.5</v>
      </c>
      <c r="F1372" s="2">
        <v>31035.69</v>
      </c>
      <c r="G1372" t="s">
        <v>731</v>
      </c>
      <c r="H1372" t="s">
        <v>719</v>
      </c>
      <c r="I1372" s="7"/>
    </row>
    <row r="1373" spans="1:9" hidden="1" x14ac:dyDescent="0.25">
      <c r="A1373" s="1">
        <v>45322</v>
      </c>
      <c r="B1373" t="s">
        <v>618</v>
      </c>
      <c r="D1373" s="2">
        <v>0</v>
      </c>
      <c r="E1373" s="2">
        <v>19479.05</v>
      </c>
      <c r="F1373" s="2">
        <v>50514.74</v>
      </c>
      <c r="G1373" t="s">
        <v>731</v>
      </c>
      <c r="H1373" t="s">
        <v>719</v>
      </c>
      <c r="I1373" s="7"/>
    </row>
    <row r="1374" spans="1:9" hidden="1" x14ac:dyDescent="0.25">
      <c r="A1374" s="1">
        <v>45322</v>
      </c>
      <c r="B1374" t="s">
        <v>472</v>
      </c>
      <c r="D1374" s="2">
        <v>323.95</v>
      </c>
      <c r="E1374" s="2">
        <v>0</v>
      </c>
      <c r="F1374" s="2">
        <v>50190.79</v>
      </c>
      <c r="G1374" t="s">
        <v>731</v>
      </c>
      <c r="H1374" t="s">
        <v>719</v>
      </c>
      <c r="I1374" s="7"/>
    </row>
    <row r="1375" spans="1:9" hidden="1" x14ac:dyDescent="0.25">
      <c r="A1375" s="1">
        <v>45322</v>
      </c>
      <c r="B1375" t="s">
        <v>380</v>
      </c>
      <c r="C1375">
        <v>0</v>
      </c>
      <c r="D1375" s="2">
        <v>812</v>
      </c>
      <c r="E1375" s="2">
        <v>0</v>
      </c>
      <c r="F1375" s="2">
        <v>-142419.37</v>
      </c>
      <c r="G1375" s="55" t="s">
        <v>729</v>
      </c>
      <c r="H1375" t="s">
        <v>718</v>
      </c>
      <c r="I1375" s="7"/>
    </row>
    <row r="1376" spans="1:9" hidden="1" x14ac:dyDescent="0.25">
      <c r="A1376" s="1">
        <v>45323</v>
      </c>
      <c r="B1376" t="s">
        <v>618</v>
      </c>
      <c r="D1376" s="2">
        <v>0</v>
      </c>
      <c r="E1376" s="2">
        <v>6060.73</v>
      </c>
      <c r="F1376" s="2">
        <v>56251.519999999997</v>
      </c>
      <c r="G1376" t="s">
        <v>731</v>
      </c>
      <c r="H1376" t="s">
        <v>719</v>
      </c>
      <c r="I1376" s="7"/>
    </row>
    <row r="1377" spans="1:10" hidden="1" x14ac:dyDescent="0.25">
      <c r="A1377" s="1">
        <v>45323</v>
      </c>
      <c r="B1377" t="s">
        <v>618</v>
      </c>
      <c r="D1377" s="2">
        <v>0</v>
      </c>
      <c r="E1377" s="2">
        <v>16228.39</v>
      </c>
      <c r="F1377" s="2">
        <v>72479.91</v>
      </c>
      <c r="G1377" t="s">
        <v>731</v>
      </c>
      <c r="H1377" t="s">
        <v>719</v>
      </c>
      <c r="I1377" s="7"/>
    </row>
    <row r="1378" spans="1:10" hidden="1" x14ac:dyDescent="0.25">
      <c r="A1378" s="1">
        <v>45323</v>
      </c>
      <c r="B1378" t="s">
        <v>472</v>
      </c>
      <c r="D1378" s="2">
        <v>312.93</v>
      </c>
      <c r="E1378" s="2">
        <v>0</v>
      </c>
      <c r="F1378" s="2">
        <v>72166.98</v>
      </c>
      <c r="G1378" t="s">
        <v>731</v>
      </c>
      <c r="H1378" t="s">
        <v>719</v>
      </c>
      <c r="I1378" s="7"/>
    </row>
    <row r="1379" spans="1:10" hidden="1" x14ac:dyDescent="0.25">
      <c r="A1379" s="1">
        <v>45323</v>
      </c>
      <c r="B1379" t="s">
        <v>472</v>
      </c>
      <c r="D1379" s="2">
        <v>43957.79</v>
      </c>
      <c r="E1379" s="2">
        <v>0</v>
      </c>
      <c r="F1379" s="2">
        <v>28209.19</v>
      </c>
      <c r="G1379" t="s">
        <v>731</v>
      </c>
      <c r="H1379" t="s">
        <v>719</v>
      </c>
      <c r="I1379" s="7"/>
    </row>
    <row r="1380" spans="1:10" hidden="1" x14ac:dyDescent="0.25">
      <c r="A1380" s="1">
        <v>45324</v>
      </c>
      <c r="B1380" t="s">
        <v>866</v>
      </c>
      <c r="D1380" s="2">
        <v>20</v>
      </c>
      <c r="E1380" s="2">
        <v>0</v>
      </c>
      <c r="F1380" s="2">
        <v>149972.09</v>
      </c>
      <c r="G1380" s="55" t="s">
        <v>792</v>
      </c>
      <c r="H1380" t="s">
        <v>715</v>
      </c>
      <c r="I1380" s="7"/>
    </row>
    <row r="1381" spans="1:10" hidden="1" x14ac:dyDescent="0.25">
      <c r="A1381" s="1">
        <v>45324</v>
      </c>
      <c r="B1381" t="s">
        <v>618</v>
      </c>
      <c r="D1381" s="2">
        <v>0</v>
      </c>
      <c r="E1381" s="2">
        <v>57916.83</v>
      </c>
      <c r="F1381" s="2">
        <v>86126.02</v>
      </c>
      <c r="G1381" t="s">
        <v>731</v>
      </c>
      <c r="H1381" t="s">
        <v>719</v>
      </c>
      <c r="I1381" s="7"/>
      <c r="J1381" s="54"/>
    </row>
    <row r="1382" spans="1:10" hidden="1" x14ac:dyDescent="0.25">
      <c r="A1382" s="1">
        <v>45324</v>
      </c>
      <c r="B1382" t="s">
        <v>472</v>
      </c>
      <c r="D1382" s="2">
        <v>303.39999999999998</v>
      </c>
      <c r="E1382" s="2">
        <v>0</v>
      </c>
      <c r="F1382" s="2">
        <v>85822.62</v>
      </c>
      <c r="G1382" t="s">
        <v>731</v>
      </c>
      <c r="H1382" t="s">
        <v>719</v>
      </c>
      <c r="I1382" s="7"/>
    </row>
    <row r="1383" spans="1:10" hidden="1" x14ac:dyDescent="0.25">
      <c r="A1383" s="1">
        <v>45324</v>
      </c>
      <c r="B1383" t="s">
        <v>472</v>
      </c>
      <c r="D1383" s="2">
        <v>78809</v>
      </c>
      <c r="E1383" s="2">
        <v>0</v>
      </c>
      <c r="F1383" s="2">
        <v>7013.62</v>
      </c>
      <c r="G1383" t="s">
        <v>731</v>
      </c>
      <c r="H1383" t="s">
        <v>719</v>
      </c>
      <c r="I1383" s="7"/>
    </row>
    <row r="1384" spans="1:10" hidden="1" x14ac:dyDescent="0.25">
      <c r="A1384" s="1">
        <v>45324</v>
      </c>
      <c r="B1384" t="s">
        <v>183</v>
      </c>
      <c r="C1384" t="s">
        <v>1004</v>
      </c>
      <c r="D1384" s="2">
        <v>0</v>
      </c>
      <c r="E1384" s="2">
        <v>49.56</v>
      </c>
      <c r="F1384" s="2">
        <v>27750.51</v>
      </c>
      <c r="G1384" s="55" t="s">
        <v>1052</v>
      </c>
      <c r="H1384" t="s">
        <v>716</v>
      </c>
      <c r="I1384" s="7"/>
    </row>
    <row r="1385" spans="1:10" hidden="1" x14ac:dyDescent="0.25">
      <c r="A1385" s="1">
        <v>45324</v>
      </c>
      <c r="B1385" t="s">
        <v>214</v>
      </c>
      <c r="C1385" t="s">
        <v>206</v>
      </c>
      <c r="D1385" s="2">
        <v>26595</v>
      </c>
      <c r="E1385" s="2">
        <v>0</v>
      </c>
      <c r="F1385" s="2">
        <v>1155.51</v>
      </c>
      <c r="G1385" s="55" t="s">
        <v>724</v>
      </c>
      <c r="H1385" t="s">
        <v>716</v>
      </c>
      <c r="I1385" s="7"/>
    </row>
    <row r="1386" spans="1:10" hidden="1" x14ac:dyDescent="0.25">
      <c r="A1386" s="1">
        <v>45324</v>
      </c>
      <c r="B1386" t="s">
        <v>287</v>
      </c>
      <c r="C1386" t="s">
        <v>1005</v>
      </c>
      <c r="D1386" s="2">
        <v>49.56</v>
      </c>
      <c r="E1386" s="2">
        <v>0</v>
      </c>
      <c r="F1386" s="2">
        <v>1105.95</v>
      </c>
      <c r="G1386" s="55" t="s">
        <v>1052</v>
      </c>
      <c r="H1386" t="s">
        <v>716</v>
      </c>
      <c r="I1386" s="7"/>
    </row>
    <row r="1387" spans="1:10" hidden="1" x14ac:dyDescent="0.25">
      <c r="A1387" s="1">
        <v>45324</v>
      </c>
      <c r="B1387" t="s">
        <v>371</v>
      </c>
      <c r="C1387" t="s">
        <v>372</v>
      </c>
      <c r="D1387" s="2">
        <v>0</v>
      </c>
      <c r="E1387" s="2">
        <v>26595</v>
      </c>
      <c r="F1387" s="2">
        <v>-115824.37</v>
      </c>
      <c r="G1387" s="55" t="s">
        <v>724</v>
      </c>
      <c r="H1387" t="s">
        <v>718</v>
      </c>
      <c r="I1387" s="7"/>
    </row>
    <row r="1388" spans="1:10" hidden="1" x14ac:dyDescent="0.25">
      <c r="A1388" s="1">
        <v>45325</v>
      </c>
      <c r="B1388" t="s">
        <v>867</v>
      </c>
      <c r="D1388" s="2">
        <v>596</v>
      </c>
      <c r="E1388" s="2">
        <v>0</v>
      </c>
      <c r="F1388" s="2">
        <v>149376.09</v>
      </c>
      <c r="G1388" s="55" t="s">
        <v>792</v>
      </c>
      <c r="H1388" t="s">
        <v>715</v>
      </c>
      <c r="I1388" s="7"/>
    </row>
    <row r="1389" spans="1:10" hidden="1" x14ac:dyDescent="0.25">
      <c r="A1389" s="1">
        <v>45326</v>
      </c>
      <c r="B1389" t="s">
        <v>868</v>
      </c>
      <c r="D1389" s="2">
        <v>302</v>
      </c>
      <c r="E1389" s="2">
        <v>0</v>
      </c>
      <c r="F1389" s="2">
        <v>149074.09</v>
      </c>
      <c r="G1389" s="55" t="s">
        <v>792</v>
      </c>
      <c r="H1389" t="s">
        <v>715</v>
      </c>
      <c r="I1389" s="7"/>
    </row>
    <row r="1390" spans="1:10" hidden="1" x14ac:dyDescent="0.25">
      <c r="A1390" s="1">
        <v>45326</v>
      </c>
      <c r="B1390" t="s">
        <v>1039</v>
      </c>
      <c r="D1390" s="2">
        <v>118</v>
      </c>
      <c r="E1390" s="2">
        <v>0</v>
      </c>
      <c r="F1390" s="2">
        <v>10725</v>
      </c>
      <c r="G1390" s="55" t="s">
        <v>729</v>
      </c>
      <c r="H1390" t="s">
        <v>787</v>
      </c>
      <c r="I1390" s="7"/>
    </row>
    <row r="1391" spans="1:10" hidden="1" x14ac:dyDescent="0.25">
      <c r="A1391" s="1">
        <v>45327</v>
      </c>
      <c r="B1391" t="s">
        <v>618</v>
      </c>
      <c r="D1391" s="2">
        <v>0</v>
      </c>
      <c r="E1391" s="2">
        <v>30322.44</v>
      </c>
      <c r="F1391" s="2">
        <v>37336.06</v>
      </c>
      <c r="G1391" t="s">
        <v>731</v>
      </c>
      <c r="H1391" t="s">
        <v>719</v>
      </c>
      <c r="I1391" s="7"/>
    </row>
    <row r="1392" spans="1:10" hidden="1" x14ac:dyDescent="0.25">
      <c r="A1392" s="1">
        <v>45328</v>
      </c>
      <c r="B1392" t="s">
        <v>618</v>
      </c>
      <c r="D1392" s="2">
        <v>0</v>
      </c>
      <c r="E1392" s="2">
        <v>3122.59</v>
      </c>
      <c r="F1392" s="2">
        <v>40458.65</v>
      </c>
      <c r="G1392" t="s">
        <v>731</v>
      </c>
      <c r="H1392" t="s">
        <v>719</v>
      </c>
      <c r="I1392" s="7"/>
    </row>
    <row r="1393" spans="1:10" hidden="1" x14ac:dyDescent="0.25">
      <c r="A1393" s="1">
        <v>45328</v>
      </c>
      <c r="B1393" t="s">
        <v>472</v>
      </c>
      <c r="D1393" s="2">
        <v>393.12</v>
      </c>
      <c r="E1393" s="2">
        <v>0</v>
      </c>
      <c r="F1393" s="2">
        <v>40065.53</v>
      </c>
      <c r="G1393" t="s">
        <v>731</v>
      </c>
      <c r="H1393" t="s">
        <v>719</v>
      </c>
      <c r="I1393" s="7"/>
    </row>
    <row r="1394" spans="1:10" hidden="1" x14ac:dyDescent="0.25">
      <c r="A1394" s="1">
        <v>45329</v>
      </c>
      <c r="B1394" t="s">
        <v>25</v>
      </c>
      <c r="D1394" s="2">
        <v>14997.15</v>
      </c>
      <c r="E1394" s="2">
        <v>0</v>
      </c>
      <c r="F1394" s="2">
        <v>134076.94</v>
      </c>
      <c r="G1394" s="55" t="s">
        <v>1052</v>
      </c>
      <c r="H1394" t="s">
        <v>715</v>
      </c>
      <c r="I1394" s="7"/>
    </row>
    <row r="1395" spans="1:10" hidden="1" x14ac:dyDescent="0.25">
      <c r="A1395" s="1">
        <v>45329</v>
      </c>
      <c r="B1395" t="s">
        <v>869</v>
      </c>
      <c r="D1395" s="2">
        <v>35000</v>
      </c>
      <c r="E1395" s="2">
        <v>0</v>
      </c>
      <c r="F1395" s="2">
        <v>99076.94</v>
      </c>
      <c r="G1395" s="55" t="s">
        <v>792</v>
      </c>
      <c r="H1395" t="s">
        <v>715</v>
      </c>
      <c r="I1395" s="7"/>
    </row>
    <row r="1396" spans="1:10" hidden="1" x14ac:dyDescent="0.25">
      <c r="A1396" s="1">
        <v>45329</v>
      </c>
      <c r="B1396" t="s">
        <v>870</v>
      </c>
      <c r="D1396" s="2">
        <v>6700</v>
      </c>
      <c r="E1396" s="2">
        <v>0</v>
      </c>
      <c r="F1396" s="2">
        <v>92376.94</v>
      </c>
      <c r="G1396" s="55" t="s">
        <v>792</v>
      </c>
      <c r="H1396" t="s">
        <v>715</v>
      </c>
      <c r="J1396" s="7">
        <f>F1105-D1396+E1396-F1396</f>
        <v>-23144.67</v>
      </c>
    </row>
    <row r="1397" spans="1:10" hidden="1" x14ac:dyDescent="0.25">
      <c r="A1397" s="1">
        <v>45329</v>
      </c>
      <c r="B1397" t="s">
        <v>618</v>
      </c>
      <c r="D1397" s="2">
        <v>0</v>
      </c>
      <c r="E1397" s="2">
        <v>498.99</v>
      </c>
      <c r="F1397" s="2">
        <v>40564.519999999997</v>
      </c>
      <c r="G1397" t="s">
        <v>731</v>
      </c>
      <c r="H1397" t="s">
        <v>719</v>
      </c>
      <c r="J1397" s="7">
        <f t="shared" ref="J1397:J1459" si="14">F1396-D1397+E1397-F1397</f>
        <v>52311.410000000011</v>
      </c>
    </row>
    <row r="1398" spans="1:10" hidden="1" x14ac:dyDescent="0.25">
      <c r="A1398" s="1">
        <v>45329</v>
      </c>
      <c r="B1398" t="s">
        <v>618</v>
      </c>
      <c r="D1398" s="2">
        <v>0</v>
      </c>
      <c r="E1398" s="2">
        <v>27446.66</v>
      </c>
      <c r="F1398" s="2">
        <v>68011.179999999993</v>
      </c>
      <c r="G1398" t="s">
        <v>731</v>
      </c>
      <c r="H1398" t="s">
        <v>719</v>
      </c>
      <c r="J1398" s="7">
        <f t="shared" si="14"/>
        <v>0</v>
      </c>
    </row>
    <row r="1399" spans="1:10" hidden="1" x14ac:dyDescent="0.25">
      <c r="A1399" s="1">
        <v>45329</v>
      </c>
      <c r="B1399" t="s">
        <v>472</v>
      </c>
      <c r="D1399" s="2">
        <v>383.96</v>
      </c>
      <c r="E1399" s="2">
        <v>0</v>
      </c>
      <c r="F1399" s="2">
        <v>67627.22</v>
      </c>
      <c r="G1399" t="s">
        <v>731</v>
      </c>
      <c r="H1399" t="s">
        <v>719</v>
      </c>
      <c r="J1399" s="7">
        <f t="shared" si="14"/>
        <v>0</v>
      </c>
    </row>
    <row r="1400" spans="1:10" hidden="1" x14ac:dyDescent="0.25">
      <c r="A1400" s="1">
        <v>45329</v>
      </c>
      <c r="B1400" t="s">
        <v>937</v>
      </c>
      <c r="D1400" s="2">
        <v>2000</v>
      </c>
      <c r="E1400" s="2">
        <v>0</v>
      </c>
      <c r="F1400" s="2">
        <v>65627.22</v>
      </c>
      <c r="G1400" s="55" t="s">
        <v>1049</v>
      </c>
      <c r="H1400" t="s">
        <v>719</v>
      </c>
      <c r="J1400" s="7">
        <f t="shared" si="14"/>
        <v>0</v>
      </c>
    </row>
    <row r="1401" spans="1:10" hidden="1" x14ac:dyDescent="0.25">
      <c r="A1401" s="1">
        <v>45329</v>
      </c>
      <c r="B1401" t="s">
        <v>938</v>
      </c>
      <c r="D1401" s="2">
        <v>2500</v>
      </c>
      <c r="E1401" s="2">
        <v>0</v>
      </c>
      <c r="F1401" s="2">
        <v>63127.22</v>
      </c>
      <c r="G1401" s="55" t="s">
        <v>1050</v>
      </c>
      <c r="H1401" t="s">
        <v>719</v>
      </c>
      <c r="J1401" s="7">
        <f t="shared" si="14"/>
        <v>0</v>
      </c>
    </row>
    <row r="1402" spans="1:10" hidden="1" x14ac:dyDescent="0.25">
      <c r="A1402" s="1">
        <v>45329</v>
      </c>
      <c r="B1402" t="s">
        <v>939</v>
      </c>
      <c r="D1402" s="2">
        <v>0</v>
      </c>
      <c r="E1402" s="2">
        <v>35000</v>
      </c>
      <c r="F1402" s="2">
        <v>98127.22</v>
      </c>
      <c r="G1402" s="55" t="s">
        <v>1052</v>
      </c>
      <c r="H1402" t="s">
        <v>719</v>
      </c>
      <c r="J1402" s="7">
        <f t="shared" si="14"/>
        <v>0</v>
      </c>
    </row>
    <row r="1403" spans="1:10" hidden="1" x14ac:dyDescent="0.25">
      <c r="A1403" s="1">
        <v>45329</v>
      </c>
      <c r="B1403" t="s">
        <v>472</v>
      </c>
      <c r="D1403" s="2">
        <v>38527.800000000003</v>
      </c>
      <c r="E1403" s="2">
        <v>0</v>
      </c>
      <c r="F1403" s="2">
        <v>59599.42</v>
      </c>
      <c r="G1403" t="s">
        <v>731</v>
      </c>
      <c r="H1403" t="s">
        <v>719</v>
      </c>
      <c r="J1403" s="7">
        <f t="shared" si="14"/>
        <v>0</v>
      </c>
    </row>
    <row r="1404" spans="1:10" hidden="1" x14ac:dyDescent="0.25">
      <c r="A1404" s="1">
        <v>45329</v>
      </c>
      <c r="B1404" t="s">
        <v>234</v>
      </c>
      <c r="C1404" t="s">
        <v>1006</v>
      </c>
      <c r="D1404" s="2">
        <v>0</v>
      </c>
      <c r="E1404" s="2">
        <v>50000</v>
      </c>
      <c r="F1404" s="2">
        <v>51105.95</v>
      </c>
      <c r="G1404" s="55" t="s">
        <v>724</v>
      </c>
      <c r="H1404" t="s">
        <v>716</v>
      </c>
      <c r="J1404" s="7">
        <f t="shared" si="14"/>
        <v>58493.47</v>
      </c>
    </row>
    <row r="1405" spans="1:10" hidden="1" x14ac:dyDescent="0.25">
      <c r="A1405" s="1">
        <v>45329</v>
      </c>
      <c r="B1405" t="s">
        <v>201</v>
      </c>
      <c r="C1405" t="s">
        <v>200</v>
      </c>
      <c r="D1405" s="2">
        <v>42389.440000000002</v>
      </c>
      <c r="E1405" s="2">
        <v>0</v>
      </c>
      <c r="F1405" s="2">
        <v>8716.51</v>
      </c>
      <c r="G1405" s="55" t="s">
        <v>1052</v>
      </c>
      <c r="H1405" t="s">
        <v>716</v>
      </c>
      <c r="J1405" s="7">
        <f t="shared" si="14"/>
        <v>0</v>
      </c>
    </row>
    <row r="1406" spans="1:10" hidden="1" x14ac:dyDescent="0.25">
      <c r="A1406" s="1">
        <v>45329</v>
      </c>
      <c r="B1406" t="s">
        <v>377</v>
      </c>
      <c r="C1406" t="s">
        <v>986</v>
      </c>
      <c r="D1406" s="2">
        <v>50000</v>
      </c>
      <c r="E1406" s="2">
        <v>0</v>
      </c>
      <c r="F1406" s="2">
        <v>-165824.37</v>
      </c>
      <c r="G1406" s="55" t="s">
        <v>724</v>
      </c>
      <c r="H1406" t="s">
        <v>718</v>
      </c>
      <c r="J1406" s="7">
        <f t="shared" si="14"/>
        <v>124540.88</v>
      </c>
    </row>
    <row r="1407" spans="1:10" hidden="1" x14ac:dyDescent="0.25">
      <c r="A1407" s="1">
        <v>45330</v>
      </c>
      <c r="B1407" t="s">
        <v>871</v>
      </c>
      <c r="D1407" s="2">
        <v>70</v>
      </c>
      <c r="E1407" s="2">
        <v>0</v>
      </c>
      <c r="F1407" s="2">
        <v>92306.94</v>
      </c>
      <c r="G1407" s="55" t="s">
        <v>792</v>
      </c>
      <c r="H1407" t="s">
        <v>715</v>
      </c>
      <c r="J1407" s="7">
        <f t="shared" si="14"/>
        <v>-258201.31</v>
      </c>
    </row>
    <row r="1408" spans="1:10" hidden="1" x14ac:dyDescent="0.25">
      <c r="A1408" s="1">
        <v>45330</v>
      </c>
      <c r="B1408" t="s">
        <v>618</v>
      </c>
      <c r="D1408" s="2">
        <v>0</v>
      </c>
      <c r="E1408" s="2">
        <v>27568.02</v>
      </c>
      <c r="F1408" s="2">
        <v>87167.44</v>
      </c>
      <c r="G1408" t="s">
        <v>731</v>
      </c>
      <c r="H1408" t="s">
        <v>719</v>
      </c>
      <c r="J1408" s="7">
        <f t="shared" si="14"/>
        <v>32707.520000000004</v>
      </c>
    </row>
    <row r="1409" spans="1:10" hidden="1" x14ac:dyDescent="0.25">
      <c r="A1409" s="1">
        <v>45330</v>
      </c>
      <c r="B1409" t="s">
        <v>472</v>
      </c>
      <c r="D1409" s="2">
        <v>375.09</v>
      </c>
      <c r="E1409" s="2">
        <v>0</v>
      </c>
      <c r="F1409" s="2">
        <v>86792.35</v>
      </c>
      <c r="G1409" t="s">
        <v>731</v>
      </c>
      <c r="H1409" t="s">
        <v>719</v>
      </c>
      <c r="J1409" s="7">
        <f t="shared" si="14"/>
        <v>0</v>
      </c>
    </row>
    <row r="1410" spans="1:10" hidden="1" x14ac:dyDescent="0.25">
      <c r="A1410" s="1">
        <v>45330</v>
      </c>
      <c r="B1410" t="s">
        <v>472</v>
      </c>
      <c r="D1410" s="2">
        <v>37167.06</v>
      </c>
      <c r="E1410" s="2">
        <v>0</v>
      </c>
      <c r="F1410" s="2">
        <v>49625.29</v>
      </c>
      <c r="G1410" t="s">
        <v>731</v>
      </c>
      <c r="H1410" t="s">
        <v>719</v>
      </c>
      <c r="J1410" s="7">
        <f t="shared" si="14"/>
        <v>0</v>
      </c>
    </row>
    <row r="1411" spans="1:10" hidden="1" x14ac:dyDescent="0.25">
      <c r="A1411" s="1">
        <v>45330</v>
      </c>
      <c r="B1411" t="s">
        <v>201</v>
      </c>
      <c r="C1411" t="s">
        <v>211</v>
      </c>
      <c r="D1411" s="2">
        <v>261</v>
      </c>
      <c r="E1411" s="2">
        <v>0</v>
      </c>
      <c r="F1411" s="2">
        <v>8455.51</v>
      </c>
      <c r="G1411" s="55" t="s">
        <v>1052</v>
      </c>
      <c r="H1411" t="s">
        <v>716</v>
      </c>
      <c r="J1411" s="7">
        <f t="shared" si="14"/>
        <v>40908.78</v>
      </c>
    </row>
    <row r="1412" spans="1:10" hidden="1" x14ac:dyDescent="0.25">
      <c r="A1412" s="1">
        <v>45331</v>
      </c>
      <c r="B1412" t="s">
        <v>872</v>
      </c>
      <c r="D1412" s="2">
        <v>20000</v>
      </c>
      <c r="E1412" s="2">
        <v>0</v>
      </c>
      <c r="F1412" s="2">
        <v>72306.94</v>
      </c>
      <c r="G1412" t="s">
        <v>728</v>
      </c>
      <c r="H1412" t="s">
        <v>715</v>
      </c>
      <c r="J1412" s="7">
        <f t="shared" si="14"/>
        <v>-83851.430000000008</v>
      </c>
    </row>
    <row r="1413" spans="1:10" hidden="1" x14ac:dyDescent="0.25">
      <c r="A1413" s="1">
        <v>45331</v>
      </c>
      <c r="B1413" t="s">
        <v>873</v>
      </c>
      <c r="D1413" s="2">
        <v>10000</v>
      </c>
      <c r="E1413" s="2">
        <v>0</v>
      </c>
      <c r="F1413" s="2">
        <v>62306.94</v>
      </c>
      <c r="G1413" t="s">
        <v>734</v>
      </c>
      <c r="H1413" t="s">
        <v>715</v>
      </c>
      <c r="J1413" s="7">
        <f t="shared" si="14"/>
        <v>0</v>
      </c>
    </row>
    <row r="1414" spans="1:10" hidden="1" x14ac:dyDescent="0.25">
      <c r="A1414" s="1">
        <v>45331</v>
      </c>
      <c r="B1414" t="s">
        <v>472</v>
      </c>
      <c r="D1414" s="2">
        <v>401.17</v>
      </c>
      <c r="E1414" s="2">
        <v>0</v>
      </c>
      <c r="F1414" s="2">
        <v>49224.12</v>
      </c>
      <c r="G1414" t="s">
        <v>731</v>
      </c>
      <c r="H1414" t="s">
        <v>719</v>
      </c>
      <c r="J1414" s="7">
        <f t="shared" si="14"/>
        <v>12681.650000000001</v>
      </c>
    </row>
    <row r="1415" spans="1:10" hidden="1" x14ac:dyDescent="0.25">
      <c r="A1415" s="1">
        <v>45331</v>
      </c>
      <c r="B1415" t="s">
        <v>618</v>
      </c>
      <c r="D1415" s="2">
        <v>0</v>
      </c>
      <c r="E1415" s="2">
        <v>25742.95</v>
      </c>
      <c r="F1415" s="2">
        <v>74967.070000000007</v>
      </c>
      <c r="G1415" t="s">
        <v>731</v>
      </c>
      <c r="H1415" t="s">
        <v>719</v>
      </c>
      <c r="J1415" s="7">
        <f t="shared" si="14"/>
        <v>0</v>
      </c>
    </row>
    <row r="1416" spans="1:10" hidden="1" x14ac:dyDescent="0.25">
      <c r="A1416" s="1">
        <v>45331</v>
      </c>
      <c r="B1416" t="s">
        <v>201</v>
      </c>
      <c r="C1416" t="s">
        <v>200</v>
      </c>
      <c r="D1416" s="2">
        <v>49.56</v>
      </c>
      <c r="E1416" s="2">
        <v>0</v>
      </c>
      <c r="F1416" s="2">
        <v>8405.9500000000007</v>
      </c>
      <c r="G1416" s="55" t="s">
        <v>1052</v>
      </c>
      <c r="H1416" t="s">
        <v>716</v>
      </c>
      <c r="J1416" s="7">
        <f t="shared" si="14"/>
        <v>66511.560000000012</v>
      </c>
    </row>
    <row r="1417" spans="1:10" hidden="1" x14ac:dyDescent="0.25">
      <c r="A1417" s="1">
        <v>45332</v>
      </c>
      <c r="B1417" t="s">
        <v>874</v>
      </c>
      <c r="D1417" s="2">
        <v>20</v>
      </c>
      <c r="E1417" s="2">
        <v>0</v>
      </c>
      <c r="F1417" s="2">
        <v>62286.94</v>
      </c>
      <c r="G1417" s="55" t="s">
        <v>792</v>
      </c>
      <c r="H1417" t="s">
        <v>715</v>
      </c>
      <c r="J1417" s="7">
        <f t="shared" si="14"/>
        <v>-53900.990000000005</v>
      </c>
    </row>
    <row r="1418" spans="1:10" hidden="1" x14ac:dyDescent="0.25">
      <c r="A1418" s="1">
        <v>45332</v>
      </c>
      <c r="B1418" t="s">
        <v>875</v>
      </c>
      <c r="D1418" s="2">
        <v>100</v>
      </c>
      <c r="E1418" s="2">
        <v>0</v>
      </c>
      <c r="F1418" s="2">
        <v>62186.94</v>
      </c>
      <c r="G1418" s="55" t="s">
        <v>792</v>
      </c>
      <c r="H1418" t="s">
        <v>715</v>
      </c>
      <c r="J1418" s="7">
        <f t="shared" si="14"/>
        <v>0</v>
      </c>
    </row>
    <row r="1419" spans="1:10" hidden="1" x14ac:dyDescent="0.25">
      <c r="A1419" s="1">
        <v>45332</v>
      </c>
      <c r="B1419" t="s">
        <v>201</v>
      </c>
      <c r="C1419" t="s">
        <v>200</v>
      </c>
      <c r="D1419" s="2">
        <v>2380.5</v>
      </c>
      <c r="E1419" s="2">
        <v>0</v>
      </c>
      <c r="F1419" s="2">
        <v>6025.45</v>
      </c>
      <c r="G1419" s="55" t="s">
        <v>1052</v>
      </c>
      <c r="H1419" t="s">
        <v>716</v>
      </c>
      <c r="J1419" s="7">
        <f t="shared" si="14"/>
        <v>53780.990000000005</v>
      </c>
    </row>
    <row r="1420" spans="1:10" hidden="1" x14ac:dyDescent="0.25">
      <c r="A1420" s="1">
        <v>45334</v>
      </c>
      <c r="B1420" t="s">
        <v>618</v>
      </c>
      <c r="D1420" s="2">
        <v>0</v>
      </c>
      <c r="E1420" s="2">
        <v>8842.14</v>
      </c>
      <c r="F1420" s="2">
        <v>83809.210000000006</v>
      </c>
      <c r="G1420" t="s">
        <v>731</v>
      </c>
      <c r="H1420" t="s">
        <v>719</v>
      </c>
      <c r="J1420" s="7">
        <f t="shared" si="14"/>
        <v>-68941.62000000001</v>
      </c>
    </row>
    <row r="1421" spans="1:10" hidden="1" x14ac:dyDescent="0.25">
      <c r="A1421" s="1">
        <v>45334</v>
      </c>
      <c r="B1421" t="s">
        <v>681</v>
      </c>
      <c r="D1421" s="2">
        <v>10000</v>
      </c>
      <c r="E1421" s="2">
        <v>0</v>
      </c>
      <c r="F1421" s="2">
        <v>73809.210000000006</v>
      </c>
      <c r="G1421" s="55" t="s">
        <v>1048</v>
      </c>
      <c r="H1421" t="s">
        <v>719</v>
      </c>
      <c r="J1421" s="7">
        <f t="shared" si="14"/>
        <v>0</v>
      </c>
    </row>
    <row r="1422" spans="1:10" hidden="1" x14ac:dyDescent="0.25">
      <c r="A1422" s="1">
        <v>45334</v>
      </c>
      <c r="B1422" t="s">
        <v>472</v>
      </c>
      <c r="D1422" s="2">
        <v>1337.4</v>
      </c>
      <c r="E1422" s="2">
        <v>0</v>
      </c>
      <c r="F1422" s="2">
        <v>72471.81</v>
      </c>
      <c r="G1422" t="s">
        <v>731</v>
      </c>
      <c r="H1422" t="s">
        <v>719</v>
      </c>
      <c r="J1422" s="7">
        <f t="shared" si="14"/>
        <v>0</v>
      </c>
    </row>
    <row r="1423" spans="1:10" hidden="1" x14ac:dyDescent="0.25">
      <c r="A1423" s="1">
        <v>45334</v>
      </c>
      <c r="B1423" t="s">
        <v>183</v>
      </c>
      <c r="C1423" t="s">
        <v>1007</v>
      </c>
      <c r="D1423" s="2">
        <v>0</v>
      </c>
      <c r="E1423" s="2">
        <v>20129.91</v>
      </c>
      <c r="F1423" s="2">
        <v>26155.360000000001</v>
      </c>
      <c r="G1423" s="55" t="s">
        <v>1052</v>
      </c>
      <c r="H1423" t="s">
        <v>716</v>
      </c>
      <c r="J1423" s="7">
        <f t="shared" si="14"/>
        <v>66446.36</v>
      </c>
    </row>
    <row r="1424" spans="1:10" hidden="1" x14ac:dyDescent="0.25">
      <c r="A1424" s="1">
        <v>45335</v>
      </c>
      <c r="B1424" t="s">
        <v>618</v>
      </c>
      <c r="D1424" s="2">
        <v>0</v>
      </c>
      <c r="E1424" s="2">
        <v>39152.400000000001</v>
      </c>
      <c r="F1424" s="2">
        <v>111624.21</v>
      </c>
      <c r="G1424" t="s">
        <v>731</v>
      </c>
      <c r="H1424" t="s">
        <v>719</v>
      </c>
      <c r="J1424" s="7">
        <f t="shared" si="14"/>
        <v>-46316.450000000004</v>
      </c>
    </row>
    <row r="1425" spans="1:10" hidden="1" x14ac:dyDescent="0.25">
      <c r="A1425" s="1">
        <v>45335</v>
      </c>
      <c r="B1425" t="s">
        <v>940</v>
      </c>
      <c r="D1425" s="2">
        <v>2147.6</v>
      </c>
      <c r="E1425" s="2">
        <v>0</v>
      </c>
      <c r="F1425" s="2">
        <v>109476.61</v>
      </c>
      <c r="G1425" s="55" t="s">
        <v>1052</v>
      </c>
      <c r="H1425" t="s">
        <v>719</v>
      </c>
      <c r="J1425" s="7">
        <f t="shared" si="14"/>
        <v>0</v>
      </c>
    </row>
    <row r="1426" spans="1:10" hidden="1" x14ac:dyDescent="0.25">
      <c r="A1426" s="1">
        <v>45335</v>
      </c>
      <c r="B1426" t="s">
        <v>183</v>
      </c>
      <c r="C1426" t="s">
        <v>1008</v>
      </c>
      <c r="D1426" s="2">
        <v>0</v>
      </c>
      <c r="E1426" s="2">
        <v>97.5</v>
      </c>
      <c r="F1426" s="2">
        <v>26252.86</v>
      </c>
      <c r="G1426" s="55" t="s">
        <v>1052</v>
      </c>
      <c r="H1426" t="s">
        <v>716</v>
      </c>
      <c r="J1426" s="7">
        <f t="shared" si="14"/>
        <v>83321.25</v>
      </c>
    </row>
    <row r="1427" spans="1:10" hidden="1" x14ac:dyDescent="0.25">
      <c r="A1427" s="1">
        <v>45336</v>
      </c>
      <c r="B1427" t="s">
        <v>876</v>
      </c>
      <c r="D1427" s="2">
        <v>25</v>
      </c>
      <c r="E1427" s="2">
        <v>0</v>
      </c>
      <c r="F1427" s="2">
        <v>62161.94</v>
      </c>
      <c r="G1427" s="55" t="s">
        <v>792</v>
      </c>
      <c r="H1427" t="s">
        <v>715</v>
      </c>
      <c r="J1427" s="7">
        <f t="shared" si="14"/>
        <v>-35934.080000000002</v>
      </c>
    </row>
    <row r="1428" spans="1:10" hidden="1" x14ac:dyDescent="0.25">
      <c r="A1428" s="1">
        <v>45336</v>
      </c>
      <c r="B1428" t="s">
        <v>877</v>
      </c>
      <c r="D1428" s="2">
        <v>0</v>
      </c>
      <c r="E1428" s="2">
        <v>20000</v>
      </c>
      <c r="F1428" s="2">
        <v>82161.94</v>
      </c>
      <c r="G1428" t="s">
        <v>763</v>
      </c>
      <c r="H1428" t="s">
        <v>715</v>
      </c>
      <c r="J1428" s="7">
        <f t="shared" si="14"/>
        <v>0</v>
      </c>
    </row>
    <row r="1429" spans="1:10" hidden="1" x14ac:dyDescent="0.25">
      <c r="A1429" s="1">
        <v>45336</v>
      </c>
      <c r="B1429" t="s">
        <v>878</v>
      </c>
      <c r="D1429" s="2">
        <v>20000</v>
      </c>
      <c r="E1429" s="2">
        <v>0</v>
      </c>
      <c r="F1429" s="2">
        <v>62161.94</v>
      </c>
      <c r="G1429" t="s">
        <v>734</v>
      </c>
      <c r="H1429" t="s">
        <v>715</v>
      </c>
      <c r="J1429" s="7">
        <f t="shared" si="14"/>
        <v>0</v>
      </c>
    </row>
    <row r="1430" spans="1:10" hidden="1" x14ac:dyDescent="0.25">
      <c r="A1430" s="1">
        <v>45336</v>
      </c>
      <c r="B1430" t="s">
        <v>879</v>
      </c>
      <c r="D1430" s="2">
        <v>4</v>
      </c>
      <c r="E1430" s="2">
        <v>0</v>
      </c>
      <c r="F1430" s="2">
        <v>62157.94</v>
      </c>
      <c r="G1430" s="55" t="s">
        <v>792</v>
      </c>
      <c r="H1430" t="s">
        <v>715</v>
      </c>
      <c r="J1430" s="7">
        <f t="shared" si="14"/>
        <v>0</v>
      </c>
    </row>
    <row r="1431" spans="1:10" hidden="1" x14ac:dyDescent="0.25">
      <c r="A1431" s="1">
        <v>45336</v>
      </c>
      <c r="B1431" t="s">
        <v>618</v>
      </c>
      <c r="D1431" s="2">
        <v>0</v>
      </c>
      <c r="E1431" s="2">
        <v>36417.589999999997</v>
      </c>
      <c r="F1431" s="2">
        <v>145894.20000000001</v>
      </c>
      <c r="G1431" t="s">
        <v>731</v>
      </c>
      <c r="H1431" t="s">
        <v>719</v>
      </c>
      <c r="J1431" s="7">
        <f t="shared" si="14"/>
        <v>-47318.670000000013</v>
      </c>
    </row>
    <row r="1432" spans="1:10" hidden="1" x14ac:dyDescent="0.25">
      <c r="A1432" s="1">
        <v>45336</v>
      </c>
      <c r="B1432" t="s">
        <v>472</v>
      </c>
      <c r="D1432" s="2">
        <v>368.48</v>
      </c>
      <c r="E1432" s="2">
        <v>0</v>
      </c>
      <c r="F1432" s="2">
        <v>145525.72</v>
      </c>
      <c r="G1432" t="s">
        <v>731</v>
      </c>
      <c r="H1432" t="s">
        <v>719</v>
      </c>
      <c r="J1432" s="7">
        <f t="shared" si="14"/>
        <v>0</v>
      </c>
    </row>
    <row r="1433" spans="1:10" hidden="1" x14ac:dyDescent="0.25">
      <c r="A1433" s="1">
        <v>45336</v>
      </c>
      <c r="B1433" t="s">
        <v>472</v>
      </c>
      <c r="D1433" s="2">
        <v>6868.26</v>
      </c>
      <c r="E1433" s="2">
        <v>0</v>
      </c>
      <c r="F1433" s="2">
        <v>138657.46</v>
      </c>
      <c r="G1433" t="s">
        <v>731</v>
      </c>
      <c r="H1433" t="s">
        <v>719</v>
      </c>
      <c r="J1433" s="7">
        <f t="shared" si="14"/>
        <v>0</v>
      </c>
    </row>
    <row r="1434" spans="1:10" hidden="1" x14ac:dyDescent="0.25">
      <c r="A1434" s="1">
        <v>45336</v>
      </c>
      <c r="B1434" t="s">
        <v>472</v>
      </c>
      <c r="D1434" s="2">
        <v>28735.599999999999</v>
      </c>
      <c r="E1434" s="2">
        <v>0</v>
      </c>
      <c r="F1434" s="2">
        <v>109921.86</v>
      </c>
      <c r="G1434" t="s">
        <v>731</v>
      </c>
      <c r="H1434" t="s">
        <v>719</v>
      </c>
      <c r="J1434" s="7">
        <f t="shared" si="14"/>
        <v>0</v>
      </c>
    </row>
    <row r="1435" spans="1:10" hidden="1" x14ac:dyDescent="0.25">
      <c r="A1435" s="1">
        <v>45336</v>
      </c>
      <c r="B1435" t="s">
        <v>201</v>
      </c>
      <c r="C1435" t="s">
        <v>200</v>
      </c>
      <c r="D1435" s="2">
        <v>16911.8</v>
      </c>
      <c r="E1435" s="2">
        <v>0</v>
      </c>
      <c r="F1435" s="2">
        <v>9341.06</v>
      </c>
      <c r="G1435" s="55" t="s">
        <v>1052</v>
      </c>
      <c r="H1435" t="s">
        <v>716</v>
      </c>
      <c r="J1435" s="7">
        <f t="shared" si="14"/>
        <v>83669</v>
      </c>
    </row>
    <row r="1436" spans="1:10" hidden="1" x14ac:dyDescent="0.25">
      <c r="A1436" s="1">
        <v>45337</v>
      </c>
      <c r="B1436" t="s">
        <v>880</v>
      </c>
      <c r="D1436" s="2">
        <v>15</v>
      </c>
      <c r="E1436" s="2">
        <v>0</v>
      </c>
      <c r="F1436" s="2">
        <v>62142.94</v>
      </c>
      <c r="G1436" s="55" t="s">
        <v>792</v>
      </c>
      <c r="H1436" t="s">
        <v>715</v>
      </c>
      <c r="J1436" s="7">
        <f t="shared" si="14"/>
        <v>-52816.880000000005</v>
      </c>
    </row>
    <row r="1437" spans="1:10" hidden="1" x14ac:dyDescent="0.25">
      <c r="A1437" s="1">
        <v>45337</v>
      </c>
      <c r="B1437" t="s">
        <v>1040</v>
      </c>
      <c r="D1437" s="2">
        <v>0</v>
      </c>
      <c r="E1437" s="2">
        <v>5000</v>
      </c>
      <c r="F1437" s="2">
        <v>15725</v>
      </c>
      <c r="G1437" s="55" t="s">
        <v>1052</v>
      </c>
      <c r="H1437" t="s">
        <v>787</v>
      </c>
      <c r="J1437" s="7">
        <f t="shared" si="14"/>
        <v>51417.94</v>
      </c>
    </row>
    <row r="1438" spans="1:10" hidden="1" x14ac:dyDescent="0.25">
      <c r="A1438" s="1">
        <v>45337</v>
      </c>
      <c r="B1438" t="s">
        <v>618</v>
      </c>
      <c r="D1438" s="2">
        <v>0</v>
      </c>
      <c r="E1438" s="2">
        <v>10198.69</v>
      </c>
      <c r="F1438" s="2">
        <v>120120.55</v>
      </c>
      <c r="G1438" t="s">
        <v>731</v>
      </c>
      <c r="H1438" t="s">
        <v>719</v>
      </c>
      <c r="J1438" s="7">
        <f t="shared" si="14"/>
        <v>-94196.86</v>
      </c>
    </row>
    <row r="1439" spans="1:10" hidden="1" x14ac:dyDescent="0.25">
      <c r="A1439" s="1">
        <v>45337</v>
      </c>
      <c r="B1439" t="s">
        <v>681</v>
      </c>
      <c r="D1439" s="2">
        <v>10000</v>
      </c>
      <c r="E1439" s="2">
        <v>0</v>
      </c>
      <c r="F1439" s="2">
        <v>110120.55</v>
      </c>
      <c r="G1439" s="55" t="s">
        <v>1048</v>
      </c>
      <c r="H1439" t="s">
        <v>719</v>
      </c>
      <c r="J1439" s="7">
        <f t="shared" si="14"/>
        <v>0</v>
      </c>
    </row>
    <row r="1440" spans="1:10" hidden="1" x14ac:dyDescent="0.25">
      <c r="A1440" s="1">
        <v>45337</v>
      </c>
      <c r="B1440" t="s">
        <v>472</v>
      </c>
      <c r="D1440" s="2">
        <v>351.67</v>
      </c>
      <c r="E1440" s="2">
        <v>0</v>
      </c>
      <c r="F1440" s="2">
        <v>109768.88</v>
      </c>
      <c r="G1440" t="s">
        <v>731</v>
      </c>
      <c r="H1440" t="s">
        <v>719</v>
      </c>
      <c r="J1440" s="7">
        <f t="shared" si="14"/>
        <v>0</v>
      </c>
    </row>
    <row r="1441" spans="1:10" hidden="1" x14ac:dyDescent="0.25">
      <c r="A1441" s="1">
        <v>45337</v>
      </c>
      <c r="B1441" t="s">
        <v>201</v>
      </c>
      <c r="C1441" t="s">
        <v>200</v>
      </c>
      <c r="D1441" s="2">
        <v>43.13</v>
      </c>
      <c r="E1441" s="2">
        <v>0</v>
      </c>
      <c r="F1441" s="2">
        <v>9297.93</v>
      </c>
      <c r="G1441" s="55" t="s">
        <v>1052</v>
      </c>
      <c r="H1441" t="s">
        <v>716</v>
      </c>
      <c r="J1441" s="7">
        <f t="shared" si="14"/>
        <v>100427.82</v>
      </c>
    </row>
    <row r="1442" spans="1:10" hidden="1" x14ac:dyDescent="0.25">
      <c r="A1442" s="1">
        <v>45338</v>
      </c>
      <c r="B1442" t="s">
        <v>618</v>
      </c>
      <c r="D1442" s="2">
        <v>0</v>
      </c>
      <c r="E1442" s="2">
        <v>51984.62</v>
      </c>
      <c r="F1442" s="2">
        <v>161753.5</v>
      </c>
      <c r="G1442" t="s">
        <v>731</v>
      </c>
      <c r="H1442" t="s">
        <v>719</v>
      </c>
      <c r="J1442" s="7">
        <f t="shared" si="14"/>
        <v>-100470.95</v>
      </c>
    </row>
    <row r="1443" spans="1:10" hidden="1" x14ac:dyDescent="0.25">
      <c r="A1443" s="1">
        <v>45338</v>
      </c>
      <c r="B1443" t="s">
        <v>472</v>
      </c>
      <c r="D1443" s="2">
        <v>386.11</v>
      </c>
      <c r="E1443" s="2">
        <v>0</v>
      </c>
      <c r="F1443" s="2">
        <v>161367.39000000001</v>
      </c>
      <c r="G1443" t="s">
        <v>731</v>
      </c>
      <c r="H1443" t="s">
        <v>719</v>
      </c>
      <c r="J1443" s="7">
        <f t="shared" si="14"/>
        <v>0</v>
      </c>
    </row>
    <row r="1444" spans="1:10" hidden="1" x14ac:dyDescent="0.25">
      <c r="A1444" s="1">
        <v>45338</v>
      </c>
      <c r="B1444" t="s">
        <v>941</v>
      </c>
      <c r="D1444" s="2">
        <v>0</v>
      </c>
      <c r="E1444" s="2">
        <v>8.5</v>
      </c>
      <c r="F1444" s="2">
        <v>161375.89000000001</v>
      </c>
      <c r="G1444" s="55" t="s">
        <v>736</v>
      </c>
      <c r="H1444" t="s">
        <v>719</v>
      </c>
      <c r="J1444" s="7">
        <f t="shared" si="14"/>
        <v>0</v>
      </c>
    </row>
    <row r="1445" spans="1:10" hidden="1" x14ac:dyDescent="0.25">
      <c r="A1445" s="1">
        <v>45338</v>
      </c>
      <c r="B1445" t="s">
        <v>618</v>
      </c>
      <c r="D1445" s="2">
        <v>0</v>
      </c>
      <c r="E1445" s="2">
        <v>20360.919999999998</v>
      </c>
      <c r="F1445" s="2">
        <v>181736.81</v>
      </c>
      <c r="G1445" t="s">
        <v>731</v>
      </c>
      <c r="H1445" t="s">
        <v>719</v>
      </c>
      <c r="J1445" s="7">
        <f t="shared" si="14"/>
        <v>0</v>
      </c>
    </row>
    <row r="1446" spans="1:10" hidden="1" x14ac:dyDescent="0.25">
      <c r="A1446" s="1">
        <v>45341</v>
      </c>
      <c r="B1446" t="s">
        <v>881</v>
      </c>
      <c r="D1446" s="2">
        <v>254</v>
      </c>
      <c r="E1446" s="2">
        <v>0</v>
      </c>
      <c r="F1446" s="2">
        <v>61888.94</v>
      </c>
      <c r="G1446" s="55" t="s">
        <v>792</v>
      </c>
      <c r="H1446" t="s">
        <v>715</v>
      </c>
      <c r="J1446" s="7">
        <f t="shared" si="14"/>
        <v>119593.87</v>
      </c>
    </row>
    <row r="1447" spans="1:10" hidden="1" x14ac:dyDescent="0.25">
      <c r="A1447" s="1">
        <v>45341</v>
      </c>
      <c r="B1447" t="s">
        <v>882</v>
      </c>
      <c r="D1447" s="2">
        <v>200</v>
      </c>
      <c r="E1447" s="2">
        <v>0</v>
      </c>
      <c r="F1447" s="2">
        <v>61688.94</v>
      </c>
      <c r="G1447" s="55" t="s">
        <v>792</v>
      </c>
      <c r="H1447" t="s">
        <v>715</v>
      </c>
      <c r="J1447" s="7">
        <f t="shared" si="14"/>
        <v>0</v>
      </c>
    </row>
    <row r="1448" spans="1:10" hidden="1" x14ac:dyDescent="0.25">
      <c r="A1448" s="1">
        <v>45341</v>
      </c>
      <c r="B1448" t="s">
        <v>472</v>
      </c>
      <c r="D1448" s="2">
        <v>1114.68</v>
      </c>
      <c r="E1448" s="2">
        <v>0</v>
      </c>
      <c r="F1448" s="2">
        <v>180622.13</v>
      </c>
      <c r="G1448" t="s">
        <v>731</v>
      </c>
      <c r="H1448" t="s">
        <v>719</v>
      </c>
      <c r="J1448" s="7">
        <f t="shared" si="14"/>
        <v>-120047.87</v>
      </c>
    </row>
    <row r="1449" spans="1:10" hidden="1" x14ac:dyDescent="0.25">
      <c r="A1449" s="1">
        <v>45341</v>
      </c>
      <c r="B1449" t="s">
        <v>472</v>
      </c>
      <c r="D1449" s="2">
        <v>3456.5</v>
      </c>
      <c r="E1449" s="2">
        <v>0</v>
      </c>
      <c r="F1449" s="2">
        <v>177165.63</v>
      </c>
      <c r="G1449" t="s">
        <v>731</v>
      </c>
      <c r="H1449" t="s">
        <v>719</v>
      </c>
      <c r="J1449" s="7">
        <f t="shared" si="14"/>
        <v>0</v>
      </c>
    </row>
    <row r="1450" spans="1:10" hidden="1" x14ac:dyDescent="0.25">
      <c r="A1450" s="1">
        <v>45342</v>
      </c>
      <c r="B1450" t="s">
        <v>883</v>
      </c>
      <c r="D1450" s="2">
        <v>0</v>
      </c>
      <c r="E1450" s="2">
        <v>700000</v>
      </c>
      <c r="F1450" s="2">
        <v>761688.94</v>
      </c>
      <c r="G1450" s="55" t="s">
        <v>1043</v>
      </c>
      <c r="H1450" t="s">
        <v>715</v>
      </c>
      <c r="J1450" s="7">
        <f t="shared" si="14"/>
        <v>115476.69000000006</v>
      </c>
    </row>
    <row r="1451" spans="1:10" hidden="1" x14ac:dyDescent="0.25">
      <c r="A1451" s="1">
        <v>45342</v>
      </c>
      <c r="B1451" t="s">
        <v>884</v>
      </c>
      <c r="D1451" s="2">
        <v>200000</v>
      </c>
      <c r="E1451" s="2">
        <v>0</v>
      </c>
      <c r="F1451" s="2">
        <v>561688.93999999994</v>
      </c>
      <c r="G1451" s="55" t="s">
        <v>724</v>
      </c>
      <c r="H1451" t="s">
        <v>715</v>
      </c>
      <c r="J1451" s="7">
        <f t="shared" si="14"/>
        <v>0</v>
      </c>
    </row>
    <row r="1452" spans="1:10" hidden="1" x14ac:dyDescent="0.25">
      <c r="A1452" s="1">
        <v>45342</v>
      </c>
      <c r="B1452" t="s">
        <v>885</v>
      </c>
      <c r="D1452" s="2">
        <v>200000</v>
      </c>
      <c r="E1452" s="2">
        <v>0</v>
      </c>
      <c r="F1452" s="2">
        <v>361688.94</v>
      </c>
      <c r="G1452" s="55" t="s">
        <v>724</v>
      </c>
      <c r="H1452" t="s">
        <v>715</v>
      </c>
      <c r="J1452" s="7">
        <f t="shared" si="14"/>
        <v>0</v>
      </c>
    </row>
    <row r="1453" spans="1:10" hidden="1" x14ac:dyDescent="0.25">
      <c r="A1453" s="1">
        <v>45342</v>
      </c>
      <c r="B1453" t="s">
        <v>618</v>
      </c>
      <c r="D1453" s="2">
        <v>0</v>
      </c>
      <c r="E1453" s="2">
        <v>770.41</v>
      </c>
      <c r="F1453" s="2">
        <v>177936.04</v>
      </c>
      <c r="G1453" t="s">
        <v>731</v>
      </c>
      <c r="H1453" t="s">
        <v>719</v>
      </c>
      <c r="J1453" s="7">
        <f t="shared" si="14"/>
        <v>184523.30999999997</v>
      </c>
    </row>
    <row r="1454" spans="1:10" hidden="1" x14ac:dyDescent="0.25">
      <c r="A1454" s="1">
        <v>45342</v>
      </c>
      <c r="B1454" t="s">
        <v>618</v>
      </c>
      <c r="D1454" s="2">
        <v>0</v>
      </c>
      <c r="E1454" s="2">
        <v>20432.95</v>
      </c>
      <c r="F1454" s="2">
        <v>198368.99</v>
      </c>
      <c r="G1454" t="s">
        <v>731</v>
      </c>
      <c r="H1454" t="s">
        <v>719</v>
      </c>
      <c r="J1454" s="7">
        <f t="shared" si="14"/>
        <v>0</v>
      </c>
    </row>
    <row r="1455" spans="1:10" hidden="1" x14ac:dyDescent="0.25">
      <c r="A1455" s="1">
        <v>45342</v>
      </c>
      <c r="B1455" t="s">
        <v>681</v>
      </c>
      <c r="D1455" s="2">
        <v>10000</v>
      </c>
      <c r="E1455" s="2">
        <v>0</v>
      </c>
      <c r="F1455" s="2">
        <v>188368.99</v>
      </c>
      <c r="G1455" s="55" t="s">
        <v>1048</v>
      </c>
      <c r="H1455" t="s">
        <v>719</v>
      </c>
      <c r="J1455" s="7">
        <f t="shared" si="14"/>
        <v>0</v>
      </c>
    </row>
    <row r="1456" spans="1:10" hidden="1" x14ac:dyDescent="0.25">
      <c r="A1456" s="1">
        <v>45342</v>
      </c>
      <c r="B1456" t="s">
        <v>472</v>
      </c>
      <c r="D1456" s="2">
        <v>370.33</v>
      </c>
      <c r="E1456" s="2">
        <v>0</v>
      </c>
      <c r="F1456" s="2">
        <v>187998.66</v>
      </c>
      <c r="G1456" t="s">
        <v>731</v>
      </c>
      <c r="H1456" t="s">
        <v>719</v>
      </c>
      <c r="J1456" s="7">
        <f t="shared" si="14"/>
        <v>0</v>
      </c>
    </row>
    <row r="1457" spans="1:10" hidden="1" x14ac:dyDescent="0.25">
      <c r="A1457" s="1">
        <v>45342</v>
      </c>
      <c r="B1457" t="s">
        <v>942</v>
      </c>
      <c r="D1457" s="2">
        <v>0</v>
      </c>
      <c r="E1457" s="2">
        <v>200000</v>
      </c>
      <c r="F1457" s="2">
        <v>387998.66</v>
      </c>
      <c r="G1457" s="55" t="s">
        <v>724</v>
      </c>
      <c r="H1457" t="s">
        <v>719</v>
      </c>
      <c r="J1457" s="7">
        <f t="shared" si="14"/>
        <v>0</v>
      </c>
    </row>
    <row r="1458" spans="1:10" hidden="1" x14ac:dyDescent="0.25">
      <c r="A1458" s="1">
        <v>45342</v>
      </c>
      <c r="B1458" t="s">
        <v>943</v>
      </c>
      <c r="D1458" s="2">
        <v>93195</v>
      </c>
      <c r="E1458" s="2">
        <v>0</v>
      </c>
      <c r="F1458" s="2">
        <v>294803.65999999997</v>
      </c>
      <c r="G1458" s="55" t="s">
        <v>1052</v>
      </c>
      <c r="H1458" t="s">
        <v>719</v>
      </c>
      <c r="J1458" s="7">
        <f t="shared" si="14"/>
        <v>0</v>
      </c>
    </row>
    <row r="1459" spans="1:10" hidden="1" x14ac:dyDescent="0.25">
      <c r="A1459" s="1">
        <v>45342</v>
      </c>
      <c r="B1459" t="s">
        <v>472</v>
      </c>
      <c r="D1459" s="2">
        <v>18419.060000000001</v>
      </c>
      <c r="E1459" s="2">
        <v>0</v>
      </c>
      <c r="F1459" s="2">
        <v>276384.59999999998</v>
      </c>
      <c r="G1459" t="s">
        <v>731</v>
      </c>
      <c r="H1459" t="s">
        <v>719</v>
      </c>
      <c r="J1459" s="7">
        <f t="shared" si="14"/>
        <v>0</v>
      </c>
    </row>
    <row r="1460" spans="1:10" hidden="1" x14ac:dyDescent="0.25">
      <c r="A1460" s="1">
        <v>45342</v>
      </c>
      <c r="B1460" t="s">
        <v>1009</v>
      </c>
      <c r="C1460" t="s">
        <v>1010</v>
      </c>
      <c r="D1460" s="2">
        <v>0</v>
      </c>
      <c r="E1460" s="2">
        <v>200000</v>
      </c>
      <c r="F1460" s="2">
        <v>209297.93</v>
      </c>
      <c r="G1460" s="55" t="s">
        <v>724</v>
      </c>
      <c r="H1460" t="s">
        <v>716</v>
      </c>
      <c r="J1460" s="7">
        <f t="shared" ref="J1460:J1523" si="15">F1459-D1460+E1460-F1460</f>
        <v>267086.67</v>
      </c>
    </row>
    <row r="1461" spans="1:10" hidden="1" x14ac:dyDescent="0.25">
      <c r="A1461" s="1">
        <v>45342</v>
      </c>
      <c r="B1461" t="s">
        <v>201</v>
      </c>
      <c r="C1461" t="s">
        <v>200</v>
      </c>
      <c r="D1461" s="2">
        <v>61.5</v>
      </c>
      <c r="E1461" s="2">
        <v>0</v>
      </c>
      <c r="F1461" s="2">
        <v>209236.43</v>
      </c>
      <c r="G1461" s="55" t="s">
        <v>1052</v>
      </c>
      <c r="H1461" t="s">
        <v>716</v>
      </c>
      <c r="J1461" s="7">
        <f t="shared" si="15"/>
        <v>0</v>
      </c>
    </row>
    <row r="1462" spans="1:10" hidden="1" x14ac:dyDescent="0.25">
      <c r="A1462" s="1">
        <v>45342</v>
      </c>
      <c r="B1462" t="s">
        <v>194</v>
      </c>
      <c r="C1462" t="s">
        <v>1011</v>
      </c>
      <c r="D1462" s="2">
        <v>1458</v>
      </c>
      <c r="E1462" s="2">
        <v>0</v>
      </c>
      <c r="F1462" s="2">
        <v>207778.43</v>
      </c>
      <c r="G1462" s="55" t="s">
        <v>1052</v>
      </c>
      <c r="H1462" t="s">
        <v>716</v>
      </c>
      <c r="J1462" s="7">
        <f t="shared" si="15"/>
        <v>0</v>
      </c>
    </row>
    <row r="1463" spans="1:10" hidden="1" x14ac:dyDescent="0.25">
      <c r="A1463" s="1">
        <v>45342</v>
      </c>
      <c r="B1463" t="s">
        <v>201</v>
      </c>
      <c r="C1463" t="s">
        <v>200</v>
      </c>
      <c r="D1463" s="2">
        <v>22.5</v>
      </c>
      <c r="E1463" s="2">
        <v>0</v>
      </c>
      <c r="F1463" s="2">
        <v>207755.93</v>
      </c>
      <c r="G1463" s="55" t="s">
        <v>1052</v>
      </c>
      <c r="H1463" t="s">
        <v>716</v>
      </c>
      <c r="J1463" s="7">
        <f t="shared" si="15"/>
        <v>0</v>
      </c>
    </row>
    <row r="1464" spans="1:10" hidden="1" x14ac:dyDescent="0.25">
      <c r="A1464" s="1">
        <v>45343</v>
      </c>
      <c r="B1464" t="s">
        <v>618</v>
      </c>
      <c r="D1464" s="2">
        <v>0</v>
      </c>
      <c r="E1464" s="2">
        <v>2167.2800000000002</v>
      </c>
      <c r="F1464" s="2">
        <v>278551.88</v>
      </c>
      <c r="G1464" t="s">
        <v>731</v>
      </c>
      <c r="H1464" t="s">
        <v>719</v>
      </c>
      <c r="J1464" s="7">
        <f t="shared" si="15"/>
        <v>-68628.670000000013</v>
      </c>
    </row>
    <row r="1465" spans="1:10" hidden="1" x14ac:dyDescent="0.25">
      <c r="A1465" s="1">
        <v>45343</v>
      </c>
      <c r="B1465" t="s">
        <v>472</v>
      </c>
      <c r="D1465" s="2">
        <v>351.62</v>
      </c>
      <c r="E1465" s="2">
        <v>0</v>
      </c>
      <c r="F1465" s="2">
        <v>278200.26</v>
      </c>
      <c r="G1465" t="s">
        <v>731</v>
      </c>
      <c r="H1465" t="s">
        <v>719</v>
      </c>
      <c r="J1465" s="7">
        <f t="shared" si="15"/>
        <v>0</v>
      </c>
    </row>
    <row r="1466" spans="1:10" hidden="1" x14ac:dyDescent="0.25">
      <c r="A1466" s="1">
        <v>45343</v>
      </c>
      <c r="B1466" t="s">
        <v>944</v>
      </c>
      <c r="D1466" s="2">
        <v>885</v>
      </c>
      <c r="E1466" s="2">
        <v>0</v>
      </c>
      <c r="F1466" s="2">
        <v>277315.26</v>
      </c>
      <c r="G1466" s="55" t="s">
        <v>729</v>
      </c>
      <c r="H1466" t="s">
        <v>719</v>
      </c>
      <c r="J1466" s="7">
        <f t="shared" si="15"/>
        <v>0</v>
      </c>
    </row>
    <row r="1467" spans="1:10" hidden="1" x14ac:dyDescent="0.25">
      <c r="A1467" s="1">
        <v>45343</v>
      </c>
      <c r="B1467" t="s">
        <v>472</v>
      </c>
      <c r="D1467" s="2">
        <v>14409.04</v>
      </c>
      <c r="E1467" s="2">
        <v>0</v>
      </c>
      <c r="F1467" s="2">
        <v>262906.21999999997</v>
      </c>
      <c r="G1467" t="s">
        <v>731</v>
      </c>
      <c r="H1467" t="s">
        <v>719</v>
      </c>
      <c r="J1467" s="7">
        <f t="shared" si="15"/>
        <v>0</v>
      </c>
    </row>
    <row r="1468" spans="1:10" hidden="1" x14ac:dyDescent="0.25">
      <c r="A1468" s="1">
        <v>45343</v>
      </c>
      <c r="B1468" t="s">
        <v>472</v>
      </c>
      <c r="D1468" s="2">
        <v>154262.63</v>
      </c>
      <c r="E1468" s="2">
        <v>0</v>
      </c>
      <c r="F1468" s="2">
        <v>108643.59</v>
      </c>
      <c r="G1468" t="s">
        <v>731</v>
      </c>
      <c r="H1468" t="s">
        <v>719</v>
      </c>
      <c r="J1468" s="7">
        <f t="shared" si="15"/>
        <v>0</v>
      </c>
    </row>
    <row r="1469" spans="1:10" hidden="1" x14ac:dyDescent="0.25">
      <c r="A1469" s="1">
        <v>45343</v>
      </c>
      <c r="B1469" t="s">
        <v>197</v>
      </c>
      <c r="C1469" t="s">
        <v>1012</v>
      </c>
      <c r="D1469" s="2">
        <v>165000</v>
      </c>
      <c r="E1469" s="2">
        <v>0</v>
      </c>
      <c r="F1469" s="2">
        <v>42755.93</v>
      </c>
      <c r="G1469" s="55" t="s">
        <v>724</v>
      </c>
      <c r="H1469" t="s">
        <v>716</v>
      </c>
      <c r="J1469" s="7">
        <f t="shared" si="15"/>
        <v>-99112.34</v>
      </c>
    </row>
    <row r="1470" spans="1:10" hidden="1" x14ac:dyDescent="0.25">
      <c r="A1470" s="1">
        <v>45343</v>
      </c>
      <c r="B1470" t="s">
        <v>201</v>
      </c>
      <c r="C1470" t="s">
        <v>200</v>
      </c>
      <c r="D1470" s="2">
        <v>23998.26</v>
      </c>
      <c r="E1470" s="2">
        <v>0</v>
      </c>
      <c r="F1470" s="2">
        <v>18757.669999999998</v>
      </c>
      <c r="G1470" s="55" t="s">
        <v>1052</v>
      </c>
      <c r="H1470" t="s">
        <v>716</v>
      </c>
      <c r="J1470" s="7">
        <f t="shared" si="15"/>
        <v>0</v>
      </c>
    </row>
    <row r="1471" spans="1:10" hidden="1" x14ac:dyDescent="0.25">
      <c r="A1471" s="1">
        <v>45343</v>
      </c>
      <c r="B1471" t="s">
        <v>181</v>
      </c>
      <c r="C1471" t="s">
        <v>987</v>
      </c>
      <c r="D1471" s="2">
        <v>0</v>
      </c>
      <c r="E1471" s="2">
        <v>165000</v>
      </c>
      <c r="F1471" s="2">
        <v>-824.37</v>
      </c>
      <c r="G1471" s="55" t="s">
        <v>724</v>
      </c>
      <c r="H1471" t="s">
        <v>718</v>
      </c>
      <c r="J1471" s="7">
        <f t="shared" si="15"/>
        <v>184582.03999999998</v>
      </c>
    </row>
    <row r="1472" spans="1:10" hidden="1" x14ac:dyDescent="0.25">
      <c r="A1472" s="1">
        <v>45344</v>
      </c>
      <c r="B1472" t="s">
        <v>472</v>
      </c>
      <c r="D1472" s="2">
        <v>296.68</v>
      </c>
      <c r="E1472" s="2">
        <v>0</v>
      </c>
      <c r="F1472" s="2">
        <v>108346.91</v>
      </c>
      <c r="G1472" t="s">
        <v>731</v>
      </c>
      <c r="H1472" t="s">
        <v>719</v>
      </c>
      <c r="J1472" s="7">
        <f t="shared" si="15"/>
        <v>-109467.96</v>
      </c>
    </row>
    <row r="1473" spans="1:10" hidden="1" x14ac:dyDescent="0.25">
      <c r="A1473" s="1">
        <v>45344</v>
      </c>
      <c r="B1473" t="s">
        <v>472</v>
      </c>
      <c r="D1473" s="2">
        <v>21557.58</v>
      </c>
      <c r="E1473" s="2">
        <v>0</v>
      </c>
      <c r="F1473" s="2">
        <v>86789.33</v>
      </c>
      <c r="G1473" t="s">
        <v>731</v>
      </c>
      <c r="H1473" t="s">
        <v>719</v>
      </c>
      <c r="J1473" s="7">
        <f t="shared" si="15"/>
        <v>0</v>
      </c>
    </row>
    <row r="1474" spans="1:10" hidden="1" x14ac:dyDescent="0.25">
      <c r="A1474" s="1">
        <v>45344</v>
      </c>
      <c r="B1474" t="s">
        <v>183</v>
      </c>
      <c r="C1474" t="s">
        <v>1013</v>
      </c>
      <c r="D1474" s="2">
        <v>0</v>
      </c>
      <c r="E1474" s="2">
        <v>1728.58</v>
      </c>
      <c r="F1474" s="2">
        <v>20486.25</v>
      </c>
      <c r="G1474" s="55" t="s">
        <v>1052</v>
      </c>
      <c r="H1474" t="s">
        <v>716</v>
      </c>
      <c r="J1474" s="7">
        <f t="shared" si="15"/>
        <v>68031.66</v>
      </c>
    </row>
    <row r="1475" spans="1:10" hidden="1" x14ac:dyDescent="0.25">
      <c r="A1475" s="1">
        <v>45345</v>
      </c>
      <c r="B1475" t="s">
        <v>886</v>
      </c>
      <c r="D1475" s="2">
        <v>1550</v>
      </c>
      <c r="E1475" s="2">
        <v>0</v>
      </c>
      <c r="F1475" s="2">
        <v>360138.94</v>
      </c>
      <c r="G1475" s="55" t="s">
        <v>793</v>
      </c>
      <c r="H1475" t="s">
        <v>715</v>
      </c>
      <c r="J1475" s="7">
        <f t="shared" si="15"/>
        <v>-341202.69</v>
      </c>
    </row>
    <row r="1476" spans="1:10" hidden="1" x14ac:dyDescent="0.25">
      <c r="A1476" s="1">
        <v>45345</v>
      </c>
      <c r="B1476" t="s">
        <v>887</v>
      </c>
      <c r="D1476" s="2">
        <v>370</v>
      </c>
      <c r="E1476" s="2">
        <v>0</v>
      </c>
      <c r="F1476" s="2">
        <v>359768.94</v>
      </c>
      <c r="G1476" s="55" t="s">
        <v>793</v>
      </c>
      <c r="H1476" t="s">
        <v>715</v>
      </c>
      <c r="J1476" s="7">
        <f t="shared" si="15"/>
        <v>0</v>
      </c>
    </row>
    <row r="1477" spans="1:10" hidden="1" x14ac:dyDescent="0.25">
      <c r="A1477" s="1">
        <v>45345</v>
      </c>
      <c r="B1477" t="s">
        <v>888</v>
      </c>
      <c r="D1477" s="2">
        <v>400</v>
      </c>
      <c r="E1477" s="2">
        <v>0</v>
      </c>
      <c r="F1477" s="2">
        <v>359368.94</v>
      </c>
      <c r="G1477" s="55" t="s">
        <v>792</v>
      </c>
      <c r="H1477" t="s">
        <v>715</v>
      </c>
      <c r="J1477" s="7">
        <f t="shared" si="15"/>
        <v>0</v>
      </c>
    </row>
    <row r="1478" spans="1:10" hidden="1" x14ac:dyDescent="0.25">
      <c r="A1478" s="1">
        <v>45345</v>
      </c>
      <c r="B1478" t="s">
        <v>618</v>
      </c>
      <c r="D1478" s="2">
        <v>0</v>
      </c>
      <c r="E1478" s="2">
        <v>803.09</v>
      </c>
      <c r="F1478" s="2">
        <v>87592.42</v>
      </c>
      <c r="G1478" t="s">
        <v>731</v>
      </c>
      <c r="H1478" t="s">
        <v>719</v>
      </c>
      <c r="J1478" s="7">
        <f t="shared" si="15"/>
        <v>272579.61000000004</v>
      </c>
    </row>
    <row r="1479" spans="1:10" hidden="1" x14ac:dyDescent="0.25">
      <c r="A1479" s="1">
        <v>45345</v>
      </c>
      <c r="B1479" t="s">
        <v>618</v>
      </c>
      <c r="D1479" s="2">
        <v>0</v>
      </c>
      <c r="E1479" s="2">
        <v>21668.720000000001</v>
      </c>
      <c r="F1479" s="2">
        <v>109261.14</v>
      </c>
      <c r="G1479" t="s">
        <v>731</v>
      </c>
      <c r="H1479" t="s">
        <v>719</v>
      </c>
      <c r="J1479" s="7">
        <f t="shared" si="15"/>
        <v>0</v>
      </c>
    </row>
    <row r="1480" spans="1:10" hidden="1" x14ac:dyDescent="0.25">
      <c r="A1480" s="1">
        <v>45345</v>
      </c>
      <c r="B1480" t="s">
        <v>472</v>
      </c>
      <c r="D1480" s="2">
        <v>346.63</v>
      </c>
      <c r="E1480" s="2">
        <v>0</v>
      </c>
      <c r="F1480" s="2">
        <v>108914.51</v>
      </c>
      <c r="G1480" t="s">
        <v>731</v>
      </c>
      <c r="H1480" t="s">
        <v>719</v>
      </c>
      <c r="J1480" s="7">
        <f t="shared" si="15"/>
        <v>0</v>
      </c>
    </row>
    <row r="1481" spans="1:10" hidden="1" x14ac:dyDescent="0.25">
      <c r="A1481" s="1">
        <v>45345</v>
      </c>
      <c r="B1481" t="s">
        <v>945</v>
      </c>
      <c r="D1481" s="2">
        <v>0</v>
      </c>
      <c r="E1481" s="2">
        <v>1200</v>
      </c>
      <c r="F1481" s="2">
        <v>110114.51</v>
      </c>
      <c r="G1481" s="55" t="s">
        <v>736</v>
      </c>
      <c r="H1481" t="s">
        <v>719</v>
      </c>
      <c r="J1481" s="7">
        <f t="shared" si="15"/>
        <v>0</v>
      </c>
    </row>
    <row r="1482" spans="1:10" hidden="1" x14ac:dyDescent="0.25">
      <c r="A1482" s="1">
        <v>45345</v>
      </c>
      <c r="B1482" t="s">
        <v>472</v>
      </c>
      <c r="D1482" s="2">
        <v>32230.33</v>
      </c>
      <c r="E1482" s="2">
        <v>0</v>
      </c>
      <c r="F1482" s="2">
        <v>77884.179999999993</v>
      </c>
      <c r="G1482" t="s">
        <v>731</v>
      </c>
      <c r="H1482" t="s">
        <v>719</v>
      </c>
      <c r="J1482" s="7">
        <f t="shared" si="15"/>
        <v>0</v>
      </c>
    </row>
    <row r="1483" spans="1:10" hidden="1" x14ac:dyDescent="0.25">
      <c r="A1483" s="1">
        <v>45345</v>
      </c>
      <c r="B1483" t="s">
        <v>1014</v>
      </c>
      <c r="C1483">
        <v>0</v>
      </c>
      <c r="D1483" s="2">
        <v>0</v>
      </c>
      <c r="E1483" s="2">
        <v>400</v>
      </c>
      <c r="F1483" s="2">
        <v>20886.25</v>
      </c>
      <c r="G1483" s="55" t="s">
        <v>736</v>
      </c>
      <c r="H1483" t="s">
        <v>716</v>
      </c>
      <c r="J1483" s="7">
        <f t="shared" si="15"/>
        <v>57397.929999999993</v>
      </c>
    </row>
    <row r="1484" spans="1:10" hidden="1" x14ac:dyDescent="0.25">
      <c r="A1484" s="1">
        <v>45345</v>
      </c>
      <c r="B1484" t="s">
        <v>267</v>
      </c>
      <c r="C1484" t="s">
        <v>1015</v>
      </c>
      <c r="D1484" s="2">
        <v>808.1</v>
      </c>
      <c r="E1484" s="2">
        <v>0</v>
      </c>
      <c r="F1484" s="2">
        <v>20078.150000000001</v>
      </c>
      <c r="G1484" s="55" t="s">
        <v>1052</v>
      </c>
      <c r="H1484" t="s">
        <v>716</v>
      </c>
      <c r="J1484" s="7">
        <f t="shared" si="15"/>
        <v>0</v>
      </c>
    </row>
    <row r="1485" spans="1:10" hidden="1" x14ac:dyDescent="0.25">
      <c r="A1485" s="1">
        <v>45346</v>
      </c>
      <c r="B1485" t="s">
        <v>889</v>
      </c>
      <c r="D1485" s="2">
        <v>30</v>
      </c>
      <c r="E1485" s="2">
        <v>0</v>
      </c>
      <c r="F1485" s="2">
        <v>359338.94</v>
      </c>
      <c r="G1485" s="55" t="s">
        <v>792</v>
      </c>
      <c r="H1485" t="s">
        <v>715</v>
      </c>
      <c r="J1485" s="7">
        <f t="shared" si="15"/>
        <v>-339290.79</v>
      </c>
    </row>
    <row r="1486" spans="1:10" hidden="1" x14ac:dyDescent="0.25">
      <c r="A1486" s="1">
        <v>45346</v>
      </c>
      <c r="B1486" t="s">
        <v>890</v>
      </c>
      <c r="D1486" s="2">
        <v>15</v>
      </c>
      <c r="E1486" s="2">
        <v>0</v>
      </c>
      <c r="F1486" s="2">
        <v>359323.94</v>
      </c>
      <c r="G1486" s="55" t="s">
        <v>792</v>
      </c>
      <c r="H1486" t="s">
        <v>715</v>
      </c>
      <c r="J1486" s="7">
        <f t="shared" si="15"/>
        <v>0</v>
      </c>
    </row>
    <row r="1487" spans="1:10" hidden="1" x14ac:dyDescent="0.25">
      <c r="A1487" s="1">
        <v>45346</v>
      </c>
      <c r="B1487" t="s">
        <v>891</v>
      </c>
      <c r="D1487" s="2">
        <v>15</v>
      </c>
      <c r="E1487" s="2">
        <v>0</v>
      </c>
      <c r="F1487" s="2">
        <v>359308.94</v>
      </c>
      <c r="G1487" s="55" t="s">
        <v>792</v>
      </c>
      <c r="H1487" t="s">
        <v>715</v>
      </c>
      <c r="J1487" s="7">
        <f t="shared" si="15"/>
        <v>0</v>
      </c>
    </row>
    <row r="1488" spans="1:10" hidden="1" x14ac:dyDescent="0.25">
      <c r="A1488" s="1">
        <v>45347</v>
      </c>
      <c r="B1488" t="s">
        <v>892</v>
      </c>
      <c r="D1488" s="2">
        <v>15000</v>
      </c>
      <c r="E1488" s="2">
        <v>0</v>
      </c>
      <c r="F1488" s="2">
        <v>344308.94</v>
      </c>
      <c r="G1488" s="55" t="s">
        <v>1044</v>
      </c>
      <c r="H1488" t="s">
        <v>715</v>
      </c>
      <c r="J1488" s="7">
        <f t="shared" si="15"/>
        <v>0</v>
      </c>
    </row>
    <row r="1489" spans="1:10" hidden="1" x14ac:dyDescent="0.25">
      <c r="A1489" s="1">
        <v>45348</v>
      </c>
      <c r="B1489" t="s">
        <v>946</v>
      </c>
      <c r="D1489" s="2">
        <v>0</v>
      </c>
      <c r="E1489" s="2">
        <v>400</v>
      </c>
      <c r="F1489" s="2">
        <v>78284.179999999993</v>
      </c>
      <c r="G1489" s="55" t="s">
        <v>736</v>
      </c>
      <c r="H1489" t="s">
        <v>719</v>
      </c>
      <c r="J1489" s="7">
        <f t="shared" si="15"/>
        <v>266424.76</v>
      </c>
    </row>
    <row r="1490" spans="1:10" hidden="1" x14ac:dyDescent="0.25">
      <c r="A1490" s="1">
        <v>45348</v>
      </c>
      <c r="B1490" t="s">
        <v>472</v>
      </c>
      <c r="D1490" s="2">
        <v>13236.46</v>
      </c>
      <c r="E1490" s="2">
        <v>0</v>
      </c>
      <c r="F1490" s="2">
        <v>65047.72</v>
      </c>
      <c r="G1490" t="s">
        <v>731</v>
      </c>
      <c r="H1490" t="s">
        <v>719</v>
      </c>
      <c r="J1490" s="7">
        <f t="shared" si="15"/>
        <v>0</v>
      </c>
    </row>
    <row r="1491" spans="1:10" hidden="1" x14ac:dyDescent="0.25">
      <c r="A1491" s="1">
        <v>45348</v>
      </c>
      <c r="B1491" t="s">
        <v>183</v>
      </c>
      <c r="C1491" t="s">
        <v>1016</v>
      </c>
      <c r="D1491" s="2">
        <v>0</v>
      </c>
      <c r="E1491" s="2">
        <v>54469.120000000003</v>
      </c>
      <c r="F1491" s="2">
        <v>74547.27</v>
      </c>
      <c r="G1491" s="55" t="s">
        <v>1052</v>
      </c>
      <c r="H1491" t="s">
        <v>716</v>
      </c>
      <c r="J1491" s="7">
        <f t="shared" si="15"/>
        <v>44969.569999999992</v>
      </c>
    </row>
    <row r="1492" spans="1:10" hidden="1" x14ac:dyDescent="0.25">
      <c r="A1492" s="1">
        <v>45349</v>
      </c>
      <c r="B1492" t="s">
        <v>472</v>
      </c>
      <c r="D1492" s="2">
        <v>391.37</v>
      </c>
      <c r="E1492" s="2">
        <v>0</v>
      </c>
      <c r="F1492" s="2">
        <v>64656.35</v>
      </c>
      <c r="G1492" t="s">
        <v>731</v>
      </c>
      <c r="H1492" t="s">
        <v>719</v>
      </c>
      <c r="J1492" s="7">
        <f t="shared" si="15"/>
        <v>9499.5500000000102</v>
      </c>
    </row>
    <row r="1493" spans="1:10" hidden="1" x14ac:dyDescent="0.25">
      <c r="A1493" s="1">
        <v>45349</v>
      </c>
      <c r="B1493" t="s">
        <v>947</v>
      </c>
      <c r="D1493" s="2">
        <v>0</v>
      </c>
      <c r="E1493" s="2">
        <v>400</v>
      </c>
      <c r="F1493" s="2">
        <v>65056.35</v>
      </c>
      <c r="G1493" s="55" t="s">
        <v>736</v>
      </c>
      <c r="H1493" t="s">
        <v>719</v>
      </c>
      <c r="J1493" s="7">
        <f t="shared" si="15"/>
        <v>0</v>
      </c>
    </row>
    <row r="1494" spans="1:10" hidden="1" x14ac:dyDescent="0.25">
      <c r="A1494" s="1">
        <v>45349</v>
      </c>
      <c r="B1494" t="s">
        <v>472</v>
      </c>
      <c r="D1494" s="2">
        <v>3570.55</v>
      </c>
      <c r="E1494" s="2">
        <v>0</v>
      </c>
      <c r="F1494" s="2">
        <v>61485.8</v>
      </c>
      <c r="G1494" t="s">
        <v>731</v>
      </c>
      <c r="H1494" t="s">
        <v>719</v>
      </c>
      <c r="J1494" s="7">
        <f t="shared" si="15"/>
        <v>0</v>
      </c>
    </row>
    <row r="1495" spans="1:10" hidden="1" x14ac:dyDescent="0.25">
      <c r="A1495" s="1">
        <v>45350</v>
      </c>
      <c r="B1495" t="s">
        <v>893</v>
      </c>
      <c r="D1495" s="2">
        <v>100000</v>
      </c>
      <c r="E1495" s="2">
        <v>0</v>
      </c>
      <c r="F1495" s="2">
        <v>244308.94</v>
      </c>
      <c r="G1495" s="55" t="s">
        <v>724</v>
      </c>
      <c r="H1495" t="s">
        <v>715</v>
      </c>
      <c r="J1495" s="7">
        <f t="shared" si="15"/>
        <v>-282823.14</v>
      </c>
    </row>
    <row r="1496" spans="1:10" hidden="1" x14ac:dyDescent="0.25">
      <c r="A1496" s="1">
        <v>45350</v>
      </c>
      <c r="B1496" t="s">
        <v>51</v>
      </c>
      <c r="D1496" s="2">
        <v>100000</v>
      </c>
      <c r="E1496" s="2">
        <v>0</v>
      </c>
      <c r="F1496" s="2">
        <v>144308.94</v>
      </c>
      <c r="G1496" s="55" t="s">
        <v>1045</v>
      </c>
      <c r="H1496" t="s">
        <v>715</v>
      </c>
      <c r="J1496" s="7">
        <f t="shared" si="15"/>
        <v>0</v>
      </c>
    </row>
    <row r="1497" spans="1:10" hidden="1" x14ac:dyDescent="0.25">
      <c r="A1497" s="1">
        <v>45350</v>
      </c>
      <c r="B1497" t="s">
        <v>472</v>
      </c>
      <c r="D1497" s="2">
        <v>397.64</v>
      </c>
      <c r="E1497" s="2">
        <v>0</v>
      </c>
      <c r="F1497" s="2">
        <v>61088.160000000003</v>
      </c>
      <c r="G1497" t="s">
        <v>731</v>
      </c>
      <c r="H1497" t="s">
        <v>719</v>
      </c>
      <c r="J1497" s="7">
        <f t="shared" si="15"/>
        <v>82823.139999999985</v>
      </c>
    </row>
    <row r="1498" spans="1:10" hidden="1" x14ac:dyDescent="0.25">
      <c r="A1498" s="1">
        <v>45350</v>
      </c>
      <c r="B1498" t="s">
        <v>948</v>
      </c>
      <c r="D1498" s="2">
        <v>0</v>
      </c>
      <c r="E1498" s="2">
        <v>100000</v>
      </c>
      <c r="F1498" s="2">
        <v>161088.16</v>
      </c>
      <c r="G1498" s="55" t="s">
        <v>724</v>
      </c>
      <c r="H1498" t="s">
        <v>719</v>
      </c>
      <c r="J1498" s="7">
        <f t="shared" si="15"/>
        <v>0</v>
      </c>
    </row>
    <row r="1499" spans="1:10" hidden="1" x14ac:dyDescent="0.25">
      <c r="A1499" s="1">
        <v>45350</v>
      </c>
      <c r="B1499" t="s">
        <v>949</v>
      </c>
      <c r="D1499" s="2">
        <v>0</v>
      </c>
      <c r="E1499" s="2">
        <v>216</v>
      </c>
      <c r="F1499" s="2">
        <v>161304.16</v>
      </c>
      <c r="G1499" s="55" t="s">
        <v>736</v>
      </c>
      <c r="H1499" t="s">
        <v>719</v>
      </c>
      <c r="J1499" s="7">
        <f t="shared" si="15"/>
        <v>0</v>
      </c>
    </row>
    <row r="1500" spans="1:10" hidden="1" x14ac:dyDescent="0.25">
      <c r="A1500" s="1">
        <v>45350</v>
      </c>
      <c r="B1500" t="s">
        <v>472</v>
      </c>
      <c r="D1500" s="2">
        <v>36882.36</v>
      </c>
      <c r="E1500" s="2">
        <v>0</v>
      </c>
      <c r="F1500" s="2">
        <v>124421.8</v>
      </c>
      <c r="G1500" t="s">
        <v>731</v>
      </c>
      <c r="H1500" t="s">
        <v>719</v>
      </c>
      <c r="J1500" s="7">
        <f t="shared" si="15"/>
        <v>0</v>
      </c>
    </row>
    <row r="1501" spans="1:10" hidden="1" x14ac:dyDescent="0.25">
      <c r="A1501" s="1">
        <v>45350</v>
      </c>
      <c r="B1501" t="s">
        <v>234</v>
      </c>
      <c r="C1501" t="s">
        <v>1017</v>
      </c>
      <c r="D1501" s="2">
        <v>0</v>
      </c>
      <c r="E1501" s="2">
        <v>100000</v>
      </c>
      <c r="F1501" s="2">
        <v>174547.27</v>
      </c>
      <c r="G1501" s="55" t="s">
        <v>724</v>
      </c>
      <c r="H1501" t="s">
        <v>716</v>
      </c>
      <c r="J1501" s="7">
        <f t="shared" si="15"/>
        <v>49874.53</v>
      </c>
    </row>
    <row r="1502" spans="1:10" hidden="1" x14ac:dyDescent="0.25">
      <c r="A1502" s="1">
        <v>45350</v>
      </c>
      <c r="B1502" t="s">
        <v>377</v>
      </c>
      <c r="C1502" t="s">
        <v>988</v>
      </c>
      <c r="D1502" s="2">
        <v>100000</v>
      </c>
      <c r="E1502" s="2">
        <v>0</v>
      </c>
      <c r="F1502" s="2">
        <v>-100824.37</v>
      </c>
      <c r="G1502" s="55" t="s">
        <v>724</v>
      </c>
      <c r="H1502" t="s">
        <v>718</v>
      </c>
      <c r="J1502" s="7">
        <f t="shared" si="15"/>
        <v>175371.63999999998</v>
      </c>
    </row>
    <row r="1503" spans="1:10" hidden="1" x14ac:dyDescent="0.25">
      <c r="A1503" s="1">
        <v>45351</v>
      </c>
      <c r="B1503" t="s">
        <v>894</v>
      </c>
      <c r="D1503" s="2">
        <v>400</v>
      </c>
      <c r="E1503" s="2">
        <v>0</v>
      </c>
      <c r="F1503" s="2">
        <v>143908.94</v>
      </c>
      <c r="G1503" s="55" t="s">
        <v>792</v>
      </c>
      <c r="H1503" t="s">
        <v>715</v>
      </c>
      <c r="J1503" s="7">
        <f t="shared" si="15"/>
        <v>-245133.31</v>
      </c>
    </row>
    <row r="1504" spans="1:10" hidden="1" x14ac:dyDescent="0.25">
      <c r="A1504" s="1">
        <v>45351</v>
      </c>
      <c r="B1504" t="s">
        <v>472</v>
      </c>
      <c r="D1504" s="2">
        <v>384.5</v>
      </c>
      <c r="E1504" s="2">
        <v>0</v>
      </c>
      <c r="F1504" s="2">
        <v>124037.3</v>
      </c>
      <c r="G1504" t="s">
        <v>731</v>
      </c>
      <c r="H1504" t="s">
        <v>719</v>
      </c>
      <c r="J1504" s="7">
        <f t="shared" si="15"/>
        <v>19487.14</v>
      </c>
    </row>
    <row r="1505" spans="1:10" hidden="1" x14ac:dyDescent="0.25">
      <c r="A1505" s="1">
        <v>45351</v>
      </c>
      <c r="B1505" t="s">
        <v>950</v>
      </c>
      <c r="D1505" s="2">
        <v>0</v>
      </c>
      <c r="E1505" s="2">
        <v>63</v>
      </c>
      <c r="F1505" s="2">
        <v>124100.3</v>
      </c>
      <c r="G1505" s="55" t="s">
        <v>736</v>
      </c>
      <c r="H1505" t="s">
        <v>719</v>
      </c>
      <c r="J1505" s="7">
        <f t="shared" si="15"/>
        <v>0</v>
      </c>
    </row>
    <row r="1506" spans="1:10" hidden="1" x14ac:dyDescent="0.25">
      <c r="A1506" s="1">
        <v>45351</v>
      </c>
      <c r="B1506" t="s">
        <v>535</v>
      </c>
      <c r="D1506" s="2">
        <v>50000</v>
      </c>
      <c r="E1506" s="2">
        <v>0</v>
      </c>
      <c r="F1506" s="2">
        <v>74100.3</v>
      </c>
      <c r="G1506" t="s">
        <v>726</v>
      </c>
      <c r="H1506" t="s">
        <v>719</v>
      </c>
      <c r="J1506" s="7">
        <f t="shared" si="15"/>
        <v>0</v>
      </c>
    </row>
    <row r="1507" spans="1:10" hidden="1" x14ac:dyDescent="0.25">
      <c r="A1507" s="1">
        <v>45351</v>
      </c>
      <c r="B1507" t="s">
        <v>951</v>
      </c>
      <c r="D1507" s="2">
        <v>0</v>
      </c>
      <c r="E1507" s="2">
        <v>144</v>
      </c>
      <c r="F1507" s="2">
        <v>74244.3</v>
      </c>
      <c r="G1507" s="55" t="s">
        <v>736</v>
      </c>
      <c r="H1507" t="s">
        <v>719</v>
      </c>
      <c r="J1507" s="7">
        <f t="shared" si="15"/>
        <v>0</v>
      </c>
    </row>
    <row r="1508" spans="1:10" hidden="1" x14ac:dyDescent="0.25">
      <c r="A1508" s="1">
        <v>45351</v>
      </c>
      <c r="B1508" t="s">
        <v>619</v>
      </c>
      <c r="D1508" s="2">
        <v>0</v>
      </c>
      <c r="E1508" s="2">
        <v>584.66</v>
      </c>
      <c r="F1508" s="2">
        <v>74828.960000000006</v>
      </c>
      <c r="G1508" s="55" t="s">
        <v>1052</v>
      </c>
      <c r="H1508" t="s">
        <v>719</v>
      </c>
      <c r="J1508" s="7">
        <f t="shared" si="15"/>
        <v>0</v>
      </c>
    </row>
    <row r="1509" spans="1:10" hidden="1" x14ac:dyDescent="0.25">
      <c r="A1509" s="1">
        <v>45351</v>
      </c>
      <c r="B1509" t="s">
        <v>380</v>
      </c>
      <c r="C1509">
        <v>0</v>
      </c>
      <c r="D1509" s="2">
        <v>935</v>
      </c>
      <c r="E1509" s="2">
        <v>0</v>
      </c>
      <c r="F1509" s="2">
        <v>-101759.37</v>
      </c>
      <c r="G1509" s="55" t="s">
        <v>729</v>
      </c>
      <c r="H1509" t="s">
        <v>718</v>
      </c>
      <c r="J1509" s="7">
        <f t="shared" si="15"/>
        <v>175653.33000000002</v>
      </c>
    </row>
    <row r="1510" spans="1:10" hidden="1" x14ac:dyDescent="0.25">
      <c r="A1510" s="1">
        <v>45352</v>
      </c>
      <c r="B1510" t="s">
        <v>618</v>
      </c>
      <c r="D1510" s="2">
        <v>0</v>
      </c>
      <c r="E1510" s="2">
        <v>264.81</v>
      </c>
      <c r="F1510" s="2">
        <v>75093.77</v>
      </c>
      <c r="G1510" t="s">
        <v>731</v>
      </c>
      <c r="H1510" t="s">
        <v>719</v>
      </c>
      <c r="J1510" s="7">
        <f t="shared" si="15"/>
        <v>-176588.33000000002</v>
      </c>
    </row>
    <row r="1511" spans="1:10" hidden="1" x14ac:dyDescent="0.25">
      <c r="A1511" s="1">
        <v>45352</v>
      </c>
      <c r="B1511" t="s">
        <v>618</v>
      </c>
      <c r="D1511" s="2">
        <v>0</v>
      </c>
      <c r="E1511" s="2">
        <v>54098.43</v>
      </c>
      <c r="F1511" s="2">
        <v>129192.2</v>
      </c>
      <c r="G1511" t="s">
        <v>731</v>
      </c>
      <c r="H1511" t="s">
        <v>719</v>
      </c>
      <c r="J1511" s="7">
        <f t="shared" si="15"/>
        <v>0</v>
      </c>
    </row>
    <row r="1512" spans="1:10" hidden="1" x14ac:dyDescent="0.25">
      <c r="A1512" s="1">
        <v>45352</v>
      </c>
      <c r="B1512" t="s">
        <v>472</v>
      </c>
      <c r="D1512" s="2">
        <v>410.91</v>
      </c>
      <c r="E1512" s="2">
        <v>0</v>
      </c>
      <c r="F1512" s="2">
        <v>128781.29</v>
      </c>
      <c r="G1512" t="s">
        <v>731</v>
      </c>
      <c r="H1512" t="s">
        <v>719</v>
      </c>
      <c r="J1512" s="7">
        <f t="shared" si="15"/>
        <v>0</v>
      </c>
    </row>
    <row r="1513" spans="1:10" hidden="1" x14ac:dyDescent="0.25">
      <c r="A1513" s="1">
        <v>45352</v>
      </c>
      <c r="B1513" t="s">
        <v>952</v>
      </c>
      <c r="D1513" s="2">
        <v>0</v>
      </c>
      <c r="E1513" s="2">
        <v>108</v>
      </c>
      <c r="F1513" s="2">
        <v>128889.29</v>
      </c>
      <c r="G1513" s="55" t="s">
        <v>736</v>
      </c>
      <c r="H1513" t="s">
        <v>719</v>
      </c>
      <c r="J1513" s="7">
        <f t="shared" si="15"/>
        <v>0</v>
      </c>
    </row>
    <row r="1514" spans="1:10" hidden="1" x14ac:dyDescent="0.25">
      <c r="A1514" s="1">
        <v>45352</v>
      </c>
      <c r="B1514" t="s">
        <v>472</v>
      </c>
      <c r="D1514" s="2">
        <v>62422.8</v>
      </c>
      <c r="E1514" s="2">
        <v>0</v>
      </c>
      <c r="F1514" s="2">
        <v>66466.490000000005</v>
      </c>
      <c r="G1514" t="s">
        <v>731</v>
      </c>
      <c r="H1514" t="s">
        <v>719</v>
      </c>
      <c r="J1514" s="7">
        <f t="shared" si="15"/>
        <v>0</v>
      </c>
    </row>
    <row r="1515" spans="1:10" hidden="1" x14ac:dyDescent="0.25">
      <c r="A1515" s="1">
        <v>45352</v>
      </c>
      <c r="B1515" t="s">
        <v>1018</v>
      </c>
      <c r="C1515" t="s">
        <v>1019</v>
      </c>
      <c r="D1515" s="2">
        <v>5000</v>
      </c>
      <c r="E1515" s="2">
        <v>0</v>
      </c>
      <c r="F1515" s="2">
        <v>169547.27</v>
      </c>
      <c r="G1515" s="55" t="s">
        <v>1052</v>
      </c>
      <c r="H1515" t="s">
        <v>716</v>
      </c>
      <c r="J1515" s="7">
        <f t="shared" si="15"/>
        <v>-108080.77999999998</v>
      </c>
    </row>
    <row r="1516" spans="1:10" hidden="1" x14ac:dyDescent="0.25">
      <c r="A1516" s="1">
        <v>45353</v>
      </c>
      <c r="B1516" t="s">
        <v>953</v>
      </c>
      <c r="D1516" s="2">
        <v>0</v>
      </c>
      <c r="E1516" s="2">
        <v>50000</v>
      </c>
      <c r="F1516" s="2">
        <v>116466.49</v>
      </c>
      <c r="G1516" s="55" t="s">
        <v>764</v>
      </c>
      <c r="H1516" t="s">
        <v>719</v>
      </c>
      <c r="J1516" s="7">
        <f t="shared" si="15"/>
        <v>103080.77999999998</v>
      </c>
    </row>
    <row r="1517" spans="1:10" hidden="1" x14ac:dyDescent="0.25">
      <c r="A1517" s="1">
        <v>45353</v>
      </c>
      <c r="B1517" t="s">
        <v>954</v>
      </c>
      <c r="D1517" s="2">
        <v>0</v>
      </c>
      <c r="E1517" s="2">
        <v>22.66</v>
      </c>
      <c r="F1517" s="2">
        <v>116489.15</v>
      </c>
      <c r="G1517" s="55" t="s">
        <v>1052</v>
      </c>
      <c r="H1517" t="s">
        <v>719</v>
      </c>
      <c r="J1517" s="7">
        <f t="shared" si="15"/>
        <v>0</v>
      </c>
    </row>
    <row r="1518" spans="1:10" hidden="1" x14ac:dyDescent="0.25">
      <c r="A1518" s="1">
        <v>45353</v>
      </c>
      <c r="B1518" t="s">
        <v>955</v>
      </c>
      <c r="D1518" s="2">
        <v>0</v>
      </c>
      <c r="E1518" s="2">
        <v>6.4</v>
      </c>
      <c r="F1518" s="2">
        <v>116495.55</v>
      </c>
      <c r="G1518" s="55" t="s">
        <v>1052</v>
      </c>
      <c r="H1518" t="s">
        <v>719</v>
      </c>
      <c r="J1518" s="7">
        <f t="shared" si="15"/>
        <v>0</v>
      </c>
    </row>
    <row r="1519" spans="1:10" hidden="1" x14ac:dyDescent="0.25">
      <c r="A1519" s="1">
        <v>45353</v>
      </c>
      <c r="B1519" t="s">
        <v>956</v>
      </c>
      <c r="D1519" s="2">
        <v>0</v>
      </c>
      <c r="E1519" s="2">
        <v>4.93</v>
      </c>
      <c r="F1519" s="2">
        <v>116500.48</v>
      </c>
      <c r="G1519" s="55" t="s">
        <v>1052</v>
      </c>
      <c r="H1519" t="s">
        <v>719</v>
      </c>
      <c r="J1519" s="7">
        <f t="shared" si="15"/>
        <v>0</v>
      </c>
    </row>
    <row r="1520" spans="1:10" hidden="1" x14ac:dyDescent="0.25">
      <c r="A1520" s="1">
        <v>45353</v>
      </c>
      <c r="B1520" t="s">
        <v>957</v>
      </c>
      <c r="D1520" s="2">
        <v>0</v>
      </c>
      <c r="E1520" s="2">
        <v>8.86</v>
      </c>
      <c r="F1520" s="2">
        <v>116509.34</v>
      </c>
      <c r="G1520" s="55" t="s">
        <v>1052</v>
      </c>
      <c r="H1520" t="s">
        <v>719</v>
      </c>
      <c r="J1520" s="7">
        <f t="shared" si="15"/>
        <v>0</v>
      </c>
    </row>
    <row r="1521" spans="1:10" hidden="1" x14ac:dyDescent="0.25">
      <c r="A1521" s="1">
        <v>45353</v>
      </c>
      <c r="B1521" t="s">
        <v>958</v>
      </c>
      <c r="D1521" s="2">
        <v>0</v>
      </c>
      <c r="E1521" s="2">
        <v>14.03</v>
      </c>
      <c r="F1521" s="2">
        <v>116523.37</v>
      </c>
      <c r="G1521" s="55" t="s">
        <v>1052</v>
      </c>
      <c r="H1521" t="s">
        <v>719</v>
      </c>
      <c r="J1521" s="7">
        <f t="shared" si="15"/>
        <v>0</v>
      </c>
    </row>
    <row r="1522" spans="1:10" hidden="1" x14ac:dyDescent="0.25">
      <c r="A1522" s="1">
        <v>45353</v>
      </c>
      <c r="B1522" t="s">
        <v>214</v>
      </c>
      <c r="C1522" t="s">
        <v>206</v>
      </c>
      <c r="D1522" s="2">
        <v>26595</v>
      </c>
      <c r="E1522" s="2">
        <v>0</v>
      </c>
      <c r="F1522" s="2">
        <v>142952.26999999999</v>
      </c>
      <c r="G1522" s="55" t="s">
        <v>724</v>
      </c>
      <c r="H1522" t="s">
        <v>716</v>
      </c>
      <c r="J1522" s="7">
        <f t="shared" si="15"/>
        <v>-53023.899999999994</v>
      </c>
    </row>
    <row r="1523" spans="1:10" hidden="1" x14ac:dyDescent="0.25">
      <c r="A1523" s="1">
        <v>45353</v>
      </c>
      <c r="B1523" t="s">
        <v>197</v>
      </c>
      <c r="C1523" t="s">
        <v>1020</v>
      </c>
      <c r="D1523" s="2">
        <v>75000</v>
      </c>
      <c r="E1523" s="2">
        <v>0</v>
      </c>
      <c r="F1523" s="2">
        <v>67952.27</v>
      </c>
      <c r="G1523" s="55" t="s">
        <v>724</v>
      </c>
      <c r="H1523" t="s">
        <v>716</v>
      </c>
      <c r="J1523" s="7">
        <f t="shared" si="15"/>
        <v>0</v>
      </c>
    </row>
    <row r="1524" spans="1:10" hidden="1" x14ac:dyDescent="0.25">
      <c r="A1524" s="1">
        <v>45353</v>
      </c>
      <c r="B1524" t="s">
        <v>371</v>
      </c>
      <c r="C1524" t="s">
        <v>372</v>
      </c>
      <c r="D1524" s="2">
        <v>0</v>
      </c>
      <c r="E1524" s="2">
        <v>26595</v>
      </c>
      <c r="F1524" s="2">
        <v>-75164.37</v>
      </c>
      <c r="G1524" s="55" t="s">
        <v>724</v>
      </c>
      <c r="H1524" t="s">
        <v>718</v>
      </c>
      <c r="J1524" s="7">
        <f t="shared" ref="J1524:J1587" si="16">F1523-D1524+E1524-F1524</f>
        <v>169711.64</v>
      </c>
    </row>
    <row r="1525" spans="1:10" hidden="1" x14ac:dyDescent="0.25">
      <c r="A1525" s="1">
        <v>45353</v>
      </c>
      <c r="B1525" t="s">
        <v>181</v>
      </c>
      <c r="C1525" t="s">
        <v>989</v>
      </c>
      <c r="D1525" s="2">
        <v>0</v>
      </c>
      <c r="E1525" s="2">
        <v>75000</v>
      </c>
      <c r="F1525" s="2">
        <v>-164.37</v>
      </c>
      <c r="G1525" s="55" t="s">
        <v>724</v>
      </c>
      <c r="H1525" t="s">
        <v>718</v>
      </c>
      <c r="J1525" s="7">
        <f t="shared" si="16"/>
        <v>4.6611603465862572E-12</v>
      </c>
    </row>
    <row r="1526" spans="1:10" hidden="1" x14ac:dyDescent="0.25">
      <c r="A1526" s="1">
        <v>45354</v>
      </c>
      <c r="B1526" t="s">
        <v>877</v>
      </c>
      <c r="D1526" s="2">
        <v>0</v>
      </c>
      <c r="E1526" s="2">
        <v>100000</v>
      </c>
      <c r="F1526" s="2">
        <v>243908.94</v>
      </c>
      <c r="G1526" s="55" t="s">
        <v>1046</v>
      </c>
      <c r="H1526" t="s">
        <v>715</v>
      </c>
      <c r="J1526" s="7">
        <f t="shared" si="16"/>
        <v>-144073.31</v>
      </c>
    </row>
    <row r="1527" spans="1:10" hidden="1" x14ac:dyDescent="0.25">
      <c r="A1527" s="1">
        <v>45354</v>
      </c>
      <c r="B1527" t="s">
        <v>895</v>
      </c>
      <c r="D1527" s="2">
        <v>350</v>
      </c>
      <c r="E1527" s="2">
        <v>0</v>
      </c>
      <c r="F1527" s="2">
        <v>243558.94</v>
      </c>
      <c r="G1527" s="55" t="s">
        <v>792</v>
      </c>
      <c r="H1527" t="s">
        <v>715</v>
      </c>
      <c r="J1527" s="7">
        <f t="shared" si="16"/>
        <v>0</v>
      </c>
    </row>
    <row r="1528" spans="1:10" hidden="1" x14ac:dyDescent="0.25">
      <c r="A1528" s="1">
        <v>45354</v>
      </c>
      <c r="B1528" t="s">
        <v>896</v>
      </c>
      <c r="D1528" s="2">
        <v>10000</v>
      </c>
      <c r="E1528" s="2">
        <v>0</v>
      </c>
      <c r="F1528" s="2">
        <v>233558.94</v>
      </c>
      <c r="G1528" t="s">
        <v>734</v>
      </c>
      <c r="H1528" t="s">
        <v>715</v>
      </c>
      <c r="J1528" s="7">
        <f t="shared" si="16"/>
        <v>0</v>
      </c>
    </row>
    <row r="1529" spans="1:10" hidden="1" x14ac:dyDescent="0.25">
      <c r="A1529" s="1">
        <v>45355</v>
      </c>
      <c r="B1529" t="s">
        <v>897</v>
      </c>
      <c r="D1529" s="2">
        <v>60</v>
      </c>
      <c r="E1529" s="2">
        <v>0</v>
      </c>
      <c r="F1529" s="2">
        <v>233498.94</v>
      </c>
      <c r="G1529" s="55" t="s">
        <v>792</v>
      </c>
      <c r="H1529" t="s">
        <v>715</v>
      </c>
      <c r="J1529" s="7">
        <f t="shared" si="16"/>
        <v>0</v>
      </c>
    </row>
    <row r="1530" spans="1:10" hidden="1" x14ac:dyDescent="0.25">
      <c r="A1530" s="1">
        <v>45355</v>
      </c>
      <c r="B1530" t="s">
        <v>618</v>
      </c>
      <c r="D1530" s="2">
        <v>0</v>
      </c>
      <c r="E1530" s="2">
        <v>4327.46</v>
      </c>
      <c r="F1530" s="2">
        <v>120850.83</v>
      </c>
      <c r="G1530" t="s">
        <v>731</v>
      </c>
      <c r="H1530" t="s">
        <v>719</v>
      </c>
      <c r="J1530" s="7">
        <f t="shared" si="16"/>
        <v>116975.56999999999</v>
      </c>
    </row>
    <row r="1531" spans="1:10" hidden="1" x14ac:dyDescent="0.25">
      <c r="A1531" s="1">
        <v>45355</v>
      </c>
      <c r="B1531" t="s">
        <v>618</v>
      </c>
      <c r="D1531" s="2">
        <v>0</v>
      </c>
      <c r="E1531" s="2">
        <v>29663.63</v>
      </c>
      <c r="F1531" s="2">
        <v>150514.46</v>
      </c>
      <c r="G1531" t="s">
        <v>731</v>
      </c>
      <c r="H1531" t="s">
        <v>719</v>
      </c>
      <c r="J1531" s="7">
        <f t="shared" si="16"/>
        <v>0</v>
      </c>
    </row>
    <row r="1532" spans="1:10" hidden="1" x14ac:dyDescent="0.25">
      <c r="A1532" s="1">
        <v>45355</v>
      </c>
      <c r="B1532" t="s">
        <v>472</v>
      </c>
      <c r="D1532" s="2">
        <v>1179.3900000000001</v>
      </c>
      <c r="E1532" s="2">
        <v>0</v>
      </c>
      <c r="F1532" s="2">
        <v>149335.07</v>
      </c>
      <c r="G1532" t="s">
        <v>731</v>
      </c>
      <c r="H1532" t="s">
        <v>719</v>
      </c>
      <c r="J1532" s="7">
        <f t="shared" si="16"/>
        <v>0</v>
      </c>
    </row>
    <row r="1533" spans="1:10" hidden="1" x14ac:dyDescent="0.25">
      <c r="A1533" s="1">
        <v>45355</v>
      </c>
      <c r="B1533" t="s">
        <v>472</v>
      </c>
      <c r="D1533" s="2">
        <v>45138.7</v>
      </c>
      <c r="E1533" s="2">
        <v>0</v>
      </c>
      <c r="F1533" s="2">
        <v>104196.37</v>
      </c>
      <c r="G1533" t="s">
        <v>731</v>
      </c>
      <c r="H1533" t="s">
        <v>719</v>
      </c>
      <c r="J1533" s="7">
        <f t="shared" si="16"/>
        <v>0</v>
      </c>
    </row>
    <row r="1534" spans="1:10" hidden="1" x14ac:dyDescent="0.25">
      <c r="A1534" s="1">
        <v>45356</v>
      </c>
      <c r="B1534" t="s">
        <v>898</v>
      </c>
      <c r="D1534" s="2">
        <v>20000</v>
      </c>
      <c r="E1534" s="2">
        <v>0</v>
      </c>
      <c r="F1534" s="2">
        <v>213498.94</v>
      </c>
      <c r="G1534" s="55" t="s">
        <v>792</v>
      </c>
      <c r="H1534" t="s">
        <v>715</v>
      </c>
      <c r="J1534" s="7">
        <f t="shared" si="16"/>
        <v>-129302.57</v>
      </c>
    </row>
    <row r="1535" spans="1:10" hidden="1" x14ac:dyDescent="0.25">
      <c r="A1535" s="1">
        <v>45356</v>
      </c>
      <c r="B1535" t="s">
        <v>472</v>
      </c>
      <c r="D1535" s="2">
        <v>102200.86</v>
      </c>
      <c r="E1535" s="2">
        <v>0</v>
      </c>
      <c r="F1535" s="2">
        <v>1995.51</v>
      </c>
      <c r="G1535" t="s">
        <v>731</v>
      </c>
      <c r="H1535" t="s">
        <v>719</v>
      </c>
      <c r="J1535" s="7">
        <f t="shared" si="16"/>
        <v>109302.57</v>
      </c>
    </row>
    <row r="1536" spans="1:10" hidden="1" x14ac:dyDescent="0.25">
      <c r="A1536" s="1">
        <v>45356</v>
      </c>
      <c r="B1536" t="s">
        <v>959</v>
      </c>
      <c r="D1536" s="2">
        <v>0</v>
      </c>
      <c r="E1536" s="2">
        <v>20000</v>
      </c>
      <c r="F1536" s="2">
        <v>21995.51</v>
      </c>
      <c r="G1536" s="55" t="s">
        <v>1052</v>
      </c>
      <c r="H1536" t="s">
        <v>719</v>
      </c>
      <c r="J1536" s="7">
        <f t="shared" si="16"/>
        <v>0</v>
      </c>
    </row>
    <row r="1537" spans="1:10" hidden="1" x14ac:dyDescent="0.25">
      <c r="A1537" s="1">
        <v>45356</v>
      </c>
      <c r="B1537" t="s">
        <v>472</v>
      </c>
      <c r="D1537" s="2">
        <v>380.51</v>
      </c>
      <c r="E1537" s="2">
        <v>0</v>
      </c>
      <c r="F1537" s="2">
        <v>21615</v>
      </c>
      <c r="G1537" t="s">
        <v>731</v>
      </c>
      <c r="H1537" t="s">
        <v>719</v>
      </c>
      <c r="J1537" s="7">
        <f t="shared" si="16"/>
        <v>0</v>
      </c>
    </row>
    <row r="1538" spans="1:10" hidden="1" x14ac:dyDescent="0.25">
      <c r="A1538" s="1">
        <v>45356</v>
      </c>
      <c r="B1538" t="s">
        <v>472</v>
      </c>
      <c r="D1538" s="2">
        <v>2061.5</v>
      </c>
      <c r="E1538" s="2">
        <v>0</v>
      </c>
      <c r="F1538" s="2">
        <v>19553.5</v>
      </c>
      <c r="G1538" t="s">
        <v>731</v>
      </c>
      <c r="H1538" t="s">
        <v>719</v>
      </c>
      <c r="J1538" s="7">
        <f t="shared" si="16"/>
        <v>0</v>
      </c>
    </row>
    <row r="1539" spans="1:10" hidden="1" x14ac:dyDescent="0.25">
      <c r="A1539" s="1">
        <v>45357</v>
      </c>
      <c r="B1539" t="s">
        <v>472</v>
      </c>
      <c r="D1539" s="2">
        <v>408.54</v>
      </c>
      <c r="E1539" s="2">
        <v>0</v>
      </c>
      <c r="F1539" s="2">
        <v>19144.96</v>
      </c>
      <c r="G1539" t="s">
        <v>731</v>
      </c>
      <c r="H1539" t="s">
        <v>719</v>
      </c>
      <c r="J1539" s="7">
        <f t="shared" si="16"/>
        <v>0</v>
      </c>
    </row>
    <row r="1540" spans="1:10" hidden="1" x14ac:dyDescent="0.25">
      <c r="A1540" s="1">
        <v>45357</v>
      </c>
      <c r="B1540" t="s">
        <v>472</v>
      </c>
      <c r="D1540" s="2">
        <v>8858.68</v>
      </c>
      <c r="E1540" s="2">
        <v>0</v>
      </c>
      <c r="F1540" s="2">
        <v>10286.280000000001</v>
      </c>
      <c r="G1540" t="s">
        <v>731</v>
      </c>
      <c r="H1540" t="s">
        <v>719</v>
      </c>
      <c r="J1540" s="7">
        <f t="shared" si="16"/>
        <v>0</v>
      </c>
    </row>
    <row r="1541" spans="1:10" hidden="1" x14ac:dyDescent="0.25">
      <c r="A1541" s="1">
        <v>45358</v>
      </c>
      <c r="B1541" t="s">
        <v>618</v>
      </c>
      <c r="D1541" s="2">
        <v>0</v>
      </c>
      <c r="E1541" s="2">
        <v>21046.83</v>
      </c>
      <c r="F1541" s="2">
        <v>31333.11</v>
      </c>
      <c r="G1541" t="s">
        <v>731</v>
      </c>
      <c r="H1541" t="s">
        <v>719</v>
      </c>
      <c r="J1541" s="7">
        <f t="shared" si="16"/>
        <v>0</v>
      </c>
    </row>
    <row r="1542" spans="1:10" hidden="1" x14ac:dyDescent="0.25">
      <c r="A1542" s="1">
        <v>45358</v>
      </c>
      <c r="B1542" t="s">
        <v>472</v>
      </c>
      <c r="D1542" s="2">
        <v>405.38</v>
      </c>
      <c r="E1542" s="2">
        <v>0</v>
      </c>
      <c r="F1542" s="2">
        <v>30927.73</v>
      </c>
      <c r="G1542" t="s">
        <v>731</v>
      </c>
      <c r="H1542" t="s">
        <v>719</v>
      </c>
      <c r="J1542" s="7">
        <f t="shared" si="16"/>
        <v>0</v>
      </c>
    </row>
    <row r="1543" spans="1:10" hidden="1" x14ac:dyDescent="0.25">
      <c r="A1543" s="1">
        <v>45358</v>
      </c>
      <c r="B1543" t="s">
        <v>630</v>
      </c>
      <c r="D1543" s="2">
        <v>0</v>
      </c>
      <c r="E1543" s="2">
        <v>591.5</v>
      </c>
      <c r="F1543" s="2">
        <v>31519.23</v>
      </c>
      <c r="G1543" s="55" t="s">
        <v>1052</v>
      </c>
      <c r="H1543" t="s">
        <v>719</v>
      </c>
      <c r="J1543" s="7">
        <f t="shared" si="16"/>
        <v>0</v>
      </c>
    </row>
    <row r="1544" spans="1:10" hidden="1" x14ac:dyDescent="0.25">
      <c r="A1544" s="1">
        <v>45358</v>
      </c>
      <c r="B1544" t="s">
        <v>472</v>
      </c>
      <c r="D1544" s="2">
        <v>7129.68</v>
      </c>
      <c r="E1544" s="2">
        <v>0</v>
      </c>
      <c r="F1544" s="2">
        <v>24389.55</v>
      </c>
      <c r="G1544" t="s">
        <v>731</v>
      </c>
      <c r="H1544" t="s">
        <v>719</v>
      </c>
      <c r="J1544" s="7">
        <f t="shared" si="16"/>
        <v>0</v>
      </c>
    </row>
    <row r="1545" spans="1:10" hidden="1" x14ac:dyDescent="0.25">
      <c r="A1545" s="1">
        <v>45359</v>
      </c>
      <c r="B1545" t="s">
        <v>267</v>
      </c>
      <c r="C1545" t="s">
        <v>1021</v>
      </c>
      <c r="D1545" s="2">
        <v>1367.65</v>
      </c>
      <c r="E1545" s="2">
        <v>0</v>
      </c>
      <c r="F1545" s="2">
        <v>66584.62</v>
      </c>
      <c r="G1545" s="55" t="s">
        <v>1052</v>
      </c>
      <c r="H1545" t="s">
        <v>716</v>
      </c>
      <c r="J1545" s="7">
        <f t="shared" si="16"/>
        <v>-43562.720000000001</v>
      </c>
    </row>
    <row r="1546" spans="1:10" hidden="1" x14ac:dyDescent="0.25">
      <c r="A1546" s="1">
        <v>45360</v>
      </c>
      <c r="B1546" t="s">
        <v>899</v>
      </c>
      <c r="D1546" s="2">
        <v>100</v>
      </c>
      <c r="E1546" s="2">
        <v>0</v>
      </c>
      <c r="F1546" s="2">
        <v>213398.94</v>
      </c>
      <c r="G1546" s="55" t="s">
        <v>792</v>
      </c>
      <c r="H1546" t="s">
        <v>715</v>
      </c>
      <c r="J1546" s="7">
        <f t="shared" si="16"/>
        <v>-146914.32</v>
      </c>
    </row>
    <row r="1547" spans="1:10" hidden="1" x14ac:dyDescent="0.25">
      <c r="A1547" s="1">
        <v>45360</v>
      </c>
      <c r="B1547" t="s">
        <v>960</v>
      </c>
      <c r="D1547" s="2">
        <v>0</v>
      </c>
      <c r="E1547" s="2">
        <v>50000</v>
      </c>
      <c r="F1547" s="2">
        <v>74389.55</v>
      </c>
      <c r="G1547" t="s">
        <v>763</v>
      </c>
      <c r="H1547" t="s">
        <v>719</v>
      </c>
      <c r="J1547" s="7">
        <f t="shared" si="16"/>
        <v>189009.39</v>
      </c>
    </row>
    <row r="1548" spans="1:10" hidden="1" x14ac:dyDescent="0.25">
      <c r="A1548" s="1">
        <v>45360</v>
      </c>
      <c r="B1548" t="s">
        <v>1022</v>
      </c>
      <c r="C1548" t="s">
        <v>1023</v>
      </c>
      <c r="D1548" s="2">
        <v>0</v>
      </c>
      <c r="E1548" s="2">
        <v>1355.85</v>
      </c>
      <c r="F1548" s="2">
        <v>67940.47</v>
      </c>
      <c r="G1548" s="55" t="s">
        <v>1052</v>
      </c>
      <c r="H1548" t="s">
        <v>716</v>
      </c>
      <c r="J1548" s="7">
        <f t="shared" si="16"/>
        <v>7804.9300000000076</v>
      </c>
    </row>
    <row r="1549" spans="1:10" hidden="1" x14ac:dyDescent="0.25">
      <c r="A1549" s="1">
        <v>45361</v>
      </c>
      <c r="B1549" t="s">
        <v>961</v>
      </c>
      <c r="D1549" s="2">
        <v>10000</v>
      </c>
      <c r="E1549" s="2">
        <v>0</v>
      </c>
      <c r="F1549" s="2">
        <v>64389.55</v>
      </c>
      <c r="G1549" s="55" t="s">
        <v>764</v>
      </c>
      <c r="H1549" t="s">
        <v>719</v>
      </c>
      <c r="J1549" s="7">
        <f t="shared" si="16"/>
        <v>-6449.0800000000017</v>
      </c>
    </row>
    <row r="1550" spans="1:10" hidden="1" x14ac:dyDescent="0.25">
      <c r="A1550" s="1">
        <v>45361</v>
      </c>
      <c r="B1550" t="s">
        <v>1024</v>
      </c>
      <c r="C1550" t="s">
        <v>1025</v>
      </c>
      <c r="D1550" s="2">
        <v>0</v>
      </c>
      <c r="E1550" s="2">
        <v>11.8</v>
      </c>
      <c r="F1550" s="2">
        <v>67952.27</v>
      </c>
      <c r="G1550" s="55" t="s">
        <v>1052</v>
      </c>
      <c r="H1550" t="s">
        <v>716</v>
      </c>
      <c r="J1550" s="7">
        <f t="shared" si="16"/>
        <v>-3550.9199999999983</v>
      </c>
    </row>
    <row r="1551" spans="1:10" hidden="1" x14ac:dyDescent="0.25">
      <c r="A1551" s="1">
        <v>45362</v>
      </c>
      <c r="B1551" t="s">
        <v>25</v>
      </c>
      <c r="D1551" s="2">
        <v>109133.99</v>
      </c>
      <c r="E1551" s="2">
        <v>0</v>
      </c>
      <c r="F1551" s="2">
        <v>104264.95</v>
      </c>
      <c r="G1551" s="55" t="s">
        <v>1052</v>
      </c>
      <c r="H1551" t="s">
        <v>715</v>
      </c>
      <c r="J1551" s="7">
        <f t="shared" si="16"/>
        <v>-145446.66999999998</v>
      </c>
    </row>
    <row r="1552" spans="1:10" hidden="1" x14ac:dyDescent="0.25">
      <c r="A1552" s="1">
        <v>45362</v>
      </c>
      <c r="B1552" t="s">
        <v>618</v>
      </c>
      <c r="D1552" s="2">
        <v>0</v>
      </c>
      <c r="E1552" s="2">
        <v>35139.1</v>
      </c>
      <c r="F1552" s="2">
        <v>99528.65</v>
      </c>
      <c r="G1552" t="s">
        <v>731</v>
      </c>
      <c r="H1552" t="s">
        <v>719</v>
      </c>
      <c r="J1552" s="7">
        <f t="shared" si="16"/>
        <v>39875.399999999994</v>
      </c>
    </row>
    <row r="1553" spans="1:10" hidden="1" x14ac:dyDescent="0.25">
      <c r="A1553" s="1">
        <v>45362</v>
      </c>
      <c r="B1553" t="s">
        <v>681</v>
      </c>
      <c r="D1553" s="2">
        <v>10000</v>
      </c>
      <c r="E1553" s="2">
        <v>0</v>
      </c>
      <c r="F1553" s="2">
        <v>89528.65</v>
      </c>
      <c r="G1553" s="55" t="s">
        <v>1048</v>
      </c>
      <c r="H1553" t="s">
        <v>719</v>
      </c>
      <c r="J1553" s="7">
        <f t="shared" si="16"/>
        <v>0</v>
      </c>
    </row>
    <row r="1554" spans="1:10" hidden="1" x14ac:dyDescent="0.25">
      <c r="A1554" s="1">
        <v>45362</v>
      </c>
      <c r="B1554" t="s">
        <v>472</v>
      </c>
      <c r="D1554" s="2">
        <v>1611.36</v>
      </c>
      <c r="E1554" s="2">
        <v>0</v>
      </c>
      <c r="F1554" s="2">
        <v>87917.29</v>
      </c>
      <c r="G1554" t="s">
        <v>731</v>
      </c>
      <c r="H1554" t="s">
        <v>719</v>
      </c>
      <c r="J1554" s="7">
        <f t="shared" si="16"/>
        <v>0</v>
      </c>
    </row>
    <row r="1555" spans="1:10" hidden="1" x14ac:dyDescent="0.25">
      <c r="A1555" s="1">
        <v>45362</v>
      </c>
      <c r="B1555" t="s">
        <v>637</v>
      </c>
      <c r="D1555" s="2">
        <v>0</v>
      </c>
      <c r="E1555" s="2">
        <v>291.38</v>
      </c>
      <c r="F1555" s="2">
        <v>88208.67</v>
      </c>
      <c r="G1555" s="55" t="s">
        <v>1052</v>
      </c>
      <c r="H1555" t="s">
        <v>719</v>
      </c>
      <c r="J1555" s="7">
        <f t="shared" si="16"/>
        <v>0</v>
      </c>
    </row>
    <row r="1556" spans="1:10" hidden="1" x14ac:dyDescent="0.25">
      <c r="A1556" s="1">
        <v>45362</v>
      </c>
      <c r="B1556" t="s">
        <v>633</v>
      </c>
      <c r="D1556" s="2">
        <v>0</v>
      </c>
      <c r="E1556" s="2">
        <v>127.93</v>
      </c>
      <c r="F1556" s="2">
        <v>88336.6</v>
      </c>
      <c r="G1556" s="55" t="s">
        <v>1052</v>
      </c>
      <c r="H1556" t="s">
        <v>719</v>
      </c>
      <c r="J1556" s="7">
        <f t="shared" si="16"/>
        <v>0</v>
      </c>
    </row>
    <row r="1557" spans="1:10" hidden="1" x14ac:dyDescent="0.25">
      <c r="A1557" s="1">
        <v>45363</v>
      </c>
      <c r="B1557" t="s">
        <v>900</v>
      </c>
      <c r="D1557" s="2">
        <v>40</v>
      </c>
      <c r="E1557" s="2">
        <v>0</v>
      </c>
      <c r="F1557" s="2">
        <v>104224.95</v>
      </c>
      <c r="G1557" s="55" t="s">
        <v>792</v>
      </c>
      <c r="H1557" t="s">
        <v>715</v>
      </c>
      <c r="J1557" s="7">
        <f t="shared" si="16"/>
        <v>-15928.349999999991</v>
      </c>
    </row>
    <row r="1558" spans="1:10" hidden="1" x14ac:dyDescent="0.25">
      <c r="A1558" s="1">
        <v>45363</v>
      </c>
      <c r="B1558" t="s">
        <v>618</v>
      </c>
      <c r="D1558" s="2">
        <v>0</v>
      </c>
      <c r="E1558" s="2">
        <v>12777.18</v>
      </c>
      <c r="F1558" s="2">
        <v>101113.78</v>
      </c>
      <c r="G1558" t="s">
        <v>731</v>
      </c>
      <c r="H1558" t="s">
        <v>719</v>
      </c>
      <c r="J1558" s="7">
        <f t="shared" si="16"/>
        <v>15888.350000000006</v>
      </c>
    </row>
    <row r="1559" spans="1:10" hidden="1" x14ac:dyDescent="0.25">
      <c r="A1559" s="1">
        <v>45363</v>
      </c>
      <c r="B1559" t="s">
        <v>472</v>
      </c>
      <c r="D1559" s="2">
        <v>7868.01</v>
      </c>
      <c r="E1559" s="2">
        <v>0</v>
      </c>
      <c r="F1559" s="2">
        <v>93245.77</v>
      </c>
      <c r="G1559" t="s">
        <v>731</v>
      </c>
      <c r="H1559" t="s">
        <v>719</v>
      </c>
      <c r="J1559" s="7">
        <f t="shared" si="16"/>
        <v>0</v>
      </c>
    </row>
    <row r="1560" spans="1:10" hidden="1" x14ac:dyDescent="0.25">
      <c r="A1560" s="1">
        <v>45364</v>
      </c>
      <c r="B1560" t="s">
        <v>901</v>
      </c>
      <c r="D1560" s="2">
        <v>0</v>
      </c>
      <c r="E1560" s="2">
        <v>20000</v>
      </c>
      <c r="F1560" s="2">
        <v>124224.95</v>
      </c>
      <c r="G1560" s="55" t="s">
        <v>792</v>
      </c>
      <c r="H1560" t="s">
        <v>715</v>
      </c>
      <c r="J1560" s="7">
        <f t="shared" si="16"/>
        <v>-10979.179999999993</v>
      </c>
    </row>
    <row r="1561" spans="1:10" hidden="1" x14ac:dyDescent="0.25">
      <c r="A1561" s="1">
        <v>45364</v>
      </c>
      <c r="B1561" t="s">
        <v>618</v>
      </c>
      <c r="D1561" s="2">
        <v>0</v>
      </c>
      <c r="E1561" s="2">
        <v>52476.87</v>
      </c>
      <c r="F1561" s="2">
        <v>145722.64000000001</v>
      </c>
      <c r="G1561" t="s">
        <v>731</v>
      </c>
      <c r="H1561" t="s">
        <v>719</v>
      </c>
      <c r="J1561" s="7">
        <f t="shared" si="16"/>
        <v>30979.179999999993</v>
      </c>
    </row>
    <row r="1562" spans="1:10" x14ac:dyDescent="0.25">
      <c r="A1562" s="1">
        <v>45364</v>
      </c>
      <c r="B1562" t="s">
        <v>962</v>
      </c>
      <c r="D1562" s="2">
        <v>20000</v>
      </c>
      <c r="E1562" s="2">
        <v>0</v>
      </c>
      <c r="F1562" s="2">
        <v>125722.64</v>
      </c>
      <c r="G1562" s="55" t="s">
        <v>1052</v>
      </c>
      <c r="H1562" t="s">
        <v>719</v>
      </c>
      <c r="J1562" s="7">
        <f t="shared" si="16"/>
        <v>0</v>
      </c>
    </row>
    <row r="1563" spans="1:10" hidden="1" x14ac:dyDescent="0.25">
      <c r="A1563" s="1">
        <v>45364</v>
      </c>
      <c r="B1563" t="s">
        <v>963</v>
      </c>
      <c r="D1563" s="2">
        <v>10000</v>
      </c>
      <c r="E1563" s="2">
        <v>0</v>
      </c>
      <c r="F1563" s="2">
        <v>115722.64</v>
      </c>
      <c r="G1563" s="55" t="s">
        <v>764</v>
      </c>
      <c r="H1563" t="s">
        <v>719</v>
      </c>
      <c r="J1563" s="7">
        <f t="shared" si="16"/>
        <v>0</v>
      </c>
    </row>
    <row r="1564" spans="1:10" hidden="1" x14ac:dyDescent="0.25">
      <c r="A1564" s="1">
        <v>45364</v>
      </c>
      <c r="B1564" t="s">
        <v>964</v>
      </c>
      <c r="D1564" s="2">
        <v>0</v>
      </c>
      <c r="E1564" s="2">
        <v>20000</v>
      </c>
      <c r="F1564" s="2">
        <v>135722.64000000001</v>
      </c>
      <c r="G1564" s="55" t="s">
        <v>726</v>
      </c>
      <c r="H1564" t="s">
        <v>719</v>
      </c>
      <c r="J1564" s="7">
        <f t="shared" si="16"/>
        <v>0</v>
      </c>
    </row>
    <row r="1565" spans="1:10" hidden="1" x14ac:dyDescent="0.25">
      <c r="A1565" s="1">
        <v>45364</v>
      </c>
      <c r="B1565" t="s">
        <v>472</v>
      </c>
      <c r="D1565" s="2">
        <v>402.65</v>
      </c>
      <c r="E1565" s="2">
        <v>0</v>
      </c>
      <c r="F1565" s="2">
        <v>135319.99</v>
      </c>
      <c r="G1565" t="s">
        <v>731</v>
      </c>
      <c r="H1565" t="s">
        <v>719</v>
      </c>
      <c r="J1565" s="7">
        <f t="shared" si="16"/>
        <v>0</v>
      </c>
    </row>
    <row r="1566" spans="1:10" hidden="1" x14ac:dyDescent="0.25">
      <c r="A1566" s="1">
        <v>45364</v>
      </c>
      <c r="B1566" t="s">
        <v>965</v>
      </c>
      <c r="D1566" s="2">
        <v>2395.4</v>
      </c>
      <c r="E1566" s="2">
        <v>0</v>
      </c>
      <c r="F1566" s="2">
        <v>132924.59</v>
      </c>
      <c r="G1566" s="55" t="s">
        <v>1052</v>
      </c>
      <c r="H1566" t="s">
        <v>719</v>
      </c>
      <c r="J1566" s="7">
        <f t="shared" si="16"/>
        <v>0</v>
      </c>
    </row>
    <row r="1567" spans="1:10" hidden="1" x14ac:dyDescent="0.25">
      <c r="A1567" s="1">
        <v>45364</v>
      </c>
      <c r="B1567" t="s">
        <v>472</v>
      </c>
      <c r="D1567" s="2">
        <v>39915.78</v>
      </c>
      <c r="E1567" s="2">
        <v>0</v>
      </c>
      <c r="F1567" s="2">
        <v>93008.81</v>
      </c>
      <c r="G1567" t="s">
        <v>731</v>
      </c>
      <c r="H1567" t="s">
        <v>719</v>
      </c>
      <c r="J1567" s="7">
        <f t="shared" si="16"/>
        <v>0</v>
      </c>
    </row>
    <row r="1568" spans="1:10" hidden="1" x14ac:dyDescent="0.25">
      <c r="A1568" s="1">
        <v>45364</v>
      </c>
      <c r="B1568" t="s">
        <v>1026</v>
      </c>
      <c r="C1568" t="s">
        <v>1027</v>
      </c>
      <c r="D1568" s="2">
        <v>134.94999999999999</v>
      </c>
      <c r="E1568" s="2">
        <v>0</v>
      </c>
      <c r="F1568" s="2">
        <v>67817.320000000007</v>
      </c>
      <c r="G1568" s="55" t="s">
        <v>1052</v>
      </c>
      <c r="H1568" t="s">
        <v>716</v>
      </c>
      <c r="J1568" s="7">
        <f t="shared" si="16"/>
        <v>25056.539999999994</v>
      </c>
    </row>
    <row r="1569" spans="1:10" hidden="1" x14ac:dyDescent="0.25">
      <c r="A1569" s="1">
        <v>45364</v>
      </c>
      <c r="B1569" t="s">
        <v>183</v>
      </c>
      <c r="C1569" t="s">
        <v>1028</v>
      </c>
      <c r="D1569" s="2">
        <v>0</v>
      </c>
      <c r="E1569" s="2">
        <v>26405.25</v>
      </c>
      <c r="F1569" s="2">
        <v>94222.57</v>
      </c>
      <c r="G1569" s="55" t="s">
        <v>1052</v>
      </c>
      <c r="H1569" t="s">
        <v>716</v>
      </c>
      <c r="J1569" s="7">
        <f t="shared" si="16"/>
        <v>0</v>
      </c>
    </row>
    <row r="1570" spans="1:10" hidden="1" x14ac:dyDescent="0.25">
      <c r="A1570" s="1">
        <v>45365</v>
      </c>
      <c r="B1570" t="s">
        <v>472</v>
      </c>
      <c r="D1570" s="2">
        <v>388.44</v>
      </c>
      <c r="E1570" s="2">
        <v>0</v>
      </c>
      <c r="F1570" s="2">
        <v>92620.37</v>
      </c>
      <c r="G1570" t="s">
        <v>731</v>
      </c>
      <c r="H1570" t="s">
        <v>719</v>
      </c>
      <c r="J1570" s="7">
        <f t="shared" si="16"/>
        <v>1213.7600000000093</v>
      </c>
    </row>
    <row r="1571" spans="1:10" x14ac:dyDescent="0.25">
      <c r="A1571" s="1">
        <v>45365</v>
      </c>
      <c r="B1571" t="s">
        <v>966</v>
      </c>
      <c r="D1571" s="2">
        <v>20000</v>
      </c>
      <c r="E1571" s="2">
        <v>0</v>
      </c>
      <c r="F1571" s="2">
        <v>72620.37</v>
      </c>
      <c r="G1571" s="55" t="s">
        <v>1052</v>
      </c>
      <c r="H1571" t="s">
        <v>719</v>
      </c>
      <c r="J1571" s="7">
        <f t="shared" si="16"/>
        <v>0</v>
      </c>
    </row>
    <row r="1572" spans="1:10" hidden="1" x14ac:dyDescent="0.25">
      <c r="A1572" s="1">
        <v>45365</v>
      </c>
      <c r="B1572" t="s">
        <v>472</v>
      </c>
      <c r="D1572" s="2">
        <v>3160.16</v>
      </c>
      <c r="E1572" s="2">
        <v>0</v>
      </c>
      <c r="F1572" s="2">
        <v>69460.210000000006</v>
      </c>
      <c r="G1572" t="s">
        <v>731</v>
      </c>
      <c r="H1572" t="s">
        <v>719</v>
      </c>
      <c r="J1572" s="7">
        <f t="shared" si="16"/>
        <v>0</v>
      </c>
    </row>
    <row r="1573" spans="1:10" hidden="1" x14ac:dyDescent="0.25">
      <c r="A1573" s="1">
        <v>45365</v>
      </c>
      <c r="B1573" t="s">
        <v>1029</v>
      </c>
      <c r="C1573" t="s">
        <v>1030</v>
      </c>
      <c r="D1573" s="2">
        <v>50000</v>
      </c>
      <c r="E1573" s="2">
        <v>0</v>
      </c>
      <c r="F1573" s="2">
        <v>44222.57</v>
      </c>
      <c r="G1573" s="55" t="s">
        <v>1052</v>
      </c>
      <c r="H1573" t="s">
        <v>716</v>
      </c>
      <c r="J1573" s="7">
        <f t="shared" si="16"/>
        <v>-24762.359999999993</v>
      </c>
    </row>
    <row r="1574" spans="1:10" hidden="1" x14ac:dyDescent="0.25">
      <c r="A1574" s="1">
        <v>45365</v>
      </c>
      <c r="B1574" t="s">
        <v>194</v>
      </c>
      <c r="C1574" t="s">
        <v>1031</v>
      </c>
      <c r="D1574" s="2">
        <v>7220</v>
      </c>
      <c r="E1574" s="2">
        <v>0</v>
      </c>
      <c r="F1574" s="2">
        <v>37002.57</v>
      </c>
      <c r="G1574" s="55" t="s">
        <v>1052</v>
      </c>
      <c r="H1574" t="s">
        <v>716</v>
      </c>
      <c r="J1574" s="7">
        <f t="shared" si="16"/>
        <v>0</v>
      </c>
    </row>
    <row r="1575" spans="1:10" hidden="1" x14ac:dyDescent="0.25">
      <c r="A1575" s="1">
        <v>45366</v>
      </c>
      <c r="B1575" t="s">
        <v>902</v>
      </c>
      <c r="D1575" s="2">
        <v>100</v>
      </c>
      <c r="E1575" s="2">
        <v>0</v>
      </c>
      <c r="F1575" s="2">
        <v>124124.95</v>
      </c>
      <c r="G1575" s="55" t="s">
        <v>792</v>
      </c>
      <c r="H1575" t="s">
        <v>715</v>
      </c>
      <c r="J1575" s="7">
        <f t="shared" si="16"/>
        <v>-87222.38</v>
      </c>
    </row>
    <row r="1576" spans="1:10" hidden="1" x14ac:dyDescent="0.25">
      <c r="A1576" s="1">
        <v>45366</v>
      </c>
      <c r="B1576" t="s">
        <v>903</v>
      </c>
      <c r="D1576" s="2">
        <v>65</v>
      </c>
      <c r="E1576" s="2">
        <v>0</v>
      </c>
      <c r="F1576" s="2">
        <v>124059.95</v>
      </c>
      <c r="G1576" s="55" t="s">
        <v>792</v>
      </c>
      <c r="H1576" t="s">
        <v>715</v>
      </c>
      <c r="J1576" s="7">
        <f t="shared" si="16"/>
        <v>0</v>
      </c>
    </row>
    <row r="1577" spans="1:10" hidden="1" x14ac:dyDescent="0.25">
      <c r="A1577" s="1">
        <v>45366</v>
      </c>
      <c r="B1577" t="s">
        <v>681</v>
      </c>
      <c r="D1577" s="2">
        <v>10000</v>
      </c>
      <c r="E1577" s="2">
        <v>0</v>
      </c>
      <c r="F1577" s="2">
        <v>59460.21</v>
      </c>
      <c r="G1577" s="55" t="s">
        <v>1048</v>
      </c>
      <c r="H1577" t="s">
        <v>719</v>
      </c>
      <c r="J1577" s="7">
        <f t="shared" si="16"/>
        <v>54599.74</v>
      </c>
    </row>
    <row r="1578" spans="1:10" hidden="1" x14ac:dyDescent="0.25">
      <c r="A1578" s="1">
        <v>45366</v>
      </c>
      <c r="B1578" t="s">
        <v>472</v>
      </c>
      <c r="D1578" s="2">
        <v>390.17</v>
      </c>
      <c r="E1578" s="2">
        <v>0</v>
      </c>
      <c r="F1578" s="2">
        <v>59070.04</v>
      </c>
      <c r="G1578" t="s">
        <v>731</v>
      </c>
      <c r="H1578" t="s">
        <v>719</v>
      </c>
      <c r="J1578" s="7">
        <f t="shared" si="16"/>
        <v>0</v>
      </c>
    </row>
    <row r="1579" spans="1:10" hidden="1" x14ac:dyDescent="0.25">
      <c r="A1579" s="1">
        <v>45366</v>
      </c>
      <c r="B1579" t="s">
        <v>472</v>
      </c>
      <c r="D1579" s="2">
        <v>21226.58</v>
      </c>
      <c r="E1579" s="2">
        <v>0</v>
      </c>
      <c r="F1579" s="2">
        <v>37843.46</v>
      </c>
      <c r="G1579" t="s">
        <v>731</v>
      </c>
      <c r="H1579" t="s">
        <v>719</v>
      </c>
      <c r="J1579" s="7">
        <f t="shared" si="16"/>
        <v>0</v>
      </c>
    </row>
    <row r="1580" spans="1:10" hidden="1" x14ac:dyDescent="0.25">
      <c r="A1580" s="1">
        <v>45367</v>
      </c>
      <c r="B1580" t="s">
        <v>904</v>
      </c>
      <c r="D1580" s="2">
        <v>17</v>
      </c>
      <c r="E1580" s="2">
        <v>0</v>
      </c>
      <c r="F1580" s="2">
        <v>124042.95</v>
      </c>
      <c r="G1580" s="55" t="s">
        <v>792</v>
      </c>
      <c r="H1580" t="s">
        <v>715</v>
      </c>
      <c r="J1580" s="7">
        <f t="shared" si="16"/>
        <v>-86216.489999999991</v>
      </c>
    </row>
    <row r="1581" spans="1:10" hidden="1" x14ac:dyDescent="0.25">
      <c r="A1581" s="1">
        <v>45368</v>
      </c>
      <c r="B1581" t="s">
        <v>905</v>
      </c>
      <c r="D1581" s="2">
        <v>456.09</v>
      </c>
      <c r="E1581" s="2">
        <v>0</v>
      </c>
      <c r="F1581" s="2">
        <v>123586.86</v>
      </c>
      <c r="G1581" s="55" t="s">
        <v>792</v>
      </c>
      <c r="H1581" t="s">
        <v>715</v>
      </c>
      <c r="J1581" s="7">
        <f t="shared" si="16"/>
        <v>0</v>
      </c>
    </row>
    <row r="1582" spans="1:10" hidden="1" x14ac:dyDescent="0.25">
      <c r="A1582" s="1">
        <v>45369</v>
      </c>
      <c r="B1582" t="s">
        <v>967</v>
      </c>
      <c r="D1582" s="2">
        <v>100</v>
      </c>
      <c r="E1582" s="2">
        <v>0</v>
      </c>
      <c r="F1582" s="2">
        <v>37743.46</v>
      </c>
      <c r="G1582" s="55" t="s">
        <v>735</v>
      </c>
      <c r="H1582" t="s">
        <v>719</v>
      </c>
      <c r="J1582" s="7">
        <f t="shared" si="16"/>
        <v>85743.4</v>
      </c>
    </row>
    <row r="1583" spans="1:10" hidden="1" x14ac:dyDescent="0.25">
      <c r="A1583" s="1">
        <v>45369</v>
      </c>
      <c r="B1583" t="s">
        <v>968</v>
      </c>
      <c r="D1583" s="2">
        <v>10</v>
      </c>
      <c r="E1583" s="2">
        <v>0</v>
      </c>
      <c r="F1583" s="2">
        <v>37733.46</v>
      </c>
      <c r="G1583" s="55" t="s">
        <v>1052</v>
      </c>
      <c r="H1583" t="s">
        <v>719</v>
      </c>
      <c r="J1583" s="7">
        <f t="shared" si="16"/>
        <v>0</v>
      </c>
    </row>
    <row r="1584" spans="1:10" hidden="1" x14ac:dyDescent="0.25">
      <c r="A1584" s="1">
        <v>45369</v>
      </c>
      <c r="B1584" t="s">
        <v>969</v>
      </c>
      <c r="D1584" s="2">
        <v>5000</v>
      </c>
      <c r="E1584" s="2">
        <v>0</v>
      </c>
      <c r="F1584" s="2">
        <v>32733.46</v>
      </c>
      <c r="G1584" s="55" t="s">
        <v>1052</v>
      </c>
      <c r="H1584" t="s">
        <v>719</v>
      </c>
      <c r="J1584" s="7">
        <f t="shared" si="16"/>
        <v>0</v>
      </c>
    </row>
    <row r="1585" spans="1:10" hidden="1" x14ac:dyDescent="0.25">
      <c r="A1585" s="1">
        <v>45369</v>
      </c>
      <c r="B1585" t="s">
        <v>472</v>
      </c>
      <c r="D1585" s="2">
        <v>1195.6199999999999</v>
      </c>
      <c r="E1585" s="2">
        <v>0</v>
      </c>
      <c r="F1585" s="2">
        <v>31537.84</v>
      </c>
      <c r="G1585" t="s">
        <v>731</v>
      </c>
      <c r="H1585" t="s">
        <v>719</v>
      </c>
      <c r="J1585" s="7">
        <f t="shared" si="16"/>
        <v>0</v>
      </c>
    </row>
    <row r="1586" spans="1:10" hidden="1" x14ac:dyDescent="0.25">
      <c r="A1586" s="1">
        <v>45370</v>
      </c>
      <c r="B1586" t="s">
        <v>618</v>
      </c>
      <c r="D1586" s="2">
        <v>0</v>
      </c>
      <c r="E1586" s="2">
        <v>7827.41</v>
      </c>
      <c r="F1586" s="2">
        <v>39365.25</v>
      </c>
      <c r="G1586" t="s">
        <v>731</v>
      </c>
      <c r="H1586" t="s">
        <v>719</v>
      </c>
      <c r="J1586" s="7">
        <f t="shared" si="16"/>
        <v>0</v>
      </c>
    </row>
    <row r="1587" spans="1:10" hidden="1" x14ac:dyDescent="0.25">
      <c r="A1587" s="1">
        <v>45370</v>
      </c>
      <c r="B1587" t="s">
        <v>472</v>
      </c>
      <c r="D1587" s="2">
        <v>408.79</v>
      </c>
      <c r="E1587" s="2">
        <v>0</v>
      </c>
      <c r="F1587" s="2">
        <v>38956.46</v>
      </c>
      <c r="G1587" t="s">
        <v>731</v>
      </c>
      <c r="H1587" t="s">
        <v>719</v>
      </c>
      <c r="J1587" s="7">
        <f t="shared" si="16"/>
        <v>0</v>
      </c>
    </row>
    <row r="1588" spans="1:10" hidden="1" x14ac:dyDescent="0.25">
      <c r="A1588" s="1">
        <v>45370</v>
      </c>
      <c r="B1588" t="s">
        <v>472</v>
      </c>
      <c r="D1588" s="2">
        <v>18680.97</v>
      </c>
      <c r="E1588" s="2">
        <v>0</v>
      </c>
      <c r="F1588" s="2">
        <v>20275.490000000002</v>
      </c>
      <c r="G1588" t="s">
        <v>731</v>
      </c>
      <c r="H1588" t="s">
        <v>719</v>
      </c>
      <c r="J1588" s="7">
        <f t="shared" ref="J1588:J1628" si="17">F1587-D1588+E1588-F1588</f>
        <v>0</v>
      </c>
    </row>
    <row r="1589" spans="1:10" hidden="1" x14ac:dyDescent="0.25">
      <c r="A1589" s="1">
        <v>45371</v>
      </c>
      <c r="B1589" t="s">
        <v>906</v>
      </c>
      <c r="D1589" s="2">
        <v>10</v>
      </c>
      <c r="E1589" s="2">
        <v>0</v>
      </c>
      <c r="F1589" s="2">
        <v>123576.86</v>
      </c>
      <c r="G1589" s="55" t="s">
        <v>792</v>
      </c>
      <c r="H1589" t="s">
        <v>715</v>
      </c>
      <c r="J1589" s="7">
        <f t="shared" si="17"/>
        <v>-103311.37</v>
      </c>
    </row>
    <row r="1590" spans="1:10" hidden="1" x14ac:dyDescent="0.25">
      <c r="A1590" s="1">
        <v>45371</v>
      </c>
      <c r="B1590" t="s">
        <v>618</v>
      </c>
      <c r="D1590" s="2">
        <v>0</v>
      </c>
      <c r="E1590" s="2">
        <v>32210.1</v>
      </c>
      <c r="F1590" s="2">
        <v>52485.59</v>
      </c>
      <c r="G1590" t="s">
        <v>731</v>
      </c>
      <c r="H1590" t="s">
        <v>719</v>
      </c>
      <c r="J1590" s="7">
        <f t="shared" si="17"/>
        <v>103301.37</v>
      </c>
    </row>
    <row r="1591" spans="1:10" hidden="1" x14ac:dyDescent="0.25">
      <c r="A1591" s="1">
        <v>45371</v>
      </c>
      <c r="B1591" t="s">
        <v>681</v>
      </c>
      <c r="D1591" s="2">
        <v>10000</v>
      </c>
      <c r="E1591" s="2">
        <v>0</v>
      </c>
      <c r="F1591" s="2">
        <v>42485.59</v>
      </c>
      <c r="G1591" s="55" t="s">
        <v>1048</v>
      </c>
      <c r="H1591" t="s">
        <v>719</v>
      </c>
      <c r="J1591" s="7">
        <f t="shared" si="17"/>
        <v>0</v>
      </c>
    </row>
    <row r="1592" spans="1:10" hidden="1" x14ac:dyDescent="0.25">
      <c r="A1592" s="1">
        <v>45371</v>
      </c>
      <c r="B1592" t="s">
        <v>472</v>
      </c>
      <c r="D1592" s="2">
        <v>404.92</v>
      </c>
      <c r="E1592" s="2">
        <v>0</v>
      </c>
      <c r="F1592" s="2">
        <v>42080.67</v>
      </c>
      <c r="G1592" t="s">
        <v>731</v>
      </c>
      <c r="H1592" t="s">
        <v>719</v>
      </c>
      <c r="J1592" s="7">
        <f t="shared" si="17"/>
        <v>0</v>
      </c>
    </row>
    <row r="1593" spans="1:10" hidden="1" x14ac:dyDescent="0.25">
      <c r="A1593" s="1">
        <v>45371</v>
      </c>
      <c r="B1593" t="s">
        <v>970</v>
      </c>
      <c r="D1593" s="2">
        <v>0</v>
      </c>
      <c r="E1593" s="2">
        <v>300</v>
      </c>
      <c r="F1593" s="2">
        <v>42380.67</v>
      </c>
      <c r="G1593" s="55" t="s">
        <v>736</v>
      </c>
      <c r="H1593" t="s">
        <v>719</v>
      </c>
      <c r="J1593" s="7">
        <f t="shared" si="17"/>
        <v>0</v>
      </c>
    </row>
    <row r="1594" spans="1:10" hidden="1" x14ac:dyDescent="0.25">
      <c r="A1594" s="1">
        <v>45371</v>
      </c>
      <c r="B1594" t="s">
        <v>953</v>
      </c>
      <c r="D1594" s="2">
        <v>0</v>
      </c>
      <c r="E1594" s="2">
        <v>100000</v>
      </c>
      <c r="F1594" s="2">
        <v>142380.67000000001</v>
      </c>
      <c r="G1594" s="55" t="s">
        <v>764</v>
      </c>
      <c r="H1594" t="s">
        <v>719</v>
      </c>
      <c r="J1594" s="7">
        <f t="shared" si="17"/>
        <v>0</v>
      </c>
    </row>
    <row r="1595" spans="1:10" hidden="1" x14ac:dyDescent="0.25">
      <c r="A1595" s="1">
        <v>45371</v>
      </c>
      <c r="B1595" t="s">
        <v>971</v>
      </c>
      <c r="D1595" s="2">
        <v>0</v>
      </c>
      <c r="E1595" s="2">
        <v>2221.13</v>
      </c>
      <c r="F1595" s="2">
        <v>144601.79999999999</v>
      </c>
      <c r="G1595" s="55" t="s">
        <v>1052</v>
      </c>
      <c r="H1595" t="s">
        <v>719</v>
      </c>
      <c r="J1595" s="7">
        <f t="shared" si="17"/>
        <v>0</v>
      </c>
    </row>
    <row r="1596" spans="1:10" hidden="1" x14ac:dyDescent="0.25">
      <c r="A1596" s="1">
        <v>45371</v>
      </c>
      <c r="B1596" t="s">
        <v>1032</v>
      </c>
      <c r="C1596" t="s">
        <v>1033</v>
      </c>
      <c r="D1596" s="2">
        <v>0</v>
      </c>
      <c r="E1596" s="2">
        <v>1000</v>
      </c>
      <c r="F1596" s="2">
        <v>38002.57</v>
      </c>
      <c r="G1596" s="55" t="s">
        <v>1052</v>
      </c>
      <c r="H1596" t="s">
        <v>716</v>
      </c>
      <c r="J1596" s="7">
        <f t="shared" si="17"/>
        <v>107599.22999999998</v>
      </c>
    </row>
    <row r="1597" spans="1:10" hidden="1" x14ac:dyDescent="0.25">
      <c r="A1597" s="1">
        <v>45371</v>
      </c>
      <c r="B1597" t="s">
        <v>1034</v>
      </c>
      <c r="C1597" t="s">
        <v>1033</v>
      </c>
      <c r="D1597" s="2">
        <v>0</v>
      </c>
      <c r="E1597" s="2">
        <v>49000</v>
      </c>
      <c r="F1597" s="2">
        <v>87002.57</v>
      </c>
      <c r="G1597" s="55" t="s">
        <v>1052</v>
      </c>
      <c r="H1597" t="s">
        <v>716</v>
      </c>
      <c r="J1597" s="7">
        <f t="shared" si="17"/>
        <v>0</v>
      </c>
    </row>
    <row r="1598" spans="1:10" hidden="1" x14ac:dyDescent="0.25">
      <c r="A1598" s="1">
        <v>45372</v>
      </c>
      <c r="B1598" t="s">
        <v>907</v>
      </c>
      <c r="D1598" s="2">
        <v>40</v>
      </c>
      <c r="E1598" s="2">
        <v>0</v>
      </c>
      <c r="F1598" s="2">
        <v>123536.86</v>
      </c>
      <c r="G1598" s="55" t="s">
        <v>792</v>
      </c>
      <c r="H1598" t="s">
        <v>715</v>
      </c>
      <c r="J1598" s="7">
        <f t="shared" si="17"/>
        <v>-36574.289999999994</v>
      </c>
    </row>
    <row r="1599" spans="1:10" hidden="1" x14ac:dyDescent="0.25">
      <c r="A1599" s="1">
        <v>45372</v>
      </c>
      <c r="B1599" t="s">
        <v>618</v>
      </c>
      <c r="D1599" s="2">
        <v>0</v>
      </c>
      <c r="E1599" s="2">
        <v>658.12</v>
      </c>
      <c r="F1599" s="2">
        <v>145259.92000000001</v>
      </c>
      <c r="G1599" t="s">
        <v>731</v>
      </c>
      <c r="H1599" t="s">
        <v>719</v>
      </c>
      <c r="J1599" s="7">
        <f t="shared" si="17"/>
        <v>-21064.940000000017</v>
      </c>
    </row>
    <row r="1600" spans="1:10" hidden="1" x14ac:dyDescent="0.25">
      <c r="A1600" s="1">
        <v>45372</v>
      </c>
      <c r="B1600" t="s">
        <v>972</v>
      </c>
      <c r="D1600" s="2">
        <v>50000</v>
      </c>
      <c r="E1600" s="2">
        <v>0</v>
      </c>
      <c r="F1600" s="2">
        <v>95259.92</v>
      </c>
      <c r="G1600" s="55" t="s">
        <v>1052</v>
      </c>
      <c r="H1600" t="s">
        <v>719</v>
      </c>
      <c r="J1600" s="7">
        <f t="shared" si="17"/>
        <v>0</v>
      </c>
    </row>
    <row r="1601" spans="1:10" hidden="1" x14ac:dyDescent="0.25">
      <c r="A1601" s="1">
        <v>45372</v>
      </c>
      <c r="B1601" t="s">
        <v>472</v>
      </c>
      <c r="D1601" s="2">
        <v>415.53</v>
      </c>
      <c r="E1601" s="2">
        <v>0</v>
      </c>
      <c r="F1601" s="2">
        <v>94844.39</v>
      </c>
      <c r="G1601" t="s">
        <v>731</v>
      </c>
      <c r="H1601" t="s">
        <v>719</v>
      </c>
      <c r="J1601" s="7">
        <f t="shared" si="17"/>
        <v>0</v>
      </c>
    </row>
    <row r="1602" spans="1:10" hidden="1" x14ac:dyDescent="0.25">
      <c r="A1602" s="1">
        <v>45372</v>
      </c>
      <c r="B1602" t="s">
        <v>973</v>
      </c>
      <c r="D1602" s="2">
        <v>0</v>
      </c>
      <c r="E1602" s="2">
        <v>10000</v>
      </c>
      <c r="F1602" s="2">
        <v>104844.39</v>
      </c>
      <c r="G1602" s="55" t="s">
        <v>1052</v>
      </c>
      <c r="H1602" t="s">
        <v>719</v>
      </c>
      <c r="J1602" s="7">
        <f t="shared" si="17"/>
        <v>0</v>
      </c>
    </row>
    <row r="1603" spans="1:10" hidden="1" x14ac:dyDescent="0.25">
      <c r="A1603" s="1">
        <v>45373</v>
      </c>
      <c r="B1603" t="s">
        <v>618</v>
      </c>
      <c r="D1603" s="2">
        <v>0</v>
      </c>
      <c r="E1603" s="2">
        <v>14307.6</v>
      </c>
      <c r="F1603" s="2">
        <v>119151.99</v>
      </c>
      <c r="G1603" t="s">
        <v>731</v>
      </c>
      <c r="H1603" t="s">
        <v>719</v>
      </c>
      <c r="J1603" s="7">
        <f t="shared" si="17"/>
        <v>0</v>
      </c>
    </row>
    <row r="1604" spans="1:10" hidden="1" x14ac:dyDescent="0.25">
      <c r="A1604" s="1">
        <v>45373</v>
      </c>
      <c r="B1604" t="s">
        <v>472</v>
      </c>
      <c r="D1604" s="2">
        <v>419.07</v>
      </c>
      <c r="E1604" s="2">
        <v>0</v>
      </c>
      <c r="F1604" s="2">
        <v>118732.92</v>
      </c>
      <c r="G1604" t="s">
        <v>731</v>
      </c>
      <c r="H1604" t="s">
        <v>719</v>
      </c>
      <c r="J1604" s="7">
        <f t="shared" si="17"/>
        <v>0</v>
      </c>
    </row>
    <row r="1605" spans="1:10" hidden="1" x14ac:dyDescent="0.25">
      <c r="A1605" s="1">
        <v>45373</v>
      </c>
      <c r="B1605" t="s">
        <v>472</v>
      </c>
      <c r="D1605" s="2">
        <v>48655.76</v>
      </c>
      <c r="E1605" s="2">
        <v>0</v>
      </c>
      <c r="F1605" s="2">
        <v>70077.16</v>
      </c>
      <c r="G1605" t="s">
        <v>731</v>
      </c>
      <c r="H1605" t="s">
        <v>719</v>
      </c>
      <c r="J1605" s="7">
        <f t="shared" si="17"/>
        <v>0</v>
      </c>
    </row>
    <row r="1606" spans="1:10" hidden="1" x14ac:dyDescent="0.25">
      <c r="A1606" s="1">
        <v>45373</v>
      </c>
      <c r="B1606" t="s">
        <v>267</v>
      </c>
      <c r="C1606" t="s">
        <v>1035</v>
      </c>
      <c r="D1606" s="2">
        <v>1407.65</v>
      </c>
      <c r="E1606" s="2">
        <v>0</v>
      </c>
      <c r="F1606" s="2">
        <v>85594.92</v>
      </c>
      <c r="G1606" s="55" t="s">
        <v>1052</v>
      </c>
      <c r="H1606" t="s">
        <v>716</v>
      </c>
      <c r="J1606" s="7">
        <f t="shared" si="17"/>
        <v>-16925.409999999989</v>
      </c>
    </row>
    <row r="1607" spans="1:10" hidden="1" x14ac:dyDescent="0.25">
      <c r="A1607" s="1">
        <v>45374</v>
      </c>
      <c r="B1607" t="s">
        <v>908</v>
      </c>
      <c r="D1607" s="2">
        <v>15</v>
      </c>
      <c r="E1607" s="2">
        <v>0</v>
      </c>
      <c r="F1607" s="2">
        <v>123521.86</v>
      </c>
      <c r="G1607" s="55" t="s">
        <v>792</v>
      </c>
      <c r="H1607" t="s">
        <v>715</v>
      </c>
      <c r="J1607" s="7">
        <f t="shared" si="17"/>
        <v>-37941.94</v>
      </c>
    </row>
    <row r="1608" spans="1:10" hidden="1" x14ac:dyDescent="0.25">
      <c r="A1608" s="1">
        <v>45374</v>
      </c>
      <c r="B1608" t="s">
        <v>909</v>
      </c>
      <c r="D1608" s="2">
        <v>2000</v>
      </c>
      <c r="E1608" s="2">
        <v>0</v>
      </c>
      <c r="F1608" s="2">
        <v>121521.86</v>
      </c>
      <c r="G1608" s="55" t="s">
        <v>792</v>
      </c>
      <c r="H1608" t="s">
        <v>715</v>
      </c>
      <c r="J1608" s="7">
        <f t="shared" si="17"/>
        <v>0</v>
      </c>
    </row>
    <row r="1609" spans="1:10" hidden="1" x14ac:dyDescent="0.25">
      <c r="A1609" s="1">
        <v>45374</v>
      </c>
      <c r="B1609" t="s">
        <v>910</v>
      </c>
      <c r="D1609" s="2">
        <v>460</v>
      </c>
      <c r="E1609" s="2">
        <v>0</v>
      </c>
      <c r="F1609" s="2">
        <v>121061.86</v>
      </c>
      <c r="G1609" s="55" t="s">
        <v>792</v>
      </c>
      <c r="H1609" t="s">
        <v>715</v>
      </c>
      <c r="J1609" s="7">
        <f t="shared" si="17"/>
        <v>0</v>
      </c>
    </row>
    <row r="1610" spans="1:10" hidden="1" x14ac:dyDescent="0.25">
      <c r="A1610" s="1">
        <v>45375</v>
      </c>
      <c r="B1610" t="s">
        <v>911</v>
      </c>
      <c r="D1610" s="2">
        <v>100</v>
      </c>
      <c r="E1610" s="2">
        <v>0</v>
      </c>
      <c r="F1610" s="2">
        <v>120961.86</v>
      </c>
      <c r="G1610" s="55" t="s">
        <v>792</v>
      </c>
      <c r="H1610" t="s">
        <v>715</v>
      </c>
      <c r="J1610" s="7">
        <f t="shared" si="17"/>
        <v>0</v>
      </c>
    </row>
    <row r="1611" spans="1:10" hidden="1" x14ac:dyDescent="0.25">
      <c r="A1611" s="1">
        <v>45375</v>
      </c>
      <c r="B1611" t="s">
        <v>912</v>
      </c>
      <c r="D1611" s="2">
        <v>1560</v>
      </c>
      <c r="E1611" s="2">
        <v>0</v>
      </c>
      <c r="F1611" s="2">
        <v>119401.86</v>
      </c>
      <c r="G1611" s="55" t="s">
        <v>1052</v>
      </c>
      <c r="H1611" t="s">
        <v>715</v>
      </c>
      <c r="J1611" s="7">
        <f t="shared" si="17"/>
        <v>0</v>
      </c>
    </row>
    <row r="1612" spans="1:10" hidden="1" x14ac:dyDescent="0.25">
      <c r="A1612" s="1">
        <v>45376</v>
      </c>
      <c r="B1612" t="s">
        <v>913</v>
      </c>
      <c r="D1612" s="2">
        <v>70</v>
      </c>
      <c r="E1612" s="2">
        <v>0</v>
      </c>
      <c r="F1612" s="2">
        <v>119331.86</v>
      </c>
      <c r="G1612" s="55" t="s">
        <v>792</v>
      </c>
      <c r="H1612" t="s">
        <v>715</v>
      </c>
      <c r="J1612" s="7">
        <f t="shared" si="17"/>
        <v>0</v>
      </c>
    </row>
    <row r="1613" spans="1:10" hidden="1" x14ac:dyDescent="0.25">
      <c r="A1613" s="1">
        <v>45376</v>
      </c>
      <c r="B1613" t="s">
        <v>187</v>
      </c>
      <c r="C1613">
        <v>0</v>
      </c>
      <c r="D1613" s="2">
        <v>0</v>
      </c>
      <c r="E1613" s="2">
        <v>405</v>
      </c>
      <c r="F1613" s="2">
        <v>85999.92</v>
      </c>
      <c r="G1613" s="55" t="s">
        <v>788</v>
      </c>
      <c r="H1613" t="s">
        <v>716</v>
      </c>
      <c r="J1613" s="7">
        <f t="shared" si="17"/>
        <v>33736.94</v>
      </c>
    </row>
    <row r="1614" spans="1:10" hidden="1" x14ac:dyDescent="0.25">
      <c r="A1614" s="1">
        <v>45377</v>
      </c>
      <c r="B1614" t="s">
        <v>914</v>
      </c>
      <c r="D1614" s="2">
        <v>100</v>
      </c>
      <c r="E1614" s="2">
        <v>0</v>
      </c>
      <c r="F1614" s="2">
        <v>119231.86</v>
      </c>
      <c r="G1614" s="55" t="s">
        <v>792</v>
      </c>
      <c r="H1614" t="s">
        <v>715</v>
      </c>
      <c r="J1614" s="7">
        <f t="shared" si="17"/>
        <v>-33331.94</v>
      </c>
    </row>
    <row r="1615" spans="1:10" hidden="1" x14ac:dyDescent="0.25">
      <c r="A1615" s="1">
        <v>45377</v>
      </c>
      <c r="B1615" t="s">
        <v>472</v>
      </c>
      <c r="D1615" s="2">
        <v>1622.68</v>
      </c>
      <c r="E1615" s="2">
        <v>0</v>
      </c>
      <c r="F1615" s="2">
        <v>68454.48</v>
      </c>
      <c r="G1615" t="s">
        <v>731</v>
      </c>
      <c r="H1615" t="s">
        <v>719</v>
      </c>
      <c r="J1615" s="7">
        <f t="shared" si="17"/>
        <v>49154.700000000012</v>
      </c>
    </row>
    <row r="1616" spans="1:10" hidden="1" x14ac:dyDescent="0.25">
      <c r="A1616" s="1">
        <v>45377</v>
      </c>
      <c r="B1616" t="s">
        <v>472</v>
      </c>
      <c r="D1616" s="2">
        <v>1820</v>
      </c>
      <c r="E1616" s="2">
        <v>0</v>
      </c>
      <c r="F1616" s="2">
        <v>66634.48</v>
      </c>
      <c r="G1616" t="s">
        <v>731</v>
      </c>
      <c r="H1616" t="s">
        <v>719</v>
      </c>
      <c r="J1616" s="7">
        <f t="shared" si="17"/>
        <v>0</v>
      </c>
    </row>
    <row r="1617" spans="1:10" hidden="1" x14ac:dyDescent="0.25">
      <c r="A1617" s="1">
        <v>45377</v>
      </c>
      <c r="B1617" t="s">
        <v>472</v>
      </c>
      <c r="D1617" s="2">
        <v>22594.16</v>
      </c>
      <c r="E1617" s="2">
        <v>0</v>
      </c>
      <c r="F1617" s="2">
        <v>44040.32</v>
      </c>
      <c r="G1617" t="s">
        <v>731</v>
      </c>
      <c r="H1617" t="s">
        <v>719</v>
      </c>
      <c r="J1617" s="7">
        <f t="shared" si="17"/>
        <v>0</v>
      </c>
    </row>
    <row r="1618" spans="1:10" hidden="1" x14ac:dyDescent="0.25">
      <c r="A1618" s="1">
        <v>45377</v>
      </c>
      <c r="B1618" t="s">
        <v>201</v>
      </c>
      <c r="C1618" t="s">
        <v>200</v>
      </c>
      <c r="D1618" s="2">
        <v>17296.64</v>
      </c>
      <c r="E1618" s="2">
        <v>0</v>
      </c>
      <c r="F1618" s="2">
        <v>68703.28</v>
      </c>
      <c r="G1618" s="55" t="s">
        <v>1052</v>
      </c>
      <c r="H1618" t="s">
        <v>716</v>
      </c>
      <c r="J1618" s="7">
        <f t="shared" si="17"/>
        <v>-41959.6</v>
      </c>
    </row>
    <row r="1619" spans="1:10" hidden="1" x14ac:dyDescent="0.25">
      <c r="A1619" s="1">
        <v>45378</v>
      </c>
      <c r="B1619" t="s">
        <v>915</v>
      </c>
      <c r="D1619" s="2">
        <v>10000</v>
      </c>
      <c r="E1619" s="2">
        <v>0</v>
      </c>
      <c r="F1619" s="2">
        <v>109231.86</v>
      </c>
      <c r="G1619" t="s">
        <v>734</v>
      </c>
      <c r="H1619" t="s">
        <v>715</v>
      </c>
      <c r="J1619" s="7">
        <f t="shared" si="17"/>
        <v>-50528.58</v>
      </c>
    </row>
    <row r="1620" spans="1:10" hidden="1" x14ac:dyDescent="0.25">
      <c r="A1620" s="1">
        <v>45378</v>
      </c>
      <c r="B1620" t="s">
        <v>472</v>
      </c>
      <c r="D1620" s="2">
        <v>397.63</v>
      </c>
      <c r="E1620" s="2">
        <v>0</v>
      </c>
      <c r="F1620" s="2">
        <v>43642.69</v>
      </c>
      <c r="G1620" t="s">
        <v>731</v>
      </c>
      <c r="H1620" t="s">
        <v>719</v>
      </c>
      <c r="J1620" s="7">
        <f t="shared" si="17"/>
        <v>65191.539999999994</v>
      </c>
    </row>
    <row r="1621" spans="1:10" hidden="1" x14ac:dyDescent="0.25">
      <c r="A1621" s="1">
        <v>45378</v>
      </c>
      <c r="B1621" t="s">
        <v>472</v>
      </c>
      <c r="D1621" s="2">
        <v>9246.85</v>
      </c>
      <c r="E1621" s="2">
        <v>0</v>
      </c>
      <c r="F1621" s="2">
        <v>34395.839999999997</v>
      </c>
      <c r="G1621" t="s">
        <v>731</v>
      </c>
      <c r="H1621" t="s">
        <v>719</v>
      </c>
      <c r="J1621" s="7">
        <f t="shared" si="17"/>
        <v>0</v>
      </c>
    </row>
    <row r="1622" spans="1:10" hidden="1" x14ac:dyDescent="0.25">
      <c r="A1622" s="1">
        <v>45378</v>
      </c>
      <c r="B1622" t="s">
        <v>472</v>
      </c>
      <c r="D1622" s="2">
        <v>21062.99</v>
      </c>
      <c r="E1622" s="2">
        <v>0</v>
      </c>
      <c r="F1622" s="2">
        <v>13332.85</v>
      </c>
      <c r="G1622" t="s">
        <v>731</v>
      </c>
      <c r="H1622" t="s">
        <v>719</v>
      </c>
      <c r="J1622" s="7">
        <f t="shared" si="17"/>
        <v>0</v>
      </c>
    </row>
    <row r="1623" spans="1:10" hidden="1" x14ac:dyDescent="0.25">
      <c r="A1623" s="1">
        <v>45379</v>
      </c>
      <c r="B1623" t="s">
        <v>472</v>
      </c>
      <c r="D1623" s="2">
        <v>419.95</v>
      </c>
      <c r="E1623" s="2">
        <v>0</v>
      </c>
      <c r="F1623" s="2">
        <v>12912.9</v>
      </c>
      <c r="G1623" t="s">
        <v>731</v>
      </c>
      <c r="H1623" t="s">
        <v>719</v>
      </c>
      <c r="J1623" s="7">
        <f t="shared" si="17"/>
        <v>0</v>
      </c>
    </row>
    <row r="1624" spans="1:10" hidden="1" x14ac:dyDescent="0.25">
      <c r="A1624" s="1">
        <v>45379</v>
      </c>
      <c r="B1624" t="s">
        <v>618</v>
      </c>
      <c r="D1624" s="2">
        <v>0</v>
      </c>
      <c r="E1624" s="2">
        <v>24424.71</v>
      </c>
      <c r="F1624" s="2">
        <v>37337.61</v>
      </c>
      <c r="G1624" t="s">
        <v>731</v>
      </c>
      <c r="H1624" t="s">
        <v>719</v>
      </c>
      <c r="J1624" s="7">
        <f t="shared" si="17"/>
        <v>0</v>
      </c>
    </row>
    <row r="1625" spans="1:10" hidden="1" x14ac:dyDescent="0.25">
      <c r="A1625" s="1">
        <v>45381</v>
      </c>
      <c r="B1625" t="s">
        <v>916</v>
      </c>
      <c r="D1625" s="2">
        <v>60</v>
      </c>
      <c r="E1625" s="2">
        <v>0</v>
      </c>
      <c r="F1625" s="2">
        <v>109171.86</v>
      </c>
      <c r="G1625" s="55" t="s">
        <v>792</v>
      </c>
      <c r="H1625" t="s">
        <v>715</v>
      </c>
      <c r="J1625" s="7">
        <f t="shared" si="17"/>
        <v>-71894.25</v>
      </c>
    </row>
    <row r="1626" spans="1:10" hidden="1" x14ac:dyDescent="0.25">
      <c r="A1626" s="1">
        <v>45381</v>
      </c>
      <c r="B1626" t="s">
        <v>974</v>
      </c>
      <c r="D1626" s="2">
        <v>0</v>
      </c>
      <c r="E1626" s="2">
        <v>54</v>
      </c>
      <c r="F1626" s="2">
        <v>37391.61</v>
      </c>
      <c r="G1626" s="55" t="s">
        <v>736</v>
      </c>
      <c r="H1626" t="s">
        <v>719</v>
      </c>
      <c r="J1626" s="7">
        <f t="shared" si="17"/>
        <v>71834.25</v>
      </c>
    </row>
    <row r="1627" spans="1:10" hidden="1" x14ac:dyDescent="0.25">
      <c r="A1627" s="1">
        <v>45382</v>
      </c>
      <c r="B1627" t="s">
        <v>917</v>
      </c>
      <c r="D1627" s="2">
        <v>700</v>
      </c>
      <c r="E1627" s="2">
        <v>0</v>
      </c>
      <c r="F1627" s="2">
        <v>108471.86</v>
      </c>
      <c r="G1627" s="55" t="s">
        <v>792</v>
      </c>
      <c r="H1627" t="s">
        <v>715</v>
      </c>
      <c r="J1627" s="7">
        <f t="shared" si="17"/>
        <v>-71780.25</v>
      </c>
    </row>
    <row r="1628" spans="1:10" hidden="1" x14ac:dyDescent="0.25">
      <c r="A1628" s="1">
        <v>45382</v>
      </c>
      <c r="B1628" t="s">
        <v>918</v>
      </c>
      <c r="D1628" s="2">
        <v>910</v>
      </c>
      <c r="E1628" s="2">
        <v>0</v>
      </c>
      <c r="F1628" s="2">
        <v>107561.86</v>
      </c>
      <c r="G1628" s="55" t="s">
        <v>792</v>
      </c>
      <c r="H1628" t="s">
        <v>715</v>
      </c>
      <c r="J1628" s="7">
        <f t="shared" si="17"/>
        <v>0</v>
      </c>
    </row>
    <row r="1629" spans="1:10" hidden="1" x14ac:dyDescent="0.25">
      <c r="A1629" s="1">
        <v>45382</v>
      </c>
      <c r="B1629" t="s">
        <v>919</v>
      </c>
      <c r="D1629" s="2">
        <v>18000</v>
      </c>
      <c r="E1629" s="2">
        <v>0</v>
      </c>
      <c r="F1629" s="2">
        <v>89561.86</v>
      </c>
      <c r="G1629" s="55" t="s">
        <v>1047</v>
      </c>
      <c r="H1629" t="s">
        <v>715</v>
      </c>
      <c r="J1629" s="7"/>
    </row>
    <row r="1630" spans="1:10" hidden="1" x14ac:dyDescent="0.25">
      <c r="A1630" s="1">
        <v>45382</v>
      </c>
      <c r="B1630" t="s">
        <v>920</v>
      </c>
      <c r="D1630" s="2">
        <v>0</v>
      </c>
      <c r="E1630" s="2">
        <v>1054</v>
      </c>
      <c r="F1630" s="2">
        <v>90615.86</v>
      </c>
      <c r="G1630" s="55" t="s">
        <v>788</v>
      </c>
      <c r="H1630" t="s">
        <v>715</v>
      </c>
      <c r="I1630" s="7"/>
      <c r="J1630" s="7"/>
    </row>
    <row r="1631" spans="1:10" hidden="1" x14ac:dyDescent="0.25">
      <c r="A1631" s="1">
        <v>45382</v>
      </c>
      <c r="B1631" t="s">
        <v>380</v>
      </c>
      <c r="C1631">
        <v>0</v>
      </c>
      <c r="D1631" s="2">
        <v>31</v>
      </c>
      <c r="E1631" s="2">
        <v>0</v>
      </c>
      <c r="F1631" s="2">
        <v>-195.37</v>
      </c>
      <c r="G1631" s="55" t="s">
        <v>729</v>
      </c>
      <c r="H1631" t="s">
        <v>718</v>
      </c>
      <c r="I1631" s="54"/>
    </row>
    <row r="1632" spans="1:10" hidden="1" x14ac:dyDescent="0.25">
      <c r="A1632" s="1">
        <v>45383</v>
      </c>
      <c r="B1632" t="s">
        <v>538</v>
      </c>
      <c r="D1632" s="2">
        <v>0</v>
      </c>
      <c r="E1632" s="2">
        <v>538</v>
      </c>
      <c r="F1632" s="2">
        <v>37929.61</v>
      </c>
      <c r="G1632" t="s">
        <v>788</v>
      </c>
      <c r="H1632" t="s">
        <v>719</v>
      </c>
      <c r="I1632" s="7"/>
    </row>
  </sheetData>
  <autoFilter ref="A3:H1632" xr:uid="{EDD8FE32-C754-4622-B990-5FE2FE987A70}">
    <filterColumn colId="3">
      <filters>
        <filter val="20,000"/>
      </filters>
    </filterColumn>
    <filterColumn colId="6">
      <filters>
        <filter val="Suspense"/>
      </filters>
    </filterColumn>
  </autoFilter>
  <mergeCells count="2">
    <mergeCell ref="L4:L5"/>
    <mergeCell ref="L1:M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0156E-3843-4F08-A564-96B52C3E55DB}">
  <dimension ref="B1:J57"/>
  <sheetViews>
    <sheetView workbookViewId="0"/>
  </sheetViews>
  <sheetFormatPr defaultRowHeight="13.2" x14ac:dyDescent="0.25"/>
  <cols>
    <col min="2" max="2" width="23.33203125" bestFit="1" customWidth="1"/>
    <col min="3" max="3" width="13.109375" bestFit="1" customWidth="1"/>
    <col min="4" max="4" width="23.33203125" bestFit="1" customWidth="1"/>
    <col min="5" max="5" width="13.109375" bestFit="1" customWidth="1"/>
    <col min="6" max="6" width="10.6640625" bestFit="1" customWidth="1"/>
    <col min="7" max="7" width="9.77734375" bestFit="1" customWidth="1"/>
    <col min="9" max="9" width="14.21875" bestFit="1" customWidth="1"/>
    <col min="10" max="10" width="15" bestFit="1" customWidth="1"/>
  </cols>
  <sheetData>
    <row r="1" spans="2:9" ht="13.8" thickBot="1" x14ac:dyDescent="0.3">
      <c r="B1" s="87" t="s">
        <v>798</v>
      </c>
      <c r="C1" s="88"/>
      <c r="D1" s="88"/>
      <c r="E1" s="89"/>
    </row>
    <row r="2" spans="2:9" ht="13.8" thickBot="1" x14ac:dyDescent="0.3">
      <c r="B2" s="87" t="s">
        <v>797</v>
      </c>
      <c r="C2" s="88"/>
      <c r="D2" s="88"/>
      <c r="E2" s="89"/>
    </row>
    <row r="3" spans="2:9" ht="13.8" thickBot="1" x14ac:dyDescent="0.3">
      <c r="B3" s="87" t="s">
        <v>1054</v>
      </c>
      <c r="C3" s="88"/>
      <c r="D3" s="88"/>
      <c r="E3" s="89"/>
    </row>
    <row r="4" spans="2:9" ht="13.8" thickBot="1" x14ac:dyDescent="0.3">
      <c r="B4" s="15" t="s">
        <v>721</v>
      </c>
      <c r="C4" s="15" t="s">
        <v>800</v>
      </c>
      <c r="D4" s="15" t="s">
        <v>721</v>
      </c>
      <c r="E4" s="15" t="s">
        <v>800</v>
      </c>
    </row>
    <row r="5" spans="2:9" x14ac:dyDescent="0.25">
      <c r="B5" s="17"/>
      <c r="C5" s="21"/>
      <c r="D5" s="17" t="s">
        <v>799</v>
      </c>
      <c r="E5" s="21">
        <f>-I45</f>
        <v>73288.299999999988</v>
      </c>
      <c r="G5" s="16"/>
      <c r="I5" s="2"/>
    </row>
    <row r="6" spans="2:9" x14ac:dyDescent="0.25">
      <c r="B6" s="18"/>
      <c r="C6" s="18"/>
      <c r="D6" s="18"/>
      <c r="E6" s="18"/>
      <c r="I6" s="2"/>
    </row>
    <row r="7" spans="2:9" x14ac:dyDescent="0.25">
      <c r="B7" s="19" t="s">
        <v>724</v>
      </c>
      <c r="C7" s="22">
        <f>SUMIFS(Conso!$E:$E,Conso!$G:$G,B7)</f>
        <v>9230781</v>
      </c>
      <c r="D7" s="19" t="s">
        <v>724</v>
      </c>
      <c r="E7" s="22">
        <f>SUMIFS(Conso!$D:$D,Conso!$G:$G,D7)</f>
        <v>9230781</v>
      </c>
    </row>
    <row r="8" spans="2:9" x14ac:dyDescent="0.25">
      <c r="B8" s="19" t="s">
        <v>733</v>
      </c>
      <c r="C8" s="22">
        <f>SUMIFS(Conso!$E:$E,Conso!$G:$G,B8)</f>
        <v>17250</v>
      </c>
      <c r="D8" s="19" t="s">
        <v>733</v>
      </c>
      <c r="E8" s="22">
        <f>SUMIFS(Conso!$D:$D,Conso!$G:$G,D8)</f>
        <v>37987.550000000003</v>
      </c>
    </row>
    <row r="9" spans="2:9" x14ac:dyDescent="0.25">
      <c r="B9" s="19" t="s">
        <v>731</v>
      </c>
      <c r="C9" s="22">
        <f>SUMIFS(Conso!$E:$E,Conso!$G:$G,B9)</f>
        <v>2756188.9700000011</v>
      </c>
      <c r="D9" s="19" t="s">
        <v>731</v>
      </c>
      <c r="E9" s="22">
        <f>SUMIFS(Conso!$D:$D,Conso!$G:$G,D9)</f>
        <v>4213437.3599999994</v>
      </c>
    </row>
    <row r="10" spans="2:9" x14ac:dyDescent="0.25">
      <c r="B10" s="19" t="s">
        <v>1052</v>
      </c>
      <c r="C10" s="22">
        <f>SUMIFS(Conso!$E:$E,Conso!$G:$G,B10)</f>
        <v>3244957.1600000011</v>
      </c>
      <c r="D10" s="19" t="s">
        <v>1052</v>
      </c>
      <c r="E10" s="22">
        <f>SUMIFS(Conso!$D:$D,Conso!$G:$G,D10)</f>
        <v>2091653.4499999997</v>
      </c>
    </row>
    <row r="11" spans="2:9" x14ac:dyDescent="0.25">
      <c r="B11" s="19" t="s">
        <v>794</v>
      </c>
      <c r="C11" s="22">
        <f>SUMIFS(Conso!$E:$E,Conso!$G:$G,B11)</f>
        <v>0</v>
      </c>
      <c r="D11" s="19" t="s">
        <v>794</v>
      </c>
      <c r="E11" s="22">
        <f>SUMIFS(Conso!$D:$D,Conso!$G:$G,D11)</f>
        <v>421522.67</v>
      </c>
    </row>
    <row r="12" spans="2:9" x14ac:dyDescent="0.25">
      <c r="B12" s="19" t="s">
        <v>736</v>
      </c>
      <c r="C12" s="22">
        <f>SUMIFS(Conso!$E:$E,Conso!$G:$G,B12)</f>
        <v>43886.25</v>
      </c>
      <c r="D12" s="19" t="s">
        <v>736</v>
      </c>
      <c r="E12" s="22">
        <f>SUMIFS(Conso!$D:$D,Conso!$G:$G,D12)</f>
        <v>0</v>
      </c>
    </row>
    <row r="13" spans="2:9" x14ac:dyDescent="0.25">
      <c r="B13" s="19" t="s">
        <v>729</v>
      </c>
      <c r="C13" s="22">
        <f>SUMIFS(Conso!$E:$E,Conso!$G:$G,B13)</f>
        <v>0</v>
      </c>
      <c r="D13" s="19" t="s">
        <v>729</v>
      </c>
      <c r="E13" s="22">
        <f>SUMIFS(Conso!$D:$D,Conso!$G:$G,D13)</f>
        <v>23439.449999999997</v>
      </c>
    </row>
    <row r="14" spans="2:9" x14ac:dyDescent="0.25">
      <c r="B14" s="19" t="s">
        <v>792</v>
      </c>
      <c r="C14" s="22">
        <f>SUMIFS(Conso!$E:$E,Conso!$G:$G,B14)</f>
        <v>123680</v>
      </c>
      <c r="D14" s="19" t="s">
        <v>792</v>
      </c>
      <c r="E14" s="22">
        <f>SUMIFS(Conso!$D:$D,Conso!$G:$G,D14)</f>
        <v>228355.94999999998</v>
      </c>
    </row>
    <row r="15" spans="2:9" x14ac:dyDescent="0.25">
      <c r="B15" s="19" t="s">
        <v>764</v>
      </c>
      <c r="C15" s="22">
        <f>SUMIFS(Conso!$E:$E,Conso!$G:$G,B15)</f>
        <v>325000</v>
      </c>
      <c r="D15" s="19" t="s">
        <v>764</v>
      </c>
      <c r="E15" s="22">
        <f>SUMIFS(Conso!$D:$D,Conso!$G:$G,D15)</f>
        <v>20000</v>
      </c>
    </row>
    <row r="16" spans="2:9" x14ac:dyDescent="0.25">
      <c r="B16" s="19" t="s">
        <v>734</v>
      </c>
      <c r="C16" s="22">
        <f>SUMIFS(Conso!$E:$E,Conso!$G:$G,B16)</f>
        <v>0</v>
      </c>
      <c r="D16" s="19" t="s">
        <v>734</v>
      </c>
      <c r="E16" s="22">
        <f>SUMIFS(Conso!$D:$D,Conso!$G:$G,D16)</f>
        <v>225500</v>
      </c>
    </row>
    <row r="17" spans="2:5" x14ac:dyDescent="0.25">
      <c r="B17" s="19" t="s">
        <v>793</v>
      </c>
      <c r="C17" s="22">
        <f>SUMIFS(Conso!$E:$E,Conso!$G:$G,B17)</f>
        <v>0</v>
      </c>
      <c r="D17" s="19" t="s">
        <v>793</v>
      </c>
      <c r="E17" s="22">
        <f>SUMIFS(Conso!$D:$D,Conso!$G:$G,D17)</f>
        <v>19560</v>
      </c>
    </row>
    <row r="18" spans="2:5" x14ac:dyDescent="0.25">
      <c r="B18" s="19" t="s">
        <v>728</v>
      </c>
      <c r="C18" s="22">
        <f>SUMIFS(Conso!$E:$E,Conso!$G:$G,B18)</f>
        <v>0</v>
      </c>
      <c r="D18" s="19" t="s">
        <v>728</v>
      </c>
      <c r="E18" s="22">
        <f>SUMIFS(Conso!$D:$D,Conso!$G:$G,D18)</f>
        <v>1095000</v>
      </c>
    </row>
    <row r="19" spans="2:5" x14ac:dyDescent="0.25">
      <c r="B19" s="19" t="s">
        <v>727</v>
      </c>
      <c r="C19" s="22">
        <f>SUMIFS(Conso!$E:$E,Conso!$G:$G,B19)</f>
        <v>370833</v>
      </c>
      <c r="D19" s="19" t="s">
        <v>727</v>
      </c>
      <c r="E19" s="22">
        <f>SUMIFS(Conso!$D:$D,Conso!$G:$G,D19)</f>
        <v>0</v>
      </c>
    </row>
    <row r="20" spans="2:5" x14ac:dyDescent="0.25">
      <c r="B20" s="19" t="s">
        <v>788</v>
      </c>
      <c r="C20" s="22">
        <f>SUMIFS(Conso!$E:$E,Conso!$G:$G,B20)</f>
        <v>7067</v>
      </c>
      <c r="D20" s="19" t="s">
        <v>788</v>
      </c>
      <c r="E20" s="22">
        <f>SUMIFS(Conso!$D:$D,Conso!$G:$G,D20)</f>
        <v>0</v>
      </c>
    </row>
    <row r="21" spans="2:5" x14ac:dyDescent="0.25">
      <c r="B21" s="19" t="s">
        <v>790</v>
      </c>
      <c r="C21" s="22">
        <f>SUMIFS(Conso!$E:$E,Conso!$G:$G,B21)</f>
        <v>0</v>
      </c>
      <c r="D21" s="19" t="s">
        <v>790</v>
      </c>
      <c r="E21" s="22">
        <f>SUMIFS(Conso!$D:$D,Conso!$G:$G,D21)</f>
        <v>17450</v>
      </c>
    </row>
    <row r="22" spans="2:5" x14ac:dyDescent="0.25">
      <c r="B22" s="19" t="s">
        <v>732</v>
      </c>
      <c r="C22" s="22">
        <f>SUMIFS(Conso!$E:$E,Conso!$G:$G,B22)</f>
        <v>6018.7900000000009</v>
      </c>
      <c r="D22" s="19" t="s">
        <v>732</v>
      </c>
      <c r="E22" s="22">
        <f>SUMIFS(Conso!$D:$D,Conso!$G:$G,D22)</f>
        <v>0</v>
      </c>
    </row>
    <row r="23" spans="2:5" x14ac:dyDescent="0.25">
      <c r="B23" s="19" t="s">
        <v>791</v>
      </c>
      <c r="C23" s="22">
        <f>SUMIFS(Conso!$E:$E,Conso!$G:$G,B23)</f>
        <v>0</v>
      </c>
      <c r="D23" s="19" t="s">
        <v>791</v>
      </c>
      <c r="E23" s="22">
        <f>SUMIFS(Conso!$D:$D,Conso!$G:$G,D23)</f>
        <v>58514</v>
      </c>
    </row>
    <row r="24" spans="2:5" x14ac:dyDescent="0.25">
      <c r="B24" s="19" t="s">
        <v>763</v>
      </c>
      <c r="C24" s="22">
        <f>SUMIFS(Conso!$E:$E,Conso!$G:$G,B24)</f>
        <v>450000</v>
      </c>
      <c r="D24" s="19" t="s">
        <v>763</v>
      </c>
      <c r="E24" s="22">
        <f>SUMIFS(Conso!$D:$D,Conso!$G:$G,D24)</f>
        <v>0</v>
      </c>
    </row>
    <row r="25" spans="2:5" x14ac:dyDescent="0.25">
      <c r="B25" s="19" t="s">
        <v>726</v>
      </c>
      <c r="C25" s="22">
        <f>SUMIFS(Conso!$E:$E,Conso!$G:$G,B25)</f>
        <v>20000</v>
      </c>
      <c r="D25" s="19" t="s">
        <v>726</v>
      </c>
      <c r="E25" s="22">
        <f>SUMIFS(Conso!$D:$D,Conso!$G:$G,D25)</f>
        <v>945000</v>
      </c>
    </row>
    <row r="26" spans="2:5" x14ac:dyDescent="0.25">
      <c r="B26" s="19" t="s">
        <v>730</v>
      </c>
      <c r="C26" s="22">
        <f>SUMIFS(Conso!$E:$E,Conso!$G:$G,B26)</f>
        <v>46483.94</v>
      </c>
      <c r="D26" s="19" t="s">
        <v>730</v>
      </c>
      <c r="E26" s="22">
        <f>SUMIFS(Conso!$D:$D,Conso!$G:$G,D26)</f>
        <v>0</v>
      </c>
    </row>
    <row r="27" spans="2:5" x14ac:dyDescent="0.25">
      <c r="B27" s="19" t="s">
        <v>795</v>
      </c>
      <c r="C27" s="22">
        <f>SUMIFS(Conso!$E:$E,Conso!$G:$G,B27)</f>
        <v>0</v>
      </c>
      <c r="D27" s="19" t="s">
        <v>795</v>
      </c>
      <c r="E27" s="22">
        <f>SUMIFS(Conso!$D:$D,Conso!$G:$G,D27)</f>
        <v>32000</v>
      </c>
    </row>
    <row r="28" spans="2:5" x14ac:dyDescent="0.25">
      <c r="B28" s="19" t="s">
        <v>735</v>
      </c>
      <c r="C28" s="22">
        <f>SUMIFS(Conso!$E:$E,Conso!$G:$G,B28)</f>
        <v>0</v>
      </c>
      <c r="D28" s="19" t="s">
        <v>735</v>
      </c>
      <c r="E28" s="22">
        <f>SUMIFS(Conso!$D:$D,Conso!$G:$G,D28)</f>
        <v>830100</v>
      </c>
    </row>
    <row r="29" spans="2:5" x14ac:dyDescent="0.25">
      <c r="B29" s="19" t="s">
        <v>762</v>
      </c>
      <c r="C29" s="22">
        <f>SUMIFS(Conso!$E:$E,Conso!$G:$G,B29)</f>
        <v>1512412</v>
      </c>
      <c r="D29" s="19" t="s">
        <v>762</v>
      </c>
      <c r="E29" s="22">
        <f>SUMIFS(Conso!$D:$D,Conso!$G:$G,D29)</f>
        <v>0</v>
      </c>
    </row>
    <row r="30" spans="2:5" x14ac:dyDescent="0.25">
      <c r="B30" s="19" t="s">
        <v>737</v>
      </c>
      <c r="C30" s="22">
        <f>SUMIFS(Conso!$E:$E,Conso!$G:$G,B30)</f>
        <v>1589137</v>
      </c>
      <c r="D30" s="19" t="s">
        <v>737</v>
      </c>
      <c r="E30" s="22">
        <f>SUMIFS(Conso!$D:$D,Conso!$G:$G,D30)</f>
        <v>0</v>
      </c>
    </row>
    <row r="31" spans="2:5" x14ac:dyDescent="0.25">
      <c r="B31" s="19" t="s">
        <v>765</v>
      </c>
      <c r="C31" s="22">
        <f>SUMIFS(Conso!$E:$E,Conso!$G:$G,B31)</f>
        <v>40000</v>
      </c>
      <c r="D31" s="19" t="s">
        <v>765</v>
      </c>
      <c r="E31" s="22">
        <f>SUMIFS(Conso!$D:$D,Conso!$G:$G,D31)</f>
        <v>0</v>
      </c>
    </row>
    <row r="32" spans="2:5" x14ac:dyDescent="0.25">
      <c r="B32" s="19" t="s">
        <v>789</v>
      </c>
      <c r="C32" s="22">
        <f>SUMIFS(Conso!$E:$E,Conso!$G:$G,B32)</f>
        <v>2000</v>
      </c>
      <c r="D32" s="19" t="s">
        <v>789</v>
      </c>
      <c r="E32" s="22">
        <f>SUMIFS(Conso!$D:$D,Conso!$G:$G,D32)</f>
        <v>0</v>
      </c>
    </row>
    <row r="33" spans="2:10" x14ac:dyDescent="0.25">
      <c r="B33" s="19" t="s">
        <v>725</v>
      </c>
      <c r="C33" s="22">
        <f>SUMIFS(Conso!$E:$E,Conso!$G:$G,B33)</f>
        <v>0</v>
      </c>
      <c r="D33" s="19" t="s">
        <v>725</v>
      </c>
      <c r="E33" s="22">
        <f>SUMIFS(Conso!$D:$D,Conso!$G:$G,D33)</f>
        <v>560000</v>
      </c>
    </row>
    <row r="34" spans="2:10" x14ac:dyDescent="0.25">
      <c r="B34" s="19" t="s">
        <v>1049</v>
      </c>
      <c r="C34" s="22">
        <f>SUMIFS(Conso!$E:$E,Conso!$G:$G,B34)</f>
        <v>0</v>
      </c>
      <c r="D34" s="19" t="s">
        <v>1049</v>
      </c>
      <c r="E34" s="22">
        <f>SUMIFS(Conso!$D:$D,Conso!$G:$G,D34)</f>
        <v>4000</v>
      </c>
    </row>
    <row r="35" spans="2:10" x14ac:dyDescent="0.25">
      <c r="B35" s="19" t="s">
        <v>1048</v>
      </c>
      <c r="C35" s="22">
        <f>SUMIFS(Conso!$E:$E,Conso!$G:$G,B35)</f>
        <v>0</v>
      </c>
      <c r="D35" s="19" t="s">
        <v>1048</v>
      </c>
      <c r="E35" s="22">
        <f>SUMIFS(Conso!$D:$D,Conso!$G:$G,D35)</f>
        <v>90000</v>
      </c>
    </row>
    <row r="36" spans="2:10" x14ac:dyDescent="0.25">
      <c r="B36" s="19" t="s">
        <v>1050</v>
      </c>
      <c r="C36" s="22">
        <f>SUMIFS(Conso!$E:$E,Conso!$G:$G,B36)</f>
        <v>0</v>
      </c>
      <c r="D36" s="19" t="s">
        <v>1050</v>
      </c>
      <c r="E36" s="22">
        <f>SUMIFS(Conso!$D:$D,Conso!$G:$G,D36)</f>
        <v>2500</v>
      </c>
    </row>
    <row r="37" spans="2:10" x14ac:dyDescent="0.25">
      <c r="B37" s="19" t="s">
        <v>1043</v>
      </c>
      <c r="C37" s="22">
        <f>SUMIFS(Conso!$E:$E,Conso!$G:$G,B37)</f>
        <v>700000</v>
      </c>
      <c r="D37" s="19" t="s">
        <v>1043</v>
      </c>
      <c r="E37" s="22">
        <f>SUMIFS(Conso!$D:$D,Conso!$G:$G,D37)</f>
        <v>0</v>
      </c>
    </row>
    <row r="38" spans="2:10" x14ac:dyDescent="0.25">
      <c r="B38" s="19" t="s">
        <v>1044</v>
      </c>
      <c r="C38" s="22">
        <f>SUMIFS(Conso!$E:$E,Conso!$G:$G,B38)</f>
        <v>0</v>
      </c>
      <c r="D38" s="19" t="s">
        <v>1044</v>
      </c>
      <c r="E38" s="22">
        <f>SUMIFS(Conso!$D:$D,Conso!$G:$G,D38)</f>
        <v>15000</v>
      </c>
    </row>
    <row r="39" spans="2:10" x14ac:dyDescent="0.25">
      <c r="B39" s="19" t="s">
        <v>1045</v>
      </c>
      <c r="C39" s="22">
        <f>SUMIFS(Conso!$E:$E,Conso!$G:$G,B39)</f>
        <v>0</v>
      </c>
      <c r="D39" s="19" t="s">
        <v>1045</v>
      </c>
      <c r="E39" s="22">
        <f>SUMIFS(Conso!$D:$D,Conso!$G:$G,D39)</f>
        <v>100000</v>
      </c>
      <c r="I39" t="s">
        <v>806</v>
      </c>
      <c r="J39" t="s">
        <v>471</v>
      </c>
    </row>
    <row r="40" spans="2:10" x14ac:dyDescent="0.25">
      <c r="B40" s="19" t="s">
        <v>1046</v>
      </c>
      <c r="C40" s="22">
        <f>SUMIFS(Conso!$E:$E,Conso!$G:$G,B40)</f>
        <v>100000</v>
      </c>
      <c r="D40" s="19" t="s">
        <v>1046</v>
      </c>
      <c r="E40" s="22">
        <f>SUMIFS(Conso!$D:$D,Conso!$G:$G,D40)</f>
        <v>0</v>
      </c>
      <c r="H40" t="s">
        <v>805</v>
      </c>
      <c r="I40" s="16">
        <f>'AXIS 3167'!F14</f>
        <v>188100.16</v>
      </c>
      <c r="J40" s="16">
        <f>'AXIS 3167'!F267</f>
        <v>90615.86</v>
      </c>
    </row>
    <row r="41" spans="2:10" x14ac:dyDescent="0.25">
      <c r="B41" s="19"/>
      <c r="C41" s="22">
        <f>SUMIFS(Conso!$E:$E,Conso!$G:$G,B41)</f>
        <v>0</v>
      </c>
      <c r="D41" s="19" t="s">
        <v>1047</v>
      </c>
      <c r="E41" s="22">
        <f>SUMIFS(Conso!$D:$D,Conso!$G:$G,D41)</f>
        <v>18000</v>
      </c>
      <c r="H41" t="s">
        <v>801</v>
      </c>
      <c r="I41" s="16">
        <f>'BOI 6699'!H19</f>
        <v>8586</v>
      </c>
      <c r="J41" s="16">
        <f>'BOI 6699'!G26</f>
        <v>15725</v>
      </c>
    </row>
    <row r="42" spans="2:10" x14ac:dyDescent="0.25">
      <c r="B42" s="19"/>
      <c r="C42" s="57"/>
      <c r="D42" s="18" t="s">
        <v>1053</v>
      </c>
      <c r="E42" s="22">
        <f>C44-SUM(E5:E41)</f>
        <v>232605.38000000268</v>
      </c>
      <c r="F42" s="16">
        <f>J45</f>
        <v>212778.38</v>
      </c>
      <c r="G42" s="13">
        <f>E42-F42</f>
        <v>19827.000000002678</v>
      </c>
      <c r="H42" t="s">
        <v>802</v>
      </c>
      <c r="I42" s="16">
        <f>'HDFC 5930'!F15</f>
        <v>32408.51</v>
      </c>
      <c r="J42" s="16">
        <f>'HDFC 5930'!F1094</f>
        <v>37929.61</v>
      </c>
    </row>
    <row r="43" spans="2:10" x14ac:dyDescent="0.25">
      <c r="B43" s="19"/>
      <c r="C43" s="19"/>
      <c r="D43" s="19"/>
      <c r="E43" s="19"/>
      <c r="H43" t="s">
        <v>803</v>
      </c>
      <c r="I43" s="16">
        <f>'SBI OD 5441'!G18</f>
        <v>-307107.37</v>
      </c>
      <c r="J43" s="16">
        <f>'SBI OD 5441'!G102</f>
        <v>-195.37</v>
      </c>
    </row>
    <row r="44" spans="2:10" ht="13.8" thickBot="1" x14ac:dyDescent="0.3">
      <c r="B44" s="19"/>
      <c r="C44" s="23">
        <f>SUM(C7:C43)</f>
        <v>20585695.109999999</v>
      </c>
      <c r="D44" s="19"/>
      <c r="E44" s="23">
        <f>SUM(E5:E43)</f>
        <v>20585695.109999999</v>
      </c>
      <c r="G44" s="7">
        <f>C44-E44</f>
        <v>0</v>
      </c>
      <c r="H44" t="s">
        <v>804</v>
      </c>
      <c r="I44" s="16">
        <f>'SBI Bank 3479'!G19</f>
        <v>4724.4000000000015</v>
      </c>
      <c r="J44" s="16">
        <f>'SBI Bank 3479'!G227</f>
        <v>68703.28</v>
      </c>
    </row>
    <row r="45" spans="2:10" ht="13.8" thickTop="1" x14ac:dyDescent="0.25">
      <c r="B45" s="19"/>
      <c r="C45" s="19"/>
      <c r="D45" s="19"/>
      <c r="E45" s="19"/>
      <c r="I45" s="16">
        <f>SUM(I40:I44)</f>
        <v>-73288.299999999988</v>
      </c>
      <c r="J45" s="16">
        <f>SUM(J40:J44)</f>
        <v>212778.38</v>
      </c>
    </row>
    <row r="46" spans="2:10" x14ac:dyDescent="0.25">
      <c r="B46" s="19"/>
      <c r="C46" s="19"/>
      <c r="D46" s="19"/>
      <c r="E46" s="19"/>
      <c r="I46" s="16">
        <f>E5+I45</f>
        <v>0</v>
      </c>
    </row>
    <row r="47" spans="2:10" ht="13.8" thickBot="1" x14ac:dyDescent="0.3">
      <c r="B47" s="20"/>
      <c r="C47" s="20"/>
      <c r="D47" s="20"/>
      <c r="E47" s="20"/>
    </row>
    <row r="50" spans="3:9" x14ac:dyDescent="0.25">
      <c r="C50" s="7">
        <f>SUM(C7:C41)</f>
        <v>20585695.109999999</v>
      </c>
      <c r="E50" s="7">
        <f>SUM(E7:E41)</f>
        <v>20279801.43</v>
      </c>
    </row>
    <row r="51" spans="3:9" x14ac:dyDescent="0.25">
      <c r="C51" s="7">
        <f>Conso!E2</f>
        <v>0</v>
      </c>
      <c r="E51" s="7">
        <f>Conso!D2</f>
        <v>80000</v>
      </c>
    </row>
    <row r="52" spans="3:9" x14ac:dyDescent="0.25">
      <c r="C52" s="7">
        <f>C51-C50</f>
        <v>-20585695.109999999</v>
      </c>
      <c r="E52" s="7">
        <f>E51-E50</f>
        <v>-20199801.43</v>
      </c>
    </row>
    <row r="55" spans="3:9" x14ac:dyDescent="0.25">
      <c r="I55" s="7">
        <f>I45+C50-E50</f>
        <v>232605.37999999896</v>
      </c>
    </row>
    <row r="56" spans="3:9" x14ac:dyDescent="0.25">
      <c r="I56" s="13">
        <f>I55-J45</f>
        <v>19826.999999998952</v>
      </c>
    </row>
    <row r="57" spans="3:9" x14ac:dyDescent="0.25">
      <c r="I57" s="13"/>
    </row>
  </sheetData>
  <mergeCells count="3">
    <mergeCell ref="B2:E2"/>
    <mergeCell ref="B1:E1"/>
    <mergeCell ref="B3:E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62883-84D0-4699-9400-FD3483501E92}">
  <dimension ref="B1:AC29"/>
  <sheetViews>
    <sheetView tabSelected="1" workbookViewId="0">
      <selection activeCell="A11" sqref="A11"/>
    </sheetView>
  </sheetViews>
  <sheetFormatPr defaultRowHeight="13.2" x14ac:dyDescent="0.25"/>
  <cols>
    <col min="1" max="2" width="8.88671875" style="58"/>
    <col min="3" max="3" width="12.109375" style="58" bestFit="1" customWidth="1"/>
    <col min="4" max="4" width="12" style="58" bestFit="1" customWidth="1"/>
    <col min="5" max="5" width="18.88671875" style="58" bestFit="1" customWidth="1"/>
    <col min="6" max="6" width="16" style="58" bestFit="1" customWidth="1"/>
    <col min="7" max="8" width="15.88671875" style="58" customWidth="1"/>
    <col min="9" max="9" width="15.77734375" style="58" customWidth="1"/>
    <col min="10" max="10" width="12" style="58" customWidth="1"/>
    <col min="11" max="11" width="16.5546875" style="58" bestFit="1" customWidth="1"/>
    <col min="12" max="15" width="12" style="58" customWidth="1"/>
    <col min="16" max="16" width="14.88671875" style="58" bestFit="1" customWidth="1"/>
    <col min="17" max="18" width="14.88671875" style="58" customWidth="1"/>
    <col min="19" max="19" width="13.21875" style="58" bestFit="1" customWidth="1"/>
    <col min="20" max="20" width="18.6640625" style="58" bestFit="1" customWidth="1"/>
    <col min="21" max="21" width="10.44140625" style="58" bestFit="1" customWidth="1"/>
    <col min="22" max="22" width="10.6640625" style="58" bestFit="1" customWidth="1"/>
    <col min="23" max="23" width="9" style="58" customWidth="1"/>
    <col min="24" max="24" width="23.77734375" style="58" bestFit="1" customWidth="1"/>
    <col min="25" max="25" width="15.109375" style="58" bestFit="1" customWidth="1"/>
    <col min="26" max="27" width="15.109375" style="58" customWidth="1"/>
    <col min="28" max="29" width="15" style="58" customWidth="1"/>
    <col min="30" max="16384" width="8.88671875" style="58"/>
  </cols>
  <sheetData>
    <row r="1" spans="2:29" x14ac:dyDescent="0.25">
      <c r="C1" s="58" t="s">
        <v>836</v>
      </c>
      <c r="D1" s="58" t="s">
        <v>836</v>
      </c>
      <c r="E1" s="58" t="s">
        <v>836</v>
      </c>
      <c r="F1" s="58" t="s">
        <v>836</v>
      </c>
      <c r="G1" s="58" t="s">
        <v>836</v>
      </c>
      <c r="H1" s="58" t="s">
        <v>836</v>
      </c>
      <c r="I1" s="58" t="s">
        <v>836</v>
      </c>
      <c r="J1" s="58" t="s">
        <v>836</v>
      </c>
      <c r="L1" s="58" t="s">
        <v>836</v>
      </c>
      <c r="U1" s="59">
        <f>SUM(U4:U8)</f>
        <v>359852</v>
      </c>
      <c r="V1" s="60"/>
    </row>
    <row r="2" spans="2:29" x14ac:dyDescent="0.25">
      <c r="C2" s="61">
        <f t="shared" ref="C2:N2" si="0">SUBTOTAL(9,C4:C8)</f>
        <v>892369.99</v>
      </c>
      <c r="D2" s="61">
        <f t="shared" si="0"/>
        <v>356948</v>
      </c>
      <c r="E2" s="61">
        <f t="shared" si="0"/>
        <v>50102.16</v>
      </c>
      <c r="F2" s="61">
        <f t="shared" si="0"/>
        <v>858.19</v>
      </c>
      <c r="G2" s="61">
        <f t="shared" si="0"/>
        <v>16685</v>
      </c>
      <c r="H2" s="61">
        <f t="shared" si="0"/>
        <v>6674</v>
      </c>
      <c r="I2" s="61">
        <f t="shared" si="0"/>
        <v>5362.71</v>
      </c>
      <c r="J2" s="61">
        <f t="shared" si="0"/>
        <v>10726</v>
      </c>
      <c r="K2" s="61">
        <f t="shared" si="0"/>
        <v>1032233</v>
      </c>
      <c r="L2" s="61">
        <f t="shared" si="0"/>
        <v>416051</v>
      </c>
      <c r="M2" s="61">
        <f t="shared" si="0"/>
        <v>134178</v>
      </c>
      <c r="N2" s="61">
        <f t="shared" si="0"/>
        <v>1589138</v>
      </c>
      <c r="O2" s="61"/>
      <c r="P2" s="61">
        <f>SUBTOTAL(9,P4:P8)</f>
        <v>1755777.05</v>
      </c>
      <c r="Q2" s="61"/>
      <c r="R2" s="61"/>
      <c r="U2" s="59"/>
      <c r="V2" s="60"/>
      <c r="AB2" s="61">
        <f>SUBTOTAL(9,AB4:AB8)</f>
        <v>915015.26</v>
      </c>
    </row>
    <row r="3" spans="2:29" x14ac:dyDescent="0.25">
      <c r="C3" s="62" t="s">
        <v>807</v>
      </c>
      <c r="D3" s="62" t="s">
        <v>808</v>
      </c>
      <c r="E3" s="62" t="s">
        <v>809</v>
      </c>
      <c r="F3" s="62" t="s">
        <v>810</v>
      </c>
      <c r="G3" s="62" t="s">
        <v>821</v>
      </c>
      <c r="H3" s="62" t="s">
        <v>822</v>
      </c>
      <c r="I3" s="62" t="s">
        <v>816</v>
      </c>
      <c r="J3" s="62" t="s">
        <v>739</v>
      </c>
      <c r="K3" s="62" t="s">
        <v>740</v>
      </c>
      <c r="L3" s="62" t="s">
        <v>743</v>
      </c>
      <c r="M3" s="62" t="s">
        <v>824</v>
      </c>
      <c r="N3" s="62" t="s">
        <v>747</v>
      </c>
      <c r="O3" s="62"/>
      <c r="P3" s="63" t="s">
        <v>817</v>
      </c>
      <c r="Q3" s="63" t="s">
        <v>844</v>
      </c>
      <c r="R3" s="63"/>
      <c r="S3" s="64" t="s">
        <v>811</v>
      </c>
      <c r="T3" s="64" t="s">
        <v>812</v>
      </c>
      <c r="U3" s="64" t="s">
        <v>813</v>
      </c>
      <c r="V3" s="64" t="s">
        <v>820</v>
      </c>
      <c r="W3" s="64" t="s">
        <v>823</v>
      </c>
      <c r="X3" s="64" t="s">
        <v>814</v>
      </c>
      <c r="Y3" s="64" t="s">
        <v>815</v>
      </c>
      <c r="Z3" s="64" t="s">
        <v>825</v>
      </c>
      <c r="AA3" s="64" t="s">
        <v>757</v>
      </c>
      <c r="AB3" s="65" t="s">
        <v>818</v>
      </c>
      <c r="AC3" s="66" t="s">
        <v>819</v>
      </c>
    </row>
    <row r="4" spans="2:29" x14ac:dyDescent="0.25">
      <c r="B4" s="67">
        <v>45017</v>
      </c>
      <c r="C4" s="33">
        <v>195200</v>
      </c>
      <c r="D4" s="33">
        <v>78080</v>
      </c>
      <c r="E4" s="33">
        <v>11678</v>
      </c>
      <c r="F4" s="33">
        <v>200</v>
      </c>
      <c r="G4" s="33">
        <v>0</v>
      </c>
      <c r="H4" s="33">
        <v>0</v>
      </c>
      <c r="I4" s="33">
        <v>1250</v>
      </c>
      <c r="J4" s="33">
        <v>0</v>
      </c>
      <c r="K4" s="33">
        <v>0</v>
      </c>
      <c r="L4" s="33">
        <v>0</v>
      </c>
      <c r="M4" s="33">
        <v>0</v>
      </c>
      <c r="N4" s="33">
        <v>0</v>
      </c>
      <c r="O4" s="33">
        <v>6340</v>
      </c>
      <c r="P4" s="36">
        <f>SUM(C4:N4)</f>
        <v>286408</v>
      </c>
      <c r="Q4" s="36">
        <v>292748</v>
      </c>
      <c r="R4" s="36">
        <f>Q4-P4</f>
        <v>6340</v>
      </c>
      <c r="S4" s="34">
        <v>23424</v>
      </c>
      <c r="T4" s="34">
        <v>200</v>
      </c>
      <c r="U4" s="34">
        <v>64038</v>
      </c>
      <c r="V4" s="34">
        <v>-0.36</v>
      </c>
      <c r="W4" s="34">
        <v>0</v>
      </c>
      <c r="X4" s="34">
        <v>35416.67</v>
      </c>
      <c r="Y4" s="34">
        <v>440</v>
      </c>
      <c r="Z4" s="34">
        <v>0</v>
      </c>
      <c r="AA4" s="34">
        <v>0</v>
      </c>
      <c r="AB4" s="35">
        <f>SUM(S4:AA4)</f>
        <v>123518.31</v>
      </c>
      <c r="AC4" s="37">
        <f>P4-AB4</f>
        <v>162889.69</v>
      </c>
    </row>
    <row r="5" spans="2:29" x14ac:dyDescent="0.25">
      <c r="B5" s="67">
        <v>45047</v>
      </c>
      <c r="C5" s="33">
        <v>211885</v>
      </c>
      <c r="D5" s="33">
        <v>84754</v>
      </c>
      <c r="E5" s="33">
        <v>11678</v>
      </c>
      <c r="F5" s="33">
        <v>200</v>
      </c>
      <c r="G5" s="33">
        <f>C5-C4</f>
        <v>16685</v>
      </c>
      <c r="H5" s="33">
        <f>D5-D4</f>
        <v>6674</v>
      </c>
      <c r="I5" s="33">
        <v>1250</v>
      </c>
      <c r="J5" s="33">
        <v>0</v>
      </c>
      <c r="K5" s="33">
        <v>0</v>
      </c>
      <c r="L5" s="33">
        <v>0</v>
      </c>
      <c r="M5" s="33">
        <v>0</v>
      </c>
      <c r="N5" s="33">
        <v>0</v>
      </c>
      <c r="O5" s="33">
        <v>6340</v>
      </c>
      <c r="P5" s="36">
        <f>SUM(C5:N5)</f>
        <v>333126</v>
      </c>
      <c r="Q5" s="36">
        <v>339466</v>
      </c>
      <c r="R5" s="36">
        <f>Q5-P5</f>
        <v>6340</v>
      </c>
      <c r="S5" s="34">
        <v>25426</v>
      </c>
      <c r="T5" s="34">
        <v>200</v>
      </c>
      <c r="U5" s="34">
        <v>71988</v>
      </c>
      <c r="V5" s="34">
        <v>0.31</v>
      </c>
      <c r="W5" s="34">
        <v>2002</v>
      </c>
      <c r="X5" s="34">
        <v>35416.67</v>
      </c>
      <c r="Y5" s="34">
        <v>400</v>
      </c>
      <c r="Z5" s="34">
        <v>0</v>
      </c>
      <c r="AA5" s="34">
        <v>0</v>
      </c>
      <c r="AB5" s="35">
        <f>SUM(S5:AA5)</f>
        <v>135432.97999999998</v>
      </c>
      <c r="AC5" s="37">
        <f>P5-AB5</f>
        <v>197693.02000000002</v>
      </c>
    </row>
    <row r="6" spans="2:29" x14ac:dyDescent="0.25">
      <c r="B6" s="67">
        <v>45078</v>
      </c>
      <c r="C6" s="33">
        <v>211885</v>
      </c>
      <c r="D6" s="33">
        <v>84754</v>
      </c>
      <c r="E6" s="33">
        <v>11678</v>
      </c>
      <c r="F6" s="33">
        <v>200</v>
      </c>
      <c r="G6" s="33">
        <v>0</v>
      </c>
      <c r="H6" s="33">
        <v>0</v>
      </c>
      <c r="I6" s="33">
        <v>1250</v>
      </c>
      <c r="J6" s="33">
        <v>0</v>
      </c>
      <c r="K6" s="33">
        <v>0</v>
      </c>
      <c r="L6" s="33">
        <v>0</v>
      </c>
      <c r="M6" s="33">
        <v>0</v>
      </c>
      <c r="N6" s="33">
        <v>0</v>
      </c>
      <c r="O6" s="33">
        <v>6340</v>
      </c>
      <c r="P6" s="36">
        <f>SUM(C6:N6)</f>
        <v>309767</v>
      </c>
      <c r="Q6" s="36">
        <v>316107</v>
      </c>
      <c r="R6" s="36">
        <f>Q6-P6</f>
        <v>6340</v>
      </c>
      <c r="S6" s="34">
        <v>25426</v>
      </c>
      <c r="T6" s="34">
        <v>200</v>
      </c>
      <c r="U6" s="34">
        <v>71988</v>
      </c>
      <c r="V6" s="34">
        <v>-0.02</v>
      </c>
      <c r="W6" s="34">
        <v>0</v>
      </c>
      <c r="X6" s="34">
        <v>35416.67</v>
      </c>
      <c r="Y6" s="34">
        <v>350</v>
      </c>
      <c r="Z6" s="34">
        <v>0</v>
      </c>
      <c r="AA6" s="34">
        <v>0</v>
      </c>
      <c r="AB6" s="35">
        <f>SUM(S6:AA6)</f>
        <v>133380.65</v>
      </c>
      <c r="AC6" s="37">
        <v>0</v>
      </c>
    </row>
    <row r="7" spans="2:29" x14ac:dyDescent="0.25">
      <c r="B7" s="67">
        <v>45108</v>
      </c>
      <c r="C7" s="33">
        <v>184544.99</v>
      </c>
      <c r="D7" s="33">
        <v>73818</v>
      </c>
      <c r="E7" s="33">
        <v>10171.16</v>
      </c>
      <c r="F7" s="33">
        <v>174.19</v>
      </c>
      <c r="G7" s="33">
        <v>0</v>
      </c>
      <c r="H7" s="33">
        <v>0</v>
      </c>
      <c r="I7" s="33">
        <v>1088.71</v>
      </c>
      <c r="J7" s="33">
        <v>0</v>
      </c>
      <c r="K7" s="33">
        <v>0</v>
      </c>
      <c r="L7" s="33">
        <v>0</v>
      </c>
      <c r="M7" s="33">
        <v>0</v>
      </c>
      <c r="N7" s="33">
        <v>0</v>
      </c>
      <c r="O7" s="33">
        <v>6340</v>
      </c>
      <c r="P7" s="36">
        <f>SUM(C7:N7)</f>
        <v>269797.05</v>
      </c>
      <c r="Q7" s="36">
        <v>276137</v>
      </c>
      <c r="R7" s="36">
        <f>Q7-P7</f>
        <v>6339.9500000000116</v>
      </c>
      <c r="S7" s="34">
        <v>22145</v>
      </c>
      <c r="T7" s="34">
        <v>200</v>
      </c>
      <c r="U7" s="34">
        <v>59517</v>
      </c>
      <c r="V7" s="34">
        <v>-0.35</v>
      </c>
      <c r="W7" s="34">
        <v>0</v>
      </c>
      <c r="X7" s="34">
        <v>35416.67</v>
      </c>
      <c r="Y7" s="34">
        <v>160</v>
      </c>
      <c r="Z7" s="34">
        <v>0</v>
      </c>
      <c r="AA7" s="34">
        <v>0</v>
      </c>
      <c r="AB7" s="35">
        <f>SUM(S7:AA7)</f>
        <v>117438.31999999999</v>
      </c>
      <c r="AC7" s="37">
        <v>0</v>
      </c>
    </row>
    <row r="8" spans="2:29" x14ac:dyDescent="0.25">
      <c r="B8" s="67">
        <v>45139</v>
      </c>
      <c r="C8" s="33">
        <v>88855</v>
      </c>
      <c r="D8" s="33">
        <v>35542</v>
      </c>
      <c r="E8" s="33">
        <v>4897</v>
      </c>
      <c r="F8" s="33">
        <v>84</v>
      </c>
      <c r="G8" s="33">
        <v>0</v>
      </c>
      <c r="H8" s="33">
        <v>0</v>
      </c>
      <c r="I8" s="33">
        <v>524</v>
      </c>
      <c r="J8" s="33">
        <v>10726</v>
      </c>
      <c r="K8" s="33">
        <f>822114+210119</f>
        <v>1032233</v>
      </c>
      <c r="L8" s="33">
        <v>416051</v>
      </c>
      <c r="M8" s="33">
        <v>134178</v>
      </c>
      <c r="N8" s="33">
        <v>1589138</v>
      </c>
      <c r="O8" s="33"/>
      <c r="P8" s="36">
        <f>SUM(C8:N8)-M8-N8-K8</f>
        <v>556679</v>
      </c>
      <c r="Q8" s="36"/>
      <c r="R8" s="36">
        <f>Q8-P8</f>
        <v>-556679</v>
      </c>
      <c r="S8" s="34">
        <f>N16</f>
        <v>10663</v>
      </c>
      <c r="T8" s="34">
        <f>N17</f>
        <v>200</v>
      </c>
      <c r="U8" s="34">
        <v>92321</v>
      </c>
      <c r="V8" s="34">
        <v>0</v>
      </c>
      <c r="W8" s="34">
        <v>0</v>
      </c>
      <c r="X8" s="34">
        <v>283333</v>
      </c>
      <c r="Y8" s="34">
        <v>0</v>
      </c>
      <c r="Z8" s="34">
        <v>14429</v>
      </c>
      <c r="AA8" s="34">
        <v>4299</v>
      </c>
      <c r="AB8" s="35">
        <f>SUM(S8:AA8)</f>
        <v>405245</v>
      </c>
      <c r="AC8" s="37">
        <f>P8-AB8+P6-AB6+P7-AB7+K8</f>
        <v>1512412.0799999998</v>
      </c>
    </row>
    <row r="9" spans="2:29" x14ac:dyDescent="0.25">
      <c r="C9" s="59">
        <f>SUM(C4:C8)</f>
        <v>892369.99</v>
      </c>
      <c r="D9" s="59">
        <f>SUM(D4:D8)</f>
        <v>356948</v>
      </c>
      <c r="E9" s="59">
        <f>SUM(E4:E8)</f>
        <v>50102.16</v>
      </c>
      <c r="F9" s="59">
        <f>SUM(F4:F8)</f>
        <v>858.19</v>
      </c>
      <c r="G9" s="59">
        <f>SUM(G4:G8)</f>
        <v>16685</v>
      </c>
      <c r="H9" s="59">
        <f>SUM(H4:H8)</f>
        <v>6674</v>
      </c>
      <c r="I9" s="59">
        <f>SUM(I4:I8)</f>
        <v>5362.71</v>
      </c>
      <c r="J9" s="59">
        <f>SUM(J4:J8)</f>
        <v>10726</v>
      </c>
      <c r="K9" s="59">
        <f>SUM(K4:K8)</f>
        <v>1032233</v>
      </c>
      <c r="L9" s="59">
        <f>SUM(L4:L8)</f>
        <v>416051</v>
      </c>
      <c r="M9" s="59">
        <f>SUM(M4:M8)</f>
        <v>134178</v>
      </c>
      <c r="N9" s="59">
        <f>SUM(N4:N8)</f>
        <v>1589138</v>
      </c>
      <c r="O9" s="59">
        <f>SUM(O4:O8)</f>
        <v>25360</v>
      </c>
      <c r="S9" s="2"/>
    </row>
    <row r="10" spans="2:29" x14ac:dyDescent="0.25">
      <c r="C10" s="59">
        <v>909055</v>
      </c>
      <c r="D10" s="59">
        <v>363622</v>
      </c>
      <c r="E10" s="59">
        <v>60465.29</v>
      </c>
      <c r="F10" s="59">
        <v>858.06</v>
      </c>
      <c r="G10" s="59"/>
      <c r="H10" s="59"/>
      <c r="I10" s="59"/>
      <c r="J10" s="59">
        <v>10726</v>
      </c>
      <c r="K10" s="59">
        <v>1032233.29</v>
      </c>
      <c r="L10" s="59">
        <v>416051</v>
      </c>
      <c r="M10" s="59"/>
      <c r="N10" s="59"/>
      <c r="O10" s="59"/>
    </row>
    <row r="11" spans="2:29" x14ac:dyDescent="0.25">
      <c r="C11" s="59">
        <f>C9-C10+G9</f>
        <v>-1.0000000009313226E-2</v>
      </c>
      <c r="D11" s="59">
        <f>D9-D10+H9</f>
        <v>0</v>
      </c>
      <c r="E11" s="59">
        <f>E9-E10+I9</f>
        <v>-5000.4199999999973</v>
      </c>
      <c r="F11" s="59">
        <f t="shared" ref="E11:O11" si="1">F9-F10</f>
        <v>0.13000000000010914</v>
      </c>
      <c r="G11" s="59">
        <f t="shared" si="1"/>
        <v>16685</v>
      </c>
      <c r="H11" s="59">
        <f t="shared" si="1"/>
        <v>6674</v>
      </c>
      <c r="I11" s="59">
        <f t="shared" si="1"/>
        <v>5362.71</v>
      </c>
      <c r="J11" s="59">
        <f t="shared" si="1"/>
        <v>0</v>
      </c>
      <c r="K11" s="59">
        <f t="shared" si="1"/>
        <v>-0.2900000000372529</v>
      </c>
      <c r="L11" s="59">
        <f t="shared" si="1"/>
        <v>0</v>
      </c>
      <c r="M11" s="59">
        <f t="shared" si="1"/>
        <v>134178</v>
      </c>
      <c r="N11" s="59">
        <f t="shared" si="1"/>
        <v>1589138</v>
      </c>
      <c r="O11" s="59">
        <f t="shared" si="1"/>
        <v>25360</v>
      </c>
    </row>
    <row r="12" spans="2:29" x14ac:dyDescent="0.25">
      <c r="C12" s="59"/>
    </row>
    <row r="15" spans="2:29" x14ac:dyDescent="0.25">
      <c r="J15" s="90" t="s">
        <v>748</v>
      </c>
      <c r="K15" s="90"/>
      <c r="L15" s="58" t="s">
        <v>750</v>
      </c>
      <c r="M15" s="58" t="s">
        <v>751</v>
      </c>
      <c r="N15" s="2" t="s">
        <v>750</v>
      </c>
    </row>
    <row r="16" spans="2:29" x14ac:dyDescent="0.25">
      <c r="J16" s="58" t="s">
        <v>738</v>
      </c>
      <c r="K16" s="58" t="s">
        <v>749</v>
      </c>
      <c r="L16" s="2">
        <v>129902</v>
      </c>
      <c r="M16" s="58" t="s">
        <v>752</v>
      </c>
      <c r="N16" s="2">
        <v>10663</v>
      </c>
    </row>
    <row r="17" spans="10:15" x14ac:dyDescent="0.25">
      <c r="J17" s="58" t="s">
        <v>739</v>
      </c>
      <c r="K17" s="58" t="s">
        <v>744</v>
      </c>
      <c r="L17" s="2">
        <v>10726</v>
      </c>
      <c r="M17" s="58" t="s">
        <v>753</v>
      </c>
      <c r="N17" s="2">
        <v>200</v>
      </c>
    </row>
    <row r="18" spans="10:15" x14ac:dyDescent="0.25">
      <c r="J18" s="91" t="s">
        <v>740</v>
      </c>
      <c r="K18" s="58" t="s">
        <v>741</v>
      </c>
      <c r="L18" s="2">
        <v>822114</v>
      </c>
      <c r="M18" s="58" t="s">
        <v>754</v>
      </c>
      <c r="N18" s="2">
        <v>92321</v>
      </c>
    </row>
    <row r="19" spans="10:15" x14ac:dyDescent="0.25">
      <c r="J19" s="91"/>
      <c r="K19" s="58" t="s">
        <v>742</v>
      </c>
      <c r="L19" s="2">
        <v>210119</v>
      </c>
      <c r="M19" s="58" t="s">
        <v>755</v>
      </c>
      <c r="N19" s="2">
        <v>14429</v>
      </c>
    </row>
    <row r="20" spans="10:15" x14ac:dyDescent="0.25">
      <c r="J20" s="58" t="s">
        <v>743</v>
      </c>
      <c r="K20" s="58" t="s">
        <v>744</v>
      </c>
      <c r="L20" s="2">
        <v>416051</v>
      </c>
      <c r="M20" s="58" t="s">
        <v>756</v>
      </c>
      <c r="N20" s="2">
        <v>283333</v>
      </c>
    </row>
    <row r="21" spans="10:15" x14ac:dyDescent="0.25">
      <c r="J21" s="58" t="s">
        <v>745</v>
      </c>
      <c r="K21" s="58" t="s">
        <v>746</v>
      </c>
      <c r="L21" s="2">
        <v>134178</v>
      </c>
      <c r="M21" s="58" t="s">
        <v>757</v>
      </c>
      <c r="N21" s="2">
        <v>4299</v>
      </c>
    </row>
    <row r="22" spans="10:15" x14ac:dyDescent="0.25">
      <c r="J22" s="58" t="s">
        <v>747</v>
      </c>
      <c r="L22" s="2">
        <v>1589138</v>
      </c>
    </row>
    <row r="23" spans="10:15" x14ac:dyDescent="0.25">
      <c r="L23" s="10">
        <f>SUM(L16:L20)</f>
        <v>1588912</v>
      </c>
      <c r="N23" s="10">
        <f>SUM(N16:N22)</f>
        <v>405245</v>
      </c>
    </row>
    <row r="25" spans="10:15" x14ac:dyDescent="0.25">
      <c r="M25" s="58" t="s">
        <v>760</v>
      </c>
      <c r="N25" s="59">
        <v>328745</v>
      </c>
      <c r="O25" s="59"/>
    </row>
    <row r="26" spans="10:15" x14ac:dyDescent="0.25">
      <c r="M26" s="58" t="s">
        <v>759</v>
      </c>
      <c r="N26" s="59">
        <f>L23-N23+N25</f>
        <v>1512412</v>
      </c>
    </row>
    <row r="27" spans="10:15" x14ac:dyDescent="0.25">
      <c r="N27" s="2"/>
    </row>
    <row r="28" spans="10:15" x14ac:dyDescent="0.25">
      <c r="N28" s="59"/>
    </row>
    <row r="29" spans="10:15" x14ac:dyDescent="0.25">
      <c r="L29" s="59"/>
    </row>
  </sheetData>
  <mergeCells count="2">
    <mergeCell ref="J15:K15"/>
    <mergeCell ref="J18:J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16C1E-28CB-4F69-9173-0DBF4018CFF4}">
  <dimension ref="B2:AT26"/>
  <sheetViews>
    <sheetView topLeftCell="B1" workbookViewId="0">
      <selection activeCell="E9" sqref="E9"/>
    </sheetView>
  </sheetViews>
  <sheetFormatPr defaultRowHeight="13.2" x14ac:dyDescent="0.25"/>
  <cols>
    <col min="2" max="2" width="110.6640625" bestFit="1" customWidth="1"/>
    <col min="3" max="3" width="14.109375" bestFit="1" customWidth="1"/>
    <col min="5" max="5" width="9.44140625" bestFit="1" customWidth="1"/>
    <col min="7" max="9" width="13.109375" bestFit="1" customWidth="1"/>
  </cols>
  <sheetData>
    <row r="2" spans="2:46" x14ac:dyDescent="0.25">
      <c r="B2" s="12" t="s">
        <v>740</v>
      </c>
    </row>
    <row r="3" spans="2:46" ht="13.8" x14ac:dyDescent="0.25">
      <c r="B3" s="24" t="s">
        <v>721</v>
      </c>
      <c r="C3" s="24" t="s">
        <v>826</v>
      </c>
    </row>
    <row r="4" spans="2:46" ht="13.8" x14ac:dyDescent="0.25">
      <c r="B4" s="24" t="s">
        <v>827</v>
      </c>
      <c r="C4" s="27">
        <f>SUM(Salary!L18:L19)</f>
        <v>1032233</v>
      </c>
    </row>
    <row r="5" spans="2:46" ht="13.8" x14ac:dyDescent="0.25">
      <c r="B5" s="25" t="s">
        <v>828</v>
      </c>
      <c r="C5" s="28">
        <f>MIN(C6:C9)</f>
        <v>0</v>
      </c>
    </row>
    <row r="6" spans="2:46" ht="13.8" x14ac:dyDescent="0.25">
      <c r="B6" s="26" t="s">
        <v>829</v>
      </c>
      <c r="C6" s="29">
        <v>2500000</v>
      </c>
    </row>
    <row r="7" spans="2:46" ht="13.8" x14ac:dyDescent="0.25">
      <c r="B7" s="26" t="s">
        <v>830</v>
      </c>
      <c r="C7" s="29">
        <f>C4</f>
        <v>1032233</v>
      </c>
      <c r="H7" s="2">
        <f>[1]Salary!C4</f>
        <v>0</v>
      </c>
    </row>
    <row r="8" spans="2:46" ht="13.8" x14ac:dyDescent="0.25">
      <c r="B8" s="26" t="s">
        <v>831</v>
      </c>
      <c r="C8" s="29">
        <f>I8</f>
        <v>0</v>
      </c>
      <c r="E8" s="11" t="s">
        <v>834</v>
      </c>
      <c r="F8" s="11" t="s">
        <v>835</v>
      </c>
      <c r="H8" s="2">
        <f>[1]Salary!C6</f>
        <v>0</v>
      </c>
      <c r="I8" s="2">
        <f>H8*4+H7*6</f>
        <v>0</v>
      </c>
      <c r="P8">
        <f>M16</f>
        <v>0</v>
      </c>
      <c r="Q8">
        <f>M17</f>
        <v>0</v>
      </c>
    </row>
    <row r="9" spans="2:46" ht="13.8" x14ac:dyDescent="0.25">
      <c r="B9" s="26" t="s">
        <v>832</v>
      </c>
      <c r="C9" s="29">
        <f>G9</f>
        <v>0</v>
      </c>
      <c r="E9" s="2">
        <f>[1]Salary!C6/30</f>
        <v>0</v>
      </c>
      <c r="F9" s="32">
        <f>(97+59.5)+(0*30/42)</f>
        <v>156.5</v>
      </c>
      <c r="G9" s="2">
        <f>E9*F9</f>
        <v>0</v>
      </c>
    </row>
    <row r="10" spans="2:46" ht="13.8" x14ac:dyDescent="0.25">
      <c r="B10" s="24" t="s">
        <v>833</v>
      </c>
      <c r="C10" s="27">
        <f>C4-C5</f>
        <v>1032233</v>
      </c>
    </row>
    <row r="13" spans="2:46" x14ac:dyDescent="0.25">
      <c r="B13" s="12" t="s">
        <v>747</v>
      </c>
    </row>
    <row r="14" spans="2:46" ht="13.8" x14ac:dyDescent="0.25">
      <c r="B14" s="24" t="s">
        <v>721</v>
      </c>
      <c r="C14" s="24" t="s">
        <v>826</v>
      </c>
      <c r="AT14">
        <f>AI17-SUM(AT9:AT13)</f>
        <v>0</v>
      </c>
    </row>
    <row r="15" spans="2:46" ht="13.8" x14ac:dyDescent="0.25">
      <c r="B15" s="24" t="s">
        <v>841</v>
      </c>
      <c r="C15" s="31">
        <f>Salary!L22</f>
        <v>1589138</v>
      </c>
    </row>
    <row r="16" spans="2:46" ht="13.8" x14ac:dyDescent="0.25">
      <c r="B16" s="25" t="s">
        <v>840</v>
      </c>
      <c r="C16" s="31">
        <f>MIN(C17:C19)</f>
        <v>1589137.4999999998</v>
      </c>
      <c r="E16" s="11" t="s">
        <v>843</v>
      </c>
      <c r="F16" s="11" t="s">
        <v>842</v>
      </c>
      <c r="K16">
        <v>129902</v>
      </c>
      <c r="N16">
        <f>SUM(K16:K17,K20)</f>
        <v>556679</v>
      </c>
    </row>
    <row r="17" spans="2:35" x14ac:dyDescent="0.25">
      <c r="B17" s="11" t="s">
        <v>837</v>
      </c>
      <c r="C17" s="7">
        <f>H17</f>
        <v>1589137.4999999998</v>
      </c>
      <c r="E17">
        <f>Salary!C6</f>
        <v>211885</v>
      </c>
      <c r="F17">
        <v>13</v>
      </c>
      <c r="G17" s="30">
        <f>15/26</f>
        <v>0.57692307692307687</v>
      </c>
      <c r="H17" s="2">
        <f>E17*F17*G17</f>
        <v>1589137.4999999998</v>
      </c>
      <c r="K17">
        <v>10726</v>
      </c>
      <c r="AI17">
        <f>SUM(AH3:AH17)</f>
        <v>0</v>
      </c>
    </row>
    <row r="18" spans="2:35" x14ac:dyDescent="0.25">
      <c r="B18" s="11" t="s">
        <v>838</v>
      </c>
      <c r="C18" s="7">
        <v>2000000</v>
      </c>
      <c r="K18">
        <v>822114</v>
      </c>
    </row>
    <row r="19" spans="2:35" x14ac:dyDescent="0.25">
      <c r="B19" s="11" t="s">
        <v>839</v>
      </c>
      <c r="C19" s="7">
        <f>C15</f>
        <v>1589138</v>
      </c>
      <c r="K19">
        <v>210119</v>
      </c>
      <c r="AI19">
        <v>-150000</v>
      </c>
    </row>
    <row r="20" spans="2:35" ht="13.8" x14ac:dyDescent="0.25">
      <c r="B20" s="24" t="s">
        <v>833</v>
      </c>
      <c r="C20" s="27">
        <f>ROUNDDOWN(C15-C16,0)</f>
        <v>0</v>
      </c>
      <c r="K20">
        <v>416051</v>
      </c>
      <c r="AI20">
        <v>-50000</v>
      </c>
    </row>
    <row r="21" spans="2:35" x14ac:dyDescent="0.25">
      <c r="K21">
        <v>134178</v>
      </c>
    </row>
    <row r="22" spans="2:35" x14ac:dyDescent="0.25">
      <c r="K22">
        <v>1589138</v>
      </c>
      <c r="AI22">
        <f>SUM(AI17:AI21)</f>
        <v>-200000</v>
      </c>
    </row>
    <row r="26" spans="2:35" x14ac:dyDescent="0.25">
      <c r="M26">
        <f>K23-M23+M25</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F12D1-E876-439A-841D-E9907DD8C75A}">
  <dimension ref="A1:G27"/>
  <sheetViews>
    <sheetView workbookViewId="0">
      <selection activeCell="E29" sqref="E29"/>
    </sheetView>
  </sheetViews>
  <sheetFormatPr defaultRowHeight="14.4" x14ac:dyDescent="0.3"/>
  <cols>
    <col min="1" max="1" width="9.6640625" style="38" bestFit="1" customWidth="1"/>
    <col min="2" max="2" width="9.88671875" style="38" bestFit="1" customWidth="1"/>
    <col min="3" max="3" width="10.88671875" style="38" bestFit="1" customWidth="1"/>
    <col min="4" max="4" width="17.77734375" style="38" bestFit="1" customWidth="1"/>
    <col min="5" max="16384" width="8.88671875" style="38"/>
  </cols>
  <sheetData>
    <row r="1" spans="1:7" x14ac:dyDescent="0.3">
      <c r="A1" s="38" t="s">
        <v>364</v>
      </c>
      <c r="B1" s="38" t="s">
        <v>363</v>
      </c>
    </row>
    <row r="2" spans="1:7" x14ac:dyDescent="0.3">
      <c r="A2" s="38" t="s">
        <v>362</v>
      </c>
      <c r="B2" s="38" t="s">
        <v>361</v>
      </c>
    </row>
    <row r="3" spans="1:7" x14ac:dyDescent="0.3">
      <c r="A3" s="38" t="s">
        <v>358</v>
      </c>
      <c r="B3" s="38" t="s">
        <v>360</v>
      </c>
    </row>
    <row r="4" spans="1:7" x14ac:dyDescent="0.3">
      <c r="A4" s="38" t="s">
        <v>358</v>
      </c>
      <c r="B4" s="38" t="s">
        <v>359</v>
      </c>
    </row>
    <row r="5" spans="1:7" x14ac:dyDescent="0.3">
      <c r="A5" s="38" t="s">
        <v>358</v>
      </c>
      <c r="B5" s="38" t="s">
        <v>357</v>
      </c>
    </row>
    <row r="6" spans="1:7" x14ac:dyDescent="0.3">
      <c r="A6" s="38" t="s">
        <v>356</v>
      </c>
      <c r="B6" s="39">
        <v>45426</v>
      </c>
    </row>
    <row r="7" spans="1:7" x14ac:dyDescent="0.3">
      <c r="A7" s="38" t="s">
        <v>355</v>
      </c>
      <c r="B7" s="38" t="s">
        <v>975</v>
      </c>
    </row>
    <row r="8" spans="1:7" x14ac:dyDescent="0.3">
      <c r="A8" s="38" t="s">
        <v>353</v>
      </c>
      <c r="B8" s="38" t="s">
        <v>976</v>
      </c>
    </row>
    <row r="9" spans="1:7" x14ac:dyDescent="0.3">
      <c r="A9" s="38" t="s">
        <v>351</v>
      </c>
      <c r="B9" s="38" t="s">
        <v>350</v>
      </c>
    </row>
    <row r="10" spans="1:7" x14ac:dyDescent="0.3">
      <c r="A10" s="38" t="s">
        <v>338</v>
      </c>
      <c r="B10" s="38">
        <v>-363</v>
      </c>
    </row>
    <row r="11" spans="1:7" x14ac:dyDescent="0.3">
      <c r="A11" s="38" t="s">
        <v>337</v>
      </c>
      <c r="B11" s="39">
        <v>45017</v>
      </c>
    </row>
    <row r="12" spans="1:7" x14ac:dyDescent="0.3">
      <c r="A12" s="38" t="s">
        <v>336</v>
      </c>
      <c r="B12" s="39">
        <v>45382</v>
      </c>
    </row>
    <row r="13" spans="1:7" x14ac:dyDescent="0.3">
      <c r="A13" s="38" t="s">
        <v>335</v>
      </c>
      <c r="B13" s="38" t="s">
        <v>334</v>
      </c>
      <c r="C13" s="38" t="s">
        <v>333</v>
      </c>
      <c r="D13" s="38" t="s">
        <v>332</v>
      </c>
      <c r="E13" s="38" t="s">
        <v>331</v>
      </c>
      <c r="F13" s="38" t="s">
        <v>330</v>
      </c>
      <c r="G13" s="38" t="s">
        <v>329</v>
      </c>
    </row>
    <row r="14" spans="1:7" x14ac:dyDescent="0.3">
      <c r="A14" s="39">
        <v>45382</v>
      </c>
      <c r="B14" s="39">
        <v>45382</v>
      </c>
      <c r="C14" s="38" t="s">
        <v>977</v>
      </c>
      <c r="D14" s="38" t="s">
        <v>845</v>
      </c>
      <c r="E14" s="40">
        <v>4</v>
      </c>
      <c r="F14" s="38" t="s">
        <v>978</v>
      </c>
      <c r="G14" s="38">
        <v>-404</v>
      </c>
    </row>
    <row r="15" spans="1:7" x14ac:dyDescent="0.3">
      <c r="A15" s="39">
        <v>45351</v>
      </c>
      <c r="B15" s="39">
        <v>45351</v>
      </c>
      <c r="C15" s="38" t="s">
        <v>977</v>
      </c>
      <c r="D15" s="38" t="s">
        <v>845</v>
      </c>
      <c r="E15" s="40">
        <v>3</v>
      </c>
      <c r="F15" s="38" t="s">
        <v>978</v>
      </c>
      <c r="G15" s="38">
        <v>-400</v>
      </c>
    </row>
    <row r="16" spans="1:7" x14ac:dyDescent="0.3">
      <c r="A16" s="39">
        <v>45322</v>
      </c>
      <c r="B16" s="39">
        <v>45322</v>
      </c>
      <c r="C16" s="38" t="s">
        <v>977</v>
      </c>
      <c r="D16" s="38" t="s">
        <v>845</v>
      </c>
      <c r="E16" s="40">
        <v>4</v>
      </c>
      <c r="F16" s="38" t="s">
        <v>978</v>
      </c>
      <c r="G16" s="38">
        <v>-397</v>
      </c>
    </row>
    <row r="17" spans="1:7" x14ac:dyDescent="0.3">
      <c r="A17" s="39">
        <v>45291</v>
      </c>
      <c r="B17" s="39">
        <v>45291</v>
      </c>
      <c r="C17" s="38" t="s">
        <v>977</v>
      </c>
      <c r="D17" s="38" t="s">
        <v>845</v>
      </c>
      <c r="E17" s="40">
        <v>4</v>
      </c>
      <c r="F17" s="38" t="s">
        <v>978</v>
      </c>
      <c r="G17" s="38">
        <v>-393</v>
      </c>
    </row>
    <row r="18" spans="1:7" x14ac:dyDescent="0.3">
      <c r="A18" s="39">
        <v>45260</v>
      </c>
      <c r="B18" s="39">
        <v>45260</v>
      </c>
      <c r="C18" s="38" t="s">
        <v>977</v>
      </c>
      <c r="D18" s="38" t="s">
        <v>845</v>
      </c>
      <c r="E18" s="40">
        <v>4</v>
      </c>
      <c r="F18" s="38" t="s">
        <v>978</v>
      </c>
      <c r="G18" s="38">
        <v>-389</v>
      </c>
    </row>
    <row r="19" spans="1:7" x14ac:dyDescent="0.3">
      <c r="A19" s="39">
        <v>45230</v>
      </c>
      <c r="B19" s="39">
        <v>45230</v>
      </c>
      <c r="C19" s="38" t="s">
        <v>977</v>
      </c>
      <c r="D19" s="38" t="s">
        <v>845</v>
      </c>
      <c r="E19" s="40">
        <v>4</v>
      </c>
      <c r="F19" s="38" t="s">
        <v>978</v>
      </c>
      <c r="G19" s="38">
        <v>-385</v>
      </c>
    </row>
    <row r="20" spans="1:7" x14ac:dyDescent="0.3">
      <c r="A20" s="39">
        <v>45199</v>
      </c>
      <c r="B20" s="39">
        <v>45199</v>
      </c>
      <c r="C20" s="38" t="s">
        <v>977</v>
      </c>
      <c r="D20" s="38" t="s">
        <v>845</v>
      </c>
      <c r="E20" s="40">
        <v>3</v>
      </c>
      <c r="F20" s="38" t="s">
        <v>978</v>
      </c>
      <c r="G20" s="38">
        <v>-381</v>
      </c>
    </row>
    <row r="21" spans="1:7" x14ac:dyDescent="0.3">
      <c r="A21" s="39">
        <v>45169</v>
      </c>
      <c r="B21" s="39">
        <v>45169</v>
      </c>
      <c r="C21" s="38" t="s">
        <v>977</v>
      </c>
      <c r="D21" s="38" t="s">
        <v>845</v>
      </c>
      <c r="E21" s="40">
        <v>3</v>
      </c>
      <c r="F21" s="38" t="s">
        <v>978</v>
      </c>
      <c r="G21" s="38">
        <v>-378</v>
      </c>
    </row>
    <row r="22" spans="1:7" x14ac:dyDescent="0.3">
      <c r="A22" s="39">
        <v>45138</v>
      </c>
      <c r="B22" s="39">
        <v>45138</v>
      </c>
      <c r="C22" s="38" t="s">
        <v>977</v>
      </c>
      <c r="D22" s="38" t="s">
        <v>845</v>
      </c>
      <c r="E22" s="40">
        <v>3</v>
      </c>
      <c r="F22" s="38" t="s">
        <v>978</v>
      </c>
      <c r="G22" s="38">
        <v>-375</v>
      </c>
    </row>
    <row r="23" spans="1:7" x14ac:dyDescent="0.3">
      <c r="A23" s="39">
        <v>45107</v>
      </c>
      <c r="B23" s="39">
        <v>45107</v>
      </c>
      <c r="C23" s="38" t="s">
        <v>977</v>
      </c>
      <c r="D23" s="38" t="s">
        <v>845</v>
      </c>
      <c r="E23" s="40">
        <v>3</v>
      </c>
      <c r="F23" s="38" t="s">
        <v>978</v>
      </c>
      <c r="G23" s="38">
        <v>-372</v>
      </c>
    </row>
    <row r="24" spans="1:7" x14ac:dyDescent="0.3">
      <c r="A24" s="39">
        <v>45077</v>
      </c>
      <c r="B24" s="39">
        <v>45077</v>
      </c>
      <c r="C24" s="38" t="s">
        <v>977</v>
      </c>
      <c r="D24" s="38" t="s">
        <v>845</v>
      </c>
      <c r="E24" s="40">
        <v>3</v>
      </c>
      <c r="F24" s="38" t="s">
        <v>978</v>
      </c>
      <c r="G24" s="38">
        <v>-369</v>
      </c>
    </row>
    <row r="25" spans="1:7" x14ac:dyDescent="0.3">
      <c r="A25" s="39">
        <v>45046</v>
      </c>
      <c r="B25" s="39">
        <v>45046</v>
      </c>
      <c r="C25" s="38" t="s">
        <v>977</v>
      </c>
      <c r="D25" s="38" t="s">
        <v>845</v>
      </c>
      <c r="E25" s="40">
        <v>3</v>
      </c>
      <c r="F25" s="38" t="s">
        <v>978</v>
      </c>
      <c r="G25" s="38">
        <v>-366</v>
      </c>
    </row>
    <row r="27" spans="1:7" x14ac:dyDescent="0.3">
      <c r="A27" s="38"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AXIS 3167</vt:lpstr>
      <vt:lpstr>BOI 6699</vt:lpstr>
      <vt:lpstr>HDFC 5930</vt:lpstr>
      <vt:lpstr>SBI OD 5441</vt:lpstr>
      <vt:lpstr>SBI Bank 3479</vt:lpstr>
      <vt:lpstr>Conso</vt:lpstr>
      <vt:lpstr>Bank Summary</vt:lpstr>
      <vt:lpstr>Salary</vt:lpstr>
      <vt:lpstr>Leave Encashment</vt:lpstr>
      <vt:lpstr>Ajay SBI Flat Insurance account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Archit Gupta</dc:creator>
  <cp:lastModifiedBy>Archit Gupta</cp:lastModifiedBy>
  <cp:lastPrinted>2024-03-04T17:10:33Z</cp:lastPrinted>
  <dcterms:created xsi:type="dcterms:W3CDTF">2024-01-15T16:05:47Z</dcterms:created>
  <dcterms:modified xsi:type="dcterms:W3CDTF">2025-06-19T02:11:56Z</dcterms:modified>
</cp:coreProperties>
</file>