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chit\Returns\Ajay Gupta\31.03.2025\Balance Sheet\"/>
    </mc:Choice>
  </mc:AlternateContent>
  <xr:revisionPtr revIDLastSave="0" documentId="13_ncr:1_{A55FF27E-BBBD-4D8E-A69A-F6B5A5DAC5AF}" xr6:coauthVersionLast="47" xr6:coauthVersionMax="47" xr10:uidLastSave="{00000000-0000-0000-0000-000000000000}"/>
  <bookViews>
    <workbookView xWindow="-108" yWindow="-108" windowWidth="23256" windowHeight="13896" activeTab="2" xr2:uid="{A6233F29-C767-4943-8DE6-7D87DBD666AE}"/>
  </bookViews>
  <sheets>
    <sheet name="CG" sheetId="5" r:id="rId1"/>
    <sheet name="Interest Charged Report" sheetId="3" r:id="rId2"/>
    <sheet name="HDFC HSL Ledger" sheetId="2" r:id="rId3"/>
    <sheet name="BSPL" sheetId="4" r:id="rId4"/>
    <sheet name="HDFC Bank Statement" sheetId="1" r:id="rId5"/>
  </sheets>
  <definedNames>
    <definedName name="_xlnm._FilterDatabase" localSheetId="4" hidden="1">'HDFC Bank Statement'!$A$5:$G$867</definedName>
    <definedName name="_xlnm._FilterDatabase" localSheetId="2" hidden="1">'HDFC HSL Ledger'!$A$7:$M$2235</definedName>
    <definedName name="_xlnm.Print_Area" localSheetId="3">BSPL!$B$1:$G$18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4" l="1"/>
  <c r="D26" i="4" s="1"/>
  <c r="F22" i="4"/>
  <c r="D14" i="4"/>
  <c r="F14" i="4"/>
  <c r="I6" i="5"/>
  <c r="K5" i="5" s="1"/>
  <c r="K6" i="5" s="1"/>
  <c r="I7" i="5"/>
  <c r="K7" i="5"/>
  <c r="D6" i="4"/>
  <c r="D5" i="4"/>
  <c r="K2" i="3"/>
  <c r="K3" i="3" s="1"/>
  <c r="K6" i="2"/>
  <c r="D3" i="1" s="1"/>
  <c r="D4" i="1"/>
  <c r="E4" i="1"/>
  <c r="G4" i="1" s="1"/>
  <c r="J6" i="2"/>
  <c r="E3" i="1" s="1"/>
  <c r="I2235" i="2"/>
  <c r="H2235" i="2"/>
  <c r="I2234" i="2"/>
  <c r="H2234" i="2"/>
  <c r="I2233" i="2"/>
  <c r="H2233" i="2"/>
  <c r="I2232" i="2"/>
  <c r="H2232" i="2"/>
  <c r="I2231" i="2"/>
  <c r="H2231" i="2"/>
  <c r="I2230" i="2"/>
  <c r="H2230" i="2"/>
  <c r="I2229" i="2"/>
  <c r="H2229" i="2"/>
  <c r="I2228" i="2"/>
  <c r="H2228" i="2"/>
  <c r="I2227" i="2"/>
  <c r="H2227" i="2"/>
  <c r="I2226" i="2"/>
  <c r="H2226" i="2"/>
  <c r="I2225" i="2"/>
  <c r="H2225" i="2"/>
  <c r="I2224" i="2"/>
  <c r="H2224" i="2"/>
  <c r="I2223" i="2"/>
  <c r="H2223" i="2"/>
  <c r="I2222" i="2"/>
  <c r="H2222" i="2"/>
  <c r="I2221" i="2"/>
  <c r="H2221" i="2"/>
  <c r="I2220" i="2"/>
  <c r="H2220" i="2"/>
  <c r="I2219" i="2"/>
  <c r="H2219" i="2"/>
  <c r="I2218" i="2"/>
  <c r="H2218" i="2"/>
  <c r="I2217" i="2"/>
  <c r="H2217" i="2"/>
  <c r="I2216" i="2"/>
  <c r="H2216" i="2"/>
  <c r="I2215" i="2"/>
  <c r="H2215" i="2"/>
  <c r="I2214" i="2"/>
  <c r="H2214" i="2"/>
  <c r="I2213" i="2"/>
  <c r="H2213" i="2"/>
  <c r="I2212" i="2"/>
  <c r="H2212" i="2"/>
  <c r="I2211" i="2"/>
  <c r="H2211" i="2"/>
  <c r="I2210" i="2"/>
  <c r="H2210" i="2"/>
  <c r="I2209" i="2"/>
  <c r="H2209" i="2"/>
  <c r="I2208" i="2"/>
  <c r="H2208" i="2"/>
  <c r="I2207" i="2"/>
  <c r="H2207" i="2"/>
  <c r="I2206" i="2"/>
  <c r="H2206" i="2"/>
  <c r="I2205" i="2"/>
  <c r="H2205" i="2"/>
  <c r="I2204" i="2"/>
  <c r="H2204" i="2"/>
  <c r="I2203" i="2"/>
  <c r="H2203" i="2"/>
  <c r="I2202" i="2"/>
  <c r="H2202" i="2"/>
  <c r="I2201" i="2"/>
  <c r="H2201" i="2"/>
  <c r="I2200" i="2"/>
  <c r="H2200" i="2"/>
  <c r="I2199" i="2"/>
  <c r="H2199" i="2"/>
  <c r="I2198" i="2"/>
  <c r="H2198" i="2"/>
  <c r="I2197" i="2"/>
  <c r="H2197" i="2"/>
  <c r="I2196" i="2"/>
  <c r="H2196" i="2"/>
  <c r="I2195" i="2"/>
  <c r="H2195" i="2"/>
  <c r="I2194" i="2"/>
  <c r="H2194" i="2"/>
  <c r="I2193" i="2"/>
  <c r="H2193" i="2"/>
  <c r="I2192" i="2"/>
  <c r="H2192" i="2"/>
  <c r="I2191" i="2"/>
  <c r="H2191" i="2"/>
  <c r="I2190" i="2"/>
  <c r="H2190" i="2"/>
  <c r="I2189" i="2"/>
  <c r="H2189" i="2"/>
  <c r="I2188" i="2"/>
  <c r="H2188" i="2"/>
  <c r="I2187" i="2"/>
  <c r="H2187" i="2"/>
  <c r="I2186" i="2"/>
  <c r="H2186" i="2"/>
  <c r="I2185" i="2"/>
  <c r="H2185" i="2"/>
  <c r="I2184" i="2"/>
  <c r="H2184" i="2"/>
  <c r="I2183" i="2"/>
  <c r="H2183" i="2"/>
  <c r="I2182" i="2"/>
  <c r="H2182" i="2"/>
  <c r="I2181" i="2"/>
  <c r="H2181" i="2"/>
  <c r="I2180" i="2"/>
  <c r="H2180" i="2"/>
  <c r="I2179" i="2"/>
  <c r="H2179" i="2"/>
  <c r="I2178" i="2"/>
  <c r="H2178" i="2"/>
  <c r="I2177" i="2"/>
  <c r="H2177" i="2"/>
  <c r="I2176" i="2"/>
  <c r="H2176" i="2"/>
  <c r="I2175" i="2"/>
  <c r="H2175" i="2"/>
  <c r="I2174" i="2"/>
  <c r="H2174" i="2"/>
  <c r="I2173" i="2"/>
  <c r="H2173" i="2"/>
  <c r="I2172" i="2"/>
  <c r="H2172" i="2"/>
  <c r="I2171" i="2"/>
  <c r="H2171" i="2"/>
  <c r="I2170" i="2"/>
  <c r="H2170" i="2"/>
  <c r="I2169" i="2"/>
  <c r="H2169" i="2"/>
  <c r="I2168" i="2"/>
  <c r="H2168" i="2"/>
  <c r="I2167" i="2"/>
  <c r="H2167" i="2"/>
  <c r="I2166" i="2"/>
  <c r="H2166" i="2"/>
  <c r="I2165" i="2"/>
  <c r="H2165" i="2"/>
  <c r="I2164" i="2"/>
  <c r="H2164" i="2"/>
  <c r="I2163" i="2"/>
  <c r="H2163" i="2"/>
  <c r="I2162" i="2"/>
  <c r="H2162" i="2"/>
  <c r="I2161" i="2"/>
  <c r="H2161" i="2"/>
  <c r="I2160" i="2"/>
  <c r="H2160" i="2"/>
  <c r="I2159" i="2"/>
  <c r="H2159" i="2"/>
  <c r="I2158" i="2"/>
  <c r="H2158" i="2"/>
  <c r="I2157" i="2"/>
  <c r="H2157" i="2"/>
  <c r="I2156" i="2"/>
  <c r="H2156" i="2"/>
  <c r="I2155" i="2"/>
  <c r="H2155" i="2"/>
  <c r="I2154" i="2"/>
  <c r="H2154" i="2"/>
  <c r="I2153" i="2"/>
  <c r="H2153" i="2"/>
  <c r="I2152" i="2"/>
  <c r="H2152" i="2"/>
  <c r="I2151" i="2"/>
  <c r="H2151" i="2"/>
  <c r="I2150" i="2"/>
  <c r="H2150" i="2"/>
  <c r="I2149" i="2"/>
  <c r="H2149" i="2"/>
  <c r="I2148" i="2"/>
  <c r="H2148" i="2"/>
  <c r="I2147" i="2"/>
  <c r="H2147" i="2"/>
  <c r="I2146" i="2"/>
  <c r="H2146" i="2"/>
  <c r="I2145" i="2"/>
  <c r="H2145" i="2"/>
  <c r="I2144" i="2"/>
  <c r="H2144" i="2"/>
  <c r="I2143" i="2"/>
  <c r="H2143" i="2"/>
  <c r="I2142" i="2"/>
  <c r="H2142" i="2"/>
  <c r="I2141" i="2"/>
  <c r="H2141" i="2"/>
  <c r="I2140" i="2"/>
  <c r="H2140" i="2"/>
  <c r="I2139" i="2"/>
  <c r="H2139" i="2"/>
  <c r="I2138" i="2"/>
  <c r="H2138" i="2"/>
  <c r="I2137" i="2"/>
  <c r="H2137" i="2"/>
  <c r="I2136" i="2"/>
  <c r="H2136" i="2"/>
  <c r="I2135" i="2"/>
  <c r="H2135" i="2"/>
  <c r="I2134" i="2"/>
  <c r="H2134" i="2"/>
  <c r="I2133" i="2"/>
  <c r="H2133" i="2"/>
  <c r="I2132" i="2"/>
  <c r="H2132" i="2"/>
  <c r="I2131" i="2"/>
  <c r="H2131" i="2"/>
  <c r="I2130" i="2"/>
  <c r="H2130" i="2"/>
  <c r="I2129" i="2"/>
  <c r="H2129" i="2"/>
  <c r="I2128" i="2"/>
  <c r="H2128" i="2"/>
  <c r="I2127" i="2"/>
  <c r="H2127" i="2"/>
  <c r="I2126" i="2"/>
  <c r="H2126" i="2"/>
  <c r="I2125" i="2"/>
  <c r="H2125" i="2"/>
  <c r="I2124" i="2"/>
  <c r="H2124" i="2"/>
  <c r="I2123" i="2"/>
  <c r="H2123" i="2"/>
  <c r="I2122" i="2"/>
  <c r="H2122" i="2"/>
  <c r="I2121" i="2"/>
  <c r="H2121" i="2"/>
  <c r="I2120" i="2"/>
  <c r="H2120" i="2"/>
  <c r="I2119" i="2"/>
  <c r="H2119" i="2"/>
  <c r="I2118" i="2"/>
  <c r="H2118" i="2"/>
  <c r="I2117" i="2"/>
  <c r="H2117" i="2"/>
  <c r="I2116" i="2"/>
  <c r="H2116" i="2"/>
  <c r="I2115" i="2"/>
  <c r="H2115" i="2"/>
  <c r="I2114" i="2"/>
  <c r="H2114" i="2"/>
  <c r="I2113" i="2"/>
  <c r="H2113" i="2"/>
  <c r="I2112" i="2"/>
  <c r="H2112" i="2"/>
  <c r="I2111" i="2"/>
  <c r="H2111" i="2"/>
  <c r="I2110" i="2"/>
  <c r="H2110" i="2"/>
  <c r="I2109" i="2"/>
  <c r="H2109" i="2"/>
  <c r="I2108" i="2"/>
  <c r="H2108" i="2"/>
  <c r="I2107" i="2"/>
  <c r="H2107" i="2"/>
  <c r="I2106" i="2"/>
  <c r="H2106" i="2"/>
  <c r="I2105" i="2"/>
  <c r="H2105" i="2"/>
  <c r="I2104" i="2"/>
  <c r="H2104" i="2"/>
  <c r="I2103" i="2"/>
  <c r="H2103" i="2"/>
  <c r="I2102" i="2"/>
  <c r="H2102" i="2"/>
  <c r="I2101" i="2"/>
  <c r="H2101" i="2"/>
  <c r="I2100" i="2"/>
  <c r="H2100" i="2"/>
  <c r="I2099" i="2"/>
  <c r="H2099" i="2"/>
  <c r="I2098" i="2"/>
  <c r="H2098" i="2"/>
  <c r="I2097" i="2"/>
  <c r="H2097" i="2"/>
  <c r="I2096" i="2"/>
  <c r="H2096" i="2"/>
  <c r="I2095" i="2"/>
  <c r="H2095" i="2"/>
  <c r="I2094" i="2"/>
  <c r="H2094" i="2"/>
  <c r="I2093" i="2"/>
  <c r="H2093" i="2"/>
  <c r="I2092" i="2"/>
  <c r="H2092" i="2"/>
  <c r="I2091" i="2"/>
  <c r="H2091" i="2"/>
  <c r="I2090" i="2"/>
  <c r="H2090" i="2"/>
  <c r="I2089" i="2"/>
  <c r="H2089" i="2"/>
  <c r="I2088" i="2"/>
  <c r="H2088" i="2"/>
  <c r="I2087" i="2"/>
  <c r="H2087" i="2"/>
  <c r="I2086" i="2"/>
  <c r="H2086" i="2"/>
  <c r="I2085" i="2"/>
  <c r="H2085" i="2"/>
  <c r="I2084" i="2"/>
  <c r="H2084" i="2"/>
  <c r="I2083" i="2"/>
  <c r="H2083" i="2"/>
  <c r="I2082" i="2"/>
  <c r="H2082" i="2"/>
  <c r="I2081" i="2"/>
  <c r="H2081" i="2"/>
  <c r="I2080" i="2"/>
  <c r="H2080" i="2"/>
  <c r="I2079" i="2"/>
  <c r="H2079" i="2"/>
  <c r="I2078" i="2"/>
  <c r="H2078" i="2"/>
  <c r="I2077" i="2"/>
  <c r="H2077" i="2"/>
  <c r="I2076" i="2"/>
  <c r="H2076" i="2"/>
  <c r="I2075" i="2"/>
  <c r="H2075" i="2"/>
  <c r="I2074" i="2"/>
  <c r="H2074" i="2"/>
  <c r="I2073" i="2"/>
  <c r="H2073" i="2"/>
  <c r="I2072" i="2"/>
  <c r="H2072" i="2"/>
  <c r="I2071" i="2"/>
  <c r="H2071" i="2"/>
  <c r="I2070" i="2"/>
  <c r="H2070" i="2"/>
  <c r="I2069" i="2"/>
  <c r="H2069" i="2"/>
  <c r="I2068" i="2"/>
  <c r="H2068" i="2"/>
  <c r="I2067" i="2"/>
  <c r="H2067" i="2"/>
  <c r="I2066" i="2"/>
  <c r="H2066" i="2"/>
  <c r="I2065" i="2"/>
  <c r="H2065" i="2"/>
  <c r="I2064" i="2"/>
  <c r="H2064" i="2"/>
  <c r="I2063" i="2"/>
  <c r="H2063" i="2"/>
  <c r="I2062" i="2"/>
  <c r="H2062" i="2"/>
  <c r="I2061" i="2"/>
  <c r="H2061" i="2"/>
  <c r="I2060" i="2"/>
  <c r="H2060" i="2"/>
  <c r="I2059" i="2"/>
  <c r="H2059" i="2"/>
  <c r="I2058" i="2"/>
  <c r="H2058" i="2"/>
  <c r="I2057" i="2"/>
  <c r="H2057" i="2"/>
  <c r="I2056" i="2"/>
  <c r="H2056" i="2"/>
  <c r="I2055" i="2"/>
  <c r="H2055" i="2"/>
  <c r="I2054" i="2"/>
  <c r="H2054" i="2"/>
  <c r="I2053" i="2"/>
  <c r="H2053" i="2"/>
  <c r="I2052" i="2"/>
  <c r="H2052" i="2"/>
  <c r="I2051" i="2"/>
  <c r="H2051" i="2"/>
  <c r="I2050" i="2"/>
  <c r="H2050" i="2"/>
  <c r="I2049" i="2"/>
  <c r="H2049" i="2"/>
  <c r="I2048" i="2"/>
  <c r="H2048" i="2"/>
  <c r="I2047" i="2"/>
  <c r="H2047" i="2"/>
  <c r="I2046" i="2"/>
  <c r="H2046" i="2"/>
  <c r="I2045" i="2"/>
  <c r="H2045" i="2"/>
  <c r="I2044" i="2"/>
  <c r="H2044" i="2"/>
  <c r="I2043" i="2"/>
  <c r="H2043" i="2"/>
  <c r="I2042" i="2"/>
  <c r="H2042" i="2"/>
  <c r="I2041" i="2"/>
  <c r="H2041" i="2"/>
  <c r="I2040" i="2"/>
  <c r="H2040" i="2"/>
  <c r="I2039" i="2"/>
  <c r="H2039" i="2"/>
  <c r="I2038" i="2"/>
  <c r="H2038" i="2"/>
  <c r="I2037" i="2"/>
  <c r="H2037" i="2"/>
  <c r="I2036" i="2"/>
  <c r="H2036" i="2"/>
  <c r="I2035" i="2"/>
  <c r="H2035" i="2"/>
  <c r="I2034" i="2"/>
  <c r="H2034" i="2"/>
  <c r="I2033" i="2"/>
  <c r="H2033" i="2"/>
  <c r="I2032" i="2"/>
  <c r="H2032" i="2"/>
  <c r="I2031" i="2"/>
  <c r="H2031" i="2"/>
  <c r="I2030" i="2"/>
  <c r="H2030" i="2"/>
  <c r="I2029" i="2"/>
  <c r="H2029" i="2"/>
  <c r="I2028" i="2"/>
  <c r="H2028" i="2"/>
  <c r="I2027" i="2"/>
  <c r="H2027" i="2"/>
  <c r="I2026" i="2"/>
  <c r="H2026" i="2"/>
  <c r="I2025" i="2"/>
  <c r="H2025" i="2"/>
  <c r="I2024" i="2"/>
  <c r="H2024" i="2"/>
  <c r="I2023" i="2"/>
  <c r="H2023" i="2"/>
  <c r="I2022" i="2"/>
  <c r="H2022" i="2"/>
  <c r="I2021" i="2"/>
  <c r="H2021" i="2"/>
  <c r="I2020" i="2"/>
  <c r="H2020" i="2"/>
  <c r="I2019" i="2"/>
  <c r="H2019" i="2"/>
  <c r="I2018" i="2"/>
  <c r="H2018" i="2"/>
  <c r="I2017" i="2"/>
  <c r="H2017" i="2"/>
  <c r="I2016" i="2"/>
  <c r="H2016" i="2"/>
  <c r="I2015" i="2"/>
  <c r="H2015" i="2"/>
  <c r="I2014" i="2"/>
  <c r="H2014" i="2"/>
  <c r="I2013" i="2"/>
  <c r="H2013" i="2"/>
  <c r="I2012" i="2"/>
  <c r="H2012" i="2"/>
  <c r="I2011" i="2"/>
  <c r="H2011" i="2"/>
  <c r="I2010" i="2"/>
  <c r="H2010" i="2"/>
  <c r="I2009" i="2"/>
  <c r="H2009" i="2"/>
  <c r="I2008" i="2"/>
  <c r="H2008" i="2"/>
  <c r="I2007" i="2"/>
  <c r="H2007" i="2"/>
  <c r="I2006" i="2"/>
  <c r="H2006" i="2"/>
  <c r="I2005" i="2"/>
  <c r="H2005" i="2"/>
  <c r="I2004" i="2"/>
  <c r="H2004" i="2"/>
  <c r="I2003" i="2"/>
  <c r="H2003" i="2"/>
  <c r="I2002" i="2"/>
  <c r="H2002" i="2"/>
  <c r="I2001" i="2"/>
  <c r="H2001" i="2"/>
  <c r="I2000" i="2"/>
  <c r="H2000" i="2"/>
  <c r="I1999" i="2"/>
  <c r="H1999" i="2"/>
  <c r="I1998" i="2"/>
  <c r="H1998" i="2"/>
  <c r="I1997" i="2"/>
  <c r="H1997" i="2"/>
  <c r="I1996" i="2"/>
  <c r="H1996" i="2"/>
  <c r="I1995" i="2"/>
  <c r="H1995" i="2"/>
  <c r="I1994" i="2"/>
  <c r="H1994" i="2"/>
  <c r="I1993" i="2"/>
  <c r="H1993" i="2"/>
  <c r="I1992" i="2"/>
  <c r="H1992" i="2"/>
  <c r="I1991" i="2"/>
  <c r="H1991" i="2"/>
  <c r="I1990" i="2"/>
  <c r="H1990" i="2"/>
  <c r="I1989" i="2"/>
  <c r="H1989" i="2"/>
  <c r="I1988" i="2"/>
  <c r="H1988" i="2"/>
  <c r="I1987" i="2"/>
  <c r="H1987" i="2"/>
  <c r="I1986" i="2"/>
  <c r="H1986" i="2"/>
  <c r="I1985" i="2"/>
  <c r="H1985" i="2"/>
  <c r="I1984" i="2"/>
  <c r="H1984" i="2"/>
  <c r="I1983" i="2"/>
  <c r="H1983" i="2"/>
  <c r="I1982" i="2"/>
  <c r="H1982" i="2"/>
  <c r="I1981" i="2"/>
  <c r="H1981" i="2"/>
  <c r="I1980" i="2"/>
  <c r="H1980" i="2"/>
  <c r="I1979" i="2"/>
  <c r="H1979" i="2"/>
  <c r="I1978" i="2"/>
  <c r="H1978" i="2"/>
  <c r="I1977" i="2"/>
  <c r="H1977" i="2"/>
  <c r="I1976" i="2"/>
  <c r="H1976" i="2"/>
  <c r="I1975" i="2"/>
  <c r="H1975" i="2"/>
  <c r="I1974" i="2"/>
  <c r="H1974" i="2"/>
  <c r="I1973" i="2"/>
  <c r="H1973" i="2"/>
  <c r="I1972" i="2"/>
  <c r="H1972" i="2"/>
  <c r="I1971" i="2"/>
  <c r="H1971" i="2"/>
  <c r="I1970" i="2"/>
  <c r="H1970" i="2"/>
  <c r="I1969" i="2"/>
  <c r="H1969" i="2"/>
  <c r="I1968" i="2"/>
  <c r="H1968" i="2"/>
  <c r="I1967" i="2"/>
  <c r="H1967" i="2"/>
  <c r="I1966" i="2"/>
  <c r="H1966" i="2"/>
  <c r="I1965" i="2"/>
  <c r="H1965" i="2"/>
  <c r="I1964" i="2"/>
  <c r="H1964" i="2"/>
  <c r="I1963" i="2"/>
  <c r="H1963" i="2"/>
  <c r="I1962" i="2"/>
  <c r="H1962" i="2"/>
  <c r="I1961" i="2"/>
  <c r="H1961" i="2"/>
  <c r="I1960" i="2"/>
  <c r="H1960" i="2"/>
  <c r="I1959" i="2"/>
  <c r="H1959" i="2"/>
  <c r="I1958" i="2"/>
  <c r="H1958" i="2"/>
  <c r="I1957" i="2"/>
  <c r="H1957" i="2"/>
  <c r="I1956" i="2"/>
  <c r="H1956" i="2"/>
  <c r="I1955" i="2"/>
  <c r="H1955" i="2"/>
  <c r="I1954" i="2"/>
  <c r="H1954" i="2"/>
  <c r="I1953" i="2"/>
  <c r="H1953" i="2"/>
  <c r="I1952" i="2"/>
  <c r="H1952" i="2"/>
  <c r="I1951" i="2"/>
  <c r="H1951" i="2"/>
  <c r="I1950" i="2"/>
  <c r="H1950" i="2"/>
  <c r="I1949" i="2"/>
  <c r="H1949" i="2"/>
  <c r="I1948" i="2"/>
  <c r="H1948" i="2"/>
  <c r="I1947" i="2"/>
  <c r="H1947" i="2"/>
  <c r="I1946" i="2"/>
  <c r="H1946" i="2"/>
  <c r="I1945" i="2"/>
  <c r="H1945" i="2"/>
  <c r="I1944" i="2"/>
  <c r="H1944" i="2"/>
  <c r="I1943" i="2"/>
  <c r="H1943" i="2"/>
  <c r="I1942" i="2"/>
  <c r="H1942" i="2"/>
  <c r="I1941" i="2"/>
  <c r="H1941" i="2"/>
  <c r="I1940" i="2"/>
  <c r="H1940" i="2"/>
  <c r="I1939" i="2"/>
  <c r="H1939" i="2"/>
  <c r="I1938" i="2"/>
  <c r="H1938" i="2"/>
  <c r="I1937" i="2"/>
  <c r="H1937" i="2"/>
  <c r="I1936" i="2"/>
  <c r="H1936" i="2"/>
  <c r="I1935" i="2"/>
  <c r="H1935" i="2"/>
  <c r="I1934" i="2"/>
  <c r="H1934" i="2"/>
  <c r="I1933" i="2"/>
  <c r="H1933" i="2"/>
  <c r="I1932" i="2"/>
  <c r="H1932" i="2"/>
  <c r="I1931" i="2"/>
  <c r="H1931" i="2"/>
  <c r="I1930" i="2"/>
  <c r="H1930" i="2"/>
  <c r="I1929" i="2"/>
  <c r="H1929" i="2"/>
  <c r="I1928" i="2"/>
  <c r="H1928" i="2"/>
  <c r="I1927" i="2"/>
  <c r="H1927" i="2"/>
  <c r="I1926" i="2"/>
  <c r="H1926" i="2"/>
  <c r="I1925" i="2"/>
  <c r="H1925" i="2"/>
  <c r="I1924" i="2"/>
  <c r="H1924" i="2"/>
  <c r="I1923" i="2"/>
  <c r="H1923" i="2"/>
  <c r="I1922" i="2"/>
  <c r="H1922" i="2"/>
  <c r="I1921" i="2"/>
  <c r="H1921" i="2"/>
  <c r="I1920" i="2"/>
  <c r="H1920" i="2"/>
  <c r="I1919" i="2"/>
  <c r="H1919" i="2"/>
  <c r="I1918" i="2"/>
  <c r="H1918" i="2"/>
  <c r="I1917" i="2"/>
  <c r="H1917" i="2"/>
  <c r="I1916" i="2"/>
  <c r="H1916" i="2"/>
  <c r="I1915" i="2"/>
  <c r="H1915" i="2"/>
  <c r="I1914" i="2"/>
  <c r="H1914" i="2"/>
  <c r="I1913" i="2"/>
  <c r="H1913" i="2"/>
  <c r="I1912" i="2"/>
  <c r="H1912" i="2"/>
  <c r="I1911" i="2"/>
  <c r="H1911" i="2"/>
  <c r="I1910" i="2"/>
  <c r="H1910" i="2"/>
  <c r="I1909" i="2"/>
  <c r="H1909" i="2"/>
  <c r="I1908" i="2"/>
  <c r="H1908" i="2"/>
  <c r="I1907" i="2"/>
  <c r="H1907" i="2"/>
  <c r="I1906" i="2"/>
  <c r="H1906" i="2"/>
  <c r="I1905" i="2"/>
  <c r="H1905" i="2"/>
  <c r="I1904" i="2"/>
  <c r="H1904" i="2"/>
  <c r="I1903" i="2"/>
  <c r="H1903" i="2"/>
  <c r="I1902" i="2"/>
  <c r="H1902" i="2"/>
  <c r="I1901" i="2"/>
  <c r="H1901" i="2"/>
  <c r="I1900" i="2"/>
  <c r="H1900" i="2"/>
  <c r="I1899" i="2"/>
  <c r="H1899" i="2"/>
  <c r="I1898" i="2"/>
  <c r="H1898" i="2"/>
  <c r="I1897" i="2"/>
  <c r="H1897" i="2"/>
  <c r="I1896" i="2"/>
  <c r="H1896" i="2"/>
  <c r="I1895" i="2"/>
  <c r="H1895" i="2"/>
  <c r="I1894" i="2"/>
  <c r="H1894" i="2"/>
  <c r="I1893" i="2"/>
  <c r="H1893" i="2"/>
  <c r="I1892" i="2"/>
  <c r="H1892" i="2"/>
  <c r="I1891" i="2"/>
  <c r="H1891" i="2"/>
  <c r="I1890" i="2"/>
  <c r="H1890" i="2"/>
  <c r="I1889" i="2"/>
  <c r="H1889" i="2"/>
  <c r="I1888" i="2"/>
  <c r="H1888" i="2"/>
  <c r="I1887" i="2"/>
  <c r="H1887" i="2"/>
  <c r="I1886" i="2"/>
  <c r="H1886" i="2"/>
  <c r="I1885" i="2"/>
  <c r="H1885" i="2"/>
  <c r="I1884" i="2"/>
  <c r="H1884" i="2"/>
  <c r="I1883" i="2"/>
  <c r="H1883" i="2"/>
  <c r="I1882" i="2"/>
  <c r="H1882" i="2"/>
  <c r="I1881" i="2"/>
  <c r="H1881" i="2"/>
  <c r="I1880" i="2"/>
  <c r="H1880" i="2"/>
  <c r="I1879" i="2"/>
  <c r="H1879" i="2"/>
  <c r="I1878" i="2"/>
  <c r="H1878" i="2"/>
  <c r="I1877" i="2"/>
  <c r="H1877" i="2"/>
  <c r="I1876" i="2"/>
  <c r="H1876" i="2"/>
  <c r="I1875" i="2"/>
  <c r="H1875" i="2"/>
  <c r="I1874" i="2"/>
  <c r="H1874" i="2"/>
  <c r="I1873" i="2"/>
  <c r="H1873" i="2"/>
  <c r="I1872" i="2"/>
  <c r="H1872" i="2"/>
  <c r="I1871" i="2"/>
  <c r="H1871" i="2"/>
  <c r="I1870" i="2"/>
  <c r="H1870" i="2"/>
  <c r="I1869" i="2"/>
  <c r="H1869" i="2"/>
  <c r="I1868" i="2"/>
  <c r="H1868" i="2"/>
  <c r="I1867" i="2"/>
  <c r="H1867" i="2"/>
  <c r="I1866" i="2"/>
  <c r="H1866" i="2"/>
  <c r="I1865" i="2"/>
  <c r="H1865" i="2"/>
  <c r="I1864" i="2"/>
  <c r="H1864" i="2"/>
  <c r="I1863" i="2"/>
  <c r="H1863" i="2"/>
  <c r="I1862" i="2"/>
  <c r="H1862" i="2"/>
  <c r="I1861" i="2"/>
  <c r="H1861" i="2"/>
  <c r="I1860" i="2"/>
  <c r="H1860" i="2"/>
  <c r="I1859" i="2"/>
  <c r="H1859" i="2"/>
  <c r="I1858" i="2"/>
  <c r="H1858" i="2"/>
  <c r="I1857" i="2"/>
  <c r="H1857" i="2"/>
  <c r="I1856" i="2"/>
  <c r="H1856" i="2"/>
  <c r="I1855" i="2"/>
  <c r="H1855" i="2"/>
  <c r="I1854" i="2"/>
  <c r="H1854" i="2"/>
  <c r="I1853" i="2"/>
  <c r="H1853" i="2"/>
  <c r="I1852" i="2"/>
  <c r="H1852" i="2"/>
  <c r="I1851" i="2"/>
  <c r="H1851" i="2"/>
  <c r="I1850" i="2"/>
  <c r="H1850" i="2"/>
  <c r="I1849" i="2"/>
  <c r="H1849" i="2"/>
  <c r="I1848" i="2"/>
  <c r="H1848" i="2"/>
  <c r="I1847" i="2"/>
  <c r="H1847" i="2"/>
  <c r="I1846" i="2"/>
  <c r="H1846" i="2"/>
  <c r="I1845" i="2"/>
  <c r="H1845" i="2"/>
  <c r="I1844" i="2"/>
  <c r="H1844" i="2"/>
  <c r="I1843" i="2"/>
  <c r="H1843" i="2"/>
  <c r="I1842" i="2"/>
  <c r="H1842" i="2"/>
  <c r="I1841" i="2"/>
  <c r="H1841" i="2"/>
  <c r="I1840" i="2"/>
  <c r="H1840" i="2"/>
  <c r="I1839" i="2"/>
  <c r="H1839" i="2"/>
  <c r="I1838" i="2"/>
  <c r="H1838" i="2"/>
  <c r="I1837" i="2"/>
  <c r="H1837" i="2"/>
  <c r="I1836" i="2"/>
  <c r="H1836" i="2"/>
  <c r="I1835" i="2"/>
  <c r="H1835" i="2"/>
  <c r="I1834" i="2"/>
  <c r="H1834" i="2"/>
  <c r="I1833" i="2"/>
  <c r="H1833" i="2"/>
  <c r="I1832" i="2"/>
  <c r="H1832" i="2"/>
  <c r="I1831" i="2"/>
  <c r="H1831" i="2"/>
  <c r="I1830" i="2"/>
  <c r="H1830" i="2"/>
  <c r="I1829" i="2"/>
  <c r="H1829" i="2"/>
  <c r="I1828" i="2"/>
  <c r="H1828" i="2"/>
  <c r="I1827" i="2"/>
  <c r="H1827" i="2"/>
  <c r="I1826" i="2"/>
  <c r="H1826" i="2"/>
  <c r="I1825" i="2"/>
  <c r="H1825" i="2"/>
  <c r="I1824" i="2"/>
  <c r="H1824" i="2"/>
  <c r="I1823" i="2"/>
  <c r="H1823" i="2"/>
  <c r="I1822" i="2"/>
  <c r="H1822" i="2"/>
  <c r="I1821" i="2"/>
  <c r="H1821" i="2"/>
  <c r="I1820" i="2"/>
  <c r="H1820" i="2"/>
  <c r="I1819" i="2"/>
  <c r="H1819" i="2"/>
  <c r="I1818" i="2"/>
  <c r="H1818" i="2"/>
  <c r="I1817" i="2"/>
  <c r="H1817" i="2"/>
  <c r="I1816" i="2"/>
  <c r="H1816" i="2"/>
  <c r="I1815" i="2"/>
  <c r="H1815" i="2"/>
  <c r="I1814" i="2"/>
  <c r="H1814" i="2"/>
  <c r="I1813" i="2"/>
  <c r="H1813" i="2"/>
  <c r="I1812" i="2"/>
  <c r="H1812" i="2"/>
  <c r="I1811" i="2"/>
  <c r="H1811" i="2"/>
  <c r="I1810" i="2"/>
  <c r="H1810" i="2"/>
  <c r="I1809" i="2"/>
  <c r="H1809" i="2"/>
  <c r="I1808" i="2"/>
  <c r="H1808" i="2"/>
  <c r="I1807" i="2"/>
  <c r="H1807" i="2"/>
  <c r="I1806" i="2"/>
  <c r="H1806" i="2"/>
  <c r="I1805" i="2"/>
  <c r="H1805" i="2"/>
  <c r="I1804" i="2"/>
  <c r="H1804" i="2"/>
  <c r="I1803" i="2"/>
  <c r="H1803" i="2"/>
  <c r="I1802" i="2"/>
  <c r="H1802" i="2"/>
  <c r="I1801" i="2"/>
  <c r="H1801" i="2"/>
  <c r="I1800" i="2"/>
  <c r="H1800" i="2"/>
  <c r="I1799" i="2"/>
  <c r="H1799" i="2"/>
  <c r="I1798" i="2"/>
  <c r="H1798" i="2"/>
  <c r="I1797" i="2"/>
  <c r="H1797" i="2"/>
  <c r="I1796" i="2"/>
  <c r="H1796" i="2"/>
  <c r="I1795" i="2"/>
  <c r="H1795" i="2"/>
  <c r="I1794" i="2"/>
  <c r="H1794" i="2"/>
  <c r="I1793" i="2"/>
  <c r="H1793" i="2"/>
  <c r="I1792" i="2"/>
  <c r="H1792" i="2"/>
  <c r="I1791" i="2"/>
  <c r="H1791" i="2"/>
  <c r="I1790" i="2"/>
  <c r="H1790" i="2"/>
  <c r="I1789" i="2"/>
  <c r="H1789" i="2"/>
  <c r="I1788" i="2"/>
  <c r="H1788" i="2"/>
  <c r="I1787" i="2"/>
  <c r="H1787" i="2"/>
  <c r="I1786" i="2"/>
  <c r="H1786" i="2"/>
  <c r="I1785" i="2"/>
  <c r="H1785" i="2"/>
  <c r="I1784" i="2"/>
  <c r="H1784" i="2"/>
  <c r="I1783" i="2"/>
  <c r="H1783" i="2"/>
  <c r="I1782" i="2"/>
  <c r="H1782" i="2"/>
  <c r="I1781" i="2"/>
  <c r="H1781" i="2"/>
  <c r="I1780" i="2"/>
  <c r="H1780" i="2"/>
  <c r="I1779" i="2"/>
  <c r="H1779" i="2"/>
  <c r="I1778" i="2"/>
  <c r="H1778" i="2"/>
  <c r="I1777" i="2"/>
  <c r="H1777" i="2"/>
  <c r="I1776" i="2"/>
  <c r="H1776" i="2"/>
  <c r="I1775" i="2"/>
  <c r="H1775" i="2"/>
  <c r="I1774" i="2"/>
  <c r="H1774" i="2"/>
  <c r="I1773" i="2"/>
  <c r="H1773" i="2"/>
  <c r="I1772" i="2"/>
  <c r="H1772" i="2"/>
  <c r="I1771" i="2"/>
  <c r="H1771" i="2"/>
  <c r="I1770" i="2"/>
  <c r="H1770" i="2"/>
  <c r="I1769" i="2"/>
  <c r="H1769" i="2"/>
  <c r="I1768" i="2"/>
  <c r="H1768" i="2"/>
  <c r="I1767" i="2"/>
  <c r="H1767" i="2"/>
  <c r="I1766" i="2"/>
  <c r="H1766" i="2"/>
  <c r="I1765" i="2"/>
  <c r="H1765" i="2"/>
  <c r="I1764" i="2"/>
  <c r="H1764" i="2"/>
  <c r="I1763" i="2"/>
  <c r="H1763" i="2"/>
  <c r="I1762" i="2"/>
  <c r="H1762" i="2"/>
  <c r="I1761" i="2"/>
  <c r="H1761" i="2"/>
  <c r="I1760" i="2"/>
  <c r="H1760" i="2"/>
  <c r="I1759" i="2"/>
  <c r="H1759" i="2"/>
  <c r="I1758" i="2"/>
  <c r="H1758" i="2"/>
  <c r="I1757" i="2"/>
  <c r="H1757" i="2"/>
  <c r="I1756" i="2"/>
  <c r="H1756" i="2"/>
  <c r="I1755" i="2"/>
  <c r="H1755" i="2"/>
  <c r="I1754" i="2"/>
  <c r="H1754" i="2"/>
  <c r="I1753" i="2"/>
  <c r="H1753" i="2"/>
  <c r="I1752" i="2"/>
  <c r="H1752" i="2"/>
  <c r="I1751" i="2"/>
  <c r="H1751" i="2"/>
  <c r="I1750" i="2"/>
  <c r="H1750" i="2"/>
  <c r="I1749" i="2"/>
  <c r="H1749" i="2"/>
  <c r="I1748" i="2"/>
  <c r="H1748" i="2"/>
  <c r="I1747" i="2"/>
  <c r="H1747" i="2"/>
  <c r="I1746" i="2"/>
  <c r="H1746" i="2"/>
  <c r="I1745" i="2"/>
  <c r="H1745" i="2"/>
  <c r="I1744" i="2"/>
  <c r="H1744" i="2"/>
  <c r="I1743" i="2"/>
  <c r="H1743" i="2"/>
  <c r="I1742" i="2"/>
  <c r="H1742" i="2"/>
  <c r="I1741" i="2"/>
  <c r="H1741" i="2"/>
  <c r="I1740" i="2"/>
  <c r="H1740" i="2"/>
  <c r="I1739" i="2"/>
  <c r="H1739" i="2"/>
  <c r="I1738" i="2"/>
  <c r="H1738" i="2"/>
  <c r="I1737" i="2"/>
  <c r="H1737" i="2"/>
  <c r="I1736" i="2"/>
  <c r="H1736" i="2"/>
  <c r="I1735" i="2"/>
  <c r="H1735" i="2"/>
  <c r="I1734" i="2"/>
  <c r="H1734" i="2"/>
  <c r="I1733" i="2"/>
  <c r="H1733" i="2"/>
  <c r="I1732" i="2"/>
  <c r="H1732" i="2"/>
  <c r="I1731" i="2"/>
  <c r="H1731" i="2"/>
  <c r="I1730" i="2"/>
  <c r="H1730" i="2"/>
  <c r="I1729" i="2"/>
  <c r="H1729" i="2"/>
  <c r="I1728" i="2"/>
  <c r="H1728" i="2"/>
  <c r="I1727" i="2"/>
  <c r="H1727" i="2"/>
  <c r="I1726" i="2"/>
  <c r="H1726" i="2"/>
  <c r="I1725" i="2"/>
  <c r="H1725" i="2"/>
  <c r="I1724" i="2"/>
  <c r="H1724" i="2"/>
  <c r="I1723" i="2"/>
  <c r="H1723" i="2"/>
  <c r="I1722" i="2"/>
  <c r="H1722" i="2"/>
  <c r="I1721" i="2"/>
  <c r="H1721" i="2"/>
  <c r="I1720" i="2"/>
  <c r="H1720" i="2"/>
  <c r="I1719" i="2"/>
  <c r="H1719" i="2"/>
  <c r="I1718" i="2"/>
  <c r="H1718" i="2"/>
  <c r="I1717" i="2"/>
  <c r="H1717" i="2"/>
  <c r="I1716" i="2"/>
  <c r="H1716" i="2"/>
  <c r="I1715" i="2"/>
  <c r="H1715" i="2"/>
  <c r="I1714" i="2"/>
  <c r="H1714" i="2"/>
  <c r="I1713" i="2"/>
  <c r="H1713" i="2"/>
  <c r="I1712" i="2"/>
  <c r="H1712" i="2"/>
  <c r="I1711" i="2"/>
  <c r="H1711" i="2"/>
  <c r="I1710" i="2"/>
  <c r="H1710" i="2"/>
  <c r="I1709" i="2"/>
  <c r="H1709" i="2"/>
  <c r="I1708" i="2"/>
  <c r="H1708" i="2"/>
  <c r="I1707" i="2"/>
  <c r="H1707" i="2"/>
  <c r="I1706" i="2"/>
  <c r="H1706" i="2"/>
  <c r="I1705" i="2"/>
  <c r="H1705" i="2"/>
  <c r="I1704" i="2"/>
  <c r="H1704" i="2"/>
  <c r="I1703" i="2"/>
  <c r="H1703" i="2"/>
  <c r="I1702" i="2"/>
  <c r="H1702" i="2"/>
  <c r="I1701" i="2"/>
  <c r="H1701" i="2"/>
  <c r="I1700" i="2"/>
  <c r="H1700" i="2"/>
  <c r="I1699" i="2"/>
  <c r="H1699" i="2"/>
  <c r="I1698" i="2"/>
  <c r="H1698" i="2"/>
  <c r="I1697" i="2"/>
  <c r="H1697" i="2"/>
  <c r="I1696" i="2"/>
  <c r="H1696" i="2"/>
  <c r="I1695" i="2"/>
  <c r="H1695" i="2"/>
  <c r="I1694" i="2"/>
  <c r="H1694" i="2"/>
  <c r="I1693" i="2"/>
  <c r="H1693" i="2"/>
  <c r="I1692" i="2"/>
  <c r="H1692" i="2"/>
  <c r="I1691" i="2"/>
  <c r="H1691" i="2"/>
  <c r="I1690" i="2"/>
  <c r="H1690" i="2"/>
  <c r="I1689" i="2"/>
  <c r="H1689" i="2"/>
  <c r="I1688" i="2"/>
  <c r="H1688" i="2"/>
  <c r="I1687" i="2"/>
  <c r="H1687" i="2"/>
  <c r="I1686" i="2"/>
  <c r="H1686" i="2"/>
  <c r="I1685" i="2"/>
  <c r="H1685" i="2"/>
  <c r="I1684" i="2"/>
  <c r="H1684" i="2"/>
  <c r="I1683" i="2"/>
  <c r="H1683" i="2"/>
  <c r="I1682" i="2"/>
  <c r="H1682" i="2"/>
  <c r="I1681" i="2"/>
  <c r="H1681" i="2"/>
  <c r="I1680" i="2"/>
  <c r="H1680" i="2"/>
  <c r="I1679" i="2"/>
  <c r="H1679" i="2"/>
  <c r="I1678" i="2"/>
  <c r="H1678" i="2"/>
  <c r="I1677" i="2"/>
  <c r="H1677" i="2"/>
  <c r="I1676" i="2"/>
  <c r="H1676" i="2"/>
  <c r="I1675" i="2"/>
  <c r="H1675" i="2"/>
  <c r="I1674" i="2"/>
  <c r="H1674" i="2"/>
  <c r="I1673" i="2"/>
  <c r="H1673" i="2"/>
  <c r="I1672" i="2"/>
  <c r="H1672" i="2"/>
  <c r="I1671" i="2"/>
  <c r="H1671" i="2"/>
  <c r="I1670" i="2"/>
  <c r="H1670" i="2"/>
  <c r="I1669" i="2"/>
  <c r="H1669" i="2"/>
  <c r="I1668" i="2"/>
  <c r="H1668" i="2"/>
  <c r="I1667" i="2"/>
  <c r="H1667" i="2"/>
  <c r="I1666" i="2"/>
  <c r="H1666" i="2"/>
  <c r="I1665" i="2"/>
  <c r="H1665" i="2"/>
  <c r="I1664" i="2"/>
  <c r="H1664" i="2"/>
  <c r="I1663" i="2"/>
  <c r="H1663" i="2"/>
  <c r="I1662" i="2"/>
  <c r="H1662" i="2"/>
  <c r="I1661" i="2"/>
  <c r="H1661" i="2"/>
  <c r="I1660" i="2"/>
  <c r="H1660" i="2"/>
  <c r="I1659" i="2"/>
  <c r="H1659" i="2"/>
  <c r="I1658" i="2"/>
  <c r="H1658" i="2"/>
  <c r="I1657" i="2"/>
  <c r="H1657" i="2"/>
  <c r="I1656" i="2"/>
  <c r="H1656" i="2"/>
  <c r="I1655" i="2"/>
  <c r="H1655" i="2"/>
  <c r="I1654" i="2"/>
  <c r="H1654" i="2"/>
  <c r="I1653" i="2"/>
  <c r="H1653" i="2"/>
  <c r="I1652" i="2"/>
  <c r="H1652" i="2"/>
  <c r="I1651" i="2"/>
  <c r="H1651" i="2"/>
  <c r="I1650" i="2"/>
  <c r="H1650" i="2"/>
  <c r="I1649" i="2"/>
  <c r="H1649" i="2"/>
  <c r="I1648" i="2"/>
  <c r="H1648" i="2"/>
  <c r="I1647" i="2"/>
  <c r="H1647" i="2"/>
  <c r="I1646" i="2"/>
  <c r="H1646" i="2"/>
  <c r="I1645" i="2"/>
  <c r="H1645" i="2"/>
  <c r="I1644" i="2"/>
  <c r="H1644" i="2"/>
  <c r="I1643" i="2"/>
  <c r="H1643" i="2"/>
  <c r="I1642" i="2"/>
  <c r="H1642" i="2"/>
  <c r="I1641" i="2"/>
  <c r="H1641" i="2"/>
  <c r="I1640" i="2"/>
  <c r="H1640" i="2"/>
  <c r="I1639" i="2"/>
  <c r="H1639" i="2"/>
  <c r="I1638" i="2"/>
  <c r="H1638" i="2"/>
  <c r="I1637" i="2"/>
  <c r="H1637" i="2"/>
  <c r="I1636" i="2"/>
  <c r="H1636" i="2"/>
  <c r="I1635" i="2"/>
  <c r="H1635" i="2"/>
  <c r="I1634" i="2"/>
  <c r="H1634" i="2"/>
  <c r="I1633" i="2"/>
  <c r="H1633" i="2"/>
  <c r="I1632" i="2"/>
  <c r="H1632" i="2"/>
  <c r="I1631" i="2"/>
  <c r="H1631" i="2"/>
  <c r="I1630" i="2"/>
  <c r="H1630" i="2"/>
  <c r="I1629" i="2"/>
  <c r="H1629" i="2"/>
  <c r="I1628" i="2"/>
  <c r="H1628" i="2"/>
  <c r="I1627" i="2"/>
  <c r="H1627" i="2"/>
  <c r="I1626" i="2"/>
  <c r="H1626" i="2"/>
  <c r="I1625" i="2"/>
  <c r="H1625" i="2"/>
  <c r="I1624" i="2"/>
  <c r="H1624" i="2"/>
  <c r="I1623" i="2"/>
  <c r="H1623" i="2"/>
  <c r="I1622" i="2"/>
  <c r="H1622" i="2"/>
  <c r="I1621" i="2"/>
  <c r="H1621" i="2"/>
  <c r="I1620" i="2"/>
  <c r="H1620" i="2"/>
  <c r="I1619" i="2"/>
  <c r="H1619" i="2"/>
  <c r="I1618" i="2"/>
  <c r="H1618" i="2"/>
  <c r="I1617" i="2"/>
  <c r="H1617" i="2"/>
  <c r="I1616" i="2"/>
  <c r="H1616" i="2"/>
  <c r="I1615" i="2"/>
  <c r="H1615" i="2"/>
  <c r="I1614" i="2"/>
  <c r="H1614" i="2"/>
  <c r="I1613" i="2"/>
  <c r="H1613" i="2"/>
  <c r="I1612" i="2"/>
  <c r="H1612" i="2"/>
  <c r="I1611" i="2"/>
  <c r="H1611" i="2"/>
  <c r="I1610" i="2"/>
  <c r="H1610" i="2"/>
  <c r="I1609" i="2"/>
  <c r="H1609" i="2"/>
  <c r="I1608" i="2"/>
  <c r="H1608" i="2"/>
  <c r="I1607" i="2"/>
  <c r="H1607" i="2"/>
  <c r="I1606" i="2"/>
  <c r="H1606" i="2"/>
  <c r="I1605" i="2"/>
  <c r="H1605" i="2"/>
  <c r="I1604" i="2"/>
  <c r="H1604" i="2"/>
  <c r="I1603" i="2"/>
  <c r="H1603" i="2"/>
  <c r="I1602" i="2"/>
  <c r="H1602" i="2"/>
  <c r="I1601" i="2"/>
  <c r="H1601" i="2"/>
  <c r="I1600" i="2"/>
  <c r="H1600" i="2"/>
  <c r="I1599" i="2"/>
  <c r="H1599" i="2"/>
  <c r="I1598" i="2"/>
  <c r="H1598" i="2"/>
  <c r="I1597" i="2"/>
  <c r="H1597" i="2"/>
  <c r="I1596" i="2"/>
  <c r="H1596" i="2"/>
  <c r="I1595" i="2"/>
  <c r="H1595" i="2"/>
  <c r="I1594" i="2"/>
  <c r="H1594" i="2"/>
  <c r="I1593" i="2"/>
  <c r="H1593" i="2"/>
  <c r="I1592" i="2"/>
  <c r="H1592" i="2"/>
  <c r="I1591" i="2"/>
  <c r="H1591" i="2"/>
  <c r="I1590" i="2"/>
  <c r="H1590" i="2"/>
  <c r="I1589" i="2"/>
  <c r="H1589" i="2"/>
  <c r="I1588" i="2"/>
  <c r="H1588" i="2"/>
  <c r="I1587" i="2"/>
  <c r="H1587" i="2"/>
  <c r="I1586" i="2"/>
  <c r="H1586" i="2"/>
  <c r="I1585" i="2"/>
  <c r="H1585" i="2"/>
  <c r="I1584" i="2"/>
  <c r="H1584" i="2"/>
  <c r="I1583" i="2"/>
  <c r="H1583" i="2"/>
  <c r="I1582" i="2"/>
  <c r="H1582" i="2"/>
  <c r="I1581" i="2"/>
  <c r="H1581" i="2"/>
  <c r="I1580" i="2"/>
  <c r="H1580" i="2"/>
  <c r="I1579" i="2"/>
  <c r="H1579" i="2"/>
  <c r="I1578" i="2"/>
  <c r="H1578" i="2"/>
  <c r="I1577" i="2"/>
  <c r="H1577" i="2"/>
  <c r="I1576" i="2"/>
  <c r="H1576" i="2"/>
  <c r="I1575" i="2"/>
  <c r="H1575" i="2"/>
  <c r="I1574" i="2"/>
  <c r="H1574" i="2"/>
  <c r="I1573" i="2"/>
  <c r="H1573" i="2"/>
  <c r="I1572" i="2"/>
  <c r="H1572" i="2"/>
  <c r="I1571" i="2"/>
  <c r="H1571" i="2"/>
  <c r="I1570" i="2"/>
  <c r="H1570" i="2"/>
  <c r="I1569" i="2"/>
  <c r="H1569" i="2"/>
  <c r="I1568" i="2"/>
  <c r="H1568" i="2"/>
  <c r="I1567" i="2"/>
  <c r="H1567" i="2"/>
  <c r="I1566" i="2"/>
  <c r="H1566" i="2"/>
  <c r="I1565" i="2"/>
  <c r="H1565" i="2"/>
  <c r="I1564" i="2"/>
  <c r="H1564" i="2"/>
  <c r="I1563" i="2"/>
  <c r="H1563" i="2"/>
  <c r="I1562" i="2"/>
  <c r="H1562" i="2"/>
  <c r="I1561" i="2"/>
  <c r="H1561" i="2"/>
  <c r="I1560" i="2"/>
  <c r="H1560" i="2"/>
  <c r="I1559" i="2"/>
  <c r="H1559" i="2"/>
  <c r="I1558" i="2"/>
  <c r="H1558" i="2"/>
  <c r="I1557" i="2"/>
  <c r="H1557" i="2"/>
  <c r="I1556" i="2"/>
  <c r="H1556" i="2"/>
  <c r="I1555" i="2"/>
  <c r="H1555" i="2"/>
  <c r="I1554" i="2"/>
  <c r="H1554" i="2"/>
  <c r="I1553" i="2"/>
  <c r="H1553" i="2"/>
  <c r="I1552" i="2"/>
  <c r="H1552" i="2"/>
  <c r="I1551" i="2"/>
  <c r="H1551" i="2"/>
  <c r="I1550" i="2"/>
  <c r="H1550" i="2"/>
  <c r="I1549" i="2"/>
  <c r="H1549" i="2"/>
  <c r="I1548" i="2"/>
  <c r="H1548" i="2"/>
  <c r="I1547" i="2"/>
  <c r="H1547" i="2"/>
  <c r="I1546" i="2"/>
  <c r="H1546" i="2"/>
  <c r="I1545" i="2"/>
  <c r="H1545" i="2"/>
  <c r="I1544" i="2"/>
  <c r="H1544" i="2"/>
  <c r="I1543" i="2"/>
  <c r="H1543" i="2"/>
  <c r="I1542" i="2"/>
  <c r="H1542" i="2"/>
  <c r="I1541" i="2"/>
  <c r="H1541" i="2"/>
  <c r="I1540" i="2"/>
  <c r="H1540" i="2"/>
  <c r="I1539" i="2"/>
  <c r="H1539" i="2"/>
  <c r="I1538" i="2"/>
  <c r="H1538" i="2"/>
  <c r="I1537" i="2"/>
  <c r="H1537" i="2"/>
  <c r="I1536" i="2"/>
  <c r="H1536" i="2"/>
  <c r="I1535" i="2"/>
  <c r="H1535" i="2"/>
  <c r="I1534" i="2"/>
  <c r="H1534" i="2"/>
  <c r="I1533" i="2"/>
  <c r="H1533" i="2"/>
  <c r="I1532" i="2"/>
  <c r="H1532" i="2"/>
  <c r="I1531" i="2"/>
  <c r="H1531" i="2"/>
  <c r="I1530" i="2"/>
  <c r="H1530" i="2"/>
  <c r="I1529" i="2"/>
  <c r="H1529" i="2"/>
  <c r="I1528" i="2"/>
  <c r="H1528" i="2"/>
  <c r="I1527" i="2"/>
  <c r="H1527" i="2"/>
  <c r="I1526" i="2"/>
  <c r="H1526" i="2"/>
  <c r="I1525" i="2"/>
  <c r="H1525" i="2"/>
  <c r="I1524" i="2"/>
  <c r="H1524" i="2"/>
  <c r="I1523" i="2"/>
  <c r="H1523" i="2"/>
  <c r="I1522" i="2"/>
  <c r="H1522" i="2"/>
  <c r="I1521" i="2"/>
  <c r="H1521" i="2"/>
  <c r="I1520" i="2"/>
  <c r="H1520" i="2"/>
  <c r="I1519" i="2"/>
  <c r="H1519" i="2"/>
  <c r="I1518" i="2"/>
  <c r="H1518" i="2"/>
  <c r="I1517" i="2"/>
  <c r="H1517" i="2"/>
  <c r="I1516" i="2"/>
  <c r="H1516" i="2"/>
  <c r="I1515" i="2"/>
  <c r="H1515" i="2"/>
  <c r="I1514" i="2"/>
  <c r="H1514" i="2"/>
  <c r="I1513" i="2"/>
  <c r="H1513" i="2"/>
  <c r="I1512" i="2"/>
  <c r="H1512" i="2"/>
  <c r="I1511" i="2"/>
  <c r="H1511" i="2"/>
  <c r="I1510" i="2"/>
  <c r="H1510" i="2"/>
  <c r="I1509" i="2"/>
  <c r="H1509" i="2"/>
  <c r="I1508" i="2"/>
  <c r="H1508" i="2"/>
  <c r="I1507" i="2"/>
  <c r="H1507" i="2"/>
  <c r="I1506" i="2"/>
  <c r="H1506" i="2"/>
  <c r="I1505" i="2"/>
  <c r="H1505" i="2"/>
  <c r="I1504" i="2"/>
  <c r="H1504" i="2"/>
  <c r="I1503" i="2"/>
  <c r="H1503" i="2"/>
  <c r="I1502" i="2"/>
  <c r="H1502" i="2"/>
  <c r="I1501" i="2"/>
  <c r="H1501" i="2"/>
  <c r="I1500" i="2"/>
  <c r="H1500" i="2"/>
  <c r="I1499" i="2"/>
  <c r="H1499" i="2"/>
  <c r="I1498" i="2"/>
  <c r="H1498" i="2"/>
  <c r="I1497" i="2"/>
  <c r="H1497" i="2"/>
  <c r="I1496" i="2"/>
  <c r="H1496" i="2"/>
  <c r="I1495" i="2"/>
  <c r="H1495" i="2"/>
  <c r="I1494" i="2"/>
  <c r="H1494" i="2"/>
  <c r="I1493" i="2"/>
  <c r="H1493" i="2"/>
  <c r="I1492" i="2"/>
  <c r="H1492" i="2"/>
  <c r="I1491" i="2"/>
  <c r="H1491" i="2"/>
  <c r="I1490" i="2"/>
  <c r="H1490" i="2"/>
  <c r="I1489" i="2"/>
  <c r="H1489" i="2"/>
  <c r="I1488" i="2"/>
  <c r="H1488" i="2"/>
  <c r="I1487" i="2"/>
  <c r="H1487" i="2"/>
  <c r="I1486" i="2"/>
  <c r="H1486" i="2"/>
  <c r="I1485" i="2"/>
  <c r="H1485" i="2"/>
  <c r="I1484" i="2"/>
  <c r="H1484" i="2"/>
  <c r="I1483" i="2"/>
  <c r="H1483" i="2"/>
  <c r="I1482" i="2"/>
  <c r="H1482" i="2"/>
  <c r="I1481" i="2"/>
  <c r="H1481" i="2"/>
  <c r="I1480" i="2"/>
  <c r="H1480" i="2"/>
  <c r="I1479" i="2"/>
  <c r="H1479" i="2"/>
  <c r="I1478" i="2"/>
  <c r="H1478" i="2"/>
  <c r="I1477" i="2"/>
  <c r="H1477" i="2"/>
  <c r="I1476" i="2"/>
  <c r="H1476" i="2"/>
  <c r="I1475" i="2"/>
  <c r="H1475" i="2"/>
  <c r="I1474" i="2"/>
  <c r="H1474" i="2"/>
  <c r="I1473" i="2"/>
  <c r="H1473" i="2"/>
  <c r="I1472" i="2"/>
  <c r="H1472" i="2"/>
  <c r="I1471" i="2"/>
  <c r="H1471" i="2"/>
  <c r="I1470" i="2"/>
  <c r="H1470" i="2"/>
  <c r="I1469" i="2"/>
  <c r="H1469" i="2"/>
  <c r="I1468" i="2"/>
  <c r="H1468" i="2"/>
  <c r="I1467" i="2"/>
  <c r="H1467" i="2"/>
  <c r="I1466" i="2"/>
  <c r="H1466" i="2"/>
  <c r="I1465" i="2"/>
  <c r="H1465" i="2"/>
  <c r="I1464" i="2"/>
  <c r="H1464" i="2"/>
  <c r="I1463" i="2"/>
  <c r="H1463" i="2"/>
  <c r="I1462" i="2"/>
  <c r="H1462" i="2"/>
  <c r="I1461" i="2"/>
  <c r="H1461" i="2"/>
  <c r="I1460" i="2"/>
  <c r="H1460" i="2"/>
  <c r="I1459" i="2"/>
  <c r="H1459" i="2"/>
  <c r="I1458" i="2"/>
  <c r="H1458" i="2"/>
  <c r="I1457" i="2"/>
  <c r="H1457" i="2"/>
  <c r="I1456" i="2"/>
  <c r="H1456" i="2"/>
  <c r="I1455" i="2"/>
  <c r="H1455" i="2"/>
  <c r="I1454" i="2"/>
  <c r="H1454" i="2"/>
  <c r="I1453" i="2"/>
  <c r="H1453" i="2"/>
  <c r="I1452" i="2"/>
  <c r="H1452" i="2"/>
  <c r="I1451" i="2"/>
  <c r="H1451" i="2"/>
  <c r="I1450" i="2"/>
  <c r="H1450" i="2"/>
  <c r="I1449" i="2"/>
  <c r="H1449" i="2"/>
  <c r="I1448" i="2"/>
  <c r="H1448" i="2"/>
  <c r="I1447" i="2"/>
  <c r="H1447" i="2"/>
  <c r="I1446" i="2"/>
  <c r="H1446" i="2"/>
  <c r="I1445" i="2"/>
  <c r="H1445" i="2"/>
  <c r="I1444" i="2"/>
  <c r="H1444" i="2"/>
  <c r="I1443" i="2"/>
  <c r="H1443" i="2"/>
  <c r="I1442" i="2"/>
  <c r="H1442" i="2"/>
  <c r="I1441" i="2"/>
  <c r="H1441" i="2"/>
  <c r="I1440" i="2"/>
  <c r="H1440" i="2"/>
  <c r="I1439" i="2"/>
  <c r="H1439" i="2"/>
  <c r="I1438" i="2"/>
  <c r="H1438" i="2"/>
  <c r="I1437" i="2"/>
  <c r="H1437" i="2"/>
  <c r="I1436" i="2"/>
  <c r="H1436" i="2"/>
  <c r="I1435" i="2"/>
  <c r="H1435" i="2"/>
  <c r="I1434" i="2"/>
  <c r="H1434" i="2"/>
  <c r="I1433" i="2"/>
  <c r="H1433" i="2"/>
  <c r="I1432" i="2"/>
  <c r="H1432" i="2"/>
  <c r="I1431" i="2"/>
  <c r="H1431" i="2"/>
  <c r="I1430" i="2"/>
  <c r="H1430" i="2"/>
  <c r="I1429" i="2"/>
  <c r="H1429" i="2"/>
  <c r="I1428" i="2"/>
  <c r="H1428" i="2"/>
  <c r="I1427" i="2"/>
  <c r="H1427" i="2"/>
  <c r="I1426" i="2"/>
  <c r="H1426" i="2"/>
  <c r="I1425" i="2"/>
  <c r="H1425" i="2"/>
  <c r="I1424" i="2"/>
  <c r="H1424" i="2"/>
  <c r="I1423" i="2"/>
  <c r="H1423" i="2"/>
  <c r="I1422" i="2"/>
  <c r="H1422" i="2"/>
  <c r="I1421" i="2"/>
  <c r="H1421" i="2"/>
  <c r="I1420" i="2"/>
  <c r="H1420" i="2"/>
  <c r="I1419" i="2"/>
  <c r="H1419" i="2"/>
  <c r="I1418" i="2"/>
  <c r="H1418" i="2"/>
  <c r="I1417" i="2"/>
  <c r="H1417" i="2"/>
  <c r="I1416" i="2"/>
  <c r="H1416" i="2"/>
  <c r="I1415" i="2"/>
  <c r="H1415" i="2"/>
  <c r="I1414" i="2"/>
  <c r="H1414" i="2"/>
  <c r="I1413" i="2"/>
  <c r="H1413" i="2"/>
  <c r="I1412" i="2"/>
  <c r="H1412" i="2"/>
  <c r="I1411" i="2"/>
  <c r="H1411" i="2"/>
  <c r="I1410" i="2"/>
  <c r="H1410" i="2"/>
  <c r="I1409" i="2"/>
  <c r="H1409" i="2"/>
  <c r="I1408" i="2"/>
  <c r="H1408" i="2"/>
  <c r="I1407" i="2"/>
  <c r="H1407" i="2"/>
  <c r="I1406" i="2"/>
  <c r="H1406" i="2"/>
  <c r="I1405" i="2"/>
  <c r="H1405" i="2"/>
  <c r="I1404" i="2"/>
  <c r="H1404" i="2"/>
  <c r="I1403" i="2"/>
  <c r="H1403" i="2"/>
  <c r="I1402" i="2"/>
  <c r="H1402" i="2"/>
  <c r="I1401" i="2"/>
  <c r="H1401" i="2"/>
  <c r="I1400" i="2"/>
  <c r="H1400" i="2"/>
  <c r="I1399" i="2"/>
  <c r="H1399" i="2"/>
  <c r="I1398" i="2"/>
  <c r="H1398" i="2"/>
  <c r="I1397" i="2"/>
  <c r="H1397" i="2"/>
  <c r="I1396" i="2"/>
  <c r="H1396" i="2"/>
  <c r="I1395" i="2"/>
  <c r="H1395" i="2"/>
  <c r="I1394" i="2"/>
  <c r="H1394" i="2"/>
  <c r="I1393" i="2"/>
  <c r="H1393" i="2"/>
  <c r="I1392" i="2"/>
  <c r="H1392" i="2"/>
  <c r="I1391" i="2"/>
  <c r="H1391" i="2"/>
  <c r="I1390" i="2"/>
  <c r="H1390" i="2"/>
  <c r="I1389" i="2"/>
  <c r="H1389" i="2"/>
  <c r="I1388" i="2"/>
  <c r="H1388" i="2"/>
  <c r="I1387" i="2"/>
  <c r="H1387" i="2"/>
  <c r="I1386" i="2"/>
  <c r="H1386" i="2"/>
  <c r="I1385" i="2"/>
  <c r="H1385" i="2"/>
  <c r="I1384" i="2"/>
  <c r="H1384" i="2"/>
  <c r="I1383" i="2"/>
  <c r="H1383" i="2"/>
  <c r="I1382" i="2"/>
  <c r="H1382" i="2"/>
  <c r="I1381" i="2"/>
  <c r="H1381" i="2"/>
  <c r="I1380" i="2"/>
  <c r="H1380" i="2"/>
  <c r="I1379" i="2"/>
  <c r="H1379" i="2"/>
  <c r="I1378" i="2"/>
  <c r="H1378" i="2"/>
  <c r="I1377" i="2"/>
  <c r="H1377" i="2"/>
  <c r="I1376" i="2"/>
  <c r="H1376" i="2"/>
  <c r="I1375" i="2"/>
  <c r="H1375" i="2"/>
  <c r="I1374" i="2"/>
  <c r="H1374" i="2"/>
  <c r="I1373" i="2"/>
  <c r="H1373" i="2"/>
  <c r="I1372" i="2"/>
  <c r="H1372" i="2"/>
  <c r="I1371" i="2"/>
  <c r="H1371" i="2"/>
  <c r="I1370" i="2"/>
  <c r="H1370" i="2"/>
  <c r="I1369" i="2"/>
  <c r="H1369" i="2"/>
  <c r="I1368" i="2"/>
  <c r="H1368" i="2"/>
  <c r="I1367" i="2"/>
  <c r="H1367" i="2"/>
  <c r="I1366" i="2"/>
  <c r="H1366" i="2"/>
  <c r="I1365" i="2"/>
  <c r="H1365" i="2"/>
  <c r="I1364" i="2"/>
  <c r="H1364" i="2"/>
  <c r="I1363" i="2"/>
  <c r="H1363" i="2"/>
  <c r="I1362" i="2"/>
  <c r="H1362" i="2"/>
  <c r="I1361" i="2"/>
  <c r="H1361" i="2"/>
  <c r="I1360" i="2"/>
  <c r="H1360" i="2"/>
  <c r="I1359" i="2"/>
  <c r="H1359" i="2"/>
  <c r="I1358" i="2"/>
  <c r="H1358" i="2"/>
  <c r="I1357" i="2"/>
  <c r="H1357" i="2"/>
  <c r="I1356" i="2"/>
  <c r="H1356" i="2"/>
  <c r="I1355" i="2"/>
  <c r="H1355" i="2"/>
  <c r="I1354" i="2"/>
  <c r="H1354" i="2"/>
  <c r="I1353" i="2"/>
  <c r="H1353" i="2"/>
  <c r="I1352" i="2"/>
  <c r="H1352" i="2"/>
  <c r="I1351" i="2"/>
  <c r="H1351" i="2"/>
  <c r="I1350" i="2"/>
  <c r="H1350" i="2"/>
  <c r="I1349" i="2"/>
  <c r="H1349" i="2"/>
  <c r="I1348" i="2"/>
  <c r="H1348" i="2"/>
  <c r="I1347" i="2"/>
  <c r="H1347" i="2"/>
  <c r="I1346" i="2"/>
  <c r="H1346" i="2"/>
  <c r="I1345" i="2"/>
  <c r="H1345" i="2"/>
  <c r="I1344" i="2"/>
  <c r="H1344" i="2"/>
  <c r="I1343" i="2"/>
  <c r="H1343" i="2"/>
  <c r="I1342" i="2"/>
  <c r="H1342" i="2"/>
  <c r="I1341" i="2"/>
  <c r="H1341" i="2"/>
  <c r="I1340" i="2"/>
  <c r="H1340" i="2"/>
  <c r="I1339" i="2"/>
  <c r="H1339" i="2"/>
  <c r="I1338" i="2"/>
  <c r="H1338" i="2"/>
  <c r="I1337" i="2"/>
  <c r="H1337" i="2"/>
  <c r="I1336" i="2"/>
  <c r="H1336" i="2"/>
  <c r="I1335" i="2"/>
  <c r="H1335" i="2"/>
  <c r="I1334" i="2"/>
  <c r="H1334" i="2"/>
  <c r="I1333" i="2"/>
  <c r="H1333" i="2"/>
  <c r="I1332" i="2"/>
  <c r="H1332" i="2"/>
  <c r="I1331" i="2"/>
  <c r="H1331" i="2"/>
  <c r="I1330" i="2"/>
  <c r="H1330" i="2"/>
  <c r="I1329" i="2"/>
  <c r="H1329" i="2"/>
  <c r="I1328" i="2"/>
  <c r="H1328" i="2"/>
  <c r="I1327" i="2"/>
  <c r="H1327" i="2"/>
  <c r="I1326" i="2"/>
  <c r="H1326" i="2"/>
  <c r="I1325" i="2"/>
  <c r="H1325" i="2"/>
  <c r="I1324" i="2"/>
  <c r="H1324" i="2"/>
  <c r="I1323" i="2"/>
  <c r="H1323" i="2"/>
  <c r="I1322" i="2"/>
  <c r="H1322" i="2"/>
  <c r="I1321" i="2"/>
  <c r="H1321" i="2"/>
  <c r="I1320" i="2"/>
  <c r="H1320" i="2"/>
  <c r="I1319" i="2"/>
  <c r="H1319" i="2"/>
  <c r="I1318" i="2"/>
  <c r="H1318" i="2"/>
  <c r="I1317" i="2"/>
  <c r="H1317" i="2"/>
  <c r="I1316" i="2"/>
  <c r="H1316" i="2"/>
  <c r="I1315" i="2"/>
  <c r="H1315" i="2"/>
  <c r="I1314" i="2"/>
  <c r="H1314" i="2"/>
  <c r="I1313" i="2"/>
  <c r="H1313" i="2"/>
  <c r="I1312" i="2"/>
  <c r="H1312" i="2"/>
  <c r="I1311" i="2"/>
  <c r="H1311" i="2"/>
  <c r="I1310" i="2"/>
  <c r="H1310" i="2"/>
  <c r="I1309" i="2"/>
  <c r="H1309" i="2"/>
  <c r="I1308" i="2"/>
  <c r="H1308" i="2"/>
  <c r="I1307" i="2"/>
  <c r="H1307" i="2"/>
  <c r="I1306" i="2"/>
  <c r="H1306" i="2"/>
  <c r="I1305" i="2"/>
  <c r="H1305" i="2"/>
  <c r="I1304" i="2"/>
  <c r="H1304" i="2"/>
  <c r="I1303" i="2"/>
  <c r="H1303" i="2"/>
  <c r="I1302" i="2"/>
  <c r="H1302" i="2"/>
  <c r="I1301" i="2"/>
  <c r="H1301" i="2"/>
  <c r="I1300" i="2"/>
  <c r="H1300" i="2"/>
  <c r="I1299" i="2"/>
  <c r="H1299" i="2"/>
  <c r="I1298" i="2"/>
  <c r="H1298" i="2"/>
  <c r="I1297" i="2"/>
  <c r="H1297" i="2"/>
  <c r="I1296" i="2"/>
  <c r="H1296" i="2"/>
  <c r="I1295" i="2"/>
  <c r="H1295" i="2"/>
  <c r="I1294" i="2"/>
  <c r="H1294" i="2"/>
  <c r="I1293" i="2"/>
  <c r="H1293" i="2"/>
  <c r="I1292" i="2"/>
  <c r="H1292" i="2"/>
  <c r="I1291" i="2"/>
  <c r="H1291" i="2"/>
  <c r="I1290" i="2"/>
  <c r="H1290" i="2"/>
  <c r="I1289" i="2"/>
  <c r="H1289" i="2"/>
  <c r="I1288" i="2"/>
  <c r="H1288" i="2"/>
  <c r="I1287" i="2"/>
  <c r="H1287" i="2"/>
  <c r="I1286" i="2"/>
  <c r="H1286" i="2"/>
  <c r="I1285" i="2"/>
  <c r="H1285" i="2"/>
  <c r="I1284" i="2"/>
  <c r="H1284" i="2"/>
  <c r="I1283" i="2"/>
  <c r="H1283" i="2"/>
  <c r="I1282" i="2"/>
  <c r="H1282" i="2"/>
  <c r="I1281" i="2"/>
  <c r="H1281" i="2"/>
  <c r="I1280" i="2"/>
  <c r="H1280" i="2"/>
  <c r="I1279" i="2"/>
  <c r="H1279" i="2"/>
  <c r="I1278" i="2"/>
  <c r="H1278" i="2"/>
  <c r="I1277" i="2"/>
  <c r="H1277" i="2"/>
  <c r="I1276" i="2"/>
  <c r="H1276" i="2"/>
  <c r="I1275" i="2"/>
  <c r="H1275" i="2"/>
  <c r="I1274" i="2"/>
  <c r="H1274" i="2"/>
  <c r="I1273" i="2"/>
  <c r="H1273" i="2"/>
  <c r="I1272" i="2"/>
  <c r="H1272" i="2"/>
  <c r="I1271" i="2"/>
  <c r="H1271" i="2"/>
  <c r="I1270" i="2"/>
  <c r="H1270" i="2"/>
  <c r="I1269" i="2"/>
  <c r="H1269" i="2"/>
  <c r="I1268" i="2"/>
  <c r="H1268" i="2"/>
  <c r="I1267" i="2"/>
  <c r="H1267" i="2"/>
  <c r="I1266" i="2"/>
  <c r="H1266" i="2"/>
  <c r="I1265" i="2"/>
  <c r="H1265" i="2"/>
  <c r="I1264" i="2"/>
  <c r="H1264" i="2"/>
  <c r="I1263" i="2"/>
  <c r="H1263" i="2"/>
  <c r="I1262" i="2"/>
  <c r="H1262" i="2"/>
  <c r="I1261" i="2"/>
  <c r="H1261" i="2"/>
  <c r="I1260" i="2"/>
  <c r="H1260" i="2"/>
  <c r="I1259" i="2"/>
  <c r="H1259" i="2"/>
  <c r="I1258" i="2"/>
  <c r="H1258" i="2"/>
  <c r="I1257" i="2"/>
  <c r="H1257" i="2"/>
  <c r="I1256" i="2"/>
  <c r="H1256" i="2"/>
  <c r="I1255" i="2"/>
  <c r="H1255" i="2"/>
  <c r="I1254" i="2"/>
  <c r="H1254" i="2"/>
  <c r="I1253" i="2"/>
  <c r="H1253" i="2"/>
  <c r="I1252" i="2"/>
  <c r="H1252" i="2"/>
  <c r="I1251" i="2"/>
  <c r="H1251" i="2"/>
  <c r="I1250" i="2"/>
  <c r="H1250" i="2"/>
  <c r="I1249" i="2"/>
  <c r="H1249" i="2"/>
  <c r="I1248" i="2"/>
  <c r="H1248" i="2"/>
  <c r="I1247" i="2"/>
  <c r="H1247" i="2"/>
  <c r="I1246" i="2"/>
  <c r="H1246" i="2"/>
  <c r="I1245" i="2"/>
  <c r="H1245" i="2"/>
  <c r="I1244" i="2"/>
  <c r="H1244" i="2"/>
  <c r="I1243" i="2"/>
  <c r="H1243" i="2"/>
  <c r="I1242" i="2"/>
  <c r="H1242" i="2"/>
  <c r="I1241" i="2"/>
  <c r="H1241" i="2"/>
  <c r="I1240" i="2"/>
  <c r="H1240" i="2"/>
  <c r="I1239" i="2"/>
  <c r="H1239" i="2"/>
  <c r="I1238" i="2"/>
  <c r="H1238" i="2"/>
  <c r="I1237" i="2"/>
  <c r="H1237" i="2"/>
  <c r="I1236" i="2"/>
  <c r="H1236" i="2"/>
  <c r="I1235" i="2"/>
  <c r="H1235" i="2"/>
  <c r="I1234" i="2"/>
  <c r="H1234" i="2"/>
  <c r="I1233" i="2"/>
  <c r="H1233" i="2"/>
  <c r="I1232" i="2"/>
  <c r="H1232" i="2"/>
  <c r="I1231" i="2"/>
  <c r="H1231" i="2"/>
  <c r="I1230" i="2"/>
  <c r="H1230" i="2"/>
  <c r="I1229" i="2"/>
  <c r="H1229" i="2"/>
  <c r="I1228" i="2"/>
  <c r="H1228" i="2"/>
  <c r="I1227" i="2"/>
  <c r="H1227" i="2"/>
  <c r="I1226" i="2"/>
  <c r="H1226" i="2"/>
  <c r="I1225" i="2"/>
  <c r="H1225" i="2"/>
  <c r="I1224" i="2"/>
  <c r="H1224" i="2"/>
  <c r="I1223" i="2"/>
  <c r="H1223" i="2"/>
  <c r="I1222" i="2"/>
  <c r="H1222" i="2"/>
  <c r="I1221" i="2"/>
  <c r="H1221" i="2"/>
  <c r="I1220" i="2"/>
  <c r="H1220" i="2"/>
  <c r="I1219" i="2"/>
  <c r="H1219" i="2"/>
  <c r="I1218" i="2"/>
  <c r="H1218" i="2"/>
  <c r="I1217" i="2"/>
  <c r="H1217" i="2"/>
  <c r="I1216" i="2"/>
  <c r="H1216" i="2"/>
  <c r="I1215" i="2"/>
  <c r="H1215" i="2"/>
  <c r="I1214" i="2"/>
  <c r="H1214" i="2"/>
  <c r="I1213" i="2"/>
  <c r="H1213" i="2"/>
  <c r="I1212" i="2"/>
  <c r="H1212" i="2"/>
  <c r="I1211" i="2"/>
  <c r="H1211" i="2"/>
  <c r="I1210" i="2"/>
  <c r="H1210" i="2"/>
  <c r="I1209" i="2"/>
  <c r="H1209" i="2"/>
  <c r="I1208" i="2"/>
  <c r="H1208" i="2"/>
  <c r="I1207" i="2"/>
  <c r="H1207" i="2"/>
  <c r="I1206" i="2"/>
  <c r="H1206" i="2"/>
  <c r="I1205" i="2"/>
  <c r="H1205" i="2"/>
  <c r="I1204" i="2"/>
  <c r="H1204" i="2"/>
  <c r="I1203" i="2"/>
  <c r="H1203" i="2"/>
  <c r="I1202" i="2"/>
  <c r="H1202" i="2"/>
  <c r="I1201" i="2"/>
  <c r="H1201" i="2"/>
  <c r="I1200" i="2"/>
  <c r="H1200" i="2"/>
  <c r="I1199" i="2"/>
  <c r="H1199" i="2"/>
  <c r="I1198" i="2"/>
  <c r="H1198" i="2"/>
  <c r="I1197" i="2"/>
  <c r="H1197" i="2"/>
  <c r="I1196" i="2"/>
  <c r="H1196" i="2"/>
  <c r="I1195" i="2"/>
  <c r="H1195" i="2"/>
  <c r="I1194" i="2"/>
  <c r="H1194" i="2"/>
  <c r="I1193" i="2"/>
  <c r="H1193" i="2"/>
  <c r="I1192" i="2"/>
  <c r="H1192" i="2"/>
  <c r="I1191" i="2"/>
  <c r="H1191" i="2"/>
  <c r="I1190" i="2"/>
  <c r="H1190" i="2"/>
  <c r="I1189" i="2"/>
  <c r="H1189" i="2"/>
  <c r="I1188" i="2"/>
  <c r="H1188" i="2"/>
  <c r="I1187" i="2"/>
  <c r="H1187" i="2"/>
  <c r="I1186" i="2"/>
  <c r="H1186" i="2"/>
  <c r="I1185" i="2"/>
  <c r="H1185" i="2"/>
  <c r="I1184" i="2"/>
  <c r="H1184" i="2"/>
  <c r="I1183" i="2"/>
  <c r="H1183" i="2"/>
  <c r="I1182" i="2"/>
  <c r="H1182" i="2"/>
  <c r="I1181" i="2"/>
  <c r="H1181" i="2"/>
  <c r="I1180" i="2"/>
  <c r="H1180" i="2"/>
  <c r="I1179" i="2"/>
  <c r="H1179" i="2"/>
  <c r="I1178" i="2"/>
  <c r="H1178" i="2"/>
  <c r="I1177" i="2"/>
  <c r="H1177" i="2"/>
  <c r="I1176" i="2"/>
  <c r="H1176" i="2"/>
  <c r="I1175" i="2"/>
  <c r="H1175" i="2"/>
  <c r="I1174" i="2"/>
  <c r="H1174" i="2"/>
  <c r="I1173" i="2"/>
  <c r="H1173" i="2"/>
  <c r="I1172" i="2"/>
  <c r="H1172" i="2"/>
  <c r="I1171" i="2"/>
  <c r="H1171" i="2"/>
  <c r="I1170" i="2"/>
  <c r="H1170" i="2"/>
  <c r="I1169" i="2"/>
  <c r="H1169" i="2"/>
  <c r="I1168" i="2"/>
  <c r="H1168" i="2"/>
  <c r="I1167" i="2"/>
  <c r="H1167" i="2"/>
  <c r="I1166" i="2"/>
  <c r="H1166" i="2"/>
  <c r="I1165" i="2"/>
  <c r="H1165" i="2"/>
  <c r="I1164" i="2"/>
  <c r="H1164" i="2"/>
  <c r="I1163" i="2"/>
  <c r="H1163" i="2"/>
  <c r="I1162" i="2"/>
  <c r="H1162" i="2"/>
  <c r="I1161" i="2"/>
  <c r="H1161" i="2"/>
  <c r="I1160" i="2"/>
  <c r="H1160" i="2"/>
  <c r="I1159" i="2"/>
  <c r="H1159" i="2"/>
  <c r="I1158" i="2"/>
  <c r="H1158" i="2"/>
  <c r="I1157" i="2"/>
  <c r="H1157" i="2"/>
  <c r="I1156" i="2"/>
  <c r="H1156" i="2"/>
  <c r="I1155" i="2"/>
  <c r="H1155" i="2"/>
  <c r="I1154" i="2"/>
  <c r="H1154" i="2"/>
  <c r="I1153" i="2"/>
  <c r="H1153" i="2"/>
  <c r="I1152" i="2"/>
  <c r="H1152" i="2"/>
  <c r="I1151" i="2"/>
  <c r="H1151" i="2"/>
  <c r="I1150" i="2"/>
  <c r="H1150" i="2"/>
  <c r="I1149" i="2"/>
  <c r="H1149" i="2"/>
  <c r="I1148" i="2"/>
  <c r="H1148" i="2"/>
  <c r="I1147" i="2"/>
  <c r="H1147" i="2"/>
  <c r="I1146" i="2"/>
  <c r="H1146" i="2"/>
  <c r="I1145" i="2"/>
  <c r="H1145" i="2"/>
  <c r="I1144" i="2"/>
  <c r="H1144" i="2"/>
  <c r="I1143" i="2"/>
  <c r="H1143" i="2"/>
  <c r="I1142" i="2"/>
  <c r="H1142" i="2"/>
  <c r="I1141" i="2"/>
  <c r="H1141" i="2"/>
  <c r="I1140" i="2"/>
  <c r="H1140" i="2"/>
  <c r="I1139" i="2"/>
  <c r="H1139" i="2"/>
  <c r="I1138" i="2"/>
  <c r="H1138" i="2"/>
  <c r="I1137" i="2"/>
  <c r="H1137" i="2"/>
  <c r="I1136" i="2"/>
  <c r="H1136" i="2"/>
  <c r="I1135" i="2"/>
  <c r="H1135" i="2"/>
  <c r="I1134" i="2"/>
  <c r="H1134" i="2"/>
  <c r="I1133" i="2"/>
  <c r="H1133" i="2"/>
  <c r="I1132" i="2"/>
  <c r="H1132" i="2"/>
  <c r="I1131" i="2"/>
  <c r="H1131" i="2"/>
  <c r="I1130" i="2"/>
  <c r="H1130" i="2"/>
  <c r="I1129" i="2"/>
  <c r="H1129" i="2"/>
  <c r="I1128" i="2"/>
  <c r="H1128" i="2"/>
  <c r="I1127" i="2"/>
  <c r="H1127" i="2"/>
  <c r="I1126" i="2"/>
  <c r="H1126" i="2"/>
  <c r="I1125" i="2"/>
  <c r="H1125" i="2"/>
  <c r="I1124" i="2"/>
  <c r="H1124" i="2"/>
  <c r="I1123" i="2"/>
  <c r="H1123" i="2"/>
  <c r="I1122" i="2"/>
  <c r="H1122" i="2"/>
  <c r="I1121" i="2"/>
  <c r="H1121" i="2"/>
  <c r="I1120" i="2"/>
  <c r="H1120" i="2"/>
  <c r="I1119" i="2"/>
  <c r="H1119" i="2"/>
  <c r="I1118" i="2"/>
  <c r="H1118" i="2"/>
  <c r="I1117" i="2"/>
  <c r="H1117" i="2"/>
  <c r="I1116" i="2"/>
  <c r="H1116" i="2"/>
  <c r="I1115" i="2"/>
  <c r="H1115" i="2"/>
  <c r="I1114" i="2"/>
  <c r="H1114" i="2"/>
  <c r="I1113" i="2"/>
  <c r="H1113" i="2"/>
  <c r="I1112" i="2"/>
  <c r="H1112" i="2"/>
  <c r="I1111" i="2"/>
  <c r="H1111" i="2"/>
  <c r="I1110" i="2"/>
  <c r="H1110" i="2"/>
  <c r="I1109" i="2"/>
  <c r="H1109" i="2"/>
  <c r="I1108" i="2"/>
  <c r="H1108" i="2"/>
  <c r="I1107" i="2"/>
  <c r="H1107" i="2"/>
  <c r="I1106" i="2"/>
  <c r="H1106" i="2"/>
  <c r="I1105" i="2"/>
  <c r="H1105" i="2"/>
  <c r="I1104" i="2"/>
  <c r="H1104" i="2"/>
  <c r="I1103" i="2"/>
  <c r="H1103" i="2"/>
  <c r="I1102" i="2"/>
  <c r="H1102" i="2"/>
  <c r="I1101" i="2"/>
  <c r="H1101" i="2"/>
  <c r="I1100" i="2"/>
  <c r="H1100" i="2"/>
  <c r="I1099" i="2"/>
  <c r="H1099" i="2"/>
  <c r="I1098" i="2"/>
  <c r="H1098" i="2"/>
  <c r="I1097" i="2"/>
  <c r="H1097" i="2"/>
  <c r="I1096" i="2"/>
  <c r="H1096" i="2"/>
  <c r="I1095" i="2"/>
  <c r="H1095" i="2"/>
  <c r="I1094" i="2"/>
  <c r="H1094" i="2"/>
  <c r="I1093" i="2"/>
  <c r="H1093" i="2"/>
  <c r="I1092" i="2"/>
  <c r="H1092" i="2"/>
  <c r="I1091" i="2"/>
  <c r="H1091" i="2"/>
  <c r="I1090" i="2"/>
  <c r="H1090" i="2"/>
  <c r="I1089" i="2"/>
  <c r="H1089" i="2"/>
  <c r="I1088" i="2"/>
  <c r="H1088" i="2"/>
  <c r="I1087" i="2"/>
  <c r="H1087" i="2"/>
  <c r="I1086" i="2"/>
  <c r="H1086" i="2"/>
  <c r="I1085" i="2"/>
  <c r="H1085" i="2"/>
  <c r="I1084" i="2"/>
  <c r="H1084" i="2"/>
  <c r="I1083" i="2"/>
  <c r="H1083" i="2"/>
  <c r="I1082" i="2"/>
  <c r="H1082" i="2"/>
  <c r="I1081" i="2"/>
  <c r="H1081" i="2"/>
  <c r="I1080" i="2"/>
  <c r="H1080" i="2"/>
  <c r="I1079" i="2"/>
  <c r="H1079" i="2"/>
  <c r="I1078" i="2"/>
  <c r="H1078" i="2"/>
  <c r="I1077" i="2"/>
  <c r="H1077" i="2"/>
  <c r="I1076" i="2"/>
  <c r="H1076" i="2"/>
  <c r="I1075" i="2"/>
  <c r="H1075" i="2"/>
  <c r="I1074" i="2"/>
  <c r="H1074" i="2"/>
  <c r="I1073" i="2"/>
  <c r="H1073" i="2"/>
  <c r="I1072" i="2"/>
  <c r="H1072" i="2"/>
  <c r="I1071" i="2"/>
  <c r="H1071" i="2"/>
  <c r="I1070" i="2"/>
  <c r="H1070" i="2"/>
  <c r="I1069" i="2"/>
  <c r="H1069" i="2"/>
  <c r="I1068" i="2"/>
  <c r="H1068" i="2"/>
  <c r="I1067" i="2"/>
  <c r="H1067" i="2"/>
  <c r="I1066" i="2"/>
  <c r="H1066" i="2"/>
  <c r="I1065" i="2"/>
  <c r="H1065" i="2"/>
  <c r="I1064" i="2"/>
  <c r="H1064" i="2"/>
  <c r="I1063" i="2"/>
  <c r="H1063" i="2"/>
  <c r="I1062" i="2"/>
  <c r="H1062" i="2"/>
  <c r="I1061" i="2"/>
  <c r="H1061" i="2"/>
  <c r="I1060" i="2"/>
  <c r="H1060" i="2"/>
  <c r="I1059" i="2"/>
  <c r="H1059" i="2"/>
  <c r="I1058" i="2"/>
  <c r="H1058" i="2"/>
  <c r="I1057" i="2"/>
  <c r="H1057" i="2"/>
  <c r="I1056" i="2"/>
  <c r="H1056" i="2"/>
  <c r="I1055" i="2"/>
  <c r="H1055" i="2"/>
  <c r="I1054" i="2"/>
  <c r="H1054" i="2"/>
  <c r="I1053" i="2"/>
  <c r="H1053" i="2"/>
  <c r="I1052" i="2"/>
  <c r="H1052" i="2"/>
  <c r="I1051" i="2"/>
  <c r="H1051" i="2"/>
  <c r="I1050" i="2"/>
  <c r="H1050" i="2"/>
  <c r="I1049" i="2"/>
  <c r="H1049" i="2"/>
  <c r="I1048" i="2"/>
  <c r="H1048" i="2"/>
  <c r="I1047" i="2"/>
  <c r="H1047" i="2"/>
  <c r="I1046" i="2"/>
  <c r="H1046" i="2"/>
  <c r="I1045" i="2"/>
  <c r="H1045" i="2"/>
  <c r="I1044" i="2"/>
  <c r="H1044" i="2"/>
  <c r="I1043" i="2"/>
  <c r="H1043" i="2"/>
  <c r="I1042" i="2"/>
  <c r="H1042" i="2"/>
  <c r="I1041" i="2"/>
  <c r="H1041" i="2"/>
  <c r="I1040" i="2"/>
  <c r="H1040" i="2"/>
  <c r="I1039" i="2"/>
  <c r="H1039" i="2"/>
  <c r="I1038" i="2"/>
  <c r="H1038" i="2"/>
  <c r="I1037" i="2"/>
  <c r="H1037" i="2"/>
  <c r="I1036" i="2"/>
  <c r="H1036" i="2"/>
  <c r="I1035" i="2"/>
  <c r="H1035" i="2"/>
  <c r="I1034" i="2"/>
  <c r="H1034" i="2"/>
  <c r="I1033" i="2"/>
  <c r="H1033" i="2"/>
  <c r="I1032" i="2"/>
  <c r="H1032" i="2"/>
  <c r="I1031" i="2"/>
  <c r="H1031" i="2"/>
  <c r="I1030" i="2"/>
  <c r="H1030" i="2"/>
  <c r="I1029" i="2"/>
  <c r="H1029" i="2"/>
  <c r="I1028" i="2"/>
  <c r="H1028" i="2"/>
  <c r="I1027" i="2"/>
  <c r="H1027" i="2"/>
  <c r="I1026" i="2"/>
  <c r="H1026" i="2"/>
  <c r="I1025" i="2"/>
  <c r="H1025" i="2"/>
  <c r="I1024" i="2"/>
  <c r="H1024" i="2"/>
  <c r="I1023" i="2"/>
  <c r="H1023" i="2"/>
  <c r="I1022" i="2"/>
  <c r="H1022" i="2"/>
  <c r="I1021" i="2"/>
  <c r="H1021" i="2"/>
  <c r="I1020" i="2"/>
  <c r="H1020" i="2"/>
  <c r="I1019" i="2"/>
  <c r="H1019" i="2"/>
  <c r="I1018" i="2"/>
  <c r="H1018" i="2"/>
  <c r="I1017" i="2"/>
  <c r="H1017" i="2"/>
  <c r="I1016" i="2"/>
  <c r="H1016" i="2"/>
  <c r="I1015" i="2"/>
  <c r="H1015" i="2"/>
  <c r="I1014" i="2"/>
  <c r="H1014" i="2"/>
  <c r="I1013" i="2"/>
  <c r="H1013" i="2"/>
  <c r="I1012" i="2"/>
  <c r="H1012" i="2"/>
  <c r="I1011" i="2"/>
  <c r="H1011" i="2"/>
  <c r="I1010" i="2"/>
  <c r="H1010" i="2"/>
  <c r="I1009" i="2"/>
  <c r="H1009" i="2"/>
  <c r="I1008" i="2"/>
  <c r="H1008" i="2"/>
  <c r="I1007" i="2"/>
  <c r="H1007" i="2"/>
  <c r="I1006" i="2"/>
  <c r="H1006" i="2"/>
  <c r="I1005" i="2"/>
  <c r="H1005" i="2"/>
  <c r="I1004" i="2"/>
  <c r="H1004" i="2"/>
  <c r="I1003" i="2"/>
  <c r="H1003" i="2"/>
  <c r="I1002" i="2"/>
  <c r="H1002" i="2"/>
  <c r="I1001" i="2"/>
  <c r="H1001" i="2"/>
  <c r="I1000" i="2"/>
  <c r="H1000" i="2"/>
  <c r="I999" i="2"/>
  <c r="H999" i="2"/>
  <c r="I998" i="2"/>
  <c r="H998" i="2"/>
  <c r="I997" i="2"/>
  <c r="H997" i="2"/>
  <c r="I996" i="2"/>
  <c r="H996" i="2"/>
  <c r="I995" i="2"/>
  <c r="H995" i="2"/>
  <c r="I994" i="2"/>
  <c r="H994" i="2"/>
  <c r="I993" i="2"/>
  <c r="H993" i="2"/>
  <c r="I992" i="2"/>
  <c r="H992" i="2"/>
  <c r="I991" i="2"/>
  <c r="H991" i="2"/>
  <c r="I990" i="2"/>
  <c r="H990" i="2"/>
  <c r="I989" i="2"/>
  <c r="H989" i="2"/>
  <c r="I988" i="2"/>
  <c r="H988" i="2"/>
  <c r="I987" i="2"/>
  <c r="H987" i="2"/>
  <c r="I986" i="2"/>
  <c r="H986" i="2"/>
  <c r="I985" i="2"/>
  <c r="H985" i="2"/>
  <c r="I984" i="2"/>
  <c r="H984" i="2"/>
  <c r="I983" i="2"/>
  <c r="H983" i="2"/>
  <c r="I982" i="2"/>
  <c r="H982" i="2"/>
  <c r="I981" i="2"/>
  <c r="H981" i="2"/>
  <c r="I980" i="2"/>
  <c r="H980" i="2"/>
  <c r="I979" i="2"/>
  <c r="H979" i="2"/>
  <c r="I978" i="2"/>
  <c r="H978" i="2"/>
  <c r="I977" i="2"/>
  <c r="H977" i="2"/>
  <c r="I976" i="2"/>
  <c r="H976" i="2"/>
  <c r="I975" i="2"/>
  <c r="H975" i="2"/>
  <c r="I974" i="2"/>
  <c r="H974" i="2"/>
  <c r="I973" i="2"/>
  <c r="H973" i="2"/>
  <c r="I972" i="2"/>
  <c r="H972" i="2"/>
  <c r="I971" i="2"/>
  <c r="H971" i="2"/>
  <c r="I970" i="2"/>
  <c r="H970" i="2"/>
  <c r="I969" i="2"/>
  <c r="H969" i="2"/>
  <c r="I968" i="2"/>
  <c r="H968" i="2"/>
  <c r="I967" i="2"/>
  <c r="H967" i="2"/>
  <c r="I966" i="2"/>
  <c r="H966" i="2"/>
  <c r="I965" i="2"/>
  <c r="H965" i="2"/>
  <c r="I964" i="2"/>
  <c r="H964" i="2"/>
  <c r="I963" i="2"/>
  <c r="H963" i="2"/>
  <c r="I962" i="2"/>
  <c r="H962" i="2"/>
  <c r="I961" i="2"/>
  <c r="H961" i="2"/>
  <c r="I960" i="2"/>
  <c r="H960" i="2"/>
  <c r="I959" i="2"/>
  <c r="H959" i="2"/>
  <c r="I958" i="2"/>
  <c r="H958" i="2"/>
  <c r="I957" i="2"/>
  <c r="H957" i="2"/>
  <c r="I956" i="2"/>
  <c r="H956" i="2"/>
  <c r="I955" i="2"/>
  <c r="H955" i="2"/>
  <c r="I954" i="2"/>
  <c r="H954" i="2"/>
  <c r="I953" i="2"/>
  <c r="H953" i="2"/>
  <c r="I952" i="2"/>
  <c r="H952" i="2"/>
  <c r="I951" i="2"/>
  <c r="H951" i="2"/>
  <c r="I950" i="2"/>
  <c r="H950" i="2"/>
  <c r="I949" i="2"/>
  <c r="H949" i="2"/>
  <c r="I948" i="2"/>
  <c r="H948" i="2"/>
  <c r="I947" i="2"/>
  <c r="H947" i="2"/>
  <c r="I946" i="2"/>
  <c r="H946" i="2"/>
  <c r="I945" i="2"/>
  <c r="H945" i="2"/>
  <c r="I944" i="2"/>
  <c r="H944" i="2"/>
  <c r="I943" i="2"/>
  <c r="H943" i="2"/>
  <c r="I942" i="2"/>
  <c r="H942" i="2"/>
  <c r="I941" i="2"/>
  <c r="H941" i="2"/>
  <c r="I940" i="2"/>
  <c r="H940" i="2"/>
  <c r="I939" i="2"/>
  <c r="H939" i="2"/>
  <c r="I938" i="2"/>
  <c r="H938" i="2"/>
  <c r="I937" i="2"/>
  <c r="H937" i="2"/>
  <c r="I936" i="2"/>
  <c r="H936" i="2"/>
  <c r="I935" i="2"/>
  <c r="H935" i="2"/>
  <c r="I934" i="2"/>
  <c r="H934" i="2"/>
  <c r="I933" i="2"/>
  <c r="H933" i="2"/>
  <c r="I932" i="2"/>
  <c r="H932" i="2"/>
  <c r="I931" i="2"/>
  <c r="H931" i="2"/>
  <c r="I930" i="2"/>
  <c r="H930" i="2"/>
  <c r="I929" i="2"/>
  <c r="H929" i="2"/>
  <c r="I928" i="2"/>
  <c r="H928" i="2"/>
  <c r="I927" i="2"/>
  <c r="H927" i="2"/>
  <c r="I926" i="2"/>
  <c r="H926" i="2"/>
  <c r="I925" i="2"/>
  <c r="H925" i="2"/>
  <c r="I924" i="2"/>
  <c r="H924" i="2"/>
  <c r="I923" i="2"/>
  <c r="H923" i="2"/>
  <c r="I922" i="2"/>
  <c r="H922" i="2"/>
  <c r="I921" i="2"/>
  <c r="H921" i="2"/>
  <c r="I920" i="2"/>
  <c r="H920" i="2"/>
  <c r="I919" i="2"/>
  <c r="H919" i="2"/>
  <c r="I918" i="2"/>
  <c r="H918" i="2"/>
  <c r="I917" i="2"/>
  <c r="H917" i="2"/>
  <c r="I916" i="2"/>
  <c r="H916" i="2"/>
  <c r="I915" i="2"/>
  <c r="H915" i="2"/>
  <c r="I914" i="2"/>
  <c r="H914" i="2"/>
  <c r="I913" i="2"/>
  <c r="H913" i="2"/>
  <c r="I912" i="2"/>
  <c r="H912" i="2"/>
  <c r="I911" i="2"/>
  <c r="H911" i="2"/>
  <c r="I910" i="2"/>
  <c r="H910" i="2"/>
  <c r="I909" i="2"/>
  <c r="H909" i="2"/>
  <c r="I908" i="2"/>
  <c r="H908" i="2"/>
  <c r="I907" i="2"/>
  <c r="H907" i="2"/>
  <c r="I906" i="2"/>
  <c r="H906" i="2"/>
  <c r="I905" i="2"/>
  <c r="H905" i="2"/>
  <c r="I904" i="2"/>
  <c r="H904" i="2"/>
  <c r="I903" i="2"/>
  <c r="H903" i="2"/>
  <c r="I902" i="2"/>
  <c r="H902" i="2"/>
  <c r="I901" i="2"/>
  <c r="H901" i="2"/>
  <c r="I900" i="2"/>
  <c r="H900" i="2"/>
  <c r="I899" i="2"/>
  <c r="H899" i="2"/>
  <c r="I898" i="2"/>
  <c r="H898" i="2"/>
  <c r="I897" i="2"/>
  <c r="H897" i="2"/>
  <c r="I896" i="2"/>
  <c r="H896" i="2"/>
  <c r="I895" i="2"/>
  <c r="H895" i="2"/>
  <c r="I894" i="2"/>
  <c r="H894" i="2"/>
  <c r="I893" i="2"/>
  <c r="H893" i="2"/>
  <c r="I892" i="2"/>
  <c r="H892" i="2"/>
  <c r="I891" i="2"/>
  <c r="H891" i="2"/>
  <c r="I890" i="2"/>
  <c r="H890" i="2"/>
  <c r="I889" i="2"/>
  <c r="H889" i="2"/>
  <c r="I888" i="2"/>
  <c r="H888" i="2"/>
  <c r="I887" i="2"/>
  <c r="H887" i="2"/>
  <c r="I886" i="2"/>
  <c r="H886" i="2"/>
  <c r="I885" i="2"/>
  <c r="H885" i="2"/>
  <c r="I884" i="2"/>
  <c r="H884" i="2"/>
  <c r="I883" i="2"/>
  <c r="H883" i="2"/>
  <c r="I882" i="2"/>
  <c r="H882" i="2"/>
  <c r="I881" i="2"/>
  <c r="H881" i="2"/>
  <c r="I880" i="2"/>
  <c r="H880" i="2"/>
  <c r="I879" i="2"/>
  <c r="H879" i="2"/>
  <c r="I878" i="2"/>
  <c r="H878" i="2"/>
  <c r="I877" i="2"/>
  <c r="H877" i="2"/>
  <c r="I876" i="2"/>
  <c r="H876" i="2"/>
  <c r="I875" i="2"/>
  <c r="H875" i="2"/>
  <c r="I874" i="2"/>
  <c r="H874" i="2"/>
  <c r="I873" i="2"/>
  <c r="H873" i="2"/>
  <c r="I872" i="2"/>
  <c r="H872" i="2"/>
  <c r="I871" i="2"/>
  <c r="H871" i="2"/>
  <c r="I870" i="2"/>
  <c r="H870" i="2"/>
  <c r="I869" i="2"/>
  <c r="H869" i="2"/>
  <c r="I868" i="2"/>
  <c r="H868" i="2"/>
  <c r="I867" i="2"/>
  <c r="H867" i="2"/>
  <c r="I866" i="2"/>
  <c r="H866" i="2"/>
  <c r="I865" i="2"/>
  <c r="H865" i="2"/>
  <c r="I864" i="2"/>
  <c r="H864" i="2"/>
  <c r="I863" i="2"/>
  <c r="H863" i="2"/>
  <c r="I862" i="2"/>
  <c r="H862" i="2"/>
  <c r="I861" i="2"/>
  <c r="H861" i="2"/>
  <c r="I860" i="2"/>
  <c r="H860" i="2"/>
  <c r="I859" i="2"/>
  <c r="H859" i="2"/>
  <c r="I858" i="2"/>
  <c r="H858" i="2"/>
  <c r="I857" i="2"/>
  <c r="H857" i="2"/>
  <c r="I856" i="2"/>
  <c r="H856" i="2"/>
  <c r="I855" i="2"/>
  <c r="H855" i="2"/>
  <c r="I854" i="2"/>
  <c r="H854" i="2"/>
  <c r="I853" i="2"/>
  <c r="H853" i="2"/>
  <c r="I852" i="2"/>
  <c r="H852" i="2"/>
  <c r="I851" i="2"/>
  <c r="H851" i="2"/>
  <c r="I850" i="2"/>
  <c r="H850" i="2"/>
  <c r="I849" i="2"/>
  <c r="H849" i="2"/>
  <c r="I848" i="2"/>
  <c r="H848" i="2"/>
  <c r="I847" i="2"/>
  <c r="H847" i="2"/>
  <c r="I846" i="2"/>
  <c r="H846" i="2"/>
  <c r="I845" i="2"/>
  <c r="H845" i="2"/>
  <c r="I844" i="2"/>
  <c r="H844" i="2"/>
  <c r="I843" i="2"/>
  <c r="H843" i="2"/>
  <c r="I842" i="2"/>
  <c r="H842" i="2"/>
  <c r="I841" i="2"/>
  <c r="H841" i="2"/>
  <c r="I840" i="2"/>
  <c r="H840" i="2"/>
  <c r="I839" i="2"/>
  <c r="H839" i="2"/>
  <c r="I838" i="2"/>
  <c r="H838" i="2"/>
  <c r="I837" i="2"/>
  <c r="H837" i="2"/>
  <c r="I836" i="2"/>
  <c r="H836" i="2"/>
  <c r="I835" i="2"/>
  <c r="H835" i="2"/>
  <c r="I834" i="2"/>
  <c r="H834" i="2"/>
  <c r="I833" i="2"/>
  <c r="H833" i="2"/>
  <c r="I832" i="2"/>
  <c r="H832" i="2"/>
  <c r="I831" i="2"/>
  <c r="H831" i="2"/>
  <c r="I830" i="2"/>
  <c r="H830" i="2"/>
  <c r="I829" i="2"/>
  <c r="H829" i="2"/>
  <c r="I828" i="2"/>
  <c r="H828" i="2"/>
  <c r="I827" i="2"/>
  <c r="H827" i="2"/>
  <c r="I826" i="2"/>
  <c r="H826" i="2"/>
  <c r="I825" i="2"/>
  <c r="H825" i="2"/>
  <c r="I824" i="2"/>
  <c r="H824" i="2"/>
  <c r="I823" i="2"/>
  <c r="H823" i="2"/>
  <c r="I822" i="2"/>
  <c r="H822" i="2"/>
  <c r="I821" i="2"/>
  <c r="H821" i="2"/>
  <c r="I820" i="2"/>
  <c r="H820" i="2"/>
  <c r="I819" i="2"/>
  <c r="H819" i="2"/>
  <c r="I818" i="2"/>
  <c r="H818" i="2"/>
  <c r="I817" i="2"/>
  <c r="H817" i="2"/>
  <c r="I816" i="2"/>
  <c r="H816" i="2"/>
  <c r="I815" i="2"/>
  <c r="H815" i="2"/>
  <c r="I814" i="2"/>
  <c r="H814" i="2"/>
  <c r="I813" i="2"/>
  <c r="H813" i="2"/>
  <c r="I812" i="2"/>
  <c r="H812" i="2"/>
  <c r="I811" i="2"/>
  <c r="H811" i="2"/>
  <c r="I810" i="2"/>
  <c r="H810" i="2"/>
  <c r="I809" i="2"/>
  <c r="H809" i="2"/>
  <c r="I808" i="2"/>
  <c r="H808" i="2"/>
  <c r="I807" i="2"/>
  <c r="H807" i="2"/>
  <c r="I806" i="2"/>
  <c r="H806" i="2"/>
  <c r="I805" i="2"/>
  <c r="H805" i="2"/>
  <c r="I804" i="2"/>
  <c r="H804" i="2"/>
  <c r="I803" i="2"/>
  <c r="H803" i="2"/>
  <c r="I802" i="2"/>
  <c r="H802" i="2"/>
  <c r="I801" i="2"/>
  <c r="H801" i="2"/>
  <c r="I800" i="2"/>
  <c r="H800" i="2"/>
  <c r="I799" i="2"/>
  <c r="H799" i="2"/>
  <c r="I798" i="2"/>
  <c r="H798" i="2"/>
  <c r="I797" i="2"/>
  <c r="H797" i="2"/>
  <c r="I796" i="2"/>
  <c r="H796" i="2"/>
  <c r="I795" i="2"/>
  <c r="H795" i="2"/>
  <c r="I794" i="2"/>
  <c r="H794" i="2"/>
  <c r="I793" i="2"/>
  <c r="H793" i="2"/>
  <c r="I792" i="2"/>
  <c r="H792" i="2"/>
  <c r="I791" i="2"/>
  <c r="H791" i="2"/>
  <c r="I790" i="2"/>
  <c r="H790" i="2"/>
  <c r="I789" i="2"/>
  <c r="H789" i="2"/>
  <c r="I788" i="2"/>
  <c r="H788" i="2"/>
  <c r="I787" i="2"/>
  <c r="H787" i="2"/>
  <c r="I786" i="2"/>
  <c r="H786" i="2"/>
  <c r="I785" i="2"/>
  <c r="H785" i="2"/>
  <c r="I784" i="2"/>
  <c r="H784" i="2"/>
  <c r="I783" i="2"/>
  <c r="H783" i="2"/>
  <c r="I782" i="2"/>
  <c r="H782" i="2"/>
  <c r="I781" i="2"/>
  <c r="H781" i="2"/>
  <c r="I780" i="2"/>
  <c r="H780" i="2"/>
  <c r="I779" i="2"/>
  <c r="H779" i="2"/>
  <c r="I778" i="2"/>
  <c r="H778" i="2"/>
  <c r="I777" i="2"/>
  <c r="H777" i="2"/>
  <c r="I776" i="2"/>
  <c r="H776" i="2"/>
  <c r="I775" i="2"/>
  <c r="H775" i="2"/>
  <c r="I774" i="2"/>
  <c r="H774" i="2"/>
  <c r="I773" i="2"/>
  <c r="H773" i="2"/>
  <c r="I772" i="2"/>
  <c r="H772" i="2"/>
  <c r="I771" i="2"/>
  <c r="H771" i="2"/>
  <c r="I770" i="2"/>
  <c r="H770" i="2"/>
  <c r="I769" i="2"/>
  <c r="H769" i="2"/>
  <c r="I768" i="2"/>
  <c r="H768" i="2"/>
  <c r="I767" i="2"/>
  <c r="H767" i="2"/>
  <c r="I766" i="2"/>
  <c r="H766" i="2"/>
  <c r="I765" i="2"/>
  <c r="H765" i="2"/>
  <c r="I764" i="2"/>
  <c r="H764" i="2"/>
  <c r="I763" i="2"/>
  <c r="H763" i="2"/>
  <c r="I762" i="2"/>
  <c r="H762" i="2"/>
  <c r="I761" i="2"/>
  <c r="H761" i="2"/>
  <c r="I760" i="2"/>
  <c r="H760" i="2"/>
  <c r="I759" i="2"/>
  <c r="H759" i="2"/>
  <c r="I758" i="2"/>
  <c r="H758" i="2"/>
  <c r="I757" i="2"/>
  <c r="H757" i="2"/>
  <c r="I756" i="2"/>
  <c r="H756" i="2"/>
  <c r="I755" i="2"/>
  <c r="H755" i="2"/>
  <c r="I754" i="2"/>
  <c r="H754" i="2"/>
  <c r="I753" i="2"/>
  <c r="H753" i="2"/>
  <c r="I752" i="2"/>
  <c r="H752" i="2"/>
  <c r="I751" i="2"/>
  <c r="H751" i="2"/>
  <c r="I750" i="2"/>
  <c r="H750" i="2"/>
  <c r="I749" i="2"/>
  <c r="H749" i="2"/>
  <c r="I748" i="2"/>
  <c r="H748" i="2"/>
  <c r="I747" i="2"/>
  <c r="H747" i="2"/>
  <c r="I746" i="2"/>
  <c r="H746" i="2"/>
  <c r="I745" i="2"/>
  <c r="H745" i="2"/>
  <c r="I744" i="2"/>
  <c r="H744" i="2"/>
  <c r="I743" i="2"/>
  <c r="H743" i="2"/>
  <c r="I742" i="2"/>
  <c r="H742" i="2"/>
  <c r="I741" i="2"/>
  <c r="H741" i="2"/>
  <c r="I740" i="2"/>
  <c r="H740" i="2"/>
  <c r="I739" i="2"/>
  <c r="H739" i="2"/>
  <c r="I738" i="2"/>
  <c r="H738" i="2"/>
  <c r="I737" i="2"/>
  <c r="H737" i="2"/>
  <c r="I736" i="2"/>
  <c r="H736" i="2"/>
  <c r="I735" i="2"/>
  <c r="H735" i="2"/>
  <c r="I734" i="2"/>
  <c r="H734" i="2"/>
  <c r="I733" i="2"/>
  <c r="H733" i="2"/>
  <c r="I732" i="2"/>
  <c r="H732" i="2"/>
  <c r="I731" i="2"/>
  <c r="H731" i="2"/>
  <c r="I730" i="2"/>
  <c r="H730" i="2"/>
  <c r="I729" i="2"/>
  <c r="H729" i="2"/>
  <c r="I728" i="2"/>
  <c r="H728" i="2"/>
  <c r="I727" i="2"/>
  <c r="H727" i="2"/>
  <c r="I726" i="2"/>
  <c r="H726" i="2"/>
  <c r="I725" i="2"/>
  <c r="H725" i="2"/>
  <c r="I724" i="2"/>
  <c r="H724" i="2"/>
  <c r="I723" i="2"/>
  <c r="H723" i="2"/>
  <c r="I722" i="2"/>
  <c r="H722" i="2"/>
  <c r="I721" i="2"/>
  <c r="H721" i="2"/>
  <c r="I720" i="2"/>
  <c r="H720" i="2"/>
  <c r="I719" i="2"/>
  <c r="H719" i="2"/>
  <c r="I718" i="2"/>
  <c r="H718" i="2"/>
  <c r="I717" i="2"/>
  <c r="H717" i="2"/>
  <c r="I716" i="2"/>
  <c r="H716" i="2"/>
  <c r="I715" i="2"/>
  <c r="H715" i="2"/>
  <c r="I714" i="2"/>
  <c r="H714" i="2"/>
  <c r="I713" i="2"/>
  <c r="H713" i="2"/>
  <c r="I712" i="2"/>
  <c r="H712" i="2"/>
  <c r="I711" i="2"/>
  <c r="H711" i="2"/>
  <c r="I710" i="2"/>
  <c r="H710" i="2"/>
  <c r="I709" i="2"/>
  <c r="H709" i="2"/>
  <c r="I708" i="2"/>
  <c r="H708" i="2"/>
  <c r="I707" i="2"/>
  <c r="H707" i="2"/>
  <c r="I706" i="2"/>
  <c r="H706" i="2"/>
  <c r="I705" i="2"/>
  <c r="H705" i="2"/>
  <c r="I704" i="2"/>
  <c r="H704" i="2"/>
  <c r="I703" i="2"/>
  <c r="H703" i="2"/>
  <c r="I702" i="2"/>
  <c r="H702" i="2"/>
  <c r="I701" i="2"/>
  <c r="H701" i="2"/>
  <c r="I700" i="2"/>
  <c r="H700" i="2"/>
  <c r="I699" i="2"/>
  <c r="H699" i="2"/>
  <c r="I698" i="2"/>
  <c r="H698" i="2"/>
  <c r="I697" i="2"/>
  <c r="H697" i="2"/>
  <c r="I696" i="2"/>
  <c r="H696" i="2"/>
  <c r="I695" i="2"/>
  <c r="H695" i="2"/>
  <c r="I694" i="2"/>
  <c r="H694" i="2"/>
  <c r="I693" i="2"/>
  <c r="H693" i="2"/>
  <c r="I692" i="2"/>
  <c r="H692" i="2"/>
  <c r="I691" i="2"/>
  <c r="H691" i="2"/>
  <c r="I690" i="2"/>
  <c r="H690" i="2"/>
  <c r="I689" i="2"/>
  <c r="H689" i="2"/>
  <c r="I688" i="2"/>
  <c r="H688" i="2"/>
  <c r="I687" i="2"/>
  <c r="H687" i="2"/>
  <c r="I686" i="2"/>
  <c r="H686" i="2"/>
  <c r="I685" i="2"/>
  <c r="H685" i="2"/>
  <c r="I684" i="2"/>
  <c r="H684" i="2"/>
  <c r="I683" i="2"/>
  <c r="H683" i="2"/>
  <c r="I682" i="2"/>
  <c r="H682" i="2"/>
  <c r="I681" i="2"/>
  <c r="H681" i="2"/>
  <c r="I680" i="2"/>
  <c r="H680" i="2"/>
  <c r="I679" i="2"/>
  <c r="H679" i="2"/>
  <c r="I678" i="2"/>
  <c r="H678" i="2"/>
  <c r="I677" i="2"/>
  <c r="H677" i="2"/>
  <c r="I676" i="2"/>
  <c r="H676" i="2"/>
  <c r="I675" i="2"/>
  <c r="H675" i="2"/>
  <c r="I674" i="2"/>
  <c r="H674" i="2"/>
  <c r="I673" i="2"/>
  <c r="H673" i="2"/>
  <c r="I672" i="2"/>
  <c r="H672" i="2"/>
  <c r="I671" i="2"/>
  <c r="H671" i="2"/>
  <c r="I670" i="2"/>
  <c r="H670" i="2"/>
  <c r="I669" i="2"/>
  <c r="H669" i="2"/>
  <c r="I668" i="2"/>
  <c r="H668" i="2"/>
  <c r="I667" i="2"/>
  <c r="H667" i="2"/>
  <c r="I666" i="2"/>
  <c r="H666" i="2"/>
  <c r="I665" i="2"/>
  <c r="H665" i="2"/>
  <c r="I664" i="2"/>
  <c r="H664" i="2"/>
  <c r="I663" i="2"/>
  <c r="H663" i="2"/>
  <c r="I662" i="2"/>
  <c r="H662" i="2"/>
  <c r="I661" i="2"/>
  <c r="H661" i="2"/>
  <c r="I660" i="2"/>
  <c r="H660" i="2"/>
  <c r="I659" i="2"/>
  <c r="H659" i="2"/>
  <c r="I658" i="2"/>
  <c r="H658" i="2"/>
  <c r="I657" i="2"/>
  <c r="H657" i="2"/>
  <c r="I656" i="2"/>
  <c r="H656" i="2"/>
  <c r="I655" i="2"/>
  <c r="H655" i="2"/>
  <c r="I654" i="2"/>
  <c r="H654" i="2"/>
  <c r="I653" i="2"/>
  <c r="H653" i="2"/>
  <c r="I652" i="2"/>
  <c r="H652" i="2"/>
  <c r="I651" i="2"/>
  <c r="H651" i="2"/>
  <c r="I650" i="2"/>
  <c r="H650" i="2"/>
  <c r="I649" i="2"/>
  <c r="H649" i="2"/>
  <c r="I648" i="2"/>
  <c r="H648" i="2"/>
  <c r="I647" i="2"/>
  <c r="H647" i="2"/>
  <c r="I646" i="2"/>
  <c r="H646" i="2"/>
  <c r="I645" i="2"/>
  <c r="H645" i="2"/>
  <c r="I644" i="2"/>
  <c r="H644" i="2"/>
  <c r="I643" i="2"/>
  <c r="H643" i="2"/>
  <c r="I642" i="2"/>
  <c r="H642" i="2"/>
  <c r="I641" i="2"/>
  <c r="H641" i="2"/>
  <c r="I640" i="2"/>
  <c r="H640" i="2"/>
  <c r="I639" i="2"/>
  <c r="H639" i="2"/>
  <c r="I638" i="2"/>
  <c r="H638" i="2"/>
  <c r="I637" i="2"/>
  <c r="H637" i="2"/>
  <c r="I636" i="2"/>
  <c r="H636" i="2"/>
  <c r="I635" i="2"/>
  <c r="H635" i="2"/>
  <c r="I634" i="2"/>
  <c r="H634" i="2"/>
  <c r="I633" i="2"/>
  <c r="H633" i="2"/>
  <c r="I632" i="2"/>
  <c r="H632" i="2"/>
  <c r="I631" i="2"/>
  <c r="H631" i="2"/>
  <c r="I630" i="2"/>
  <c r="H630" i="2"/>
  <c r="I629" i="2"/>
  <c r="H629" i="2"/>
  <c r="I628" i="2"/>
  <c r="H628" i="2"/>
  <c r="I627" i="2"/>
  <c r="H627" i="2"/>
  <c r="I626" i="2"/>
  <c r="H626" i="2"/>
  <c r="I625" i="2"/>
  <c r="H625" i="2"/>
  <c r="I624" i="2"/>
  <c r="H624" i="2"/>
  <c r="I623" i="2"/>
  <c r="H623" i="2"/>
  <c r="I622" i="2"/>
  <c r="H622" i="2"/>
  <c r="I621" i="2"/>
  <c r="H621" i="2"/>
  <c r="I620" i="2"/>
  <c r="H620" i="2"/>
  <c r="I619" i="2"/>
  <c r="H619" i="2"/>
  <c r="I618" i="2"/>
  <c r="H618" i="2"/>
  <c r="I617" i="2"/>
  <c r="H617" i="2"/>
  <c r="I616" i="2"/>
  <c r="H616" i="2"/>
  <c r="I615" i="2"/>
  <c r="H615" i="2"/>
  <c r="I614" i="2"/>
  <c r="H614" i="2"/>
  <c r="I613" i="2"/>
  <c r="H613" i="2"/>
  <c r="I612" i="2"/>
  <c r="H612" i="2"/>
  <c r="I611" i="2"/>
  <c r="H611" i="2"/>
  <c r="I610" i="2"/>
  <c r="H610" i="2"/>
  <c r="I609" i="2"/>
  <c r="H609" i="2"/>
  <c r="I608" i="2"/>
  <c r="H608" i="2"/>
  <c r="I607" i="2"/>
  <c r="H607" i="2"/>
  <c r="I606" i="2"/>
  <c r="H606" i="2"/>
  <c r="I605" i="2"/>
  <c r="H605" i="2"/>
  <c r="I604" i="2"/>
  <c r="H604" i="2"/>
  <c r="I603" i="2"/>
  <c r="H603" i="2"/>
  <c r="I602" i="2"/>
  <c r="H602" i="2"/>
  <c r="I601" i="2"/>
  <c r="H601" i="2"/>
  <c r="I600" i="2"/>
  <c r="H600" i="2"/>
  <c r="I599" i="2"/>
  <c r="H599" i="2"/>
  <c r="I598" i="2"/>
  <c r="H598" i="2"/>
  <c r="I597" i="2"/>
  <c r="H597" i="2"/>
  <c r="I596" i="2"/>
  <c r="H596" i="2"/>
  <c r="I595" i="2"/>
  <c r="H595" i="2"/>
  <c r="I594" i="2"/>
  <c r="H594" i="2"/>
  <c r="I593" i="2"/>
  <c r="H593" i="2"/>
  <c r="I592" i="2"/>
  <c r="H592" i="2"/>
  <c r="I591" i="2"/>
  <c r="H591" i="2"/>
  <c r="I590" i="2"/>
  <c r="H590" i="2"/>
  <c r="I589" i="2"/>
  <c r="H589" i="2"/>
  <c r="I588" i="2"/>
  <c r="H588" i="2"/>
  <c r="I587" i="2"/>
  <c r="H587" i="2"/>
  <c r="I586" i="2"/>
  <c r="H586" i="2"/>
  <c r="I585" i="2"/>
  <c r="H585" i="2"/>
  <c r="I584" i="2"/>
  <c r="H584" i="2"/>
  <c r="I583" i="2"/>
  <c r="H583" i="2"/>
  <c r="I582" i="2"/>
  <c r="H582" i="2"/>
  <c r="I581" i="2"/>
  <c r="H581" i="2"/>
  <c r="I580" i="2"/>
  <c r="H580" i="2"/>
  <c r="I579" i="2"/>
  <c r="H579" i="2"/>
  <c r="I578" i="2"/>
  <c r="H578" i="2"/>
  <c r="I577" i="2"/>
  <c r="H577" i="2"/>
  <c r="I576" i="2"/>
  <c r="H576" i="2"/>
  <c r="I575" i="2"/>
  <c r="H575" i="2"/>
  <c r="I574" i="2"/>
  <c r="H574" i="2"/>
  <c r="I573" i="2"/>
  <c r="H573" i="2"/>
  <c r="I572" i="2"/>
  <c r="H572" i="2"/>
  <c r="I571" i="2"/>
  <c r="H571" i="2"/>
  <c r="I570" i="2"/>
  <c r="H570" i="2"/>
  <c r="I569" i="2"/>
  <c r="H569" i="2"/>
  <c r="I568" i="2"/>
  <c r="H568" i="2"/>
  <c r="I567" i="2"/>
  <c r="H567" i="2"/>
  <c r="I566" i="2"/>
  <c r="H566" i="2"/>
  <c r="I565" i="2"/>
  <c r="H565" i="2"/>
  <c r="I564" i="2"/>
  <c r="H564" i="2"/>
  <c r="I563" i="2"/>
  <c r="H563" i="2"/>
  <c r="I562" i="2"/>
  <c r="H562" i="2"/>
  <c r="I561" i="2"/>
  <c r="H561" i="2"/>
  <c r="I560" i="2"/>
  <c r="H560" i="2"/>
  <c r="I559" i="2"/>
  <c r="H559" i="2"/>
  <c r="I558" i="2"/>
  <c r="H558" i="2"/>
  <c r="I557" i="2"/>
  <c r="H557" i="2"/>
  <c r="I556" i="2"/>
  <c r="H556" i="2"/>
  <c r="I555" i="2"/>
  <c r="H555" i="2"/>
  <c r="I554" i="2"/>
  <c r="H554" i="2"/>
  <c r="I553" i="2"/>
  <c r="H553" i="2"/>
  <c r="I552" i="2"/>
  <c r="H552" i="2"/>
  <c r="I551" i="2"/>
  <c r="H551" i="2"/>
  <c r="I550" i="2"/>
  <c r="H550" i="2"/>
  <c r="I549" i="2"/>
  <c r="H549" i="2"/>
  <c r="I548" i="2"/>
  <c r="H548" i="2"/>
  <c r="I547" i="2"/>
  <c r="H547" i="2"/>
  <c r="I546" i="2"/>
  <c r="H546" i="2"/>
  <c r="I545" i="2"/>
  <c r="H545" i="2"/>
  <c r="I544" i="2"/>
  <c r="H544" i="2"/>
  <c r="I543" i="2"/>
  <c r="H543" i="2"/>
  <c r="I542" i="2"/>
  <c r="H542" i="2"/>
  <c r="I541" i="2"/>
  <c r="H541" i="2"/>
  <c r="I540" i="2"/>
  <c r="H540" i="2"/>
  <c r="I539" i="2"/>
  <c r="H539" i="2"/>
  <c r="I538" i="2"/>
  <c r="H538" i="2"/>
  <c r="I537" i="2"/>
  <c r="H537" i="2"/>
  <c r="I536" i="2"/>
  <c r="H536" i="2"/>
  <c r="I535" i="2"/>
  <c r="H535" i="2"/>
  <c r="I534" i="2"/>
  <c r="H534" i="2"/>
  <c r="I533" i="2"/>
  <c r="H533" i="2"/>
  <c r="I532" i="2"/>
  <c r="H532" i="2"/>
  <c r="I531" i="2"/>
  <c r="H531" i="2"/>
  <c r="I530" i="2"/>
  <c r="H530" i="2"/>
  <c r="I529" i="2"/>
  <c r="H529" i="2"/>
  <c r="I528" i="2"/>
  <c r="H528" i="2"/>
  <c r="I527" i="2"/>
  <c r="H527" i="2"/>
  <c r="I526" i="2"/>
  <c r="H526" i="2"/>
  <c r="I525" i="2"/>
  <c r="H525" i="2"/>
  <c r="I524" i="2"/>
  <c r="H524" i="2"/>
  <c r="I523" i="2"/>
  <c r="H523" i="2"/>
  <c r="I522" i="2"/>
  <c r="H522" i="2"/>
  <c r="I521" i="2"/>
  <c r="H521" i="2"/>
  <c r="I520" i="2"/>
  <c r="H520" i="2"/>
  <c r="I519" i="2"/>
  <c r="H519" i="2"/>
  <c r="I518" i="2"/>
  <c r="H518" i="2"/>
  <c r="I517" i="2"/>
  <c r="H517" i="2"/>
  <c r="I516" i="2"/>
  <c r="H516" i="2"/>
  <c r="I515" i="2"/>
  <c r="H515" i="2"/>
  <c r="I514" i="2"/>
  <c r="H514" i="2"/>
  <c r="I513" i="2"/>
  <c r="H513" i="2"/>
  <c r="I512" i="2"/>
  <c r="H512" i="2"/>
  <c r="I511" i="2"/>
  <c r="H511" i="2"/>
  <c r="I510" i="2"/>
  <c r="H510" i="2"/>
  <c r="I509" i="2"/>
  <c r="H509" i="2"/>
  <c r="I508" i="2"/>
  <c r="H508" i="2"/>
  <c r="I507" i="2"/>
  <c r="H507" i="2"/>
  <c r="I506" i="2"/>
  <c r="H506" i="2"/>
  <c r="I505" i="2"/>
  <c r="H505" i="2"/>
  <c r="I504" i="2"/>
  <c r="H504" i="2"/>
  <c r="I503" i="2"/>
  <c r="H503" i="2"/>
  <c r="I502" i="2"/>
  <c r="H502" i="2"/>
  <c r="I501" i="2"/>
  <c r="H501" i="2"/>
  <c r="I500" i="2"/>
  <c r="H500" i="2"/>
  <c r="I499" i="2"/>
  <c r="H499" i="2"/>
  <c r="I498" i="2"/>
  <c r="H498" i="2"/>
  <c r="I497" i="2"/>
  <c r="H497" i="2"/>
  <c r="I496" i="2"/>
  <c r="H496" i="2"/>
  <c r="I495" i="2"/>
  <c r="H495" i="2"/>
  <c r="I494" i="2"/>
  <c r="H494" i="2"/>
  <c r="I493" i="2"/>
  <c r="H493" i="2"/>
  <c r="I492" i="2"/>
  <c r="H492" i="2"/>
  <c r="I491" i="2"/>
  <c r="H491" i="2"/>
  <c r="I490" i="2"/>
  <c r="H490" i="2"/>
  <c r="I489" i="2"/>
  <c r="H489" i="2"/>
  <c r="I488" i="2"/>
  <c r="H488" i="2"/>
  <c r="I487" i="2"/>
  <c r="H487" i="2"/>
  <c r="I486" i="2"/>
  <c r="H486" i="2"/>
  <c r="I485" i="2"/>
  <c r="H485" i="2"/>
  <c r="I484" i="2"/>
  <c r="H484" i="2"/>
  <c r="I483" i="2"/>
  <c r="H483" i="2"/>
  <c r="I482" i="2"/>
  <c r="H482" i="2"/>
  <c r="I481" i="2"/>
  <c r="H481" i="2"/>
  <c r="I480" i="2"/>
  <c r="H480" i="2"/>
  <c r="I479" i="2"/>
  <c r="H479" i="2"/>
  <c r="I478" i="2"/>
  <c r="H478" i="2"/>
  <c r="I477" i="2"/>
  <c r="H477" i="2"/>
  <c r="I476" i="2"/>
  <c r="H476" i="2"/>
  <c r="I475" i="2"/>
  <c r="H475" i="2"/>
  <c r="I474" i="2"/>
  <c r="H474" i="2"/>
  <c r="I473" i="2"/>
  <c r="H473" i="2"/>
  <c r="I472" i="2"/>
  <c r="H472" i="2"/>
  <c r="I471" i="2"/>
  <c r="H471" i="2"/>
  <c r="I470" i="2"/>
  <c r="H470" i="2"/>
  <c r="I469" i="2"/>
  <c r="H469" i="2"/>
  <c r="I468" i="2"/>
  <c r="H468" i="2"/>
  <c r="I467" i="2"/>
  <c r="H467" i="2"/>
  <c r="I466" i="2"/>
  <c r="H466" i="2"/>
  <c r="I465" i="2"/>
  <c r="H465" i="2"/>
  <c r="I464" i="2"/>
  <c r="H464" i="2"/>
  <c r="I463" i="2"/>
  <c r="H463" i="2"/>
  <c r="I462" i="2"/>
  <c r="H462" i="2"/>
  <c r="I461" i="2"/>
  <c r="H461" i="2"/>
  <c r="I460" i="2"/>
  <c r="H460" i="2"/>
  <c r="I459" i="2"/>
  <c r="H459" i="2"/>
  <c r="I458" i="2"/>
  <c r="H458" i="2"/>
  <c r="I457" i="2"/>
  <c r="H457" i="2"/>
  <c r="I456" i="2"/>
  <c r="H456" i="2"/>
  <c r="I455" i="2"/>
  <c r="H455" i="2"/>
  <c r="I454" i="2"/>
  <c r="H454" i="2"/>
  <c r="I453" i="2"/>
  <c r="H453" i="2"/>
  <c r="I452" i="2"/>
  <c r="H452" i="2"/>
  <c r="I451" i="2"/>
  <c r="H451" i="2"/>
  <c r="I450" i="2"/>
  <c r="H450" i="2"/>
  <c r="I449" i="2"/>
  <c r="H449" i="2"/>
  <c r="I448" i="2"/>
  <c r="H448" i="2"/>
  <c r="I447" i="2"/>
  <c r="H447" i="2"/>
  <c r="I446" i="2"/>
  <c r="H446" i="2"/>
  <c r="I445" i="2"/>
  <c r="H445" i="2"/>
  <c r="I444" i="2"/>
  <c r="H444" i="2"/>
  <c r="I443" i="2"/>
  <c r="H443" i="2"/>
  <c r="I442" i="2"/>
  <c r="H442" i="2"/>
  <c r="I441" i="2"/>
  <c r="H441" i="2"/>
  <c r="I440" i="2"/>
  <c r="H440" i="2"/>
  <c r="I439" i="2"/>
  <c r="H439" i="2"/>
  <c r="I438" i="2"/>
  <c r="H438" i="2"/>
  <c r="I437" i="2"/>
  <c r="H437" i="2"/>
  <c r="I436" i="2"/>
  <c r="H436" i="2"/>
  <c r="I435" i="2"/>
  <c r="H435" i="2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6" i="2"/>
  <c r="H386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3" i="2"/>
  <c r="H263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1" i="2"/>
  <c r="H151" i="2"/>
  <c r="I150" i="2"/>
  <c r="H150" i="2"/>
  <c r="I149" i="2"/>
  <c r="H149" i="2"/>
  <c r="I148" i="2"/>
  <c r="H148" i="2"/>
  <c r="I147" i="2"/>
  <c r="H147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9" i="2"/>
  <c r="H129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K4" i="2" l="1"/>
  <c r="J4" i="2"/>
  <c r="F15" i="4"/>
  <c r="F24" i="4"/>
  <c r="E2" i="1"/>
  <c r="D2" i="1"/>
  <c r="F17" i="4"/>
  <c r="D17" i="4" s="1"/>
  <c r="F26" i="4" l="1"/>
  <c r="D7" i="4"/>
  <c r="D9" i="4" s="1"/>
  <c r="F5" i="4" s="1"/>
  <c r="F9" i="4" s="1"/>
</calcChain>
</file>

<file path=xl/sharedStrings.xml><?xml version="1.0" encoding="utf-8"?>
<sst xmlns="http://schemas.openxmlformats.org/spreadsheetml/2006/main" count="12817" uniqueCount="2703">
  <si>
    <t>Ajay Kumar Gupta</t>
  </si>
  <si>
    <t>Account of Statements from 01-04-2024 to 31-03-2025</t>
  </si>
  <si>
    <t>TX Date</t>
  </si>
  <si>
    <t>Particulars</t>
  </si>
  <si>
    <t>Ref</t>
  </si>
  <si>
    <t>DR</t>
  </si>
  <si>
    <t>CR</t>
  </si>
  <si>
    <t>Balance</t>
  </si>
  <si>
    <t>Kya hai?</t>
  </si>
  <si>
    <t>NET PI TO HSL SEC A/C 347707-00602340029392</t>
  </si>
  <si>
    <t>0000000508947795</t>
  </si>
  <si>
    <t>0000000509074379</t>
  </si>
  <si>
    <t>NET PO FROM HSL A/C 347707-50200085415108</t>
  </si>
  <si>
    <t>0000000509179804</t>
  </si>
  <si>
    <t>0000000509225366</t>
  </si>
  <si>
    <t>0000000509405924</t>
  </si>
  <si>
    <t>0000000509532842</t>
  </si>
  <si>
    <t>0000000509799278</t>
  </si>
  <si>
    <t>0000000510051241</t>
  </si>
  <si>
    <t>0000000510203032</t>
  </si>
  <si>
    <t>0000000510341877</t>
  </si>
  <si>
    <t>0000000510485360</t>
  </si>
  <si>
    <t>0000000510621583</t>
  </si>
  <si>
    <t>DEPOSITORY CHARGES MAR24 - 40227714</t>
  </si>
  <si>
    <t>000000000000000</t>
  </si>
  <si>
    <t>Depository Charges</t>
  </si>
  <si>
    <t>0000000510779582</t>
  </si>
  <si>
    <t>0000000510985284</t>
  </si>
  <si>
    <t>0000000511165682</t>
  </si>
  <si>
    <t>0000000511330777</t>
  </si>
  <si>
    <t>0000000511654461</t>
  </si>
  <si>
    <t>ACH D- INDIAN CLEARING CORP-P25847605X05</t>
  </si>
  <si>
    <t>0000002752130850</t>
  </si>
  <si>
    <t>SIP - 10000</t>
  </si>
  <si>
    <t>0000000511958482</t>
  </si>
  <si>
    <t>0000000512088001</t>
  </si>
  <si>
    <t>0000000512207565</t>
  </si>
  <si>
    <t>0000000512237238</t>
  </si>
  <si>
    <t>0000000512389010</t>
  </si>
  <si>
    <t>0000000512545048</t>
  </si>
  <si>
    <t>0000000512591630</t>
  </si>
  <si>
    <t>0000002864370493</t>
  </si>
  <si>
    <t>0000000512957805</t>
  </si>
  <si>
    <t>NEFT CR-YESB0000001-INDIAN CLEARING CORP-AJAYKUMARGUPTA-YESIG41060059863</t>
  </si>
  <si>
    <t>YESIG41060059863</t>
  </si>
  <si>
    <t>0000000513276622</t>
  </si>
  <si>
    <t>0000000513297155</t>
  </si>
  <si>
    <t>0000000513418077</t>
  </si>
  <si>
    <t>0000000513560095</t>
  </si>
  <si>
    <t>0000000513710773</t>
  </si>
  <si>
    <t>0000000513848712</t>
  </si>
  <si>
    <t>0000000513971209</t>
  </si>
  <si>
    <t>0000000514018187</t>
  </si>
  <si>
    <t>0000000514278610</t>
  </si>
  <si>
    <t>0000000514551326</t>
  </si>
  <si>
    <t>0000003106454888</t>
  </si>
  <si>
    <t>0000000514745193</t>
  </si>
  <si>
    <t>0000000514852243</t>
  </si>
  <si>
    <t>0000000514994272</t>
  </si>
  <si>
    <t>0000000515134597</t>
  </si>
  <si>
    <t>01671000060094-TPT-MONEY RETURNED FROM SUNITA TO AKG-SUNITA GUPTA</t>
  </si>
  <si>
    <t>0000000111887665</t>
  </si>
  <si>
    <t>Transfer from Sunita</t>
  </si>
  <si>
    <t>0000000515287529</t>
  </si>
  <si>
    <t>0000000515432083</t>
  </si>
  <si>
    <t>0000000515526474</t>
  </si>
  <si>
    <t>0000000515802365</t>
  </si>
  <si>
    <t>0000000515976668</t>
  </si>
  <si>
    <t>0000000516122816</t>
  </si>
  <si>
    <t>0000000516239136</t>
  </si>
  <si>
    <t>0000000516273957</t>
  </si>
  <si>
    <t>0000000516399667</t>
  </si>
  <si>
    <t>0000000516552302</t>
  </si>
  <si>
    <t>0000000516671473</t>
  </si>
  <si>
    <t>0000000516700595</t>
  </si>
  <si>
    <t>0000000516844460</t>
  </si>
  <si>
    <t>0000000517008885</t>
  </si>
  <si>
    <t>0000000517272110</t>
  </si>
  <si>
    <t>0000000517430468</t>
  </si>
  <si>
    <t>0000000517565970</t>
  </si>
  <si>
    <t>0000000517787586</t>
  </si>
  <si>
    <t>00012050001396HLY INT-IN0020210178</t>
  </si>
  <si>
    <t>0000405023155228</t>
  </si>
  <si>
    <t>Which Interest??</t>
  </si>
  <si>
    <t>0000000517954762</t>
  </si>
  <si>
    <t>0000000518079050</t>
  </si>
  <si>
    <t>0000000518107939</t>
  </si>
  <si>
    <t>ISAQMC-JAN-MAR24-101236 260424-MIR2512491298592</t>
  </si>
  <si>
    <t>MIR2512491298592</t>
  </si>
  <si>
    <t>Bank Charges</t>
  </si>
  <si>
    <t>0000000518219628</t>
  </si>
  <si>
    <t>ATW-512967XXXXXX1000-S1ANMN04-NASHIK</t>
  </si>
  <si>
    <t>0000000000008403</t>
  </si>
  <si>
    <t>ATM Withdrawal</t>
  </si>
  <si>
    <t>0000000518406417</t>
  </si>
  <si>
    <t>0000000518805491</t>
  </si>
  <si>
    <t>0000000519004360</t>
  </si>
  <si>
    <t>0000000519285252</t>
  </si>
  <si>
    <t>0000000519457190</t>
  </si>
  <si>
    <t>0000000519504613</t>
  </si>
  <si>
    <t>0000000519616723</t>
  </si>
  <si>
    <t>0000000519745614</t>
  </si>
  <si>
    <t>0000000519886867</t>
  </si>
  <si>
    <t>0000000520119092</t>
  </si>
  <si>
    <t>DEPOSITORY CHARGES APR24 - 40227714</t>
  </si>
  <si>
    <t>01671000060094-TPT-MNY RETURNED FROM SUNITA TO AKG-SUNITA GUPTA</t>
  </si>
  <si>
    <t>0000000689770386</t>
  </si>
  <si>
    <t>0000000520334243</t>
  </si>
  <si>
    <t>0000003895847005</t>
  </si>
  <si>
    <t>0000000520634478</t>
  </si>
  <si>
    <t>0000000520782167</t>
  </si>
  <si>
    <t>0000000520921199</t>
  </si>
  <si>
    <t>0000000521117595</t>
  </si>
  <si>
    <t>0000000521275901</t>
  </si>
  <si>
    <t>0000000521528661</t>
  </si>
  <si>
    <t>0000000521782110</t>
  </si>
  <si>
    <t>0000000521813102</t>
  </si>
  <si>
    <t>0000004003827113</t>
  </si>
  <si>
    <t>0000000521951662</t>
  </si>
  <si>
    <t>0000000522072046</t>
  </si>
  <si>
    <t>0000000522214917</t>
  </si>
  <si>
    <t>UPI-VIMAL  KUMAR SO BHOL-9988590043@YBL-SBIN0050393-450319659260-PAYMENT FROM PHONE</t>
  </si>
  <si>
    <t>0000450319659260</t>
  </si>
  <si>
    <t>UPI</t>
  </si>
  <si>
    <t>0000000522343383</t>
  </si>
  <si>
    <t>0000000522488032</t>
  </si>
  <si>
    <t>0000000522749771</t>
  </si>
  <si>
    <t>00012050001396HLY INT-IN0020200286</t>
  </si>
  <si>
    <t>0000405188701169</t>
  </si>
  <si>
    <t>0000000523034675</t>
  </si>
  <si>
    <t>0000004099013012</t>
  </si>
  <si>
    <t>0000000523324125</t>
  </si>
  <si>
    <t>0000000523573920</t>
  </si>
  <si>
    <t>0000000523733561</t>
  </si>
  <si>
    <t>0000000523867241</t>
  </si>
  <si>
    <t>0000000524019623</t>
  </si>
  <si>
    <t>JANMAR24 INSTAALERTCHG 68 SMS 140524-MIR2514339194211</t>
  </si>
  <si>
    <t>MIR2514339194211</t>
  </si>
  <si>
    <t>0000000524195613</t>
  </si>
  <si>
    <t>0000000524321857</t>
  </si>
  <si>
    <t>0000000524469572</t>
  </si>
  <si>
    <t>0000000524522879</t>
  </si>
  <si>
    <t>0000000524652424</t>
  </si>
  <si>
    <t>ACH C- SANOFI INDIA DIV PMT-71PR24051801</t>
  </si>
  <si>
    <t>0000004251939467</t>
  </si>
  <si>
    <t>Dividend Income</t>
  </si>
  <si>
    <t>0000000524835819</t>
  </si>
  <si>
    <t>0000000525167498</t>
  </si>
  <si>
    <t>0000000525459668</t>
  </si>
  <si>
    <t>0000000525488272</t>
  </si>
  <si>
    <t>0000000525607295</t>
  </si>
  <si>
    <t>0000000525901408</t>
  </si>
  <si>
    <t>0000000526004925</t>
  </si>
  <si>
    <t>0000000526150464</t>
  </si>
  <si>
    <t>0000000526177640</t>
  </si>
  <si>
    <t>0000000526418982</t>
  </si>
  <si>
    <t>0000000526579901</t>
  </si>
  <si>
    <t>0000000526615409</t>
  </si>
  <si>
    <t>0000000526851695</t>
  </si>
  <si>
    <t>0000000526986285</t>
  </si>
  <si>
    <t>0000000527041391</t>
  </si>
  <si>
    <t>NEFT CR-SBIN0011669-MR  AJAY KUMAR GUPTA-AJAY KUMAR GUPTA-SBIN324153115929</t>
  </si>
  <si>
    <t>SBIN324153115929</t>
  </si>
  <si>
    <t>Contra - SBI SB</t>
  </si>
  <si>
    <t>UPI-PHONEPE-BBPSBP@YBL-YESB0YBLUPI-452016677258-PAYMENT FROM PHONE</t>
  </si>
  <si>
    <t>0000452016677258</t>
  </si>
  <si>
    <t>0000000527397864</t>
  </si>
  <si>
    <t>0000000527731122</t>
  </si>
  <si>
    <t>0000000527930654</t>
  </si>
  <si>
    <t>0000000528305525</t>
  </si>
  <si>
    <t>UPI-XXXXXX0094-HDFC0000001-415752435538-PAYMENT FROM PHONE</t>
  </si>
  <si>
    <t>0000415752435538</t>
  </si>
  <si>
    <t>Transfer to Sunita</t>
  </si>
  <si>
    <t>0000000528701968</t>
  </si>
  <si>
    <t>0000000529071795</t>
  </si>
  <si>
    <t>0000000529245064</t>
  </si>
  <si>
    <t>0000000529515107</t>
  </si>
  <si>
    <t>0000000529676801</t>
  </si>
  <si>
    <t>0000000529819516</t>
  </si>
  <si>
    <t>01671000060094-TPT-MNY RTRN FROM SUNITA TO AKG-SUNITA GUPTA</t>
  </si>
  <si>
    <t>0000000335441226</t>
  </si>
  <si>
    <t>0000000530028903</t>
  </si>
  <si>
    <t>0000004806034340</t>
  </si>
  <si>
    <t>0000000530279602</t>
  </si>
  <si>
    <t>0000000530427349</t>
  </si>
  <si>
    <t>0000000530590183</t>
  </si>
  <si>
    <t>0000000530711119</t>
  </si>
  <si>
    <t>0000000530864703</t>
  </si>
  <si>
    <t>0000000531136794</t>
  </si>
  <si>
    <t>0000000531289294</t>
  </si>
  <si>
    <t>0000000531451123</t>
  </si>
  <si>
    <t>YHDF2352288572/BILLDKINDIANCLEARING</t>
  </si>
  <si>
    <t>0002416553263041</t>
  </si>
  <si>
    <t>MF</t>
  </si>
  <si>
    <t>0000000531587247</t>
  </si>
  <si>
    <t>0000000531840013</t>
  </si>
  <si>
    <t>0000000531871407</t>
  </si>
  <si>
    <t>UPI-ARCHIT GUPTA-8668331033@HDFCBANK-HDFC0004690-416673138820-TEST</t>
  </si>
  <si>
    <t>0000416673138820</t>
  </si>
  <si>
    <t>Transfer from Archit</t>
  </si>
  <si>
    <t>UPI-ARCHIT GUPTA-8668331033@HDFCBANK-HDFC0004690-416641481959-PAYMENT FROM PHONE</t>
  </si>
  <si>
    <t>0000416641481959</t>
  </si>
  <si>
    <t>Transfer to Archit</t>
  </si>
  <si>
    <t>0000000531975560</t>
  </si>
  <si>
    <t>0000000532264223</t>
  </si>
  <si>
    <t>0000000532298597</t>
  </si>
  <si>
    <t>0000004980000211</t>
  </si>
  <si>
    <t>DEPOSITORY CHARGES MAY24 - 40227714</t>
  </si>
  <si>
    <t>ACH C- ADVANI HOTELS AND RE-065233300021</t>
  </si>
  <si>
    <t>0000005177416654</t>
  </si>
  <si>
    <t>0000000532535481</t>
  </si>
  <si>
    <t>0000000532814042</t>
  </si>
  <si>
    <t>0000000532849604</t>
  </si>
  <si>
    <t>0000000532984869</t>
  </si>
  <si>
    <t>0000000533075328</t>
  </si>
  <si>
    <t>0000000533160729</t>
  </si>
  <si>
    <t>0000005280256978</t>
  </si>
  <si>
    <t>0000000533454440</t>
  </si>
  <si>
    <t>0000000533660771</t>
  </si>
  <si>
    <t>0000000533935977</t>
  </si>
  <si>
    <t>50100542230922-TPT-TRANSFER FROM AKG TO ARCHIT-ARCHIT GUPTA</t>
  </si>
  <si>
    <t>0000000591315232</t>
  </si>
  <si>
    <t>0000000534119446</t>
  </si>
  <si>
    <t>0000000534444748</t>
  </si>
  <si>
    <t>0000000534735236</t>
  </si>
  <si>
    <t>0000000534762095</t>
  </si>
  <si>
    <t>01671000060094-TPT-MARRIAGE EXPENSES FROM SUNITA-SUNITA GUPTA</t>
  </si>
  <si>
    <t>0000000507065624</t>
  </si>
  <si>
    <t>NEFT CR-SBIN0011669-MR  AJAY KUMAR GUPTA-AJAY KUMAR GUPTA-SBIN424177238479</t>
  </si>
  <si>
    <t>SBIN424177238479</t>
  </si>
  <si>
    <t>0000000534876114</t>
  </si>
  <si>
    <t>ACH C- BOM DIV 2023-2024-43140</t>
  </si>
  <si>
    <t>0000005460799875</t>
  </si>
  <si>
    <t>2506003750 TATA MOTORS LTD ORD DIV 23 24</t>
  </si>
  <si>
    <t>0000250624130746</t>
  </si>
  <si>
    <t>0000000535066815</t>
  </si>
  <si>
    <t>0000000535208384</t>
  </si>
  <si>
    <t>ACH C- IIL FINAL 2023 24-67124</t>
  </si>
  <si>
    <t>0000005472863319</t>
  </si>
  <si>
    <t>0000000535344670</t>
  </si>
  <si>
    <t>0000000535495545</t>
  </si>
  <si>
    <t>0000000535768714</t>
  </si>
  <si>
    <t>00012050001396HLY INT-IN0020220110</t>
  </si>
  <si>
    <t>0000406275113575</t>
  </si>
  <si>
    <t>NEFT DR-UTIB0000115-AJAY KUMAR GUPTA-NETBANK, MUM-N179243115850062-TRANSFER FROM HDFC</t>
  </si>
  <si>
    <t>N179243115850062</t>
  </si>
  <si>
    <t>0000000535935400</t>
  </si>
  <si>
    <t>ACH C- LTIMIN FINAL 2023 24-214032</t>
  </si>
  <si>
    <t>0000005527258532</t>
  </si>
  <si>
    <t>0000000536194763</t>
  </si>
  <si>
    <t>INTEREST PAID TILL 30-JUN-2024</t>
  </si>
  <si>
    <t>Bank Interest</t>
  </si>
  <si>
    <t>0000000536477385</t>
  </si>
  <si>
    <t>0000000536508606</t>
  </si>
  <si>
    <t>0000000536692196</t>
  </si>
  <si>
    <t>ACH C- INFOSYS LIMITED-40612264</t>
  </si>
  <si>
    <t>0000005607467291</t>
  </si>
  <si>
    <t>ATW-512967XXXXXX1000-CHBDL001-NASHIK</t>
  </si>
  <si>
    <t>0000000000007692</t>
  </si>
  <si>
    <t>NEFT DR-SBIN0011669-AJAY KUMAR GUPTA-NETBANK, MUM-N183243124296502-TRANSFER BACK TO A</t>
  </si>
  <si>
    <t>N183243124296502</t>
  </si>
  <si>
    <t>0000000536998052</t>
  </si>
  <si>
    <t>0000000537030816</t>
  </si>
  <si>
    <t>0000000537169063</t>
  </si>
  <si>
    <t>0000000537354414</t>
  </si>
  <si>
    <t>0000000537624938</t>
  </si>
  <si>
    <t>0000000537917714</t>
  </si>
  <si>
    <t>0000000537955514</t>
  </si>
  <si>
    <t>DR LAL PATH DIV23 2400000000000000009173</t>
  </si>
  <si>
    <t>0000241853654756</t>
  </si>
  <si>
    <t>0000000538074804</t>
  </si>
  <si>
    <t>0000000538244225</t>
  </si>
  <si>
    <t>0000000538377155</t>
  </si>
  <si>
    <t>0000000538411118</t>
  </si>
  <si>
    <t>0000000538557990</t>
  </si>
  <si>
    <t>00012050001396HLY INT-IN0020200377</t>
  </si>
  <si>
    <t>0000407050364493</t>
  </si>
  <si>
    <t>0000000538741962</t>
  </si>
  <si>
    <t>0000000539205021</t>
  </si>
  <si>
    <t>0000000539613027</t>
  </si>
  <si>
    <t>0000000539765353</t>
  </si>
  <si>
    <t>0000000540079675</t>
  </si>
  <si>
    <t>0000006042750906</t>
  </si>
  <si>
    <t>0000000540284076</t>
  </si>
  <si>
    <t>0000000540484118</t>
  </si>
  <si>
    <t>0000000540623687</t>
  </si>
  <si>
    <t>0000000540650811</t>
  </si>
  <si>
    <t>0000000540767051</t>
  </si>
  <si>
    <t>0000000541071251</t>
  </si>
  <si>
    <t>0000000541104735</t>
  </si>
  <si>
    <t>ACH C- PUNJAB NATIONAL BANK-PN2206240114</t>
  </si>
  <si>
    <t>0000006171046654</t>
  </si>
  <si>
    <t>0000000541229542</t>
  </si>
  <si>
    <t>ACH C- ALKYL FINDIV 2023 24-87331</t>
  </si>
  <si>
    <t>0000006195133349</t>
  </si>
  <si>
    <t>0000000541421133</t>
  </si>
  <si>
    <t>ATW-512967XXXXXX1000-S1ANRS03-KOTA</t>
  </si>
  <si>
    <t>0000000000000273</t>
  </si>
  <si>
    <t>0000000000000274</t>
  </si>
  <si>
    <t>0000000541547579</t>
  </si>
  <si>
    <t>0000006191588337</t>
  </si>
  <si>
    <t>0000000541747076</t>
  </si>
  <si>
    <t>0000000542210275</t>
  </si>
  <si>
    <t>DEPOSITORY CHARGES JUN24 - 40227714</t>
  </si>
  <si>
    <t>ACH C- TITANFINDIV160724-371967</t>
  </si>
  <si>
    <t>0000006298536580</t>
  </si>
  <si>
    <t>0000000542415196</t>
  </si>
  <si>
    <t>0000000542691829</t>
  </si>
  <si>
    <t>1707048547 HDFCLIFE FNLDIV2024 5849355</t>
  </si>
  <si>
    <t>0000170724131427</t>
  </si>
  <si>
    <t>00012050001396HLY INT-IN0020210236</t>
  </si>
  <si>
    <t>0000407189812128</t>
  </si>
  <si>
    <t>0000000542897677</t>
  </si>
  <si>
    <t>0000000543078332</t>
  </si>
  <si>
    <t>0000000543213082</t>
  </si>
  <si>
    <t>0000000543434031</t>
  </si>
  <si>
    <t>00012050001396HLY INT-IN0020210111</t>
  </si>
  <si>
    <t>0000407202770330</t>
  </si>
  <si>
    <t>0000006413259929</t>
  </si>
  <si>
    <t>YHDF2391641686/BILLDKINDIANCLEARING</t>
  </si>
  <si>
    <t>0002420456746347</t>
  </si>
  <si>
    <t>0000000543779007</t>
  </si>
  <si>
    <t>0000000544105457</t>
  </si>
  <si>
    <t>0000000544265672</t>
  </si>
  <si>
    <t>0000000544466409</t>
  </si>
  <si>
    <t>0000000544766098</t>
  </si>
  <si>
    <t>ACH C- BAJAJ FINANCE LIMITE-5697499</t>
  </si>
  <si>
    <t>0000006533137295</t>
  </si>
  <si>
    <t>0000000545091305</t>
  </si>
  <si>
    <t>0000000545240737</t>
  </si>
  <si>
    <t>ACH C- BAJAJ FINSERV LIMITE-5166456</t>
  </si>
  <si>
    <t>0000006541185936</t>
  </si>
  <si>
    <t>0000000545829497</t>
  </si>
  <si>
    <t>0000000545993168</t>
  </si>
  <si>
    <t>UPI-AMIT KAMALKISHOR CHA-9922956991@AXL-UTIB0000115-457610772104-PAYMENT FROM PHONE</t>
  </si>
  <si>
    <t>0000457610772104</t>
  </si>
  <si>
    <t>0000000546261424</t>
  </si>
  <si>
    <t>0000000546299233</t>
  </si>
  <si>
    <t>0000000546475684</t>
  </si>
  <si>
    <t>0000000546621406</t>
  </si>
  <si>
    <t>0000000546748727</t>
  </si>
  <si>
    <t>0000000546785045</t>
  </si>
  <si>
    <t>0000000546913968</t>
  </si>
  <si>
    <t>ACH C- JSW STEEL LIMITED-21931616</t>
  </si>
  <si>
    <t>0000006680265130</t>
  </si>
  <si>
    <t>0000000547052777</t>
  </si>
  <si>
    <t>0000000547207422</t>
  </si>
  <si>
    <t>0000000547293987</t>
  </si>
  <si>
    <t>ACH C- ATUL LTDFNLDIV 23 24-19450</t>
  </si>
  <si>
    <t>0000006685376975</t>
  </si>
  <si>
    <t>ACH D- SMALLCASE-TF55PFSY9O4E</t>
  </si>
  <si>
    <t>0000008014706213</t>
  </si>
  <si>
    <t>SIP - 8000</t>
  </si>
  <si>
    <t>ACH C- AXIS BANK LIMITED-7152531</t>
  </si>
  <si>
    <t>0000006719763553</t>
  </si>
  <si>
    <t>UPI-PRAMOD SHARMA SO S N-9822767780@YBL-UTIB0000629-457969846703-PAYMENT FROM PHONE</t>
  </si>
  <si>
    <t>0000457969846703</t>
  </si>
  <si>
    <t>0000000547475762</t>
  </si>
  <si>
    <t>0000000547598099</t>
  </si>
  <si>
    <t>0000000547792719</t>
  </si>
  <si>
    <t>0000000547985978</t>
  </si>
  <si>
    <t>0000000548113932</t>
  </si>
  <si>
    <t>0000000548137987</t>
  </si>
  <si>
    <t>0000000548280575</t>
  </si>
  <si>
    <t>ACH C- NEWGEN SOFTWARE TECH-826467</t>
  </si>
  <si>
    <t>0000006805665674</t>
  </si>
  <si>
    <t>0000000548458306</t>
  </si>
  <si>
    <t>0000000548672907</t>
  </si>
  <si>
    <t>0000000548885109</t>
  </si>
  <si>
    <t>YHDF2404048603/BILLDKINDIANCLEARING</t>
  </si>
  <si>
    <t>0002421858223116</t>
  </si>
  <si>
    <t>ACH C- KOTAK MAHINDRA BANK-5688821</t>
  </si>
  <si>
    <t>0000006951178023</t>
  </si>
  <si>
    <t>0000000549176820</t>
  </si>
  <si>
    <t>0000000549361528</t>
  </si>
  <si>
    <t>0000000549501607</t>
  </si>
  <si>
    <t>0000000549702747</t>
  </si>
  <si>
    <t>0000000550078161</t>
  </si>
  <si>
    <t>0000000550332101</t>
  </si>
  <si>
    <t>0000000550474905</t>
  </si>
  <si>
    <t>0000000550708377</t>
  </si>
  <si>
    <t>0000000550933591</t>
  </si>
  <si>
    <t>ACH C- TML FNL 2023 2024-229010</t>
  </si>
  <si>
    <t>0000007149007454</t>
  </si>
  <si>
    <t>ACH C- SUN PHARMACEUTICAL I-162313</t>
  </si>
  <si>
    <t>0000007158202132</t>
  </si>
  <si>
    <t>0000000551223704</t>
  </si>
  <si>
    <t>0708387574 HDFC BANK DIV 23 24 00848673</t>
  </si>
  <si>
    <t>0000070824132071</t>
  </si>
  <si>
    <t>0000007168438404</t>
  </si>
  <si>
    <t>DEPOSITORY CHARGES JUL24 - 40227714</t>
  </si>
  <si>
    <t>0000000551467530</t>
  </si>
  <si>
    <t>ACH C- DEEPAKNITRITEDIV2324-140198</t>
  </si>
  <si>
    <t>0000007319464604</t>
  </si>
  <si>
    <t>0000000551597524</t>
  </si>
  <si>
    <t>0000000551787285</t>
  </si>
  <si>
    <t>0000000551938812</t>
  </si>
  <si>
    <t>0000000552161167</t>
  </si>
  <si>
    <t>0000000552310470</t>
  </si>
  <si>
    <t>0000000552443078</t>
  </si>
  <si>
    <t>0000000552529574</t>
  </si>
  <si>
    <t>0000000552612600</t>
  </si>
  <si>
    <t>ACH C- KVB DIV 2023 2024-241000072576</t>
  </si>
  <si>
    <t>0000007483697205</t>
  </si>
  <si>
    <t>0000007436583793</t>
  </si>
  <si>
    <t>0000000552943040</t>
  </si>
  <si>
    <t>ACH C- ULTRATECHCEMENTLTD-00000000000004</t>
  </si>
  <si>
    <t>0000007046736229</t>
  </si>
  <si>
    <t>ACH C- DIVISLABORATORIES-000000000000033</t>
  </si>
  <si>
    <t>0000007121404229</t>
  </si>
  <si>
    <t>ISAQMC-APR-JUN24-101236 230724-MIR2522958891156</t>
  </si>
  <si>
    <t>MIR2522958891156</t>
  </si>
  <si>
    <t>50100128155413-TPT-BORROW BY AKG-AAYUSH KUMAR GUPTA</t>
  </si>
  <si>
    <t>0000000299806852</t>
  </si>
  <si>
    <t>Transfer from Aayush</t>
  </si>
  <si>
    <t>0000000553194915</t>
  </si>
  <si>
    <t>0000000553231324</t>
  </si>
  <si>
    <t>0000000553413787</t>
  </si>
  <si>
    <t>0000000553672301</t>
  </si>
  <si>
    <t>0000007627544423</t>
  </si>
  <si>
    <t>0000000553858910</t>
  </si>
  <si>
    <t>0000000553972849</t>
  </si>
  <si>
    <t>0000000553998426</t>
  </si>
  <si>
    <t>01671000060094-TPT-BORROW FROM SUNITA-SUNITA GUPTA</t>
  </si>
  <si>
    <t>0000000311404451</t>
  </si>
  <si>
    <t>0000000554268886</t>
  </si>
  <si>
    <t>00012050001396HLY INT-IN0020230184</t>
  </si>
  <si>
    <t>0000408217449047</t>
  </si>
  <si>
    <t>0000000554534005</t>
  </si>
  <si>
    <t>0000000554673954</t>
  </si>
  <si>
    <t>01671000060094-TPT-MONEY RETURNED-SUNITA GUPTA</t>
  </si>
  <si>
    <t>0000000317317050</t>
  </si>
  <si>
    <t>0000000554842755</t>
  </si>
  <si>
    <t>0000000555107807</t>
  </si>
  <si>
    <t>ACH C- BANDHAN BANK LIMITED-2897066</t>
  </si>
  <si>
    <t>0000007771532450</t>
  </si>
  <si>
    <t>0000000555220660</t>
  </si>
  <si>
    <t>0000000555289578</t>
  </si>
  <si>
    <t>0000000555631661</t>
  </si>
  <si>
    <t>0000000555787214</t>
  </si>
  <si>
    <t>0000000555911970</t>
  </si>
  <si>
    <t>0000000555947014</t>
  </si>
  <si>
    <t>ACH C- KOIL FIN DIV 2023 24-49941</t>
  </si>
  <si>
    <t>0000007814816710</t>
  </si>
  <si>
    <t>0000000556079216</t>
  </si>
  <si>
    <t>ACH C- HINDALCO FIN DIV 24-288134</t>
  </si>
  <si>
    <t>0000007820819510</t>
  </si>
  <si>
    <t>0000000556209413</t>
  </si>
  <si>
    <t>0000000556241915</t>
  </si>
  <si>
    <t>0000000556273001</t>
  </si>
  <si>
    <t>0000000556500755</t>
  </si>
  <si>
    <t>ACH C- IBL FINL DIV 2023 24-114476</t>
  </si>
  <si>
    <t>0000007842158674</t>
  </si>
  <si>
    <t>NEFT CR-YESB0000001-INDIAN CLEARING CORP-AJAYKUMARGUPTA-YESIG42410164563</t>
  </si>
  <si>
    <t>YESIG42410164563</t>
  </si>
  <si>
    <t>0000000556806277</t>
  </si>
  <si>
    <t>0000000556833885</t>
  </si>
  <si>
    <t>0000000556936257</t>
  </si>
  <si>
    <t>DR LAL PATH DIV24 2500000000000000008452</t>
  </si>
  <si>
    <t>0000242423755030</t>
  </si>
  <si>
    <t>ACH C- RELIANCE INDUSTRIES-241361703</t>
  </si>
  <si>
    <t>0000007891638108</t>
  </si>
  <si>
    <t>0000000557124674</t>
  </si>
  <si>
    <t>57500000389159-1336864813</t>
  </si>
  <si>
    <t>0000408309164285</t>
  </si>
  <si>
    <t>Which Receipt?</t>
  </si>
  <si>
    <t>0000000557399905</t>
  </si>
  <si>
    <t>00012050001396HLY INT-IN0020220078</t>
  </si>
  <si>
    <t>0000408309391374</t>
  </si>
  <si>
    <t>0000000557553459</t>
  </si>
  <si>
    <t>CC 000552260XXXXXX5783 AUTOPAY SI-TAD</t>
  </si>
  <si>
    <t>0000000607607120</t>
  </si>
  <si>
    <t>Credit Card</t>
  </si>
  <si>
    <t>0000000557888074</t>
  </si>
  <si>
    <t>ACH C- ICICI BANK LTD.-7312424</t>
  </si>
  <si>
    <t>0000007945707780</t>
  </si>
  <si>
    <t>0000000558090191</t>
  </si>
  <si>
    <t>ACH C- MARUTI SUZUKI INDIA-0000000000000</t>
  </si>
  <si>
    <t>0000007020668247</t>
  </si>
  <si>
    <t>0000000558372091</t>
  </si>
  <si>
    <t>0000000558541750</t>
  </si>
  <si>
    <t>0000000558824789</t>
  </si>
  <si>
    <t>0000000559000783</t>
  </si>
  <si>
    <t>UPI-XXXXXX0094-HDFC0000001-424930662852-PAYMENT FROM PHONE</t>
  </si>
  <si>
    <t>0000424930662852</t>
  </si>
  <si>
    <t>0000000559325891</t>
  </si>
  <si>
    <t>ACH C- POWER FINANCE CORPOR-14784314</t>
  </si>
  <si>
    <t>0000008081524088</t>
  </si>
  <si>
    <t>0000000559481742</t>
  </si>
  <si>
    <t>0000000559639562</t>
  </si>
  <si>
    <t>0000000559784492</t>
  </si>
  <si>
    <t>ACH C- APOLLO HOS FDIV2024-AHLIN30047640</t>
  </si>
  <si>
    <t>0000008221962350</t>
  </si>
  <si>
    <t>0000000559941126</t>
  </si>
  <si>
    <t>0000000560001481</t>
  </si>
  <si>
    <t>UPI-SUNITA GUPTA-AJAYGUPTANEL1@AXL-HDFC0000167-074263747998-MONEY RETURNED FRO</t>
  </si>
  <si>
    <t>0000074263747998</t>
  </si>
  <si>
    <t>0000000560359958</t>
  </si>
  <si>
    <t>ACH C- APAR DIVIDEND2023 24-28983</t>
  </si>
  <si>
    <t>0000008189706369</t>
  </si>
  <si>
    <t>00012050001396HLY INT-IN0020200427</t>
  </si>
  <si>
    <t>0000409097175681</t>
  </si>
  <si>
    <t>00012050001396HLY INT-IN0020200195</t>
  </si>
  <si>
    <t>0000409097334004</t>
  </si>
  <si>
    <t>00012050001396HLY INT-IN0020210145</t>
  </si>
  <si>
    <t>0000409097078760</t>
  </si>
  <si>
    <t>0000000560559213</t>
  </si>
  <si>
    <t>0000008362725529</t>
  </si>
  <si>
    <t>0000000560944438</t>
  </si>
  <si>
    <t>ACH C- HINDUSTANAERONAUTICS-4568895</t>
  </si>
  <si>
    <t>0000008454747105</t>
  </si>
  <si>
    <t>0000000561220132</t>
  </si>
  <si>
    <t>FT- 561185768-50200085415108 - HDFC SECURITIES LTD-CLIENT DSCNB A/C -</t>
  </si>
  <si>
    <t>0000000769392430</t>
  </si>
  <si>
    <t>FT- KMMF REDEMPTIONS - KMMF RED   337512486</t>
  </si>
  <si>
    <t>0000000769312712</t>
  </si>
  <si>
    <t>MF Redemption</t>
  </si>
  <si>
    <t>NEFT DR-SBIN0011669-AJAY KUMAR GUPTA-NETBANK, MUM-N255243261140183-TRANSFER FROM AJAY</t>
  </si>
  <si>
    <t>N255243261140183</t>
  </si>
  <si>
    <t>NEFT DR-UTIB0001538-AJAY KUMAR GUPTA-NETBANK, MUM-N255243261149985-MONTHLY EXPENSES</t>
  </si>
  <si>
    <t>N255243261149985</t>
  </si>
  <si>
    <t>ACH C- NTPC- FINAL DIV 23-2-NT0708240357</t>
  </si>
  <si>
    <t>0000008487135869</t>
  </si>
  <si>
    <t>0000000561341316</t>
  </si>
  <si>
    <t>ACH C- MANORAMA FNLDIV2324-4220</t>
  </si>
  <si>
    <t>0000008545572487</t>
  </si>
  <si>
    <t>0000000561540086</t>
  </si>
  <si>
    <t>0000000561804044</t>
  </si>
  <si>
    <t>ACH C- ASAHI FNLDIV 2023 24-31009</t>
  </si>
  <si>
    <t>0000008567506979</t>
  </si>
  <si>
    <t>0000000561940756</t>
  </si>
  <si>
    <t>0000000562240673</t>
  </si>
  <si>
    <t>ACH C- POWER FINANCE CORPOR-16284467</t>
  </si>
  <si>
    <t>0000008630129534</t>
  </si>
  <si>
    <t>0000000562366534</t>
  </si>
  <si>
    <t>0000008615725782</t>
  </si>
  <si>
    <t>0000000562612048</t>
  </si>
  <si>
    <t>UPI-BHANDARI JEWELS-VYAPAR.167960027305@HDFCBANK-HDFC0000001-426068109706-MANGLE SUTRA</t>
  </si>
  <si>
    <t>0000426068109706</t>
  </si>
  <si>
    <t>FT- 562922072-50200085415108 - HDFC SECURITIES LTD-CLIENT DSCNB A/C -</t>
  </si>
  <si>
    <t>0000000774502652</t>
  </si>
  <si>
    <t>0000000563099848</t>
  </si>
  <si>
    <t>DEPOSITORY CHARGES AUG24 - 40227714</t>
  </si>
  <si>
    <t>0000000563871004</t>
  </si>
  <si>
    <t>FT- 563832006-50200085415108 - HDFC SECURITIES LTD-CLIENT DSCNB A/C -</t>
  </si>
  <si>
    <t>0000000776454093</t>
  </si>
  <si>
    <t>0000000564003123</t>
  </si>
  <si>
    <t>FT- 564393129-50200085415108 - HDFC SECURITIES LTD-CLIENT DSCNB A/C -</t>
  </si>
  <si>
    <t>0000000777645592</t>
  </si>
  <si>
    <t>0000008835087395</t>
  </si>
  <si>
    <t>0000000564566062</t>
  </si>
  <si>
    <t>00012050001396HLY INT-IN0020230093</t>
  </si>
  <si>
    <t>0000409201927665</t>
  </si>
  <si>
    <t>0000000564677590</t>
  </si>
  <si>
    <t>ACH C- AFL DIVIDEND FY2324-IN30047640227</t>
  </si>
  <si>
    <t>0000008854676028</t>
  </si>
  <si>
    <t>FT- 564848434-50200085415108 - HDFC SECURITIES LTD-CLIENT DSCNB A/C -</t>
  </si>
  <si>
    <t>0000000779577054</t>
  </si>
  <si>
    <t>0000000565067174</t>
  </si>
  <si>
    <t>FT- 565377911-50200085415108 - HDFC SECURITIES LTD-CLIENT DSCNB A/C -</t>
  </si>
  <si>
    <t>0000000780759070</t>
  </si>
  <si>
    <t>0000000565551842</t>
  </si>
  <si>
    <t>ACH C- TRIVENI TURBINE LTD-101598</t>
  </si>
  <si>
    <t>0000008938447580</t>
  </si>
  <si>
    <t>ACH C- ENGINEERS INDIA LIMI-335143</t>
  </si>
  <si>
    <t>0000008963377158</t>
  </si>
  <si>
    <t>FT- 565842598-50200085415108 - HDFC SECURITIES LTD-CLIENT DSCNB A/C -</t>
  </si>
  <si>
    <t>0000000781984642</t>
  </si>
  <si>
    <t>FT- 565870832-50200085415108 - HDFC SECURITIES LTD-CLIENT DSCNB A/C -</t>
  </si>
  <si>
    <t>0000000782039040</t>
  </si>
  <si>
    <t>0000000565990648</t>
  </si>
  <si>
    <t>ACH C- SANDUR DIV 23 24-00037789</t>
  </si>
  <si>
    <t>0000008975280802</t>
  </si>
  <si>
    <t>0000000566208071</t>
  </si>
  <si>
    <t>0000000566468298</t>
  </si>
  <si>
    <t>FT- 566776806-50200085415108 - HDFC SECURITIES LTD-CLIENT DSCNB A/C -</t>
  </si>
  <si>
    <t>0000000784633174</t>
  </si>
  <si>
    <t>0000000566947239</t>
  </si>
  <si>
    <t>FT- 567219302-50200085415108 - HDFC SECURITIES LTD-CLIENT DSCNB A/C -</t>
  </si>
  <si>
    <t>0000000786719128</t>
  </si>
  <si>
    <t>0000000567401729</t>
  </si>
  <si>
    <t>0000000567610501</t>
  </si>
  <si>
    <t>INTEREST PAID TILL 30-SEP-2024</t>
  </si>
  <si>
    <t>0000000567945359</t>
  </si>
  <si>
    <t>01671000060094-TPT-MONEY RETURNED FROM SUNITA TO AJAY-SUNITA GUPTA</t>
  </si>
  <si>
    <t>0000000229921584</t>
  </si>
  <si>
    <t>0000000568126137</t>
  </si>
  <si>
    <t>0000000614090424</t>
  </si>
  <si>
    <t>FT- 568278067-50200085415108 - HDFC SECURITIES LTD-CLIENT DSCNB A/C -</t>
  </si>
  <si>
    <t>0000000790822685</t>
  </si>
  <si>
    <t>0000000568451928</t>
  </si>
  <si>
    <t>0000000568662343</t>
  </si>
  <si>
    <t>0000000568965232</t>
  </si>
  <si>
    <t>0000000569192517</t>
  </si>
  <si>
    <t>FD BOOKED - 50301048327955 : AJAY KUMAR GUPTA</t>
  </si>
  <si>
    <t>4010392024100547746001</t>
  </si>
  <si>
    <t>FD</t>
  </si>
  <si>
    <t>0000000569607437</t>
  </si>
  <si>
    <t>ACH C- HOUSING AND URBAN DE-753360</t>
  </si>
  <si>
    <t>0000009595639848</t>
  </si>
  <si>
    <t>0000000569882447</t>
  </si>
  <si>
    <t>0000000570156432</t>
  </si>
  <si>
    <t>FT- 570454959-50200085415108 - HDFC SECURITIES LTD-CLIENT DSCNB A/C -</t>
  </si>
  <si>
    <t>0000000800356154</t>
  </si>
  <si>
    <t>FT- 570486480-50200085415108 - HDFC SECURITIES LTD-CLIENT DSCNB A/C -</t>
  </si>
  <si>
    <t>0000000800372123</t>
  </si>
  <si>
    <t>0000000570587778</t>
  </si>
  <si>
    <t>FT- 570905628-50200085415108 - HDFC SECURITIES LTD-CLIENT DSCNB A/C -</t>
  </si>
  <si>
    <t>0000000801930546</t>
  </si>
  <si>
    <t>FT- 570879155-50200085415108 - HDFC SECURITIES LTD-CLIENT DSCNB A/C -</t>
  </si>
  <si>
    <t>0000000801906044</t>
  </si>
  <si>
    <t>0000009918464785</t>
  </si>
  <si>
    <t>0000000571076558</t>
  </si>
  <si>
    <t>ACH C- BEML LIMITED-4147937</t>
  </si>
  <si>
    <t>0000009994518858</t>
  </si>
  <si>
    <t>ACH C- POWER MECH PROJECTS-809990</t>
  </si>
  <si>
    <t>0000000008613228</t>
  </si>
  <si>
    <t>0000000571209803</t>
  </si>
  <si>
    <t>FT- 571353580-50200085415108 - HDFC SECURITIES LTD-CLIENT DSCNB A/C -</t>
  </si>
  <si>
    <t>0000000803560648</t>
  </si>
  <si>
    <t>0000000571486402</t>
  </si>
  <si>
    <t>0000000571613830</t>
  </si>
  <si>
    <t>NEFT CR-YESB0000001-JYOTI RESINS AND ADHESIVES LIMITED-AJAY KUMAR GUPTA-YESIG42880018723</t>
  </si>
  <si>
    <t>YESIG42880018723</t>
  </si>
  <si>
    <t>FT- 571744712-50200085415108 - HDFC SECURITIES LTD-CLIENT DSCNB A/C -</t>
  </si>
  <si>
    <t>0000000805274000</t>
  </si>
  <si>
    <t>NEFT CR-UTIB0000003-PRIME FRESH LIMITED FINAL DIVIDEND-AJAY KUMAR GUPTA-AXISP00553242300</t>
  </si>
  <si>
    <t>AXISP00553242300</t>
  </si>
  <si>
    <t>FT- 572127245-50200085415108 - HDFC SECURITIES LTD-CLIENT DSCNB A/C -</t>
  </si>
  <si>
    <t>0000000806373698</t>
  </si>
  <si>
    <t>FT- 572149666-50200085415108 - HDFC SECURITIES LTD-CLIENT DSCNB A/C -</t>
  </si>
  <si>
    <t>0000000806398184</t>
  </si>
  <si>
    <t>0000000087889788</t>
  </si>
  <si>
    <t>DEPOSITORY CHARGES SEP24 - 40227714</t>
  </si>
  <si>
    <t>0000000572290008</t>
  </si>
  <si>
    <t>ACH C- SJVN LTD-1156131</t>
  </si>
  <si>
    <t>0000000148298553</t>
  </si>
  <si>
    <t>ACH C- KNR CONST FINDIV 24-84288</t>
  </si>
  <si>
    <t>0000000152331119</t>
  </si>
  <si>
    <t>0000000572449573</t>
  </si>
  <si>
    <t>FT- 572596207-50200085415108 - HDFC SECURITIES LTD-CLIENT DSCNB A/C -</t>
  </si>
  <si>
    <t>0000000807570373</t>
  </si>
  <si>
    <t>0000000572698058</t>
  </si>
  <si>
    <t>0000000572866475</t>
  </si>
  <si>
    <t>FT- 573006578-50200085415108 - HDFC SECURITIES LTD-CLIENT DSCNB A/C -</t>
  </si>
  <si>
    <t>0000000808750858</t>
  </si>
  <si>
    <t>0000000573135575</t>
  </si>
  <si>
    <t>0000000573317345</t>
  </si>
  <si>
    <t>0000000573562364</t>
  </si>
  <si>
    <t>0000000573741201</t>
  </si>
  <si>
    <t>0000000260930234</t>
  </si>
  <si>
    <t>0000000574063612</t>
  </si>
  <si>
    <t>0000000574235770</t>
  </si>
  <si>
    <t>0000000574525224</t>
  </si>
  <si>
    <t>0000000574741277</t>
  </si>
  <si>
    <t>0000000575011500</t>
  </si>
  <si>
    <t>FT- 575326715-50200085415108 - HDFC SECURITIES LTD-CLIENT DSCNB A/C -</t>
  </si>
  <si>
    <t>0000000815414847</t>
  </si>
  <si>
    <t>FT- KMMF REDEMPTIONS - KMMF RED   348503765</t>
  </si>
  <si>
    <t>0000000815328097</t>
  </si>
  <si>
    <t>0000000575449730</t>
  </si>
  <si>
    <t>0000000575633987</t>
  </si>
  <si>
    <t>0000000575895505</t>
  </si>
  <si>
    <t>ATW-512967XXXXXX1000-S1AWKT20-KOTA</t>
  </si>
  <si>
    <t>0000000000006376</t>
  </si>
  <si>
    <t>IMPS-429916082357-CAMS-HSBC-XXXXXXXX5001-8697002157670</t>
  </si>
  <si>
    <t>0000429916082357</t>
  </si>
  <si>
    <t>Misc Income</t>
  </si>
  <si>
    <t>0000000576151881</t>
  </si>
  <si>
    <t>41027702955087451153/PAYTMHDFCSTANDARDLIF</t>
  </si>
  <si>
    <t>0002430165736052</t>
  </si>
  <si>
    <t>HDFC STANDARD LIFE</t>
  </si>
  <si>
    <t>NEFT CR-SBIN0011669-MR AJAY KUMAR GUPTA-U2FSDGVKX18QSJTFLR0P3VRLQAGJM2GMOJL-SBIN224301107261</t>
  </si>
  <si>
    <t>SBIN224301107261</t>
  </si>
  <si>
    <t>0000000576472543</t>
  </si>
  <si>
    <t>FT- 576762552-50200085415108 - HDFC SECURITIES LTD-CLIENT DSCNB A/C -</t>
  </si>
  <si>
    <t>0000000821153688</t>
  </si>
  <si>
    <t>0000000576919923</t>
  </si>
  <si>
    <t>0000000577074979</t>
  </si>
  <si>
    <t>0000000577348408</t>
  </si>
  <si>
    <t>FT- 577628303-50200085415108 - HDFC SECURITIES LTD-CLIENT DSCNB A/C -</t>
  </si>
  <si>
    <t>0000000826176639</t>
  </si>
  <si>
    <t>FT- 577600550-50200085415108 - HDFC SECURITIES LTD-CLIENT DSCNB A/C -</t>
  </si>
  <si>
    <t>0000000826135055</t>
  </si>
  <si>
    <t>FT- INVESCO MF A/C - BS77 11104569 31020891576 45871269</t>
  </si>
  <si>
    <t>0000001826217237</t>
  </si>
  <si>
    <t>0000000577738115</t>
  </si>
  <si>
    <t>0000000577849612</t>
  </si>
  <si>
    <t>FT- 578240113-50200085415108 - HDFC SECURITIES LTD-CLIENT DSCNB A/C -</t>
  </si>
  <si>
    <t>0000000827829206</t>
  </si>
  <si>
    <t>FT- 578275001-50200085415108 - HDFC SECURITIES LTD-CLIENT DSCNB A/C -</t>
  </si>
  <si>
    <t>0000000827867014</t>
  </si>
  <si>
    <t>0000000578530870</t>
  </si>
  <si>
    <t>ATW-512967XXXXXX1000-S1ANRS37-KOTA</t>
  </si>
  <si>
    <t>0000000000003221</t>
  </si>
  <si>
    <t>0000411049002704</t>
  </si>
  <si>
    <t>0000000578774651</t>
  </si>
  <si>
    <t>0000000579074569</t>
  </si>
  <si>
    <t>0000000579232950</t>
  </si>
  <si>
    <t>0000000579521265</t>
  </si>
  <si>
    <t>FT- 579783157-50200085415108 - HDFC SECURITIES LTD-CLIENT DSCNB A/C -</t>
  </si>
  <si>
    <t>0000000832003806</t>
  </si>
  <si>
    <t>0000000579946429</t>
  </si>
  <si>
    <t>ACH C- LTIMIN INT 2024 25-184440</t>
  </si>
  <si>
    <t>0000000844690706</t>
  </si>
  <si>
    <t>0000000580130146</t>
  </si>
  <si>
    <t>FT- 580292267-50200085415108 - HDFC SECURITIES LTD-CLIENT DSCNB A/C -</t>
  </si>
  <si>
    <t>0000000833817681</t>
  </si>
  <si>
    <t>0611208971 INFY INTDIV2024-25 45328821</t>
  </si>
  <si>
    <t>0000061124134567</t>
  </si>
  <si>
    <t>0000000580402937</t>
  </si>
  <si>
    <t>0000000580616061</t>
  </si>
  <si>
    <t>0000000000004116</t>
  </si>
  <si>
    <t>FT- 580762037-50200085415108 - HDFC SECURITIES LTD-CLIENT DSCNB A/C -</t>
  </si>
  <si>
    <t>0000000837010945</t>
  </si>
  <si>
    <t>0000000969085379</t>
  </si>
  <si>
    <t>0000000580938343</t>
  </si>
  <si>
    <t>0000000581151091</t>
  </si>
  <si>
    <t>0000000581185928</t>
  </si>
  <si>
    <t>0000000581429067</t>
  </si>
  <si>
    <t>NEFT CR-YESB0000001-INDIAN CLEARING CORP-AJAYKUMARGUPTA-YESIG43170099112</t>
  </si>
  <si>
    <t>YESIG43170099112</t>
  </si>
  <si>
    <t>0000000581599023</t>
  </si>
  <si>
    <t>DEPOSITORY CHARGES OCT24 - 40227714</t>
  </si>
  <si>
    <t>0000000581865173</t>
  </si>
  <si>
    <t>0000000582100768</t>
  </si>
  <si>
    <t>0000000582352744</t>
  </si>
  <si>
    <t>0000000582536532</t>
  </si>
  <si>
    <t>01671000060094-TPT-BORROW FROM AJAY HDFC-SUNITA GUPTA</t>
  </si>
  <si>
    <t>0000000178961580</t>
  </si>
  <si>
    <t>DR LAL PATH DIV24 2500000000000000008240</t>
  </si>
  <si>
    <t>0000243218238389</t>
  </si>
  <si>
    <t>0000001211095079</t>
  </si>
  <si>
    <t>0000000582861385</t>
  </si>
  <si>
    <t>ACH C- NTPC-INT DIV 24-25-NT021124016971</t>
  </si>
  <si>
    <t>0000001313117393</t>
  </si>
  <si>
    <t>0000411188876991</t>
  </si>
  <si>
    <t>0000000000005362</t>
  </si>
  <si>
    <t>FT- 583182408-50200085415108 - HDFC SECURITIES LTD-CLIENT DSCNB A/C -</t>
  </si>
  <si>
    <t>0000000844911864</t>
  </si>
  <si>
    <t>0000000583328667</t>
  </si>
  <si>
    <t>ACH C- SHRIRAM.FINLTD IDV25-STFCIN300476</t>
  </si>
  <si>
    <t>0000001382701647</t>
  </si>
  <si>
    <t>FT- 583578543-50200085415108 - HDFC SECURITIES LTD-CLIENT DSCNB A/C -</t>
  </si>
  <si>
    <t>0000000846860586</t>
  </si>
  <si>
    <t>0000001378129639</t>
  </si>
  <si>
    <t>0000000583742821</t>
  </si>
  <si>
    <t>0000000583977296</t>
  </si>
  <si>
    <t>0000000584232697</t>
  </si>
  <si>
    <t>FT- 584495346-50200085415108 - HDFC SECURITIES LTD-CLIENT DSCNB A/C -</t>
  </si>
  <si>
    <t>0000000849735341</t>
  </si>
  <si>
    <t>FT- 584529315-50200085415108 - HDFC SECURITIES LTD-CLIENT DSCNB A/C -</t>
  </si>
  <si>
    <t>0000000849769841</t>
  </si>
  <si>
    <t>0000000584700424</t>
  </si>
  <si>
    <t>ATW-512967XXXXXX1000-S1ANRS40-KOTA</t>
  </si>
  <si>
    <t>0000000000008646</t>
  </si>
  <si>
    <t>FT- 584932405-50200085415108 - HDFC SECURITIES LTD-CLIENT DSCNB A/C -</t>
  </si>
  <si>
    <t>0000000850827697</t>
  </si>
  <si>
    <t>0000000585073875</t>
  </si>
  <si>
    <t>0000000585233670</t>
  </si>
  <si>
    <t>FT- 585371650-50200085415108 - HDFC SECURITIES LTD-CLIENT DSCNB A/C -</t>
  </si>
  <si>
    <t>0000000852447396</t>
  </si>
  <si>
    <t>0000000585489000</t>
  </si>
  <si>
    <t>FT- 585742996-50200085415108 - HDFC SECURITIES LTD-CLIENT DSCNB A/C -</t>
  </si>
  <si>
    <t>0000000853407815</t>
  </si>
  <si>
    <t>0000000585909021</t>
  </si>
  <si>
    <t>0000000586101256</t>
  </si>
  <si>
    <t>0000000586352692</t>
  </si>
  <si>
    <t>0000000586476450</t>
  </si>
  <si>
    <t>NEFT CR-UTIB0002656-AJAY KUMAR GUPTA-AJAY GUPTA-AXOIR33458045816</t>
  </si>
  <si>
    <t>AXOIR33458045816</t>
  </si>
  <si>
    <t>FT- 586612656-50200085415108 - HDFC SECURITIES LTD-CLIENT DSCNB A/C -</t>
  </si>
  <si>
    <t>0000000857716273</t>
  </si>
  <si>
    <t>0000000628419683</t>
  </si>
  <si>
    <t>0000000586846815</t>
  </si>
  <si>
    <t>NEFT CR-UTIB0002656-AJAY KUMAR GUPTA-AJAY GUPTA-AXOIR33777892965</t>
  </si>
  <si>
    <t>AXOIR33777892965</t>
  </si>
  <si>
    <t>0000000586991382</t>
  </si>
  <si>
    <t>0000000587252691</t>
  </si>
  <si>
    <t>FT- 587522978-50200085415108 - HDFC SECURITIES LTD-CLIENT DSCNB A/C -</t>
  </si>
  <si>
    <t>0000000860870391</t>
  </si>
  <si>
    <t>0000000587671757</t>
  </si>
  <si>
    <t>0000000587822673</t>
  </si>
  <si>
    <t>0000000588115772</t>
  </si>
  <si>
    <t>ACH C- ASHOK.LEYLTD IDV25-ALLIN300476402</t>
  </si>
  <si>
    <t>0000001887468324</t>
  </si>
  <si>
    <t>BALRAMPUR DIV 24 2500000000000002274884</t>
  </si>
  <si>
    <t>0000243403196981</t>
  </si>
  <si>
    <t>0000000588236993</t>
  </si>
  <si>
    <t>FT- 588386762-50200085415108 - HDFC SECURITIES LTD-CLIENT DSCNB A/C -</t>
  </si>
  <si>
    <t>0000000863883800</t>
  </si>
  <si>
    <t>0000000588541010</t>
  </si>
  <si>
    <t>ACH C- POWER FINANCE CORPOR-18313486</t>
  </si>
  <si>
    <t>0000001818012619</t>
  </si>
  <si>
    <t>0000000588699678</t>
  </si>
  <si>
    <t>0000000589058717</t>
  </si>
  <si>
    <t>0000000000008316</t>
  </si>
  <si>
    <t>0000000589210255</t>
  </si>
  <si>
    <t>0000002104511925</t>
  </si>
  <si>
    <t>0000000589533291</t>
  </si>
  <si>
    <t>0000000589677492</t>
  </si>
  <si>
    <t>FT- 589820264-50200085415108 - HDFC SECURITIES LTD-CLIENT DSCNB A/C -</t>
  </si>
  <si>
    <t>0000000871316742</t>
  </si>
  <si>
    <t>0000000589954564</t>
  </si>
  <si>
    <t>0000000590080478</t>
  </si>
  <si>
    <t>0000000590341716</t>
  </si>
  <si>
    <t>0000000590524034</t>
  </si>
  <si>
    <t>0000000590763076</t>
  </si>
  <si>
    <t>CASH DEPOSIT BY - SEFL - VISHWAKARMA CIRCLE</t>
  </si>
  <si>
    <t>Cash Deposit</t>
  </si>
  <si>
    <t>0000000590895833</t>
  </si>
  <si>
    <t>0000000590942157</t>
  </si>
  <si>
    <t>0000002312979946</t>
  </si>
  <si>
    <t>0000000591260967</t>
  </si>
  <si>
    <t>0000000591401381</t>
  </si>
  <si>
    <t>0000000591661316</t>
  </si>
  <si>
    <t>DEPOSITORY CHARGES NOV24 - 40227714</t>
  </si>
  <si>
    <t>FT- 591975268-50200085415108 - HDFC SECURITIES LTD-CLIENT DSCNB A/C -</t>
  </si>
  <si>
    <t>0000000878536591</t>
  </si>
  <si>
    <t>0000000592112278</t>
  </si>
  <si>
    <t>0000000592289670</t>
  </si>
  <si>
    <t>0000000592605451</t>
  </si>
  <si>
    <t>0000000592735773</t>
  </si>
  <si>
    <t>0000000592789289</t>
  </si>
  <si>
    <t>ACH D- TP ACH INDIANESIGN-1658585245</t>
  </si>
  <si>
    <t>0000002518344287</t>
  </si>
  <si>
    <t>NEFT CR-UTIB0002656-AJAY KUMAR GUPTA-AJAY GUPTA-AXOIR35504678280</t>
  </si>
  <si>
    <t>AXOIR35504678280</t>
  </si>
  <si>
    <t>NEFT CR-SBIN0011669-MR AJAY KUMAR GUPTA-AJAY KUMAR GUPTA-SBIN224355793030</t>
  </si>
  <si>
    <t>SBIN224355793030</t>
  </si>
  <si>
    <t>0000000593089170</t>
  </si>
  <si>
    <t>0000000593291626</t>
  </si>
  <si>
    <t>CHQ PAID-MICR CTS-RK-SHRI DHA</t>
  </si>
  <si>
    <t>0000000000000026</t>
  </si>
  <si>
    <t>Khandelwal Marriage expense</t>
  </si>
  <si>
    <t>0000000593613422</t>
  </si>
  <si>
    <t>FT- 593876868-50200085415108 - HDFC SECURITIES LTD-CLIENT DSCNB A/C -</t>
  </si>
  <si>
    <t>0000000884552809</t>
  </si>
  <si>
    <t>0000000594033492</t>
  </si>
  <si>
    <t>0000000594169067</t>
  </si>
  <si>
    <t>01671000060094-TPT-BORROW FROM AKG-SUNITA GUPTA</t>
  </si>
  <si>
    <t>0000000503524290</t>
  </si>
  <si>
    <t>0000000594451620</t>
  </si>
  <si>
    <t>0000000594645258</t>
  </si>
  <si>
    <t>0000000594880483</t>
  </si>
  <si>
    <t>0000412271680190</t>
  </si>
  <si>
    <t>0000000595075500</t>
  </si>
  <si>
    <t>0000000595350010</t>
  </si>
  <si>
    <t>FT- 595651309-50200085415108 - HDFC SECURITIES LTD-CLIENT DSCNB A/C -</t>
  </si>
  <si>
    <t>0000000891436894</t>
  </si>
  <si>
    <t>0000000595769790</t>
  </si>
  <si>
    <t>0000000595929119</t>
  </si>
  <si>
    <t>INTEREST PAID TILL 31-DEC-2024</t>
  </si>
  <si>
    <t>0000000596242103</t>
  </si>
  <si>
    <t>NEFT CR-SBIN0000539-SBI LIFE INSURANCE CO LTD-AJAY GUPTA-SBIN225001763168</t>
  </si>
  <si>
    <t>SBIN225001763168</t>
  </si>
  <si>
    <t>LIC Policy Redemption</t>
  </si>
  <si>
    <t>FT- 596468384-50200085415108 - HDFC SECURITIES LTD-CLIENT DSCNB A/C -</t>
  </si>
  <si>
    <t>0000000894541015</t>
  </si>
  <si>
    <t>50100128155413-TPT-TRANSFER FROM AJAY-AAYUSH KUMAR GUPTA</t>
  </si>
  <si>
    <t>0000000250012767</t>
  </si>
  <si>
    <t>Transfer to Aayush</t>
  </si>
  <si>
    <t>RTGS DR-SBIN0011669-AJAY KUMAR GUPTA-NETBANK, MUM-HDFCR52025010276679796-TRF FRM AJAY HDFC</t>
  </si>
  <si>
    <t>HDFCR52025010276679796</t>
  </si>
  <si>
    <t>0000000596632692</t>
  </si>
  <si>
    <t>SC BILLING WITH GST : LOCKER CASA ACCOUNT LEVEL SC CHARGE 775</t>
  </si>
  <si>
    <t>NCB2500254959919</t>
  </si>
  <si>
    <t>CGST-LOCKER CASA ACCOUNT LEVEL SC CHARGE 775-NCB2500254959919</t>
  </si>
  <si>
    <t>Locker Charges</t>
  </si>
  <si>
    <t>SGST-LOCKER CASA ACCOUNT LEVEL SC CHARGE 775-NCB2500254959919</t>
  </si>
  <si>
    <t>50100542230922-TPT-TRANSFER FROM AJAY-ARCHIT GUPTA</t>
  </si>
  <si>
    <t>0000000255269657</t>
  </si>
  <si>
    <t>01671000060094-TPT-TRANSFER FROM AJAY-SUNITA GUPTA</t>
  </si>
  <si>
    <t>0000000255304792</t>
  </si>
  <si>
    <t>0000000596760236</t>
  </si>
  <si>
    <t>0000000597051786</t>
  </si>
  <si>
    <t>0000000597256390</t>
  </si>
  <si>
    <t>0000000597654383</t>
  </si>
  <si>
    <t>0000501068482348</t>
  </si>
  <si>
    <t>NEFT DR-CBIN0281641-MEGHA GUPTA-NETBANK, MUM-N006253497214304-EVENT DECORATION</t>
  </si>
  <si>
    <t>N006253497214304</t>
  </si>
  <si>
    <t>Transfer to Megha</t>
  </si>
  <si>
    <t>0000000597893573</t>
  </si>
  <si>
    <t>0000000598207649</t>
  </si>
  <si>
    <t>FT- 598456188-50200085415108 - HDFC SECURITIES LTD-CLIENT DSCNB A/C -</t>
  </si>
  <si>
    <t>0000000903560245</t>
  </si>
  <si>
    <t>0000000598622667</t>
  </si>
  <si>
    <t>0000000598784101</t>
  </si>
  <si>
    <t>0000000000003218</t>
  </si>
  <si>
    <t>0000000599039881</t>
  </si>
  <si>
    <t>0000000599239032</t>
  </si>
  <si>
    <t>ACH D- TP ACH INDIANESIGN-1684745949</t>
  </si>
  <si>
    <t>0000003286374597</t>
  </si>
  <si>
    <t>0000000599522239</t>
  </si>
  <si>
    <t>0000000599717975</t>
  </si>
  <si>
    <t>CHQ PAID-MICR CTS-RK-SHRI KHANDELWAL VES</t>
  </si>
  <si>
    <t>0000000000000027</t>
  </si>
  <si>
    <t>0000000600020075</t>
  </si>
  <si>
    <t>DEPOSITORY CHARGES DEC24 - 40227714</t>
  </si>
  <si>
    <t>0000000600266724</t>
  </si>
  <si>
    <t>0000000600563229</t>
  </si>
  <si>
    <t>0000000000004125</t>
  </si>
  <si>
    <t>FT- 600816172-50200085415108 - HDFC SECURITIES LTD-CLIENT DSCNB A/C -</t>
  </si>
  <si>
    <t>0000000912357964</t>
  </si>
  <si>
    <t>ACH D- TP ACH INDIANESIGN-1689190105</t>
  </si>
  <si>
    <t>0000003459845697</t>
  </si>
  <si>
    <t>0000000600977163</t>
  </si>
  <si>
    <t>FT- 601267109-50200085415108 - HDFC SECURITIES LTD-CLIENT DSCNB A/C -</t>
  </si>
  <si>
    <t>0000000913396578</t>
  </si>
  <si>
    <t>0000000601423713</t>
  </si>
  <si>
    <t>FT- 601643152-50200085415108 - HDFC SECURITIES LTD-CLIENT DSCNB A/C -</t>
  </si>
  <si>
    <t>0000000914527234</t>
  </si>
  <si>
    <t>0000000601812970</t>
  </si>
  <si>
    <t>0000000000004492</t>
  </si>
  <si>
    <t>0000000601935415</t>
  </si>
  <si>
    <t>0000501182900818</t>
  </si>
  <si>
    <t>CHQ PAID-MICR CTS-RK SALAI BRA</t>
  </si>
  <si>
    <t>0000000000000028</t>
  </si>
  <si>
    <t>ACH D- TP ACH INDIANESIGN-1690565591</t>
  </si>
  <si>
    <t>0000003590358985</t>
  </si>
  <si>
    <t>I/W CHQ RET-DRAWER SIGNATURE DIFFERS</t>
  </si>
  <si>
    <t>Marriage</t>
  </si>
  <si>
    <t>0000000602230964</t>
  </si>
  <si>
    <t>0000501204136982</t>
  </si>
  <si>
    <t>FT- 602471279-50200085415108 - HDFC SECURITIES LTD-CLIENT DSCNB A/C -</t>
  </si>
  <si>
    <t>0000000917771504</t>
  </si>
  <si>
    <t>0000000602605197</t>
  </si>
  <si>
    <t>0000000602790328</t>
  </si>
  <si>
    <t>0000000603049628</t>
  </si>
  <si>
    <t>NEFT DR-CBIN0281641-MEGHA GUPTA-NETBANK, MUM-HDFCN52025012216906963-EXPENSES RETURNED</t>
  </si>
  <si>
    <t>HDFCN52025012216906963</t>
  </si>
  <si>
    <t>0000000603238104</t>
  </si>
  <si>
    <t>0000000603458092</t>
  </si>
  <si>
    <t>RTGS DR-BARB0BRGBXX-MEDATWAL VESHNEY SAMAJ SEWA SAMITI-NETBANK, MUM-HDFCR52025012383393527-PACHOTRA METADWAL</t>
  </si>
  <si>
    <t>HDFCR52025012383393527</t>
  </si>
  <si>
    <t>Medatwal donation?</t>
  </si>
  <si>
    <t>FT- 603761570-50200085415108 - HDFC SECURITIES LTD-CLIENT DSCNB A/C -</t>
  </si>
  <si>
    <t>0000000921341585</t>
  </si>
  <si>
    <t>0000000603906433</t>
  </si>
  <si>
    <t>UPI-SAGAR TRADERS-0793731A0167326.BQR@KOTAK-KKBK0003731-293492852550-2384624A</t>
  </si>
  <si>
    <t>0000293492852550</t>
  </si>
  <si>
    <t>NEFT DR-COSB0000909-RAMCHANDANI UMESH SUNDARDAS-NETBANK, MUM-HDFCN52025012421830104-KRISHNA LAWN PAYME</t>
  </si>
  <si>
    <t>HDFCN52025012421830104</t>
  </si>
  <si>
    <t>Reception</t>
  </si>
  <si>
    <t>NEFT DR-ICIC0006879-PRABHULAL SHARMA HALWAI AND CATERS-NETBANK, MUM-HDFCN52025012622856942-HALWAI JI</t>
  </si>
  <si>
    <t>HDFCN52025012622856942</t>
  </si>
  <si>
    <t>Prabhu Lal ji Marriage</t>
  </si>
  <si>
    <t>FT- 604200359-50200085415108 - HDFC SECURITIES LTD-CLIENT DSCNB A/C -</t>
  </si>
  <si>
    <t>0000000923248123</t>
  </si>
  <si>
    <t>0000000604414577</t>
  </si>
  <si>
    <t>0000000604618105</t>
  </si>
  <si>
    <t>CHQ DEP - MICR 8 CLEARING - TALWANDI - K: MEDATWAL VESHEY SAMAJ SEWA SAMITI :BARODA RAJ GRAMIN BANK</t>
  </si>
  <si>
    <t>0000000000000397</t>
  </si>
  <si>
    <t>0000000000000398</t>
  </si>
  <si>
    <t>0000000604905753</t>
  </si>
  <si>
    <t>0000000605060493</t>
  </si>
  <si>
    <t>0000000605301359</t>
  </si>
  <si>
    <t>FT- 605547892-50200085415108 - HDFC SECURITIES LTD-CLIENT DSCNB A/C -</t>
  </si>
  <si>
    <t>0000000927205134</t>
  </si>
  <si>
    <t>UPI-XXXXXX0094-HDFC0000001-810561957614-PAYMENT FROM PHONE</t>
  </si>
  <si>
    <t>0000810561957614</t>
  </si>
  <si>
    <t>0000000605692660</t>
  </si>
  <si>
    <t>CHQ RETURN CHGS INCL GST 200125-MIR2503033654855</t>
  </si>
  <si>
    <t>0000000605905597</t>
  </si>
  <si>
    <t>0000000606130870</t>
  </si>
  <si>
    <t>FT- 606594741-50200085415108 - HDFC SECURITIES LTD-CLIENT DSCNB A/C -</t>
  </si>
  <si>
    <t>0000000932266240</t>
  </si>
  <si>
    <t>UPI-ARCHIT  GUPTA-8668331033@YBL-SBIN0011669-755080999685-PAYMENT FROM PHONE</t>
  </si>
  <si>
    <t>0000755080999685</t>
  </si>
  <si>
    <t>NEFT DR-UTIB0001538-AJAY KUMAR GUPTA-NETBANK, MUM-HDFCN52025020337913160-TRANSFER FROM AXIS</t>
  </si>
  <si>
    <t>HDFCN52025020337913160</t>
  </si>
  <si>
    <t>0000000606907743</t>
  </si>
  <si>
    <t>0000000606974530</t>
  </si>
  <si>
    <t>0000000607243895</t>
  </si>
  <si>
    <t>0000000607401938</t>
  </si>
  <si>
    <t>UPI-ABHINDANCLOTHMERCHAN-Q071476561@YBL-YESB0YBLUPI-333619442621-CLOTH PURCHASED</t>
  </si>
  <si>
    <t>0000333619442621</t>
  </si>
  <si>
    <t>0000000607666973</t>
  </si>
  <si>
    <t>0000000607816072</t>
  </si>
  <si>
    <t>FT- 607948138-50200085415108 - HDFC SECURITIES LTD-CLIENT DSCNB A/C -</t>
  </si>
  <si>
    <t>0000000937401378</t>
  </si>
  <si>
    <t>0000000608068308</t>
  </si>
  <si>
    <t>UPI-SURAJ DILIP KATKADE-8805393241@AXL-SBIN0011669-555655207214-DIESAL</t>
  </si>
  <si>
    <t>0000555655207214</t>
  </si>
  <si>
    <t>0000000608237840</t>
  </si>
  <si>
    <t>FT- 608352094-50200085415108 - HDFC SECURITIES LTD-CLIENT DSCNB A/C -</t>
  </si>
  <si>
    <t>0000000939159594</t>
  </si>
  <si>
    <t>0000000608457777</t>
  </si>
  <si>
    <t>0000000608627069</t>
  </si>
  <si>
    <t>FT- 608789986-50200085415108 - HDFC SECURITIES LTD-CLIENT DSCNB A/C -</t>
  </si>
  <si>
    <t>0000000942953159</t>
  </si>
  <si>
    <t>ACH D- TP ACH INDIANESIGN-1715026141</t>
  </si>
  <si>
    <t>0000004288503157</t>
  </si>
  <si>
    <t>0000000608981655</t>
  </si>
  <si>
    <t>ACH C- SPIL  INT 2024 25-168045</t>
  </si>
  <si>
    <t>0000004329088779</t>
  </si>
  <si>
    <t>0000000609209291</t>
  </si>
  <si>
    <t>0000000609467687</t>
  </si>
  <si>
    <t>0000000609665697</t>
  </si>
  <si>
    <t>0000000609916334</t>
  </si>
  <si>
    <t>ACH C- HOUSING AND URBAN DE-760694</t>
  </si>
  <si>
    <t>0000004441696911</t>
  </si>
  <si>
    <t>0000000610093443</t>
  </si>
  <si>
    <t>NEFT DR-ICIC0006879-PRABHULAL SHARMA HALWAI AND CATERS-NETBANK, MUM-HDFCN52025021360441967-FOOD PAYMENT</t>
  </si>
  <si>
    <t>HDFCN52025021360441967</t>
  </si>
  <si>
    <t>0000000610374035</t>
  </si>
  <si>
    <t>0000000610520487</t>
  </si>
  <si>
    <t>NEFT CR-SBIN0011669-MR  AJAY  KUMAR  GUPTA-AJAY KUMAR GUPTA-SBINN52025021308456920</t>
  </si>
  <si>
    <t>SBINN52025021308456920</t>
  </si>
  <si>
    <t>DR LAL PATHLDIV24 2500000000000000008370</t>
  </si>
  <si>
    <t>0000250449784925</t>
  </si>
  <si>
    <t>1402017408 MOTILAL OSWAL FIN INT DIV2425</t>
  </si>
  <si>
    <t>0000140225137084</t>
  </si>
  <si>
    <t>0000000610762432</t>
  </si>
  <si>
    <t>DEPOSITORY CHARGES JAN25 - 40227714</t>
  </si>
  <si>
    <t>NEFT DR-ICIC0006879-PRABHULAL SHARMA HALWAI AND CATERS-NETBANK, MUM-HDFCN52025021463104183-FOOD EXP MARRIAGE</t>
  </si>
  <si>
    <t>HDFCN52025021463104183</t>
  </si>
  <si>
    <t>0000000610961462</t>
  </si>
  <si>
    <t>ACH D- TP ACH INDIANESIGN-1720685375</t>
  </si>
  <si>
    <t>0000004616498409</t>
  </si>
  <si>
    <t>0000000611273650</t>
  </si>
  <si>
    <t>ACH C- SHRIRAM.FINLTD I2DV2-STFIN3004764</t>
  </si>
  <si>
    <t>0000004642446447</t>
  </si>
  <si>
    <t>FT- 611615340-50200085415108 - HDFC SECURITIES LTD-CLIENT DSCNB A/C -</t>
  </si>
  <si>
    <t>0000000953045082</t>
  </si>
  <si>
    <t>FT- 611592707-50200085415108 - HDFC SECURITIES LTD-CLIENT DSCNB A/C -</t>
  </si>
  <si>
    <t>0000000953071632</t>
  </si>
  <si>
    <t>ACH C- NTPC-2-INT DIV 24-25-NT3101250171</t>
  </si>
  <si>
    <t>0000004641312320</t>
  </si>
  <si>
    <t>0000000611757145</t>
  </si>
  <si>
    <t>0000000611980326</t>
  </si>
  <si>
    <t>0000000612161730</t>
  </si>
  <si>
    <t>FT- 612419130-50200085415108 - HDFC SECURITIES LTD-CLIENT DSCNB A/C -</t>
  </si>
  <si>
    <t>0000000954997872</t>
  </si>
  <si>
    <t>FT- 612379894-50200085415108 - HDFC SECURITIES LTD-CLIENT DSCNB A/C -</t>
  </si>
  <si>
    <t>0000000955047789</t>
  </si>
  <si>
    <t>ACH D- TP ACH INDIANESIGN-1722902216</t>
  </si>
  <si>
    <t>0000004722669496</t>
  </si>
  <si>
    <t>0000000612560461</t>
  </si>
  <si>
    <t>FT- 612779762-50200085415108 - HDFC SECURITIES LTD-CLIENT DSCNB A/C -</t>
  </si>
  <si>
    <t>0000000956332634</t>
  </si>
  <si>
    <t>0000000612907085</t>
  </si>
  <si>
    <t>0000502214720007</t>
  </si>
  <si>
    <t>FT- 613199172-50200085415108 - HDFC SECURITIES LTD-CLIENT DSCNB A/C -</t>
  </si>
  <si>
    <t>0000000958449988</t>
  </si>
  <si>
    <t>0000000613368594</t>
  </si>
  <si>
    <t>0000000613544895</t>
  </si>
  <si>
    <t>0000000613795364</t>
  </si>
  <si>
    <t>0000000613939960</t>
  </si>
  <si>
    <t>0000000614214342</t>
  </si>
  <si>
    <t>0000000614377629</t>
  </si>
  <si>
    <t>50100542230922-TPT-BORROW BY ARCHIT-ARCHIT GUPTA</t>
  </si>
  <si>
    <t>0000000477538526</t>
  </si>
  <si>
    <t>0000000614649645</t>
  </si>
  <si>
    <t>ACH C- APOLLO HOS IDIV2025-AHLIN30047640</t>
  </si>
  <si>
    <t>0000005178099672</t>
  </si>
  <si>
    <t>0000502284826251</t>
  </si>
  <si>
    <t>0000000614848992</t>
  </si>
  <si>
    <t>UPI-ARCHIT GUPTA-ARCHIT4801-1@OKAXIS-UTIB0000115-567135260142-ARCHIT EXPENSES</t>
  </si>
  <si>
    <t>0000567135260142</t>
  </si>
  <si>
    <t>UPI-ARCHIT GUPTA-ARCHIT4801-1@OKAXIS-UTIB0000115-506076580209-UPI</t>
  </si>
  <si>
    <t>0000506076580209</t>
  </si>
  <si>
    <t>NEFT CR-SBIN0011669-MR  AJAY  KUMAR  GUPTA-AJAY KUMAR GUPTA-SBINN52025030238227988</t>
  </si>
  <si>
    <t>SBINN52025030238227988</t>
  </si>
  <si>
    <t>0000000494386268</t>
  </si>
  <si>
    <t>50100128155413-TPT-BORROW FROM AAYUSH-AAYUSH KUMAR GUPTA</t>
  </si>
  <si>
    <t>0000000494371619</t>
  </si>
  <si>
    <t>50100542230922-TPT-BORROW FROM ARCHIT-ARCHIT GUPTA</t>
  </si>
  <si>
    <t>0000000494372092</t>
  </si>
  <si>
    <t>ACH C- ENGINEERS INDIA LIMI-353220</t>
  </si>
  <si>
    <t>0000005307072178</t>
  </si>
  <si>
    <t>0000000615219862</t>
  </si>
  <si>
    <t>FT- 615553647-50200085415108 - HDFC SECURITIES LTD-CLIENT DSCNB A/C -</t>
  </si>
  <si>
    <t>0000000969573242</t>
  </si>
  <si>
    <t>0000000615709178</t>
  </si>
  <si>
    <t>0000000615840347</t>
  </si>
  <si>
    <t>0000000616094535</t>
  </si>
  <si>
    <t>NEFT CR-SBIN0011669-MR  AJAY  KUMAR  GUPTA-AJAY KUMAR GUPTA-SBINN52025030544527008</t>
  </si>
  <si>
    <t>SBINN52025030544527008</t>
  </si>
  <si>
    <t>50100128155413-TPT-BORROW BY AAYUSH-AAYUSH KUMAR GUPTA</t>
  </si>
  <si>
    <t>0000000119739921</t>
  </si>
  <si>
    <t>FT- 616343159-50200085415108 - HDFC SECURITIES LTD-CLIENT DSCNB A/C -</t>
  </si>
  <si>
    <t>0000000973364946</t>
  </si>
  <si>
    <t>ACH C- SJVN LTD-1354068</t>
  </si>
  <si>
    <t>0000005513841790</t>
  </si>
  <si>
    <t>0000000616487001</t>
  </si>
  <si>
    <t>ATW-512967XXXXXX1000-S1AWBL29-BANGALORE</t>
  </si>
  <si>
    <t>0000000000001021</t>
  </si>
  <si>
    <t>ACH C- ADVANI HOTELS AND RE-065233300025</t>
  </si>
  <si>
    <t>0000005547920912</t>
  </si>
  <si>
    <t>0000000616606350</t>
  </si>
  <si>
    <t>FT- 616728150-50200085415108 - HDFC SECURITIES LTD-CLIENT DSCNB A/C -</t>
  </si>
  <si>
    <t>0000000975498933</t>
  </si>
  <si>
    <t>0000000616875559</t>
  </si>
  <si>
    <t>ACH C- KOEL INT DIV 2024 25-44679</t>
  </si>
  <si>
    <t>0000005574314884</t>
  </si>
  <si>
    <t>0000503070476521</t>
  </si>
  <si>
    <t>0000000617028417</t>
  </si>
  <si>
    <t>50100128155413-TPT-MNY RTN TO AKG-AAYUSH KUMAR GUPTA</t>
  </si>
  <si>
    <t>0000000239863883</t>
  </si>
  <si>
    <t>ACH D- TP ACH INDIANESIGN-1746642266</t>
  </si>
  <si>
    <t>0000005810144324</t>
  </si>
  <si>
    <t>NEFT DR-UTIB0001538-AJAY KUMAR GUPTA-NETBANK, MUM-HDFCN52025031008116303-EXPENCES</t>
  </si>
  <si>
    <t>HDFCN52025031008116303</t>
  </si>
  <si>
    <t>0000000617417938</t>
  </si>
  <si>
    <t>0000503104945848</t>
  </si>
  <si>
    <t>0000503104953608</t>
  </si>
  <si>
    <t>0000000617611309</t>
  </si>
  <si>
    <t>0000000617850533</t>
  </si>
  <si>
    <t>ACH C- POWER FINANCE CORPOR-19527881</t>
  </si>
  <si>
    <t>0000005862460651</t>
  </si>
  <si>
    <t>0000000617993628</t>
  </si>
  <si>
    <t>0000000618245093</t>
  </si>
  <si>
    <t>0000000618374805</t>
  </si>
  <si>
    <t>0000000618637728</t>
  </si>
  <si>
    <t>0000000618829122</t>
  </si>
  <si>
    <t>NEFT CR-SBIN0011669-MR  AJAY  KUMAR  GUPTA-AJAY KUMAR GUPTA-SBINN52025031564007830</t>
  </si>
  <si>
    <t>SBINN52025031564007830</t>
  </si>
  <si>
    <t>DEPOSITORY CHARGES FEB25 - 40227714</t>
  </si>
  <si>
    <t>FT- 618942481-50200085415108 - HDFC SECURITIES LTD-CLIENT DSCNB A/C -</t>
  </si>
  <si>
    <t>0000000988641104</t>
  </si>
  <si>
    <t>ACH D- TP ACH INDIANESIGN-1752680360</t>
  </si>
  <si>
    <t>0000006164653278</t>
  </si>
  <si>
    <t>0000000619122069</t>
  </si>
  <si>
    <t>0000000619279759</t>
  </si>
  <si>
    <t>FT- 619408708-50200085415108 - HDFC SECURITIES LTD-CLIENT DSCNB A/C -</t>
  </si>
  <si>
    <t>0000000989868615</t>
  </si>
  <si>
    <t>0000000619517590</t>
  </si>
  <si>
    <t>0000000619644626</t>
  </si>
  <si>
    <t>FT- 619738780-50200085415108 - HDFC SECURITIES LTD-CLIENT DSCNB A/C -</t>
  </si>
  <si>
    <t>0000000991311790</t>
  </si>
  <si>
    <t>0000000619902924</t>
  </si>
  <si>
    <t>FT- 620112545-50200085415108 - HDFC SECURITIES LTD-CLIENT DSCNB A/C -</t>
  </si>
  <si>
    <t>0000000992638359</t>
  </si>
  <si>
    <t>FT- 620146632-50200085415108 - HDFC SECURITIES LTD-CLIENT DSCNB A/C -</t>
  </si>
  <si>
    <t>0000000992637738</t>
  </si>
  <si>
    <t>ACH D- TP ACH INDIANESIGN-1754493794</t>
  </si>
  <si>
    <t>0000006255460614</t>
  </si>
  <si>
    <t>0000000200154523</t>
  </si>
  <si>
    <t>0000000620282584</t>
  </si>
  <si>
    <t>0000503200271982</t>
  </si>
  <si>
    <t>0000000620411253</t>
  </si>
  <si>
    <t>50100128155413-TPT-MNY RETURN BY AAYUSH TO AJAY-AAYUSH KUMAR GUPTA</t>
  </si>
  <si>
    <t>0000000707177950</t>
  </si>
  <si>
    <t>0000000620687596</t>
  </si>
  <si>
    <t>0000000620785034</t>
  </si>
  <si>
    <t>FT- 620918034-50200085415108 - HDFC SECURITIES LTD-CLIENT DSCNB A/C -</t>
  </si>
  <si>
    <t>0000000996708366</t>
  </si>
  <si>
    <t>0000000621098416</t>
  </si>
  <si>
    <t>FT- 621374011-50200085415108 - HDFC SECURITIES LTD-CLIENT DSCNB A/C -</t>
  </si>
  <si>
    <t>0000000998139440</t>
  </si>
  <si>
    <t>FT- 621339324-50200085415108 - HDFC SECURITIES LTD-CLIENT DSCNB A/C -</t>
  </si>
  <si>
    <t>0000000998152090</t>
  </si>
  <si>
    <t>0000000621530478</t>
  </si>
  <si>
    <t>0000000621690152</t>
  </si>
  <si>
    <t>FT- 621797766-50200085415108 - HDFC SECURITIES LTD-CLIENT DSCNB A/C -</t>
  </si>
  <si>
    <t>0000000999437124</t>
  </si>
  <si>
    <t>0000000621935768</t>
  </si>
  <si>
    <t>0000000622116896</t>
  </si>
  <si>
    <t>0000000622145916</t>
  </si>
  <si>
    <t>0000000622371297</t>
  </si>
  <si>
    <t>FT- NI EQUITY HYBRID FUND SEG 1 RED AC - HD99 129572496 41196088676 40092989</t>
  </si>
  <si>
    <t>0000011001930615</t>
  </si>
  <si>
    <t>FT- 622602920-50200085415108 - HDFC SECURITIES LTD-CLIENT DSCNB A/C -</t>
  </si>
  <si>
    <t>0000001003015199</t>
  </si>
  <si>
    <t>ACH C- HUDCO LTD-HD1403250116228</t>
  </si>
  <si>
    <t>0000006515993399</t>
  </si>
  <si>
    <t>0000000622790284</t>
  </si>
  <si>
    <t>0000000622951808</t>
  </si>
  <si>
    <t>ACH C- POWER FINANCE CORPOR-20826452</t>
  </si>
  <si>
    <t>0000006479359613</t>
  </si>
  <si>
    <t>ISAQMC-JUL-SEP24-101236 070325-MIR2508870990132</t>
  </si>
  <si>
    <t>MIR2508870990132</t>
  </si>
  <si>
    <t>50200107580335-TPT-SOCIETY MAINTENANCE CHARGE-ISHWAR PARADISE CO OP HSG SOCIETY LTD</t>
  </si>
  <si>
    <t>0000000763261191</t>
  </si>
  <si>
    <t>Ishwar Paradise</t>
  </si>
  <si>
    <t>INTEREST PAID TILL 31-MAR-2025</t>
  </si>
  <si>
    <t>Financial Ledger for the period 01/04/24 and 31/03/25</t>
  </si>
  <si>
    <t>Entity Id : 347707</t>
  </si>
  <si>
    <t>Amount is in Rs.</t>
  </si>
  <si>
    <t xml:space="preserve">Sr No </t>
  </si>
  <si>
    <t xml:space="preserve">Trd Date </t>
  </si>
  <si>
    <t xml:space="preserve">Due Date </t>
  </si>
  <si>
    <t xml:space="preserve">Exchange </t>
  </si>
  <si>
    <t xml:space="preserve">Seg </t>
  </si>
  <si>
    <t xml:space="preserve">Narration </t>
  </si>
  <si>
    <t xml:space="preserve">Voucher Type </t>
  </si>
  <si>
    <t xml:space="preserve">Voucher No </t>
  </si>
  <si>
    <t xml:space="preserve">Bill No </t>
  </si>
  <si>
    <t xml:space="preserve">Dr Amount </t>
  </si>
  <si>
    <t xml:space="preserve">Cr Amount </t>
  </si>
  <si>
    <t>Running Balance</t>
  </si>
  <si>
    <t>NSE</t>
  </si>
  <si>
    <t>E</t>
  </si>
  <si>
    <t>Online Trf for Net Payin from Bank A/c 01671000085930-/-MTF</t>
  </si>
  <si>
    <t>BANK RECEIPT</t>
  </si>
  <si>
    <t>M/2024062/Margin Reversal-/-MTF</t>
  </si>
  <si>
    <t>BILLS</t>
  </si>
  <si>
    <t>M/2024062/Emargin MTM Loss Reversal-/-MTF</t>
  </si>
  <si>
    <t>Bg interest on MTF from 28-mar-2024 to 31-mar-2024-/-MTF</t>
  </si>
  <si>
    <t>M/2024062/Emargin MTM Loss Bills.-/-MTF</t>
  </si>
  <si>
    <t>M/2024062/Margin Pay In-/-MTF</t>
  </si>
  <si>
    <t>Online Trf for Net Payout to Bank A/c 01671000085930-/-MTF</t>
  </si>
  <si>
    <t>BANK PAYMENT</t>
  </si>
  <si>
    <t>Online Trf for Net Payout to Bank A/c 01671000085930</t>
  </si>
  <si>
    <t>Bg interest on MTF for 01-apr-2024-/-MTF</t>
  </si>
  <si>
    <t>M/2024063/Emargin MTM Loss Bills.-/-MTF</t>
  </si>
  <si>
    <t>M/2024063/Margin Pay In-/-MTF</t>
  </si>
  <si>
    <t>M/2024063/Emargin MTM Loss Reversal-/-MTF</t>
  </si>
  <si>
    <t>M/2024063/Margin Reversal-/-MTF</t>
  </si>
  <si>
    <t>M/2024063/02-APR-2024-/-MTF</t>
  </si>
  <si>
    <t>Bg interest on MTF for 02-apr-2024-/-MTF</t>
  </si>
  <si>
    <t>M/2024064/Margin Pay In-/-MTF</t>
  </si>
  <si>
    <t>M/2024064/Emargin MTM Loss Bills.-/-MTF</t>
  </si>
  <si>
    <t>M/2024064/Emargin MTM Loss Reversal-/-MTF</t>
  </si>
  <si>
    <t>M/2024064/Margin Reversal-/-MTF</t>
  </si>
  <si>
    <t>M/2024064/03-APR-2024-/-MTF</t>
  </si>
  <si>
    <t>Bg interest on MTF for 03-apr-2024-/-MTF</t>
  </si>
  <si>
    <t>M/2024065/Margin Pay In-/-MTF</t>
  </si>
  <si>
    <t>M/2024065/Emargin MTM Loss Bills.-/-MTF</t>
  </si>
  <si>
    <t>M/2024065/Margin Reversal-/-MTF</t>
  </si>
  <si>
    <t>M/2024065/Emargin MTM Loss Reversal-/-MTF</t>
  </si>
  <si>
    <t>M/2024065/04-APR-2024-/-Cash</t>
  </si>
  <si>
    <t>M/2024065/04-APR-2024-/-MTF</t>
  </si>
  <si>
    <t>Bg interest on MTF for 04-apr-2024-/-MTF</t>
  </si>
  <si>
    <t>M/2024066/Emargin MTM Loss Bills.-/-MTF</t>
  </si>
  <si>
    <t>M/2024066/Margin Pay In-/-MTF</t>
  </si>
  <si>
    <t>M/2024066/Margin Reversal-/-MTF</t>
  </si>
  <si>
    <t>M/2024066/Emargin MTM Loss Reversal-/-MTF</t>
  </si>
  <si>
    <t>M/2024066/05-APR-2024-/-Cash</t>
  </si>
  <si>
    <t>Bg interest on MTF from 05-apr-2024 to 07-apr-2024-/-MTF</t>
  </si>
  <si>
    <t>M/2024067/Emargin MTM Loss Bills.-/-MTF</t>
  </si>
  <si>
    <t>M/2024067/Margin Pay In-/-MTF</t>
  </si>
  <si>
    <t>M/2024067/Emargin MTM Loss Reversal-/-MTF</t>
  </si>
  <si>
    <t>M/2024067/Margin Reversal-/-MTF</t>
  </si>
  <si>
    <t>M/2024068/Emargin MTM Loss Reversal-/-MTF</t>
  </si>
  <si>
    <t>M/2024068/Margin Reversal-/-MTF</t>
  </si>
  <si>
    <t>Bg interest on MTF for 08-apr-2024-/-MTF</t>
  </si>
  <si>
    <t>M/2024068/Emargin MTM Loss Bills.-/-MTF</t>
  </si>
  <si>
    <t>M/2024068/Margin Pay In-/-MTF</t>
  </si>
  <si>
    <t>M/2024068/09-APR-2024-/-MTF</t>
  </si>
  <si>
    <t>Bg interest on MTF for 09-apr-2024-/-MTF</t>
  </si>
  <si>
    <t>M/2024069/Emargin MTM Loss Bills.-/-MTF</t>
  </si>
  <si>
    <t>M/2024069/Margin Pay In-/-MTF</t>
  </si>
  <si>
    <t>M/2024069/Emargin MTM Loss Reversal-/-MTF</t>
  </si>
  <si>
    <t>M/2024069/Margin Reversal-/-MTF</t>
  </si>
  <si>
    <t>M/2024069/10-APR-2024-/-Cash</t>
  </si>
  <si>
    <t>M/2024069/10-APR-2024-/-MTF</t>
  </si>
  <si>
    <t>BSE</t>
  </si>
  <si>
    <t>Online Trf for Net Payin from Bank A/c 01671000085930</t>
  </si>
  <si>
    <t>Bg interest on MTF from 10-apr-2024 to 11-apr-2024-/-MTF</t>
  </si>
  <si>
    <t>M/2024070/Emargin MTM Loss Bills.-/-MTF</t>
  </si>
  <si>
    <t>M/2024070/Margin Pay In-/-MTF</t>
  </si>
  <si>
    <t>M/2024070/Emargin MTM Loss Reversal-/-MTF</t>
  </si>
  <si>
    <t>M/2024070/Margin Reversal-/-MTF</t>
  </si>
  <si>
    <t>OFB/2024035/12-APR-2024-/-Cash</t>
  </si>
  <si>
    <t>Bg interest on MTF from 12-apr-2024 to 14-apr-2024-/-MTF</t>
  </si>
  <si>
    <t>M/2024071/Emargin MTM Loss Bills.-/-MTF</t>
  </si>
  <si>
    <t>M/2024071/Margin Pay In-/-MTF</t>
  </si>
  <si>
    <t>M/2024071/Emargin MTM Loss Reversal-/-MTF</t>
  </si>
  <si>
    <t>M/2024071/Margin Reversal-/-MTF</t>
  </si>
  <si>
    <t>M/2024071/15-APR-2024-/-Cash</t>
  </si>
  <si>
    <t>M/2024071/15-APR-2024-/-MTF</t>
  </si>
  <si>
    <t>Bg interest on MTF for 15-apr-2024-/-MTF</t>
  </si>
  <si>
    <t>M/2024072/Margin Pay In-/-MTF</t>
  </si>
  <si>
    <t>M/2024072/Emargin MTM Loss Bills.-/-MTF</t>
  </si>
  <si>
    <t>M/2024072/Emargin MTM Loss Reversal-/-MTF</t>
  </si>
  <si>
    <t>M/2024072/Margin Reversal-/-MTF</t>
  </si>
  <si>
    <t>M/2024072/16-APR-2024-/-Cash</t>
  </si>
  <si>
    <t>M/2024072/16-APR-2024-/-MTF</t>
  </si>
  <si>
    <t>Bg interest on MTF from 16-apr-2024 to 17-apr-2024-/-MTF</t>
  </si>
  <si>
    <t>M/2024073/Margin Pay In-/-MTF</t>
  </si>
  <si>
    <t>M/2024073/Emargin MTM Loss Bills.-/-MTF</t>
  </si>
  <si>
    <t>M/2024073/Margin Reversal-/-MTF</t>
  </si>
  <si>
    <t>M/2024073/Emargin MTM Loss Reversal-/-MTF</t>
  </si>
  <si>
    <t>M/2024073/18-APR-2024-/-Cash</t>
  </si>
  <si>
    <t>M/2024073/18-APR-2024-/-MTF</t>
  </si>
  <si>
    <t>Bg interest on MTF for 18-apr-2024-/-MTF</t>
  </si>
  <si>
    <t>M/2024074/Margin Pay In-/-MTF</t>
  </si>
  <si>
    <t>M/2024074/Emargin MTM Loss Bills.-/-MTF</t>
  </si>
  <si>
    <t>M/2024074/Margin Reversal-/-MTF</t>
  </si>
  <si>
    <t>M/2024074/Emargin MTM Loss Reversal-/-MTF</t>
  </si>
  <si>
    <t>Bg interest on MTF from 19-apr-2024 to 21-apr-2024-/-MTF</t>
  </si>
  <si>
    <t>M/2024075/Emargin MTM Loss Bills.-/-MTF</t>
  </si>
  <si>
    <t>M/2024075/Margin Pay In-/-MTF</t>
  </si>
  <si>
    <t>M/2024075/Margin Reversal-/-MTF</t>
  </si>
  <si>
    <t>M/2024075/Emargin MTM Loss Reversal-/-MTF</t>
  </si>
  <si>
    <t>M/2024075/22-APR-2024-/-Cash</t>
  </si>
  <si>
    <t>M/2024075/22-APR-2024-/-MTF</t>
  </si>
  <si>
    <t>Bg interest on MTF for 22-apr-2024-/-MTF</t>
  </si>
  <si>
    <t>M/2024076/Margin Pay In-/-MTF</t>
  </si>
  <si>
    <t>M/2024076/Emargin MTM Loss Bills.-/-MTF</t>
  </si>
  <si>
    <t>M/2024076/Emargin MTM Loss Reversal-/-MTF</t>
  </si>
  <si>
    <t>M/2024076/Margin Reversal-/-MTF</t>
  </si>
  <si>
    <t>M/2024076/23-APR-2024-/-Cash</t>
  </si>
  <si>
    <t>Bg interest on MTF for 23-apr-2024-/-MTF</t>
  </si>
  <si>
    <t>M/2024077/Emargin MTM Loss Bills.-/-MTF</t>
  </si>
  <si>
    <t>M/2024077/Margin Pay In-/-MTF</t>
  </si>
  <si>
    <t>M/2024077/Margin Reversal-/-MTF</t>
  </si>
  <si>
    <t>M/2024077/Emargin MTM Loss Reversal-/-MTF</t>
  </si>
  <si>
    <t>M/2024077/24-APR-2024-/-MTF</t>
  </si>
  <si>
    <t>Bg interest on MTF for 24-apr-2024-/-MTF</t>
  </si>
  <si>
    <t>M/2024078/Margin Pay In-/-MTF</t>
  </si>
  <si>
    <t>M/2024078/Emargin MTM Loss Bills.-/-MTF</t>
  </si>
  <si>
    <t>M/2024078/Emargin MTM Loss Reversal-/-MTF</t>
  </si>
  <si>
    <t>M/2024078/Margin Reversal-/-MTF</t>
  </si>
  <si>
    <t>M/2024078/25-APR-2024-/-Cash</t>
  </si>
  <si>
    <t>M/2024078/25-APR-2024-/-MTF</t>
  </si>
  <si>
    <t>Bg interest on MTF for 25-apr-2024-/-MTF</t>
  </si>
  <si>
    <t>M/2024079/Emargin MTM Loss Bills.-/-MTF</t>
  </si>
  <si>
    <t>M/2024079/Margin Pay In-/-MTF</t>
  </si>
  <si>
    <t>M/2024079/Margin Reversal-/-MTF</t>
  </si>
  <si>
    <t>M/2024079/Emargin MTM Loss Reversal-/-MTF</t>
  </si>
  <si>
    <t>M/2024079/26-APR-2024-/-Cash</t>
  </si>
  <si>
    <t>M/2024079/26-APR-2024-/-MTF</t>
  </si>
  <si>
    <t>Bg interest on MTF from 26-apr-2024 to 28-apr-2024-/-MTF</t>
  </si>
  <si>
    <t>M/2024080/Margin Pay In-/-MTF</t>
  </si>
  <si>
    <t>M/2024080/Emargin MTM Loss Bills.-/-MTF</t>
  </si>
  <si>
    <t>M/2024080/Emargin MTM Loss Reversal-/-MTF</t>
  </si>
  <si>
    <t>M/2024080/Margin Reversal-/-MTF</t>
  </si>
  <si>
    <t>M/2024080/29-APR-2024-/-MTF</t>
  </si>
  <si>
    <t>Bg interest on MTF for 29-apr-2024-/-MTF</t>
  </si>
  <si>
    <t>M/2024081/Margin Pay In-/-MTF</t>
  </si>
  <si>
    <t>M/2024081/Emargin MTM Loss Bills.-/-MTF</t>
  </si>
  <si>
    <t>M/2024081/Margin Reversal-/-MTF</t>
  </si>
  <si>
    <t>M/2024081/Emargin MTM Loss Reversal-/-MTF</t>
  </si>
  <si>
    <t>M/2024081/30-APR-2024-/-MTF</t>
  </si>
  <si>
    <t>Bg interest on MTF from 30-apr-2024 to 01-may-2024-/-MTF</t>
  </si>
  <si>
    <t>M/2024082/Emargin MTM Loss Bills.-/-MTF</t>
  </si>
  <si>
    <t>M/2024082/Margin Pay In-/-MTF</t>
  </si>
  <si>
    <t>M/2024082/Margin Reversal-/-MTF</t>
  </si>
  <si>
    <t>M/2024082/Emargin MTM Loss Reversal-/-MTF</t>
  </si>
  <si>
    <t>M/2024082/02-MAY-2024-/-Cash</t>
  </si>
  <si>
    <t>M/2024082/02-MAY-2024-/-MTF</t>
  </si>
  <si>
    <t>Bg interest on MTF for 02-may-2024-/-MTF</t>
  </si>
  <si>
    <t>M/2024083/Margin Pay In-/-MTF</t>
  </si>
  <si>
    <t>M/2024083/Emargin MTM Loss Bills.-/-MTF</t>
  </si>
  <si>
    <t>M/2024083/Emargin MTM Loss Reversal-/-MTF</t>
  </si>
  <si>
    <t>M/2024083/Margin Reversal-/-MTF</t>
  </si>
  <si>
    <t>M/2024083/03-MAY-2024-/-MTF</t>
  </si>
  <si>
    <t>Bg interest on MTF from 03-may-2024 to 05-may-2024-/-MTF</t>
  </si>
  <si>
    <t>M/2024084/Emargin MTM Loss Bills.-/-MTF</t>
  </si>
  <si>
    <t>M/2024084/Margin Pay In-/-MTF</t>
  </si>
  <si>
    <t>M/2024084/Margin Reversal-/-MTF</t>
  </si>
  <si>
    <t>M/2024084/Emargin MTM Loss Reversal-/-MTF</t>
  </si>
  <si>
    <t>M/2024084/06-MAY-2024-/-MTF</t>
  </si>
  <si>
    <t>NCL</t>
  </si>
  <si>
    <t>D</t>
  </si>
  <si>
    <t>Bg interest on MTF for 06-may-2024-/-MTF</t>
  </si>
  <si>
    <t>M/2024085/Margin Pay In-/-MTF</t>
  </si>
  <si>
    <t>M/2024085/Emargin MTM Loss Bills.-/-MTF</t>
  </si>
  <si>
    <t>M/2024085/Emargin MTM Loss Reversal-/-MTF</t>
  </si>
  <si>
    <t>M/2024085/Margin Reversal-/-MTF</t>
  </si>
  <si>
    <t>Trade Bill-07-MAY-2024</t>
  </si>
  <si>
    <t>M/2024085/07-MAY-2024-/-Cash</t>
  </si>
  <si>
    <t>M/2024085/07-MAY-2024-/-MTF</t>
  </si>
  <si>
    <t>Bg interest on MTF for 07-may-2024-/-MTF</t>
  </si>
  <si>
    <t>M/2024086/Emargin MTM Loss Bills.-/-MTF</t>
  </si>
  <si>
    <t>M/2024086/Margin Pay In-/-MTF</t>
  </si>
  <si>
    <t>M/2024086/Margin Reversal-/-MTF</t>
  </si>
  <si>
    <t>M/2024086/Emargin MTM Loss Reversal-/-MTF</t>
  </si>
  <si>
    <t>Bg interest on MTF for 08-may-2024-/-MTF</t>
  </si>
  <si>
    <t>M/2024087/Emargin MTM Loss Bills.-/-MTF</t>
  </si>
  <si>
    <t>M/2024087/Margin Pay In-/-MTF</t>
  </si>
  <si>
    <t>M/2024087/Emargin MTM Loss Reversal-/-MTF</t>
  </si>
  <si>
    <t>M/2024087/Margin Reversal-/-MTF</t>
  </si>
  <si>
    <t>M/2024087/09-MAY-2024-/-MTF</t>
  </si>
  <si>
    <t>Bg interest on MTF for 09-may-2024-/-MTF</t>
  </si>
  <si>
    <t>M/2024088/Emargin MTM Loss Bills.-/-MTF</t>
  </si>
  <si>
    <t>M/2024088/Margin Pay In-/-MTF</t>
  </si>
  <si>
    <t>M/2024088/Emargin MTM Loss Reversal-/-MTF</t>
  </si>
  <si>
    <t>M/2024088/Margin Reversal-/-MTF</t>
  </si>
  <si>
    <t>M/2024088/10-MAY-2024-/-Cash</t>
  </si>
  <si>
    <t>M/2024089/Emargin MTM Loss Bills.-/-MTF</t>
  </si>
  <si>
    <t>M/2024089/Margin Pay In-/-MTF</t>
  </si>
  <si>
    <t>M/2024089/Emargin MTM Loss Reversal-/-MTF</t>
  </si>
  <si>
    <t>M/2024089/Margin Reversal-/-MTF</t>
  </si>
  <si>
    <t>Bg interest on MTF from 10-may-2024 to 12-may-2024-/-MTF</t>
  </si>
  <si>
    <t>M/2024089/13-MAY-2024-/-MTF</t>
  </si>
  <si>
    <t>Bg interest on MTF for 13-may-2024-/-MTF</t>
  </si>
  <si>
    <t>M/2024090/Emargin MTM Loss Bills.-/-MTF</t>
  </si>
  <si>
    <t>M/2024090/Margin Pay In-/-MTF</t>
  </si>
  <si>
    <t>M/2024090/Emargin MTM Loss Reversal-/-MTF</t>
  </si>
  <si>
    <t>M/2024090/Margin Reversal-/-MTF</t>
  </si>
  <si>
    <t>M/2024090/14-MAY-2024-/-Cash</t>
  </si>
  <si>
    <t>Bg interest on MTF for 14-may-2024-/-MTF</t>
  </si>
  <si>
    <t>M/2024091/Margin Pay In-/-MTF</t>
  </si>
  <si>
    <t>M/2024091/Emargin MTM Loss Bills.-/-MTF</t>
  </si>
  <si>
    <t>M/2024091/Emargin MTM Loss Reversal-/-MTF</t>
  </si>
  <si>
    <t>M/2024091/Margin Reversal-/-MTF</t>
  </si>
  <si>
    <t>M/2024091/15-MAY-2024-/-Cash</t>
  </si>
  <si>
    <t>M/2024091/15-MAY-2024-/-MTF</t>
  </si>
  <si>
    <t>Bg interest on MTF for 15-may-2024-/-MTF</t>
  </si>
  <si>
    <t>M/2024092/Emargin MTM Loss Bills.-/-MTF</t>
  </si>
  <si>
    <t>M/2024092/Margin Pay In-/-MTF</t>
  </si>
  <si>
    <t>M/2024092/Margin Reversal-/-MTF</t>
  </si>
  <si>
    <t>M/2024092/Emargin MTM Loss Reversal-/-MTF</t>
  </si>
  <si>
    <t>M/2024092/16-MAY-2024-/-MTF</t>
  </si>
  <si>
    <t>Bg interest on MTF for 16-may-2024-/-MTF</t>
  </si>
  <si>
    <t>M/2024093/Emargin MTM Loss Bills.-/-MTF</t>
  </si>
  <si>
    <t>M/2024093/Margin Pay In-/-MTF</t>
  </si>
  <si>
    <t>M/2024093/Emargin MTM Loss Reversal-/-MTF</t>
  </si>
  <si>
    <t>M/2024093/Margin Reversal-/-MTF</t>
  </si>
  <si>
    <t>M/2024302/Emargin MTM Loss Reversal-/-MTF</t>
  </si>
  <si>
    <t>M/2024302/Margin Reversal-/-MTF</t>
  </si>
  <si>
    <t>Bg interest on MTF for 17-may-2024-/-MTF</t>
  </si>
  <si>
    <t>M/2024302/Margin Pay In-/-MTF</t>
  </si>
  <si>
    <t>M/2024302/Emargin MTM Loss Bills.-/-MTF</t>
  </si>
  <si>
    <t>Bg interest on MTF from 18-may-2024 to 20-may-2024-/-MTF</t>
  </si>
  <si>
    <t>M/2024094/Emargin MTM Loss Bills.-/-MTF</t>
  </si>
  <si>
    <t>M/2024094/Margin Pay In-/-MTF</t>
  </si>
  <si>
    <t>M/2024094/Margin Reversal-/-MTF</t>
  </si>
  <si>
    <t>M/2024094/Emargin MTM Loss Reversal-/-MTF</t>
  </si>
  <si>
    <t>M/2024094/21-MAY-2024-/-Cash</t>
  </si>
  <si>
    <t>Bg interest on MTF for 21-may-2024-/-MTF</t>
  </si>
  <si>
    <t>M/2024095/Emargin MTM Loss Bills.-/-MTF</t>
  </si>
  <si>
    <t>M/2024095/Margin Pay In-/-MTF</t>
  </si>
  <si>
    <t>M/2024095/Emargin MTM Loss Reversal-/-MTF</t>
  </si>
  <si>
    <t>M/2024095/Margin Reversal-/-MTF</t>
  </si>
  <si>
    <t>M/2024096/Emargin MTM Loss Reversal-/-MTF</t>
  </si>
  <si>
    <t>M/2024096/Margin Reversal-/-MTF</t>
  </si>
  <si>
    <t>Bg interest on MTF for 22-may-2024-/-MTF</t>
  </si>
  <si>
    <t>M/2024096/Emargin MTM Loss Bills.-/-MTF</t>
  </si>
  <si>
    <t>M/2024096/Margin Pay In-/-MTF</t>
  </si>
  <si>
    <t>M/2024096/23-MAY-2024-/-Cash</t>
  </si>
  <si>
    <t>M/2024096/23-MAY-2024-/-MTF</t>
  </si>
  <si>
    <t>Bg interest on MTF for 23-may-2024-/-MTF</t>
  </si>
  <si>
    <t>M/2024097/Emargin MTM Loss Bills.-/-MTF</t>
  </si>
  <si>
    <t>M/2024097/Margin Pay In-/-MTF</t>
  </si>
  <si>
    <t>M/2024097/Emargin MTM Loss Reversal-/-MTF</t>
  </si>
  <si>
    <t>M/2024097/Margin Reversal-/-MTF</t>
  </si>
  <si>
    <t>Bg interest on MTF from 24-may-2024 to 26-may-2024-/-MTF</t>
  </si>
  <si>
    <t>M/2024098/Emargin MTM Loss Bills.-/-MTF</t>
  </si>
  <si>
    <t>M/2024098/Margin Pay In-/-MTF</t>
  </si>
  <si>
    <t>M/2024098/Emargin MTM Loss Reversal-/-MTF</t>
  </si>
  <si>
    <t>M/2024098/Margin Reversal-/-MTF</t>
  </si>
  <si>
    <t>M/2024098/27-MAY-2024-/-Cash</t>
  </si>
  <si>
    <t>M/2024098/27-MAY-2024-/-MTF</t>
  </si>
  <si>
    <t>Bg interest on MTF for 27-may-2024-/-MTF</t>
  </si>
  <si>
    <t>M/2024099/Emargin MTM Loss Bills.-/-MTF</t>
  </si>
  <si>
    <t>M/2024099/Margin Pay In-/-MTF</t>
  </si>
  <si>
    <t>M/2024099/Emargin MTM Loss Reversal-/-MTF</t>
  </si>
  <si>
    <t>M/2024099/Margin Reversal-/-MTF</t>
  </si>
  <si>
    <t>M/2024099/28-MAY-2024-/-MTF</t>
  </si>
  <si>
    <t>Bg interest on MTF for 28-may-2024-/-MTF</t>
  </si>
  <si>
    <t>M/2024100/Margin Pay In-/-MTF</t>
  </si>
  <si>
    <t>M/2024100/Emargin MTM Loss Bills.-/-MTF</t>
  </si>
  <si>
    <t>M/2024100/Emargin MTM Loss Reversal-/-MTF</t>
  </si>
  <si>
    <t>M/2024100/Margin Reversal-/-MTF</t>
  </si>
  <si>
    <t>M/2024100/29-MAY-2024-/-Cash</t>
  </si>
  <si>
    <t>Bg interest on MTF for 29-may-2024-/-MTF</t>
  </si>
  <si>
    <t>M/2024101/Emargin MTM Loss Bills.-/-MTF</t>
  </si>
  <si>
    <t>M/2024101/Margin Pay In-/-MTF</t>
  </si>
  <si>
    <t>M/2024101/Margin Reversal-/-MTF</t>
  </si>
  <si>
    <t>M/2024101/Emargin MTM Loss Reversal-/-MTF</t>
  </si>
  <si>
    <t>M/2024101/30-MAY-2024-/-Cash</t>
  </si>
  <si>
    <t>M/2024101/30-MAY-2024-/-MTF</t>
  </si>
  <si>
    <t>Bg interest on MTF for 30-may-2024-/-MTF</t>
  </si>
  <si>
    <t>M/2024102/Margin Pay In-/-MTF</t>
  </si>
  <si>
    <t>M/2024102/Emargin MTM Loss Bills.-/-MTF</t>
  </si>
  <si>
    <t>M/2024102/Emargin MTM Loss Reversal-/-MTF</t>
  </si>
  <si>
    <t>M/2024102/Margin Reversal-/-MTF</t>
  </si>
  <si>
    <t>M/2024102/31-MAY-2024-/-Cash</t>
  </si>
  <si>
    <t>M/2024102/31-MAY-2024-/-MTF</t>
  </si>
  <si>
    <t>Bg interest on MTF from 31-may-2024 to 02-jun-2024-/-MTF</t>
  </si>
  <si>
    <t>M/2024103/Margin Pay In-/-MTF</t>
  </si>
  <si>
    <t>M/2024103/Emargin MTM Loss Bills.-/-MTF</t>
  </si>
  <si>
    <t>M/2024103/Margin Reversal-/-MTF</t>
  </si>
  <si>
    <t>M/2024103/Emargin MTM Loss Reversal-/-MTF</t>
  </si>
  <si>
    <t>Bg interest on MTF for 03-jun-2024-/-MTF</t>
  </si>
  <si>
    <t>M/2024104/Emargin MTM Loss Bills.-/-MTF</t>
  </si>
  <si>
    <t>M/2024104/Margin Pay In-/-MTF</t>
  </si>
  <si>
    <t>M/2024104/Margin Reversal-/-MTF</t>
  </si>
  <si>
    <t>M/2024104/Emargin MTM Loss Reversal-/-MTF</t>
  </si>
  <si>
    <t>Bg interest on MTF for 04-jun-2024-/-MTF</t>
  </si>
  <si>
    <t>M/2024105/Emargin MTM Loss Bills.-/-MTF</t>
  </si>
  <si>
    <t>M/2024105/Margin Pay In-/-MTF</t>
  </si>
  <si>
    <t>M/2024105/Emargin MTM Loss Reversal-/-MTF</t>
  </si>
  <si>
    <t>M/2024105/Margin Reversal-/-MTF</t>
  </si>
  <si>
    <t>Bg interest on MTF for 05-jun-2024-/-MTF</t>
  </si>
  <si>
    <t>M/2024106/Margin Pay In-/-MTF</t>
  </si>
  <si>
    <t>M/2024106/Emargin MTM Loss Bills.-/-MTF</t>
  </si>
  <si>
    <t>M/2024106/Emargin MTM Loss Reversal-/-MTF</t>
  </si>
  <si>
    <t>M/2024106/Margin Reversal-/-MTF</t>
  </si>
  <si>
    <t>Bg interest on MTF for 06-jun-2024-/-MTF</t>
  </si>
  <si>
    <t>M/2024107/Emargin MTM Loss Bills.-/-MTF</t>
  </si>
  <si>
    <t>M/2024107/Margin Pay In-/-MTF</t>
  </si>
  <si>
    <t>M/2024107/Margin Reversal-/-MTF</t>
  </si>
  <si>
    <t>M/2024107/Emargin MTM Loss Reversal-/-MTF</t>
  </si>
  <si>
    <t>M/2024107/07-JUN-2024-/-MTF</t>
  </si>
  <si>
    <t>Bg interest on MTF from 07-jun-2024 to 09-jun-2024-/-MTF</t>
  </si>
  <si>
    <t>M/2024108/Emargin MTM Loss Bills.-/-MTF</t>
  </si>
  <si>
    <t>M/2024108/Margin Pay In-/-MTF</t>
  </si>
  <si>
    <t>M/2024108/Emargin MTM Loss Reversal-/-MTF</t>
  </si>
  <si>
    <t>M/2024108/Margin Reversal-/-MTF</t>
  </si>
  <si>
    <t>M/2024108/10-JUN-2024-/-Cash</t>
  </si>
  <si>
    <t>Bg interest on MTF for 10-jun-2024-/-MTF</t>
  </si>
  <si>
    <t>M/2024109/Emargin MTM Loss Bills.-/-MTF</t>
  </si>
  <si>
    <t>M/2024109/Margin Pay In-/-MTF</t>
  </si>
  <si>
    <t>M/2024109/Emargin MTM Loss Reversal-/-MTF</t>
  </si>
  <si>
    <t>M/2024109/Margin Reversal-/-MTF</t>
  </si>
  <si>
    <t>M/2024109/11-JUN-2024-/-MTF</t>
  </si>
  <si>
    <t>Bg interest on MTF for 11-jun-2024-/-MTF</t>
  </si>
  <si>
    <t>M/2024110/Margin Pay In-/-MTF</t>
  </si>
  <si>
    <t>M/2024110/Emargin MTM Loss Bills.-/-MTF</t>
  </si>
  <si>
    <t>M/2024110/Emargin MTM Loss Reversal-/-MTF</t>
  </si>
  <si>
    <t>M/2024110/Margin Reversal-/-MTF</t>
  </si>
  <si>
    <t>M/2024110/12-JUN-2024-/-Cash</t>
  </si>
  <si>
    <t>Bg interest on MTF for 12-jun-2024-/-MTF</t>
  </si>
  <si>
    <t>M/2024111/Emargin MTM Loss Bills.-/-MTF</t>
  </si>
  <si>
    <t>M/2024111/Margin Pay In-/-MTF</t>
  </si>
  <si>
    <t>M/2024111/Margin Reversal-/-MTF</t>
  </si>
  <si>
    <t>M/2024111/Emargin MTM Loss Reversal-/-MTF</t>
  </si>
  <si>
    <t>M/2024111/13-JUN-2024-/-Cash</t>
  </si>
  <si>
    <t>M/2024111/13-JUN-2024-/-MTF</t>
  </si>
  <si>
    <t>Bg interest on MTF for 13-jun-2024-/-MTF</t>
  </si>
  <si>
    <t>M/2024112/Margin Pay In-/-MTF</t>
  </si>
  <si>
    <t>M/2024112/Emargin MTM Loss Bills.-/-MTF</t>
  </si>
  <si>
    <t>M/2024112/Emargin MTM Loss Reversal-/-MTF</t>
  </si>
  <si>
    <t>M/2024112/Margin Reversal-/-MTF</t>
  </si>
  <si>
    <t>M/2024112/14-JUN-2024-/-Cash</t>
  </si>
  <si>
    <t>M/2024112/14-JUN-2024-/-MTF</t>
  </si>
  <si>
    <t>Bg interest on MTF from 14-jun-2024 to 17-jun-2024-/-MTF</t>
  </si>
  <si>
    <t>M/2024113/Margin Pay In-/-MTF</t>
  </si>
  <si>
    <t>M/2024113/Emargin MTM Loss Bills.-/-MTF</t>
  </si>
  <si>
    <t>M/2024113/Margin Reversal-/-MTF</t>
  </si>
  <si>
    <t>M/2024113/Emargin MTM Loss Reversal-/-MTF</t>
  </si>
  <si>
    <t>M/2024113/18-JUN-2024-/-Cash</t>
  </si>
  <si>
    <t>Bg interest on MTF for 18-jun-2024-/-MTF</t>
  </si>
  <si>
    <t>M/2024114/Emargin MTM Loss Bills.-/-MTF</t>
  </si>
  <si>
    <t>M/2024114/Margin Pay In-/-MTF</t>
  </si>
  <si>
    <t>M/2024114/Margin Reversal-/-MTF</t>
  </si>
  <si>
    <t>M/2024114/Emargin MTM Loss Reversal-/-MTF</t>
  </si>
  <si>
    <t>M/2024114/19-JUN-2024-/-Cash</t>
  </si>
  <si>
    <t>M/2024114/19-JUN-2024-/-MTF</t>
  </si>
  <si>
    <t>Bg interest on MTF for 19-jun-2024-/-MTF</t>
  </si>
  <si>
    <t>M/2024115/Margin Pay In-/-MTF</t>
  </si>
  <si>
    <t>M/2024115/Emargin MTM Loss Bills.-/-MTF</t>
  </si>
  <si>
    <t>M/2024115/Emargin MTM Loss Reversal-/-MTF</t>
  </si>
  <si>
    <t>M/2024115/Margin Reversal-/-MTF</t>
  </si>
  <si>
    <t>M/2024115/20-JUN-2024-/-MTF</t>
  </si>
  <si>
    <t>Bg interest on MTF for 20-jun-2024-/-MTF</t>
  </si>
  <si>
    <t>M/2024116/Margin Pay In-/-MTF</t>
  </si>
  <si>
    <t>M/2024116/Emargin MTM Loss Bills.-/-MTF</t>
  </si>
  <si>
    <t>M/2024116/Margin Reversal-/-MTF</t>
  </si>
  <si>
    <t>M/2024116/Emargin MTM Loss Reversal-/-MTF</t>
  </si>
  <si>
    <t>M/2024116/21-JUN-2024-/-MTF</t>
  </si>
  <si>
    <t>Bg interest on MTF from 21-jun-2024 to 23-jun-2024-/-MTF</t>
  </si>
  <si>
    <t>M/2024117/Emargin MTM Loss Bills.-/-MTF</t>
  </si>
  <si>
    <t>M/2024117/Margin Pay In-/-MTF</t>
  </si>
  <si>
    <t>M/2024117/Margin Reversal-/-MTF</t>
  </si>
  <si>
    <t>M/2024117/Emargin MTM Loss Reversal-/-MTF</t>
  </si>
  <si>
    <t>M/2024117/24-JUN-2024-/-Cash</t>
  </si>
  <si>
    <t>M/2024117/24-JUN-2024-/-MTF</t>
  </si>
  <si>
    <t>Bg interest on MTF for 24-jun-2024-/-MTF</t>
  </si>
  <si>
    <t>M/2024118/Emargin MTM Loss Bills.-/-MTF</t>
  </si>
  <si>
    <t>M/2024118/Margin Pay In-/-MTF</t>
  </si>
  <si>
    <t>M/2024118/Emargin MTM Loss Reversal-/-MTF</t>
  </si>
  <si>
    <t>M/2024118/Margin Reversal-/-MTF</t>
  </si>
  <si>
    <t>M/2024118/25-JUN-2024-/-Cash</t>
  </si>
  <si>
    <t>Bg interest on MTF for 25-jun-2024-/-MTF</t>
  </si>
  <si>
    <t>M/2024119/Margin Pay In-/-MTF</t>
  </si>
  <si>
    <t>M/2024119/Emargin MTM Loss Bills.-/-MTF</t>
  </si>
  <si>
    <t>M/2024119/Emargin MTM Loss Reversal-/-MTF</t>
  </si>
  <si>
    <t>M/2024119/Margin Reversal-/-MTF</t>
  </si>
  <si>
    <t>M/2024119/26-JUN-2024-/-MTF</t>
  </si>
  <si>
    <t>Bg interest on MTF for 26-jun-2024-/-MTF</t>
  </si>
  <si>
    <t>M/2024120/Margin Pay In-/-MTF</t>
  </si>
  <si>
    <t>M/2024120/Emargin MTM Loss Bills.-/-MTF</t>
  </si>
  <si>
    <t>M/2024120/Margin Reversal-/-MTF</t>
  </si>
  <si>
    <t>M/2024120/Emargin MTM Loss Reversal-/-MTF</t>
  </si>
  <si>
    <t>Bg interest on MTF for 27-jun-2024-/-MTF</t>
  </si>
  <si>
    <t>M/2024121/Margin Pay In-/-MTF</t>
  </si>
  <si>
    <t>M/2024121/Emargin MTM Loss Bills.-/-MTF</t>
  </si>
  <si>
    <t>M/2024121/Margin Reversal-/-MTF</t>
  </si>
  <si>
    <t>M/2024121/Emargin MTM Loss Reversal-/-MTF</t>
  </si>
  <si>
    <t>M/2024121/28-JUN-2024-/-Cash</t>
  </si>
  <si>
    <t>Bg interest on MTF from 28-jun-2024 to 30-jun-2024-/-MTF</t>
  </si>
  <si>
    <t>M/2024122/Margin Pay In-/-MTF</t>
  </si>
  <si>
    <t>M/2024122/Emargin MTM Loss Bills.-/-MTF</t>
  </si>
  <si>
    <t>M/2024122/Margin Reversal-/-MTF</t>
  </si>
  <si>
    <t>M/2024122/Emargin MTM Loss Reversal-/-MTF</t>
  </si>
  <si>
    <t>M/2024122/01-JUL-2024-/-Cash</t>
  </si>
  <si>
    <t>M/2024122/01-JUL-2024-/-MTF</t>
  </si>
  <si>
    <t>Bg interest on MTF for 01-jul-2024-/-MTF</t>
  </si>
  <si>
    <t>M/2024123/Emargin MTM Loss Bills.-/-MTF</t>
  </si>
  <si>
    <t>M/2024123/Margin Pay In-/-MTF</t>
  </si>
  <si>
    <t>M/2024123/Margin Reversal-/-MTF</t>
  </si>
  <si>
    <t>M/2024123/Emargin MTM Loss Reversal-/-MTF</t>
  </si>
  <si>
    <t>M/2024123/02-JUL-2024-/-MTF</t>
  </si>
  <si>
    <t>Bg interest on MTF for 02-jul-2024-/-MTF</t>
  </si>
  <si>
    <t>M/2024124/Margin Pay In-/-MTF</t>
  </si>
  <si>
    <t>M/2024124/Emargin MTM Loss Bills.-/-MTF</t>
  </si>
  <si>
    <t>M/2024124/Emargin MTM Loss Reversal-/-MTF</t>
  </si>
  <si>
    <t>M/2024124/Margin Reversal-/-MTF</t>
  </si>
  <si>
    <t>M/2024124/03-JUL-2024-/-Cash</t>
  </si>
  <si>
    <t>Bg interest on MTF for 03-jul-2024-/-MTF</t>
  </si>
  <si>
    <t>M/2024125/Margin Pay In-/-MTF</t>
  </si>
  <si>
    <t>M/2024125/Emargin MTM Loss Bills.-/-MTF</t>
  </si>
  <si>
    <t>M/2024125/Margin Reversal-/-MTF</t>
  </si>
  <si>
    <t>M/2024125/Emargin MTM Loss Reversal-/-MTF</t>
  </si>
  <si>
    <t>M/2024125/04-JUL-2024-/-Cash</t>
  </si>
  <si>
    <t>M/2024125/04-JUL-2024-/-MTF</t>
  </si>
  <si>
    <t>Bg interest on MTF for 04-jul-2024-/-MTF</t>
  </si>
  <si>
    <t>M/2024126/Margin Pay In-/-MTF</t>
  </si>
  <si>
    <t>M/2024126/Emargin MTM Loss Bills.-/-MTF</t>
  </si>
  <si>
    <t>M/2024126/Margin Reversal-/-MTF</t>
  </si>
  <si>
    <t>M/2024126/Emargin MTM Loss Reversal-/-MTF</t>
  </si>
  <si>
    <t>M/2024126/05-JUL-2024-/-MTF</t>
  </si>
  <si>
    <t>Bg interest on MTF from 05-jul-2024 to 07-jul-2024-/-MTF</t>
  </si>
  <si>
    <t>M/2024127/Emargin MTM Loss Bills.-/-MTF</t>
  </si>
  <si>
    <t>M/2024127/Margin Pay In-/-MTF</t>
  </si>
  <si>
    <t>M/2024127/Margin Reversal-/-MTF</t>
  </si>
  <si>
    <t>M/2024127/Emargin MTM Loss Reversal-/-MTF</t>
  </si>
  <si>
    <t>M/2024127/08-JUL-2024-/-MTF</t>
  </si>
  <si>
    <t>Bg interest on MTF for 08-jul-2024-/-MTF</t>
  </si>
  <si>
    <t>M/2024128/Emargin MTM Loss Bills.-/-MTF</t>
  </si>
  <si>
    <t>M/2024128/Margin Pay In-/-MTF</t>
  </si>
  <si>
    <t>M/2024128/Emargin MTM Loss Reversal-/-MTF</t>
  </si>
  <si>
    <t>M/2024128/Margin Reversal-/-MTF</t>
  </si>
  <si>
    <t>M/2024128/09-JUL-2024-/-MTF</t>
  </si>
  <si>
    <t>Bg interest on MTF for 09-jul-2024-/-MTF</t>
  </si>
  <si>
    <t>M/2024129/Emargin MTM Loss Bills.-/-MTF</t>
  </si>
  <si>
    <t>M/2024129/Emargin MTM Loss Reversal-/-MTF</t>
  </si>
  <si>
    <t>M/2024129/Margin Reversal-/-MTF</t>
  </si>
  <si>
    <t>M/2024129/10-JUL-2024-/-Cash</t>
  </si>
  <si>
    <t>M/2024129/10-JUL-2024-/-MTF</t>
  </si>
  <si>
    <t>Bg interest on MTF for 10-jul-2024-/-MTF</t>
  </si>
  <si>
    <t>M/2024130/Emargin MTM Loss Reversal-/-MTF</t>
  </si>
  <si>
    <t>M/2024130/11-JUL-2024-/-Cash</t>
  </si>
  <si>
    <t>Bg interest on MTF for 11-jul-2024-/-MTF</t>
  </si>
  <si>
    <t>M/2024131/12-JUL-2024-/-MTF</t>
  </si>
  <si>
    <t>Bg interest on MTF from 12-jul-2024 to 14-jul-2024-/-MTF</t>
  </si>
  <si>
    <t>Bg interest on MTF for 15-jul-2024-/-MTF</t>
  </si>
  <si>
    <t>Bg interest on MTF from 16-jul-2024 to 17-jul-2024-/-MTF</t>
  </si>
  <si>
    <t>M/2024134/Margin Pay In-/-MTF</t>
  </si>
  <si>
    <t>M/2024134/Emargin MTM Loss Bills.-/-MTF</t>
  </si>
  <si>
    <t>M/2024134/18-JUL-2024-/-Cash</t>
  </si>
  <si>
    <t>Bg interest on MTF for 18-jul-2024-/-MTF</t>
  </si>
  <si>
    <t>M/2024135/Margin Pay In-/-MTF</t>
  </si>
  <si>
    <t>M/2024135/Emargin MTM Loss Bills.-/-MTF</t>
  </si>
  <si>
    <t>M/2024135/Margin Reversal-/-MTF</t>
  </si>
  <si>
    <t>M/2024135/Emargin MTM Loss Reversal-/-MTF</t>
  </si>
  <si>
    <t>M/2024135/19-JUL-2024-/-MTF</t>
  </si>
  <si>
    <t>Bg interest on MTF from 19-jul-2024 to 21-jul-2024-/-MTF</t>
  </si>
  <si>
    <t>M/2024136/Margin Pay In-/-MTF</t>
  </si>
  <si>
    <t>M/2024136/Emargin MTM Loss Bills.-/-MTF</t>
  </si>
  <si>
    <t>M/2024136/Margin Reversal-/-MTF</t>
  </si>
  <si>
    <t>M/2024136/Emargin MTM Loss Reversal-/-MTF</t>
  </si>
  <si>
    <t>Bg interest on MTF for 22-jul-2024-/-MTF</t>
  </si>
  <si>
    <t>M/2024137/Emargin MTM Loss Bills.-/-MTF</t>
  </si>
  <si>
    <t>M/2024137/Margin Pay In-/-MTF</t>
  </si>
  <si>
    <t>M/2024137/Margin Reversal-/-MTF</t>
  </si>
  <si>
    <t>M/2024137/Emargin MTM Loss Reversal-/-MTF</t>
  </si>
  <si>
    <t>M/2024137/23-JUL-2024-/-MTF</t>
  </si>
  <si>
    <t>Bg interest on MTF for 23-jul-2024-/-MTF</t>
  </si>
  <si>
    <t>M/2024138/Emargin MTM Loss Bills.-/-MTF</t>
  </si>
  <si>
    <t>M/2024138/Margin Pay In-/-MTF</t>
  </si>
  <si>
    <t>M/2024138/Emargin MTM Loss Reversal-/-MTF</t>
  </si>
  <si>
    <t>M/2024138/Margin Reversal-/-MTF</t>
  </si>
  <si>
    <t>Bg interest on MTF for 24-jul-2024-/-MTF</t>
  </si>
  <si>
    <t>M/2024139/Emargin MTM Loss Bills.-/-MTF</t>
  </si>
  <si>
    <t>M/2024139/Margin Pay In-/-MTF</t>
  </si>
  <si>
    <t>M/2024139/Emargin MTM Loss Reversal-/-MTF</t>
  </si>
  <si>
    <t>M/2024139/Margin Reversal-/-MTF</t>
  </si>
  <si>
    <t>Bg interest on MTF for 25-jul-2024-/-MTF</t>
  </si>
  <si>
    <t>M/2024140/Margin Pay In-/-MTF</t>
  </si>
  <si>
    <t>M/2024140/Emargin MTM Loss Bills.-/-MTF</t>
  </si>
  <si>
    <t>M/2024140/Margin Reversal-/-MTF</t>
  </si>
  <si>
    <t>M/2024140/Emargin MTM Loss Reversal-/-MTF</t>
  </si>
  <si>
    <t>M/2024140/26-JUL-2024-/-Cash</t>
  </si>
  <si>
    <t>Bg interest on MTF from 26-jul-2024 to 28-jul-2024-/-MTF</t>
  </si>
  <si>
    <t>M/2024141/Margin Pay In-/-MTF</t>
  </si>
  <si>
    <t>M/2024141/Emargin MTM Loss Bills.-/-MTF</t>
  </si>
  <si>
    <t>M/2024141/Margin Reversal-/-MTF</t>
  </si>
  <si>
    <t>M/2024141/Emargin MTM Loss Reversal-/-MTF</t>
  </si>
  <si>
    <t>M/2024141/29-JUL-2024-/-Cash</t>
  </si>
  <si>
    <t>M/2024141/29-JUL-2024-/-MTF</t>
  </si>
  <si>
    <t>Bg interest on MTF for 29-jul-2024-/-MTF</t>
  </si>
  <si>
    <t>M/2024142/Margin Pay In-/-MTF</t>
  </si>
  <si>
    <t>M/2024142/Emargin MTM Loss Bills.-/-MTF</t>
  </si>
  <si>
    <t>M/2024142/Margin Reversal-/-MTF</t>
  </si>
  <si>
    <t>M/2024142/Emargin MTM Loss Reversal-/-MTF</t>
  </si>
  <si>
    <t>M/2024142/30-JUL-2024-/-Cash</t>
  </si>
  <si>
    <t>M/2024142/30-JUL-2024-/-MTF</t>
  </si>
  <si>
    <t>Bg interest on MTF for 30-jul-2024-/-MTF</t>
  </si>
  <si>
    <t>M/2024143/Margin Pay In-/-MTF</t>
  </si>
  <si>
    <t>M/2024143/Emargin MTM Loss Bills.-/-MTF</t>
  </si>
  <si>
    <t>M/2024143/Margin Reversal-/-MTF</t>
  </si>
  <si>
    <t>M/2024143/Emargin MTM Loss Reversal-/-MTF</t>
  </si>
  <si>
    <t>M/2024143/31-JUL-2024-/-MTF</t>
  </si>
  <si>
    <t>Bg interest on MTF for 31-jul-2024-/-MTF</t>
  </si>
  <si>
    <t>M/2024144/Emargin MTM Loss Bills.-/-MTF</t>
  </si>
  <si>
    <t>M/2024144/Margin Pay In-/-MTF</t>
  </si>
  <si>
    <t>M/2024144/Margin Reversal-/-MTF</t>
  </si>
  <si>
    <t>M/2024144/Emargin MTM Loss Reversal-/-MTF</t>
  </si>
  <si>
    <t>M/2024144/01-AUG-2024-/-Cash</t>
  </si>
  <si>
    <t>M/2024144/01-AUG-2024-/-MTF</t>
  </si>
  <si>
    <t>Bg interest on MTF for 01-aug-2024-/-MTF</t>
  </si>
  <si>
    <t>M/2024145/Emargin MTM Loss Bills.-/-MTF</t>
  </si>
  <si>
    <t>M/2024145/Margin Pay In-/-MTF</t>
  </si>
  <si>
    <t>M/2024145/Emargin MTM Loss Reversal-/-MTF</t>
  </si>
  <si>
    <t>M/2024145/Margin Reversal-/-MTF</t>
  </si>
  <si>
    <t>M/2024145/02-AUG-2024-/-Cash</t>
  </si>
  <si>
    <t>M/2024145/02-AUG-2024-/-MTF</t>
  </si>
  <si>
    <t>Bg interest on MTF from 02-aug-2024 to 04-aug-2024-/-MTF</t>
  </si>
  <si>
    <t>M/2024146/Emargin MTM Loss Bills.-/-MTF</t>
  </si>
  <si>
    <t>M/2024146/Margin Pay In-/-MTF</t>
  </si>
  <si>
    <t>M/2024146/Emargin MTM Loss Reversal-/-MTF</t>
  </si>
  <si>
    <t>M/2024146/Margin Reversal-/-MTF</t>
  </si>
  <si>
    <t>M/2024146/05-AUG-2024-/-Cash</t>
  </si>
  <si>
    <t>M/2024146/05-AUG-2024-/-MTF</t>
  </si>
  <si>
    <t>Bg interest on MTF for 05-aug-2024-/-MTF</t>
  </si>
  <si>
    <t>M/2024147/Margin Pay In-/-MTF</t>
  </si>
  <si>
    <t>M/2024147/Emargin MTM Loss Bills.-/-MTF</t>
  </si>
  <si>
    <t>M/2024147/Emargin MTM Loss Reversal-/-MTF</t>
  </si>
  <si>
    <t>M/2024147/Margin Reversal-/-MTF</t>
  </si>
  <si>
    <t>M/2024147/06-AUG-2024-/-MTF</t>
  </si>
  <si>
    <t>Bg interest on MTF for 06-aug-2024-/-MTF</t>
  </si>
  <si>
    <t>M/2024148/Margin Pay In-/-MTF</t>
  </si>
  <si>
    <t>M/2024148/Emargin MTM Loss Bills.-/-MTF</t>
  </si>
  <si>
    <t>M/2024148/Margin Reversal-/-MTF</t>
  </si>
  <si>
    <t>M/2024148/Emargin MTM Loss Reversal-/-MTF</t>
  </si>
  <si>
    <t>M/2024148/07-AUG-2024-/-MTF</t>
  </si>
  <si>
    <t>Bg interest on MTF for 07-aug-2024-/-MTF</t>
  </si>
  <si>
    <t>M/2024149/Emargin MTM Loss Bills.-/-MTF</t>
  </si>
  <si>
    <t>M/2024149/Margin Pay In-/-MTF</t>
  </si>
  <si>
    <t>M/2024149/Margin Reversal-/-MTF</t>
  </si>
  <si>
    <t>M/2024149/Emargin MTM Loss Reversal-/-MTF</t>
  </si>
  <si>
    <t>M/2024149/08-AUG-2024-/-MTF</t>
  </si>
  <si>
    <t>Bg interest on MTF for 08-aug-2024-/-MTF</t>
  </si>
  <si>
    <t>M/2024150/Emargin MTM Loss Bills.-/-MTF</t>
  </si>
  <si>
    <t>M/2024150/Margin Pay In-/-MTF</t>
  </si>
  <si>
    <t>M/2024150/Emargin MTM Loss Reversal-/-MTF</t>
  </si>
  <si>
    <t>M/2024150/Margin Reversal-/-MTF</t>
  </si>
  <si>
    <t>Bg interest on MTF from 09-aug-2024 to 11-aug-2024-/-MTF</t>
  </si>
  <si>
    <t>M/2024151/Emargin MTM Loss Bills.-/-MTF</t>
  </si>
  <si>
    <t>M/2024151/Margin Pay In-/-MTF</t>
  </si>
  <si>
    <t>M/2024151/Emargin MTM Loss Reversal-/-MTF</t>
  </si>
  <si>
    <t>M/2024151/Margin Reversal-/-MTF</t>
  </si>
  <si>
    <t>M/2024151/12-AUG-2024-/-Cash</t>
  </si>
  <si>
    <t>Bg interest on MTF for 12-aug-2024-/-MTF</t>
  </si>
  <si>
    <t>M/2024152/Emargin MTM Loss Bills.-/-MTF</t>
  </si>
  <si>
    <t>M/2024152/Margin Pay In-/-MTF</t>
  </si>
  <si>
    <t>M/2024152/Emargin MTM Loss Reversal-/-MTF</t>
  </si>
  <si>
    <t>M/2024152/Margin Reversal-/-MTF</t>
  </si>
  <si>
    <t>M/2024152/13-AUG-2024-/-Cash</t>
  </si>
  <si>
    <t>M/2024152/13-AUG-2024-/-MTF</t>
  </si>
  <si>
    <t>Bg interest on MTF for 13-aug-2024-/-MTF</t>
  </si>
  <si>
    <t>M/2024153/Margin Pay In-/-MTF</t>
  </si>
  <si>
    <t>M/2024153/Emargin MTM Loss Bills.-/-MTF</t>
  </si>
  <si>
    <t>M/2024153/Emargin MTM Loss Reversal-/-MTF</t>
  </si>
  <si>
    <t>M/2024153/Margin Reversal-/-MTF</t>
  </si>
  <si>
    <t>M/2024153/14-AUG-2024-/-Cash</t>
  </si>
  <si>
    <t>M/2024153/14-AUG-2024-/-MTF</t>
  </si>
  <si>
    <t>Z/2024153/14-AUG-2024-/-Cash</t>
  </si>
  <si>
    <t>Bg interest on MTF from 14-aug-2024 to 15-aug-2024-/-MTF</t>
  </si>
  <si>
    <t>M/2024154/Margin Pay In-/-MTF</t>
  </si>
  <si>
    <t>M/2024154/Emargin MTM Loss Bills.-/-MTF</t>
  </si>
  <si>
    <t>M/2024154/Margin Reversal-/-MTF</t>
  </si>
  <si>
    <t>M/2024154/Emargin MTM Loss Reversal-/-MTF</t>
  </si>
  <si>
    <t>M/2024154/16-AUG-2024-/-Cash</t>
  </si>
  <si>
    <t>M/2024154/16-AUG-2024-/-MTF</t>
  </si>
  <si>
    <t>Bg interest on MTF from 16-aug-2024 to 18-aug-2024-/-MTF</t>
  </si>
  <si>
    <t>M/2024155/Emargin MTM Loss Bills.-/-MTF</t>
  </si>
  <si>
    <t>M/2024155/Margin Pay In-/-MTF</t>
  </si>
  <si>
    <t>M/2024155/Margin Reversal-/-MTF</t>
  </si>
  <si>
    <t>M/2024155/Emargin MTM Loss Reversal-/-MTF</t>
  </si>
  <si>
    <t>M/2024155/19-AUG-2024-/-MTF</t>
  </si>
  <si>
    <t>Bg interest on MTF for 19-aug-2024-/-MTF</t>
  </si>
  <si>
    <t>M/2024156/Margin Pay In-/-MTF</t>
  </si>
  <si>
    <t>M/2024156/Emargin MTM Loss Bills.-/-MTF</t>
  </si>
  <si>
    <t>M/2024156/Emargin MTM Loss Reversal-/-MTF</t>
  </si>
  <si>
    <t>M/2024156/Margin Reversal-/-MTF</t>
  </si>
  <si>
    <t>M/2024156/20-AUG-2024-/-Cash</t>
  </si>
  <si>
    <t>Bg interest on MTF for 20-aug-2024-/-MTF</t>
  </si>
  <si>
    <t>M/2024157/Emargin MTM Loss Bills.-/-MTF</t>
  </si>
  <si>
    <t>M/2024157/Margin Pay In-/-MTF</t>
  </si>
  <si>
    <t>M/2024157/Margin Reversal-/-MTF</t>
  </si>
  <si>
    <t>M/2024157/Emargin MTM Loss Reversal-/-MTF</t>
  </si>
  <si>
    <t>M/2024157/21-AUG-2024-/-MTF</t>
  </si>
  <si>
    <t>Bg interest on MTF for 21-aug-2024-/-MTF</t>
  </si>
  <si>
    <t>M/2024158/Emargin MTM Loss Bills.-/-MTF</t>
  </si>
  <si>
    <t>M/2024158/Margin Pay In-/-MTF</t>
  </si>
  <si>
    <t>M/2024158/Emargin MTM Loss Reversal-/-MTF</t>
  </si>
  <si>
    <t>M/2024158/Margin Reversal-/-MTF</t>
  </si>
  <si>
    <t>Bg interest on MTF for 22-aug-2024-/-MTF</t>
  </si>
  <si>
    <t>M/2024159/Margin Pay In-/-MTF</t>
  </si>
  <si>
    <t>M/2024159/Emargin MTM Loss Bills.-/-MTF</t>
  </si>
  <si>
    <t>M/2024159/Emargin MTM Loss Reversal-/-MTF</t>
  </si>
  <si>
    <t>M/2024159/Margin Reversal-/-MTF</t>
  </si>
  <si>
    <t>M/2024159/23-AUG-2024-/-Cash</t>
  </si>
  <si>
    <t>M/2024159/23-AUG-2024-/-MTF</t>
  </si>
  <si>
    <t>Bg interest on MTF from 23-aug-2024 to 25-aug-2024-/-MTF</t>
  </si>
  <si>
    <t>M/2024160/Emargin MTM Loss Bills.-/-MTF</t>
  </si>
  <si>
    <t>M/2024160/Margin Pay In-/-MTF</t>
  </si>
  <si>
    <t>M/2024160/Margin Reversal-/-MTF</t>
  </si>
  <si>
    <t>M/2024160/Emargin MTM Loss Reversal-/-MTF</t>
  </si>
  <si>
    <t>M/2024160/26-AUG-2024-/-Cash</t>
  </si>
  <si>
    <t>M/2024160/26-AUG-2024-/-MTF</t>
  </si>
  <si>
    <t>Bg interest on MTF for 26-aug-2024-/-MTF</t>
  </si>
  <si>
    <t>M/2024161/Emargin MTM Loss Bills.-/-MTF</t>
  </si>
  <si>
    <t>M/2024161/Margin Pay In-/-MTF</t>
  </si>
  <si>
    <t>M/2024161/Emargin MTM Loss Reversal-/-MTF</t>
  </si>
  <si>
    <t>M/2024161/Margin Reversal-/-MTF</t>
  </si>
  <si>
    <t>OFB/2024083/27-AUG-2024-/-Cash</t>
  </si>
  <si>
    <t>M/2024161/27-AUG-2024-/-Cash</t>
  </si>
  <si>
    <t>Bg interest on MTF for 27-aug-2024-/-MTF</t>
  </si>
  <si>
    <t>M/2024162/Margin Pay In-/-MTF</t>
  </si>
  <si>
    <t>M/2024162/Emargin MTM Loss Bills.-/-MTF</t>
  </si>
  <si>
    <t>M/2024162/Emargin MTM Loss Reversal-/-MTF</t>
  </si>
  <si>
    <t>M/2024162/Margin Reversal-/-MTF</t>
  </si>
  <si>
    <t>M/2024162/28-AUG-2024-/-Cash</t>
  </si>
  <si>
    <t>Bg interest on MTF for 28-aug-2024-/-MTF</t>
  </si>
  <si>
    <t>M/2024163/Emargin MTM Loss Bills.-/-MTF</t>
  </si>
  <si>
    <t>M/2024163/Margin Pay In-/-MTF</t>
  </si>
  <si>
    <t>M/2024163/Margin Reversal-/-MTF</t>
  </si>
  <si>
    <t>M/2024163/Emargin MTM Loss Reversal-/-MTF</t>
  </si>
  <si>
    <t>Bg interest on MTF for 29-aug-2024-/-MTF</t>
  </si>
  <si>
    <t>M/2024164/Margin Pay In-/-MTF</t>
  </si>
  <si>
    <t>M/2024164/Emargin MTM Loss Bills.-/-MTF</t>
  </si>
  <si>
    <t>M/2024164/Emargin MTM Loss Reversal-/-MTF</t>
  </si>
  <si>
    <t>M/2024164/Margin Reversal-/-MTF</t>
  </si>
  <si>
    <t>Bg interest on MTF from 30-aug-2024 to 01-sep-2024-/-MTF</t>
  </si>
  <si>
    <t>M/2024165/Margin Pay In-/-MTF</t>
  </si>
  <si>
    <t>M/2024165/Emargin MTM Loss Bills.-/-MTF</t>
  </si>
  <si>
    <t>M/2024165/Margin Reversal-/-MTF</t>
  </si>
  <si>
    <t>M/2024165/Emargin MTM Loss Reversal-/-MTF</t>
  </si>
  <si>
    <t>Bg interest on MTF for 02-sep-2024-/-MTF</t>
  </si>
  <si>
    <t>M/2024166/Emargin MTM Loss Bills.-/-MTF</t>
  </si>
  <si>
    <t>M/2024166/Margin Pay In-/-MTF</t>
  </si>
  <si>
    <t>M/2024166/Margin Reversal-/-MTF</t>
  </si>
  <si>
    <t>M/2024166/Emargin MTM Loss Reversal-/-MTF</t>
  </si>
  <si>
    <t>M/2024166/03-SEP-2024-/-MTF</t>
  </si>
  <si>
    <t>Bg interest on MTF for 03-sep-2024-/-MTF</t>
  </si>
  <si>
    <t>M/2024167/Margin Pay In-/-MTF</t>
  </si>
  <si>
    <t>M/2024167/Emargin MTM Loss Bills.-/-MTF</t>
  </si>
  <si>
    <t>M/2024167/Emargin MTM Loss Reversal-/-MTF</t>
  </si>
  <si>
    <t>M/2024167/Margin Reversal-/-MTF</t>
  </si>
  <si>
    <t>M/2024167/04-SEP-2024-/-MTF</t>
  </si>
  <si>
    <t>Bg interest on MTF for 04-sep-2024-/-MTF</t>
  </si>
  <si>
    <t>M/2024168/Emargin MTM Loss Bills.-/-MTF</t>
  </si>
  <si>
    <t>M/2024168/Margin Pay In-/-MTF</t>
  </si>
  <si>
    <t>M/2024168/Margin Reversal-/-MTF</t>
  </si>
  <si>
    <t>M/2024168/Emargin MTM Loss Reversal-/-MTF</t>
  </si>
  <si>
    <t>M/2024168/05-SEP-2024-/-Cash</t>
  </si>
  <si>
    <t>Bg interest on MTF for 05-sep-2024-/-MTF</t>
  </si>
  <si>
    <t>M/2024169/Emargin MTM Loss Bills.-/-MTF</t>
  </si>
  <si>
    <t>M/2024169/Margin Pay In-/-MTF</t>
  </si>
  <si>
    <t>M/2024169/Emargin MTM Loss Reversal-/-MTF</t>
  </si>
  <si>
    <t>M/2024169/Margin Reversal-/-MTF</t>
  </si>
  <si>
    <t>M/2024169/06-SEP-2024-/-MTF</t>
  </si>
  <si>
    <t>Z/2024169/06-SEP-2024-/-Cash</t>
  </si>
  <si>
    <t>Bg interest on MTF from 06-sep-2024 to 08-sep-2024-/-MTF</t>
  </si>
  <si>
    <t>M/2024170/Emargin MTM Loss Bills.-/-MTF</t>
  </si>
  <si>
    <t>M/2024170/Margin Pay In-/-MTF</t>
  </si>
  <si>
    <t>M/2024170/Emargin MTM Loss Reversal-/-MTF</t>
  </si>
  <si>
    <t>M/2024170/Margin Reversal-/-MTF</t>
  </si>
  <si>
    <t>Bg interest on MTF for 09-sep-2024-/-MTF</t>
  </si>
  <si>
    <t>M/2024171/Emargin MTM Loss Bills.-/-MTF</t>
  </si>
  <si>
    <t>M/2024171/Margin Pay In-/-MTF</t>
  </si>
  <si>
    <t>M/2024171/Emargin MTM Loss Reversal-/-MTF</t>
  </si>
  <si>
    <t>M/2024171/Margin Reversal-/-MTF</t>
  </si>
  <si>
    <t>M/2024171/10-SEP-2024-/-Cash</t>
  </si>
  <si>
    <t>Bg interest on MTF for 10-sep-2024-/-MTF</t>
  </si>
  <si>
    <t>M/2024172/Margin Pay In-/-MTF</t>
  </si>
  <si>
    <t>M/2024172/Emargin MTM Loss Bills.-/-MTF</t>
  </si>
  <si>
    <t>M/2024172/Emargin MTM Loss Reversal-/-MTF</t>
  </si>
  <si>
    <t>M/2024172/Margin Reversal-/-MTF</t>
  </si>
  <si>
    <t>M/2024172/11-SEP-2024-/-MTF</t>
  </si>
  <si>
    <t>Bg interest on MTF for 11-sep-2024-/-MTF</t>
  </si>
  <si>
    <t>M/2024173/Margin Pay In-/-MTF</t>
  </si>
  <si>
    <t>M/2024173/Emargin MTM Loss Bills.-/-MTF</t>
  </si>
  <si>
    <t>M/2024173/Margin Reversal-/-MTF</t>
  </si>
  <si>
    <t>M/2024173/Emargin MTM Loss Reversal-/-MTF</t>
  </si>
  <si>
    <t>M/2024173/12-SEP-2024-/-MTF</t>
  </si>
  <si>
    <t>Bg interest on MTF for 12-sep-2024-/-MTF</t>
  </si>
  <si>
    <t>M/2024174/Emargin MTM Loss Bills.-/-MTF</t>
  </si>
  <si>
    <t>M/2024174/Margin Pay In-/-MTF</t>
  </si>
  <si>
    <t>M/2024174/Margin Reversal-/-MTF</t>
  </si>
  <si>
    <t>M/2024174/Emargin MTM Loss Reversal-/-MTF</t>
  </si>
  <si>
    <t>M/2024175/Emargin MTM Loss Reversal-/-MTF</t>
  </si>
  <si>
    <t>M/2024175/Margin Reversal-/-MTF</t>
  </si>
  <si>
    <t>Bg interest on MTF from 13-sep-2024 to 15-sep-2024-/-MTF</t>
  </si>
  <si>
    <t>M/2024175/Margin Pay In-/-MTF</t>
  </si>
  <si>
    <t>M/2024175/Emargin MTM Loss Bills.-/-MTF</t>
  </si>
  <si>
    <t>M/2024175/16-SEP-2024-/-MTF</t>
  </si>
  <si>
    <t>Bg interest on MTF for 16-sep-2024-/-MTF</t>
  </si>
  <si>
    <t>M/2024176/Margin Pay In-/-MTF</t>
  </si>
  <si>
    <t>M/2024176/Emargin MTM Loss Bills.-/-MTF</t>
  </si>
  <si>
    <t>M/2024176/Margin Reversal-/-MTF</t>
  </si>
  <si>
    <t>M/2024176/Emargin MTM Loss Reversal-/-MTF</t>
  </si>
  <si>
    <t>M/2024176/17-SEP-2024-/-MTF</t>
  </si>
  <si>
    <t>Z/2024176/17-SEP-2024-/-Cash</t>
  </si>
  <si>
    <t>M/2024177/Margin Pay In-/-MTF</t>
  </si>
  <si>
    <t>M/2024177/Emargin MTM Loss Bills.-/-MTF</t>
  </si>
  <si>
    <t>M/2024177/Margin Reversal-/-MTF</t>
  </si>
  <si>
    <t>M/2024177/Emargin MTM Loss Reversal-/-MTF</t>
  </si>
  <si>
    <t>Bg interest on MTF for 17-sep-2024-/-MTF</t>
  </si>
  <si>
    <t>Bg interest on MTF for 18-sep-2024-/-MTF</t>
  </si>
  <si>
    <t>M/2024178/Margin Pay In-/-MTF</t>
  </si>
  <si>
    <t>M/2024178/Emargin MTM Loss Bills.-/-MTF</t>
  </si>
  <si>
    <t>M/2024178/Margin Reversal-/-MTF</t>
  </si>
  <si>
    <t>M/2024178/Emargin MTM Loss Reversal-/-MTF</t>
  </si>
  <si>
    <t>M/2024178/19-SEP-2024-/-MTF</t>
  </si>
  <si>
    <t>Bg interest on MTF for 19-sep-2024-/-MTF</t>
  </si>
  <si>
    <t>M/2024179/Emargin MTM Loss Bills.-/-MTF</t>
  </si>
  <si>
    <t>M/2024179/Margin Pay In-/-MTF</t>
  </si>
  <si>
    <t>M/2024179/Margin Reversal-/-MTF</t>
  </si>
  <si>
    <t>M/2024179/Emargin MTM Loss Reversal-/-MTF</t>
  </si>
  <si>
    <t>M/2024179/20-SEP-2024-/-Cash</t>
  </si>
  <si>
    <t>M/2024179/20-SEP-2024-/-MTF</t>
  </si>
  <si>
    <t>Bg interest on MTF from 20-sep-2024 to 22-sep-2024-/-MTF</t>
  </si>
  <si>
    <t>M/2024180/Margin Pay In-/-MTF</t>
  </si>
  <si>
    <t>M/2024180/Emargin MTM Loss Bills.-/-MTF</t>
  </si>
  <si>
    <t>M/2024180/Emargin MTM Loss Reversal-/-MTF</t>
  </si>
  <si>
    <t>M/2024180/Margin Reversal-/-MTF</t>
  </si>
  <si>
    <t>M/2024180/23-SEP-2024-/-MTF</t>
  </si>
  <si>
    <t>Bg interest on MTF for 23-sep-2024-/-MTF</t>
  </si>
  <si>
    <t>M/2024181/Margin Pay In-/-MTF</t>
  </si>
  <si>
    <t>M/2024181/Emargin MTM Loss Bills.-/-MTF</t>
  </si>
  <si>
    <t>M/2024181/Margin Reversal-/-MTF</t>
  </si>
  <si>
    <t>M/2024181/Emargin MTM Loss Reversal-/-MTF</t>
  </si>
  <si>
    <t>M/2024181/24-SEP-2024-/-MTF</t>
  </si>
  <si>
    <t>Z/2024181/24-SEP-2024-/-Cash</t>
  </si>
  <si>
    <t>Bg interest on MTF for 24-sep-2024-/-MTF</t>
  </si>
  <si>
    <t>M/2024182/Emargin MTM Loss Bills.-/-MTF</t>
  </si>
  <si>
    <t>M/2024182/Margin Pay In-/-MTF</t>
  </si>
  <si>
    <t>M/2024182/Margin Reversal-/-MTF</t>
  </si>
  <si>
    <t>M/2024182/Emargin MTM Loss Reversal-/-MTF</t>
  </si>
  <si>
    <t>Bg interest on MTF for 25-sep-2024-/-MTF</t>
  </si>
  <si>
    <t>M/2024183/Emargin MTM Loss Bills.-/-MTF</t>
  </si>
  <si>
    <t>M/2024183/Margin Pay In-/-MTF</t>
  </si>
  <si>
    <t>M/2024183/Emargin MTM Loss Reversal-/-MTF</t>
  </si>
  <si>
    <t>M/2024183/Margin Reversal-/-MTF</t>
  </si>
  <si>
    <t>M/2024183/26-SEP-2024-/-MTF</t>
  </si>
  <si>
    <t>Bg interest on MTF for 26-sep-2024-/-MTF</t>
  </si>
  <si>
    <t>M/2024184/Emargin MTM Loss Bills.-/-MTF</t>
  </si>
  <si>
    <t>M/2024184/Margin Pay In-/-MTF</t>
  </si>
  <si>
    <t>M/2024184/Emargin MTM Loss Reversal-/-MTF</t>
  </si>
  <si>
    <t>M/2024184/Margin Reversal-/-MTF</t>
  </si>
  <si>
    <t>Bg interest on MTF from 27-sep-2024 to 29-sep-2024-/-MTF</t>
  </si>
  <si>
    <t>M/2024185/Margin Pay In-/-MTF</t>
  </si>
  <si>
    <t>M/2024185/Emargin MTM Loss Bills.-/-MTF</t>
  </si>
  <si>
    <t>M/2024185/Emargin MTM Loss Reversal-/-MTF</t>
  </si>
  <si>
    <t>M/2024185/Margin Reversal-/-MTF</t>
  </si>
  <si>
    <t>Bg interest on MTF for 30-sep-2024-/-MTF</t>
  </si>
  <si>
    <t>M/2024186/Emargin MTM Loss Bills.-/-MTF</t>
  </si>
  <si>
    <t>M/2024186/Margin Pay In-/-MTF</t>
  </si>
  <si>
    <t>M/2024186/Margin Reversal-/-MTF</t>
  </si>
  <si>
    <t>M/2024186/Emargin MTM Loss Reversal-/-MTF</t>
  </si>
  <si>
    <t>M/2024186/01-OCT-2024-/-Cash</t>
  </si>
  <si>
    <t>Bg interest on MTF from 01-oct-2024 to 02-oct-2024-/-MTF</t>
  </si>
  <si>
    <t>M/2024187/Emargin MTM Loss Bills.-/-MTF</t>
  </si>
  <si>
    <t>M/2024187/Margin Pay In-/-MTF</t>
  </si>
  <si>
    <t>M/2024187/Emargin MTM Loss Reversal-/-MTF</t>
  </si>
  <si>
    <t>M/2024187/Margin Reversal-/-MTF</t>
  </si>
  <si>
    <t>M/2024187/03-OCT-2024-/-MTF</t>
  </si>
  <si>
    <t>Bg interest on MTF for 03-oct-2024-/-MTF</t>
  </si>
  <si>
    <t>M/2024188/Emargin MTM Loss Bills.-/-MTF</t>
  </si>
  <si>
    <t>M/2024188/Margin Pay In-/-MTF</t>
  </si>
  <si>
    <t>M/2024188/Emargin MTM Loss Reversal-/-MTF</t>
  </si>
  <si>
    <t>M/2024188/Margin Reversal-/-MTF</t>
  </si>
  <si>
    <t>M/2024188/04-OCT-2024-/-MTF</t>
  </si>
  <si>
    <t>Bg interest on MTF from 04-oct-2024 to 06-oct-2024-/-MTF</t>
  </si>
  <si>
    <t>M/2024189/Emargin MTM Loss Bills.-/-MTF</t>
  </si>
  <si>
    <t>M/2024189/Margin Pay In-/-MTF</t>
  </si>
  <si>
    <t>M/2024189/Emargin MTM Loss Reversal-/-MTF</t>
  </si>
  <si>
    <t>M/2024189/Margin Reversal-/-MTF</t>
  </si>
  <si>
    <t>M/2024189/07-OCT-2024-/-MTF</t>
  </si>
  <si>
    <t>Bg interest on MTF for 07-oct-2024-/-MTF</t>
  </si>
  <si>
    <t>M/2024190/Margin Pay In-/-MTF</t>
  </si>
  <si>
    <t>M/2024190/Emargin MTM Loss Bills.-/-MTF</t>
  </si>
  <si>
    <t>M/2024190/Emargin MTM Loss Reversal-/-MTF</t>
  </si>
  <si>
    <t>M/2024190/Margin Reversal-/-MTF</t>
  </si>
  <si>
    <t>M/2024190/08-OCT-2024-/-Cash</t>
  </si>
  <si>
    <t>Bg interest on MTF for 08-oct-2024-/-MTF</t>
  </si>
  <si>
    <t>M/2024191/Emargin MTM Loss Bills.-/-MTF</t>
  </si>
  <si>
    <t>M/2024191/Margin Pay In-/-MTF</t>
  </si>
  <si>
    <t>M/2024191/Margin Reversal-/-MTF</t>
  </si>
  <si>
    <t>M/2024191/Emargin MTM Loss Reversal-/-MTF</t>
  </si>
  <si>
    <t>M/2024191/09-OCT-2024-/-Cash</t>
  </si>
  <si>
    <t>Bg interest on MTF for 09-oct-2024-/-MTF</t>
  </si>
  <si>
    <t>M/2024192/Emargin MTM Loss Bills.-/-MTF</t>
  </si>
  <si>
    <t>M/2024192/Margin Pay In-/-MTF</t>
  </si>
  <si>
    <t>M/2024192/Emargin MTM Loss Reversal-/-MTF</t>
  </si>
  <si>
    <t>M/2024192/Margin Reversal-/-MTF</t>
  </si>
  <si>
    <t>M/2024192/10-OCT-2024-/-Cash</t>
  </si>
  <si>
    <t>Bg interest on MTF for 10-oct-2024-/-MTF</t>
  </si>
  <si>
    <t>M/2024193/Emargin MTM Loss Bills.-/-MTF</t>
  </si>
  <si>
    <t>M/2024193/Margin Pay In-/-MTF</t>
  </si>
  <si>
    <t>M/2024193/Emargin MTM Loss Reversal-/-MTF</t>
  </si>
  <si>
    <t>M/2024193/Margin Reversal-/-MTF</t>
  </si>
  <si>
    <t>M/2024193/11-OCT-2024-/-Cash</t>
  </si>
  <si>
    <t>M/2024193/11-OCT-2024-/-MTF</t>
  </si>
  <si>
    <t>M/2024194/Emargin MTM Loss Bills.-/-MTF</t>
  </si>
  <si>
    <t>M/2024194/Margin Pay In-/-MTF</t>
  </si>
  <si>
    <t>M/2024194/Emargin MTM Loss Reversal-/-MTF</t>
  </si>
  <si>
    <t>M/2024194/Margin Reversal-/-MTF</t>
  </si>
  <si>
    <t>Bg interest on MTF from 11-oct-2024 to 13-oct-2024-/-MTF</t>
  </si>
  <si>
    <t>M/2024194/14-OCT-2024-/-Cash</t>
  </si>
  <si>
    <t>M/2024194/14-OCT-2024-/-MTF</t>
  </si>
  <si>
    <t>Bg interest on MTF for 14-oct-2024-/-MTF</t>
  </si>
  <si>
    <t>M/2024195/Emargin MTM Loss Bills.-/-MTF</t>
  </si>
  <si>
    <t>M/2024195/Margin Pay In-/-MTF</t>
  </si>
  <si>
    <t>M/2024195/Emargin MTM Loss Reversal-/-MTF</t>
  </si>
  <si>
    <t>M/2024195/Margin Reversal-/-MTF</t>
  </si>
  <si>
    <t>M/2024195/15-OCT-2024-/-Cash</t>
  </si>
  <si>
    <t>Bg interest on MTF for 15-oct-2024-/-MTF</t>
  </si>
  <si>
    <t>M/2024196/Emargin MTM Loss Bills.-/-MTF</t>
  </si>
  <si>
    <t>M/2024196/Margin Pay In-/-MTF</t>
  </si>
  <si>
    <t>M/2024196/Emargin MTM Loss Reversal-/-MTF</t>
  </si>
  <si>
    <t>M/2024196/Margin Reversal-/-MTF</t>
  </si>
  <si>
    <t>M/2024196/16-OCT-2024-/-Cash</t>
  </si>
  <si>
    <t>Bg interest on MTF for 16-oct-2024-/-MTF</t>
  </si>
  <si>
    <t>M/2024197/Emargin MTM Loss Bills.-/-MTF</t>
  </si>
  <si>
    <t>M/2024197/Margin Pay In-/-MTF</t>
  </si>
  <si>
    <t>M/2024197/Emargin MTM Loss Reversal-/-MTF</t>
  </si>
  <si>
    <t>M/2024197/Margin Reversal-/-MTF</t>
  </si>
  <si>
    <t>Bg interest on MTF for 17-oct-2024-/-MTF</t>
  </si>
  <si>
    <t>M/2024198/Margin Pay In-/-MTF</t>
  </si>
  <si>
    <t>M/2024198/Emargin MTM Loss Bills.-/-MTF</t>
  </si>
  <si>
    <t>M/2024198/Emargin MTM Loss Reversal-/-MTF</t>
  </si>
  <si>
    <t>M/2024198/Margin Reversal-/-MTF</t>
  </si>
  <si>
    <t>Bg interest on MTF from 18-oct-2024 to 20-oct-2024-/-MTF</t>
  </si>
  <si>
    <t>M/2024199/Margin Pay In-/-MTF</t>
  </si>
  <si>
    <t>M/2024199/Emargin MTM Loss Bills.-/-MTF</t>
  </si>
  <si>
    <t>M/2024199/Margin Reversal-/-MTF</t>
  </si>
  <si>
    <t>M/2024199/Emargin MTM Loss Reversal-/-MTF</t>
  </si>
  <si>
    <t>M/2024199/21-OCT-2024-/-MTF</t>
  </si>
  <si>
    <t>Bg interest on MTF for 21-oct-2024-/-MTF</t>
  </si>
  <si>
    <t>M/2024200/Margin Pay In-/-MTF</t>
  </si>
  <si>
    <t>M/2024200/Emargin MTM Loss Bills.-/-MTF</t>
  </si>
  <si>
    <t>M/2024200/Margin Reversal-/-MTF</t>
  </si>
  <si>
    <t>M/2024200/Emargin MTM Loss Reversal-/-MTF</t>
  </si>
  <si>
    <t>M/2024200/22-OCT-2024-/-MTF</t>
  </si>
  <si>
    <t>Bg interest on MTF for 22-oct-2024-/-MTF</t>
  </si>
  <si>
    <t>M/2024201/Margin Pay In-/-MTF</t>
  </si>
  <si>
    <t>M/2024201/Emargin MTM Loss Bills.-/-MTF</t>
  </si>
  <si>
    <t>M/2024201/Margin Reversal-/-MTF</t>
  </si>
  <si>
    <t>M/2024201/Emargin MTM Loss Reversal-/-MTF</t>
  </si>
  <si>
    <t>Bg interest on MTF for 23-oct-2024-/-MTF</t>
  </si>
  <si>
    <t>M/2024202/Emargin MTM Loss Bills.-/-MTF</t>
  </si>
  <si>
    <t>M/2024202/Margin Pay In-/-MTF</t>
  </si>
  <si>
    <t>M/2024202/Margin Reversal-/-MTF</t>
  </si>
  <si>
    <t>M/2024202/Emargin MTM Loss Reversal-/-MTF</t>
  </si>
  <si>
    <t>Bg interest on MTF for 24-oct-2024-/-MTF</t>
  </si>
  <si>
    <t>M/2024203/Margin Pay In-/-MTF</t>
  </si>
  <si>
    <t>M/2024203/Emargin MTM Loss Bills.-/-MTF</t>
  </si>
  <si>
    <t>M/2024203/Emargin MTM Loss Reversal-/-MTF</t>
  </si>
  <si>
    <t>M/2024203/Margin Reversal-/-MTF</t>
  </si>
  <si>
    <t>Bg interest on MTF from 25-oct-2024 to 27-oct-2024-/-MTF</t>
  </si>
  <si>
    <t>M/2024204/Emargin MTM Loss Bills.-/-MTF</t>
  </si>
  <si>
    <t>M/2024204/Margin Pay In-/-MTF</t>
  </si>
  <si>
    <t>M/2024204/Margin Reversal-/-MTF</t>
  </si>
  <si>
    <t>M/2024204/Emargin MTM Loss Reversal-/-MTF</t>
  </si>
  <si>
    <t>Bg interest on MTF for 28-oct-2024-/-MTF</t>
  </si>
  <si>
    <t>M/2024205/Emargin MTM Loss Bills.-/-MTF</t>
  </si>
  <si>
    <t>M/2024205/Margin Pay In-/-MTF</t>
  </si>
  <si>
    <t>M/2024205/Emargin MTM Loss Reversal-/-MTF</t>
  </si>
  <si>
    <t>M/2024205/Margin Reversal-/-MTF</t>
  </si>
  <si>
    <t>M/2024205/29-OCT-2024-/-MTF</t>
  </si>
  <si>
    <t>Bg interest on MTF for 29-oct-2024-/-MTF</t>
  </si>
  <si>
    <t>M/2024206/Margin Pay In-/-MTF</t>
  </si>
  <si>
    <t>M/2024206/Emargin MTM Loss Bills.-/-MTF</t>
  </si>
  <si>
    <t>M/2024206/Emargin MTM Loss Reversal-/-MTF</t>
  </si>
  <si>
    <t>M/2024206/Margin Reversal-/-MTF</t>
  </si>
  <si>
    <t>M/2024206/30-OCT-2024-/-Cash</t>
  </si>
  <si>
    <t>Bg interest on MTF for 30-oct-2024-/-MTF</t>
  </si>
  <si>
    <t>M/2024207/Emargin MTM Loss Bills.-/-MTF</t>
  </si>
  <si>
    <t>M/2024207/Margin Pay In-/-MTF</t>
  </si>
  <si>
    <t>M/2024207/Margin Reversal-/-MTF</t>
  </si>
  <si>
    <t>M/2024207/Emargin MTM Loss Reversal-/-MTF</t>
  </si>
  <si>
    <t>M/2024207/31-OCT-2024-/-Cash</t>
  </si>
  <si>
    <t>M/2024208/Emargin MTM Loss Reversal-/-MTF</t>
  </si>
  <si>
    <t>M/2024208/Margin Reversal-/-MTF</t>
  </si>
  <si>
    <t>M/2024208/Emargin MTM Loss Bills.-/-MTF</t>
  </si>
  <si>
    <t>M/2024208/Margin Pay In-/-MTF</t>
  </si>
  <si>
    <t>M/2024208/01-NOV-2024-/-Cash</t>
  </si>
  <si>
    <t>Bg interest on MTF for 31-oct-2024-/-MTF</t>
  </si>
  <si>
    <t>Bg interest on MTF from 01-nov-2024 to 03-nov-2024-/-MTF</t>
  </si>
  <si>
    <t>M/2024209/Margin Pay In-/-MTF</t>
  </si>
  <si>
    <t>M/2024209/Emargin MTM Loss Bills.-/-MTF</t>
  </si>
  <si>
    <t>M/2024209/Emargin MTM Loss Reversal-/-MTF</t>
  </si>
  <si>
    <t>M/2024209/Margin Reversal-/-MTF</t>
  </si>
  <si>
    <t>M/2024209/04-NOV-2024-/-MTF</t>
  </si>
  <si>
    <t>Bg interest on MTF for 04-nov-2024-/-MTF</t>
  </si>
  <si>
    <t>M/2024210/Margin Pay In-/-MTF</t>
  </si>
  <si>
    <t>M/2024210/Emargin MTM Loss Bills.-/-MTF</t>
  </si>
  <si>
    <t>M/2024210/Margin Reversal-/-MTF</t>
  </si>
  <si>
    <t>M/2024210/Emargin MTM Loss Reversal-/-MTF</t>
  </si>
  <si>
    <t>M/2024210/05-NOV-2024-/-MTF</t>
  </si>
  <si>
    <t>Bg interest on MTF for 05-nov-2024-/-MTF</t>
  </si>
  <si>
    <t>M/2024211/Emargin MTM Loss Bills.-/-MTF</t>
  </si>
  <si>
    <t>M/2024211/Margin Pay In-/-MTF</t>
  </si>
  <si>
    <t>M/2024211/Margin Reversal-/-MTF</t>
  </si>
  <si>
    <t>M/2024211/Emargin MTM Loss Reversal-/-MTF</t>
  </si>
  <si>
    <t>Bg interest on MTF for 06-nov-2024-/-MTF</t>
  </si>
  <si>
    <t>M/2024212/Margin Pay In-/-MTF</t>
  </si>
  <si>
    <t>M/2024212/Emargin MTM Loss Bills.-/-MTF</t>
  </si>
  <si>
    <t>M/2024212/Emargin MTM Loss Reversal-/-MTF</t>
  </si>
  <si>
    <t>M/2024212/Margin Reversal-/-MTF</t>
  </si>
  <si>
    <t>M/2024212/07-NOV-2024-/-Cash</t>
  </si>
  <si>
    <t>M/2024212/07-NOV-2024-/-MTF</t>
  </si>
  <si>
    <t>Bg interest on MTF for 07-nov-2024-/-MTF</t>
  </si>
  <si>
    <t>M/2024213/Emargin MTM Loss Bills.-/-MTF</t>
  </si>
  <si>
    <t>M/2024213/Margin Pay In-/-MTF</t>
  </si>
  <si>
    <t>M/2024213/Margin Reversal-/-MTF</t>
  </si>
  <si>
    <t>M/2024213/Emargin MTM Loss Reversal-/-MTF</t>
  </si>
  <si>
    <t>M/2024213/08-NOV-2024-/-Cash</t>
  </si>
  <si>
    <t>M/2024214/Emargin MTM Loss Bills.-/-MTF</t>
  </si>
  <si>
    <t>M/2024214/Margin Pay In-/-MTF</t>
  </si>
  <si>
    <t>M/2024214/Emargin MTM Loss Reversal-/-MTF</t>
  </si>
  <si>
    <t>M/2024214/Margin Reversal-/-MTF</t>
  </si>
  <si>
    <t>Bg interest on MTF from 08-nov-2024 to 10-nov-2024-/-MTF</t>
  </si>
  <si>
    <t>OFB/2024124/11-NOV-2024-/-Cash</t>
  </si>
  <si>
    <t>M/2024214/11-NOV-2024-/-MTF</t>
  </si>
  <si>
    <t>Bg interest on MTF for 11-nov-2024-/-MTF</t>
  </si>
  <si>
    <t>M/2024215/Margin Pay In-/-MTF</t>
  </si>
  <si>
    <t>M/2024215/Emargin MTM Loss Bills.-/-MTF</t>
  </si>
  <si>
    <t>M/2024215/Emargin MTM Loss Reversal-/-MTF</t>
  </si>
  <si>
    <t>M/2024215/Margin Reversal-/-MTF</t>
  </si>
  <si>
    <t>Bg interest on MTF for 12-nov-2024-/-MTF</t>
  </si>
  <si>
    <t>M/2024216/Emargin MTM Loss Bills.-/-MTF</t>
  </si>
  <si>
    <t>M/2024216/Margin Pay In-/-MTF</t>
  </si>
  <si>
    <t>M/2024216/Margin Reversal-/-MTF</t>
  </si>
  <si>
    <t>M/2024216/Emargin MTM Loss Reversal-/-MTF</t>
  </si>
  <si>
    <t>Bg interest on MTF for 13-nov-2024-/-MTF</t>
  </si>
  <si>
    <t>M/2024217/Margin Pay In-/-MTF</t>
  </si>
  <si>
    <t>M/2024217/Emargin MTM Loss Bills.-/-MTF</t>
  </si>
  <si>
    <t>M/2024217/Emargin MTM Loss Reversal-/-MTF</t>
  </si>
  <si>
    <t>M/2024217/Margin Reversal-/-MTF</t>
  </si>
  <si>
    <t>M/2024217/14-NOV-2024-/-MTF</t>
  </si>
  <si>
    <t>Bg interest on MTF from 14-nov-2024 to 17-nov-2024-/-MTF</t>
  </si>
  <si>
    <t>M/2024218/Margin Pay In-/-MTF</t>
  </si>
  <si>
    <t>M/2024218/Emargin MTM Loss Bills.-/-MTF</t>
  </si>
  <si>
    <t>M/2024218/Margin Reversal-/-MTF</t>
  </si>
  <si>
    <t>M/2024218/Emargin MTM Loss Reversal-/-MTF</t>
  </si>
  <si>
    <t>Bg interest on MTF for 18-nov-2024-/-MTF</t>
  </si>
  <si>
    <t>M/2024219/Margin Pay In-/-MTF</t>
  </si>
  <si>
    <t>M/2024219/Emargin MTM Loss Bills.-/-MTF</t>
  </si>
  <si>
    <t>M/2024219/Margin Reversal-/-MTF</t>
  </si>
  <si>
    <t>M/2024219/Emargin MTM Loss Reversal-/-MTF</t>
  </si>
  <si>
    <t>Bg interest on MTF from 19-nov-2024 to 20-nov-2024-/-MTF</t>
  </si>
  <si>
    <t>M/2024220/Margin Pay In-/-MTF</t>
  </si>
  <si>
    <t>M/2024220/Emargin MTM Loss Bills.-/-MTF</t>
  </si>
  <si>
    <t>M/2024220/Margin Reversal-/-MTF</t>
  </si>
  <si>
    <t>M/2024220/Emargin MTM Loss Reversal-/-MTF</t>
  </si>
  <si>
    <t>M/2024220/21-NOV-2024-/-MTF</t>
  </si>
  <si>
    <t>Bg interest on MTF for 21-nov-2024-/-MTF</t>
  </si>
  <si>
    <t>M/2024221/Margin Pay In-/-MTF</t>
  </si>
  <si>
    <t>M/2024221/Emargin MTM Loss Bills.-/-MTF</t>
  </si>
  <si>
    <t>M/2024221/Margin Reversal-/-MTF</t>
  </si>
  <si>
    <t>M/2024221/Emargin MTM Loss Reversal-/-MTF</t>
  </si>
  <si>
    <t>M/2024221/22-NOV-2024-/-Cash</t>
  </si>
  <si>
    <t>Bg interest on MTF from 22-nov-2024 to 24-nov-2024-/-MTF</t>
  </si>
  <si>
    <t>M/2024222/Margin Pay In-/-MTF</t>
  </si>
  <si>
    <t>M/2024222/Emargin MTM Loss Bills.-/-MTF</t>
  </si>
  <si>
    <t>M/2024222/Margin Reversal-/-MTF</t>
  </si>
  <si>
    <t>M/2024222/Emargin MTM Loss Reversal-/-MTF</t>
  </si>
  <si>
    <t>Bg interest on MTF for 25-nov-2024-/-MTF</t>
  </si>
  <si>
    <t>M/2024223/Margin Pay In-/-MTF</t>
  </si>
  <si>
    <t>M/2024223/Emargin MTM Loss Bills.-/-MTF</t>
  </si>
  <si>
    <t>M/2024223/Margin Reversal-/-MTF</t>
  </si>
  <si>
    <t>M/2024223/Emargin MTM Loss Reversal-/-MTF</t>
  </si>
  <si>
    <t>M/2024223/26-NOV-2024-/-Cash</t>
  </si>
  <si>
    <t>Bg interest on MTF for 26-nov-2024-/-MTF</t>
  </si>
  <si>
    <t>M/2024224/Margin Pay In-/-MTF</t>
  </si>
  <si>
    <t>M/2024224/Emargin MTM Loss Bills.-/-MTF</t>
  </si>
  <si>
    <t>M/2024224/Margin Reversal-/-MTF</t>
  </si>
  <si>
    <t>M/2024224/Emargin MTM Loss Reversal-/-MTF</t>
  </si>
  <si>
    <t>Bg interest on MTF for 27-nov-2024-/-MTF</t>
  </si>
  <si>
    <t>M/2024225/Margin Pay In-/-MTF</t>
  </si>
  <si>
    <t>M/2024225/Emargin MTM Loss Bills.-/-MTF</t>
  </si>
  <si>
    <t>M/2024225/Margin Reversal-/-MTF</t>
  </si>
  <si>
    <t>M/2024225/Emargin MTM Loss Reversal-/-MTF</t>
  </si>
  <si>
    <t>Bg interest on MTF for 28-nov-2024-/-MTF</t>
  </si>
  <si>
    <t>M/2024226/Margin Pay In-/-MTF</t>
  </si>
  <si>
    <t>M/2024226/Emargin MTM Loss Bills.-/-MTF</t>
  </si>
  <si>
    <t>M/2024226/Margin Reversal-/-MTF</t>
  </si>
  <si>
    <t>M/2024226/Emargin MTM Loss Reversal-/-MTF</t>
  </si>
  <si>
    <t>M/2024226/29-NOV-2024-/-Cash</t>
  </si>
  <si>
    <t>Bg interest on MTF from 29-nov-2024 to 01-dec-2024-/-MTF</t>
  </si>
  <si>
    <t>M/2024227/Margin Pay In-/-MTF</t>
  </si>
  <si>
    <t>M/2024227/Emargin MTM Loss Bills.-/-MTF</t>
  </si>
  <si>
    <t>M/2024227/Margin Reversal-/-MTF</t>
  </si>
  <si>
    <t>M/2024227/Emargin MTM Loss Reversal-/-MTF</t>
  </si>
  <si>
    <t>Bg interest on MTF for 02-dec-2024-/-MTF</t>
  </si>
  <si>
    <t>M/2024228/Margin Pay In-/-MTF</t>
  </si>
  <si>
    <t>M/2024228/Emargin MTM Loss Bills.-/-MTF</t>
  </si>
  <si>
    <t>M/2024228/Margin Reversal-/-MTF</t>
  </si>
  <si>
    <t>M/2024228/Emargin MTM Loss Reversal-/-MTF</t>
  </si>
  <si>
    <t>Bg interest on MTF for 03-dec-2024-/-MTF</t>
  </si>
  <si>
    <t>M/2024229/Margin Pay In-/-MTF</t>
  </si>
  <si>
    <t>M/2024229/Emargin MTM Loss Bills.-/-MTF</t>
  </si>
  <si>
    <t>M/2024229/Margin Reversal-/-MTF</t>
  </si>
  <si>
    <t>M/2024229/Emargin MTM Loss Reversal-/-MTF</t>
  </si>
  <si>
    <t>M/2024229/04-DEC-2024-/-MTF</t>
  </si>
  <si>
    <t>Bg interest on MTF for 04-dec-2024-/-MTF</t>
  </si>
  <si>
    <t>M/2024230/Margin Pay In-/-MTF</t>
  </si>
  <si>
    <t>M/2024230/Emargin MTM Loss Bills.-/-MTF</t>
  </si>
  <si>
    <t>M/2024230/Margin Reversal-/-MTF</t>
  </si>
  <si>
    <t>M/2024230/Emargin MTM Loss Reversal-/-MTF</t>
  </si>
  <si>
    <t>M/2024230/05-DEC-2024-/-Cash</t>
  </si>
  <si>
    <t>M/2024230/05-DEC-2024-/-MTF</t>
  </si>
  <si>
    <t>Bg interest on MTF for 05-dec-2024-/-MTF</t>
  </si>
  <si>
    <t>M/2024231/Margin Pay In-/-MTF</t>
  </si>
  <si>
    <t>M/2024231/Emargin MTM Loss Bills.-/-MTF</t>
  </si>
  <si>
    <t>M/2024231/Margin Reversal-/-MTF</t>
  </si>
  <si>
    <t>M/2024231/Emargin MTM Loss Reversal-/-MTF</t>
  </si>
  <si>
    <t>Bg interest on MTF from 06-dec-2024 to 08-dec-2024-/-MTF</t>
  </si>
  <si>
    <t>M/2024232/Margin Pay In-/-MTF</t>
  </si>
  <si>
    <t>M/2024232/Emargin MTM Loss Bills.-/-MTF</t>
  </si>
  <si>
    <t>M/2024232/Margin Reversal-/-MTF</t>
  </si>
  <si>
    <t>M/2024232/Emargin MTM Loss Reversal-/-MTF</t>
  </si>
  <si>
    <t>Bg interest on MTF for 09-dec-2024-/-MTF</t>
  </si>
  <si>
    <t>M/2024233/Margin Pay In-/-MTF</t>
  </si>
  <si>
    <t>M/2024233/Emargin MTM Loss Bills.-/-MTF</t>
  </si>
  <si>
    <t>M/2024233/Margin Reversal-/-MTF</t>
  </si>
  <si>
    <t>M/2024233/Emargin MTM Loss Reversal-/-MTF</t>
  </si>
  <si>
    <t>M/2024233/10-DEC-2024-/-Cash</t>
  </si>
  <si>
    <t>M/2024233/10-DEC-2024-/-MTF</t>
  </si>
  <si>
    <t>Bg interest on MTF for 10-dec-2024-/-MTF</t>
  </si>
  <si>
    <t>M/2024234/Margin Pay In-/-MTF</t>
  </si>
  <si>
    <t>M/2024234/Emargin MTM Loss Bills.-/-MTF</t>
  </si>
  <si>
    <t>M/2024234/Margin Reversal-/-MTF</t>
  </si>
  <si>
    <t>M/2024234/Emargin MTM Loss Reversal-/-MTF</t>
  </si>
  <si>
    <t>M/2024234/11-DEC-2024-/-MTF</t>
  </si>
  <si>
    <t>Bg interest on MTF for 11-dec-2024-/-MTF</t>
  </si>
  <si>
    <t>M/2024235/Margin Pay In-/-MTF</t>
  </si>
  <si>
    <t>M/2024235/Emargin MTM Loss Bills.-/-MTF</t>
  </si>
  <si>
    <t>M/2024235/Margin Reversal-/-MTF</t>
  </si>
  <si>
    <t>M/2024235/Emargin MTM Loss Reversal-/-MTF</t>
  </si>
  <si>
    <t>Bg interest on MTF for 12-dec-2024-/-MTF</t>
  </si>
  <si>
    <t>M/2024236/Margin Pay In-/-MTF</t>
  </si>
  <si>
    <t>M/2024236/Emargin MTM Loss Bills.-/-MTF</t>
  </si>
  <si>
    <t>M/2024236/Margin Reversal-/-MTF</t>
  </si>
  <si>
    <t>M/2024236/Emargin MTM Loss Reversal-/-MTF</t>
  </si>
  <si>
    <t>M/2024236/13-DEC-2024-/-Cash</t>
  </si>
  <si>
    <t>M/2024237/Margin Pay In-/-MTF</t>
  </si>
  <si>
    <t>M/2024237/Emargin MTM Loss Bills.-/-MTF</t>
  </si>
  <si>
    <t>M/2024237/Margin Reversal-/-MTF</t>
  </si>
  <si>
    <t>M/2024237/Emargin MTM Loss Reversal-/-MTF</t>
  </si>
  <si>
    <t>Bg interest on MTF from 13-dec-2024 to 15-dec-2024-/-MTF</t>
  </si>
  <si>
    <t>Bg interest on MTF for 16-dec-2024-/-MTF</t>
  </si>
  <si>
    <t>M/2024238/Margin Pay In-/-MTF</t>
  </si>
  <si>
    <t>M/2024238/Emargin MTM Loss Bills.-/-MTF</t>
  </si>
  <si>
    <t>M/2024238/Margin Reversal-/-MTF</t>
  </si>
  <si>
    <t>M/2024238/Emargin MTM Loss Reversal-/-MTF</t>
  </si>
  <si>
    <t>M/2024238/17-DEC-2024-/-MTF</t>
  </si>
  <si>
    <t>Bg interest on MTF for 17-dec-2024-/-MTF</t>
  </si>
  <si>
    <t>M/2024239/Margin Pay In-/-MTF</t>
  </si>
  <si>
    <t>M/2024239/Emargin MTM Loss Bills.-/-MTF</t>
  </si>
  <si>
    <t>M/2024239/Margin Reversal-/-MTF</t>
  </si>
  <si>
    <t>M/2024239/Emargin MTM Loss Reversal-/-MTF</t>
  </si>
  <si>
    <t>M/2024239/18-DEC-2024-/-MTF</t>
  </si>
  <si>
    <t>Bg interest on MTF for 18-dec-2024-/-MTF</t>
  </si>
  <si>
    <t>M/2024240/Margin Pay In-/-MTF</t>
  </si>
  <si>
    <t>M/2024240/Emargin MTM Loss Bills.-/-MTF</t>
  </si>
  <si>
    <t>M/2024240/Margin Reversal-/-MTF</t>
  </si>
  <si>
    <t>M/2024240/Emargin MTM Loss Reversal-/-MTF</t>
  </si>
  <si>
    <t>M/2024240/19-DEC-2024-/-Cash</t>
  </si>
  <si>
    <t>M/2024240/19-DEC-2024-/-MTF</t>
  </si>
  <si>
    <t>Bg interest on MTF for 19-dec-2024-/-MTF</t>
  </si>
  <si>
    <t>M/2024241/Margin Pay In-/-MTF</t>
  </si>
  <si>
    <t>M/2024241/Emargin MTM Loss Bills.-/-MTF</t>
  </si>
  <si>
    <t>M/2024241/Margin Reversal-/-MTF</t>
  </si>
  <si>
    <t>M/2024241/Emargin MTM Loss Reversal-/-MTF</t>
  </si>
  <si>
    <t>Bg interest on MTF from 20-dec-2024 to 22-dec-2024-/-MTF</t>
  </si>
  <si>
    <t>M/2024242/Margin Pay In-/-MTF</t>
  </si>
  <si>
    <t>M/2024242/Emargin MTM Loss Bills.-/-MTF</t>
  </si>
  <si>
    <t>M/2024242/Margin Reversal-/-MTF</t>
  </si>
  <si>
    <t>M/2024242/Emargin MTM Loss Reversal-/-MTF</t>
  </si>
  <si>
    <t>Bg interest on MTF for 23-dec-2024-/-MTF</t>
  </si>
  <si>
    <t>M/2024243/Margin Pay In-/-MTF</t>
  </si>
  <si>
    <t>M/2024243/Emargin MTM Loss Bills.-/-MTF</t>
  </si>
  <si>
    <t>M/2024243/Margin Reversal-/-MTF</t>
  </si>
  <si>
    <t>M/2024243/Emargin MTM Loss Reversal-/-MTF</t>
  </si>
  <si>
    <t>Bg interest on MTF from 24-dec-2024 to 25-dec-2024-/-MTF</t>
  </si>
  <si>
    <t>M/2024244/Margin Pay In-/-MTF</t>
  </si>
  <si>
    <t>M/2024244/Emargin MTM Loss Bills.-/-MTF</t>
  </si>
  <si>
    <t>M/2024244/Margin Reversal-/-MTF</t>
  </si>
  <si>
    <t>M/2024244/Emargin MTM Loss Reversal-/-MTF</t>
  </si>
  <si>
    <t>M/2024245/Margin Pay In-/-MTF</t>
  </si>
  <si>
    <t>M/2024245/Emargin MTM Loss Bills.-/-MTF</t>
  </si>
  <si>
    <t>M/2024245/Margin Reversal-/-MTF</t>
  </si>
  <si>
    <t>M/2024245/Emargin MTM Loss Reversal-/-MTF</t>
  </si>
  <si>
    <t>Bg interest on MTF for 26-dec-2024-/-MTF</t>
  </si>
  <si>
    <t>M/2024246/Margin Pay In-/-MTF</t>
  </si>
  <si>
    <t>M/2024246/Emargin MTM Loss Bills.-/-MTF</t>
  </si>
  <si>
    <t>M/2024246/Margin Reversal-/-MTF</t>
  </si>
  <si>
    <t>M/2024246/Emargin MTM Loss Reversal-/-MTF</t>
  </si>
  <si>
    <t>Bg interest on MTF from 27-dec-2024 to 29-dec-2024-/-MTF</t>
  </si>
  <si>
    <t>Bg interest on MTF for 30-dec-2024-/-MTF</t>
  </si>
  <si>
    <t>M/2024247/Margin Pay In-/-MTF</t>
  </si>
  <si>
    <t>M/2024247/Emargin MTM Loss Bills.-/-MTF</t>
  </si>
  <si>
    <t>M/2024247/Margin Reversal-/-MTF</t>
  </si>
  <si>
    <t>M/2024247/Emargin MTM Loss Reversal-/-MTF</t>
  </si>
  <si>
    <t>M/2025001/Margin Pay In-/-MTF</t>
  </si>
  <si>
    <t>M/2025001/Emargin MTM Loss Bills.-/-MTF</t>
  </si>
  <si>
    <t>M/2025001/Margin Reversal-/-MTF</t>
  </si>
  <si>
    <t>M/2025001/Emargin MTM Loss Reversal-/-MTF</t>
  </si>
  <si>
    <t>Bg interest on MTF for 31-dec-2024-/-MTF</t>
  </si>
  <si>
    <t>Bg interest on MTF for 01-jan-2025-/-MTF</t>
  </si>
  <si>
    <t>M/2025002/Margin Pay In-/-MTF</t>
  </si>
  <si>
    <t>M/2025002/Emargin MTM Loss Bills.-/-MTF</t>
  </si>
  <si>
    <t>M/2025002/Margin Reversal-/-MTF</t>
  </si>
  <si>
    <t>M/2025002/Emargin MTM Loss Reversal-/-MTF</t>
  </si>
  <si>
    <t>M/2025002/02-JAN-2025-/-MTF</t>
  </si>
  <si>
    <t>Bg interest on MTF for 02-jan-2025-/-MTF</t>
  </si>
  <si>
    <t>M/2025003/Margin Pay In-/-MTF</t>
  </si>
  <si>
    <t>M/2025003/Emargin MTM Loss Bills.-/-MTF</t>
  </si>
  <si>
    <t>M/2025003/Margin Reversal-/-MTF</t>
  </si>
  <si>
    <t>M/2025003/Emargin MTM Loss Reversal-/-MTF</t>
  </si>
  <si>
    <t>Bg interest on MTF from 03-jan-2025 to 05-jan-2025-/-MTF</t>
  </si>
  <si>
    <t>M/2025004/Margin Pay In-/-MTF</t>
  </si>
  <si>
    <t>M/2025004/Emargin MTM Loss Bills.-/-MTF</t>
  </si>
  <si>
    <t>M/2025004/Margin Reversal-/-MTF</t>
  </si>
  <si>
    <t>M/2025004/Emargin MTM Loss Reversal-/-MTF</t>
  </si>
  <si>
    <t>M/2025004/06-JAN-2025-/-MTF</t>
  </si>
  <si>
    <t>Bg interest on MTF for 06-jan-2025-/-MTF</t>
  </si>
  <si>
    <t>M/2025005/Margin Pay In-/-MTF</t>
  </si>
  <si>
    <t>M/2025005/Emargin MTM Loss Bills.-/-MTF</t>
  </si>
  <si>
    <t>M/2025005/Margin Reversal-/-MTF</t>
  </si>
  <si>
    <t>M/2025005/Emargin MTM Loss Reversal-/-MTF</t>
  </si>
  <si>
    <t>Bg interest on MTF for 07-jan-2025-/-MTF</t>
  </si>
  <si>
    <t>M/2025006/Margin Pay In-/-MTF</t>
  </si>
  <si>
    <t>M/2025006/Emargin MTM Loss Bills.-/-MTF</t>
  </si>
  <si>
    <t>M/2025006/Margin Reversal-/-MTF</t>
  </si>
  <si>
    <t>M/2025006/Emargin MTM Loss Reversal-/-MTF</t>
  </si>
  <si>
    <t>Bg interest on MTF for 08-jan-2025-/-MTF</t>
  </si>
  <si>
    <t>M/2025007/Margin Pay In-/-MTF</t>
  </si>
  <si>
    <t>M/2025007/Emargin MTM Loss Bills.-/-MTF</t>
  </si>
  <si>
    <t>M/2025007/Margin Reversal-/-MTF</t>
  </si>
  <si>
    <t>M/2025007/Emargin MTM Loss Reversal-/-MTF</t>
  </si>
  <si>
    <t>M/2025008/Margin Pay In-/-MTF</t>
  </si>
  <si>
    <t>M/2025008/Emargin MTM Loss Bills.-/-MTF</t>
  </si>
  <si>
    <t>M/2025008/Margin Reversal-/-MTF</t>
  </si>
  <si>
    <t>M/2025008/Emargin MTM Loss Reversal-/-MTF</t>
  </si>
  <si>
    <t>Bg interest on MTF for 09-jan-2025-/-MTF</t>
  </si>
  <si>
    <t>Bg interest on MTF from 10-jan-2025 to 12-jan-2025-/-MTF</t>
  </si>
  <si>
    <t>M/2025009/Margin Pay In-/-MTF</t>
  </si>
  <si>
    <t>M/2025009/Emargin MTM Loss Bills.-/-MTF</t>
  </si>
  <si>
    <t>M/2025009/Margin Reversal-/-MTF</t>
  </si>
  <si>
    <t>M/2025009/Emargin MTM Loss Reversal-/-MTF</t>
  </si>
  <si>
    <t>Bg interest on MTF for 13-jan-2025-/-MTF</t>
  </si>
  <si>
    <t>M/2025010/Margin Pay In-/-MTF</t>
  </si>
  <si>
    <t>M/2025010/Emargin MTM Loss Bills.-/-MTF</t>
  </si>
  <si>
    <t>M/2025010/Margin Reversal-/-MTF</t>
  </si>
  <si>
    <t>M/2025010/Emargin MTM Loss Reversal-/-MTF</t>
  </si>
  <si>
    <t>M/2025011/Margin Pay In-/-MTF</t>
  </si>
  <si>
    <t>M/2025011/Emargin MTM Loss Bills.-/-MTF</t>
  </si>
  <si>
    <t>M/2025011/Margin Reversal-/-MTF</t>
  </si>
  <si>
    <t>M/2025011/Emargin MTM Loss Reversal-/-MTF</t>
  </si>
  <si>
    <t>Bg interest on MTF for 14-jan-2025-/-MTF</t>
  </si>
  <si>
    <t>Bg interest on MTF for 15-jan-2025-/-MTF</t>
  </si>
  <si>
    <t>M/2025012/Margin Pay In-/-MTF</t>
  </si>
  <si>
    <t>M/2025012/Emargin MTM Loss Bills.-/-MTF</t>
  </si>
  <si>
    <t>M/2025012/Margin Reversal-/-MTF</t>
  </si>
  <si>
    <t>M/2025012/Emargin MTM Loss Reversal-/-MTF</t>
  </si>
  <si>
    <t>Bg interest on MTF for 16-jan-2025-/-MTF</t>
  </si>
  <si>
    <t>M/2025013/Margin Pay In-/-MTF</t>
  </si>
  <si>
    <t>M/2025013/Emargin MTM Loss Bills.-/-MTF</t>
  </si>
  <si>
    <t>M/2025013/Margin Reversal-/-MTF</t>
  </si>
  <si>
    <t>M/2025013/Emargin MTM Loss Reversal-/-MTF</t>
  </si>
  <si>
    <t>M/2025014/Margin Pay In-/-MTF</t>
  </si>
  <si>
    <t>M/2025014/Emargin MTM Loss Bills.-/-MTF</t>
  </si>
  <si>
    <t>M/2025014/Margin Reversal-/-MTF</t>
  </si>
  <si>
    <t>M/2025014/Emargin MTM Loss Reversal-/-MTF</t>
  </si>
  <si>
    <t>Bg interest on MTF from 17-jan-2025 to 19-jan-2025-/-MTF</t>
  </si>
  <si>
    <t>M/2025015/Margin Pay In-/-MTF</t>
  </si>
  <si>
    <t>M/2025015/Emargin MTM Loss Bills.-/-MTF</t>
  </si>
  <si>
    <t>M/2025015/Margin Reversal-/-MTF</t>
  </si>
  <si>
    <t>M/2025015/Emargin MTM Loss Reversal-/-MTF</t>
  </si>
  <si>
    <t>Bg interest on MTF for 20-jan-2025-/-MTF</t>
  </si>
  <si>
    <t>Bg interest on MTF for 21-jan-2025-/-MTF</t>
  </si>
  <si>
    <t>M/2025016/Margin Pay In-/-MTF</t>
  </si>
  <si>
    <t>M/2025016/Emargin MTM Loss Bills.-/-MTF</t>
  </si>
  <si>
    <t>M/2025016/Margin Reversal-/-MTF</t>
  </si>
  <si>
    <t>M/2025016/Emargin MTM Loss Reversal-/-MTF</t>
  </si>
  <si>
    <t>Bg interest on MTF for 22-jan-2025-/-MTF</t>
  </si>
  <si>
    <t>M/2025017/Margin Pay In-/-MTF</t>
  </si>
  <si>
    <t>M/2025017/Emargin MTM Loss Bills.-/-MTF</t>
  </si>
  <si>
    <t>M/2025017/Margin Reversal-/-MTF</t>
  </si>
  <si>
    <t>M/2025017/Emargin MTM Loss Reversal-/-MTF</t>
  </si>
  <si>
    <t>M/2025018/Margin Pay In-/-MTF</t>
  </si>
  <si>
    <t>M/2025018/Emargin MTM Loss Bills.-/-MTF</t>
  </si>
  <si>
    <t>M/2025018/Margin Reversal-/-MTF</t>
  </si>
  <si>
    <t>M/2025018/Emargin MTM Loss Reversal-/-MTF</t>
  </si>
  <si>
    <t>Bg interest on MTF for 23-jan-2025-/-MTF</t>
  </si>
  <si>
    <t>M/2025018/24-JAN-2025-/-MTF</t>
  </si>
  <si>
    <t>M/2025019/Margin Pay In-/-MTF</t>
  </si>
  <si>
    <t>M/2025019/Emargin MTM Loss Bills.-/-MTF</t>
  </si>
  <si>
    <t>M/2025019/Margin Reversal-/-MTF</t>
  </si>
  <si>
    <t>M/2025019/Emargin MTM Loss Reversal-/-MTF</t>
  </si>
  <si>
    <t>Bg interest on MTF from 24-jan-2025 to 26-jan-2025-/-MTF</t>
  </si>
  <si>
    <t>Bg interest on MTF for 27-jan-2025-/-MTF</t>
  </si>
  <si>
    <t>M/2025020/Margin Pay In-/-MTF</t>
  </si>
  <si>
    <t>M/2025020/Emargin MTM Loss Bills.-/-MTF</t>
  </si>
  <si>
    <t>M/2025020/Margin Reversal-/-MTF</t>
  </si>
  <si>
    <t>M/2025020/Emargin MTM Loss Reversal-/-MTF</t>
  </si>
  <si>
    <t>Bg interest on MTF for 28-jan-2025-/-MTF</t>
  </si>
  <si>
    <t>M/2025021/Margin Pay In-/-MTF</t>
  </si>
  <si>
    <t>M/2025021/Emargin MTM Loss Bills.-/-MTF</t>
  </si>
  <si>
    <t>M/2025021/Margin Reversal-/-MTF</t>
  </si>
  <si>
    <t>M/2025021/Emargin MTM Loss Reversal-/-MTF</t>
  </si>
  <si>
    <t>Bg interest on MTF for 29-jan-2025-/-MTF</t>
  </si>
  <si>
    <t>M/2025022/Margin Pay In-/-MTF</t>
  </si>
  <si>
    <t>M/2025022/Emargin MTM Loss Bills.-/-MTF</t>
  </si>
  <si>
    <t>M/2025022/Margin Reversal-/-MTF</t>
  </si>
  <si>
    <t>M/2025022/Emargin MTM Loss Reversal-/-MTF</t>
  </si>
  <si>
    <t>Bg interest on MTF for 30-jan-2025-/-MTF</t>
  </si>
  <si>
    <t>M/2025023/Margin Pay In-/-MTF</t>
  </si>
  <si>
    <t>M/2025023/Emargin MTM Loss Bills.-/-MTF</t>
  </si>
  <si>
    <t>M/2025023/Margin Reversal-/-MTF</t>
  </si>
  <si>
    <t>M/2025023/Emargin MTM Loss Reversal-/-MTF</t>
  </si>
  <si>
    <t>Bg interest on MTF for 31-jan-2025-/-MTF</t>
  </si>
  <si>
    <t>M/2025024/Margin Pay In-/-MTF</t>
  </si>
  <si>
    <t>M/2025024/Emargin MTM Loss Bills.-/-MTF</t>
  </si>
  <si>
    <t>M/2025024/Margin Reversal-/-MTF</t>
  </si>
  <si>
    <t>M/2025024/Emargin MTM Loss Reversal-/-MTF</t>
  </si>
  <si>
    <t>Bg interest on MTF from 01-feb-2025 to 02-feb-2025-/-MTF</t>
  </si>
  <si>
    <t>M/2025025/Margin Pay In-/-MTF</t>
  </si>
  <si>
    <t>M/2025025/Emargin MTM Loss Bills.-/-MTF</t>
  </si>
  <si>
    <t>M/2025025/Margin Reversal-/-MTF</t>
  </si>
  <si>
    <t>M/2025025/Emargin MTM Loss Reversal-/-MTF</t>
  </si>
  <si>
    <t>M/2025025/03-FEB-2025-/-Cash</t>
  </si>
  <si>
    <t>M/2025025/03-FEB-2025-/-MTF</t>
  </si>
  <si>
    <t>M/2025026/Margin Pay In-/-MTF</t>
  </si>
  <si>
    <t>M/2025026/Emargin MTM Loss Bills.-/-MTF</t>
  </si>
  <si>
    <t>M/2025026/Margin Reversal-/-MTF</t>
  </si>
  <si>
    <t>M/2025026/Emargin MTM Loss Reversal-/-MTF</t>
  </si>
  <si>
    <t>Bg interest on MTF for 03-feb-2025-/-MTF</t>
  </si>
  <si>
    <t>M/2025026/04-FEB-2025-/-MTF</t>
  </si>
  <si>
    <t>Bg interest on MTF for 04-feb-2025-/-MTF</t>
  </si>
  <si>
    <t>M/2025027/Margin Pay In-/-MTF</t>
  </si>
  <si>
    <t>M/2025027/Emargin MTM Loss Bills.-/-MTF</t>
  </si>
  <si>
    <t>M/2025027/Margin Reversal-/-MTF</t>
  </si>
  <si>
    <t>M/2025027/Emargin MTM Loss Reversal-/-MTF</t>
  </si>
  <si>
    <t>M/2025027/05-FEB-2025-/-Cash</t>
  </si>
  <si>
    <t>M/2025027/05-FEB-2025-/-MTF</t>
  </si>
  <si>
    <t>Bg interest on MTF for 05-feb-2025-/-MTF</t>
  </si>
  <si>
    <t>M/2025028/Margin Pay In-/-MTF</t>
  </si>
  <si>
    <t>M/2025028/Emargin MTM Loss Bills.-/-MTF</t>
  </si>
  <si>
    <t>M/2025028/Margin Reversal-/-MTF</t>
  </si>
  <si>
    <t>M/2025028/Emargin MTM Loss Reversal-/-MTF</t>
  </si>
  <si>
    <t>M/2025028/06-FEB-2025-/-Cash</t>
  </si>
  <si>
    <t>Bg interest on MTF for 06-feb-2025-/-MTF</t>
  </si>
  <si>
    <t>M/2025029/Margin Pay In-/-MTF</t>
  </si>
  <si>
    <t>M/2025029/Emargin MTM Loss Bills.-/-MTF</t>
  </si>
  <si>
    <t>M/2025029/Margin Reversal-/-MTF</t>
  </si>
  <si>
    <t>M/2025029/Emargin MTM Loss Reversal-/-MTF</t>
  </si>
  <si>
    <t>M/2025029/07-FEB-2025-/-Cash</t>
  </si>
  <si>
    <t>Bg interest on MTF from 07-feb-2025 to 09-feb-2025-/-MTF</t>
  </si>
  <si>
    <t>M/2025030/Margin Pay In-/-MTF</t>
  </si>
  <si>
    <t>M/2025030/Emargin MTM Loss Bills.-/-MTF</t>
  </si>
  <si>
    <t>M/2025030/Margin Reversal-/-MTF</t>
  </si>
  <si>
    <t>M/2025030/Emargin MTM Loss Reversal-/-MTF</t>
  </si>
  <si>
    <t>M/2025030/10-FEB-2025-/-MTF</t>
  </si>
  <si>
    <t>M/2025031/Margin Pay In-/-MTF</t>
  </si>
  <si>
    <t>M/2025031/Emargin MTM Loss Bills.-/-MTF</t>
  </si>
  <si>
    <t>M/2025031/Margin Reversal-/-MTF</t>
  </si>
  <si>
    <t>M/2025031/Emargin MTM Loss Reversal-/-MTF</t>
  </si>
  <si>
    <t>Bg interest on MTF for 10-feb-2025-/-MTF</t>
  </si>
  <si>
    <t>M/2025031/11-FEB-2025-/-MTF</t>
  </si>
  <si>
    <t>M/2025032/Margin Pay In-/-MTF</t>
  </si>
  <si>
    <t>M/2025032/Emargin MTM Loss Bills.-/-MTF</t>
  </si>
  <si>
    <t>M/2025032/Margin Reversal-/-MTF</t>
  </si>
  <si>
    <t>M/2025032/Emargin MTM Loss Reversal-/-MTF</t>
  </si>
  <si>
    <t>Bg interest on MTF for 11-feb-2025-/-MTF</t>
  </si>
  <si>
    <t>M/2025033/Margin Pay In-/-MTF</t>
  </si>
  <si>
    <t>M/2025033/Emargin MTM Loss Bills.-/-MTF</t>
  </si>
  <si>
    <t>M/2025033/Margin Reversal-/-MTF</t>
  </si>
  <si>
    <t>M/2025033/Emargin MTM Loss Reversal-/-MTF</t>
  </si>
  <si>
    <t>Bg interest on MTF for 12-feb-2025-/-MTF</t>
  </si>
  <si>
    <t>M/2025033/13-FEB-2025-/-MTF</t>
  </si>
  <si>
    <t>M/2025034/Margin Pay In-/-MTF</t>
  </si>
  <si>
    <t>M/2025034/Emargin MTM Loss Bills.-/-MTF</t>
  </si>
  <si>
    <t>M/2025034/Margin Reversal-/-MTF</t>
  </si>
  <si>
    <t>M/2025034/Emargin MTM Loss Reversal-/-MTF</t>
  </si>
  <si>
    <t>Bg interest on MTF for 13-feb-2025-/-MTF</t>
  </si>
  <si>
    <t>Bg interest on MTF from 14-feb-2025 to 16-feb-2025-/-MTF</t>
  </si>
  <si>
    <t>M/2025035/Margin Pay In-/-MTF</t>
  </si>
  <si>
    <t>M/2025035/Emargin MTM Loss Bills.-/-MTF</t>
  </si>
  <si>
    <t>M/2025035/Margin Reversal-/-MTF</t>
  </si>
  <si>
    <t>M/2025035/Emargin MTM Loss Reversal-/-MTF</t>
  </si>
  <si>
    <t>M/2025035/17-FEB-2025-/-Cash</t>
  </si>
  <si>
    <t>M/2025035/17-FEB-2025-/-MTF</t>
  </si>
  <si>
    <t>Bg interest on MTF for 17-feb-2025-/-MTF</t>
  </si>
  <si>
    <t>M/2025036/Margin Pay In-/-MTF</t>
  </si>
  <si>
    <t>M/2025036/Emargin MTM Loss Bills.-/-MTF</t>
  </si>
  <si>
    <t>M/2025036/Margin Reversal-/-MTF</t>
  </si>
  <si>
    <t>M/2025036/Emargin MTM Loss Reversal-/-MTF</t>
  </si>
  <si>
    <t>M/2025036/18-FEB-2025-/-Cash</t>
  </si>
  <si>
    <t>M/2025037/Margin Pay In-/-MTF</t>
  </si>
  <si>
    <t>M/2025037/Emargin MTM Loss Bills.-/-MTF</t>
  </si>
  <si>
    <t>Bg interest on MTF for 18-feb-2025-/-MTF</t>
  </si>
  <si>
    <t>M/2025037/Margin Reversal-/-MTF</t>
  </si>
  <si>
    <t>M/2025037/Emargin MTM Loss Reversal-/-MTF</t>
  </si>
  <si>
    <t>Bg interest on MTF for 19-feb-2025-/-MTF</t>
  </si>
  <si>
    <t>M/2025038/Margin Pay In-/-MTF</t>
  </si>
  <si>
    <t>M/2025038/Emargin MTM Loss Bills.-/-MTF</t>
  </si>
  <si>
    <t>M/2025038/Margin Reversal-/-MTF</t>
  </si>
  <si>
    <t>M/2025038/Emargin MTM Loss Reversal-/-MTF</t>
  </si>
  <si>
    <t>M/2025039/Margin Pay In-/-MTF</t>
  </si>
  <si>
    <t>M/2025039/Emargin MTM Loss Bills.-/-MTF</t>
  </si>
  <si>
    <t>M/2025039/Margin Reversal-/-MTF</t>
  </si>
  <si>
    <t>M/2025039/Emargin MTM Loss Reversal-/-MTF</t>
  </si>
  <si>
    <t>Bg interest on MTF for 20-feb-2025-/-MTF</t>
  </si>
  <si>
    <t>M/2025040/Margin Pay In-/-MTF</t>
  </si>
  <si>
    <t>M/2025040/Emargin MTM Loss Bills.-/-MTF</t>
  </si>
  <si>
    <t>M/2025040/Margin Reversal-/-MTF</t>
  </si>
  <si>
    <t>M/2025040/Emargin MTM Loss Reversal-/-MTF</t>
  </si>
  <si>
    <t>Bg interest on MTF from 21-feb-2025 to 23-feb-2025-/-MTF</t>
  </si>
  <si>
    <t>M/2025041/Margin Pay In-/-MTF</t>
  </si>
  <si>
    <t>M/2025041/Emargin MTM Loss Bills.-/-MTF</t>
  </si>
  <si>
    <t>M/2025041/Margin Reversal-/-MTF</t>
  </si>
  <si>
    <t>M/2025041/Emargin MTM Loss Reversal-/-MTF</t>
  </si>
  <si>
    <t>Bg interest on MTF for 24-feb-2025-/-MTF</t>
  </si>
  <si>
    <t>M/2025041/25-FEB-2025-/-MTF</t>
  </si>
  <si>
    <t>M/2025042/Margin Pay In-/-MTF</t>
  </si>
  <si>
    <t>M/2025042/Emargin MTM Loss Bills.-/-MTF</t>
  </si>
  <si>
    <t>M/2025042/Margin Reversal-/-MTF</t>
  </si>
  <si>
    <t>M/2025042/Emargin MTM Loss Reversal-/-MTF</t>
  </si>
  <si>
    <t>Bg interest on MTF from 25-feb-2025 to 26-feb-2025-/-MTF</t>
  </si>
  <si>
    <t>M/2025043/Margin Pay In-/-MTF</t>
  </si>
  <si>
    <t>M/2025043/Emargin MTM Loss Bills.-/-MTF</t>
  </si>
  <si>
    <t>M/2025043/Margin Reversal-/-MTF</t>
  </si>
  <si>
    <t>M/2025043/Emargin MTM Loss Reversal-/-MTF</t>
  </si>
  <si>
    <t>Bg interest on MTF for 27-feb-2025-/-MTF</t>
  </si>
  <si>
    <t>Bg interest on MTF from 28-feb-2025 to 02-mar-2025-/-MTF</t>
  </si>
  <si>
    <t>M/2025044/Margin Pay In-/-MTF</t>
  </si>
  <si>
    <t>M/2025044/Emargin MTM Loss Bills.-/-MTF</t>
  </si>
  <si>
    <t>M/2025044/Margin Reversal-/-MTF</t>
  </si>
  <si>
    <t>M/2025044/Emargin MTM Loss Reversal-/-MTF</t>
  </si>
  <si>
    <t>Bg interest on MTF for 03-mar-2025-/-MTF</t>
  </si>
  <si>
    <t>M/2025045/Margin Pay In-/-MTF</t>
  </si>
  <si>
    <t>M/2025045/Emargin MTM Loss Bills.-/-MTF</t>
  </si>
  <si>
    <t>M/2025045/Margin Reversal-/-MTF</t>
  </si>
  <si>
    <t>M/2025045/Emargin MTM Loss Reversal-/-MTF</t>
  </si>
  <si>
    <t>Bg interest on MTF for 04-mar-2025-/-MTF</t>
  </si>
  <si>
    <t>M/2025046/Margin Pay In-/-MTF</t>
  </si>
  <si>
    <t>M/2025046/Emargin MTM Loss Bills.-/-MTF</t>
  </si>
  <si>
    <t>M/2025046/Margin Reversal-/-MTF</t>
  </si>
  <si>
    <t>M/2025046/Emargin MTM Loss Reversal-/-MTF</t>
  </si>
  <si>
    <t>Bg interest on MTF for 05-mar-2025-/-MTF</t>
  </si>
  <si>
    <t>M/2025047/Margin Pay In-/-MTF</t>
  </si>
  <si>
    <t>M/2025047/Emargin MTM Loss Bills.-/-MTF</t>
  </si>
  <si>
    <t>M/2025047/Margin Reversal-/-MTF</t>
  </si>
  <si>
    <t>M/2025047/Emargin MTM Loss Reversal-/-MTF</t>
  </si>
  <si>
    <t>M/2025047/06-MAR-2025-/-Cash</t>
  </si>
  <si>
    <t>Bg interest on MTF for 06-mar-2025-/-MTF</t>
  </si>
  <si>
    <t>M/2025048/Margin Pay In-/-MTF</t>
  </si>
  <si>
    <t>M/2025048/Emargin MTM Loss Bills.-/-MTF</t>
  </si>
  <si>
    <t>M/2025048/Margin Reversal-/-MTF</t>
  </si>
  <si>
    <t>M/2025048/Emargin MTM Loss Reversal-/-MTF</t>
  </si>
  <si>
    <t>M/2025048/07-MAR-2025-/-MTF</t>
  </si>
  <si>
    <t>M/2025049/Margin Pay In-/-MTF</t>
  </si>
  <si>
    <t>M/2025049/Emargin MTM Loss Bills.-/-MTF</t>
  </si>
  <si>
    <t>M/2025049/Margin Reversal-/-MTF</t>
  </si>
  <si>
    <t>M/2025049/Emargin MTM Loss Reversal-/-MTF</t>
  </si>
  <si>
    <t>Bg interest on MTF from 07-mar-2025 to 09-mar-2025-/-MTF</t>
  </si>
  <si>
    <t>M/2025050/Margin Pay In-/-MTF</t>
  </si>
  <si>
    <t>M/2025050/Emargin MTM Loss Bills.-/-MTF</t>
  </si>
  <si>
    <t>M/2025050/Margin Reversal-/-MTF</t>
  </si>
  <si>
    <t>M/2025050/Emargin MTM Loss Reversal-/-MTF</t>
  </si>
  <si>
    <t>Bg interest on MTF for 10-mar-2025-/-MTF</t>
  </si>
  <si>
    <t>Bg interest on MTF for 11-mar-2025-/-MTF</t>
  </si>
  <si>
    <t>M/2025051/Margin Pay In-/-MTF</t>
  </si>
  <si>
    <t>M/2025051/Emargin MTM Loss Bills.-/-MTF</t>
  </si>
  <si>
    <t>M/2025051/Margin Reversal-/-MTF</t>
  </si>
  <si>
    <t>M/2025051/Emargin MTM Loss Reversal-/-MTF</t>
  </si>
  <si>
    <t>M/2025052/Margin Pay In-/-MTF</t>
  </si>
  <si>
    <t>M/2025052/Emargin MTM Loss Bills.-/-MTF</t>
  </si>
  <si>
    <t>M/2025052/Margin Reversal-/-MTF</t>
  </si>
  <si>
    <t>M/2025052/Emargin MTM Loss Reversal-/-MTF</t>
  </si>
  <si>
    <t>Bg interest on MTF for 12-mar-2025-/-MTF</t>
  </si>
  <si>
    <t>M/2025052/13-MAR-2025-/-Cash</t>
  </si>
  <si>
    <t>M/2025053/Margin Pay In-/-MTF</t>
  </si>
  <si>
    <t>M/2025053/Emargin MTM Loss Bills.-/-MTF</t>
  </si>
  <si>
    <t>M/2025053/Margin Reversal-/-MTF</t>
  </si>
  <si>
    <t>M/2025053/Emargin MTM Loss Reversal-/-MTF</t>
  </si>
  <si>
    <t>Bg interest on MTF from 13-mar-2025 to 16-mar-2025-/-MTF</t>
  </si>
  <si>
    <t>M/2025053/17-MAR-2025-/-Cash</t>
  </si>
  <si>
    <t>M/2025053/17-MAR-2025-/-MTF</t>
  </si>
  <si>
    <t>M/2025054/Margin Pay In-/-MTF</t>
  </si>
  <si>
    <t>M/2025054/Emargin MTM Loss Bills.-/-MTF</t>
  </si>
  <si>
    <t>M/2025054/Margin Reversal-/-MTF</t>
  </si>
  <si>
    <t>M/2025054/Emargin MTM Loss Reversal-/-MTF</t>
  </si>
  <si>
    <t>Bg interest on MTF for 17-mar-2025-/-MTF</t>
  </si>
  <si>
    <t>M/2025054/18-MAR-2025-/-MTF</t>
  </si>
  <si>
    <t>Bg interest on MTF for 18-mar-2025-/-MTF</t>
  </si>
  <si>
    <t>M/2025055/Margin Pay In-/-MTF</t>
  </si>
  <si>
    <t>M/2025055/Emargin MTM Loss Bills.-/-MTF</t>
  </si>
  <si>
    <t>M/2025055/Margin Reversal-/-MTF</t>
  </si>
  <si>
    <t>M/2025055/Emargin MTM Loss Reversal-/-MTF</t>
  </si>
  <si>
    <t>M/2025055/19-MAR-2025-/-Cash</t>
  </si>
  <si>
    <t>M/2025055/19-MAR-2025-/-MTF</t>
  </si>
  <si>
    <t>Bg interest on MTF for 19-mar-2025-/-MTF</t>
  </si>
  <si>
    <t>M/2025056/Margin Pay In-/-MTF</t>
  </si>
  <si>
    <t>M/2025056/Emargin MTM Loss Bills.-/-MTF</t>
  </si>
  <si>
    <t>M/2025056/Margin Reversal-/-MTF</t>
  </si>
  <si>
    <t>M/2025056/Emargin MTM Loss Reversal-/-MTF</t>
  </si>
  <si>
    <t>M/2025056/20-MAR-2025-/-MTF</t>
  </si>
  <si>
    <t>Bg interest on MTF for 20-mar-2025-/-MTF</t>
  </si>
  <si>
    <t>M/2025057/Margin Pay In-/-MTF</t>
  </si>
  <si>
    <t>M/2025057/Emargin MTM Loss Bills.-/-MTF</t>
  </si>
  <si>
    <t>M/2025057/Margin Reversal-/-MTF</t>
  </si>
  <si>
    <t>M/2025057/Emargin MTM Loss Reversal-/-MTF</t>
  </si>
  <si>
    <t>M/2025057/21-MAR-2025-/-Cash</t>
  </si>
  <si>
    <t>M/2025057/21-MAR-2025-/-MTF</t>
  </si>
  <si>
    <t>Bg interest on MTF from 21-mar-2025 to 23-mar-2025-/-MTF</t>
  </si>
  <si>
    <t>M/2025058/Margin Pay In-/-MTF</t>
  </si>
  <si>
    <t>M/2025058/Emargin MTM Loss Bills.-/-MTF</t>
  </si>
  <si>
    <t>M/2025058/Margin Reversal-/-MTF</t>
  </si>
  <si>
    <t>M/2025058/Emargin MTM Loss Reversal-/-MTF</t>
  </si>
  <si>
    <t>M/2025058/24-MAR-2025-/-Cash</t>
  </si>
  <si>
    <t>M/2025058/24-MAR-2025-/-MTF</t>
  </si>
  <si>
    <t>Bg interest on MTF for 24-mar-2025-/-MTF</t>
  </si>
  <si>
    <t>M/2025059/Margin Pay In-/-MTF</t>
  </si>
  <si>
    <t>M/2025059/Emargin MTM Loss Bills.-/-MTF</t>
  </si>
  <si>
    <t>M/2025059/Margin Reversal-/-MTF</t>
  </si>
  <si>
    <t>M/2025059/Emargin MTM Loss Reversal-/-MTF</t>
  </si>
  <si>
    <t>M/2025059/25-MAR-2025-/-MTF</t>
  </si>
  <si>
    <t>Bg interest on MTF for 25-mar-2025-/-MTF</t>
  </si>
  <si>
    <t>M/2025060/Margin Pay In-/-MTF</t>
  </si>
  <si>
    <t>M/2025060/Emargin MTM Loss Bills.-/-MTF</t>
  </si>
  <si>
    <t>M/2025060/Margin Reversal-/-MTF</t>
  </si>
  <si>
    <t>M/2025060/Emargin MTM Loss Reversal-/-MTF</t>
  </si>
  <si>
    <t>Trade Bill-26-MAR-2025</t>
  </si>
  <si>
    <t>M/2025060/26-MAR-2025-/-MTF</t>
  </si>
  <si>
    <t>M/2025061/Margin Pay In-/-MTF</t>
  </si>
  <si>
    <t>M/2025061/Emargin MTM Loss Bills.-/-MTF</t>
  </si>
  <si>
    <t>M/2025061/Margin Reversal-/-MTF</t>
  </si>
  <si>
    <t>M/2025061/Emargin MTM Loss Reversal-/-MTF</t>
  </si>
  <si>
    <t>Bg interest on MTF for 26-mar-2025-/-MTF</t>
  </si>
  <si>
    <t>M/2025061/27-MAR-2025-/-MTF</t>
  </si>
  <si>
    <t>Bg interest on MTF for 27-mar-2025-/-MTF</t>
  </si>
  <si>
    <t>M/2025062/Margin Pay In-/-MTF</t>
  </si>
  <si>
    <t>M/2025062/Emargin MTM Loss Bills.-/-MTF</t>
  </si>
  <si>
    <t>M/2025062/Margin Reversal-/-MTF</t>
  </si>
  <si>
    <t>M/2025062/Emargin MTM Loss Reversal-/-MTF</t>
  </si>
  <si>
    <t>M/2025062/28-MAR-2025-/-MTF</t>
  </si>
  <si>
    <t>Interest Charged in ALL segment for period 01/04/24 to 31/03/25</t>
  </si>
  <si>
    <t>Sr No</t>
  </si>
  <si>
    <t>Date</t>
  </si>
  <si>
    <t>Segment</t>
  </si>
  <si>
    <t>Interest %</t>
  </si>
  <si>
    <t>Interest</t>
  </si>
  <si>
    <t>Debit Amount</t>
  </si>
  <si>
    <t>Interest Amount (Rs.)</t>
  </si>
  <si>
    <t>Interest Recovered (Rs.)</t>
  </si>
  <si>
    <t>Charged for</t>
  </si>
  <si>
    <t>Day</t>
  </si>
  <si>
    <t>MTF</t>
  </si>
  <si>
    <t>null</t>
  </si>
  <si>
    <t>TOTAL</t>
  </si>
  <si>
    <t>No data found for specified parameters.</t>
  </si>
  <si>
    <t>Interest Charged</t>
  </si>
  <si>
    <t>Contra - Bank</t>
  </si>
  <si>
    <t>Contra - HSL</t>
  </si>
  <si>
    <t>Contra - HDFC</t>
  </si>
  <si>
    <t>GARWARE TECHNICAL FIBRES LIMITED* Buyback</t>
  </si>
  <si>
    <t>INDUS TOWERS LIMITED* Buyback</t>
  </si>
  <si>
    <t>MATRIMONY.COM LIMITED* Buyback</t>
  </si>
  <si>
    <t>Assets</t>
  </si>
  <si>
    <t>Liabilities</t>
  </si>
  <si>
    <t>Amount Rs.</t>
  </si>
  <si>
    <t>Capital Account</t>
  </si>
  <si>
    <t>Total</t>
  </si>
  <si>
    <t>Balance Sheet As on 31.03.2025</t>
  </si>
  <si>
    <t>P&amp;L For the year ended 31.03.2025</t>
  </si>
  <si>
    <t>Sales</t>
  </si>
  <si>
    <t>Purchases</t>
  </si>
  <si>
    <t xml:space="preserve">* The Report includes Buy Back transactions </t>
  </si>
  <si>
    <t/>
  </si>
  <si>
    <t>DERIVATIVE FUND GAIN/LOSS</t>
  </si>
  <si>
    <t>Loss</t>
  </si>
  <si>
    <t>07-MAY-2024</t>
  </si>
  <si>
    <t>OPTIDX-NIFTY-09-MAY-2024-22500-CE</t>
  </si>
  <si>
    <t>27-MAR-2025</t>
  </si>
  <si>
    <t>26-MAR-2025</t>
  </si>
  <si>
    <t>OPTSTK-ABB-27-MAR-2025-5600-CE</t>
  </si>
  <si>
    <t>Turnover</t>
  </si>
  <si>
    <t>PROFIT/LOSS</t>
  </si>
  <si>
    <t>SELL TRANSACTION VALUE</t>
  </si>
  <si>
    <t>SELL TRANSACTION QTY</t>
  </si>
  <si>
    <t>SELL TRANSACTION DATE</t>
  </si>
  <si>
    <t>BUY TRANSACTION VALUE</t>
  </si>
  <si>
    <t>BUY TRANSACTION QTY</t>
  </si>
  <si>
    <t>BUY TRANSACTION DATE</t>
  </si>
  <si>
    <t>CONTRACT</t>
  </si>
  <si>
    <t>347707 - Capital Gain Loss Details for Equity Derivatives as on: 2025/03/30 16:28:53</t>
  </si>
  <si>
    <t>By Gross Loss</t>
  </si>
  <si>
    <t>Cash</t>
  </si>
  <si>
    <t xml:space="preserve">Bank </t>
  </si>
  <si>
    <t>HDFC Security (Debtor)</t>
  </si>
  <si>
    <t>To Cash Deposit</t>
  </si>
  <si>
    <t>To Opening Balance</t>
  </si>
  <si>
    <t>By Cash Withdrawal</t>
  </si>
  <si>
    <t>To Closing Balance</t>
  </si>
  <si>
    <t>To Household Expenses</t>
  </si>
  <si>
    <t>Cash Account For the FY 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</si>
</sst>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(* #,##0.00_);_(* \(#,##0.00\);_(* &quot;-&quot;??_);_(@_)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7"/>
      <color rgb="FF000000"/>
      <name val="Verdana"/>
      <family val="2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A5C7E7"/>
        <bgColor indexed="64"/>
      </patternFill>
    </fill>
    <fill>
      <patternFill patternType="solid">
        <fgColor rgb="FFEBEEF7"/>
        <bgColor indexed="64"/>
      </patternFill>
    </fill>
    <fill>
      <patternFill patternType="solid">
        <fgColor indexed="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</cellStyleXfs>
  <cellXfs count="68">
    <xf numFmtId="0" fontId="0" fillId="0" borderId="0" xfId="0"/>
    <xf numFmtId="0" fontId="3" fillId="0" borderId="0" xfId="0" applyFont="1"/>
    <xf numFmtId="0" fontId="2" fillId="0" borderId="0" xfId="2" applyFont="1"/>
    <xf numFmtId="0" fontId="2" fillId="0" borderId="0" xfId="0" applyFont="1"/>
    <xf numFmtId="0" fontId="2" fillId="0" borderId="0" xfId="0" applyFont="1" applyAlignment="1">
      <alignment horizontal="left"/>
    </xf>
    <xf numFmtId="14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0" fontId="5" fillId="2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right" wrapText="1"/>
    </xf>
    <xf numFmtId="0" fontId="0" fillId="3" borderId="2" xfId="0" applyFill="1" applyBorder="1" applyAlignment="1">
      <alignment horizontal="center" wrapText="1"/>
    </xf>
    <xf numFmtId="15" fontId="0" fillId="3" borderId="2" xfId="0" applyNumberForma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0" fillId="3" borderId="2" xfId="0" applyFill="1" applyBorder="1" applyAlignment="1">
      <alignment horizontal="right"/>
    </xf>
    <xf numFmtId="15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left"/>
    </xf>
    <xf numFmtId="0" fontId="0" fillId="3" borderId="2" xfId="0" applyFill="1" applyBorder="1" applyAlignment="1">
      <alignment horizontal="center"/>
    </xf>
    <xf numFmtId="164" fontId="0" fillId="3" borderId="2" xfId="1" applyNumberFormat="1" applyFont="1" applyFill="1" applyBorder="1" applyAlignment="1">
      <alignment horizontal="right"/>
    </xf>
    <xf numFmtId="0" fontId="2" fillId="3" borderId="2" xfId="0" applyFont="1" applyFill="1" applyBorder="1" applyAlignment="1">
      <alignment horizontal="center"/>
    </xf>
    <xf numFmtId="0" fontId="0" fillId="0" borderId="0" xfId="0" applyAlignment="1">
      <alignment wrapText="1"/>
    </xf>
    <xf numFmtId="164" fontId="0" fillId="0" borderId="1" xfId="1" applyNumberFormat="1" applyFont="1" applyBorder="1" applyAlignment="1">
      <alignment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5" fontId="0" fillId="3" borderId="2" xfId="0" applyNumberFormat="1" applyFill="1" applyBorder="1" applyAlignment="1">
      <alignment horizontal="right" wrapText="1"/>
    </xf>
    <xf numFmtId="0" fontId="0" fillId="0" borderId="9" xfId="0" applyBorder="1"/>
    <xf numFmtId="164" fontId="0" fillId="0" borderId="9" xfId="1" applyNumberFormat="1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0" fillId="0" borderId="16" xfId="0" applyBorder="1"/>
    <xf numFmtId="164" fontId="0" fillId="0" borderId="17" xfId="1" applyNumberFormat="1" applyFont="1" applyBorder="1"/>
    <xf numFmtId="0" fontId="0" fillId="0" borderId="17" xfId="0" applyBorder="1"/>
    <xf numFmtId="0" fontId="2" fillId="0" borderId="18" xfId="0" applyFont="1" applyBorder="1"/>
    <xf numFmtId="164" fontId="2" fillId="0" borderId="19" xfId="0" applyNumberFormat="1" applyFont="1" applyBorder="1"/>
    <xf numFmtId="0" fontId="2" fillId="0" borderId="19" xfId="0" applyFont="1" applyBorder="1"/>
    <xf numFmtId="164" fontId="2" fillId="0" borderId="20" xfId="0" applyNumberFormat="1" applyFont="1" applyBorder="1"/>
    <xf numFmtId="0" fontId="4" fillId="0" borderId="0" xfId="2"/>
    <xf numFmtId="0" fontId="6" fillId="0" borderId="21" xfId="2" applyFont="1" applyBorder="1" applyAlignment="1">
      <alignment horizontal="right" vertical="top" wrapText="1"/>
    </xf>
    <xf numFmtId="0" fontId="6" fillId="0" borderId="21" xfId="2" applyFont="1" applyBorder="1" applyAlignment="1">
      <alignment horizontal="left" vertical="top" wrapText="1"/>
    </xf>
    <xf numFmtId="166" fontId="0" fillId="0" borderId="0" xfId="3" applyNumberFormat="1" applyFont="1" applyAlignment="1"/>
    <xf numFmtId="0" fontId="6" fillId="0" borderId="21" xfId="2" applyFont="1" applyBorder="1" applyAlignment="1">
      <alignment horizontal="right" vertical="top"/>
    </xf>
    <xf numFmtId="0" fontId="6" fillId="0" borderId="21" xfId="2" applyFont="1" applyBorder="1" applyAlignment="1">
      <alignment horizontal="left" vertical="top"/>
    </xf>
    <xf numFmtId="166" fontId="0" fillId="0" borderId="0" xfId="3" applyNumberFormat="1" applyFont="1"/>
    <xf numFmtId="0" fontId="4" fillId="0" borderId="0" xfId="2" applyAlignment="1">
      <alignment horizontal="center" vertical="top" wrapText="1"/>
    </xf>
    <xf numFmtId="0" fontId="3" fillId="0" borderId="22" xfId="2" applyFont="1" applyBorder="1" applyAlignment="1">
      <alignment horizontal="center" vertical="top" wrapText="1"/>
    </xf>
    <xf numFmtId="164" fontId="0" fillId="0" borderId="17" xfId="0" applyNumberFormat="1" applyBorder="1"/>
    <xf numFmtId="0" fontId="2" fillId="0" borderId="9" xfId="0" applyFont="1" applyBorder="1"/>
    <xf numFmtId="0" fontId="2" fillId="0" borderId="16" xfId="0" applyFont="1" applyBorder="1"/>
    <xf numFmtId="0" fontId="2" fillId="0" borderId="17" xfId="0" applyFont="1" applyBorder="1"/>
    <xf numFmtId="164" fontId="0" fillId="0" borderId="0" xfId="1" applyNumberFormat="1" applyFont="1" applyAlignment="1">
      <alignment wrapText="1"/>
    </xf>
    <xf numFmtId="0" fontId="3" fillId="4" borderId="0" xfId="2" applyFont="1" applyFill="1" applyAlignment="1">
      <alignment horizontal="center" vertical="center" wrapText="1"/>
    </xf>
    <xf numFmtId="0" fontId="4" fillId="0" borderId="0" xfId="2"/>
    <xf numFmtId="0" fontId="3" fillId="0" borderId="0" xfId="2" applyFont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right" wrapText="1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43" fontId="0" fillId="0" borderId="1" xfId="1" applyFont="1" applyBorder="1" applyAlignment="1">
      <alignment wrapText="1"/>
    </xf>
  </cellXfs>
  <cellStyles count="4">
    <cellStyle name="Comma" xfId="1" builtinId="3"/>
    <cellStyle name="Comma 2" xfId="3" xr:uid="{F8A4B80E-EB43-4609-B11F-22928883EDCB}"/>
    <cellStyle name="Normal" xfId="0" builtinId="0"/>
    <cellStyle name="Normal 2" xfId="2" xr:uid="{36DD9D47-3EF4-4C03-9E15-8425FC441A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843B8-10AF-45FA-B15F-B1887CAC6F4F}">
  <dimension ref="A3:L10"/>
  <sheetViews>
    <sheetView topLeftCell="C1" workbookViewId="0">
      <selection activeCell="K6" sqref="K6"/>
    </sheetView>
  </sheetViews>
  <sheetFormatPr defaultColWidth="22.21875" defaultRowHeight="13.2" x14ac:dyDescent="0.25"/>
  <cols>
    <col min="1" max="16384" width="22.21875" style="38"/>
  </cols>
  <sheetData>
    <row r="3" spans="1:12" x14ac:dyDescent="0.25">
      <c r="B3" s="52" t="s">
        <v>2692</v>
      </c>
      <c r="C3" s="53"/>
      <c r="D3" s="53"/>
      <c r="E3" s="53"/>
      <c r="F3" s="53"/>
    </row>
    <row r="5" spans="1:12" ht="27" thickBot="1" x14ac:dyDescent="0.35">
      <c r="A5" s="46" t="s">
        <v>2691</v>
      </c>
      <c r="B5" s="46" t="s">
        <v>2690</v>
      </c>
      <c r="C5" s="46" t="s">
        <v>2689</v>
      </c>
      <c r="D5" s="46" t="s">
        <v>2688</v>
      </c>
      <c r="E5" s="46" t="s">
        <v>2687</v>
      </c>
      <c r="F5" s="46" t="s">
        <v>2686</v>
      </c>
      <c r="G5" s="46" t="s">
        <v>2685</v>
      </c>
      <c r="H5" s="46" t="s">
        <v>2684</v>
      </c>
      <c r="J5" s="45" t="s">
        <v>2683</v>
      </c>
      <c r="K5" s="44">
        <f>SUM(I6:I7)</f>
        <v>3327.58</v>
      </c>
    </row>
    <row r="6" spans="1:12" ht="14.4" x14ac:dyDescent="0.3">
      <c r="A6" s="43" t="s">
        <v>2682</v>
      </c>
      <c r="B6" s="43" t="s">
        <v>2681</v>
      </c>
      <c r="C6" s="42">
        <v>125</v>
      </c>
      <c r="D6" s="42">
        <v>2964.79</v>
      </c>
      <c r="E6" s="43" t="s">
        <v>2680</v>
      </c>
      <c r="F6" s="42">
        <v>125</v>
      </c>
      <c r="G6" s="42">
        <v>0</v>
      </c>
      <c r="H6" s="42">
        <v>-2964.79</v>
      </c>
      <c r="I6" s="38">
        <f>ABS(H6)</f>
        <v>2964.79</v>
      </c>
      <c r="J6" s="38" t="s">
        <v>2673</v>
      </c>
      <c r="K6" s="41">
        <f>K5-K7</f>
        <v>6655.1574999999993</v>
      </c>
    </row>
    <row r="7" spans="1:12" ht="14.4" x14ac:dyDescent="0.3">
      <c r="A7" s="43" t="s">
        <v>2679</v>
      </c>
      <c r="B7" s="43" t="s">
        <v>2678</v>
      </c>
      <c r="C7" s="42">
        <v>25</v>
      </c>
      <c r="D7" s="42">
        <v>1267.7</v>
      </c>
      <c r="E7" s="43" t="s">
        <v>2678</v>
      </c>
      <c r="F7" s="42">
        <v>25</v>
      </c>
      <c r="G7" s="42">
        <v>904.91</v>
      </c>
      <c r="H7" s="42">
        <v>-362.79</v>
      </c>
      <c r="I7" s="38">
        <f>ABS(H7)</f>
        <v>362.79</v>
      </c>
      <c r="J7" s="38" t="s">
        <v>2677</v>
      </c>
      <c r="K7" s="41">
        <f>H8</f>
        <v>-3327.5774999999999</v>
      </c>
    </row>
    <row r="8" spans="1:12" ht="26.4" x14ac:dyDescent="0.25">
      <c r="A8" s="40" t="s">
        <v>2676</v>
      </c>
      <c r="B8" s="40" t="s">
        <v>2675</v>
      </c>
      <c r="C8" s="40" t="s">
        <v>2675</v>
      </c>
      <c r="D8" s="40" t="s">
        <v>2675</v>
      </c>
      <c r="E8" s="40" t="s">
        <v>2675</v>
      </c>
      <c r="F8" s="40" t="s">
        <v>2675</v>
      </c>
      <c r="G8" s="40" t="s">
        <v>2675</v>
      </c>
      <c r="H8" s="39">
        <v>-3327.5774999999999</v>
      </c>
    </row>
    <row r="10" spans="1:12" x14ac:dyDescent="0.25">
      <c r="A10" s="54" t="s">
        <v>2674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</row>
  </sheetData>
  <mergeCells count="5">
    <mergeCell ref="B3:F3"/>
    <mergeCell ref="A10:C10"/>
    <mergeCell ref="D10:F10"/>
    <mergeCell ref="G10:I10"/>
    <mergeCell ref="J10:L10"/>
  </mergeCells>
  <pageMargins left="0.75" right="0.75" top="1" bottom="1" header="0.5" footer="0.5"/>
  <pageSetup orientation="portrait" horizontalDpi="300" verticalDpi="30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C5DA3-C012-451D-9A87-F22EFDD087FA}">
  <dimension ref="A1:K372"/>
  <sheetViews>
    <sheetView showGridLines="0" workbookViewId="0">
      <selection activeCell="H3" sqref="H3:H5"/>
    </sheetView>
  </sheetViews>
  <sheetFormatPr defaultRowHeight="14.4" x14ac:dyDescent="0.3"/>
  <cols>
    <col min="1" max="1" width="6.21875" customWidth="1"/>
    <col min="2" max="2" width="12.109375" customWidth="1"/>
    <col min="3" max="3" width="9.109375" customWidth="1"/>
    <col min="4" max="4" width="11" customWidth="1"/>
    <col min="5" max="5" width="12.109375" customWidth="1"/>
    <col min="6" max="6" width="14.77734375" customWidth="1"/>
    <col min="7" max="7" width="21.33203125" customWidth="1"/>
    <col min="8" max="8" width="24.44140625" customWidth="1"/>
    <col min="10" max="10" width="14.5546875" bestFit="1" customWidth="1"/>
    <col min="11" max="11" width="11.33203125" bestFit="1" customWidth="1"/>
  </cols>
  <sheetData>
    <row r="1" spans="1:11" ht="14.4" customHeight="1" x14ac:dyDescent="0.3">
      <c r="A1" s="61" t="s">
        <v>2643</v>
      </c>
      <c r="B1" s="61"/>
      <c r="C1" s="61"/>
      <c r="D1" s="61"/>
      <c r="E1" s="61"/>
      <c r="F1" s="61"/>
      <c r="G1" s="61"/>
    </row>
    <row r="2" spans="1:11" ht="15" thickBot="1" x14ac:dyDescent="0.35">
      <c r="A2" s="62" t="s">
        <v>1178</v>
      </c>
      <c r="B2" s="62"/>
      <c r="C2" s="62"/>
      <c r="D2" s="62"/>
      <c r="E2" s="63" t="s">
        <v>1179</v>
      </c>
      <c r="F2" s="63"/>
      <c r="G2" s="63"/>
      <c r="J2" t="s">
        <v>2658</v>
      </c>
      <c r="K2" s="6">
        <f>SUMIFS('HDFC HSL Ledger'!$J:$J,'HDFC HSL Ledger'!$M:$M,J2)</f>
        <v>108443.43000000007</v>
      </c>
    </row>
    <row r="3" spans="1:11" x14ac:dyDescent="0.3">
      <c r="A3" s="55" t="s">
        <v>2644</v>
      </c>
      <c r="B3" s="55" t="s">
        <v>2645</v>
      </c>
      <c r="C3" s="55" t="s">
        <v>2646</v>
      </c>
      <c r="D3" s="55" t="s">
        <v>2647</v>
      </c>
      <c r="E3" s="22" t="s">
        <v>2648</v>
      </c>
      <c r="F3" s="55" t="s">
        <v>2649</v>
      </c>
      <c r="G3" s="55" t="s">
        <v>2650</v>
      </c>
      <c r="H3" s="55" t="s">
        <v>2651</v>
      </c>
      <c r="K3" s="6">
        <f>H371-K2</f>
        <v>0</v>
      </c>
    </row>
    <row r="4" spans="1:11" x14ac:dyDescent="0.3">
      <c r="A4" s="56"/>
      <c r="B4" s="56"/>
      <c r="C4" s="56"/>
      <c r="D4" s="56"/>
      <c r="E4" s="23" t="s">
        <v>2652</v>
      </c>
      <c r="F4" s="56"/>
      <c r="G4" s="56"/>
      <c r="H4" s="56"/>
    </row>
    <row r="5" spans="1:11" ht="15" thickBot="1" x14ac:dyDescent="0.35">
      <c r="A5" s="57"/>
      <c r="B5" s="57"/>
      <c r="C5" s="57"/>
      <c r="D5" s="57"/>
      <c r="E5" s="24" t="s">
        <v>2653</v>
      </c>
      <c r="F5" s="57"/>
      <c r="G5" s="57"/>
      <c r="H5" s="57"/>
    </row>
    <row r="6" spans="1:11" ht="15" thickBot="1" x14ac:dyDescent="0.35">
      <c r="A6" s="10">
        <v>0</v>
      </c>
      <c r="B6" s="11">
        <v>45744</v>
      </c>
      <c r="C6" s="17" t="s">
        <v>2654</v>
      </c>
      <c r="D6" s="9">
        <v>13</v>
      </c>
      <c r="E6" s="25">
        <v>45743</v>
      </c>
      <c r="F6" s="9">
        <v>1161591.5900000001</v>
      </c>
      <c r="G6" s="9">
        <v>413.72</v>
      </c>
      <c r="H6" s="9">
        <v>413.72</v>
      </c>
    </row>
    <row r="7" spans="1:11" ht="15" thickBot="1" x14ac:dyDescent="0.35">
      <c r="A7" s="10">
        <v>0</v>
      </c>
      <c r="B7" s="11">
        <v>45743</v>
      </c>
      <c r="C7" s="17" t="s">
        <v>2654</v>
      </c>
      <c r="D7" s="9">
        <v>13</v>
      </c>
      <c r="E7" s="25">
        <v>45742</v>
      </c>
      <c r="F7" s="9">
        <v>1075559.71</v>
      </c>
      <c r="G7" s="9">
        <v>383.08</v>
      </c>
      <c r="H7" s="9">
        <v>383.08</v>
      </c>
    </row>
    <row r="8" spans="1:11" ht="15" thickBot="1" x14ac:dyDescent="0.35">
      <c r="A8" s="10">
        <v>0</v>
      </c>
      <c r="B8" s="11">
        <v>45742</v>
      </c>
      <c r="C8" s="17" t="s">
        <v>2654</v>
      </c>
      <c r="D8" s="9">
        <v>13</v>
      </c>
      <c r="E8" s="25">
        <v>45741</v>
      </c>
      <c r="F8" s="9">
        <v>1081946.4099999999</v>
      </c>
      <c r="G8" s="9">
        <v>385.35</v>
      </c>
      <c r="H8" s="9">
        <v>385.35</v>
      </c>
    </row>
    <row r="9" spans="1:11" ht="15" thickBot="1" x14ac:dyDescent="0.35">
      <c r="A9" s="10">
        <v>0</v>
      </c>
      <c r="B9" s="11">
        <v>45741</v>
      </c>
      <c r="C9" s="17" t="s">
        <v>2654</v>
      </c>
      <c r="D9" s="9">
        <v>13</v>
      </c>
      <c r="E9" s="25">
        <v>45740</v>
      </c>
      <c r="F9" s="9">
        <v>1081140.47</v>
      </c>
      <c r="G9" s="9">
        <v>385.06</v>
      </c>
      <c r="H9" s="9">
        <v>385.06</v>
      </c>
    </row>
    <row r="10" spans="1:11" ht="15" thickBot="1" x14ac:dyDescent="0.35">
      <c r="A10" s="10">
        <v>0</v>
      </c>
      <c r="B10" s="11">
        <v>45740</v>
      </c>
      <c r="C10" s="17" t="s">
        <v>2654</v>
      </c>
      <c r="D10" s="9">
        <v>13</v>
      </c>
      <c r="E10" s="25">
        <v>45739</v>
      </c>
      <c r="F10" s="9">
        <v>1035629.29</v>
      </c>
      <c r="G10" s="9">
        <v>368.85</v>
      </c>
      <c r="H10" s="9">
        <v>368.85</v>
      </c>
    </row>
    <row r="11" spans="1:11" ht="15" thickBot="1" x14ac:dyDescent="0.35">
      <c r="A11" s="10">
        <v>0</v>
      </c>
      <c r="B11" s="11">
        <v>45740</v>
      </c>
      <c r="C11" s="17" t="s">
        <v>2654</v>
      </c>
      <c r="D11" s="9">
        <v>13</v>
      </c>
      <c r="E11" s="25">
        <v>45738</v>
      </c>
      <c r="F11" s="9">
        <v>1035629.29</v>
      </c>
      <c r="G11" s="9">
        <v>368.85</v>
      </c>
      <c r="H11" s="9">
        <v>368.85</v>
      </c>
    </row>
    <row r="12" spans="1:11" ht="15" thickBot="1" x14ac:dyDescent="0.35">
      <c r="A12" s="10">
        <v>0</v>
      </c>
      <c r="B12" s="11">
        <v>45740</v>
      </c>
      <c r="C12" s="17" t="s">
        <v>2654</v>
      </c>
      <c r="D12" s="9">
        <v>13</v>
      </c>
      <c r="E12" s="25">
        <v>45737</v>
      </c>
      <c r="F12" s="9">
        <v>1035629.29</v>
      </c>
      <c r="G12" s="9">
        <v>368.85</v>
      </c>
      <c r="H12" s="9">
        <v>368.85</v>
      </c>
    </row>
    <row r="13" spans="1:11" ht="15" thickBot="1" x14ac:dyDescent="0.35">
      <c r="A13" s="10">
        <v>0</v>
      </c>
      <c r="B13" s="11">
        <v>45737</v>
      </c>
      <c r="C13" s="17" t="s">
        <v>2654</v>
      </c>
      <c r="D13" s="9">
        <v>13</v>
      </c>
      <c r="E13" s="25">
        <v>45736</v>
      </c>
      <c r="F13" s="9">
        <v>969442.25</v>
      </c>
      <c r="G13" s="9">
        <v>345.28</v>
      </c>
      <c r="H13" s="9">
        <v>345.28</v>
      </c>
    </row>
    <row r="14" spans="1:11" ht="15" thickBot="1" x14ac:dyDescent="0.35">
      <c r="A14" s="10">
        <v>0</v>
      </c>
      <c r="B14" s="11">
        <v>45736</v>
      </c>
      <c r="C14" s="17" t="s">
        <v>2654</v>
      </c>
      <c r="D14" s="9">
        <v>13</v>
      </c>
      <c r="E14" s="25">
        <v>45735</v>
      </c>
      <c r="F14" s="9">
        <v>996346.07</v>
      </c>
      <c r="G14" s="9">
        <v>354.86</v>
      </c>
      <c r="H14" s="9">
        <v>354.86</v>
      </c>
    </row>
    <row r="15" spans="1:11" ht="15" thickBot="1" x14ac:dyDescent="0.35">
      <c r="A15" s="10">
        <v>0</v>
      </c>
      <c r="B15" s="11">
        <v>45735</v>
      </c>
      <c r="C15" s="17" t="s">
        <v>2654</v>
      </c>
      <c r="D15" s="9">
        <v>13</v>
      </c>
      <c r="E15" s="25">
        <v>45734</v>
      </c>
      <c r="F15" s="9">
        <v>754544.74</v>
      </c>
      <c r="G15" s="9">
        <v>268.74</v>
      </c>
      <c r="H15" s="9">
        <v>268.74</v>
      </c>
    </row>
    <row r="16" spans="1:11" ht="15" thickBot="1" x14ac:dyDescent="0.35">
      <c r="A16" s="10">
        <v>0</v>
      </c>
      <c r="B16" s="11">
        <v>45734</v>
      </c>
      <c r="C16" s="17" t="s">
        <v>2654</v>
      </c>
      <c r="D16" s="9">
        <v>13</v>
      </c>
      <c r="E16" s="25">
        <v>45733</v>
      </c>
      <c r="F16" s="9">
        <v>739481.79</v>
      </c>
      <c r="G16" s="9">
        <v>263.38</v>
      </c>
      <c r="H16" s="9">
        <v>263.38</v>
      </c>
    </row>
    <row r="17" spans="1:8" ht="15" thickBot="1" x14ac:dyDescent="0.35">
      <c r="A17" s="10">
        <v>0</v>
      </c>
      <c r="B17" s="11">
        <v>45733</v>
      </c>
      <c r="C17" s="17" t="s">
        <v>2654</v>
      </c>
      <c r="D17" s="9">
        <v>13</v>
      </c>
      <c r="E17" s="25">
        <v>45732</v>
      </c>
      <c r="F17" s="9">
        <v>792923.66</v>
      </c>
      <c r="G17" s="9">
        <v>282.41000000000003</v>
      </c>
      <c r="H17" s="9">
        <v>282.41000000000003</v>
      </c>
    </row>
    <row r="18" spans="1:8" ht="15" thickBot="1" x14ac:dyDescent="0.35">
      <c r="A18" s="10">
        <v>0</v>
      </c>
      <c r="B18" s="11">
        <v>45733</v>
      </c>
      <c r="C18" s="17" t="s">
        <v>2654</v>
      </c>
      <c r="D18" s="9">
        <v>13</v>
      </c>
      <c r="E18" s="25">
        <v>45731</v>
      </c>
      <c r="F18" s="9">
        <v>792923.66</v>
      </c>
      <c r="G18" s="9">
        <v>282.41000000000003</v>
      </c>
      <c r="H18" s="9">
        <v>282.41000000000003</v>
      </c>
    </row>
    <row r="19" spans="1:8" ht="15" thickBot="1" x14ac:dyDescent="0.35">
      <c r="A19" s="10">
        <v>0</v>
      </c>
      <c r="B19" s="11">
        <v>45733</v>
      </c>
      <c r="C19" s="17" t="s">
        <v>2654</v>
      </c>
      <c r="D19" s="9">
        <v>13</v>
      </c>
      <c r="E19" s="25">
        <v>45730</v>
      </c>
      <c r="F19" s="9">
        <v>792923.66</v>
      </c>
      <c r="G19" s="9">
        <v>282.41000000000003</v>
      </c>
      <c r="H19" s="9">
        <v>282.41000000000003</v>
      </c>
    </row>
    <row r="20" spans="1:8" ht="15" thickBot="1" x14ac:dyDescent="0.35">
      <c r="A20" s="10">
        <v>0</v>
      </c>
      <c r="B20" s="11">
        <v>45733</v>
      </c>
      <c r="C20" s="17" t="s">
        <v>2654</v>
      </c>
      <c r="D20" s="9">
        <v>13</v>
      </c>
      <c r="E20" s="25">
        <v>45729</v>
      </c>
      <c r="F20" s="9">
        <v>792923.66</v>
      </c>
      <c r="G20" s="9">
        <v>282.41000000000003</v>
      </c>
      <c r="H20" s="9">
        <v>282.41000000000003</v>
      </c>
    </row>
    <row r="21" spans="1:8" ht="15" thickBot="1" x14ac:dyDescent="0.35">
      <c r="A21" s="10">
        <v>0</v>
      </c>
      <c r="B21" s="11">
        <v>45729</v>
      </c>
      <c r="C21" s="17" t="s">
        <v>2654</v>
      </c>
      <c r="D21" s="9">
        <v>13</v>
      </c>
      <c r="E21" s="25">
        <v>45728</v>
      </c>
      <c r="F21" s="9">
        <v>813244.77</v>
      </c>
      <c r="G21" s="9">
        <v>289.64999999999998</v>
      </c>
      <c r="H21" s="9">
        <v>289.64999999999998</v>
      </c>
    </row>
    <row r="22" spans="1:8" ht="15" thickBot="1" x14ac:dyDescent="0.35">
      <c r="A22" s="10">
        <v>0</v>
      </c>
      <c r="B22" s="11">
        <v>45728</v>
      </c>
      <c r="C22" s="17" t="s">
        <v>2654</v>
      </c>
      <c r="D22" s="9">
        <v>13</v>
      </c>
      <c r="E22" s="25">
        <v>45727</v>
      </c>
      <c r="F22" s="9">
        <v>818994.12</v>
      </c>
      <c r="G22" s="9">
        <v>291.7</v>
      </c>
      <c r="H22" s="9">
        <v>291.7</v>
      </c>
    </row>
    <row r="23" spans="1:8" ht="15" thickBot="1" x14ac:dyDescent="0.35">
      <c r="A23" s="10">
        <v>0</v>
      </c>
      <c r="B23" s="11">
        <v>45727</v>
      </c>
      <c r="C23" s="17" t="s">
        <v>2654</v>
      </c>
      <c r="D23" s="9">
        <v>13</v>
      </c>
      <c r="E23" s="25">
        <v>45726</v>
      </c>
      <c r="F23" s="9">
        <v>824565</v>
      </c>
      <c r="G23" s="9">
        <v>293.68</v>
      </c>
      <c r="H23" s="9">
        <v>293.68</v>
      </c>
    </row>
    <row r="24" spans="1:8" ht="15" thickBot="1" x14ac:dyDescent="0.35">
      <c r="A24" s="10">
        <v>0</v>
      </c>
      <c r="B24" s="11">
        <v>45726</v>
      </c>
      <c r="C24" s="17" t="s">
        <v>2654</v>
      </c>
      <c r="D24" s="9">
        <v>13</v>
      </c>
      <c r="E24" s="25">
        <v>45725</v>
      </c>
      <c r="F24" s="9">
        <v>800717.98</v>
      </c>
      <c r="G24" s="9">
        <v>285.19</v>
      </c>
      <c r="H24" s="9">
        <v>285.19</v>
      </c>
    </row>
    <row r="25" spans="1:8" ht="15" thickBot="1" x14ac:dyDescent="0.35">
      <c r="A25" s="10">
        <v>0</v>
      </c>
      <c r="B25" s="11">
        <v>45726</v>
      </c>
      <c r="C25" s="17" t="s">
        <v>2654</v>
      </c>
      <c r="D25" s="9">
        <v>13</v>
      </c>
      <c r="E25" s="25">
        <v>45724</v>
      </c>
      <c r="F25" s="9">
        <v>800717.98</v>
      </c>
      <c r="G25" s="9">
        <v>285.19</v>
      </c>
      <c r="H25" s="9">
        <v>285.19</v>
      </c>
    </row>
    <row r="26" spans="1:8" ht="15" thickBot="1" x14ac:dyDescent="0.35">
      <c r="A26" s="10">
        <v>0</v>
      </c>
      <c r="B26" s="11">
        <v>45726</v>
      </c>
      <c r="C26" s="17" t="s">
        <v>2654</v>
      </c>
      <c r="D26" s="9">
        <v>13</v>
      </c>
      <c r="E26" s="25">
        <v>45723</v>
      </c>
      <c r="F26" s="9">
        <v>800717.98</v>
      </c>
      <c r="G26" s="9">
        <v>285.19</v>
      </c>
      <c r="H26" s="9">
        <v>285.19</v>
      </c>
    </row>
    <row r="27" spans="1:8" ht="15" thickBot="1" x14ac:dyDescent="0.35">
      <c r="A27" s="10">
        <v>0</v>
      </c>
      <c r="B27" s="11">
        <v>45723</v>
      </c>
      <c r="C27" s="17" t="s">
        <v>2654</v>
      </c>
      <c r="D27" s="9">
        <v>13</v>
      </c>
      <c r="E27" s="25">
        <v>45722</v>
      </c>
      <c r="F27" s="9">
        <v>778701.55</v>
      </c>
      <c r="G27" s="9">
        <v>277.35000000000002</v>
      </c>
      <c r="H27" s="9">
        <v>277.35000000000002</v>
      </c>
    </row>
    <row r="28" spans="1:8" ht="15" thickBot="1" x14ac:dyDescent="0.35">
      <c r="A28" s="10">
        <v>0</v>
      </c>
      <c r="B28" s="11">
        <v>45722</v>
      </c>
      <c r="C28" s="17" t="s">
        <v>2654</v>
      </c>
      <c r="D28" s="9">
        <v>13</v>
      </c>
      <c r="E28" s="25">
        <v>45721</v>
      </c>
      <c r="F28" s="9">
        <v>770867.31</v>
      </c>
      <c r="G28" s="9">
        <v>274.56</v>
      </c>
      <c r="H28" s="9">
        <v>274.56</v>
      </c>
    </row>
    <row r="29" spans="1:8" ht="15" thickBot="1" x14ac:dyDescent="0.35">
      <c r="A29" s="10">
        <v>0</v>
      </c>
      <c r="B29" s="11">
        <v>45721</v>
      </c>
      <c r="C29" s="17" t="s">
        <v>2654</v>
      </c>
      <c r="D29" s="9">
        <v>13</v>
      </c>
      <c r="E29" s="25">
        <v>45720</v>
      </c>
      <c r="F29" s="9">
        <v>770867.31</v>
      </c>
      <c r="G29" s="9">
        <v>274.56</v>
      </c>
      <c r="H29" s="9">
        <v>274.56</v>
      </c>
    </row>
    <row r="30" spans="1:8" ht="15" thickBot="1" x14ac:dyDescent="0.35">
      <c r="A30" s="10">
        <v>0</v>
      </c>
      <c r="B30" s="11">
        <v>45720</v>
      </c>
      <c r="C30" s="17" t="s">
        <v>2654</v>
      </c>
      <c r="D30" s="9">
        <v>13</v>
      </c>
      <c r="E30" s="25">
        <v>45719</v>
      </c>
      <c r="F30" s="9">
        <v>772159.02</v>
      </c>
      <c r="G30" s="9">
        <v>275.02</v>
      </c>
      <c r="H30" s="9">
        <v>275.02</v>
      </c>
    </row>
    <row r="31" spans="1:8" ht="15" thickBot="1" x14ac:dyDescent="0.35">
      <c r="A31" s="10">
        <v>0</v>
      </c>
      <c r="B31" s="11">
        <v>45719</v>
      </c>
      <c r="C31" s="17" t="s">
        <v>2654</v>
      </c>
      <c r="D31" s="9">
        <v>13</v>
      </c>
      <c r="E31" s="25">
        <v>45718</v>
      </c>
      <c r="F31" s="9">
        <v>772159.02</v>
      </c>
      <c r="G31" s="9">
        <v>275.02</v>
      </c>
      <c r="H31" s="9">
        <v>275.02</v>
      </c>
    </row>
    <row r="32" spans="1:8" ht="15" thickBot="1" x14ac:dyDescent="0.35">
      <c r="A32" s="10">
        <v>0</v>
      </c>
      <c r="B32" s="11">
        <v>45719</v>
      </c>
      <c r="C32" s="17" t="s">
        <v>2654</v>
      </c>
      <c r="D32" s="9">
        <v>13</v>
      </c>
      <c r="E32" s="25">
        <v>45717</v>
      </c>
      <c r="F32" s="9">
        <v>772159.02</v>
      </c>
      <c r="G32" s="9">
        <v>275.02</v>
      </c>
      <c r="H32" s="9">
        <v>275.02</v>
      </c>
    </row>
    <row r="33" spans="1:8" ht="15" thickBot="1" x14ac:dyDescent="0.35">
      <c r="A33" s="10">
        <v>0</v>
      </c>
      <c r="B33" s="11">
        <v>45719</v>
      </c>
      <c r="C33" s="17" t="s">
        <v>2654</v>
      </c>
      <c r="D33" s="9">
        <v>13</v>
      </c>
      <c r="E33" s="25">
        <v>45716</v>
      </c>
      <c r="F33" s="9">
        <v>772159.02</v>
      </c>
      <c r="G33" s="9">
        <v>275.02</v>
      </c>
      <c r="H33" s="9">
        <v>275.02</v>
      </c>
    </row>
    <row r="34" spans="1:8" ht="15" thickBot="1" x14ac:dyDescent="0.35">
      <c r="A34" s="10">
        <v>0</v>
      </c>
      <c r="B34" s="11">
        <v>45716</v>
      </c>
      <c r="C34" s="17" t="s">
        <v>2654</v>
      </c>
      <c r="D34" s="9">
        <v>13</v>
      </c>
      <c r="E34" s="25">
        <v>45715</v>
      </c>
      <c r="F34" s="9">
        <v>790757.12</v>
      </c>
      <c r="G34" s="9">
        <v>281.64</v>
      </c>
      <c r="H34" s="9">
        <v>281.64</v>
      </c>
    </row>
    <row r="35" spans="1:8" ht="15" thickBot="1" x14ac:dyDescent="0.35">
      <c r="A35" s="10">
        <v>0</v>
      </c>
      <c r="B35" s="11">
        <v>45715</v>
      </c>
      <c r="C35" s="17" t="s">
        <v>2654</v>
      </c>
      <c r="D35" s="9">
        <v>13</v>
      </c>
      <c r="E35" s="25">
        <v>45714</v>
      </c>
      <c r="F35" s="9">
        <v>815344.98</v>
      </c>
      <c r="G35" s="9">
        <v>290.39999999999998</v>
      </c>
      <c r="H35" s="9">
        <v>290.39999999999998</v>
      </c>
    </row>
    <row r="36" spans="1:8" ht="15" thickBot="1" x14ac:dyDescent="0.35">
      <c r="A36" s="10">
        <v>0</v>
      </c>
      <c r="B36" s="11">
        <v>45715</v>
      </c>
      <c r="C36" s="17" t="s">
        <v>2654</v>
      </c>
      <c r="D36" s="9">
        <v>13</v>
      </c>
      <c r="E36" s="25">
        <v>45713</v>
      </c>
      <c r="F36" s="9">
        <v>815344.98</v>
      </c>
      <c r="G36" s="9">
        <v>290.39999999999998</v>
      </c>
      <c r="H36" s="9">
        <v>290.39999999999998</v>
      </c>
    </row>
    <row r="37" spans="1:8" ht="15" thickBot="1" x14ac:dyDescent="0.35">
      <c r="A37" s="10">
        <v>0</v>
      </c>
      <c r="B37" s="11">
        <v>45713</v>
      </c>
      <c r="C37" s="17" t="s">
        <v>2654</v>
      </c>
      <c r="D37" s="9">
        <v>13</v>
      </c>
      <c r="E37" s="25">
        <v>45712</v>
      </c>
      <c r="F37" s="9">
        <v>824961.13</v>
      </c>
      <c r="G37" s="9">
        <v>293.82</v>
      </c>
      <c r="H37" s="9">
        <v>293.82</v>
      </c>
    </row>
    <row r="38" spans="1:8" ht="15" thickBot="1" x14ac:dyDescent="0.35">
      <c r="A38" s="10">
        <v>0</v>
      </c>
      <c r="B38" s="11">
        <v>45712</v>
      </c>
      <c r="C38" s="17" t="s">
        <v>2654</v>
      </c>
      <c r="D38" s="9">
        <v>13</v>
      </c>
      <c r="E38" s="25">
        <v>45711</v>
      </c>
      <c r="F38" s="9">
        <v>828761.78</v>
      </c>
      <c r="G38" s="9">
        <v>295.18</v>
      </c>
      <c r="H38" s="9">
        <v>295.18</v>
      </c>
    </row>
    <row r="39" spans="1:8" ht="15" thickBot="1" x14ac:dyDescent="0.35">
      <c r="A39" s="10">
        <v>0</v>
      </c>
      <c r="B39" s="11">
        <v>45712</v>
      </c>
      <c r="C39" s="17" t="s">
        <v>2654</v>
      </c>
      <c r="D39" s="9">
        <v>13</v>
      </c>
      <c r="E39" s="25">
        <v>45710</v>
      </c>
      <c r="F39" s="9">
        <v>828761.78</v>
      </c>
      <c r="G39" s="9">
        <v>295.18</v>
      </c>
      <c r="H39" s="9">
        <v>295.18</v>
      </c>
    </row>
    <row r="40" spans="1:8" ht="15" thickBot="1" x14ac:dyDescent="0.35">
      <c r="A40" s="10">
        <v>0</v>
      </c>
      <c r="B40" s="11">
        <v>45712</v>
      </c>
      <c r="C40" s="17" t="s">
        <v>2654</v>
      </c>
      <c r="D40" s="9">
        <v>13</v>
      </c>
      <c r="E40" s="25">
        <v>45709</v>
      </c>
      <c r="F40" s="9">
        <v>828761.78</v>
      </c>
      <c r="G40" s="9">
        <v>295.18</v>
      </c>
      <c r="H40" s="9">
        <v>295.18</v>
      </c>
    </row>
    <row r="41" spans="1:8" ht="15" thickBot="1" x14ac:dyDescent="0.35">
      <c r="A41" s="10">
        <v>0</v>
      </c>
      <c r="B41" s="11">
        <v>45709</v>
      </c>
      <c r="C41" s="17" t="s">
        <v>2654</v>
      </c>
      <c r="D41" s="9">
        <v>13</v>
      </c>
      <c r="E41" s="25">
        <v>45708</v>
      </c>
      <c r="F41" s="9">
        <v>803263.89</v>
      </c>
      <c r="G41" s="9">
        <v>286.08999999999997</v>
      </c>
      <c r="H41" s="9">
        <v>286.08999999999997</v>
      </c>
    </row>
    <row r="42" spans="1:8" ht="15" thickBot="1" x14ac:dyDescent="0.35">
      <c r="A42" s="10">
        <v>0</v>
      </c>
      <c r="B42" s="11">
        <v>45708</v>
      </c>
      <c r="C42" s="17" t="s">
        <v>2654</v>
      </c>
      <c r="D42" s="9">
        <v>13</v>
      </c>
      <c r="E42" s="25">
        <v>45707</v>
      </c>
      <c r="F42" s="9">
        <v>796225.92</v>
      </c>
      <c r="G42" s="9">
        <v>283.58999999999997</v>
      </c>
      <c r="H42" s="9">
        <v>283.58999999999997</v>
      </c>
    </row>
    <row r="43" spans="1:8" ht="15" thickBot="1" x14ac:dyDescent="0.35">
      <c r="A43" s="10">
        <v>0</v>
      </c>
      <c r="B43" s="11">
        <v>45707</v>
      </c>
      <c r="C43" s="17" t="s">
        <v>2654</v>
      </c>
      <c r="D43" s="9">
        <v>13</v>
      </c>
      <c r="E43" s="25">
        <v>45706</v>
      </c>
      <c r="F43" s="9">
        <v>796225.92</v>
      </c>
      <c r="G43" s="9">
        <v>283.58999999999997</v>
      </c>
      <c r="H43" s="9">
        <v>283.58999999999997</v>
      </c>
    </row>
    <row r="44" spans="1:8" ht="15" thickBot="1" x14ac:dyDescent="0.35">
      <c r="A44" s="10">
        <v>0</v>
      </c>
      <c r="B44" s="11">
        <v>45706</v>
      </c>
      <c r="C44" s="17" t="s">
        <v>2654</v>
      </c>
      <c r="D44" s="9">
        <v>13</v>
      </c>
      <c r="E44" s="25">
        <v>45705</v>
      </c>
      <c r="F44" s="9">
        <v>826177.85</v>
      </c>
      <c r="G44" s="9">
        <v>294.26</v>
      </c>
      <c r="H44" s="9">
        <v>294.26</v>
      </c>
    </row>
    <row r="45" spans="1:8" ht="15" thickBot="1" x14ac:dyDescent="0.35">
      <c r="A45" s="10">
        <v>0</v>
      </c>
      <c r="B45" s="11">
        <v>45705</v>
      </c>
      <c r="C45" s="17" t="s">
        <v>2654</v>
      </c>
      <c r="D45" s="9">
        <v>13</v>
      </c>
      <c r="E45" s="25">
        <v>45704</v>
      </c>
      <c r="F45" s="9">
        <v>826177.85</v>
      </c>
      <c r="G45" s="9">
        <v>294.26</v>
      </c>
      <c r="H45" s="9">
        <v>294.26</v>
      </c>
    </row>
    <row r="46" spans="1:8" ht="15" thickBot="1" x14ac:dyDescent="0.35">
      <c r="A46" s="10">
        <v>0</v>
      </c>
      <c r="B46" s="11">
        <v>45705</v>
      </c>
      <c r="C46" s="17" t="s">
        <v>2654</v>
      </c>
      <c r="D46" s="9">
        <v>13</v>
      </c>
      <c r="E46" s="25">
        <v>45703</v>
      </c>
      <c r="F46" s="9">
        <v>826177.85</v>
      </c>
      <c r="G46" s="9">
        <v>294.26</v>
      </c>
      <c r="H46" s="9">
        <v>294.26</v>
      </c>
    </row>
    <row r="47" spans="1:8" ht="15" thickBot="1" x14ac:dyDescent="0.35">
      <c r="A47" s="10">
        <v>0</v>
      </c>
      <c r="B47" s="11">
        <v>45705</v>
      </c>
      <c r="C47" s="17" t="s">
        <v>2654</v>
      </c>
      <c r="D47" s="9">
        <v>13</v>
      </c>
      <c r="E47" s="25">
        <v>45702</v>
      </c>
      <c r="F47" s="9">
        <v>826177.85</v>
      </c>
      <c r="G47" s="9">
        <v>294.26</v>
      </c>
      <c r="H47" s="9">
        <v>294.26</v>
      </c>
    </row>
    <row r="48" spans="1:8" ht="15" thickBot="1" x14ac:dyDescent="0.35">
      <c r="A48" s="10">
        <v>0</v>
      </c>
      <c r="B48" s="11">
        <v>45702</v>
      </c>
      <c r="C48" s="17" t="s">
        <v>2654</v>
      </c>
      <c r="D48" s="9">
        <v>13</v>
      </c>
      <c r="E48" s="25">
        <v>45701</v>
      </c>
      <c r="F48" s="9">
        <v>796343.68</v>
      </c>
      <c r="G48" s="9">
        <v>283.63</v>
      </c>
      <c r="H48" s="9">
        <v>283.63</v>
      </c>
    </row>
    <row r="49" spans="1:8" ht="15" thickBot="1" x14ac:dyDescent="0.35">
      <c r="A49" s="10">
        <v>0</v>
      </c>
      <c r="B49" s="11">
        <v>45701</v>
      </c>
      <c r="C49" s="17" t="s">
        <v>2654</v>
      </c>
      <c r="D49" s="9">
        <v>13</v>
      </c>
      <c r="E49" s="25">
        <v>45700</v>
      </c>
      <c r="F49" s="9">
        <v>813997.45</v>
      </c>
      <c r="G49" s="9">
        <v>289.92</v>
      </c>
      <c r="H49" s="9">
        <v>289.92</v>
      </c>
    </row>
    <row r="50" spans="1:8" ht="15" thickBot="1" x14ac:dyDescent="0.35">
      <c r="A50" s="10">
        <v>0</v>
      </c>
      <c r="B50" s="11">
        <v>45700</v>
      </c>
      <c r="C50" s="17" t="s">
        <v>2654</v>
      </c>
      <c r="D50" s="9">
        <v>13</v>
      </c>
      <c r="E50" s="25">
        <v>45699</v>
      </c>
      <c r="F50" s="9">
        <v>809879.55</v>
      </c>
      <c r="G50" s="9">
        <v>288.45</v>
      </c>
      <c r="H50" s="9">
        <v>288.45</v>
      </c>
    </row>
    <row r="51" spans="1:8" ht="15" thickBot="1" x14ac:dyDescent="0.35">
      <c r="A51" s="10">
        <v>0</v>
      </c>
      <c r="B51" s="11">
        <v>45699</v>
      </c>
      <c r="C51" s="17" t="s">
        <v>2654</v>
      </c>
      <c r="D51" s="9">
        <v>13</v>
      </c>
      <c r="E51" s="25">
        <v>45698</v>
      </c>
      <c r="F51" s="9">
        <v>825756.99</v>
      </c>
      <c r="G51" s="9">
        <v>294.11</v>
      </c>
      <c r="H51" s="9">
        <v>294.11</v>
      </c>
    </row>
    <row r="52" spans="1:8" ht="15" thickBot="1" x14ac:dyDescent="0.35">
      <c r="A52" s="10">
        <v>0</v>
      </c>
      <c r="B52" s="11">
        <v>45698</v>
      </c>
      <c r="C52" s="17" t="s">
        <v>2654</v>
      </c>
      <c r="D52" s="9">
        <v>13</v>
      </c>
      <c r="E52" s="25">
        <v>45697</v>
      </c>
      <c r="F52" s="9">
        <v>838042.19</v>
      </c>
      <c r="G52" s="9">
        <v>298.48</v>
      </c>
      <c r="H52" s="9">
        <v>298.48</v>
      </c>
    </row>
    <row r="53" spans="1:8" ht="15" thickBot="1" x14ac:dyDescent="0.35">
      <c r="A53" s="10">
        <v>0</v>
      </c>
      <c r="B53" s="11">
        <v>45698</v>
      </c>
      <c r="C53" s="17" t="s">
        <v>2654</v>
      </c>
      <c r="D53" s="9">
        <v>13</v>
      </c>
      <c r="E53" s="25">
        <v>45696</v>
      </c>
      <c r="F53" s="9">
        <v>838042.19</v>
      </c>
      <c r="G53" s="9">
        <v>298.48</v>
      </c>
      <c r="H53" s="9">
        <v>298.48</v>
      </c>
    </row>
    <row r="54" spans="1:8" ht="15" thickBot="1" x14ac:dyDescent="0.35">
      <c r="A54" s="10">
        <v>0</v>
      </c>
      <c r="B54" s="11">
        <v>45698</v>
      </c>
      <c r="C54" s="17" t="s">
        <v>2654</v>
      </c>
      <c r="D54" s="9">
        <v>13</v>
      </c>
      <c r="E54" s="25">
        <v>45695</v>
      </c>
      <c r="F54" s="9">
        <v>838042.19</v>
      </c>
      <c r="G54" s="9">
        <v>298.48</v>
      </c>
      <c r="H54" s="9">
        <v>298.48</v>
      </c>
    </row>
    <row r="55" spans="1:8" ht="15" thickBot="1" x14ac:dyDescent="0.35">
      <c r="A55" s="10">
        <v>0</v>
      </c>
      <c r="B55" s="11">
        <v>45695</v>
      </c>
      <c r="C55" s="17" t="s">
        <v>2654</v>
      </c>
      <c r="D55" s="9">
        <v>13</v>
      </c>
      <c r="E55" s="25">
        <v>45694</v>
      </c>
      <c r="F55" s="9">
        <v>840486.5</v>
      </c>
      <c r="G55" s="9">
        <v>299.35000000000002</v>
      </c>
      <c r="H55" s="9">
        <v>299.35000000000002</v>
      </c>
    </row>
    <row r="56" spans="1:8" ht="15" thickBot="1" x14ac:dyDescent="0.35">
      <c r="A56" s="10">
        <v>0</v>
      </c>
      <c r="B56" s="11">
        <v>45694</v>
      </c>
      <c r="C56" s="17" t="s">
        <v>2654</v>
      </c>
      <c r="D56" s="9">
        <v>13</v>
      </c>
      <c r="E56" s="25">
        <v>45693</v>
      </c>
      <c r="F56" s="9">
        <v>844652.2</v>
      </c>
      <c r="G56" s="9">
        <v>300.83999999999997</v>
      </c>
      <c r="H56" s="9">
        <v>300.83999999999997</v>
      </c>
    </row>
    <row r="57" spans="1:8" ht="15" thickBot="1" x14ac:dyDescent="0.35">
      <c r="A57" s="10">
        <v>0</v>
      </c>
      <c r="B57" s="11">
        <v>45693</v>
      </c>
      <c r="C57" s="17" t="s">
        <v>2654</v>
      </c>
      <c r="D57" s="9">
        <v>13</v>
      </c>
      <c r="E57" s="25">
        <v>45692</v>
      </c>
      <c r="F57" s="9">
        <v>843696.62</v>
      </c>
      <c r="G57" s="9">
        <v>300.49</v>
      </c>
      <c r="H57" s="9">
        <v>300.49</v>
      </c>
    </row>
    <row r="58" spans="1:8" ht="15" thickBot="1" x14ac:dyDescent="0.35">
      <c r="A58" s="10">
        <v>0</v>
      </c>
      <c r="B58" s="11">
        <v>45692</v>
      </c>
      <c r="C58" s="17" t="s">
        <v>2654</v>
      </c>
      <c r="D58" s="9">
        <v>13</v>
      </c>
      <c r="E58" s="25">
        <v>45691</v>
      </c>
      <c r="F58" s="9">
        <v>829175.93</v>
      </c>
      <c r="G58" s="9">
        <v>295.32</v>
      </c>
      <c r="H58" s="9">
        <v>295.32</v>
      </c>
    </row>
    <row r="59" spans="1:8" ht="15" thickBot="1" x14ac:dyDescent="0.35">
      <c r="A59" s="10">
        <v>0</v>
      </c>
      <c r="B59" s="11">
        <v>45691</v>
      </c>
      <c r="C59" s="17" t="s">
        <v>2654</v>
      </c>
      <c r="D59" s="9">
        <v>13</v>
      </c>
      <c r="E59" s="25">
        <v>45690</v>
      </c>
      <c r="F59" s="9">
        <v>839833.83</v>
      </c>
      <c r="G59" s="9">
        <v>299.12</v>
      </c>
      <c r="H59" s="9">
        <v>299.12</v>
      </c>
    </row>
    <row r="60" spans="1:8" ht="15" thickBot="1" x14ac:dyDescent="0.35">
      <c r="A60" s="10">
        <v>0</v>
      </c>
      <c r="B60" s="11">
        <v>45691</v>
      </c>
      <c r="C60" s="17" t="s">
        <v>2654</v>
      </c>
      <c r="D60" s="9">
        <v>13</v>
      </c>
      <c r="E60" s="25">
        <v>45689</v>
      </c>
      <c r="F60" s="9">
        <v>839833.83</v>
      </c>
      <c r="G60" s="9">
        <v>299.12</v>
      </c>
      <c r="H60" s="9">
        <v>299.12</v>
      </c>
    </row>
    <row r="61" spans="1:8" ht="15" thickBot="1" x14ac:dyDescent="0.35">
      <c r="A61" s="10">
        <v>0</v>
      </c>
      <c r="B61" s="11">
        <v>45689</v>
      </c>
      <c r="C61" s="17" t="s">
        <v>2654</v>
      </c>
      <c r="D61" s="9">
        <v>13</v>
      </c>
      <c r="E61" s="25">
        <v>45688</v>
      </c>
      <c r="F61" s="9">
        <v>839534.82</v>
      </c>
      <c r="G61" s="9">
        <v>299.01</v>
      </c>
      <c r="H61" s="9">
        <v>299.01</v>
      </c>
    </row>
    <row r="62" spans="1:8" ht="15" thickBot="1" x14ac:dyDescent="0.35">
      <c r="A62" s="10">
        <v>0</v>
      </c>
      <c r="B62" s="11">
        <v>45688</v>
      </c>
      <c r="C62" s="17" t="s">
        <v>2654</v>
      </c>
      <c r="D62" s="9">
        <v>13</v>
      </c>
      <c r="E62" s="25">
        <v>45687</v>
      </c>
      <c r="F62" s="9">
        <v>839534.82</v>
      </c>
      <c r="G62" s="9">
        <v>299.01</v>
      </c>
      <c r="H62" s="9">
        <v>299.01</v>
      </c>
    </row>
    <row r="63" spans="1:8" ht="15" thickBot="1" x14ac:dyDescent="0.35">
      <c r="A63" s="10">
        <v>0</v>
      </c>
      <c r="B63" s="11">
        <v>45687</v>
      </c>
      <c r="C63" s="17" t="s">
        <v>2654</v>
      </c>
      <c r="D63" s="9">
        <v>13</v>
      </c>
      <c r="E63" s="25">
        <v>45686</v>
      </c>
      <c r="F63" s="9">
        <v>822037.35</v>
      </c>
      <c r="G63" s="9">
        <v>292.77999999999997</v>
      </c>
      <c r="H63" s="9">
        <v>292.77999999999997</v>
      </c>
    </row>
    <row r="64" spans="1:8" ht="15" thickBot="1" x14ac:dyDescent="0.35">
      <c r="A64" s="10">
        <v>0</v>
      </c>
      <c r="B64" s="11">
        <v>45686</v>
      </c>
      <c r="C64" s="17" t="s">
        <v>2654</v>
      </c>
      <c r="D64" s="9">
        <v>13</v>
      </c>
      <c r="E64" s="25">
        <v>45685</v>
      </c>
      <c r="F64" s="9">
        <v>822037.35</v>
      </c>
      <c r="G64" s="9">
        <v>292.77999999999997</v>
      </c>
      <c r="H64" s="9">
        <v>292.77999999999997</v>
      </c>
    </row>
    <row r="65" spans="1:8" ht="15" thickBot="1" x14ac:dyDescent="0.35">
      <c r="A65" s="10">
        <v>0</v>
      </c>
      <c r="B65" s="11">
        <v>45685</v>
      </c>
      <c r="C65" s="17" t="s">
        <v>2654</v>
      </c>
      <c r="D65" s="9">
        <v>13</v>
      </c>
      <c r="E65" s="25">
        <v>45684</v>
      </c>
      <c r="F65" s="9">
        <v>825053.71</v>
      </c>
      <c r="G65" s="9">
        <v>293.85000000000002</v>
      </c>
      <c r="H65" s="9">
        <v>293.85000000000002</v>
      </c>
    </row>
    <row r="66" spans="1:8" ht="15" thickBot="1" x14ac:dyDescent="0.35">
      <c r="A66" s="10">
        <v>0</v>
      </c>
      <c r="B66" s="11">
        <v>45684</v>
      </c>
      <c r="C66" s="17" t="s">
        <v>2654</v>
      </c>
      <c r="D66" s="9">
        <v>13</v>
      </c>
      <c r="E66" s="25">
        <v>45683</v>
      </c>
      <c r="F66" s="9">
        <v>887630.99</v>
      </c>
      <c r="G66" s="9">
        <v>316.14</v>
      </c>
      <c r="H66" s="9">
        <v>316.14</v>
      </c>
    </row>
    <row r="67" spans="1:8" ht="15" thickBot="1" x14ac:dyDescent="0.35">
      <c r="A67" s="10">
        <v>0</v>
      </c>
      <c r="B67" s="11">
        <v>45684</v>
      </c>
      <c r="C67" s="17" t="s">
        <v>2654</v>
      </c>
      <c r="D67" s="9">
        <v>13</v>
      </c>
      <c r="E67" s="25">
        <v>45682</v>
      </c>
      <c r="F67" s="9">
        <v>887630.99</v>
      </c>
      <c r="G67" s="9">
        <v>316.14</v>
      </c>
      <c r="H67" s="9">
        <v>316.14</v>
      </c>
    </row>
    <row r="68" spans="1:8" ht="15" thickBot="1" x14ac:dyDescent="0.35">
      <c r="A68" s="10">
        <v>0</v>
      </c>
      <c r="B68" s="11">
        <v>45684</v>
      </c>
      <c r="C68" s="17" t="s">
        <v>2654</v>
      </c>
      <c r="D68" s="9">
        <v>13</v>
      </c>
      <c r="E68" s="25">
        <v>45681</v>
      </c>
      <c r="F68" s="9">
        <v>887630.99</v>
      </c>
      <c r="G68" s="9">
        <v>316.14</v>
      </c>
      <c r="H68" s="9">
        <v>316.14</v>
      </c>
    </row>
    <row r="69" spans="1:8" ht="15" thickBot="1" x14ac:dyDescent="0.35">
      <c r="A69" s="10">
        <v>0</v>
      </c>
      <c r="B69" s="11">
        <v>45681</v>
      </c>
      <c r="C69" s="17" t="s">
        <v>2654</v>
      </c>
      <c r="D69" s="9">
        <v>13</v>
      </c>
      <c r="E69" s="25">
        <v>45680</v>
      </c>
      <c r="F69" s="9">
        <v>878084.64</v>
      </c>
      <c r="G69" s="9">
        <v>312.74</v>
      </c>
      <c r="H69" s="9">
        <v>312.74</v>
      </c>
    </row>
    <row r="70" spans="1:8" ht="15" thickBot="1" x14ac:dyDescent="0.35">
      <c r="A70" s="10">
        <v>0</v>
      </c>
      <c r="B70" s="11">
        <v>45680</v>
      </c>
      <c r="C70" s="17" t="s">
        <v>2654</v>
      </c>
      <c r="D70" s="9">
        <v>13</v>
      </c>
      <c r="E70" s="25">
        <v>45679</v>
      </c>
      <c r="F70" s="9">
        <v>878084.64</v>
      </c>
      <c r="G70" s="9">
        <v>312.74</v>
      </c>
      <c r="H70" s="9">
        <v>312.74</v>
      </c>
    </row>
    <row r="71" spans="1:8" ht="15" thickBot="1" x14ac:dyDescent="0.35">
      <c r="A71" s="10">
        <v>0</v>
      </c>
      <c r="B71" s="11">
        <v>45679</v>
      </c>
      <c r="C71" s="17" t="s">
        <v>2654</v>
      </c>
      <c r="D71" s="9">
        <v>13</v>
      </c>
      <c r="E71" s="25">
        <v>45678</v>
      </c>
      <c r="F71" s="9">
        <v>885085.52</v>
      </c>
      <c r="G71" s="9">
        <v>315.24</v>
      </c>
      <c r="H71" s="9">
        <v>315.24</v>
      </c>
    </row>
    <row r="72" spans="1:8" ht="15" thickBot="1" x14ac:dyDescent="0.35">
      <c r="A72" s="10">
        <v>0</v>
      </c>
      <c r="B72" s="11">
        <v>45678</v>
      </c>
      <c r="C72" s="17" t="s">
        <v>2654</v>
      </c>
      <c r="D72" s="9">
        <v>13</v>
      </c>
      <c r="E72" s="25">
        <v>45677</v>
      </c>
      <c r="F72" s="9">
        <v>891953.91</v>
      </c>
      <c r="G72" s="9">
        <v>317.68</v>
      </c>
      <c r="H72" s="9">
        <v>317.68</v>
      </c>
    </row>
    <row r="73" spans="1:8" ht="15" thickBot="1" x14ac:dyDescent="0.35">
      <c r="A73" s="10">
        <v>0</v>
      </c>
      <c r="B73" s="11">
        <v>45677</v>
      </c>
      <c r="C73" s="17" t="s">
        <v>2654</v>
      </c>
      <c r="D73" s="9">
        <v>13</v>
      </c>
      <c r="E73" s="25">
        <v>45676</v>
      </c>
      <c r="F73" s="9">
        <v>891953.91</v>
      </c>
      <c r="G73" s="9">
        <v>317.68</v>
      </c>
      <c r="H73" s="9">
        <v>317.68</v>
      </c>
    </row>
    <row r="74" spans="1:8" ht="15" thickBot="1" x14ac:dyDescent="0.35">
      <c r="A74" s="10">
        <v>0</v>
      </c>
      <c r="B74" s="11">
        <v>45677</v>
      </c>
      <c r="C74" s="17" t="s">
        <v>2654</v>
      </c>
      <c r="D74" s="9">
        <v>13</v>
      </c>
      <c r="E74" s="25">
        <v>45675</v>
      </c>
      <c r="F74" s="9">
        <v>891953.91</v>
      </c>
      <c r="G74" s="9">
        <v>317.68</v>
      </c>
      <c r="H74" s="9">
        <v>317.68</v>
      </c>
    </row>
    <row r="75" spans="1:8" ht="15" thickBot="1" x14ac:dyDescent="0.35">
      <c r="A75" s="10">
        <v>0</v>
      </c>
      <c r="B75" s="11">
        <v>45677</v>
      </c>
      <c r="C75" s="17" t="s">
        <v>2654</v>
      </c>
      <c r="D75" s="9">
        <v>13</v>
      </c>
      <c r="E75" s="25">
        <v>45674</v>
      </c>
      <c r="F75" s="9">
        <v>891953.91</v>
      </c>
      <c r="G75" s="9">
        <v>317.68</v>
      </c>
      <c r="H75" s="9">
        <v>317.68</v>
      </c>
    </row>
    <row r="76" spans="1:8" ht="15" thickBot="1" x14ac:dyDescent="0.35">
      <c r="A76" s="10">
        <v>0</v>
      </c>
      <c r="B76" s="11">
        <v>45674</v>
      </c>
      <c r="C76" s="17" t="s">
        <v>2654</v>
      </c>
      <c r="D76" s="9">
        <v>13</v>
      </c>
      <c r="E76" s="25">
        <v>45673</v>
      </c>
      <c r="F76" s="9">
        <v>884272.26</v>
      </c>
      <c r="G76" s="9">
        <v>314.95</v>
      </c>
      <c r="H76" s="9">
        <v>314.95</v>
      </c>
    </row>
    <row r="77" spans="1:8" ht="15" thickBot="1" x14ac:dyDescent="0.35">
      <c r="A77" s="10">
        <v>0</v>
      </c>
      <c r="B77" s="11">
        <v>45673</v>
      </c>
      <c r="C77" s="17" t="s">
        <v>2654</v>
      </c>
      <c r="D77" s="9">
        <v>13</v>
      </c>
      <c r="E77" s="25">
        <v>45672</v>
      </c>
      <c r="F77" s="9">
        <v>877990.53</v>
      </c>
      <c r="G77" s="9">
        <v>312.70999999999998</v>
      </c>
      <c r="H77" s="9">
        <v>312.70999999999998</v>
      </c>
    </row>
    <row r="78" spans="1:8" ht="15" thickBot="1" x14ac:dyDescent="0.35">
      <c r="A78" s="10">
        <v>0</v>
      </c>
      <c r="B78" s="11">
        <v>45672</v>
      </c>
      <c r="C78" s="17" t="s">
        <v>2654</v>
      </c>
      <c r="D78" s="9">
        <v>13</v>
      </c>
      <c r="E78" s="25">
        <v>45671</v>
      </c>
      <c r="F78" s="9">
        <v>858445.83</v>
      </c>
      <c r="G78" s="9">
        <v>305.75</v>
      </c>
      <c r="H78" s="9">
        <v>305.75</v>
      </c>
    </row>
    <row r="79" spans="1:8" ht="15" thickBot="1" x14ac:dyDescent="0.35">
      <c r="A79" s="10">
        <v>0</v>
      </c>
      <c r="B79" s="11">
        <v>45671</v>
      </c>
      <c r="C79" s="17" t="s">
        <v>2654</v>
      </c>
      <c r="D79" s="9">
        <v>13</v>
      </c>
      <c r="E79" s="25">
        <v>45670</v>
      </c>
      <c r="F79" s="9">
        <v>858445.83</v>
      </c>
      <c r="G79" s="9">
        <v>305.75</v>
      </c>
      <c r="H79" s="9">
        <v>305.75</v>
      </c>
    </row>
    <row r="80" spans="1:8" ht="15" thickBot="1" x14ac:dyDescent="0.35">
      <c r="A80" s="10">
        <v>0</v>
      </c>
      <c r="B80" s="11">
        <v>45670</v>
      </c>
      <c r="C80" s="17" t="s">
        <v>2654</v>
      </c>
      <c r="D80" s="9">
        <v>13</v>
      </c>
      <c r="E80" s="25">
        <v>45669</v>
      </c>
      <c r="F80" s="9">
        <v>887305.09</v>
      </c>
      <c r="G80" s="9">
        <v>316.02999999999997</v>
      </c>
      <c r="H80" s="9">
        <v>316.02999999999997</v>
      </c>
    </row>
    <row r="81" spans="1:8" ht="15" thickBot="1" x14ac:dyDescent="0.35">
      <c r="A81" s="10">
        <v>0</v>
      </c>
      <c r="B81" s="11">
        <v>45670</v>
      </c>
      <c r="C81" s="17" t="s">
        <v>2654</v>
      </c>
      <c r="D81" s="9">
        <v>13</v>
      </c>
      <c r="E81" s="25">
        <v>45668</v>
      </c>
      <c r="F81" s="9">
        <v>887305.09</v>
      </c>
      <c r="G81" s="9">
        <v>316.02999999999997</v>
      </c>
      <c r="H81" s="9">
        <v>316.02999999999997</v>
      </c>
    </row>
    <row r="82" spans="1:8" ht="15" thickBot="1" x14ac:dyDescent="0.35">
      <c r="A82" s="10">
        <v>0</v>
      </c>
      <c r="B82" s="11">
        <v>45670</v>
      </c>
      <c r="C82" s="17" t="s">
        <v>2654</v>
      </c>
      <c r="D82" s="9">
        <v>13</v>
      </c>
      <c r="E82" s="25">
        <v>45667</v>
      </c>
      <c r="F82" s="9">
        <v>887305.09</v>
      </c>
      <c r="G82" s="9">
        <v>316.02999999999997</v>
      </c>
      <c r="H82" s="9">
        <v>316.02999999999997</v>
      </c>
    </row>
    <row r="83" spans="1:8" ht="15" thickBot="1" x14ac:dyDescent="0.35">
      <c r="A83" s="10">
        <v>0</v>
      </c>
      <c r="B83" s="11">
        <v>45667</v>
      </c>
      <c r="C83" s="17" t="s">
        <v>2654</v>
      </c>
      <c r="D83" s="9">
        <v>13</v>
      </c>
      <c r="E83" s="25">
        <v>45666</v>
      </c>
      <c r="F83" s="9">
        <v>912380.35</v>
      </c>
      <c r="G83" s="9">
        <v>324.95999999999998</v>
      </c>
      <c r="H83" s="9">
        <v>324.95999999999998</v>
      </c>
    </row>
    <row r="84" spans="1:8" ht="15" thickBot="1" x14ac:dyDescent="0.35">
      <c r="A84" s="10">
        <v>0</v>
      </c>
      <c r="B84" s="11">
        <v>45666</v>
      </c>
      <c r="C84" s="17" t="s">
        <v>2654</v>
      </c>
      <c r="D84" s="9">
        <v>13</v>
      </c>
      <c r="E84" s="25">
        <v>45665</v>
      </c>
      <c r="F84" s="9">
        <v>925413.91</v>
      </c>
      <c r="G84" s="9">
        <v>329.6</v>
      </c>
      <c r="H84" s="9">
        <v>329.6</v>
      </c>
    </row>
    <row r="85" spans="1:8" ht="15" thickBot="1" x14ac:dyDescent="0.35">
      <c r="A85" s="10">
        <v>0</v>
      </c>
      <c r="B85" s="11">
        <v>45665</v>
      </c>
      <c r="C85" s="17" t="s">
        <v>2654</v>
      </c>
      <c r="D85" s="9">
        <v>13</v>
      </c>
      <c r="E85" s="25">
        <v>45664</v>
      </c>
      <c r="F85" s="9">
        <v>930177.66</v>
      </c>
      <c r="G85" s="9">
        <v>331.3</v>
      </c>
      <c r="H85" s="9">
        <v>331.3</v>
      </c>
    </row>
    <row r="86" spans="1:8" ht="15" thickBot="1" x14ac:dyDescent="0.35">
      <c r="A86" s="10">
        <v>0</v>
      </c>
      <c r="B86" s="11">
        <v>45664</v>
      </c>
      <c r="C86" s="17" t="s">
        <v>2654</v>
      </c>
      <c r="D86" s="9">
        <v>13</v>
      </c>
      <c r="E86" s="25">
        <v>45663</v>
      </c>
      <c r="F86" s="9">
        <v>890864.33</v>
      </c>
      <c r="G86" s="9">
        <v>317.29000000000002</v>
      </c>
      <c r="H86" s="9">
        <v>317.29000000000002</v>
      </c>
    </row>
    <row r="87" spans="1:8" ht="15" thickBot="1" x14ac:dyDescent="0.35">
      <c r="A87" s="10">
        <v>0</v>
      </c>
      <c r="B87" s="11">
        <v>45663</v>
      </c>
      <c r="C87" s="17" t="s">
        <v>2654</v>
      </c>
      <c r="D87" s="9">
        <v>13</v>
      </c>
      <c r="E87" s="25">
        <v>45662</v>
      </c>
      <c r="F87" s="9">
        <v>925183.67</v>
      </c>
      <c r="G87" s="9">
        <v>329.52</v>
      </c>
      <c r="H87" s="9">
        <v>329.52</v>
      </c>
    </row>
    <row r="88" spans="1:8" ht="15" thickBot="1" x14ac:dyDescent="0.35">
      <c r="A88" s="10">
        <v>0</v>
      </c>
      <c r="B88" s="11">
        <v>45663</v>
      </c>
      <c r="C88" s="17" t="s">
        <v>2654</v>
      </c>
      <c r="D88" s="9">
        <v>13</v>
      </c>
      <c r="E88" s="25">
        <v>45661</v>
      </c>
      <c r="F88" s="9">
        <v>925183.67</v>
      </c>
      <c r="G88" s="9">
        <v>329.52</v>
      </c>
      <c r="H88" s="9">
        <v>329.52</v>
      </c>
    </row>
    <row r="89" spans="1:8" ht="15" thickBot="1" x14ac:dyDescent="0.35">
      <c r="A89" s="10">
        <v>0</v>
      </c>
      <c r="B89" s="11">
        <v>45663</v>
      </c>
      <c r="C89" s="17" t="s">
        <v>2654</v>
      </c>
      <c r="D89" s="9">
        <v>13</v>
      </c>
      <c r="E89" s="25">
        <v>45660</v>
      </c>
      <c r="F89" s="9">
        <v>925183.67</v>
      </c>
      <c r="G89" s="9">
        <v>329.52</v>
      </c>
      <c r="H89" s="9">
        <v>329.52</v>
      </c>
    </row>
    <row r="90" spans="1:8" ht="15" thickBot="1" x14ac:dyDescent="0.35">
      <c r="A90" s="10">
        <v>0</v>
      </c>
      <c r="B90" s="11">
        <v>45660</v>
      </c>
      <c r="C90" s="17" t="s">
        <v>2654</v>
      </c>
      <c r="D90" s="9">
        <v>13</v>
      </c>
      <c r="E90" s="25">
        <v>45659</v>
      </c>
      <c r="F90" s="9">
        <v>915290.23</v>
      </c>
      <c r="G90" s="9">
        <v>325.99</v>
      </c>
      <c r="H90" s="9">
        <v>325.99</v>
      </c>
    </row>
    <row r="91" spans="1:8" ht="15" thickBot="1" x14ac:dyDescent="0.35">
      <c r="A91" s="10">
        <v>0</v>
      </c>
      <c r="B91" s="11">
        <v>45659</v>
      </c>
      <c r="C91" s="17" t="s">
        <v>2654</v>
      </c>
      <c r="D91" s="9">
        <v>13</v>
      </c>
      <c r="E91" s="25">
        <v>45658</v>
      </c>
      <c r="F91" s="9">
        <v>973423.8</v>
      </c>
      <c r="G91" s="9">
        <v>346.7</v>
      </c>
      <c r="H91" s="9">
        <v>346.7</v>
      </c>
    </row>
    <row r="92" spans="1:8" ht="15" thickBot="1" x14ac:dyDescent="0.35">
      <c r="A92" s="10">
        <v>0</v>
      </c>
      <c r="B92" s="11">
        <v>45658</v>
      </c>
      <c r="C92" s="17" t="s">
        <v>2654</v>
      </c>
      <c r="D92" s="9">
        <v>13</v>
      </c>
      <c r="E92" s="25">
        <v>45657</v>
      </c>
      <c r="F92" s="9">
        <v>973423.8</v>
      </c>
      <c r="G92" s="9">
        <v>346.7</v>
      </c>
      <c r="H92" s="9">
        <v>346.7</v>
      </c>
    </row>
    <row r="93" spans="1:8" ht="15" thickBot="1" x14ac:dyDescent="0.35">
      <c r="A93" s="10">
        <v>0</v>
      </c>
      <c r="B93" s="11">
        <v>45657</v>
      </c>
      <c r="C93" s="17" t="s">
        <v>2654</v>
      </c>
      <c r="D93" s="9">
        <v>13</v>
      </c>
      <c r="E93" s="25">
        <v>45656</v>
      </c>
      <c r="F93" s="9">
        <v>929997.14</v>
      </c>
      <c r="G93" s="9">
        <v>331.23</v>
      </c>
      <c r="H93" s="9">
        <v>331.23</v>
      </c>
    </row>
    <row r="94" spans="1:8" ht="15" thickBot="1" x14ac:dyDescent="0.35">
      <c r="A94" s="10">
        <v>0</v>
      </c>
      <c r="B94" s="11">
        <v>45656</v>
      </c>
      <c r="C94" s="17" t="s">
        <v>2654</v>
      </c>
      <c r="D94" s="9">
        <v>13</v>
      </c>
      <c r="E94" s="25">
        <v>45655</v>
      </c>
      <c r="F94" s="9">
        <v>929997.14</v>
      </c>
      <c r="G94" s="9">
        <v>331.23</v>
      </c>
      <c r="H94" s="9">
        <v>331.23</v>
      </c>
    </row>
    <row r="95" spans="1:8" ht="15" thickBot="1" x14ac:dyDescent="0.35">
      <c r="A95" s="10">
        <v>0</v>
      </c>
      <c r="B95" s="11">
        <v>45656</v>
      </c>
      <c r="C95" s="17" t="s">
        <v>2654</v>
      </c>
      <c r="D95" s="9">
        <v>13</v>
      </c>
      <c r="E95" s="25">
        <v>45654</v>
      </c>
      <c r="F95" s="9">
        <v>929997.14</v>
      </c>
      <c r="G95" s="9">
        <v>331.23</v>
      </c>
      <c r="H95" s="9">
        <v>331.23</v>
      </c>
    </row>
    <row r="96" spans="1:8" ht="15" thickBot="1" x14ac:dyDescent="0.35">
      <c r="A96" s="10">
        <v>0</v>
      </c>
      <c r="B96" s="11">
        <v>45656</v>
      </c>
      <c r="C96" s="17" t="s">
        <v>2654</v>
      </c>
      <c r="D96" s="9">
        <v>13</v>
      </c>
      <c r="E96" s="25">
        <v>45653</v>
      </c>
      <c r="F96" s="9">
        <v>929997.14</v>
      </c>
      <c r="G96" s="9">
        <v>331.23</v>
      </c>
      <c r="H96" s="9">
        <v>331.23</v>
      </c>
    </row>
    <row r="97" spans="1:8" ht="15" thickBot="1" x14ac:dyDescent="0.35">
      <c r="A97" s="10">
        <v>0</v>
      </c>
      <c r="B97" s="11">
        <v>45653</v>
      </c>
      <c r="C97" s="17" t="s">
        <v>2654</v>
      </c>
      <c r="D97" s="9">
        <v>13</v>
      </c>
      <c r="E97" s="25">
        <v>45652</v>
      </c>
      <c r="F97" s="9">
        <v>934087.01</v>
      </c>
      <c r="G97" s="9">
        <v>332.69</v>
      </c>
      <c r="H97" s="9">
        <v>332.69</v>
      </c>
    </row>
    <row r="98" spans="1:8" ht="15" thickBot="1" x14ac:dyDescent="0.35">
      <c r="A98" s="10">
        <v>0</v>
      </c>
      <c r="B98" s="11">
        <v>45652</v>
      </c>
      <c r="C98" s="17" t="s">
        <v>2654</v>
      </c>
      <c r="D98" s="9">
        <v>13</v>
      </c>
      <c r="E98" s="25">
        <v>45651</v>
      </c>
      <c r="F98" s="9">
        <v>935724.21</v>
      </c>
      <c r="G98" s="9">
        <v>333.27</v>
      </c>
      <c r="H98" s="9">
        <v>333.27</v>
      </c>
    </row>
    <row r="99" spans="1:8" ht="15" thickBot="1" x14ac:dyDescent="0.35">
      <c r="A99" s="10">
        <v>0</v>
      </c>
      <c r="B99" s="11">
        <v>45652</v>
      </c>
      <c r="C99" s="17" t="s">
        <v>2654</v>
      </c>
      <c r="D99" s="9">
        <v>13</v>
      </c>
      <c r="E99" s="25">
        <v>45650</v>
      </c>
      <c r="F99" s="9">
        <v>935724.21</v>
      </c>
      <c r="G99" s="9">
        <v>333.27</v>
      </c>
      <c r="H99" s="9">
        <v>333.27</v>
      </c>
    </row>
    <row r="100" spans="1:8" ht="15" thickBot="1" x14ac:dyDescent="0.35">
      <c r="A100" s="10">
        <v>0</v>
      </c>
      <c r="B100" s="11">
        <v>45650</v>
      </c>
      <c r="C100" s="17" t="s">
        <v>2654</v>
      </c>
      <c r="D100" s="9">
        <v>13</v>
      </c>
      <c r="E100" s="25">
        <v>45649</v>
      </c>
      <c r="F100" s="9">
        <v>931236.95</v>
      </c>
      <c r="G100" s="9">
        <v>331.67</v>
      </c>
      <c r="H100" s="9">
        <v>331.67</v>
      </c>
    </row>
    <row r="101" spans="1:8" ht="15" thickBot="1" x14ac:dyDescent="0.35">
      <c r="A101" s="10">
        <v>0</v>
      </c>
      <c r="B101" s="11">
        <v>45649</v>
      </c>
      <c r="C101" s="17" t="s">
        <v>2654</v>
      </c>
      <c r="D101" s="9">
        <v>13</v>
      </c>
      <c r="E101" s="25">
        <v>45648</v>
      </c>
      <c r="F101" s="9">
        <v>931236.95</v>
      </c>
      <c r="G101" s="9">
        <v>331.67</v>
      </c>
      <c r="H101" s="9">
        <v>331.67</v>
      </c>
    </row>
    <row r="102" spans="1:8" ht="15" thickBot="1" x14ac:dyDescent="0.35">
      <c r="A102" s="10">
        <v>0</v>
      </c>
      <c r="B102" s="11">
        <v>45649</v>
      </c>
      <c r="C102" s="17" t="s">
        <v>2654</v>
      </c>
      <c r="D102" s="9">
        <v>13</v>
      </c>
      <c r="E102" s="25">
        <v>45647</v>
      </c>
      <c r="F102" s="9">
        <v>931236.95</v>
      </c>
      <c r="G102" s="9">
        <v>331.67</v>
      </c>
      <c r="H102" s="9">
        <v>331.67</v>
      </c>
    </row>
    <row r="103" spans="1:8" ht="15" thickBot="1" x14ac:dyDescent="0.35">
      <c r="A103" s="10">
        <v>0</v>
      </c>
      <c r="B103" s="11">
        <v>45649</v>
      </c>
      <c r="C103" s="17" t="s">
        <v>2654</v>
      </c>
      <c r="D103" s="9">
        <v>13</v>
      </c>
      <c r="E103" s="25">
        <v>45646</v>
      </c>
      <c r="F103" s="9">
        <v>931236.95</v>
      </c>
      <c r="G103" s="9">
        <v>331.67</v>
      </c>
      <c r="H103" s="9">
        <v>331.67</v>
      </c>
    </row>
    <row r="104" spans="1:8" ht="15" thickBot="1" x14ac:dyDescent="0.35">
      <c r="A104" s="10">
        <v>0</v>
      </c>
      <c r="B104" s="11">
        <v>45646</v>
      </c>
      <c r="C104" s="17" t="s">
        <v>2654</v>
      </c>
      <c r="D104" s="9">
        <v>13</v>
      </c>
      <c r="E104" s="25">
        <v>45645</v>
      </c>
      <c r="F104" s="9">
        <v>927632.16</v>
      </c>
      <c r="G104" s="9">
        <v>330.39</v>
      </c>
      <c r="H104" s="9">
        <v>330.39</v>
      </c>
    </row>
    <row r="105" spans="1:8" ht="15" thickBot="1" x14ac:dyDescent="0.35">
      <c r="A105" s="10">
        <v>0</v>
      </c>
      <c r="B105" s="11">
        <v>45645</v>
      </c>
      <c r="C105" s="17" t="s">
        <v>2654</v>
      </c>
      <c r="D105" s="9">
        <v>13</v>
      </c>
      <c r="E105" s="25">
        <v>45644</v>
      </c>
      <c r="F105" s="9">
        <v>894077.01</v>
      </c>
      <c r="G105" s="9">
        <v>318.44</v>
      </c>
      <c r="H105" s="9">
        <v>318.44</v>
      </c>
    </row>
    <row r="106" spans="1:8" ht="15" thickBot="1" x14ac:dyDescent="0.35">
      <c r="A106" s="10">
        <v>0</v>
      </c>
      <c r="B106" s="11">
        <v>45644</v>
      </c>
      <c r="C106" s="17" t="s">
        <v>2654</v>
      </c>
      <c r="D106" s="9">
        <v>13</v>
      </c>
      <c r="E106" s="25">
        <v>45643</v>
      </c>
      <c r="F106" s="9">
        <v>942340.64</v>
      </c>
      <c r="G106" s="9">
        <v>335.63</v>
      </c>
      <c r="H106" s="9">
        <v>335.63</v>
      </c>
    </row>
    <row r="107" spans="1:8" ht="15" thickBot="1" x14ac:dyDescent="0.35">
      <c r="A107" s="10">
        <v>0</v>
      </c>
      <c r="B107" s="11">
        <v>45643</v>
      </c>
      <c r="C107" s="17" t="s">
        <v>2654</v>
      </c>
      <c r="D107" s="9">
        <v>13</v>
      </c>
      <c r="E107" s="25">
        <v>45642</v>
      </c>
      <c r="F107" s="9">
        <v>942340.64</v>
      </c>
      <c r="G107" s="9">
        <v>335.63</v>
      </c>
      <c r="H107" s="9">
        <v>335.63</v>
      </c>
    </row>
    <row r="108" spans="1:8" ht="15" thickBot="1" x14ac:dyDescent="0.35">
      <c r="A108" s="10">
        <v>0</v>
      </c>
      <c r="B108" s="11">
        <v>45642</v>
      </c>
      <c r="C108" s="17" t="s">
        <v>2654</v>
      </c>
      <c r="D108" s="9">
        <v>13</v>
      </c>
      <c r="E108" s="25">
        <v>45641</v>
      </c>
      <c r="F108" s="9">
        <v>942395.74</v>
      </c>
      <c r="G108" s="9">
        <v>335.65</v>
      </c>
      <c r="H108" s="9">
        <v>335.65</v>
      </c>
    </row>
    <row r="109" spans="1:8" ht="15" thickBot="1" x14ac:dyDescent="0.35">
      <c r="A109" s="10">
        <v>0</v>
      </c>
      <c r="B109" s="11">
        <v>45642</v>
      </c>
      <c r="C109" s="17" t="s">
        <v>2654</v>
      </c>
      <c r="D109" s="9">
        <v>13</v>
      </c>
      <c r="E109" s="25">
        <v>45640</v>
      </c>
      <c r="F109" s="9">
        <v>942395.74</v>
      </c>
      <c r="G109" s="9">
        <v>335.65</v>
      </c>
      <c r="H109" s="9">
        <v>335.65</v>
      </c>
    </row>
    <row r="110" spans="1:8" ht="15" thickBot="1" x14ac:dyDescent="0.35">
      <c r="A110" s="10">
        <v>0</v>
      </c>
      <c r="B110" s="11">
        <v>45642</v>
      </c>
      <c r="C110" s="17" t="s">
        <v>2654</v>
      </c>
      <c r="D110" s="9">
        <v>13</v>
      </c>
      <c r="E110" s="25">
        <v>45639</v>
      </c>
      <c r="F110" s="9">
        <v>942395.74</v>
      </c>
      <c r="G110" s="9">
        <v>335.65</v>
      </c>
      <c r="H110" s="9">
        <v>335.65</v>
      </c>
    </row>
    <row r="111" spans="1:8" ht="15" thickBot="1" x14ac:dyDescent="0.35">
      <c r="A111" s="10">
        <v>0</v>
      </c>
      <c r="B111" s="11">
        <v>45639</v>
      </c>
      <c r="C111" s="17" t="s">
        <v>2654</v>
      </c>
      <c r="D111" s="9">
        <v>13</v>
      </c>
      <c r="E111" s="25">
        <v>45638</v>
      </c>
      <c r="F111" s="9">
        <v>943593.61</v>
      </c>
      <c r="G111" s="9">
        <v>336.07</v>
      </c>
      <c r="H111" s="9">
        <v>336.07</v>
      </c>
    </row>
    <row r="112" spans="1:8" ht="15" thickBot="1" x14ac:dyDescent="0.35">
      <c r="A112" s="10">
        <v>0</v>
      </c>
      <c r="B112" s="11">
        <v>45638</v>
      </c>
      <c r="C112" s="17" t="s">
        <v>2654</v>
      </c>
      <c r="D112" s="9">
        <v>13</v>
      </c>
      <c r="E112" s="25">
        <v>45637</v>
      </c>
      <c r="F112" s="9">
        <v>864194.82</v>
      </c>
      <c r="G112" s="9">
        <v>307.8</v>
      </c>
      <c r="H112" s="9">
        <v>307.8</v>
      </c>
    </row>
    <row r="113" spans="1:8" ht="15" thickBot="1" x14ac:dyDescent="0.35">
      <c r="A113" s="10">
        <v>0</v>
      </c>
      <c r="B113" s="11">
        <v>45637</v>
      </c>
      <c r="C113" s="17" t="s">
        <v>2654</v>
      </c>
      <c r="D113" s="9">
        <v>13</v>
      </c>
      <c r="E113" s="25">
        <v>45636</v>
      </c>
      <c r="F113" s="9">
        <v>898722.14</v>
      </c>
      <c r="G113" s="9">
        <v>320.08999999999997</v>
      </c>
      <c r="H113" s="9">
        <v>320.08999999999997</v>
      </c>
    </row>
    <row r="114" spans="1:8" ht="15" thickBot="1" x14ac:dyDescent="0.35">
      <c r="A114" s="10">
        <v>0</v>
      </c>
      <c r="B114" s="11">
        <v>45636</v>
      </c>
      <c r="C114" s="17" t="s">
        <v>2654</v>
      </c>
      <c r="D114" s="9">
        <v>13</v>
      </c>
      <c r="E114" s="25">
        <v>45635</v>
      </c>
      <c r="F114" s="9">
        <v>902838.65</v>
      </c>
      <c r="G114" s="9">
        <v>321.56</v>
      </c>
      <c r="H114" s="9">
        <v>321.56</v>
      </c>
    </row>
    <row r="115" spans="1:8" ht="15" thickBot="1" x14ac:dyDescent="0.35">
      <c r="A115" s="10">
        <v>0</v>
      </c>
      <c r="B115" s="11">
        <v>45635</v>
      </c>
      <c r="C115" s="17" t="s">
        <v>2654</v>
      </c>
      <c r="D115" s="9">
        <v>13</v>
      </c>
      <c r="E115" s="25">
        <v>45634</v>
      </c>
      <c r="F115" s="9">
        <v>903764.63</v>
      </c>
      <c r="G115" s="9">
        <v>321.89</v>
      </c>
      <c r="H115" s="9">
        <v>321.89</v>
      </c>
    </row>
    <row r="116" spans="1:8" ht="15" thickBot="1" x14ac:dyDescent="0.35">
      <c r="A116" s="10">
        <v>0</v>
      </c>
      <c r="B116" s="11">
        <v>45635</v>
      </c>
      <c r="C116" s="17" t="s">
        <v>2654</v>
      </c>
      <c r="D116" s="9">
        <v>13</v>
      </c>
      <c r="E116" s="25">
        <v>45633</v>
      </c>
      <c r="F116" s="9">
        <v>903764.63</v>
      </c>
      <c r="G116" s="9">
        <v>321.89</v>
      </c>
      <c r="H116" s="9">
        <v>321.89</v>
      </c>
    </row>
    <row r="117" spans="1:8" ht="15" thickBot="1" x14ac:dyDescent="0.35">
      <c r="A117" s="10">
        <v>0</v>
      </c>
      <c r="B117" s="11">
        <v>45635</v>
      </c>
      <c r="C117" s="17" t="s">
        <v>2654</v>
      </c>
      <c r="D117" s="9">
        <v>13</v>
      </c>
      <c r="E117" s="25">
        <v>45632</v>
      </c>
      <c r="F117" s="9">
        <v>903764.63</v>
      </c>
      <c r="G117" s="9">
        <v>321.89</v>
      </c>
      <c r="H117" s="9">
        <v>321.89</v>
      </c>
    </row>
    <row r="118" spans="1:8" ht="15" thickBot="1" x14ac:dyDescent="0.35">
      <c r="A118" s="10">
        <v>0</v>
      </c>
      <c r="B118" s="11">
        <v>45632</v>
      </c>
      <c r="C118" s="17" t="s">
        <v>2654</v>
      </c>
      <c r="D118" s="9">
        <v>13</v>
      </c>
      <c r="E118" s="25">
        <v>45631</v>
      </c>
      <c r="F118" s="9">
        <v>884268.35</v>
      </c>
      <c r="G118" s="9">
        <v>314.94</v>
      </c>
      <c r="H118" s="9">
        <v>314.94</v>
      </c>
    </row>
    <row r="119" spans="1:8" ht="15" thickBot="1" x14ac:dyDescent="0.35">
      <c r="A119" s="10">
        <v>0</v>
      </c>
      <c r="B119" s="11">
        <v>45631</v>
      </c>
      <c r="C119" s="17" t="s">
        <v>2654</v>
      </c>
      <c r="D119" s="9">
        <v>13</v>
      </c>
      <c r="E119" s="25">
        <v>45630</v>
      </c>
      <c r="F119" s="9">
        <v>838547</v>
      </c>
      <c r="G119" s="9">
        <v>298.66000000000003</v>
      </c>
      <c r="H119" s="9">
        <v>298.66000000000003</v>
      </c>
    </row>
    <row r="120" spans="1:8" ht="15" thickBot="1" x14ac:dyDescent="0.35">
      <c r="A120" s="10">
        <v>0</v>
      </c>
      <c r="B120" s="11">
        <v>45630</v>
      </c>
      <c r="C120" s="17" t="s">
        <v>2654</v>
      </c>
      <c r="D120" s="9">
        <v>13</v>
      </c>
      <c r="E120" s="25">
        <v>45629</v>
      </c>
      <c r="F120" s="9">
        <v>837222.59</v>
      </c>
      <c r="G120" s="9">
        <v>298.19</v>
      </c>
      <c r="H120" s="9">
        <v>298.19</v>
      </c>
    </row>
    <row r="121" spans="1:8" ht="15" thickBot="1" x14ac:dyDescent="0.35">
      <c r="A121" s="10">
        <v>0</v>
      </c>
      <c r="B121" s="11">
        <v>45629</v>
      </c>
      <c r="C121" s="17" t="s">
        <v>2654</v>
      </c>
      <c r="D121" s="9">
        <v>13</v>
      </c>
      <c r="E121" s="25">
        <v>45628</v>
      </c>
      <c r="F121" s="9">
        <v>837222.59</v>
      </c>
      <c r="G121" s="9">
        <v>298.19</v>
      </c>
      <c r="H121" s="9">
        <v>298.19</v>
      </c>
    </row>
    <row r="122" spans="1:8" ht="15" thickBot="1" x14ac:dyDescent="0.35">
      <c r="A122" s="10">
        <v>0</v>
      </c>
      <c r="B122" s="11">
        <v>45628</v>
      </c>
      <c r="C122" s="17" t="s">
        <v>2654</v>
      </c>
      <c r="D122" s="9">
        <v>13</v>
      </c>
      <c r="E122" s="25">
        <v>45627</v>
      </c>
      <c r="F122" s="9">
        <v>836563.45</v>
      </c>
      <c r="G122" s="9">
        <v>297.95</v>
      </c>
      <c r="H122" s="9">
        <v>297.95</v>
      </c>
    </row>
    <row r="123" spans="1:8" ht="15" thickBot="1" x14ac:dyDescent="0.35">
      <c r="A123" s="10">
        <v>0</v>
      </c>
      <c r="B123" s="11">
        <v>45628</v>
      </c>
      <c r="C123" s="17" t="s">
        <v>2654</v>
      </c>
      <c r="D123" s="9">
        <v>13</v>
      </c>
      <c r="E123" s="25">
        <v>45626</v>
      </c>
      <c r="F123" s="9">
        <v>836563.45</v>
      </c>
      <c r="G123" s="9">
        <v>297.95</v>
      </c>
      <c r="H123" s="9">
        <v>297.95</v>
      </c>
    </row>
    <row r="124" spans="1:8" ht="15" thickBot="1" x14ac:dyDescent="0.35">
      <c r="A124" s="10">
        <v>0</v>
      </c>
      <c r="B124" s="11">
        <v>45628</v>
      </c>
      <c r="C124" s="17" t="s">
        <v>2654</v>
      </c>
      <c r="D124" s="9">
        <v>13</v>
      </c>
      <c r="E124" s="25">
        <v>45625</v>
      </c>
      <c r="F124" s="9">
        <v>836563.45</v>
      </c>
      <c r="G124" s="9">
        <v>297.95</v>
      </c>
      <c r="H124" s="9">
        <v>297.95</v>
      </c>
    </row>
    <row r="125" spans="1:8" ht="15" thickBot="1" x14ac:dyDescent="0.35">
      <c r="A125" s="10">
        <v>0</v>
      </c>
      <c r="B125" s="11">
        <v>45625</v>
      </c>
      <c r="C125" s="17" t="s">
        <v>2654</v>
      </c>
      <c r="D125" s="9">
        <v>13</v>
      </c>
      <c r="E125" s="25">
        <v>45624</v>
      </c>
      <c r="F125" s="9">
        <v>836563.45</v>
      </c>
      <c r="G125" s="9">
        <v>297.95</v>
      </c>
      <c r="H125" s="9">
        <v>297.95</v>
      </c>
    </row>
    <row r="126" spans="1:8" ht="15" thickBot="1" x14ac:dyDescent="0.35">
      <c r="A126" s="10">
        <v>0</v>
      </c>
      <c r="B126" s="11">
        <v>45624</v>
      </c>
      <c r="C126" s="17" t="s">
        <v>2654</v>
      </c>
      <c r="D126" s="9">
        <v>13</v>
      </c>
      <c r="E126" s="25">
        <v>45623</v>
      </c>
      <c r="F126" s="9">
        <v>829256.32</v>
      </c>
      <c r="G126" s="9">
        <v>295.35000000000002</v>
      </c>
      <c r="H126" s="9">
        <v>295.35000000000002</v>
      </c>
    </row>
    <row r="127" spans="1:8" ht="15" thickBot="1" x14ac:dyDescent="0.35">
      <c r="A127" s="10">
        <v>0</v>
      </c>
      <c r="B127" s="11">
        <v>45623</v>
      </c>
      <c r="C127" s="17" t="s">
        <v>2654</v>
      </c>
      <c r="D127" s="9">
        <v>13</v>
      </c>
      <c r="E127" s="25">
        <v>45622</v>
      </c>
      <c r="F127" s="9">
        <v>829256.32</v>
      </c>
      <c r="G127" s="9">
        <v>295.35000000000002</v>
      </c>
      <c r="H127" s="9">
        <v>295.35000000000002</v>
      </c>
    </row>
    <row r="128" spans="1:8" ht="15" thickBot="1" x14ac:dyDescent="0.35">
      <c r="A128" s="10">
        <v>0</v>
      </c>
      <c r="B128" s="11">
        <v>45622</v>
      </c>
      <c r="C128" s="17" t="s">
        <v>2654</v>
      </c>
      <c r="D128" s="9">
        <v>13</v>
      </c>
      <c r="E128" s="25">
        <v>45621</v>
      </c>
      <c r="F128" s="9">
        <v>818117.88</v>
      </c>
      <c r="G128" s="9">
        <v>291.38</v>
      </c>
      <c r="H128" s="9">
        <v>291.38</v>
      </c>
    </row>
    <row r="129" spans="1:8" ht="15" thickBot="1" x14ac:dyDescent="0.35">
      <c r="A129" s="10">
        <v>0</v>
      </c>
      <c r="B129" s="11">
        <v>45621</v>
      </c>
      <c r="C129" s="17" t="s">
        <v>2654</v>
      </c>
      <c r="D129" s="9">
        <v>13</v>
      </c>
      <c r="E129" s="25">
        <v>45620</v>
      </c>
      <c r="F129" s="9">
        <v>806137.38</v>
      </c>
      <c r="G129" s="9">
        <v>287.12</v>
      </c>
      <c r="H129" s="9">
        <v>287.12</v>
      </c>
    </row>
    <row r="130" spans="1:8" ht="15" thickBot="1" x14ac:dyDescent="0.35">
      <c r="A130" s="10">
        <v>0</v>
      </c>
      <c r="B130" s="11">
        <v>45621</v>
      </c>
      <c r="C130" s="17" t="s">
        <v>2654</v>
      </c>
      <c r="D130" s="9">
        <v>13</v>
      </c>
      <c r="E130" s="25">
        <v>45619</v>
      </c>
      <c r="F130" s="9">
        <v>806137.38</v>
      </c>
      <c r="G130" s="9">
        <v>287.12</v>
      </c>
      <c r="H130" s="9">
        <v>287.12</v>
      </c>
    </row>
    <row r="131" spans="1:8" ht="15" thickBot="1" x14ac:dyDescent="0.35">
      <c r="A131" s="10">
        <v>0</v>
      </c>
      <c r="B131" s="11">
        <v>45621</v>
      </c>
      <c r="C131" s="17" t="s">
        <v>2654</v>
      </c>
      <c r="D131" s="9">
        <v>13</v>
      </c>
      <c r="E131" s="25">
        <v>45618</v>
      </c>
      <c r="F131" s="9">
        <v>806137.38</v>
      </c>
      <c r="G131" s="9">
        <v>287.12</v>
      </c>
      <c r="H131" s="9">
        <v>287.12</v>
      </c>
    </row>
    <row r="132" spans="1:8" ht="15" thickBot="1" x14ac:dyDescent="0.35">
      <c r="A132" s="10">
        <v>0</v>
      </c>
      <c r="B132" s="11">
        <v>45618</v>
      </c>
      <c r="C132" s="17" t="s">
        <v>2654</v>
      </c>
      <c r="D132" s="9">
        <v>13</v>
      </c>
      <c r="E132" s="25">
        <v>45617</v>
      </c>
      <c r="F132" s="9">
        <v>794003.48</v>
      </c>
      <c r="G132" s="9">
        <v>282.8</v>
      </c>
      <c r="H132" s="9">
        <v>282.8</v>
      </c>
    </row>
    <row r="133" spans="1:8" ht="15" thickBot="1" x14ac:dyDescent="0.35">
      <c r="A133" s="10">
        <v>0</v>
      </c>
      <c r="B133" s="11">
        <v>45617</v>
      </c>
      <c r="C133" s="17" t="s">
        <v>2654</v>
      </c>
      <c r="D133" s="9">
        <v>13</v>
      </c>
      <c r="E133" s="25">
        <v>45616</v>
      </c>
      <c r="F133" s="9">
        <v>801277.58</v>
      </c>
      <c r="G133" s="9">
        <v>285.39</v>
      </c>
      <c r="H133" s="9">
        <v>285.39</v>
      </c>
    </row>
    <row r="134" spans="1:8" ht="15" thickBot="1" x14ac:dyDescent="0.35">
      <c r="A134" s="10">
        <v>0</v>
      </c>
      <c r="B134" s="11">
        <v>45617</v>
      </c>
      <c r="C134" s="17" t="s">
        <v>2654</v>
      </c>
      <c r="D134" s="9">
        <v>13</v>
      </c>
      <c r="E134" s="25">
        <v>45615</v>
      </c>
      <c r="F134" s="9">
        <v>801277.58</v>
      </c>
      <c r="G134" s="9">
        <v>285.39</v>
      </c>
      <c r="H134" s="9">
        <v>285.39</v>
      </c>
    </row>
    <row r="135" spans="1:8" ht="15" thickBot="1" x14ac:dyDescent="0.35">
      <c r="A135" s="10">
        <v>0</v>
      </c>
      <c r="B135" s="11">
        <v>45615</v>
      </c>
      <c r="C135" s="17" t="s">
        <v>2654</v>
      </c>
      <c r="D135" s="9">
        <v>13</v>
      </c>
      <c r="E135" s="25">
        <v>45614</v>
      </c>
      <c r="F135" s="9">
        <v>791661.94</v>
      </c>
      <c r="G135" s="9">
        <v>281.95999999999998</v>
      </c>
      <c r="H135" s="9">
        <v>281.95999999999998</v>
      </c>
    </row>
    <row r="136" spans="1:8" ht="15" thickBot="1" x14ac:dyDescent="0.35">
      <c r="A136" s="10">
        <v>0</v>
      </c>
      <c r="B136" s="11">
        <v>45614</v>
      </c>
      <c r="C136" s="17" t="s">
        <v>2654</v>
      </c>
      <c r="D136" s="9">
        <v>13</v>
      </c>
      <c r="E136" s="25">
        <v>45613</v>
      </c>
      <c r="F136" s="9">
        <v>785074.03</v>
      </c>
      <c r="G136" s="9">
        <v>279.62</v>
      </c>
      <c r="H136" s="9">
        <v>279.62</v>
      </c>
    </row>
    <row r="137" spans="1:8" ht="15" thickBot="1" x14ac:dyDescent="0.35">
      <c r="A137" s="10">
        <v>0</v>
      </c>
      <c r="B137" s="11">
        <v>45614</v>
      </c>
      <c r="C137" s="17" t="s">
        <v>2654</v>
      </c>
      <c r="D137" s="9">
        <v>13</v>
      </c>
      <c r="E137" s="25">
        <v>45612</v>
      </c>
      <c r="F137" s="9">
        <v>785074.03</v>
      </c>
      <c r="G137" s="9">
        <v>279.62</v>
      </c>
      <c r="H137" s="9">
        <v>279.62</v>
      </c>
    </row>
    <row r="138" spans="1:8" ht="15" thickBot="1" x14ac:dyDescent="0.35">
      <c r="A138" s="10">
        <v>0</v>
      </c>
      <c r="B138" s="11">
        <v>45614</v>
      </c>
      <c r="C138" s="17" t="s">
        <v>2654</v>
      </c>
      <c r="D138" s="9">
        <v>13</v>
      </c>
      <c r="E138" s="25">
        <v>45611</v>
      </c>
      <c r="F138" s="9">
        <v>785074.03</v>
      </c>
      <c r="G138" s="9">
        <v>279.62</v>
      </c>
      <c r="H138" s="9">
        <v>279.62</v>
      </c>
    </row>
    <row r="139" spans="1:8" ht="15" thickBot="1" x14ac:dyDescent="0.35">
      <c r="A139" s="10">
        <v>0</v>
      </c>
      <c r="B139" s="11">
        <v>45614</v>
      </c>
      <c r="C139" s="17" t="s">
        <v>2654</v>
      </c>
      <c r="D139" s="9">
        <v>13</v>
      </c>
      <c r="E139" s="25">
        <v>45610</v>
      </c>
      <c r="F139" s="9">
        <v>785074.03</v>
      </c>
      <c r="G139" s="9">
        <v>279.62</v>
      </c>
      <c r="H139" s="9">
        <v>279.62</v>
      </c>
    </row>
    <row r="140" spans="1:8" ht="15" thickBot="1" x14ac:dyDescent="0.35">
      <c r="A140" s="10">
        <v>0</v>
      </c>
      <c r="B140" s="11">
        <v>45610</v>
      </c>
      <c r="C140" s="17" t="s">
        <v>2654</v>
      </c>
      <c r="D140" s="9">
        <v>13</v>
      </c>
      <c r="E140" s="25">
        <v>45609</v>
      </c>
      <c r="F140" s="9">
        <v>790333</v>
      </c>
      <c r="G140" s="9">
        <v>281.49</v>
      </c>
      <c r="H140" s="9">
        <v>281.49</v>
      </c>
    </row>
    <row r="141" spans="1:8" ht="15" thickBot="1" x14ac:dyDescent="0.35">
      <c r="A141" s="10">
        <v>0</v>
      </c>
      <c r="B141" s="11">
        <v>45609</v>
      </c>
      <c r="C141" s="17" t="s">
        <v>2654</v>
      </c>
      <c r="D141" s="9">
        <v>13</v>
      </c>
      <c r="E141" s="25">
        <v>45608</v>
      </c>
      <c r="F141" s="9">
        <v>812699.67</v>
      </c>
      <c r="G141" s="9">
        <v>289.45</v>
      </c>
      <c r="H141" s="9">
        <v>289.45</v>
      </c>
    </row>
    <row r="142" spans="1:8" ht="15" thickBot="1" x14ac:dyDescent="0.35">
      <c r="A142" s="10">
        <v>0</v>
      </c>
      <c r="B142" s="11">
        <v>45608</v>
      </c>
      <c r="C142" s="17" t="s">
        <v>2654</v>
      </c>
      <c r="D142" s="9">
        <v>13</v>
      </c>
      <c r="E142" s="25">
        <v>45607</v>
      </c>
      <c r="F142" s="9">
        <v>809460.52</v>
      </c>
      <c r="G142" s="9">
        <v>288.3</v>
      </c>
      <c r="H142" s="9">
        <v>288.3</v>
      </c>
    </row>
    <row r="143" spans="1:8" ht="15" thickBot="1" x14ac:dyDescent="0.35">
      <c r="A143" s="10">
        <v>0</v>
      </c>
      <c r="B143" s="11">
        <v>45607</v>
      </c>
      <c r="C143" s="17" t="s">
        <v>2654</v>
      </c>
      <c r="D143" s="9">
        <v>13</v>
      </c>
      <c r="E143" s="25">
        <v>45606</v>
      </c>
      <c r="F143" s="9">
        <v>827163.1</v>
      </c>
      <c r="G143" s="9">
        <v>294.61</v>
      </c>
      <c r="H143" s="9">
        <v>294.61</v>
      </c>
    </row>
    <row r="144" spans="1:8" ht="15" thickBot="1" x14ac:dyDescent="0.35">
      <c r="A144" s="10">
        <v>0</v>
      </c>
      <c r="B144" s="11">
        <v>45607</v>
      </c>
      <c r="C144" s="17" t="s">
        <v>2654</v>
      </c>
      <c r="D144" s="9">
        <v>13</v>
      </c>
      <c r="E144" s="25">
        <v>45605</v>
      </c>
      <c r="F144" s="9">
        <v>827163.1</v>
      </c>
      <c r="G144" s="9">
        <v>294.61</v>
      </c>
      <c r="H144" s="9">
        <v>294.61</v>
      </c>
    </row>
    <row r="145" spans="1:8" ht="15" thickBot="1" x14ac:dyDescent="0.35">
      <c r="A145" s="10">
        <v>0</v>
      </c>
      <c r="B145" s="11">
        <v>45607</v>
      </c>
      <c r="C145" s="17" t="s">
        <v>2654</v>
      </c>
      <c r="D145" s="9">
        <v>13</v>
      </c>
      <c r="E145" s="25">
        <v>45604</v>
      </c>
      <c r="F145" s="9">
        <v>827163.1</v>
      </c>
      <c r="G145" s="9">
        <v>294.61</v>
      </c>
      <c r="H145" s="9">
        <v>294.61</v>
      </c>
    </row>
    <row r="146" spans="1:8" ht="15" thickBot="1" x14ac:dyDescent="0.35">
      <c r="A146" s="10">
        <v>0</v>
      </c>
      <c r="B146" s="11">
        <v>45604</v>
      </c>
      <c r="C146" s="17" t="s">
        <v>2654</v>
      </c>
      <c r="D146" s="9">
        <v>13</v>
      </c>
      <c r="E146" s="25">
        <v>45603</v>
      </c>
      <c r="F146" s="9">
        <v>820552.73</v>
      </c>
      <c r="G146" s="9">
        <v>292.25</v>
      </c>
      <c r="H146" s="9">
        <v>292.25</v>
      </c>
    </row>
    <row r="147" spans="1:8" ht="15" thickBot="1" x14ac:dyDescent="0.35">
      <c r="A147" s="10">
        <v>0</v>
      </c>
      <c r="B147" s="11">
        <v>45603</v>
      </c>
      <c r="C147" s="17" t="s">
        <v>2654</v>
      </c>
      <c r="D147" s="9">
        <v>13</v>
      </c>
      <c r="E147" s="25">
        <v>45602</v>
      </c>
      <c r="F147" s="9">
        <v>815189.61</v>
      </c>
      <c r="G147" s="9">
        <v>290.33999999999997</v>
      </c>
      <c r="H147" s="9">
        <v>290.33999999999997</v>
      </c>
    </row>
    <row r="148" spans="1:8" ht="15" thickBot="1" x14ac:dyDescent="0.35">
      <c r="A148" s="10">
        <v>0</v>
      </c>
      <c r="B148" s="11">
        <v>45602</v>
      </c>
      <c r="C148" s="17" t="s">
        <v>2654</v>
      </c>
      <c r="D148" s="9">
        <v>13</v>
      </c>
      <c r="E148" s="25">
        <v>45601</v>
      </c>
      <c r="F148" s="9">
        <v>803786.29</v>
      </c>
      <c r="G148" s="9">
        <v>286.27999999999997</v>
      </c>
      <c r="H148" s="9">
        <v>286.27999999999997</v>
      </c>
    </row>
    <row r="149" spans="1:8" ht="15" thickBot="1" x14ac:dyDescent="0.35">
      <c r="A149" s="10">
        <v>0</v>
      </c>
      <c r="B149" s="11">
        <v>45601</v>
      </c>
      <c r="C149" s="17" t="s">
        <v>2654</v>
      </c>
      <c r="D149" s="9">
        <v>13</v>
      </c>
      <c r="E149" s="25">
        <v>45600</v>
      </c>
      <c r="F149" s="9">
        <v>798542.36</v>
      </c>
      <c r="G149" s="9">
        <v>284.41000000000003</v>
      </c>
      <c r="H149" s="9">
        <v>284.41000000000003</v>
      </c>
    </row>
    <row r="150" spans="1:8" ht="15" thickBot="1" x14ac:dyDescent="0.35">
      <c r="A150" s="10">
        <v>0</v>
      </c>
      <c r="B150" s="11">
        <v>45600</v>
      </c>
      <c r="C150" s="17" t="s">
        <v>2654</v>
      </c>
      <c r="D150" s="9">
        <v>13</v>
      </c>
      <c r="E150" s="25">
        <v>45599</v>
      </c>
      <c r="F150" s="9">
        <v>812959.16</v>
      </c>
      <c r="G150" s="9">
        <v>289.55</v>
      </c>
      <c r="H150" s="9">
        <v>289.55</v>
      </c>
    </row>
    <row r="151" spans="1:8" ht="15" thickBot="1" x14ac:dyDescent="0.35">
      <c r="A151" s="10">
        <v>0</v>
      </c>
      <c r="B151" s="11">
        <v>45600</v>
      </c>
      <c r="C151" s="17" t="s">
        <v>2654</v>
      </c>
      <c r="D151" s="9">
        <v>13</v>
      </c>
      <c r="E151" s="25">
        <v>45598</v>
      </c>
      <c r="F151" s="9">
        <v>812959.16</v>
      </c>
      <c r="G151" s="9">
        <v>289.55</v>
      </c>
      <c r="H151" s="9">
        <v>289.55</v>
      </c>
    </row>
    <row r="152" spans="1:8" ht="15" thickBot="1" x14ac:dyDescent="0.35">
      <c r="A152" s="10">
        <v>0</v>
      </c>
      <c r="B152" s="11">
        <v>45600</v>
      </c>
      <c r="C152" s="17" t="s">
        <v>2654</v>
      </c>
      <c r="D152" s="9">
        <v>13</v>
      </c>
      <c r="E152" s="25">
        <v>45597</v>
      </c>
      <c r="F152" s="9">
        <v>812959.16</v>
      </c>
      <c r="G152" s="9">
        <v>289.55</v>
      </c>
      <c r="H152" s="9">
        <v>289.55</v>
      </c>
    </row>
    <row r="153" spans="1:8" ht="15" thickBot="1" x14ac:dyDescent="0.35">
      <c r="A153" s="10">
        <v>0</v>
      </c>
      <c r="B153" s="11">
        <v>45600</v>
      </c>
      <c r="C153" s="17" t="s">
        <v>2654</v>
      </c>
      <c r="D153" s="9">
        <v>13</v>
      </c>
      <c r="E153" s="25">
        <v>45596</v>
      </c>
      <c r="F153" s="9">
        <v>812959.16</v>
      </c>
      <c r="G153" s="9">
        <v>289.55</v>
      </c>
      <c r="H153" s="9">
        <v>289.55</v>
      </c>
    </row>
    <row r="154" spans="1:8" ht="15" thickBot="1" x14ac:dyDescent="0.35">
      <c r="A154" s="10">
        <v>0</v>
      </c>
      <c r="B154" s="11">
        <v>45596</v>
      </c>
      <c r="C154" s="17" t="s">
        <v>2654</v>
      </c>
      <c r="D154" s="9">
        <v>13</v>
      </c>
      <c r="E154" s="25">
        <v>45595</v>
      </c>
      <c r="F154" s="9">
        <v>806091.74</v>
      </c>
      <c r="G154" s="9">
        <v>287.10000000000002</v>
      </c>
      <c r="H154" s="9">
        <v>287.10000000000002</v>
      </c>
    </row>
    <row r="155" spans="1:8" ht="15" thickBot="1" x14ac:dyDescent="0.35">
      <c r="A155" s="10">
        <v>0</v>
      </c>
      <c r="B155" s="11">
        <v>45595</v>
      </c>
      <c r="C155" s="17" t="s">
        <v>2654</v>
      </c>
      <c r="D155" s="9">
        <v>13</v>
      </c>
      <c r="E155" s="25">
        <v>45594</v>
      </c>
      <c r="F155" s="9">
        <v>775587.77</v>
      </c>
      <c r="G155" s="9">
        <v>276.24</v>
      </c>
      <c r="H155" s="9">
        <v>276.24</v>
      </c>
    </row>
    <row r="156" spans="1:8" ht="15" thickBot="1" x14ac:dyDescent="0.35">
      <c r="A156" s="10">
        <v>0</v>
      </c>
      <c r="B156" s="11">
        <v>45594</v>
      </c>
      <c r="C156" s="17" t="s">
        <v>2654</v>
      </c>
      <c r="D156" s="9">
        <v>13</v>
      </c>
      <c r="E156" s="25">
        <v>45593</v>
      </c>
      <c r="F156" s="9">
        <v>778105.38</v>
      </c>
      <c r="G156" s="9">
        <v>277.13</v>
      </c>
      <c r="H156" s="9">
        <v>277.13</v>
      </c>
    </row>
    <row r="157" spans="1:8" ht="15" thickBot="1" x14ac:dyDescent="0.35">
      <c r="A157" s="10">
        <v>0</v>
      </c>
      <c r="B157" s="11">
        <v>45593</v>
      </c>
      <c r="C157" s="17" t="s">
        <v>2654</v>
      </c>
      <c r="D157" s="9">
        <v>13</v>
      </c>
      <c r="E157" s="25">
        <v>45592</v>
      </c>
      <c r="F157" s="9">
        <v>778105.38</v>
      </c>
      <c r="G157" s="9">
        <v>277.13</v>
      </c>
      <c r="H157" s="9">
        <v>277.13</v>
      </c>
    </row>
    <row r="158" spans="1:8" ht="15" thickBot="1" x14ac:dyDescent="0.35">
      <c r="A158" s="10">
        <v>0</v>
      </c>
      <c r="B158" s="11">
        <v>45593</v>
      </c>
      <c r="C158" s="17" t="s">
        <v>2654</v>
      </c>
      <c r="D158" s="9">
        <v>13</v>
      </c>
      <c r="E158" s="25">
        <v>45591</v>
      </c>
      <c r="F158" s="9">
        <v>778105.38</v>
      </c>
      <c r="G158" s="9">
        <v>277.13</v>
      </c>
      <c r="H158" s="9">
        <v>277.13</v>
      </c>
    </row>
    <row r="159" spans="1:8" ht="15" thickBot="1" x14ac:dyDescent="0.35">
      <c r="A159" s="10">
        <v>0</v>
      </c>
      <c r="B159" s="11">
        <v>45593</v>
      </c>
      <c r="C159" s="17" t="s">
        <v>2654</v>
      </c>
      <c r="D159" s="9">
        <v>13</v>
      </c>
      <c r="E159" s="25">
        <v>45590</v>
      </c>
      <c r="F159" s="9">
        <v>778105.38</v>
      </c>
      <c r="G159" s="9">
        <v>277.13</v>
      </c>
      <c r="H159" s="9">
        <v>277.13</v>
      </c>
    </row>
    <row r="160" spans="1:8" ht="15" thickBot="1" x14ac:dyDescent="0.35">
      <c r="A160" s="10">
        <v>0</v>
      </c>
      <c r="B160" s="11">
        <v>45590</v>
      </c>
      <c r="C160" s="17" t="s">
        <v>2654</v>
      </c>
      <c r="D160" s="9">
        <v>13</v>
      </c>
      <c r="E160" s="25">
        <v>45589</v>
      </c>
      <c r="F160" s="9">
        <v>787357.97</v>
      </c>
      <c r="G160" s="9">
        <v>280.43</v>
      </c>
      <c r="H160" s="9">
        <v>280.43</v>
      </c>
    </row>
    <row r="161" spans="1:8" ht="15" thickBot="1" x14ac:dyDescent="0.35">
      <c r="A161" s="10">
        <v>0</v>
      </c>
      <c r="B161" s="11">
        <v>45589</v>
      </c>
      <c r="C161" s="17" t="s">
        <v>2654</v>
      </c>
      <c r="D161" s="9">
        <v>13</v>
      </c>
      <c r="E161" s="25">
        <v>45588</v>
      </c>
      <c r="F161" s="9">
        <v>789182.39</v>
      </c>
      <c r="G161" s="9">
        <v>281.08</v>
      </c>
      <c r="H161" s="9">
        <v>281.08</v>
      </c>
    </row>
    <row r="162" spans="1:8" ht="15" thickBot="1" x14ac:dyDescent="0.35">
      <c r="A162" s="10">
        <v>0</v>
      </c>
      <c r="B162" s="11">
        <v>45588</v>
      </c>
      <c r="C162" s="17" t="s">
        <v>2654</v>
      </c>
      <c r="D162" s="9">
        <v>13</v>
      </c>
      <c r="E162" s="25">
        <v>45587</v>
      </c>
      <c r="F162" s="9">
        <v>768007.82</v>
      </c>
      <c r="G162" s="9">
        <v>273.54000000000002</v>
      </c>
      <c r="H162" s="9">
        <v>273.54000000000002</v>
      </c>
    </row>
    <row r="163" spans="1:8" ht="15" thickBot="1" x14ac:dyDescent="0.35">
      <c r="A163" s="10">
        <v>0</v>
      </c>
      <c r="B163" s="11">
        <v>45587</v>
      </c>
      <c r="C163" s="17" t="s">
        <v>2654</v>
      </c>
      <c r="D163" s="9">
        <v>13</v>
      </c>
      <c r="E163" s="25">
        <v>45586</v>
      </c>
      <c r="F163" s="9">
        <v>780280.82</v>
      </c>
      <c r="G163" s="9">
        <v>277.91000000000003</v>
      </c>
      <c r="H163" s="9">
        <v>277.91000000000003</v>
      </c>
    </row>
    <row r="164" spans="1:8" ht="15" thickBot="1" x14ac:dyDescent="0.35">
      <c r="A164" s="10">
        <v>0</v>
      </c>
      <c r="B164" s="11">
        <v>45586</v>
      </c>
      <c r="C164" s="17" t="s">
        <v>2654</v>
      </c>
      <c r="D164" s="9">
        <v>13</v>
      </c>
      <c r="E164" s="25">
        <v>45585</v>
      </c>
      <c r="F164" s="9">
        <v>789805.91</v>
      </c>
      <c r="G164" s="9">
        <v>281.3</v>
      </c>
      <c r="H164" s="9">
        <v>281.3</v>
      </c>
    </row>
    <row r="165" spans="1:8" ht="15" thickBot="1" x14ac:dyDescent="0.35">
      <c r="A165" s="10">
        <v>0</v>
      </c>
      <c r="B165" s="11">
        <v>45586</v>
      </c>
      <c r="C165" s="17" t="s">
        <v>2654</v>
      </c>
      <c r="D165" s="9">
        <v>13</v>
      </c>
      <c r="E165" s="25">
        <v>45584</v>
      </c>
      <c r="F165" s="9">
        <v>789805.91</v>
      </c>
      <c r="G165" s="9">
        <v>281.3</v>
      </c>
      <c r="H165" s="9">
        <v>281.3</v>
      </c>
    </row>
    <row r="166" spans="1:8" ht="15" thickBot="1" x14ac:dyDescent="0.35">
      <c r="A166" s="10">
        <v>0</v>
      </c>
      <c r="B166" s="11">
        <v>45586</v>
      </c>
      <c r="C166" s="17" t="s">
        <v>2654</v>
      </c>
      <c r="D166" s="9">
        <v>13</v>
      </c>
      <c r="E166" s="25">
        <v>45583</v>
      </c>
      <c r="F166" s="9">
        <v>789805.91</v>
      </c>
      <c r="G166" s="9">
        <v>281.3</v>
      </c>
      <c r="H166" s="9">
        <v>281.3</v>
      </c>
    </row>
    <row r="167" spans="1:8" ht="15" thickBot="1" x14ac:dyDescent="0.35">
      <c r="A167" s="10">
        <v>0</v>
      </c>
      <c r="B167" s="11">
        <v>45583</v>
      </c>
      <c r="C167" s="17" t="s">
        <v>2654</v>
      </c>
      <c r="D167" s="9">
        <v>13</v>
      </c>
      <c r="E167" s="25">
        <v>45582</v>
      </c>
      <c r="F167" s="9">
        <v>790391.66</v>
      </c>
      <c r="G167" s="9">
        <v>281.51</v>
      </c>
      <c r="H167" s="9">
        <v>281.51</v>
      </c>
    </row>
    <row r="168" spans="1:8" ht="15" thickBot="1" x14ac:dyDescent="0.35">
      <c r="A168" s="10">
        <v>0</v>
      </c>
      <c r="B168" s="11">
        <v>45582</v>
      </c>
      <c r="C168" s="17" t="s">
        <v>2654</v>
      </c>
      <c r="D168" s="9">
        <v>13</v>
      </c>
      <c r="E168" s="25">
        <v>45581</v>
      </c>
      <c r="F168" s="9">
        <v>795711.25</v>
      </c>
      <c r="G168" s="9">
        <v>283.39999999999998</v>
      </c>
      <c r="H168" s="9">
        <v>283.39999999999998</v>
      </c>
    </row>
    <row r="169" spans="1:8" ht="15" thickBot="1" x14ac:dyDescent="0.35">
      <c r="A169" s="10">
        <v>0</v>
      </c>
      <c r="B169" s="11">
        <v>45581</v>
      </c>
      <c r="C169" s="17" t="s">
        <v>2654</v>
      </c>
      <c r="D169" s="9">
        <v>13</v>
      </c>
      <c r="E169" s="25">
        <v>45580</v>
      </c>
      <c r="F169" s="9">
        <v>798221.28</v>
      </c>
      <c r="G169" s="9">
        <v>284.3</v>
      </c>
      <c r="H169" s="9">
        <v>284.3</v>
      </c>
    </row>
    <row r="170" spans="1:8" ht="15" thickBot="1" x14ac:dyDescent="0.35">
      <c r="A170" s="10">
        <v>0</v>
      </c>
      <c r="B170" s="11">
        <v>45580</v>
      </c>
      <c r="C170" s="17" t="s">
        <v>2654</v>
      </c>
      <c r="D170" s="9">
        <v>13</v>
      </c>
      <c r="E170" s="25">
        <v>45579</v>
      </c>
      <c r="F170" s="9">
        <v>908081.07</v>
      </c>
      <c r="G170" s="9">
        <v>323.43</v>
      </c>
      <c r="H170" s="9">
        <v>323.43</v>
      </c>
    </row>
    <row r="171" spans="1:8" ht="15" thickBot="1" x14ac:dyDescent="0.35">
      <c r="A171" s="10">
        <v>0</v>
      </c>
      <c r="B171" s="11">
        <v>45579</v>
      </c>
      <c r="C171" s="17" t="s">
        <v>2654</v>
      </c>
      <c r="D171" s="9">
        <v>13</v>
      </c>
      <c r="E171" s="25">
        <v>45578</v>
      </c>
      <c r="F171" s="9">
        <v>368536.69</v>
      </c>
      <c r="G171" s="9">
        <v>131.26</v>
      </c>
      <c r="H171" s="9">
        <v>131.26</v>
      </c>
    </row>
    <row r="172" spans="1:8" ht="15" thickBot="1" x14ac:dyDescent="0.35">
      <c r="A172" s="10">
        <v>0</v>
      </c>
      <c r="B172" s="11">
        <v>45579</v>
      </c>
      <c r="C172" s="17" t="s">
        <v>2654</v>
      </c>
      <c r="D172" s="9">
        <v>13</v>
      </c>
      <c r="E172" s="25">
        <v>45577</v>
      </c>
      <c r="F172" s="9">
        <v>368536.69</v>
      </c>
      <c r="G172" s="9">
        <v>131.26</v>
      </c>
      <c r="H172" s="9">
        <v>131.26</v>
      </c>
    </row>
    <row r="173" spans="1:8" ht="15" thickBot="1" x14ac:dyDescent="0.35">
      <c r="A173" s="10">
        <v>0</v>
      </c>
      <c r="B173" s="11">
        <v>45579</v>
      </c>
      <c r="C173" s="17" t="s">
        <v>2654</v>
      </c>
      <c r="D173" s="9">
        <v>13</v>
      </c>
      <c r="E173" s="25">
        <v>45576</v>
      </c>
      <c r="F173" s="9">
        <v>368536.69</v>
      </c>
      <c r="G173" s="9">
        <v>131.26</v>
      </c>
      <c r="H173" s="9">
        <v>131.26</v>
      </c>
    </row>
    <row r="174" spans="1:8" ht="15" thickBot="1" x14ac:dyDescent="0.35">
      <c r="A174" s="10">
        <v>0</v>
      </c>
      <c r="B174" s="11">
        <v>45576</v>
      </c>
      <c r="C174" s="17" t="s">
        <v>2654</v>
      </c>
      <c r="D174" s="9">
        <v>13</v>
      </c>
      <c r="E174" s="25">
        <v>45575</v>
      </c>
      <c r="F174" s="9">
        <v>559798.9</v>
      </c>
      <c r="G174" s="9">
        <v>199.38</v>
      </c>
      <c r="H174" s="9">
        <v>199.38</v>
      </c>
    </row>
    <row r="175" spans="1:8" ht="15" thickBot="1" x14ac:dyDescent="0.35">
      <c r="A175" s="10">
        <v>0</v>
      </c>
      <c r="B175" s="11">
        <v>45575</v>
      </c>
      <c r="C175" s="17" t="s">
        <v>2654</v>
      </c>
      <c r="D175" s="9">
        <v>13</v>
      </c>
      <c r="E175" s="25">
        <v>45574</v>
      </c>
      <c r="F175" s="9">
        <v>559128.16</v>
      </c>
      <c r="G175" s="9">
        <v>199.14</v>
      </c>
      <c r="H175" s="9">
        <v>199.14</v>
      </c>
    </row>
    <row r="176" spans="1:8" ht="15" thickBot="1" x14ac:dyDescent="0.35">
      <c r="A176" s="10">
        <v>0</v>
      </c>
      <c r="B176" s="11">
        <v>45574</v>
      </c>
      <c r="C176" s="17" t="s">
        <v>2654</v>
      </c>
      <c r="D176" s="9">
        <v>13</v>
      </c>
      <c r="E176" s="25">
        <v>45573</v>
      </c>
      <c r="F176" s="9">
        <v>553412.53</v>
      </c>
      <c r="G176" s="9">
        <v>197.11</v>
      </c>
      <c r="H176" s="9">
        <v>197.11</v>
      </c>
    </row>
    <row r="177" spans="1:8" ht="15" thickBot="1" x14ac:dyDescent="0.35">
      <c r="A177" s="10">
        <v>0</v>
      </c>
      <c r="B177" s="11">
        <v>45573</v>
      </c>
      <c r="C177" s="17" t="s">
        <v>2654</v>
      </c>
      <c r="D177" s="9">
        <v>13</v>
      </c>
      <c r="E177" s="25">
        <v>45572</v>
      </c>
      <c r="F177" s="9">
        <v>542169.62</v>
      </c>
      <c r="G177" s="9">
        <v>193.1</v>
      </c>
      <c r="H177" s="9">
        <v>193.1</v>
      </c>
    </row>
    <row r="178" spans="1:8" ht="15" thickBot="1" x14ac:dyDescent="0.35">
      <c r="A178" s="10">
        <v>0</v>
      </c>
      <c r="B178" s="11">
        <v>45572</v>
      </c>
      <c r="C178" s="17" t="s">
        <v>2654</v>
      </c>
      <c r="D178" s="9">
        <v>13</v>
      </c>
      <c r="E178" s="25">
        <v>45571</v>
      </c>
      <c r="F178" s="9">
        <v>543244.41</v>
      </c>
      <c r="G178" s="9">
        <v>193.48</v>
      </c>
      <c r="H178" s="9">
        <v>193.48</v>
      </c>
    </row>
    <row r="179" spans="1:8" ht="15" thickBot="1" x14ac:dyDescent="0.35">
      <c r="A179" s="10">
        <v>0</v>
      </c>
      <c r="B179" s="11">
        <v>45572</v>
      </c>
      <c r="C179" s="17" t="s">
        <v>2654</v>
      </c>
      <c r="D179" s="9">
        <v>13</v>
      </c>
      <c r="E179" s="25">
        <v>45570</v>
      </c>
      <c r="F179" s="9">
        <v>543244.41</v>
      </c>
      <c r="G179" s="9">
        <v>193.48</v>
      </c>
      <c r="H179" s="9">
        <v>193.48</v>
      </c>
    </row>
    <row r="180" spans="1:8" ht="15" thickBot="1" x14ac:dyDescent="0.35">
      <c r="A180" s="10">
        <v>0</v>
      </c>
      <c r="B180" s="11">
        <v>45572</v>
      </c>
      <c r="C180" s="17" t="s">
        <v>2654</v>
      </c>
      <c r="D180" s="9">
        <v>13</v>
      </c>
      <c r="E180" s="25">
        <v>45569</v>
      </c>
      <c r="F180" s="9">
        <v>543244.41</v>
      </c>
      <c r="G180" s="9">
        <v>193.48</v>
      </c>
      <c r="H180" s="9">
        <v>193.48</v>
      </c>
    </row>
    <row r="181" spans="1:8" ht="15" thickBot="1" x14ac:dyDescent="0.35">
      <c r="A181" s="10">
        <v>0</v>
      </c>
      <c r="B181" s="11">
        <v>45569</v>
      </c>
      <c r="C181" s="17" t="s">
        <v>2654</v>
      </c>
      <c r="D181" s="9">
        <v>13</v>
      </c>
      <c r="E181" s="25">
        <v>45568</v>
      </c>
      <c r="F181" s="9">
        <v>533710.98</v>
      </c>
      <c r="G181" s="9">
        <v>190.09</v>
      </c>
      <c r="H181" s="9">
        <v>190.09</v>
      </c>
    </row>
    <row r="182" spans="1:8" ht="15" thickBot="1" x14ac:dyDescent="0.35">
      <c r="A182" s="10">
        <v>0</v>
      </c>
      <c r="B182" s="11">
        <v>45568</v>
      </c>
      <c r="C182" s="17" t="s">
        <v>2654</v>
      </c>
      <c r="D182" s="9">
        <v>13</v>
      </c>
      <c r="E182" s="25">
        <v>45567</v>
      </c>
      <c r="F182" s="9">
        <v>550640.18000000005</v>
      </c>
      <c r="G182" s="9">
        <v>196.12</v>
      </c>
      <c r="H182" s="9">
        <v>196.12</v>
      </c>
    </row>
    <row r="183" spans="1:8" ht="15" thickBot="1" x14ac:dyDescent="0.35">
      <c r="A183" s="10">
        <v>0</v>
      </c>
      <c r="B183" s="11">
        <v>45568</v>
      </c>
      <c r="C183" s="17" t="s">
        <v>2654</v>
      </c>
      <c r="D183" s="9">
        <v>13</v>
      </c>
      <c r="E183" s="25">
        <v>45566</v>
      </c>
      <c r="F183" s="9">
        <v>550640.18000000005</v>
      </c>
      <c r="G183" s="9">
        <v>196.12</v>
      </c>
      <c r="H183" s="9">
        <v>196.12</v>
      </c>
    </row>
    <row r="184" spans="1:8" ht="15" thickBot="1" x14ac:dyDescent="0.35">
      <c r="A184" s="10">
        <v>0</v>
      </c>
      <c r="B184" s="11">
        <v>45566</v>
      </c>
      <c r="C184" s="17" t="s">
        <v>2654</v>
      </c>
      <c r="D184" s="9">
        <v>13</v>
      </c>
      <c r="E184" s="25">
        <v>45565</v>
      </c>
      <c r="F184" s="9">
        <v>553740.77</v>
      </c>
      <c r="G184" s="9">
        <v>197.22</v>
      </c>
      <c r="H184" s="9">
        <v>197.22</v>
      </c>
    </row>
    <row r="185" spans="1:8" ht="15" thickBot="1" x14ac:dyDescent="0.35">
      <c r="A185" s="10">
        <v>0</v>
      </c>
      <c r="B185" s="11">
        <v>45565</v>
      </c>
      <c r="C185" s="17" t="s">
        <v>2654</v>
      </c>
      <c r="D185" s="9">
        <v>13</v>
      </c>
      <c r="E185" s="25">
        <v>45564</v>
      </c>
      <c r="F185" s="9">
        <v>551582.6</v>
      </c>
      <c r="G185" s="9">
        <v>196.45</v>
      </c>
      <c r="H185" s="9">
        <v>196.45</v>
      </c>
    </row>
    <row r="186" spans="1:8" ht="15" thickBot="1" x14ac:dyDescent="0.35">
      <c r="A186" s="10">
        <v>0</v>
      </c>
      <c r="B186" s="11">
        <v>45565</v>
      </c>
      <c r="C186" s="17" t="s">
        <v>2654</v>
      </c>
      <c r="D186" s="9">
        <v>13</v>
      </c>
      <c r="E186" s="25">
        <v>45563</v>
      </c>
      <c r="F186" s="9">
        <v>551582.6</v>
      </c>
      <c r="G186" s="9">
        <v>196.45</v>
      </c>
      <c r="H186" s="9">
        <v>196.45</v>
      </c>
    </row>
    <row r="187" spans="1:8" ht="15" thickBot="1" x14ac:dyDescent="0.35">
      <c r="A187" s="10">
        <v>0</v>
      </c>
      <c r="B187" s="11">
        <v>45565</v>
      </c>
      <c r="C187" s="17" t="s">
        <v>2654</v>
      </c>
      <c r="D187" s="9">
        <v>13</v>
      </c>
      <c r="E187" s="25">
        <v>45562</v>
      </c>
      <c r="F187" s="9">
        <v>551582.6</v>
      </c>
      <c r="G187" s="9">
        <v>196.45</v>
      </c>
      <c r="H187" s="9">
        <v>196.45</v>
      </c>
    </row>
    <row r="188" spans="1:8" ht="15" thickBot="1" x14ac:dyDescent="0.35">
      <c r="A188" s="10">
        <v>0</v>
      </c>
      <c r="B188" s="11">
        <v>45562</v>
      </c>
      <c r="C188" s="17" t="s">
        <v>2654</v>
      </c>
      <c r="D188" s="9">
        <v>13</v>
      </c>
      <c r="E188" s="25">
        <v>45561</v>
      </c>
      <c r="F188" s="9">
        <v>582533.88</v>
      </c>
      <c r="G188" s="9">
        <v>207.48</v>
      </c>
      <c r="H188" s="9">
        <v>207.48</v>
      </c>
    </row>
    <row r="189" spans="1:8" ht="15" thickBot="1" x14ac:dyDescent="0.35">
      <c r="A189" s="10">
        <v>0</v>
      </c>
      <c r="B189" s="11">
        <v>45561</v>
      </c>
      <c r="C189" s="17" t="s">
        <v>2654</v>
      </c>
      <c r="D189" s="9">
        <v>13</v>
      </c>
      <c r="E189" s="25">
        <v>45560</v>
      </c>
      <c r="F189" s="9">
        <v>582533.88</v>
      </c>
      <c r="G189" s="9">
        <v>207.48</v>
      </c>
      <c r="H189" s="9">
        <v>207.48</v>
      </c>
    </row>
    <row r="190" spans="1:8" ht="15" thickBot="1" x14ac:dyDescent="0.35">
      <c r="A190" s="10">
        <v>0</v>
      </c>
      <c r="B190" s="11">
        <v>45560</v>
      </c>
      <c r="C190" s="17" t="s">
        <v>2654</v>
      </c>
      <c r="D190" s="9">
        <v>13</v>
      </c>
      <c r="E190" s="25">
        <v>45559</v>
      </c>
      <c r="F190" s="9">
        <v>685545.33</v>
      </c>
      <c r="G190" s="9">
        <v>244.17</v>
      </c>
      <c r="H190" s="9">
        <v>244.17</v>
      </c>
    </row>
    <row r="191" spans="1:8" ht="15" thickBot="1" x14ac:dyDescent="0.35">
      <c r="A191" s="10">
        <v>0</v>
      </c>
      <c r="B191" s="11">
        <v>45559</v>
      </c>
      <c r="C191" s="17" t="s">
        <v>2654</v>
      </c>
      <c r="D191" s="9">
        <v>13</v>
      </c>
      <c r="E191" s="25">
        <v>45558</v>
      </c>
      <c r="F191" s="9">
        <v>680923.58</v>
      </c>
      <c r="G191" s="9">
        <v>242.52</v>
      </c>
      <c r="H191" s="9">
        <v>242.52</v>
      </c>
    </row>
    <row r="192" spans="1:8" ht="15" thickBot="1" x14ac:dyDescent="0.35">
      <c r="A192" s="10">
        <v>0</v>
      </c>
      <c r="B192" s="11">
        <v>45558</v>
      </c>
      <c r="C192" s="17" t="s">
        <v>2654</v>
      </c>
      <c r="D192" s="9">
        <v>13</v>
      </c>
      <c r="E192" s="25">
        <v>45557</v>
      </c>
      <c r="F192" s="9">
        <v>709829.16</v>
      </c>
      <c r="G192" s="9">
        <v>252.82</v>
      </c>
      <c r="H192" s="9">
        <v>252.82</v>
      </c>
    </row>
    <row r="193" spans="1:8" ht="15" thickBot="1" x14ac:dyDescent="0.35">
      <c r="A193" s="10">
        <v>0</v>
      </c>
      <c r="B193" s="11">
        <v>45558</v>
      </c>
      <c r="C193" s="17" t="s">
        <v>2654</v>
      </c>
      <c r="D193" s="9">
        <v>13</v>
      </c>
      <c r="E193" s="25">
        <v>45556</v>
      </c>
      <c r="F193" s="9">
        <v>709829.16</v>
      </c>
      <c r="G193" s="9">
        <v>252.82</v>
      </c>
      <c r="H193" s="9">
        <v>252.82</v>
      </c>
    </row>
    <row r="194" spans="1:8" ht="15" thickBot="1" x14ac:dyDescent="0.35">
      <c r="A194" s="10">
        <v>0</v>
      </c>
      <c r="B194" s="11">
        <v>45558</v>
      </c>
      <c r="C194" s="17" t="s">
        <v>2654</v>
      </c>
      <c r="D194" s="9">
        <v>13</v>
      </c>
      <c r="E194" s="25">
        <v>45555</v>
      </c>
      <c r="F194" s="9">
        <v>709829.16</v>
      </c>
      <c r="G194" s="9">
        <v>252.82</v>
      </c>
      <c r="H194" s="9">
        <v>252.82</v>
      </c>
    </row>
    <row r="195" spans="1:8" ht="15" thickBot="1" x14ac:dyDescent="0.35">
      <c r="A195" s="10">
        <v>0</v>
      </c>
      <c r="B195" s="11">
        <v>45555</v>
      </c>
      <c r="C195" s="17" t="s">
        <v>2654</v>
      </c>
      <c r="D195" s="9">
        <v>13</v>
      </c>
      <c r="E195" s="25">
        <v>45554</v>
      </c>
      <c r="F195" s="9">
        <v>757102.33</v>
      </c>
      <c r="G195" s="9">
        <v>269.64999999999998</v>
      </c>
      <c r="H195" s="9">
        <v>269.64999999999998</v>
      </c>
    </row>
    <row r="196" spans="1:8" ht="15" thickBot="1" x14ac:dyDescent="0.35">
      <c r="A196" s="10">
        <v>0</v>
      </c>
      <c r="B196" s="11">
        <v>45554</v>
      </c>
      <c r="C196" s="17" t="s">
        <v>2654</v>
      </c>
      <c r="D196" s="9">
        <v>13</v>
      </c>
      <c r="E196" s="25">
        <v>45553</v>
      </c>
      <c r="F196" s="9">
        <v>809000.71</v>
      </c>
      <c r="G196" s="9">
        <v>288.14</v>
      </c>
      <c r="H196" s="9">
        <v>288.14</v>
      </c>
    </row>
    <row r="197" spans="1:8" ht="15" thickBot="1" x14ac:dyDescent="0.35">
      <c r="A197" s="10">
        <v>0</v>
      </c>
      <c r="B197" s="11">
        <v>45553</v>
      </c>
      <c r="C197" s="17" t="s">
        <v>2654</v>
      </c>
      <c r="D197" s="9">
        <v>13</v>
      </c>
      <c r="E197" s="25">
        <v>45552</v>
      </c>
      <c r="F197" s="9">
        <v>808712.68</v>
      </c>
      <c r="G197" s="9">
        <v>288.02999999999997</v>
      </c>
      <c r="H197" s="9">
        <v>288.02999999999997</v>
      </c>
    </row>
    <row r="198" spans="1:8" ht="15" thickBot="1" x14ac:dyDescent="0.35">
      <c r="A198" s="10">
        <v>0</v>
      </c>
      <c r="B198" s="11">
        <v>45552</v>
      </c>
      <c r="C198" s="17" t="s">
        <v>2654</v>
      </c>
      <c r="D198" s="9">
        <v>13</v>
      </c>
      <c r="E198" s="25">
        <v>45551</v>
      </c>
      <c r="F198" s="9">
        <v>859945.4</v>
      </c>
      <c r="G198" s="9">
        <v>306.27999999999997</v>
      </c>
      <c r="H198" s="9">
        <v>306.27999999999997</v>
      </c>
    </row>
    <row r="199" spans="1:8" ht="15" thickBot="1" x14ac:dyDescent="0.35">
      <c r="A199" s="10">
        <v>0</v>
      </c>
      <c r="B199" s="11">
        <v>45551</v>
      </c>
      <c r="C199" s="17" t="s">
        <v>2654</v>
      </c>
      <c r="D199" s="9">
        <v>13</v>
      </c>
      <c r="E199" s="25">
        <v>45550</v>
      </c>
      <c r="F199" s="9">
        <v>859945.4</v>
      </c>
      <c r="G199" s="9">
        <v>306.27999999999997</v>
      </c>
      <c r="H199" s="9">
        <v>306.27999999999997</v>
      </c>
    </row>
    <row r="200" spans="1:8" ht="15" thickBot="1" x14ac:dyDescent="0.35">
      <c r="A200" s="10">
        <v>0</v>
      </c>
      <c r="B200" s="11">
        <v>45551</v>
      </c>
      <c r="C200" s="17" t="s">
        <v>2654</v>
      </c>
      <c r="D200" s="9">
        <v>13</v>
      </c>
      <c r="E200" s="25">
        <v>45549</v>
      </c>
      <c r="F200" s="9">
        <v>859945.4</v>
      </c>
      <c r="G200" s="9">
        <v>306.27999999999997</v>
      </c>
      <c r="H200" s="9">
        <v>306.27999999999997</v>
      </c>
    </row>
    <row r="201" spans="1:8" ht="15" thickBot="1" x14ac:dyDescent="0.35">
      <c r="A201" s="10">
        <v>0</v>
      </c>
      <c r="B201" s="11">
        <v>45551</v>
      </c>
      <c r="C201" s="17" t="s">
        <v>2654</v>
      </c>
      <c r="D201" s="9">
        <v>13</v>
      </c>
      <c r="E201" s="25">
        <v>45548</v>
      </c>
      <c r="F201" s="9">
        <v>859945.4</v>
      </c>
      <c r="G201" s="9">
        <v>306.27999999999997</v>
      </c>
      <c r="H201" s="9">
        <v>306.27999999999997</v>
      </c>
    </row>
    <row r="202" spans="1:8" ht="15" thickBot="1" x14ac:dyDescent="0.35">
      <c r="A202" s="10">
        <v>0</v>
      </c>
      <c r="B202" s="11">
        <v>45548</v>
      </c>
      <c r="C202" s="17" t="s">
        <v>2654</v>
      </c>
      <c r="D202" s="9">
        <v>13</v>
      </c>
      <c r="E202" s="25">
        <v>45547</v>
      </c>
      <c r="F202" s="9">
        <v>792005.83</v>
      </c>
      <c r="G202" s="9">
        <v>282.08</v>
      </c>
      <c r="H202" s="9">
        <v>282.08</v>
      </c>
    </row>
    <row r="203" spans="1:8" ht="15" thickBot="1" x14ac:dyDescent="0.35">
      <c r="A203" s="10">
        <v>0</v>
      </c>
      <c r="B203" s="11">
        <v>45547</v>
      </c>
      <c r="C203" s="17" t="s">
        <v>2654</v>
      </c>
      <c r="D203" s="9">
        <v>13</v>
      </c>
      <c r="E203" s="25">
        <v>45546</v>
      </c>
      <c r="F203" s="9">
        <v>794704.7</v>
      </c>
      <c r="G203" s="9">
        <v>283.05</v>
      </c>
      <c r="H203" s="9">
        <v>283.05</v>
      </c>
    </row>
    <row r="204" spans="1:8" ht="15" thickBot="1" x14ac:dyDescent="0.35">
      <c r="A204" s="10">
        <v>0</v>
      </c>
      <c r="B204" s="11">
        <v>45546</v>
      </c>
      <c r="C204" s="17" t="s">
        <v>2654</v>
      </c>
      <c r="D204" s="9">
        <v>13</v>
      </c>
      <c r="E204" s="25">
        <v>45545</v>
      </c>
      <c r="F204" s="9">
        <v>802509.72</v>
      </c>
      <c r="G204" s="9">
        <v>285.83</v>
      </c>
      <c r="H204" s="9">
        <v>285.83</v>
      </c>
    </row>
    <row r="205" spans="1:8" ht="15" thickBot="1" x14ac:dyDescent="0.35">
      <c r="A205" s="10">
        <v>0</v>
      </c>
      <c r="B205" s="11">
        <v>45545</v>
      </c>
      <c r="C205" s="17" t="s">
        <v>2654</v>
      </c>
      <c r="D205" s="9">
        <v>13</v>
      </c>
      <c r="E205" s="25">
        <v>45544</v>
      </c>
      <c r="F205" s="9">
        <v>802509.72</v>
      </c>
      <c r="G205" s="9">
        <v>285.83</v>
      </c>
      <c r="H205" s="9">
        <v>285.83</v>
      </c>
    </row>
    <row r="206" spans="1:8" ht="15" thickBot="1" x14ac:dyDescent="0.35">
      <c r="A206" s="10">
        <v>0</v>
      </c>
      <c r="B206" s="11">
        <v>45544</v>
      </c>
      <c r="C206" s="17" t="s">
        <v>2654</v>
      </c>
      <c r="D206" s="9">
        <v>13</v>
      </c>
      <c r="E206" s="25">
        <v>45543</v>
      </c>
      <c r="F206" s="9">
        <v>625585.02</v>
      </c>
      <c r="G206" s="9">
        <v>222.81</v>
      </c>
      <c r="H206" s="9">
        <v>222.81</v>
      </c>
    </row>
    <row r="207" spans="1:8" ht="15" thickBot="1" x14ac:dyDescent="0.35">
      <c r="A207" s="10">
        <v>0</v>
      </c>
      <c r="B207" s="11">
        <v>45544</v>
      </c>
      <c r="C207" s="17" t="s">
        <v>2654</v>
      </c>
      <c r="D207" s="9">
        <v>13</v>
      </c>
      <c r="E207" s="25">
        <v>45542</v>
      </c>
      <c r="F207" s="9">
        <v>625585.02</v>
      </c>
      <c r="G207" s="9">
        <v>222.81</v>
      </c>
      <c r="H207" s="9">
        <v>222.81</v>
      </c>
    </row>
    <row r="208" spans="1:8" ht="15" thickBot="1" x14ac:dyDescent="0.35">
      <c r="A208" s="10">
        <v>0</v>
      </c>
      <c r="B208" s="11">
        <v>45544</v>
      </c>
      <c r="C208" s="17" t="s">
        <v>2654</v>
      </c>
      <c r="D208" s="9">
        <v>13</v>
      </c>
      <c r="E208" s="25">
        <v>45541</v>
      </c>
      <c r="F208" s="9">
        <v>625585.02</v>
      </c>
      <c r="G208" s="9">
        <v>222.81</v>
      </c>
      <c r="H208" s="9">
        <v>222.81</v>
      </c>
    </row>
    <row r="209" spans="1:8" ht="15" thickBot="1" x14ac:dyDescent="0.35">
      <c r="A209" s="10">
        <v>0</v>
      </c>
      <c r="B209" s="11">
        <v>45541</v>
      </c>
      <c r="C209" s="17" t="s">
        <v>2654</v>
      </c>
      <c r="D209" s="9">
        <v>13</v>
      </c>
      <c r="E209" s="25">
        <v>45540</v>
      </c>
      <c r="F209" s="9">
        <v>710952.94</v>
      </c>
      <c r="G209" s="9">
        <v>253.22</v>
      </c>
      <c r="H209" s="9">
        <v>253.22</v>
      </c>
    </row>
    <row r="210" spans="1:8" ht="15" thickBot="1" x14ac:dyDescent="0.35">
      <c r="A210" s="10">
        <v>0</v>
      </c>
      <c r="B210" s="11">
        <v>45540</v>
      </c>
      <c r="C210" s="17" t="s">
        <v>2654</v>
      </c>
      <c r="D210" s="9">
        <v>13</v>
      </c>
      <c r="E210" s="25">
        <v>45539</v>
      </c>
      <c r="F210" s="9">
        <v>696761.71</v>
      </c>
      <c r="G210" s="9">
        <v>248.16</v>
      </c>
      <c r="H210" s="9">
        <v>248.16</v>
      </c>
    </row>
    <row r="211" spans="1:8" ht="15" thickBot="1" x14ac:dyDescent="0.35">
      <c r="A211" s="10">
        <v>0</v>
      </c>
      <c r="B211" s="11">
        <v>45539</v>
      </c>
      <c r="C211" s="17" t="s">
        <v>2654</v>
      </c>
      <c r="D211" s="9">
        <v>13</v>
      </c>
      <c r="E211" s="25">
        <v>45538</v>
      </c>
      <c r="F211" s="9">
        <v>579795.69999999995</v>
      </c>
      <c r="G211" s="9">
        <v>206.5</v>
      </c>
      <c r="H211" s="9">
        <v>206.5</v>
      </c>
    </row>
    <row r="212" spans="1:8" ht="15" thickBot="1" x14ac:dyDescent="0.35">
      <c r="A212" s="10">
        <v>0</v>
      </c>
      <c r="B212" s="11">
        <v>45538</v>
      </c>
      <c r="C212" s="17" t="s">
        <v>2654</v>
      </c>
      <c r="D212" s="9">
        <v>13</v>
      </c>
      <c r="E212" s="25">
        <v>45537</v>
      </c>
      <c r="F212" s="9">
        <v>622656.74</v>
      </c>
      <c r="G212" s="9">
        <v>221.77</v>
      </c>
      <c r="H212" s="9">
        <v>221.77</v>
      </c>
    </row>
    <row r="213" spans="1:8" ht="15" thickBot="1" x14ac:dyDescent="0.35">
      <c r="A213" s="10">
        <v>0</v>
      </c>
      <c r="B213" s="11">
        <v>45537</v>
      </c>
      <c r="C213" s="17" t="s">
        <v>2654</v>
      </c>
      <c r="D213" s="9">
        <v>13</v>
      </c>
      <c r="E213" s="25">
        <v>45536</v>
      </c>
      <c r="F213" s="9">
        <v>624184.17000000004</v>
      </c>
      <c r="G213" s="9">
        <v>222.31</v>
      </c>
      <c r="H213" s="9">
        <v>222.31</v>
      </c>
    </row>
    <row r="214" spans="1:8" ht="15" thickBot="1" x14ac:dyDescent="0.35">
      <c r="A214" s="10">
        <v>0</v>
      </c>
      <c r="B214" s="11">
        <v>45537</v>
      </c>
      <c r="C214" s="17" t="s">
        <v>2654</v>
      </c>
      <c r="D214" s="9">
        <v>13</v>
      </c>
      <c r="E214" s="25">
        <v>45535</v>
      </c>
      <c r="F214" s="9">
        <v>624184.17000000004</v>
      </c>
      <c r="G214" s="9">
        <v>222.31</v>
      </c>
      <c r="H214" s="9">
        <v>222.31</v>
      </c>
    </row>
    <row r="215" spans="1:8" ht="15" thickBot="1" x14ac:dyDescent="0.35">
      <c r="A215" s="10">
        <v>0</v>
      </c>
      <c r="B215" s="11">
        <v>45537</v>
      </c>
      <c r="C215" s="17" t="s">
        <v>2654</v>
      </c>
      <c r="D215" s="9">
        <v>13</v>
      </c>
      <c r="E215" s="25">
        <v>45534</v>
      </c>
      <c r="F215" s="9">
        <v>624184.17000000004</v>
      </c>
      <c r="G215" s="9">
        <v>222.31</v>
      </c>
      <c r="H215" s="9">
        <v>222.31</v>
      </c>
    </row>
    <row r="216" spans="1:8" ht="15" thickBot="1" x14ac:dyDescent="0.35">
      <c r="A216" s="10">
        <v>0</v>
      </c>
      <c r="B216" s="11">
        <v>45534</v>
      </c>
      <c r="C216" s="17" t="s">
        <v>2654</v>
      </c>
      <c r="D216" s="9">
        <v>13</v>
      </c>
      <c r="E216" s="25">
        <v>45533</v>
      </c>
      <c r="F216" s="9">
        <v>628589.79</v>
      </c>
      <c r="G216" s="9">
        <v>223.88</v>
      </c>
      <c r="H216" s="9">
        <v>223.88</v>
      </c>
    </row>
    <row r="217" spans="1:8" ht="15" thickBot="1" x14ac:dyDescent="0.35">
      <c r="A217" s="10">
        <v>0</v>
      </c>
      <c r="B217" s="11">
        <v>45533</v>
      </c>
      <c r="C217" s="17" t="s">
        <v>2654</v>
      </c>
      <c r="D217" s="9">
        <v>13</v>
      </c>
      <c r="E217" s="25">
        <v>45532</v>
      </c>
      <c r="F217" s="9">
        <v>625500.66</v>
      </c>
      <c r="G217" s="9">
        <v>222.78</v>
      </c>
      <c r="H217" s="9">
        <v>222.78</v>
      </c>
    </row>
    <row r="218" spans="1:8" ht="15" thickBot="1" x14ac:dyDescent="0.35">
      <c r="A218" s="10">
        <v>0</v>
      </c>
      <c r="B218" s="11">
        <v>45532</v>
      </c>
      <c r="C218" s="17" t="s">
        <v>2654</v>
      </c>
      <c r="D218" s="9">
        <v>13</v>
      </c>
      <c r="E218" s="25">
        <v>45531</v>
      </c>
      <c r="F218" s="9">
        <v>625500.66</v>
      </c>
      <c r="G218" s="9">
        <v>222.78</v>
      </c>
      <c r="H218" s="9">
        <v>222.78</v>
      </c>
    </row>
    <row r="219" spans="1:8" ht="15" thickBot="1" x14ac:dyDescent="0.35">
      <c r="A219" s="10">
        <v>0</v>
      </c>
      <c r="B219" s="11">
        <v>45531</v>
      </c>
      <c r="C219" s="17" t="s">
        <v>2654</v>
      </c>
      <c r="D219" s="9">
        <v>13</v>
      </c>
      <c r="E219" s="25">
        <v>45530</v>
      </c>
      <c r="F219" s="9">
        <v>662031.48</v>
      </c>
      <c r="G219" s="9">
        <v>235.79</v>
      </c>
      <c r="H219" s="9">
        <v>235.79</v>
      </c>
    </row>
    <row r="220" spans="1:8" ht="15" thickBot="1" x14ac:dyDescent="0.35">
      <c r="A220" s="10">
        <v>0</v>
      </c>
      <c r="B220" s="11">
        <v>45530</v>
      </c>
      <c r="C220" s="17" t="s">
        <v>2654</v>
      </c>
      <c r="D220" s="9">
        <v>13</v>
      </c>
      <c r="E220" s="25">
        <v>45529</v>
      </c>
      <c r="F220" s="9">
        <v>671207.87</v>
      </c>
      <c r="G220" s="9">
        <v>239.06</v>
      </c>
      <c r="H220" s="9">
        <v>239.06</v>
      </c>
    </row>
    <row r="221" spans="1:8" ht="15" thickBot="1" x14ac:dyDescent="0.35">
      <c r="A221" s="10">
        <v>0</v>
      </c>
      <c r="B221" s="11">
        <v>45530</v>
      </c>
      <c r="C221" s="17" t="s">
        <v>2654</v>
      </c>
      <c r="D221" s="9">
        <v>13</v>
      </c>
      <c r="E221" s="25">
        <v>45528</v>
      </c>
      <c r="F221" s="9">
        <v>671207.87</v>
      </c>
      <c r="G221" s="9">
        <v>239.06</v>
      </c>
      <c r="H221" s="9">
        <v>239.06</v>
      </c>
    </row>
    <row r="222" spans="1:8" ht="15" thickBot="1" x14ac:dyDescent="0.35">
      <c r="A222" s="10">
        <v>0</v>
      </c>
      <c r="B222" s="11">
        <v>45530</v>
      </c>
      <c r="C222" s="17" t="s">
        <v>2654</v>
      </c>
      <c r="D222" s="9">
        <v>13</v>
      </c>
      <c r="E222" s="25">
        <v>45527</v>
      </c>
      <c r="F222" s="9">
        <v>671207.87</v>
      </c>
      <c r="G222" s="9">
        <v>239.06</v>
      </c>
      <c r="H222" s="9">
        <v>239.06</v>
      </c>
    </row>
    <row r="223" spans="1:8" ht="15" thickBot="1" x14ac:dyDescent="0.35">
      <c r="A223" s="10">
        <v>0</v>
      </c>
      <c r="B223" s="11">
        <v>45527</v>
      </c>
      <c r="C223" s="17" t="s">
        <v>2654</v>
      </c>
      <c r="D223" s="9">
        <v>13</v>
      </c>
      <c r="E223" s="25">
        <v>45526</v>
      </c>
      <c r="F223" s="9">
        <v>687000.92</v>
      </c>
      <c r="G223" s="9">
        <v>244.69</v>
      </c>
      <c r="H223" s="9">
        <v>244.69</v>
      </c>
    </row>
    <row r="224" spans="1:8" ht="15" thickBot="1" x14ac:dyDescent="0.35">
      <c r="A224" s="10">
        <v>0</v>
      </c>
      <c r="B224" s="11">
        <v>45526</v>
      </c>
      <c r="C224" s="17" t="s">
        <v>2654</v>
      </c>
      <c r="D224" s="9">
        <v>13</v>
      </c>
      <c r="E224" s="25">
        <v>45525</v>
      </c>
      <c r="F224" s="9">
        <v>702370.09</v>
      </c>
      <c r="G224" s="9">
        <v>250.16</v>
      </c>
      <c r="H224" s="9">
        <v>250.16</v>
      </c>
    </row>
    <row r="225" spans="1:8" ht="15" thickBot="1" x14ac:dyDescent="0.35">
      <c r="A225" s="10">
        <v>0</v>
      </c>
      <c r="B225" s="11">
        <v>45525</v>
      </c>
      <c r="C225" s="17" t="s">
        <v>2654</v>
      </c>
      <c r="D225" s="9">
        <v>13</v>
      </c>
      <c r="E225" s="25">
        <v>45524</v>
      </c>
      <c r="F225" s="9">
        <v>702370.09</v>
      </c>
      <c r="G225" s="9">
        <v>250.16</v>
      </c>
      <c r="H225" s="9">
        <v>250.16</v>
      </c>
    </row>
    <row r="226" spans="1:8" ht="15" thickBot="1" x14ac:dyDescent="0.35">
      <c r="A226" s="10">
        <v>0</v>
      </c>
      <c r="B226" s="11">
        <v>45524</v>
      </c>
      <c r="C226" s="17" t="s">
        <v>2654</v>
      </c>
      <c r="D226" s="9">
        <v>13</v>
      </c>
      <c r="E226" s="25">
        <v>45523</v>
      </c>
      <c r="F226" s="9">
        <v>1065362.83</v>
      </c>
      <c r="G226" s="9">
        <v>379.44</v>
      </c>
      <c r="H226" s="9">
        <v>379.44</v>
      </c>
    </row>
    <row r="227" spans="1:8" ht="15" thickBot="1" x14ac:dyDescent="0.35">
      <c r="A227" s="10">
        <v>0</v>
      </c>
      <c r="B227" s="11">
        <v>45523</v>
      </c>
      <c r="C227" s="17" t="s">
        <v>2654</v>
      </c>
      <c r="D227" s="9">
        <v>13</v>
      </c>
      <c r="E227" s="25">
        <v>45522</v>
      </c>
      <c r="F227" s="9">
        <v>1049855.01</v>
      </c>
      <c r="G227" s="9">
        <v>373.92</v>
      </c>
      <c r="H227" s="9">
        <v>373.92</v>
      </c>
    </row>
    <row r="228" spans="1:8" ht="15" thickBot="1" x14ac:dyDescent="0.35">
      <c r="A228" s="10">
        <v>0</v>
      </c>
      <c r="B228" s="11">
        <v>45523</v>
      </c>
      <c r="C228" s="17" t="s">
        <v>2654</v>
      </c>
      <c r="D228" s="9">
        <v>13</v>
      </c>
      <c r="E228" s="25">
        <v>45521</v>
      </c>
      <c r="F228" s="9">
        <v>1049855.01</v>
      </c>
      <c r="G228" s="9">
        <v>373.92</v>
      </c>
      <c r="H228" s="9">
        <v>373.92</v>
      </c>
    </row>
    <row r="229" spans="1:8" ht="15" thickBot="1" x14ac:dyDescent="0.35">
      <c r="A229" s="10">
        <v>0</v>
      </c>
      <c r="B229" s="11">
        <v>45523</v>
      </c>
      <c r="C229" s="17" t="s">
        <v>2654</v>
      </c>
      <c r="D229" s="9">
        <v>13</v>
      </c>
      <c r="E229" s="25">
        <v>45520</v>
      </c>
      <c r="F229" s="9">
        <v>1049855.01</v>
      </c>
      <c r="G229" s="9">
        <v>373.92</v>
      </c>
      <c r="H229" s="9">
        <v>373.92</v>
      </c>
    </row>
    <row r="230" spans="1:8" ht="15" thickBot="1" x14ac:dyDescent="0.35">
      <c r="A230" s="10">
        <v>0</v>
      </c>
      <c r="B230" s="11">
        <v>45520</v>
      </c>
      <c r="C230" s="17" t="s">
        <v>2654</v>
      </c>
      <c r="D230" s="9">
        <v>13</v>
      </c>
      <c r="E230" s="25">
        <v>45519</v>
      </c>
      <c r="F230" s="9">
        <v>943780.86</v>
      </c>
      <c r="G230" s="9">
        <v>336.14</v>
      </c>
      <c r="H230" s="9">
        <v>336.14</v>
      </c>
    </row>
    <row r="231" spans="1:8" ht="15" thickBot="1" x14ac:dyDescent="0.35">
      <c r="A231" s="10">
        <v>0</v>
      </c>
      <c r="B231" s="11">
        <v>45520</v>
      </c>
      <c r="C231" s="17" t="s">
        <v>2654</v>
      </c>
      <c r="D231" s="9">
        <v>13</v>
      </c>
      <c r="E231" s="25">
        <v>45518</v>
      </c>
      <c r="F231" s="9">
        <v>943780.86</v>
      </c>
      <c r="G231" s="9">
        <v>336.14</v>
      </c>
      <c r="H231" s="9">
        <v>336.14</v>
      </c>
    </row>
    <row r="232" spans="1:8" ht="15" thickBot="1" x14ac:dyDescent="0.35">
      <c r="A232" s="10">
        <v>0</v>
      </c>
      <c r="B232" s="11">
        <v>45518</v>
      </c>
      <c r="C232" s="17" t="s">
        <v>2654</v>
      </c>
      <c r="D232" s="9">
        <v>13</v>
      </c>
      <c r="E232" s="25">
        <v>45517</v>
      </c>
      <c r="F232" s="9">
        <v>872627.17</v>
      </c>
      <c r="G232" s="9">
        <v>310.8</v>
      </c>
      <c r="H232" s="9">
        <v>310.8</v>
      </c>
    </row>
    <row r="233" spans="1:8" ht="15" thickBot="1" x14ac:dyDescent="0.35">
      <c r="A233" s="10">
        <v>0</v>
      </c>
      <c r="B233" s="11">
        <v>45517</v>
      </c>
      <c r="C233" s="17" t="s">
        <v>2654</v>
      </c>
      <c r="D233" s="9">
        <v>13</v>
      </c>
      <c r="E233" s="25">
        <v>45516</v>
      </c>
      <c r="F233" s="9">
        <v>929509.02</v>
      </c>
      <c r="G233" s="9">
        <v>331.06</v>
      </c>
      <c r="H233" s="9">
        <v>331.06</v>
      </c>
    </row>
    <row r="234" spans="1:8" ht="15" thickBot="1" x14ac:dyDescent="0.35">
      <c r="A234" s="10">
        <v>0</v>
      </c>
      <c r="B234" s="11">
        <v>45516</v>
      </c>
      <c r="C234" s="17" t="s">
        <v>2654</v>
      </c>
      <c r="D234" s="9">
        <v>13</v>
      </c>
      <c r="E234" s="25">
        <v>45515</v>
      </c>
      <c r="F234" s="9">
        <v>924938.86</v>
      </c>
      <c r="G234" s="9">
        <v>329.43</v>
      </c>
      <c r="H234" s="9">
        <v>329.43</v>
      </c>
    </row>
    <row r="235" spans="1:8" ht="15" thickBot="1" x14ac:dyDescent="0.35">
      <c r="A235" s="10">
        <v>0</v>
      </c>
      <c r="B235" s="11">
        <v>45516</v>
      </c>
      <c r="C235" s="17" t="s">
        <v>2654</v>
      </c>
      <c r="D235" s="9">
        <v>13</v>
      </c>
      <c r="E235" s="25">
        <v>45514</v>
      </c>
      <c r="F235" s="9">
        <v>924938.86</v>
      </c>
      <c r="G235" s="9">
        <v>329.43</v>
      </c>
      <c r="H235" s="9">
        <v>329.43</v>
      </c>
    </row>
    <row r="236" spans="1:8" ht="15" thickBot="1" x14ac:dyDescent="0.35">
      <c r="A236" s="10">
        <v>0</v>
      </c>
      <c r="B236" s="11">
        <v>45516</v>
      </c>
      <c r="C236" s="17" t="s">
        <v>2654</v>
      </c>
      <c r="D236" s="9">
        <v>13</v>
      </c>
      <c r="E236" s="25">
        <v>45513</v>
      </c>
      <c r="F236" s="9">
        <v>924938.86</v>
      </c>
      <c r="G236" s="9">
        <v>329.43</v>
      </c>
      <c r="H236" s="9">
        <v>329.43</v>
      </c>
    </row>
    <row r="237" spans="1:8" ht="15" thickBot="1" x14ac:dyDescent="0.35">
      <c r="A237" s="10">
        <v>0</v>
      </c>
      <c r="B237" s="11">
        <v>45513</v>
      </c>
      <c r="C237" s="17" t="s">
        <v>2654</v>
      </c>
      <c r="D237" s="9">
        <v>13</v>
      </c>
      <c r="E237" s="25">
        <v>45512</v>
      </c>
      <c r="F237" s="9">
        <v>891699.63</v>
      </c>
      <c r="G237" s="9">
        <v>317.58999999999997</v>
      </c>
      <c r="H237" s="9">
        <v>317.58999999999997</v>
      </c>
    </row>
    <row r="238" spans="1:8" ht="15" thickBot="1" x14ac:dyDescent="0.35">
      <c r="A238" s="10">
        <v>0</v>
      </c>
      <c r="B238" s="11">
        <v>45512</v>
      </c>
      <c r="C238" s="17" t="s">
        <v>2654</v>
      </c>
      <c r="D238" s="9">
        <v>13</v>
      </c>
      <c r="E238" s="25">
        <v>45511</v>
      </c>
      <c r="F238" s="9">
        <v>901842.58</v>
      </c>
      <c r="G238" s="9">
        <v>321.2</v>
      </c>
      <c r="H238" s="9">
        <v>321.2</v>
      </c>
    </row>
    <row r="239" spans="1:8" ht="15" thickBot="1" x14ac:dyDescent="0.35">
      <c r="A239" s="10">
        <v>0</v>
      </c>
      <c r="B239" s="11">
        <v>45511</v>
      </c>
      <c r="C239" s="17" t="s">
        <v>2654</v>
      </c>
      <c r="D239" s="9">
        <v>13</v>
      </c>
      <c r="E239" s="25">
        <v>45510</v>
      </c>
      <c r="F239" s="9">
        <v>740025.89</v>
      </c>
      <c r="G239" s="9">
        <v>263.57</v>
      </c>
      <c r="H239" s="9">
        <v>263.57</v>
      </c>
    </row>
    <row r="240" spans="1:8" ht="15" thickBot="1" x14ac:dyDescent="0.35">
      <c r="A240" s="10">
        <v>0</v>
      </c>
      <c r="B240" s="11">
        <v>45510</v>
      </c>
      <c r="C240" s="17" t="s">
        <v>2654</v>
      </c>
      <c r="D240" s="9">
        <v>13</v>
      </c>
      <c r="E240" s="25">
        <v>45509</v>
      </c>
      <c r="F240" s="9">
        <v>665624.87</v>
      </c>
      <c r="G240" s="9">
        <v>237.07</v>
      </c>
      <c r="H240" s="9">
        <v>237.07</v>
      </c>
    </row>
    <row r="241" spans="1:8" ht="15" thickBot="1" x14ac:dyDescent="0.35">
      <c r="A241" s="10">
        <v>0</v>
      </c>
      <c r="B241" s="11">
        <v>45509</v>
      </c>
      <c r="C241" s="17" t="s">
        <v>2654</v>
      </c>
      <c r="D241" s="9">
        <v>13</v>
      </c>
      <c r="E241" s="25">
        <v>45508</v>
      </c>
      <c r="F241" s="9">
        <v>723460.67</v>
      </c>
      <c r="G241" s="9">
        <v>257.67</v>
      </c>
      <c r="H241" s="9">
        <v>257.67</v>
      </c>
    </row>
    <row r="242" spans="1:8" ht="15" thickBot="1" x14ac:dyDescent="0.35">
      <c r="A242" s="10">
        <v>0</v>
      </c>
      <c r="B242" s="11">
        <v>45509</v>
      </c>
      <c r="C242" s="17" t="s">
        <v>2654</v>
      </c>
      <c r="D242" s="9">
        <v>13</v>
      </c>
      <c r="E242" s="25">
        <v>45507</v>
      </c>
      <c r="F242" s="9">
        <v>723460.67</v>
      </c>
      <c r="G242" s="9">
        <v>257.67</v>
      </c>
      <c r="H242" s="9">
        <v>257.67</v>
      </c>
    </row>
    <row r="243" spans="1:8" ht="15" thickBot="1" x14ac:dyDescent="0.35">
      <c r="A243" s="10">
        <v>0</v>
      </c>
      <c r="B243" s="11">
        <v>45509</v>
      </c>
      <c r="C243" s="17" t="s">
        <v>2654</v>
      </c>
      <c r="D243" s="9">
        <v>13</v>
      </c>
      <c r="E243" s="25">
        <v>45506</v>
      </c>
      <c r="F243" s="9">
        <v>723460.67</v>
      </c>
      <c r="G243" s="9">
        <v>257.67</v>
      </c>
      <c r="H243" s="9">
        <v>257.67</v>
      </c>
    </row>
    <row r="244" spans="1:8" ht="15" thickBot="1" x14ac:dyDescent="0.35">
      <c r="A244" s="10">
        <v>0</v>
      </c>
      <c r="B244" s="11">
        <v>45506</v>
      </c>
      <c r="C244" s="17" t="s">
        <v>2654</v>
      </c>
      <c r="D244" s="9">
        <v>13</v>
      </c>
      <c r="E244" s="25">
        <v>45505</v>
      </c>
      <c r="F244" s="9">
        <v>769007.25</v>
      </c>
      <c r="G244" s="9">
        <v>273.89</v>
      </c>
      <c r="H244" s="9">
        <v>273.89</v>
      </c>
    </row>
    <row r="245" spans="1:8" ht="15" thickBot="1" x14ac:dyDescent="0.35">
      <c r="A245" s="10">
        <v>0</v>
      </c>
      <c r="B245" s="11">
        <v>45505</v>
      </c>
      <c r="C245" s="17" t="s">
        <v>2654</v>
      </c>
      <c r="D245" s="9">
        <v>13</v>
      </c>
      <c r="E245" s="25">
        <v>45504</v>
      </c>
      <c r="F245" s="9">
        <v>895597.83</v>
      </c>
      <c r="G245" s="9">
        <v>318.98</v>
      </c>
      <c r="H245" s="9">
        <v>318.98</v>
      </c>
    </row>
    <row r="246" spans="1:8" ht="15" thickBot="1" x14ac:dyDescent="0.35">
      <c r="A246" s="10">
        <v>0</v>
      </c>
      <c r="B246" s="11">
        <v>45504</v>
      </c>
      <c r="C246" s="17" t="s">
        <v>2654</v>
      </c>
      <c r="D246" s="9">
        <v>13</v>
      </c>
      <c r="E246" s="25">
        <v>45503</v>
      </c>
      <c r="F246" s="9">
        <v>1000205.71</v>
      </c>
      <c r="G246" s="9">
        <v>356.24</v>
      </c>
      <c r="H246" s="9">
        <v>356.24</v>
      </c>
    </row>
    <row r="247" spans="1:8" ht="15" thickBot="1" x14ac:dyDescent="0.35">
      <c r="A247" s="10">
        <v>0</v>
      </c>
      <c r="B247" s="11">
        <v>45503</v>
      </c>
      <c r="C247" s="17" t="s">
        <v>2654</v>
      </c>
      <c r="D247" s="9">
        <v>13</v>
      </c>
      <c r="E247" s="25">
        <v>45502</v>
      </c>
      <c r="F247" s="9">
        <v>1146224.42</v>
      </c>
      <c r="G247" s="9">
        <v>408.24</v>
      </c>
      <c r="H247" s="9">
        <v>408.24</v>
      </c>
    </row>
    <row r="248" spans="1:8" ht="15" thickBot="1" x14ac:dyDescent="0.35">
      <c r="A248" s="10">
        <v>0</v>
      </c>
      <c r="B248" s="11">
        <v>45502</v>
      </c>
      <c r="C248" s="17" t="s">
        <v>2654</v>
      </c>
      <c r="D248" s="9">
        <v>13</v>
      </c>
      <c r="E248" s="25">
        <v>45501</v>
      </c>
      <c r="F248" s="9">
        <v>1153686.77</v>
      </c>
      <c r="G248" s="9">
        <v>410.9</v>
      </c>
      <c r="H248" s="9">
        <v>410.9</v>
      </c>
    </row>
    <row r="249" spans="1:8" ht="15" thickBot="1" x14ac:dyDescent="0.35">
      <c r="A249" s="10">
        <v>0</v>
      </c>
      <c r="B249" s="11">
        <v>45502</v>
      </c>
      <c r="C249" s="17" t="s">
        <v>2654</v>
      </c>
      <c r="D249" s="9">
        <v>13</v>
      </c>
      <c r="E249" s="25">
        <v>45500</v>
      </c>
      <c r="F249" s="9">
        <v>1153686.77</v>
      </c>
      <c r="G249" s="9">
        <v>410.9</v>
      </c>
      <c r="H249" s="9">
        <v>410.9</v>
      </c>
    </row>
    <row r="250" spans="1:8" ht="15" thickBot="1" x14ac:dyDescent="0.35">
      <c r="A250" s="10">
        <v>0</v>
      </c>
      <c r="B250" s="11">
        <v>45502</v>
      </c>
      <c r="C250" s="17" t="s">
        <v>2654</v>
      </c>
      <c r="D250" s="9">
        <v>13</v>
      </c>
      <c r="E250" s="25">
        <v>45499</v>
      </c>
      <c r="F250" s="9">
        <v>1153686.77</v>
      </c>
      <c r="G250" s="9">
        <v>410.9</v>
      </c>
      <c r="H250" s="9">
        <v>410.9</v>
      </c>
    </row>
    <row r="251" spans="1:8" ht="15" thickBot="1" x14ac:dyDescent="0.35">
      <c r="A251" s="10">
        <v>0</v>
      </c>
      <c r="B251" s="11">
        <v>45499</v>
      </c>
      <c r="C251" s="17" t="s">
        <v>2654</v>
      </c>
      <c r="D251" s="9">
        <v>13</v>
      </c>
      <c r="E251" s="25">
        <v>45498</v>
      </c>
      <c r="F251" s="9">
        <v>1152382.49</v>
      </c>
      <c r="G251" s="9">
        <v>410.44</v>
      </c>
      <c r="H251" s="9">
        <v>410.44</v>
      </c>
    </row>
    <row r="252" spans="1:8" ht="15" thickBot="1" x14ac:dyDescent="0.35">
      <c r="A252" s="10">
        <v>0</v>
      </c>
      <c r="B252" s="11">
        <v>45498</v>
      </c>
      <c r="C252" s="17" t="s">
        <v>2654</v>
      </c>
      <c r="D252" s="9">
        <v>13</v>
      </c>
      <c r="E252" s="25">
        <v>45497</v>
      </c>
      <c r="F252" s="9">
        <v>1136751.6499999999</v>
      </c>
      <c r="G252" s="9">
        <v>404.87</v>
      </c>
      <c r="H252" s="9">
        <v>404.87</v>
      </c>
    </row>
    <row r="253" spans="1:8" ht="15" thickBot="1" x14ac:dyDescent="0.35">
      <c r="A253" s="10">
        <v>0</v>
      </c>
      <c r="B253" s="11">
        <v>45497</v>
      </c>
      <c r="C253" s="17" t="s">
        <v>2654</v>
      </c>
      <c r="D253" s="9">
        <v>13</v>
      </c>
      <c r="E253" s="25">
        <v>45496</v>
      </c>
      <c r="F253" s="9">
        <v>1015654.45</v>
      </c>
      <c r="G253" s="9">
        <v>361.74</v>
      </c>
      <c r="H253" s="9">
        <v>361.74</v>
      </c>
    </row>
    <row r="254" spans="1:8" ht="15" thickBot="1" x14ac:dyDescent="0.35">
      <c r="A254" s="10">
        <v>0</v>
      </c>
      <c r="B254" s="11">
        <v>45496</v>
      </c>
      <c r="C254" s="17" t="s">
        <v>2654</v>
      </c>
      <c r="D254" s="9">
        <v>13</v>
      </c>
      <c r="E254" s="25">
        <v>45495</v>
      </c>
      <c r="F254" s="9">
        <v>1047044.57</v>
      </c>
      <c r="G254" s="9">
        <v>372.92</v>
      </c>
      <c r="H254" s="9">
        <v>372.92</v>
      </c>
    </row>
    <row r="255" spans="1:8" ht="15" thickBot="1" x14ac:dyDescent="0.35">
      <c r="A255" s="10">
        <v>0</v>
      </c>
      <c r="B255" s="11">
        <v>45495</v>
      </c>
      <c r="C255" s="17" t="s">
        <v>2654</v>
      </c>
      <c r="D255" s="9">
        <v>13</v>
      </c>
      <c r="E255" s="25">
        <v>45494</v>
      </c>
      <c r="F255" s="9">
        <v>867508.19</v>
      </c>
      <c r="G255" s="9">
        <v>308.98</v>
      </c>
      <c r="H255" s="9">
        <v>308.98</v>
      </c>
    </row>
    <row r="256" spans="1:8" ht="15" thickBot="1" x14ac:dyDescent="0.35">
      <c r="A256" s="10">
        <v>0</v>
      </c>
      <c r="B256" s="11">
        <v>45495</v>
      </c>
      <c r="C256" s="17" t="s">
        <v>2654</v>
      </c>
      <c r="D256" s="9">
        <v>13</v>
      </c>
      <c r="E256" s="25">
        <v>45493</v>
      </c>
      <c r="F256" s="9">
        <v>867508.19</v>
      </c>
      <c r="G256" s="9">
        <v>308.98</v>
      </c>
      <c r="H256" s="9">
        <v>308.98</v>
      </c>
    </row>
    <row r="257" spans="1:8" ht="15" thickBot="1" x14ac:dyDescent="0.35">
      <c r="A257" s="10">
        <v>0</v>
      </c>
      <c r="B257" s="11">
        <v>45495</v>
      </c>
      <c r="C257" s="17" t="s">
        <v>2654</v>
      </c>
      <c r="D257" s="9">
        <v>13</v>
      </c>
      <c r="E257" s="25">
        <v>45492</v>
      </c>
      <c r="F257" s="9">
        <v>867508.19</v>
      </c>
      <c r="G257" s="9">
        <v>308.98</v>
      </c>
      <c r="H257" s="9">
        <v>308.98</v>
      </c>
    </row>
    <row r="258" spans="1:8" ht="15" thickBot="1" x14ac:dyDescent="0.35">
      <c r="A258" s="10">
        <v>0</v>
      </c>
      <c r="B258" s="11">
        <v>45492</v>
      </c>
      <c r="C258" s="17" t="s">
        <v>2654</v>
      </c>
      <c r="D258" s="9">
        <v>13</v>
      </c>
      <c r="E258" s="25">
        <v>45491</v>
      </c>
      <c r="F258" s="9">
        <v>945296.94</v>
      </c>
      <c r="G258" s="9">
        <v>336.68</v>
      </c>
      <c r="H258" s="9">
        <v>336.68</v>
      </c>
    </row>
    <row r="259" spans="1:8" ht="15" thickBot="1" x14ac:dyDescent="0.35">
      <c r="A259" s="10">
        <v>0</v>
      </c>
      <c r="B259" s="11">
        <v>45491</v>
      </c>
      <c r="C259" s="17" t="s">
        <v>2654</v>
      </c>
      <c r="D259" s="9">
        <v>13</v>
      </c>
      <c r="E259" s="25">
        <v>45490</v>
      </c>
      <c r="F259" s="9">
        <v>1108205.22</v>
      </c>
      <c r="G259" s="9">
        <v>394.7</v>
      </c>
      <c r="H259" s="9">
        <v>394.7</v>
      </c>
    </row>
    <row r="260" spans="1:8" ht="15" thickBot="1" x14ac:dyDescent="0.35">
      <c r="A260" s="10">
        <v>0</v>
      </c>
      <c r="B260" s="11">
        <v>45491</v>
      </c>
      <c r="C260" s="17" t="s">
        <v>2654</v>
      </c>
      <c r="D260" s="9">
        <v>13</v>
      </c>
      <c r="E260" s="25">
        <v>45489</v>
      </c>
      <c r="F260" s="9">
        <v>1108205.22</v>
      </c>
      <c r="G260" s="9">
        <v>394.7</v>
      </c>
      <c r="H260" s="9">
        <v>394.7</v>
      </c>
    </row>
    <row r="261" spans="1:8" ht="15" thickBot="1" x14ac:dyDescent="0.35">
      <c r="A261" s="10">
        <v>0</v>
      </c>
      <c r="B261" s="11">
        <v>45489</v>
      </c>
      <c r="C261" s="17" t="s">
        <v>2654</v>
      </c>
      <c r="D261" s="9">
        <v>13</v>
      </c>
      <c r="E261" s="25">
        <v>45488</v>
      </c>
      <c r="F261" s="9">
        <v>1261076.1499999999</v>
      </c>
      <c r="G261" s="9">
        <v>449.15</v>
      </c>
      <c r="H261" s="9">
        <v>449.15</v>
      </c>
    </row>
    <row r="262" spans="1:8" ht="15" thickBot="1" x14ac:dyDescent="0.35">
      <c r="A262" s="10">
        <v>0</v>
      </c>
      <c r="B262" s="11">
        <v>45488</v>
      </c>
      <c r="C262" s="17" t="s">
        <v>2654</v>
      </c>
      <c r="D262" s="9">
        <v>13</v>
      </c>
      <c r="E262" s="25">
        <v>45487</v>
      </c>
      <c r="F262" s="9">
        <v>1388101.04</v>
      </c>
      <c r="G262" s="9">
        <v>494.39</v>
      </c>
      <c r="H262" s="9">
        <v>494.39</v>
      </c>
    </row>
    <row r="263" spans="1:8" ht="15" thickBot="1" x14ac:dyDescent="0.35">
      <c r="A263" s="10">
        <v>0</v>
      </c>
      <c r="B263" s="11">
        <v>45488</v>
      </c>
      <c r="C263" s="17" t="s">
        <v>2654</v>
      </c>
      <c r="D263" s="9">
        <v>13</v>
      </c>
      <c r="E263" s="25">
        <v>45486</v>
      </c>
      <c r="F263" s="9">
        <v>1388101.04</v>
      </c>
      <c r="G263" s="9">
        <v>494.39</v>
      </c>
      <c r="H263" s="9">
        <v>494.39</v>
      </c>
    </row>
    <row r="264" spans="1:8" ht="15" thickBot="1" x14ac:dyDescent="0.35">
      <c r="A264" s="10">
        <v>0</v>
      </c>
      <c r="B264" s="11">
        <v>45488</v>
      </c>
      <c r="C264" s="17" t="s">
        <v>2654</v>
      </c>
      <c r="D264" s="9">
        <v>13</v>
      </c>
      <c r="E264" s="25">
        <v>45485</v>
      </c>
      <c r="F264" s="9">
        <v>1388101.04</v>
      </c>
      <c r="G264" s="9">
        <v>494.39</v>
      </c>
      <c r="H264" s="9">
        <v>494.39</v>
      </c>
    </row>
    <row r="265" spans="1:8" ht="15" thickBot="1" x14ac:dyDescent="0.35">
      <c r="A265" s="10">
        <v>0</v>
      </c>
      <c r="B265" s="11">
        <v>45485</v>
      </c>
      <c r="C265" s="17" t="s">
        <v>2654</v>
      </c>
      <c r="D265" s="9">
        <v>13</v>
      </c>
      <c r="E265" s="25">
        <v>45484</v>
      </c>
      <c r="F265" s="9">
        <v>1366186.94</v>
      </c>
      <c r="G265" s="9">
        <v>486.59</v>
      </c>
      <c r="H265" s="9">
        <v>486.59</v>
      </c>
    </row>
    <row r="266" spans="1:8" ht="15" thickBot="1" x14ac:dyDescent="0.35">
      <c r="A266" s="10">
        <v>0</v>
      </c>
      <c r="B266" s="11">
        <v>45484</v>
      </c>
      <c r="C266" s="17" t="s">
        <v>2654</v>
      </c>
      <c r="D266" s="9">
        <v>13</v>
      </c>
      <c r="E266" s="25">
        <v>45483</v>
      </c>
      <c r="F266" s="9">
        <v>1300639.7</v>
      </c>
      <c r="G266" s="9">
        <v>463.24</v>
      </c>
      <c r="H266" s="9">
        <v>463.24</v>
      </c>
    </row>
    <row r="267" spans="1:8" ht="15" thickBot="1" x14ac:dyDescent="0.35">
      <c r="A267" s="10">
        <v>0</v>
      </c>
      <c r="B267" s="11">
        <v>45483</v>
      </c>
      <c r="C267" s="17" t="s">
        <v>2654</v>
      </c>
      <c r="D267" s="9">
        <v>13</v>
      </c>
      <c r="E267" s="25">
        <v>45482</v>
      </c>
      <c r="F267" s="9">
        <v>1112842.77</v>
      </c>
      <c r="G267" s="9">
        <v>396.35</v>
      </c>
      <c r="H267" s="9">
        <v>396.35</v>
      </c>
    </row>
    <row r="268" spans="1:8" ht="15" thickBot="1" x14ac:dyDescent="0.35">
      <c r="A268" s="10">
        <v>0</v>
      </c>
      <c r="B268" s="11">
        <v>45482</v>
      </c>
      <c r="C268" s="17" t="s">
        <v>2654</v>
      </c>
      <c r="D268" s="9">
        <v>13</v>
      </c>
      <c r="E268" s="25">
        <v>45481</v>
      </c>
      <c r="F268" s="9">
        <v>968992.96</v>
      </c>
      <c r="G268" s="9">
        <v>345.12</v>
      </c>
      <c r="H268" s="9">
        <v>345.12</v>
      </c>
    </row>
    <row r="269" spans="1:8" ht="15" thickBot="1" x14ac:dyDescent="0.35">
      <c r="A269" s="10">
        <v>0</v>
      </c>
      <c r="B269" s="11">
        <v>45481</v>
      </c>
      <c r="C269" s="17" t="s">
        <v>2654</v>
      </c>
      <c r="D269" s="9">
        <v>13</v>
      </c>
      <c r="E269" s="25">
        <v>45480</v>
      </c>
      <c r="F269" s="9">
        <v>440117.05</v>
      </c>
      <c r="G269" s="9">
        <v>156.75</v>
      </c>
      <c r="H269" s="9">
        <v>156.75</v>
      </c>
    </row>
    <row r="270" spans="1:8" ht="15" thickBot="1" x14ac:dyDescent="0.35">
      <c r="A270" s="10">
        <v>0</v>
      </c>
      <c r="B270" s="11">
        <v>45481</v>
      </c>
      <c r="C270" s="17" t="s">
        <v>2654</v>
      </c>
      <c r="D270" s="9">
        <v>13</v>
      </c>
      <c r="E270" s="25">
        <v>45479</v>
      </c>
      <c r="F270" s="9">
        <v>440117.05</v>
      </c>
      <c r="G270" s="9">
        <v>156.75</v>
      </c>
      <c r="H270" s="9">
        <v>156.75</v>
      </c>
    </row>
    <row r="271" spans="1:8" ht="15" thickBot="1" x14ac:dyDescent="0.35">
      <c r="A271" s="10">
        <v>0</v>
      </c>
      <c r="B271" s="11">
        <v>45481</v>
      </c>
      <c r="C271" s="17" t="s">
        <v>2654</v>
      </c>
      <c r="D271" s="9">
        <v>13</v>
      </c>
      <c r="E271" s="25">
        <v>45478</v>
      </c>
      <c r="F271" s="9">
        <v>440117.05</v>
      </c>
      <c r="G271" s="9">
        <v>156.75</v>
      </c>
      <c r="H271" s="9">
        <v>156.75</v>
      </c>
    </row>
    <row r="272" spans="1:8" ht="15" thickBot="1" x14ac:dyDescent="0.35">
      <c r="A272" s="10">
        <v>0</v>
      </c>
      <c r="B272" s="11">
        <v>45478</v>
      </c>
      <c r="C272" s="17" t="s">
        <v>2654</v>
      </c>
      <c r="D272" s="9">
        <v>13</v>
      </c>
      <c r="E272" s="25">
        <v>45477</v>
      </c>
      <c r="F272" s="9">
        <v>658200.54</v>
      </c>
      <c r="G272" s="9">
        <v>234.43</v>
      </c>
      <c r="H272" s="9">
        <v>234.43</v>
      </c>
    </row>
    <row r="273" spans="1:8" ht="15" thickBot="1" x14ac:dyDescent="0.35">
      <c r="A273" s="10">
        <v>0</v>
      </c>
      <c r="B273" s="11">
        <v>45477</v>
      </c>
      <c r="C273" s="17" t="s">
        <v>2654</v>
      </c>
      <c r="D273" s="9">
        <v>13</v>
      </c>
      <c r="E273" s="25">
        <v>45476</v>
      </c>
      <c r="F273" s="9">
        <v>780245.67</v>
      </c>
      <c r="G273" s="9">
        <v>277.89999999999998</v>
      </c>
      <c r="H273" s="9">
        <v>277.89999999999998</v>
      </c>
    </row>
    <row r="274" spans="1:8" ht="15" thickBot="1" x14ac:dyDescent="0.35">
      <c r="A274" s="10">
        <v>0</v>
      </c>
      <c r="B274" s="11">
        <v>45476</v>
      </c>
      <c r="C274" s="17" t="s">
        <v>2654</v>
      </c>
      <c r="D274" s="9">
        <v>13</v>
      </c>
      <c r="E274" s="25">
        <v>45475</v>
      </c>
      <c r="F274" s="9">
        <v>716184.97</v>
      </c>
      <c r="G274" s="9">
        <v>255.08</v>
      </c>
      <c r="H274" s="9">
        <v>255.08</v>
      </c>
    </row>
    <row r="275" spans="1:8" ht="15" thickBot="1" x14ac:dyDescent="0.35">
      <c r="A275" s="10">
        <v>0</v>
      </c>
      <c r="B275" s="11">
        <v>45475</v>
      </c>
      <c r="C275" s="17" t="s">
        <v>2654</v>
      </c>
      <c r="D275" s="9">
        <v>13</v>
      </c>
      <c r="E275" s="25">
        <v>45474</v>
      </c>
      <c r="F275" s="9">
        <v>765053.04</v>
      </c>
      <c r="G275" s="9">
        <v>272.48</v>
      </c>
      <c r="H275" s="9">
        <v>272.48</v>
      </c>
    </row>
    <row r="276" spans="1:8" ht="15" thickBot="1" x14ac:dyDescent="0.35">
      <c r="A276" s="10">
        <v>0</v>
      </c>
      <c r="B276" s="11">
        <v>45474</v>
      </c>
      <c r="C276" s="17" t="s">
        <v>2654</v>
      </c>
      <c r="D276" s="9">
        <v>13</v>
      </c>
      <c r="E276" s="25">
        <v>45473</v>
      </c>
      <c r="F276" s="9">
        <v>745124.48</v>
      </c>
      <c r="G276" s="9">
        <v>265.39</v>
      </c>
      <c r="H276" s="9">
        <v>265.39</v>
      </c>
    </row>
    <row r="277" spans="1:8" ht="15" thickBot="1" x14ac:dyDescent="0.35">
      <c r="A277" s="10">
        <v>0</v>
      </c>
      <c r="B277" s="11">
        <v>45474</v>
      </c>
      <c r="C277" s="17" t="s">
        <v>2654</v>
      </c>
      <c r="D277" s="9">
        <v>13</v>
      </c>
      <c r="E277" s="25">
        <v>45472</v>
      </c>
      <c r="F277" s="9">
        <v>745124.48</v>
      </c>
      <c r="G277" s="9">
        <v>265.39</v>
      </c>
      <c r="H277" s="9">
        <v>265.39</v>
      </c>
    </row>
    <row r="278" spans="1:8" ht="15" thickBot="1" x14ac:dyDescent="0.35">
      <c r="A278" s="10">
        <v>0</v>
      </c>
      <c r="B278" s="11">
        <v>45474</v>
      </c>
      <c r="C278" s="17" t="s">
        <v>2654</v>
      </c>
      <c r="D278" s="9">
        <v>13</v>
      </c>
      <c r="E278" s="25">
        <v>45471</v>
      </c>
      <c r="F278" s="9">
        <v>745124.48</v>
      </c>
      <c r="G278" s="9">
        <v>265.39</v>
      </c>
      <c r="H278" s="9">
        <v>265.39</v>
      </c>
    </row>
    <row r="279" spans="1:8" ht="15" thickBot="1" x14ac:dyDescent="0.35">
      <c r="A279" s="10">
        <v>0</v>
      </c>
      <c r="B279" s="11">
        <v>45471</v>
      </c>
      <c r="C279" s="17" t="s">
        <v>2654</v>
      </c>
      <c r="D279" s="9">
        <v>13</v>
      </c>
      <c r="E279" s="25">
        <v>45470</v>
      </c>
      <c r="F279" s="9">
        <v>745124.48</v>
      </c>
      <c r="G279" s="9">
        <v>265.39</v>
      </c>
      <c r="H279" s="9">
        <v>265.39</v>
      </c>
    </row>
    <row r="280" spans="1:8" ht="15" thickBot="1" x14ac:dyDescent="0.35">
      <c r="A280" s="10">
        <v>0</v>
      </c>
      <c r="B280" s="11">
        <v>45470</v>
      </c>
      <c r="C280" s="17" t="s">
        <v>2654</v>
      </c>
      <c r="D280" s="9">
        <v>13</v>
      </c>
      <c r="E280" s="25">
        <v>45469</v>
      </c>
      <c r="F280" s="9">
        <v>648392.51</v>
      </c>
      <c r="G280" s="9">
        <v>230.93</v>
      </c>
      <c r="H280" s="9">
        <v>230.93</v>
      </c>
    </row>
    <row r="281" spans="1:8" ht="15" thickBot="1" x14ac:dyDescent="0.35">
      <c r="A281" s="10">
        <v>0</v>
      </c>
      <c r="B281" s="11">
        <v>45469</v>
      </c>
      <c r="C281" s="17" t="s">
        <v>2654</v>
      </c>
      <c r="D281" s="9">
        <v>13</v>
      </c>
      <c r="E281" s="25">
        <v>45468</v>
      </c>
      <c r="F281" s="9">
        <v>723374.95</v>
      </c>
      <c r="G281" s="9">
        <v>257.64</v>
      </c>
      <c r="H281" s="9">
        <v>257.64</v>
      </c>
    </row>
    <row r="282" spans="1:8" ht="15" thickBot="1" x14ac:dyDescent="0.35">
      <c r="A282" s="10">
        <v>0</v>
      </c>
      <c r="B282" s="11">
        <v>45468</v>
      </c>
      <c r="C282" s="17" t="s">
        <v>2654</v>
      </c>
      <c r="D282" s="9">
        <v>13</v>
      </c>
      <c r="E282" s="25">
        <v>45467</v>
      </c>
      <c r="F282" s="9">
        <v>862163.78</v>
      </c>
      <c r="G282" s="9">
        <v>307.07</v>
      </c>
      <c r="H282" s="9">
        <v>307.07</v>
      </c>
    </row>
    <row r="283" spans="1:8" ht="15" thickBot="1" x14ac:dyDescent="0.35">
      <c r="A283" s="10">
        <v>0</v>
      </c>
      <c r="B283" s="11">
        <v>45467</v>
      </c>
      <c r="C283" s="17" t="s">
        <v>2654</v>
      </c>
      <c r="D283" s="9">
        <v>13</v>
      </c>
      <c r="E283" s="25">
        <v>45466</v>
      </c>
      <c r="F283" s="9">
        <v>835324.4</v>
      </c>
      <c r="G283" s="9">
        <v>297.51</v>
      </c>
      <c r="H283" s="9">
        <v>297.51</v>
      </c>
    </row>
    <row r="284" spans="1:8" ht="15" thickBot="1" x14ac:dyDescent="0.35">
      <c r="A284" s="10">
        <v>0</v>
      </c>
      <c r="B284" s="11">
        <v>45467</v>
      </c>
      <c r="C284" s="17" t="s">
        <v>2654</v>
      </c>
      <c r="D284" s="9">
        <v>13</v>
      </c>
      <c r="E284" s="25">
        <v>45465</v>
      </c>
      <c r="F284" s="9">
        <v>835324.4</v>
      </c>
      <c r="G284" s="9">
        <v>297.51</v>
      </c>
      <c r="H284" s="9">
        <v>297.51</v>
      </c>
    </row>
    <row r="285" spans="1:8" ht="15" thickBot="1" x14ac:dyDescent="0.35">
      <c r="A285" s="10">
        <v>0</v>
      </c>
      <c r="B285" s="11">
        <v>45467</v>
      </c>
      <c r="C285" s="17" t="s">
        <v>2654</v>
      </c>
      <c r="D285" s="9">
        <v>13</v>
      </c>
      <c r="E285" s="25">
        <v>45464</v>
      </c>
      <c r="F285" s="9">
        <v>835324.4</v>
      </c>
      <c r="G285" s="9">
        <v>297.51</v>
      </c>
      <c r="H285" s="9">
        <v>297.51</v>
      </c>
    </row>
    <row r="286" spans="1:8" ht="15" thickBot="1" x14ac:dyDescent="0.35">
      <c r="A286" s="10">
        <v>0</v>
      </c>
      <c r="B286" s="11">
        <v>45464</v>
      </c>
      <c r="C286" s="17" t="s">
        <v>2654</v>
      </c>
      <c r="D286" s="9">
        <v>13</v>
      </c>
      <c r="E286" s="25">
        <v>45463</v>
      </c>
      <c r="F286" s="9">
        <v>727752.14</v>
      </c>
      <c r="G286" s="9">
        <v>259.2</v>
      </c>
      <c r="H286" s="9">
        <v>259.2</v>
      </c>
    </row>
    <row r="287" spans="1:8" ht="15" thickBot="1" x14ac:dyDescent="0.35">
      <c r="A287" s="10">
        <v>0</v>
      </c>
      <c r="B287" s="11">
        <v>45463</v>
      </c>
      <c r="C287" s="17" t="s">
        <v>2654</v>
      </c>
      <c r="D287" s="9">
        <v>13</v>
      </c>
      <c r="E287" s="25">
        <v>45462</v>
      </c>
      <c r="F287" s="9">
        <v>655813.15</v>
      </c>
      <c r="G287" s="9">
        <v>233.58</v>
      </c>
      <c r="H287" s="9">
        <v>233.58</v>
      </c>
    </row>
    <row r="288" spans="1:8" ht="15" thickBot="1" x14ac:dyDescent="0.35">
      <c r="A288" s="10">
        <v>0</v>
      </c>
      <c r="B288" s="11">
        <v>45462</v>
      </c>
      <c r="C288" s="17" t="s">
        <v>2654</v>
      </c>
      <c r="D288" s="9">
        <v>13</v>
      </c>
      <c r="E288" s="25">
        <v>45461</v>
      </c>
      <c r="F288" s="9">
        <v>702736.55</v>
      </c>
      <c r="G288" s="9">
        <v>250.29</v>
      </c>
      <c r="H288" s="9">
        <v>250.29</v>
      </c>
    </row>
    <row r="289" spans="1:8" ht="15" thickBot="1" x14ac:dyDescent="0.35">
      <c r="A289" s="10">
        <v>0</v>
      </c>
      <c r="B289" s="11">
        <v>45461</v>
      </c>
      <c r="C289" s="17" t="s">
        <v>2654</v>
      </c>
      <c r="D289" s="9">
        <v>13</v>
      </c>
      <c r="E289" s="25">
        <v>45460</v>
      </c>
      <c r="F289" s="9">
        <v>722053.08</v>
      </c>
      <c r="G289" s="9">
        <v>257.17</v>
      </c>
      <c r="H289" s="9">
        <v>257.17</v>
      </c>
    </row>
    <row r="290" spans="1:8" ht="15" thickBot="1" x14ac:dyDescent="0.35">
      <c r="A290" s="10">
        <v>0</v>
      </c>
      <c r="B290" s="11">
        <v>45461</v>
      </c>
      <c r="C290" s="17" t="s">
        <v>2654</v>
      </c>
      <c r="D290" s="9">
        <v>13</v>
      </c>
      <c r="E290" s="25">
        <v>45459</v>
      </c>
      <c r="F290" s="9">
        <v>722053.08</v>
      </c>
      <c r="G290" s="9">
        <v>257.17</v>
      </c>
      <c r="H290" s="9">
        <v>257.17</v>
      </c>
    </row>
    <row r="291" spans="1:8" ht="15" thickBot="1" x14ac:dyDescent="0.35">
      <c r="A291" s="10">
        <v>0</v>
      </c>
      <c r="B291" s="11">
        <v>45461</v>
      </c>
      <c r="C291" s="17" t="s">
        <v>2654</v>
      </c>
      <c r="D291" s="9">
        <v>13</v>
      </c>
      <c r="E291" s="25">
        <v>45458</v>
      </c>
      <c r="F291" s="9">
        <v>722053.08</v>
      </c>
      <c r="G291" s="9">
        <v>257.17</v>
      </c>
      <c r="H291" s="9">
        <v>257.17</v>
      </c>
    </row>
    <row r="292" spans="1:8" ht="15" thickBot="1" x14ac:dyDescent="0.35">
      <c r="A292" s="10">
        <v>0</v>
      </c>
      <c r="B292" s="11">
        <v>45461</v>
      </c>
      <c r="C292" s="17" t="s">
        <v>2654</v>
      </c>
      <c r="D292" s="9">
        <v>13</v>
      </c>
      <c r="E292" s="25">
        <v>45457</v>
      </c>
      <c r="F292" s="9">
        <v>722053.08</v>
      </c>
      <c r="G292" s="9">
        <v>257.17</v>
      </c>
      <c r="H292" s="9">
        <v>257.17</v>
      </c>
    </row>
    <row r="293" spans="1:8" ht="15" thickBot="1" x14ac:dyDescent="0.35">
      <c r="A293" s="10">
        <v>0</v>
      </c>
      <c r="B293" s="11">
        <v>45457</v>
      </c>
      <c r="C293" s="17" t="s">
        <v>2654</v>
      </c>
      <c r="D293" s="9">
        <v>13</v>
      </c>
      <c r="E293" s="25">
        <v>45456</v>
      </c>
      <c r="F293" s="9">
        <v>738064.84</v>
      </c>
      <c r="G293" s="9">
        <v>262.87</v>
      </c>
      <c r="H293" s="9">
        <v>262.87</v>
      </c>
    </row>
    <row r="294" spans="1:8" ht="15" thickBot="1" x14ac:dyDescent="0.35">
      <c r="A294" s="10">
        <v>0</v>
      </c>
      <c r="B294" s="11">
        <v>45456</v>
      </c>
      <c r="C294" s="17" t="s">
        <v>2654</v>
      </c>
      <c r="D294" s="9">
        <v>13</v>
      </c>
      <c r="E294" s="25">
        <v>45455</v>
      </c>
      <c r="F294" s="9">
        <v>738064.84</v>
      </c>
      <c r="G294" s="9">
        <v>262.87</v>
      </c>
      <c r="H294" s="9">
        <v>262.87</v>
      </c>
    </row>
    <row r="295" spans="1:8" ht="15" thickBot="1" x14ac:dyDescent="0.35">
      <c r="A295" s="10">
        <v>0</v>
      </c>
      <c r="B295" s="11">
        <v>45455</v>
      </c>
      <c r="C295" s="17" t="s">
        <v>2654</v>
      </c>
      <c r="D295" s="9">
        <v>13</v>
      </c>
      <c r="E295" s="25">
        <v>45454</v>
      </c>
      <c r="F295" s="9">
        <v>613858.78</v>
      </c>
      <c r="G295" s="9">
        <v>218.63</v>
      </c>
      <c r="H295" s="9">
        <v>218.63</v>
      </c>
    </row>
    <row r="296" spans="1:8" ht="15" thickBot="1" x14ac:dyDescent="0.35">
      <c r="A296" s="10">
        <v>0</v>
      </c>
      <c r="B296" s="11">
        <v>45454</v>
      </c>
      <c r="C296" s="17" t="s">
        <v>2654</v>
      </c>
      <c r="D296" s="9">
        <v>13</v>
      </c>
      <c r="E296" s="25">
        <v>45453</v>
      </c>
      <c r="F296" s="9">
        <v>669674.15</v>
      </c>
      <c r="G296" s="9">
        <v>238.51</v>
      </c>
      <c r="H296" s="9">
        <v>238.51</v>
      </c>
    </row>
    <row r="297" spans="1:8" ht="15" thickBot="1" x14ac:dyDescent="0.35">
      <c r="A297" s="10">
        <v>0</v>
      </c>
      <c r="B297" s="11">
        <v>45453</v>
      </c>
      <c r="C297" s="17" t="s">
        <v>2654</v>
      </c>
      <c r="D297" s="9">
        <v>13</v>
      </c>
      <c r="E297" s="25">
        <v>45452</v>
      </c>
      <c r="F297" s="9">
        <v>725291.13</v>
      </c>
      <c r="G297" s="9">
        <v>258.32</v>
      </c>
      <c r="H297" s="9">
        <v>258.32</v>
      </c>
    </row>
    <row r="298" spans="1:8" ht="15" thickBot="1" x14ac:dyDescent="0.35">
      <c r="A298" s="10">
        <v>0</v>
      </c>
      <c r="B298" s="11">
        <v>45453</v>
      </c>
      <c r="C298" s="17" t="s">
        <v>2654</v>
      </c>
      <c r="D298" s="9">
        <v>13</v>
      </c>
      <c r="E298" s="25">
        <v>45451</v>
      </c>
      <c r="F298" s="9">
        <v>725291.13</v>
      </c>
      <c r="G298" s="9">
        <v>258.32</v>
      </c>
      <c r="H298" s="9">
        <v>258.32</v>
      </c>
    </row>
    <row r="299" spans="1:8" ht="15" thickBot="1" x14ac:dyDescent="0.35">
      <c r="A299" s="10">
        <v>0</v>
      </c>
      <c r="B299" s="11">
        <v>45453</v>
      </c>
      <c r="C299" s="17" t="s">
        <v>2654</v>
      </c>
      <c r="D299" s="9">
        <v>13</v>
      </c>
      <c r="E299" s="25">
        <v>45450</v>
      </c>
      <c r="F299" s="9">
        <v>725291.13</v>
      </c>
      <c r="G299" s="9">
        <v>258.32</v>
      </c>
      <c r="H299" s="9">
        <v>258.32</v>
      </c>
    </row>
    <row r="300" spans="1:8" ht="15" thickBot="1" x14ac:dyDescent="0.35">
      <c r="A300" s="10">
        <v>0</v>
      </c>
      <c r="B300" s="11">
        <v>45450</v>
      </c>
      <c r="C300" s="17" t="s">
        <v>2654</v>
      </c>
      <c r="D300" s="9">
        <v>13</v>
      </c>
      <c r="E300" s="25">
        <v>45449</v>
      </c>
      <c r="F300" s="9">
        <v>739050.09</v>
      </c>
      <c r="G300" s="9">
        <v>263.22000000000003</v>
      </c>
      <c r="H300" s="9">
        <v>263.22000000000003</v>
      </c>
    </row>
    <row r="301" spans="1:8" ht="15" thickBot="1" x14ac:dyDescent="0.35">
      <c r="A301" s="10">
        <v>0</v>
      </c>
      <c r="B301" s="11">
        <v>45449</v>
      </c>
      <c r="C301" s="17" t="s">
        <v>2654</v>
      </c>
      <c r="D301" s="9">
        <v>13</v>
      </c>
      <c r="E301" s="25">
        <v>45448</v>
      </c>
      <c r="F301" s="9">
        <v>715819.94</v>
      </c>
      <c r="G301" s="9">
        <v>254.95</v>
      </c>
      <c r="H301" s="9">
        <v>254.95</v>
      </c>
    </row>
    <row r="302" spans="1:8" ht="15" thickBot="1" x14ac:dyDescent="0.35">
      <c r="A302" s="10">
        <v>0</v>
      </c>
      <c r="B302" s="11">
        <v>45448</v>
      </c>
      <c r="C302" s="17" t="s">
        <v>2654</v>
      </c>
      <c r="D302" s="9">
        <v>13</v>
      </c>
      <c r="E302" s="25">
        <v>45447</v>
      </c>
      <c r="F302" s="9">
        <v>715819.94</v>
      </c>
      <c r="G302" s="9">
        <v>254.95</v>
      </c>
      <c r="H302" s="9">
        <v>254.95</v>
      </c>
    </row>
    <row r="303" spans="1:8" ht="15" thickBot="1" x14ac:dyDescent="0.35">
      <c r="A303" s="10">
        <v>0</v>
      </c>
      <c r="B303" s="11">
        <v>45447</v>
      </c>
      <c r="C303" s="17" t="s">
        <v>2654</v>
      </c>
      <c r="D303" s="9">
        <v>13</v>
      </c>
      <c r="E303" s="25">
        <v>45446</v>
      </c>
      <c r="F303" s="9">
        <v>744428.4</v>
      </c>
      <c r="G303" s="9">
        <v>265.14</v>
      </c>
      <c r="H303" s="9">
        <v>265.14</v>
      </c>
    </row>
    <row r="304" spans="1:8" ht="15" thickBot="1" x14ac:dyDescent="0.35">
      <c r="A304" s="10">
        <v>0</v>
      </c>
      <c r="B304" s="11">
        <v>45446</v>
      </c>
      <c r="C304" s="17" t="s">
        <v>2654</v>
      </c>
      <c r="D304" s="9">
        <v>13</v>
      </c>
      <c r="E304" s="25">
        <v>45445</v>
      </c>
      <c r="F304" s="9">
        <v>651076.34</v>
      </c>
      <c r="G304" s="9">
        <v>231.89</v>
      </c>
      <c r="H304" s="9">
        <v>231.89</v>
      </c>
    </row>
    <row r="305" spans="1:8" ht="15" thickBot="1" x14ac:dyDescent="0.35">
      <c r="A305" s="10">
        <v>0</v>
      </c>
      <c r="B305" s="11">
        <v>45446</v>
      </c>
      <c r="C305" s="17" t="s">
        <v>2654</v>
      </c>
      <c r="D305" s="9">
        <v>13</v>
      </c>
      <c r="E305" s="25">
        <v>45444</v>
      </c>
      <c r="F305" s="9">
        <v>651076.34</v>
      </c>
      <c r="G305" s="9">
        <v>231.89</v>
      </c>
      <c r="H305" s="9">
        <v>231.89</v>
      </c>
    </row>
    <row r="306" spans="1:8" ht="15" thickBot="1" x14ac:dyDescent="0.35">
      <c r="A306" s="10">
        <v>0</v>
      </c>
      <c r="B306" s="11">
        <v>45446</v>
      </c>
      <c r="C306" s="17" t="s">
        <v>2654</v>
      </c>
      <c r="D306" s="9">
        <v>13</v>
      </c>
      <c r="E306" s="25">
        <v>45443</v>
      </c>
      <c r="F306" s="9">
        <v>651076.34</v>
      </c>
      <c r="G306" s="9">
        <v>231.89</v>
      </c>
      <c r="H306" s="9">
        <v>231.89</v>
      </c>
    </row>
    <row r="307" spans="1:8" ht="15" thickBot="1" x14ac:dyDescent="0.35">
      <c r="A307" s="10">
        <v>0</v>
      </c>
      <c r="B307" s="11">
        <v>45443</v>
      </c>
      <c r="C307" s="17" t="s">
        <v>2654</v>
      </c>
      <c r="D307" s="9">
        <v>13</v>
      </c>
      <c r="E307" s="25">
        <v>45442</v>
      </c>
      <c r="F307" s="9">
        <v>590645.87</v>
      </c>
      <c r="G307" s="9">
        <v>210.37</v>
      </c>
      <c r="H307" s="9">
        <v>210.37</v>
      </c>
    </row>
    <row r="308" spans="1:8" ht="15" thickBot="1" x14ac:dyDescent="0.35">
      <c r="A308" s="10">
        <v>0</v>
      </c>
      <c r="B308" s="11">
        <v>45442</v>
      </c>
      <c r="C308" s="17" t="s">
        <v>2654</v>
      </c>
      <c r="D308" s="9">
        <v>13</v>
      </c>
      <c r="E308" s="25">
        <v>45441</v>
      </c>
      <c r="F308" s="9">
        <v>624788.07999999996</v>
      </c>
      <c r="G308" s="9">
        <v>222.53</v>
      </c>
      <c r="H308" s="9">
        <v>222.53</v>
      </c>
    </row>
    <row r="309" spans="1:8" ht="15" thickBot="1" x14ac:dyDescent="0.35">
      <c r="A309" s="10">
        <v>0</v>
      </c>
      <c r="B309" s="11">
        <v>45441</v>
      </c>
      <c r="C309" s="17" t="s">
        <v>2654</v>
      </c>
      <c r="D309" s="9">
        <v>13</v>
      </c>
      <c r="E309" s="25">
        <v>45440</v>
      </c>
      <c r="F309" s="9">
        <v>595325.77</v>
      </c>
      <c r="G309" s="9">
        <v>212.03</v>
      </c>
      <c r="H309" s="9">
        <v>212.03</v>
      </c>
    </row>
    <row r="310" spans="1:8" ht="15" thickBot="1" x14ac:dyDescent="0.35">
      <c r="A310" s="10">
        <v>0</v>
      </c>
      <c r="B310" s="11">
        <v>45440</v>
      </c>
      <c r="C310" s="17" t="s">
        <v>2654</v>
      </c>
      <c r="D310" s="9">
        <v>13</v>
      </c>
      <c r="E310" s="25">
        <v>45439</v>
      </c>
      <c r="F310" s="9">
        <v>628230.30000000005</v>
      </c>
      <c r="G310" s="9">
        <v>223.75</v>
      </c>
      <c r="H310" s="9">
        <v>223.75</v>
      </c>
    </row>
    <row r="311" spans="1:8" ht="15" thickBot="1" x14ac:dyDescent="0.35">
      <c r="A311" s="10">
        <v>0</v>
      </c>
      <c r="B311" s="11">
        <v>45439</v>
      </c>
      <c r="C311" s="17" t="s">
        <v>2654</v>
      </c>
      <c r="D311" s="9">
        <v>13</v>
      </c>
      <c r="E311" s="25">
        <v>45438</v>
      </c>
      <c r="F311" s="9">
        <v>628230.30000000005</v>
      </c>
      <c r="G311" s="9">
        <v>223.75</v>
      </c>
      <c r="H311" s="9">
        <v>223.75</v>
      </c>
    </row>
    <row r="312" spans="1:8" ht="15" thickBot="1" x14ac:dyDescent="0.35">
      <c r="A312" s="10">
        <v>0</v>
      </c>
      <c r="B312" s="11">
        <v>45439</v>
      </c>
      <c r="C312" s="17" t="s">
        <v>2654</v>
      </c>
      <c r="D312" s="9">
        <v>13</v>
      </c>
      <c r="E312" s="25">
        <v>45437</v>
      </c>
      <c r="F312" s="9">
        <v>628230.30000000005</v>
      </c>
      <c r="G312" s="9">
        <v>223.75</v>
      </c>
      <c r="H312" s="9">
        <v>223.75</v>
      </c>
    </row>
    <row r="313" spans="1:8" ht="15" thickBot="1" x14ac:dyDescent="0.35">
      <c r="A313" s="10">
        <v>0</v>
      </c>
      <c r="B313" s="11">
        <v>45439</v>
      </c>
      <c r="C313" s="17" t="s">
        <v>2654</v>
      </c>
      <c r="D313" s="9">
        <v>13</v>
      </c>
      <c r="E313" s="25">
        <v>45436</v>
      </c>
      <c r="F313" s="9">
        <v>628230.30000000005</v>
      </c>
      <c r="G313" s="9">
        <v>223.75</v>
      </c>
      <c r="H313" s="9">
        <v>223.75</v>
      </c>
    </row>
    <row r="314" spans="1:8" ht="15" thickBot="1" x14ac:dyDescent="0.35">
      <c r="A314" s="10">
        <v>0</v>
      </c>
      <c r="B314" s="11">
        <v>45436</v>
      </c>
      <c r="C314" s="17" t="s">
        <v>2654</v>
      </c>
      <c r="D314" s="9">
        <v>13</v>
      </c>
      <c r="E314" s="25">
        <v>45435</v>
      </c>
      <c r="F314" s="9">
        <v>657577.51</v>
      </c>
      <c r="G314" s="9">
        <v>234.21</v>
      </c>
      <c r="H314" s="9">
        <v>234.21</v>
      </c>
    </row>
    <row r="315" spans="1:8" ht="15" thickBot="1" x14ac:dyDescent="0.35">
      <c r="A315" s="10">
        <v>0</v>
      </c>
      <c r="B315" s="11">
        <v>45435</v>
      </c>
      <c r="C315" s="17" t="s">
        <v>2654</v>
      </c>
      <c r="D315" s="9">
        <v>13</v>
      </c>
      <c r="E315" s="25">
        <v>45434</v>
      </c>
      <c r="F315" s="9">
        <v>657577.51</v>
      </c>
      <c r="G315" s="9">
        <v>234.21</v>
      </c>
      <c r="H315" s="9">
        <v>234.21</v>
      </c>
    </row>
    <row r="316" spans="1:8" ht="15" thickBot="1" x14ac:dyDescent="0.35">
      <c r="A316" s="10">
        <v>0</v>
      </c>
      <c r="B316" s="11">
        <v>45434</v>
      </c>
      <c r="C316" s="17" t="s">
        <v>2654</v>
      </c>
      <c r="D316" s="9">
        <v>13</v>
      </c>
      <c r="E316" s="25">
        <v>45433</v>
      </c>
      <c r="F316" s="9">
        <v>659965.1</v>
      </c>
      <c r="G316" s="9">
        <v>235.06</v>
      </c>
      <c r="H316" s="9">
        <v>235.06</v>
      </c>
    </row>
    <row r="317" spans="1:8" ht="15" thickBot="1" x14ac:dyDescent="0.35">
      <c r="A317" s="10">
        <v>0</v>
      </c>
      <c r="B317" s="11">
        <v>45433</v>
      </c>
      <c r="C317" s="17" t="s">
        <v>2654</v>
      </c>
      <c r="D317" s="9">
        <v>13</v>
      </c>
      <c r="E317" s="25">
        <v>45432</v>
      </c>
      <c r="F317" s="9">
        <v>661236.71</v>
      </c>
      <c r="G317" s="9">
        <v>235.51</v>
      </c>
      <c r="H317" s="9">
        <v>235.51</v>
      </c>
    </row>
    <row r="318" spans="1:8" ht="15" thickBot="1" x14ac:dyDescent="0.35">
      <c r="A318" s="10">
        <v>0</v>
      </c>
      <c r="B318" s="11">
        <v>45433</v>
      </c>
      <c r="C318" s="17" t="s">
        <v>2654</v>
      </c>
      <c r="D318" s="9">
        <v>13</v>
      </c>
      <c r="E318" s="25">
        <v>45431</v>
      </c>
      <c r="F318" s="9">
        <v>661236.71</v>
      </c>
      <c r="G318" s="9">
        <v>235.51</v>
      </c>
      <c r="H318" s="9">
        <v>235.51</v>
      </c>
    </row>
    <row r="319" spans="1:8" ht="15" thickBot="1" x14ac:dyDescent="0.35">
      <c r="A319" s="10">
        <v>0</v>
      </c>
      <c r="B319" s="11">
        <v>45433</v>
      </c>
      <c r="C319" s="17" t="s">
        <v>2654</v>
      </c>
      <c r="D319" s="9">
        <v>13</v>
      </c>
      <c r="E319" s="25">
        <v>45430</v>
      </c>
      <c r="F319" s="9">
        <v>661236.71</v>
      </c>
      <c r="G319" s="9">
        <v>235.51</v>
      </c>
      <c r="H319" s="9">
        <v>235.51</v>
      </c>
    </row>
    <row r="320" spans="1:8" ht="15" thickBot="1" x14ac:dyDescent="0.35">
      <c r="A320" s="10">
        <v>0</v>
      </c>
      <c r="B320" s="11">
        <v>45430</v>
      </c>
      <c r="C320" s="17" t="s">
        <v>2654</v>
      </c>
      <c r="D320" s="9">
        <v>13</v>
      </c>
      <c r="E320" s="25">
        <v>45429</v>
      </c>
      <c r="F320" s="9">
        <v>662543.19999999995</v>
      </c>
      <c r="G320" s="9">
        <v>235.97</v>
      </c>
      <c r="H320" s="9">
        <v>235.97</v>
      </c>
    </row>
    <row r="321" spans="1:8" ht="15" thickBot="1" x14ac:dyDescent="0.35">
      <c r="A321" s="10">
        <v>0</v>
      </c>
      <c r="B321" s="11">
        <v>45429</v>
      </c>
      <c r="C321" s="17" t="s">
        <v>2654</v>
      </c>
      <c r="D321" s="9">
        <v>13</v>
      </c>
      <c r="E321" s="25">
        <v>45428</v>
      </c>
      <c r="F321" s="9">
        <v>602491.04</v>
      </c>
      <c r="G321" s="9">
        <v>214.59</v>
      </c>
      <c r="H321" s="9">
        <v>214.59</v>
      </c>
    </row>
    <row r="322" spans="1:8" ht="15" thickBot="1" x14ac:dyDescent="0.35">
      <c r="A322" s="10">
        <v>0</v>
      </c>
      <c r="B322" s="11">
        <v>45428</v>
      </c>
      <c r="C322" s="17" t="s">
        <v>2654</v>
      </c>
      <c r="D322" s="9">
        <v>13</v>
      </c>
      <c r="E322" s="25">
        <v>45427</v>
      </c>
      <c r="F322" s="9">
        <v>679075.12</v>
      </c>
      <c r="G322" s="9">
        <v>241.86</v>
      </c>
      <c r="H322" s="9">
        <v>241.86</v>
      </c>
    </row>
    <row r="323" spans="1:8" ht="15" thickBot="1" x14ac:dyDescent="0.35">
      <c r="A323" s="10">
        <v>0</v>
      </c>
      <c r="B323" s="11">
        <v>45427</v>
      </c>
      <c r="C323" s="17" t="s">
        <v>2654</v>
      </c>
      <c r="D323" s="9">
        <v>13</v>
      </c>
      <c r="E323" s="25">
        <v>45426</v>
      </c>
      <c r="F323" s="9">
        <v>675219.45</v>
      </c>
      <c r="G323" s="9">
        <v>240.49</v>
      </c>
      <c r="H323" s="9">
        <v>240.49</v>
      </c>
    </row>
    <row r="324" spans="1:8" ht="15" thickBot="1" x14ac:dyDescent="0.35">
      <c r="A324" s="10">
        <v>0</v>
      </c>
      <c r="B324" s="11">
        <v>45426</v>
      </c>
      <c r="C324" s="17" t="s">
        <v>2654</v>
      </c>
      <c r="D324" s="9">
        <v>13</v>
      </c>
      <c r="E324" s="25">
        <v>45425</v>
      </c>
      <c r="F324" s="9">
        <v>630486.9</v>
      </c>
      <c r="G324" s="9">
        <v>224.56</v>
      </c>
      <c r="H324" s="9">
        <v>224.56</v>
      </c>
    </row>
    <row r="325" spans="1:8" ht="15" thickBot="1" x14ac:dyDescent="0.35">
      <c r="A325" s="10">
        <v>0</v>
      </c>
      <c r="B325" s="11">
        <v>45425</v>
      </c>
      <c r="C325" s="17" t="s">
        <v>2654</v>
      </c>
      <c r="D325" s="9">
        <v>13</v>
      </c>
      <c r="E325" s="25">
        <v>45424</v>
      </c>
      <c r="F325" s="9">
        <v>632951.37</v>
      </c>
      <c r="G325" s="9">
        <v>225.43</v>
      </c>
      <c r="H325" s="9">
        <v>225.43</v>
      </c>
    </row>
    <row r="326" spans="1:8" ht="15" thickBot="1" x14ac:dyDescent="0.35">
      <c r="A326" s="10">
        <v>0</v>
      </c>
      <c r="B326" s="11">
        <v>45425</v>
      </c>
      <c r="C326" s="17" t="s">
        <v>2654</v>
      </c>
      <c r="D326" s="9">
        <v>13</v>
      </c>
      <c r="E326" s="25">
        <v>45423</v>
      </c>
      <c r="F326" s="9">
        <v>632951.37</v>
      </c>
      <c r="G326" s="9">
        <v>225.43</v>
      </c>
      <c r="H326" s="9">
        <v>225.43</v>
      </c>
    </row>
    <row r="327" spans="1:8" ht="15" thickBot="1" x14ac:dyDescent="0.35">
      <c r="A327" s="10">
        <v>0</v>
      </c>
      <c r="B327" s="11">
        <v>45425</v>
      </c>
      <c r="C327" s="17" t="s">
        <v>2654</v>
      </c>
      <c r="D327" s="9">
        <v>13</v>
      </c>
      <c r="E327" s="25">
        <v>45422</v>
      </c>
      <c r="F327" s="9">
        <v>632951.37</v>
      </c>
      <c r="G327" s="9">
        <v>225.43</v>
      </c>
      <c r="H327" s="9">
        <v>225.43</v>
      </c>
    </row>
    <row r="328" spans="1:8" ht="15" thickBot="1" x14ac:dyDescent="0.35">
      <c r="A328" s="10">
        <v>0</v>
      </c>
      <c r="B328" s="11">
        <v>45422</v>
      </c>
      <c r="C328" s="17" t="s">
        <v>2654</v>
      </c>
      <c r="D328" s="9">
        <v>13</v>
      </c>
      <c r="E328" s="25">
        <v>45421</v>
      </c>
      <c r="F328" s="9">
        <v>620742.42000000004</v>
      </c>
      <c r="G328" s="9">
        <v>221.09</v>
      </c>
      <c r="H328" s="9">
        <v>221.09</v>
      </c>
    </row>
    <row r="329" spans="1:8" ht="15" thickBot="1" x14ac:dyDescent="0.35">
      <c r="A329" s="10">
        <v>0</v>
      </c>
      <c r="B329" s="11">
        <v>45421</v>
      </c>
      <c r="C329" s="17" t="s">
        <v>2654</v>
      </c>
      <c r="D329" s="9">
        <v>13</v>
      </c>
      <c r="E329" s="25">
        <v>45420</v>
      </c>
      <c r="F329" s="9">
        <v>641223.46</v>
      </c>
      <c r="G329" s="9">
        <v>228.38</v>
      </c>
      <c r="H329" s="9">
        <v>228.38</v>
      </c>
    </row>
    <row r="330" spans="1:8" ht="15" thickBot="1" x14ac:dyDescent="0.35">
      <c r="A330" s="10">
        <v>0</v>
      </c>
      <c r="B330" s="11">
        <v>45420</v>
      </c>
      <c r="C330" s="17" t="s">
        <v>2654</v>
      </c>
      <c r="D330" s="9">
        <v>13</v>
      </c>
      <c r="E330" s="25">
        <v>45419</v>
      </c>
      <c r="F330" s="9">
        <v>631269.29</v>
      </c>
      <c r="G330" s="9">
        <v>224.84</v>
      </c>
      <c r="H330" s="9">
        <v>224.84</v>
      </c>
    </row>
    <row r="331" spans="1:8" ht="15" thickBot="1" x14ac:dyDescent="0.35">
      <c r="A331" s="10">
        <v>0</v>
      </c>
      <c r="B331" s="11">
        <v>45419</v>
      </c>
      <c r="C331" s="17" t="s">
        <v>2654</v>
      </c>
      <c r="D331" s="9">
        <v>13</v>
      </c>
      <c r="E331" s="25">
        <v>45418</v>
      </c>
      <c r="F331" s="9">
        <v>610602.22</v>
      </c>
      <c r="G331" s="9">
        <v>217.47</v>
      </c>
      <c r="H331" s="9">
        <v>217.47</v>
      </c>
    </row>
    <row r="332" spans="1:8" ht="15" thickBot="1" x14ac:dyDescent="0.35">
      <c r="A332" s="10">
        <v>0</v>
      </c>
      <c r="B332" s="11">
        <v>45418</v>
      </c>
      <c r="C332" s="17" t="s">
        <v>2654</v>
      </c>
      <c r="D332" s="9">
        <v>13</v>
      </c>
      <c r="E332" s="25">
        <v>45417</v>
      </c>
      <c r="F332" s="9">
        <v>607990.37</v>
      </c>
      <c r="G332" s="9">
        <v>216.54</v>
      </c>
      <c r="H332" s="9">
        <v>216.54</v>
      </c>
    </row>
    <row r="333" spans="1:8" ht="15" thickBot="1" x14ac:dyDescent="0.35">
      <c r="A333" s="10">
        <v>0</v>
      </c>
      <c r="B333" s="11">
        <v>45418</v>
      </c>
      <c r="C333" s="17" t="s">
        <v>2654</v>
      </c>
      <c r="D333" s="9">
        <v>13</v>
      </c>
      <c r="E333" s="25">
        <v>45416</v>
      </c>
      <c r="F333" s="9">
        <v>607990.37</v>
      </c>
      <c r="G333" s="9">
        <v>216.54</v>
      </c>
      <c r="H333" s="9">
        <v>216.54</v>
      </c>
    </row>
    <row r="334" spans="1:8" ht="15" thickBot="1" x14ac:dyDescent="0.35">
      <c r="A334" s="10">
        <v>0</v>
      </c>
      <c r="B334" s="11">
        <v>45418</v>
      </c>
      <c r="C334" s="17" t="s">
        <v>2654</v>
      </c>
      <c r="D334" s="9">
        <v>13</v>
      </c>
      <c r="E334" s="25">
        <v>45415</v>
      </c>
      <c r="F334" s="9">
        <v>607990.37</v>
      </c>
      <c r="G334" s="9">
        <v>216.54</v>
      </c>
      <c r="H334" s="9">
        <v>216.54</v>
      </c>
    </row>
    <row r="335" spans="1:8" ht="15" thickBot="1" x14ac:dyDescent="0.35">
      <c r="A335" s="10">
        <v>0</v>
      </c>
      <c r="B335" s="11">
        <v>45415</v>
      </c>
      <c r="C335" s="17" t="s">
        <v>2654</v>
      </c>
      <c r="D335" s="9">
        <v>13</v>
      </c>
      <c r="E335" s="25">
        <v>45414</v>
      </c>
      <c r="F335" s="9">
        <v>677441.61</v>
      </c>
      <c r="G335" s="9">
        <v>241.28</v>
      </c>
      <c r="H335" s="9">
        <v>241.28</v>
      </c>
    </row>
    <row r="336" spans="1:8" ht="15" thickBot="1" x14ac:dyDescent="0.35">
      <c r="A336" s="10">
        <v>0</v>
      </c>
      <c r="B336" s="11">
        <v>45414</v>
      </c>
      <c r="C336" s="17" t="s">
        <v>2654</v>
      </c>
      <c r="D336" s="9">
        <v>13</v>
      </c>
      <c r="E336" s="25">
        <v>45413</v>
      </c>
      <c r="F336" s="9">
        <v>746617.32</v>
      </c>
      <c r="G336" s="9">
        <v>265.92</v>
      </c>
      <c r="H336" s="9">
        <v>265.92</v>
      </c>
    </row>
    <row r="337" spans="1:8" ht="15" thickBot="1" x14ac:dyDescent="0.35">
      <c r="A337" s="10">
        <v>0</v>
      </c>
      <c r="B337" s="11">
        <v>45414</v>
      </c>
      <c r="C337" s="17" t="s">
        <v>2654</v>
      </c>
      <c r="D337" s="9">
        <v>13</v>
      </c>
      <c r="E337" s="25">
        <v>45412</v>
      </c>
      <c r="F337" s="9">
        <v>746617.32</v>
      </c>
      <c r="G337" s="9">
        <v>265.92</v>
      </c>
      <c r="H337" s="9">
        <v>265.92</v>
      </c>
    </row>
    <row r="338" spans="1:8" ht="15" thickBot="1" x14ac:dyDescent="0.35">
      <c r="A338" s="10">
        <v>0</v>
      </c>
      <c r="B338" s="11">
        <v>45412</v>
      </c>
      <c r="C338" s="17" t="s">
        <v>2654</v>
      </c>
      <c r="D338" s="9">
        <v>13</v>
      </c>
      <c r="E338" s="25">
        <v>45411</v>
      </c>
      <c r="F338" s="9">
        <v>778160.83</v>
      </c>
      <c r="G338" s="9">
        <v>277.14999999999998</v>
      </c>
      <c r="H338" s="9">
        <v>277.14999999999998</v>
      </c>
    </row>
    <row r="339" spans="1:8" ht="15" thickBot="1" x14ac:dyDescent="0.35">
      <c r="A339" s="10">
        <v>0</v>
      </c>
      <c r="B339" s="11">
        <v>45411</v>
      </c>
      <c r="C339" s="17" t="s">
        <v>2654</v>
      </c>
      <c r="D339" s="9">
        <v>13</v>
      </c>
      <c r="E339" s="25">
        <v>45410</v>
      </c>
      <c r="F339" s="9">
        <v>833941.92</v>
      </c>
      <c r="G339" s="9">
        <v>297.02</v>
      </c>
      <c r="H339" s="9">
        <v>297.02</v>
      </c>
    </row>
    <row r="340" spans="1:8" ht="15" thickBot="1" x14ac:dyDescent="0.35">
      <c r="A340" s="10">
        <v>0</v>
      </c>
      <c r="B340" s="11">
        <v>45411</v>
      </c>
      <c r="C340" s="17" t="s">
        <v>2654</v>
      </c>
      <c r="D340" s="9">
        <v>13</v>
      </c>
      <c r="E340" s="25">
        <v>45409</v>
      </c>
      <c r="F340" s="9">
        <v>833941.92</v>
      </c>
      <c r="G340" s="9">
        <v>297.02</v>
      </c>
      <c r="H340" s="9">
        <v>297.02</v>
      </c>
    </row>
    <row r="341" spans="1:8" ht="15" thickBot="1" x14ac:dyDescent="0.35">
      <c r="A341" s="10">
        <v>0</v>
      </c>
      <c r="B341" s="11">
        <v>45411</v>
      </c>
      <c r="C341" s="17" t="s">
        <v>2654</v>
      </c>
      <c r="D341" s="9">
        <v>13</v>
      </c>
      <c r="E341" s="25">
        <v>45408</v>
      </c>
      <c r="F341" s="9">
        <v>833941.92</v>
      </c>
      <c r="G341" s="9">
        <v>297.02</v>
      </c>
      <c r="H341" s="9">
        <v>297.02</v>
      </c>
    </row>
    <row r="342" spans="1:8" ht="15" thickBot="1" x14ac:dyDescent="0.35">
      <c r="A342" s="10">
        <v>0</v>
      </c>
      <c r="B342" s="11">
        <v>45408</v>
      </c>
      <c r="C342" s="17" t="s">
        <v>2654</v>
      </c>
      <c r="D342" s="9">
        <v>13</v>
      </c>
      <c r="E342" s="25">
        <v>45407</v>
      </c>
      <c r="F342" s="9">
        <v>891548.73</v>
      </c>
      <c r="G342" s="9">
        <v>317.54000000000002</v>
      </c>
      <c r="H342" s="9">
        <v>317.54000000000002</v>
      </c>
    </row>
    <row r="343" spans="1:8" ht="15" thickBot="1" x14ac:dyDescent="0.35">
      <c r="A343" s="10">
        <v>0</v>
      </c>
      <c r="B343" s="11">
        <v>45407</v>
      </c>
      <c r="C343" s="17" t="s">
        <v>2654</v>
      </c>
      <c r="D343" s="9">
        <v>13</v>
      </c>
      <c r="E343" s="25">
        <v>45406</v>
      </c>
      <c r="F343" s="9">
        <v>1095742.3700000001</v>
      </c>
      <c r="G343" s="9">
        <v>390.26</v>
      </c>
      <c r="H343" s="9">
        <v>390.26</v>
      </c>
    </row>
    <row r="344" spans="1:8" ht="15" thickBot="1" x14ac:dyDescent="0.35">
      <c r="A344" s="10">
        <v>0</v>
      </c>
      <c r="B344" s="11">
        <v>45406</v>
      </c>
      <c r="C344" s="17" t="s">
        <v>2654</v>
      </c>
      <c r="D344" s="9">
        <v>13</v>
      </c>
      <c r="E344" s="25">
        <v>45405</v>
      </c>
      <c r="F344" s="9">
        <v>1095742.3700000001</v>
      </c>
      <c r="G344" s="9">
        <v>390.26</v>
      </c>
      <c r="H344" s="9">
        <v>390.26</v>
      </c>
    </row>
    <row r="345" spans="1:8" ht="15" thickBot="1" x14ac:dyDescent="0.35">
      <c r="A345" s="10">
        <v>0</v>
      </c>
      <c r="B345" s="11">
        <v>45405</v>
      </c>
      <c r="C345" s="17" t="s">
        <v>2654</v>
      </c>
      <c r="D345" s="9">
        <v>13</v>
      </c>
      <c r="E345" s="25">
        <v>45404</v>
      </c>
      <c r="F345" s="9">
        <v>1181822.04</v>
      </c>
      <c r="G345" s="9">
        <v>420.92</v>
      </c>
      <c r="H345" s="9">
        <v>420.92</v>
      </c>
    </row>
    <row r="346" spans="1:8" ht="15" thickBot="1" x14ac:dyDescent="0.35">
      <c r="A346" s="10">
        <v>0</v>
      </c>
      <c r="B346" s="11">
        <v>45404</v>
      </c>
      <c r="C346" s="17" t="s">
        <v>2654</v>
      </c>
      <c r="D346" s="9">
        <v>13</v>
      </c>
      <c r="E346" s="25">
        <v>45403</v>
      </c>
      <c r="F346" s="9">
        <v>1179293.55</v>
      </c>
      <c r="G346" s="9">
        <v>420.02</v>
      </c>
      <c r="H346" s="9">
        <v>420.02</v>
      </c>
    </row>
    <row r="347" spans="1:8" ht="15" thickBot="1" x14ac:dyDescent="0.35">
      <c r="A347" s="10">
        <v>0</v>
      </c>
      <c r="B347" s="11">
        <v>45404</v>
      </c>
      <c r="C347" s="17" t="s">
        <v>2654</v>
      </c>
      <c r="D347" s="9">
        <v>13</v>
      </c>
      <c r="E347" s="25">
        <v>45402</v>
      </c>
      <c r="F347" s="9">
        <v>1179293.55</v>
      </c>
      <c r="G347" s="9">
        <v>420.02</v>
      </c>
      <c r="H347" s="9">
        <v>420.02</v>
      </c>
    </row>
    <row r="348" spans="1:8" ht="15" thickBot="1" x14ac:dyDescent="0.35">
      <c r="A348" s="10">
        <v>0</v>
      </c>
      <c r="B348" s="11">
        <v>45404</v>
      </c>
      <c r="C348" s="17" t="s">
        <v>2654</v>
      </c>
      <c r="D348" s="9">
        <v>13</v>
      </c>
      <c r="E348" s="25">
        <v>45401</v>
      </c>
      <c r="F348" s="9">
        <v>1179293.55</v>
      </c>
      <c r="G348" s="9">
        <v>420.02</v>
      </c>
      <c r="H348" s="9">
        <v>420.02</v>
      </c>
    </row>
    <row r="349" spans="1:8" ht="15" thickBot="1" x14ac:dyDescent="0.35">
      <c r="A349" s="10">
        <v>0</v>
      </c>
      <c r="B349" s="11">
        <v>45401</v>
      </c>
      <c r="C349" s="17" t="s">
        <v>2654</v>
      </c>
      <c r="D349" s="9">
        <v>13</v>
      </c>
      <c r="E349" s="25">
        <v>45400</v>
      </c>
      <c r="F349" s="9">
        <v>1122682.31</v>
      </c>
      <c r="G349" s="9">
        <v>399.86</v>
      </c>
      <c r="H349" s="9">
        <v>399.86</v>
      </c>
    </row>
    <row r="350" spans="1:8" ht="15" thickBot="1" x14ac:dyDescent="0.35">
      <c r="A350" s="10">
        <v>0</v>
      </c>
      <c r="B350" s="11">
        <v>45400</v>
      </c>
      <c r="C350" s="17" t="s">
        <v>2654</v>
      </c>
      <c r="D350" s="9">
        <v>13</v>
      </c>
      <c r="E350" s="25">
        <v>45399</v>
      </c>
      <c r="F350" s="9">
        <v>1111635.75</v>
      </c>
      <c r="G350" s="9">
        <v>395.93</v>
      </c>
      <c r="H350" s="9">
        <v>395.93</v>
      </c>
    </row>
    <row r="351" spans="1:8" ht="15" thickBot="1" x14ac:dyDescent="0.35">
      <c r="A351" s="10">
        <v>0</v>
      </c>
      <c r="B351" s="11">
        <v>45400</v>
      </c>
      <c r="C351" s="17" t="s">
        <v>2654</v>
      </c>
      <c r="D351" s="9">
        <v>13</v>
      </c>
      <c r="E351" s="25">
        <v>45398</v>
      </c>
      <c r="F351" s="9">
        <v>1111635.75</v>
      </c>
      <c r="G351" s="9">
        <v>395.93</v>
      </c>
      <c r="H351" s="9">
        <v>395.93</v>
      </c>
    </row>
    <row r="352" spans="1:8" ht="15" thickBot="1" x14ac:dyDescent="0.35">
      <c r="A352" s="10">
        <v>0</v>
      </c>
      <c r="B352" s="11">
        <v>45398</v>
      </c>
      <c r="C352" s="17" t="s">
        <v>2654</v>
      </c>
      <c r="D352" s="9">
        <v>13</v>
      </c>
      <c r="E352" s="25">
        <v>45397</v>
      </c>
      <c r="F352" s="9">
        <v>1171344.04</v>
      </c>
      <c r="G352" s="9">
        <v>417.19</v>
      </c>
      <c r="H352" s="9">
        <v>417.19</v>
      </c>
    </row>
    <row r="353" spans="1:8" ht="15" thickBot="1" x14ac:dyDescent="0.35">
      <c r="A353" s="10">
        <v>0</v>
      </c>
      <c r="B353" s="11">
        <v>45397</v>
      </c>
      <c r="C353" s="17" t="s">
        <v>2654</v>
      </c>
      <c r="D353" s="9">
        <v>13</v>
      </c>
      <c r="E353" s="25">
        <v>45396</v>
      </c>
      <c r="F353" s="9">
        <v>1171344.04</v>
      </c>
      <c r="G353" s="9">
        <v>417.19</v>
      </c>
      <c r="H353" s="9">
        <v>417.19</v>
      </c>
    </row>
    <row r="354" spans="1:8" ht="15" thickBot="1" x14ac:dyDescent="0.35">
      <c r="A354" s="10">
        <v>0</v>
      </c>
      <c r="B354" s="11">
        <v>45397</v>
      </c>
      <c r="C354" s="17" t="s">
        <v>2654</v>
      </c>
      <c r="D354" s="9">
        <v>13</v>
      </c>
      <c r="E354" s="25">
        <v>45395</v>
      </c>
      <c r="F354" s="9">
        <v>1171344.04</v>
      </c>
      <c r="G354" s="9">
        <v>417.19</v>
      </c>
      <c r="H354" s="9">
        <v>417.19</v>
      </c>
    </row>
    <row r="355" spans="1:8" ht="15" thickBot="1" x14ac:dyDescent="0.35">
      <c r="A355" s="10">
        <v>0</v>
      </c>
      <c r="B355" s="11">
        <v>45397</v>
      </c>
      <c r="C355" s="17" t="s">
        <v>2654</v>
      </c>
      <c r="D355" s="9">
        <v>13</v>
      </c>
      <c r="E355" s="25">
        <v>45394</v>
      </c>
      <c r="F355" s="9">
        <v>1171344.04</v>
      </c>
      <c r="G355" s="9">
        <v>417.19</v>
      </c>
      <c r="H355" s="9">
        <v>417.19</v>
      </c>
    </row>
    <row r="356" spans="1:8" ht="15" thickBot="1" x14ac:dyDescent="0.35">
      <c r="A356" s="10">
        <v>0</v>
      </c>
      <c r="B356" s="11">
        <v>45394</v>
      </c>
      <c r="C356" s="17" t="s">
        <v>2654</v>
      </c>
      <c r="D356" s="9">
        <v>13</v>
      </c>
      <c r="E356" s="25">
        <v>45393</v>
      </c>
      <c r="F356" s="9">
        <v>1234044.53</v>
      </c>
      <c r="G356" s="9">
        <v>439.52</v>
      </c>
      <c r="H356" s="9">
        <v>439.52</v>
      </c>
    </row>
    <row r="357" spans="1:8" ht="15" thickBot="1" x14ac:dyDescent="0.35">
      <c r="A357" s="10">
        <v>0</v>
      </c>
      <c r="B357" s="11">
        <v>45394</v>
      </c>
      <c r="C357" s="17" t="s">
        <v>2654</v>
      </c>
      <c r="D357" s="9">
        <v>13</v>
      </c>
      <c r="E357" s="25">
        <v>45392</v>
      </c>
      <c r="F357" s="9">
        <v>1234044.53</v>
      </c>
      <c r="G357" s="9">
        <v>439.52</v>
      </c>
      <c r="H357" s="9">
        <v>439.52</v>
      </c>
    </row>
    <row r="358" spans="1:8" ht="15" thickBot="1" x14ac:dyDescent="0.35">
      <c r="A358" s="10">
        <v>0</v>
      </c>
      <c r="B358" s="11">
        <v>45392</v>
      </c>
      <c r="C358" s="17" t="s">
        <v>2654</v>
      </c>
      <c r="D358" s="9">
        <v>13</v>
      </c>
      <c r="E358" s="25">
        <v>45391</v>
      </c>
      <c r="F358" s="9">
        <v>1218583.81</v>
      </c>
      <c r="G358" s="9">
        <v>434.02</v>
      </c>
      <c r="H358" s="9">
        <v>434.02</v>
      </c>
    </row>
    <row r="359" spans="1:8" ht="15" thickBot="1" x14ac:dyDescent="0.35">
      <c r="A359" s="10">
        <v>0</v>
      </c>
      <c r="B359" s="11">
        <v>45391</v>
      </c>
      <c r="C359" s="17" t="s">
        <v>2654</v>
      </c>
      <c r="D359" s="9">
        <v>13</v>
      </c>
      <c r="E359" s="25">
        <v>45390</v>
      </c>
      <c r="F359" s="9">
        <v>1224942.48</v>
      </c>
      <c r="G359" s="9">
        <v>436.28</v>
      </c>
      <c r="H359" s="9">
        <v>436.28</v>
      </c>
    </row>
    <row r="360" spans="1:8" ht="15" thickBot="1" x14ac:dyDescent="0.35">
      <c r="A360" s="10">
        <v>0</v>
      </c>
      <c r="B360" s="11">
        <v>45390</v>
      </c>
      <c r="C360" s="17" t="s">
        <v>2654</v>
      </c>
      <c r="D360" s="9">
        <v>13</v>
      </c>
      <c r="E360" s="25">
        <v>45389</v>
      </c>
      <c r="F360" s="9">
        <v>1232454.83</v>
      </c>
      <c r="G360" s="9">
        <v>438.96</v>
      </c>
      <c r="H360" s="9">
        <v>438.96</v>
      </c>
    </row>
    <row r="361" spans="1:8" ht="15" thickBot="1" x14ac:dyDescent="0.35">
      <c r="A361" s="10">
        <v>0</v>
      </c>
      <c r="B361" s="11">
        <v>45390</v>
      </c>
      <c r="C361" s="17" t="s">
        <v>2654</v>
      </c>
      <c r="D361" s="9">
        <v>13</v>
      </c>
      <c r="E361" s="25">
        <v>45388</v>
      </c>
      <c r="F361" s="9">
        <v>1232454.83</v>
      </c>
      <c r="G361" s="9">
        <v>438.96</v>
      </c>
      <c r="H361" s="9">
        <v>438.96</v>
      </c>
    </row>
    <row r="362" spans="1:8" ht="15" thickBot="1" x14ac:dyDescent="0.35">
      <c r="A362" s="10">
        <v>0</v>
      </c>
      <c r="B362" s="11">
        <v>45390</v>
      </c>
      <c r="C362" s="17" t="s">
        <v>2654</v>
      </c>
      <c r="D362" s="9">
        <v>13</v>
      </c>
      <c r="E362" s="25">
        <v>45387</v>
      </c>
      <c r="F362" s="9">
        <v>1232454.83</v>
      </c>
      <c r="G362" s="9">
        <v>438.96</v>
      </c>
      <c r="H362" s="9">
        <v>438.96</v>
      </c>
    </row>
    <row r="363" spans="1:8" ht="15" thickBot="1" x14ac:dyDescent="0.35">
      <c r="A363" s="10">
        <v>0</v>
      </c>
      <c r="B363" s="11">
        <v>45387</v>
      </c>
      <c r="C363" s="17" t="s">
        <v>2654</v>
      </c>
      <c r="D363" s="9">
        <v>13</v>
      </c>
      <c r="E363" s="25">
        <v>45386</v>
      </c>
      <c r="F363" s="9">
        <v>1223276.57</v>
      </c>
      <c r="G363" s="9">
        <v>435.69</v>
      </c>
      <c r="H363" s="9">
        <v>435.69</v>
      </c>
    </row>
    <row r="364" spans="1:8" ht="15" thickBot="1" x14ac:dyDescent="0.35">
      <c r="A364" s="10">
        <v>0</v>
      </c>
      <c r="B364" s="11">
        <v>45386</v>
      </c>
      <c r="C364" s="17" t="s">
        <v>2654</v>
      </c>
      <c r="D364" s="9">
        <v>13</v>
      </c>
      <c r="E364" s="25">
        <v>45385</v>
      </c>
      <c r="F364" s="9">
        <v>1227511.93</v>
      </c>
      <c r="G364" s="9">
        <v>437.2</v>
      </c>
      <c r="H364" s="9">
        <v>437.2</v>
      </c>
    </row>
    <row r="365" spans="1:8" ht="15" thickBot="1" x14ac:dyDescent="0.35">
      <c r="A365" s="10">
        <v>0</v>
      </c>
      <c r="B365" s="11">
        <v>45385</v>
      </c>
      <c r="C365" s="17" t="s">
        <v>2654</v>
      </c>
      <c r="D365" s="9">
        <v>13</v>
      </c>
      <c r="E365" s="25">
        <v>45384</v>
      </c>
      <c r="F365" s="9">
        <v>1182170.3799999999</v>
      </c>
      <c r="G365" s="9">
        <v>421.05</v>
      </c>
      <c r="H365" s="9">
        <v>421.05</v>
      </c>
    </row>
    <row r="366" spans="1:8" ht="15" thickBot="1" x14ac:dyDescent="0.35">
      <c r="A366" s="10">
        <v>0</v>
      </c>
      <c r="B366" s="11">
        <v>45384</v>
      </c>
      <c r="C366" s="17" t="s">
        <v>2654</v>
      </c>
      <c r="D366" s="9">
        <v>13</v>
      </c>
      <c r="E366" s="25">
        <v>45383</v>
      </c>
      <c r="F366" s="9">
        <v>1252803.9099999999</v>
      </c>
      <c r="G366" s="9">
        <v>446.2</v>
      </c>
      <c r="H366" s="9">
        <v>446.2</v>
      </c>
    </row>
    <row r="367" spans="1:8" ht="15" thickBot="1" x14ac:dyDescent="0.35">
      <c r="A367" s="10">
        <v>0</v>
      </c>
      <c r="B367" s="11">
        <v>45383</v>
      </c>
      <c r="C367" s="17" t="s">
        <v>2654</v>
      </c>
      <c r="D367" s="9">
        <v>13</v>
      </c>
      <c r="E367" s="25">
        <v>45382</v>
      </c>
      <c r="F367" s="9">
        <v>1272122.0900000001</v>
      </c>
      <c r="G367" s="9">
        <v>453.08</v>
      </c>
      <c r="H367" s="9">
        <v>453.08</v>
      </c>
    </row>
    <row r="368" spans="1:8" ht="15" thickBot="1" x14ac:dyDescent="0.35">
      <c r="A368" s="10">
        <v>0</v>
      </c>
      <c r="B368" s="11">
        <v>45383</v>
      </c>
      <c r="C368" s="17" t="s">
        <v>2654</v>
      </c>
      <c r="D368" s="9">
        <v>13</v>
      </c>
      <c r="E368" s="25">
        <v>45381</v>
      </c>
      <c r="F368" s="9">
        <v>1272122.0900000001</v>
      </c>
      <c r="G368" s="9">
        <v>453.08</v>
      </c>
      <c r="H368" s="9">
        <v>453.08</v>
      </c>
    </row>
    <row r="369" spans="1:8" ht="15" thickBot="1" x14ac:dyDescent="0.35">
      <c r="A369" s="10">
        <v>0</v>
      </c>
      <c r="B369" s="11">
        <v>45383</v>
      </c>
      <c r="C369" s="17" t="s">
        <v>2654</v>
      </c>
      <c r="D369" s="9">
        <v>13</v>
      </c>
      <c r="E369" s="25">
        <v>45380</v>
      </c>
      <c r="F369" s="9">
        <v>1272122.0900000001</v>
      </c>
      <c r="G369" s="9">
        <v>453.08</v>
      </c>
      <c r="H369" s="9">
        <v>453.08</v>
      </c>
    </row>
    <row r="370" spans="1:8" ht="15" thickBot="1" x14ac:dyDescent="0.35">
      <c r="A370" s="10">
        <v>0</v>
      </c>
      <c r="B370" s="11">
        <v>45383</v>
      </c>
      <c r="C370" s="17" t="s">
        <v>2654</v>
      </c>
      <c r="D370" s="9">
        <v>13</v>
      </c>
      <c r="E370" s="25">
        <v>45379</v>
      </c>
      <c r="F370" s="9">
        <v>1272122.0900000001</v>
      </c>
      <c r="G370" s="9">
        <v>453.08</v>
      </c>
      <c r="H370" s="9">
        <v>453.08</v>
      </c>
    </row>
    <row r="371" spans="1:8" ht="15" thickBot="1" x14ac:dyDescent="0.35">
      <c r="A371" s="10">
        <v>0</v>
      </c>
      <c r="B371" s="10" t="s">
        <v>2655</v>
      </c>
      <c r="C371" s="17" t="s">
        <v>2656</v>
      </c>
      <c r="D371" s="9" t="s">
        <v>2655</v>
      </c>
      <c r="E371" s="9" t="s">
        <v>2655</v>
      </c>
      <c r="F371" s="9">
        <v>304475885.26999998</v>
      </c>
      <c r="G371" s="9">
        <v>108443.43</v>
      </c>
      <c r="H371" s="9">
        <v>108443.43</v>
      </c>
    </row>
    <row r="372" spans="1:8" ht="15" thickBot="1" x14ac:dyDescent="0.35">
      <c r="A372" s="58" t="s">
        <v>2657</v>
      </c>
      <c r="B372" s="59"/>
      <c r="C372" s="59"/>
      <c r="D372" s="59"/>
      <c r="E372" s="59"/>
      <c r="F372" s="59"/>
      <c r="G372" s="59"/>
      <c r="H372" s="60"/>
    </row>
  </sheetData>
  <mergeCells count="11">
    <mergeCell ref="H3:H5"/>
    <mergeCell ref="A372:H372"/>
    <mergeCell ref="A1:G1"/>
    <mergeCell ref="A2:D2"/>
    <mergeCell ref="E2:G2"/>
    <mergeCell ref="A3:A5"/>
    <mergeCell ref="B3:B5"/>
    <mergeCell ref="C3:C5"/>
    <mergeCell ref="D3:D5"/>
    <mergeCell ref="F3:F5"/>
    <mergeCell ref="G3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E206A-241C-46FF-8430-4D34C987D64B}">
  <dimension ref="A2:M2235"/>
  <sheetViews>
    <sheetView tabSelected="1" topLeftCell="C7" workbookViewId="0">
      <selection activeCell="L7" sqref="L7"/>
    </sheetView>
  </sheetViews>
  <sheetFormatPr defaultRowHeight="14.4" x14ac:dyDescent="0.3"/>
  <cols>
    <col min="1" max="1" width="8" customWidth="1"/>
    <col min="2" max="3" width="14.21875" customWidth="1"/>
    <col min="4" max="4" width="12.109375" customWidth="1"/>
    <col min="5" max="5" width="6" customWidth="1"/>
    <col min="6" max="6" width="51.33203125" customWidth="1"/>
    <col min="7" max="7" width="20.44140625" customWidth="1"/>
    <col min="8" max="8" width="14.21875" customWidth="1"/>
    <col min="10" max="10" width="15.77734375" customWidth="1"/>
    <col min="11" max="11" width="17.21875" customWidth="1"/>
    <col min="12" max="12" width="19.88671875" customWidth="1"/>
  </cols>
  <sheetData>
    <row r="2" spans="1:13" ht="14.4" customHeight="1" x14ac:dyDescent="0.3">
      <c r="A2" s="12" t="s">
        <v>1177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3" ht="15" customHeight="1" x14ac:dyDescent="0.3">
      <c r="A3" s="20" t="s">
        <v>1178</v>
      </c>
      <c r="B3" s="20"/>
      <c r="C3" s="20"/>
      <c r="D3" s="20"/>
      <c r="E3" s="20"/>
      <c r="F3" s="20"/>
      <c r="G3" s="20"/>
      <c r="H3" s="20"/>
      <c r="I3" s="20"/>
      <c r="J3" s="20" t="s">
        <v>1179</v>
      </c>
      <c r="K3" s="20"/>
      <c r="L3" s="20">
        <v>1837434.02</v>
      </c>
    </row>
    <row r="4" spans="1:13" ht="15" customHeight="1" x14ac:dyDescent="0.3">
      <c r="A4" s="20"/>
      <c r="B4" s="20"/>
      <c r="C4" s="20"/>
      <c r="D4" s="20"/>
      <c r="E4" s="20"/>
      <c r="F4" s="20"/>
      <c r="G4" s="20"/>
      <c r="H4" s="20"/>
      <c r="I4" s="20"/>
      <c r="J4" s="51">
        <f>J5-J6</f>
        <v>-172913407.99000025</v>
      </c>
      <c r="K4" s="51">
        <f>K5-K6</f>
        <v>-172659183.63000032</v>
      </c>
      <c r="L4" s="20"/>
    </row>
    <row r="5" spans="1:13" ht="15" customHeight="1" x14ac:dyDescent="0.3">
      <c r="A5" s="20"/>
      <c r="B5" s="20"/>
      <c r="C5" s="20"/>
      <c r="D5" s="20"/>
      <c r="E5" s="20"/>
      <c r="F5" s="20"/>
      <c r="G5" s="20"/>
      <c r="H5" s="20"/>
      <c r="I5" s="20"/>
      <c r="J5" s="51"/>
      <c r="K5" s="51"/>
      <c r="L5" s="20"/>
    </row>
    <row r="6" spans="1:13" ht="15" customHeight="1" thickBot="1" x14ac:dyDescent="0.35">
      <c r="A6" s="13"/>
      <c r="B6" s="13"/>
      <c r="C6" s="13"/>
      <c r="D6" s="13"/>
      <c r="E6" s="13"/>
      <c r="F6" s="13"/>
      <c r="G6" s="13"/>
      <c r="H6" s="13"/>
      <c r="I6" s="13"/>
      <c r="J6" s="67">
        <f>SUBTOTAL(9,J8:J2235)</f>
        <v>172913407.99000025</v>
      </c>
      <c r="K6" s="21">
        <f>SUBTOTAL(9,K8:K2235)</f>
        <v>172659183.63000032</v>
      </c>
      <c r="L6" s="13"/>
    </row>
    <row r="7" spans="1:13" ht="15" thickBot="1" x14ac:dyDescent="0.35">
      <c r="A7" s="8" t="s">
        <v>1180</v>
      </c>
      <c r="B7" s="8" t="s">
        <v>1181</v>
      </c>
      <c r="C7" s="8" t="s">
        <v>1182</v>
      </c>
      <c r="D7" s="8" t="s">
        <v>1183</v>
      </c>
      <c r="E7" s="8" t="s">
        <v>1184</v>
      </c>
      <c r="F7" s="8" t="s">
        <v>1185</v>
      </c>
      <c r="G7" s="8" t="s">
        <v>1186</v>
      </c>
      <c r="H7" s="8" t="s">
        <v>1187</v>
      </c>
      <c r="I7" s="8" t="s">
        <v>1188</v>
      </c>
      <c r="J7" s="8" t="s">
        <v>1189</v>
      </c>
      <c r="K7" s="8" t="s">
        <v>1190</v>
      </c>
      <c r="L7" s="8" t="s">
        <v>1191</v>
      </c>
      <c r="M7">
        <v>0</v>
      </c>
    </row>
    <row r="8" spans="1:13" ht="15" thickBot="1" x14ac:dyDescent="0.35">
      <c r="A8" s="14">
        <v>1</v>
      </c>
      <c r="B8" s="15">
        <v>45383</v>
      </c>
      <c r="C8" s="15">
        <v>45383</v>
      </c>
      <c r="D8" s="16" t="s">
        <v>1192</v>
      </c>
      <c r="E8" s="16" t="s">
        <v>1193</v>
      </c>
      <c r="F8" s="16" t="s">
        <v>1194</v>
      </c>
      <c r="G8" s="16" t="s">
        <v>1195</v>
      </c>
      <c r="H8" s="14" t="str">
        <f>"20240401/34608"</f>
        <v>20240401/34608</v>
      </c>
      <c r="I8" s="17" t="str">
        <f t="shared" ref="I8:I23" si="0">" "</f>
        <v> </v>
      </c>
      <c r="J8" s="18">
        <v>0</v>
      </c>
      <c r="K8" s="18">
        <v>1812.32</v>
      </c>
      <c r="L8" s="18">
        <v>1835621.7</v>
      </c>
      <c r="M8" t="s">
        <v>2661</v>
      </c>
    </row>
    <row r="9" spans="1:13" ht="15" thickBot="1" x14ac:dyDescent="0.35">
      <c r="A9" s="14">
        <v>2</v>
      </c>
      <c r="B9" s="15">
        <v>45383</v>
      </c>
      <c r="C9" s="15">
        <v>45383</v>
      </c>
      <c r="D9" s="16" t="s">
        <v>1192</v>
      </c>
      <c r="E9" s="16" t="s">
        <v>1193</v>
      </c>
      <c r="F9" s="16" t="s">
        <v>1194</v>
      </c>
      <c r="G9" s="16" t="s">
        <v>1195</v>
      </c>
      <c r="H9" s="14" t="str">
        <f>"20240401/92165"</f>
        <v>20240401/92165</v>
      </c>
      <c r="I9" s="17" t="str">
        <f t="shared" si="0"/>
        <v> </v>
      </c>
      <c r="J9" s="18">
        <v>0</v>
      </c>
      <c r="K9" s="18">
        <v>19318.18</v>
      </c>
      <c r="L9" s="18">
        <v>1816303.52</v>
      </c>
      <c r="M9" t="s">
        <v>2661</v>
      </c>
    </row>
    <row r="10" spans="1:13" ht="15" thickBot="1" x14ac:dyDescent="0.35">
      <c r="A10" s="14">
        <v>3</v>
      </c>
      <c r="B10" s="15">
        <v>45383</v>
      </c>
      <c r="C10" s="15">
        <v>45383</v>
      </c>
      <c r="D10" s="16" t="s">
        <v>1192</v>
      </c>
      <c r="E10" s="16" t="s">
        <v>1193</v>
      </c>
      <c r="F10" s="16" t="s">
        <v>1196</v>
      </c>
      <c r="G10" s="16" t="s">
        <v>1197</v>
      </c>
      <c r="H10" s="14" t="str">
        <f>"20240401/157760"</f>
        <v>20240401/157760</v>
      </c>
      <c r="I10" s="19" t="str">
        <f t="shared" si="0"/>
        <v> </v>
      </c>
      <c r="J10" s="18">
        <v>0</v>
      </c>
      <c r="K10" s="18">
        <v>595832.92000000004</v>
      </c>
      <c r="L10" s="18">
        <v>1220470.6000000001</v>
      </c>
    </row>
    <row r="11" spans="1:13" ht="15" thickBot="1" x14ac:dyDescent="0.35">
      <c r="A11" s="14">
        <v>4</v>
      </c>
      <c r="B11" s="15">
        <v>45383</v>
      </c>
      <c r="C11" s="15">
        <v>45383</v>
      </c>
      <c r="D11" s="16" t="s">
        <v>1192</v>
      </c>
      <c r="E11" s="16" t="s">
        <v>1193</v>
      </c>
      <c r="F11" s="16" t="s">
        <v>1198</v>
      </c>
      <c r="G11" s="16" t="s">
        <v>1197</v>
      </c>
      <c r="H11" s="14" t="str">
        <f>"20240401/157761"</f>
        <v>20240401/157761</v>
      </c>
      <c r="I11" s="19" t="str">
        <f t="shared" si="0"/>
        <v> </v>
      </c>
      <c r="J11" s="18">
        <v>0</v>
      </c>
      <c r="K11" s="18">
        <v>51302.19</v>
      </c>
      <c r="L11" s="18">
        <v>1169168.4099999999</v>
      </c>
    </row>
    <row r="12" spans="1:13" ht="15" thickBot="1" x14ac:dyDescent="0.35">
      <c r="A12" s="14">
        <v>5</v>
      </c>
      <c r="B12" s="15">
        <v>45383</v>
      </c>
      <c r="C12" s="15">
        <v>45383</v>
      </c>
      <c r="D12" s="16" t="s">
        <v>1192</v>
      </c>
      <c r="E12" s="16" t="s">
        <v>1193</v>
      </c>
      <c r="F12" s="16" t="s">
        <v>1199</v>
      </c>
      <c r="G12" s="16" t="s">
        <v>1197</v>
      </c>
      <c r="H12" s="14" t="str">
        <f>"20240401/17095"</f>
        <v>20240401/17095</v>
      </c>
      <c r="I12" s="19" t="str">
        <f t="shared" si="0"/>
        <v> </v>
      </c>
      <c r="J12" s="18">
        <v>1812.32</v>
      </c>
      <c r="K12" s="18">
        <v>0</v>
      </c>
      <c r="L12" s="18">
        <v>1170980.73</v>
      </c>
      <c r="M12" t="s">
        <v>2658</v>
      </c>
    </row>
    <row r="13" spans="1:13" ht="15" thickBot="1" x14ac:dyDescent="0.35">
      <c r="A13" s="14">
        <v>6</v>
      </c>
      <c r="B13" s="15">
        <v>45383</v>
      </c>
      <c r="C13" s="15">
        <v>45383</v>
      </c>
      <c r="D13" s="16" t="s">
        <v>1192</v>
      </c>
      <c r="E13" s="16" t="s">
        <v>1193</v>
      </c>
      <c r="F13" s="16" t="s">
        <v>1200</v>
      </c>
      <c r="G13" s="16" t="s">
        <v>1197</v>
      </c>
      <c r="H13" s="14" t="str">
        <f>"20240401/59807"</f>
        <v>20240401/59807</v>
      </c>
      <c r="I13" s="19" t="str">
        <f t="shared" si="0"/>
        <v> </v>
      </c>
      <c r="J13" s="18">
        <v>32159.25</v>
      </c>
      <c r="K13" s="18">
        <v>0</v>
      </c>
      <c r="L13" s="18">
        <v>1203139.98</v>
      </c>
    </row>
    <row r="14" spans="1:13" ht="15" thickBot="1" x14ac:dyDescent="0.35">
      <c r="A14" s="14">
        <v>7</v>
      </c>
      <c r="B14" s="15">
        <v>45383</v>
      </c>
      <c r="C14" s="15">
        <v>45383</v>
      </c>
      <c r="D14" s="16" t="s">
        <v>1192</v>
      </c>
      <c r="E14" s="16" t="s">
        <v>1193</v>
      </c>
      <c r="F14" s="16" t="s">
        <v>1201</v>
      </c>
      <c r="G14" s="16" t="s">
        <v>1197</v>
      </c>
      <c r="H14" s="14" t="str">
        <f>"20240401/59808"</f>
        <v>20240401/59808</v>
      </c>
      <c r="I14" s="19" t="str">
        <f t="shared" si="0"/>
        <v> </v>
      </c>
      <c r="J14" s="18">
        <v>585074.73</v>
      </c>
      <c r="K14" s="18">
        <v>0</v>
      </c>
      <c r="L14" s="18">
        <v>1788214.71</v>
      </c>
    </row>
    <row r="15" spans="1:13" ht="15" thickBot="1" x14ac:dyDescent="0.35">
      <c r="A15" s="14">
        <v>8</v>
      </c>
      <c r="B15" s="15">
        <v>45384</v>
      </c>
      <c r="C15" s="15">
        <v>45384</v>
      </c>
      <c r="D15" s="16" t="s">
        <v>1192</v>
      </c>
      <c r="E15" s="16" t="s">
        <v>1193</v>
      </c>
      <c r="F15" s="16" t="s">
        <v>1202</v>
      </c>
      <c r="G15" s="16" t="s">
        <v>1203</v>
      </c>
      <c r="H15" s="14" t="str">
        <f>"20240402/5441"</f>
        <v>20240402/5441</v>
      </c>
      <c r="I15" s="17" t="str">
        <f t="shared" si="0"/>
        <v> </v>
      </c>
      <c r="J15" s="18">
        <v>5099.51</v>
      </c>
      <c r="K15" s="18">
        <v>0</v>
      </c>
      <c r="L15" s="18">
        <v>1793314.22</v>
      </c>
      <c r="M15" t="s">
        <v>2661</v>
      </c>
    </row>
    <row r="16" spans="1:13" ht="15" thickBot="1" x14ac:dyDescent="0.35">
      <c r="A16" s="14">
        <v>9</v>
      </c>
      <c r="B16" s="15">
        <v>45384</v>
      </c>
      <c r="C16" s="15">
        <v>45384</v>
      </c>
      <c r="D16" s="16" t="s">
        <v>1192</v>
      </c>
      <c r="E16" s="16" t="s">
        <v>1193</v>
      </c>
      <c r="F16" s="16" t="s">
        <v>1204</v>
      </c>
      <c r="G16" s="16" t="s">
        <v>1203</v>
      </c>
      <c r="H16" s="14" t="str">
        <f>"20240402/60049"</f>
        <v>20240402/60049</v>
      </c>
      <c r="I16" s="17" t="str">
        <f t="shared" si="0"/>
        <v> </v>
      </c>
      <c r="J16" s="18">
        <v>20780.759999999998</v>
      </c>
      <c r="K16" s="18">
        <v>0</v>
      </c>
      <c r="L16" s="18">
        <v>1814094.98</v>
      </c>
      <c r="M16" t="s">
        <v>2661</v>
      </c>
    </row>
    <row r="17" spans="1:13" ht="15" thickBot="1" x14ac:dyDescent="0.35">
      <c r="A17" s="14">
        <v>10</v>
      </c>
      <c r="B17" s="15">
        <v>45384</v>
      </c>
      <c r="C17" s="15">
        <v>45384</v>
      </c>
      <c r="D17" s="16" t="s">
        <v>1192</v>
      </c>
      <c r="E17" s="16" t="s">
        <v>1193</v>
      </c>
      <c r="F17" s="16" t="s">
        <v>1194</v>
      </c>
      <c r="G17" s="16" t="s">
        <v>1195</v>
      </c>
      <c r="H17" s="14" t="str">
        <f>"20240402/36639"</f>
        <v>20240402/36639</v>
      </c>
      <c r="I17" s="17" t="str">
        <f t="shared" si="0"/>
        <v> </v>
      </c>
      <c r="J17" s="18">
        <v>0</v>
      </c>
      <c r="K17" s="18">
        <v>446.2</v>
      </c>
      <c r="L17" s="18">
        <v>1813648.78</v>
      </c>
      <c r="M17" t="s">
        <v>2661</v>
      </c>
    </row>
    <row r="18" spans="1:13" ht="15" thickBot="1" x14ac:dyDescent="0.35">
      <c r="A18" s="14">
        <v>11</v>
      </c>
      <c r="B18" s="15">
        <v>45384</v>
      </c>
      <c r="C18" s="15">
        <v>45384</v>
      </c>
      <c r="D18" s="16" t="s">
        <v>1192</v>
      </c>
      <c r="E18" s="16" t="s">
        <v>1193</v>
      </c>
      <c r="F18" s="16" t="s">
        <v>1194</v>
      </c>
      <c r="G18" s="16" t="s">
        <v>1195</v>
      </c>
      <c r="H18" s="14" t="str">
        <f>"20240402/85908"</f>
        <v>20240402/85908</v>
      </c>
      <c r="I18" s="17" t="str">
        <f t="shared" si="0"/>
        <v> </v>
      </c>
      <c r="J18" s="18">
        <v>0</v>
      </c>
      <c r="K18" s="18">
        <v>14690.62</v>
      </c>
      <c r="L18" s="18">
        <v>1798958.16</v>
      </c>
      <c r="M18" t="s">
        <v>2661</v>
      </c>
    </row>
    <row r="19" spans="1:13" ht="15" thickBot="1" x14ac:dyDescent="0.35">
      <c r="A19" s="14">
        <v>12</v>
      </c>
      <c r="B19" s="15">
        <v>45384</v>
      </c>
      <c r="C19" s="15">
        <v>45384</v>
      </c>
      <c r="D19" s="16" t="s">
        <v>1192</v>
      </c>
      <c r="E19" s="16" t="s">
        <v>1193</v>
      </c>
      <c r="F19" s="16" t="s">
        <v>1205</v>
      </c>
      <c r="G19" s="16" t="s">
        <v>1197</v>
      </c>
      <c r="H19" s="14" t="str">
        <f>"20240402/269790"</f>
        <v>20240402/269790</v>
      </c>
      <c r="I19" s="19" t="str">
        <f t="shared" si="0"/>
        <v> </v>
      </c>
      <c r="J19" s="18">
        <v>446.2</v>
      </c>
      <c r="K19" s="18">
        <v>0</v>
      </c>
      <c r="L19" s="18">
        <v>1799404.36</v>
      </c>
      <c r="M19" t="s">
        <v>2658</v>
      </c>
    </row>
    <row r="20" spans="1:13" ht="15" thickBot="1" x14ac:dyDescent="0.35">
      <c r="A20" s="14">
        <v>13</v>
      </c>
      <c r="B20" s="15">
        <v>45384</v>
      </c>
      <c r="C20" s="15">
        <v>45384</v>
      </c>
      <c r="D20" s="16" t="s">
        <v>1192</v>
      </c>
      <c r="E20" s="16" t="s">
        <v>1193</v>
      </c>
      <c r="F20" s="16" t="s">
        <v>1206</v>
      </c>
      <c r="G20" s="16" t="s">
        <v>1197</v>
      </c>
      <c r="H20" s="14" t="str">
        <f>"20240402/305405"</f>
        <v>20240402/305405</v>
      </c>
      <c r="I20" s="19" t="str">
        <f t="shared" si="0"/>
        <v> </v>
      </c>
      <c r="J20" s="18">
        <v>30696.45</v>
      </c>
      <c r="K20" s="18">
        <v>0</v>
      </c>
      <c r="L20" s="18">
        <v>1830100.81</v>
      </c>
    </row>
    <row r="21" spans="1:13" ht="15" thickBot="1" x14ac:dyDescent="0.35">
      <c r="A21" s="14">
        <v>14</v>
      </c>
      <c r="B21" s="15">
        <v>45384</v>
      </c>
      <c r="C21" s="15">
        <v>45384</v>
      </c>
      <c r="D21" s="16" t="s">
        <v>1192</v>
      </c>
      <c r="E21" s="16" t="s">
        <v>1193</v>
      </c>
      <c r="F21" s="16" t="s">
        <v>1207</v>
      </c>
      <c r="G21" s="16" t="s">
        <v>1197</v>
      </c>
      <c r="H21" s="14" t="str">
        <f>"20240402/307831"</f>
        <v>20240402/307831</v>
      </c>
      <c r="I21" s="19" t="str">
        <f t="shared" si="0"/>
        <v> </v>
      </c>
      <c r="J21" s="18">
        <v>601228.15</v>
      </c>
      <c r="K21" s="18">
        <v>0</v>
      </c>
      <c r="L21" s="18">
        <v>2431328.96</v>
      </c>
    </row>
    <row r="22" spans="1:13" ht="15" thickBot="1" x14ac:dyDescent="0.35">
      <c r="A22" s="14">
        <v>15</v>
      </c>
      <c r="B22" s="15">
        <v>45384</v>
      </c>
      <c r="C22" s="15">
        <v>45384</v>
      </c>
      <c r="D22" s="16" t="s">
        <v>1192</v>
      </c>
      <c r="E22" s="16" t="s">
        <v>1193</v>
      </c>
      <c r="F22" s="16" t="s">
        <v>1208</v>
      </c>
      <c r="G22" s="16" t="s">
        <v>1197</v>
      </c>
      <c r="H22" s="14" t="str">
        <f>"20240402/402125"</f>
        <v>20240402/402125</v>
      </c>
      <c r="I22" s="19" t="str">
        <f t="shared" si="0"/>
        <v> </v>
      </c>
      <c r="J22" s="18">
        <v>0</v>
      </c>
      <c r="K22" s="18">
        <v>32159.25</v>
      </c>
      <c r="L22" s="18">
        <v>2399169.71</v>
      </c>
    </row>
    <row r="23" spans="1:13" ht="15" thickBot="1" x14ac:dyDescent="0.35">
      <c r="A23" s="14">
        <v>16</v>
      </c>
      <c r="B23" s="15">
        <v>45384</v>
      </c>
      <c r="C23" s="15">
        <v>45384</v>
      </c>
      <c r="D23" s="16" t="s">
        <v>1192</v>
      </c>
      <c r="E23" s="16" t="s">
        <v>1193</v>
      </c>
      <c r="F23" s="16" t="s">
        <v>1209</v>
      </c>
      <c r="G23" s="16" t="s">
        <v>1197</v>
      </c>
      <c r="H23" s="14" t="str">
        <f>"20240402/402126"</f>
        <v>20240402/402126</v>
      </c>
      <c r="I23" s="19" t="str">
        <f t="shared" si="0"/>
        <v> </v>
      </c>
      <c r="J23" s="18">
        <v>0</v>
      </c>
      <c r="K23" s="18">
        <v>585074.73</v>
      </c>
      <c r="L23" s="18">
        <v>1814094.98</v>
      </c>
    </row>
    <row r="24" spans="1:13" ht="15" thickBot="1" x14ac:dyDescent="0.35">
      <c r="A24" s="14">
        <v>17</v>
      </c>
      <c r="B24" s="15">
        <v>45384</v>
      </c>
      <c r="C24" s="15">
        <v>45385</v>
      </c>
      <c r="D24" s="16" t="s">
        <v>1192</v>
      </c>
      <c r="E24" s="16" t="s">
        <v>1193</v>
      </c>
      <c r="F24" s="16" t="s">
        <v>1210</v>
      </c>
      <c r="G24" s="16" t="s">
        <v>1197</v>
      </c>
      <c r="H24" s="14" t="str">
        <f>"20240402/464157"</f>
        <v>20240402/464157</v>
      </c>
      <c r="I24" s="19" t="str">
        <f>"2404000652344"</f>
        <v>2404000652344</v>
      </c>
      <c r="J24" s="18">
        <v>45341.55</v>
      </c>
      <c r="K24" s="18">
        <v>0</v>
      </c>
      <c r="L24" s="18">
        <v>1859436.53</v>
      </c>
    </row>
    <row r="25" spans="1:13" ht="15" thickBot="1" x14ac:dyDescent="0.35">
      <c r="A25" s="14">
        <v>18</v>
      </c>
      <c r="B25" s="15">
        <v>45385</v>
      </c>
      <c r="C25" s="15">
        <v>45385</v>
      </c>
      <c r="D25" s="16" t="s">
        <v>1192</v>
      </c>
      <c r="E25" s="16" t="s">
        <v>1193</v>
      </c>
      <c r="F25" s="16" t="s">
        <v>1194</v>
      </c>
      <c r="G25" s="16" t="s">
        <v>1195</v>
      </c>
      <c r="H25" s="14" t="str">
        <f>"20240403/36950"</f>
        <v>20240403/36950</v>
      </c>
      <c r="I25" s="17" t="str">
        <f t="shared" ref="I25:I30" si="1">" "</f>
        <v> </v>
      </c>
      <c r="J25" s="18">
        <v>0</v>
      </c>
      <c r="K25" s="18">
        <v>421.05</v>
      </c>
      <c r="L25" s="18">
        <v>1859015.48</v>
      </c>
      <c r="M25" t="s">
        <v>2661</v>
      </c>
    </row>
    <row r="26" spans="1:13" ht="15" thickBot="1" x14ac:dyDescent="0.35">
      <c r="A26" s="14">
        <v>19</v>
      </c>
      <c r="B26" s="15">
        <v>45385</v>
      </c>
      <c r="C26" s="15">
        <v>45385</v>
      </c>
      <c r="D26" s="16" t="s">
        <v>1192</v>
      </c>
      <c r="E26" s="16" t="s">
        <v>1193</v>
      </c>
      <c r="F26" s="16" t="s">
        <v>1211</v>
      </c>
      <c r="G26" s="16" t="s">
        <v>1197</v>
      </c>
      <c r="H26" s="14" t="str">
        <f>"20240403/109642"</f>
        <v>20240403/109642</v>
      </c>
      <c r="I26" s="19" t="str">
        <f t="shared" si="1"/>
        <v> </v>
      </c>
      <c r="J26" s="18">
        <v>421.05</v>
      </c>
      <c r="K26" s="18">
        <v>0</v>
      </c>
      <c r="L26" s="18">
        <v>1859436.53</v>
      </c>
      <c r="M26" t="s">
        <v>2658</v>
      </c>
    </row>
    <row r="27" spans="1:13" ht="15" thickBot="1" x14ac:dyDescent="0.35">
      <c r="A27" s="14">
        <v>20</v>
      </c>
      <c r="B27" s="15">
        <v>45385</v>
      </c>
      <c r="C27" s="15">
        <v>45385</v>
      </c>
      <c r="D27" s="16" t="s">
        <v>1192</v>
      </c>
      <c r="E27" s="16" t="s">
        <v>1193</v>
      </c>
      <c r="F27" s="16" t="s">
        <v>1212</v>
      </c>
      <c r="G27" s="16" t="s">
        <v>1197</v>
      </c>
      <c r="H27" s="14" t="str">
        <f>"20240403/166706"</f>
        <v>20240403/166706</v>
      </c>
      <c r="I27" s="19" t="str">
        <f t="shared" si="1"/>
        <v> </v>
      </c>
      <c r="J27" s="18">
        <v>597155.41</v>
      </c>
      <c r="K27" s="18">
        <v>0</v>
      </c>
      <c r="L27" s="18">
        <v>2456591.94</v>
      </c>
    </row>
    <row r="28" spans="1:13" ht="15" thickBot="1" x14ac:dyDescent="0.35">
      <c r="A28" s="14">
        <v>21</v>
      </c>
      <c r="B28" s="15">
        <v>45385</v>
      </c>
      <c r="C28" s="15">
        <v>45385</v>
      </c>
      <c r="D28" s="16" t="s">
        <v>1192</v>
      </c>
      <c r="E28" s="16" t="s">
        <v>1193</v>
      </c>
      <c r="F28" s="16" t="s">
        <v>1213</v>
      </c>
      <c r="G28" s="16" t="s">
        <v>1197</v>
      </c>
      <c r="H28" s="14" t="str">
        <f>"20240403/166707"</f>
        <v>20240403/166707</v>
      </c>
      <c r="I28" s="19" t="str">
        <f t="shared" si="1"/>
        <v> </v>
      </c>
      <c r="J28" s="18">
        <v>28384.400000000001</v>
      </c>
      <c r="K28" s="18">
        <v>0</v>
      </c>
      <c r="L28" s="18">
        <v>2484976.34</v>
      </c>
    </row>
    <row r="29" spans="1:13" ht="15" thickBot="1" x14ac:dyDescent="0.35">
      <c r="A29" s="14">
        <v>22</v>
      </c>
      <c r="B29" s="15">
        <v>45385</v>
      </c>
      <c r="C29" s="15">
        <v>45385</v>
      </c>
      <c r="D29" s="16" t="s">
        <v>1192</v>
      </c>
      <c r="E29" s="16" t="s">
        <v>1193</v>
      </c>
      <c r="F29" s="16" t="s">
        <v>1214</v>
      </c>
      <c r="G29" s="16" t="s">
        <v>1197</v>
      </c>
      <c r="H29" s="14" t="str">
        <f>"20240403/257319"</f>
        <v>20240403/257319</v>
      </c>
      <c r="I29" s="19" t="str">
        <f t="shared" si="1"/>
        <v> </v>
      </c>
      <c r="J29" s="18">
        <v>0</v>
      </c>
      <c r="K29" s="18">
        <v>30696.45</v>
      </c>
      <c r="L29" s="18">
        <v>2454279.89</v>
      </c>
    </row>
    <row r="30" spans="1:13" ht="15" thickBot="1" x14ac:dyDescent="0.35">
      <c r="A30" s="14">
        <v>23</v>
      </c>
      <c r="B30" s="15">
        <v>45385</v>
      </c>
      <c r="C30" s="15">
        <v>45385</v>
      </c>
      <c r="D30" s="16" t="s">
        <v>1192</v>
      </c>
      <c r="E30" s="16" t="s">
        <v>1193</v>
      </c>
      <c r="F30" s="16" t="s">
        <v>1215</v>
      </c>
      <c r="G30" s="16" t="s">
        <v>1197</v>
      </c>
      <c r="H30" s="14" t="str">
        <f>"20240403/257320"</f>
        <v>20240403/257320</v>
      </c>
      <c r="I30" s="19" t="str">
        <f t="shared" si="1"/>
        <v> </v>
      </c>
      <c r="J30" s="18">
        <v>0</v>
      </c>
      <c r="K30" s="18">
        <v>601228.15</v>
      </c>
      <c r="L30" s="18">
        <v>1853051.74</v>
      </c>
    </row>
    <row r="31" spans="1:13" ht="15" thickBot="1" x14ac:dyDescent="0.35">
      <c r="A31" s="14">
        <v>24</v>
      </c>
      <c r="B31" s="15">
        <v>45385</v>
      </c>
      <c r="C31" s="15">
        <v>45386</v>
      </c>
      <c r="D31" s="16" t="s">
        <v>1192</v>
      </c>
      <c r="E31" s="16" t="s">
        <v>1193</v>
      </c>
      <c r="F31" s="16" t="s">
        <v>1216</v>
      </c>
      <c r="G31" s="16" t="s">
        <v>1197</v>
      </c>
      <c r="H31" s="14" t="str">
        <f>"20240403/340295"</f>
        <v>20240403/340295</v>
      </c>
      <c r="I31" s="19" t="str">
        <f>"2404001080296"</f>
        <v>2404001080296</v>
      </c>
      <c r="J31" s="18">
        <v>0</v>
      </c>
      <c r="K31" s="18">
        <v>13035.58</v>
      </c>
      <c r="L31" s="18">
        <v>1840016.16</v>
      </c>
    </row>
    <row r="32" spans="1:13" ht="15" thickBot="1" x14ac:dyDescent="0.35">
      <c r="A32" s="14">
        <v>25</v>
      </c>
      <c r="B32" s="15">
        <v>45386</v>
      </c>
      <c r="C32" s="15">
        <v>45386</v>
      </c>
      <c r="D32" s="16" t="s">
        <v>1192</v>
      </c>
      <c r="E32" s="16" t="s">
        <v>1193</v>
      </c>
      <c r="F32" s="16" t="s">
        <v>1202</v>
      </c>
      <c r="G32" s="16" t="s">
        <v>1203</v>
      </c>
      <c r="H32" s="14" t="str">
        <f>"20240404/12287"</f>
        <v>20240404/12287</v>
      </c>
      <c r="I32" s="17" t="str">
        <f t="shared" ref="I32:I39" si="2">" "</f>
        <v> </v>
      </c>
      <c r="J32" s="18">
        <v>10225.459999999999</v>
      </c>
      <c r="K32" s="18">
        <v>0</v>
      </c>
      <c r="L32" s="18">
        <v>1850241.62</v>
      </c>
      <c r="M32" t="s">
        <v>2661</v>
      </c>
    </row>
    <row r="33" spans="1:13" ht="15" thickBot="1" x14ac:dyDescent="0.35">
      <c r="A33" s="14">
        <v>26</v>
      </c>
      <c r="B33" s="15">
        <v>45386</v>
      </c>
      <c r="C33" s="15">
        <v>45386</v>
      </c>
      <c r="D33" s="16" t="s">
        <v>1192</v>
      </c>
      <c r="E33" s="16" t="s">
        <v>1193</v>
      </c>
      <c r="F33" s="16" t="s">
        <v>1194</v>
      </c>
      <c r="G33" s="16" t="s">
        <v>1195</v>
      </c>
      <c r="H33" s="14" t="str">
        <f>"20240404/37512"</f>
        <v>20240404/37512</v>
      </c>
      <c r="I33" s="17" t="str">
        <f t="shared" si="2"/>
        <v> </v>
      </c>
      <c r="J33" s="18">
        <v>0</v>
      </c>
      <c r="K33" s="18">
        <v>437.2</v>
      </c>
      <c r="L33" s="18">
        <v>1849804.42</v>
      </c>
      <c r="M33" t="s">
        <v>2661</v>
      </c>
    </row>
    <row r="34" spans="1:13" ht="15" thickBot="1" x14ac:dyDescent="0.35">
      <c r="A34" s="14">
        <v>27</v>
      </c>
      <c r="B34" s="15">
        <v>45386</v>
      </c>
      <c r="C34" s="15">
        <v>45386</v>
      </c>
      <c r="D34" s="16" t="s">
        <v>1192</v>
      </c>
      <c r="E34" s="16" t="s">
        <v>1193</v>
      </c>
      <c r="F34" s="16" t="s">
        <v>1194</v>
      </c>
      <c r="G34" s="16" t="s">
        <v>1195</v>
      </c>
      <c r="H34" s="14" t="str">
        <f>"20240404/91644"</f>
        <v>20240404/91644</v>
      </c>
      <c r="I34" s="17" t="str">
        <f t="shared" si="2"/>
        <v> </v>
      </c>
      <c r="J34" s="18">
        <v>0</v>
      </c>
      <c r="K34" s="18">
        <v>1425.24</v>
      </c>
      <c r="L34" s="18">
        <v>1848379.18</v>
      </c>
      <c r="M34" t="s">
        <v>2661</v>
      </c>
    </row>
    <row r="35" spans="1:13" ht="15" thickBot="1" x14ac:dyDescent="0.35">
      <c r="A35" s="14">
        <v>28</v>
      </c>
      <c r="B35" s="15">
        <v>45386</v>
      </c>
      <c r="C35" s="15">
        <v>45386</v>
      </c>
      <c r="D35" s="16" t="s">
        <v>1192</v>
      </c>
      <c r="E35" s="16" t="s">
        <v>1193</v>
      </c>
      <c r="F35" s="16" t="s">
        <v>1217</v>
      </c>
      <c r="G35" s="16" t="s">
        <v>1197</v>
      </c>
      <c r="H35" s="14" t="str">
        <f>"20240404/139989"</f>
        <v>20240404/139989</v>
      </c>
      <c r="I35" s="19" t="str">
        <f t="shared" si="2"/>
        <v> </v>
      </c>
      <c r="J35" s="18">
        <v>437.2</v>
      </c>
      <c r="K35" s="18">
        <v>0</v>
      </c>
      <c r="L35" s="18">
        <v>1848816.38</v>
      </c>
      <c r="M35" t="s">
        <v>2658</v>
      </c>
    </row>
    <row r="36" spans="1:13" ht="15" thickBot="1" x14ac:dyDescent="0.35">
      <c r="A36" s="14">
        <v>29</v>
      </c>
      <c r="B36" s="15">
        <v>45386</v>
      </c>
      <c r="C36" s="15">
        <v>45386</v>
      </c>
      <c r="D36" s="16" t="s">
        <v>1192</v>
      </c>
      <c r="E36" s="16" t="s">
        <v>1193</v>
      </c>
      <c r="F36" s="16" t="s">
        <v>1218</v>
      </c>
      <c r="G36" s="16" t="s">
        <v>1197</v>
      </c>
      <c r="H36" s="14" t="str">
        <f>"20240404/188788"</f>
        <v>20240404/188788</v>
      </c>
      <c r="I36" s="19" t="str">
        <f t="shared" si="2"/>
        <v> </v>
      </c>
      <c r="J36" s="18">
        <v>600868</v>
      </c>
      <c r="K36" s="18">
        <v>0</v>
      </c>
      <c r="L36" s="18">
        <v>2449684.38</v>
      </c>
    </row>
    <row r="37" spans="1:13" ht="15" thickBot="1" x14ac:dyDescent="0.35">
      <c r="A37" s="14">
        <v>30</v>
      </c>
      <c r="B37" s="15">
        <v>45386</v>
      </c>
      <c r="C37" s="15">
        <v>45386</v>
      </c>
      <c r="D37" s="16" t="s">
        <v>1192</v>
      </c>
      <c r="E37" s="16" t="s">
        <v>1193</v>
      </c>
      <c r="F37" s="16" t="s">
        <v>1219</v>
      </c>
      <c r="G37" s="16" t="s">
        <v>1197</v>
      </c>
      <c r="H37" s="14" t="str">
        <f>"20240404/188789"</f>
        <v>20240404/188789</v>
      </c>
      <c r="I37" s="19" t="str">
        <f t="shared" si="2"/>
        <v> </v>
      </c>
      <c r="J37" s="18">
        <v>26097.05</v>
      </c>
      <c r="K37" s="18">
        <v>0</v>
      </c>
      <c r="L37" s="18">
        <v>2475781.4300000002</v>
      </c>
    </row>
    <row r="38" spans="1:13" ht="15" thickBot="1" x14ac:dyDescent="0.35">
      <c r="A38" s="14">
        <v>31</v>
      </c>
      <c r="B38" s="15">
        <v>45386</v>
      </c>
      <c r="C38" s="15">
        <v>45386</v>
      </c>
      <c r="D38" s="16" t="s">
        <v>1192</v>
      </c>
      <c r="E38" s="16" t="s">
        <v>1193</v>
      </c>
      <c r="F38" s="16" t="s">
        <v>1220</v>
      </c>
      <c r="G38" s="16" t="s">
        <v>1197</v>
      </c>
      <c r="H38" s="14" t="str">
        <f>"20240404/279848"</f>
        <v>20240404/279848</v>
      </c>
      <c r="I38" s="19" t="str">
        <f t="shared" si="2"/>
        <v> </v>
      </c>
      <c r="J38" s="18">
        <v>0</v>
      </c>
      <c r="K38" s="18">
        <v>597155.41</v>
      </c>
      <c r="L38" s="18">
        <v>1878626.02</v>
      </c>
    </row>
    <row r="39" spans="1:13" ht="15" thickBot="1" x14ac:dyDescent="0.35">
      <c r="A39" s="14">
        <v>32</v>
      </c>
      <c r="B39" s="15">
        <v>45386</v>
      </c>
      <c r="C39" s="15">
        <v>45386</v>
      </c>
      <c r="D39" s="16" t="s">
        <v>1192</v>
      </c>
      <c r="E39" s="16" t="s">
        <v>1193</v>
      </c>
      <c r="F39" s="16" t="s">
        <v>1221</v>
      </c>
      <c r="G39" s="16" t="s">
        <v>1197</v>
      </c>
      <c r="H39" s="14" t="str">
        <f>"20240404/279849"</f>
        <v>20240404/279849</v>
      </c>
      <c r="I39" s="19" t="str">
        <f t="shared" si="2"/>
        <v> </v>
      </c>
      <c r="J39" s="18">
        <v>0</v>
      </c>
      <c r="K39" s="18">
        <v>28384.400000000001</v>
      </c>
      <c r="L39" s="18">
        <v>1850241.62</v>
      </c>
    </row>
    <row r="40" spans="1:13" ht="15" thickBot="1" x14ac:dyDescent="0.35">
      <c r="A40" s="14">
        <v>33</v>
      </c>
      <c r="B40" s="15">
        <v>45386</v>
      </c>
      <c r="C40" s="15">
        <v>45387</v>
      </c>
      <c r="D40" s="16" t="s">
        <v>1192</v>
      </c>
      <c r="E40" s="16" t="s">
        <v>1193</v>
      </c>
      <c r="F40" s="16" t="s">
        <v>1222</v>
      </c>
      <c r="G40" s="16" t="s">
        <v>1197</v>
      </c>
      <c r="H40" s="14" t="str">
        <f>"20240404/343542"</f>
        <v>20240404/343542</v>
      </c>
      <c r="I40" s="19" t="str">
        <f>"2404001471480"</f>
        <v>2404001471480</v>
      </c>
      <c r="J40" s="18">
        <v>0</v>
      </c>
      <c r="K40" s="18">
        <v>25672.95</v>
      </c>
      <c r="L40" s="18">
        <v>1824568.67</v>
      </c>
    </row>
    <row r="41" spans="1:13" ht="15" thickBot="1" x14ac:dyDescent="0.35">
      <c r="A41" s="14">
        <v>34</v>
      </c>
      <c r="B41" s="15">
        <v>45386</v>
      </c>
      <c r="C41" s="15">
        <v>45387</v>
      </c>
      <c r="D41" s="16" t="s">
        <v>1192</v>
      </c>
      <c r="E41" s="16" t="s">
        <v>1193</v>
      </c>
      <c r="F41" s="16" t="s">
        <v>1223</v>
      </c>
      <c r="G41" s="16" t="s">
        <v>1197</v>
      </c>
      <c r="H41" s="14" t="str">
        <f>"20240404/343543"</f>
        <v>20240404/343543</v>
      </c>
      <c r="I41" s="19" t="str">
        <f>"2404001513522"</f>
        <v>2404001513522</v>
      </c>
      <c r="J41" s="18">
        <v>10621.29</v>
      </c>
      <c r="K41" s="18">
        <v>0</v>
      </c>
      <c r="L41" s="18">
        <v>1835189.96</v>
      </c>
    </row>
    <row r="42" spans="1:13" ht="15" thickBot="1" x14ac:dyDescent="0.35">
      <c r="A42" s="14">
        <v>35</v>
      </c>
      <c r="B42" s="15">
        <v>45387</v>
      </c>
      <c r="C42" s="15">
        <v>45387</v>
      </c>
      <c r="D42" s="16" t="s">
        <v>1192</v>
      </c>
      <c r="E42" s="16" t="s">
        <v>1193</v>
      </c>
      <c r="F42" s="16" t="s">
        <v>1204</v>
      </c>
      <c r="G42" s="16" t="s">
        <v>1203</v>
      </c>
      <c r="H42" s="14" t="str">
        <f>"20240405/16760"</f>
        <v>20240405/16760</v>
      </c>
      <c r="I42" s="17" t="str">
        <f t="shared" ref="I42:I49" si="3">" "</f>
        <v> </v>
      </c>
      <c r="J42" s="18">
        <v>25672.95</v>
      </c>
      <c r="K42" s="18">
        <v>0</v>
      </c>
      <c r="L42" s="18">
        <v>1860862.91</v>
      </c>
      <c r="M42" t="s">
        <v>2661</v>
      </c>
    </row>
    <row r="43" spans="1:13" ht="15" thickBot="1" x14ac:dyDescent="0.35">
      <c r="A43" s="14">
        <v>36</v>
      </c>
      <c r="B43" s="15">
        <v>45387</v>
      </c>
      <c r="C43" s="15">
        <v>45387</v>
      </c>
      <c r="D43" s="16" t="s">
        <v>1192</v>
      </c>
      <c r="E43" s="16" t="s">
        <v>1193</v>
      </c>
      <c r="F43" s="16" t="s">
        <v>1194</v>
      </c>
      <c r="G43" s="16" t="s">
        <v>1195</v>
      </c>
      <c r="H43" s="14" t="str">
        <f>"20240405/31444"</f>
        <v>20240405/31444</v>
      </c>
      <c r="I43" s="17" t="str">
        <f t="shared" si="3"/>
        <v> </v>
      </c>
      <c r="J43" s="18">
        <v>0</v>
      </c>
      <c r="K43" s="18">
        <v>435.69</v>
      </c>
      <c r="L43" s="18">
        <v>1860427.22</v>
      </c>
      <c r="M43" t="s">
        <v>2661</v>
      </c>
    </row>
    <row r="44" spans="1:13" ht="15" thickBot="1" x14ac:dyDescent="0.35">
      <c r="A44" s="14">
        <v>37</v>
      </c>
      <c r="B44" s="15">
        <v>45387</v>
      </c>
      <c r="C44" s="15">
        <v>45387</v>
      </c>
      <c r="D44" s="16" t="s">
        <v>1192</v>
      </c>
      <c r="E44" s="16" t="s">
        <v>1193</v>
      </c>
      <c r="F44" s="16" t="s">
        <v>1194</v>
      </c>
      <c r="G44" s="16" t="s">
        <v>1195</v>
      </c>
      <c r="H44" s="14" t="str">
        <f>"20240405/94199"</f>
        <v>20240405/94199</v>
      </c>
      <c r="I44" s="17" t="str">
        <f t="shared" si="3"/>
        <v> </v>
      </c>
      <c r="J44" s="18">
        <v>0</v>
      </c>
      <c r="K44" s="18">
        <v>1443.03</v>
      </c>
      <c r="L44" s="18">
        <v>1858984.19</v>
      </c>
      <c r="M44" t="s">
        <v>2661</v>
      </c>
    </row>
    <row r="45" spans="1:13" ht="15" thickBot="1" x14ac:dyDescent="0.35">
      <c r="A45" s="14">
        <v>38</v>
      </c>
      <c r="B45" s="15">
        <v>45387</v>
      </c>
      <c r="C45" s="15">
        <v>45387</v>
      </c>
      <c r="D45" s="16" t="s">
        <v>1192</v>
      </c>
      <c r="E45" s="16" t="s">
        <v>1193</v>
      </c>
      <c r="F45" s="16" t="s">
        <v>1224</v>
      </c>
      <c r="G45" s="16" t="s">
        <v>1197</v>
      </c>
      <c r="H45" s="14" t="str">
        <f>"20240405/140869"</f>
        <v>20240405/140869</v>
      </c>
      <c r="I45" s="19" t="str">
        <f t="shared" si="3"/>
        <v> </v>
      </c>
      <c r="J45" s="18">
        <v>435.69</v>
      </c>
      <c r="K45" s="18">
        <v>0</v>
      </c>
      <c r="L45" s="18">
        <v>1859419.88</v>
      </c>
      <c r="M45" t="s">
        <v>2658</v>
      </c>
    </row>
    <row r="46" spans="1:13" ht="15" thickBot="1" x14ac:dyDescent="0.35">
      <c r="A46" s="14">
        <v>39</v>
      </c>
      <c r="B46" s="15">
        <v>45387</v>
      </c>
      <c r="C46" s="15">
        <v>45387</v>
      </c>
      <c r="D46" s="16" t="s">
        <v>1192</v>
      </c>
      <c r="E46" s="16" t="s">
        <v>1193</v>
      </c>
      <c r="F46" s="16" t="s">
        <v>1225</v>
      </c>
      <c r="G46" s="16" t="s">
        <v>1197</v>
      </c>
      <c r="H46" s="14" t="str">
        <f>"20240405/203113"</f>
        <v>20240405/203113</v>
      </c>
      <c r="I46" s="19" t="str">
        <f t="shared" si="3"/>
        <v> </v>
      </c>
      <c r="J46" s="18">
        <v>27633.75</v>
      </c>
      <c r="K46" s="18">
        <v>0</v>
      </c>
      <c r="L46" s="18">
        <v>1887053.63</v>
      </c>
    </row>
    <row r="47" spans="1:13" ht="15" thickBot="1" x14ac:dyDescent="0.35">
      <c r="A47" s="14">
        <v>40</v>
      </c>
      <c r="B47" s="15">
        <v>45387</v>
      </c>
      <c r="C47" s="15">
        <v>45387</v>
      </c>
      <c r="D47" s="16" t="s">
        <v>1192</v>
      </c>
      <c r="E47" s="16" t="s">
        <v>1193</v>
      </c>
      <c r="F47" s="16" t="s">
        <v>1226</v>
      </c>
      <c r="G47" s="16" t="s">
        <v>1197</v>
      </c>
      <c r="H47" s="14" t="str">
        <f>"20240405/203114"</f>
        <v>20240405/203114</v>
      </c>
      <c r="I47" s="19" t="str">
        <f t="shared" si="3"/>
        <v> </v>
      </c>
      <c r="J47" s="18">
        <v>600774.32999999996</v>
      </c>
      <c r="K47" s="18">
        <v>0</v>
      </c>
      <c r="L47" s="18">
        <v>2487827.96</v>
      </c>
    </row>
    <row r="48" spans="1:13" ht="15" thickBot="1" x14ac:dyDescent="0.35">
      <c r="A48" s="14">
        <v>41</v>
      </c>
      <c r="B48" s="15">
        <v>45387</v>
      </c>
      <c r="C48" s="15">
        <v>45387</v>
      </c>
      <c r="D48" s="16" t="s">
        <v>1192</v>
      </c>
      <c r="E48" s="16" t="s">
        <v>1193</v>
      </c>
      <c r="F48" s="16" t="s">
        <v>1227</v>
      </c>
      <c r="G48" s="16" t="s">
        <v>1197</v>
      </c>
      <c r="H48" s="14" t="str">
        <f>"20240405/284084"</f>
        <v>20240405/284084</v>
      </c>
      <c r="I48" s="19" t="str">
        <f t="shared" si="3"/>
        <v> </v>
      </c>
      <c r="J48" s="18">
        <v>0</v>
      </c>
      <c r="K48" s="18">
        <v>600868</v>
      </c>
      <c r="L48" s="18">
        <v>1886959.96</v>
      </c>
    </row>
    <row r="49" spans="1:13" ht="15" thickBot="1" x14ac:dyDescent="0.35">
      <c r="A49" s="14">
        <v>42</v>
      </c>
      <c r="B49" s="15">
        <v>45387</v>
      </c>
      <c r="C49" s="15">
        <v>45387</v>
      </c>
      <c r="D49" s="16" t="s">
        <v>1192</v>
      </c>
      <c r="E49" s="16" t="s">
        <v>1193</v>
      </c>
      <c r="F49" s="16" t="s">
        <v>1228</v>
      </c>
      <c r="G49" s="16" t="s">
        <v>1197</v>
      </c>
      <c r="H49" s="14" t="str">
        <f>"20240405/284085"</f>
        <v>20240405/284085</v>
      </c>
      <c r="I49" s="19" t="str">
        <f t="shared" si="3"/>
        <v> </v>
      </c>
      <c r="J49" s="18">
        <v>0</v>
      </c>
      <c r="K49" s="18">
        <v>26097.05</v>
      </c>
      <c r="L49" s="18">
        <v>1860862.91</v>
      </c>
    </row>
    <row r="50" spans="1:13" ht="15" thickBot="1" x14ac:dyDescent="0.35">
      <c r="A50" s="14">
        <v>43</v>
      </c>
      <c r="B50" s="15">
        <v>45387</v>
      </c>
      <c r="C50" s="15">
        <v>45390</v>
      </c>
      <c r="D50" s="16" t="s">
        <v>1192</v>
      </c>
      <c r="E50" s="16" t="s">
        <v>1193</v>
      </c>
      <c r="F50" s="16" t="s">
        <v>1229</v>
      </c>
      <c r="G50" s="16" t="s">
        <v>1197</v>
      </c>
      <c r="H50" s="14" t="str">
        <f>"20240405/345083"</f>
        <v>20240405/345083</v>
      </c>
      <c r="I50" s="19" t="str">
        <f>"2404001947705"</f>
        <v>2404001947705</v>
      </c>
      <c r="J50" s="18">
        <v>0</v>
      </c>
      <c r="K50" s="18">
        <v>17621.38</v>
      </c>
      <c r="L50" s="18">
        <v>1843241.53</v>
      </c>
    </row>
    <row r="51" spans="1:13" ht="15" thickBot="1" x14ac:dyDescent="0.35">
      <c r="A51" s="14">
        <v>44</v>
      </c>
      <c r="B51" s="15">
        <v>45390</v>
      </c>
      <c r="C51" s="15">
        <v>45390</v>
      </c>
      <c r="D51" s="16" t="s">
        <v>1192</v>
      </c>
      <c r="E51" s="16" t="s">
        <v>1193</v>
      </c>
      <c r="F51" s="16" t="s">
        <v>1204</v>
      </c>
      <c r="G51" s="16" t="s">
        <v>1203</v>
      </c>
      <c r="H51" s="14" t="str">
        <f>"20240408/22723"</f>
        <v>20240408/22723</v>
      </c>
      <c r="I51" s="17" t="str">
        <f t="shared" ref="I51:I64" si="4">" "</f>
        <v> </v>
      </c>
      <c r="J51" s="18">
        <v>17621.38</v>
      </c>
      <c r="K51" s="18">
        <v>0</v>
      </c>
      <c r="L51" s="18">
        <v>1860862.91</v>
      </c>
      <c r="M51" t="s">
        <v>2661</v>
      </c>
    </row>
    <row r="52" spans="1:13" ht="15" thickBot="1" x14ac:dyDescent="0.35">
      <c r="A52" s="14">
        <v>45</v>
      </c>
      <c r="B52" s="15">
        <v>45390</v>
      </c>
      <c r="C52" s="15">
        <v>45390</v>
      </c>
      <c r="D52" s="16" t="s">
        <v>1192</v>
      </c>
      <c r="E52" s="16" t="s">
        <v>1193</v>
      </c>
      <c r="F52" s="16" t="s">
        <v>1194</v>
      </c>
      <c r="G52" s="16" t="s">
        <v>1195</v>
      </c>
      <c r="H52" s="14" t="str">
        <f>"20240408/109932"</f>
        <v>20240408/109932</v>
      </c>
      <c r="I52" s="17" t="str">
        <f t="shared" si="4"/>
        <v> </v>
      </c>
      <c r="J52" s="18">
        <v>0</v>
      </c>
      <c r="K52" s="18">
        <v>7512.35</v>
      </c>
      <c r="L52" s="18">
        <v>1853350.56</v>
      </c>
      <c r="M52" t="s">
        <v>2661</v>
      </c>
    </row>
    <row r="53" spans="1:13" ht="15" thickBot="1" x14ac:dyDescent="0.35">
      <c r="A53" s="14">
        <v>46</v>
      </c>
      <c r="B53" s="15">
        <v>45390</v>
      </c>
      <c r="C53" s="15">
        <v>45390</v>
      </c>
      <c r="D53" s="16" t="s">
        <v>1192</v>
      </c>
      <c r="E53" s="16" t="s">
        <v>1193</v>
      </c>
      <c r="F53" s="16" t="s">
        <v>1194</v>
      </c>
      <c r="G53" s="16" t="s">
        <v>1195</v>
      </c>
      <c r="H53" s="14" t="str">
        <f>"20240408/36179"</f>
        <v>20240408/36179</v>
      </c>
      <c r="I53" s="17" t="str">
        <f t="shared" si="4"/>
        <v> </v>
      </c>
      <c r="J53" s="18">
        <v>0</v>
      </c>
      <c r="K53" s="18">
        <v>1316.88</v>
      </c>
      <c r="L53" s="18">
        <v>1852033.68</v>
      </c>
      <c r="M53" t="s">
        <v>2661</v>
      </c>
    </row>
    <row r="54" spans="1:13" ht="15" thickBot="1" x14ac:dyDescent="0.35">
      <c r="A54" s="14">
        <v>47</v>
      </c>
      <c r="B54" s="15">
        <v>45390</v>
      </c>
      <c r="C54" s="15">
        <v>45390</v>
      </c>
      <c r="D54" s="16" t="s">
        <v>1192</v>
      </c>
      <c r="E54" s="16" t="s">
        <v>1193</v>
      </c>
      <c r="F54" s="16" t="s">
        <v>1230</v>
      </c>
      <c r="G54" s="16" t="s">
        <v>1197</v>
      </c>
      <c r="H54" s="14" t="str">
        <f>"20240408/168210"</f>
        <v>20240408/168210</v>
      </c>
      <c r="I54" s="19" t="str">
        <f t="shared" si="4"/>
        <v> </v>
      </c>
      <c r="J54" s="18">
        <v>1316.88</v>
      </c>
      <c r="K54" s="18">
        <v>0</v>
      </c>
      <c r="L54" s="18">
        <v>1853350.56</v>
      </c>
      <c r="M54" t="s">
        <v>2658</v>
      </c>
    </row>
    <row r="55" spans="1:13" ht="15" thickBot="1" x14ac:dyDescent="0.35">
      <c r="A55" s="14">
        <v>48</v>
      </c>
      <c r="B55" s="15">
        <v>45390</v>
      </c>
      <c r="C55" s="15">
        <v>45390</v>
      </c>
      <c r="D55" s="16" t="s">
        <v>1192</v>
      </c>
      <c r="E55" s="16" t="s">
        <v>1193</v>
      </c>
      <c r="F55" s="16" t="s">
        <v>1231</v>
      </c>
      <c r="G55" s="16" t="s">
        <v>1197</v>
      </c>
      <c r="H55" s="14" t="str">
        <f>"20240408/246445"</f>
        <v>20240408/246445</v>
      </c>
      <c r="I55" s="19" t="str">
        <f t="shared" si="4"/>
        <v> </v>
      </c>
      <c r="J55" s="18">
        <v>29160.09</v>
      </c>
      <c r="K55" s="18">
        <v>0</v>
      </c>
      <c r="L55" s="18">
        <v>1882510.65</v>
      </c>
    </row>
    <row r="56" spans="1:13" ht="15" thickBot="1" x14ac:dyDescent="0.35">
      <c r="A56" s="14">
        <v>49</v>
      </c>
      <c r="B56" s="15">
        <v>45390</v>
      </c>
      <c r="C56" s="15">
        <v>45390</v>
      </c>
      <c r="D56" s="16" t="s">
        <v>1192</v>
      </c>
      <c r="E56" s="16" t="s">
        <v>1193</v>
      </c>
      <c r="F56" s="16" t="s">
        <v>1232</v>
      </c>
      <c r="G56" s="16" t="s">
        <v>1197</v>
      </c>
      <c r="H56" s="14" t="str">
        <f>"20240408/246446"</f>
        <v>20240408/246446</v>
      </c>
      <c r="I56" s="19" t="str">
        <f t="shared" si="4"/>
        <v> </v>
      </c>
      <c r="J56" s="18">
        <v>606760.34</v>
      </c>
      <c r="K56" s="18">
        <v>0</v>
      </c>
      <c r="L56" s="18">
        <v>2489270.9900000002</v>
      </c>
    </row>
    <row r="57" spans="1:13" ht="15" thickBot="1" x14ac:dyDescent="0.35">
      <c r="A57" s="14">
        <v>50</v>
      </c>
      <c r="B57" s="15">
        <v>45390</v>
      </c>
      <c r="C57" s="15">
        <v>45390</v>
      </c>
      <c r="D57" s="16" t="s">
        <v>1192</v>
      </c>
      <c r="E57" s="16" t="s">
        <v>1193</v>
      </c>
      <c r="F57" s="16" t="s">
        <v>1233</v>
      </c>
      <c r="G57" s="16" t="s">
        <v>1197</v>
      </c>
      <c r="H57" s="14" t="str">
        <f>"20240408/322377"</f>
        <v>20240408/322377</v>
      </c>
      <c r="I57" s="19" t="str">
        <f t="shared" si="4"/>
        <v> </v>
      </c>
      <c r="J57" s="18">
        <v>0</v>
      </c>
      <c r="K57" s="18">
        <v>27633.75</v>
      </c>
      <c r="L57" s="18">
        <v>2461637.2400000002</v>
      </c>
    </row>
    <row r="58" spans="1:13" ht="15" thickBot="1" x14ac:dyDescent="0.35">
      <c r="A58" s="14">
        <v>51</v>
      </c>
      <c r="B58" s="15">
        <v>45390</v>
      </c>
      <c r="C58" s="15">
        <v>45390</v>
      </c>
      <c r="D58" s="16" t="s">
        <v>1192</v>
      </c>
      <c r="E58" s="16" t="s">
        <v>1193</v>
      </c>
      <c r="F58" s="16" t="s">
        <v>1234</v>
      </c>
      <c r="G58" s="16" t="s">
        <v>1197</v>
      </c>
      <c r="H58" s="14" t="str">
        <f>"20240408/322378"</f>
        <v>20240408/322378</v>
      </c>
      <c r="I58" s="19" t="str">
        <f t="shared" si="4"/>
        <v> </v>
      </c>
      <c r="J58" s="18">
        <v>0</v>
      </c>
      <c r="K58" s="18">
        <v>600774.32999999996</v>
      </c>
      <c r="L58" s="18">
        <v>1860862.91</v>
      </c>
    </row>
    <row r="59" spans="1:13" ht="15" thickBot="1" x14ac:dyDescent="0.35">
      <c r="A59" s="14">
        <v>52</v>
      </c>
      <c r="B59" s="15">
        <v>45391</v>
      </c>
      <c r="C59" s="15">
        <v>45391</v>
      </c>
      <c r="D59" s="16" t="s">
        <v>1192</v>
      </c>
      <c r="E59" s="16" t="s">
        <v>1193</v>
      </c>
      <c r="F59" s="16" t="s">
        <v>1194</v>
      </c>
      <c r="G59" s="16" t="s">
        <v>1195</v>
      </c>
      <c r="H59" s="14" t="str">
        <f>"20240409/70483"</f>
        <v>20240409/70483</v>
      </c>
      <c r="I59" s="17" t="str">
        <f t="shared" si="4"/>
        <v> </v>
      </c>
      <c r="J59" s="18">
        <v>0</v>
      </c>
      <c r="K59" s="18">
        <v>6794.95</v>
      </c>
      <c r="L59" s="18">
        <v>1854067.96</v>
      </c>
      <c r="M59" t="s">
        <v>2661</v>
      </c>
    </row>
    <row r="60" spans="1:13" ht="15" thickBot="1" x14ac:dyDescent="0.35">
      <c r="A60" s="14">
        <v>53</v>
      </c>
      <c r="B60" s="15">
        <v>45391</v>
      </c>
      <c r="C60" s="15">
        <v>45391</v>
      </c>
      <c r="D60" s="16" t="s">
        <v>1192</v>
      </c>
      <c r="E60" s="16" t="s">
        <v>1193</v>
      </c>
      <c r="F60" s="16" t="s">
        <v>1235</v>
      </c>
      <c r="G60" s="16" t="s">
        <v>1197</v>
      </c>
      <c r="H60" s="14" t="str">
        <f>"20240409/124125"</f>
        <v>20240409/124125</v>
      </c>
      <c r="I60" s="19" t="str">
        <f t="shared" si="4"/>
        <v> </v>
      </c>
      <c r="J60" s="18">
        <v>0</v>
      </c>
      <c r="K60" s="18">
        <v>29160.09</v>
      </c>
      <c r="L60" s="18">
        <v>1824907.87</v>
      </c>
    </row>
    <row r="61" spans="1:13" ht="15" thickBot="1" x14ac:dyDescent="0.35">
      <c r="A61" s="14">
        <v>54</v>
      </c>
      <c r="B61" s="15">
        <v>45391</v>
      </c>
      <c r="C61" s="15">
        <v>45391</v>
      </c>
      <c r="D61" s="16" t="s">
        <v>1192</v>
      </c>
      <c r="E61" s="16" t="s">
        <v>1193</v>
      </c>
      <c r="F61" s="16" t="s">
        <v>1236</v>
      </c>
      <c r="G61" s="16" t="s">
        <v>1197</v>
      </c>
      <c r="H61" s="14" t="str">
        <f>"20240409/124126"</f>
        <v>20240409/124126</v>
      </c>
      <c r="I61" s="19" t="str">
        <f t="shared" si="4"/>
        <v> </v>
      </c>
      <c r="J61" s="18">
        <v>0</v>
      </c>
      <c r="K61" s="18">
        <v>606760.34</v>
      </c>
      <c r="L61" s="18">
        <v>1218147.53</v>
      </c>
    </row>
    <row r="62" spans="1:13" ht="15" thickBot="1" x14ac:dyDescent="0.35">
      <c r="A62" s="14">
        <v>55</v>
      </c>
      <c r="B62" s="15">
        <v>45391</v>
      </c>
      <c r="C62" s="15">
        <v>45391</v>
      </c>
      <c r="D62" s="16" t="s">
        <v>1192</v>
      </c>
      <c r="E62" s="16" t="s">
        <v>1193</v>
      </c>
      <c r="F62" s="16" t="s">
        <v>1237</v>
      </c>
      <c r="G62" s="16" t="s">
        <v>1197</v>
      </c>
      <c r="H62" s="14" t="str">
        <f>"20240409/37094"</f>
        <v>20240409/37094</v>
      </c>
      <c r="I62" s="19" t="str">
        <f t="shared" si="4"/>
        <v> </v>
      </c>
      <c r="J62" s="18">
        <v>436.28</v>
      </c>
      <c r="K62" s="18">
        <v>0</v>
      </c>
      <c r="L62" s="18">
        <v>1218583.81</v>
      </c>
      <c r="M62" t="s">
        <v>2658</v>
      </c>
    </row>
    <row r="63" spans="1:13" ht="15" thickBot="1" x14ac:dyDescent="0.35">
      <c r="A63" s="14">
        <v>56</v>
      </c>
      <c r="B63" s="15">
        <v>45391</v>
      </c>
      <c r="C63" s="15">
        <v>45391</v>
      </c>
      <c r="D63" s="16" t="s">
        <v>1192</v>
      </c>
      <c r="E63" s="16" t="s">
        <v>1193</v>
      </c>
      <c r="F63" s="16" t="s">
        <v>1238</v>
      </c>
      <c r="G63" s="16" t="s">
        <v>1197</v>
      </c>
      <c r="H63" s="14" t="str">
        <f>"20240409/65998"</f>
        <v>20240409/65998</v>
      </c>
      <c r="I63" s="19" t="str">
        <f t="shared" si="4"/>
        <v> </v>
      </c>
      <c r="J63" s="18">
        <v>31484.95</v>
      </c>
      <c r="K63" s="18">
        <v>0</v>
      </c>
      <c r="L63" s="18">
        <v>1250068.76</v>
      </c>
    </row>
    <row r="64" spans="1:13" ht="15" thickBot="1" x14ac:dyDescent="0.35">
      <c r="A64" s="14">
        <v>57</v>
      </c>
      <c r="B64" s="15">
        <v>45391</v>
      </c>
      <c r="C64" s="15">
        <v>45391</v>
      </c>
      <c r="D64" s="16" t="s">
        <v>1192</v>
      </c>
      <c r="E64" s="16" t="s">
        <v>1193</v>
      </c>
      <c r="F64" s="16" t="s">
        <v>1239</v>
      </c>
      <c r="G64" s="16" t="s">
        <v>1197</v>
      </c>
      <c r="H64" s="14" t="str">
        <f>"20240409/65999"</f>
        <v>20240409/65999</v>
      </c>
      <c r="I64" s="19" t="str">
        <f t="shared" si="4"/>
        <v> </v>
      </c>
      <c r="J64" s="18">
        <v>610794.15</v>
      </c>
      <c r="K64" s="18">
        <v>0</v>
      </c>
      <c r="L64" s="18">
        <v>1860862.91</v>
      </c>
    </row>
    <row r="65" spans="1:13" ht="15" thickBot="1" x14ac:dyDescent="0.35">
      <c r="A65" s="14">
        <v>58</v>
      </c>
      <c r="B65" s="15">
        <v>45391</v>
      </c>
      <c r="C65" s="15">
        <v>45392</v>
      </c>
      <c r="D65" s="16" t="s">
        <v>1192</v>
      </c>
      <c r="E65" s="16" t="s">
        <v>1193</v>
      </c>
      <c r="F65" s="16" t="s">
        <v>1240</v>
      </c>
      <c r="G65" s="16" t="s">
        <v>1197</v>
      </c>
      <c r="H65" s="14" t="str">
        <f>"20240409/230125"</f>
        <v>20240409/230125</v>
      </c>
      <c r="I65" s="19" t="str">
        <f>"2404002756391"</f>
        <v>2404002756391</v>
      </c>
      <c r="J65" s="18">
        <v>17494.02</v>
      </c>
      <c r="K65" s="18">
        <v>0</v>
      </c>
      <c r="L65" s="18">
        <v>1878356.93</v>
      </c>
    </row>
    <row r="66" spans="1:13" ht="15" thickBot="1" x14ac:dyDescent="0.35">
      <c r="A66" s="14">
        <v>59</v>
      </c>
      <c r="B66" s="15">
        <v>45392</v>
      </c>
      <c r="C66" s="15">
        <v>45392</v>
      </c>
      <c r="D66" s="16" t="s">
        <v>1192</v>
      </c>
      <c r="E66" s="16" t="s">
        <v>1193</v>
      </c>
      <c r="F66" s="16" t="s">
        <v>1194</v>
      </c>
      <c r="G66" s="16" t="s">
        <v>1195</v>
      </c>
      <c r="H66" s="14" t="str">
        <f>"20240410/29172"</f>
        <v>20240410/29172</v>
      </c>
      <c r="I66" s="17" t="str">
        <f t="shared" ref="I66:I72" si="5">" "</f>
        <v> </v>
      </c>
      <c r="J66" s="18">
        <v>0</v>
      </c>
      <c r="K66" s="18">
        <v>434.02</v>
      </c>
      <c r="L66" s="18">
        <v>1877922.91</v>
      </c>
      <c r="M66" t="s">
        <v>2661</v>
      </c>
    </row>
    <row r="67" spans="1:13" ht="15" thickBot="1" x14ac:dyDescent="0.35">
      <c r="A67" s="14">
        <v>60</v>
      </c>
      <c r="B67" s="15">
        <v>45392</v>
      </c>
      <c r="C67" s="15">
        <v>45392</v>
      </c>
      <c r="D67" s="16" t="s">
        <v>1192</v>
      </c>
      <c r="E67" s="16" t="s">
        <v>1193</v>
      </c>
      <c r="F67" s="16" t="s">
        <v>1194</v>
      </c>
      <c r="G67" s="16" t="s">
        <v>1195</v>
      </c>
      <c r="H67" s="14" t="str">
        <f>"20240410/82912"</f>
        <v>20240410/82912</v>
      </c>
      <c r="I67" s="17" t="str">
        <f t="shared" si="5"/>
        <v> </v>
      </c>
      <c r="J67" s="18">
        <v>0</v>
      </c>
      <c r="K67" s="18">
        <v>2033.3</v>
      </c>
      <c r="L67" s="18">
        <v>1875889.61</v>
      </c>
      <c r="M67" t="s">
        <v>2661</v>
      </c>
    </row>
    <row r="68" spans="1:13" ht="15" thickBot="1" x14ac:dyDescent="0.35">
      <c r="A68" s="14">
        <v>61</v>
      </c>
      <c r="B68" s="15">
        <v>45392</v>
      </c>
      <c r="C68" s="15">
        <v>45392</v>
      </c>
      <c r="D68" s="16" t="s">
        <v>1192</v>
      </c>
      <c r="E68" s="16" t="s">
        <v>1193</v>
      </c>
      <c r="F68" s="16" t="s">
        <v>1241</v>
      </c>
      <c r="G68" s="16" t="s">
        <v>1197</v>
      </c>
      <c r="H68" s="14" t="str">
        <f>"20240410/261570"</f>
        <v>20240410/261570</v>
      </c>
      <c r="I68" s="19" t="str">
        <f t="shared" si="5"/>
        <v> </v>
      </c>
      <c r="J68" s="18">
        <v>434.02</v>
      </c>
      <c r="K68" s="18">
        <v>0</v>
      </c>
      <c r="L68" s="18">
        <v>1876323.63</v>
      </c>
      <c r="M68" t="s">
        <v>2658</v>
      </c>
    </row>
    <row r="69" spans="1:13" ht="15" thickBot="1" x14ac:dyDescent="0.35">
      <c r="A69" s="14">
        <v>62</v>
      </c>
      <c r="B69" s="15">
        <v>45392</v>
      </c>
      <c r="C69" s="15">
        <v>45392</v>
      </c>
      <c r="D69" s="16" t="s">
        <v>1192</v>
      </c>
      <c r="E69" s="16" t="s">
        <v>1193</v>
      </c>
      <c r="F69" s="16" t="s">
        <v>1242</v>
      </c>
      <c r="G69" s="16" t="s">
        <v>1197</v>
      </c>
      <c r="H69" s="14" t="str">
        <f>"20240410/286070"</f>
        <v>20240410/286070</v>
      </c>
      <c r="I69" s="19" t="str">
        <f t="shared" si="5"/>
        <v> </v>
      </c>
      <c r="J69" s="18">
        <v>27116.9</v>
      </c>
      <c r="K69" s="18">
        <v>0</v>
      </c>
      <c r="L69" s="18">
        <v>1903440.53</v>
      </c>
    </row>
    <row r="70" spans="1:13" ht="15" thickBot="1" x14ac:dyDescent="0.35">
      <c r="A70" s="14">
        <v>63</v>
      </c>
      <c r="B70" s="15">
        <v>45392</v>
      </c>
      <c r="C70" s="15">
        <v>45392</v>
      </c>
      <c r="D70" s="16" t="s">
        <v>1192</v>
      </c>
      <c r="E70" s="16" t="s">
        <v>1193</v>
      </c>
      <c r="F70" s="16" t="s">
        <v>1243</v>
      </c>
      <c r="G70" s="16" t="s">
        <v>1197</v>
      </c>
      <c r="H70" s="14" t="str">
        <f>"20240410/286071"</f>
        <v>20240410/286071</v>
      </c>
      <c r="I70" s="19" t="str">
        <f t="shared" si="5"/>
        <v> </v>
      </c>
      <c r="J70" s="18">
        <v>582617.78</v>
      </c>
      <c r="K70" s="18">
        <v>0</v>
      </c>
      <c r="L70" s="18">
        <v>2486058.31</v>
      </c>
    </row>
    <row r="71" spans="1:13" ht="15" thickBot="1" x14ac:dyDescent="0.35">
      <c r="A71" s="14">
        <v>64</v>
      </c>
      <c r="B71" s="15">
        <v>45392</v>
      </c>
      <c r="C71" s="15">
        <v>45392</v>
      </c>
      <c r="D71" s="16" t="s">
        <v>1192</v>
      </c>
      <c r="E71" s="16" t="s">
        <v>1193</v>
      </c>
      <c r="F71" s="16" t="s">
        <v>1244</v>
      </c>
      <c r="G71" s="16" t="s">
        <v>1197</v>
      </c>
      <c r="H71" s="14" t="str">
        <f>"20240410/369925"</f>
        <v>20240410/369925</v>
      </c>
      <c r="I71" s="19" t="str">
        <f t="shared" si="5"/>
        <v> </v>
      </c>
      <c r="J71" s="18">
        <v>0</v>
      </c>
      <c r="K71" s="18">
        <v>31484.95</v>
      </c>
      <c r="L71" s="18">
        <v>2454573.36</v>
      </c>
    </row>
    <row r="72" spans="1:13" ht="15" thickBot="1" x14ac:dyDescent="0.35">
      <c r="A72" s="14">
        <v>65</v>
      </c>
      <c r="B72" s="15">
        <v>45392</v>
      </c>
      <c r="C72" s="15">
        <v>45392</v>
      </c>
      <c r="D72" s="16" t="s">
        <v>1192</v>
      </c>
      <c r="E72" s="16" t="s">
        <v>1193</v>
      </c>
      <c r="F72" s="16" t="s">
        <v>1245</v>
      </c>
      <c r="G72" s="16" t="s">
        <v>1197</v>
      </c>
      <c r="H72" s="14" t="str">
        <f>"20240410/369926"</f>
        <v>20240410/369926</v>
      </c>
      <c r="I72" s="19" t="str">
        <f t="shared" si="5"/>
        <v> </v>
      </c>
      <c r="J72" s="18">
        <v>0</v>
      </c>
      <c r="K72" s="18">
        <v>610794.15</v>
      </c>
      <c r="L72" s="18">
        <v>1843779.21</v>
      </c>
    </row>
    <row r="73" spans="1:13" ht="15" thickBot="1" x14ac:dyDescent="0.35">
      <c r="A73" s="14">
        <v>66</v>
      </c>
      <c r="B73" s="15">
        <v>45392</v>
      </c>
      <c r="C73" s="15">
        <v>45394</v>
      </c>
      <c r="D73" s="16" t="s">
        <v>1192</v>
      </c>
      <c r="E73" s="16" t="s">
        <v>1193</v>
      </c>
      <c r="F73" s="16" t="s">
        <v>1246</v>
      </c>
      <c r="G73" s="16" t="s">
        <v>1197</v>
      </c>
      <c r="H73" s="14" t="str">
        <f>"20240410/457646"</f>
        <v>20240410/457646</v>
      </c>
      <c r="I73" s="19" t="str">
        <f>"2404003299659"</f>
        <v>2404003299659</v>
      </c>
      <c r="J73" s="18">
        <v>0</v>
      </c>
      <c r="K73" s="18">
        <v>22935.47</v>
      </c>
      <c r="L73" s="18">
        <v>1820843.74</v>
      </c>
    </row>
    <row r="74" spans="1:13" ht="15" thickBot="1" x14ac:dyDescent="0.35">
      <c r="A74" s="14">
        <v>67</v>
      </c>
      <c r="B74" s="15">
        <v>45392</v>
      </c>
      <c r="C74" s="15">
        <v>45394</v>
      </c>
      <c r="D74" s="16" t="s">
        <v>1192</v>
      </c>
      <c r="E74" s="16" t="s">
        <v>1193</v>
      </c>
      <c r="F74" s="16" t="s">
        <v>1247</v>
      </c>
      <c r="G74" s="16" t="s">
        <v>1197</v>
      </c>
      <c r="H74" s="14" t="str">
        <f>"20240410/457647"</f>
        <v>20240410/457647</v>
      </c>
      <c r="I74" s="19" t="str">
        <f>"2404003299659"</f>
        <v>2404003299659</v>
      </c>
      <c r="J74" s="18">
        <v>0</v>
      </c>
      <c r="K74" s="18">
        <v>45434.18</v>
      </c>
      <c r="L74" s="18">
        <v>1775409.56</v>
      </c>
    </row>
    <row r="75" spans="1:13" ht="15" thickBot="1" x14ac:dyDescent="0.35">
      <c r="A75" s="14">
        <v>68</v>
      </c>
      <c r="B75" s="15">
        <v>45394</v>
      </c>
      <c r="C75" s="15">
        <v>45394</v>
      </c>
      <c r="D75" s="16" t="s">
        <v>1248</v>
      </c>
      <c r="E75" s="16" t="s">
        <v>1193</v>
      </c>
      <c r="F75" s="16" t="s">
        <v>1249</v>
      </c>
      <c r="G75" s="16" t="s">
        <v>1195</v>
      </c>
      <c r="H75" s="14" t="str">
        <f>"20240412/123068"</f>
        <v>20240412/123068</v>
      </c>
      <c r="I75" s="17" t="str">
        <f t="shared" ref="I75:I84" si="6">" "</f>
        <v> </v>
      </c>
      <c r="J75" s="18">
        <v>0</v>
      </c>
      <c r="K75" s="18">
        <v>42.91</v>
      </c>
      <c r="L75" s="18">
        <v>1775366.65</v>
      </c>
      <c r="M75" t="s">
        <v>2661</v>
      </c>
    </row>
    <row r="76" spans="1:13" ht="15" thickBot="1" x14ac:dyDescent="0.35">
      <c r="A76" s="14">
        <v>69</v>
      </c>
      <c r="B76" s="15">
        <v>45394</v>
      </c>
      <c r="C76" s="15">
        <v>45394</v>
      </c>
      <c r="D76" s="16" t="s">
        <v>1192</v>
      </c>
      <c r="E76" s="16" t="s">
        <v>1193</v>
      </c>
      <c r="F76" s="16" t="s">
        <v>1202</v>
      </c>
      <c r="G76" s="16" t="s">
        <v>1203</v>
      </c>
      <c r="H76" s="14" t="str">
        <f>"20240412/18840"</f>
        <v>20240412/18840</v>
      </c>
      <c r="I76" s="17" t="str">
        <f t="shared" si="6"/>
        <v> </v>
      </c>
      <c r="J76" s="18">
        <v>6052.98</v>
      </c>
      <c r="K76" s="18">
        <v>0</v>
      </c>
      <c r="L76" s="18">
        <v>1781419.63</v>
      </c>
      <c r="M76" t="s">
        <v>2661</v>
      </c>
    </row>
    <row r="77" spans="1:13" ht="15" thickBot="1" x14ac:dyDescent="0.35">
      <c r="A77" s="14">
        <v>70</v>
      </c>
      <c r="B77" s="15">
        <v>45394</v>
      </c>
      <c r="C77" s="15">
        <v>45394</v>
      </c>
      <c r="D77" s="16" t="s">
        <v>1192</v>
      </c>
      <c r="E77" s="16" t="s">
        <v>1193</v>
      </c>
      <c r="F77" s="16" t="s">
        <v>1204</v>
      </c>
      <c r="G77" s="16" t="s">
        <v>1203</v>
      </c>
      <c r="H77" s="14" t="str">
        <f>"20240412/20153"</f>
        <v>20240412/20153</v>
      </c>
      <c r="I77" s="17" t="str">
        <f t="shared" si="6"/>
        <v> </v>
      </c>
      <c r="J77" s="18">
        <v>22935.47</v>
      </c>
      <c r="K77" s="18">
        <v>0</v>
      </c>
      <c r="L77" s="18">
        <v>1804355.1</v>
      </c>
      <c r="M77" t="s">
        <v>2661</v>
      </c>
    </row>
    <row r="78" spans="1:13" ht="15" thickBot="1" x14ac:dyDescent="0.35">
      <c r="A78" s="14">
        <v>71</v>
      </c>
      <c r="B78" s="15">
        <v>45394</v>
      </c>
      <c r="C78" s="15">
        <v>45394</v>
      </c>
      <c r="D78" s="16" t="s">
        <v>1192</v>
      </c>
      <c r="E78" s="16" t="s">
        <v>1193</v>
      </c>
      <c r="F78" s="16" t="s">
        <v>1194</v>
      </c>
      <c r="G78" s="16" t="s">
        <v>1195</v>
      </c>
      <c r="H78" s="14" t="str">
        <f>"20240412/30991"</f>
        <v>20240412/30991</v>
      </c>
      <c r="I78" s="17" t="str">
        <f t="shared" si="6"/>
        <v> </v>
      </c>
      <c r="J78" s="18">
        <v>0</v>
      </c>
      <c r="K78" s="18">
        <v>879.04</v>
      </c>
      <c r="L78" s="18">
        <v>1803476.06</v>
      </c>
      <c r="M78" t="s">
        <v>2661</v>
      </c>
    </row>
    <row r="79" spans="1:13" ht="15" thickBot="1" x14ac:dyDescent="0.35">
      <c r="A79" s="14">
        <v>72</v>
      </c>
      <c r="B79" s="15">
        <v>45394</v>
      </c>
      <c r="C79" s="15">
        <v>45394</v>
      </c>
      <c r="D79" s="16" t="s">
        <v>1192</v>
      </c>
      <c r="E79" s="16" t="s">
        <v>1193</v>
      </c>
      <c r="F79" s="16" t="s">
        <v>1194</v>
      </c>
      <c r="G79" s="16" t="s">
        <v>1195</v>
      </c>
      <c r="H79" s="14" t="str">
        <f>"20240412/95277"</f>
        <v>20240412/95277</v>
      </c>
      <c r="I79" s="17" t="str">
        <f t="shared" si="6"/>
        <v> </v>
      </c>
      <c r="J79" s="18">
        <v>0</v>
      </c>
      <c r="K79" s="18">
        <v>23319.29</v>
      </c>
      <c r="L79" s="18">
        <v>1780156.77</v>
      </c>
      <c r="M79" t="s">
        <v>2661</v>
      </c>
    </row>
    <row r="80" spans="1:13" ht="15" thickBot="1" x14ac:dyDescent="0.35">
      <c r="A80" s="14">
        <v>73</v>
      </c>
      <c r="B80" s="15">
        <v>45394</v>
      </c>
      <c r="C80" s="15">
        <v>45394</v>
      </c>
      <c r="D80" s="16" t="s">
        <v>1192</v>
      </c>
      <c r="E80" s="16" t="s">
        <v>1193</v>
      </c>
      <c r="F80" s="16" t="s">
        <v>1250</v>
      </c>
      <c r="G80" s="16" t="s">
        <v>1197</v>
      </c>
      <c r="H80" s="14" t="str">
        <f>"20240412/145159"</f>
        <v>20240412/145159</v>
      </c>
      <c r="I80" s="19" t="str">
        <f t="shared" si="6"/>
        <v> </v>
      </c>
      <c r="J80" s="18">
        <v>879.04</v>
      </c>
      <c r="K80" s="18">
        <v>0</v>
      </c>
      <c r="L80" s="18">
        <v>1781035.81</v>
      </c>
      <c r="M80" t="s">
        <v>2658</v>
      </c>
    </row>
    <row r="81" spans="1:13" ht="15" thickBot="1" x14ac:dyDescent="0.35">
      <c r="A81" s="14">
        <v>74</v>
      </c>
      <c r="B81" s="15">
        <v>45394</v>
      </c>
      <c r="C81" s="15">
        <v>45394</v>
      </c>
      <c r="D81" s="16" t="s">
        <v>1192</v>
      </c>
      <c r="E81" s="16" t="s">
        <v>1193</v>
      </c>
      <c r="F81" s="16" t="s">
        <v>1251</v>
      </c>
      <c r="G81" s="16" t="s">
        <v>1197</v>
      </c>
      <c r="H81" s="14" t="str">
        <f>"20240412/196999"</f>
        <v>20240412/196999</v>
      </c>
      <c r="I81" s="19" t="str">
        <f t="shared" si="6"/>
        <v> </v>
      </c>
      <c r="J81" s="18">
        <v>28117.95</v>
      </c>
      <c r="K81" s="18">
        <v>0</v>
      </c>
      <c r="L81" s="18">
        <v>1809153.76</v>
      </c>
    </row>
    <row r="82" spans="1:13" ht="15" thickBot="1" x14ac:dyDescent="0.35">
      <c r="A82" s="14">
        <v>75</v>
      </c>
      <c r="B82" s="15">
        <v>45394</v>
      </c>
      <c r="C82" s="15">
        <v>45394</v>
      </c>
      <c r="D82" s="16" t="s">
        <v>1192</v>
      </c>
      <c r="E82" s="16" t="s">
        <v>1193</v>
      </c>
      <c r="F82" s="16" t="s">
        <v>1252</v>
      </c>
      <c r="G82" s="16" t="s">
        <v>1197</v>
      </c>
      <c r="H82" s="14" t="str">
        <f>"20240412/199420"</f>
        <v>20240412/199420</v>
      </c>
      <c r="I82" s="19" t="str">
        <f t="shared" si="6"/>
        <v> </v>
      </c>
      <c r="J82" s="18">
        <v>574205.17000000004</v>
      </c>
      <c r="K82" s="18">
        <v>0</v>
      </c>
      <c r="L82" s="18">
        <v>2383358.9300000002</v>
      </c>
    </row>
    <row r="83" spans="1:13" ht="15" thickBot="1" x14ac:dyDescent="0.35">
      <c r="A83" s="14">
        <v>76</v>
      </c>
      <c r="B83" s="15">
        <v>45394</v>
      </c>
      <c r="C83" s="15">
        <v>45394</v>
      </c>
      <c r="D83" s="16" t="s">
        <v>1192</v>
      </c>
      <c r="E83" s="16" t="s">
        <v>1193</v>
      </c>
      <c r="F83" s="16" t="s">
        <v>1253</v>
      </c>
      <c r="G83" s="16" t="s">
        <v>1197</v>
      </c>
      <c r="H83" s="14" t="str">
        <f>"20240412/281335"</f>
        <v>20240412/281335</v>
      </c>
      <c r="I83" s="19" t="str">
        <f t="shared" si="6"/>
        <v> </v>
      </c>
      <c r="J83" s="18">
        <v>0</v>
      </c>
      <c r="K83" s="18">
        <v>27116.9</v>
      </c>
      <c r="L83" s="18">
        <v>2356242.0299999998</v>
      </c>
    </row>
    <row r="84" spans="1:13" ht="15" thickBot="1" x14ac:dyDescent="0.35">
      <c r="A84" s="14">
        <v>77</v>
      </c>
      <c r="B84" s="15">
        <v>45394</v>
      </c>
      <c r="C84" s="15">
        <v>45394</v>
      </c>
      <c r="D84" s="16" t="s">
        <v>1192</v>
      </c>
      <c r="E84" s="16" t="s">
        <v>1193</v>
      </c>
      <c r="F84" s="16" t="s">
        <v>1254</v>
      </c>
      <c r="G84" s="16" t="s">
        <v>1197</v>
      </c>
      <c r="H84" s="14" t="str">
        <f>"20240412/281336"</f>
        <v>20240412/281336</v>
      </c>
      <c r="I84" s="19" t="str">
        <f t="shared" si="6"/>
        <v> </v>
      </c>
      <c r="J84" s="18">
        <v>0</v>
      </c>
      <c r="K84" s="18">
        <v>582617.78</v>
      </c>
      <c r="L84" s="18">
        <v>1773624.25</v>
      </c>
    </row>
    <row r="85" spans="1:13" ht="15" thickBot="1" x14ac:dyDescent="0.35">
      <c r="A85" s="14">
        <v>78</v>
      </c>
      <c r="B85" s="15">
        <v>45394</v>
      </c>
      <c r="C85" s="15">
        <v>45397</v>
      </c>
      <c r="D85" s="16" t="s">
        <v>1248</v>
      </c>
      <c r="E85" s="16" t="s">
        <v>1193</v>
      </c>
      <c r="F85" s="16" t="s">
        <v>1255</v>
      </c>
      <c r="G85" s="16" t="s">
        <v>1197</v>
      </c>
      <c r="H85" s="14" t="str">
        <f>"20240412/291340"</f>
        <v>20240412/291340</v>
      </c>
      <c r="I85" s="19" t="str">
        <f>"2404003811545"</f>
        <v>2404003811545</v>
      </c>
      <c r="J85" s="18">
        <v>42.91</v>
      </c>
      <c r="K85" s="18">
        <v>0</v>
      </c>
      <c r="L85" s="18">
        <v>1773667.16</v>
      </c>
    </row>
    <row r="86" spans="1:13" ht="15" thickBot="1" x14ac:dyDescent="0.35">
      <c r="A86" s="14">
        <v>79</v>
      </c>
      <c r="B86" s="15">
        <v>45397</v>
      </c>
      <c r="C86" s="15">
        <v>45397</v>
      </c>
      <c r="D86" s="16" t="s">
        <v>1192</v>
      </c>
      <c r="E86" s="16" t="s">
        <v>1193</v>
      </c>
      <c r="F86" s="16" t="s">
        <v>1194</v>
      </c>
      <c r="G86" s="16" t="s">
        <v>1195</v>
      </c>
      <c r="H86" s="14" t="str">
        <f>"20240415/35265"</f>
        <v>20240415/35265</v>
      </c>
      <c r="I86" s="17" t="str">
        <f t="shared" ref="I86:I91" si="7">" "</f>
        <v> </v>
      </c>
      <c r="J86" s="18">
        <v>0</v>
      </c>
      <c r="K86" s="18">
        <v>1251.57</v>
      </c>
      <c r="L86" s="18">
        <v>1772415.59</v>
      </c>
      <c r="M86" t="s">
        <v>2661</v>
      </c>
    </row>
    <row r="87" spans="1:13" ht="15" thickBot="1" x14ac:dyDescent="0.35">
      <c r="A87" s="14">
        <v>80</v>
      </c>
      <c r="B87" s="15">
        <v>45397</v>
      </c>
      <c r="C87" s="15">
        <v>45397</v>
      </c>
      <c r="D87" s="16" t="s">
        <v>1192</v>
      </c>
      <c r="E87" s="16" t="s">
        <v>1193</v>
      </c>
      <c r="F87" s="16" t="s">
        <v>1256</v>
      </c>
      <c r="G87" s="16" t="s">
        <v>1197</v>
      </c>
      <c r="H87" s="14" t="str">
        <f>"20240415/144912"</f>
        <v>20240415/144912</v>
      </c>
      <c r="I87" s="19" t="str">
        <f t="shared" si="7"/>
        <v> </v>
      </c>
      <c r="J87" s="18">
        <v>1251.57</v>
      </c>
      <c r="K87" s="18">
        <v>0</v>
      </c>
      <c r="L87" s="18">
        <v>1773667.16</v>
      </c>
      <c r="M87" t="s">
        <v>2658</v>
      </c>
    </row>
    <row r="88" spans="1:13" ht="15" thickBot="1" x14ac:dyDescent="0.35">
      <c r="A88" s="14">
        <v>81</v>
      </c>
      <c r="B88" s="15">
        <v>45397</v>
      </c>
      <c r="C88" s="15">
        <v>45397</v>
      </c>
      <c r="D88" s="16" t="s">
        <v>1192</v>
      </c>
      <c r="E88" s="16" t="s">
        <v>1193</v>
      </c>
      <c r="F88" s="16" t="s">
        <v>1257</v>
      </c>
      <c r="G88" s="16" t="s">
        <v>1197</v>
      </c>
      <c r="H88" s="14" t="str">
        <f>"20240415/177876"</f>
        <v>20240415/177876</v>
      </c>
      <c r="I88" s="19" t="str">
        <f t="shared" si="7"/>
        <v> </v>
      </c>
      <c r="J88" s="18">
        <v>38346.79</v>
      </c>
      <c r="K88" s="18">
        <v>0</v>
      </c>
      <c r="L88" s="18">
        <v>1812013.95</v>
      </c>
    </row>
    <row r="89" spans="1:13" ht="15" thickBot="1" x14ac:dyDescent="0.35">
      <c r="A89" s="14">
        <v>82</v>
      </c>
      <c r="B89" s="15">
        <v>45397</v>
      </c>
      <c r="C89" s="15">
        <v>45397</v>
      </c>
      <c r="D89" s="16" t="s">
        <v>1192</v>
      </c>
      <c r="E89" s="16" t="s">
        <v>1193</v>
      </c>
      <c r="F89" s="16" t="s">
        <v>1258</v>
      </c>
      <c r="G89" s="16" t="s">
        <v>1197</v>
      </c>
      <c r="H89" s="14" t="str">
        <f>"20240415/177877"</f>
        <v>20240415/177877</v>
      </c>
      <c r="I89" s="19" t="str">
        <f t="shared" si="7"/>
        <v> </v>
      </c>
      <c r="J89" s="18">
        <v>548441.82999999996</v>
      </c>
      <c r="K89" s="18">
        <v>0</v>
      </c>
      <c r="L89" s="18">
        <v>2360455.7799999998</v>
      </c>
    </row>
    <row r="90" spans="1:13" ht="15" thickBot="1" x14ac:dyDescent="0.35">
      <c r="A90" s="14">
        <v>83</v>
      </c>
      <c r="B90" s="15">
        <v>45397</v>
      </c>
      <c r="C90" s="15">
        <v>45397</v>
      </c>
      <c r="D90" s="16" t="s">
        <v>1192</v>
      </c>
      <c r="E90" s="16" t="s">
        <v>1193</v>
      </c>
      <c r="F90" s="16" t="s">
        <v>1259</v>
      </c>
      <c r="G90" s="16" t="s">
        <v>1197</v>
      </c>
      <c r="H90" s="14" t="str">
        <f>"20240415/280982"</f>
        <v>20240415/280982</v>
      </c>
      <c r="I90" s="19" t="str">
        <f t="shared" si="7"/>
        <v> </v>
      </c>
      <c r="J90" s="18">
        <v>0</v>
      </c>
      <c r="K90" s="18">
        <v>28117.95</v>
      </c>
      <c r="L90" s="18">
        <v>2332337.83</v>
      </c>
    </row>
    <row r="91" spans="1:13" ht="15" thickBot="1" x14ac:dyDescent="0.35">
      <c r="A91" s="14">
        <v>84</v>
      </c>
      <c r="B91" s="15">
        <v>45397</v>
      </c>
      <c r="C91" s="15">
        <v>45397</v>
      </c>
      <c r="D91" s="16" t="s">
        <v>1192</v>
      </c>
      <c r="E91" s="16" t="s">
        <v>1193</v>
      </c>
      <c r="F91" s="16" t="s">
        <v>1260</v>
      </c>
      <c r="G91" s="16" t="s">
        <v>1197</v>
      </c>
      <c r="H91" s="14" t="str">
        <f>"20240415/280983"</f>
        <v>20240415/280983</v>
      </c>
      <c r="I91" s="19" t="str">
        <f t="shared" si="7"/>
        <v> </v>
      </c>
      <c r="J91" s="18">
        <v>0</v>
      </c>
      <c r="K91" s="18">
        <v>574205.17000000004</v>
      </c>
      <c r="L91" s="18">
        <v>1758132.66</v>
      </c>
    </row>
    <row r="92" spans="1:13" ht="15" thickBot="1" x14ac:dyDescent="0.35">
      <c r="A92" s="14">
        <v>85</v>
      </c>
      <c r="B92" s="15">
        <v>45397</v>
      </c>
      <c r="C92" s="15">
        <v>45398</v>
      </c>
      <c r="D92" s="16" t="s">
        <v>1192</v>
      </c>
      <c r="E92" s="16" t="s">
        <v>1193</v>
      </c>
      <c r="F92" s="16" t="s">
        <v>1261</v>
      </c>
      <c r="G92" s="16" t="s">
        <v>1197</v>
      </c>
      <c r="H92" s="14" t="str">
        <f>"20240415/356603"</f>
        <v>20240415/356603</v>
      </c>
      <c r="I92" s="19" t="str">
        <f>"2404004191510"</f>
        <v>2404004191510</v>
      </c>
      <c r="J92" s="18">
        <v>0</v>
      </c>
      <c r="K92" s="18">
        <v>29908.32</v>
      </c>
      <c r="L92" s="18">
        <v>1728224.34</v>
      </c>
    </row>
    <row r="93" spans="1:13" ht="15" thickBot="1" x14ac:dyDescent="0.35">
      <c r="A93" s="14">
        <v>86</v>
      </c>
      <c r="B93" s="15">
        <v>45397</v>
      </c>
      <c r="C93" s="15">
        <v>45398</v>
      </c>
      <c r="D93" s="16" t="s">
        <v>1192</v>
      </c>
      <c r="E93" s="16" t="s">
        <v>1193</v>
      </c>
      <c r="F93" s="16" t="s">
        <v>1262</v>
      </c>
      <c r="G93" s="16" t="s">
        <v>1197</v>
      </c>
      <c r="H93" s="14" t="str">
        <f>"20240415/356604"</f>
        <v>20240415/356604</v>
      </c>
      <c r="I93" s="19" t="str">
        <f>"2404004191510"</f>
        <v>2404004191510</v>
      </c>
      <c r="J93" s="18">
        <v>0</v>
      </c>
      <c r="K93" s="18">
        <v>55832.86</v>
      </c>
      <c r="L93" s="18">
        <v>1672391.48</v>
      </c>
    </row>
    <row r="94" spans="1:13" ht="15" thickBot="1" x14ac:dyDescent="0.35">
      <c r="A94" s="14">
        <v>87</v>
      </c>
      <c r="B94" s="15">
        <v>45398</v>
      </c>
      <c r="C94" s="15">
        <v>45398</v>
      </c>
      <c r="D94" s="16" t="s">
        <v>1192</v>
      </c>
      <c r="E94" s="16" t="s">
        <v>1193</v>
      </c>
      <c r="F94" s="16" t="s">
        <v>1204</v>
      </c>
      <c r="G94" s="16" t="s">
        <v>1203</v>
      </c>
      <c r="H94" s="14" t="str">
        <f>"20240416/36693"</f>
        <v>20240416/36693</v>
      </c>
      <c r="I94" s="17" t="str">
        <f t="shared" ref="I94:I102" si="8">" "</f>
        <v> </v>
      </c>
      <c r="J94" s="18">
        <v>29908.32</v>
      </c>
      <c r="K94" s="18">
        <v>0</v>
      </c>
      <c r="L94" s="18">
        <v>1702299.8</v>
      </c>
      <c r="M94" t="s">
        <v>2661</v>
      </c>
    </row>
    <row r="95" spans="1:13" ht="15" thickBot="1" x14ac:dyDescent="0.35">
      <c r="A95" s="14">
        <v>88</v>
      </c>
      <c r="B95" s="15">
        <v>45398</v>
      </c>
      <c r="C95" s="15">
        <v>45398</v>
      </c>
      <c r="D95" s="16" t="s">
        <v>1192</v>
      </c>
      <c r="E95" s="16" t="s">
        <v>1193</v>
      </c>
      <c r="F95" s="16" t="s">
        <v>1202</v>
      </c>
      <c r="G95" s="16" t="s">
        <v>1203</v>
      </c>
      <c r="H95" s="14" t="str">
        <f>"20240416/6962"</f>
        <v>20240416/6962</v>
      </c>
      <c r="I95" s="17" t="str">
        <f t="shared" si="8"/>
        <v> </v>
      </c>
      <c r="J95" s="18">
        <v>16741.900000000001</v>
      </c>
      <c r="K95" s="18">
        <v>0</v>
      </c>
      <c r="L95" s="18">
        <v>1719041.7</v>
      </c>
      <c r="M95" t="s">
        <v>2661</v>
      </c>
    </row>
    <row r="96" spans="1:13" ht="15" thickBot="1" x14ac:dyDescent="0.35">
      <c r="A96" s="14">
        <v>89</v>
      </c>
      <c r="B96" s="15">
        <v>45398</v>
      </c>
      <c r="C96" s="15">
        <v>45398</v>
      </c>
      <c r="D96" s="16" t="s">
        <v>1192</v>
      </c>
      <c r="E96" s="16" t="s">
        <v>1193</v>
      </c>
      <c r="F96" s="16" t="s">
        <v>1194</v>
      </c>
      <c r="G96" s="16" t="s">
        <v>1195</v>
      </c>
      <c r="H96" s="14" t="str">
        <f>"20240416/33682"</f>
        <v>20240416/33682</v>
      </c>
      <c r="I96" s="17" t="str">
        <f t="shared" si="8"/>
        <v> </v>
      </c>
      <c r="J96" s="18">
        <v>0</v>
      </c>
      <c r="K96" s="18">
        <v>417.19</v>
      </c>
      <c r="L96" s="18">
        <v>1718624.51</v>
      </c>
      <c r="M96" t="s">
        <v>2661</v>
      </c>
    </row>
    <row r="97" spans="1:13" ht="15" thickBot="1" x14ac:dyDescent="0.35">
      <c r="A97" s="14">
        <v>90</v>
      </c>
      <c r="B97" s="15">
        <v>45398</v>
      </c>
      <c r="C97" s="15">
        <v>45398</v>
      </c>
      <c r="D97" s="16" t="s">
        <v>1192</v>
      </c>
      <c r="E97" s="16" t="s">
        <v>1193</v>
      </c>
      <c r="F97" s="16" t="s">
        <v>1194</v>
      </c>
      <c r="G97" s="16" t="s">
        <v>1195</v>
      </c>
      <c r="H97" s="14" t="str">
        <f>"20240416/89931"</f>
        <v>20240416/89931</v>
      </c>
      <c r="I97" s="17" t="str">
        <f t="shared" si="8"/>
        <v> </v>
      </c>
      <c r="J97" s="18">
        <v>0</v>
      </c>
      <c r="K97" s="18">
        <v>20617.330000000002</v>
      </c>
      <c r="L97" s="18">
        <v>1698007.18</v>
      </c>
      <c r="M97" t="s">
        <v>2661</v>
      </c>
    </row>
    <row r="98" spans="1:13" ht="15" thickBot="1" x14ac:dyDescent="0.35">
      <c r="A98" s="14">
        <v>91</v>
      </c>
      <c r="B98" s="15">
        <v>45398</v>
      </c>
      <c r="C98" s="15">
        <v>45398</v>
      </c>
      <c r="D98" s="16" t="s">
        <v>1192</v>
      </c>
      <c r="E98" s="16" t="s">
        <v>1193</v>
      </c>
      <c r="F98" s="16" t="s">
        <v>1263</v>
      </c>
      <c r="G98" s="16" t="s">
        <v>1197</v>
      </c>
      <c r="H98" s="14" t="str">
        <f>"20240416/114143"</f>
        <v>20240416/114143</v>
      </c>
      <c r="I98" s="19" t="str">
        <f t="shared" si="8"/>
        <v> </v>
      </c>
      <c r="J98" s="18">
        <v>417.19</v>
      </c>
      <c r="K98" s="18">
        <v>0</v>
      </c>
      <c r="L98" s="18">
        <v>1698424.37</v>
      </c>
      <c r="M98" t="s">
        <v>2658</v>
      </c>
    </row>
    <row r="99" spans="1:13" ht="15" thickBot="1" x14ac:dyDescent="0.35">
      <c r="A99" s="14">
        <v>92</v>
      </c>
      <c r="B99" s="15">
        <v>45398</v>
      </c>
      <c r="C99" s="15">
        <v>45398</v>
      </c>
      <c r="D99" s="16" t="s">
        <v>1192</v>
      </c>
      <c r="E99" s="16" t="s">
        <v>1193</v>
      </c>
      <c r="F99" s="16" t="s">
        <v>1264</v>
      </c>
      <c r="G99" s="16" t="s">
        <v>1197</v>
      </c>
      <c r="H99" s="14" t="str">
        <f>"20240416/207364"</f>
        <v>20240416/207364</v>
      </c>
      <c r="I99" s="19" t="str">
        <f t="shared" si="8"/>
        <v> </v>
      </c>
      <c r="J99" s="18">
        <v>562328.23</v>
      </c>
      <c r="K99" s="18">
        <v>0</v>
      </c>
      <c r="L99" s="18">
        <v>2260752.6</v>
      </c>
    </row>
    <row r="100" spans="1:13" ht="15" thickBot="1" x14ac:dyDescent="0.35">
      <c r="A100" s="14">
        <v>93</v>
      </c>
      <c r="B100" s="15">
        <v>45398</v>
      </c>
      <c r="C100" s="15">
        <v>45398</v>
      </c>
      <c r="D100" s="16" t="s">
        <v>1192</v>
      </c>
      <c r="E100" s="16" t="s">
        <v>1193</v>
      </c>
      <c r="F100" s="16" t="s">
        <v>1265</v>
      </c>
      <c r="G100" s="16" t="s">
        <v>1197</v>
      </c>
      <c r="H100" s="14" t="str">
        <f>"20240416/207365"</f>
        <v>20240416/207365</v>
      </c>
      <c r="I100" s="19" t="str">
        <f t="shared" si="8"/>
        <v> </v>
      </c>
      <c r="J100" s="18">
        <v>45077.72</v>
      </c>
      <c r="K100" s="18">
        <v>0</v>
      </c>
      <c r="L100" s="18">
        <v>2305830.3199999998</v>
      </c>
    </row>
    <row r="101" spans="1:13" ht="15" thickBot="1" x14ac:dyDescent="0.35">
      <c r="A101" s="14">
        <v>94</v>
      </c>
      <c r="B101" s="15">
        <v>45398</v>
      </c>
      <c r="C101" s="15">
        <v>45398</v>
      </c>
      <c r="D101" s="16" t="s">
        <v>1192</v>
      </c>
      <c r="E101" s="16" t="s">
        <v>1193</v>
      </c>
      <c r="F101" s="16" t="s">
        <v>1266</v>
      </c>
      <c r="G101" s="16" t="s">
        <v>1197</v>
      </c>
      <c r="H101" s="14" t="str">
        <f>"20240416/242893"</f>
        <v>20240416/242893</v>
      </c>
      <c r="I101" s="19" t="str">
        <f t="shared" si="8"/>
        <v> </v>
      </c>
      <c r="J101" s="18">
        <v>0</v>
      </c>
      <c r="K101" s="18">
        <v>38346.79</v>
      </c>
      <c r="L101" s="18">
        <v>2267483.5299999998</v>
      </c>
    </row>
    <row r="102" spans="1:13" ht="15" thickBot="1" x14ac:dyDescent="0.35">
      <c r="A102" s="14">
        <v>95</v>
      </c>
      <c r="B102" s="15">
        <v>45398</v>
      </c>
      <c r="C102" s="15">
        <v>45398</v>
      </c>
      <c r="D102" s="16" t="s">
        <v>1192</v>
      </c>
      <c r="E102" s="16" t="s">
        <v>1193</v>
      </c>
      <c r="F102" s="16" t="s">
        <v>1267</v>
      </c>
      <c r="G102" s="16" t="s">
        <v>1197</v>
      </c>
      <c r="H102" s="14" t="str">
        <f>"20240416/242894"</f>
        <v>20240416/242894</v>
      </c>
      <c r="I102" s="19" t="str">
        <f t="shared" si="8"/>
        <v> </v>
      </c>
      <c r="J102" s="18">
        <v>0</v>
      </c>
      <c r="K102" s="18">
        <v>548441.82999999996</v>
      </c>
      <c r="L102" s="18">
        <v>1719041.7</v>
      </c>
    </row>
    <row r="103" spans="1:13" ht="15" thickBot="1" x14ac:dyDescent="0.35">
      <c r="A103" s="14">
        <v>96</v>
      </c>
      <c r="B103" s="15">
        <v>45398</v>
      </c>
      <c r="C103" s="15">
        <v>45400</v>
      </c>
      <c r="D103" s="16" t="s">
        <v>1192</v>
      </c>
      <c r="E103" s="16" t="s">
        <v>1193</v>
      </c>
      <c r="F103" s="16" t="s">
        <v>1268</v>
      </c>
      <c r="G103" s="16" t="s">
        <v>1197</v>
      </c>
      <c r="H103" s="14" t="str">
        <f>"20240416/344046"</f>
        <v>20240416/344046</v>
      </c>
      <c r="I103" s="19" t="str">
        <f>"2404004630795"</f>
        <v>2404004630795</v>
      </c>
      <c r="J103" s="18">
        <v>0</v>
      </c>
      <c r="K103" s="18">
        <v>22103.31</v>
      </c>
      <c r="L103" s="18">
        <v>1696938.39</v>
      </c>
    </row>
    <row r="104" spans="1:13" ht="15" thickBot="1" x14ac:dyDescent="0.35">
      <c r="A104" s="14">
        <v>97</v>
      </c>
      <c r="B104" s="15">
        <v>45398</v>
      </c>
      <c r="C104" s="15">
        <v>45400</v>
      </c>
      <c r="D104" s="16" t="s">
        <v>1192</v>
      </c>
      <c r="E104" s="16" t="s">
        <v>1193</v>
      </c>
      <c r="F104" s="16" t="s">
        <v>1269</v>
      </c>
      <c r="G104" s="16" t="s">
        <v>1197</v>
      </c>
      <c r="H104" s="14" t="str">
        <f>"20240416/344047"</f>
        <v>20240416/344047</v>
      </c>
      <c r="I104" s="19" t="str">
        <f>"2404004630795"</f>
        <v>2404004630795</v>
      </c>
      <c r="J104" s="18">
        <v>41791.599999999999</v>
      </c>
      <c r="K104" s="18">
        <v>0</v>
      </c>
      <c r="L104" s="18">
        <v>1738729.99</v>
      </c>
    </row>
    <row r="105" spans="1:13" ht="15" thickBot="1" x14ac:dyDescent="0.35">
      <c r="A105" s="14">
        <v>98</v>
      </c>
      <c r="B105" s="15">
        <v>45400</v>
      </c>
      <c r="C105" s="15">
        <v>45400</v>
      </c>
      <c r="D105" s="16" t="s">
        <v>1192</v>
      </c>
      <c r="E105" s="16" t="s">
        <v>1193</v>
      </c>
      <c r="F105" s="16" t="s">
        <v>1204</v>
      </c>
      <c r="G105" s="16" t="s">
        <v>1203</v>
      </c>
      <c r="H105" s="14" t="str">
        <f>"20240418/46862"</f>
        <v>20240418/46862</v>
      </c>
      <c r="I105" s="17" t="str">
        <f t="shared" ref="I105:I113" si="9">" "</f>
        <v> </v>
      </c>
      <c r="J105" s="18">
        <v>22103.31</v>
      </c>
      <c r="K105" s="18">
        <v>0</v>
      </c>
      <c r="L105" s="18">
        <v>1760833.3</v>
      </c>
      <c r="M105" t="s">
        <v>2661</v>
      </c>
    </row>
    <row r="106" spans="1:13" ht="15" thickBot="1" x14ac:dyDescent="0.35">
      <c r="A106" s="14">
        <v>99</v>
      </c>
      <c r="B106" s="15">
        <v>45400</v>
      </c>
      <c r="C106" s="15">
        <v>45400</v>
      </c>
      <c r="D106" s="16" t="s">
        <v>1192</v>
      </c>
      <c r="E106" s="16" t="s">
        <v>1193</v>
      </c>
      <c r="F106" s="16" t="s">
        <v>1194</v>
      </c>
      <c r="G106" s="16" t="s">
        <v>1195</v>
      </c>
      <c r="H106" s="14" t="str">
        <f>"20240418/109360"</f>
        <v>20240418/109360</v>
      </c>
      <c r="I106" s="17" t="str">
        <f t="shared" si="9"/>
        <v> </v>
      </c>
      <c r="J106" s="18">
        <v>0</v>
      </c>
      <c r="K106" s="18">
        <v>30745.040000000001</v>
      </c>
      <c r="L106" s="18">
        <v>1730088.26</v>
      </c>
      <c r="M106" t="s">
        <v>2661</v>
      </c>
    </row>
    <row r="107" spans="1:13" ht="15" thickBot="1" x14ac:dyDescent="0.35">
      <c r="A107" s="14">
        <v>100</v>
      </c>
      <c r="B107" s="15">
        <v>45400</v>
      </c>
      <c r="C107" s="15">
        <v>45400</v>
      </c>
      <c r="D107" s="16" t="s">
        <v>1192</v>
      </c>
      <c r="E107" s="16" t="s">
        <v>1193</v>
      </c>
      <c r="F107" s="16" t="s">
        <v>1194</v>
      </c>
      <c r="G107" s="16" t="s">
        <v>1195</v>
      </c>
      <c r="H107" s="14" t="str">
        <f>"20240418/32368"</f>
        <v>20240418/32368</v>
      </c>
      <c r="I107" s="17" t="str">
        <f t="shared" si="9"/>
        <v> </v>
      </c>
      <c r="J107" s="18">
        <v>0</v>
      </c>
      <c r="K107" s="18">
        <v>791.86</v>
      </c>
      <c r="L107" s="18">
        <v>1729296.4</v>
      </c>
      <c r="M107" t="s">
        <v>2661</v>
      </c>
    </row>
    <row r="108" spans="1:13" ht="15" thickBot="1" x14ac:dyDescent="0.35">
      <c r="A108" s="14">
        <v>101</v>
      </c>
      <c r="B108" s="15">
        <v>45400</v>
      </c>
      <c r="C108" s="15">
        <v>45400</v>
      </c>
      <c r="D108" s="16" t="s">
        <v>1192</v>
      </c>
      <c r="E108" s="16" t="s">
        <v>1193</v>
      </c>
      <c r="F108" s="16" t="s">
        <v>1249</v>
      </c>
      <c r="G108" s="16" t="s">
        <v>1195</v>
      </c>
      <c r="H108" s="14" t="str">
        <f>"20240418/84741"</f>
        <v>20240418/84741</v>
      </c>
      <c r="I108" s="17" t="str">
        <f t="shared" si="9"/>
        <v> </v>
      </c>
      <c r="J108" s="18">
        <v>0</v>
      </c>
      <c r="K108" s="18">
        <v>7059.16</v>
      </c>
      <c r="L108" s="18">
        <v>1722237.24</v>
      </c>
      <c r="M108" t="s">
        <v>2661</v>
      </c>
    </row>
    <row r="109" spans="1:13" ht="15" thickBot="1" x14ac:dyDescent="0.35">
      <c r="A109" s="14">
        <v>102</v>
      </c>
      <c r="B109" s="15">
        <v>45400</v>
      </c>
      <c r="C109" s="15">
        <v>45400</v>
      </c>
      <c r="D109" s="16" t="s">
        <v>1192</v>
      </c>
      <c r="E109" s="16" t="s">
        <v>1193</v>
      </c>
      <c r="F109" s="16" t="s">
        <v>1270</v>
      </c>
      <c r="G109" s="16" t="s">
        <v>1197</v>
      </c>
      <c r="H109" s="14" t="str">
        <f>"20240418/102971"</f>
        <v>20240418/102971</v>
      </c>
      <c r="I109" s="19" t="str">
        <f t="shared" si="9"/>
        <v> </v>
      </c>
      <c r="J109" s="18">
        <v>791.86</v>
      </c>
      <c r="K109" s="18">
        <v>0</v>
      </c>
      <c r="L109" s="18">
        <v>1723029.1</v>
      </c>
      <c r="M109" t="s">
        <v>2658</v>
      </c>
    </row>
    <row r="110" spans="1:13" ht="15" thickBot="1" x14ac:dyDescent="0.35">
      <c r="A110" s="14">
        <v>103</v>
      </c>
      <c r="B110" s="15">
        <v>45400</v>
      </c>
      <c r="C110" s="15">
        <v>45400</v>
      </c>
      <c r="D110" s="16" t="s">
        <v>1192</v>
      </c>
      <c r="E110" s="16" t="s">
        <v>1193</v>
      </c>
      <c r="F110" s="16" t="s">
        <v>1271</v>
      </c>
      <c r="G110" s="16" t="s">
        <v>1197</v>
      </c>
      <c r="H110" s="14" t="str">
        <f>"20240418/150998"</f>
        <v>20240418/150998</v>
      </c>
      <c r="I110" s="19" t="str">
        <f t="shared" si="9"/>
        <v> </v>
      </c>
      <c r="J110" s="18">
        <v>574600.34</v>
      </c>
      <c r="K110" s="18">
        <v>0</v>
      </c>
      <c r="L110" s="18">
        <v>2297629.44</v>
      </c>
    </row>
    <row r="111" spans="1:13" ht="15" thickBot="1" x14ac:dyDescent="0.35">
      <c r="A111" s="14">
        <v>104</v>
      </c>
      <c r="B111" s="15">
        <v>45400</v>
      </c>
      <c r="C111" s="15">
        <v>45400</v>
      </c>
      <c r="D111" s="16" t="s">
        <v>1192</v>
      </c>
      <c r="E111" s="16" t="s">
        <v>1193</v>
      </c>
      <c r="F111" s="16" t="s">
        <v>1272</v>
      </c>
      <c r="G111" s="16" t="s">
        <v>1197</v>
      </c>
      <c r="H111" s="14" t="str">
        <f>"20240418/150999"</f>
        <v>20240418/150999</v>
      </c>
      <c r="I111" s="19" t="str">
        <f t="shared" si="9"/>
        <v> </v>
      </c>
      <c r="J111" s="18">
        <v>63551.65</v>
      </c>
      <c r="K111" s="18">
        <v>0</v>
      </c>
      <c r="L111" s="18">
        <v>2361181.09</v>
      </c>
    </row>
    <row r="112" spans="1:13" ht="15" thickBot="1" x14ac:dyDescent="0.35">
      <c r="A112" s="14">
        <v>105</v>
      </c>
      <c r="B112" s="15">
        <v>45400</v>
      </c>
      <c r="C112" s="15">
        <v>45400</v>
      </c>
      <c r="D112" s="16" t="s">
        <v>1192</v>
      </c>
      <c r="E112" s="16" t="s">
        <v>1193</v>
      </c>
      <c r="F112" s="16" t="s">
        <v>1273</v>
      </c>
      <c r="G112" s="16" t="s">
        <v>1197</v>
      </c>
      <c r="H112" s="14" t="str">
        <f>"20240418/243256"</f>
        <v>20240418/243256</v>
      </c>
      <c r="I112" s="19" t="str">
        <f t="shared" si="9"/>
        <v> </v>
      </c>
      <c r="J112" s="18">
        <v>0</v>
      </c>
      <c r="K112" s="18">
        <v>562328.23</v>
      </c>
      <c r="L112" s="18">
        <v>1798852.86</v>
      </c>
    </row>
    <row r="113" spans="1:13" ht="15" thickBot="1" x14ac:dyDescent="0.35">
      <c r="A113" s="14">
        <v>106</v>
      </c>
      <c r="B113" s="15">
        <v>45400</v>
      </c>
      <c r="C113" s="15">
        <v>45400</v>
      </c>
      <c r="D113" s="16" t="s">
        <v>1192</v>
      </c>
      <c r="E113" s="16" t="s">
        <v>1193</v>
      </c>
      <c r="F113" s="16" t="s">
        <v>1274</v>
      </c>
      <c r="G113" s="16" t="s">
        <v>1197</v>
      </c>
      <c r="H113" s="14" t="str">
        <f>"20240418/243257"</f>
        <v>20240418/243257</v>
      </c>
      <c r="I113" s="19" t="str">
        <f t="shared" si="9"/>
        <v> </v>
      </c>
      <c r="J113" s="18">
        <v>0</v>
      </c>
      <c r="K113" s="18">
        <v>45077.72</v>
      </c>
      <c r="L113" s="18">
        <v>1753775.14</v>
      </c>
    </row>
    <row r="114" spans="1:13" ht="15" thickBot="1" x14ac:dyDescent="0.35">
      <c r="A114" s="14">
        <v>107</v>
      </c>
      <c r="B114" s="15">
        <v>45400</v>
      </c>
      <c r="C114" s="15">
        <v>45401</v>
      </c>
      <c r="D114" s="16" t="s">
        <v>1192</v>
      </c>
      <c r="E114" s="16" t="s">
        <v>1193</v>
      </c>
      <c r="F114" s="16" t="s">
        <v>1275</v>
      </c>
      <c r="G114" s="16" t="s">
        <v>1197</v>
      </c>
      <c r="H114" s="14" t="str">
        <f>"20240418/334184"</f>
        <v>20240418/334184</v>
      </c>
      <c r="I114" s="19" t="str">
        <f>"2404005053269"</f>
        <v>2404005053269</v>
      </c>
      <c r="J114" s="18">
        <v>7059.16</v>
      </c>
      <c r="K114" s="18">
        <v>0</v>
      </c>
      <c r="L114" s="18">
        <v>1760834.3</v>
      </c>
    </row>
    <row r="115" spans="1:13" ht="15" thickBot="1" x14ac:dyDescent="0.35">
      <c r="A115" s="14">
        <v>108</v>
      </c>
      <c r="B115" s="15">
        <v>45400</v>
      </c>
      <c r="C115" s="15">
        <v>45401</v>
      </c>
      <c r="D115" s="16" t="s">
        <v>1192</v>
      </c>
      <c r="E115" s="16" t="s">
        <v>1193</v>
      </c>
      <c r="F115" s="16" t="s">
        <v>1276</v>
      </c>
      <c r="G115" s="16" t="s">
        <v>1197</v>
      </c>
      <c r="H115" s="14" t="str">
        <f>"20240418/334185"</f>
        <v>20240418/334185</v>
      </c>
      <c r="I115" s="19" t="str">
        <f>"2404005053269"</f>
        <v>2404005053269</v>
      </c>
      <c r="J115" s="18">
        <v>56611.24</v>
      </c>
      <c r="K115" s="18">
        <v>0</v>
      </c>
      <c r="L115" s="18">
        <v>1817445.54</v>
      </c>
    </row>
    <row r="116" spans="1:13" ht="15" thickBot="1" x14ac:dyDescent="0.35">
      <c r="A116" s="14">
        <v>109</v>
      </c>
      <c r="B116" s="15">
        <v>45401</v>
      </c>
      <c r="C116" s="15">
        <v>45401</v>
      </c>
      <c r="D116" s="16" t="s">
        <v>1192</v>
      </c>
      <c r="E116" s="16" t="s">
        <v>1193</v>
      </c>
      <c r="F116" s="16" t="s">
        <v>1194</v>
      </c>
      <c r="G116" s="16" t="s">
        <v>1195</v>
      </c>
      <c r="H116" s="14" t="str">
        <f>"20240419/34487"</f>
        <v>20240419/34487</v>
      </c>
      <c r="I116" s="17" t="str">
        <f t="shared" ref="I116:I129" si="10">" "</f>
        <v> </v>
      </c>
      <c r="J116" s="18">
        <v>0</v>
      </c>
      <c r="K116" s="18">
        <v>399.86</v>
      </c>
      <c r="L116" s="18">
        <v>1817045.68</v>
      </c>
      <c r="M116" t="s">
        <v>2661</v>
      </c>
    </row>
    <row r="117" spans="1:13" ht="15" thickBot="1" x14ac:dyDescent="0.35">
      <c r="A117" s="14">
        <v>110</v>
      </c>
      <c r="B117" s="15">
        <v>45401</v>
      </c>
      <c r="C117" s="15">
        <v>45401</v>
      </c>
      <c r="D117" s="16" t="s">
        <v>1192</v>
      </c>
      <c r="E117" s="16" t="s">
        <v>1193</v>
      </c>
      <c r="F117" s="16" t="s">
        <v>1277</v>
      </c>
      <c r="G117" s="16" t="s">
        <v>1197</v>
      </c>
      <c r="H117" s="14" t="str">
        <f>"20240419/116994"</f>
        <v>20240419/116994</v>
      </c>
      <c r="I117" s="19" t="str">
        <f t="shared" si="10"/>
        <v> </v>
      </c>
      <c r="J117" s="18">
        <v>399.86</v>
      </c>
      <c r="K117" s="18">
        <v>0</v>
      </c>
      <c r="L117" s="18">
        <v>1817445.54</v>
      </c>
      <c r="M117" t="s">
        <v>2658</v>
      </c>
    </row>
    <row r="118" spans="1:13" ht="15" thickBot="1" x14ac:dyDescent="0.35">
      <c r="A118" s="14">
        <v>111</v>
      </c>
      <c r="B118" s="15">
        <v>45401</v>
      </c>
      <c r="C118" s="15">
        <v>45401</v>
      </c>
      <c r="D118" s="16" t="s">
        <v>1192</v>
      </c>
      <c r="E118" s="16" t="s">
        <v>1193</v>
      </c>
      <c r="F118" s="16" t="s">
        <v>1278</v>
      </c>
      <c r="G118" s="16" t="s">
        <v>1197</v>
      </c>
      <c r="H118" s="14" t="str">
        <f>"20240419/193698"</f>
        <v>20240419/193698</v>
      </c>
      <c r="I118" s="19" t="str">
        <f t="shared" si="10"/>
        <v> </v>
      </c>
      <c r="J118" s="18">
        <v>575083</v>
      </c>
      <c r="K118" s="18">
        <v>0</v>
      </c>
      <c r="L118" s="18">
        <v>2392528.54</v>
      </c>
    </row>
    <row r="119" spans="1:13" ht="15" thickBot="1" x14ac:dyDescent="0.35">
      <c r="A119" s="14">
        <v>112</v>
      </c>
      <c r="B119" s="15">
        <v>45401</v>
      </c>
      <c r="C119" s="15">
        <v>45401</v>
      </c>
      <c r="D119" s="16" t="s">
        <v>1192</v>
      </c>
      <c r="E119" s="16" t="s">
        <v>1193</v>
      </c>
      <c r="F119" s="16" t="s">
        <v>1279</v>
      </c>
      <c r="G119" s="16" t="s">
        <v>1197</v>
      </c>
      <c r="H119" s="14" t="str">
        <f>"20240419/193699"</f>
        <v>20240419/193699</v>
      </c>
      <c r="I119" s="19" t="str">
        <f t="shared" si="10"/>
        <v> </v>
      </c>
      <c r="J119" s="18">
        <v>60540.5</v>
      </c>
      <c r="K119" s="18">
        <v>0</v>
      </c>
      <c r="L119" s="18">
        <v>2453069.04</v>
      </c>
    </row>
    <row r="120" spans="1:13" ht="15" thickBot="1" x14ac:dyDescent="0.35">
      <c r="A120" s="14">
        <v>113</v>
      </c>
      <c r="B120" s="15">
        <v>45401</v>
      </c>
      <c r="C120" s="15">
        <v>45401</v>
      </c>
      <c r="D120" s="16" t="s">
        <v>1192</v>
      </c>
      <c r="E120" s="16" t="s">
        <v>1193</v>
      </c>
      <c r="F120" s="16" t="s">
        <v>1280</v>
      </c>
      <c r="G120" s="16" t="s">
        <v>1197</v>
      </c>
      <c r="H120" s="14" t="str">
        <f>"20240419/273261"</f>
        <v>20240419/273261</v>
      </c>
      <c r="I120" s="19" t="str">
        <f t="shared" si="10"/>
        <v> </v>
      </c>
      <c r="J120" s="18">
        <v>0</v>
      </c>
      <c r="K120" s="18">
        <v>574600.34</v>
      </c>
      <c r="L120" s="18">
        <v>1878468.7</v>
      </c>
    </row>
    <row r="121" spans="1:13" ht="15" thickBot="1" x14ac:dyDescent="0.35">
      <c r="A121" s="14">
        <v>114</v>
      </c>
      <c r="B121" s="15">
        <v>45401</v>
      </c>
      <c r="C121" s="15">
        <v>45401</v>
      </c>
      <c r="D121" s="16" t="s">
        <v>1192</v>
      </c>
      <c r="E121" s="16" t="s">
        <v>1193</v>
      </c>
      <c r="F121" s="16" t="s">
        <v>1281</v>
      </c>
      <c r="G121" s="16" t="s">
        <v>1197</v>
      </c>
      <c r="H121" s="14" t="str">
        <f>"20240419/273262"</f>
        <v>20240419/273262</v>
      </c>
      <c r="I121" s="19" t="str">
        <f t="shared" si="10"/>
        <v> </v>
      </c>
      <c r="J121" s="18">
        <v>0</v>
      </c>
      <c r="K121" s="18">
        <v>63551.65</v>
      </c>
      <c r="L121" s="18">
        <v>1814917.05</v>
      </c>
    </row>
    <row r="122" spans="1:13" ht="15" thickBot="1" x14ac:dyDescent="0.35">
      <c r="A122" s="14">
        <v>115</v>
      </c>
      <c r="B122" s="15">
        <v>45404</v>
      </c>
      <c r="C122" s="15">
        <v>45404</v>
      </c>
      <c r="D122" s="16" t="s">
        <v>1192</v>
      </c>
      <c r="E122" s="16" t="s">
        <v>1193</v>
      </c>
      <c r="F122" s="16" t="s">
        <v>1202</v>
      </c>
      <c r="G122" s="16" t="s">
        <v>1203</v>
      </c>
      <c r="H122" s="14" t="str">
        <f>"20240422/11996"</f>
        <v>20240422/11996</v>
      </c>
      <c r="I122" s="17" t="str">
        <f t="shared" si="10"/>
        <v> </v>
      </c>
      <c r="J122" s="18">
        <v>2528.4899999999998</v>
      </c>
      <c r="K122" s="18">
        <v>0</v>
      </c>
      <c r="L122" s="18">
        <v>1817445.54</v>
      </c>
      <c r="M122" t="s">
        <v>2661</v>
      </c>
    </row>
    <row r="123" spans="1:13" ht="15" thickBot="1" x14ac:dyDescent="0.35">
      <c r="A123" s="14">
        <v>116</v>
      </c>
      <c r="B123" s="15">
        <v>45404</v>
      </c>
      <c r="C123" s="15">
        <v>45404</v>
      </c>
      <c r="D123" s="16" t="s">
        <v>1192</v>
      </c>
      <c r="E123" s="16" t="s">
        <v>1193</v>
      </c>
      <c r="F123" s="16" t="s">
        <v>1194</v>
      </c>
      <c r="G123" s="16" t="s">
        <v>1195</v>
      </c>
      <c r="H123" s="14" t="str">
        <f>"20240422/36324"</f>
        <v>20240422/36324</v>
      </c>
      <c r="I123" s="17" t="str">
        <f t="shared" si="10"/>
        <v> </v>
      </c>
      <c r="J123" s="18">
        <v>0</v>
      </c>
      <c r="K123" s="18">
        <v>1260.06</v>
      </c>
      <c r="L123" s="18">
        <v>1816185.48</v>
      </c>
      <c r="M123" t="s">
        <v>2661</v>
      </c>
    </row>
    <row r="124" spans="1:13" ht="15" thickBot="1" x14ac:dyDescent="0.35">
      <c r="A124" s="14">
        <v>117</v>
      </c>
      <c r="B124" s="15">
        <v>45404</v>
      </c>
      <c r="C124" s="15">
        <v>45404</v>
      </c>
      <c r="D124" s="16" t="s">
        <v>1192</v>
      </c>
      <c r="E124" s="16" t="s">
        <v>1193</v>
      </c>
      <c r="F124" s="16" t="s">
        <v>1249</v>
      </c>
      <c r="G124" s="16" t="s">
        <v>1195</v>
      </c>
      <c r="H124" s="14" t="str">
        <f>"20240422/71011"</f>
        <v>20240422/71011</v>
      </c>
      <c r="I124" s="17" t="str">
        <f t="shared" si="10"/>
        <v> </v>
      </c>
      <c r="J124" s="18">
        <v>0</v>
      </c>
      <c r="K124" s="18">
        <v>6355.73</v>
      </c>
      <c r="L124" s="18">
        <v>1809829.75</v>
      </c>
      <c r="M124" t="s">
        <v>2661</v>
      </c>
    </row>
    <row r="125" spans="1:13" ht="15" thickBot="1" x14ac:dyDescent="0.35">
      <c r="A125" s="14">
        <v>118</v>
      </c>
      <c r="B125" s="15">
        <v>45404</v>
      </c>
      <c r="C125" s="15">
        <v>45404</v>
      </c>
      <c r="D125" s="16" t="s">
        <v>1192</v>
      </c>
      <c r="E125" s="16" t="s">
        <v>1193</v>
      </c>
      <c r="F125" s="16" t="s">
        <v>1282</v>
      </c>
      <c r="G125" s="16" t="s">
        <v>1197</v>
      </c>
      <c r="H125" s="14" t="str">
        <f>"20240422/114135"</f>
        <v>20240422/114135</v>
      </c>
      <c r="I125" s="19" t="str">
        <f t="shared" si="10"/>
        <v> </v>
      </c>
      <c r="J125" s="18">
        <v>1260.06</v>
      </c>
      <c r="K125" s="18">
        <v>0</v>
      </c>
      <c r="L125" s="18">
        <v>1811089.81</v>
      </c>
      <c r="M125" t="s">
        <v>2658</v>
      </c>
    </row>
    <row r="126" spans="1:13" ht="15" thickBot="1" x14ac:dyDescent="0.35">
      <c r="A126" s="14">
        <v>119</v>
      </c>
      <c r="B126" s="15">
        <v>45404</v>
      </c>
      <c r="C126" s="15">
        <v>45404</v>
      </c>
      <c r="D126" s="16" t="s">
        <v>1192</v>
      </c>
      <c r="E126" s="16" t="s">
        <v>1193</v>
      </c>
      <c r="F126" s="16" t="s">
        <v>1283</v>
      </c>
      <c r="G126" s="16" t="s">
        <v>1197</v>
      </c>
      <c r="H126" s="14" t="str">
        <f>"20240422/150518"</f>
        <v>20240422/150518</v>
      </c>
      <c r="I126" s="19" t="str">
        <f t="shared" si="10"/>
        <v> </v>
      </c>
      <c r="J126" s="18">
        <v>50124.9</v>
      </c>
      <c r="K126" s="18">
        <v>0</v>
      </c>
      <c r="L126" s="18">
        <v>1861214.71</v>
      </c>
    </row>
    <row r="127" spans="1:13" ht="15" thickBot="1" x14ac:dyDescent="0.35">
      <c r="A127" s="14">
        <v>120</v>
      </c>
      <c r="B127" s="15">
        <v>45404</v>
      </c>
      <c r="C127" s="15">
        <v>45404</v>
      </c>
      <c r="D127" s="16" t="s">
        <v>1192</v>
      </c>
      <c r="E127" s="16" t="s">
        <v>1193</v>
      </c>
      <c r="F127" s="16" t="s">
        <v>1284</v>
      </c>
      <c r="G127" s="16" t="s">
        <v>1197</v>
      </c>
      <c r="H127" s="14" t="str">
        <f>"20240422/152939"</f>
        <v>20240422/152939</v>
      </c>
      <c r="I127" s="19" t="str">
        <f t="shared" si="10"/>
        <v> </v>
      </c>
      <c r="J127" s="18">
        <v>568662.1</v>
      </c>
      <c r="K127" s="18">
        <v>0</v>
      </c>
      <c r="L127" s="18">
        <v>2429876.81</v>
      </c>
    </row>
    <row r="128" spans="1:13" ht="15" thickBot="1" x14ac:dyDescent="0.35">
      <c r="A128" s="14">
        <v>121</v>
      </c>
      <c r="B128" s="15">
        <v>45404</v>
      </c>
      <c r="C128" s="15">
        <v>45404</v>
      </c>
      <c r="D128" s="16" t="s">
        <v>1192</v>
      </c>
      <c r="E128" s="16" t="s">
        <v>1193</v>
      </c>
      <c r="F128" s="16" t="s">
        <v>1285</v>
      </c>
      <c r="G128" s="16" t="s">
        <v>1197</v>
      </c>
      <c r="H128" s="14" t="str">
        <f>"20240422/214757"</f>
        <v>20240422/214757</v>
      </c>
      <c r="I128" s="19" t="str">
        <f t="shared" si="10"/>
        <v> </v>
      </c>
      <c r="J128" s="18">
        <v>0</v>
      </c>
      <c r="K128" s="18">
        <v>575083</v>
      </c>
      <c r="L128" s="18">
        <v>1854793.81</v>
      </c>
    </row>
    <row r="129" spans="1:13" ht="15" thickBot="1" x14ac:dyDescent="0.35">
      <c r="A129" s="14">
        <v>122</v>
      </c>
      <c r="B129" s="15">
        <v>45404</v>
      </c>
      <c r="C129" s="15">
        <v>45404</v>
      </c>
      <c r="D129" s="16" t="s">
        <v>1192</v>
      </c>
      <c r="E129" s="16" t="s">
        <v>1193</v>
      </c>
      <c r="F129" s="16" t="s">
        <v>1286</v>
      </c>
      <c r="G129" s="16" t="s">
        <v>1197</v>
      </c>
      <c r="H129" s="14" t="str">
        <f>"20240422/214758"</f>
        <v>20240422/214758</v>
      </c>
      <c r="I129" s="19" t="str">
        <f t="shared" si="10"/>
        <v> </v>
      </c>
      <c r="J129" s="18">
        <v>0</v>
      </c>
      <c r="K129" s="18">
        <v>60540.5</v>
      </c>
      <c r="L129" s="18">
        <v>1794253.31</v>
      </c>
    </row>
    <row r="130" spans="1:13" ht="15" thickBot="1" x14ac:dyDescent="0.35">
      <c r="A130" s="14">
        <v>123</v>
      </c>
      <c r="B130" s="15">
        <v>45404</v>
      </c>
      <c r="C130" s="15">
        <v>45405</v>
      </c>
      <c r="D130" s="16" t="s">
        <v>1192</v>
      </c>
      <c r="E130" s="16" t="s">
        <v>1193</v>
      </c>
      <c r="F130" s="16" t="s">
        <v>1287</v>
      </c>
      <c r="G130" s="16" t="s">
        <v>1197</v>
      </c>
      <c r="H130" s="14" t="str">
        <f>"20240422/337407"</f>
        <v>20240422/337407</v>
      </c>
      <c r="I130" s="19" t="str">
        <f>"2404005909924"</f>
        <v>2404005909924</v>
      </c>
      <c r="J130" s="18">
        <v>6355.73</v>
      </c>
      <c r="K130" s="18">
        <v>0</v>
      </c>
      <c r="L130" s="18">
        <v>1800609.04</v>
      </c>
    </row>
    <row r="131" spans="1:13" ht="15" thickBot="1" x14ac:dyDescent="0.35">
      <c r="A131" s="14">
        <v>124</v>
      </c>
      <c r="B131" s="15">
        <v>45404</v>
      </c>
      <c r="C131" s="15">
        <v>45405</v>
      </c>
      <c r="D131" s="16" t="s">
        <v>1192</v>
      </c>
      <c r="E131" s="16" t="s">
        <v>1193</v>
      </c>
      <c r="F131" s="16" t="s">
        <v>1288</v>
      </c>
      <c r="G131" s="16" t="s">
        <v>1197</v>
      </c>
      <c r="H131" s="14" t="str">
        <f>"20240422/337408"</f>
        <v>20240422/337408</v>
      </c>
      <c r="I131" s="19" t="str">
        <f>"2404005909924"</f>
        <v>2404005909924</v>
      </c>
      <c r="J131" s="18">
        <v>0</v>
      </c>
      <c r="K131" s="18">
        <v>25917.040000000001</v>
      </c>
      <c r="L131" s="18">
        <v>1774692</v>
      </c>
    </row>
    <row r="132" spans="1:13" ht="15" thickBot="1" x14ac:dyDescent="0.35">
      <c r="A132" s="14">
        <v>125</v>
      </c>
      <c r="B132" s="15">
        <v>45405</v>
      </c>
      <c r="C132" s="15">
        <v>45405</v>
      </c>
      <c r="D132" s="16" t="s">
        <v>1192</v>
      </c>
      <c r="E132" s="16" t="s">
        <v>1193</v>
      </c>
      <c r="F132" s="16" t="s">
        <v>1202</v>
      </c>
      <c r="G132" s="16" t="s">
        <v>1203</v>
      </c>
      <c r="H132" s="14" t="str">
        <f>"20240423/23135"</f>
        <v>20240423/23135</v>
      </c>
      <c r="I132" s="17" t="str">
        <f t="shared" ref="I132:I139" si="11">" "</f>
        <v> </v>
      </c>
      <c r="J132" s="18">
        <v>15833.97</v>
      </c>
      <c r="K132" s="18">
        <v>0</v>
      </c>
      <c r="L132" s="18">
        <v>1790525.97</v>
      </c>
      <c r="M132" t="s">
        <v>2661</v>
      </c>
    </row>
    <row r="133" spans="1:13" ht="15" thickBot="1" x14ac:dyDescent="0.35">
      <c r="A133" s="14">
        <v>126</v>
      </c>
      <c r="B133" s="15">
        <v>45405</v>
      </c>
      <c r="C133" s="15">
        <v>45405</v>
      </c>
      <c r="D133" s="16" t="s">
        <v>1192</v>
      </c>
      <c r="E133" s="16" t="s">
        <v>1193</v>
      </c>
      <c r="F133" s="16" t="s">
        <v>1194</v>
      </c>
      <c r="G133" s="16" t="s">
        <v>1195</v>
      </c>
      <c r="H133" s="14" t="str">
        <f>"20240423/19620"</f>
        <v>20240423/19620</v>
      </c>
      <c r="I133" s="17" t="str">
        <f t="shared" si="11"/>
        <v> </v>
      </c>
      <c r="J133" s="18">
        <v>0</v>
      </c>
      <c r="K133" s="18">
        <v>420.92</v>
      </c>
      <c r="L133" s="18">
        <v>1790105.05</v>
      </c>
      <c r="M133" t="s">
        <v>2661</v>
      </c>
    </row>
    <row r="134" spans="1:13" ht="15" thickBot="1" x14ac:dyDescent="0.35">
      <c r="A134" s="14">
        <v>127</v>
      </c>
      <c r="B134" s="15">
        <v>45405</v>
      </c>
      <c r="C134" s="15">
        <v>45405</v>
      </c>
      <c r="D134" s="16" t="s">
        <v>1192</v>
      </c>
      <c r="E134" s="16" t="s">
        <v>1193</v>
      </c>
      <c r="F134" s="16" t="s">
        <v>1194</v>
      </c>
      <c r="G134" s="16" t="s">
        <v>1195</v>
      </c>
      <c r="H134" s="14" t="str">
        <f>"20240423/91561"</f>
        <v>20240423/91561</v>
      </c>
      <c r="I134" s="17" t="str">
        <f t="shared" si="11"/>
        <v> </v>
      </c>
      <c r="J134" s="18">
        <v>0</v>
      </c>
      <c r="K134" s="18">
        <v>75996.600000000006</v>
      </c>
      <c r="L134" s="18">
        <v>1714108.45</v>
      </c>
      <c r="M134" t="s">
        <v>2661</v>
      </c>
    </row>
    <row r="135" spans="1:13" ht="15" thickBot="1" x14ac:dyDescent="0.35">
      <c r="A135" s="14">
        <v>128</v>
      </c>
      <c r="B135" s="15">
        <v>45405</v>
      </c>
      <c r="C135" s="15">
        <v>45405</v>
      </c>
      <c r="D135" s="16" t="s">
        <v>1192</v>
      </c>
      <c r="E135" s="16" t="s">
        <v>1193</v>
      </c>
      <c r="F135" s="16" t="s">
        <v>1289</v>
      </c>
      <c r="G135" s="16" t="s">
        <v>1197</v>
      </c>
      <c r="H135" s="14" t="str">
        <f>"20240423/107569"</f>
        <v>20240423/107569</v>
      </c>
      <c r="I135" s="19" t="str">
        <f t="shared" si="11"/>
        <v> </v>
      </c>
      <c r="J135" s="18">
        <v>420.92</v>
      </c>
      <c r="K135" s="18">
        <v>0</v>
      </c>
      <c r="L135" s="18">
        <v>1714529.37</v>
      </c>
      <c r="M135" t="s">
        <v>2658</v>
      </c>
    </row>
    <row r="136" spans="1:13" ht="15" thickBot="1" x14ac:dyDescent="0.35">
      <c r="A136" s="14">
        <v>129</v>
      </c>
      <c r="B136" s="15">
        <v>45405</v>
      </c>
      <c r="C136" s="15">
        <v>45405</v>
      </c>
      <c r="D136" s="16" t="s">
        <v>1192</v>
      </c>
      <c r="E136" s="16" t="s">
        <v>1193</v>
      </c>
      <c r="F136" s="16" t="s">
        <v>1290</v>
      </c>
      <c r="G136" s="16" t="s">
        <v>1197</v>
      </c>
      <c r="H136" s="14" t="str">
        <f>"20240423/203282"</f>
        <v>20240423/203282</v>
      </c>
      <c r="I136" s="19" t="str">
        <f t="shared" si="11"/>
        <v> </v>
      </c>
      <c r="J136" s="18">
        <v>531685.1</v>
      </c>
      <c r="K136" s="18">
        <v>0</v>
      </c>
      <c r="L136" s="18">
        <v>2246214.4700000002</v>
      </c>
    </row>
    <row r="137" spans="1:13" ht="15" thickBot="1" x14ac:dyDescent="0.35">
      <c r="A137" s="14">
        <v>130</v>
      </c>
      <c r="B137" s="15">
        <v>45405</v>
      </c>
      <c r="C137" s="15">
        <v>45405</v>
      </c>
      <c r="D137" s="16" t="s">
        <v>1192</v>
      </c>
      <c r="E137" s="16" t="s">
        <v>1193</v>
      </c>
      <c r="F137" s="16" t="s">
        <v>1291</v>
      </c>
      <c r="G137" s="16" t="s">
        <v>1197</v>
      </c>
      <c r="H137" s="14" t="str">
        <f>"20240423/203283"</f>
        <v>20240423/203283</v>
      </c>
      <c r="I137" s="19" t="str">
        <f t="shared" si="11"/>
        <v> </v>
      </c>
      <c r="J137" s="18">
        <v>42423.199999999997</v>
      </c>
      <c r="K137" s="18">
        <v>0</v>
      </c>
      <c r="L137" s="18">
        <v>2288637.67</v>
      </c>
    </row>
    <row r="138" spans="1:13" ht="15" thickBot="1" x14ac:dyDescent="0.35">
      <c r="A138" s="14">
        <v>131</v>
      </c>
      <c r="B138" s="15">
        <v>45405</v>
      </c>
      <c r="C138" s="15">
        <v>45405</v>
      </c>
      <c r="D138" s="16" t="s">
        <v>1192</v>
      </c>
      <c r="E138" s="16" t="s">
        <v>1193</v>
      </c>
      <c r="F138" s="16" t="s">
        <v>1292</v>
      </c>
      <c r="G138" s="16" t="s">
        <v>1197</v>
      </c>
      <c r="H138" s="14" t="str">
        <f>"20240423/275504"</f>
        <v>20240423/275504</v>
      </c>
      <c r="I138" s="19" t="str">
        <f t="shared" si="11"/>
        <v> </v>
      </c>
      <c r="J138" s="18">
        <v>0</v>
      </c>
      <c r="K138" s="18">
        <v>50124.9</v>
      </c>
      <c r="L138" s="18">
        <v>2238512.77</v>
      </c>
    </row>
    <row r="139" spans="1:13" ht="15" thickBot="1" x14ac:dyDescent="0.35">
      <c r="A139" s="14">
        <v>132</v>
      </c>
      <c r="B139" s="15">
        <v>45405</v>
      </c>
      <c r="C139" s="15">
        <v>45405</v>
      </c>
      <c r="D139" s="16" t="s">
        <v>1192</v>
      </c>
      <c r="E139" s="16" t="s">
        <v>1193</v>
      </c>
      <c r="F139" s="16" t="s">
        <v>1293</v>
      </c>
      <c r="G139" s="16" t="s">
        <v>1197</v>
      </c>
      <c r="H139" s="14" t="str">
        <f>"20240423/275505"</f>
        <v>20240423/275505</v>
      </c>
      <c r="I139" s="19" t="str">
        <f t="shared" si="11"/>
        <v> </v>
      </c>
      <c r="J139" s="18">
        <v>0</v>
      </c>
      <c r="K139" s="18">
        <v>568662.1</v>
      </c>
      <c r="L139" s="18">
        <v>1669850.67</v>
      </c>
    </row>
    <row r="140" spans="1:13" ht="15" thickBot="1" x14ac:dyDescent="0.35">
      <c r="A140" s="14">
        <v>133</v>
      </c>
      <c r="B140" s="15">
        <v>45405</v>
      </c>
      <c r="C140" s="15">
        <v>45406</v>
      </c>
      <c r="D140" s="16" t="s">
        <v>1192</v>
      </c>
      <c r="E140" s="16" t="s">
        <v>1193</v>
      </c>
      <c r="F140" s="16" t="s">
        <v>1294</v>
      </c>
      <c r="G140" s="16" t="s">
        <v>1197</v>
      </c>
      <c r="H140" s="14" t="str">
        <f>"20240423/339976"</f>
        <v>20240423/339976</v>
      </c>
      <c r="I140" s="19" t="str">
        <f>"2404006343658"</f>
        <v>2404006343658</v>
      </c>
      <c r="J140" s="18">
        <v>0</v>
      </c>
      <c r="K140" s="18">
        <v>47265.39</v>
      </c>
      <c r="L140" s="18">
        <v>1622585.28</v>
      </c>
    </row>
    <row r="141" spans="1:13" ht="15" thickBot="1" x14ac:dyDescent="0.35">
      <c r="A141" s="14">
        <v>134</v>
      </c>
      <c r="B141" s="15">
        <v>45406</v>
      </c>
      <c r="C141" s="15">
        <v>45406</v>
      </c>
      <c r="D141" s="16" t="s">
        <v>1192</v>
      </c>
      <c r="E141" s="16" t="s">
        <v>1193</v>
      </c>
      <c r="F141" s="16" t="s">
        <v>1204</v>
      </c>
      <c r="G141" s="16" t="s">
        <v>1203</v>
      </c>
      <c r="H141" s="14" t="str">
        <f>"20240424/56329"</f>
        <v>20240424/56329</v>
      </c>
      <c r="I141" s="17" t="str">
        <f t="shared" ref="I141:I147" si="12">" "</f>
        <v> </v>
      </c>
      <c r="J141" s="18">
        <v>47265.39</v>
      </c>
      <c r="K141" s="18">
        <v>0</v>
      </c>
      <c r="L141" s="18">
        <v>1669850.67</v>
      </c>
      <c r="M141" t="s">
        <v>2661</v>
      </c>
    </row>
    <row r="142" spans="1:13" ht="15" thickBot="1" x14ac:dyDescent="0.35">
      <c r="A142" s="14">
        <v>135</v>
      </c>
      <c r="B142" s="15">
        <v>45406</v>
      </c>
      <c r="C142" s="15">
        <v>45406</v>
      </c>
      <c r="D142" s="16" t="s">
        <v>1192</v>
      </c>
      <c r="E142" s="16" t="s">
        <v>1193</v>
      </c>
      <c r="F142" s="16" t="s">
        <v>1194</v>
      </c>
      <c r="G142" s="16" t="s">
        <v>1195</v>
      </c>
      <c r="H142" s="14" t="str">
        <f>"20240424/18208"</f>
        <v>20240424/18208</v>
      </c>
      <c r="I142" s="17" t="str">
        <f t="shared" si="12"/>
        <v> </v>
      </c>
      <c r="J142" s="18">
        <v>0</v>
      </c>
      <c r="K142" s="18">
        <v>390.26</v>
      </c>
      <c r="L142" s="18">
        <v>1669460.41</v>
      </c>
      <c r="M142" t="s">
        <v>2661</v>
      </c>
    </row>
    <row r="143" spans="1:13" ht="15" thickBot="1" x14ac:dyDescent="0.35">
      <c r="A143" s="14">
        <v>136</v>
      </c>
      <c r="B143" s="15">
        <v>45406</v>
      </c>
      <c r="C143" s="15">
        <v>45406</v>
      </c>
      <c r="D143" s="16" t="s">
        <v>1192</v>
      </c>
      <c r="E143" s="16" t="s">
        <v>1193</v>
      </c>
      <c r="F143" s="16" t="s">
        <v>1295</v>
      </c>
      <c r="G143" s="16" t="s">
        <v>1197</v>
      </c>
      <c r="H143" s="14" t="str">
        <f>"20240424/114186"</f>
        <v>20240424/114186</v>
      </c>
      <c r="I143" s="19" t="str">
        <f t="shared" si="12"/>
        <v> </v>
      </c>
      <c r="J143" s="18">
        <v>390.26</v>
      </c>
      <c r="K143" s="18">
        <v>0</v>
      </c>
      <c r="L143" s="18">
        <v>1669850.67</v>
      </c>
      <c r="M143" t="s">
        <v>2658</v>
      </c>
    </row>
    <row r="144" spans="1:13" ht="15" thickBot="1" x14ac:dyDescent="0.35">
      <c r="A144" s="14">
        <v>137</v>
      </c>
      <c r="B144" s="15">
        <v>45406</v>
      </c>
      <c r="C144" s="15">
        <v>45406</v>
      </c>
      <c r="D144" s="16" t="s">
        <v>1192</v>
      </c>
      <c r="E144" s="16" t="s">
        <v>1193</v>
      </c>
      <c r="F144" s="16" t="s">
        <v>1296</v>
      </c>
      <c r="G144" s="16" t="s">
        <v>1197</v>
      </c>
      <c r="H144" s="14" t="str">
        <f>"20240424/194341"</f>
        <v>20240424/194341</v>
      </c>
      <c r="I144" s="19" t="str">
        <f t="shared" si="12"/>
        <v> </v>
      </c>
      <c r="J144" s="18">
        <v>30245.65</v>
      </c>
      <c r="K144" s="18">
        <v>0</v>
      </c>
      <c r="L144" s="18">
        <v>1700096.32</v>
      </c>
    </row>
    <row r="145" spans="1:13" ht="15" thickBot="1" x14ac:dyDescent="0.35">
      <c r="A145" s="14">
        <v>138</v>
      </c>
      <c r="B145" s="15">
        <v>45406</v>
      </c>
      <c r="C145" s="15">
        <v>45406</v>
      </c>
      <c r="D145" s="16" t="s">
        <v>1192</v>
      </c>
      <c r="E145" s="16" t="s">
        <v>1193</v>
      </c>
      <c r="F145" s="16" t="s">
        <v>1297</v>
      </c>
      <c r="G145" s="16" t="s">
        <v>1197</v>
      </c>
      <c r="H145" s="14" t="str">
        <f>"20240424/194342"</f>
        <v>20240424/194342</v>
      </c>
      <c r="I145" s="19" t="str">
        <f t="shared" si="12"/>
        <v> </v>
      </c>
      <c r="J145" s="18">
        <v>459368.58</v>
      </c>
      <c r="K145" s="18">
        <v>0</v>
      </c>
      <c r="L145" s="18">
        <v>2159464.9</v>
      </c>
    </row>
    <row r="146" spans="1:13" ht="15" thickBot="1" x14ac:dyDescent="0.35">
      <c r="A146" s="14">
        <v>139</v>
      </c>
      <c r="B146" s="15">
        <v>45406</v>
      </c>
      <c r="C146" s="15">
        <v>45406</v>
      </c>
      <c r="D146" s="16" t="s">
        <v>1192</v>
      </c>
      <c r="E146" s="16" t="s">
        <v>1193</v>
      </c>
      <c r="F146" s="16" t="s">
        <v>1298</v>
      </c>
      <c r="G146" s="16" t="s">
        <v>1197</v>
      </c>
      <c r="H146" s="14" t="str">
        <f>"20240424/231683"</f>
        <v>20240424/231683</v>
      </c>
      <c r="I146" s="19" t="str">
        <f t="shared" si="12"/>
        <v> </v>
      </c>
      <c r="J146" s="18">
        <v>0</v>
      </c>
      <c r="K146" s="18">
        <v>531685.1</v>
      </c>
      <c r="L146" s="18">
        <v>1627779.8</v>
      </c>
    </row>
    <row r="147" spans="1:13" ht="15" thickBot="1" x14ac:dyDescent="0.35">
      <c r="A147" s="14">
        <v>140</v>
      </c>
      <c r="B147" s="15">
        <v>45406</v>
      </c>
      <c r="C147" s="15">
        <v>45406</v>
      </c>
      <c r="D147" s="16" t="s">
        <v>1192</v>
      </c>
      <c r="E147" s="16" t="s">
        <v>1193</v>
      </c>
      <c r="F147" s="16" t="s">
        <v>1299</v>
      </c>
      <c r="G147" s="16" t="s">
        <v>1197</v>
      </c>
      <c r="H147" s="14" t="str">
        <f>"20240424/231684"</f>
        <v>20240424/231684</v>
      </c>
      <c r="I147" s="19" t="str">
        <f t="shared" si="12"/>
        <v> </v>
      </c>
      <c r="J147" s="18">
        <v>0</v>
      </c>
      <c r="K147" s="18">
        <v>42423.199999999997</v>
      </c>
      <c r="L147" s="18">
        <v>1585356.6</v>
      </c>
    </row>
    <row r="148" spans="1:13" ht="15" thickBot="1" x14ac:dyDescent="0.35">
      <c r="A148" s="14">
        <v>141</v>
      </c>
      <c r="B148" s="15">
        <v>45406</v>
      </c>
      <c r="C148" s="15">
        <v>45407</v>
      </c>
      <c r="D148" s="16" t="s">
        <v>1192</v>
      </c>
      <c r="E148" s="16" t="s">
        <v>1193</v>
      </c>
      <c r="F148" s="16" t="s">
        <v>1300</v>
      </c>
      <c r="G148" s="16" t="s">
        <v>1197</v>
      </c>
      <c r="H148" s="14" t="str">
        <f>"20240424/340926"</f>
        <v>20240424/340926</v>
      </c>
      <c r="I148" s="19" t="str">
        <f>"2404006776031"</f>
        <v>2404006776031</v>
      </c>
      <c r="J148" s="18">
        <v>0</v>
      </c>
      <c r="K148" s="18">
        <v>174631.19</v>
      </c>
      <c r="L148" s="18">
        <v>1410725.41</v>
      </c>
    </row>
    <row r="149" spans="1:13" ht="15" thickBot="1" x14ac:dyDescent="0.35">
      <c r="A149" s="14">
        <v>142</v>
      </c>
      <c r="B149" s="15">
        <v>45407</v>
      </c>
      <c r="C149" s="15">
        <v>45407</v>
      </c>
      <c r="D149" s="16" t="s">
        <v>1192</v>
      </c>
      <c r="E149" s="16" t="s">
        <v>1193</v>
      </c>
      <c r="F149" s="16" t="s">
        <v>1202</v>
      </c>
      <c r="G149" s="16" t="s">
        <v>1203</v>
      </c>
      <c r="H149" s="14" t="str">
        <f>"20240425/16950"</f>
        <v>20240425/16950</v>
      </c>
      <c r="I149" s="17" t="str">
        <f t="shared" ref="I149:I156" si="13">" "</f>
        <v> </v>
      </c>
      <c r="J149" s="18">
        <v>20947.36</v>
      </c>
      <c r="K149" s="18">
        <v>0</v>
      </c>
      <c r="L149" s="18">
        <v>1431672.77</v>
      </c>
      <c r="M149" t="s">
        <v>2661</v>
      </c>
    </row>
    <row r="150" spans="1:13" ht="15" thickBot="1" x14ac:dyDescent="0.35">
      <c r="A150" s="14">
        <v>143</v>
      </c>
      <c r="B150" s="15">
        <v>45407</v>
      </c>
      <c r="C150" s="15">
        <v>45407</v>
      </c>
      <c r="D150" s="16" t="s">
        <v>1192</v>
      </c>
      <c r="E150" s="16" t="s">
        <v>1193</v>
      </c>
      <c r="F150" s="16" t="s">
        <v>1194</v>
      </c>
      <c r="G150" s="16" t="s">
        <v>1195</v>
      </c>
      <c r="H150" s="14" t="str">
        <f>"20240425/36225"</f>
        <v>20240425/36225</v>
      </c>
      <c r="I150" s="17" t="str">
        <f t="shared" si="13"/>
        <v> </v>
      </c>
      <c r="J150" s="18">
        <v>0</v>
      </c>
      <c r="K150" s="18">
        <v>390.26</v>
      </c>
      <c r="L150" s="18">
        <v>1431282.51</v>
      </c>
      <c r="M150" t="s">
        <v>2661</v>
      </c>
    </row>
    <row r="151" spans="1:13" ht="15" thickBot="1" x14ac:dyDescent="0.35">
      <c r="A151" s="14">
        <v>144</v>
      </c>
      <c r="B151" s="15">
        <v>45407</v>
      </c>
      <c r="C151" s="15">
        <v>45407</v>
      </c>
      <c r="D151" s="16" t="s">
        <v>1192</v>
      </c>
      <c r="E151" s="16" t="s">
        <v>1193</v>
      </c>
      <c r="F151" s="16" t="s">
        <v>1194</v>
      </c>
      <c r="G151" s="16" t="s">
        <v>1195</v>
      </c>
      <c r="H151" s="14" t="str">
        <f>"20240425/96559"</f>
        <v>20240425/96559</v>
      </c>
      <c r="I151" s="17" t="str">
        <f t="shared" si="13"/>
        <v> </v>
      </c>
      <c r="J151" s="18">
        <v>0</v>
      </c>
      <c r="K151" s="18">
        <v>50509.81</v>
      </c>
      <c r="L151" s="18">
        <v>1380772.7</v>
      </c>
      <c r="M151" t="s">
        <v>2661</v>
      </c>
    </row>
    <row r="152" spans="1:13" ht="15" thickBot="1" x14ac:dyDescent="0.35">
      <c r="A152" s="14">
        <v>145</v>
      </c>
      <c r="B152" s="15">
        <v>45407</v>
      </c>
      <c r="C152" s="15">
        <v>45407</v>
      </c>
      <c r="D152" s="16" t="s">
        <v>1192</v>
      </c>
      <c r="E152" s="16" t="s">
        <v>1193</v>
      </c>
      <c r="F152" s="16" t="s">
        <v>1301</v>
      </c>
      <c r="G152" s="16" t="s">
        <v>1197</v>
      </c>
      <c r="H152" s="14" t="str">
        <f>"20240425/131578"</f>
        <v>20240425/131578</v>
      </c>
      <c r="I152" s="19" t="str">
        <f t="shared" si="13"/>
        <v> </v>
      </c>
      <c r="J152" s="18">
        <v>390.26</v>
      </c>
      <c r="K152" s="18">
        <v>0</v>
      </c>
      <c r="L152" s="18">
        <v>1381162.96</v>
      </c>
      <c r="M152" t="s">
        <v>2658</v>
      </c>
    </row>
    <row r="153" spans="1:13" ht="15" thickBot="1" x14ac:dyDescent="0.35">
      <c r="A153" s="14">
        <v>146</v>
      </c>
      <c r="B153" s="15">
        <v>45407</v>
      </c>
      <c r="C153" s="15">
        <v>45407</v>
      </c>
      <c r="D153" s="16" t="s">
        <v>1192</v>
      </c>
      <c r="E153" s="16" t="s">
        <v>1193</v>
      </c>
      <c r="F153" s="16" t="s">
        <v>1302</v>
      </c>
      <c r="G153" s="16" t="s">
        <v>1197</v>
      </c>
      <c r="H153" s="14" t="str">
        <f>"20240425/183821"</f>
        <v>20240425/183821</v>
      </c>
      <c r="I153" s="19" t="str">
        <f t="shared" si="13"/>
        <v> </v>
      </c>
      <c r="J153" s="18">
        <v>420147.25</v>
      </c>
      <c r="K153" s="18">
        <v>0</v>
      </c>
      <c r="L153" s="18">
        <v>1801310.21</v>
      </c>
    </row>
    <row r="154" spans="1:13" ht="15" thickBot="1" x14ac:dyDescent="0.35">
      <c r="A154" s="14">
        <v>147</v>
      </c>
      <c r="B154" s="15">
        <v>45407</v>
      </c>
      <c r="C154" s="15">
        <v>45407</v>
      </c>
      <c r="D154" s="16" t="s">
        <v>1192</v>
      </c>
      <c r="E154" s="16" t="s">
        <v>1193</v>
      </c>
      <c r="F154" s="16" t="s">
        <v>1303</v>
      </c>
      <c r="G154" s="16" t="s">
        <v>1197</v>
      </c>
      <c r="H154" s="14" t="str">
        <f>"20240425/183822"</f>
        <v>20240425/183822</v>
      </c>
      <c r="I154" s="19" t="str">
        <f t="shared" si="13"/>
        <v> </v>
      </c>
      <c r="J154" s="18">
        <v>26082.28</v>
      </c>
      <c r="K154" s="18">
        <v>0</v>
      </c>
      <c r="L154" s="18">
        <v>1827392.49</v>
      </c>
    </row>
    <row r="155" spans="1:13" ht="15" thickBot="1" x14ac:dyDescent="0.35">
      <c r="A155" s="14">
        <v>148</v>
      </c>
      <c r="B155" s="15">
        <v>45407</v>
      </c>
      <c r="C155" s="15">
        <v>45407</v>
      </c>
      <c r="D155" s="16" t="s">
        <v>1192</v>
      </c>
      <c r="E155" s="16" t="s">
        <v>1193</v>
      </c>
      <c r="F155" s="16" t="s">
        <v>1304</v>
      </c>
      <c r="G155" s="16" t="s">
        <v>1197</v>
      </c>
      <c r="H155" s="14" t="str">
        <f>"20240425/269990"</f>
        <v>20240425/269990</v>
      </c>
      <c r="I155" s="19" t="str">
        <f t="shared" si="13"/>
        <v> </v>
      </c>
      <c r="J155" s="18">
        <v>0</v>
      </c>
      <c r="K155" s="18">
        <v>30245.65</v>
      </c>
      <c r="L155" s="18">
        <v>1797146.84</v>
      </c>
    </row>
    <row r="156" spans="1:13" ht="15" thickBot="1" x14ac:dyDescent="0.35">
      <c r="A156" s="14">
        <v>149</v>
      </c>
      <c r="B156" s="15">
        <v>45407</v>
      </c>
      <c r="C156" s="15">
        <v>45407</v>
      </c>
      <c r="D156" s="16" t="s">
        <v>1192</v>
      </c>
      <c r="E156" s="16" t="s">
        <v>1193</v>
      </c>
      <c r="F156" s="16" t="s">
        <v>1305</v>
      </c>
      <c r="G156" s="16" t="s">
        <v>1197</v>
      </c>
      <c r="H156" s="14" t="str">
        <f>"20240425/269991"</f>
        <v>20240425/269991</v>
      </c>
      <c r="I156" s="19" t="str">
        <f t="shared" si="13"/>
        <v> </v>
      </c>
      <c r="J156" s="18">
        <v>0</v>
      </c>
      <c r="K156" s="18">
        <v>459368.58</v>
      </c>
      <c r="L156" s="18">
        <v>1337778.26</v>
      </c>
    </row>
    <row r="157" spans="1:13" ht="15" thickBot="1" x14ac:dyDescent="0.35">
      <c r="A157" s="14">
        <v>150</v>
      </c>
      <c r="B157" s="15">
        <v>45407</v>
      </c>
      <c r="C157" s="15">
        <v>45408</v>
      </c>
      <c r="D157" s="16" t="s">
        <v>1192</v>
      </c>
      <c r="E157" s="16" t="s">
        <v>1193</v>
      </c>
      <c r="F157" s="16" t="s">
        <v>1306</v>
      </c>
      <c r="G157" s="16" t="s">
        <v>1197</v>
      </c>
      <c r="H157" s="14" t="str">
        <f>"20240425/348467"</f>
        <v>20240425/348467</v>
      </c>
      <c r="I157" s="19" t="str">
        <f>"2404007221881"</f>
        <v>2404007221881</v>
      </c>
      <c r="J157" s="18">
        <v>0</v>
      </c>
      <c r="K157" s="18">
        <v>32905.410000000003</v>
      </c>
      <c r="L157" s="18">
        <v>1304872.8500000001</v>
      </c>
    </row>
    <row r="158" spans="1:13" ht="15" thickBot="1" x14ac:dyDescent="0.35">
      <c r="A158" s="14">
        <v>151</v>
      </c>
      <c r="B158" s="15">
        <v>45407</v>
      </c>
      <c r="C158" s="15">
        <v>45408</v>
      </c>
      <c r="D158" s="16" t="s">
        <v>1192</v>
      </c>
      <c r="E158" s="16" t="s">
        <v>1193</v>
      </c>
      <c r="F158" s="16" t="s">
        <v>1307</v>
      </c>
      <c r="G158" s="16" t="s">
        <v>1197</v>
      </c>
      <c r="H158" s="14" t="str">
        <f>"20240425/348468"</f>
        <v>20240425/348468</v>
      </c>
      <c r="I158" s="19" t="str">
        <f>"2404007221881"</f>
        <v>2404007221881</v>
      </c>
      <c r="J158" s="18">
        <v>19033.990000000002</v>
      </c>
      <c r="K158" s="18">
        <v>0</v>
      </c>
      <c r="L158" s="18">
        <v>1323906.8400000001</v>
      </c>
    </row>
    <row r="159" spans="1:13" ht="15" thickBot="1" x14ac:dyDescent="0.35">
      <c r="A159" s="14">
        <v>152</v>
      </c>
      <c r="B159" s="15">
        <v>45408</v>
      </c>
      <c r="C159" s="15">
        <v>45408</v>
      </c>
      <c r="D159" s="16" t="s">
        <v>1192</v>
      </c>
      <c r="E159" s="16" t="s">
        <v>1193</v>
      </c>
      <c r="F159" s="16" t="s">
        <v>1202</v>
      </c>
      <c r="G159" s="16" t="s">
        <v>1203</v>
      </c>
      <c r="H159" s="14" t="str">
        <f>"20240426/17767"</f>
        <v>20240426/17767</v>
      </c>
      <c r="I159" s="17" t="str">
        <f t="shared" ref="I159:I167" si="14">" "</f>
        <v> </v>
      </c>
      <c r="J159" s="18">
        <v>110.36</v>
      </c>
      <c r="K159" s="18">
        <v>0</v>
      </c>
      <c r="L159" s="18">
        <v>1324017.2</v>
      </c>
      <c r="M159" t="s">
        <v>2661</v>
      </c>
    </row>
    <row r="160" spans="1:13" ht="15" thickBot="1" x14ac:dyDescent="0.35">
      <c r="A160" s="14">
        <v>153</v>
      </c>
      <c r="B160" s="15">
        <v>45408</v>
      </c>
      <c r="C160" s="15">
        <v>45408</v>
      </c>
      <c r="D160" s="16" t="s">
        <v>1192</v>
      </c>
      <c r="E160" s="16" t="s">
        <v>1193</v>
      </c>
      <c r="F160" s="16" t="s">
        <v>1204</v>
      </c>
      <c r="G160" s="16" t="s">
        <v>1203</v>
      </c>
      <c r="H160" s="14" t="str">
        <f>"20240426/62881"</f>
        <v>20240426/62881</v>
      </c>
      <c r="I160" s="17" t="str">
        <f t="shared" si="14"/>
        <v> </v>
      </c>
      <c r="J160" s="18">
        <v>32905.410000000003</v>
      </c>
      <c r="K160" s="18">
        <v>0</v>
      </c>
      <c r="L160" s="18">
        <v>1356922.61</v>
      </c>
      <c r="M160" t="s">
        <v>2661</v>
      </c>
    </row>
    <row r="161" spans="1:13" ht="15" thickBot="1" x14ac:dyDescent="0.35">
      <c r="A161" s="14">
        <v>154</v>
      </c>
      <c r="B161" s="15">
        <v>45408</v>
      </c>
      <c r="C161" s="15">
        <v>45408</v>
      </c>
      <c r="D161" s="16" t="s">
        <v>1192</v>
      </c>
      <c r="E161" s="16" t="s">
        <v>1193</v>
      </c>
      <c r="F161" s="16" t="s">
        <v>1194</v>
      </c>
      <c r="G161" s="16" t="s">
        <v>1195</v>
      </c>
      <c r="H161" s="14" t="str">
        <f>"20240426/23130"</f>
        <v>20240426/23130</v>
      </c>
      <c r="I161" s="17" t="str">
        <f t="shared" si="14"/>
        <v> </v>
      </c>
      <c r="J161" s="18">
        <v>0</v>
      </c>
      <c r="K161" s="18">
        <v>317.54000000000002</v>
      </c>
      <c r="L161" s="18">
        <v>1356605.07</v>
      </c>
      <c r="M161" t="s">
        <v>2661</v>
      </c>
    </row>
    <row r="162" spans="1:13" ht="15" thickBot="1" x14ac:dyDescent="0.35">
      <c r="A162" s="14">
        <v>155</v>
      </c>
      <c r="B162" s="15">
        <v>45408</v>
      </c>
      <c r="C162" s="15">
        <v>45408</v>
      </c>
      <c r="D162" s="16" t="s">
        <v>1192</v>
      </c>
      <c r="E162" s="16" t="s">
        <v>1193</v>
      </c>
      <c r="F162" s="16" t="s">
        <v>1194</v>
      </c>
      <c r="G162" s="16" t="s">
        <v>1195</v>
      </c>
      <c r="H162" s="14" t="str">
        <f>"20240426/94952"</f>
        <v>20240426/94952</v>
      </c>
      <c r="I162" s="17" t="str">
        <f t="shared" si="14"/>
        <v> </v>
      </c>
      <c r="J162" s="18">
        <v>0</v>
      </c>
      <c r="K162" s="18">
        <v>76751.16</v>
      </c>
      <c r="L162" s="18">
        <v>1279853.9099999999</v>
      </c>
      <c r="M162" t="s">
        <v>2661</v>
      </c>
    </row>
    <row r="163" spans="1:13" ht="15" thickBot="1" x14ac:dyDescent="0.35">
      <c r="A163" s="14">
        <v>156</v>
      </c>
      <c r="B163" s="15">
        <v>45408</v>
      </c>
      <c r="C163" s="15">
        <v>45408</v>
      </c>
      <c r="D163" s="16" t="s">
        <v>1192</v>
      </c>
      <c r="E163" s="16" t="s">
        <v>1193</v>
      </c>
      <c r="F163" s="16" t="s">
        <v>1308</v>
      </c>
      <c r="G163" s="16" t="s">
        <v>1197</v>
      </c>
      <c r="H163" s="14" t="str">
        <f>"20240426/171667"</f>
        <v>20240426/171667</v>
      </c>
      <c r="I163" s="19" t="str">
        <f t="shared" si="14"/>
        <v> </v>
      </c>
      <c r="J163" s="18">
        <v>317.54000000000002</v>
      </c>
      <c r="K163" s="18">
        <v>0</v>
      </c>
      <c r="L163" s="18">
        <v>1280171.45</v>
      </c>
      <c r="M163" t="s">
        <v>2658</v>
      </c>
    </row>
    <row r="164" spans="1:13" ht="15" thickBot="1" x14ac:dyDescent="0.35">
      <c r="A164" s="14">
        <v>157</v>
      </c>
      <c r="B164" s="15">
        <v>45408</v>
      </c>
      <c r="C164" s="15">
        <v>45408</v>
      </c>
      <c r="D164" s="16" t="s">
        <v>1192</v>
      </c>
      <c r="E164" s="16" t="s">
        <v>1193</v>
      </c>
      <c r="F164" s="16" t="s">
        <v>1309</v>
      </c>
      <c r="G164" s="16" t="s">
        <v>1197</v>
      </c>
      <c r="H164" s="14" t="str">
        <f>"20240426/221024"</f>
        <v>20240426/221024</v>
      </c>
      <c r="I164" s="19" t="str">
        <f t="shared" si="14"/>
        <v> </v>
      </c>
      <c r="J164" s="18">
        <v>27128.400000000001</v>
      </c>
      <c r="K164" s="18">
        <v>0</v>
      </c>
      <c r="L164" s="18">
        <v>1307299.8500000001</v>
      </c>
    </row>
    <row r="165" spans="1:13" ht="15" thickBot="1" x14ac:dyDescent="0.35">
      <c r="A165" s="14">
        <v>158</v>
      </c>
      <c r="B165" s="15">
        <v>45408</v>
      </c>
      <c r="C165" s="15">
        <v>45408</v>
      </c>
      <c r="D165" s="16" t="s">
        <v>1192</v>
      </c>
      <c r="E165" s="16" t="s">
        <v>1193</v>
      </c>
      <c r="F165" s="16" t="s">
        <v>1310</v>
      </c>
      <c r="G165" s="16" t="s">
        <v>1197</v>
      </c>
      <c r="H165" s="14" t="str">
        <f>"20240426/221025"</f>
        <v>20240426/221025</v>
      </c>
      <c r="I165" s="19" t="str">
        <f t="shared" si="14"/>
        <v> </v>
      </c>
      <c r="J165" s="18">
        <v>366708.41</v>
      </c>
      <c r="K165" s="18">
        <v>0</v>
      </c>
      <c r="L165" s="18">
        <v>1674008.26</v>
      </c>
    </row>
    <row r="166" spans="1:13" ht="15" thickBot="1" x14ac:dyDescent="0.35">
      <c r="A166" s="14">
        <v>159</v>
      </c>
      <c r="B166" s="15">
        <v>45408</v>
      </c>
      <c r="C166" s="15">
        <v>45408</v>
      </c>
      <c r="D166" s="16" t="s">
        <v>1192</v>
      </c>
      <c r="E166" s="16" t="s">
        <v>1193</v>
      </c>
      <c r="F166" s="16" t="s">
        <v>1311</v>
      </c>
      <c r="G166" s="16" t="s">
        <v>1197</v>
      </c>
      <c r="H166" s="14" t="str">
        <f>"20240426/307861"</f>
        <v>20240426/307861</v>
      </c>
      <c r="I166" s="19" t="str">
        <f t="shared" si="14"/>
        <v> </v>
      </c>
      <c r="J166" s="18">
        <v>0</v>
      </c>
      <c r="K166" s="18">
        <v>420147.25</v>
      </c>
      <c r="L166" s="18">
        <v>1253861.01</v>
      </c>
    </row>
    <row r="167" spans="1:13" ht="15" thickBot="1" x14ac:dyDescent="0.35">
      <c r="A167" s="14">
        <v>160</v>
      </c>
      <c r="B167" s="15">
        <v>45408</v>
      </c>
      <c r="C167" s="15">
        <v>45408</v>
      </c>
      <c r="D167" s="16" t="s">
        <v>1192</v>
      </c>
      <c r="E167" s="16" t="s">
        <v>1193</v>
      </c>
      <c r="F167" s="16" t="s">
        <v>1312</v>
      </c>
      <c r="G167" s="16" t="s">
        <v>1197</v>
      </c>
      <c r="H167" s="14" t="str">
        <f>"20240426/307862"</f>
        <v>20240426/307862</v>
      </c>
      <c r="I167" s="19" t="str">
        <f t="shared" si="14"/>
        <v> </v>
      </c>
      <c r="J167" s="18">
        <v>0</v>
      </c>
      <c r="K167" s="18">
        <v>26082.28</v>
      </c>
      <c r="L167" s="18">
        <v>1227778.73</v>
      </c>
    </row>
    <row r="168" spans="1:13" ht="15" thickBot="1" x14ac:dyDescent="0.35">
      <c r="A168" s="14">
        <v>161</v>
      </c>
      <c r="B168" s="15">
        <v>45408</v>
      </c>
      <c r="C168" s="15">
        <v>45411</v>
      </c>
      <c r="D168" s="16" t="s">
        <v>1192</v>
      </c>
      <c r="E168" s="16" t="s">
        <v>1193</v>
      </c>
      <c r="F168" s="16" t="s">
        <v>1313</v>
      </c>
      <c r="G168" s="16" t="s">
        <v>1197</v>
      </c>
      <c r="H168" s="14" t="str">
        <f>"20240426/368731"</f>
        <v>20240426/368731</v>
      </c>
      <c r="I168" s="19" t="str">
        <f>"2404007691074"</f>
        <v>2404007691074</v>
      </c>
      <c r="J168" s="18">
        <v>0</v>
      </c>
      <c r="K168" s="18">
        <v>58146.77</v>
      </c>
      <c r="L168" s="18">
        <v>1169631.96</v>
      </c>
    </row>
    <row r="169" spans="1:13" ht="15" thickBot="1" x14ac:dyDescent="0.35">
      <c r="A169" s="14">
        <v>162</v>
      </c>
      <c r="B169" s="15">
        <v>45408</v>
      </c>
      <c r="C169" s="15">
        <v>45411</v>
      </c>
      <c r="D169" s="16" t="s">
        <v>1192</v>
      </c>
      <c r="E169" s="16" t="s">
        <v>1193</v>
      </c>
      <c r="F169" s="16" t="s">
        <v>1314</v>
      </c>
      <c r="G169" s="16" t="s">
        <v>1197</v>
      </c>
      <c r="H169" s="14" t="str">
        <f>"20240426/368732"</f>
        <v>20240426/368732</v>
      </c>
      <c r="I169" s="19" t="str">
        <f>"2404007691074"</f>
        <v>2404007691074</v>
      </c>
      <c r="J169" s="18">
        <v>0</v>
      </c>
      <c r="K169" s="18">
        <v>52720.52</v>
      </c>
      <c r="L169" s="18">
        <v>1116911.44</v>
      </c>
    </row>
    <row r="170" spans="1:13" ht="15" thickBot="1" x14ac:dyDescent="0.35">
      <c r="A170" s="14">
        <v>163</v>
      </c>
      <c r="B170" s="15">
        <v>45411</v>
      </c>
      <c r="C170" s="15">
        <v>45411</v>
      </c>
      <c r="D170" s="16" t="s">
        <v>1192</v>
      </c>
      <c r="E170" s="16" t="s">
        <v>1193</v>
      </c>
      <c r="F170" s="16" t="s">
        <v>1202</v>
      </c>
      <c r="G170" s="16" t="s">
        <v>1203</v>
      </c>
      <c r="H170" s="14" t="str">
        <f>"20240429/13958"</f>
        <v>20240429/13958</v>
      </c>
      <c r="I170" s="17" t="str">
        <f t="shared" ref="I170:I178" si="15">" "</f>
        <v> </v>
      </c>
      <c r="J170" s="18">
        <v>3371.59</v>
      </c>
      <c r="K170" s="18">
        <v>0</v>
      </c>
      <c r="L170" s="18">
        <v>1120283.03</v>
      </c>
      <c r="M170" t="s">
        <v>2661</v>
      </c>
    </row>
    <row r="171" spans="1:13" ht="15" thickBot="1" x14ac:dyDescent="0.35">
      <c r="A171" s="14">
        <v>164</v>
      </c>
      <c r="B171" s="15">
        <v>45411</v>
      </c>
      <c r="C171" s="15">
        <v>45411</v>
      </c>
      <c r="D171" s="16" t="s">
        <v>1192</v>
      </c>
      <c r="E171" s="16" t="s">
        <v>1193</v>
      </c>
      <c r="F171" s="16" t="s">
        <v>1204</v>
      </c>
      <c r="G171" s="16" t="s">
        <v>1203</v>
      </c>
      <c r="H171" s="14" t="str">
        <f>"20240429/53660"</f>
        <v>20240429/53660</v>
      </c>
      <c r="I171" s="17" t="str">
        <f t="shared" si="15"/>
        <v> </v>
      </c>
      <c r="J171" s="18">
        <v>58146.77</v>
      </c>
      <c r="K171" s="18">
        <v>0</v>
      </c>
      <c r="L171" s="18">
        <v>1178429.8</v>
      </c>
      <c r="M171" t="s">
        <v>2661</v>
      </c>
    </row>
    <row r="172" spans="1:13" ht="15" thickBot="1" x14ac:dyDescent="0.35">
      <c r="A172" s="14">
        <v>165</v>
      </c>
      <c r="B172" s="15">
        <v>45411</v>
      </c>
      <c r="C172" s="15">
        <v>45411</v>
      </c>
      <c r="D172" s="16" t="s">
        <v>1192</v>
      </c>
      <c r="E172" s="16" t="s">
        <v>1193</v>
      </c>
      <c r="F172" s="16" t="s">
        <v>1194</v>
      </c>
      <c r="G172" s="16" t="s">
        <v>1195</v>
      </c>
      <c r="H172" s="14" t="str">
        <f>"20240429/18455"</f>
        <v>20240429/18455</v>
      </c>
      <c r="I172" s="17" t="str">
        <f t="shared" si="15"/>
        <v> </v>
      </c>
      <c r="J172" s="18">
        <v>0</v>
      </c>
      <c r="K172" s="18">
        <v>891.06</v>
      </c>
      <c r="L172" s="18">
        <v>1177538.74</v>
      </c>
      <c r="M172" t="s">
        <v>2661</v>
      </c>
    </row>
    <row r="173" spans="1:13" ht="15" thickBot="1" x14ac:dyDescent="0.35">
      <c r="A173" s="14">
        <v>166</v>
      </c>
      <c r="B173" s="15">
        <v>45411</v>
      </c>
      <c r="C173" s="15">
        <v>45411</v>
      </c>
      <c r="D173" s="16" t="s">
        <v>1192</v>
      </c>
      <c r="E173" s="16" t="s">
        <v>1193</v>
      </c>
      <c r="F173" s="16" t="s">
        <v>1194</v>
      </c>
      <c r="G173" s="16" t="s">
        <v>1195</v>
      </c>
      <c r="H173" s="14" t="str">
        <f>"20240429/93970"</f>
        <v>20240429/93970</v>
      </c>
      <c r="I173" s="17" t="str">
        <f t="shared" si="15"/>
        <v> </v>
      </c>
      <c r="J173" s="18">
        <v>0</v>
      </c>
      <c r="K173" s="18">
        <v>6432.16</v>
      </c>
      <c r="L173" s="18">
        <v>1171106.58</v>
      </c>
      <c r="M173" t="s">
        <v>2661</v>
      </c>
    </row>
    <row r="174" spans="1:13" ht="15" thickBot="1" x14ac:dyDescent="0.35">
      <c r="A174" s="14">
        <v>167</v>
      </c>
      <c r="B174" s="15">
        <v>45411</v>
      </c>
      <c r="C174" s="15">
        <v>45411</v>
      </c>
      <c r="D174" s="16" t="s">
        <v>1192</v>
      </c>
      <c r="E174" s="16" t="s">
        <v>1193</v>
      </c>
      <c r="F174" s="16" t="s">
        <v>1315</v>
      </c>
      <c r="G174" s="16" t="s">
        <v>1197</v>
      </c>
      <c r="H174" s="14" t="str">
        <f>"20240429/121380"</f>
        <v>20240429/121380</v>
      </c>
      <c r="I174" s="19" t="str">
        <f t="shared" si="15"/>
        <v> </v>
      </c>
      <c r="J174" s="18">
        <v>891.06</v>
      </c>
      <c r="K174" s="18">
        <v>0</v>
      </c>
      <c r="L174" s="18">
        <v>1171997.6399999999</v>
      </c>
      <c r="M174" t="s">
        <v>2658</v>
      </c>
    </row>
    <row r="175" spans="1:13" ht="15" thickBot="1" x14ac:dyDescent="0.35">
      <c r="A175" s="14">
        <v>168</v>
      </c>
      <c r="B175" s="15">
        <v>45411</v>
      </c>
      <c r="C175" s="15">
        <v>45411</v>
      </c>
      <c r="D175" s="16" t="s">
        <v>1192</v>
      </c>
      <c r="E175" s="16" t="s">
        <v>1193</v>
      </c>
      <c r="F175" s="16" t="s">
        <v>1316</v>
      </c>
      <c r="G175" s="16" t="s">
        <v>1197</v>
      </c>
      <c r="H175" s="14" t="str">
        <f>"20240429/175894"</f>
        <v>20240429/175894</v>
      </c>
      <c r="I175" s="19" t="str">
        <f t="shared" si="15"/>
        <v> </v>
      </c>
      <c r="J175" s="18">
        <v>369145.27</v>
      </c>
      <c r="K175" s="18">
        <v>0</v>
      </c>
      <c r="L175" s="18">
        <v>1541142.91</v>
      </c>
    </row>
    <row r="176" spans="1:13" ht="15" thickBot="1" x14ac:dyDescent="0.35">
      <c r="A176" s="14">
        <v>169</v>
      </c>
      <c r="B176" s="15">
        <v>45411</v>
      </c>
      <c r="C176" s="15">
        <v>45411</v>
      </c>
      <c r="D176" s="16" t="s">
        <v>1192</v>
      </c>
      <c r="E176" s="16" t="s">
        <v>1193</v>
      </c>
      <c r="F176" s="16" t="s">
        <v>1317</v>
      </c>
      <c r="G176" s="16" t="s">
        <v>1197</v>
      </c>
      <c r="H176" s="14" t="str">
        <f>"20240429/175895"</f>
        <v>20240429/175895</v>
      </c>
      <c r="I176" s="19" t="str">
        <f t="shared" si="15"/>
        <v> </v>
      </c>
      <c r="J176" s="18">
        <v>31123.7</v>
      </c>
      <c r="K176" s="18">
        <v>0</v>
      </c>
      <c r="L176" s="18">
        <v>1572266.61</v>
      </c>
    </row>
    <row r="177" spans="1:13" ht="15" thickBot="1" x14ac:dyDescent="0.35">
      <c r="A177" s="14">
        <v>170</v>
      </c>
      <c r="B177" s="15">
        <v>45411</v>
      </c>
      <c r="C177" s="15">
        <v>45411</v>
      </c>
      <c r="D177" s="16" t="s">
        <v>1192</v>
      </c>
      <c r="E177" s="16" t="s">
        <v>1193</v>
      </c>
      <c r="F177" s="16" t="s">
        <v>1318</v>
      </c>
      <c r="G177" s="16" t="s">
        <v>1197</v>
      </c>
      <c r="H177" s="14" t="str">
        <f>"20240429/253906"</f>
        <v>20240429/253906</v>
      </c>
      <c r="I177" s="19" t="str">
        <f t="shared" si="15"/>
        <v> </v>
      </c>
      <c r="J177" s="18">
        <v>0</v>
      </c>
      <c r="K177" s="18">
        <v>27128.400000000001</v>
      </c>
      <c r="L177" s="18">
        <v>1545138.21</v>
      </c>
    </row>
    <row r="178" spans="1:13" ht="15" thickBot="1" x14ac:dyDescent="0.35">
      <c r="A178" s="14">
        <v>171</v>
      </c>
      <c r="B178" s="15">
        <v>45411</v>
      </c>
      <c r="C178" s="15">
        <v>45411</v>
      </c>
      <c r="D178" s="16" t="s">
        <v>1192</v>
      </c>
      <c r="E178" s="16" t="s">
        <v>1193</v>
      </c>
      <c r="F178" s="16" t="s">
        <v>1319</v>
      </c>
      <c r="G178" s="16" t="s">
        <v>1197</v>
      </c>
      <c r="H178" s="14" t="str">
        <f>"20240429/253907"</f>
        <v>20240429/253907</v>
      </c>
      <c r="I178" s="19" t="str">
        <f t="shared" si="15"/>
        <v> </v>
      </c>
      <c r="J178" s="18">
        <v>0</v>
      </c>
      <c r="K178" s="18">
        <v>366708.41</v>
      </c>
      <c r="L178" s="18">
        <v>1178429.8</v>
      </c>
    </row>
    <row r="179" spans="1:13" ht="15" thickBot="1" x14ac:dyDescent="0.35">
      <c r="A179" s="14">
        <v>172</v>
      </c>
      <c r="B179" s="15">
        <v>45411</v>
      </c>
      <c r="C179" s="15">
        <v>45412</v>
      </c>
      <c r="D179" s="16" t="s">
        <v>1192</v>
      </c>
      <c r="E179" s="16" t="s">
        <v>1193</v>
      </c>
      <c r="F179" s="16" t="s">
        <v>1320</v>
      </c>
      <c r="G179" s="16" t="s">
        <v>1197</v>
      </c>
      <c r="H179" s="14" t="str">
        <f>"20240429/352800"</f>
        <v>20240429/352800</v>
      </c>
      <c r="I179" s="19" t="str">
        <f>"2404008137004"</f>
        <v>2404008137004</v>
      </c>
      <c r="J179" s="18">
        <v>11825.43</v>
      </c>
      <c r="K179" s="18">
        <v>0</v>
      </c>
      <c r="L179" s="18">
        <v>1190255.23</v>
      </c>
    </row>
    <row r="180" spans="1:13" ht="15" thickBot="1" x14ac:dyDescent="0.35">
      <c r="A180" s="14">
        <v>173</v>
      </c>
      <c r="B180" s="15">
        <v>45412</v>
      </c>
      <c r="C180" s="15">
        <v>45412</v>
      </c>
      <c r="D180" s="16" t="s">
        <v>1192</v>
      </c>
      <c r="E180" s="16" t="s">
        <v>1193</v>
      </c>
      <c r="F180" s="16" t="s">
        <v>1194</v>
      </c>
      <c r="G180" s="16" t="s">
        <v>1195</v>
      </c>
      <c r="H180" s="14" t="str">
        <f>"20240430/18164"</f>
        <v>20240430/18164</v>
      </c>
      <c r="I180" s="17" t="str">
        <f t="shared" ref="I180:I186" si="16">" "</f>
        <v> </v>
      </c>
      <c r="J180" s="18">
        <v>0</v>
      </c>
      <c r="K180" s="18">
        <v>277.14999999999998</v>
      </c>
      <c r="L180" s="18">
        <v>1189978.08</v>
      </c>
      <c r="M180" t="s">
        <v>2661</v>
      </c>
    </row>
    <row r="181" spans="1:13" ht="15" thickBot="1" x14ac:dyDescent="0.35">
      <c r="A181" s="14">
        <v>174</v>
      </c>
      <c r="B181" s="15">
        <v>45412</v>
      </c>
      <c r="C181" s="15">
        <v>45412</v>
      </c>
      <c r="D181" s="16" t="s">
        <v>1192</v>
      </c>
      <c r="E181" s="16" t="s">
        <v>1193</v>
      </c>
      <c r="F181" s="16" t="s">
        <v>1194</v>
      </c>
      <c r="G181" s="16" t="s">
        <v>1195</v>
      </c>
      <c r="H181" s="14" t="str">
        <f>"20240430/91678"</f>
        <v>20240430/91678</v>
      </c>
      <c r="I181" s="17" t="str">
        <f t="shared" si="16"/>
        <v> </v>
      </c>
      <c r="J181" s="18">
        <v>0</v>
      </c>
      <c r="K181" s="18">
        <v>43368.94</v>
      </c>
      <c r="L181" s="18">
        <v>1146609.1399999999</v>
      </c>
      <c r="M181" t="s">
        <v>2661</v>
      </c>
    </row>
    <row r="182" spans="1:13" ht="15" thickBot="1" x14ac:dyDescent="0.35">
      <c r="A182" s="14">
        <v>175</v>
      </c>
      <c r="B182" s="15">
        <v>45412</v>
      </c>
      <c r="C182" s="15">
        <v>45412</v>
      </c>
      <c r="D182" s="16" t="s">
        <v>1192</v>
      </c>
      <c r="E182" s="16" t="s">
        <v>1193</v>
      </c>
      <c r="F182" s="16" t="s">
        <v>1321</v>
      </c>
      <c r="G182" s="16" t="s">
        <v>1197</v>
      </c>
      <c r="H182" s="14" t="str">
        <f>"20240430/138901"</f>
        <v>20240430/138901</v>
      </c>
      <c r="I182" s="19" t="str">
        <f t="shared" si="16"/>
        <v> </v>
      </c>
      <c r="J182" s="18">
        <v>277.14999999999998</v>
      </c>
      <c r="K182" s="18">
        <v>0</v>
      </c>
      <c r="L182" s="18">
        <v>1146886.29</v>
      </c>
      <c r="M182" t="s">
        <v>2658</v>
      </c>
    </row>
    <row r="183" spans="1:13" ht="15" thickBot="1" x14ac:dyDescent="0.35">
      <c r="A183" s="14">
        <v>176</v>
      </c>
      <c r="B183" s="15">
        <v>45412</v>
      </c>
      <c r="C183" s="15">
        <v>45412</v>
      </c>
      <c r="D183" s="16" t="s">
        <v>1192</v>
      </c>
      <c r="E183" s="16" t="s">
        <v>1193</v>
      </c>
      <c r="F183" s="16" t="s">
        <v>1322</v>
      </c>
      <c r="G183" s="16" t="s">
        <v>1197</v>
      </c>
      <c r="H183" s="14" t="str">
        <f>"20240430/190539"</f>
        <v>20240430/190539</v>
      </c>
      <c r="I183" s="19" t="str">
        <f t="shared" si="16"/>
        <v> </v>
      </c>
      <c r="J183" s="18">
        <v>305998.40999999997</v>
      </c>
      <c r="K183" s="18">
        <v>0</v>
      </c>
      <c r="L183" s="18">
        <v>1452884.7</v>
      </c>
    </row>
    <row r="184" spans="1:13" ht="15" thickBot="1" x14ac:dyDescent="0.35">
      <c r="A184" s="14">
        <v>177</v>
      </c>
      <c r="B184" s="15">
        <v>45412</v>
      </c>
      <c r="C184" s="15">
        <v>45412</v>
      </c>
      <c r="D184" s="16" t="s">
        <v>1192</v>
      </c>
      <c r="E184" s="16" t="s">
        <v>1193</v>
      </c>
      <c r="F184" s="16" t="s">
        <v>1323</v>
      </c>
      <c r="G184" s="16" t="s">
        <v>1197</v>
      </c>
      <c r="H184" s="14" t="str">
        <f>"20240430/190540"</f>
        <v>20240430/190540</v>
      </c>
      <c r="I184" s="19" t="str">
        <f t="shared" si="16"/>
        <v> </v>
      </c>
      <c r="J184" s="18">
        <v>26204.7</v>
      </c>
      <c r="K184" s="18">
        <v>0</v>
      </c>
      <c r="L184" s="18">
        <v>1479089.4</v>
      </c>
    </row>
    <row r="185" spans="1:13" ht="15" thickBot="1" x14ac:dyDescent="0.35">
      <c r="A185" s="14">
        <v>178</v>
      </c>
      <c r="B185" s="15">
        <v>45412</v>
      </c>
      <c r="C185" s="15">
        <v>45412</v>
      </c>
      <c r="D185" s="16" t="s">
        <v>1192</v>
      </c>
      <c r="E185" s="16" t="s">
        <v>1193</v>
      </c>
      <c r="F185" s="16" t="s">
        <v>1324</v>
      </c>
      <c r="G185" s="16" t="s">
        <v>1197</v>
      </c>
      <c r="H185" s="14" t="str">
        <f>"20240430/262232"</f>
        <v>20240430/262232</v>
      </c>
      <c r="I185" s="19" t="str">
        <f t="shared" si="16"/>
        <v> </v>
      </c>
      <c r="J185" s="18">
        <v>0</v>
      </c>
      <c r="K185" s="18">
        <v>369145.27</v>
      </c>
      <c r="L185" s="18">
        <v>1109944.1299999999</v>
      </c>
    </row>
    <row r="186" spans="1:13" ht="15" thickBot="1" x14ac:dyDescent="0.35">
      <c r="A186" s="14">
        <v>179</v>
      </c>
      <c r="B186" s="15">
        <v>45412</v>
      </c>
      <c r="C186" s="15">
        <v>45412</v>
      </c>
      <c r="D186" s="16" t="s">
        <v>1192</v>
      </c>
      <c r="E186" s="16" t="s">
        <v>1193</v>
      </c>
      <c r="F186" s="16" t="s">
        <v>1325</v>
      </c>
      <c r="G186" s="16" t="s">
        <v>1197</v>
      </c>
      <c r="H186" s="14" t="str">
        <f>"20240430/262233"</f>
        <v>20240430/262233</v>
      </c>
      <c r="I186" s="19" t="str">
        <f t="shared" si="16"/>
        <v> </v>
      </c>
      <c r="J186" s="18">
        <v>0</v>
      </c>
      <c r="K186" s="18">
        <v>31123.7</v>
      </c>
      <c r="L186" s="18">
        <v>1078820.43</v>
      </c>
    </row>
    <row r="187" spans="1:13" ht="15" thickBot="1" x14ac:dyDescent="0.35">
      <c r="A187" s="14">
        <v>180</v>
      </c>
      <c r="B187" s="15">
        <v>45412</v>
      </c>
      <c r="C187" s="15">
        <v>45414</v>
      </c>
      <c r="D187" s="16" t="s">
        <v>1192</v>
      </c>
      <c r="E187" s="16" t="s">
        <v>1193</v>
      </c>
      <c r="F187" s="16" t="s">
        <v>1326</v>
      </c>
      <c r="G187" s="16" t="s">
        <v>1197</v>
      </c>
      <c r="H187" s="14" t="str">
        <f>"20240430/350197"</f>
        <v>20240430/350197</v>
      </c>
      <c r="I187" s="19" t="str">
        <f>"2404008583721"</f>
        <v>2404008583721</v>
      </c>
      <c r="J187" s="18">
        <v>0</v>
      </c>
      <c r="K187" s="18">
        <v>70426.77</v>
      </c>
      <c r="L187" s="18">
        <v>1008393.66</v>
      </c>
    </row>
    <row r="188" spans="1:13" ht="15" thickBot="1" x14ac:dyDescent="0.35">
      <c r="A188" s="14">
        <v>181</v>
      </c>
      <c r="B188" s="15">
        <v>45414</v>
      </c>
      <c r="C188" s="15">
        <v>45414</v>
      </c>
      <c r="D188" s="16" t="s">
        <v>1192</v>
      </c>
      <c r="E188" s="16" t="s">
        <v>1193</v>
      </c>
      <c r="F188" s="16" t="s">
        <v>1202</v>
      </c>
      <c r="G188" s="16" t="s">
        <v>1203</v>
      </c>
      <c r="H188" s="14" t="str">
        <f>"20240502/12682"</f>
        <v>20240502/12682</v>
      </c>
      <c r="I188" s="17" t="str">
        <f t="shared" ref="I188:I195" si="17">" "</f>
        <v> </v>
      </c>
      <c r="J188" s="18">
        <v>7938.75</v>
      </c>
      <c r="K188" s="18">
        <v>0</v>
      </c>
      <c r="L188" s="18">
        <v>1016332.41</v>
      </c>
      <c r="M188" t="s">
        <v>2661</v>
      </c>
    </row>
    <row r="189" spans="1:13" ht="15" thickBot="1" x14ac:dyDescent="0.35">
      <c r="A189" s="14">
        <v>182</v>
      </c>
      <c r="B189" s="15">
        <v>45414</v>
      </c>
      <c r="C189" s="15">
        <v>45414</v>
      </c>
      <c r="D189" s="16" t="s">
        <v>1192</v>
      </c>
      <c r="E189" s="16" t="s">
        <v>1193</v>
      </c>
      <c r="F189" s="16" t="s">
        <v>1194</v>
      </c>
      <c r="G189" s="16" t="s">
        <v>1195</v>
      </c>
      <c r="H189" s="14" t="str">
        <f>"20240502/107097"</f>
        <v>20240502/107097</v>
      </c>
      <c r="I189" s="17" t="str">
        <f t="shared" si="17"/>
        <v> </v>
      </c>
      <c r="J189" s="18">
        <v>0</v>
      </c>
      <c r="K189" s="18">
        <v>6687.69</v>
      </c>
      <c r="L189" s="18">
        <v>1009644.72</v>
      </c>
      <c r="M189" t="s">
        <v>2661</v>
      </c>
    </row>
    <row r="190" spans="1:13" ht="15" thickBot="1" x14ac:dyDescent="0.35">
      <c r="A190" s="14">
        <v>183</v>
      </c>
      <c r="B190" s="15">
        <v>45414</v>
      </c>
      <c r="C190" s="15">
        <v>45414</v>
      </c>
      <c r="D190" s="16" t="s">
        <v>1192</v>
      </c>
      <c r="E190" s="16" t="s">
        <v>1193</v>
      </c>
      <c r="F190" s="16" t="s">
        <v>1194</v>
      </c>
      <c r="G190" s="16" t="s">
        <v>1195</v>
      </c>
      <c r="H190" s="14" t="str">
        <f>"20240502/24184"</f>
        <v>20240502/24184</v>
      </c>
      <c r="I190" s="17" t="str">
        <f t="shared" si="17"/>
        <v> </v>
      </c>
      <c r="J190" s="18">
        <v>0</v>
      </c>
      <c r="K190" s="18">
        <v>531.84</v>
      </c>
      <c r="L190" s="18">
        <v>1009112.88</v>
      </c>
      <c r="M190" t="s">
        <v>2661</v>
      </c>
    </row>
    <row r="191" spans="1:13" ht="15" thickBot="1" x14ac:dyDescent="0.35">
      <c r="A191" s="14">
        <v>184</v>
      </c>
      <c r="B191" s="15">
        <v>45414</v>
      </c>
      <c r="C191" s="15">
        <v>45414</v>
      </c>
      <c r="D191" s="16" t="s">
        <v>1192</v>
      </c>
      <c r="E191" s="16" t="s">
        <v>1193</v>
      </c>
      <c r="F191" s="16" t="s">
        <v>1327</v>
      </c>
      <c r="G191" s="16" t="s">
        <v>1197</v>
      </c>
      <c r="H191" s="14" t="str">
        <f>"20240502/122712"</f>
        <v>20240502/122712</v>
      </c>
      <c r="I191" s="19" t="str">
        <f t="shared" si="17"/>
        <v> </v>
      </c>
      <c r="J191" s="18">
        <v>531.84</v>
      </c>
      <c r="K191" s="18">
        <v>0</v>
      </c>
      <c r="L191" s="18">
        <v>1009644.72</v>
      </c>
      <c r="M191" t="s">
        <v>2658</v>
      </c>
    </row>
    <row r="192" spans="1:13" ht="15" thickBot="1" x14ac:dyDescent="0.35">
      <c r="A192" s="14">
        <v>185</v>
      </c>
      <c r="B192" s="15">
        <v>45414</v>
      </c>
      <c r="C192" s="15">
        <v>45414</v>
      </c>
      <c r="D192" s="16" t="s">
        <v>1192</v>
      </c>
      <c r="E192" s="16" t="s">
        <v>1193</v>
      </c>
      <c r="F192" s="16" t="s">
        <v>1328</v>
      </c>
      <c r="G192" s="16" t="s">
        <v>1197</v>
      </c>
      <c r="H192" s="14" t="str">
        <f>"20240502/203800"</f>
        <v>20240502/203800</v>
      </c>
      <c r="I192" s="19" t="str">
        <f t="shared" si="17"/>
        <v> </v>
      </c>
      <c r="J192" s="18">
        <v>28585.599999999999</v>
      </c>
      <c r="K192" s="18">
        <v>0</v>
      </c>
      <c r="L192" s="18">
        <v>1038230.32</v>
      </c>
    </row>
    <row r="193" spans="1:13" ht="15" thickBot="1" x14ac:dyDescent="0.35">
      <c r="A193" s="14">
        <v>186</v>
      </c>
      <c r="B193" s="15">
        <v>45414</v>
      </c>
      <c r="C193" s="15">
        <v>45414</v>
      </c>
      <c r="D193" s="16" t="s">
        <v>1192</v>
      </c>
      <c r="E193" s="16" t="s">
        <v>1193</v>
      </c>
      <c r="F193" s="16" t="s">
        <v>1329</v>
      </c>
      <c r="G193" s="16" t="s">
        <v>1197</v>
      </c>
      <c r="H193" s="14" t="str">
        <f>"20240502/203801"</f>
        <v>20240502/203801</v>
      </c>
      <c r="I193" s="19" t="str">
        <f t="shared" si="17"/>
        <v> </v>
      </c>
      <c r="J193" s="18">
        <v>286916.03999999998</v>
      </c>
      <c r="K193" s="18">
        <v>0</v>
      </c>
      <c r="L193" s="18">
        <v>1325146.3600000001</v>
      </c>
    </row>
    <row r="194" spans="1:13" ht="15" thickBot="1" x14ac:dyDescent="0.35">
      <c r="A194" s="14">
        <v>187</v>
      </c>
      <c r="B194" s="15">
        <v>45414</v>
      </c>
      <c r="C194" s="15">
        <v>45414</v>
      </c>
      <c r="D194" s="16" t="s">
        <v>1192</v>
      </c>
      <c r="E194" s="16" t="s">
        <v>1193</v>
      </c>
      <c r="F194" s="16" t="s">
        <v>1330</v>
      </c>
      <c r="G194" s="16" t="s">
        <v>1197</v>
      </c>
      <c r="H194" s="14" t="str">
        <f>"20240502/268205"</f>
        <v>20240502/268205</v>
      </c>
      <c r="I194" s="19" t="str">
        <f t="shared" si="17"/>
        <v> </v>
      </c>
      <c r="J194" s="18">
        <v>0</v>
      </c>
      <c r="K194" s="18">
        <v>305998.40999999997</v>
      </c>
      <c r="L194" s="18">
        <v>1019147.95</v>
      </c>
    </row>
    <row r="195" spans="1:13" ht="15" thickBot="1" x14ac:dyDescent="0.35">
      <c r="A195" s="14">
        <v>188</v>
      </c>
      <c r="B195" s="15">
        <v>45414</v>
      </c>
      <c r="C195" s="15">
        <v>45414</v>
      </c>
      <c r="D195" s="16" t="s">
        <v>1192</v>
      </c>
      <c r="E195" s="16" t="s">
        <v>1193</v>
      </c>
      <c r="F195" s="16" t="s">
        <v>1331</v>
      </c>
      <c r="G195" s="16" t="s">
        <v>1197</v>
      </c>
      <c r="H195" s="14" t="str">
        <f>"20240502/268206"</f>
        <v>20240502/268206</v>
      </c>
      <c r="I195" s="19" t="str">
        <f t="shared" si="17"/>
        <v> </v>
      </c>
      <c r="J195" s="18">
        <v>0</v>
      </c>
      <c r="K195" s="18">
        <v>26204.7</v>
      </c>
      <c r="L195" s="18">
        <v>992943.25</v>
      </c>
    </row>
    <row r="196" spans="1:13" ht="15" thickBot="1" x14ac:dyDescent="0.35">
      <c r="A196" s="14">
        <v>189</v>
      </c>
      <c r="B196" s="15">
        <v>45414</v>
      </c>
      <c r="C196" s="15">
        <v>45415</v>
      </c>
      <c r="D196" s="16" t="s">
        <v>1192</v>
      </c>
      <c r="E196" s="16" t="s">
        <v>1193</v>
      </c>
      <c r="F196" s="16" t="s">
        <v>1332</v>
      </c>
      <c r="G196" s="16" t="s">
        <v>1197</v>
      </c>
      <c r="H196" s="14" t="str">
        <f>"20240502/357162"</f>
        <v>20240502/357162</v>
      </c>
      <c r="I196" s="19" t="str">
        <f>"2405000218920"</f>
        <v>2405000218920</v>
      </c>
      <c r="J196" s="18">
        <v>0</v>
      </c>
      <c r="K196" s="18">
        <v>24826.97</v>
      </c>
      <c r="L196" s="18">
        <v>968116.28</v>
      </c>
    </row>
    <row r="197" spans="1:13" ht="15" thickBot="1" x14ac:dyDescent="0.35">
      <c r="A197" s="14">
        <v>190</v>
      </c>
      <c r="B197" s="15">
        <v>45414</v>
      </c>
      <c r="C197" s="15">
        <v>45415</v>
      </c>
      <c r="D197" s="16" t="s">
        <v>1192</v>
      </c>
      <c r="E197" s="16" t="s">
        <v>1193</v>
      </c>
      <c r="F197" s="16" t="s">
        <v>1333</v>
      </c>
      <c r="G197" s="16" t="s">
        <v>1197</v>
      </c>
      <c r="H197" s="14" t="str">
        <f>"20240502/357163"</f>
        <v>20240502/357163</v>
      </c>
      <c r="I197" s="19" t="str">
        <f>"2405000218920"</f>
        <v>2405000218920</v>
      </c>
      <c r="J197" s="18">
        <v>0</v>
      </c>
      <c r="K197" s="18">
        <v>29407.64</v>
      </c>
      <c r="L197" s="18">
        <v>938708.64</v>
      </c>
    </row>
    <row r="198" spans="1:13" ht="15" thickBot="1" x14ac:dyDescent="0.35">
      <c r="A198" s="14">
        <v>191</v>
      </c>
      <c r="B198" s="15">
        <v>45415</v>
      </c>
      <c r="C198" s="15">
        <v>45415</v>
      </c>
      <c r="D198" s="16" t="s">
        <v>1192</v>
      </c>
      <c r="E198" s="16" t="s">
        <v>1193</v>
      </c>
      <c r="F198" s="16" t="s">
        <v>1204</v>
      </c>
      <c r="G198" s="16" t="s">
        <v>1203</v>
      </c>
      <c r="H198" s="14" t="str">
        <f>"20240503/45656"</f>
        <v>20240503/45656</v>
      </c>
      <c r="I198" s="17" t="str">
        <f t="shared" ref="I198:I206" si="18">" "</f>
        <v> </v>
      </c>
      <c r="J198" s="18">
        <v>24826.97</v>
      </c>
      <c r="K198" s="18">
        <v>0</v>
      </c>
      <c r="L198" s="18">
        <v>963535.61</v>
      </c>
      <c r="M198" t="s">
        <v>2661</v>
      </c>
    </row>
    <row r="199" spans="1:13" ht="15" thickBot="1" x14ac:dyDescent="0.35">
      <c r="A199" s="14">
        <v>192</v>
      </c>
      <c r="B199" s="15">
        <v>45415</v>
      </c>
      <c r="C199" s="15">
        <v>45415</v>
      </c>
      <c r="D199" s="16" t="s">
        <v>1192</v>
      </c>
      <c r="E199" s="16" t="s">
        <v>1193</v>
      </c>
      <c r="F199" s="16" t="s">
        <v>1202</v>
      </c>
      <c r="G199" s="16" t="s">
        <v>1203</v>
      </c>
      <c r="H199" s="14" t="str">
        <f>"20240503/7281"</f>
        <v>20240503/7281</v>
      </c>
      <c r="I199" s="17" t="str">
        <f t="shared" si="18"/>
        <v> </v>
      </c>
      <c r="J199" s="18">
        <v>6018.48</v>
      </c>
      <c r="K199" s="18">
        <v>0</v>
      </c>
      <c r="L199" s="18">
        <v>969554.09</v>
      </c>
      <c r="M199" t="s">
        <v>2661</v>
      </c>
    </row>
    <row r="200" spans="1:13" ht="15" thickBot="1" x14ac:dyDescent="0.35">
      <c r="A200" s="14">
        <v>193</v>
      </c>
      <c r="B200" s="15">
        <v>45415</v>
      </c>
      <c r="C200" s="15">
        <v>45415</v>
      </c>
      <c r="D200" s="16" t="s">
        <v>1192</v>
      </c>
      <c r="E200" s="16" t="s">
        <v>1193</v>
      </c>
      <c r="F200" s="16" t="s">
        <v>1194</v>
      </c>
      <c r="G200" s="16" t="s">
        <v>1195</v>
      </c>
      <c r="H200" s="14" t="str">
        <f>"20240503/11350"</f>
        <v>20240503/11350</v>
      </c>
      <c r="I200" s="17" t="str">
        <f t="shared" si="18"/>
        <v> </v>
      </c>
      <c r="J200" s="18">
        <v>0</v>
      </c>
      <c r="K200" s="18">
        <v>241.28</v>
      </c>
      <c r="L200" s="18">
        <v>969312.81</v>
      </c>
      <c r="M200" t="s">
        <v>2661</v>
      </c>
    </row>
    <row r="201" spans="1:13" ht="15" thickBot="1" x14ac:dyDescent="0.35">
      <c r="A201" s="14">
        <v>194</v>
      </c>
      <c r="B201" s="15">
        <v>45415</v>
      </c>
      <c r="C201" s="15">
        <v>45415</v>
      </c>
      <c r="D201" s="16" t="s">
        <v>1192</v>
      </c>
      <c r="E201" s="16" t="s">
        <v>1193</v>
      </c>
      <c r="F201" s="16" t="s">
        <v>1194</v>
      </c>
      <c r="G201" s="16" t="s">
        <v>1195</v>
      </c>
      <c r="H201" s="14" t="str">
        <f>"20240503/99288"</f>
        <v>20240503/99288</v>
      </c>
      <c r="I201" s="17" t="str">
        <f t="shared" si="18"/>
        <v> </v>
      </c>
      <c r="J201" s="18">
        <v>0</v>
      </c>
      <c r="K201" s="18">
        <v>46062.080000000002</v>
      </c>
      <c r="L201" s="18">
        <v>923250.73</v>
      </c>
      <c r="M201" t="s">
        <v>2661</v>
      </c>
    </row>
    <row r="202" spans="1:13" ht="15" thickBot="1" x14ac:dyDescent="0.35">
      <c r="A202" s="14">
        <v>195</v>
      </c>
      <c r="B202" s="15">
        <v>45415</v>
      </c>
      <c r="C202" s="15">
        <v>45415</v>
      </c>
      <c r="D202" s="16" t="s">
        <v>1192</v>
      </c>
      <c r="E202" s="16" t="s">
        <v>1193</v>
      </c>
      <c r="F202" s="16" t="s">
        <v>1334</v>
      </c>
      <c r="G202" s="16" t="s">
        <v>1197</v>
      </c>
      <c r="H202" s="14" t="str">
        <f>"20240503/148024"</f>
        <v>20240503/148024</v>
      </c>
      <c r="I202" s="19" t="str">
        <f t="shared" si="18"/>
        <v> </v>
      </c>
      <c r="J202" s="18">
        <v>241.28</v>
      </c>
      <c r="K202" s="18">
        <v>0</v>
      </c>
      <c r="L202" s="18">
        <v>923492.01</v>
      </c>
      <c r="M202" t="s">
        <v>2658</v>
      </c>
    </row>
    <row r="203" spans="1:13" ht="15" thickBot="1" x14ac:dyDescent="0.35">
      <c r="A203" s="14">
        <v>196</v>
      </c>
      <c r="B203" s="15">
        <v>45415</v>
      </c>
      <c r="C203" s="15">
        <v>45415</v>
      </c>
      <c r="D203" s="16" t="s">
        <v>1192</v>
      </c>
      <c r="E203" s="16" t="s">
        <v>1193</v>
      </c>
      <c r="F203" s="16" t="s">
        <v>1335</v>
      </c>
      <c r="G203" s="16" t="s">
        <v>1197</v>
      </c>
      <c r="H203" s="14" t="str">
        <f>"20240503/203130"</f>
        <v>20240503/203130</v>
      </c>
      <c r="I203" s="19" t="str">
        <f t="shared" si="18"/>
        <v> </v>
      </c>
      <c r="J203" s="18">
        <v>272385.93</v>
      </c>
      <c r="K203" s="18">
        <v>0</v>
      </c>
      <c r="L203" s="18">
        <v>1195877.94</v>
      </c>
    </row>
    <row r="204" spans="1:13" ht="15" thickBot="1" x14ac:dyDescent="0.35">
      <c r="A204" s="14">
        <v>197</v>
      </c>
      <c r="B204" s="15">
        <v>45415</v>
      </c>
      <c r="C204" s="15">
        <v>45415</v>
      </c>
      <c r="D204" s="16" t="s">
        <v>1192</v>
      </c>
      <c r="E204" s="16" t="s">
        <v>1193</v>
      </c>
      <c r="F204" s="16" t="s">
        <v>1336</v>
      </c>
      <c r="G204" s="16" t="s">
        <v>1197</v>
      </c>
      <c r="H204" s="14" t="str">
        <f>"20240503/203131"</f>
        <v>20240503/203131</v>
      </c>
      <c r="I204" s="19" t="str">
        <f t="shared" si="18"/>
        <v> </v>
      </c>
      <c r="J204" s="18">
        <v>25755.45</v>
      </c>
      <c r="K204" s="18">
        <v>0</v>
      </c>
      <c r="L204" s="18">
        <v>1221633.3899999999</v>
      </c>
    </row>
    <row r="205" spans="1:13" ht="15" thickBot="1" x14ac:dyDescent="0.35">
      <c r="A205" s="14">
        <v>198</v>
      </c>
      <c r="B205" s="15">
        <v>45415</v>
      </c>
      <c r="C205" s="15">
        <v>45415</v>
      </c>
      <c r="D205" s="16" t="s">
        <v>1192</v>
      </c>
      <c r="E205" s="16" t="s">
        <v>1193</v>
      </c>
      <c r="F205" s="16" t="s">
        <v>1337</v>
      </c>
      <c r="G205" s="16" t="s">
        <v>1197</v>
      </c>
      <c r="H205" s="14" t="str">
        <f>"20240503/276183"</f>
        <v>20240503/276183</v>
      </c>
      <c r="I205" s="19" t="str">
        <f t="shared" si="18"/>
        <v> </v>
      </c>
      <c r="J205" s="18">
        <v>0</v>
      </c>
      <c r="K205" s="18">
        <v>28585.599999999999</v>
      </c>
      <c r="L205" s="18">
        <v>1193047.79</v>
      </c>
    </row>
    <row r="206" spans="1:13" ht="15" thickBot="1" x14ac:dyDescent="0.35">
      <c r="A206" s="14">
        <v>199</v>
      </c>
      <c r="B206" s="15">
        <v>45415</v>
      </c>
      <c r="C206" s="15">
        <v>45415</v>
      </c>
      <c r="D206" s="16" t="s">
        <v>1192</v>
      </c>
      <c r="E206" s="16" t="s">
        <v>1193</v>
      </c>
      <c r="F206" s="16" t="s">
        <v>1338</v>
      </c>
      <c r="G206" s="16" t="s">
        <v>1197</v>
      </c>
      <c r="H206" s="14" t="str">
        <f>"20240503/276184"</f>
        <v>20240503/276184</v>
      </c>
      <c r="I206" s="19" t="str">
        <f t="shared" si="18"/>
        <v> </v>
      </c>
      <c r="J206" s="18">
        <v>0</v>
      </c>
      <c r="K206" s="18">
        <v>286916.03999999998</v>
      </c>
      <c r="L206" s="18">
        <v>906131.75</v>
      </c>
    </row>
    <row r="207" spans="1:13" ht="15" thickBot="1" x14ac:dyDescent="0.35">
      <c r="A207" s="14">
        <v>200</v>
      </c>
      <c r="B207" s="15">
        <v>45415</v>
      </c>
      <c r="C207" s="15">
        <v>45418</v>
      </c>
      <c r="D207" s="16" t="s">
        <v>1192</v>
      </c>
      <c r="E207" s="16" t="s">
        <v>1193</v>
      </c>
      <c r="F207" s="16" t="s">
        <v>1339</v>
      </c>
      <c r="G207" s="16" t="s">
        <v>1197</v>
      </c>
      <c r="H207" s="14" t="str">
        <f>"20240503/356238"</f>
        <v>20240503/356238</v>
      </c>
      <c r="I207" s="19" t="str">
        <f>"2405000673438"</f>
        <v>2405000673438</v>
      </c>
      <c r="J207" s="18">
        <v>10410.290000000001</v>
      </c>
      <c r="K207" s="18">
        <v>0</v>
      </c>
      <c r="L207" s="18">
        <v>916542.04</v>
      </c>
    </row>
    <row r="208" spans="1:13" ht="15" thickBot="1" x14ac:dyDescent="0.35">
      <c r="A208" s="14">
        <v>201</v>
      </c>
      <c r="B208" s="15">
        <v>45418</v>
      </c>
      <c r="C208" s="15">
        <v>45418</v>
      </c>
      <c r="D208" s="16" t="s">
        <v>1192</v>
      </c>
      <c r="E208" s="16" t="s">
        <v>1193</v>
      </c>
      <c r="F208" s="16" t="s">
        <v>1194</v>
      </c>
      <c r="G208" s="16" t="s">
        <v>1195</v>
      </c>
      <c r="H208" s="14" t="str">
        <f>"20240506/124096"</f>
        <v>20240506/124096</v>
      </c>
      <c r="I208" s="17" t="str">
        <f t="shared" ref="I208:I214" si="19">" "</f>
        <v> </v>
      </c>
      <c r="J208" s="18">
        <v>0</v>
      </c>
      <c r="K208" s="18">
        <v>7798.44</v>
      </c>
      <c r="L208" s="18">
        <v>908743.6</v>
      </c>
      <c r="M208" t="s">
        <v>2661</v>
      </c>
    </row>
    <row r="209" spans="1:13" ht="15" thickBot="1" x14ac:dyDescent="0.35">
      <c r="A209" s="14">
        <v>202</v>
      </c>
      <c r="B209" s="15">
        <v>45418</v>
      </c>
      <c r="C209" s="15">
        <v>45418</v>
      </c>
      <c r="D209" s="16" t="s">
        <v>1192</v>
      </c>
      <c r="E209" s="16" t="s">
        <v>1193</v>
      </c>
      <c r="F209" s="16" t="s">
        <v>1194</v>
      </c>
      <c r="G209" s="16" t="s">
        <v>1195</v>
      </c>
      <c r="H209" s="14" t="str">
        <f>"20240506/36834"</f>
        <v>20240506/36834</v>
      </c>
      <c r="I209" s="17" t="str">
        <f t="shared" si="19"/>
        <v> </v>
      </c>
      <c r="J209" s="18">
        <v>0</v>
      </c>
      <c r="K209" s="18">
        <v>649.62</v>
      </c>
      <c r="L209" s="18">
        <v>908093.98</v>
      </c>
      <c r="M209" t="s">
        <v>2661</v>
      </c>
    </row>
    <row r="210" spans="1:13" ht="15" thickBot="1" x14ac:dyDescent="0.35">
      <c r="A210" s="14">
        <v>203</v>
      </c>
      <c r="B210" s="15">
        <v>45418</v>
      </c>
      <c r="C210" s="15">
        <v>45418</v>
      </c>
      <c r="D210" s="16" t="s">
        <v>1192</v>
      </c>
      <c r="E210" s="16" t="s">
        <v>1193</v>
      </c>
      <c r="F210" s="16" t="s">
        <v>1340</v>
      </c>
      <c r="G210" s="16" t="s">
        <v>1197</v>
      </c>
      <c r="H210" s="14" t="str">
        <f>"20240506/104664"</f>
        <v>20240506/104664</v>
      </c>
      <c r="I210" s="19" t="str">
        <f t="shared" si="19"/>
        <v> </v>
      </c>
      <c r="J210" s="18">
        <v>649.62</v>
      </c>
      <c r="K210" s="18">
        <v>0</v>
      </c>
      <c r="L210" s="18">
        <v>908743.6</v>
      </c>
      <c r="M210" t="s">
        <v>2658</v>
      </c>
    </row>
    <row r="211" spans="1:13" ht="15" thickBot="1" x14ac:dyDescent="0.35">
      <c r="A211" s="14">
        <v>204</v>
      </c>
      <c r="B211" s="15">
        <v>45418</v>
      </c>
      <c r="C211" s="15">
        <v>45418</v>
      </c>
      <c r="D211" s="16" t="s">
        <v>1192</v>
      </c>
      <c r="E211" s="16" t="s">
        <v>1193</v>
      </c>
      <c r="F211" s="16" t="s">
        <v>1341</v>
      </c>
      <c r="G211" s="16" t="s">
        <v>1197</v>
      </c>
      <c r="H211" s="14" t="str">
        <f>"20240506/187024"</f>
        <v>20240506/187024</v>
      </c>
      <c r="I211" s="19" t="str">
        <f t="shared" si="19"/>
        <v> </v>
      </c>
      <c r="J211" s="18">
        <v>20544.8</v>
      </c>
      <c r="K211" s="18">
        <v>0</v>
      </c>
      <c r="L211" s="18">
        <v>929288.4</v>
      </c>
    </row>
    <row r="212" spans="1:13" ht="15" thickBot="1" x14ac:dyDescent="0.35">
      <c r="A212" s="14">
        <v>205</v>
      </c>
      <c r="B212" s="15">
        <v>45418</v>
      </c>
      <c r="C212" s="15">
        <v>45418</v>
      </c>
      <c r="D212" s="16" t="s">
        <v>1192</v>
      </c>
      <c r="E212" s="16" t="s">
        <v>1193</v>
      </c>
      <c r="F212" s="16" t="s">
        <v>1342</v>
      </c>
      <c r="G212" s="16" t="s">
        <v>1197</v>
      </c>
      <c r="H212" s="14" t="str">
        <f>"20240506/187025"</f>
        <v>20240506/187025</v>
      </c>
      <c r="I212" s="19" t="str">
        <f t="shared" si="19"/>
        <v> </v>
      </c>
      <c r="J212" s="18">
        <v>285396.02</v>
      </c>
      <c r="K212" s="18">
        <v>0</v>
      </c>
      <c r="L212" s="18">
        <v>1214684.42</v>
      </c>
    </row>
    <row r="213" spans="1:13" ht="15" thickBot="1" x14ac:dyDescent="0.35">
      <c r="A213" s="14">
        <v>206</v>
      </c>
      <c r="B213" s="15">
        <v>45418</v>
      </c>
      <c r="C213" s="15">
        <v>45418</v>
      </c>
      <c r="D213" s="16" t="s">
        <v>1192</v>
      </c>
      <c r="E213" s="16" t="s">
        <v>1193</v>
      </c>
      <c r="F213" s="16" t="s">
        <v>1343</v>
      </c>
      <c r="G213" s="16" t="s">
        <v>1197</v>
      </c>
      <c r="H213" s="14" t="str">
        <f>"20240506/272736"</f>
        <v>20240506/272736</v>
      </c>
      <c r="I213" s="19" t="str">
        <f t="shared" si="19"/>
        <v> </v>
      </c>
      <c r="J213" s="18">
        <v>0</v>
      </c>
      <c r="K213" s="18">
        <v>272385.93</v>
      </c>
      <c r="L213" s="18">
        <v>942298.49</v>
      </c>
    </row>
    <row r="214" spans="1:13" ht="15" thickBot="1" x14ac:dyDescent="0.35">
      <c r="A214" s="14">
        <v>207</v>
      </c>
      <c r="B214" s="15">
        <v>45418</v>
      </c>
      <c r="C214" s="15">
        <v>45418</v>
      </c>
      <c r="D214" s="16" t="s">
        <v>1192</v>
      </c>
      <c r="E214" s="16" t="s">
        <v>1193</v>
      </c>
      <c r="F214" s="16" t="s">
        <v>1344</v>
      </c>
      <c r="G214" s="16" t="s">
        <v>1197</v>
      </c>
      <c r="H214" s="14" t="str">
        <f>"20240506/272737"</f>
        <v>20240506/272737</v>
      </c>
      <c r="I214" s="19" t="str">
        <f t="shared" si="19"/>
        <v> </v>
      </c>
      <c r="J214" s="18">
        <v>0</v>
      </c>
      <c r="K214" s="18">
        <v>25755.45</v>
      </c>
      <c r="L214" s="18">
        <v>916543.04</v>
      </c>
    </row>
    <row r="215" spans="1:13" ht="15" thickBot="1" x14ac:dyDescent="0.35">
      <c r="A215" s="14">
        <v>208</v>
      </c>
      <c r="B215" s="15">
        <v>45418</v>
      </c>
      <c r="C215" s="15">
        <v>45419</v>
      </c>
      <c r="D215" s="16" t="s">
        <v>1192</v>
      </c>
      <c r="E215" s="16" t="s">
        <v>1193</v>
      </c>
      <c r="F215" s="16" t="s">
        <v>1345</v>
      </c>
      <c r="G215" s="16" t="s">
        <v>1197</v>
      </c>
      <c r="H215" s="14" t="str">
        <f>"20240506/341813"</f>
        <v>20240506/341813</v>
      </c>
      <c r="I215" s="19" t="str">
        <f>"2405001181682"</f>
        <v>2405001181682</v>
      </c>
      <c r="J215" s="18">
        <v>34908</v>
      </c>
      <c r="K215" s="18">
        <v>0</v>
      </c>
      <c r="L215" s="18">
        <v>951451.04</v>
      </c>
    </row>
    <row r="216" spans="1:13" ht="15" thickBot="1" x14ac:dyDescent="0.35">
      <c r="A216" s="14">
        <v>209</v>
      </c>
      <c r="B216" s="15">
        <v>45419</v>
      </c>
      <c r="C216" s="15">
        <v>45419</v>
      </c>
      <c r="D216" s="16" t="s">
        <v>1346</v>
      </c>
      <c r="E216" s="16" t="s">
        <v>1347</v>
      </c>
      <c r="F216" s="16" t="s">
        <v>1249</v>
      </c>
      <c r="G216" s="16" t="s">
        <v>1195</v>
      </c>
      <c r="H216" s="14" t="str">
        <f>"20240507/131256"</f>
        <v>20240507/131256</v>
      </c>
      <c r="I216" s="17" t="str">
        <f t="shared" ref="I216:I224" si="20">" "</f>
        <v> </v>
      </c>
      <c r="J216" s="18">
        <v>0</v>
      </c>
      <c r="K216" s="18">
        <v>363.75</v>
      </c>
      <c r="L216" s="18">
        <v>951087.29</v>
      </c>
      <c r="M216" t="s">
        <v>2661</v>
      </c>
    </row>
    <row r="217" spans="1:13" ht="15" thickBot="1" x14ac:dyDescent="0.35">
      <c r="A217" s="14">
        <v>210</v>
      </c>
      <c r="B217" s="15">
        <v>45419</v>
      </c>
      <c r="C217" s="15">
        <v>45419</v>
      </c>
      <c r="D217" s="16" t="s">
        <v>1192</v>
      </c>
      <c r="E217" s="16" t="s">
        <v>1193</v>
      </c>
      <c r="F217" s="16" t="s">
        <v>1194</v>
      </c>
      <c r="G217" s="16" t="s">
        <v>1195</v>
      </c>
      <c r="H217" s="14" t="str">
        <f>"20240507/105049"</f>
        <v>20240507/105049</v>
      </c>
      <c r="I217" s="17" t="str">
        <f t="shared" si="20"/>
        <v> </v>
      </c>
      <c r="J217" s="18">
        <v>0</v>
      </c>
      <c r="K217" s="18">
        <v>14240.93</v>
      </c>
      <c r="L217" s="18">
        <v>936846.36</v>
      </c>
      <c r="M217" t="s">
        <v>2661</v>
      </c>
    </row>
    <row r="218" spans="1:13" ht="15" thickBot="1" x14ac:dyDescent="0.35">
      <c r="A218" s="14">
        <v>211</v>
      </c>
      <c r="B218" s="15">
        <v>45419</v>
      </c>
      <c r="C218" s="15">
        <v>45419</v>
      </c>
      <c r="D218" s="16" t="s">
        <v>1192</v>
      </c>
      <c r="E218" s="16" t="s">
        <v>1193</v>
      </c>
      <c r="F218" s="16" t="s">
        <v>1194</v>
      </c>
      <c r="G218" s="16" t="s">
        <v>1195</v>
      </c>
      <c r="H218" s="14" t="str">
        <f>"20240507/35945"</f>
        <v>20240507/35945</v>
      </c>
      <c r="I218" s="17" t="str">
        <f t="shared" si="20"/>
        <v> </v>
      </c>
      <c r="J218" s="18">
        <v>0</v>
      </c>
      <c r="K218" s="18">
        <v>217.47</v>
      </c>
      <c r="L218" s="18">
        <v>936628.89</v>
      </c>
      <c r="M218" t="s">
        <v>2661</v>
      </c>
    </row>
    <row r="219" spans="1:13" ht="15" thickBot="1" x14ac:dyDescent="0.35">
      <c r="A219" s="14">
        <v>212</v>
      </c>
      <c r="B219" s="15">
        <v>45419</v>
      </c>
      <c r="C219" s="15">
        <v>45419</v>
      </c>
      <c r="D219" s="16" t="s">
        <v>1192</v>
      </c>
      <c r="E219" s="16" t="s">
        <v>1193</v>
      </c>
      <c r="F219" s="16" t="s">
        <v>1348</v>
      </c>
      <c r="G219" s="16" t="s">
        <v>1197</v>
      </c>
      <c r="H219" s="14" t="str">
        <f>"20240507/131400"</f>
        <v>20240507/131400</v>
      </c>
      <c r="I219" s="19" t="str">
        <f t="shared" si="20"/>
        <v> </v>
      </c>
      <c r="J219" s="18">
        <v>217.47</v>
      </c>
      <c r="K219" s="18">
        <v>0</v>
      </c>
      <c r="L219" s="18">
        <v>936846.36</v>
      </c>
      <c r="M219" t="s">
        <v>2658</v>
      </c>
    </row>
    <row r="220" spans="1:13" ht="15" thickBot="1" x14ac:dyDescent="0.35">
      <c r="A220" s="14">
        <v>213</v>
      </c>
      <c r="B220" s="15">
        <v>45419</v>
      </c>
      <c r="C220" s="15">
        <v>45419</v>
      </c>
      <c r="D220" s="16" t="s">
        <v>1192</v>
      </c>
      <c r="E220" s="16" t="s">
        <v>1193</v>
      </c>
      <c r="F220" s="16" t="s">
        <v>1349</v>
      </c>
      <c r="G220" s="16" t="s">
        <v>1197</v>
      </c>
      <c r="H220" s="14" t="str">
        <f>"20240507/171574"</f>
        <v>20240507/171574</v>
      </c>
      <c r="I220" s="19" t="str">
        <f t="shared" si="20"/>
        <v> </v>
      </c>
      <c r="J220" s="18">
        <v>284557.3</v>
      </c>
      <c r="K220" s="18">
        <v>0</v>
      </c>
      <c r="L220" s="18">
        <v>1221403.6599999999</v>
      </c>
    </row>
    <row r="221" spans="1:13" ht="15" thickBot="1" x14ac:dyDescent="0.35">
      <c r="A221" s="14">
        <v>214</v>
      </c>
      <c r="B221" s="15">
        <v>45419</v>
      </c>
      <c r="C221" s="15">
        <v>45419</v>
      </c>
      <c r="D221" s="16" t="s">
        <v>1192</v>
      </c>
      <c r="E221" s="16" t="s">
        <v>1193</v>
      </c>
      <c r="F221" s="16" t="s">
        <v>1350</v>
      </c>
      <c r="G221" s="16" t="s">
        <v>1197</v>
      </c>
      <c r="H221" s="14" t="str">
        <f>"20240507/171575"</f>
        <v>20240507/171575</v>
      </c>
      <c r="I221" s="19" t="str">
        <f t="shared" si="20"/>
        <v> </v>
      </c>
      <c r="J221" s="18">
        <v>35624.449999999997</v>
      </c>
      <c r="K221" s="18">
        <v>0</v>
      </c>
      <c r="L221" s="18">
        <v>1257028.1100000001</v>
      </c>
    </row>
    <row r="222" spans="1:13" ht="15" thickBot="1" x14ac:dyDescent="0.35">
      <c r="A222" s="14">
        <v>215</v>
      </c>
      <c r="B222" s="15">
        <v>45419</v>
      </c>
      <c r="C222" s="15">
        <v>45419</v>
      </c>
      <c r="D222" s="16" t="s">
        <v>1192</v>
      </c>
      <c r="E222" s="16" t="s">
        <v>1193</v>
      </c>
      <c r="F222" s="16" t="s">
        <v>1351</v>
      </c>
      <c r="G222" s="16" t="s">
        <v>1197</v>
      </c>
      <c r="H222" s="14" t="str">
        <f>"20240507/229512"</f>
        <v>20240507/229512</v>
      </c>
      <c r="I222" s="19" t="str">
        <f t="shared" si="20"/>
        <v> </v>
      </c>
      <c r="J222" s="18">
        <v>0</v>
      </c>
      <c r="K222" s="18">
        <v>20544.8</v>
      </c>
      <c r="L222" s="18">
        <v>1236483.31</v>
      </c>
    </row>
    <row r="223" spans="1:13" ht="15" thickBot="1" x14ac:dyDescent="0.35">
      <c r="A223" s="14">
        <v>216</v>
      </c>
      <c r="B223" s="15">
        <v>45419</v>
      </c>
      <c r="C223" s="15">
        <v>45419</v>
      </c>
      <c r="D223" s="16" t="s">
        <v>1192</v>
      </c>
      <c r="E223" s="16" t="s">
        <v>1193</v>
      </c>
      <c r="F223" s="16" t="s">
        <v>1352</v>
      </c>
      <c r="G223" s="16" t="s">
        <v>1197</v>
      </c>
      <c r="H223" s="14" t="str">
        <f>"20240507/229513"</f>
        <v>20240507/229513</v>
      </c>
      <c r="I223" s="19" t="str">
        <f t="shared" si="20"/>
        <v> </v>
      </c>
      <c r="J223" s="18">
        <v>0</v>
      </c>
      <c r="K223" s="18">
        <v>285396.02</v>
      </c>
      <c r="L223" s="18">
        <v>951087.29</v>
      </c>
    </row>
    <row r="224" spans="1:13" ht="15" thickBot="1" x14ac:dyDescent="0.35">
      <c r="A224" s="14">
        <v>217</v>
      </c>
      <c r="B224" s="15">
        <v>45419</v>
      </c>
      <c r="C224" s="15">
        <v>45420</v>
      </c>
      <c r="D224" s="16" t="s">
        <v>1346</v>
      </c>
      <c r="E224" s="16" t="s">
        <v>1347</v>
      </c>
      <c r="F224" s="16" t="s">
        <v>1353</v>
      </c>
      <c r="G224" s="16" t="s">
        <v>1197</v>
      </c>
      <c r="H224" s="14" t="str">
        <f>"20240507/290517"</f>
        <v>20240507/290517</v>
      </c>
      <c r="I224" s="19" t="str">
        <f t="shared" si="20"/>
        <v> </v>
      </c>
      <c r="J224" s="18">
        <v>363.75</v>
      </c>
      <c r="K224" s="18">
        <v>0</v>
      </c>
      <c r="L224" s="18">
        <v>951451.04</v>
      </c>
    </row>
    <row r="225" spans="1:13" ht="15" thickBot="1" x14ac:dyDescent="0.35">
      <c r="A225" s="14">
        <v>218</v>
      </c>
      <c r="B225" s="15">
        <v>45419</v>
      </c>
      <c r="C225" s="15">
        <v>45420</v>
      </c>
      <c r="D225" s="16" t="s">
        <v>1192</v>
      </c>
      <c r="E225" s="16" t="s">
        <v>1193</v>
      </c>
      <c r="F225" s="16" t="s">
        <v>1354</v>
      </c>
      <c r="G225" s="16" t="s">
        <v>1197</v>
      </c>
      <c r="H225" s="14" t="str">
        <f>"20240507/339948"</f>
        <v>20240507/339948</v>
      </c>
      <c r="I225" s="19" t="str">
        <f>"2405001591424"</f>
        <v>2405001591424</v>
      </c>
      <c r="J225" s="18">
        <v>0</v>
      </c>
      <c r="K225" s="18">
        <v>9709.5300000000007</v>
      </c>
      <c r="L225" s="18">
        <v>941741.51</v>
      </c>
    </row>
    <row r="226" spans="1:13" ht="15" thickBot="1" x14ac:dyDescent="0.35">
      <c r="A226" s="14">
        <v>219</v>
      </c>
      <c r="B226" s="15">
        <v>45419</v>
      </c>
      <c r="C226" s="15">
        <v>45420</v>
      </c>
      <c r="D226" s="16" t="s">
        <v>1192</v>
      </c>
      <c r="E226" s="16" t="s">
        <v>1193</v>
      </c>
      <c r="F226" s="16" t="s">
        <v>1355</v>
      </c>
      <c r="G226" s="16" t="s">
        <v>1197</v>
      </c>
      <c r="H226" s="14" t="str">
        <f>"20240507/339949"</f>
        <v>20240507/339949</v>
      </c>
      <c r="I226" s="19" t="str">
        <f>"2405001591424"</f>
        <v>2405001591424</v>
      </c>
      <c r="J226" s="18">
        <v>9961.86</v>
      </c>
      <c r="K226" s="18">
        <v>0</v>
      </c>
      <c r="L226" s="18">
        <v>951703.37</v>
      </c>
    </row>
    <row r="227" spans="1:13" ht="15" thickBot="1" x14ac:dyDescent="0.35">
      <c r="A227" s="14">
        <v>220</v>
      </c>
      <c r="B227" s="15">
        <v>45420</v>
      </c>
      <c r="C227" s="15">
        <v>45420</v>
      </c>
      <c r="D227" s="16" t="s">
        <v>1192</v>
      </c>
      <c r="E227" s="16" t="s">
        <v>1193</v>
      </c>
      <c r="F227" s="16" t="s">
        <v>1204</v>
      </c>
      <c r="G227" s="16" t="s">
        <v>1203</v>
      </c>
      <c r="H227" s="14" t="str">
        <f>"20240508/14215"</f>
        <v>20240508/14215</v>
      </c>
      <c r="I227" s="17" t="str">
        <f t="shared" ref="I227:I241" si="21">" "</f>
        <v> </v>
      </c>
      <c r="J227" s="18">
        <v>9709.5300000000007</v>
      </c>
      <c r="K227" s="18">
        <v>0</v>
      </c>
      <c r="L227" s="18">
        <v>961412.9</v>
      </c>
      <c r="M227" t="s">
        <v>2661</v>
      </c>
    </row>
    <row r="228" spans="1:13" ht="15" thickBot="1" x14ac:dyDescent="0.35">
      <c r="A228" s="14">
        <v>221</v>
      </c>
      <c r="B228" s="15">
        <v>45420</v>
      </c>
      <c r="C228" s="15">
        <v>45420</v>
      </c>
      <c r="D228" s="16" t="s">
        <v>1192</v>
      </c>
      <c r="E228" s="16" t="s">
        <v>1193</v>
      </c>
      <c r="F228" s="16" t="s">
        <v>1194</v>
      </c>
      <c r="G228" s="16" t="s">
        <v>1195</v>
      </c>
      <c r="H228" s="14" t="str">
        <f>"20240508/34569"</f>
        <v>20240508/34569</v>
      </c>
      <c r="I228" s="17" t="str">
        <f t="shared" si="21"/>
        <v> </v>
      </c>
      <c r="J228" s="18">
        <v>0</v>
      </c>
      <c r="K228" s="18">
        <v>224.84</v>
      </c>
      <c r="L228" s="18">
        <v>961188.06</v>
      </c>
      <c r="M228" t="s">
        <v>2661</v>
      </c>
    </row>
    <row r="229" spans="1:13" ht="15" thickBot="1" x14ac:dyDescent="0.35">
      <c r="A229" s="14">
        <v>222</v>
      </c>
      <c r="B229" s="15">
        <v>45420</v>
      </c>
      <c r="C229" s="15">
        <v>45420</v>
      </c>
      <c r="D229" s="16" t="s">
        <v>1192</v>
      </c>
      <c r="E229" s="16" t="s">
        <v>1193</v>
      </c>
      <c r="F229" s="16" t="s">
        <v>1194</v>
      </c>
      <c r="G229" s="16" t="s">
        <v>1195</v>
      </c>
      <c r="H229" s="14" t="str">
        <f>"20240508/94261"</f>
        <v>20240508/94261</v>
      </c>
      <c r="I229" s="17" t="str">
        <f t="shared" si="21"/>
        <v> </v>
      </c>
      <c r="J229" s="18">
        <v>0</v>
      </c>
      <c r="K229" s="18">
        <v>7.69</v>
      </c>
      <c r="L229" s="18">
        <v>961180.37</v>
      </c>
      <c r="M229" t="s">
        <v>2661</v>
      </c>
    </row>
    <row r="230" spans="1:13" ht="15" thickBot="1" x14ac:dyDescent="0.35">
      <c r="A230" s="14">
        <v>223</v>
      </c>
      <c r="B230" s="15">
        <v>45420</v>
      </c>
      <c r="C230" s="15">
        <v>45420</v>
      </c>
      <c r="D230" s="16" t="s">
        <v>1192</v>
      </c>
      <c r="E230" s="16" t="s">
        <v>1193</v>
      </c>
      <c r="F230" s="16" t="s">
        <v>1356</v>
      </c>
      <c r="G230" s="16" t="s">
        <v>1197</v>
      </c>
      <c r="H230" s="14" t="str">
        <f>"20240508/124218"</f>
        <v>20240508/124218</v>
      </c>
      <c r="I230" s="19" t="str">
        <f t="shared" si="21"/>
        <v> </v>
      </c>
      <c r="J230" s="18">
        <v>224.84</v>
      </c>
      <c r="K230" s="18">
        <v>0</v>
      </c>
      <c r="L230" s="18">
        <v>961405.21</v>
      </c>
      <c r="M230" t="s">
        <v>2658</v>
      </c>
    </row>
    <row r="231" spans="1:13" ht="15" thickBot="1" x14ac:dyDescent="0.35">
      <c r="A231" s="14">
        <v>224</v>
      </c>
      <c r="B231" s="15">
        <v>45420</v>
      </c>
      <c r="C231" s="15">
        <v>45420</v>
      </c>
      <c r="D231" s="16" t="s">
        <v>1192</v>
      </c>
      <c r="E231" s="16" t="s">
        <v>1193</v>
      </c>
      <c r="F231" s="16" t="s">
        <v>1357</v>
      </c>
      <c r="G231" s="16" t="s">
        <v>1197</v>
      </c>
      <c r="H231" s="14" t="str">
        <f>"20240508/142230"</f>
        <v>20240508/142230</v>
      </c>
      <c r="I231" s="19" t="str">
        <f t="shared" si="21"/>
        <v> </v>
      </c>
      <c r="J231" s="18">
        <v>35444.400000000001</v>
      </c>
      <c r="K231" s="18">
        <v>0</v>
      </c>
      <c r="L231" s="18">
        <v>996849.61</v>
      </c>
    </row>
    <row r="232" spans="1:13" ht="15" thickBot="1" x14ac:dyDescent="0.35">
      <c r="A232" s="14">
        <v>225</v>
      </c>
      <c r="B232" s="15">
        <v>45420</v>
      </c>
      <c r="C232" s="15">
        <v>45420</v>
      </c>
      <c r="D232" s="16" t="s">
        <v>1192</v>
      </c>
      <c r="E232" s="16" t="s">
        <v>1193</v>
      </c>
      <c r="F232" s="16" t="s">
        <v>1358</v>
      </c>
      <c r="G232" s="16" t="s">
        <v>1197</v>
      </c>
      <c r="H232" s="14" t="str">
        <f>"20240508/142231"</f>
        <v>20240508/142231</v>
      </c>
      <c r="I232" s="19" t="str">
        <f t="shared" si="21"/>
        <v> </v>
      </c>
      <c r="J232" s="18">
        <v>284745.03999999998</v>
      </c>
      <c r="K232" s="18">
        <v>0</v>
      </c>
      <c r="L232" s="18">
        <v>1281594.6499999999</v>
      </c>
    </row>
    <row r="233" spans="1:13" ht="15" thickBot="1" x14ac:dyDescent="0.35">
      <c r="A233" s="14">
        <v>226</v>
      </c>
      <c r="B233" s="15">
        <v>45420</v>
      </c>
      <c r="C233" s="15">
        <v>45420</v>
      </c>
      <c r="D233" s="16" t="s">
        <v>1192</v>
      </c>
      <c r="E233" s="16" t="s">
        <v>1193</v>
      </c>
      <c r="F233" s="16" t="s">
        <v>1359</v>
      </c>
      <c r="G233" s="16" t="s">
        <v>1197</v>
      </c>
      <c r="H233" s="14" t="str">
        <f>"20240508/221252"</f>
        <v>20240508/221252</v>
      </c>
      <c r="I233" s="19" t="str">
        <f t="shared" si="21"/>
        <v> </v>
      </c>
      <c r="J233" s="18">
        <v>0</v>
      </c>
      <c r="K233" s="18">
        <v>284557.3</v>
      </c>
      <c r="L233" s="18">
        <v>997037.35</v>
      </c>
    </row>
    <row r="234" spans="1:13" ht="15" thickBot="1" x14ac:dyDescent="0.35">
      <c r="A234" s="14">
        <v>227</v>
      </c>
      <c r="B234" s="15">
        <v>45420</v>
      </c>
      <c r="C234" s="15">
        <v>45420</v>
      </c>
      <c r="D234" s="16" t="s">
        <v>1192</v>
      </c>
      <c r="E234" s="16" t="s">
        <v>1193</v>
      </c>
      <c r="F234" s="16" t="s">
        <v>1360</v>
      </c>
      <c r="G234" s="16" t="s">
        <v>1197</v>
      </c>
      <c r="H234" s="14" t="str">
        <f>"20240508/221253"</f>
        <v>20240508/221253</v>
      </c>
      <c r="I234" s="19" t="str">
        <f t="shared" si="21"/>
        <v> </v>
      </c>
      <c r="J234" s="18">
        <v>0</v>
      </c>
      <c r="K234" s="18">
        <v>35624.449999999997</v>
      </c>
      <c r="L234" s="18">
        <v>961412.9</v>
      </c>
    </row>
    <row r="235" spans="1:13" ht="15" thickBot="1" x14ac:dyDescent="0.35">
      <c r="A235" s="14">
        <v>228</v>
      </c>
      <c r="B235" s="15">
        <v>45421</v>
      </c>
      <c r="C235" s="15">
        <v>45421</v>
      </c>
      <c r="D235" s="16" t="s">
        <v>1192</v>
      </c>
      <c r="E235" s="16" t="s">
        <v>1193</v>
      </c>
      <c r="F235" s="16" t="s">
        <v>1194</v>
      </c>
      <c r="G235" s="16" t="s">
        <v>1195</v>
      </c>
      <c r="H235" s="14" t="str">
        <f>"20240509/111387"</f>
        <v>20240509/111387</v>
      </c>
      <c r="I235" s="17" t="str">
        <f t="shared" si="21"/>
        <v> </v>
      </c>
      <c r="J235" s="18">
        <v>0</v>
      </c>
      <c r="K235" s="18">
        <v>20481.04</v>
      </c>
      <c r="L235" s="18">
        <v>940931.86</v>
      </c>
      <c r="M235" t="s">
        <v>2661</v>
      </c>
    </row>
    <row r="236" spans="1:13" ht="15" thickBot="1" x14ac:dyDescent="0.35">
      <c r="A236" s="14">
        <v>229</v>
      </c>
      <c r="B236" s="15">
        <v>45421</v>
      </c>
      <c r="C236" s="15">
        <v>45421</v>
      </c>
      <c r="D236" s="16" t="s">
        <v>1192</v>
      </c>
      <c r="E236" s="16" t="s">
        <v>1193</v>
      </c>
      <c r="F236" s="16" t="s">
        <v>1194</v>
      </c>
      <c r="G236" s="16" t="s">
        <v>1195</v>
      </c>
      <c r="H236" s="14" t="str">
        <f>"20240509/5093"</f>
        <v>20240509/5093</v>
      </c>
      <c r="I236" s="17" t="str">
        <f t="shared" si="21"/>
        <v> </v>
      </c>
      <c r="J236" s="18">
        <v>0</v>
      </c>
      <c r="K236" s="18">
        <v>228.38</v>
      </c>
      <c r="L236" s="18">
        <v>940703.48</v>
      </c>
      <c r="M236" t="s">
        <v>2661</v>
      </c>
    </row>
    <row r="237" spans="1:13" ht="15" thickBot="1" x14ac:dyDescent="0.35">
      <c r="A237" s="14">
        <v>230</v>
      </c>
      <c r="B237" s="15">
        <v>45421</v>
      </c>
      <c r="C237" s="15">
        <v>45421</v>
      </c>
      <c r="D237" s="16" t="s">
        <v>1192</v>
      </c>
      <c r="E237" s="16" t="s">
        <v>1193</v>
      </c>
      <c r="F237" s="16" t="s">
        <v>1361</v>
      </c>
      <c r="G237" s="16" t="s">
        <v>1197</v>
      </c>
      <c r="H237" s="14" t="str">
        <f>"20240509/110749"</f>
        <v>20240509/110749</v>
      </c>
      <c r="I237" s="19" t="str">
        <f t="shared" si="21"/>
        <v> </v>
      </c>
      <c r="J237" s="18">
        <v>228.38</v>
      </c>
      <c r="K237" s="18">
        <v>0</v>
      </c>
      <c r="L237" s="18">
        <v>940931.86</v>
      </c>
      <c r="M237" t="s">
        <v>2658</v>
      </c>
    </row>
    <row r="238" spans="1:13" ht="15" thickBot="1" x14ac:dyDescent="0.35">
      <c r="A238" s="14">
        <v>231</v>
      </c>
      <c r="B238" s="15">
        <v>45421</v>
      </c>
      <c r="C238" s="15">
        <v>45421</v>
      </c>
      <c r="D238" s="16" t="s">
        <v>1192</v>
      </c>
      <c r="E238" s="16" t="s">
        <v>1193</v>
      </c>
      <c r="F238" s="16" t="s">
        <v>1362</v>
      </c>
      <c r="G238" s="16" t="s">
        <v>1197</v>
      </c>
      <c r="H238" s="14" t="str">
        <f>"20240509/172601"</f>
        <v>20240509/172601</v>
      </c>
      <c r="I238" s="19" t="str">
        <f t="shared" si="21"/>
        <v> </v>
      </c>
      <c r="J238" s="18">
        <v>48682.15</v>
      </c>
      <c r="K238" s="18">
        <v>0</v>
      </c>
      <c r="L238" s="18">
        <v>989614.01</v>
      </c>
    </row>
    <row r="239" spans="1:13" ht="15" thickBot="1" x14ac:dyDescent="0.35">
      <c r="A239" s="14">
        <v>232</v>
      </c>
      <c r="B239" s="15">
        <v>45421</v>
      </c>
      <c r="C239" s="15">
        <v>45421</v>
      </c>
      <c r="D239" s="16" t="s">
        <v>1192</v>
      </c>
      <c r="E239" s="16" t="s">
        <v>1193</v>
      </c>
      <c r="F239" s="16" t="s">
        <v>1363</v>
      </c>
      <c r="G239" s="16" t="s">
        <v>1197</v>
      </c>
      <c r="H239" s="14" t="str">
        <f>"20240509/172602"</f>
        <v>20240509/172602</v>
      </c>
      <c r="I239" s="19" t="str">
        <f t="shared" si="21"/>
        <v> </v>
      </c>
      <c r="J239" s="18">
        <v>291988.33</v>
      </c>
      <c r="K239" s="18">
        <v>0</v>
      </c>
      <c r="L239" s="18">
        <v>1281602.3400000001</v>
      </c>
    </row>
    <row r="240" spans="1:13" ht="15" thickBot="1" x14ac:dyDescent="0.35">
      <c r="A240" s="14">
        <v>233</v>
      </c>
      <c r="B240" s="15">
        <v>45421</v>
      </c>
      <c r="C240" s="15">
        <v>45421</v>
      </c>
      <c r="D240" s="16" t="s">
        <v>1192</v>
      </c>
      <c r="E240" s="16" t="s">
        <v>1193</v>
      </c>
      <c r="F240" s="16" t="s">
        <v>1364</v>
      </c>
      <c r="G240" s="16" t="s">
        <v>1197</v>
      </c>
      <c r="H240" s="14" t="str">
        <f>"20240509/281289"</f>
        <v>20240509/281289</v>
      </c>
      <c r="I240" s="19" t="str">
        <f t="shared" si="21"/>
        <v> </v>
      </c>
      <c r="J240" s="18">
        <v>0</v>
      </c>
      <c r="K240" s="18">
        <v>35444.400000000001</v>
      </c>
      <c r="L240" s="18">
        <v>1246157.94</v>
      </c>
    </row>
    <row r="241" spans="1:13" ht="15" thickBot="1" x14ac:dyDescent="0.35">
      <c r="A241" s="14">
        <v>234</v>
      </c>
      <c r="B241" s="15">
        <v>45421</v>
      </c>
      <c r="C241" s="15">
        <v>45421</v>
      </c>
      <c r="D241" s="16" t="s">
        <v>1192</v>
      </c>
      <c r="E241" s="16" t="s">
        <v>1193</v>
      </c>
      <c r="F241" s="16" t="s">
        <v>1365</v>
      </c>
      <c r="G241" s="16" t="s">
        <v>1197</v>
      </c>
      <c r="H241" s="14" t="str">
        <f>"20240509/281290"</f>
        <v>20240509/281290</v>
      </c>
      <c r="I241" s="19" t="str">
        <f t="shared" si="21"/>
        <v> </v>
      </c>
      <c r="J241" s="18">
        <v>0</v>
      </c>
      <c r="K241" s="18">
        <v>284745.03999999998</v>
      </c>
      <c r="L241" s="18">
        <v>961412.9</v>
      </c>
    </row>
    <row r="242" spans="1:13" ht="15" thickBot="1" x14ac:dyDescent="0.35">
      <c r="A242" s="14">
        <v>235</v>
      </c>
      <c r="B242" s="15">
        <v>45421</v>
      </c>
      <c r="C242" s="15">
        <v>45422</v>
      </c>
      <c r="D242" s="16" t="s">
        <v>1192</v>
      </c>
      <c r="E242" s="16" t="s">
        <v>1193</v>
      </c>
      <c r="F242" s="16" t="s">
        <v>1366</v>
      </c>
      <c r="G242" s="16" t="s">
        <v>1197</v>
      </c>
      <c r="H242" s="14" t="str">
        <f>"20240509/339851"</f>
        <v>20240509/339851</v>
      </c>
      <c r="I242" s="19" t="str">
        <f>"2405002434272"</f>
        <v>2405002434272</v>
      </c>
      <c r="J242" s="18">
        <v>12208.95</v>
      </c>
      <c r="K242" s="18">
        <v>0</v>
      </c>
      <c r="L242" s="18">
        <v>973621.85</v>
      </c>
    </row>
    <row r="243" spans="1:13" ht="15" thickBot="1" x14ac:dyDescent="0.35">
      <c r="A243" s="14">
        <v>236</v>
      </c>
      <c r="B243" s="15">
        <v>45422</v>
      </c>
      <c r="C243" s="15">
        <v>45422</v>
      </c>
      <c r="D243" s="16" t="s">
        <v>1192</v>
      </c>
      <c r="E243" s="16" t="s">
        <v>1193</v>
      </c>
      <c r="F243" s="16" t="s">
        <v>1194</v>
      </c>
      <c r="G243" s="16" t="s">
        <v>1195</v>
      </c>
      <c r="H243" s="14" t="str">
        <f>"20240510/19365"</f>
        <v>20240510/19365</v>
      </c>
      <c r="I243" s="17" t="str">
        <f t="shared" ref="I243:I249" si="22">" "</f>
        <v> </v>
      </c>
      <c r="J243" s="18">
        <v>0</v>
      </c>
      <c r="K243" s="18">
        <v>221.09</v>
      </c>
      <c r="L243" s="18">
        <v>973400.76</v>
      </c>
      <c r="M243" t="s">
        <v>2661</v>
      </c>
    </row>
    <row r="244" spans="1:13" ht="15" thickBot="1" x14ac:dyDescent="0.35">
      <c r="A244" s="14">
        <v>237</v>
      </c>
      <c r="B244" s="15">
        <v>45422</v>
      </c>
      <c r="C244" s="15">
        <v>45422</v>
      </c>
      <c r="D244" s="16" t="s">
        <v>1192</v>
      </c>
      <c r="E244" s="16" t="s">
        <v>1193</v>
      </c>
      <c r="F244" s="16" t="s">
        <v>1249</v>
      </c>
      <c r="G244" s="16" t="s">
        <v>1195</v>
      </c>
      <c r="H244" s="14" t="str">
        <f>"20240510/87174"</f>
        <v>20240510/87174</v>
      </c>
      <c r="I244" s="17" t="str">
        <f t="shared" si="22"/>
        <v> </v>
      </c>
      <c r="J244" s="18">
        <v>0</v>
      </c>
      <c r="K244" s="18">
        <v>6385.72</v>
      </c>
      <c r="L244" s="18">
        <v>967015.04</v>
      </c>
      <c r="M244" t="s">
        <v>2661</v>
      </c>
    </row>
    <row r="245" spans="1:13" ht="15" thickBot="1" x14ac:dyDescent="0.35">
      <c r="A245" s="14">
        <v>238</v>
      </c>
      <c r="B245" s="15">
        <v>45422</v>
      </c>
      <c r="C245" s="15">
        <v>45422</v>
      </c>
      <c r="D245" s="16" t="s">
        <v>1192</v>
      </c>
      <c r="E245" s="16" t="s">
        <v>1193</v>
      </c>
      <c r="F245" s="16" t="s">
        <v>1367</v>
      </c>
      <c r="G245" s="16" t="s">
        <v>1197</v>
      </c>
      <c r="H245" s="14" t="str">
        <f>"20240510/123138"</f>
        <v>20240510/123138</v>
      </c>
      <c r="I245" s="19" t="str">
        <f t="shared" si="22"/>
        <v> </v>
      </c>
      <c r="J245" s="18">
        <v>221.09</v>
      </c>
      <c r="K245" s="18">
        <v>0</v>
      </c>
      <c r="L245" s="18">
        <v>967236.13</v>
      </c>
      <c r="M245" t="s">
        <v>2658</v>
      </c>
    </row>
    <row r="246" spans="1:13" ht="15" thickBot="1" x14ac:dyDescent="0.35">
      <c r="A246" s="14">
        <v>239</v>
      </c>
      <c r="B246" s="15">
        <v>45422</v>
      </c>
      <c r="C246" s="15">
        <v>45422</v>
      </c>
      <c r="D246" s="16" t="s">
        <v>1192</v>
      </c>
      <c r="E246" s="16" t="s">
        <v>1193</v>
      </c>
      <c r="F246" s="16" t="s">
        <v>1368</v>
      </c>
      <c r="G246" s="16" t="s">
        <v>1197</v>
      </c>
      <c r="H246" s="14" t="str">
        <f>"20240510/141808"</f>
        <v>20240510/141808</v>
      </c>
      <c r="I246" s="19" t="str">
        <f t="shared" si="22"/>
        <v> </v>
      </c>
      <c r="J246" s="18">
        <v>39717.1</v>
      </c>
      <c r="K246" s="18">
        <v>0</v>
      </c>
      <c r="L246" s="18">
        <v>1006953.23</v>
      </c>
    </row>
    <row r="247" spans="1:13" ht="15" thickBot="1" x14ac:dyDescent="0.35">
      <c r="A247" s="14">
        <v>240</v>
      </c>
      <c r="B247" s="15">
        <v>45422</v>
      </c>
      <c r="C247" s="15">
        <v>45422</v>
      </c>
      <c r="D247" s="16" t="s">
        <v>1192</v>
      </c>
      <c r="E247" s="16" t="s">
        <v>1193</v>
      </c>
      <c r="F247" s="16" t="s">
        <v>1369</v>
      </c>
      <c r="G247" s="16" t="s">
        <v>1197</v>
      </c>
      <c r="H247" s="14" t="str">
        <f>"20240510/141809"</f>
        <v>20240510/141809</v>
      </c>
      <c r="I247" s="19" t="str">
        <f t="shared" si="22"/>
        <v> </v>
      </c>
      <c r="J247" s="18">
        <v>294416.42</v>
      </c>
      <c r="K247" s="18">
        <v>0</v>
      </c>
      <c r="L247" s="18">
        <v>1301369.6499999999</v>
      </c>
    </row>
    <row r="248" spans="1:13" ht="15" thickBot="1" x14ac:dyDescent="0.35">
      <c r="A248" s="14">
        <v>241</v>
      </c>
      <c r="B248" s="15">
        <v>45422</v>
      </c>
      <c r="C248" s="15">
        <v>45422</v>
      </c>
      <c r="D248" s="16" t="s">
        <v>1192</v>
      </c>
      <c r="E248" s="16" t="s">
        <v>1193</v>
      </c>
      <c r="F248" s="16" t="s">
        <v>1370</v>
      </c>
      <c r="G248" s="16" t="s">
        <v>1197</v>
      </c>
      <c r="H248" s="14" t="str">
        <f>"20240510/231847"</f>
        <v>20240510/231847</v>
      </c>
      <c r="I248" s="19" t="str">
        <f t="shared" si="22"/>
        <v> </v>
      </c>
      <c r="J248" s="18">
        <v>0</v>
      </c>
      <c r="K248" s="18">
        <v>48682.15</v>
      </c>
      <c r="L248" s="18">
        <v>1252687.5</v>
      </c>
    </row>
    <row r="249" spans="1:13" ht="15" thickBot="1" x14ac:dyDescent="0.35">
      <c r="A249" s="14">
        <v>242</v>
      </c>
      <c r="B249" s="15">
        <v>45422</v>
      </c>
      <c r="C249" s="15">
        <v>45422</v>
      </c>
      <c r="D249" s="16" t="s">
        <v>1192</v>
      </c>
      <c r="E249" s="16" t="s">
        <v>1193</v>
      </c>
      <c r="F249" s="16" t="s">
        <v>1371</v>
      </c>
      <c r="G249" s="16" t="s">
        <v>1197</v>
      </c>
      <c r="H249" s="14" t="str">
        <f>"20240510/231848"</f>
        <v>20240510/231848</v>
      </c>
      <c r="I249" s="19" t="str">
        <f t="shared" si="22"/>
        <v> </v>
      </c>
      <c r="J249" s="18">
        <v>0</v>
      </c>
      <c r="K249" s="18">
        <v>291988.33</v>
      </c>
      <c r="L249" s="18">
        <v>960699.17</v>
      </c>
    </row>
    <row r="250" spans="1:13" ht="15" thickBot="1" x14ac:dyDescent="0.35">
      <c r="A250" s="14">
        <v>243</v>
      </c>
      <c r="B250" s="15">
        <v>45422</v>
      </c>
      <c r="C250" s="15">
        <v>45425</v>
      </c>
      <c r="D250" s="16" t="s">
        <v>1192</v>
      </c>
      <c r="E250" s="16" t="s">
        <v>1193</v>
      </c>
      <c r="F250" s="16" t="s">
        <v>1372</v>
      </c>
      <c r="G250" s="16" t="s">
        <v>1197</v>
      </c>
      <c r="H250" s="14" t="str">
        <f>"20240510/325766"</f>
        <v>20240510/325766</v>
      </c>
      <c r="I250" s="19" t="str">
        <f>"2405002860839"</f>
        <v>2405002860839</v>
      </c>
      <c r="J250" s="18">
        <v>6385.72</v>
      </c>
      <c r="K250" s="18">
        <v>0</v>
      </c>
      <c r="L250" s="18">
        <v>967084.89</v>
      </c>
    </row>
    <row r="251" spans="1:13" ht="15" thickBot="1" x14ac:dyDescent="0.35">
      <c r="A251" s="14">
        <v>244</v>
      </c>
      <c r="B251" s="15">
        <v>45425</v>
      </c>
      <c r="C251" s="15">
        <v>45425</v>
      </c>
      <c r="D251" s="16" t="s">
        <v>1192</v>
      </c>
      <c r="E251" s="16" t="s">
        <v>1193</v>
      </c>
      <c r="F251" s="16" t="s">
        <v>1202</v>
      </c>
      <c r="G251" s="16" t="s">
        <v>1203</v>
      </c>
      <c r="H251" s="14" t="str">
        <f>"20240513/20113"</f>
        <v>20240513/20113</v>
      </c>
      <c r="I251" s="17" t="str">
        <f t="shared" ref="I251:I258" si="23">" "</f>
        <v> </v>
      </c>
      <c r="J251" s="18">
        <v>6536.96</v>
      </c>
      <c r="K251" s="18">
        <v>0</v>
      </c>
      <c r="L251" s="18">
        <v>973621.85</v>
      </c>
      <c r="M251" t="s">
        <v>2661</v>
      </c>
    </row>
    <row r="252" spans="1:13" ht="15" thickBot="1" x14ac:dyDescent="0.35">
      <c r="A252" s="14">
        <v>245</v>
      </c>
      <c r="B252" s="15">
        <v>45425</v>
      </c>
      <c r="C252" s="15">
        <v>45425</v>
      </c>
      <c r="D252" s="16" t="s">
        <v>1192</v>
      </c>
      <c r="E252" s="16" t="s">
        <v>1193</v>
      </c>
      <c r="F252" s="16" t="s">
        <v>1194</v>
      </c>
      <c r="G252" s="16" t="s">
        <v>1195</v>
      </c>
      <c r="H252" s="14" t="str">
        <f>"20240513/101794"</f>
        <v>20240513/101794</v>
      </c>
      <c r="I252" s="17" t="str">
        <f t="shared" si="23"/>
        <v> </v>
      </c>
      <c r="J252" s="18">
        <v>0</v>
      </c>
      <c r="K252" s="18">
        <v>9001.43</v>
      </c>
      <c r="L252" s="18">
        <v>964620.42</v>
      </c>
      <c r="M252" t="s">
        <v>2661</v>
      </c>
    </row>
    <row r="253" spans="1:13" ht="15" thickBot="1" x14ac:dyDescent="0.35">
      <c r="A253" s="14">
        <v>246</v>
      </c>
      <c r="B253" s="15">
        <v>45425</v>
      </c>
      <c r="C253" s="15">
        <v>45425</v>
      </c>
      <c r="D253" s="16" t="s">
        <v>1192</v>
      </c>
      <c r="E253" s="16" t="s">
        <v>1193</v>
      </c>
      <c r="F253" s="16" t="s">
        <v>1194</v>
      </c>
      <c r="G253" s="16" t="s">
        <v>1195</v>
      </c>
      <c r="H253" s="14" t="str">
        <f>"20240513/37419"</f>
        <v>20240513/37419</v>
      </c>
      <c r="I253" s="17" t="str">
        <f t="shared" si="23"/>
        <v> </v>
      </c>
      <c r="J253" s="18">
        <v>0</v>
      </c>
      <c r="K253" s="18">
        <v>676.29</v>
      </c>
      <c r="L253" s="18">
        <v>963944.13</v>
      </c>
      <c r="M253" t="s">
        <v>2661</v>
      </c>
    </row>
    <row r="254" spans="1:13" ht="15" thickBot="1" x14ac:dyDescent="0.35">
      <c r="A254" s="14">
        <v>247</v>
      </c>
      <c r="B254" s="15">
        <v>45425</v>
      </c>
      <c r="C254" s="15">
        <v>45425</v>
      </c>
      <c r="D254" s="16" t="s">
        <v>1192</v>
      </c>
      <c r="E254" s="16" t="s">
        <v>1193</v>
      </c>
      <c r="F254" s="16" t="s">
        <v>1373</v>
      </c>
      <c r="G254" s="16" t="s">
        <v>1197</v>
      </c>
      <c r="H254" s="14" t="str">
        <f>"20240513/190340"</f>
        <v>20240513/190340</v>
      </c>
      <c r="I254" s="19" t="str">
        <f t="shared" si="23"/>
        <v> </v>
      </c>
      <c r="J254" s="18">
        <v>34877.449999999997</v>
      </c>
      <c r="K254" s="18">
        <v>0</v>
      </c>
      <c r="L254" s="18">
        <v>998821.58</v>
      </c>
    </row>
    <row r="255" spans="1:13" ht="15" thickBot="1" x14ac:dyDescent="0.35">
      <c r="A255" s="14">
        <v>248</v>
      </c>
      <c r="B255" s="15">
        <v>45425</v>
      </c>
      <c r="C255" s="15">
        <v>45425</v>
      </c>
      <c r="D255" s="16" t="s">
        <v>1192</v>
      </c>
      <c r="E255" s="16" t="s">
        <v>1193</v>
      </c>
      <c r="F255" s="16" t="s">
        <v>1374</v>
      </c>
      <c r="G255" s="16" t="s">
        <v>1197</v>
      </c>
      <c r="H255" s="14" t="str">
        <f>"20240513/190341"</f>
        <v>20240513/190341</v>
      </c>
      <c r="I255" s="19" t="str">
        <f t="shared" si="23"/>
        <v> </v>
      </c>
      <c r="J255" s="18">
        <v>308257.5</v>
      </c>
      <c r="K255" s="18">
        <v>0</v>
      </c>
      <c r="L255" s="18">
        <v>1307079.08</v>
      </c>
    </row>
    <row r="256" spans="1:13" ht="15" thickBot="1" x14ac:dyDescent="0.35">
      <c r="A256" s="14">
        <v>249</v>
      </c>
      <c r="B256" s="15">
        <v>45425</v>
      </c>
      <c r="C256" s="15">
        <v>45425</v>
      </c>
      <c r="D256" s="16" t="s">
        <v>1192</v>
      </c>
      <c r="E256" s="16" t="s">
        <v>1193</v>
      </c>
      <c r="F256" s="16" t="s">
        <v>1375</v>
      </c>
      <c r="G256" s="16" t="s">
        <v>1197</v>
      </c>
      <c r="H256" s="14" t="str">
        <f>"20240513/242472"</f>
        <v>20240513/242472</v>
      </c>
      <c r="I256" s="19" t="str">
        <f t="shared" si="23"/>
        <v> </v>
      </c>
      <c r="J256" s="18">
        <v>0</v>
      </c>
      <c r="K256" s="18">
        <v>39717.1</v>
      </c>
      <c r="L256" s="18">
        <v>1267361.98</v>
      </c>
    </row>
    <row r="257" spans="1:13" ht="15" thickBot="1" x14ac:dyDescent="0.35">
      <c r="A257" s="14">
        <v>250</v>
      </c>
      <c r="B257" s="15">
        <v>45425</v>
      </c>
      <c r="C257" s="15">
        <v>45425</v>
      </c>
      <c r="D257" s="16" t="s">
        <v>1192</v>
      </c>
      <c r="E257" s="16" t="s">
        <v>1193</v>
      </c>
      <c r="F257" s="16" t="s">
        <v>1376</v>
      </c>
      <c r="G257" s="16" t="s">
        <v>1197</v>
      </c>
      <c r="H257" s="14" t="str">
        <f>"20240513/242473"</f>
        <v>20240513/242473</v>
      </c>
      <c r="I257" s="19" t="str">
        <f t="shared" si="23"/>
        <v> </v>
      </c>
      <c r="J257" s="18">
        <v>0</v>
      </c>
      <c r="K257" s="18">
        <v>294416.42</v>
      </c>
      <c r="L257" s="18">
        <v>972945.56</v>
      </c>
    </row>
    <row r="258" spans="1:13" ht="15" thickBot="1" x14ac:dyDescent="0.35">
      <c r="A258" s="14">
        <v>251</v>
      </c>
      <c r="B258" s="15">
        <v>45425</v>
      </c>
      <c r="C258" s="15">
        <v>45425</v>
      </c>
      <c r="D258" s="16" t="s">
        <v>1192</v>
      </c>
      <c r="E258" s="16" t="s">
        <v>1193</v>
      </c>
      <c r="F258" s="16" t="s">
        <v>1377</v>
      </c>
      <c r="G258" s="16" t="s">
        <v>1197</v>
      </c>
      <c r="H258" s="14" t="str">
        <f>"20240513/92393"</f>
        <v>20240513/92393</v>
      </c>
      <c r="I258" s="19" t="str">
        <f t="shared" si="23"/>
        <v> </v>
      </c>
      <c r="J258" s="18">
        <v>676.29</v>
      </c>
      <c r="K258" s="18">
        <v>0</v>
      </c>
      <c r="L258" s="18">
        <v>973621.85</v>
      </c>
      <c r="M258" t="s">
        <v>2658</v>
      </c>
    </row>
    <row r="259" spans="1:13" ht="15" thickBot="1" x14ac:dyDescent="0.35">
      <c r="A259" s="14">
        <v>252</v>
      </c>
      <c r="B259" s="15">
        <v>45425</v>
      </c>
      <c r="C259" s="15">
        <v>45426</v>
      </c>
      <c r="D259" s="16" t="s">
        <v>1192</v>
      </c>
      <c r="E259" s="16" t="s">
        <v>1193</v>
      </c>
      <c r="F259" s="16" t="s">
        <v>1378</v>
      </c>
      <c r="G259" s="16" t="s">
        <v>1197</v>
      </c>
      <c r="H259" s="14" t="str">
        <f>"20240513/336668"</f>
        <v>20240513/336668</v>
      </c>
      <c r="I259" s="19" t="str">
        <f>"2405003280871"</f>
        <v>2405003280871</v>
      </c>
      <c r="J259" s="18">
        <v>44732.55</v>
      </c>
      <c r="K259" s="18">
        <v>0</v>
      </c>
      <c r="L259" s="18">
        <v>1018354.4</v>
      </c>
    </row>
    <row r="260" spans="1:13" ht="15" thickBot="1" x14ac:dyDescent="0.35">
      <c r="A260" s="14">
        <v>253</v>
      </c>
      <c r="B260" s="15">
        <v>45426</v>
      </c>
      <c r="C260" s="15">
        <v>45426</v>
      </c>
      <c r="D260" s="16" t="s">
        <v>1192</v>
      </c>
      <c r="E260" s="16" t="s">
        <v>1193</v>
      </c>
      <c r="F260" s="16" t="s">
        <v>1194</v>
      </c>
      <c r="G260" s="16" t="s">
        <v>1195</v>
      </c>
      <c r="H260" s="14" t="str">
        <f>"20240514/6578"</f>
        <v>20240514/6578</v>
      </c>
      <c r="I260" s="17" t="str">
        <f t="shared" ref="I260:I265" si="24">" "</f>
        <v> </v>
      </c>
      <c r="J260" s="18">
        <v>0</v>
      </c>
      <c r="K260" s="18">
        <v>224.56</v>
      </c>
      <c r="L260" s="18">
        <v>1018129.84</v>
      </c>
      <c r="M260" t="s">
        <v>2661</v>
      </c>
    </row>
    <row r="261" spans="1:13" ht="15" thickBot="1" x14ac:dyDescent="0.35">
      <c r="A261" s="14">
        <v>254</v>
      </c>
      <c r="B261" s="15">
        <v>45426</v>
      </c>
      <c r="C261" s="15">
        <v>45426</v>
      </c>
      <c r="D261" s="16" t="s">
        <v>1192</v>
      </c>
      <c r="E261" s="16" t="s">
        <v>1193</v>
      </c>
      <c r="F261" s="16" t="s">
        <v>1379</v>
      </c>
      <c r="G261" s="16" t="s">
        <v>1197</v>
      </c>
      <c r="H261" s="14" t="str">
        <f>"20240514/112110"</f>
        <v>20240514/112110</v>
      </c>
      <c r="I261" s="19" t="str">
        <f t="shared" si="24"/>
        <v> </v>
      </c>
      <c r="J261" s="18">
        <v>224.56</v>
      </c>
      <c r="K261" s="18">
        <v>0</v>
      </c>
      <c r="L261" s="18">
        <v>1018354.4</v>
      </c>
      <c r="M261" t="s">
        <v>2658</v>
      </c>
    </row>
    <row r="262" spans="1:13" ht="15" thickBot="1" x14ac:dyDescent="0.35">
      <c r="A262" s="14">
        <v>255</v>
      </c>
      <c r="B262" s="15">
        <v>45426</v>
      </c>
      <c r="C262" s="15">
        <v>45426</v>
      </c>
      <c r="D262" s="16" t="s">
        <v>1192</v>
      </c>
      <c r="E262" s="16" t="s">
        <v>1193</v>
      </c>
      <c r="F262" s="16" t="s">
        <v>1380</v>
      </c>
      <c r="G262" s="16" t="s">
        <v>1197</v>
      </c>
      <c r="H262" s="14" t="str">
        <f>"20240514/209822"</f>
        <v>20240514/209822</v>
      </c>
      <c r="I262" s="19" t="str">
        <f t="shared" si="24"/>
        <v> </v>
      </c>
      <c r="J262" s="18">
        <v>29387.9</v>
      </c>
      <c r="K262" s="18">
        <v>0</v>
      </c>
      <c r="L262" s="18">
        <v>1047742.3</v>
      </c>
    </row>
    <row r="263" spans="1:13" ht="15" thickBot="1" x14ac:dyDescent="0.35">
      <c r="A263" s="14">
        <v>256</v>
      </c>
      <c r="B263" s="15">
        <v>45426</v>
      </c>
      <c r="C263" s="15">
        <v>45426</v>
      </c>
      <c r="D263" s="16" t="s">
        <v>1192</v>
      </c>
      <c r="E263" s="16" t="s">
        <v>1193</v>
      </c>
      <c r="F263" s="16" t="s">
        <v>1381</v>
      </c>
      <c r="G263" s="16" t="s">
        <v>1197</v>
      </c>
      <c r="H263" s="14" t="str">
        <f>"20240514/209823"</f>
        <v>20240514/209823</v>
      </c>
      <c r="I263" s="19" t="str">
        <f t="shared" si="24"/>
        <v> </v>
      </c>
      <c r="J263" s="18">
        <v>309891.38</v>
      </c>
      <c r="K263" s="18">
        <v>0</v>
      </c>
      <c r="L263" s="18">
        <v>1357633.68</v>
      </c>
    </row>
    <row r="264" spans="1:13" ht="15" thickBot="1" x14ac:dyDescent="0.35">
      <c r="A264" s="14">
        <v>257</v>
      </c>
      <c r="B264" s="15">
        <v>45426</v>
      </c>
      <c r="C264" s="15">
        <v>45426</v>
      </c>
      <c r="D264" s="16" t="s">
        <v>1192</v>
      </c>
      <c r="E264" s="16" t="s">
        <v>1193</v>
      </c>
      <c r="F264" s="16" t="s">
        <v>1382</v>
      </c>
      <c r="G264" s="16" t="s">
        <v>1197</v>
      </c>
      <c r="H264" s="14" t="str">
        <f>"20240514/239561"</f>
        <v>20240514/239561</v>
      </c>
      <c r="I264" s="19" t="str">
        <f t="shared" si="24"/>
        <v> </v>
      </c>
      <c r="J264" s="18">
        <v>0</v>
      </c>
      <c r="K264" s="18">
        <v>34877.449999999997</v>
      </c>
      <c r="L264" s="18">
        <v>1322756.23</v>
      </c>
    </row>
    <row r="265" spans="1:13" ht="15" thickBot="1" x14ac:dyDescent="0.35">
      <c r="A265" s="14">
        <v>258</v>
      </c>
      <c r="B265" s="15">
        <v>45426</v>
      </c>
      <c r="C265" s="15">
        <v>45426</v>
      </c>
      <c r="D265" s="16" t="s">
        <v>1192</v>
      </c>
      <c r="E265" s="16" t="s">
        <v>1193</v>
      </c>
      <c r="F265" s="16" t="s">
        <v>1383</v>
      </c>
      <c r="G265" s="16" t="s">
        <v>1197</v>
      </c>
      <c r="H265" s="14" t="str">
        <f>"20240514/239562"</f>
        <v>20240514/239562</v>
      </c>
      <c r="I265" s="19" t="str">
        <f t="shared" si="24"/>
        <v> </v>
      </c>
      <c r="J265" s="18">
        <v>0</v>
      </c>
      <c r="K265" s="18">
        <v>308257.5</v>
      </c>
      <c r="L265" s="18">
        <v>1014498.73</v>
      </c>
    </row>
    <row r="266" spans="1:13" ht="15" thickBot="1" x14ac:dyDescent="0.35">
      <c r="A266" s="14">
        <v>259</v>
      </c>
      <c r="B266" s="15">
        <v>45426</v>
      </c>
      <c r="C266" s="15">
        <v>45427</v>
      </c>
      <c r="D266" s="16" t="s">
        <v>1192</v>
      </c>
      <c r="E266" s="16" t="s">
        <v>1193</v>
      </c>
      <c r="F266" s="16" t="s">
        <v>1384</v>
      </c>
      <c r="G266" s="16" t="s">
        <v>1197</v>
      </c>
      <c r="H266" s="14" t="str">
        <f>"20240514/339999"</f>
        <v>20240514/339999</v>
      </c>
      <c r="I266" s="19" t="str">
        <f>"2405003708035"</f>
        <v>2405003708035</v>
      </c>
      <c r="J266" s="18">
        <v>0</v>
      </c>
      <c r="K266" s="18">
        <v>129918.32</v>
      </c>
      <c r="L266" s="18">
        <v>884580.41</v>
      </c>
    </row>
    <row r="267" spans="1:13" ht="15" thickBot="1" x14ac:dyDescent="0.35">
      <c r="A267" s="14">
        <v>260</v>
      </c>
      <c r="B267" s="15">
        <v>45427</v>
      </c>
      <c r="C267" s="15">
        <v>45427</v>
      </c>
      <c r="D267" s="16" t="s">
        <v>1192</v>
      </c>
      <c r="E267" s="16" t="s">
        <v>1193</v>
      </c>
      <c r="F267" s="16" t="s">
        <v>1204</v>
      </c>
      <c r="G267" s="16" t="s">
        <v>1203</v>
      </c>
      <c r="H267" s="14" t="str">
        <f>"20240515/28333"</f>
        <v>20240515/28333</v>
      </c>
      <c r="I267" s="17" t="str">
        <f t="shared" ref="I267:I275" si="25">" "</f>
        <v> </v>
      </c>
      <c r="J267" s="18">
        <v>129918.32</v>
      </c>
      <c r="K267" s="18">
        <v>0</v>
      </c>
      <c r="L267" s="18">
        <v>1014498.73</v>
      </c>
      <c r="M267" t="s">
        <v>2661</v>
      </c>
    </row>
    <row r="268" spans="1:13" ht="15" thickBot="1" x14ac:dyDescent="0.35">
      <c r="A268" s="14">
        <v>261</v>
      </c>
      <c r="B268" s="15">
        <v>45427</v>
      </c>
      <c r="C268" s="15">
        <v>45427</v>
      </c>
      <c r="D268" s="16" t="s">
        <v>1192</v>
      </c>
      <c r="E268" s="16" t="s">
        <v>1193</v>
      </c>
      <c r="F268" s="16" t="s">
        <v>1202</v>
      </c>
      <c r="G268" s="16" t="s">
        <v>1203</v>
      </c>
      <c r="H268" s="14" t="str">
        <f>"20240515/8690"</f>
        <v>20240515/8690</v>
      </c>
      <c r="I268" s="17" t="str">
        <f t="shared" si="25"/>
        <v> </v>
      </c>
      <c r="J268" s="18">
        <v>3855.67</v>
      </c>
      <c r="K268" s="18">
        <v>0</v>
      </c>
      <c r="L268" s="18">
        <v>1018354.4</v>
      </c>
      <c r="M268" t="s">
        <v>2661</v>
      </c>
    </row>
    <row r="269" spans="1:13" ht="15" thickBot="1" x14ac:dyDescent="0.35">
      <c r="A269" s="14">
        <v>262</v>
      </c>
      <c r="B269" s="15">
        <v>45427</v>
      </c>
      <c r="C269" s="15">
        <v>45427</v>
      </c>
      <c r="D269" s="16" t="s">
        <v>1192</v>
      </c>
      <c r="E269" s="16" t="s">
        <v>1193</v>
      </c>
      <c r="F269" s="16" t="s">
        <v>1194</v>
      </c>
      <c r="G269" s="16" t="s">
        <v>1195</v>
      </c>
      <c r="H269" s="14" t="str">
        <f>"20240515/23282"</f>
        <v>20240515/23282</v>
      </c>
      <c r="I269" s="17" t="str">
        <f t="shared" si="25"/>
        <v> </v>
      </c>
      <c r="J269" s="18">
        <v>0</v>
      </c>
      <c r="K269" s="18">
        <v>240.49</v>
      </c>
      <c r="L269" s="18">
        <v>1018113.91</v>
      </c>
      <c r="M269" t="s">
        <v>2661</v>
      </c>
    </row>
    <row r="270" spans="1:13" ht="15" thickBot="1" x14ac:dyDescent="0.35">
      <c r="A270" s="14">
        <v>263</v>
      </c>
      <c r="B270" s="15">
        <v>45427</v>
      </c>
      <c r="C270" s="15">
        <v>45427</v>
      </c>
      <c r="D270" s="16" t="s">
        <v>1192</v>
      </c>
      <c r="E270" s="16" t="s">
        <v>1193</v>
      </c>
      <c r="F270" s="16" t="s">
        <v>1249</v>
      </c>
      <c r="G270" s="16" t="s">
        <v>1195</v>
      </c>
      <c r="H270" s="14" t="str">
        <f>"20240515/83759"</f>
        <v>20240515/83759</v>
      </c>
      <c r="I270" s="17" t="str">
        <f t="shared" si="25"/>
        <v> </v>
      </c>
      <c r="J270" s="18">
        <v>0</v>
      </c>
      <c r="K270" s="18">
        <v>28406.51</v>
      </c>
      <c r="L270" s="18">
        <v>989707.4</v>
      </c>
      <c r="M270" t="s">
        <v>2661</v>
      </c>
    </row>
    <row r="271" spans="1:13" ht="15" thickBot="1" x14ac:dyDescent="0.35">
      <c r="A271" s="14">
        <v>264</v>
      </c>
      <c r="B271" s="15">
        <v>45427</v>
      </c>
      <c r="C271" s="15">
        <v>45427</v>
      </c>
      <c r="D271" s="16" t="s">
        <v>1192</v>
      </c>
      <c r="E271" s="16" t="s">
        <v>1193</v>
      </c>
      <c r="F271" s="16" t="s">
        <v>1385</v>
      </c>
      <c r="G271" s="16" t="s">
        <v>1197</v>
      </c>
      <c r="H271" s="14" t="str">
        <f>"20240515/100960"</f>
        <v>20240515/100960</v>
      </c>
      <c r="I271" s="19" t="str">
        <f t="shared" si="25"/>
        <v> </v>
      </c>
      <c r="J271" s="18">
        <v>240.49</v>
      </c>
      <c r="K271" s="18">
        <v>0</v>
      </c>
      <c r="L271" s="18">
        <v>989947.89</v>
      </c>
      <c r="M271" t="s">
        <v>2658</v>
      </c>
    </row>
    <row r="272" spans="1:13" ht="15" thickBot="1" x14ac:dyDescent="0.35">
      <c r="A272" s="14">
        <v>265</v>
      </c>
      <c r="B272" s="15">
        <v>45427</v>
      </c>
      <c r="C272" s="15">
        <v>45427</v>
      </c>
      <c r="D272" s="16" t="s">
        <v>1192</v>
      </c>
      <c r="E272" s="16" t="s">
        <v>1193</v>
      </c>
      <c r="F272" s="16" t="s">
        <v>1386</v>
      </c>
      <c r="G272" s="16" t="s">
        <v>1197</v>
      </c>
      <c r="H272" s="14" t="str">
        <f>"20240515/148687"</f>
        <v>20240515/148687</v>
      </c>
      <c r="I272" s="19" t="str">
        <f t="shared" si="25"/>
        <v> </v>
      </c>
      <c r="J272" s="18">
        <v>306269.7</v>
      </c>
      <c r="K272" s="18">
        <v>0</v>
      </c>
      <c r="L272" s="18">
        <v>1296217.5900000001</v>
      </c>
    </row>
    <row r="273" spans="1:13" ht="15" thickBot="1" x14ac:dyDescent="0.35">
      <c r="A273" s="14">
        <v>266</v>
      </c>
      <c r="B273" s="15">
        <v>45427</v>
      </c>
      <c r="C273" s="15">
        <v>45427</v>
      </c>
      <c r="D273" s="16" t="s">
        <v>1192</v>
      </c>
      <c r="E273" s="16" t="s">
        <v>1193</v>
      </c>
      <c r="F273" s="16" t="s">
        <v>1387</v>
      </c>
      <c r="G273" s="16" t="s">
        <v>1197</v>
      </c>
      <c r="H273" s="14" t="str">
        <f>"20240515/148688"</f>
        <v>20240515/148688</v>
      </c>
      <c r="I273" s="19" t="str">
        <f t="shared" si="25"/>
        <v> </v>
      </c>
      <c r="J273" s="18">
        <v>32534.799999999999</v>
      </c>
      <c r="K273" s="18">
        <v>0</v>
      </c>
      <c r="L273" s="18">
        <v>1328752.3899999999</v>
      </c>
    </row>
    <row r="274" spans="1:13" ht="15" thickBot="1" x14ac:dyDescent="0.35">
      <c r="A274" s="14">
        <v>267</v>
      </c>
      <c r="B274" s="15">
        <v>45427</v>
      </c>
      <c r="C274" s="15">
        <v>45427</v>
      </c>
      <c r="D274" s="16" t="s">
        <v>1192</v>
      </c>
      <c r="E274" s="16" t="s">
        <v>1193</v>
      </c>
      <c r="F274" s="16" t="s">
        <v>1388</v>
      </c>
      <c r="G274" s="16" t="s">
        <v>1197</v>
      </c>
      <c r="H274" s="14" t="str">
        <f>"20240515/241907"</f>
        <v>20240515/241907</v>
      </c>
      <c r="I274" s="19" t="str">
        <f t="shared" si="25"/>
        <v> </v>
      </c>
      <c r="J274" s="18">
        <v>0</v>
      </c>
      <c r="K274" s="18">
        <v>29387.9</v>
      </c>
      <c r="L274" s="18">
        <v>1299364.49</v>
      </c>
    </row>
    <row r="275" spans="1:13" ht="15" thickBot="1" x14ac:dyDescent="0.35">
      <c r="A275" s="14">
        <v>268</v>
      </c>
      <c r="B275" s="15">
        <v>45427</v>
      </c>
      <c r="C275" s="15">
        <v>45427</v>
      </c>
      <c r="D275" s="16" t="s">
        <v>1192</v>
      </c>
      <c r="E275" s="16" t="s">
        <v>1193</v>
      </c>
      <c r="F275" s="16" t="s">
        <v>1389</v>
      </c>
      <c r="G275" s="16" t="s">
        <v>1197</v>
      </c>
      <c r="H275" s="14" t="str">
        <f>"20240515/241908"</f>
        <v>20240515/241908</v>
      </c>
      <c r="I275" s="19" t="str">
        <f t="shared" si="25"/>
        <v> </v>
      </c>
      <c r="J275" s="18">
        <v>0</v>
      </c>
      <c r="K275" s="18">
        <v>309891.38</v>
      </c>
      <c r="L275" s="18">
        <v>989473.11</v>
      </c>
    </row>
    <row r="276" spans="1:13" ht="15" thickBot="1" x14ac:dyDescent="0.35">
      <c r="A276" s="14">
        <v>269</v>
      </c>
      <c r="B276" s="15">
        <v>45427</v>
      </c>
      <c r="C276" s="15">
        <v>45428</v>
      </c>
      <c r="D276" s="16" t="s">
        <v>1192</v>
      </c>
      <c r="E276" s="16" t="s">
        <v>1193</v>
      </c>
      <c r="F276" s="16" t="s">
        <v>1390</v>
      </c>
      <c r="G276" s="16" t="s">
        <v>1197</v>
      </c>
      <c r="H276" s="14" t="str">
        <f>"20240515/338552"</f>
        <v>20240515/338552</v>
      </c>
      <c r="I276" s="19" t="str">
        <f>"2405004130520"</f>
        <v>2405004130520</v>
      </c>
      <c r="J276" s="18">
        <v>28406.51</v>
      </c>
      <c r="K276" s="18">
        <v>0</v>
      </c>
      <c r="L276" s="18">
        <v>1017879.62</v>
      </c>
    </row>
    <row r="277" spans="1:13" ht="15" thickBot="1" x14ac:dyDescent="0.35">
      <c r="A277" s="14">
        <v>270</v>
      </c>
      <c r="B277" s="15">
        <v>45427</v>
      </c>
      <c r="C277" s="15">
        <v>45428</v>
      </c>
      <c r="D277" s="16" t="s">
        <v>1192</v>
      </c>
      <c r="E277" s="16" t="s">
        <v>1193</v>
      </c>
      <c r="F277" s="16" t="s">
        <v>1391</v>
      </c>
      <c r="G277" s="16" t="s">
        <v>1197</v>
      </c>
      <c r="H277" s="14" t="str">
        <f>"20240515/338553"</f>
        <v>20240515/338553</v>
      </c>
      <c r="I277" s="19" t="str">
        <f>"2405004130520"</f>
        <v>2405004130520</v>
      </c>
      <c r="J277" s="18">
        <v>12473.95</v>
      </c>
      <c r="K277" s="18">
        <v>0</v>
      </c>
      <c r="L277" s="18">
        <v>1030353.57</v>
      </c>
    </row>
    <row r="278" spans="1:13" ht="15" thickBot="1" x14ac:dyDescent="0.35">
      <c r="A278" s="14">
        <v>271</v>
      </c>
      <c r="B278" s="15">
        <v>45428</v>
      </c>
      <c r="C278" s="15">
        <v>45428</v>
      </c>
      <c r="D278" s="16" t="s">
        <v>1192</v>
      </c>
      <c r="E278" s="16" t="s">
        <v>1193</v>
      </c>
      <c r="F278" s="16" t="s">
        <v>1202</v>
      </c>
      <c r="G278" s="16" t="s">
        <v>1203</v>
      </c>
      <c r="H278" s="14" t="str">
        <f>"20240516/424"</f>
        <v>20240516/424</v>
      </c>
      <c r="I278" s="17" t="str">
        <f t="shared" ref="I278:I285" si="26">" "</f>
        <v> </v>
      </c>
      <c r="J278" s="18">
        <v>474.78</v>
      </c>
      <c r="K278" s="18">
        <v>0</v>
      </c>
      <c r="L278" s="18">
        <v>1030828.35</v>
      </c>
      <c r="M278" t="s">
        <v>2661</v>
      </c>
    </row>
    <row r="279" spans="1:13" ht="15" thickBot="1" x14ac:dyDescent="0.35">
      <c r="A279" s="14">
        <v>272</v>
      </c>
      <c r="B279" s="15">
        <v>45428</v>
      </c>
      <c r="C279" s="15">
        <v>45428</v>
      </c>
      <c r="D279" s="16" t="s">
        <v>1192</v>
      </c>
      <c r="E279" s="16" t="s">
        <v>1193</v>
      </c>
      <c r="F279" s="16" t="s">
        <v>1194</v>
      </c>
      <c r="G279" s="16" t="s">
        <v>1195</v>
      </c>
      <c r="H279" s="14" t="str">
        <f>"20240516/82616"</f>
        <v>20240516/82616</v>
      </c>
      <c r="I279" s="17" t="str">
        <f t="shared" si="26"/>
        <v> </v>
      </c>
      <c r="J279" s="18">
        <v>0</v>
      </c>
      <c r="K279" s="18">
        <v>89532.81</v>
      </c>
      <c r="L279" s="18">
        <v>941295.54</v>
      </c>
      <c r="M279" t="s">
        <v>2661</v>
      </c>
    </row>
    <row r="280" spans="1:13" ht="15" thickBot="1" x14ac:dyDescent="0.35">
      <c r="A280" s="14">
        <v>273</v>
      </c>
      <c r="B280" s="15">
        <v>45428</v>
      </c>
      <c r="C280" s="15">
        <v>45428</v>
      </c>
      <c r="D280" s="16" t="s">
        <v>1192</v>
      </c>
      <c r="E280" s="16" t="s">
        <v>1193</v>
      </c>
      <c r="F280" s="16" t="s">
        <v>1194</v>
      </c>
      <c r="G280" s="16" t="s">
        <v>1195</v>
      </c>
      <c r="H280" s="14" t="str">
        <f>"20240516/8731"</f>
        <v>20240516/8731</v>
      </c>
      <c r="I280" s="17" t="str">
        <f t="shared" si="26"/>
        <v> </v>
      </c>
      <c r="J280" s="18">
        <v>0</v>
      </c>
      <c r="K280" s="18">
        <v>241.86</v>
      </c>
      <c r="L280" s="18">
        <v>941053.68</v>
      </c>
      <c r="M280" t="s">
        <v>2661</v>
      </c>
    </row>
    <row r="281" spans="1:13" ht="15" thickBot="1" x14ac:dyDescent="0.35">
      <c r="A281" s="14">
        <v>274</v>
      </c>
      <c r="B281" s="15">
        <v>45428</v>
      </c>
      <c r="C281" s="15">
        <v>45428</v>
      </c>
      <c r="D281" s="16" t="s">
        <v>1192</v>
      </c>
      <c r="E281" s="16" t="s">
        <v>1193</v>
      </c>
      <c r="F281" s="16" t="s">
        <v>1392</v>
      </c>
      <c r="G281" s="16" t="s">
        <v>1197</v>
      </c>
      <c r="H281" s="14" t="str">
        <f>"20240516/130895"</f>
        <v>20240516/130895</v>
      </c>
      <c r="I281" s="19" t="str">
        <f t="shared" si="26"/>
        <v> </v>
      </c>
      <c r="J281" s="18">
        <v>241.86</v>
      </c>
      <c r="K281" s="18">
        <v>0</v>
      </c>
      <c r="L281" s="18">
        <v>941295.54</v>
      </c>
      <c r="M281" t="s">
        <v>2658</v>
      </c>
    </row>
    <row r="282" spans="1:13" ht="15" thickBot="1" x14ac:dyDescent="0.35">
      <c r="A282" s="14">
        <v>275</v>
      </c>
      <c r="B282" s="15">
        <v>45428</v>
      </c>
      <c r="C282" s="15">
        <v>45428</v>
      </c>
      <c r="D282" s="16" t="s">
        <v>1192</v>
      </c>
      <c r="E282" s="16" t="s">
        <v>1193</v>
      </c>
      <c r="F282" s="16" t="s">
        <v>1393</v>
      </c>
      <c r="G282" s="16" t="s">
        <v>1197</v>
      </c>
      <c r="H282" s="14" t="str">
        <f>"20240516/200139"</f>
        <v>20240516/200139</v>
      </c>
      <c r="I282" s="19" t="str">
        <f t="shared" si="26"/>
        <v> </v>
      </c>
      <c r="J282" s="18">
        <v>30228.45</v>
      </c>
      <c r="K282" s="18">
        <v>0</v>
      </c>
      <c r="L282" s="18">
        <v>971523.99</v>
      </c>
    </row>
    <row r="283" spans="1:13" ht="15" thickBot="1" x14ac:dyDescent="0.35">
      <c r="A283" s="14">
        <v>276</v>
      </c>
      <c r="B283" s="15">
        <v>45428</v>
      </c>
      <c r="C283" s="15">
        <v>45428</v>
      </c>
      <c r="D283" s="16" t="s">
        <v>1192</v>
      </c>
      <c r="E283" s="16" t="s">
        <v>1193</v>
      </c>
      <c r="F283" s="16" t="s">
        <v>1394</v>
      </c>
      <c r="G283" s="16" t="s">
        <v>1197</v>
      </c>
      <c r="H283" s="14" t="str">
        <f>"20240516/200140"</f>
        <v>20240516/200140</v>
      </c>
      <c r="I283" s="19" t="str">
        <f t="shared" si="26"/>
        <v> </v>
      </c>
      <c r="J283" s="18">
        <v>291730.26</v>
      </c>
      <c r="K283" s="18">
        <v>0</v>
      </c>
      <c r="L283" s="18">
        <v>1263254.25</v>
      </c>
    </row>
    <row r="284" spans="1:13" ht="15" thickBot="1" x14ac:dyDescent="0.35">
      <c r="A284" s="14">
        <v>277</v>
      </c>
      <c r="B284" s="15">
        <v>45428</v>
      </c>
      <c r="C284" s="15">
        <v>45428</v>
      </c>
      <c r="D284" s="16" t="s">
        <v>1192</v>
      </c>
      <c r="E284" s="16" t="s">
        <v>1193</v>
      </c>
      <c r="F284" s="16" t="s">
        <v>1395</v>
      </c>
      <c r="G284" s="16" t="s">
        <v>1197</v>
      </c>
      <c r="H284" s="14" t="str">
        <f>"20240516/273948"</f>
        <v>20240516/273948</v>
      </c>
      <c r="I284" s="19" t="str">
        <f t="shared" si="26"/>
        <v> </v>
      </c>
      <c r="J284" s="18">
        <v>0</v>
      </c>
      <c r="K284" s="18">
        <v>306269.7</v>
      </c>
      <c r="L284" s="18">
        <v>956984.55</v>
      </c>
    </row>
    <row r="285" spans="1:13" ht="15" thickBot="1" x14ac:dyDescent="0.35">
      <c r="A285" s="14">
        <v>278</v>
      </c>
      <c r="B285" s="15">
        <v>45428</v>
      </c>
      <c r="C285" s="15">
        <v>45428</v>
      </c>
      <c r="D285" s="16" t="s">
        <v>1192</v>
      </c>
      <c r="E285" s="16" t="s">
        <v>1193</v>
      </c>
      <c r="F285" s="16" t="s">
        <v>1396</v>
      </c>
      <c r="G285" s="16" t="s">
        <v>1197</v>
      </c>
      <c r="H285" s="14" t="str">
        <f>"20240516/273949"</f>
        <v>20240516/273949</v>
      </c>
      <c r="I285" s="19" t="str">
        <f t="shared" si="26"/>
        <v> </v>
      </c>
      <c r="J285" s="18">
        <v>0</v>
      </c>
      <c r="K285" s="18">
        <v>32534.799999999999</v>
      </c>
      <c r="L285" s="18">
        <v>924449.75</v>
      </c>
    </row>
    <row r="286" spans="1:13" ht="15" thickBot="1" x14ac:dyDescent="0.35">
      <c r="A286" s="14">
        <v>279</v>
      </c>
      <c r="B286" s="15">
        <v>45428</v>
      </c>
      <c r="C286" s="15">
        <v>45429</v>
      </c>
      <c r="D286" s="16" t="s">
        <v>1192</v>
      </c>
      <c r="E286" s="16" t="s">
        <v>1193</v>
      </c>
      <c r="F286" s="16" t="s">
        <v>1397</v>
      </c>
      <c r="G286" s="16" t="s">
        <v>1197</v>
      </c>
      <c r="H286" s="14" t="str">
        <f>"20240516/349683"</f>
        <v>20240516/349683</v>
      </c>
      <c r="I286" s="19" t="str">
        <f>"2405004569316"</f>
        <v>2405004569316</v>
      </c>
      <c r="J286" s="18">
        <v>60052.160000000003</v>
      </c>
      <c r="K286" s="18">
        <v>0</v>
      </c>
      <c r="L286" s="18">
        <v>984501.91</v>
      </c>
    </row>
    <row r="287" spans="1:13" ht="15" thickBot="1" x14ac:dyDescent="0.35">
      <c r="A287" s="14">
        <v>280</v>
      </c>
      <c r="B287" s="15">
        <v>45429</v>
      </c>
      <c r="C287" s="15">
        <v>45429</v>
      </c>
      <c r="D287" s="16" t="s">
        <v>1192</v>
      </c>
      <c r="E287" s="16" t="s">
        <v>1193</v>
      </c>
      <c r="F287" s="16" t="s">
        <v>1194</v>
      </c>
      <c r="G287" s="16" t="s">
        <v>1195</v>
      </c>
      <c r="H287" s="14" t="str">
        <f>"20240517/18637"</f>
        <v>20240517/18637</v>
      </c>
      <c r="I287" s="17" t="str">
        <f t="shared" ref="I287:I305" si="27">" "</f>
        <v> </v>
      </c>
      <c r="J287" s="18">
        <v>0</v>
      </c>
      <c r="K287" s="18">
        <v>214.59</v>
      </c>
      <c r="L287" s="18">
        <v>984287.32</v>
      </c>
      <c r="M287" t="s">
        <v>2661</v>
      </c>
    </row>
    <row r="288" spans="1:13" ht="15" thickBot="1" x14ac:dyDescent="0.35">
      <c r="A288" s="14">
        <v>281</v>
      </c>
      <c r="B288" s="15">
        <v>45429</v>
      </c>
      <c r="C288" s="15">
        <v>45429</v>
      </c>
      <c r="D288" s="16" t="s">
        <v>1192</v>
      </c>
      <c r="E288" s="16" t="s">
        <v>1193</v>
      </c>
      <c r="F288" s="16" t="s">
        <v>1398</v>
      </c>
      <c r="G288" s="16" t="s">
        <v>1197</v>
      </c>
      <c r="H288" s="14" t="str">
        <f>"20240517/131077"</f>
        <v>20240517/131077</v>
      </c>
      <c r="I288" s="19" t="str">
        <f t="shared" si="27"/>
        <v> </v>
      </c>
      <c r="J288" s="18">
        <v>214.59</v>
      </c>
      <c r="K288" s="18">
        <v>0</v>
      </c>
      <c r="L288" s="18">
        <v>984501.91</v>
      </c>
      <c r="M288" t="s">
        <v>2658</v>
      </c>
    </row>
    <row r="289" spans="1:13" ht="15" thickBot="1" x14ac:dyDescent="0.35">
      <c r="A289" s="14">
        <v>282</v>
      </c>
      <c r="B289" s="15">
        <v>45429</v>
      </c>
      <c r="C289" s="15">
        <v>45429</v>
      </c>
      <c r="D289" s="16" t="s">
        <v>1192</v>
      </c>
      <c r="E289" s="16" t="s">
        <v>1193</v>
      </c>
      <c r="F289" s="16" t="s">
        <v>1399</v>
      </c>
      <c r="G289" s="16" t="s">
        <v>1197</v>
      </c>
      <c r="H289" s="14" t="str">
        <f>"20240517/187955"</f>
        <v>20240517/187955</v>
      </c>
      <c r="I289" s="19" t="str">
        <f t="shared" si="27"/>
        <v> </v>
      </c>
      <c r="J289" s="18">
        <v>28295.05</v>
      </c>
      <c r="K289" s="18">
        <v>0</v>
      </c>
      <c r="L289" s="18">
        <v>1012796.96</v>
      </c>
    </row>
    <row r="290" spans="1:13" ht="15" thickBot="1" x14ac:dyDescent="0.35">
      <c r="A290" s="14">
        <v>283</v>
      </c>
      <c r="B290" s="15">
        <v>45429</v>
      </c>
      <c r="C290" s="15">
        <v>45429</v>
      </c>
      <c r="D290" s="16" t="s">
        <v>1192</v>
      </c>
      <c r="E290" s="16" t="s">
        <v>1193</v>
      </c>
      <c r="F290" s="16" t="s">
        <v>1400</v>
      </c>
      <c r="G290" s="16" t="s">
        <v>1197</v>
      </c>
      <c r="H290" s="14" t="str">
        <f>"20240517/187956"</f>
        <v>20240517/187956</v>
      </c>
      <c r="I290" s="19" t="str">
        <f t="shared" si="27"/>
        <v> </v>
      </c>
      <c r="J290" s="18">
        <v>292487.88</v>
      </c>
      <c r="K290" s="18">
        <v>0</v>
      </c>
      <c r="L290" s="18">
        <v>1305284.8400000001</v>
      </c>
    </row>
    <row r="291" spans="1:13" ht="15" thickBot="1" x14ac:dyDescent="0.35">
      <c r="A291" s="14">
        <v>284</v>
      </c>
      <c r="B291" s="15">
        <v>45429</v>
      </c>
      <c r="C291" s="15">
        <v>45429</v>
      </c>
      <c r="D291" s="16" t="s">
        <v>1192</v>
      </c>
      <c r="E291" s="16" t="s">
        <v>1193</v>
      </c>
      <c r="F291" s="16" t="s">
        <v>1401</v>
      </c>
      <c r="G291" s="16" t="s">
        <v>1197</v>
      </c>
      <c r="H291" s="14" t="str">
        <f>"20240517/293784"</f>
        <v>20240517/293784</v>
      </c>
      <c r="I291" s="19" t="str">
        <f t="shared" si="27"/>
        <v> </v>
      </c>
      <c r="J291" s="18">
        <v>0</v>
      </c>
      <c r="K291" s="18">
        <v>30228.45</v>
      </c>
      <c r="L291" s="18">
        <v>1275056.3899999999</v>
      </c>
    </row>
    <row r="292" spans="1:13" ht="15" thickBot="1" x14ac:dyDescent="0.35">
      <c r="A292" s="14">
        <v>285</v>
      </c>
      <c r="B292" s="15">
        <v>45429</v>
      </c>
      <c r="C292" s="15">
        <v>45429</v>
      </c>
      <c r="D292" s="16" t="s">
        <v>1192</v>
      </c>
      <c r="E292" s="16" t="s">
        <v>1193</v>
      </c>
      <c r="F292" s="16" t="s">
        <v>1402</v>
      </c>
      <c r="G292" s="16" t="s">
        <v>1197</v>
      </c>
      <c r="H292" s="14" t="str">
        <f>"20240517/293785"</f>
        <v>20240517/293785</v>
      </c>
      <c r="I292" s="19" t="str">
        <f t="shared" si="27"/>
        <v> </v>
      </c>
      <c r="J292" s="18">
        <v>0</v>
      </c>
      <c r="K292" s="18">
        <v>291730.26</v>
      </c>
      <c r="L292" s="18">
        <v>983326.13</v>
      </c>
    </row>
    <row r="293" spans="1:13" ht="15" thickBot="1" x14ac:dyDescent="0.35">
      <c r="A293" s="14">
        <v>286</v>
      </c>
      <c r="B293" s="15">
        <v>45430</v>
      </c>
      <c r="C293" s="15">
        <v>45430</v>
      </c>
      <c r="D293" s="16" t="s">
        <v>1192</v>
      </c>
      <c r="E293" s="16" t="s">
        <v>1193</v>
      </c>
      <c r="F293" s="16" t="s">
        <v>1194</v>
      </c>
      <c r="G293" s="16" t="s">
        <v>1195</v>
      </c>
      <c r="H293" s="14" t="str">
        <f>"20240518/19880"</f>
        <v>20240518/19880</v>
      </c>
      <c r="I293" s="17" t="str">
        <f t="shared" si="27"/>
        <v> </v>
      </c>
      <c r="J293" s="18">
        <v>0</v>
      </c>
      <c r="K293" s="18">
        <v>1542.46</v>
      </c>
      <c r="L293" s="18">
        <v>981783.67</v>
      </c>
      <c r="M293" t="s">
        <v>2661</v>
      </c>
    </row>
    <row r="294" spans="1:13" ht="15" thickBot="1" x14ac:dyDescent="0.35">
      <c r="A294" s="14">
        <v>287</v>
      </c>
      <c r="B294" s="15">
        <v>45430</v>
      </c>
      <c r="C294" s="15">
        <v>45430</v>
      </c>
      <c r="D294" s="16" t="s">
        <v>1192</v>
      </c>
      <c r="E294" s="16" t="s">
        <v>1193</v>
      </c>
      <c r="F294" s="16" t="s">
        <v>1403</v>
      </c>
      <c r="G294" s="16" t="s">
        <v>1197</v>
      </c>
      <c r="H294" s="14" t="str">
        <f>"20240518/140971"</f>
        <v>20240518/140971</v>
      </c>
      <c r="I294" s="19" t="str">
        <f t="shared" si="27"/>
        <v> </v>
      </c>
      <c r="J294" s="18">
        <v>0</v>
      </c>
      <c r="K294" s="18">
        <v>28295.05</v>
      </c>
      <c r="L294" s="18">
        <v>953488.62</v>
      </c>
    </row>
    <row r="295" spans="1:13" ht="15" thickBot="1" x14ac:dyDescent="0.35">
      <c r="A295" s="14">
        <v>288</v>
      </c>
      <c r="B295" s="15">
        <v>45430</v>
      </c>
      <c r="C295" s="15">
        <v>45430</v>
      </c>
      <c r="D295" s="16" t="s">
        <v>1192</v>
      </c>
      <c r="E295" s="16" t="s">
        <v>1193</v>
      </c>
      <c r="F295" s="16" t="s">
        <v>1404</v>
      </c>
      <c r="G295" s="16" t="s">
        <v>1197</v>
      </c>
      <c r="H295" s="14" t="str">
        <f>"20240518/140972"</f>
        <v>20240518/140972</v>
      </c>
      <c r="I295" s="19" t="str">
        <f t="shared" si="27"/>
        <v> </v>
      </c>
      <c r="J295" s="18">
        <v>0</v>
      </c>
      <c r="K295" s="18">
        <v>292487.88</v>
      </c>
      <c r="L295" s="18">
        <v>661000.74</v>
      </c>
    </row>
    <row r="296" spans="1:13" ht="15" thickBot="1" x14ac:dyDescent="0.35">
      <c r="A296" s="14">
        <v>289</v>
      </c>
      <c r="B296" s="15">
        <v>45430</v>
      </c>
      <c r="C296" s="15">
        <v>45430</v>
      </c>
      <c r="D296" s="16" t="s">
        <v>1192</v>
      </c>
      <c r="E296" s="16" t="s">
        <v>1193</v>
      </c>
      <c r="F296" s="16" t="s">
        <v>1405</v>
      </c>
      <c r="G296" s="16" t="s">
        <v>1197</v>
      </c>
      <c r="H296" s="14" t="str">
        <f>"20240518/2960"</f>
        <v>20240518/2960</v>
      </c>
      <c r="I296" s="19" t="str">
        <f t="shared" si="27"/>
        <v> </v>
      </c>
      <c r="J296" s="18">
        <v>235.97</v>
      </c>
      <c r="K296" s="18">
        <v>0</v>
      </c>
      <c r="L296" s="18">
        <v>661236.71</v>
      </c>
      <c r="M296" t="s">
        <v>2658</v>
      </c>
    </row>
    <row r="297" spans="1:13" ht="15" thickBot="1" x14ac:dyDescent="0.35">
      <c r="A297" s="14">
        <v>290</v>
      </c>
      <c r="B297" s="15">
        <v>45430</v>
      </c>
      <c r="C297" s="15">
        <v>45430</v>
      </c>
      <c r="D297" s="16" t="s">
        <v>1192</v>
      </c>
      <c r="E297" s="16" t="s">
        <v>1193</v>
      </c>
      <c r="F297" s="16" t="s">
        <v>1406</v>
      </c>
      <c r="G297" s="16" t="s">
        <v>1197</v>
      </c>
      <c r="H297" s="14" t="str">
        <f>"20240518/98096"</f>
        <v>20240518/98096</v>
      </c>
      <c r="I297" s="19" t="str">
        <f t="shared" si="27"/>
        <v> </v>
      </c>
      <c r="J297" s="18">
        <v>297403.15000000002</v>
      </c>
      <c r="K297" s="18">
        <v>0</v>
      </c>
      <c r="L297" s="18">
        <v>958639.86</v>
      </c>
    </row>
    <row r="298" spans="1:13" ht="15" thickBot="1" x14ac:dyDescent="0.35">
      <c r="A298" s="14">
        <v>291</v>
      </c>
      <c r="B298" s="15">
        <v>45430</v>
      </c>
      <c r="C298" s="15">
        <v>45430</v>
      </c>
      <c r="D298" s="16" t="s">
        <v>1192</v>
      </c>
      <c r="E298" s="16" t="s">
        <v>1193</v>
      </c>
      <c r="F298" s="16" t="s">
        <v>1407</v>
      </c>
      <c r="G298" s="16" t="s">
        <v>1197</v>
      </c>
      <c r="H298" s="14" t="str">
        <f>"20240518/98097"</f>
        <v>20240518/98097</v>
      </c>
      <c r="I298" s="19" t="str">
        <f t="shared" si="27"/>
        <v> </v>
      </c>
      <c r="J298" s="18">
        <v>25862.05</v>
      </c>
      <c r="K298" s="18">
        <v>0</v>
      </c>
      <c r="L298" s="18">
        <v>984501.91</v>
      </c>
    </row>
    <row r="299" spans="1:13" ht="15" thickBot="1" x14ac:dyDescent="0.35">
      <c r="A299" s="14">
        <v>292</v>
      </c>
      <c r="B299" s="15">
        <v>45433</v>
      </c>
      <c r="C299" s="15">
        <v>45433</v>
      </c>
      <c r="D299" s="16" t="s">
        <v>1192</v>
      </c>
      <c r="E299" s="16" t="s">
        <v>1193</v>
      </c>
      <c r="F299" s="16" t="s">
        <v>1194</v>
      </c>
      <c r="G299" s="16" t="s">
        <v>1195</v>
      </c>
      <c r="H299" s="14" t="str">
        <f>"20240521/139432"</f>
        <v>20240521/139432</v>
      </c>
      <c r="I299" s="17" t="str">
        <f t="shared" si="27"/>
        <v> </v>
      </c>
      <c r="J299" s="18">
        <v>0</v>
      </c>
      <c r="K299" s="18">
        <v>1271.6099999999999</v>
      </c>
      <c r="L299" s="18">
        <v>983230.3</v>
      </c>
      <c r="M299" t="s">
        <v>2661</v>
      </c>
    </row>
    <row r="300" spans="1:13" ht="15" thickBot="1" x14ac:dyDescent="0.35">
      <c r="A300" s="14">
        <v>293</v>
      </c>
      <c r="B300" s="15">
        <v>45433</v>
      </c>
      <c r="C300" s="15">
        <v>45433</v>
      </c>
      <c r="D300" s="16" t="s">
        <v>1192</v>
      </c>
      <c r="E300" s="16" t="s">
        <v>1193</v>
      </c>
      <c r="F300" s="16" t="s">
        <v>1194</v>
      </c>
      <c r="G300" s="16" t="s">
        <v>1195</v>
      </c>
      <c r="H300" s="14" t="str">
        <f>"20240521/5280"</f>
        <v>20240521/5280</v>
      </c>
      <c r="I300" s="17" t="str">
        <f t="shared" si="27"/>
        <v> </v>
      </c>
      <c r="J300" s="18">
        <v>0</v>
      </c>
      <c r="K300" s="18">
        <v>706.53</v>
      </c>
      <c r="L300" s="18">
        <v>982523.77</v>
      </c>
      <c r="M300" t="s">
        <v>2661</v>
      </c>
    </row>
    <row r="301" spans="1:13" ht="15" thickBot="1" x14ac:dyDescent="0.35">
      <c r="A301" s="14">
        <v>294</v>
      </c>
      <c r="B301" s="15">
        <v>45433</v>
      </c>
      <c r="C301" s="15">
        <v>45433</v>
      </c>
      <c r="D301" s="16" t="s">
        <v>1192</v>
      </c>
      <c r="E301" s="16" t="s">
        <v>1193</v>
      </c>
      <c r="F301" s="16" t="s">
        <v>1408</v>
      </c>
      <c r="G301" s="16" t="s">
        <v>1197</v>
      </c>
      <c r="H301" s="14" t="str">
        <f>"20240521/212356"</f>
        <v>20240521/212356</v>
      </c>
      <c r="I301" s="19" t="str">
        <f t="shared" si="27"/>
        <v> </v>
      </c>
      <c r="J301" s="18">
        <v>706.53</v>
      </c>
      <c r="K301" s="18">
        <v>0</v>
      </c>
      <c r="L301" s="18">
        <v>983230.3</v>
      </c>
      <c r="M301" t="s">
        <v>2658</v>
      </c>
    </row>
    <row r="302" spans="1:13" ht="15" thickBot="1" x14ac:dyDescent="0.35">
      <c r="A302" s="14">
        <v>295</v>
      </c>
      <c r="B302" s="15">
        <v>45433</v>
      </c>
      <c r="C302" s="15">
        <v>45433</v>
      </c>
      <c r="D302" s="16" t="s">
        <v>1192</v>
      </c>
      <c r="E302" s="16" t="s">
        <v>1193</v>
      </c>
      <c r="F302" s="16" t="s">
        <v>1409</v>
      </c>
      <c r="G302" s="16" t="s">
        <v>1197</v>
      </c>
      <c r="H302" s="14" t="str">
        <f>"20240521/262548"</f>
        <v>20240521/262548</v>
      </c>
      <c r="I302" s="19" t="str">
        <f t="shared" si="27"/>
        <v> </v>
      </c>
      <c r="J302" s="18">
        <v>27410.799999999999</v>
      </c>
      <c r="K302" s="18">
        <v>0</v>
      </c>
      <c r="L302" s="18">
        <v>1010641.1</v>
      </c>
    </row>
    <row r="303" spans="1:13" ht="15" thickBot="1" x14ac:dyDescent="0.35">
      <c r="A303" s="14">
        <v>296</v>
      </c>
      <c r="B303" s="15">
        <v>45433</v>
      </c>
      <c r="C303" s="15">
        <v>45433</v>
      </c>
      <c r="D303" s="16" t="s">
        <v>1192</v>
      </c>
      <c r="E303" s="16" t="s">
        <v>1193</v>
      </c>
      <c r="F303" s="16" t="s">
        <v>1410</v>
      </c>
      <c r="G303" s="16" t="s">
        <v>1197</v>
      </c>
      <c r="H303" s="14" t="str">
        <f>"20240521/262549"</f>
        <v>20240521/262549</v>
      </c>
      <c r="I303" s="19" t="str">
        <f t="shared" si="27"/>
        <v> </v>
      </c>
      <c r="J303" s="18">
        <v>297126.01</v>
      </c>
      <c r="K303" s="18">
        <v>0</v>
      </c>
      <c r="L303" s="18">
        <v>1307767.1100000001</v>
      </c>
    </row>
    <row r="304" spans="1:13" ht="15" thickBot="1" x14ac:dyDescent="0.35">
      <c r="A304" s="14">
        <v>297</v>
      </c>
      <c r="B304" s="15">
        <v>45433</v>
      </c>
      <c r="C304" s="15">
        <v>45433</v>
      </c>
      <c r="D304" s="16" t="s">
        <v>1192</v>
      </c>
      <c r="E304" s="16" t="s">
        <v>1193</v>
      </c>
      <c r="F304" s="16" t="s">
        <v>1411</v>
      </c>
      <c r="G304" s="16" t="s">
        <v>1197</v>
      </c>
      <c r="H304" s="14" t="str">
        <f>"20240521/323215"</f>
        <v>20240521/323215</v>
      </c>
      <c r="I304" s="19" t="str">
        <f t="shared" si="27"/>
        <v> </v>
      </c>
      <c r="J304" s="18">
        <v>0</v>
      </c>
      <c r="K304" s="18">
        <v>297403.15000000002</v>
      </c>
      <c r="L304" s="18">
        <v>1010363.96</v>
      </c>
    </row>
    <row r="305" spans="1:13" ht="15" thickBot="1" x14ac:dyDescent="0.35">
      <c r="A305" s="14">
        <v>298</v>
      </c>
      <c r="B305" s="15">
        <v>45433</v>
      </c>
      <c r="C305" s="15">
        <v>45433</v>
      </c>
      <c r="D305" s="16" t="s">
        <v>1192</v>
      </c>
      <c r="E305" s="16" t="s">
        <v>1193</v>
      </c>
      <c r="F305" s="16" t="s">
        <v>1412</v>
      </c>
      <c r="G305" s="16" t="s">
        <v>1197</v>
      </c>
      <c r="H305" s="14" t="str">
        <f>"20240521/323216"</f>
        <v>20240521/323216</v>
      </c>
      <c r="I305" s="19" t="str">
        <f t="shared" si="27"/>
        <v> </v>
      </c>
      <c r="J305" s="18">
        <v>0</v>
      </c>
      <c r="K305" s="18">
        <v>25862.05</v>
      </c>
      <c r="L305" s="18">
        <v>984501.91</v>
      </c>
    </row>
    <row r="306" spans="1:13" ht="15" thickBot="1" x14ac:dyDescent="0.35">
      <c r="A306" s="14">
        <v>299</v>
      </c>
      <c r="B306" s="15">
        <v>45433</v>
      </c>
      <c r="C306" s="15">
        <v>45434</v>
      </c>
      <c r="D306" s="16" t="s">
        <v>1192</v>
      </c>
      <c r="E306" s="16" t="s">
        <v>1193</v>
      </c>
      <c r="F306" s="16" t="s">
        <v>1413</v>
      </c>
      <c r="G306" s="16" t="s">
        <v>1197</v>
      </c>
      <c r="H306" s="14" t="str">
        <f>"20240521/448705"</f>
        <v>20240521/448705</v>
      </c>
      <c r="I306" s="19" t="str">
        <f>"2405005790468"</f>
        <v>2405005790468</v>
      </c>
      <c r="J306" s="18">
        <v>0</v>
      </c>
      <c r="K306" s="18">
        <v>50446.59</v>
      </c>
      <c r="L306" s="18">
        <v>934055.32</v>
      </c>
    </row>
    <row r="307" spans="1:13" ht="15" thickBot="1" x14ac:dyDescent="0.35">
      <c r="A307" s="14">
        <v>300</v>
      </c>
      <c r="B307" s="15">
        <v>45434</v>
      </c>
      <c r="C307" s="15">
        <v>45434</v>
      </c>
      <c r="D307" s="16" t="s">
        <v>1192</v>
      </c>
      <c r="E307" s="16" t="s">
        <v>1193</v>
      </c>
      <c r="F307" s="16" t="s">
        <v>1204</v>
      </c>
      <c r="G307" s="16" t="s">
        <v>1203</v>
      </c>
      <c r="H307" s="14" t="str">
        <f>"20240522/54191"</f>
        <v>20240522/54191</v>
      </c>
      <c r="I307" s="17" t="str">
        <f t="shared" ref="I307:I321" si="28">" "</f>
        <v> </v>
      </c>
      <c r="J307" s="18">
        <v>50446.59</v>
      </c>
      <c r="K307" s="18">
        <v>0</v>
      </c>
      <c r="L307" s="18">
        <v>984501.91</v>
      </c>
      <c r="M307" t="s">
        <v>2661</v>
      </c>
    </row>
    <row r="308" spans="1:13" ht="15" thickBot="1" x14ac:dyDescent="0.35">
      <c r="A308" s="14">
        <v>301</v>
      </c>
      <c r="B308" s="15">
        <v>45434</v>
      </c>
      <c r="C308" s="15">
        <v>45434</v>
      </c>
      <c r="D308" s="16" t="s">
        <v>1192</v>
      </c>
      <c r="E308" s="16" t="s">
        <v>1193</v>
      </c>
      <c r="F308" s="16" t="s">
        <v>1194</v>
      </c>
      <c r="G308" s="16" t="s">
        <v>1195</v>
      </c>
      <c r="H308" s="14" t="str">
        <f>"20240522/104984"</f>
        <v>20240522/104984</v>
      </c>
      <c r="I308" s="17" t="str">
        <f t="shared" si="28"/>
        <v> </v>
      </c>
      <c r="J308" s="18">
        <v>0</v>
      </c>
      <c r="K308" s="18">
        <v>2387.59</v>
      </c>
      <c r="L308" s="18">
        <v>982114.32</v>
      </c>
      <c r="M308" t="s">
        <v>2661</v>
      </c>
    </row>
    <row r="309" spans="1:13" ht="15" thickBot="1" x14ac:dyDescent="0.35">
      <c r="A309" s="14">
        <v>302</v>
      </c>
      <c r="B309" s="15">
        <v>45434</v>
      </c>
      <c r="C309" s="15">
        <v>45434</v>
      </c>
      <c r="D309" s="16" t="s">
        <v>1192</v>
      </c>
      <c r="E309" s="16" t="s">
        <v>1193</v>
      </c>
      <c r="F309" s="16" t="s">
        <v>1194</v>
      </c>
      <c r="G309" s="16" t="s">
        <v>1195</v>
      </c>
      <c r="H309" s="14" t="str">
        <f>"20240522/35762"</f>
        <v>20240522/35762</v>
      </c>
      <c r="I309" s="17" t="str">
        <f t="shared" si="28"/>
        <v> </v>
      </c>
      <c r="J309" s="18">
        <v>0</v>
      </c>
      <c r="K309" s="18">
        <v>235.06</v>
      </c>
      <c r="L309" s="18">
        <v>981879.26</v>
      </c>
      <c r="M309" t="s">
        <v>2661</v>
      </c>
    </row>
    <row r="310" spans="1:13" ht="15" thickBot="1" x14ac:dyDescent="0.35">
      <c r="A310" s="14">
        <v>303</v>
      </c>
      <c r="B310" s="15">
        <v>45434</v>
      </c>
      <c r="C310" s="15">
        <v>45434</v>
      </c>
      <c r="D310" s="16" t="s">
        <v>1192</v>
      </c>
      <c r="E310" s="16" t="s">
        <v>1193</v>
      </c>
      <c r="F310" s="16" t="s">
        <v>1414</v>
      </c>
      <c r="G310" s="16" t="s">
        <v>1197</v>
      </c>
      <c r="H310" s="14" t="str">
        <f>"20240522/168865"</f>
        <v>20240522/168865</v>
      </c>
      <c r="I310" s="19" t="str">
        <f t="shared" si="28"/>
        <v> </v>
      </c>
      <c r="J310" s="18">
        <v>235.06</v>
      </c>
      <c r="K310" s="18">
        <v>0</v>
      </c>
      <c r="L310" s="18">
        <v>982114.32</v>
      </c>
      <c r="M310" t="s">
        <v>2658</v>
      </c>
    </row>
    <row r="311" spans="1:13" ht="15" thickBot="1" x14ac:dyDescent="0.35">
      <c r="A311" s="14">
        <v>304</v>
      </c>
      <c r="B311" s="15">
        <v>45434</v>
      </c>
      <c r="C311" s="15">
        <v>45434</v>
      </c>
      <c r="D311" s="16" t="s">
        <v>1192</v>
      </c>
      <c r="E311" s="16" t="s">
        <v>1193</v>
      </c>
      <c r="F311" s="16" t="s">
        <v>1415</v>
      </c>
      <c r="G311" s="16" t="s">
        <v>1197</v>
      </c>
      <c r="H311" s="14" t="str">
        <f>"20240522/192578"</f>
        <v>20240522/192578</v>
      </c>
      <c r="I311" s="19" t="str">
        <f t="shared" si="28"/>
        <v> </v>
      </c>
      <c r="J311" s="18">
        <v>30378.35</v>
      </c>
      <c r="K311" s="18">
        <v>0</v>
      </c>
      <c r="L311" s="18">
        <v>1012492.67</v>
      </c>
    </row>
    <row r="312" spans="1:13" ht="15" thickBot="1" x14ac:dyDescent="0.35">
      <c r="A312" s="14">
        <v>305</v>
      </c>
      <c r="B312" s="15">
        <v>45434</v>
      </c>
      <c r="C312" s="15">
        <v>45434</v>
      </c>
      <c r="D312" s="16" t="s">
        <v>1192</v>
      </c>
      <c r="E312" s="16" t="s">
        <v>1193</v>
      </c>
      <c r="F312" s="16" t="s">
        <v>1416</v>
      </c>
      <c r="G312" s="16" t="s">
        <v>1197</v>
      </c>
      <c r="H312" s="14" t="str">
        <f>"20240522/192579"</f>
        <v>20240522/192579</v>
      </c>
      <c r="I312" s="19" t="str">
        <f t="shared" si="28"/>
        <v> </v>
      </c>
      <c r="J312" s="18">
        <v>296546.05</v>
      </c>
      <c r="K312" s="18">
        <v>0</v>
      </c>
      <c r="L312" s="18">
        <v>1309038.72</v>
      </c>
    </row>
    <row r="313" spans="1:13" ht="15" thickBot="1" x14ac:dyDescent="0.35">
      <c r="A313" s="14">
        <v>306</v>
      </c>
      <c r="B313" s="15">
        <v>45434</v>
      </c>
      <c r="C313" s="15">
        <v>45434</v>
      </c>
      <c r="D313" s="16" t="s">
        <v>1192</v>
      </c>
      <c r="E313" s="16" t="s">
        <v>1193</v>
      </c>
      <c r="F313" s="16" t="s">
        <v>1417</v>
      </c>
      <c r="G313" s="16" t="s">
        <v>1197</v>
      </c>
      <c r="H313" s="14" t="str">
        <f>"20240522/290344"</f>
        <v>20240522/290344</v>
      </c>
      <c r="I313" s="19" t="str">
        <f t="shared" si="28"/>
        <v> </v>
      </c>
      <c r="J313" s="18">
        <v>0</v>
      </c>
      <c r="K313" s="18">
        <v>27410.799999999999</v>
      </c>
      <c r="L313" s="18">
        <v>1281627.92</v>
      </c>
    </row>
    <row r="314" spans="1:13" ht="15" thickBot="1" x14ac:dyDescent="0.35">
      <c r="A314" s="14">
        <v>307</v>
      </c>
      <c r="B314" s="15">
        <v>45434</v>
      </c>
      <c r="C314" s="15">
        <v>45434</v>
      </c>
      <c r="D314" s="16" t="s">
        <v>1192</v>
      </c>
      <c r="E314" s="16" t="s">
        <v>1193</v>
      </c>
      <c r="F314" s="16" t="s">
        <v>1418</v>
      </c>
      <c r="G314" s="16" t="s">
        <v>1197</v>
      </c>
      <c r="H314" s="14" t="str">
        <f>"20240522/290345"</f>
        <v>20240522/290345</v>
      </c>
      <c r="I314" s="19" t="str">
        <f t="shared" si="28"/>
        <v> </v>
      </c>
      <c r="J314" s="18">
        <v>0</v>
      </c>
      <c r="K314" s="18">
        <v>297126.01</v>
      </c>
      <c r="L314" s="18">
        <v>984501.91</v>
      </c>
    </row>
    <row r="315" spans="1:13" ht="15" thickBot="1" x14ac:dyDescent="0.35">
      <c r="A315" s="14">
        <v>308</v>
      </c>
      <c r="B315" s="15">
        <v>45435</v>
      </c>
      <c r="C315" s="15">
        <v>45435</v>
      </c>
      <c r="D315" s="16" t="s">
        <v>1192</v>
      </c>
      <c r="E315" s="16" t="s">
        <v>1193</v>
      </c>
      <c r="F315" s="16" t="s">
        <v>1249</v>
      </c>
      <c r="G315" s="16" t="s">
        <v>1195</v>
      </c>
      <c r="H315" s="14" t="str">
        <f>"20240523/65866"</f>
        <v>20240523/65866</v>
      </c>
      <c r="I315" s="17" t="str">
        <f t="shared" si="28"/>
        <v> </v>
      </c>
      <c r="J315" s="18">
        <v>0</v>
      </c>
      <c r="K315" s="18">
        <v>234.21</v>
      </c>
      <c r="L315" s="18">
        <v>984267.7</v>
      </c>
      <c r="M315" t="s">
        <v>2661</v>
      </c>
    </row>
    <row r="316" spans="1:13" ht="15" thickBot="1" x14ac:dyDescent="0.35">
      <c r="A316" s="14">
        <v>309</v>
      </c>
      <c r="B316" s="15">
        <v>45435</v>
      </c>
      <c r="C316" s="15">
        <v>45435</v>
      </c>
      <c r="D316" s="16" t="s">
        <v>1192</v>
      </c>
      <c r="E316" s="16" t="s">
        <v>1193</v>
      </c>
      <c r="F316" s="16" t="s">
        <v>1194</v>
      </c>
      <c r="G316" s="16" t="s">
        <v>1195</v>
      </c>
      <c r="H316" s="14" t="str">
        <f>"20240523/7482"</f>
        <v>20240523/7482</v>
      </c>
      <c r="I316" s="17" t="str">
        <f t="shared" si="28"/>
        <v> </v>
      </c>
      <c r="J316" s="18">
        <v>0</v>
      </c>
      <c r="K316" s="18">
        <v>234.21</v>
      </c>
      <c r="L316" s="18">
        <v>984033.49</v>
      </c>
      <c r="M316" t="s">
        <v>2661</v>
      </c>
    </row>
    <row r="317" spans="1:13" ht="15" thickBot="1" x14ac:dyDescent="0.35">
      <c r="A317" s="14">
        <v>310</v>
      </c>
      <c r="B317" s="15">
        <v>45435</v>
      </c>
      <c r="C317" s="15">
        <v>45435</v>
      </c>
      <c r="D317" s="16" t="s">
        <v>1192</v>
      </c>
      <c r="E317" s="16" t="s">
        <v>1193</v>
      </c>
      <c r="F317" s="16" t="s">
        <v>1419</v>
      </c>
      <c r="G317" s="16" t="s">
        <v>1197</v>
      </c>
      <c r="H317" s="14" t="str">
        <f>"20240523/141053"</f>
        <v>20240523/141053</v>
      </c>
      <c r="I317" s="19" t="str">
        <f t="shared" si="28"/>
        <v> </v>
      </c>
      <c r="J317" s="18">
        <v>0</v>
      </c>
      <c r="K317" s="18">
        <v>30378.35</v>
      </c>
      <c r="L317" s="18">
        <v>953655.14</v>
      </c>
    </row>
    <row r="318" spans="1:13" ht="15" thickBot="1" x14ac:dyDescent="0.35">
      <c r="A318" s="14">
        <v>311</v>
      </c>
      <c r="B318" s="15">
        <v>45435</v>
      </c>
      <c r="C318" s="15">
        <v>45435</v>
      </c>
      <c r="D318" s="16" t="s">
        <v>1192</v>
      </c>
      <c r="E318" s="16" t="s">
        <v>1193</v>
      </c>
      <c r="F318" s="16" t="s">
        <v>1420</v>
      </c>
      <c r="G318" s="16" t="s">
        <v>1197</v>
      </c>
      <c r="H318" s="14" t="str">
        <f>"20240523/141054"</f>
        <v>20240523/141054</v>
      </c>
      <c r="I318" s="19" t="str">
        <f t="shared" si="28"/>
        <v> </v>
      </c>
      <c r="J318" s="18">
        <v>0</v>
      </c>
      <c r="K318" s="18">
        <v>296546.05</v>
      </c>
      <c r="L318" s="18">
        <v>657109.09</v>
      </c>
    </row>
    <row r="319" spans="1:13" ht="15" thickBot="1" x14ac:dyDescent="0.35">
      <c r="A319" s="14">
        <v>312</v>
      </c>
      <c r="B319" s="15">
        <v>45435</v>
      </c>
      <c r="C319" s="15">
        <v>45435</v>
      </c>
      <c r="D319" s="16" t="s">
        <v>1192</v>
      </c>
      <c r="E319" s="16" t="s">
        <v>1193</v>
      </c>
      <c r="F319" s="16" t="s">
        <v>1421</v>
      </c>
      <c r="G319" s="16" t="s">
        <v>1197</v>
      </c>
      <c r="H319" s="14" t="str">
        <f>"20240523/36666"</f>
        <v>20240523/36666</v>
      </c>
      <c r="I319" s="19" t="str">
        <f t="shared" si="28"/>
        <v> </v>
      </c>
      <c r="J319" s="18">
        <v>234.21</v>
      </c>
      <c r="K319" s="18">
        <v>0</v>
      </c>
      <c r="L319" s="18">
        <v>657343.30000000005</v>
      </c>
      <c r="M319" t="s">
        <v>2658</v>
      </c>
    </row>
    <row r="320" spans="1:13" ht="15" thickBot="1" x14ac:dyDescent="0.35">
      <c r="A320" s="14">
        <v>313</v>
      </c>
      <c r="B320" s="15">
        <v>45435</v>
      </c>
      <c r="C320" s="15">
        <v>45435</v>
      </c>
      <c r="D320" s="16" t="s">
        <v>1192</v>
      </c>
      <c r="E320" s="16" t="s">
        <v>1193</v>
      </c>
      <c r="F320" s="16" t="s">
        <v>1422</v>
      </c>
      <c r="G320" s="16" t="s">
        <v>1197</v>
      </c>
      <c r="H320" s="14" t="str">
        <f>"20240523/46100"</f>
        <v>20240523/46100</v>
      </c>
      <c r="I320" s="19" t="str">
        <f t="shared" si="28"/>
        <v> </v>
      </c>
      <c r="J320" s="18">
        <v>21087.5</v>
      </c>
      <c r="K320" s="18">
        <v>0</v>
      </c>
      <c r="L320" s="18">
        <v>678430.8</v>
      </c>
    </row>
    <row r="321" spans="1:13" ht="15" thickBot="1" x14ac:dyDescent="0.35">
      <c r="A321" s="14">
        <v>314</v>
      </c>
      <c r="B321" s="15">
        <v>45435</v>
      </c>
      <c r="C321" s="15">
        <v>45435</v>
      </c>
      <c r="D321" s="16" t="s">
        <v>1192</v>
      </c>
      <c r="E321" s="16" t="s">
        <v>1193</v>
      </c>
      <c r="F321" s="16" t="s">
        <v>1423</v>
      </c>
      <c r="G321" s="16" t="s">
        <v>1197</v>
      </c>
      <c r="H321" s="14" t="str">
        <f>"20240523/46101"</f>
        <v>20240523/46101</v>
      </c>
      <c r="I321" s="19" t="str">
        <f t="shared" si="28"/>
        <v> </v>
      </c>
      <c r="J321" s="18">
        <v>288787.05</v>
      </c>
      <c r="K321" s="18">
        <v>0</v>
      </c>
      <c r="L321" s="18">
        <v>967217.85</v>
      </c>
    </row>
    <row r="322" spans="1:13" ht="15" thickBot="1" x14ac:dyDescent="0.35">
      <c r="A322" s="14">
        <v>315</v>
      </c>
      <c r="B322" s="15">
        <v>45435</v>
      </c>
      <c r="C322" s="15">
        <v>45436</v>
      </c>
      <c r="D322" s="16" t="s">
        <v>1192</v>
      </c>
      <c r="E322" s="16" t="s">
        <v>1193</v>
      </c>
      <c r="F322" s="16" t="s">
        <v>1424</v>
      </c>
      <c r="G322" s="16" t="s">
        <v>1197</v>
      </c>
      <c r="H322" s="14" t="str">
        <f>"20240523/243122"</f>
        <v>20240523/243122</v>
      </c>
      <c r="I322" s="19" t="str">
        <f>"2405006622090"</f>
        <v>2405006622090</v>
      </c>
      <c r="J322" s="18">
        <v>0</v>
      </c>
      <c r="K322" s="18">
        <v>76172.570000000007</v>
      </c>
      <c r="L322" s="18">
        <v>891045.28</v>
      </c>
    </row>
    <row r="323" spans="1:13" ht="15" thickBot="1" x14ac:dyDescent="0.35">
      <c r="A323" s="14">
        <v>316</v>
      </c>
      <c r="B323" s="15">
        <v>45435</v>
      </c>
      <c r="C323" s="15">
        <v>45436</v>
      </c>
      <c r="D323" s="16" t="s">
        <v>1192</v>
      </c>
      <c r="E323" s="16" t="s">
        <v>1193</v>
      </c>
      <c r="F323" s="16" t="s">
        <v>1425</v>
      </c>
      <c r="G323" s="16" t="s">
        <v>1197</v>
      </c>
      <c r="H323" s="14" t="str">
        <f>"20240523/243123"</f>
        <v>20240523/243123</v>
      </c>
      <c r="I323" s="19" t="str">
        <f>"2405006622090"</f>
        <v>2405006622090</v>
      </c>
      <c r="J323" s="18">
        <v>0</v>
      </c>
      <c r="K323" s="18">
        <v>45163.13</v>
      </c>
      <c r="L323" s="18">
        <v>845882.15</v>
      </c>
    </row>
    <row r="324" spans="1:13" ht="15" thickBot="1" x14ac:dyDescent="0.35">
      <c r="A324" s="14">
        <v>317</v>
      </c>
      <c r="B324" s="15">
        <v>45436</v>
      </c>
      <c r="C324" s="15">
        <v>45436</v>
      </c>
      <c r="D324" s="16" t="s">
        <v>1192</v>
      </c>
      <c r="E324" s="16" t="s">
        <v>1193</v>
      </c>
      <c r="F324" s="16" t="s">
        <v>1202</v>
      </c>
      <c r="G324" s="16" t="s">
        <v>1203</v>
      </c>
      <c r="H324" s="14" t="str">
        <f>"20240524/22666"</f>
        <v>20240524/22666</v>
      </c>
      <c r="I324" s="17" t="str">
        <f t="shared" ref="I324:I338" si="29">" "</f>
        <v> </v>
      </c>
      <c r="J324" s="18">
        <v>17480.43</v>
      </c>
      <c r="K324" s="18">
        <v>0</v>
      </c>
      <c r="L324" s="18">
        <v>863362.58</v>
      </c>
      <c r="M324" t="s">
        <v>2661</v>
      </c>
    </row>
    <row r="325" spans="1:13" ht="15" thickBot="1" x14ac:dyDescent="0.35">
      <c r="A325" s="14">
        <v>318</v>
      </c>
      <c r="B325" s="15">
        <v>45436</v>
      </c>
      <c r="C325" s="15">
        <v>45436</v>
      </c>
      <c r="D325" s="16" t="s">
        <v>1192</v>
      </c>
      <c r="E325" s="16" t="s">
        <v>1193</v>
      </c>
      <c r="F325" s="16" t="s">
        <v>1204</v>
      </c>
      <c r="G325" s="16" t="s">
        <v>1203</v>
      </c>
      <c r="H325" s="14" t="str">
        <f>"20240524/85493"</f>
        <v>20240524/85493</v>
      </c>
      <c r="I325" s="17" t="str">
        <f t="shared" si="29"/>
        <v> </v>
      </c>
      <c r="J325" s="18">
        <v>76406.78</v>
      </c>
      <c r="K325" s="18">
        <v>0</v>
      </c>
      <c r="L325" s="18">
        <v>939769.36</v>
      </c>
      <c r="M325" t="s">
        <v>2661</v>
      </c>
    </row>
    <row r="326" spans="1:13" ht="15" thickBot="1" x14ac:dyDescent="0.35">
      <c r="A326" s="14">
        <v>319</v>
      </c>
      <c r="B326" s="15">
        <v>45436</v>
      </c>
      <c r="C326" s="15">
        <v>45436</v>
      </c>
      <c r="D326" s="16" t="s">
        <v>1192</v>
      </c>
      <c r="E326" s="16" t="s">
        <v>1193</v>
      </c>
      <c r="F326" s="16" t="s">
        <v>1194</v>
      </c>
      <c r="G326" s="16" t="s">
        <v>1195</v>
      </c>
      <c r="H326" s="14" t="str">
        <f>"20240524/104157"</f>
        <v>20240524/104157</v>
      </c>
      <c r="I326" s="17" t="str">
        <f t="shared" si="29"/>
        <v> </v>
      </c>
      <c r="J326" s="18">
        <v>0</v>
      </c>
      <c r="K326" s="18">
        <v>1664.51</v>
      </c>
      <c r="L326" s="18">
        <v>938104.85</v>
      </c>
      <c r="M326" t="s">
        <v>2661</v>
      </c>
    </row>
    <row r="327" spans="1:13" ht="15" thickBot="1" x14ac:dyDescent="0.35">
      <c r="A327" s="14">
        <v>320</v>
      </c>
      <c r="B327" s="15">
        <v>45436</v>
      </c>
      <c r="C327" s="15">
        <v>45436</v>
      </c>
      <c r="D327" s="16" t="s">
        <v>1192</v>
      </c>
      <c r="E327" s="16" t="s">
        <v>1193</v>
      </c>
      <c r="F327" s="16" t="s">
        <v>1194</v>
      </c>
      <c r="G327" s="16" t="s">
        <v>1195</v>
      </c>
      <c r="H327" s="14" t="str">
        <f>"20240524/9721"</f>
        <v>20240524/9721</v>
      </c>
      <c r="I327" s="17" t="str">
        <f t="shared" si="29"/>
        <v> </v>
      </c>
      <c r="J327" s="18">
        <v>0</v>
      </c>
      <c r="K327" s="18">
        <v>234.21</v>
      </c>
      <c r="L327" s="18">
        <v>937870.64</v>
      </c>
      <c r="M327" t="s">
        <v>2661</v>
      </c>
    </row>
    <row r="328" spans="1:13" ht="15" thickBot="1" x14ac:dyDescent="0.35">
      <c r="A328" s="14">
        <v>321</v>
      </c>
      <c r="B328" s="15">
        <v>45436</v>
      </c>
      <c r="C328" s="15">
        <v>45436</v>
      </c>
      <c r="D328" s="16" t="s">
        <v>1192</v>
      </c>
      <c r="E328" s="16" t="s">
        <v>1193</v>
      </c>
      <c r="F328" s="16" t="s">
        <v>1426</v>
      </c>
      <c r="G328" s="16" t="s">
        <v>1197</v>
      </c>
      <c r="H328" s="14" t="str">
        <f>"20240524/308400"</f>
        <v>20240524/308400</v>
      </c>
      <c r="I328" s="19" t="str">
        <f t="shared" si="29"/>
        <v> </v>
      </c>
      <c r="J328" s="18">
        <v>234.21</v>
      </c>
      <c r="K328" s="18">
        <v>0</v>
      </c>
      <c r="L328" s="18">
        <v>938104.85</v>
      </c>
      <c r="M328" t="s">
        <v>2658</v>
      </c>
    </row>
    <row r="329" spans="1:13" ht="15" thickBot="1" x14ac:dyDescent="0.35">
      <c r="A329" s="14">
        <v>322</v>
      </c>
      <c r="B329" s="15">
        <v>45436</v>
      </c>
      <c r="C329" s="15">
        <v>45436</v>
      </c>
      <c r="D329" s="16" t="s">
        <v>1192</v>
      </c>
      <c r="E329" s="16" t="s">
        <v>1193</v>
      </c>
      <c r="F329" s="16" t="s">
        <v>1427</v>
      </c>
      <c r="G329" s="16" t="s">
        <v>1197</v>
      </c>
      <c r="H329" s="14" t="str">
        <f>"20240524/400956"</f>
        <v>20240524/400956</v>
      </c>
      <c r="I329" s="19" t="str">
        <f t="shared" si="29"/>
        <v> </v>
      </c>
      <c r="J329" s="18">
        <v>22899.200000000001</v>
      </c>
      <c r="K329" s="18">
        <v>0</v>
      </c>
      <c r="L329" s="18">
        <v>961004.05</v>
      </c>
    </row>
    <row r="330" spans="1:13" ht="15" thickBot="1" x14ac:dyDescent="0.35">
      <c r="A330" s="14">
        <v>323</v>
      </c>
      <c r="B330" s="15">
        <v>45436</v>
      </c>
      <c r="C330" s="15">
        <v>45436</v>
      </c>
      <c r="D330" s="16" t="s">
        <v>1192</v>
      </c>
      <c r="E330" s="16" t="s">
        <v>1193</v>
      </c>
      <c r="F330" s="16" t="s">
        <v>1428</v>
      </c>
      <c r="G330" s="16" t="s">
        <v>1197</v>
      </c>
      <c r="H330" s="14" t="str">
        <f>"20240524/400957"</f>
        <v>20240524/400957</v>
      </c>
      <c r="I330" s="19" t="str">
        <f t="shared" si="29"/>
        <v> </v>
      </c>
      <c r="J330" s="18">
        <v>288639.86</v>
      </c>
      <c r="K330" s="18">
        <v>0</v>
      </c>
      <c r="L330" s="18">
        <v>1249643.9099999999</v>
      </c>
    </row>
    <row r="331" spans="1:13" ht="15" thickBot="1" x14ac:dyDescent="0.35">
      <c r="A331" s="14">
        <v>324</v>
      </c>
      <c r="B331" s="15">
        <v>45436</v>
      </c>
      <c r="C331" s="15">
        <v>45436</v>
      </c>
      <c r="D331" s="16" t="s">
        <v>1192</v>
      </c>
      <c r="E331" s="16" t="s">
        <v>1193</v>
      </c>
      <c r="F331" s="16" t="s">
        <v>1429</v>
      </c>
      <c r="G331" s="16" t="s">
        <v>1197</v>
      </c>
      <c r="H331" s="14" t="str">
        <f>"20240524/454784"</f>
        <v>20240524/454784</v>
      </c>
      <c r="I331" s="19" t="str">
        <f t="shared" si="29"/>
        <v> </v>
      </c>
      <c r="J331" s="18">
        <v>0</v>
      </c>
      <c r="K331" s="18">
        <v>21087.5</v>
      </c>
      <c r="L331" s="18">
        <v>1228556.4099999999</v>
      </c>
    </row>
    <row r="332" spans="1:13" ht="15" thickBot="1" x14ac:dyDescent="0.35">
      <c r="A332" s="14">
        <v>325</v>
      </c>
      <c r="B332" s="15">
        <v>45436</v>
      </c>
      <c r="C332" s="15">
        <v>45436</v>
      </c>
      <c r="D332" s="16" t="s">
        <v>1192</v>
      </c>
      <c r="E332" s="16" t="s">
        <v>1193</v>
      </c>
      <c r="F332" s="16" t="s">
        <v>1430</v>
      </c>
      <c r="G332" s="16" t="s">
        <v>1197</v>
      </c>
      <c r="H332" s="14" t="str">
        <f>"20240524/454785"</f>
        <v>20240524/454785</v>
      </c>
      <c r="I332" s="19" t="str">
        <f t="shared" si="29"/>
        <v> </v>
      </c>
      <c r="J332" s="18">
        <v>0</v>
      </c>
      <c r="K332" s="18">
        <v>288787.05</v>
      </c>
      <c r="L332" s="18">
        <v>939769.36</v>
      </c>
    </row>
    <row r="333" spans="1:13" ht="15" thickBot="1" x14ac:dyDescent="0.35">
      <c r="A333" s="14">
        <v>326</v>
      </c>
      <c r="B333" s="15">
        <v>45439</v>
      </c>
      <c r="C333" s="15">
        <v>45439</v>
      </c>
      <c r="D333" s="16" t="s">
        <v>1192</v>
      </c>
      <c r="E333" s="16" t="s">
        <v>1193</v>
      </c>
      <c r="F333" s="16" t="s">
        <v>1194</v>
      </c>
      <c r="G333" s="16" t="s">
        <v>1195</v>
      </c>
      <c r="H333" s="14" t="str">
        <f>"20240527/35914"</f>
        <v>20240527/35914</v>
      </c>
      <c r="I333" s="17" t="str">
        <f t="shared" si="29"/>
        <v> </v>
      </c>
      <c r="J333" s="18">
        <v>0</v>
      </c>
      <c r="K333" s="18">
        <v>671.25</v>
      </c>
      <c r="L333" s="18">
        <v>939098.11</v>
      </c>
      <c r="M333" t="s">
        <v>2661</v>
      </c>
    </row>
    <row r="334" spans="1:13" ht="15" thickBot="1" x14ac:dyDescent="0.35">
      <c r="A334" s="14">
        <v>327</v>
      </c>
      <c r="B334" s="15">
        <v>45439</v>
      </c>
      <c r="C334" s="15">
        <v>45439</v>
      </c>
      <c r="D334" s="16" t="s">
        <v>1192</v>
      </c>
      <c r="E334" s="16" t="s">
        <v>1193</v>
      </c>
      <c r="F334" s="16" t="s">
        <v>1431</v>
      </c>
      <c r="G334" s="16" t="s">
        <v>1197</v>
      </c>
      <c r="H334" s="14" t="str">
        <f>"20240527/137437"</f>
        <v>20240527/137437</v>
      </c>
      <c r="I334" s="19" t="str">
        <f t="shared" si="29"/>
        <v> </v>
      </c>
      <c r="J334" s="18">
        <v>671.25</v>
      </c>
      <c r="K334" s="18">
        <v>0</v>
      </c>
      <c r="L334" s="18">
        <v>939769.36</v>
      </c>
      <c r="M334" t="s">
        <v>2658</v>
      </c>
    </row>
    <row r="335" spans="1:13" ht="15" thickBot="1" x14ac:dyDescent="0.35">
      <c r="A335" s="14">
        <v>328</v>
      </c>
      <c r="B335" s="15">
        <v>45439</v>
      </c>
      <c r="C335" s="15">
        <v>45439</v>
      </c>
      <c r="D335" s="16" t="s">
        <v>1192</v>
      </c>
      <c r="E335" s="16" t="s">
        <v>1193</v>
      </c>
      <c r="F335" s="16" t="s">
        <v>1432</v>
      </c>
      <c r="G335" s="16" t="s">
        <v>1197</v>
      </c>
      <c r="H335" s="14" t="str">
        <f>"20240527/199115"</f>
        <v>20240527/199115</v>
      </c>
      <c r="I335" s="19" t="str">
        <f t="shared" si="29"/>
        <v> </v>
      </c>
      <c r="J335" s="18">
        <v>18865</v>
      </c>
      <c r="K335" s="18">
        <v>0</v>
      </c>
      <c r="L335" s="18">
        <v>958634.36</v>
      </c>
    </row>
    <row r="336" spans="1:13" ht="15" thickBot="1" x14ac:dyDescent="0.35">
      <c r="A336" s="14">
        <v>329</v>
      </c>
      <c r="B336" s="15">
        <v>45439</v>
      </c>
      <c r="C336" s="15">
        <v>45439</v>
      </c>
      <c r="D336" s="16" t="s">
        <v>1192</v>
      </c>
      <c r="E336" s="16" t="s">
        <v>1193</v>
      </c>
      <c r="F336" s="16" t="s">
        <v>1433</v>
      </c>
      <c r="G336" s="16" t="s">
        <v>1197</v>
      </c>
      <c r="H336" s="14" t="str">
        <f>"20240527/199116"</f>
        <v>20240527/199116</v>
      </c>
      <c r="I336" s="19" t="str">
        <f t="shared" si="29"/>
        <v> </v>
      </c>
      <c r="J336" s="18">
        <v>275207.09999999998</v>
      </c>
      <c r="K336" s="18">
        <v>0</v>
      </c>
      <c r="L336" s="18">
        <v>1233841.46</v>
      </c>
    </row>
    <row r="337" spans="1:13" ht="15" thickBot="1" x14ac:dyDescent="0.35">
      <c r="A337" s="14">
        <v>330</v>
      </c>
      <c r="B337" s="15">
        <v>45439</v>
      </c>
      <c r="C337" s="15">
        <v>45439</v>
      </c>
      <c r="D337" s="16" t="s">
        <v>1192</v>
      </c>
      <c r="E337" s="16" t="s">
        <v>1193</v>
      </c>
      <c r="F337" s="16" t="s">
        <v>1434</v>
      </c>
      <c r="G337" s="16" t="s">
        <v>1197</v>
      </c>
      <c r="H337" s="14" t="str">
        <f>"20240527/255939"</f>
        <v>20240527/255939</v>
      </c>
      <c r="I337" s="19" t="str">
        <f t="shared" si="29"/>
        <v> </v>
      </c>
      <c r="J337" s="18">
        <v>0</v>
      </c>
      <c r="K337" s="18">
        <v>22899.200000000001</v>
      </c>
      <c r="L337" s="18">
        <v>1210942.26</v>
      </c>
    </row>
    <row r="338" spans="1:13" ht="15" thickBot="1" x14ac:dyDescent="0.35">
      <c r="A338" s="14">
        <v>331</v>
      </c>
      <c r="B338" s="15">
        <v>45439</v>
      </c>
      <c r="C338" s="15">
        <v>45439</v>
      </c>
      <c r="D338" s="16" t="s">
        <v>1192</v>
      </c>
      <c r="E338" s="16" t="s">
        <v>1193</v>
      </c>
      <c r="F338" s="16" t="s">
        <v>1435</v>
      </c>
      <c r="G338" s="16" t="s">
        <v>1197</v>
      </c>
      <c r="H338" s="14" t="str">
        <f>"20240527/255940"</f>
        <v>20240527/255940</v>
      </c>
      <c r="I338" s="19" t="str">
        <f t="shared" si="29"/>
        <v> </v>
      </c>
      <c r="J338" s="18">
        <v>0</v>
      </c>
      <c r="K338" s="18">
        <v>288639.86</v>
      </c>
      <c r="L338" s="18">
        <v>922302.4</v>
      </c>
    </row>
    <row r="339" spans="1:13" ht="15" thickBot="1" x14ac:dyDescent="0.35">
      <c r="A339" s="14">
        <v>332</v>
      </c>
      <c r="B339" s="15">
        <v>45439</v>
      </c>
      <c r="C339" s="15">
        <v>45440</v>
      </c>
      <c r="D339" s="16" t="s">
        <v>1192</v>
      </c>
      <c r="E339" s="16" t="s">
        <v>1193</v>
      </c>
      <c r="F339" s="16" t="s">
        <v>1436</v>
      </c>
      <c r="G339" s="16" t="s">
        <v>1197</v>
      </c>
      <c r="H339" s="14" t="str">
        <f>"20240527/369516"</f>
        <v>20240527/369516</v>
      </c>
      <c r="I339" s="19" t="str">
        <f>"2405007744783"</f>
        <v>2405007744783</v>
      </c>
      <c r="J339" s="18">
        <v>0</v>
      </c>
      <c r="K339" s="18">
        <v>13004.02</v>
      </c>
      <c r="L339" s="18">
        <v>909298.38</v>
      </c>
    </row>
    <row r="340" spans="1:13" ht="15" thickBot="1" x14ac:dyDescent="0.35">
      <c r="A340" s="14">
        <v>333</v>
      </c>
      <c r="B340" s="15">
        <v>45439</v>
      </c>
      <c r="C340" s="15">
        <v>45440</v>
      </c>
      <c r="D340" s="16" t="s">
        <v>1192</v>
      </c>
      <c r="E340" s="16" t="s">
        <v>1193</v>
      </c>
      <c r="F340" s="16" t="s">
        <v>1437</v>
      </c>
      <c r="G340" s="16" t="s">
        <v>1197</v>
      </c>
      <c r="H340" s="14" t="str">
        <f>"20240527/369517"</f>
        <v>20240527/369517</v>
      </c>
      <c r="I340" s="19" t="str">
        <f>"2405007744783"</f>
        <v>2405007744783</v>
      </c>
      <c r="J340" s="18">
        <v>0</v>
      </c>
      <c r="K340" s="18">
        <v>53352.05</v>
      </c>
      <c r="L340" s="18">
        <v>855946.33</v>
      </c>
    </row>
    <row r="341" spans="1:13" ht="15" thickBot="1" x14ac:dyDescent="0.35">
      <c r="A341" s="14">
        <v>334</v>
      </c>
      <c r="B341" s="15">
        <v>45440</v>
      </c>
      <c r="C341" s="15">
        <v>45440</v>
      </c>
      <c r="D341" s="16" t="s">
        <v>1192</v>
      </c>
      <c r="E341" s="16" t="s">
        <v>1193</v>
      </c>
      <c r="F341" s="16" t="s">
        <v>1202</v>
      </c>
      <c r="G341" s="16" t="s">
        <v>1203</v>
      </c>
      <c r="H341" s="14" t="str">
        <f>"20240528/1249"</f>
        <v>20240528/1249</v>
      </c>
      <c r="I341" s="17" t="str">
        <f t="shared" ref="I341:I348" si="30">" "</f>
        <v> </v>
      </c>
      <c r="J341" s="18">
        <v>20447.52</v>
      </c>
      <c r="K341" s="18">
        <v>0</v>
      </c>
      <c r="L341" s="18">
        <v>876393.85</v>
      </c>
      <c r="M341" t="s">
        <v>2661</v>
      </c>
    </row>
    <row r="342" spans="1:13" ht="15" thickBot="1" x14ac:dyDescent="0.35">
      <c r="A342" s="14">
        <v>335</v>
      </c>
      <c r="B342" s="15">
        <v>45440</v>
      </c>
      <c r="C342" s="15">
        <v>45440</v>
      </c>
      <c r="D342" s="16" t="s">
        <v>1192</v>
      </c>
      <c r="E342" s="16" t="s">
        <v>1193</v>
      </c>
      <c r="F342" s="16" t="s">
        <v>1204</v>
      </c>
      <c r="G342" s="16" t="s">
        <v>1203</v>
      </c>
      <c r="H342" s="14" t="str">
        <f>"20240528/15263"</f>
        <v>20240528/15263</v>
      </c>
      <c r="I342" s="17" t="str">
        <f t="shared" si="30"/>
        <v> </v>
      </c>
      <c r="J342" s="18">
        <v>13004.02</v>
      </c>
      <c r="K342" s="18">
        <v>0</v>
      </c>
      <c r="L342" s="18">
        <v>889397.87</v>
      </c>
      <c r="M342" t="s">
        <v>2661</v>
      </c>
    </row>
    <row r="343" spans="1:13" ht="15" thickBot="1" x14ac:dyDescent="0.35">
      <c r="A343" s="14">
        <v>336</v>
      </c>
      <c r="B343" s="15">
        <v>45440</v>
      </c>
      <c r="C343" s="15">
        <v>45440</v>
      </c>
      <c r="D343" s="16" t="s">
        <v>1192</v>
      </c>
      <c r="E343" s="16" t="s">
        <v>1193</v>
      </c>
      <c r="F343" s="16" t="s">
        <v>1194</v>
      </c>
      <c r="G343" s="16" t="s">
        <v>1195</v>
      </c>
      <c r="H343" s="14" t="str">
        <f>"20240528/18654"</f>
        <v>20240528/18654</v>
      </c>
      <c r="I343" s="17" t="str">
        <f t="shared" si="30"/>
        <v> </v>
      </c>
      <c r="J343" s="18">
        <v>0</v>
      </c>
      <c r="K343" s="18">
        <v>223.75</v>
      </c>
      <c r="L343" s="18">
        <v>889174.12</v>
      </c>
      <c r="M343" t="s">
        <v>2661</v>
      </c>
    </row>
    <row r="344" spans="1:13" ht="15" thickBot="1" x14ac:dyDescent="0.35">
      <c r="A344" s="14">
        <v>337</v>
      </c>
      <c r="B344" s="15">
        <v>45440</v>
      </c>
      <c r="C344" s="15">
        <v>45440</v>
      </c>
      <c r="D344" s="16" t="s">
        <v>1192</v>
      </c>
      <c r="E344" s="16" t="s">
        <v>1193</v>
      </c>
      <c r="F344" s="16" t="s">
        <v>1438</v>
      </c>
      <c r="G344" s="16" t="s">
        <v>1197</v>
      </c>
      <c r="H344" s="14" t="str">
        <f>"20240528/144540"</f>
        <v>20240528/144540</v>
      </c>
      <c r="I344" s="19" t="str">
        <f t="shared" si="30"/>
        <v> </v>
      </c>
      <c r="J344" s="18">
        <v>223.75</v>
      </c>
      <c r="K344" s="18">
        <v>0</v>
      </c>
      <c r="L344" s="18">
        <v>889397.87</v>
      </c>
      <c r="M344" t="s">
        <v>2658</v>
      </c>
    </row>
    <row r="345" spans="1:13" ht="15" thickBot="1" x14ac:dyDescent="0.35">
      <c r="A345" s="14">
        <v>338</v>
      </c>
      <c r="B345" s="15">
        <v>45440</v>
      </c>
      <c r="C345" s="15">
        <v>45440</v>
      </c>
      <c r="D345" s="16" t="s">
        <v>1192</v>
      </c>
      <c r="E345" s="16" t="s">
        <v>1193</v>
      </c>
      <c r="F345" s="16" t="s">
        <v>1439</v>
      </c>
      <c r="G345" s="16" t="s">
        <v>1197</v>
      </c>
      <c r="H345" s="14" t="str">
        <f>"20240528/170029"</f>
        <v>20240528/170029</v>
      </c>
      <c r="I345" s="19" t="str">
        <f t="shared" si="30"/>
        <v> </v>
      </c>
      <c r="J345" s="18">
        <v>21389.599999999999</v>
      </c>
      <c r="K345" s="18">
        <v>0</v>
      </c>
      <c r="L345" s="18">
        <v>910787.47</v>
      </c>
    </row>
    <row r="346" spans="1:13" ht="15" thickBot="1" x14ac:dyDescent="0.35">
      <c r="A346" s="14">
        <v>339</v>
      </c>
      <c r="B346" s="15">
        <v>45440</v>
      </c>
      <c r="C346" s="15">
        <v>45440</v>
      </c>
      <c r="D346" s="16" t="s">
        <v>1192</v>
      </c>
      <c r="E346" s="16" t="s">
        <v>1193</v>
      </c>
      <c r="F346" s="16" t="s">
        <v>1440</v>
      </c>
      <c r="G346" s="16" t="s">
        <v>1197</v>
      </c>
      <c r="H346" s="14" t="str">
        <f>"20240528/170030"</f>
        <v>20240528/170030</v>
      </c>
      <c r="I346" s="19" t="str">
        <f t="shared" si="30"/>
        <v> </v>
      </c>
      <c r="J346" s="18">
        <v>268234.88</v>
      </c>
      <c r="K346" s="18">
        <v>0</v>
      </c>
      <c r="L346" s="18">
        <v>1179022.3500000001</v>
      </c>
    </row>
    <row r="347" spans="1:13" ht="15" thickBot="1" x14ac:dyDescent="0.35">
      <c r="A347" s="14">
        <v>340</v>
      </c>
      <c r="B347" s="15">
        <v>45440</v>
      </c>
      <c r="C347" s="15">
        <v>45440</v>
      </c>
      <c r="D347" s="16" t="s">
        <v>1192</v>
      </c>
      <c r="E347" s="16" t="s">
        <v>1193</v>
      </c>
      <c r="F347" s="16" t="s">
        <v>1441</v>
      </c>
      <c r="G347" s="16" t="s">
        <v>1197</v>
      </c>
      <c r="H347" s="14" t="str">
        <f>"20240528/275421"</f>
        <v>20240528/275421</v>
      </c>
      <c r="I347" s="19" t="str">
        <f t="shared" si="30"/>
        <v> </v>
      </c>
      <c r="J347" s="18">
        <v>0</v>
      </c>
      <c r="K347" s="18">
        <v>18865</v>
      </c>
      <c r="L347" s="18">
        <v>1160157.3500000001</v>
      </c>
    </row>
    <row r="348" spans="1:13" ht="15" thickBot="1" x14ac:dyDescent="0.35">
      <c r="A348" s="14">
        <v>341</v>
      </c>
      <c r="B348" s="15">
        <v>45440</v>
      </c>
      <c r="C348" s="15">
        <v>45440</v>
      </c>
      <c r="D348" s="16" t="s">
        <v>1192</v>
      </c>
      <c r="E348" s="16" t="s">
        <v>1193</v>
      </c>
      <c r="F348" s="16" t="s">
        <v>1442</v>
      </c>
      <c r="G348" s="16" t="s">
        <v>1197</v>
      </c>
      <c r="H348" s="14" t="str">
        <f>"20240528/275422"</f>
        <v>20240528/275422</v>
      </c>
      <c r="I348" s="19" t="str">
        <f t="shared" si="30"/>
        <v> </v>
      </c>
      <c r="J348" s="18">
        <v>0</v>
      </c>
      <c r="K348" s="18">
        <v>275207.09999999998</v>
      </c>
      <c r="L348" s="18">
        <v>884950.25</v>
      </c>
    </row>
    <row r="349" spans="1:13" ht="15" thickBot="1" x14ac:dyDescent="0.35">
      <c r="A349" s="14">
        <v>342</v>
      </c>
      <c r="B349" s="15">
        <v>45440</v>
      </c>
      <c r="C349" s="15">
        <v>45441</v>
      </c>
      <c r="D349" s="16" t="s">
        <v>1192</v>
      </c>
      <c r="E349" s="16" t="s">
        <v>1193</v>
      </c>
      <c r="F349" s="16" t="s">
        <v>1443</v>
      </c>
      <c r="G349" s="16" t="s">
        <v>1197</v>
      </c>
      <c r="H349" s="14" t="str">
        <f>"20240528/365393"</f>
        <v>20240528/365393</v>
      </c>
      <c r="I349" s="19" t="str">
        <f>"2405008205512"</f>
        <v>2405008205512</v>
      </c>
      <c r="J349" s="18">
        <v>25376.34</v>
      </c>
      <c r="K349" s="18">
        <v>0</v>
      </c>
      <c r="L349" s="18">
        <v>910326.59</v>
      </c>
    </row>
    <row r="350" spans="1:13" ht="15" thickBot="1" x14ac:dyDescent="0.35">
      <c r="A350" s="14">
        <v>343</v>
      </c>
      <c r="B350" s="15">
        <v>45441</v>
      </c>
      <c r="C350" s="15">
        <v>45441</v>
      </c>
      <c r="D350" s="16" t="s">
        <v>1192</v>
      </c>
      <c r="E350" s="16" t="s">
        <v>1193</v>
      </c>
      <c r="F350" s="16" t="s">
        <v>1202</v>
      </c>
      <c r="G350" s="16" t="s">
        <v>1203</v>
      </c>
      <c r="H350" s="14" t="str">
        <f>"20240529/6681"</f>
        <v>20240529/6681</v>
      </c>
      <c r="I350" s="17" t="str">
        <f t="shared" ref="I350:I358" si="31">" "</f>
        <v> </v>
      </c>
      <c r="J350" s="18">
        <v>4447.62</v>
      </c>
      <c r="K350" s="18">
        <v>0</v>
      </c>
      <c r="L350" s="18">
        <v>914774.21</v>
      </c>
      <c r="M350" t="s">
        <v>2661</v>
      </c>
    </row>
    <row r="351" spans="1:13" ht="15" thickBot="1" x14ac:dyDescent="0.35">
      <c r="A351" s="14">
        <v>344</v>
      </c>
      <c r="B351" s="15">
        <v>45441</v>
      </c>
      <c r="C351" s="15">
        <v>45441</v>
      </c>
      <c r="D351" s="16" t="s">
        <v>1192</v>
      </c>
      <c r="E351" s="16" t="s">
        <v>1193</v>
      </c>
      <c r="F351" s="16" t="s">
        <v>1194</v>
      </c>
      <c r="G351" s="16" t="s">
        <v>1195</v>
      </c>
      <c r="H351" s="14" t="str">
        <f>"20240529/2117"</f>
        <v>20240529/2117</v>
      </c>
      <c r="I351" s="17" t="str">
        <f t="shared" si="31"/>
        <v> </v>
      </c>
      <c r="J351" s="18">
        <v>0</v>
      </c>
      <c r="K351" s="18">
        <v>212.03</v>
      </c>
      <c r="L351" s="18">
        <v>914562.18</v>
      </c>
      <c r="M351" t="s">
        <v>2661</v>
      </c>
    </row>
    <row r="352" spans="1:13" ht="15" thickBot="1" x14ac:dyDescent="0.35">
      <c r="A352" s="14">
        <v>345</v>
      </c>
      <c r="B352" s="15">
        <v>45441</v>
      </c>
      <c r="C352" s="15">
        <v>45441</v>
      </c>
      <c r="D352" s="16" t="s">
        <v>1192</v>
      </c>
      <c r="E352" s="16" t="s">
        <v>1193</v>
      </c>
      <c r="F352" s="16" t="s">
        <v>1249</v>
      </c>
      <c r="G352" s="16" t="s">
        <v>1195</v>
      </c>
      <c r="H352" s="14" t="str">
        <f>"20240529/83076"</f>
        <v>20240529/83076</v>
      </c>
      <c r="I352" s="17" t="str">
        <f t="shared" si="31"/>
        <v> </v>
      </c>
      <c r="J352" s="18">
        <v>0</v>
      </c>
      <c r="K352" s="18">
        <v>8834.81</v>
      </c>
      <c r="L352" s="18">
        <v>905727.37</v>
      </c>
      <c r="M352" t="s">
        <v>2661</v>
      </c>
    </row>
    <row r="353" spans="1:13" ht="15" thickBot="1" x14ac:dyDescent="0.35">
      <c r="A353" s="14">
        <v>346</v>
      </c>
      <c r="B353" s="15">
        <v>45441</v>
      </c>
      <c r="C353" s="15">
        <v>45441</v>
      </c>
      <c r="D353" s="16" t="s">
        <v>1192</v>
      </c>
      <c r="E353" s="16" t="s">
        <v>1193</v>
      </c>
      <c r="F353" s="16" t="s">
        <v>1194</v>
      </c>
      <c r="G353" s="16" t="s">
        <v>1195</v>
      </c>
      <c r="H353" s="14" t="str">
        <f>"20240529/90020"</f>
        <v>20240529/90020</v>
      </c>
      <c r="I353" s="17" t="str">
        <f t="shared" si="31"/>
        <v> </v>
      </c>
      <c r="J353" s="18">
        <v>0</v>
      </c>
      <c r="K353" s="18">
        <v>361.65</v>
      </c>
      <c r="L353" s="18">
        <v>905365.72</v>
      </c>
      <c r="M353" t="s">
        <v>2661</v>
      </c>
    </row>
    <row r="354" spans="1:13" ht="15" thickBot="1" x14ac:dyDescent="0.35">
      <c r="A354" s="14">
        <v>347</v>
      </c>
      <c r="B354" s="15">
        <v>45441</v>
      </c>
      <c r="C354" s="15">
        <v>45441</v>
      </c>
      <c r="D354" s="16" t="s">
        <v>1192</v>
      </c>
      <c r="E354" s="16" t="s">
        <v>1193</v>
      </c>
      <c r="F354" s="16" t="s">
        <v>1444</v>
      </c>
      <c r="G354" s="16" t="s">
        <v>1197</v>
      </c>
      <c r="H354" s="14" t="str">
        <f>"20240529/112082"</f>
        <v>20240529/112082</v>
      </c>
      <c r="I354" s="19" t="str">
        <f t="shared" si="31"/>
        <v> </v>
      </c>
      <c r="J354" s="18">
        <v>212.03</v>
      </c>
      <c r="K354" s="18">
        <v>0</v>
      </c>
      <c r="L354" s="18">
        <v>905577.75</v>
      </c>
      <c r="M354" t="s">
        <v>2658</v>
      </c>
    </row>
    <row r="355" spans="1:13" ht="15" thickBot="1" x14ac:dyDescent="0.35">
      <c r="A355" s="14">
        <v>348</v>
      </c>
      <c r="B355" s="15">
        <v>45441</v>
      </c>
      <c r="C355" s="15">
        <v>45441</v>
      </c>
      <c r="D355" s="16" t="s">
        <v>1192</v>
      </c>
      <c r="E355" s="16" t="s">
        <v>1193</v>
      </c>
      <c r="F355" s="16" t="s">
        <v>1445</v>
      </c>
      <c r="G355" s="16" t="s">
        <v>1197</v>
      </c>
      <c r="H355" s="14" t="str">
        <f>"20240529/206305"</f>
        <v>20240529/206305</v>
      </c>
      <c r="I355" s="19" t="str">
        <f t="shared" si="31"/>
        <v> </v>
      </c>
      <c r="J355" s="18">
        <v>268342.58</v>
      </c>
      <c r="K355" s="18">
        <v>0</v>
      </c>
      <c r="L355" s="18">
        <v>1173920.33</v>
      </c>
    </row>
    <row r="356" spans="1:13" ht="15" thickBot="1" x14ac:dyDescent="0.35">
      <c r="A356" s="14">
        <v>349</v>
      </c>
      <c r="B356" s="15">
        <v>45441</v>
      </c>
      <c r="C356" s="15">
        <v>45441</v>
      </c>
      <c r="D356" s="16" t="s">
        <v>1192</v>
      </c>
      <c r="E356" s="16" t="s">
        <v>1193</v>
      </c>
      <c r="F356" s="16" t="s">
        <v>1446</v>
      </c>
      <c r="G356" s="16" t="s">
        <v>1197</v>
      </c>
      <c r="H356" s="14" t="str">
        <f>"20240529/206306"</f>
        <v>20240529/206306</v>
      </c>
      <c r="I356" s="19" t="str">
        <f t="shared" si="31"/>
        <v> </v>
      </c>
      <c r="J356" s="18">
        <v>21643.55</v>
      </c>
      <c r="K356" s="18">
        <v>0</v>
      </c>
      <c r="L356" s="18">
        <v>1195563.8799999999</v>
      </c>
    </row>
    <row r="357" spans="1:13" ht="15" thickBot="1" x14ac:dyDescent="0.35">
      <c r="A357" s="14">
        <v>350</v>
      </c>
      <c r="B357" s="15">
        <v>45441</v>
      </c>
      <c r="C357" s="15">
        <v>45441</v>
      </c>
      <c r="D357" s="16" t="s">
        <v>1192</v>
      </c>
      <c r="E357" s="16" t="s">
        <v>1193</v>
      </c>
      <c r="F357" s="16" t="s">
        <v>1447</v>
      </c>
      <c r="G357" s="16" t="s">
        <v>1197</v>
      </c>
      <c r="H357" s="14" t="str">
        <f>"20240529/254373"</f>
        <v>20240529/254373</v>
      </c>
      <c r="I357" s="19" t="str">
        <f t="shared" si="31"/>
        <v> </v>
      </c>
      <c r="J357" s="18">
        <v>0</v>
      </c>
      <c r="K357" s="18">
        <v>21389.599999999999</v>
      </c>
      <c r="L357" s="18">
        <v>1174174.28</v>
      </c>
    </row>
    <row r="358" spans="1:13" ht="15" thickBot="1" x14ac:dyDescent="0.35">
      <c r="A358" s="14">
        <v>351</v>
      </c>
      <c r="B358" s="15">
        <v>45441</v>
      </c>
      <c r="C358" s="15">
        <v>45441</v>
      </c>
      <c r="D358" s="16" t="s">
        <v>1192</v>
      </c>
      <c r="E358" s="16" t="s">
        <v>1193</v>
      </c>
      <c r="F358" s="16" t="s">
        <v>1448</v>
      </c>
      <c r="G358" s="16" t="s">
        <v>1197</v>
      </c>
      <c r="H358" s="14" t="str">
        <f>"20240529/254374"</f>
        <v>20240529/254374</v>
      </c>
      <c r="I358" s="19" t="str">
        <f t="shared" si="31"/>
        <v> </v>
      </c>
      <c r="J358" s="18">
        <v>0</v>
      </c>
      <c r="K358" s="18">
        <v>268234.88</v>
      </c>
      <c r="L358" s="18">
        <v>905939.4</v>
      </c>
    </row>
    <row r="359" spans="1:13" ht="15" thickBot="1" x14ac:dyDescent="0.35">
      <c r="A359" s="14">
        <v>352</v>
      </c>
      <c r="B359" s="15">
        <v>45441</v>
      </c>
      <c r="C359" s="15">
        <v>45442</v>
      </c>
      <c r="D359" s="16" t="s">
        <v>1192</v>
      </c>
      <c r="E359" s="16" t="s">
        <v>1193</v>
      </c>
      <c r="F359" s="16" t="s">
        <v>1449</v>
      </c>
      <c r="G359" s="16" t="s">
        <v>1197</v>
      </c>
      <c r="H359" s="14" t="str">
        <f>"20240529/345439"</f>
        <v>20240529/345439</v>
      </c>
      <c r="I359" s="19" t="str">
        <f>"2405008640624"</f>
        <v>2405008640624</v>
      </c>
      <c r="J359" s="18">
        <v>8834.81</v>
      </c>
      <c r="K359" s="18">
        <v>0</v>
      </c>
      <c r="L359" s="18">
        <v>914774.21</v>
      </c>
    </row>
    <row r="360" spans="1:13" ht="15" thickBot="1" x14ac:dyDescent="0.35">
      <c r="A360" s="14">
        <v>353</v>
      </c>
      <c r="B360" s="15">
        <v>45442</v>
      </c>
      <c r="C360" s="15">
        <v>45442</v>
      </c>
      <c r="D360" s="16" t="s">
        <v>1192</v>
      </c>
      <c r="E360" s="16" t="s">
        <v>1193</v>
      </c>
      <c r="F360" s="16" t="s">
        <v>1194</v>
      </c>
      <c r="G360" s="16" t="s">
        <v>1195</v>
      </c>
      <c r="H360" s="14" t="str">
        <f>"20240530/105592"</f>
        <v>20240530/105592</v>
      </c>
      <c r="I360" s="17" t="str">
        <f t="shared" ref="I360:I367" si="32">" "</f>
        <v> </v>
      </c>
      <c r="J360" s="18">
        <v>0</v>
      </c>
      <c r="K360" s="18">
        <v>34142.21</v>
      </c>
      <c r="L360" s="18">
        <v>880632</v>
      </c>
      <c r="M360" t="s">
        <v>2661</v>
      </c>
    </row>
    <row r="361" spans="1:13" ht="15" thickBot="1" x14ac:dyDescent="0.35">
      <c r="A361" s="14">
        <v>354</v>
      </c>
      <c r="B361" s="15">
        <v>45442</v>
      </c>
      <c r="C361" s="15">
        <v>45442</v>
      </c>
      <c r="D361" s="16" t="s">
        <v>1192</v>
      </c>
      <c r="E361" s="16" t="s">
        <v>1193</v>
      </c>
      <c r="F361" s="16" t="s">
        <v>1249</v>
      </c>
      <c r="G361" s="16" t="s">
        <v>1195</v>
      </c>
      <c r="H361" s="14" t="str">
        <f>"20240530/97077"</f>
        <v>20240530/97077</v>
      </c>
      <c r="I361" s="17" t="str">
        <f t="shared" si="32"/>
        <v> </v>
      </c>
      <c r="J361" s="18">
        <v>0</v>
      </c>
      <c r="K361" s="18">
        <v>46179.82</v>
      </c>
      <c r="L361" s="18">
        <v>834452.18</v>
      </c>
      <c r="M361" t="s">
        <v>2661</v>
      </c>
    </row>
    <row r="362" spans="1:13" ht="15" thickBot="1" x14ac:dyDescent="0.35">
      <c r="A362" s="14">
        <v>355</v>
      </c>
      <c r="B362" s="15">
        <v>45442</v>
      </c>
      <c r="C362" s="15">
        <v>45442</v>
      </c>
      <c r="D362" s="16" t="s">
        <v>1192</v>
      </c>
      <c r="E362" s="16" t="s">
        <v>1193</v>
      </c>
      <c r="F362" s="16" t="s">
        <v>1194</v>
      </c>
      <c r="G362" s="16" t="s">
        <v>1195</v>
      </c>
      <c r="H362" s="14" t="str">
        <f>"20240530/9788"</f>
        <v>20240530/9788</v>
      </c>
      <c r="I362" s="17" t="str">
        <f t="shared" si="32"/>
        <v> </v>
      </c>
      <c r="J362" s="18">
        <v>0</v>
      </c>
      <c r="K362" s="18">
        <v>222.53</v>
      </c>
      <c r="L362" s="18">
        <v>834229.65</v>
      </c>
      <c r="M362" t="s">
        <v>2661</v>
      </c>
    </row>
    <row r="363" spans="1:13" ht="15" thickBot="1" x14ac:dyDescent="0.35">
      <c r="A363" s="14">
        <v>356</v>
      </c>
      <c r="B363" s="15">
        <v>45442</v>
      </c>
      <c r="C363" s="15">
        <v>45442</v>
      </c>
      <c r="D363" s="16" t="s">
        <v>1192</v>
      </c>
      <c r="E363" s="16" t="s">
        <v>1193</v>
      </c>
      <c r="F363" s="16" t="s">
        <v>1450</v>
      </c>
      <c r="G363" s="16" t="s">
        <v>1197</v>
      </c>
      <c r="H363" s="14" t="str">
        <f>"20240530/124820"</f>
        <v>20240530/124820</v>
      </c>
      <c r="I363" s="19" t="str">
        <f t="shared" si="32"/>
        <v> </v>
      </c>
      <c r="J363" s="18">
        <v>222.53</v>
      </c>
      <c r="K363" s="18">
        <v>0</v>
      </c>
      <c r="L363" s="18">
        <v>834452.18</v>
      </c>
      <c r="M363" t="s">
        <v>2658</v>
      </c>
    </row>
    <row r="364" spans="1:13" ht="15" thickBot="1" x14ac:dyDescent="0.35">
      <c r="A364" s="14">
        <v>357</v>
      </c>
      <c r="B364" s="15">
        <v>45442</v>
      </c>
      <c r="C364" s="15">
        <v>45442</v>
      </c>
      <c r="D364" s="16" t="s">
        <v>1192</v>
      </c>
      <c r="E364" s="16" t="s">
        <v>1193</v>
      </c>
      <c r="F364" s="16" t="s">
        <v>1451</v>
      </c>
      <c r="G364" s="16" t="s">
        <v>1197</v>
      </c>
      <c r="H364" s="14" t="str">
        <f>"20240530/141955"</f>
        <v>20240530/141955</v>
      </c>
      <c r="I364" s="19" t="str">
        <f t="shared" si="32"/>
        <v> </v>
      </c>
      <c r="J364" s="18">
        <v>29663.65</v>
      </c>
      <c r="K364" s="18">
        <v>0</v>
      </c>
      <c r="L364" s="18">
        <v>864115.83</v>
      </c>
    </row>
    <row r="365" spans="1:13" ht="15" thickBot="1" x14ac:dyDescent="0.35">
      <c r="A365" s="14">
        <v>358</v>
      </c>
      <c r="B365" s="15">
        <v>45442</v>
      </c>
      <c r="C365" s="15">
        <v>45442</v>
      </c>
      <c r="D365" s="16" t="s">
        <v>1192</v>
      </c>
      <c r="E365" s="16" t="s">
        <v>1193</v>
      </c>
      <c r="F365" s="16" t="s">
        <v>1452</v>
      </c>
      <c r="G365" s="16" t="s">
        <v>1197</v>
      </c>
      <c r="H365" s="14" t="str">
        <f>"20240530/141956"</f>
        <v>20240530/141956</v>
      </c>
      <c r="I365" s="19" t="str">
        <f t="shared" si="32"/>
        <v> </v>
      </c>
      <c r="J365" s="18">
        <v>294464.69</v>
      </c>
      <c r="K365" s="18">
        <v>0</v>
      </c>
      <c r="L365" s="18">
        <v>1158580.52</v>
      </c>
    </row>
    <row r="366" spans="1:13" ht="15" thickBot="1" x14ac:dyDescent="0.35">
      <c r="A366" s="14">
        <v>359</v>
      </c>
      <c r="B366" s="15">
        <v>45442</v>
      </c>
      <c r="C366" s="15">
        <v>45442</v>
      </c>
      <c r="D366" s="16" t="s">
        <v>1192</v>
      </c>
      <c r="E366" s="16" t="s">
        <v>1193</v>
      </c>
      <c r="F366" s="16" t="s">
        <v>1453</v>
      </c>
      <c r="G366" s="16" t="s">
        <v>1197</v>
      </c>
      <c r="H366" s="14" t="str">
        <f>"20240530/242815"</f>
        <v>20240530/242815</v>
      </c>
      <c r="I366" s="19" t="str">
        <f t="shared" si="32"/>
        <v> </v>
      </c>
      <c r="J366" s="18">
        <v>0</v>
      </c>
      <c r="K366" s="18">
        <v>268342.58</v>
      </c>
      <c r="L366" s="18">
        <v>890237.94</v>
      </c>
    </row>
    <row r="367" spans="1:13" ht="15" thickBot="1" x14ac:dyDescent="0.35">
      <c r="A367" s="14">
        <v>360</v>
      </c>
      <c r="B367" s="15">
        <v>45442</v>
      </c>
      <c r="C367" s="15">
        <v>45442</v>
      </c>
      <c r="D367" s="16" t="s">
        <v>1192</v>
      </c>
      <c r="E367" s="16" t="s">
        <v>1193</v>
      </c>
      <c r="F367" s="16" t="s">
        <v>1454</v>
      </c>
      <c r="G367" s="16" t="s">
        <v>1197</v>
      </c>
      <c r="H367" s="14" t="str">
        <f>"20240530/242816"</f>
        <v>20240530/242816</v>
      </c>
      <c r="I367" s="19" t="str">
        <f t="shared" si="32"/>
        <v> </v>
      </c>
      <c r="J367" s="18">
        <v>0</v>
      </c>
      <c r="K367" s="18">
        <v>21643.55</v>
      </c>
      <c r="L367" s="18">
        <v>868594.39</v>
      </c>
    </row>
    <row r="368" spans="1:13" ht="15" thickBot="1" x14ac:dyDescent="0.35">
      <c r="A368" s="14">
        <v>361</v>
      </c>
      <c r="B368" s="15">
        <v>45442</v>
      </c>
      <c r="C368" s="15">
        <v>45443</v>
      </c>
      <c r="D368" s="16" t="s">
        <v>1192</v>
      </c>
      <c r="E368" s="16" t="s">
        <v>1193</v>
      </c>
      <c r="F368" s="16" t="s">
        <v>1455</v>
      </c>
      <c r="G368" s="16" t="s">
        <v>1197</v>
      </c>
      <c r="H368" s="14" t="str">
        <f>"20240530/343550"</f>
        <v>20240530/343550</v>
      </c>
      <c r="I368" s="19" t="str">
        <f>"2405009075970"</f>
        <v>2405009075970</v>
      </c>
      <c r="J368" s="18">
        <v>46179.82</v>
      </c>
      <c r="K368" s="18">
        <v>0</v>
      </c>
      <c r="L368" s="18">
        <v>914774.21</v>
      </c>
    </row>
    <row r="369" spans="1:13" ht="15" thickBot="1" x14ac:dyDescent="0.35">
      <c r="A369" s="14">
        <v>362</v>
      </c>
      <c r="B369" s="15">
        <v>45442</v>
      </c>
      <c r="C369" s="15">
        <v>45443</v>
      </c>
      <c r="D369" s="16" t="s">
        <v>1192</v>
      </c>
      <c r="E369" s="16" t="s">
        <v>1193</v>
      </c>
      <c r="F369" s="16" t="s">
        <v>1456</v>
      </c>
      <c r="G369" s="16" t="s">
        <v>1197</v>
      </c>
      <c r="H369" s="14" t="str">
        <f>"20240530/343551"</f>
        <v>20240530/343551</v>
      </c>
      <c r="I369" s="19" t="str">
        <f>"2405009075970"</f>
        <v>2405009075970</v>
      </c>
      <c r="J369" s="18">
        <v>84956.57</v>
      </c>
      <c r="K369" s="18">
        <v>0</v>
      </c>
      <c r="L369" s="18">
        <v>999730.78</v>
      </c>
    </row>
    <row r="370" spans="1:13" ht="15" thickBot="1" x14ac:dyDescent="0.35">
      <c r="A370" s="14">
        <v>363</v>
      </c>
      <c r="B370" s="15">
        <v>45443</v>
      </c>
      <c r="C370" s="15">
        <v>45443</v>
      </c>
      <c r="D370" s="16" t="s">
        <v>1192</v>
      </c>
      <c r="E370" s="16" t="s">
        <v>1193</v>
      </c>
      <c r="F370" s="16" t="s">
        <v>1194</v>
      </c>
      <c r="G370" s="16" t="s">
        <v>1195</v>
      </c>
      <c r="H370" s="14" t="str">
        <f>"20240531/111611"</f>
        <v>20240531/111611</v>
      </c>
      <c r="I370" s="17" t="str">
        <f t="shared" ref="I370:I377" si="33">" "</f>
        <v> </v>
      </c>
      <c r="J370" s="18">
        <v>0</v>
      </c>
      <c r="K370" s="18">
        <v>24526.1</v>
      </c>
      <c r="L370" s="18">
        <v>975204.68</v>
      </c>
      <c r="M370" t="s">
        <v>2661</v>
      </c>
    </row>
    <row r="371" spans="1:13" ht="15" thickBot="1" x14ac:dyDescent="0.35">
      <c r="A371" s="14">
        <v>364</v>
      </c>
      <c r="B371" s="15">
        <v>45443</v>
      </c>
      <c r="C371" s="15">
        <v>45443</v>
      </c>
      <c r="D371" s="16" t="s">
        <v>1192</v>
      </c>
      <c r="E371" s="16" t="s">
        <v>1193</v>
      </c>
      <c r="F371" s="16" t="s">
        <v>1194</v>
      </c>
      <c r="G371" s="16" t="s">
        <v>1195</v>
      </c>
      <c r="H371" s="14" t="str">
        <f>"20240531/13790"</f>
        <v>20240531/13790</v>
      </c>
      <c r="I371" s="17" t="str">
        <f t="shared" si="33"/>
        <v> </v>
      </c>
      <c r="J371" s="18">
        <v>0</v>
      </c>
      <c r="K371" s="18">
        <v>210.37</v>
      </c>
      <c r="L371" s="18">
        <v>974994.31</v>
      </c>
      <c r="M371" t="s">
        <v>2661</v>
      </c>
    </row>
    <row r="372" spans="1:13" ht="15" thickBot="1" x14ac:dyDescent="0.35">
      <c r="A372" s="14">
        <v>365</v>
      </c>
      <c r="B372" s="15">
        <v>45443</v>
      </c>
      <c r="C372" s="15">
        <v>45443</v>
      </c>
      <c r="D372" s="16" t="s">
        <v>1192</v>
      </c>
      <c r="E372" s="16" t="s">
        <v>1193</v>
      </c>
      <c r="F372" s="16" t="s">
        <v>1249</v>
      </c>
      <c r="G372" s="16" t="s">
        <v>1195</v>
      </c>
      <c r="H372" s="14" t="str">
        <f>"20240531/73410"</f>
        <v>20240531/73410</v>
      </c>
      <c r="I372" s="17" t="str">
        <f t="shared" si="33"/>
        <v> </v>
      </c>
      <c r="J372" s="18">
        <v>0</v>
      </c>
      <c r="K372" s="18">
        <v>47962.91</v>
      </c>
      <c r="L372" s="18">
        <v>927031.4</v>
      </c>
      <c r="M372" t="s">
        <v>2661</v>
      </c>
    </row>
    <row r="373" spans="1:13" ht="15" thickBot="1" x14ac:dyDescent="0.35">
      <c r="A373" s="14">
        <v>366</v>
      </c>
      <c r="B373" s="15">
        <v>45443</v>
      </c>
      <c r="C373" s="15">
        <v>45443</v>
      </c>
      <c r="D373" s="16" t="s">
        <v>1192</v>
      </c>
      <c r="E373" s="16" t="s">
        <v>1193</v>
      </c>
      <c r="F373" s="16" t="s">
        <v>1457</v>
      </c>
      <c r="G373" s="16" t="s">
        <v>1197</v>
      </c>
      <c r="H373" s="14" t="str">
        <f>"20240531/109793"</f>
        <v>20240531/109793</v>
      </c>
      <c r="I373" s="19" t="str">
        <f t="shared" si="33"/>
        <v> </v>
      </c>
      <c r="J373" s="18">
        <v>210.37</v>
      </c>
      <c r="K373" s="18">
        <v>0</v>
      </c>
      <c r="L373" s="18">
        <v>927241.77</v>
      </c>
      <c r="M373" t="s">
        <v>2658</v>
      </c>
    </row>
    <row r="374" spans="1:13" ht="15" thickBot="1" x14ac:dyDescent="0.35">
      <c r="A374" s="14">
        <v>367</v>
      </c>
      <c r="B374" s="15">
        <v>45443</v>
      </c>
      <c r="C374" s="15">
        <v>45443</v>
      </c>
      <c r="D374" s="16" t="s">
        <v>1192</v>
      </c>
      <c r="E374" s="16" t="s">
        <v>1193</v>
      </c>
      <c r="F374" s="16" t="s">
        <v>1458</v>
      </c>
      <c r="G374" s="16" t="s">
        <v>1197</v>
      </c>
      <c r="H374" s="14" t="str">
        <f>"20240531/162965"</f>
        <v>20240531/162965</v>
      </c>
      <c r="I374" s="19" t="str">
        <f t="shared" si="33"/>
        <v> </v>
      </c>
      <c r="J374" s="18">
        <v>321887.39</v>
      </c>
      <c r="K374" s="18">
        <v>0</v>
      </c>
      <c r="L374" s="18">
        <v>1249129.1599999999</v>
      </c>
    </row>
    <row r="375" spans="1:13" ht="15" thickBot="1" x14ac:dyDescent="0.35">
      <c r="A375" s="14">
        <v>368</v>
      </c>
      <c r="B375" s="15">
        <v>45443</v>
      </c>
      <c r="C375" s="15">
        <v>45443</v>
      </c>
      <c r="D375" s="16" t="s">
        <v>1192</v>
      </c>
      <c r="E375" s="16" t="s">
        <v>1193</v>
      </c>
      <c r="F375" s="16" t="s">
        <v>1459</v>
      </c>
      <c r="G375" s="16" t="s">
        <v>1197</v>
      </c>
      <c r="H375" s="14" t="str">
        <f>"20240531/162966"</f>
        <v>20240531/162966</v>
      </c>
      <c r="I375" s="19" t="str">
        <f t="shared" si="33"/>
        <v> </v>
      </c>
      <c r="J375" s="18">
        <v>26768.05</v>
      </c>
      <c r="K375" s="18">
        <v>0</v>
      </c>
      <c r="L375" s="18">
        <v>1275897.21</v>
      </c>
    </row>
    <row r="376" spans="1:13" ht="15" thickBot="1" x14ac:dyDescent="0.35">
      <c r="A376" s="14">
        <v>369</v>
      </c>
      <c r="B376" s="15">
        <v>45443</v>
      </c>
      <c r="C376" s="15">
        <v>45443</v>
      </c>
      <c r="D376" s="16" t="s">
        <v>1192</v>
      </c>
      <c r="E376" s="16" t="s">
        <v>1193</v>
      </c>
      <c r="F376" s="16" t="s">
        <v>1460</v>
      </c>
      <c r="G376" s="16" t="s">
        <v>1197</v>
      </c>
      <c r="H376" s="14" t="str">
        <f>"20240531/260451"</f>
        <v>20240531/260451</v>
      </c>
      <c r="I376" s="19" t="str">
        <f t="shared" si="33"/>
        <v> </v>
      </c>
      <c r="J376" s="18">
        <v>0</v>
      </c>
      <c r="K376" s="18">
        <v>29663.65</v>
      </c>
      <c r="L376" s="18">
        <v>1246233.56</v>
      </c>
    </row>
    <row r="377" spans="1:13" ht="15" thickBot="1" x14ac:dyDescent="0.35">
      <c r="A377" s="14">
        <v>370</v>
      </c>
      <c r="B377" s="15">
        <v>45443</v>
      </c>
      <c r="C377" s="15">
        <v>45443</v>
      </c>
      <c r="D377" s="16" t="s">
        <v>1192</v>
      </c>
      <c r="E377" s="16" t="s">
        <v>1193</v>
      </c>
      <c r="F377" s="16" t="s">
        <v>1461</v>
      </c>
      <c r="G377" s="16" t="s">
        <v>1197</v>
      </c>
      <c r="H377" s="14" t="str">
        <f>"20240531/260452"</f>
        <v>20240531/260452</v>
      </c>
      <c r="I377" s="19" t="str">
        <f t="shared" si="33"/>
        <v> </v>
      </c>
      <c r="J377" s="18">
        <v>0</v>
      </c>
      <c r="K377" s="18">
        <v>294464.69</v>
      </c>
      <c r="L377" s="18">
        <v>951768.87</v>
      </c>
    </row>
    <row r="378" spans="1:13" ht="15" thickBot="1" x14ac:dyDescent="0.35">
      <c r="A378" s="14">
        <v>371</v>
      </c>
      <c r="B378" s="15">
        <v>45443</v>
      </c>
      <c r="C378" s="15">
        <v>45446</v>
      </c>
      <c r="D378" s="16" t="s">
        <v>1192</v>
      </c>
      <c r="E378" s="16" t="s">
        <v>1193</v>
      </c>
      <c r="F378" s="16" t="s">
        <v>1462</v>
      </c>
      <c r="G378" s="16" t="s">
        <v>1197</v>
      </c>
      <c r="H378" s="14" t="str">
        <f>"20240531/333778"</f>
        <v>20240531/333778</v>
      </c>
      <c r="I378" s="19" t="str">
        <f>"2405009515035"</f>
        <v>2405009515035</v>
      </c>
      <c r="J378" s="18">
        <v>47962.91</v>
      </c>
      <c r="K378" s="18">
        <v>0</v>
      </c>
      <c r="L378" s="18">
        <v>999731.78</v>
      </c>
    </row>
    <row r="379" spans="1:13" ht="15" thickBot="1" x14ac:dyDescent="0.35">
      <c r="A379" s="14">
        <v>372</v>
      </c>
      <c r="B379" s="15">
        <v>45443</v>
      </c>
      <c r="C379" s="15">
        <v>45446</v>
      </c>
      <c r="D379" s="16" t="s">
        <v>1192</v>
      </c>
      <c r="E379" s="16" t="s">
        <v>1193</v>
      </c>
      <c r="F379" s="16" t="s">
        <v>1463</v>
      </c>
      <c r="G379" s="16" t="s">
        <v>1197</v>
      </c>
      <c r="H379" s="14" t="str">
        <f>"20240531/333779"</f>
        <v>20240531/333779</v>
      </c>
      <c r="I379" s="19" t="str">
        <f>"2405009515035"</f>
        <v>2405009515035</v>
      </c>
      <c r="J379" s="18">
        <v>93352.06</v>
      </c>
      <c r="K379" s="18">
        <v>0</v>
      </c>
      <c r="L379" s="18">
        <v>1093083.8400000001</v>
      </c>
    </row>
    <row r="380" spans="1:13" ht="15" thickBot="1" x14ac:dyDescent="0.35">
      <c r="A380" s="14">
        <v>373</v>
      </c>
      <c r="B380" s="15">
        <v>45446</v>
      </c>
      <c r="C380" s="15">
        <v>45446</v>
      </c>
      <c r="D380" s="16" t="s">
        <v>1192</v>
      </c>
      <c r="E380" s="16" t="s">
        <v>1193</v>
      </c>
      <c r="F380" s="16" t="s">
        <v>1194</v>
      </c>
      <c r="G380" s="16" t="s">
        <v>1195</v>
      </c>
      <c r="H380" s="14" t="str">
        <f>"20240603/16901"</f>
        <v>20240603/16901</v>
      </c>
      <c r="I380" s="17" t="str">
        <f t="shared" ref="I380:I414" si="34">" "</f>
        <v> </v>
      </c>
      <c r="J380" s="18">
        <v>0</v>
      </c>
      <c r="K380" s="18">
        <v>695.67</v>
      </c>
      <c r="L380" s="18">
        <v>1092388.17</v>
      </c>
      <c r="M380" t="s">
        <v>2661</v>
      </c>
    </row>
    <row r="381" spans="1:13" ht="15" thickBot="1" x14ac:dyDescent="0.35">
      <c r="A381" s="14">
        <v>374</v>
      </c>
      <c r="B381" s="15">
        <v>45446</v>
      </c>
      <c r="C381" s="15">
        <v>45446</v>
      </c>
      <c r="D381" s="16" t="s">
        <v>1192</v>
      </c>
      <c r="E381" s="16" t="s">
        <v>1193</v>
      </c>
      <c r="F381" s="16" t="s">
        <v>1464</v>
      </c>
      <c r="G381" s="16" t="s">
        <v>1197</v>
      </c>
      <c r="H381" s="14" t="str">
        <f>"20240603/127419"</f>
        <v>20240603/127419</v>
      </c>
      <c r="I381" s="19" t="str">
        <f t="shared" si="34"/>
        <v> </v>
      </c>
      <c r="J381" s="18">
        <v>695.67</v>
      </c>
      <c r="K381" s="18">
        <v>0</v>
      </c>
      <c r="L381" s="18">
        <v>1093083.8400000001</v>
      </c>
      <c r="M381" t="s">
        <v>2658</v>
      </c>
    </row>
    <row r="382" spans="1:13" ht="15" thickBot="1" x14ac:dyDescent="0.35">
      <c r="A382" s="14">
        <v>375</v>
      </c>
      <c r="B382" s="15">
        <v>45446</v>
      </c>
      <c r="C382" s="15">
        <v>45446</v>
      </c>
      <c r="D382" s="16" t="s">
        <v>1192</v>
      </c>
      <c r="E382" s="16" t="s">
        <v>1193</v>
      </c>
      <c r="F382" s="16" t="s">
        <v>1465</v>
      </c>
      <c r="G382" s="16" t="s">
        <v>1197</v>
      </c>
      <c r="H382" s="14" t="str">
        <f>"20240603/198333"</f>
        <v>20240603/198333</v>
      </c>
      <c r="I382" s="19" t="str">
        <f t="shared" si="34"/>
        <v> </v>
      </c>
      <c r="J382" s="18">
        <v>324187.48</v>
      </c>
      <c r="K382" s="18">
        <v>0</v>
      </c>
      <c r="L382" s="18">
        <v>1417271.32</v>
      </c>
    </row>
    <row r="383" spans="1:13" ht="15" thickBot="1" x14ac:dyDescent="0.35">
      <c r="A383" s="14">
        <v>376</v>
      </c>
      <c r="B383" s="15">
        <v>45446</v>
      </c>
      <c r="C383" s="15">
        <v>45446</v>
      </c>
      <c r="D383" s="16" t="s">
        <v>1192</v>
      </c>
      <c r="E383" s="16" t="s">
        <v>1193</v>
      </c>
      <c r="F383" s="16" t="s">
        <v>1466</v>
      </c>
      <c r="G383" s="16" t="s">
        <v>1197</v>
      </c>
      <c r="H383" s="14" t="str">
        <f>"20240603/198334"</f>
        <v>20240603/198334</v>
      </c>
      <c r="I383" s="19" t="str">
        <f t="shared" si="34"/>
        <v> </v>
      </c>
      <c r="J383" s="18">
        <v>15589.9</v>
      </c>
      <c r="K383" s="18">
        <v>0</v>
      </c>
      <c r="L383" s="18">
        <v>1432861.22</v>
      </c>
    </row>
    <row r="384" spans="1:13" ht="15" thickBot="1" x14ac:dyDescent="0.35">
      <c r="A384" s="14">
        <v>377</v>
      </c>
      <c r="B384" s="15">
        <v>45446</v>
      </c>
      <c r="C384" s="15">
        <v>45446</v>
      </c>
      <c r="D384" s="16" t="s">
        <v>1192</v>
      </c>
      <c r="E384" s="16" t="s">
        <v>1193</v>
      </c>
      <c r="F384" s="16" t="s">
        <v>1467</v>
      </c>
      <c r="G384" s="16" t="s">
        <v>1197</v>
      </c>
      <c r="H384" s="14" t="str">
        <f>"20240603/231160"</f>
        <v>20240603/231160</v>
      </c>
      <c r="I384" s="19" t="str">
        <f t="shared" si="34"/>
        <v> </v>
      </c>
      <c r="J384" s="18">
        <v>0</v>
      </c>
      <c r="K384" s="18">
        <v>321887.39</v>
      </c>
      <c r="L384" s="18">
        <v>1110973.83</v>
      </c>
    </row>
    <row r="385" spans="1:13" ht="15" thickBot="1" x14ac:dyDescent="0.35">
      <c r="A385" s="14">
        <v>378</v>
      </c>
      <c r="B385" s="15">
        <v>45446</v>
      </c>
      <c r="C385" s="15">
        <v>45446</v>
      </c>
      <c r="D385" s="16" t="s">
        <v>1192</v>
      </c>
      <c r="E385" s="16" t="s">
        <v>1193</v>
      </c>
      <c r="F385" s="16" t="s">
        <v>1468</v>
      </c>
      <c r="G385" s="16" t="s">
        <v>1197</v>
      </c>
      <c r="H385" s="14" t="str">
        <f>"20240603/231161"</f>
        <v>20240603/231161</v>
      </c>
      <c r="I385" s="19" t="str">
        <f t="shared" si="34"/>
        <v> </v>
      </c>
      <c r="J385" s="18">
        <v>0</v>
      </c>
      <c r="K385" s="18">
        <v>26768.05</v>
      </c>
      <c r="L385" s="18">
        <v>1084205.78</v>
      </c>
    </row>
    <row r="386" spans="1:13" ht="15" thickBot="1" x14ac:dyDescent="0.35">
      <c r="A386" s="14">
        <v>379</v>
      </c>
      <c r="B386" s="15">
        <v>45447</v>
      </c>
      <c r="C386" s="15">
        <v>45447</v>
      </c>
      <c r="D386" s="16" t="s">
        <v>1192</v>
      </c>
      <c r="E386" s="16" t="s">
        <v>1193</v>
      </c>
      <c r="F386" s="16" t="s">
        <v>1202</v>
      </c>
      <c r="G386" s="16" t="s">
        <v>1203</v>
      </c>
      <c r="H386" s="14" t="str">
        <f>"20240604/25053"</f>
        <v>20240604/25053</v>
      </c>
      <c r="I386" s="17" t="str">
        <f t="shared" si="34"/>
        <v> </v>
      </c>
      <c r="J386" s="18">
        <v>8878.06</v>
      </c>
      <c r="K386" s="18">
        <v>0</v>
      </c>
      <c r="L386" s="18">
        <v>1093083.8400000001</v>
      </c>
      <c r="M386" t="s">
        <v>2661</v>
      </c>
    </row>
    <row r="387" spans="1:13" ht="15" thickBot="1" x14ac:dyDescent="0.35">
      <c r="A387" s="14">
        <v>380</v>
      </c>
      <c r="B387" s="15">
        <v>45447</v>
      </c>
      <c r="C387" s="15">
        <v>45447</v>
      </c>
      <c r="D387" s="16" t="s">
        <v>1192</v>
      </c>
      <c r="E387" s="16" t="s">
        <v>1193</v>
      </c>
      <c r="F387" s="16" t="s">
        <v>1194</v>
      </c>
      <c r="G387" s="16" t="s">
        <v>1195</v>
      </c>
      <c r="H387" s="14" t="str">
        <f>"20240604/231553"</f>
        <v>20240604/231553</v>
      </c>
      <c r="I387" s="17" t="str">
        <f t="shared" si="34"/>
        <v> </v>
      </c>
      <c r="J387" s="18">
        <v>0</v>
      </c>
      <c r="K387" s="18">
        <v>37486.519999999997</v>
      </c>
      <c r="L387" s="18">
        <v>1055597.32</v>
      </c>
      <c r="M387" t="s">
        <v>2661</v>
      </c>
    </row>
    <row r="388" spans="1:13" ht="15" thickBot="1" x14ac:dyDescent="0.35">
      <c r="A388" s="14">
        <v>381</v>
      </c>
      <c r="B388" s="15">
        <v>45447</v>
      </c>
      <c r="C388" s="15">
        <v>45447</v>
      </c>
      <c r="D388" s="16" t="s">
        <v>1192</v>
      </c>
      <c r="E388" s="16" t="s">
        <v>1193</v>
      </c>
      <c r="F388" s="16" t="s">
        <v>1194</v>
      </c>
      <c r="G388" s="16" t="s">
        <v>1195</v>
      </c>
      <c r="H388" s="14" t="str">
        <f>"20240604/39776"</f>
        <v>20240604/39776</v>
      </c>
      <c r="I388" s="17" t="str">
        <f t="shared" si="34"/>
        <v> </v>
      </c>
      <c r="J388" s="18">
        <v>0</v>
      </c>
      <c r="K388" s="18">
        <v>265.14</v>
      </c>
      <c r="L388" s="18">
        <v>1055332.18</v>
      </c>
      <c r="M388" t="s">
        <v>2661</v>
      </c>
    </row>
    <row r="389" spans="1:13" ht="15" thickBot="1" x14ac:dyDescent="0.35">
      <c r="A389" s="14">
        <v>382</v>
      </c>
      <c r="B389" s="15">
        <v>45447</v>
      </c>
      <c r="C389" s="15">
        <v>45447</v>
      </c>
      <c r="D389" s="16" t="s">
        <v>1192</v>
      </c>
      <c r="E389" s="16" t="s">
        <v>1193</v>
      </c>
      <c r="F389" s="16" t="s">
        <v>1469</v>
      </c>
      <c r="G389" s="16" t="s">
        <v>1197</v>
      </c>
      <c r="H389" s="14" t="str">
        <f>"20240604/208650"</f>
        <v>20240604/208650</v>
      </c>
      <c r="I389" s="19" t="str">
        <f t="shared" si="34"/>
        <v> </v>
      </c>
      <c r="J389" s="18">
        <v>265.14</v>
      </c>
      <c r="K389" s="18">
        <v>0</v>
      </c>
      <c r="L389" s="18">
        <v>1055597.32</v>
      </c>
      <c r="M389" t="s">
        <v>2658</v>
      </c>
    </row>
    <row r="390" spans="1:13" ht="15" thickBot="1" x14ac:dyDescent="0.35">
      <c r="A390" s="14">
        <v>383</v>
      </c>
      <c r="B390" s="15">
        <v>45447</v>
      </c>
      <c r="C390" s="15">
        <v>45447</v>
      </c>
      <c r="D390" s="16" t="s">
        <v>1192</v>
      </c>
      <c r="E390" s="16" t="s">
        <v>1193</v>
      </c>
      <c r="F390" s="16" t="s">
        <v>1470</v>
      </c>
      <c r="G390" s="16" t="s">
        <v>1197</v>
      </c>
      <c r="H390" s="14" t="str">
        <f>"20240604/258112"</f>
        <v>20240604/258112</v>
      </c>
      <c r="I390" s="19" t="str">
        <f t="shared" si="34"/>
        <v> </v>
      </c>
      <c r="J390" s="18">
        <v>57541.9</v>
      </c>
      <c r="K390" s="18">
        <v>0</v>
      </c>
      <c r="L390" s="18">
        <v>1113139.22</v>
      </c>
    </row>
    <row r="391" spans="1:13" ht="15" thickBot="1" x14ac:dyDescent="0.35">
      <c r="A391" s="14">
        <v>384</v>
      </c>
      <c r="B391" s="15">
        <v>45447</v>
      </c>
      <c r="C391" s="15">
        <v>45447</v>
      </c>
      <c r="D391" s="16" t="s">
        <v>1192</v>
      </c>
      <c r="E391" s="16" t="s">
        <v>1193</v>
      </c>
      <c r="F391" s="16" t="s">
        <v>1471</v>
      </c>
      <c r="G391" s="16" t="s">
        <v>1197</v>
      </c>
      <c r="H391" s="14" t="str">
        <f>"20240604/258113"</f>
        <v>20240604/258113</v>
      </c>
      <c r="I391" s="19" t="str">
        <f t="shared" si="34"/>
        <v> </v>
      </c>
      <c r="J391" s="18">
        <v>319722</v>
      </c>
      <c r="K391" s="18">
        <v>0</v>
      </c>
      <c r="L391" s="18">
        <v>1432861.22</v>
      </c>
    </row>
    <row r="392" spans="1:13" ht="15" thickBot="1" x14ac:dyDescent="0.35">
      <c r="A392" s="14">
        <v>385</v>
      </c>
      <c r="B392" s="15">
        <v>45447</v>
      </c>
      <c r="C392" s="15">
        <v>45447</v>
      </c>
      <c r="D392" s="16" t="s">
        <v>1192</v>
      </c>
      <c r="E392" s="16" t="s">
        <v>1193</v>
      </c>
      <c r="F392" s="16" t="s">
        <v>1472</v>
      </c>
      <c r="G392" s="16" t="s">
        <v>1197</v>
      </c>
      <c r="H392" s="14" t="str">
        <f>"20240604/320967"</f>
        <v>20240604/320967</v>
      </c>
      <c r="I392" s="19" t="str">
        <f t="shared" si="34"/>
        <v> </v>
      </c>
      <c r="J392" s="18">
        <v>0</v>
      </c>
      <c r="K392" s="18">
        <v>324187.48</v>
      </c>
      <c r="L392" s="18">
        <v>1108673.74</v>
      </c>
    </row>
    <row r="393" spans="1:13" ht="15" thickBot="1" x14ac:dyDescent="0.35">
      <c r="A393" s="14">
        <v>386</v>
      </c>
      <c r="B393" s="15">
        <v>45447</v>
      </c>
      <c r="C393" s="15">
        <v>45447</v>
      </c>
      <c r="D393" s="16" t="s">
        <v>1192</v>
      </c>
      <c r="E393" s="16" t="s">
        <v>1193</v>
      </c>
      <c r="F393" s="16" t="s">
        <v>1473</v>
      </c>
      <c r="G393" s="16" t="s">
        <v>1197</v>
      </c>
      <c r="H393" s="14" t="str">
        <f>"20240604/320968"</f>
        <v>20240604/320968</v>
      </c>
      <c r="I393" s="19" t="str">
        <f t="shared" si="34"/>
        <v> </v>
      </c>
      <c r="J393" s="18">
        <v>0</v>
      </c>
      <c r="K393" s="18">
        <v>15589.9</v>
      </c>
      <c r="L393" s="18">
        <v>1093083.8400000001</v>
      </c>
    </row>
    <row r="394" spans="1:13" ht="15" thickBot="1" x14ac:dyDescent="0.35">
      <c r="A394" s="14">
        <v>387</v>
      </c>
      <c r="B394" s="15">
        <v>45448</v>
      </c>
      <c r="C394" s="15">
        <v>45448</v>
      </c>
      <c r="D394" s="16" t="s">
        <v>1192</v>
      </c>
      <c r="E394" s="16" t="s">
        <v>1193</v>
      </c>
      <c r="F394" s="16" t="s">
        <v>1194</v>
      </c>
      <c r="G394" s="16" t="s">
        <v>1195</v>
      </c>
      <c r="H394" s="14" t="str">
        <f>"20240605/38915"</f>
        <v>20240605/38915</v>
      </c>
      <c r="I394" s="17" t="str">
        <f t="shared" si="34"/>
        <v> </v>
      </c>
      <c r="J394" s="18">
        <v>0</v>
      </c>
      <c r="K394" s="18">
        <v>254.95</v>
      </c>
      <c r="L394" s="18">
        <v>1092828.8899999999</v>
      </c>
      <c r="M394" t="s">
        <v>2661</v>
      </c>
    </row>
    <row r="395" spans="1:13" ht="15" thickBot="1" x14ac:dyDescent="0.35">
      <c r="A395" s="14">
        <v>388</v>
      </c>
      <c r="B395" s="15">
        <v>45448</v>
      </c>
      <c r="C395" s="15">
        <v>45448</v>
      </c>
      <c r="D395" s="16" t="s">
        <v>1192</v>
      </c>
      <c r="E395" s="16" t="s">
        <v>1193</v>
      </c>
      <c r="F395" s="16" t="s">
        <v>1474</v>
      </c>
      <c r="G395" s="16" t="s">
        <v>1197</v>
      </c>
      <c r="H395" s="14" t="str">
        <f>"20240605/132613"</f>
        <v>20240605/132613</v>
      </c>
      <c r="I395" s="19" t="str">
        <f t="shared" si="34"/>
        <v> </v>
      </c>
      <c r="J395" s="18">
        <v>254.95</v>
      </c>
      <c r="K395" s="18">
        <v>0</v>
      </c>
      <c r="L395" s="18">
        <v>1093083.8400000001</v>
      </c>
      <c r="M395" t="s">
        <v>2658</v>
      </c>
    </row>
    <row r="396" spans="1:13" ht="15" thickBot="1" x14ac:dyDescent="0.35">
      <c r="A396" s="14">
        <v>389</v>
      </c>
      <c r="B396" s="15">
        <v>45448</v>
      </c>
      <c r="C396" s="15">
        <v>45448</v>
      </c>
      <c r="D396" s="16" t="s">
        <v>1192</v>
      </c>
      <c r="E396" s="16" t="s">
        <v>1193</v>
      </c>
      <c r="F396" s="16" t="s">
        <v>1475</v>
      </c>
      <c r="G396" s="16" t="s">
        <v>1197</v>
      </c>
      <c r="H396" s="14" t="str">
        <f>"20240605/188459"</f>
        <v>20240605/188459</v>
      </c>
      <c r="I396" s="19" t="str">
        <f t="shared" si="34"/>
        <v> </v>
      </c>
      <c r="J396" s="18">
        <v>24566.65</v>
      </c>
      <c r="K396" s="18">
        <v>0</v>
      </c>
      <c r="L396" s="18">
        <v>1117650.49</v>
      </c>
    </row>
    <row r="397" spans="1:13" ht="15" thickBot="1" x14ac:dyDescent="0.35">
      <c r="A397" s="14">
        <v>390</v>
      </c>
      <c r="B397" s="15">
        <v>45448</v>
      </c>
      <c r="C397" s="15">
        <v>45448</v>
      </c>
      <c r="D397" s="16" t="s">
        <v>1192</v>
      </c>
      <c r="E397" s="16" t="s">
        <v>1193</v>
      </c>
      <c r="F397" s="16" t="s">
        <v>1476</v>
      </c>
      <c r="G397" s="16" t="s">
        <v>1197</v>
      </c>
      <c r="H397" s="14" t="str">
        <f>"20240605/188460"</f>
        <v>20240605/188460</v>
      </c>
      <c r="I397" s="19" t="str">
        <f t="shared" si="34"/>
        <v> </v>
      </c>
      <c r="J397" s="18">
        <v>329467.09999999998</v>
      </c>
      <c r="K397" s="18">
        <v>0</v>
      </c>
      <c r="L397" s="18">
        <v>1447117.59</v>
      </c>
    </row>
    <row r="398" spans="1:13" ht="15" thickBot="1" x14ac:dyDescent="0.35">
      <c r="A398" s="14">
        <v>391</v>
      </c>
      <c r="B398" s="15">
        <v>45448</v>
      </c>
      <c r="C398" s="15">
        <v>45448</v>
      </c>
      <c r="D398" s="16" t="s">
        <v>1192</v>
      </c>
      <c r="E398" s="16" t="s">
        <v>1193</v>
      </c>
      <c r="F398" s="16" t="s">
        <v>1477</v>
      </c>
      <c r="G398" s="16" t="s">
        <v>1197</v>
      </c>
      <c r="H398" s="14" t="str">
        <f>"20240605/294071"</f>
        <v>20240605/294071</v>
      </c>
      <c r="I398" s="19" t="str">
        <f t="shared" si="34"/>
        <v> </v>
      </c>
      <c r="J398" s="18">
        <v>0</v>
      </c>
      <c r="K398" s="18">
        <v>57541.9</v>
      </c>
      <c r="L398" s="18">
        <v>1389575.69</v>
      </c>
    </row>
    <row r="399" spans="1:13" ht="15" thickBot="1" x14ac:dyDescent="0.35">
      <c r="A399" s="14">
        <v>392</v>
      </c>
      <c r="B399" s="15">
        <v>45448</v>
      </c>
      <c r="C399" s="15">
        <v>45448</v>
      </c>
      <c r="D399" s="16" t="s">
        <v>1192</v>
      </c>
      <c r="E399" s="16" t="s">
        <v>1193</v>
      </c>
      <c r="F399" s="16" t="s">
        <v>1478</v>
      </c>
      <c r="G399" s="16" t="s">
        <v>1197</v>
      </c>
      <c r="H399" s="14" t="str">
        <f>"20240605/294072"</f>
        <v>20240605/294072</v>
      </c>
      <c r="I399" s="19" t="str">
        <f t="shared" si="34"/>
        <v> </v>
      </c>
      <c r="J399" s="18">
        <v>0</v>
      </c>
      <c r="K399" s="18">
        <v>319722</v>
      </c>
      <c r="L399" s="18">
        <v>1069853.69</v>
      </c>
    </row>
    <row r="400" spans="1:13" ht="15" thickBot="1" x14ac:dyDescent="0.35">
      <c r="A400" s="14">
        <v>393</v>
      </c>
      <c r="B400" s="15">
        <v>45449</v>
      </c>
      <c r="C400" s="15">
        <v>45449</v>
      </c>
      <c r="D400" s="16" t="s">
        <v>1192</v>
      </c>
      <c r="E400" s="16" t="s">
        <v>1193</v>
      </c>
      <c r="F400" s="16" t="s">
        <v>1202</v>
      </c>
      <c r="G400" s="16" t="s">
        <v>1203</v>
      </c>
      <c r="H400" s="14" t="str">
        <f>"20240606/14805"</f>
        <v>20240606/14805</v>
      </c>
      <c r="I400" s="17" t="str">
        <f t="shared" si="34"/>
        <v> </v>
      </c>
      <c r="J400" s="18">
        <v>23230.15</v>
      </c>
      <c r="K400" s="18">
        <v>0</v>
      </c>
      <c r="L400" s="18">
        <v>1093083.8400000001</v>
      </c>
      <c r="M400" t="s">
        <v>2661</v>
      </c>
    </row>
    <row r="401" spans="1:13" ht="15" thickBot="1" x14ac:dyDescent="0.35">
      <c r="A401" s="14">
        <v>394</v>
      </c>
      <c r="B401" s="15">
        <v>45449</v>
      </c>
      <c r="C401" s="15">
        <v>45449</v>
      </c>
      <c r="D401" s="16" t="s">
        <v>1192</v>
      </c>
      <c r="E401" s="16" t="s">
        <v>1193</v>
      </c>
      <c r="F401" s="16" t="s">
        <v>1194</v>
      </c>
      <c r="G401" s="16" t="s">
        <v>1195</v>
      </c>
      <c r="H401" s="14" t="str">
        <f>"20240606/32164"</f>
        <v>20240606/32164</v>
      </c>
      <c r="I401" s="17" t="str">
        <f t="shared" si="34"/>
        <v> </v>
      </c>
      <c r="J401" s="18">
        <v>0</v>
      </c>
      <c r="K401" s="18">
        <v>254.95</v>
      </c>
      <c r="L401" s="18">
        <v>1092828.8899999999</v>
      </c>
      <c r="M401" t="s">
        <v>2661</v>
      </c>
    </row>
    <row r="402" spans="1:13" ht="15" thickBot="1" x14ac:dyDescent="0.35">
      <c r="A402" s="14">
        <v>395</v>
      </c>
      <c r="B402" s="15">
        <v>45449</v>
      </c>
      <c r="C402" s="15">
        <v>45449</v>
      </c>
      <c r="D402" s="16" t="s">
        <v>1192</v>
      </c>
      <c r="E402" s="16" t="s">
        <v>1193</v>
      </c>
      <c r="F402" s="16" t="s">
        <v>1479</v>
      </c>
      <c r="G402" s="16" t="s">
        <v>1197</v>
      </c>
      <c r="H402" s="14" t="str">
        <f>"20240606/157189"</f>
        <v>20240606/157189</v>
      </c>
      <c r="I402" s="19" t="str">
        <f t="shared" si="34"/>
        <v> </v>
      </c>
      <c r="J402" s="18">
        <v>254.95</v>
      </c>
      <c r="K402" s="18">
        <v>0</v>
      </c>
      <c r="L402" s="18">
        <v>1093083.8400000001</v>
      </c>
      <c r="M402" t="s">
        <v>2658</v>
      </c>
    </row>
    <row r="403" spans="1:13" ht="15" thickBot="1" x14ac:dyDescent="0.35">
      <c r="A403" s="14">
        <v>396</v>
      </c>
      <c r="B403" s="15">
        <v>45449</v>
      </c>
      <c r="C403" s="15">
        <v>45449</v>
      </c>
      <c r="D403" s="16" t="s">
        <v>1192</v>
      </c>
      <c r="E403" s="16" t="s">
        <v>1193</v>
      </c>
      <c r="F403" s="16" t="s">
        <v>1480</v>
      </c>
      <c r="G403" s="16" t="s">
        <v>1197</v>
      </c>
      <c r="H403" s="14" t="str">
        <f>"20240606/222459"</f>
        <v>20240606/222459</v>
      </c>
      <c r="I403" s="19" t="str">
        <f t="shared" si="34"/>
        <v> </v>
      </c>
      <c r="J403" s="18">
        <v>330709.8</v>
      </c>
      <c r="K403" s="18">
        <v>0</v>
      </c>
      <c r="L403" s="18">
        <v>1423793.64</v>
      </c>
    </row>
    <row r="404" spans="1:13" ht="15" thickBot="1" x14ac:dyDescent="0.35">
      <c r="A404" s="14">
        <v>397</v>
      </c>
      <c r="B404" s="15">
        <v>45449</v>
      </c>
      <c r="C404" s="15">
        <v>45449</v>
      </c>
      <c r="D404" s="16" t="s">
        <v>1192</v>
      </c>
      <c r="E404" s="16" t="s">
        <v>1193</v>
      </c>
      <c r="F404" s="16" t="s">
        <v>1481</v>
      </c>
      <c r="G404" s="16" t="s">
        <v>1197</v>
      </c>
      <c r="H404" s="14" t="str">
        <f>"20240606/222460"</f>
        <v>20240606/222460</v>
      </c>
      <c r="I404" s="19" t="str">
        <f t="shared" si="34"/>
        <v> </v>
      </c>
      <c r="J404" s="18">
        <v>21629.4</v>
      </c>
      <c r="K404" s="18">
        <v>0</v>
      </c>
      <c r="L404" s="18">
        <v>1445423.04</v>
      </c>
    </row>
    <row r="405" spans="1:13" ht="15" thickBot="1" x14ac:dyDescent="0.35">
      <c r="A405" s="14">
        <v>398</v>
      </c>
      <c r="B405" s="15">
        <v>45449</v>
      </c>
      <c r="C405" s="15">
        <v>45449</v>
      </c>
      <c r="D405" s="16" t="s">
        <v>1192</v>
      </c>
      <c r="E405" s="16" t="s">
        <v>1193</v>
      </c>
      <c r="F405" s="16" t="s">
        <v>1482</v>
      </c>
      <c r="G405" s="16" t="s">
        <v>1197</v>
      </c>
      <c r="H405" s="14" t="str">
        <f>"20240606/280941"</f>
        <v>20240606/280941</v>
      </c>
      <c r="I405" s="19" t="str">
        <f t="shared" si="34"/>
        <v> </v>
      </c>
      <c r="J405" s="18">
        <v>0</v>
      </c>
      <c r="K405" s="18">
        <v>24566.65</v>
      </c>
      <c r="L405" s="18">
        <v>1420856.39</v>
      </c>
    </row>
    <row r="406" spans="1:13" ht="15" thickBot="1" x14ac:dyDescent="0.35">
      <c r="A406" s="14">
        <v>399</v>
      </c>
      <c r="B406" s="15">
        <v>45449</v>
      </c>
      <c r="C406" s="15">
        <v>45449</v>
      </c>
      <c r="D406" s="16" t="s">
        <v>1192</v>
      </c>
      <c r="E406" s="16" t="s">
        <v>1193</v>
      </c>
      <c r="F406" s="16" t="s">
        <v>1483</v>
      </c>
      <c r="G406" s="16" t="s">
        <v>1197</v>
      </c>
      <c r="H406" s="14" t="str">
        <f>"20240606/280942"</f>
        <v>20240606/280942</v>
      </c>
      <c r="I406" s="19" t="str">
        <f t="shared" si="34"/>
        <v> </v>
      </c>
      <c r="J406" s="18">
        <v>0</v>
      </c>
      <c r="K406" s="18">
        <v>329467.09999999998</v>
      </c>
      <c r="L406" s="18">
        <v>1091389.29</v>
      </c>
    </row>
    <row r="407" spans="1:13" ht="15" thickBot="1" x14ac:dyDescent="0.35">
      <c r="A407" s="14">
        <v>400</v>
      </c>
      <c r="B407" s="15">
        <v>45450</v>
      </c>
      <c r="C407" s="15">
        <v>45450</v>
      </c>
      <c r="D407" s="16" t="s">
        <v>1192</v>
      </c>
      <c r="E407" s="16" t="s">
        <v>1193</v>
      </c>
      <c r="F407" s="16" t="s">
        <v>1202</v>
      </c>
      <c r="G407" s="16" t="s">
        <v>1203</v>
      </c>
      <c r="H407" s="14" t="str">
        <f>"20240607/3837"</f>
        <v>20240607/3837</v>
      </c>
      <c r="I407" s="17" t="str">
        <f t="shared" si="34"/>
        <v> </v>
      </c>
      <c r="J407" s="18">
        <v>1694.55</v>
      </c>
      <c r="K407" s="18">
        <v>0</v>
      </c>
      <c r="L407" s="18">
        <v>1093083.8400000001</v>
      </c>
      <c r="M407" t="s">
        <v>2661</v>
      </c>
    </row>
    <row r="408" spans="1:13" ht="15" thickBot="1" x14ac:dyDescent="0.35">
      <c r="A408" s="14">
        <v>401</v>
      </c>
      <c r="B408" s="15">
        <v>45450</v>
      </c>
      <c r="C408" s="15">
        <v>45450</v>
      </c>
      <c r="D408" s="16" t="s">
        <v>1192</v>
      </c>
      <c r="E408" s="16" t="s">
        <v>1193</v>
      </c>
      <c r="F408" s="16" t="s">
        <v>1194</v>
      </c>
      <c r="G408" s="16" t="s">
        <v>1195</v>
      </c>
      <c r="H408" s="14" t="str">
        <f>"20240607/12563"</f>
        <v>20240607/12563</v>
      </c>
      <c r="I408" s="17" t="str">
        <f t="shared" si="34"/>
        <v> </v>
      </c>
      <c r="J408" s="18">
        <v>0</v>
      </c>
      <c r="K408" s="18">
        <v>263.22000000000003</v>
      </c>
      <c r="L408" s="18">
        <v>1092820.6200000001</v>
      </c>
      <c r="M408" t="s">
        <v>2661</v>
      </c>
    </row>
    <row r="409" spans="1:13" ht="15" thickBot="1" x14ac:dyDescent="0.35">
      <c r="A409" s="14">
        <v>402</v>
      </c>
      <c r="B409" s="15">
        <v>45450</v>
      </c>
      <c r="C409" s="15">
        <v>45450</v>
      </c>
      <c r="D409" s="16" t="s">
        <v>1192</v>
      </c>
      <c r="E409" s="16" t="s">
        <v>1193</v>
      </c>
      <c r="F409" s="16" t="s">
        <v>1194</v>
      </c>
      <c r="G409" s="16" t="s">
        <v>1195</v>
      </c>
      <c r="H409" s="14" t="str">
        <f>"20240607/90604"</f>
        <v>20240607/90604</v>
      </c>
      <c r="I409" s="17" t="str">
        <f t="shared" si="34"/>
        <v> </v>
      </c>
      <c r="J409" s="18">
        <v>0</v>
      </c>
      <c r="K409" s="18">
        <v>15453.51</v>
      </c>
      <c r="L409" s="18">
        <v>1077367.1100000001</v>
      </c>
      <c r="M409" t="s">
        <v>2661</v>
      </c>
    </row>
    <row r="410" spans="1:13" ht="15" thickBot="1" x14ac:dyDescent="0.35">
      <c r="A410" s="14">
        <v>403</v>
      </c>
      <c r="B410" s="15">
        <v>45450</v>
      </c>
      <c r="C410" s="15">
        <v>45450</v>
      </c>
      <c r="D410" s="16" t="s">
        <v>1192</v>
      </c>
      <c r="E410" s="16" t="s">
        <v>1193</v>
      </c>
      <c r="F410" s="16" t="s">
        <v>1484</v>
      </c>
      <c r="G410" s="16" t="s">
        <v>1197</v>
      </c>
      <c r="H410" s="14" t="str">
        <f>"20240607/158805"</f>
        <v>20240607/158805</v>
      </c>
      <c r="I410" s="19" t="str">
        <f t="shared" si="34"/>
        <v> </v>
      </c>
      <c r="J410" s="18">
        <v>263.22000000000003</v>
      </c>
      <c r="K410" s="18">
        <v>0</v>
      </c>
      <c r="L410" s="18">
        <v>1077630.33</v>
      </c>
      <c r="M410" t="s">
        <v>2658</v>
      </c>
    </row>
    <row r="411" spans="1:13" ht="15" thickBot="1" x14ac:dyDescent="0.35">
      <c r="A411" s="14">
        <v>404</v>
      </c>
      <c r="B411" s="15">
        <v>45450</v>
      </c>
      <c r="C411" s="15">
        <v>45450</v>
      </c>
      <c r="D411" s="16" t="s">
        <v>1192</v>
      </c>
      <c r="E411" s="16" t="s">
        <v>1193</v>
      </c>
      <c r="F411" s="16" t="s">
        <v>1485</v>
      </c>
      <c r="G411" s="16" t="s">
        <v>1197</v>
      </c>
      <c r="H411" s="14" t="str">
        <f>"20240607/225276"</f>
        <v>20240607/225276</v>
      </c>
      <c r="I411" s="19" t="str">
        <f t="shared" si="34"/>
        <v> </v>
      </c>
      <c r="J411" s="18">
        <v>12417.41</v>
      </c>
      <c r="K411" s="18">
        <v>0</v>
      </c>
      <c r="L411" s="18">
        <v>1090047.74</v>
      </c>
    </row>
    <row r="412" spans="1:13" ht="15" thickBot="1" x14ac:dyDescent="0.35">
      <c r="A412" s="14">
        <v>405</v>
      </c>
      <c r="B412" s="15">
        <v>45450</v>
      </c>
      <c r="C412" s="15">
        <v>45450</v>
      </c>
      <c r="D412" s="16" t="s">
        <v>1192</v>
      </c>
      <c r="E412" s="16" t="s">
        <v>1193</v>
      </c>
      <c r="F412" s="16" t="s">
        <v>1486</v>
      </c>
      <c r="G412" s="16" t="s">
        <v>1197</v>
      </c>
      <c r="H412" s="14" t="str">
        <f>"20240607/227653"</f>
        <v>20240607/227653</v>
      </c>
      <c r="I412" s="19" t="str">
        <f t="shared" si="34"/>
        <v> </v>
      </c>
      <c r="J412" s="18">
        <v>304808.46999999997</v>
      </c>
      <c r="K412" s="18">
        <v>0</v>
      </c>
      <c r="L412" s="18">
        <v>1394856.21</v>
      </c>
    </row>
    <row r="413" spans="1:13" ht="15" thickBot="1" x14ac:dyDescent="0.35">
      <c r="A413" s="14">
        <v>406</v>
      </c>
      <c r="B413" s="15">
        <v>45450</v>
      </c>
      <c r="C413" s="15">
        <v>45450</v>
      </c>
      <c r="D413" s="16" t="s">
        <v>1192</v>
      </c>
      <c r="E413" s="16" t="s">
        <v>1193</v>
      </c>
      <c r="F413" s="16" t="s">
        <v>1487</v>
      </c>
      <c r="G413" s="16" t="s">
        <v>1197</v>
      </c>
      <c r="H413" s="14" t="str">
        <f>"20240607/271603"</f>
        <v>20240607/271603</v>
      </c>
      <c r="I413" s="19" t="str">
        <f t="shared" si="34"/>
        <v> </v>
      </c>
      <c r="J413" s="18">
        <v>0</v>
      </c>
      <c r="K413" s="18">
        <v>330709.8</v>
      </c>
      <c r="L413" s="18">
        <v>1064146.4099999999</v>
      </c>
    </row>
    <row r="414" spans="1:13" ht="15" thickBot="1" x14ac:dyDescent="0.35">
      <c r="A414" s="14">
        <v>407</v>
      </c>
      <c r="B414" s="15">
        <v>45450</v>
      </c>
      <c r="C414" s="15">
        <v>45450</v>
      </c>
      <c r="D414" s="16" t="s">
        <v>1192</v>
      </c>
      <c r="E414" s="16" t="s">
        <v>1193</v>
      </c>
      <c r="F414" s="16" t="s">
        <v>1488</v>
      </c>
      <c r="G414" s="16" t="s">
        <v>1197</v>
      </c>
      <c r="H414" s="14" t="str">
        <f>"20240607/271604"</f>
        <v>20240607/271604</v>
      </c>
      <c r="I414" s="19" t="str">
        <f t="shared" si="34"/>
        <v> </v>
      </c>
      <c r="J414" s="18">
        <v>0</v>
      </c>
      <c r="K414" s="18">
        <v>21629.4</v>
      </c>
      <c r="L414" s="18">
        <v>1042517.01</v>
      </c>
    </row>
    <row r="415" spans="1:13" ht="15" thickBot="1" x14ac:dyDescent="0.35">
      <c r="A415" s="14">
        <v>408</v>
      </c>
      <c r="B415" s="15">
        <v>45450</v>
      </c>
      <c r="C415" s="15">
        <v>45453</v>
      </c>
      <c r="D415" s="16" t="s">
        <v>1192</v>
      </c>
      <c r="E415" s="16" t="s">
        <v>1193</v>
      </c>
      <c r="F415" s="16" t="s">
        <v>1489</v>
      </c>
      <c r="G415" s="16" t="s">
        <v>1197</v>
      </c>
      <c r="H415" s="14" t="str">
        <f>"20240607/374485"</f>
        <v>20240607/374485</v>
      </c>
      <c r="I415" s="19" t="str">
        <f>"2406002443264"</f>
        <v>2406002443264</v>
      </c>
      <c r="J415" s="18">
        <v>0</v>
      </c>
      <c r="K415" s="18">
        <v>47386.21</v>
      </c>
      <c r="L415" s="18">
        <v>995130.8</v>
      </c>
    </row>
    <row r="416" spans="1:13" ht="15" thickBot="1" x14ac:dyDescent="0.35">
      <c r="A416" s="14">
        <v>409</v>
      </c>
      <c r="B416" s="15">
        <v>45453</v>
      </c>
      <c r="C416" s="15">
        <v>45453</v>
      </c>
      <c r="D416" s="16" t="s">
        <v>1192</v>
      </c>
      <c r="E416" s="16" t="s">
        <v>1193</v>
      </c>
      <c r="F416" s="16" t="s">
        <v>1202</v>
      </c>
      <c r="G416" s="16" t="s">
        <v>1203</v>
      </c>
      <c r="H416" s="14" t="str">
        <f>"20240610/3092"</f>
        <v>20240610/3092</v>
      </c>
      <c r="I416" s="17" t="str">
        <f t="shared" ref="I416:I423" si="35">" "</f>
        <v> </v>
      </c>
      <c r="J416" s="18">
        <v>3864.51</v>
      </c>
      <c r="K416" s="18">
        <v>0</v>
      </c>
      <c r="L416" s="18">
        <v>998995.31</v>
      </c>
      <c r="M416" t="s">
        <v>2661</v>
      </c>
    </row>
    <row r="417" spans="1:13" ht="15" thickBot="1" x14ac:dyDescent="0.35">
      <c r="A417" s="14">
        <v>410</v>
      </c>
      <c r="B417" s="15">
        <v>45453</v>
      </c>
      <c r="C417" s="15">
        <v>45453</v>
      </c>
      <c r="D417" s="16" t="s">
        <v>1192</v>
      </c>
      <c r="E417" s="16" t="s">
        <v>1193</v>
      </c>
      <c r="F417" s="16" t="s">
        <v>1194</v>
      </c>
      <c r="G417" s="16" t="s">
        <v>1195</v>
      </c>
      <c r="H417" s="14" t="str">
        <f>"20240610/101765"</f>
        <v>20240610/101765</v>
      </c>
      <c r="I417" s="17" t="str">
        <f t="shared" si="35"/>
        <v> </v>
      </c>
      <c r="J417" s="18">
        <v>0</v>
      </c>
      <c r="K417" s="18">
        <v>12095.28</v>
      </c>
      <c r="L417" s="18">
        <v>986900.03</v>
      </c>
      <c r="M417" t="s">
        <v>2661</v>
      </c>
    </row>
    <row r="418" spans="1:13" ht="15" thickBot="1" x14ac:dyDescent="0.35">
      <c r="A418" s="14">
        <v>411</v>
      </c>
      <c r="B418" s="15">
        <v>45453</v>
      </c>
      <c r="C418" s="15">
        <v>45453</v>
      </c>
      <c r="D418" s="16" t="s">
        <v>1192</v>
      </c>
      <c r="E418" s="16" t="s">
        <v>1193</v>
      </c>
      <c r="F418" s="16" t="s">
        <v>1194</v>
      </c>
      <c r="G418" s="16" t="s">
        <v>1195</v>
      </c>
      <c r="H418" s="14" t="str">
        <f>"20240610/39883"</f>
        <v>20240610/39883</v>
      </c>
      <c r="I418" s="17" t="str">
        <f t="shared" si="35"/>
        <v> </v>
      </c>
      <c r="J418" s="18">
        <v>0</v>
      </c>
      <c r="K418" s="18">
        <v>774.96</v>
      </c>
      <c r="L418" s="18">
        <v>986125.07</v>
      </c>
      <c r="M418" t="s">
        <v>2661</v>
      </c>
    </row>
    <row r="419" spans="1:13" ht="15" thickBot="1" x14ac:dyDescent="0.35">
      <c r="A419" s="14">
        <v>412</v>
      </c>
      <c r="B419" s="15">
        <v>45453</v>
      </c>
      <c r="C419" s="15">
        <v>45453</v>
      </c>
      <c r="D419" s="16" t="s">
        <v>1192</v>
      </c>
      <c r="E419" s="16" t="s">
        <v>1193</v>
      </c>
      <c r="F419" s="16" t="s">
        <v>1490</v>
      </c>
      <c r="G419" s="16" t="s">
        <v>1197</v>
      </c>
      <c r="H419" s="14" t="str">
        <f>"20240610/160868"</f>
        <v>20240610/160868</v>
      </c>
      <c r="I419" s="19" t="str">
        <f t="shared" si="35"/>
        <v> </v>
      </c>
      <c r="J419" s="18">
        <v>774.96</v>
      </c>
      <c r="K419" s="18">
        <v>0</v>
      </c>
      <c r="L419" s="18">
        <v>986900.03</v>
      </c>
      <c r="M419" t="s">
        <v>2658</v>
      </c>
    </row>
    <row r="420" spans="1:13" ht="15" thickBot="1" x14ac:dyDescent="0.35">
      <c r="A420" s="14">
        <v>413</v>
      </c>
      <c r="B420" s="15">
        <v>45453</v>
      </c>
      <c r="C420" s="15">
        <v>45453</v>
      </c>
      <c r="D420" s="16" t="s">
        <v>1192</v>
      </c>
      <c r="E420" s="16" t="s">
        <v>1193</v>
      </c>
      <c r="F420" s="16" t="s">
        <v>1491</v>
      </c>
      <c r="G420" s="16" t="s">
        <v>1197</v>
      </c>
      <c r="H420" s="14" t="str">
        <f>"20240610/215107"</f>
        <v>20240610/215107</v>
      </c>
      <c r="I420" s="19" t="str">
        <f t="shared" si="35"/>
        <v> </v>
      </c>
      <c r="J420" s="18">
        <v>11897.56</v>
      </c>
      <c r="K420" s="18">
        <v>0</v>
      </c>
      <c r="L420" s="18">
        <v>998797.59</v>
      </c>
    </row>
    <row r="421" spans="1:13" ht="15" thickBot="1" x14ac:dyDescent="0.35">
      <c r="A421" s="14">
        <v>414</v>
      </c>
      <c r="B421" s="15">
        <v>45453</v>
      </c>
      <c r="C421" s="15">
        <v>45453</v>
      </c>
      <c r="D421" s="16" t="s">
        <v>1192</v>
      </c>
      <c r="E421" s="16" t="s">
        <v>1193</v>
      </c>
      <c r="F421" s="16" t="s">
        <v>1492</v>
      </c>
      <c r="G421" s="16" t="s">
        <v>1197</v>
      </c>
      <c r="H421" s="14" t="str">
        <f>"20240610/215108"</f>
        <v>20240610/215108</v>
      </c>
      <c r="I421" s="19" t="str">
        <f t="shared" si="35"/>
        <v> </v>
      </c>
      <c r="J421" s="18">
        <v>299759.76</v>
      </c>
      <c r="K421" s="18">
        <v>0</v>
      </c>
      <c r="L421" s="18">
        <v>1298557.3500000001</v>
      </c>
    </row>
    <row r="422" spans="1:13" ht="15" thickBot="1" x14ac:dyDescent="0.35">
      <c r="A422" s="14">
        <v>415</v>
      </c>
      <c r="B422" s="15">
        <v>45453</v>
      </c>
      <c r="C422" s="15">
        <v>45453</v>
      </c>
      <c r="D422" s="16" t="s">
        <v>1192</v>
      </c>
      <c r="E422" s="16" t="s">
        <v>1193</v>
      </c>
      <c r="F422" s="16" t="s">
        <v>1493</v>
      </c>
      <c r="G422" s="16" t="s">
        <v>1197</v>
      </c>
      <c r="H422" s="14" t="str">
        <f>"20240610/286117"</f>
        <v>20240610/286117</v>
      </c>
      <c r="I422" s="19" t="str">
        <f t="shared" si="35"/>
        <v> </v>
      </c>
      <c r="J422" s="18">
        <v>0</v>
      </c>
      <c r="K422" s="18">
        <v>12417.41</v>
      </c>
      <c r="L422" s="18">
        <v>1286139.94</v>
      </c>
    </row>
    <row r="423" spans="1:13" ht="15" thickBot="1" x14ac:dyDescent="0.35">
      <c r="A423" s="14">
        <v>416</v>
      </c>
      <c r="B423" s="15">
        <v>45453</v>
      </c>
      <c r="C423" s="15">
        <v>45453</v>
      </c>
      <c r="D423" s="16" t="s">
        <v>1192</v>
      </c>
      <c r="E423" s="16" t="s">
        <v>1193</v>
      </c>
      <c r="F423" s="16" t="s">
        <v>1494</v>
      </c>
      <c r="G423" s="16" t="s">
        <v>1197</v>
      </c>
      <c r="H423" s="14" t="str">
        <f>"20240610/286118"</f>
        <v>20240610/286118</v>
      </c>
      <c r="I423" s="19" t="str">
        <f t="shared" si="35"/>
        <v> </v>
      </c>
      <c r="J423" s="18">
        <v>0</v>
      </c>
      <c r="K423" s="18">
        <v>304808.46999999997</v>
      </c>
      <c r="L423" s="18">
        <v>981331.47</v>
      </c>
    </row>
    <row r="424" spans="1:13" ht="15" thickBot="1" x14ac:dyDescent="0.35">
      <c r="A424" s="14">
        <v>417</v>
      </c>
      <c r="B424" s="15">
        <v>45453</v>
      </c>
      <c r="C424" s="15">
        <v>45454</v>
      </c>
      <c r="D424" s="16" t="s">
        <v>1192</v>
      </c>
      <c r="E424" s="16" t="s">
        <v>1193</v>
      </c>
      <c r="F424" s="16" t="s">
        <v>1495</v>
      </c>
      <c r="G424" s="16" t="s">
        <v>1197</v>
      </c>
      <c r="H424" s="14" t="str">
        <f>"20240610/387569"</f>
        <v>20240610/387569</v>
      </c>
      <c r="I424" s="19" t="str">
        <f>"2406003008293"</f>
        <v>2406003008293</v>
      </c>
      <c r="J424" s="18">
        <v>0</v>
      </c>
      <c r="K424" s="18">
        <v>29881.84</v>
      </c>
      <c r="L424" s="18">
        <v>951449.63</v>
      </c>
    </row>
    <row r="425" spans="1:13" ht="15" thickBot="1" x14ac:dyDescent="0.35">
      <c r="A425" s="14">
        <v>418</v>
      </c>
      <c r="B425" s="15">
        <v>45454</v>
      </c>
      <c r="C425" s="15">
        <v>45454</v>
      </c>
      <c r="D425" s="16" t="s">
        <v>1192</v>
      </c>
      <c r="E425" s="16" t="s">
        <v>1193</v>
      </c>
      <c r="F425" s="16" t="s">
        <v>1204</v>
      </c>
      <c r="G425" s="16" t="s">
        <v>1203</v>
      </c>
      <c r="H425" s="14" t="str">
        <f>"20240611/34882"</f>
        <v>20240611/34882</v>
      </c>
      <c r="I425" s="17" t="str">
        <f t="shared" ref="I425:I432" si="36">" "</f>
        <v> </v>
      </c>
      <c r="J425" s="18">
        <v>29881.84</v>
      </c>
      <c r="K425" s="18">
        <v>0</v>
      </c>
      <c r="L425" s="18">
        <v>981331.47</v>
      </c>
      <c r="M425" t="s">
        <v>2661</v>
      </c>
    </row>
    <row r="426" spans="1:13" ht="15" thickBot="1" x14ac:dyDescent="0.35">
      <c r="A426" s="14">
        <v>419</v>
      </c>
      <c r="B426" s="15">
        <v>45454</v>
      </c>
      <c r="C426" s="15">
        <v>45454</v>
      </c>
      <c r="D426" s="16" t="s">
        <v>1192</v>
      </c>
      <c r="E426" s="16" t="s">
        <v>1193</v>
      </c>
      <c r="F426" s="16" t="s">
        <v>1194</v>
      </c>
      <c r="G426" s="16" t="s">
        <v>1195</v>
      </c>
      <c r="H426" s="14" t="str">
        <f>"20240611/18540"</f>
        <v>20240611/18540</v>
      </c>
      <c r="I426" s="17" t="str">
        <f t="shared" si="36"/>
        <v> </v>
      </c>
      <c r="J426" s="18">
        <v>0</v>
      </c>
      <c r="K426" s="18">
        <v>238.51</v>
      </c>
      <c r="L426" s="18">
        <v>981092.96</v>
      </c>
      <c r="M426" t="s">
        <v>2661</v>
      </c>
    </row>
    <row r="427" spans="1:13" ht="15" thickBot="1" x14ac:dyDescent="0.35">
      <c r="A427" s="14">
        <v>420</v>
      </c>
      <c r="B427" s="15">
        <v>45454</v>
      </c>
      <c r="C427" s="15">
        <v>45454</v>
      </c>
      <c r="D427" s="16" t="s">
        <v>1192</v>
      </c>
      <c r="E427" s="16" t="s">
        <v>1193</v>
      </c>
      <c r="F427" s="16" t="s">
        <v>1194</v>
      </c>
      <c r="G427" s="16" t="s">
        <v>1195</v>
      </c>
      <c r="H427" s="14" t="str">
        <f>"20240611/93431"</f>
        <v>20240611/93431</v>
      </c>
      <c r="I427" s="17" t="str">
        <f t="shared" si="36"/>
        <v> </v>
      </c>
      <c r="J427" s="18">
        <v>0</v>
      </c>
      <c r="K427" s="18">
        <v>55815.37</v>
      </c>
      <c r="L427" s="18">
        <v>925277.59</v>
      </c>
      <c r="M427" t="s">
        <v>2661</v>
      </c>
    </row>
    <row r="428" spans="1:13" ht="15" thickBot="1" x14ac:dyDescent="0.35">
      <c r="A428" s="14">
        <v>421</v>
      </c>
      <c r="B428" s="15">
        <v>45454</v>
      </c>
      <c r="C428" s="15">
        <v>45454</v>
      </c>
      <c r="D428" s="16" t="s">
        <v>1192</v>
      </c>
      <c r="E428" s="16" t="s">
        <v>1193</v>
      </c>
      <c r="F428" s="16" t="s">
        <v>1496</v>
      </c>
      <c r="G428" s="16" t="s">
        <v>1197</v>
      </c>
      <c r="H428" s="14" t="str">
        <f>"20240611/127327"</f>
        <v>20240611/127327</v>
      </c>
      <c r="I428" s="19" t="str">
        <f t="shared" si="36"/>
        <v> </v>
      </c>
      <c r="J428" s="18">
        <v>238.51</v>
      </c>
      <c r="K428" s="18">
        <v>0</v>
      </c>
      <c r="L428" s="18">
        <v>925516.1</v>
      </c>
      <c r="M428" t="s">
        <v>2658</v>
      </c>
    </row>
    <row r="429" spans="1:13" ht="15" thickBot="1" x14ac:dyDescent="0.35">
      <c r="A429" s="14">
        <v>422</v>
      </c>
      <c r="B429" s="15">
        <v>45454</v>
      </c>
      <c r="C429" s="15">
        <v>45454</v>
      </c>
      <c r="D429" s="16" t="s">
        <v>1192</v>
      </c>
      <c r="E429" s="16" t="s">
        <v>1193</v>
      </c>
      <c r="F429" s="16" t="s">
        <v>1497</v>
      </c>
      <c r="G429" s="16" t="s">
        <v>1197</v>
      </c>
      <c r="H429" s="14" t="str">
        <f>"20240611/203990"</f>
        <v>20240611/203990</v>
      </c>
      <c r="I429" s="19" t="str">
        <f t="shared" si="36"/>
        <v> </v>
      </c>
      <c r="J429" s="18">
        <v>11106.36</v>
      </c>
      <c r="K429" s="18">
        <v>0</v>
      </c>
      <c r="L429" s="18">
        <v>936622.46</v>
      </c>
    </row>
    <row r="430" spans="1:13" ht="15" thickBot="1" x14ac:dyDescent="0.35">
      <c r="A430" s="14">
        <v>423</v>
      </c>
      <c r="B430" s="15">
        <v>45454</v>
      </c>
      <c r="C430" s="15">
        <v>45454</v>
      </c>
      <c r="D430" s="16" t="s">
        <v>1192</v>
      </c>
      <c r="E430" s="16" t="s">
        <v>1193</v>
      </c>
      <c r="F430" s="16" t="s">
        <v>1498</v>
      </c>
      <c r="G430" s="16" t="s">
        <v>1197</v>
      </c>
      <c r="H430" s="14" t="str">
        <f>"20240611/203991"</f>
        <v>20240611/203991</v>
      </c>
      <c r="I430" s="19" t="str">
        <f t="shared" si="36"/>
        <v> </v>
      </c>
      <c r="J430" s="18">
        <v>356366.33</v>
      </c>
      <c r="K430" s="18">
        <v>0</v>
      </c>
      <c r="L430" s="18">
        <v>1292988.79</v>
      </c>
    </row>
    <row r="431" spans="1:13" ht="15" thickBot="1" x14ac:dyDescent="0.35">
      <c r="A431" s="14">
        <v>424</v>
      </c>
      <c r="B431" s="15">
        <v>45454</v>
      </c>
      <c r="C431" s="15">
        <v>45454</v>
      </c>
      <c r="D431" s="16" t="s">
        <v>1192</v>
      </c>
      <c r="E431" s="16" t="s">
        <v>1193</v>
      </c>
      <c r="F431" s="16" t="s">
        <v>1499</v>
      </c>
      <c r="G431" s="16" t="s">
        <v>1197</v>
      </c>
      <c r="H431" s="14" t="str">
        <f>"20240611/261326"</f>
        <v>20240611/261326</v>
      </c>
      <c r="I431" s="19" t="str">
        <f t="shared" si="36"/>
        <v> </v>
      </c>
      <c r="J431" s="18">
        <v>0</v>
      </c>
      <c r="K431" s="18">
        <v>11897.56</v>
      </c>
      <c r="L431" s="18">
        <v>1281091.23</v>
      </c>
    </row>
    <row r="432" spans="1:13" ht="15" thickBot="1" x14ac:dyDescent="0.35">
      <c r="A432" s="14">
        <v>425</v>
      </c>
      <c r="B432" s="15">
        <v>45454</v>
      </c>
      <c r="C432" s="15">
        <v>45454</v>
      </c>
      <c r="D432" s="16" t="s">
        <v>1192</v>
      </c>
      <c r="E432" s="16" t="s">
        <v>1193</v>
      </c>
      <c r="F432" s="16" t="s">
        <v>1500</v>
      </c>
      <c r="G432" s="16" t="s">
        <v>1197</v>
      </c>
      <c r="H432" s="14" t="str">
        <f>"20240611/263663"</f>
        <v>20240611/263663</v>
      </c>
      <c r="I432" s="19" t="str">
        <f t="shared" si="36"/>
        <v> </v>
      </c>
      <c r="J432" s="18">
        <v>0</v>
      </c>
      <c r="K432" s="18">
        <v>299759.76</v>
      </c>
      <c r="L432" s="18">
        <v>981331.47</v>
      </c>
    </row>
    <row r="433" spans="1:13" ht="15" thickBot="1" x14ac:dyDescent="0.35">
      <c r="A433" s="14">
        <v>426</v>
      </c>
      <c r="B433" s="15">
        <v>45454</v>
      </c>
      <c r="C433" s="15">
        <v>45455</v>
      </c>
      <c r="D433" s="16" t="s">
        <v>1192</v>
      </c>
      <c r="E433" s="16" t="s">
        <v>1193</v>
      </c>
      <c r="F433" s="16" t="s">
        <v>1501</v>
      </c>
      <c r="G433" s="16" t="s">
        <v>1197</v>
      </c>
      <c r="H433" s="14" t="str">
        <f>"20240611/370841"</f>
        <v>20240611/370841</v>
      </c>
      <c r="I433" s="19" t="str">
        <f>"2406003479965"</f>
        <v>2406003479965</v>
      </c>
      <c r="J433" s="18">
        <v>125069.38</v>
      </c>
      <c r="K433" s="18">
        <v>0</v>
      </c>
      <c r="L433" s="18">
        <v>1106400.8500000001</v>
      </c>
    </row>
    <row r="434" spans="1:13" ht="15" thickBot="1" x14ac:dyDescent="0.35">
      <c r="A434" s="14">
        <v>427</v>
      </c>
      <c r="B434" s="15">
        <v>45455</v>
      </c>
      <c r="C434" s="15">
        <v>45455</v>
      </c>
      <c r="D434" s="16" t="s">
        <v>1192</v>
      </c>
      <c r="E434" s="16" t="s">
        <v>1193</v>
      </c>
      <c r="F434" s="16" t="s">
        <v>1194</v>
      </c>
      <c r="G434" s="16" t="s">
        <v>1195</v>
      </c>
      <c r="H434" s="14" t="str">
        <f>"20240612/8685"</f>
        <v>20240612/8685</v>
      </c>
      <c r="I434" s="17" t="str">
        <f t="shared" ref="I434:I440" si="37">" "</f>
        <v> </v>
      </c>
      <c r="J434" s="18">
        <v>0</v>
      </c>
      <c r="K434" s="18">
        <v>218.63</v>
      </c>
      <c r="L434" s="18">
        <v>1106182.22</v>
      </c>
      <c r="M434" t="s">
        <v>2661</v>
      </c>
    </row>
    <row r="435" spans="1:13" ht="15" thickBot="1" x14ac:dyDescent="0.35">
      <c r="A435" s="14">
        <v>428</v>
      </c>
      <c r="B435" s="15">
        <v>45455</v>
      </c>
      <c r="C435" s="15">
        <v>45455</v>
      </c>
      <c r="D435" s="16" t="s">
        <v>1192</v>
      </c>
      <c r="E435" s="16" t="s">
        <v>1193</v>
      </c>
      <c r="F435" s="16" t="s">
        <v>1194</v>
      </c>
      <c r="G435" s="16" t="s">
        <v>1195</v>
      </c>
      <c r="H435" s="14" t="str">
        <f>"20240612/87944"</f>
        <v>20240612/87944</v>
      </c>
      <c r="I435" s="17" t="str">
        <f t="shared" si="37"/>
        <v> </v>
      </c>
      <c r="J435" s="18">
        <v>0</v>
      </c>
      <c r="K435" s="18">
        <v>863.32</v>
      </c>
      <c r="L435" s="18">
        <v>1105318.8999999999</v>
      </c>
      <c r="M435" t="s">
        <v>2661</v>
      </c>
    </row>
    <row r="436" spans="1:13" ht="15" thickBot="1" x14ac:dyDescent="0.35">
      <c r="A436" s="14">
        <v>429</v>
      </c>
      <c r="B436" s="15">
        <v>45455</v>
      </c>
      <c r="C436" s="15">
        <v>45455</v>
      </c>
      <c r="D436" s="16" t="s">
        <v>1192</v>
      </c>
      <c r="E436" s="16" t="s">
        <v>1193</v>
      </c>
      <c r="F436" s="16" t="s">
        <v>1502</v>
      </c>
      <c r="G436" s="16" t="s">
        <v>1197</v>
      </c>
      <c r="H436" s="14" t="str">
        <f>"20240612/156964"</f>
        <v>20240612/156964</v>
      </c>
      <c r="I436" s="19" t="str">
        <f t="shared" si="37"/>
        <v> </v>
      </c>
      <c r="J436" s="18">
        <v>218.63</v>
      </c>
      <c r="K436" s="18">
        <v>0</v>
      </c>
      <c r="L436" s="18">
        <v>1105537.53</v>
      </c>
      <c r="M436" t="s">
        <v>2658</v>
      </c>
    </row>
    <row r="437" spans="1:13" ht="15" thickBot="1" x14ac:dyDescent="0.35">
      <c r="A437" s="14">
        <v>430</v>
      </c>
      <c r="B437" s="15">
        <v>45455</v>
      </c>
      <c r="C437" s="15">
        <v>45455</v>
      </c>
      <c r="D437" s="16" t="s">
        <v>1192</v>
      </c>
      <c r="E437" s="16" t="s">
        <v>1193</v>
      </c>
      <c r="F437" s="16" t="s">
        <v>1503</v>
      </c>
      <c r="G437" s="16" t="s">
        <v>1197</v>
      </c>
      <c r="H437" s="14" t="str">
        <f>"20240612/188216"</f>
        <v>20240612/188216</v>
      </c>
      <c r="I437" s="19" t="str">
        <f t="shared" si="37"/>
        <v> </v>
      </c>
      <c r="J437" s="18">
        <v>360185.05</v>
      </c>
      <c r="K437" s="18">
        <v>0</v>
      </c>
      <c r="L437" s="18">
        <v>1465722.58</v>
      </c>
    </row>
    <row r="438" spans="1:13" ht="15" thickBot="1" x14ac:dyDescent="0.35">
      <c r="A438" s="14">
        <v>431</v>
      </c>
      <c r="B438" s="15">
        <v>45455</v>
      </c>
      <c r="C438" s="15">
        <v>45455</v>
      </c>
      <c r="D438" s="16" t="s">
        <v>1192</v>
      </c>
      <c r="E438" s="16" t="s">
        <v>1193</v>
      </c>
      <c r="F438" s="16" t="s">
        <v>1504</v>
      </c>
      <c r="G438" s="16" t="s">
        <v>1197</v>
      </c>
      <c r="H438" s="14" t="str">
        <f>"20240612/188217"</f>
        <v>20240612/188217</v>
      </c>
      <c r="I438" s="19" t="str">
        <f t="shared" si="37"/>
        <v> </v>
      </c>
      <c r="J438" s="18">
        <v>8150.96</v>
      </c>
      <c r="K438" s="18">
        <v>0</v>
      </c>
      <c r="L438" s="18">
        <v>1473873.54</v>
      </c>
    </row>
    <row r="439" spans="1:13" ht="15" thickBot="1" x14ac:dyDescent="0.35">
      <c r="A439" s="14">
        <v>432</v>
      </c>
      <c r="B439" s="15">
        <v>45455</v>
      </c>
      <c r="C439" s="15">
        <v>45455</v>
      </c>
      <c r="D439" s="16" t="s">
        <v>1192</v>
      </c>
      <c r="E439" s="16" t="s">
        <v>1193</v>
      </c>
      <c r="F439" s="16" t="s">
        <v>1505</v>
      </c>
      <c r="G439" s="16" t="s">
        <v>1197</v>
      </c>
      <c r="H439" s="14" t="str">
        <f>"20240612/249118"</f>
        <v>20240612/249118</v>
      </c>
      <c r="I439" s="19" t="str">
        <f t="shared" si="37"/>
        <v> </v>
      </c>
      <c r="J439" s="18">
        <v>0</v>
      </c>
      <c r="K439" s="18">
        <v>11106.36</v>
      </c>
      <c r="L439" s="18">
        <v>1462767.18</v>
      </c>
    </row>
    <row r="440" spans="1:13" ht="15" thickBot="1" x14ac:dyDescent="0.35">
      <c r="A440" s="14">
        <v>433</v>
      </c>
      <c r="B440" s="15">
        <v>45455</v>
      </c>
      <c r="C440" s="15">
        <v>45455</v>
      </c>
      <c r="D440" s="16" t="s">
        <v>1192</v>
      </c>
      <c r="E440" s="16" t="s">
        <v>1193</v>
      </c>
      <c r="F440" s="16" t="s">
        <v>1506</v>
      </c>
      <c r="G440" s="16" t="s">
        <v>1197</v>
      </c>
      <c r="H440" s="14" t="str">
        <f>"20240612/249119"</f>
        <v>20240612/249119</v>
      </c>
      <c r="I440" s="19" t="str">
        <f t="shared" si="37"/>
        <v> </v>
      </c>
      <c r="J440" s="18">
        <v>0</v>
      </c>
      <c r="K440" s="18">
        <v>356366.33</v>
      </c>
      <c r="L440" s="18">
        <v>1106400.8500000001</v>
      </c>
    </row>
    <row r="441" spans="1:13" ht="15" thickBot="1" x14ac:dyDescent="0.35">
      <c r="A441" s="14">
        <v>434</v>
      </c>
      <c r="B441" s="15">
        <v>45455</v>
      </c>
      <c r="C441" s="15">
        <v>45456</v>
      </c>
      <c r="D441" s="16" t="s">
        <v>1192</v>
      </c>
      <c r="E441" s="16" t="s">
        <v>1193</v>
      </c>
      <c r="F441" s="16" t="s">
        <v>1507</v>
      </c>
      <c r="G441" s="16" t="s">
        <v>1197</v>
      </c>
      <c r="H441" s="14" t="str">
        <f>"20240612/368957"</f>
        <v>20240612/368957</v>
      </c>
      <c r="I441" s="19" t="str">
        <f>"2406003953052"</f>
        <v>2406003953052</v>
      </c>
      <c r="J441" s="18">
        <v>0</v>
      </c>
      <c r="K441" s="18">
        <v>97879.6</v>
      </c>
      <c r="L441" s="18">
        <v>1008521.25</v>
      </c>
    </row>
    <row r="442" spans="1:13" ht="15" thickBot="1" x14ac:dyDescent="0.35">
      <c r="A442" s="14">
        <v>435</v>
      </c>
      <c r="B442" s="15">
        <v>45456</v>
      </c>
      <c r="C442" s="15">
        <v>45456</v>
      </c>
      <c r="D442" s="16" t="s">
        <v>1192</v>
      </c>
      <c r="E442" s="16" t="s">
        <v>1193</v>
      </c>
      <c r="F442" s="16" t="s">
        <v>1204</v>
      </c>
      <c r="G442" s="16" t="s">
        <v>1203</v>
      </c>
      <c r="H442" s="14" t="str">
        <f>"20240613/64282"</f>
        <v>20240613/64282</v>
      </c>
      <c r="I442" s="17" t="str">
        <f t="shared" ref="I442:I448" si="38">" "</f>
        <v> </v>
      </c>
      <c r="J442" s="18">
        <v>97879.6</v>
      </c>
      <c r="K442" s="18">
        <v>0</v>
      </c>
      <c r="L442" s="18">
        <v>1106400.8500000001</v>
      </c>
      <c r="M442" t="s">
        <v>2661</v>
      </c>
    </row>
    <row r="443" spans="1:13" ht="15" thickBot="1" x14ac:dyDescent="0.35">
      <c r="A443" s="14">
        <v>436</v>
      </c>
      <c r="B443" s="15">
        <v>45456</v>
      </c>
      <c r="C443" s="15">
        <v>45456</v>
      </c>
      <c r="D443" s="16" t="s">
        <v>1192</v>
      </c>
      <c r="E443" s="16" t="s">
        <v>1193</v>
      </c>
      <c r="F443" s="16" t="s">
        <v>1194</v>
      </c>
      <c r="G443" s="16" t="s">
        <v>1195</v>
      </c>
      <c r="H443" s="14" t="str">
        <f>"20240613/34239"</f>
        <v>20240613/34239</v>
      </c>
      <c r="I443" s="17" t="str">
        <f t="shared" si="38"/>
        <v> </v>
      </c>
      <c r="J443" s="18">
        <v>0</v>
      </c>
      <c r="K443" s="18">
        <v>262.87</v>
      </c>
      <c r="L443" s="18">
        <v>1106137.98</v>
      </c>
      <c r="M443" t="s">
        <v>2661</v>
      </c>
    </row>
    <row r="444" spans="1:13" ht="15" thickBot="1" x14ac:dyDescent="0.35">
      <c r="A444" s="14">
        <v>437</v>
      </c>
      <c r="B444" s="15">
        <v>45456</v>
      </c>
      <c r="C444" s="15">
        <v>45456</v>
      </c>
      <c r="D444" s="16" t="s">
        <v>1192</v>
      </c>
      <c r="E444" s="16" t="s">
        <v>1193</v>
      </c>
      <c r="F444" s="16" t="s">
        <v>1508</v>
      </c>
      <c r="G444" s="16" t="s">
        <v>1197</v>
      </c>
      <c r="H444" s="14" t="str">
        <f>"20240613/139659"</f>
        <v>20240613/139659</v>
      </c>
      <c r="I444" s="19" t="str">
        <f t="shared" si="38"/>
        <v> </v>
      </c>
      <c r="J444" s="18">
        <v>262.87</v>
      </c>
      <c r="K444" s="18">
        <v>0</v>
      </c>
      <c r="L444" s="18">
        <v>1106400.8500000001</v>
      </c>
      <c r="M444" t="s">
        <v>2658</v>
      </c>
    </row>
    <row r="445" spans="1:13" ht="15" thickBot="1" x14ac:dyDescent="0.35">
      <c r="A445" s="14">
        <v>438</v>
      </c>
      <c r="B445" s="15">
        <v>45456</v>
      </c>
      <c r="C445" s="15">
        <v>45456</v>
      </c>
      <c r="D445" s="16" t="s">
        <v>1192</v>
      </c>
      <c r="E445" s="16" t="s">
        <v>1193</v>
      </c>
      <c r="F445" s="16" t="s">
        <v>1509</v>
      </c>
      <c r="G445" s="16" t="s">
        <v>1197</v>
      </c>
      <c r="H445" s="14" t="str">
        <f>"20240613/179947"</f>
        <v>20240613/179947</v>
      </c>
      <c r="I445" s="19" t="str">
        <f t="shared" si="38"/>
        <v> </v>
      </c>
      <c r="J445" s="18">
        <v>5519.96</v>
      </c>
      <c r="K445" s="18">
        <v>0</v>
      </c>
      <c r="L445" s="18">
        <v>1111920.81</v>
      </c>
    </row>
    <row r="446" spans="1:13" ht="15" thickBot="1" x14ac:dyDescent="0.35">
      <c r="A446" s="14">
        <v>439</v>
      </c>
      <c r="B446" s="15">
        <v>45456</v>
      </c>
      <c r="C446" s="15">
        <v>45456</v>
      </c>
      <c r="D446" s="16" t="s">
        <v>1192</v>
      </c>
      <c r="E446" s="16" t="s">
        <v>1193</v>
      </c>
      <c r="F446" s="16" t="s">
        <v>1510</v>
      </c>
      <c r="G446" s="16" t="s">
        <v>1197</v>
      </c>
      <c r="H446" s="14" t="str">
        <f>"20240613/179948"</f>
        <v>20240613/179948</v>
      </c>
      <c r="I446" s="19" t="str">
        <f t="shared" si="38"/>
        <v> </v>
      </c>
      <c r="J446" s="18">
        <v>352400.15</v>
      </c>
      <c r="K446" s="18">
        <v>0</v>
      </c>
      <c r="L446" s="18">
        <v>1464320.96</v>
      </c>
    </row>
    <row r="447" spans="1:13" ht="15" thickBot="1" x14ac:dyDescent="0.35">
      <c r="A447" s="14">
        <v>440</v>
      </c>
      <c r="B447" s="15">
        <v>45456</v>
      </c>
      <c r="C447" s="15">
        <v>45456</v>
      </c>
      <c r="D447" s="16" t="s">
        <v>1192</v>
      </c>
      <c r="E447" s="16" t="s">
        <v>1193</v>
      </c>
      <c r="F447" s="16" t="s">
        <v>1511</v>
      </c>
      <c r="G447" s="16" t="s">
        <v>1197</v>
      </c>
      <c r="H447" s="14" t="str">
        <f>"20240613/291980"</f>
        <v>20240613/291980</v>
      </c>
      <c r="I447" s="19" t="str">
        <f t="shared" si="38"/>
        <v> </v>
      </c>
      <c r="J447" s="18">
        <v>0</v>
      </c>
      <c r="K447" s="18">
        <v>360185.05</v>
      </c>
      <c r="L447" s="18">
        <v>1104135.9099999999</v>
      </c>
    </row>
    <row r="448" spans="1:13" ht="15" thickBot="1" x14ac:dyDescent="0.35">
      <c r="A448" s="14">
        <v>441</v>
      </c>
      <c r="B448" s="15">
        <v>45456</v>
      </c>
      <c r="C448" s="15">
        <v>45456</v>
      </c>
      <c r="D448" s="16" t="s">
        <v>1192</v>
      </c>
      <c r="E448" s="16" t="s">
        <v>1193</v>
      </c>
      <c r="F448" s="16" t="s">
        <v>1512</v>
      </c>
      <c r="G448" s="16" t="s">
        <v>1197</v>
      </c>
      <c r="H448" s="14" t="str">
        <f>"20240613/291981"</f>
        <v>20240613/291981</v>
      </c>
      <c r="I448" s="19" t="str">
        <f t="shared" si="38"/>
        <v> </v>
      </c>
      <c r="J448" s="18">
        <v>0</v>
      </c>
      <c r="K448" s="18">
        <v>8150.96</v>
      </c>
      <c r="L448" s="18">
        <v>1095984.95</v>
      </c>
    </row>
    <row r="449" spans="1:13" ht="15" thickBot="1" x14ac:dyDescent="0.35">
      <c r="A449" s="14">
        <v>442</v>
      </c>
      <c r="B449" s="15">
        <v>45456</v>
      </c>
      <c r="C449" s="15">
        <v>45457</v>
      </c>
      <c r="D449" s="16" t="s">
        <v>1192</v>
      </c>
      <c r="E449" s="16" t="s">
        <v>1193</v>
      </c>
      <c r="F449" s="16" t="s">
        <v>1513</v>
      </c>
      <c r="G449" s="16" t="s">
        <v>1197</v>
      </c>
      <c r="H449" s="14" t="str">
        <f>"20240613/379167"</f>
        <v>20240613/379167</v>
      </c>
      <c r="I449" s="19" t="str">
        <f>"2406004436218"</f>
        <v>2406004436218</v>
      </c>
      <c r="J449" s="18">
        <v>0</v>
      </c>
      <c r="K449" s="18">
        <v>22934.93</v>
      </c>
      <c r="L449" s="18">
        <v>1073050.02</v>
      </c>
    </row>
    <row r="450" spans="1:13" ht="15" thickBot="1" x14ac:dyDescent="0.35">
      <c r="A450" s="14">
        <v>443</v>
      </c>
      <c r="B450" s="15">
        <v>45456</v>
      </c>
      <c r="C450" s="15">
        <v>45457</v>
      </c>
      <c r="D450" s="16" t="s">
        <v>1192</v>
      </c>
      <c r="E450" s="16" t="s">
        <v>1193</v>
      </c>
      <c r="F450" s="16" t="s">
        <v>1514</v>
      </c>
      <c r="G450" s="16" t="s">
        <v>1197</v>
      </c>
      <c r="H450" s="14" t="str">
        <f>"20240613/379168"</f>
        <v>20240613/379168</v>
      </c>
      <c r="I450" s="19" t="str">
        <f>"2406004436218"</f>
        <v>2406004436218</v>
      </c>
      <c r="J450" s="18">
        <v>0</v>
      </c>
      <c r="K450" s="18">
        <v>28219.84</v>
      </c>
      <c r="L450" s="18">
        <v>1044830.18</v>
      </c>
    </row>
    <row r="451" spans="1:13" ht="15" thickBot="1" x14ac:dyDescent="0.35">
      <c r="A451" s="14">
        <v>444</v>
      </c>
      <c r="B451" s="15">
        <v>45457</v>
      </c>
      <c r="C451" s="15">
        <v>45457</v>
      </c>
      <c r="D451" s="16" t="s">
        <v>1192</v>
      </c>
      <c r="E451" s="16" t="s">
        <v>1193</v>
      </c>
      <c r="F451" s="16" t="s">
        <v>1202</v>
      </c>
      <c r="G451" s="16" t="s">
        <v>1203</v>
      </c>
      <c r="H451" s="14" t="str">
        <f>"20240614/13329"</f>
        <v>20240614/13329</v>
      </c>
      <c r="I451" s="17" t="str">
        <f t="shared" ref="I451:I458" si="39">" "</f>
        <v> </v>
      </c>
      <c r="J451" s="18">
        <v>12208.08</v>
      </c>
      <c r="K451" s="18">
        <v>0</v>
      </c>
      <c r="L451" s="18">
        <v>1057038.26</v>
      </c>
      <c r="M451" t="s">
        <v>2661</v>
      </c>
    </row>
    <row r="452" spans="1:13" ht="15" thickBot="1" x14ac:dyDescent="0.35">
      <c r="A452" s="14">
        <v>445</v>
      </c>
      <c r="B452" s="15">
        <v>45457</v>
      </c>
      <c r="C452" s="15">
        <v>45457</v>
      </c>
      <c r="D452" s="16" t="s">
        <v>1192</v>
      </c>
      <c r="E452" s="16" t="s">
        <v>1193</v>
      </c>
      <c r="F452" s="16" t="s">
        <v>1204</v>
      </c>
      <c r="G452" s="16" t="s">
        <v>1203</v>
      </c>
      <c r="H452" s="14" t="str">
        <f>"20240614/41817"</f>
        <v>20240614/41817</v>
      </c>
      <c r="I452" s="17" t="str">
        <f t="shared" si="39"/>
        <v> </v>
      </c>
      <c r="J452" s="18">
        <v>22934.93</v>
      </c>
      <c r="K452" s="18">
        <v>0</v>
      </c>
      <c r="L452" s="18">
        <v>1079973.19</v>
      </c>
      <c r="M452" t="s">
        <v>2661</v>
      </c>
    </row>
    <row r="453" spans="1:13" ht="15" thickBot="1" x14ac:dyDescent="0.35">
      <c r="A453" s="14">
        <v>446</v>
      </c>
      <c r="B453" s="15">
        <v>45457</v>
      </c>
      <c r="C453" s="15">
        <v>45457</v>
      </c>
      <c r="D453" s="16" t="s">
        <v>1192</v>
      </c>
      <c r="E453" s="16" t="s">
        <v>1193</v>
      </c>
      <c r="F453" s="16" t="s">
        <v>1194</v>
      </c>
      <c r="G453" s="16" t="s">
        <v>1195</v>
      </c>
      <c r="H453" s="14" t="str">
        <f>"20240614/8433"</f>
        <v>20240614/8433</v>
      </c>
      <c r="I453" s="17" t="str">
        <f t="shared" si="39"/>
        <v> </v>
      </c>
      <c r="J453" s="18">
        <v>0</v>
      </c>
      <c r="K453" s="18">
        <v>262.87</v>
      </c>
      <c r="L453" s="18">
        <v>1079710.32</v>
      </c>
      <c r="M453" t="s">
        <v>2661</v>
      </c>
    </row>
    <row r="454" spans="1:13" ht="15" thickBot="1" x14ac:dyDescent="0.35">
      <c r="A454" s="14">
        <v>447</v>
      </c>
      <c r="B454" s="15">
        <v>45457</v>
      </c>
      <c r="C454" s="15">
        <v>45457</v>
      </c>
      <c r="D454" s="16" t="s">
        <v>1192</v>
      </c>
      <c r="E454" s="16" t="s">
        <v>1193</v>
      </c>
      <c r="F454" s="16" t="s">
        <v>1515</v>
      </c>
      <c r="G454" s="16" t="s">
        <v>1197</v>
      </c>
      <c r="H454" s="14" t="str">
        <f>"20240614/160480"</f>
        <v>20240614/160480</v>
      </c>
      <c r="I454" s="19" t="str">
        <f t="shared" si="39"/>
        <v> </v>
      </c>
      <c r="J454" s="18">
        <v>262.87</v>
      </c>
      <c r="K454" s="18">
        <v>0</v>
      </c>
      <c r="L454" s="18">
        <v>1079973.19</v>
      </c>
      <c r="M454" t="s">
        <v>2658</v>
      </c>
    </row>
    <row r="455" spans="1:13" ht="15" thickBot="1" x14ac:dyDescent="0.35">
      <c r="A455" s="14">
        <v>448</v>
      </c>
      <c r="B455" s="15">
        <v>45457</v>
      </c>
      <c r="C455" s="15">
        <v>45457</v>
      </c>
      <c r="D455" s="16" t="s">
        <v>1192</v>
      </c>
      <c r="E455" s="16" t="s">
        <v>1193</v>
      </c>
      <c r="F455" s="16" t="s">
        <v>1516</v>
      </c>
      <c r="G455" s="16" t="s">
        <v>1197</v>
      </c>
      <c r="H455" s="14" t="str">
        <f>"20240614/195790"</f>
        <v>20240614/195790</v>
      </c>
      <c r="I455" s="19" t="str">
        <f t="shared" si="39"/>
        <v> </v>
      </c>
      <c r="J455" s="18">
        <v>340428.21</v>
      </c>
      <c r="K455" s="18">
        <v>0</v>
      </c>
      <c r="L455" s="18">
        <v>1420401.4</v>
      </c>
    </row>
    <row r="456" spans="1:13" ht="15" thickBot="1" x14ac:dyDescent="0.35">
      <c r="A456" s="14">
        <v>449</v>
      </c>
      <c r="B456" s="15">
        <v>45457</v>
      </c>
      <c r="C456" s="15">
        <v>45457</v>
      </c>
      <c r="D456" s="16" t="s">
        <v>1192</v>
      </c>
      <c r="E456" s="16" t="s">
        <v>1193</v>
      </c>
      <c r="F456" s="16" t="s">
        <v>1517</v>
      </c>
      <c r="G456" s="16" t="s">
        <v>1197</v>
      </c>
      <c r="H456" s="14" t="str">
        <f>"20240614/195791"</f>
        <v>20240614/195791</v>
      </c>
      <c r="I456" s="19" t="str">
        <f t="shared" si="39"/>
        <v> </v>
      </c>
      <c r="J456" s="18">
        <v>5411.06</v>
      </c>
      <c r="K456" s="18">
        <v>0</v>
      </c>
      <c r="L456" s="18">
        <v>1425812.46</v>
      </c>
    </row>
    <row r="457" spans="1:13" ht="15" thickBot="1" x14ac:dyDescent="0.35">
      <c r="A457" s="14">
        <v>450</v>
      </c>
      <c r="B457" s="15">
        <v>45457</v>
      </c>
      <c r="C457" s="15">
        <v>45457</v>
      </c>
      <c r="D457" s="16" t="s">
        <v>1192</v>
      </c>
      <c r="E457" s="16" t="s">
        <v>1193</v>
      </c>
      <c r="F457" s="16" t="s">
        <v>1518</v>
      </c>
      <c r="G457" s="16" t="s">
        <v>1197</v>
      </c>
      <c r="H457" s="14" t="str">
        <f>"20240614/250069"</f>
        <v>20240614/250069</v>
      </c>
      <c r="I457" s="19" t="str">
        <f t="shared" si="39"/>
        <v> </v>
      </c>
      <c r="J457" s="18">
        <v>0</v>
      </c>
      <c r="K457" s="18">
        <v>5519.96</v>
      </c>
      <c r="L457" s="18">
        <v>1420292.5</v>
      </c>
    </row>
    <row r="458" spans="1:13" ht="15" thickBot="1" x14ac:dyDescent="0.35">
      <c r="A458" s="14">
        <v>451</v>
      </c>
      <c r="B458" s="15">
        <v>45457</v>
      </c>
      <c r="C458" s="15">
        <v>45457</v>
      </c>
      <c r="D458" s="16" t="s">
        <v>1192</v>
      </c>
      <c r="E458" s="16" t="s">
        <v>1193</v>
      </c>
      <c r="F458" s="16" t="s">
        <v>1519</v>
      </c>
      <c r="G458" s="16" t="s">
        <v>1197</v>
      </c>
      <c r="H458" s="14" t="str">
        <f>"20240614/250070"</f>
        <v>20240614/250070</v>
      </c>
      <c r="I458" s="19" t="str">
        <f t="shared" si="39"/>
        <v> </v>
      </c>
      <c r="J458" s="18">
        <v>0</v>
      </c>
      <c r="K458" s="18">
        <v>352400.15</v>
      </c>
      <c r="L458" s="18">
        <v>1067892.3500000001</v>
      </c>
    </row>
    <row r="459" spans="1:13" ht="15" thickBot="1" x14ac:dyDescent="0.35">
      <c r="A459" s="14">
        <v>452</v>
      </c>
      <c r="B459" s="15">
        <v>45457</v>
      </c>
      <c r="C459" s="15">
        <v>45461</v>
      </c>
      <c r="D459" s="16" t="s">
        <v>1192</v>
      </c>
      <c r="E459" s="16" t="s">
        <v>1193</v>
      </c>
      <c r="F459" s="16" t="s">
        <v>1520</v>
      </c>
      <c r="G459" s="16" t="s">
        <v>1197</v>
      </c>
      <c r="H459" s="14" t="str">
        <f>"20240614/370465"</f>
        <v>20240614/370465</v>
      </c>
      <c r="I459" s="19" t="str">
        <f>"2406004910392"</f>
        <v>2406004910392</v>
      </c>
      <c r="J459" s="18">
        <v>0</v>
      </c>
      <c r="K459" s="18">
        <v>92837.35</v>
      </c>
      <c r="L459" s="18">
        <v>975055</v>
      </c>
    </row>
    <row r="460" spans="1:13" ht="15" thickBot="1" x14ac:dyDescent="0.35">
      <c r="A460" s="14">
        <v>453</v>
      </c>
      <c r="B460" s="15">
        <v>45457</v>
      </c>
      <c r="C460" s="15">
        <v>45461</v>
      </c>
      <c r="D460" s="16" t="s">
        <v>1192</v>
      </c>
      <c r="E460" s="16" t="s">
        <v>1193</v>
      </c>
      <c r="F460" s="16" t="s">
        <v>1521</v>
      </c>
      <c r="G460" s="16" t="s">
        <v>1197</v>
      </c>
      <c r="H460" s="14" t="str">
        <f>"20240614/370466"</f>
        <v>20240614/370466</v>
      </c>
      <c r="I460" s="19" t="str">
        <f>"2406004910392"</f>
        <v>2406004910392</v>
      </c>
      <c r="J460" s="18">
        <v>0</v>
      </c>
      <c r="K460" s="18">
        <v>33037.11</v>
      </c>
      <c r="L460" s="18">
        <v>942017.89</v>
      </c>
    </row>
    <row r="461" spans="1:13" ht="15" thickBot="1" x14ac:dyDescent="0.35">
      <c r="A461" s="14">
        <v>454</v>
      </c>
      <c r="B461" s="15">
        <v>45461</v>
      </c>
      <c r="C461" s="15">
        <v>45461</v>
      </c>
      <c r="D461" s="16" t="s">
        <v>1192</v>
      </c>
      <c r="E461" s="16" t="s">
        <v>1193</v>
      </c>
      <c r="F461" s="16" t="s">
        <v>1202</v>
      </c>
      <c r="G461" s="16" t="s">
        <v>1203</v>
      </c>
      <c r="H461" s="14" t="str">
        <f>"20240618/18584"</f>
        <v>20240618/18584</v>
      </c>
      <c r="I461" s="17" t="str">
        <f t="shared" ref="I461:I468" si="40">" "</f>
        <v> </v>
      </c>
      <c r="J461" s="18">
        <v>13720.58</v>
      </c>
      <c r="K461" s="18">
        <v>0</v>
      </c>
      <c r="L461" s="18">
        <v>955738.47</v>
      </c>
      <c r="M461" t="s">
        <v>2661</v>
      </c>
    </row>
    <row r="462" spans="1:13" ht="15" thickBot="1" x14ac:dyDescent="0.35">
      <c r="A462" s="14">
        <v>455</v>
      </c>
      <c r="B462" s="15">
        <v>45461</v>
      </c>
      <c r="C462" s="15">
        <v>45461</v>
      </c>
      <c r="D462" s="16" t="s">
        <v>1192</v>
      </c>
      <c r="E462" s="16" t="s">
        <v>1193</v>
      </c>
      <c r="F462" s="16" t="s">
        <v>1204</v>
      </c>
      <c r="G462" s="16" t="s">
        <v>1203</v>
      </c>
      <c r="H462" s="14" t="str">
        <f>"20240618/69538"</f>
        <v>20240618/69538</v>
      </c>
      <c r="I462" s="17" t="str">
        <f t="shared" si="40"/>
        <v> </v>
      </c>
      <c r="J462" s="18">
        <v>92837.35</v>
      </c>
      <c r="K462" s="18">
        <v>0</v>
      </c>
      <c r="L462" s="18">
        <v>1048575.82</v>
      </c>
      <c r="M462" t="s">
        <v>2661</v>
      </c>
    </row>
    <row r="463" spans="1:13" ht="15" thickBot="1" x14ac:dyDescent="0.35">
      <c r="A463" s="14">
        <v>456</v>
      </c>
      <c r="B463" s="15">
        <v>45461</v>
      </c>
      <c r="C463" s="15">
        <v>45461</v>
      </c>
      <c r="D463" s="16" t="s">
        <v>1192</v>
      </c>
      <c r="E463" s="16" t="s">
        <v>1193</v>
      </c>
      <c r="F463" s="16" t="s">
        <v>1194</v>
      </c>
      <c r="G463" s="16" t="s">
        <v>1195</v>
      </c>
      <c r="H463" s="14" t="str">
        <f>"20240618/43142"</f>
        <v>20240618/43142</v>
      </c>
      <c r="I463" s="17" t="str">
        <f t="shared" si="40"/>
        <v> </v>
      </c>
      <c r="J463" s="18">
        <v>0</v>
      </c>
      <c r="K463" s="18">
        <v>1028.68</v>
      </c>
      <c r="L463" s="18">
        <v>1047547.14</v>
      </c>
      <c r="M463" t="s">
        <v>2661</v>
      </c>
    </row>
    <row r="464" spans="1:13" ht="15" thickBot="1" x14ac:dyDescent="0.35">
      <c r="A464" s="14">
        <v>457</v>
      </c>
      <c r="B464" s="15">
        <v>45461</v>
      </c>
      <c r="C464" s="15">
        <v>45461</v>
      </c>
      <c r="D464" s="16" t="s">
        <v>1192</v>
      </c>
      <c r="E464" s="16" t="s">
        <v>1193</v>
      </c>
      <c r="F464" s="16" t="s">
        <v>1522</v>
      </c>
      <c r="G464" s="16" t="s">
        <v>1197</v>
      </c>
      <c r="H464" s="14" t="str">
        <f>"20240618/160292"</f>
        <v>20240618/160292</v>
      </c>
      <c r="I464" s="19" t="str">
        <f t="shared" si="40"/>
        <v> </v>
      </c>
      <c r="J464" s="18">
        <v>1028.68</v>
      </c>
      <c r="K464" s="18">
        <v>0</v>
      </c>
      <c r="L464" s="18">
        <v>1048575.82</v>
      </c>
      <c r="M464" t="s">
        <v>2658</v>
      </c>
    </row>
    <row r="465" spans="1:13" ht="15" thickBot="1" x14ac:dyDescent="0.35">
      <c r="A465" s="14">
        <v>458</v>
      </c>
      <c r="B465" s="15">
        <v>45461</v>
      </c>
      <c r="C465" s="15">
        <v>45461</v>
      </c>
      <c r="D465" s="16" t="s">
        <v>1192</v>
      </c>
      <c r="E465" s="16" t="s">
        <v>1193</v>
      </c>
      <c r="F465" s="16" t="s">
        <v>1523</v>
      </c>
      <c r="G465" s="16" t="s">
        <v>1197</v>
      </c>
      <c r="H465" s="14" t="str">
        <f>"20240618/207693"</f>
        <v>20240618/207693</v>
      </c>
      <c r="I465" s="19" t="str">
        <f t="shared" si="40"/>
        <v> </v>
      </c>
      <c r="J465" s="18">
        <v>340410.84</v>
      </c>
      <c r="K465" s="18">
        <v>0</v>
      </c>
      <c r="L465" s="18">
        <v>1388986.66</v>
      </c>
    </row>
    <row r="466" spans="1:13" ht="15" thickBot="1" x14ac:dyDescent="0.35">
      <c r="A466" s="14">
        <v>459</v>
      </c>
      <c r="B466" s="15">
        <v>45461</v>
      </c>
      <c r="C466" s="15">
        <v>45461</v>
      </c>
      <c r="D466" s="16" t="s">
        <v>1192</v>
      </c>
      <c r="E466" s="16" t="s">
        <v>1193</v>
      </c>
      <c r="F466" s="16" t="s">
        <v>1524</v>
      </c>
      <c r="G466" s="16" t="s">
        <v>1197</v>
      </c>
      <c r="H466" s="14" t="str">
        <f>"20240618/207694"</f>
        <v>20240618/207694</v>
      </c>
      <c r="I466" s="19" t="str">
        <f t="shared" si="40"/>
        <v> </v>
      </c>
      <c r="J466" s="18">
        <v>4322.66</v>
      </c>
      <c r="K466" s="18">
        <v>0</v>
      </c>
      <c r="L466" s="18">
        <v>1393309.32</v>
      </c>
    </row>
    <row r="467" spans="1:13" ht="15" thickBot="1" x14ac:dyDescent="0.35">
      <c r="A467" s="14">
        <v>460</v>
      </c>
      <c r="B467" s="15">
        <v>45461</v>
      </c>
      <c r="C467" s="15">
        <v>45461</v>
      </c>
      <c r="D467" s="16" t="s">
        <v>1192</v>
      </c>
      <c r="E467" s="16" t="s">
        <v>1193</v>
      </c>
      <c r="F467" s="16" t="s">
        <v>1525</v>
      </c>
      <c r="G467" s="16" t="s">
        <v>1197</v>
      </c>
      <c r="H467" s="14" t="str">
        <f>"20240618/310968"</f>
        <v>20240618/310968</v>
      </c>
      <c r="I467" s="19" t="str">
        <f t="shared" si="40"/>
        <v> </v>
      </c>
      <c r="J467" s="18">
        <v>0</v>
      </c>
      <c r="K467" s="18">
        <v>340428.21</v>
      </c>
      <c r="L467" s="18">
        <v>1052881.1100000001</v>
      </c>
    </row>
    <row r="468" spans="1:13" ht="15" thickBot="1" x14ac:dyDescent="0.35">
      <c r="A468" s="14">
        <v>461</v>
      </c>
      <c r="B468" s="15">
        <v>45461</v>
      </c>
      <c r="C468" s="15">
        <v>45461</v>
      </c>
      <c r="D468" s="16" t="s">
        <v>1192</v>
      </c>
      <c r="E468" s="16" t="s">
        <v>1193</v>
      </c>
      <c r="F468" s="16" t="s">
        <v>1526</v>
      </c>
      <c r="G468" s="16" t="s">
        <v>1197</v>
      </c>
      <c r="H468" s="14" t="str">
        <f>"20240618/310969"</f>
        <v>20240618/310969</v>
      </c>
      <c r="I468" s="19" t="str">
        <f t="shared" si="40"/>
        <v> </v>
      </c>
      <c r="J468" s="18">
        <v>0</v>
      </c>
      <c r="K468" s="18">
        <v>5411.06</v>
      </c>
      <c r="L468" s="18">
        <v>1047470.05</v>
      </c>
    </row>
    <row r="469" spans="1:13" ht="15" thickBot="1" x14ac:dyDescent="0.35">
      <c r="A469" s="14">
        <v>462</v>
      </c>
      <c r="B469" s="15">
        <v>45461</v>
      </c>
      <c r="C469" s="15">
        <v>45462</v>
      </c>
      <c r="D469" s="16" t="s">
        <v>1192</v>
      </c>
      <c r="E469" s="16" t="s">
        <v>1193</v>
      </c>
      <c r="F469" s="16" t="s">
        <v>1527</v>
      </c>
      <c r="G469" s="16" t="s">
        <v>1197</v>
      </c>
      <c r="H469" s="14" t="str">
        <f>"20240618/393708"</f>
        <v>20240618/393708</v>
      </c>
      <c r="I469" s="19" t="str">
        <f>"2406005409895"</f>
        <v>2406005409895</v>
      </c>
      <c r="J469" s="18">
        <v>0</v>
      </c>
      <c r="K469" s="18">
        <v>102074.66</v>
      </c>
      <c r="L469" s="18">
        <v>945395.39</v>
      </c>
    </row>
    <row r="470" spans="1:13" ht="15" thickBot="1" x14ac:dyDescent="0.35">
      <c r="A470" s="14">
        <v>463</v>
      </c>
      <c r="B470" s="15">
        <v>45462</v>
      </c>
      <c r="C470" s="15">
        <v>45462</v>
      </c>
      <c r="D470" s="16" t="s">
        <v>1192</v>
      </c>
      <c r="E470" s="16" t="s">
        <v>1193</v>
      </c>
      <c r="F470" s="16" t="s">
        <v>1202</v>
      </c>
      <c r="G470" s="16" t="s">
        <v>1203</v>
      </c>
      <c r="H470" s="14" t="str">
        <f>"20240619/10450"</f>
        <v>20240619/10450</v>
      </c>
      <c r="I470" s="17" t="str">
        <f t="shared" ref="I470:I479" si="41">" "</f>
        <v> </v>
      </c>
      <c r="J470" s="18">
        <v>1105.77</v>
      </c>
      <c r="K470" s="18">
        <v>0</v>
      </c>
      <c r="L470" s="18">
        <v>946501.16</v>
      </c>
      <c r="M470" t="s">
        <v>2661</v>
      </c>
    </row>
    <row r="471" spans="1:13" ht="15" thickBot="1" x14ac:dyDescent="0.35">
      <c r="A471" s="14">
        <v>464</v>
      </c>
      <c r="B471" s="15">
        <v>45462</v>
      </c>
      <c r="C471" s="15">
        <v>45462</v>
      </c>
      <c r="D471" s="16" t="s">
        <v>1192</v>
      </c>
      <c r="E471" s="16" t="s">
        <v>1193</v>
      </c>
      <c r="F471" s="16" t="s">
        <v>1204</v>
      </c>
      <c r="G471" s="16" t="s">
        <v>1203</v>
      </c>
      <c r="H471" s="14" t="str">
        <f>"20240619/50058"</f>
        <v>20240619/50058</v>
      </c>
      <c r="I471" s="17" t="str">
        <f t="shared" si="41"/>
        <v> </v>
      </c>
      <c r="J471" s="18">
        <v>102074.66</v>
      </c>
      <c r="K471" s="18">
        <v>0</v>
      </c>
      <c r="L471" s="18">
        <v>1048575.82</v>
      </c>
      <c r="M471" t="s">
        <v>2661</v>
      </c>
    </row>
    <row r="472" spans="1:13" ht="15" thickBot="1" x14ac:dyDescent="0.35">
      <c r="A472" s="14">
        <v>465</v>
      </c>
      <c r="B472" s="15">
        <v>45462</v>
      </c>
      <c r="C472" s="15">
        <v>45462</v>
      </c>
      <c r="D472" s="16" t="s">
        <v>1192</v>
      </c>
      <c r="E472" s="16" t="s">
        <v>1193</v>
      </c>
      <c r="F472" s="16" t="s">
        <v>1194</v>
      </c>
      <c r="G472" s="16" t="s">
        <v>1195</v>
      </c>
      <c r="H472" s="14" t="str">
        <f>"20240619/111820"</f>
        <v>20240619/111820</v>
      </c>
      <c r="I472" s="17" t="str">
        <f t="shared" si="41"/>
        <v> </v>
      </c>
      <c r="J472" s="18">
        <v>0</v>
      </c>
      <c r="K472" s="18">
        <v>48029.17</v>
      </c>
      <c r="L472" s="18">
        <v>1000546.65</v>
      </c>
      <c r="M472" t="s">
        <v>2661</v>
      </c>
    </row>
    <row r="473" spans="1:13" ht="15" thickBot="1" x14ac:dyDescent="0.35">
      <c r="A473" s="14">
        <v>466</v>
      </c>
      <c r="B473" s="15">
        <v>45462</v>
      </c>
      <c r="C473" s="15">
        <v>45462</v>
      </c>
      <c r="D473" s="16" t="s">
        <v>1192</v>
      </c>
      <c r="E473" s="16" t="s">
        <v>1193</v>
      </c>
      <c r="F473" s="16" t="s">
        <v>1194</v>
      </c>
      <c r="G473" s="16" t="s">
        <v>1195</v>
      </c>
      <c r="H473" s="14" t="str">
        <f>"20240619/31148"</f>
        <v>20240619/31148</v>
      </c>
      <c r="I473" s="17" t="str">
        <f t="shared" si="41"/>
        <v> </v>
      </c>
      <c r="J473" s="18">
        <v>0</v>
      </c>
      <c r="K473" s="18">
        <v>250.29</v>
      </c>
      <c r="L473" s="18">
        <v>1000296.36</v>
      </c>
      <c r="M473" t="s">
        <v>2661</v>
      </c>
    </row>
    <row r="474" spans="1:13" ht="15" thickBot="1" x14ac:dyDescent="0.35">
      <c r="A474" s="14">
        <v>467</v>
      </c>
      <c r="B474" s="15">
        <v>45462</v>
      </c>
      <c r="C474" s="15">
        <v>45462</v>
      </c>
      <c r="D474" s="16" t="s">
        <v>1192</v>
      </c>
      <c r="E474" s="16" t="s">
        <v>1193</v>
      </c>
      <c r="F474" s="16" t="s">
        <v>1249</v>
      </c>
      <c r="G474" s="16" t="s">
        <v>1195</v>
      </c>
      <c r="H474" s="14" t="str">
        <f>"20240619/49295"</f>
        <v>20240619/49295</v>
      </c>
      <c r="I474" s="17" t="str">
        <f t="shared" si="41"/>
        <v> </v>
      </c>
      <c r="J474" s="18">
        <v>0</v>
      </c>
      <c r="K474" s="18">
        <v>43889.09</v>
      </c>
      <c r="L474" s="18">
        <v>956407.27</v>
      </c>
      <c r="M474" t="s">
        <v>2661</v>
      </c>
    </row>
    <row r="475" spans="1:13" ht="15" thickBot="1" x14ac:dyDescent="0.35">
      <c r="A475" s="14">
        <v>468</v>
      </c>
      <c r="B475" s="15">
        <v>45462</v>
      </c>
      <c r="C475" s="15">
        <v>45462</v>
      </c>
      <c r="D475" s="16" t="s">
        <v>1192</v>
      </c>
      <c r="E475" s="16" t="s">
        <v>1193</v>
      </c>
      <c r="F475" s="16" t="s">
        <v>1528</v>
      </c>
      <c r="G475" s="16" t="s">
        <v>1197</v>
      </c>
      <c r="H475" s="14" t="str">
        <f>"20240619/161416"</f>
        <v>20240619/161416</v>
      </c>
      <c r="I475" s="19" t="str">
        <f t="shared" si="41"/>
        <v> </v>
      </c>
      <c r="J475" s="18">
        <v>250.29</v>
      </c>
      <c r="K475" s="18">
        <v>0</v>
      </c>
      <c r="L475" s="18">
        <v>956657.56</v>
      </c>
      <c r="M475" t="s">
        <v>2658</v>
      </c>
    </row>
    <row r="476" spans="1:13" ht="15" thickBot="1" x14ac:dyDescent="0.35">
      <c r="A476" s="14">
        <v>469</v>
      </c>
      <c r="B476" s="15">
        <v>45462</v>
      </c>
      <c r="C476" s="15">
        <v>45462</v>
      </c>
      <c r="D476" s="16" t="s">
        <v>1192</v>
      </c>
      <c r="E476" s="16" t="s">
        <v>1193</v>
      </c>
      <c r="F476" s="16" t="s">
        <v>1529</v>
      </c>
      <c r="G476" s="16" t="s">
        <v>1197</v>
      </c>
      <c r="H476" s="14" t="str">
        <f>"20240619/219438"</f>
        <v>20240619/219438</v>
      </c>
      <c r="I476" s="19" t="str">
        <f t="shared" si="41"/>
        <v> </v>
      </c>
      <c r="J476" s="18">
        <v>6511.06</v>
      </c>
      <c r="K476" s="18">
        <v>0</v>
      </c>
      <c r="L476" s="18">
        <v>963168.62</v>
      </c>
    </row>
    <row r="477" spans="1:13" ht="15" thickBot="1" x14ac:dyDescent="0.35">
      <c r="A477" s="14">
        <v>470</v>
      </c>
      <c r="B477" s="15">
        <v>45462</v>
      </c>
      <c r="C477" s="15">
        <v>45462</v>
      </c>
      <c r="D477" s="16" t="s">
        <v>1192</v>
      </c>
      <c r="E477" s="16" t="s">
        <v>1193</v>
      </c>
      <c r="F477" s="16" t="s">
        <v>1530</v>
      </c>
      <c r="G477" s="16" t="s">
        <v>1197</v>
      </c>
      <c r="H477" s="14" t="str">
        <f>"20240619/219439"</f>
        <v>20240619/219439</v>
      </c>
      <c r="I477" s="19" t="str">
        <f t="shared" si="41"/>
        <v> </v>
      </c>
      <c r="J477" s="18">
        <v>386251.61</v>
      </c>
      <c r="K477" s="18">
        <v>0</v>
      </c>
      <c r="L477" s="18">
        <v>1349420.23</v>
      </c>
    </row>
    <row r="478" spans="1:13" ht="15" thickBot="1" x14ac:dyDescent="0.35">
      <c r="A478" s="14">
        <v>471</v>
      </c>
      <c r="B478" s="15">
        <v>45462</v>
      </c>
      <c r="C478" s="15">
        <v>45462</v>
      </c>
      <c r="D478" s="16" t="s">
        <v>1192</v>
      </c>
      <c r="E478" s="16" t="s">
        <v>1193</v>
      </c>
      <c r="F478" s="16" t="s">
        <v>1531</v>
      </c>
      <c r="G478" s="16" t="s">
        <v>1197</v>
      </c>
      <c r="H478" s="14" t="str">
        <f>"20240619/316779"</f>
        <v>20240619/316779</v>
      </c>
      <c r="I478" s="19" t="str">
        <f t="shared" si="41"/>
        <v> </v>
      </c>
      <c r="J478" s="18">
        <v>0</v>
      </c>
      <c r="K478" s="18">
        <v>340410.84</v>
      </c>
      <c r="L478" s="18">
        <v>1009009.39</v>
      </c>
    </row>
    <row r="479" spans="1:13" ht="15" thickBot="1" x14ac:dyDescent="0.35">
      <c r="A479" s="14">
        <v>472</v>
      </c>
      <c r="B479" s="15">
        <v>45462</v>
      </c>
      <c r="C479" s="15">
        <v>45462</v>
      </c>
      <c r="D479" s="16" t="s">
        <v>1192</v>
      </c>
      <c r="E479" s="16" t="s">
        <v>1193</v>
      </c>
      <c r="F479" s="16" t="s">
        <v>1532</v>
      </c>
      <c r="G479" s="16" t="s">
        <v>1197</v>
      </c>
      <c r="H479" s="14" t="str">
        <f>"20240619/316780"</f>
        <v>20240619/316780</v>
      </c>
      <c r="I479" s="19" t="str">
        <f t="shared" si="41"/>
        <v> </v>
      </c>
      <c r="J479" s="18">
        <v>0</v>
      </c>
      <c r="K479" s="18">
        <v>4322.66</v>
      </c>
      <c r="L479" s="18">
        <v>1004686.73</v>
      </c>
    </row>
    <row r="480" spans="1:13" ht="15" thickBot="1" x14ac:dyDescent="0.35">
      <c r="A480" s="14">
        <v>473</v>
      </c>
      <c r="B480" s="15">
        <v>45462</v>
      </c>
      <c r="C480" s="15">
        <v>45463</v>
      </c>
      <c r="D480" s="16" t="s">
        <v>1192</v>
      </c>
      <c r="E480" s="16" t="s">
        <v>1193</v>
      </c>
      <c r="F480" s="16" t="s">
        <v>1533</v>
      </c>
      <c r="G480" s="16" t="s">
        <v>1197</v>
      </c>
      <c r="H480" s="14" t="str">
        <f>"20240619/401085"</f>
        <v>20240619/401085</v>
      </c>
      <c r="I480" s="19" t="str">
        <f>"2406005920496"</f>
        <v>2406005920496</v>
      </c>
      <c r="J480" s="18">
        <v>43889.09</v>
      </c>
      <c r="K480" s="18">
        <v>0</v>
      </c>
      <c r="L480" s="18">
        <v>1048575.82</v>
      </c>
    </row>
    <row r="481" spans="1:13" ht="15" thickBot="1" x14ac:dyDescent="0.35">
      <c r="A481" s="14">
        <v>474</v>
      </c>
      <c r="B481" s="15">
        <v>45462</v>
      </c>
      <c r="C481" s="15">
        <v>45463</v>
      </c>
      <c r="D481" s="16" t="s">
        <v>1192</v>
      </c>
      <c r="E481" s="16" t="s">
        <v>1193</v>
      </c>
      <c r="F481" s="16" t="s">
        <v>1534</v>
      </c>
      <c r="G481" s="16" t="s">
        <v>1197</v>
      </c>
      <c r="H481" s="14" t="str">
        <f>"20240619/401086"</f>
        <v>20240619/401086</v>
      </c>
      <c r="I481" s="19" t="str">
        <f>"2406005920496"</f>
        <v>2406005920496</v>
      </c>
      <c r="J481" s="18">
        <v>124707.74</v>
      </c>
      <c r="K481" s="18">
        <v>0</v>
      </c>
      <c r="L481" s="18">
        <v>1173283.56</v>
      </c>
    </row>
    <row r="482" spans="1:13" ht="15" thickBot="1" x14ac:dyDescent="0.35">
      <c r="A482" s="14">
        <v>475</v>
      </c>
      <c r="B482" s="15">
        <v>45463</v>
      </c>
      <c r="C482" s="15">
        <v>45463</v>
      </c>
      <c r="D482" s="16" t="s">
        <v>1192</v>
      </c>
      <c r="E482" s="16" t="s">
        <v>1193</v>
      </c>
      <c r="F482" s="16" t="s">
        <v>1194</v>
      </c>
      <c r="G482" s="16" t="s">
        <v>1195</v>
      </c>
      <c r="H482" s="14" t="str">
        <f>"20240620/116792"</f>
        <v>20240620/116792</v>
      </c>
      <c r="I482" s="17" t="str">
        <f t="shared" ref="I482:I488" si="42">" "</f>
        <v> </v>
      </c>
      <c r="J482" s="18">
        <v>0</v>
      </c>
      <c r="K482" s="18">
        <v>52768.75</v>
      </c>
      <c r="L482" s="18">
        <v>1120514.81</v>
      </c>
      <c r="M482" t="s">
        <v>2661</v>
      </c>
    </row>
    <row r="483" spans="1:13" ht="15" thickBot="1" x14ac:dyDescent="0.35">
      <c r="A483" s="14">
        <v>476</v>
      </c>
      <c r="B483" s="15">
        <v>45463</v>
      </c>
      <c r="C483" s="15">
        <v>45463</v>
      </c>
      <c r="D483" s="16" t="s">
        <v>1192</v>
      </c>
      <c r="E483" s="16" t="s">
        <v>1193</v>
      </c>
      <c r="F483" s="16" t="s">
        <v>1194</v>
      </c>
      <c r="G483" s="16" t="s">
        <v>1195</v>
      </c>
      <c r="H483" s="14" t="str">
        <f>"20240620/18699"</f>
        <v>20240620/18699</v>
      </c>
      <c r="I483" s="17" t="str">
        <f t="shared" si="42"/>
        <v> </v>
      </c>
      <c r="J483" s="18">
        <v>0</v>
      </c>
      <c r="K483" s="18">
        <v>233.58</v>
      </c>
      <c r="L483" s="18">
        <v>1120281.23</v>
      </c>
      <c r="M483" t="s">
        <v>2661</v>
      </c>
    </row>
    <row r="484" spans="1:13" ht="15" thickBot="1" x14ac:dyDescent="0.35">
      <c r="A484" s="14">
        <v>477</v>
      </c>
      <c r="B484" s="15">
        <v>45463</v>
      </c>
      <c r="C484" s="15">
        <v>45463</v>
      </c>
      <c r="D484" s="16" t="s">
        <v>1192</v>
      </c>
      <c r="E484" s="16" t="s">
        <v>1193</v>
      </c>
      <c r="F484" s="16" t="s">
        <v>1535</v>
      </c>
      <c r="G484" s="16" t="s">
        <v>1197</v>
      </c>
      <c r="H484" s="14" t="str">
        <f>"20240620/154564"</f>
        <v>20240620/154564</v>
      </c>
      <c r="I484" s="19" t="str">
        <f t="shared" si="42"/>
        <v> </v>
      </c>
      <c r="J484" s="18">
        <v>233.58</v>
      </c>
      <c r="K484" s="18">
        <v>0</v>
      </c>
      <c r="L484" s="18">
        <v>1120514.81</v>
      </c>
      <c r="M484" t="s">
        <v>2658</v>
      </c>
    </row>
    <row r="485" spans="1:13" ht="15" thickBot="1" x14ac:dyDescent="0.35">
      <c r="A485" s="14">
        <v>478</v>
      </c>
      <c r="B485" s="15">
        <v>45463</v>
      </c>
      <c r="C485" s="15">
        <v>45463</v>
      </c>
      <c r="D485" s="16" t="s">
        <v>1192</v>
      </c>
      <c r="E485" s="16" t="s">
        <v>1193</v>
      </c>
      <c r="F485" s="16" t="s">
        <v>1536</v>
      </c>
      <c r="G485" s="16" t="s">
        <v>1197</v>
      </c>
      <c r="H485" s="14" t="str">
        <f>"20240620/232418"</f>
        <v>20240620/232418</v>
      </c>
      <c r="I485" s="19" t="str">
        <f t="shared" si="42"/>
        <v> </v>
      </c>
      <c r="J485" s="18">
        <v>438652.66</v>
      </c>
      <c r="K485" s="18">
        <v>0</v>
      </c>
      <c r="L485" s="18">
        <v>1559167.47</v>
      </c>
    </row>
    <row r="486" spans="1:13" ht="15" thickBot="1" x14ac:dyDescent="0.35">
      <c r="A486" s="14">
        <v>479</v>
      </c>
      <c r="B486" s="15">
        <v>45463</v>
      </c>
      <c r="C486" s="15">
        <v>45463</v>
      </c>
      <c r="D486" s="16" t="s">
        <v>1192</v>
      </c>
      <c r="E486" s="16" t="s">
        <v>1193</v>
      </c>
      <c r="F486" s="16" t="s">
        <v>1537</v>
      </c>
      <c r="G486" s="16" t="s">
        <v>1197</v>
      </c>
      <c r="H486" s="14" t="str">
        <f>"20240620/232419"</f>
        <v>20240620/232419</v>
      </c>
      <c r="I486" s="19" t="str">
        <f t="shared" si="42"/>
        <v> </v>
      </c>
      <c r="J486" s="18">
        <v>6878.76</v>
      </c>
      <c r="K486" s="18">
        <v>0</v>
      </c>
      <c r="L486" s="18">
        <v>1566046.23</v>
      </c>
    </row>
    <row r="487" spans="1:13" ht="15" thickBot="1" x14ac:dyDescent="0.35">
      <c r="A487" s="14">
        <v>480</v>
      </c>
      <c r="B487" s="15">
        <v>45463</v>
      </c>
      <c r="C487" s="15">
        <v>45463</v>
      </c>
      <c r="D487" s="16" t="s">
        <v>1192</v>
      </c>
      <c r="E487" s="16" t="s">
        <v>1193</v>
      </c>
      <c r="F487" s="16" t="s">
        <v>1538</v>
      </c>
      <c r="G487" s="16" t="s">
        <v>1197</v>
      </c>
      <c r="H487" s="14" t="str">
        <f>"20240620/278686"</f>
        <v>20240620/278686</v>
      </c>
      <c r="I487" s="19" t="str">
        <f t="shared" si="42"/>
        <v> </v>
      </c>
      <c r="J487" s="18">
        <v>0</v>
      </c>
      <c r="K487" s="18">
        <v>6511.06</v>
      </c>
      <c r="L487" s="18">
        <v>1559535.17</v>
      </c>
    </row>
    <row r="488" spans="1:13" ht="15" thickBot="1" x14ac:dyDescent="0.35">
      <c r="A488" s="14">
        <v>481</v>
      </c>
      <c r="B488" s="15">
        <v>45463</v>
      </c>
      <c r="C488" s="15">
        <v>45463</v>
      </c>
      <c r="D488" s="16" t="s">
        <v>1192</v>
      </c>
      <c r="E488" s="16" t="s">
        <v>1193</v>
      </c>
      <c r="F488" s="16" t="s">
        <v>1539</v>
      </c>
      <c r="G488" s="16" t="s">
        <v>1197</v>
      </c>
      <c r="H488" s="14" t="str">
        <f>"20240620/278687"</f>
        <v>20240620/278687</v>
      </c>
      <c r="I488" s="19" t="str">
        <f t="shared" si="42"/>
        <v> </v>
      </c>
      <c r="J488" s="18">
        <v>0</v>
      </c>
      <c r="K488" s="18">
        <v>386251.61</v>
      </c>
      <c r="L488" s="18">
        <v>1173283.56</v>
      </c>
    </row>
    <row r="489" spans="1:13" ht="15" thickBot="1" x14ac:dyDescent="0.35">
      <c r="A489" s="14">
        <v>482</v>
      </c>
      <c r="B489" s="15">
        <v>45463</v>
      </c>
      <c r="C489" s="15">
        <v>45464</v>
      </c>
      <c r="D489" s="16" t="s">
        <v>1192</v>
      </c>
      <c r="E489" s="16" t="s">
        <v>1193</v>
      </c>
      <c r="F489" s="16" t="s">
        <v>1540</v>
      </c>
      <c r="G489" s="16" t="s">
        <v>1197</v>
      </c>
      <c r="H489" s="14" t="str">
        <f>"20240620/413447"</f>
        <v>20240620/413447</v>
      </c>
      <c r="I489" s="19" t="str">
        <f>"2406006443119"</f>
        <v>2406006443119</v>
      </c>
      <c r="J489" s="18">
        <v>120154.53</v>
      </c>
      <c r="K489" s="18">
        <v>0</v>
      </c>
      <c r="L489" s="18">
        <v>1293438.0900000001</v>
      </c>
    </row>
    <row r="490" spans="1:13" ht="15" thickBot="1" x14ac:dyDescent="0.35">
      <c r="A490" s="14">
        <v>483</v>
      </c>
      <c r="B490" s="15">
        <v>45464</v>
      </c>
      <c r="C490" s="15">
        <v>45464</v>
      </c>
      <c r="D490" s="16" t="s">
        <v>1192</v>
      </c>
      <c r="E490" s="16" t="s">
        <v>1193</v>
      </c>
      <c r="F490" s="16" t="s">
        <v>1194</v>
      </c>
      <c r="G490" s="16" t="s">
        <v>1195</v>
      </c>
      <c r="H490" s="14" t="str">
        <f>"20240621/5345"</f>
        <v>20240621/5345</v>
      </c>
      <c r="I490" s="17" t="str">
        <f t="shared" ref="I490:I496" si="43">" "</f>
        <v> </v>
      </c>
      <c r="J490" s="18">
        <v>0</v>
      </c>
      <c r="K490" s="18">
        <v>259.2</v>
      </c>
      <c r="L490" s="18">
        <v>1293178.8899999999</v>
      </c>
      <c r="M490" t="s">
        <v>2661</v>
      </c>
    </row>
    <row r="491" spans="1:13" ht="15" thickBot="1" x14ac:dyDescent="0.35">
      <c r="A491" s="14">
        <v>484</v>
      </c>
      <c r="B491" s="15">
        <v>45464</v>
      </c>
      <c r="C491" s="15">
        <v>45464</v>
      </c>
      <c r="D491" s="16" t="s">
        <v>1192</v>
      </c>
      <c r="E491" s="16" t="s">
        <v>1193</v>
      </c>
      <c r="F491" s="16" t="s">
        <v>1194</v>
      </c>
      <c r="G491" s="16" t="s">
        <v>1195</v>
      </c>
      <c r="H491" s="14" t="str">
        <f>"20240621/96635"</f>
        <v>20240621/96635</v>
      </c>
      <c r="I491" s="17" t="str">
        <f t="shared" si="43"/>
        <v> </v>
      </c>
      <c r="J491" s="18">
        <v>0</v>
      </c>
      <c r="K491" s="18">
        <v>12582.27</v>
      </c>
      <c r="L491" s="18">
        <v>1280596.6200000001</v>
      </c>
      <c r="M491" t="s">
        <v>2661</v>
      </c>
    </row>
    <row r="492" spans="1:13" ht="15" thickBot="1" x14ac:dyDescent="0.35">
      <c r="A492" s="14">
        <v>485</v>
      </c>
      <c r="B492" s="15">
        <v>45464</v>
      </c>
      <c r="C492" s="15">
        <v>45464</v>
      </c>
      <c r="D492" s="16" t="s">
        <v>1192</v>
      </c>
      <c r="E492" s="16" t="s">
        <v>1193</v>
      </c>
      <c r="F492" s="16" t="s">
        <v>1541</v>
      </c>
      <c r="G492" s="16" t="s">
        <v>1197</v>
      </c>
      <c r="H492" s="14" t="str">
        <f>"20240621/141288"</f>
        <v>20240621/141288</v>
      </c>
      <c r="I492" s="19" t="str">
        <f t="shared" si="43"/>
        <v> </v>
      </c>
      <c r="J492" s="18">
        <v>259.2</v>
      </c>
      <c r="K492" s="18">
        <v>0</v>
      </c>
      <c r="L492" s="18">
        <v>1280855.82</v>
      </c>
      <c r="M492" t="s">
        <v>2658</v>
      </c>
    </row>
    <row r="493" spans="1:13" ht="15" thickBot="1" x14ac:dyDescent="0.35">
      <c r="A493" s="14">
        <v>486</v>
      </c>
      <c r="B493" s="15">
        <v>45464</v>
      </c>
      <c r="C493" s="15">
        <v>45464</v>
      </c>
      <c r="D493" s="16" t="s">
        <v>1192</v>
      </c>
      <c r="E493" s="16" t="s">
        <v>1193</v>
      </c>
      <c r="F493" s="16" t="s">
        <v>1542</v>
      </c>
      <c r="G493" s="16" t="s">
        <v>1197</v>
      </c>
      <c r="H493" s="14" t="str">
        <f>"20240621/203596"</f>
        <v>20240621/203596</v>
      </c>
      <c r="I493" s="19" t="str">
        <f t="shared" si="43"/>
        <v> </v>
      </c>
      <c r="J493" s="18">
        <v>444253.63</v>
      </c>
      <c r="K493" s="18">
        <v>0</v>
      </c>
      <c r="L493" s="18">
        <v>1725109.45</v>
      </c>
    </row>
    <row r="494" spans="1:13" ht="15" thickBot="1" x14ac:dyDescent="0.35">
      <c r="A494" s="14">
        <v>487</v>
      </c>
      <c r="B494" s="15">
        <v>45464</v>
      </c>
      <c r="C494" s="15">
        <v>45464</v>
      </c>
      <c r="D494" s="16" t="s">
        <v>1192</v>
      </c>
      <c r="E494" s="16" t="s">
        <v>1193</v>
      </c>
      <c r="F494" s="16" t="s">
        <v>1543</v>
      </c>
      <c r="G494" s="16" t="s">
        <v>1197</v>
      </c>
      <c r="H494" s="14" t="str">
        <f>"20240621/203597"</f>
        <v>20240621/203597</v>
      </c>
      <c r="I494" s="19" t="str">
        <f t="shared" si="43"/>
        <v> </v>
      </c>
      <c r="J494" s="18">
        <v>13860.06</v>
      </c>
      <c r="K494" s="18">
        <v>0</v>
      </c>
      <c r="L494" s="18">
        <v>1738969.51</v>
      </c>
    </row>
    <row r="495" spans="1:13" ht="15" thickBot="1" x14ac:dyDescent="0.35">
      <c r="A495" s="14">
        <v>488</v>
      </c>
      <c r="B495" s="15">
        <v>45464</v>
      </c>
      <c r="C495" s="15">
        <v>45464</v>
      </c>
      <c r="D495" s="16" t="s">
        <v>1192</v>
      </c>
      <c r="E495" s="16" t="s">
        <v>1193</v>
      </c>
      <c r="F495" s="16" t="s">
        <v>1544</v>
      </c>
      <c r="G495" s="16" t="s">
        <v>1197</v>
      </c>
      <c r="H495" s="14" t="str">
        <f>"20240621/276208"</f>
        <v>20240621/276208</v>
      </c>
      <c r="I495" s="19" t="str">
        <f t="shared" si="43"/>
        <v> </v>
      </c>
      <c r="J495" s="18">
        <v>0</v>
      </c>
      <c r="K495" s="18">
        <v>438652.66</v>
      </c>
      <c r="L495" s="18">
        <v>1300316.8500000001</v>
      </c>
    </row>
    <row r="496" spans="1:13" ht="15" thickBot="1" x14ac:dyDescent="0.35">
      <c r="A496" s="14">
        <v>489</v>
      </c>
      <c r="B496" s="15">
        <v>45464</v>
      </c>
      <c r="C496" s="15">
        <v>45464</v>
      </c>
      <c r="D496" s="16" t="s">
        <v>1192</v>
      </c>
      <c r="E496" s="16" t="s">
        <v>1193</v>
      </c>
      <c r="F496" s="16" t="s">
        <v>1545</v>
      </c>
      <c r="G496" s="16" t="s">
        <v>1197</v>
      </c>
      <c r="H496" s="14" t="str">
        <f>"20240621/276209"</f>
        <v>20240621/276209</v>
      </c>
      <c r="I496" s="19" t="str">
        <f t="shared" si="43"/>
        <v> </v>
      </c>
      <c r="J496" s="18">
        <v>0</v>
      </c>
      <c r="K496" s="18">
        <v>6878.76</v>
      </c>
      <c r="L496" s="18">
        <v>1293438.0900000001</v>
      </c>
    </row>
    <row r="497" spans="1:13" ht="15" thickBot="1" x14ac:dyDescent="0.35">
      <c r="A497" s="14">
        <v>490</v>
      </c>
      <c r="B497" s="15">
        <v>45464</v>
      </c>
      <c r="C497" s="15">
        <v>45467</v>
      </c>
      <c r="D497" s="16" t="s">
        <v>1192</v>
      </c>
      <c r="E497" s="16" t="s">
        <v>1193</v>
      </c>
      <c r="F497" s="16" t="s">
        <v>1546</v>
      </c>
      <c r="G497" s="16" t="s">
        <v>1197</v>
      </c>
      <c r="H497" s="14" t="str">
        <f>"20240621/383874"</f>
        <v>20240621/383874</v>
      </c>
      <c r="I497" s="19" t="str">
        <f>"2406006939056"</f>
        <v>2406006939056</v>
      </c>
      <c r="J497" s="18">
        <v>26839.38</v>
      </c>
      <c r="K497" s="18">
        <v>0</v>
      </c>
      <c r="L497" s="18">
        <v>1320277.47</v>
      </c>
    </row>
    <row r="498" spans="1:13" ht="15" thickBot="1" x14ac:dyDescent="0.35">
      <c r="A498" s="14">
        <v>491</v>
      </c>
      <c r="B498" s="15">
        <v>45467</v>
      </c>
      <c r="C498" s="15">
        <v>45467</v>
      </c>
      <c r="D498" s="16" t="s">
        <v>1192</v>
      </c>
      <c r="E498" s="16" t="s">
        <v>1193</v>
      </c>
      <c r="F498" s="16" t="s">
        <v>1194</v>
      </c>
      <c r="G498" s="16" t="s">
        <v>1195</v>
      </c>
      <c r="H498" s="14" t="str">
        <f>"20240624/30109"</f>
        <v>20240624/30109</v>
      </c>
      <c r="I498" s="17" t="str">
        <f t="shared" ref="I498:I503" si="44">" "</f>
        <v> </v>
      </c>
      <c r="J498" s="18">
        <v>0</v>
      </c>
      <c r="K498" s="18">
        <v>892.53</v>
      </c>
      <c r="L498" s="18">
        <v>1319384.94</v>
      </c>
      <c r="M498" t="s">
        <v>2661</v>
      </c>
    </row>
    <row r="499" spans="1:13" ht="15" thickBot="1" x14ac:dyDescent="0.35">
      <c r="A499" s="14">
        <v>492</v>
      </c>
      <c r="B499" s="15">
        <v>45467</v>
      </c>
      <c r="C499" s="15">
        <v>45467</v>
      </c>
      <c r="D499" s="16" t="s">
        <v>1192</v>
      </c>
      <c r="E499" s="16" t="s">
        <v>1193</v>
      </c>
      <c r="F499" s="16" t="s">
        <v>1547</v>
      </c>
      <c r="G499" s="16" t="s">
        <v>1197</v>
      </c>
      <c r="H499" s="14" t="str">
        <f>"20240624/156878"</f>
        <v>20240624/156878</v>
      </c>
      <c r="I499" s="19" t="str">
        <f t="shared" si="44"/>
        <v> </v>
      </c>
      <c r="J499" s="18">
        <v>892.53</v>
      </c>
      <c r="K499" s="18">
        <v>0</v>
      </c>
      <c r="L499" s="18">
        <v>1320277.47</v>
      </c>
      <c r="M499" t="s">
        <v>2658</v>
      </c>
    </row>
    <row r="500" spans="1:13" ht="15" thickBot="1" x14ac:dyDescent="0.35">
      <c r="A500" s="14">
        <v>493</v>
      </c>
      <c r="B500" s="15">
        <v>45467</v>
      </c>
      <c r="C500" s="15">
        <v>45467</v>
      </c>
      <c r="D500" s="16" t="s">
        <v>1192</v>
      </c>
      <c r="E500" s="16" t="s">
        <v>1193</v>
      </c>
      <c r="F500" s="16" t="s">
        <v>1548</v>
      </c>
      <c r="G500" s="16" t="s">
        <v>1197</v>
      </c>
      <c r="H500" s="14" t="str">
        <f>"20240624/201691"</f>
        <v>20240624/201691</v>
      </c>
      <c r="I500" s="19" t="str">
        <f t="shared" si="44"/>
        <v> </v>
      </c>
      <c r="J500" s="18">
        <v>21418.959999999999</v>
      </c>
      <c r="K500" s="18">
        <v>0</v>
      </c>
      <c r="L500" s="18">
        <v>1341696.43</v>
      </c>
    </row>
    <row r="501" spans="1:13" ht="15" thickBot="1" x14ac:dyDescent="0.35">
      <c r="A501" s="14">
        <v>494</v>
      </c>
      <c r="B501" s="15">
        <v>45467</v>
      </c>
      <c r="C501" s="15">
        <v>45467</v>
      </c>
      <c r="D501" s="16" t="s">
        <v>1192</v>
      </c>
      <c r="E501" s="16" t="s">
        <v>1193</v>
      </c>
      <c r="F501" s="16" t="s">
        <v>1549</v>
      </c>
      <c r="G501" s="16" t="s">
        <v>1197</v>
      </c>
      <c r="H501" s="14" t="str">
        <f>"20240624/201692"</f>
        <v>20240624/201692</v>
      </c>
      <c r="I501" s="19" t="str">
        <f t="shared" si="44"/>
        <v> </v>
      </c>
      <c r="J501" s="18">
        <v>373547.53</v>
      </c>
      <c r="K501" s="18">
        <v>0</v>
      </c>
      <c r="L501" s="18">
        <v>1715243.96</v>
      </c>
    </row>
    <row r="502" spans="1:13" ht="15" thickBot="1" x14ac:dyDescent="0.35">
      <c r="A502" s="14">
        <v>495</v>
      </c>
      <c r="B502" s="15">
        <v>45467</v>
      </c>
      <c r="C502" s="15">
        <v>45467</v>
      </c>
      <c r="D502" s="16" t="s">
        <v>1192</v>
      </c>
      <c r="E502" s="16" t="s">
        <v>1193</v>
      </c>
      <c r="F502" s="16" t="s">
        <v>1550</v>
      </c>
      <c r="G502" s="16" t="s">
        <v>1197</v>
      </c>
      <c r="H502" s="14" t="str">
        <f>"20240624/248868"</f>
        <v>20240624/248868</v>
      </c>
      <c r="I502" s="19" t="str">
        <f t="shared" si="44"/>
        <v> </v>
      </c>
      <c r="J502" s="18">
        <v>0</v>
      </c>
      <c r="K502" s="18">
        <v>444253.63</v>
      </c>
      <c r="L502" s="18">
        <v>1270990.33</v>
      </c>
    </row>
    <row r="503" spans="1:13" ht="15" thickBot="1" x14ac:dyDescent="0.35">
      <c r="A503" s="14">
        <v>496</v>
      </c>
      <c r="B503" s="15">
        <v>45467</v>
      </c>
      <c r="C503" s="15">
        <v>45467</v>
      </c>
      <c r="D503" s="16" t="s">
        <v>1192</v>
      </c>
      <c r="E503" s="16" t="s">
        <v>1193</v>
      </c>
      <c r="F503" s="16" t="s">
        <v>1551</v>
      </c>
      <c r="G503" s="16" t="s">
        <v>1197</v>
      </c>
      <c r="H503" s="14" t="str">
        <f>"20240624/248869"</f>
        <v>20240624/248869</v>
      </c>
      <c r="I503" s="19" t="str">
        <f t="shared" si="44"/>
        <v> </v>
      </c>
      <c r="J503" s="18">
        <v>0</v>
      </c>
      <c r="K503" s="18">
        <v>13860.06</v>
      </c>
      <c r="L503" s="18">
        <v>1257130.27</v>
      </c>
    </row>
    <row r="504" spans="1:13" ht="15" thickBot="1" x14ac:dyDescent="0.35">
      <c r="A504" s="14">
        <v>497</v>
      </c>
      <c r="B504" s="15">
        <v>45467</v>
      </c>
      <c r="C504" s="15">
        <v>45468</v>
      </c>
      <c r="D504" s="16" t="s">
        <v>1192</v>
      </c>
      <c r="E504" s="16" t="s">
        <v>1193</v>
      </c>
      <c r="F504" s="16" t="s">
        <v>1552</v>
      </c>
      <c r="G504" s="16" t="s">
        <v>1197</v>
      </c>
      <c r="H504" s="14" t="str">
        <f>"20240624/372541"</f>
        <v>20240624/372541</v>
      </c>
      <c r="I504" s="19" t="str">
        <f>"2406007410802"</f>
        <v>2406007410802</v>
      </c>
      <c r="J504" s="18">
        <v>0</v>
      </c>
      <c r="K504" s="18">
        <v>125189.11</v>
      </c>
      <c r="L504" s="18">
        <v>1131941.1599999999</v>
      </c>
    </row>
    <row r="505" spans="1:13" ht="15" thickBot="1" x14ac:dyDescent="0.35">
      <c r="A505" s="14">
        <v>498</v>
      </c>
      <c r="B505" s="15">
        <v>45467</v>
      </c>
      <c r="C505" s="15">
        <v>45468</v>
      </c>
      <c r="D505" s="16" t="s">
        <v>1192</v>
      </c>
      <c r="E505" s="16" t="s">
        <v>1193</v>
      </c>
      <c r="F505" s="16" t="s">
        <v>1553</v>
      </c>
      <c r="G505" s="16" t="s">
        <v>1197</v>
      </c>
      <c r="H505" s="14" t="str">
        <f>"20240624/372542"</f>
        <v>20240624/372542</v>
      </c>
      <c r="I505" s="19" t="str">
        <f>"2406007410802"</f>
        <v>2406007410802</v>
      </c>
      <c r="J505" s="18">
        <v>0</v>
      </c>
      <c r="K505" s="18">
        <v>206344.48</v>
      </c>
      <c r="L505" s="18">
        <v>925596.68</v>
      </c>
    </row>
    <row r="506" spans="1:13" ht="15" thickBot="1" x14ac:dyDescent="0.35">
      <c r="A506" s="14">
        <v>499</v>
      </c>
      <c r="B506" s="15">
        <v>45468</v>
      </c>
      <c r="C506" s="15">
        <v>45468</v>
      </c>
      <c r="D506" s="16" t="s">
        <v>1192</v>
      </c>
      <c r="E506" s="16" t="s">
        <v>1193</v>
      </c>
      <c r="F506" s="16" t="s">
        <v>1202</v>
      </c>
      <c r="G506" s="16" t="s">
        <v>1203</v>
      </c>
      <c r="H506" s="14" t="str">
        <f>"20240625/2119"</f>
        <v>20240625/2119</v>
      </c>
      <c r="I506" s="17" t="str">
        <f t="shared" ref="I506:I514" si="45">" "</f>
        <v> </v>
      </c>
      <c r="J506" s="18">
        <v>81652.58</v>
      </c>
      <c r="K506" s="18">
        <v>0</v>
      </c>
      <c r="L506" s="18">
        <v>1007249.26</v>
      </c>
      <c r="M506" t="s">
        <v>2661</v>
      </c>
    </row>
    <row r="507" spans="1:13" ht="15" thickBot="1" x14ac:dyDescent="0.35">
      <c r="A507" s="14">
        <v>500</v>
      </c>
      <c r="B507" s="15">
        <v>45468</v>
      </c>
      <c r="C507" s="15">
        <v>45468</v>
      </c>
      <c r="D507" s="16" t="s">
        <v>1192</v>
      </c>
      <c r="E507" s="16" t="s">
        <v>1193</v>
      </c>
      <c r="F507" s="16" t="s">
        <v>1204</v>
      </c>
      <c r="G507" s="16" t="s">
        <v>1203</v>
      </c>
      <c r="H507" s="14" t="str">
        <f>"20240625/53345"</f>
        <v>20240625/53345</v>
      </c>
      <c r="I507" s="17" t="str">
        <f t="shared" si="45"/>
        <v> </v>
      </c>
      <c r="J507" s="18">
        <v>125189.11</v>
      </c>
      <c r="K507" s="18">
        <v>0</v>
      </c>
      <c r="L507" s="18">
        <v>1132438.3700000001</v>
      </c>
      <c r="M507" t="s">
        <v>2661</v>
      </c>
    </row>
    <row r="508" spans="1:13" ht="15" thickBot="1" x14ac:dyDescent="0.35">
      <c r="A508" s="14">
        <v>501</v>
      </c>
      <c r="B508" s="15">
        <v>45468</v>
      </c>
      <c r="C508" s="15">
        <v>45468</v>
      </c>
      <c r="D508" s="16" t="s">
        <v>1192</v>
      </c>
      <c r="E508" s="16" t="s">
        <v>1193</v>
      </c>
      <c r="F508" s="16" t="s">
        <v>1194</v>
      </c>
      <c r="G508" s="16" t="s">
        <v>1195</v>
      </c>
      <c r="H508" s="14" t="str">
        <f>"20240625/106140"</f>
        <v>20240625/106140</v>
      </c>
      <c r="I508" s="17" t="str">
        <f t="shared" si="45"/>
        <v> </v>
      </c>
      <c r="J508" s="18">
        <v>0</v>
      </c>
      <c r="K508" s="18">
        <v>14096.93</v>
      </c>
      <c r="L508" s="18">
        <v>1118341.44</v>
      </c>
      <c r="M508" t="s">
        <v>2661</v>
      </c>
    </row>
    <row r="509" spans="1:13" ht="15" thickBot="1" x14ac:dyDescent="0.35">
      <c r="A509" s="14">
        <v>502</v>
      </c>
      <c r="B509" s="15">
        <v>45468</v>
      </c>
      <c r="C509" s="15">
        <v>45468</v>
      </c>
      <c r="D509" s="16" t="s">
        <v>1192</v>
      </c>
      <c r="E509" s="16" t="s">
        <v>1193</v>
      </c>
      <c r="F509" s="16" t="s">
        <v>1194</v>
      </c>
      <c r="G509" s="16" t="s">
        <v>1195</v>
      </c>
      <c r="H509" s="14" t="str">
        <f>"20240625/1850"</f>
        <v>20240625/1850</v>
      </c>
      <c r="I509" s="17" t="str">
        <f t="shared" si="45"/>
        <v> </v>
      </c>
      <c r="J509" s="18">
        <v>0</v>
      </c>
      <c r="K509" s="18">
        <v>307.07</v>
      </c>
      <c r="L509" s="18">
        <v>1118034.3700000001</v>
      </c>
      <c r="M509" t="s">
        <v>2661</v>
      </c>
    </row>
    <row r="510" spans="1:13" ht="15" thickBot="1" x14ac:dyDescent="0.35">
      <c r="A510" s="14">
        <v>503</v>
      </c>
      <c r="B510" s="15">
        <v>45468</v>
      </c>
      <c r="C510" s="15">
        <v>45468</v>
      </c>
      <c r="D510" s="16" t="s">
        <v>1192</v>
      </c>
      <c r="E510" s="16" t="s">
        <v>1193</v>
      </c>
      <c r="F510" s="16" t="s">
        <v>1554</v>
      </c>
      <c r="G510" s="16" t="s">
        <v>1197</v>
      </c>
      <c r="H510" s="14" t="str">
        <f>"20240625/120664"</f>
        <v>20240625/120664</v>
      </c>
      <c r="I510" s="19" t="str">
        <f t="shared" si="45"/>
        <v> </v>
      </c>
      <c r="J510" s="18">
        <v>307.07</v>
      </c>
      <c r="K510" s="18">
        <v>0</v>
      </c>
      <c r="L510" s="18">
        <v>1118341.44</v>
      </c>
      <c r="M510" t="s">
        <v>2658</v>
      </c>
    </row>
    <row r="511" spans="1:13" ht="15" thickBot="1" x14ac:dyDescent="0.35">
      <c r="A511" s="14">
        <v>504</v>
      </c>
      <c r="B511" s="15">
        <v>45468</v>
      </c>
      <c r="C511" s="15">
        <v>45468</v>
      </c>
      <c r="D511" s="16" t="s">
        <v>1192</v>
      </c>
      <c r="E511" s="16" t="s">
        <v>1193</v>
      </c>
      <c r="F511" s="16" t="s">
        <v>1555</v>
      </c>
      <c r="G511" s="16" t="s">
        <v>1197</v>
      </c>
      <c r="H511" s="14" t="str">
        <f>"20240625/197572"</f>
        <v>20240625/197572</v>
      </c>
      <c r="I511" s="19" t="str">
        <f t="shared" si="45"/>
        <v> </v>
      </c>
      <c r="J511" s="18">
        <v>21960.83</v>
      </c>
      <c r="K511" s="18">
        <v>0</v>
      </c>
      <c r="L511" s="18">
        <v>1140302.27</v>
      </c>
    </row>
    <row r="512" spans="1:13" ht="15" thickBot="1" x14ac:dyDescent="0.35">
      <c r="A512" s="14">
        <v>505</v>
      </c>
      <c r="B512" s="15">
        <v>45468</v>
      </c>
      <c r="C512" s="15">
        <v>45468</v>
      </c>
      <c r="D512" s="16" t="s">
        <v>1192</v>
      </c>
      <c r="E512" s="16" t="s">
        <v>1193</v>
      </c>
      <c r="F512" s="16" t="s">
        <v>1556</v>
      </c>
      <c r="G512" s="16" t="s">
        <v>1197</v>
      </c>
      <c r="H512" s="14" t="str">
        <f>"20240625/197573"</f>
        <v>20240625/197573</v>
      </c>
      <c r="I512" s="19" t="str">
        <f t="shared" si="45"/>
        <v> </v>
      </c>
      <c r="J512" s="18">
        <v>387102.59</v>
      </c>
      <c r="K512" s="18">
        <v>0</v>
      </c>
      <c r="L512" s="18">
        <v>1527404.86</v>
      </c>
    </row>
    <row r="513" spans="1:13" ht="15" thickBot="1" x14ac:dyDescent="0.35">
      <c r="A513" s="14">
        <v>506</v>
      </c>
      <c r="B513" s="15">
        <v>45468</v>
      </c>
      <c r="C513" s="15">
        <v>45468</v>
      </c>
      <c r="D513" s="16" t="s">
        <v>1192</v>
      </c>
      <c r="E513" s="16" t="s">
        <v>1193</v>
      </c>
      <c r="F513" s="16" t="s">
        <v>1557</v>
      </c>
      <c r="G513" s="16" t="s">
        <v>1197</v>
      </c>
      <c r="H513" s="14" t="str">
        <f>"20240625/308918"</f>
        <v>20240625/308918</v>
      </c>
      <c r="I513" s="19" t="str">
        <f t="shared" si="45"/>
        <v> </v>
      </c>
      <c r="J513" s="18">
        <v>0</v>
      </c>
      <c r="K513" s="18">
        <v>21418.959999999999</v>
      </c>
      <c r="L513" s="18">
        <v>1505985.9</v>
      </c>
    </row>
    <row r="514" spans="1:13" ht="15" thickBot="1" x14ac:dyDescent="0.35">
      <c r="A514" s="14">
        <v>507</v>
      </c>
      <c r="B514" s="15">
        <v>45468</v>
      </c>
      <c r="C514" s="15">
        <v>45468</v>
      </c>
      <c r="D514" s="16" t="s">
        <v>1192</v>
      </c>
      <c r="E514" s="16" t="s">
        <v>1193</v>
      </c>
      <c r="F514" s="16" t="s">
        <v>1558</v>
      </c>
      <c r="G514" s="16" t="s">
        <v>1197</v>
      </c>
      <c r="H514" s="14" t="str">
        <f>"20240625/308919"</f>
        <v>20240625/308919</v>
      </c>
      <c r="I514" s="19" t="str">
        <f t="shared" si="45"/>
        <v> </v>
      </c>
      <c r="J514" s="18">
        <v>0</v>
      </c>
      <c r="K514" s="18">
        <v>373547.53</v>
      </c>
      <c r="L514" s="18">
        <v>1132438.3700000001</v>
      </c>
    </row>
    <row r="515" spans="1:13" ht="15" thickBot="1" x14ac:dyDescent="0.35">
      <c r="A515" s="14">
        <v>508</v>
      </c>
      <c r="B515" s="15">
        <v>45468</v>
      </c>
      <c r="C515" s="15">
        <v>45469</v>
      </c>
      <c r="D515" s="16" t="s">
        <v>1192</v>
      </c>
      <c r="E515" s="16" t="s">
        <v>1193</v>
      </c>
      <c r="F515" s="16" t="s">
        <v>1559</v>
      </c>
      <c r="G515" s="16" t="s">
        <v>1197</v>
      </c>
      <c r="H515" s="14" t="str">
        <f>"20240625/367999"</f>
        <v>20240625/367999</v>
      </c>
      <c r="I515" s="19" t="str">
        <f>"2406007873857"</f>
        <v>2406007873857</v>
      </c>
      <c r="J515" s="18">
        <v>0</v>
      </c>
      <c r="K515" s="18">
        <v>141094.92000000001</v>
      </c>
      <c r="L515" s="18">
        <v>991343.45</v>
      </c>
    </row>
    <row r="516" spans="1:13" ht="15" thickBot="1" x14ac:dyDescent="0.35">
      <c r="A516" s="14">
        <v>509</v>
      </c>
      <c r="B516" s="15">
        <v>45469</v>
      </c>
      <c r="C516" s="15">
        <v>45469</v>
      </c>
      <c r="D516" s="16" t="s">
        <v>1192</v>
      </c>
      <c r="E516" s="16" t="s">
        <v>1193</v>
      </c>
      <c r="F516" s="16" t="s">
        <v>1204</v>
      </c>
      <c r="G516" s="16" t="s">
        <v>1203</v>
      </c>
      <c r="H516" s="14" t="str">
        <f>"20240626/41706"</f>
        <v>20240626/41706</v>
      </c>
      <c r="I516" s="17" t="str">
        <f t="shared" ref="I516:I523" si="46">" "</f>
        <v> </v>
      </c>
      <c r="J516" s="18">
        <v>141094.92000000001</v>
      </c>
      <c r="K516" s="18">
        <v>0</v>
      </c>
      <c r="L516" s="18">
        <v>1132438.3700000001</v>
      </c>
      <c r="M516" t="s">
        <v>2661</v>
      </c>
    </row>
    <row r="517" spans="1:13" ht="15" thickBot="1" x14ac:dyDescent="0.35">
      <c r="A517" s="14">
        <v>510</v>
      </c>
      <c r="B517" s="15">
        <v>45469</v>
      </c>
      <c r="C517" s="15">
        <v>45469</v>
      </c>
      <c r="D517" s="16" t="s">
        <v>1192</v>
      </c>
      <c r="E517" s="16" t="s">
        <v>1193</v>
      </c>
      <c r="F517" s="16" t="s">
        <v>1194</v>
      </c>
      <c r="G517" s="16" t="s">
        <v>1195</v>
      </c>
      <c r="H517" s="14" t="str">
        <f>"20240626/102901"</f>
        <v>20240626/102901</v>
      </c>
      <c r="I517" s="17" t="str">
        <f t="shared" si="46"/>
        <v> </v>
      </c>
      <c r="J517" s="18">
        <v>0</v>
      </c>
      <c r="K517" s="18">
        <v>74982.44</v>
      </c>
      <c r="L517" s="18">
        <v>1057455.93</v>
      </c>
      <c r="M517" t="s">
        <v>2661</v>
      </c>
    </row>
    <row r="518" spans="1:13" ht="15" thickBot="1" x14ac:dyDescent="0.35">
      <c r="A518" s="14">
        <v>511</v>
      </c>
      <c r="B518" s="15">
        <v>45469</v>
      </c>
      <c r="C518" s="15">
        <v>45469</v>
      </c>
      <c r="D518" s="16" t="s">
        <v>1192</v>
      </c>
      <c r="E518" s="16" t="s">
        <v>1193</v>
      </c>
      <c r="F518" s="16" t="s">
        <v>1194</v>
      </c>
      <c r="G518" s="16" t="s">
        <v>1195</v>
      </c>
      <c r="H518" s="14" t="str">
        <f>"20240626/35952"</f>
        <v>20240626/35952</v>
      </c>
      <c r="I518" s="17" t="str">
        <f t="shared" si="46"/>
        <v> </v>
      </c>
      <c r="J518" s="18">
        <v>0</v>
      </c>
      <c r="K518" s="18">
        <v>257.64</v>
      </c>
      <c r="L518" s="18">
        <v>1057198.29</v>
      </c>
      <c r="M518" t="s">
        <v>2661</v>
      </c>
    </row>
    <row r="519" spans="1:13" ht="15" thickBot="1" x14ac:dyDescent="0.35">
      <c r="A519" s="14">
        <v>512</v>
      </c>
      <c r="B519" s="15">
        <v>45469</v>
      </c>
      <c r="C519" s="15">
        <v>45469</v>
      </c>
      <c r="D519" s="16" t="s">
        <v>1192</v>
      </c>
      <c r="E519" s="16" t="s">
        <v>1193</v>
      </c>
      <c r="F519" s="16" t="s">
        <v>1560</v>
      </c>
      <c r="G519" s="16" t="s">
        <v>1197</v>
      </c>
      <c r="H519" s="14" t="str">
        <f>"20240626/148372"</f>
        <v>20240626/148372</v>
      </c>
      <c r="I519" s="19" t="str">
        <f t="shared" si="46"/>
        <v> </v>
      </c>
      <c r="J519" s="18">
        <v>257.64</v>
      </c>
      <c r="K519" s="18">
        <v>0</v>
      </c>
      <c r="L519" s="18">
        <v>1057455.93</v>
      </c>
      <c r="M519" t="s">
        <v>2658</v>
      </c>
    </row>
    <row r="520" spans="1:13" ht="15" thickBot="1" x14ac:dyDescent="0.35">
      <c r="A520" s="14">
        <v>513</v>
      </c>
      <c r="B520" s="15">
        <v>45469</v>
      </c>
      <c r="C520" s="15">
        <v>45469</v>
      </c>
      <c r="D520" s="16" t="s">
        <v>1192</v>
      </c>
      <c r="E520" s="16" t="s">
        <v>1193</v>
      </c>
      <c r="F520" s="16" t="s">
        <v>1561</v>
      </c>
      <c r="G520" s="16" t="s">
        <v>1197</v>
      </c>
      <c r="H520" s="14" t="str">
        <f>"20240626/218802"</f>
        <v>20240626/218802</v>
      </c>
      <c r="I520" s="19" t="str">
        <f t="shared" si="46"/>
        <v> </v>
      </c>
      <c r="J520" s="18">
        <v>459215.3</v>
      </c>
      <c r="K520" s="18">
        <v>0</v>
      </c>
      <c r="L520" s="18">
        <v>1516671.23</v>
      </c>
    </row>
    <row r="521" spans="1:13" ht="15" thickBot="1" x14ac:dyDescent="0.35">
      <c r="A521" s="14">
        <v>514</v>
      </c>
      <c r="B521" s="15">
        <v>45469</v>
      </c>
      <c r="C521" s="15">
        <v>45469</v>
      </c>
      <c r="D521" s="16" t="s">
        <v>1192</v>
      </c>
      <c r="E521" s="16" t="s">
        <v>1193</v>
      </c>
      <c r="F521" s="16" t="s">
        <v>1562</v>
      </c>
      <c r="G521" s="16" t="s">
        <v>1197</v>
      </c>
      <c r="H521" s="14" t="str">
        <f>"20240626/218803"</f>
        <v>20240626/218803</v>
      </c>
      <c r="I521" s="19" t="str">
        <f t="shared" si="46"/>
        <v> </v>
      </c>
      <c r="J521" s="18">
        <v>24830.560000000001</v>
      </c>
      <c r="K521" s="18">
        <v>0</v>
      </c>
      <c r="L521" s="18">
        <v>1541501.79</v>
      </c>
    </row>
    <row r="522" spans="1:13" ht="15" thickBot="1" x14ac:dyDescent="0.35">
      <c r="A522" s="14">
        <v>515</v>
      </c>
      <c r="B522" s="15">
        <v>45469</v>
      </c>
      <c r="C522" s="15">
        <v>45469</v>
      </c>
      <c r="D522" s="16" t="s">
        <v>1192</v>
      </c>
      <c r="E522" s="16" t="s">
        <v>1193</v>
      </c>
      <c r="F522" s="16" t="s">
        <v>1563</v>
      </c>
      <c r="G522" s="16" t="s">
        <v>1197</v>
      </c>
      <c r="H522" s="14" t="str">
        <f>"20240626/255103"</f>
        <v>20240626/255103</v>
      </c>
      <c r="I522" s="19" t="str">
        <f t="shared" si="46"/>
        <v> </v>
      </c>
      <c r="J522" s="18">
        <v>0</v>
      </c>
      <c r="K522" s="18">
        <v>21960.83</v>
      </c>
      <c r="L522" s="18">
        <v>1519540.96</v>
      </c>
    </row>
    <row r="523" spans="1:13" ht="15" thickBot="1" x14ac:dyDescent="0.35">
      <c r="A523" s="14">
        <v>516</v>
      </c>
      <c r="B523" s="15">
        <v>45469</v>
      </c>
      <c r="C523" s="15">
        <v>45469</v>
      </c>
      <c r="D523" s="16" t="s">
        <v>1192</v>
      </c>
      <c r="E523" s="16" t="s">
        <v>1193</v>
      </c>
      <c r="F523" s="16" t="s">
        <v>1564</v>
      </c>
      <c r="G523" s="16" t="s">
        <v>1197</v>
      </c>
      <c r="H523" s="14" t="str">
        <f>"20240626/255104"</f>
        <v>20240626/255104</v>
      </c>
      <c r="I523" s="19" t="str">
        <f t="shared" si="46"/>
        <v> </v>
      </c>
      <c r="J523" s="18">
        <v>0</v>
      </c>
      <c r="K523" s="18">
        <v>387102.59</v>
      </c>
      <c r="L523" s="18">
        <v>1132438.3700000001</v>
      </c>
    </row>
    <row r="524" spans="1:13" ht="15" thickBot="1" x14ac:dyDescent="0.35">
      <c r="A524" s="14">
        <v>517</v>
      </c>
      <c r="B524" s="15">
        <v>45469</v>
      </c>
      <c r="C524" s="15">
        <v>45470</v>
      </c>
      <c r="D524" s="16" t="s">
        <v>1192</v>
      </c>
      <c r="E524" s="16" t="s">
        <v>1193</v>
      </c>
      <c r="F524" s="16" t="s">
        <v>1565</v>
      </c>
      <c r="G524" s="16" t="s">
        <v>1197</v>
      </c>
      <c r="H524" s="14" t="str">
        <f>"20240626/370280"</f>
        <v>20240626/370280</v>
      </c>
      <c r="I524" s="19" t="str">
        <f>"2406008341995"</f>
        <v>2406008341995</v>
      </c>
      <c r="J524" s="18">
        <v>103705.88</v>
      </c>
      <c r="K524" s="18">
        <v>0</v>
      </c>
      <c r="L524" s="18">
        <v>1236144.25</v>
      </c>
    </row>
    <row r="525" spans="1:13" ht="15" thickBot="1" x14ac:dyDescent="0.35">
      <c r="A525" s="14">
        <v>518</v>
      </c>
      <c r="B525" s="15">
        <v>45470</v>
      </c>
      <c r="C525" s="15">
        <v>45470</v>
      </c>
      <c r="D525" s="16" t="s">
        <v>1192</v>
      </c>
      <c r="E525" s="16" t="s">
        <v>1193</v>
      </c>
      <c r="F525" s="16" t="s">
        <v>1194</v>
      </c>
      <c r="G525" s="16" t="s">
        <v>1195</v>
      </c>
      <c r="H525" s="14" t="str">
        <f>"20240627/105226"</f>
        <v>20240627/105226</v>
      </c>
      <c r="I525" s="17" t="str">
        <f t="shared" ref="I525:I537" si="47">" "</f>
        <v> </v>
      </c>
      <c r="J525" s="18">
        <v>0</v>
      </c>
      <c r="K525" s="18">
        <v>6973.91</v>
      </c>
      <c r="L525" s="18">
        <v>1229170.3400000001</v>
      </c>
      <c r="M525" t="s">
        <v>2661</v>
      </c>
    </row>
    <row r="526" spans="1:13" ht="15" thickBot="1" x14ac:dyDescent="0.35">
      <c r="A526" s="14">
        <v>519</v>
      </c>
      <c r="B526" s="15">
        <v>45470</v>
      </c>
      <c r="C526" s="15">
        <v>45470</v>
      </c>
      <c r="D526" s="16" t="s">
        <v>1192</v>
      </c>
      <c r="E526" s="16" t="s">
        <v>1193</v>
      </c>
      <c r="F526" s="16" t="s">
        <v>1194</v>
      </c>
      <c r="G526" s="16" t="s">
        <v>1195</v>
      </c>
      <c r="H526" s="14" t="str">
        <f>"20240627/28047"</f>
        <v>20240627/28047</v>
      </c>
      <c r="I526" s="17" t="str">
        <f t="shared" si="47"/>
        <v> </v>
      </c>
      <c r="J526" s="18">
        <v>0</v>
      </c>
      <c r="K526" s="18">
        <v>230.93</v>
      </c>
      <c r="L526" s="18">
        <v>1228939.4099999999</v>
      </c>
      <c r="M526" t="s">
        <v>2661</v>
      </c>
    </row>
    <row r="527" spans="1:13" ht="15" thickBot="1" x14ac:dyDescent="0.35">
      <c r="A527" s="14">
        <v>520</v>
      </c>
      <c r="B527" s="15">
        <v>45470</v>
      </c>
      <c r="C527" s="15">
        <v>45470</v>
      </c>
      <c r="D527" s="16" t="s">
        <v>1192</v>
      </c>
      <c r="E527" s="16" t="s">
        <v>1193</v>
      </c>
      <c r="F527" s="16" t="s">
        <v>1566</v>
      </c>
      <c r="G527" s="16" t="s">
        <v>1197</v>
      </c>
      <c r="H527" s="14" t="str">
        <f>"20240627/134404"</f>
        <v>20240627/134404</v>
      </c>
      <c r="I527" s="19" t="str">
        <f t="shared" si="47"/>
        <v> </v>
      </c>
      <c r="J527" s="18">
        <v>230.93</v>
      </c>
      <c r="K527" s="18">
        <v>0</v>
      </c>
      <c r="L527" s="18">
        <v>1229170.3400000001</v>
      </c>
      <c r="M527" t="s">
        <v>2658</v>
      </c>
    </row>
    <row r="528" spans="1:13" ht="15" thickBot="1" x14ac:dyDescent="0.35">
      <c r="A528" s="14">
        <v>521</v>
      </c>
      <c r="B528" s="15">
        <v>45470</v>
      </c>
      <c r="C528" s="15">
        <v>45470</v>
      </c>
      <c r="D528" s="16" t="s">
        <v>1192</v>
      </c>
      <c r="E528" s="16" t="s">
        <v>1193</v>
      </c>
      <c r="F528" s="16" t="s">
        <v>1567</v>
      </c>
      <c r="G528" s="16" t="s">
        <v>1197</v>
      </c>
      <c r="H528" s="14" t="str">
        <f>"20240627/169738"</f>
        <v>20240627/169738</v>
      </c>
      <c r="I528" s="19" t="str">
        <f t="shared" si="47"/>
        <v> </v>
      </c>
      <c r="J528" s="18">
        <v>450904.16</v>
      </c>
      <c r="K528" s="18">
        <v>0</v>
      </c>
      <c r="L528" s="18">
        <v>1680074.5</v>
      </c>
    </row>
    <row r="529" spans="1:13" ht="15" thickBot="1" x14ac:dyDescent="0.35">
      <c r="A529" s="14">
        <v>522</v>
      </c>
      <c r="B529" s="15">
        <v>45470</v>
      </c>
      <c r="C529" s="15">
        <v>45470</v>
      </c>
      <c r="D529" s="16" t="s">
        <v>1192</v>
      </c>
      <c r="E529" s="16" t="s">
        <v>1193</v>
      </c>
      <c r="F529" s="16" t="s">
        <v>1568</v>
      </c>
      <c r="G529" s="16" t="s">
        <v>1197</v>
      </c>
      <c r="H529" s="14" t="str">
        <f>"20240627/169739"</f>
        <v>20240627/169739</v>
      </c>
      <c r="I529" s="19" t="str">
        <f t="shared" si="47"/>
        <v> </v>
      </c>
      <c r="J529" s="18">
        <v>40115.61</v>
      </c>
      <c r="K529" s="18">
        <v>0</v>
      </c>
      <c r="L529" s="18">
        <v>1720190.11</v>
      </c>
    </row>
    <row r="530" spans="1:13" ht="15" thickBot="1" x14ac:dyDescent="0.35">
      <c r="A530" s="14">
        <v>523</v>
      </c>
      <c r="B530" s="15">
        <v>45470</v>
      </c>
      <c r="C530" s="15">
        <v>45470</v>
      </c>
      <c r="D530" s="16" t="s">
        <v>1192</v>
      </c>
      <c r="E530" s="16" t="s">
        <v>1193</v>
      </c>
      <c r="F530" s="16" t="s">
        <v>1569</v>
      </c>
      <c r="G530" s="16" t="s">
        <v>1197</v>
      </c>
      <c r="H530" s="14" t="str">
        <f>"20240627/306549"</f>
        <v>20240627/306549</v>
      </c>
      <c r="I530" s="19" t="str">
        <f t="shared" si="47"/>
        <v> </v>
      </c>
      <c r="J530" s="18">
        <v>0</v>
      </c>
      <c r="K530" s="18">
        <v>459215.3</v>
      </c>
      <c r="L530" s="18">
        <v>1260974.81</v>
      </c>
    </row>
    <row r="531" spans="1:13" ht="15" thickBot="1" x14ac:dyDescent="0.35">
      <c r="A531" s="14">
        <v>524</v>
      </c>
      <c r="B531" s="15">
        <v>45470</v>
      </c>
      <c r="C531" s="15">
        <v>45470</v>
      </c>
      <c r="D531" s="16" t="s">
        <v>1192</v>
      </c>
      <c r="E531" s="16" t="s">
        <v>1193</v>
      </c>
      <c r="F531" s="16" t="s">
        <v>1570</v>
      </c>
      <c r="G531" s="16" t="s">
        <v>1197</v>
      </c>
      <c r="H531" s="14" t="str">
        <f>"20240627/306550"</f>
        <v>20240627/306550</v>
      </c>
      <c r="I531" s="19" t="str">
        <f t="shared" si="47"/>
        <v> </v>
      </c>
      <c r="J531" s="18">
        <v>0</v>
      </c>
      <c r="K531" s="18">
        <v>24830.560000000001</v>
      </c>
      <c r="L531" s="18">
        <v>1236144.25</v>
      </c>
    </row>
    <row r="532" spans="1:13" ht="15" thickBot="1" x14ac:dyDescent="0.35">
      <c r="A532" s="14">
        <v>525</v>
      </c>
      <c r="B532" s="15">
        <v>45471</v>
      </c>
      <c r="C532" s="15">
        <v>45471</v>
      </c>
      <c r="D532" s="16" t="s">
        <v>1192</v>
      </c>
      <c r="E532" s="16" t="s">
        <v>1193</v>
      </c>
      <c r="F532" s="16" t="s">
        <v>1194</v>
      </c>
      <c r="G532" s="16" t="s">
        <v>1195</v>
      </c>
      <c r="H532" s="14" t="str">
        <f>"20240628/7190"</f>
        <v>20240628/7190</v>
      </c>
      <c r="I532" s="17" t="str">
        <f t="shared" si="47"/>
        <v> </v>
      </c>
      <c r="J532" s="18">
        <v>0</v>
      </c>
      <c r="K532" s="18">
        <v>265.39</v>
      </c>
      <c r="L532" s="18">
        <v>1235878.8600000001</v>
      </c>
      <c r="M532" t="s">
        <v>2661</v>
      </c>
    </row>
    <row r="533" spans="1:13" ht="15" thickBot="1" x14ac:dyDescent="0.35">
      <c r="A533" s="14">
        <v>526</v>
      </c>
      <c r="B533" s="15">
        <v>45471</v>
      </c>
      <c r="C533" s="15">
        <v>45471</v>
      </c>
      <c r="D533" s="16" t="s">
        <v>1192</v>
      </c>
      <c r="E533" s="16" t="s">
        <v>1193</v>
      </c>
      <c r="F533" s="16" t="s">
        <v>1571</v>
      </c>
      <c r="G533" s="16" t="s">
        <v>1197</v>
      </c>
      <c r="H533" s="14" t="str">
        <f>"20240628/144008"</f>
        <v>20240628/144008</v>
      </c>
      <c r="I533" s="19" t="str">
        <f t="shared" si="47"/>
        <v> </v>
      </c>
      <c r="J533" s="18">
        <v>265.39</v>
      </c>
      <c r="K533" s="18">
        <v>0</v>
      </c>
      <c r="L533" s="18">
        <v>1236144.25</v>
      </c>
      <c r="M533" t="s">
        <v>2658</v>
      </c>
    </row>
    <row r="534" spans="1:13" ht="15" thickBot="1" x14ac:dyDescent="0.35">
      <c r="A534" s="14">
        <v>527</v>
      </c>
      <c r="B534" s="15">
        <v>45471</v>
      </c>
      <c r="C534" s="15">
        <v>45471</v>
      </c>
      <c r="D534" s="16" t="s">
        <v>1192</v>
      </c>
      <c r="E534" s="16" t="s">
        <v>1193</v>
      </c>
      <c r="F534" s="16" t="s">
        <v>1572</v>
      </c>
      <c r="G534" s="16" t="s">
        <v>1197</v>
      </c>
      <c r="H534" s="14" t="str">
        <f>"20240628/189530"</f>
        <v>20240628/189530</v>
      </c>
      <c r="I534" s="19" t="str">
        <f t="shared" si="47"/>
        <v> </v>
      </c>
      <c r="J534" s="18">
        <v>435743.75</v>
      </c>
      <c r="K534" s="18">
        <v>0</v>
      </c>
      <c r="L534" s="18">
        <v>1671888</v>
      </c>
    </row>
    <row r="535" spans="1:13" ht="15" thickBot="1" x14ac:dyDescent="0.35">
      <c r="A535" s="14">
        <v>528</v>
      </c>
      <c r="B535" s="15">
        <v>45471</v>
      </c>
      <c r="C535" s="15">
        <v>45471</v>
      </c>
      <c r="D535" s="16" t="s">
        <v>1192</v>
      </c>
      <c r="E535" s="16" t="s">
        <v>1193</v>
      </c>
      <c r="F535" s="16" t="s">
        <v>1573</v>
      </c>
      <c r="G535" s="16" t="s">
        <v>1197</v>
      </c>
      <c r="H535" s="14" t="str">
        <f>"20240628/189531"</f>
        <v>20240628/189531</v>
      </c>
      <c r="I535" s="19" t="str">
        <f t="shared" si="47"/>
        <v> </v>
      </c>
      <c r="J535" s="18">
        <v>35347.46</v>
      </c>
      <c r="K535" s="18">
        <v>0</v>
      </c>
      <c r="L535" s="18">
        <v>1707235.46</v>
      </c>
    </row>
    <row r="536" spans="1:13" ht="15" thickBot="1" x14ac:dyDescent="0.35">
      <c r="A536" s="14">
        <v>529</v>
      </c>
      <c r="B536" s="15">
        <v>45471</v>
      </c>
      <c r="C536" s="15">
        <v>45471</v>
      </c>
      <c r="D536" s="16" t="s">
        <v>1192</v>
      </c>
      <c r="E536" s="16" t="s">
        <v>1193</v>
      </c>
      <c r="F536" s="16" t="s">
        <v>1574</v>
      </c>
      <c r="G536" s="16" t="s">
        <v>1197</v>
      </c>
      <c r="H536" s="14" t="str">
        <f>"20240628/253717"</f>
        <v>20240628/253717</v>
      </c>
      <c r="I536" s="19" t="str">
        <f t="shared" si="47"/>
        <v> </v>
      </c>
      <c r="J536" s="18">
        <v>0</v>
      </c>
      <c r="K536" s="18">
        <v>450904.16</v>
      </c>
      <c r="L536" s="18">
        <v>1256331.3</v>
      </c>
    </row>
    <row r="537" spans="1:13" ht="15" thickBot="1" x14ac:dyDescent="0.35">
      <c r="A537" s="14">
        <v>530</v>
      </c>
      <c r="B537" s="15">
        <v>45471</v>
      </c>
      <c r="C537" s="15">
        <v>45471</v>
      </c>
      <c r="D537" s="16" t="s">
        <v>1192</v>
      </c>
      <c r="E537" s="16" t="s">
        <v>1193</v>
      </c>
      <c r="F537" s="16" t="s">
        <v>1575</v>
      </c>
      <c r="G537" s="16" t="s">
        <v>1197</v>
      </c>
      <c r="H537" s="14" t="str">
        <f>"20240628/253718"</f>
        <v>20240628/253718</v>
      </c>
      <c r="I537" s="19" t="str">
        <f t="shared" si="47"/>
        <v> </v>
      </c>
      <c r="J537" s="18">
        <v>0</v>
      </c>
      <c r="K537" s="18">
        <v>40115.61</v>
      </c>
      <c r="L537" s="18">
        <v>1216215.69</v>
      </c>
    </row>
    <row r="538" spans="1:13" ht="15" thickBot="1" x14ac:dyDescent="0.35">
      <c r="A538" s="14">
        <v>531</v>
      </c>
      <c r="B538" s="15">
        <v>45471</v>
      </c>
      <c r="C538" s="15">
        <v>45474</v>
      </c>
      <c r="D538" s="16" t="s">
        <v>1192</v>
      </c>
      <c r="E538" s="16" t="s">
        <v>1193</v>
      </c>
      <c r="F538" s="16" t="s">
        <v>1576</v>
      </c>
      <c r="G538" s="16" t="s">
        <v>1197</v>
      </c>
      <c r="H538" s="14" t="str">
        <f>"20240628/373995"</f>
        <v>20240628/373995</v>
      </c>
      <c r="I538" s="19" t="str">
        <f>"2406009299612"</f>
        <v>2406009299612</v>
      </c>
      <c r="J538" s="18">
        <v>0</v>
      </c>
      <c r="K538" s="18">
        <v>198085.37</v>
      </c>
      <c r="L538" s="18">
        <v>1018130.32</v>
      </c>
    </row>
    <row r="539" spans="1:13" ht="15" thickBot="1" x14ac:dyDescent="0.35">
      <c r="A539" s="14">
        <v>532</v>
      </c>
      <c r="B539" s="15">
        <v>45474</v>
      </c>
      <c r="C539" s="15">
        <v>45474</v>
      </c>
      <c r="D539" s="16" t="s">
        <v>1192</v>
      </c>
      <c r="E539" s="16" t="s">
        <v>1193</v>
      </c>
      <c r="F539" s="16" t="s">
        <v>1202</v>
      </c>
      <c r="G539" s="16" t="s">
        <v>1203</v>
      </c>
      <c r="H539" s="14" t="str">
        <f>"20240701/2556"</f>
        <v>20240701/2556</v>
      </c>
      <c r="I539" s="17" t="str">
        <f t="shared" ref="I539:I546" si="48">" "</f>
        <v> </v>
      </c>
      <c r="J539" s="18">
        <v>19928.560000000001</v>
      </c>
      <c r="K539" s="18">
        <v>0</v>
      </c>
      <c r="L539" s="18">
        <v>1038058.88</v>
      </c>
      <c r="M539" t="s">
        <v>2661</v>
      </c>
    </row>
    <row r="540" spans="1:13" ht="15" thickBot="1" x14ac:dyDescent="0.35">
      <c r="A540" s="14">
        <v>533</v>
      </c>
      <c r="B540" s="15">
        <v>45474</v>
      </c>
      <c r="C540" s="15">
        <v>45474</v>
      </c>
      <c r="D540" s="16" t="s">
        <v>1192</v>
      </c>
      <c r="E540" s="16" t="s">
        <v>1193</v>
      </c>
      <c r="F540" s="16" t="s">
        <v>1204</v>
      </c>
      <c r="G540" s="16" t="s">
        <v>1203</v>
      </c>
      <c r="H540" s="14" t="str">
        <f>"20240701/56586"</f>
        <v>20240701/56586</v>
      </c>
      <c r="I540" s="17" t="str">
        <f t="shared" si="48"/>
        <v> </v>
      </c>
      <c r="J540" s="18">
        <v>198085.37</v>
      </c>
      <c r="K540" s="18">
        <v>0</v>
      </c>
      <c r="L540" s="18">
        <v>1236144.25</v>
      </c>
      <c r="M540" t="s">
        <v>2661</v>
      </c>
    </row>
    <row r="541" spans="1:13" ht="15" thickBot="1" x14ac:dyDescent="0.35">
      <c r="A541" s="14">
        <v>534</v>
      </c>
      <c r="B541" s="15">
        <v>45474</v>
      </c>
      <c r="C541" s="15">
        <v>45474</v>
      </c>
      <c r="D541" s="16" t="s">
        <v>1192</v>
      </c>
      <c r="E541" s="16" t="s">
        <v>1193</v>
      </c>
      <c r="F541" s="16" t="s">
        <v>1194</v>
      </c>
      <c r="G541" s="16" t="s">
        <v>1195</v>
      </c>
      <c r="H541" s="14" t="str">
        <f>"20240701/18170"</f>
        <v>20240701/18170</v>
      </c>
      <c r="I541" s="17" t="str">
        <f t="shared" si="48"/>
        <v> </v>
      </c>
      <c r="J541" s="18">
        <v>0</v>
      </c>
      <c r="K541" s="18">
        <v>796.17</v>
      </c>
      <c r="L541" s="18">
        <v>1235348.08</v>
      </c>
      <c r="M541" t="s">
        <v>2661</v>
      </c>
    </row>
    <row r="542" spans="1:13" ht="15" thickBot="1" x14ac:dyDescent="0.35">
      <c r="A542" s="14">
        <v>535</v>
      </c>
      <c r="B542" s="15">
        <v>45474</v>
      </c>
      <c r="C542" s="15">
        <v>45474</v>
      </c>
      <c r="D542" s="16" t="s">
        <v>1192</v>
      </c>
      <c r="E542" s="16" t="s">
        <v>1193</v>
      </c>
      <c r="F542" s="16" t="s">
        <v>1577</v>
      </c>
      <c r="G542" s="16" t="s">
        <v>1197</v>
      </c>
      <c r="H542" s="14" t="str">
        <f>"20240701/134477"</f>
        <v>20240701/134477</v>
      </c>
      <c r="I542" s="19" t="str">
        <f t="shared" si="48"/>
        <v> </v>
      </c>
      <c r="J542" s="18">
        <v>796.17</v>
      </c>
      <c r="K542" s="18">
        <v>0</v>
      </c>
      <c r="L542" s="18">
        <v>1236144.25</v>
      </c>
      <c r="M542" t="s">
        <v>2658</v>
      </c>
    </row>
    <row r="543" spans="1:13" ht="15" thickBot="1" x14ac:dyDescent="0.35">
      <c r="A543" s="14">
        <v>536</v>
      </c>
      <c r="B543" s="15">
        <v>45474</v>
      </c>
      <c r="C543" s="15">
        <v>45474</v>
      </c>
      <c r="D543" s="16" t="s">
        <v>1192</v>
      </c>
      <c r="E543" s="16" t="s">
        <v>1193</v>
      </c>
      <c r="F543" s="16" t="s">
        <v>1578</v>
      </c>
      <c r="G543" s="16" t="s">
        <v>1197</v>
      </c>
      <c r="H543" s="14" t="str">
        <f>"20240701/209255"</f>
        <v>20240701/209255</v>
      </c>
      <c r="I543" s="19" t="str">
        <f t="shared" si="48"/>
        <v> </v>
      </c>
      <c r="J543" s="18">
        <v>427244.37</v>
      </c>
      <c r="K543" s="18">
        <v>0</v>
      </c>
      <c r="L543" s="18">
        <v>1663388.62</v>
      </c>
    </row>
    <row r="544" spans="1:13" ht="15" thickBot="1" x14ac:dyDescent="0.35">
      <c r="A544" s="14">
        <v>537</v>
      </c>
      <c r="B544" s="15">
        <v>45474</v>
      </c>
      <c r="C544" s="15">
        <v>45474</v>
      </c>
      <c r="D544" s="16" t="s">
        <v>1192</v>
      </c>
      <c r="E544" s="16" t="s">
        <v>1193</v>
      </c>
      <c r="F544" s="16" t="s">
        <v>1579</v>
      </c>
      <c r="G544" s="16" t="s">
        <v>1197</v>
      </c>
      <c r="H544" s="14" t="str">
        <f>"20240701/209256"</f>
        <v>20240701/209256</v>
      </c>
      <c r="I544" s="19" t="str">
        <f t="shared" si="48"/>
        <v> </v>
      </c>
      <c r="J544" s="18">
        <v>32437.56</v>
      </c>
      <c r="K544" s="18">
        <v>0</v>
      </c>
      <c r="L544" s="18">
        <v>1695826.18</v>
      </c>
    </row>
    <row r="545" spans="1:13" ht="15" thickBot="1" x14ac:dyDescent="0.35">
      <c r="A545" s="14">
        <v>538</v>
      </c>
      <c r="B545" s="15">
        <v>45474</v>
      </c>
      <c r="C545" s="15">
        <v>45474</v>
      </c>
      <c r="D545" s="16" t="s">
        <v>1192</v>
      </c>
      <c r="E545" s="16" t="s">
        <v>1193</v>
      </c>
      <c r="F545" s="16" t="s">
        <v>1580</v>
      </c>
      <c r="G545" s="16" t="s">
        <v>1197</v>
      </c>
      <c r="H545" s="14" t="str">
        <f>"20240701/297944"</f>
        <v>20240701/297944</v>
      </c>
      <c r="I545" s="19" t="str">
        <f t="shared" si="48"/>
        <v> </v>
      </c>
      <c r="J545" s="18">
        <v>0</v>
      </c>
      <c r="K545" s="18">
        <v>435743.75</v>
      </c>
      <c r="L545" s="18">
        <v>1260082.43</v>
      </c>
    </row>
    <row r="546" spans="1:13" ht="15" thickBot="1" x14ac:dyDescent="0.35">
      <c r="A546" s="14">
        <v>539</v>
      </c>
      <c r="B546" s="15">
        <v>45474</v>
      </c>
      <c r="C546" s="15">
        <v>45474</v>
      </c>
      <c r="D546" s="16" t="s">
        <v>1192</v>
      </c>
      <c r="E546" s="16" t="s">
        <v>1193</v>
      </c>
      <c r="F546" s="16" t="s">
        <v>1581</v>
      </c>
      <c r="G546" s="16" t="s">
        <v>1197</v>
      </c>
      <c r="H546" s="14" t="str">
        <f>"20240701/297945"</f>
        <v>20240701/297945</v>
      </c>
      <c r="I546" s="19" t="str">
        <f t="shared" si="48"/>
        <v> </v>
      </c>
      <c r="J546" s="18">
        <v>0</v>
      </c>
      <c r="K546" s="18">
        <v>35347.46</v>
      </c>
      <c r="L546" s="18">
        <v>1224734.97</v>
      </c>
    </row>
    <row r="547" spans="1:13" ht="15" thickBot="1" x14ac:dyDescent="0.35">
      <c r="A547" s="14">
        <v>540</v>
      </c>
      <c r="B547" s="15">
        <v>45474</v>
      </c>
      <c r="C547" s="15">
        <v>45475</v>
      </c>
      <c r="D547" s="16" t="s">
        <v>1192</v>
      </c>
      <c r="E547" s="16" t="s">
        <v>1193</v>
      </c>
      <c r="F547" s="16" t="s">
        <v>1582</v>
      </c>
      <c r="G547" s="16" t="s">
        <v>1197</v>
      </c>
      <c r="H547" s="14" t="str">
        <f>"20240701/371941"</f>
        <v>20240701/371941</v>
      </c>
      <c r="I547" s="19" t="str">
        <f>"2407000222334"</f>
        <v>2407000222334</v>
      </c>
      <c r="J547" s="18">
        <v>0</v>
      </c>
      <c r="K547" s="18">
        <v>77714.92</v>
      </c>
      <c r="L547" s="18">
        <v>1147020.05</v>
      </c>
    </row>
    <row r="548" spans="1:13" ht="15" thickBot="1" x14ac:dyDescent="0.35">
      <c r="A548" s="14">
        <v>541</v>
      </c>
      <c r="B548" s="15">
        <v>45474</v>
      </c>
      <c r="C548" s="15">
        <v>45475</v>
      </c>
      <c r="D548" s="16" t="s">
        <v>1192</v>
      </c>
      <c r="E548" s="16" t="s">
        <v>1193</v>
      </c>
      <c r="F548" s="16" t="s">
        <v>1583</v>
      </c>
      <c r="G548" s="16" t="s">
        <v>1197</v>
      </c>
      <c r="H548" s="14" t="str">
        <f>"20240701/371942"</f>
        <v>20240701/371942</v>
      </c>
      <c r="I548" s="19" t="str">
        <f>"2407000222334"</f>
        <v>2407000222334</v>
      </c>
      <c r="J548" s="18">
        <v>0</v>
      </c>
      <c r="K548" s="18">
        <v>41574.35</v>
      </c>
      <c r="L548" s="18">
        <v>1105445.7</v>
      </c>
    </row>
    <row r="549" spans="1:13" ht="15" thickBot="1" x14ac:dyDescent="0.35">
      <c r="A549" s="14">
        <v>542</v>
      </c>
      <c r="B549" s="15">
        <v>45475</v>
      </c>
      <c r="C549" s="15">
        <v>45475</v>
      </c>
      <c r="D549" s="16" t="s">
        <v>1192</v>
      </c>
      <c r="E549" s="16" t="s">
        <v>1193</v>
      </c>
      <c r="F549" s="16" t="s">
        <v>1202</v>
      </c>
      <c r="G549" s="16" t="s">
        <v>1203</v>
      </c>
      <c r="H549" s="14" t="str">
        <f>"20240702/4481"</f>
        <v>20240702/4481</v>
      </c>
      <c r="I549" s="17" t="str">
        <f t="shared" ref="I549:I557" si="49">" "</f>
        <v> </v>
      </c>
      <c r="J549" s="18">
        <v>16450.22</v>
      </c>
      <c r="K549" s="18">
        <v>0</v>
      </c>
      <c r="L549" s="18">
        <v>1121895.92</v>
      </c>
      <c r="M549" t="s">
        <v>2661</v>
      </c>
    </row>
    <row r="550" spans="1:13" ht="15" thickBot="1" x14ac:dyDescent="0.35">
      <c r="A550" s="14">
        <v>543</v>
      </c>
      <c r="B550" s="15">
        <v>45475</v>
      </c>
      <c r="C550" s="15">
        <v>45475</v>
      </c>
      <c r="D550" s="16" t="s">
        <v>1192</v>
      </c>
      <c r="E550" s="16" t="s">
        <v>1193</v>
      </c>
      <c r="F550" s="16" t="s">
        <v>1204</v>
      </c>
      <c r="G550" s="16" t="s">
        <v>1203</v>
      </c>
      <c r="H550" s="14" t="str">
        <f>"20240702/49682"</f>
        <v>20240702/49682</v>
      </c>
      <c r="I550" s="17" t="str">
        <f t="shared" si="49"/>
        <v> </v>
      </c>
      <c r="J550" s="18">
        <v>77714.92</v>
      </c>
      <c r="K550" s="18">
        <v>0</v>
      </c>
      <c r="L550" s="18">
        <v>1199610.8400000001</v>
      </c>
      <c r="M550" t="s">
        <v>2661</v>
      </c>
    </row>
    <row r="551" spans="1:13" ht="15" thickBot="1" x14ac:dyDescent="0.35">
      <c r="A551" s="14">
        <v>544</v>
      </c>
      <c r="B551" s="15">
        <v>45475</v>
      </c>
      <c r="C551" s="15">
        <v>45475</v>
      </c>
      <c r="D551" s="16" t="s">
        <v>1192</v>
      </c>
      <c r="E551" s="16" t="s">
        <v>1193</v>
      </c>
      <c r="F551" s="16" t="s">
        <v>1194</v>
      </c>
      <c r="G551" s="16" t="s">
        <v>1195</v>
      </c>
      <c r="H551" s="14" t="str">
        <f>"20240702/118055"</f>
        <v>20240702/118055</v>
      </c>
      <c r="I551" s="17" t="str">
        <f t="shared" si="49"/>
        <v> </v>
      </c>
      <c r="J551" s="18">
        <v>0</v>
      </c>
      <c r="K551" s="18">
        <v>23743.94</v>
      </c>
      <c r="L551" s="18">
        <v>1175866.8999999999</v>
      </c>
      <c r="M551" t="s">
        <v>2661</v>
      </c>
    </row>
    <row r="552" spans="1:13" ht="15" thickBot="1" x14ac:dyDescent="0.35">
      <c r="A552" s="14">
        <v>545</v>
      </c>
      <c r="B552" s="15">
        <v>45475</v>
      </c>
      <c r="C552" s="15">
        <v>45475</v>
      </c>
      <c r="D552" s="16" t="s">
        <v>1192</v>
      </c>
      <c r="E552" s="16" t="s">
        <v>1193</v>
      </c>
      <c r="F552" s="16" t="s">
        <v>1194</v>
      </c>
      <c r="G552" s="16" t="s">
        <v>1195</v>
      </c>
      <c r="H552" s="14" t="str">
        <f>"20240702/29193"</f>
        <v>20240702/29193</v>
      </c>
      <c r="I552" s="17" t="str">
        <f t="shared" si="49"/>
        <v> </v>
      </c>
      <c r="J552" s="18">
        <v>0</v>
      </c>
      <c r="K552" s="18">
        <v>272.48</v>
      </c>
      <c r="L552" s="18">
        <v>1175594.42</v>
      </c>
      <c r="M552" t="s">
        <v>2661</v>
      </c>
    </row>
    <row r="553" spans="1:13" ht="15" thickBot="1" x14ac:dyDescent="0.35">
      <c r="A553" s="14">
        <v>546</v>
      </c>
      <c r="B553" s="15">
        <v>45475</v>
      </c>
      <c r="C553" s="15">
        <v>45475</v>
      </c>
      <c r="D553" s="16" t="s">
        <v>1192</v>
      </c>
      <c r="E553" s="16" t="s">
        <v>1193</v>
      </c>
      <c r="F553" s="16" t="s">
        <v>1584</v>
      </c>
      <c r="G553" s="16" t="s">
        <v>1197</v>
      </c>
      <c r="H553" s="14" t="str">
        <f>"20240702/145693"</f>
        <v>20240702/145693</v>
      </c>
      <c r="I553" s="19" t="str">
        <f t="shared" si="49"/>
        <v> </v>
      </c>
      <c r="J553" s="18">
        <v>272.48</v>
      </c>
      <c r="K553" s="18">
        <v>0</v>
      </c>
      <c r="L553" s="18">
        <v>1175866.8999999999</v>
      </c>
      <c r="M553" t="s">
        <v>2658</v>
      </c>
    </row>
    <row r="554" spans="1:13" ht="15" thickBot="1" x14ac:dyDescent="0.35">
      <c r="A554" s="14">
        <v>547</v>
      </c>
      <c r="B554" s="15">
        <v>45475</v>
      </c>
      <c r="C554" s="15">
        <v>45475</v>
      </c>
      <c r="D554" s="16" t="s">
        <v>1192</v>
      </c>
      <c r="E554" s="16" t="s">
        <v>1193</v>
      </c>
      <c r="F554" s="16" t="s">
        <v>1585</v>
      </c>
      <c r="G554" s="16" t="s">
        <v>1197</v>
      </c>
      <c r="H554" s="14" t="str">
        <f>"20240702/214342"</f>
        <v>20240702/214342</v>
      </c>
      <c r="I554" s="19" t="str">
        <f t="shared" si="49"/>
        <v> </v>
      </c>
      <c r="J554" s="18">
        <v>43260.06</v>
      </c>
      <c r="K554" s="18">
        <v>0</v>
      </c>
      <c r="L554" s="18">
        <v>1219126.96</v>
      </c>
    </row>
    <row r="555" spans="1:13" ht="15" thickBot="1" x14ac:dyDescent="0.35">
      <c r="A555" s="14">
        <v>548</v>
      </c>
      <c r="B555" s="15">
        <v>45475</v>
      </c>
      <c r="C555" s="15">
        <v>45475</v>
      </c>
      <c r="D555" s="16" t="s">
        <v>1192</v>
      </c>
      <c r="E555" s="16" t="s">
        <v>1193</v>
      </c>
      <c r="F555" s="16" t="s">
        <v>1586</v>
      </c>
      <c r="G555" s="16" t="s">
        <v>1197</v>
      </c>
      <c r="H555" s="14" t="str">
        <f>"20240702/214343"</f>
        <v>20240702/214343</v>
      </c>
      <c r="I555" s="19" t="str">
        <f t="shared" si="49"/>
        <v> </v>
      </c>
      <c r="J555" s="18">
        <v>440165.81</v>
      </c>
      <c r="K555" s="18">
        <v>0</v>
      </c>
      <c r="L555" s="18">
        <v>1659292.77</v>
      </c>
    </row>
    <row r="556" spans="1:13" ht="15" thickBot="1" x14ac:dyDescent="0.35">
      <c r="A556" s="14">
        <v>549</v>
      </c>
      <c r="B556" s="15">
        <v>45475</v>
      </c>
      <c r="C556" s="15">
        <v>45475</v>
      </c>
      <c r="D556" s="16" t="s">
        <v>1192</v>
      </c>
      <c r="E556" s="16" t="s">
        <v>1193</v>
      </c>
      <c r="F556" s="16" t="s">
        <v>1587</v>
      </c>
      <c r="G556" s="16" t="s">
        <v>1197</v>
      </c>
      <c r="H556" s="14" t="str">
        <f>"20240702/252978"</f>
        <v>20240702/252978</v>
      </c>
      <c r="I556" s="19" t="str">
        <f t="shared" si="49"/>
        <v> </v>
      </c>
      <c r="J556" s="18">
        <v>0</v>
      </c>
      <c r="K556" s="18">
        <v>427244.37</v>
      </c>
      <c r="L556" s="18">
        <v>1232048.3999999999</v>
      </c>
    </row>
    <row r="557" spans="1:13" ht="15" thickBot="1" x14ac:dyDescent="0.35">
      <c r="A557" s="14">
        <v>550</v>
      </c>
      <c r="B557" s="15">
        <v>45475</v>
      </c>
      <c r="C557" s="15">
        <v>45475</v>
      </c>
      <c r="D557" s="16" t="s">
        <v>1192</v>
      </c>
      <c r="E557" s="16" t="s">
        <v>1193</v>
      </c>
      <c r="F557" s="16" t="s">
        <v>1588</v>
      </c>
      <c r="G557" s="16" t="s">
        <v>1197</v>
      </c>
      <c r="H557" s="14" t="str">
        <f>"20240702/252979"</f>
        <v>20240702/252979</v>
      </c>
      <c r="I557" s="19" t="str">
        <f t="shared" si="49"/>
        <v> </v>
      </c>
      <c r="J557" s="18">
        <v>0</v>
      </c>
      <c r="K557" s="18">
        <v>32437.56</v>
      </c>
      <c r="L557" s="18">
        <v>1199610.8400000001</v>
      </c>
    </row>
    <row r="558" spans="1:13" ht="15" thickBot="1" x14ac:dyDescent="0.35">
      <c r="A558" s="14">
        <v>551</v>
      </c>
      <c r="B558" s="15">
        <v>45475</v>
      </c>
      <c r="C558" s="15">
        <v>45476</v>
      </c>
      <c r="D558" s="16" t="s">
        <v>1192</v>
      </c>
      <c r="E558" s="16" t="s">
        <v>1193</v>
      </c>
      <c r="F558" s="16" t="s">
        <v>1589</v>
      </c>
      <c r="G558" s="16" t="s">
        <v>1197</v>
      </c>
      <c r="H558" s="14" t="str">
        <f>"20240702/377790"</f>
        <v>20240702/377790</v>
      </c>
      <c r="I558" s="19" t="str">
        <f>"2407000706214"</f>
        <v>2407000706214</v>
      </c>
      <c r="J558" s="18">
        <v>64060.7</v>
      </c>
      <c r="K558" s="18">
        <v>0</v>
      </c>
      <c r="L558" s="18">
        <v>1263671.54</v>
      </c>
    </row>
    <row r="559" spans="1:13" ht="15" thickBot="1" x14ac:dyDescent="0.35">
      <c r="A559" s="14">
        <v>552</v>
      </c>
      <c r="B559" s="15">
        <v>45476</v>
      </c>
      <c r="C559" s="15">
        <v>45476</v>
      </c>
      <c r="D559" s="16" t="s">
        <v>1192</v>
      </c>
      <c r="E559" s="16" t="s">
        <v>1193</v>
      </c>
      <c r="F559" s="16" t="s">
        <v>1194</v>
      </c>
      <c r="G559" s="16" t="s">
        <v>1195</v>
      </c>
      <c r="H559" s="14" t="str">
        <f>"20240703/4096"</f>
        <v>20240703/4096</v>
      </c>
      <c r="I559" s="17" t="str">
        <f t="shared" ref="I559:I564" si="50">" "</f>
        <v> </v>
      </c>
      <c r="J559" s="18">
        <v>0</v>
      </c>
      <c r="K559" s="18">
        <v>255.08</v>
      </c>
      <c r="L559" s="18">
        <v>1263416.46</v>
      </c>
      <c r="M559" t="s">
        <v>2661</v>
      </c>
    </row>
    <row r="560" spans="1:13" ht="15" thickBot="1" x14ac:dyDescent="0.35">
      <c r="A560" s="14">
        <v>553</v>
      </c>
      <c r="B560" s="15">
        <v>45476</v>
      </c>
      <c r="C560" s="15">
        <v>45476</v>
      </c>
      <c r="D560" s="16" t="s">
        <v>1192</v>
      </c>
      <c r="E560" s="16" t="s">
        <v>1193</v>
      </c>
      <c r="F560" s="16" t="s">
        <v>1590</v>
      </c>
      <c r="G560" s="16" t="s">
        <v>1197</v>
      </c>
      <c r="H560" s="14" t="str">
        <f>"20240703/149617"</f>
        <v>20240703/149617</v>
      </c>
      <c r="I560" s="19" t="str">
        <f t="shared" si="50"/>
        <v> </v>
      </c>
      <c r="J560" s="18">
        <v>255.08</v>
      </c>
      <c r="K560" s="18">
        <v>0</v>
      </c>
      <c r="L560" s="18">
        <v>1263671.54</v>
      </c>
      <c r="M560" t="s">
        <v>2658</v>
      </c>
    </row>
    <row r="561" spans="1:13" ht="15" thickBot="1" x14ac:dyDescent="0.35">
      <c r="A561" s="14">
        <v>554</v>
      </c>
      <c r="B561" s="15">
        <v>45476</v>
      </c>
      <c r="C561" s="15">
        <v>45476</v>
      </c>
      <c r="D561" s="16" t="s">
        <v>1192</v>
      </c>
      <c r="E561" s="16" t="s">
        <v>1193</v>
      </c>
      <c r="F561" s="16" t="s">
        <v>1591</v>
      </c>
      <c r="G561" s="16" t="s">
        <v>1197</v>
      </c>
      <c r="H561" s="14" t="str">
        <f>"20240703/166995"</f>
        <v>20240703/166995</v>
      </c>
      <c r="I561" s="19" t="str">
        <f t="shared" si="50"/>
        <v> </v>
      </c>
      <c r="J561" s="18">
        <v>427885.02</v>
      </c>
      <c r="K561" s="18">
        <v>0</v>
      </c>
      <c r="L561" s="18">
        <v>1691556.56</v>
      </c>
    </row>
    <row r="562" spans="1:13" ht="15" thickBot="1" x14ac:dyDescent="0.35">
      <c r="A562" s="14">
        <v>555</v>
      </c>
      <c r="B562" s="15">
        <v>45476</v>
      </c>
      <c r="C562" s="15">
        <v>45476</v>
      </c>
      <c r="D562" s="16" t="s">
        <v>1192</v>
      </c>
      <c r="E562" s="16" t="s">
        <v>1193</v>
      </c>
      <c r="F562" s="16" t="s">
        <v>1592</v>
      </c>
      <c r="G562" s="16" t="s">
        <v>1197</v>
      </c>
      <c r="H562" s="14" t="str">
        <f>"20240703/166996"</f>
        <v>20240703/166996</v>
      </c>
      <c r="I562" s="19" t="str">
        <f t="shared" si="50"/>
        <v> </v>
      </c>
      <c r="J562" s="18">
        <v>31917.759999999998</v>
      </c>
      <c r="K562" s="18">
        <v>0</v>
      </c>
      <c r="L562" s="18">
        <v>1723474.32</v>
      </c>
    </row>
    <row r="563" spans="1:13" ht="15" thickBot="1" x14ac:dyDescent="0.35">
      <c r="A563" s="14">
        <v>556</v>
      </c>
      <c r="B563" s="15">
        <v>45476</v>
      </c>
      <c r="C563" s="15">
        <v>45476</v>
      </c>
      <c r="D563" s="16" t="s">
        <v>1192</v>
      </c>
      <c r="E563" s="16" t="s">
        <v>1193</v>
      </c>
      <c r="F563" s="16" t="s">
        <v>1593</v>
      </c>
      <c r="G563" s="16" t="s">
        <v>1197</v>
      </c>
      <c r="H563" s="14" t="str">
        <f>"20240703/281283"</f>
        <v>20240703/281283</v>
      </c>
      <c r="I563" s="19" t="str">
        <f t="shared" si="50"/>
        <v> </v>
      </c>
      <c r="J563" s="18">
        <v>0</v>
      </c>
      <c r="K563" s="18">
        <v>43260.06</v>
      </c>
      <c r="L563" s="18">
        <v>1680214.26</v>
      </c>
    </row>
    <row r="564" spans="1:13" ht="15" thickBot="1" x14ac:dyDescent="0.35">
      <c r="A564" s="14">
        <v>557</v>
      </c>
      <c r="B564" s="15">
        <v>45476</v>
      </c>
      <c r="C564" s="15">
        <v>45476</v>
      </c>
      <c r="D564" s="16" t="s">
        <v>1192</v>
      </c>
      <c r="E564" s="16" t="s">
        <v>1193</v>
      </c>
      <c r="F564" s="16" t="s">
        <v>1594</v>
      </c>
      <c r="G564" s="16" t="s">
        <v>1197</v>
      </c>
      <c r="H564" s="14" t="str">
        <f>"20240703/281284"</f>
        <v>20240703/281284</v>
      </c>
      <c r="I564" s="19" t="str">
        <f t="shared" si="50"/>
        <v> </v>
      </c>
      <c r="J564" s="18">
        <v>0</v>
      </c>
      <c r="K564" s="18">
        <v>440165.81</v>
      </c>
      <c r="L564" s="18">
        <v>1240048.45</v>
      </c>
    </row>
    <row r="565" spans="1:13" ht="15" thickBot="1" x14ac:dyDescent="0.35">
      <c r="A565" s="14">
        <v>558</v>
      </c>
      <c r="B565" s="15">
        <v>45476</v>
      </c>
      <c r="C565" s="15">
        <v>45477</v>
      </c>
      <c r="D565" s="16" t="s">
        <v>1192</v>
      </c>
      <c r="E565" s="16" t="s">
        <v>1193</v>
      </c>
      <c r="F565" s="16" t="s">
        <v>1595</v>
      </c>
      <c r="G565" s="16" t="s">
        <v>1197</v>
      </c>
      <c r="H565" s="14" t="str">
        <f>"20240703/378362"</f>
        <v>20240703/378362</v>
      </c>
      <c r="I565" s="19" t="str">
        <f>"2407001192020"</f>
        <v>2407001192020</v>
      </c>
      <c r="J565" s="18">
        <v>0</v>
      </c>
      <c r="K565" s="18">
        <v>106413.03</v>
      </c>
      <c r="L565" s="18">
        <v>1133635.42</v>
      </c>
    </row>
    <row r="566" spans="1:13" ht="15" thickBot="1" x14ac:dyDescent="0.35">
      <c r="A566" s="14">
        <v>559</v>
      </c>
      <c r="B566" s="15">
        <v>45477</v>
      </c>
      <c r="C566" s="15">
        <v>45477</v>
      </c>
      <c r="D566" s="16" t="s">
        <v>1192</v>
      </c>
      <c r="E566" s="16" t="s">
        <v>1193</v>
      </c>
      <c r="F566" s="16" t="s">
        <v>1202</v>
      </c>
      <c r="G566" s="16" t="s">
        <v>1203</v>
      </c>
      <c r="H566" s="14" t="str">
        <f>"20240704/23584"</f>
        <v>20240704/23584</v>
      </c>
      <c r="I566" s="17" t="str">
        <f t="shared" ref="I566:I574" si="51">" "</f>
        <v> </v>
      </c>
      <c r="J566" s="18">
        <v>23623.09</v>
      </c>
      <c r="K566" s="18">
        <v>0</v>
      </c>
      <c r="L566" s="18">
        <v>1157258.51</v>
      </c>
      <c r="M566" t="s">
        <v>2661</v>
      </c>
    </row>
    <row r="567" spans="1:13" ht="15" thickBot="1" x14ac:dyDescent="0.35">
      <c r="A567" s="14">
        <v>560</v>
      </c>
      <c r="B567" s="15">
        <v>45477</v>
      </c>
      <c r="C567" s="15">
        <v>45477</v>
      </c>
      <c r="D567" s="16" t="s">
        <v>1192</v>
      </c>
      <c r="E567" s="16" t="s">
        <v>1193</v>
      </c>
      <c r="F567" s="16" t="s">
        <v>1204</v>
      </c>
      <c r="G567" s="16" t="s">
        <v>1203</v>
      </c>
      <c r="H567" s="14" t="str">
        <f>"20240704/39547"</f>
        <v>20240704/39547</v>
      </c>
      <c r="I567" s="17" t="str">
        <f t="shared" si="51"/>
        <v> </v>
      </c>
      <c r="J567" s="18">
        <v>106413.03</v>
      </c>
      <c r="K567" s="18">
        <v>0</v>
      </c>
      <c r="L567" s="18">
        <v>1263671.54</v>
      </c>
      <c r="M567" t="s">
        <v>2661</v>
      </c>
    </row>
    <row r="568" spans="1:13" ht="15" thickBot="1" x14ac:dyDescent="0.35">
      <c r="A568" s="14">
        <v>561</v>
      </c>
      <c r="B568" s="15">
        <v>45477</v>
      </c>
      <c r="C568" s="15">
        <v>45477</v>
      </c>
      <c r="D568" s="16" t="s">
        <v>1192</v>
      </c>
      <c r="E568" s="16" t="s">
        <v>1193</v>
      </c>
      <c r="F568" s="16" t="s">
        <v>1194</v>
      </c>
      <c r="G568" s="16" t="s">
        <v>1195</v>
      </c>
      <c r="H568" s="14" t="str">
        <f>"20240704/11486"</f>
        <v>20240704/11486</v>
      </c>
      <c r="I568" s="17" t="str">
        <f t="shared" si="51"/>
        <v> </v>
      </c>
      <c r="J568" s="18">
        <v>0</v>
      </c>
      <c r="K568" s="18">
        <v>277.89999999999998</v>
      </c>
      <c r="L568" s="18">
        <v>1263393.6399999999</v>
      </c>
      <c r="M568" t="s">
        <v>2661</v>
      </c>
    </row>
    <row r="569" spans="1:13" ht="15" thickBot="1" x14ac:dyDescent="0.35">
      <c r="A569" s="14">
        <v>562</v>
      </c>
      <c r="B569" s="15">
        <v>45477</v>
      </c>
      <c r="C569" s="15">
        <v>45477</v>
      </c>
      <c r="D569" s="16" t="s">
        <v>1192</v>
      </c>
      <c r="E569" s="16" t="s">
        <v>1193</v>
      </c>
      <c r="F569" s="16" t="s">
        <v>1194</v>
      </c>
      <c r="G569" s="16" t="s">
        <v>1195</v>
      </c>
      <c r="H569" s="14" t="str">
        <f>"20240704/98518"</f>
        <v>20240704/98518</v>
      </c>
      <c r="I569" s="17" t="str">
        <f t="shared" si="51"/>
        <v> </v>
      </c>
      <c r="J569" s="18">
        <v>0</v>
      </c>
      <c r="K569" s="18">
        <v>145668.22</v>
      </c>
      <c r="L569" s="18">
        <v>1117725.42</v>
      </c>
      <c r="M569" t="s">
        <v>2661</v>
      </c>
    </row>
    <row r="570" spans="1:13" ht="15" thickBot="1" x14ac:dyDescent="0.35">
      <c r="A570" s="14">
        <v>563</v>
      </c>
      <c r="B570" s="15">
        <v>45477</v>
      </c>
      <c r="C570" s="15">
        <v>45477</v>
      </c>
      <c r="D570" s="16" t="s">
        <v>1192</v>
      </c>
      <c r="E570" s="16" t="s">
        <v>1193</v>
      </c>
      <c r="F570" s="16" t="s">
        <v>1596</v>
      </c>
      <c r="G570" s="16" t="s">
        <v>1197</v>
      </c>
      <c r="H570" s="14" t="str">
        <f>"20240704/174868"</f>
        <v>20240704/174868</v>
      </c>
      <c r="I570" s="19" t="str">
        <f t="shared" si="51"/>
        <v> </v>
      </c>
      <c r="J570" s="18">
        <v>277.89999999999998</v>
      </c>
      <c r="K570" s="18">
        <v>0</v>
      </c>
      <c r="L570" s="18">
        <v>1118003.32</v>
      </c>
      <c r="M570" t="s">
        <v>2658</v>
      </c>
    </row>
    <row r="571" spans="1:13" ht="15" thickBot="1" x14ac:dyDescent="0.35">
      <c r="A571" s="14">
        <v>564</v>
      </c>
      <c r="B571" s="15">
        <v>45477</v>
      </c>
      <c r="C571" s="15">
        <v>45477</v>
      </c>
      <c r="D571" s="16" t="s">
        <v>1192</v>
      </c>
      <c r="E571" s="16" t="s">
        <v>1193</v>
      </c>
      <c r="F571" s="16" t="s">
        <v>1597</v>
      </c>
      <c r="G571" s="16" t="s">
        <v>1197</v>
      </c>
      <c r="H571" s="14" t="str">
        <f>"20240704/209480"</f>
        <v>20240704/209480</v>
      </c>
      <c r="I571" s="19" t="str">
        <f t="shared" si="51"/>
        <v> </v>
      </c>
      <c r="J571" s="18">
        <v>442241.14</v>
      </c>
      <c r="K571" s="18">
        <v>0</v>
      </c>
      <c r="L571" s="18">
        <v>1560244.46</v>
      </c>
    </row>
    <row r="572" spans="1:13" ht="15" thickBot="1" x14ac:dyDescent="0.35">
      <c r="A572" s="14">
        <v>565</v>
      </c>
      <c r="B572" s="15">
        <v>45477</v>
      </c>
      <c r="C572" s="15">
        <v>45477</v>
      </c>
      <c r="D572" s="16" t="s">
        <v>1192</v>
      </c>
      <c r="E572" s="16" t="s">
        <v>1193</v>
      </c>
      <c r="F572" s="16" t="s">
        <v>1598</v>
      </c>
      <c r="G572" s="16" t="s">
        <v>1197</v>
      </c>
      <c r="H572" s="14" t="str">
        <f>"20240704/209481"</f>
        <v>20240704/209481</v>
      </c>
      <c r="I572" s="19" t="str">
        <f t="shared" si="51"/>
        <v> </v>
      </c>
      <c r="J572" s="18">
        <v>34151.660000000003</v>
      </c>
      <c r="K572" s="18">
        <v>0</v>
      </c>
      <c r="L572" s="18">
        <v>1594396.12</v>
      </c>
    </row>
    <row r="573" spans="1:13" ht="15" thickBot="1" x14ac:dyDescent="0.35">
      <c r="A573" s="14">
        <v>566</v>
      </c>
      <c r="B573" s="15">
        <v>45477</v>
      </c>
      <c r="C573" s="15">
        <v>45477</v>
      </c>
      <c r="D573" s="16" t="s">
        <v>1192</v>
      </c>
      <c r="E573" s="16" t="s">
        <v>1193</v>
      </c>
      <c r="F573" s="16" t="s">
        <v>1599</v>
      </c>
      <c r="G573" s="16" t="s">
        <v>1197</v>
      </c>
      <c r="H573" s="14" t="str">
        <f>"20240704/279572"</f>
        <v>20240704/279572</v>
      </c>
      <c r="I573" s="19" t="str">
        <f t="shared" si="51"/>
        <v> </v>
      </c>
      <c r="J573" s="18">
        <v>0</v>
      </c>
      <c r="K573" s="18">
        <v>427885.02</v>
      </c>
      <c r="L573" s="18">
        <v>1166511.1000000001</v>
      </c>
    </row>
    <row r="574" spans="1:13" ht="15" thickBot="1" x14ac:dyDescent="0.35">
      <c r="A574" s="14">
        <v>567</v>
      </c>
      <c r="B574" s="15">
        <v>45477</v>
      </c>
      <c r="C574" s="15">
        <v>45477</v>
      </c>
      <c r="D574" s="16" t="s">
        <v>1192</v>
      </c>
      <c r="E574" s="16" t="s">
        <v>1193</v>
      </c>
      <c r="F574" s="16" t="s">
        <v>1600</v>
      </c>
      <c r="G574" s="16" t="s">
        <v>1197</v>
      </c>
      <c r="H574" s="14" t="str">
        <f>"20240704/279573"</f>
        <v>20240704/279573</v>
      </c>
      <c r="I574" s="19" t="str">
        <f t="shared" si="51"/>
        <v> </v>
      </c>
      <c r="J574" s="18">
        <v>0</v>
      </c>
      <c r="K574" s="18">
        <v>31917.759999999998</v>
      </c>
      <c r="L574" s="18">
        <v>1134593.3400000001</v>
      </c>
    </row>
    <row r="575" spans="1:13" ht="15" thickBot="1" x14ac:dyDescent="0.35">
      <c r="A575" s="14">
        <v>568</v>
      </c>
      <c r="B575" s="15">
        <v>45477</v>
      </c>
      <c r="C575" s="15">
        <v>45478</v>
      </c>
      <c r="D575" s="16" t="s">
        <v>1192</v>
      </c>
      <c r="E575" s="16" t="s">
        <v>1193</v>
      </c>
      <c r="F575" s="16" t="s">
        <v>1601</v>
      </c>
      <c r="G575" s="16" t="s">
        <v>1197</v>
      </c>
      <c r="H575" s="14" t="str">
        <f>"20240704/385473"</f>
        <v>20240704/385473</v>
      </c>
      <c r="I575" s="19" t="str">
        <f>"2407001637913"</f>
        <v>2407001637913</v>
      </c>
      <c r="J575" s="18">
        <v>0</v>
      </c>
      <c r="K575" s="18">
        <v>29312.63</v>
      </c>
      <c r="L575" s="18">
        <v>1105280.71</v>
      </c>
    </row>
    <row r="576" spans="1:13" ht="15" thickBot="1" x14ac:dyDescent="0.35">
      <c r="A576" s="14">
        <v>569</v>
      </c>
      <c r="B576" s="15">
        <v>45477</v>
      </c>
      <c r="C576" s="15">
        <v>45478</v>
      </c>
      <c r="D576" s="16" t="s">
        <v>1192</v>
      </c>
      <c r="E576" s="16" t="s">
        <v>1193</v>
      </c>
      <c r="F576" s="16" t="s">
        <v>1602</v>
      </c>
      <c r="G576" s="16" t="s">
        <v>1197</v>
      </c>
      <c r="H576" s="14" t="str">
        <f>"20240704/385474"</f>
        <v>20240704/385474</v>
      </c>
      <c r="I576" s="19" t="str">
        <f>"2407001686815"</f>
        <v>2407001686815</v>
      </c>
      <c r="J576" s="18">
        <v>120002.51</v>
      </c>
      <c r="K576" s="18">
        <v>0</v>
      </c>
      <c r="L576" s="18">
        <v>1225283.22</v>
      </c>
    </row>
    <row r="577" spans="1:13" ht="15" thickBot="1" x14ac:dyDescent="0.35">
      <c r="A577" s="14">
        <v>570</v>
      </c>
      <c r="B577" s="15">
        <v>45478</v>
      </c>
      <c r="C577" s="15">
        <v>45478</v>
      </c>
      <c r="D577" s="16" t="s">
        <v>1192</v>
      </c>
      <c r="E577" s="16" t="s">
        <v>1193</v>
      </c>
      <c r="F577" s="16" t="s">
        <v>1202</v>
      </c>
      <c r="G577" s="16" t="s">
        <v>1203</v>
      </c>
      <c r="H577" s="14" t="str">
        <f>"20240705/19446"</f>
        <v>20240705/19446</v>
      </c>
      <c r="I577" s="17" t="str">
        <f t="shared" ref="I577:I585" si="52">" "</f>
        <v> </v>
      </c>
      <c r="J577" s="18">
        <v>6379.07</v>
      </c>
      <c r="K577" s="18">
        <v>0</v>
      </c>
      <c r="L577" s="18">
        <v>1231662.29</v>
      </c>
      <c r="M577" t="s">
        <v>2661</v>
      </c>
    </row>
    <row r="578" spans="1:13" ht="15" thickBot="1" x14ac:dyDescent="0.35">
      <c r="A578" s="14">
        <v>571</v>
      </c>
      <c r="B578" s="15">
        <v>45478</v>
      </c>
      <c r="C578" s="15">
        <v>45478</v>
      </c>
      <c r="D578" s="16" t="s">
        <v>1192</v>
      </c>
      <c r="E578" s="16" t="s">
        <v>1193</v>
      </c>
      <c r="F578" s="16" t="s">
        <v>1204</v>
      </c>
      <c r="G578" s="16" t="s">
        <v>1203</v>
      </c>
      <c r="H578" s="14" t="str">
        <f>"20240705/57568"</f>
        <v>20240705/57568</v>
      </c>
      <c r="I578" s="17" t="str">
        <f t="shared" si="52"/>
        <v> </v>
      </c>
      <c r="J578" s="18">
        <v>29312.63</v>
      </c>
      <c r="K578" s="18">
        <v>0</v>
      </c>
      <c r="L578" s="18">
        <v>1260974.92</v>
      </c>
      <c r="M578" t="s">
        <v>2661</v>
      </c>
    </row>
    <row r="579" spans="1:13" ht="15" thickBot="1" x14ac:dyDescent="0.35">
      <c r="A579" s="14">
        <v>572</v>
      </c>
      <c r="B579" s="15">
        <v>45478</v>
      </c>
      <c r="C579" s="15">
        <v>45478</v>
      </c>
      <c r="D579" s="16" t="s">
        <v>1192</v>
      </c>
      <c r="E579" s="16" t="s">
        <v>1193</v>
      </c>
      <c r="F579" s="16" t="s">
        <v>1194</v>
      </c>
      <c r="G579" s="16" t="s">
        <v>1195</v>
      </c>
      <c r="H579" s="14" t="str">
        <f>"20240705/10276"</f>
        <v>20240705/10276</v>
      </c>
      <c r="I579" s="17" t="str">
        <f t="shared" si="52"/>
        <v> </v>
      </c>
      <c r="J579" s="18">
        <v>0</v>
      </c>
      <c r="K579" s="18">
        <v>234.43</v>
      </c>
      <c r="L579" s="18">
        <v>1260740.49</v>
      </c>
      <c r="M579" t="s">
        <v>2661</v>
      </c>
    </row>
    <row r="580" spans="1:13" ht="15" thickBot="1" x14ac:dyDescent="0.35">
      <c r="A580" s="14">
        <v>573</v>
      </c>
      <c r="B580" s="15">
        <v>45478</v>
      </c>
      <c r="C580" s="15">
        <v>45478</v>
      </c>
      <c r="D580" s="16" t="s">
        <v>1192</v>
      </c>
      <c r="E580" s="16" t="s">
        <v>1193</v>
      </c>
      <c r="F580" s="16" t="s">
        <v>1194</v>
      </c>
      <c r="G580" s="16" t="s">
        <v>1195</v>
      </c>
      <c r="H580" s="14" t="str">
        <f>"20240705/103581"</f>
        <v>20240705/103581</v>
      </c>
      <c r="I580" s="17" t="str">
        <f t="shared" si="52"/>
        <v> </v>
      </c>
      <c r="J580" s="18">
        <v>0</v>
      </c>
      <c r="K580" s="18">
        <v>344465.07</v>
      </c>
      <c r="L580" s="18">
        <v>916275.42</v>
      </c>
      <c r="M580" t="s">
        <v>2661</v>
      </c>
    </row>
    <row r="581" spans="1:13" ht="15" thickBot="1" x14ac:dyDescent="0.35">
      <c r="A581" s="14">
        <v>574</v>
      </c>
      <c r="B581" s="15">
        <v>45478</v>
      </c>
      <c r="C581" s="15">
        <v>45478</v>
      </c>
      <c r="D581" s="16" t="s">
        <v>1192</v>
      </c>
      <c r="E581" s="16" t="s">
        <v>1193</v>
      </c>
      <c r="F581" s="16" t="s">
        <v>1603</v>
      </c>
      <c r="G581" s="16" t="s">
        <v>1197</v>
      </c>
      <c r="H581" s="14" t="str">
        <f>"20240705/138295"</f>
        <v>20240705/138295</v>
      </c>
      <c r="I581" s="19" t="str">
        <f t="shared" si="52"/>
        <v> </v>
      </c>
      <c r="J581" s="18">
        <v>234.43</v>
      </c>
      <c r="K581" s="18">
        <v>0</v>
      </c>
      <c r="L581" s="18">
        <v>916509.85</v>
      </c>
      <c r="M581" t="s">
        <v>2658</v>
      </c>
    </row>
    <row r="582" spans="1:13" ht="15" thickBot="1" x14ac:dyDescent="0.35">
      <c r="A582" s="14">
        <v>575</v>
      </c>
      <c r="B582" s="15">
        <v>45478</v>
      </c>
      <c r="C582" s="15">
        <v>45478</v>
      </c>
      <c r="D582" s="16" t="s">
        <v>1192</v>
      </c>
      <c r="E582" s="16" t="s">
        <v>1193</v>
      </c>
      <c r="F582" s="16" t="s">
        <v>1604</v>
      </c>
      <c r="G582" s="16" t="s">
        <v>1197</v>
      </c>
      <c r="H582" s="14" t="str">
        <f>"20240705/224319"</f>
        <v>20240705/224319</v>
      </c>
      <c r="I582" s="19" t="str">
        <f t="shared" si="52"/>
        <v> </v>
      </c>
      <c r="J582" s="18">
        <v>651650.71</v>
      </c>
      <c r="K582" s="18">
        <v>0</v>
      </c>
      <c r="L582" s="18">
        <v>1568160.56</v>
      </c>
    </row>
    <row r="583" spans="1:13" ht="15" thickBot="1" x14ac:dyDescent="0.35">
      <c r="A583" s="14">
        <v>576</v>
      </c>
      <c r="B583" s="15">
        <v>45478</v>
      </c>
      <c r="C583" s="15">
        <v>45478</v>
      </c>
      <c r="D583" s="16" t="s">
        <v>1192</v>
      </c>
      <c r="E583" s="16" t="s">
        <v>1193</v>
      </c>
      <c r="F583" s="16" t="s">
        <v>1605</v>
      </c>
      <c r="G583" s="16" t="s">
        <v>1197</v>
      </c>
      <c r="H583" s="14" t="str">
        <f>"20240705/224320"</f>
        <v>20240705/224320</v>
      </c>
      <c r="I583" s="19" t="str">
        <f t="shared" si="52"/>
        <v> </v>
      </c>
      <c r="J583" s="18">
        <v>43120.83</v>
      </c>
      <c r="K583" s="18">
        <v>0</v>
      </c>
      <c r="L583" s="18">
        <v>1611281.39</v>
      </c>
    </row>
    <row r="584" spans="1:13" ht="15" thickBot="1" x14ac:dyDescent="0.35">
      <c r="A584" s="14">
        <v>577</v>
      </c>
      <c r="B584" s="15">
        <v>45478</v>
      </c>
      <c r="C584" s="15">
        <v>45478</v>
      </c>
      <c r="D584" s="16" t="s">
        <v>1192</v>
      </c>
      <c r="E584" s="16" t="s">
        <v>1193</v>
      </c>
      <c r="F584" s="16" t="s">
        <v>1606</v>
      </c>
      <c r="G584" s="16" t="s">
        <v>1197</v>
      </c>
      <c r="H584" s="14" t="str">
        <f>"20240705/256121"</f>
        <v>20240705/256121</v>
      </c>
      <c r="I584" s="19" t="str">
        <f t="shared" si="52"/>
        <v> </v>
      </c>
      <c r="J584" s="18">
        <v>0</v>
      </c>
      <c r="K584" s="18">
        <v>442241.14</v>
      </c>
      <c r="L584" s="18">
        <v>1169040.25</v>
      </c>
    </row>
    <row r="585" spans="1:13" ht="15" thickBot="1" x14ac:dyDescent="0.35">
      <c r="A585" s="14">
        <v>578</v>
      </c>
      <c r="B585" s="15">
        <v>45478</v>
      </c>
      <c r="C585" s="15">
        <v>45478</v>
      </c>
      <c r="D585" s="16" t="s">
        <v>1192</v>
      </c>
      <c r="E585" s="16" t="s">
        <v>1193</v>
      </c>
      <c r="F585" s="16" t="s">
        <v>1607</v>
      </c>
      <c r="G585" s="16" t="s">
        <v>1197</v>
      </c>
      <c r="H585" s="14" t="str">
        <f>"20240705/256122"</f>
        <v>20240705/256122</v>
      </c>
      <c r="I585" s="19" t="str">
        <f t="shared" si="52"/>
        <v> </v>
      </c>
      <c r="J585" s="18">
        <v>0</v>
      </c>
      <c r="K585" s="18">
        <v>34151.660000000003</v>
      </c>
      <c r="L585" s="18">
        <v>1134888.5900000001</v>
      </c>
    </row>
    <row r="586" spans="1:13" ht="15" thickBot="1" x14ac:dyDescent="0.35">
      <c r="A586" s="14">
        <v>579</v>
      </c>
      <c r="B586" s="15">
        <v>45478</v>
      </c>
      <c r="C586" s="15">
        <v>45481</v>
      </c>
      <c r="D586" s="16" t="s">
        <v>1192</v>
      </c>
      <c r="E586" s="16" t="s">
        <v>1193</v>
      </c>
      <c r="F586" s="16" t="s">
        <v>1608</v>
      </c>
      <c r="G586" s="16" t="s">
        <v>1197</v>
      </c>
      <c r="H586" s="14" t="str">
        <f>"20240705/389507"</f>
        <v>20240705/389507</v>
      </c>
      <c r="I586" s="19" t="str">
        <f>"2407002189468"</f>
        <v>2407002189468</v>
      </c>
      <c r="J586" s="18">
        <v>528875.91</v>
      </c>
      <c r="K586" s="18">
        <v>0</v>
      </c>
      <c r="L586" s="18">
        <v>1663764.5</v>
      </c>
    </row>
    <row r="587" spans="1:13" ht="15" thickBot="1" x14ac:dyDescent="0.35">
      <c r="A587" s="14">
        <v>580</v>
      </c>
      <c r="B587" s="15">
        <v>45481</v>
      </c>
      <c r="C587" s="15">
        <v>45481</v>
      </c>
      <c r="D587" s="16" t="s">
        <v>1192</v>
      </c>
      <c r="E587" s="16" t="s">
        <v>1193</v>
      </c>
      <c r="F587" s="16" t="s">
        <v>1194</v>
      </c>
      <c r="G587" s="16" t="s">
        <v>1195</v>
      </c>
      <c r="H587" s="14" t="str">
        <f>"20240708/27226"</f>
        <v>20240708/27226</v>
      </c>
      <c r="I587" s="17" t="str">
        <f t="shared" ref="I587:I592" si="53">" "</f>
        <v> </v>
      </c>
      <c r="J587" s="18">
        <v>0</v>
      </c>
      <c r="K587" s="18">
        <v>470.25</v>
      </c>
      <c r="L587" s="18">
        <v>1663294.25</v>
      </c>
      <c r="M587" t="s">
        <v>2661</v>
      </c>
    </row>
    <row r="588" spans="1:13" ht="15" thickBot="1" x14ac:dyDescent="0.35">
      <c r="A588" s="14">
        <v>581</v>
      </c>
      <c r="B588" s="15">
        <v>45481</v>
      </c>
      <c r="C588" s="15">
        <v>45481</v>
      </c>
      <c r="D588" s="16" t="s">
        <v>1192</v>
      </c>
      <c r="E588" s="16" t="s">
        <v>1193</v>
      </c>
      <c r="F588" s="16" t="s">
        <v>1609</v>
      </c>
      <c r="G588" s="16" t="s">
        <v>1197</v>
      </c>
      <c r="H588" s="14" t="str">
        <f>"20240708/151954"</f>
        <v>20240708/151954</v>
      </c>
      <c r="I588" s="19" t="str">
        <f t="shared" si="53"/>
        <v> </v>
      </c>
      <c r="J588" s="18">
        <v>470.25</v>
      </c>
      <c r="K588" s="18">
        <v>0</v>
      </c>
      <c r="L588" s="18">
        <v>1663764.5</v>
      </c>
      <c r="M588" t="s">
        <v>2658</v>
      </c>
    </row>
    <row r="589" spans="1:13" ht="15" thickBot="1" x14ac:dyDescent="0.35">
      <c r="A589" s="14">
        <v>582</v>
      </c>
      <c r="B589" s="15">
        <v>45481</v>
      </c>
      <c r="C589" s="15">
        <v>45481</v>
      </c>
      <c r="D589" s="16" t="s">
        <v>1192</v>
      </c>
      <c r="E589" s="16" t="s">
        <v>1193</v>
      </c>
      <c r="F589" s="16" t="s">
        <v>1610</v>
      </c>
      <c r="G589" s="16" t="s">
        <v>1197</v>
      </c>
      <c r="H589" s="14" t="str">
        <f>"20240708/224829"</f>
        <v>20240708/224829</v>
      </c>
      <c r="I589" s="19" t="str">
        <f t="shared" si="53"/>
        <v> </v>
      </c>
      <c r="J589" s="18">
        <v>37312.28</v>
      </c>
      <c r="K589" s="18">
        <v>0</v>
      </c>
      <c r="L589" s="18">
        <v>1701076.78</v>
      </c>
    </row>
    <row r="590" spans="1:13" ht="15" thickBot="1" x14ac:dyDescent="0.35">
      <c r="A590" s="14">
        <v>583</v>
      </c>
      <c r="B590" s="15">
        <v>45481</v>
      </c>
      <c r="C590" s="15">
        <v>45481</v>
      </c>
      <c r="D590" s="16" t="s">
        <v>1192</v>
      </c>
      <c r="E590" s="16" t="s">
        <v>1193</v>
      </c>
      <c r="F590" s="16" t="s">
        <v>1611</v>
      </c>
      <c r="G590" s="16" t="s">
        <v>1197</v>
      </c>
      <c r="H590" s="14" t="str">
        <f>"20240708/224830"</f>
        <v>20240708/224830</v>
      </c>
      <c r="I590" s="19" t="str">
        <f t="shared" si="53"/>
        <v> </v>
      </c>
      <c r="J590" s="18">
        <v>397417.28</v>
      </c>
      <c r="K590" s="18">
        <v>0</v>
      </c>
      <c r="L590" s="18">
        <v>2098494.06</v>
      </c>
    </row>
    <row r="591" spans="1:13" ht="15" thickBot="1" x14ac:dyDescent="0.35">
      <c r="A591" s="14">
        <v>584</v>
      </c>
      <c r="B591" s="15">
        <v>45481</v>
      </c>
      <c r="C591" s="15">
        <v>45481</v>
      </c>
      <c r="D591" s="16" t="s">
        <v>1192</v>
      </c>
      <c r="E591" s="16" t="s">
        <v>1193</v>
      </c>
      <c r="F591" s="16" t="s">
        <v>1612</v>
      </c>
      <c r="G591" s="16" t="s">
        <v>1197</v>
      </c>
      <c r="H591" s="14" t="str">
        <f>"20240708/327938"</f>
        <v>20240708/327938</v>
      </c>
      <c r="I591" s="19" t="str">
        <f t="shared" si="53"/>
        <v> </v>
      </c>
      <c r="J591" s="18">
        <v>0</v>
      </c>
      <c r="K591" s="18">
        <v>651650.71</v>
      </c>
      <c r="L591" s="18">
        <v>1446843.35</v>
      </c>
    </row>
    <row r="592" spans="1:13" ht="15" thickBot="1" x14ac:dyDescent="0.35">
      <c r="A592" s="14">
        <v>585</v>
      </c>
      <c r="B592" s="15">
        <v>45481</v>
      </c>
      <c r="C592" s="15">
        <v>45481</v>
      </c>
      <c r="D592" s="16" t="s">
        <v>1192</v>
      </c>
      <c r="E592" s="16" t="s">
        <v>1193</v>
      </c>
      <c r="F592" s="16" t="s">
        <v>1613</v>
      </c>
      <c r="G592" s="16" t="s">
        <v>1197</v>
      </c>
      <c r="H592" s="14" t="str">
        <f>"20240708/327939"</f>
        <v>20240708/327939</v>
      </c>
      <c r="I592" s="19" t="str">
        <f t="shared" si="53"/>
        <v> </v>
      </c>
      <c r="J592" s="18">
        <v>0</v>
      </c>
      <c r="K592" s="18">
        <v>43120.83</v>
      </c>
      <c r="L592" s="18">
        <v>1403722.52</v>
      </c>
    </row>
    <row r="593" spans="1:13" ht="15" thickBot="1" x14ac:dyDescent="0.35">
      <c r="A593" s="14">
        <v>586</v>
      </c>
      <c r="B593" s="15">
        <v>45481</v>
      </c>
      <c r="C593" s="15">
        <v>45482</v>
      </c>
      <c r="D593" s="16" t="s">
        <v>1192</v>
      </c>
      <c r="E593" s="16" t="s">
        <v>1193</v>
      </c>
      <c r="F593" s="16" t="s">
        <v>1614</v>
      </c>
      <c r="G593" s="16" t="s">
        <v>1197</v>
      </c>
      <c r="H593" s="14" t="str">
        <f>"20240708/403459"</f>
        <v>20240708/403459</v>
      </c>
      <c r="I593" s="19" t="str">
        <f>"2407002784860"</f>
        <v>2407002784860</v>
      </c>
      <c r="J593" s="18">
        <v>0</v>
      </c>
      <c r="K593" s="18">
        <v>118341.48</v>
      </c>
      <c r="L593" s="18">
        <v>1285381.04</v>
      </c>
    </row>
    <row r="594" spans="1:13" ht="15" thickBot="1" x14ac:dyDescent="0.35">
      <c r="A594" s="14">
        <v>587</v>
      </c>
      <c r="B594" s="15">
        <v>45482</v>
      </c>
      <c r="C594" s="15">
        <v>45482</v>
      </c>
      <c r="D594" s="16" t="s">
        <v>1192</v>
      </c>
      <c r="E594" s="16" t="s">
        <v>1193</v>
      </c>
      <c r="F594" s="16" t="s">
        <v>1202</v>
      </c>
      <c r="G594" s="16" t="s">
        <v>1203</v>
      </c>
      <c r="H594" s="14" t="str">
        <f>"20240709/7398"</f>
        <v>20240709/7398</v>
      </c>
      <c r="I594" s="17" t="str">
        <f t="shared" ref="I594:I600" si="54">" "</f>
        <v> </v>
      </c>
      <c r="J594" s="18">
        <v>262191.28999999998</v>
      </c>
      <c r="K594" s="18">
        <v>0</v>
      </c>
      <c r="L594" s="18">
        <v>1547572.33</v>
      </c>
      <c r="M594" t="s">
        <v>2661</v>
      </c>
    </row>
    <row r="595" spans="1:13" ht="15" thickBot="1" x14ac:dyDescent="0.35">
      <c r="A595" s="14">
        <v>588</v>
      </c>
      <c r="B595" s="15">
        <v>45482</v>
      </c>
      <c r="C595" s="15">
        <v>45482</v>
      </c>
      <c r="D595" s="16" t="s">
        <v>1192</v>
      </c>
      <c r="E595" s="16" t="s">
        <v>1193</v>
      </c>
      <c r="F595" s="16" t="s">
        <v>1194</v>
      </c>
      <c r="G595" s="16" t="s">
        <v>1195</v>
      </c>
      <c r="H595" s="14" t="str">
        <f>"20240709/17712"</f>
        <v>20240709/17712</v>
      </c>
      <c r="I595" s="17" t="str">
        <f t="shared" si="54"/>
        <v> </v>
      </c>
      <c r="J595" s="18">
        <v>0</v>
      </c>
      <c r="K595" s="18">
        <v>345.12</v>
      </c>
      <c r="L595" s="18">
        <v>1547227.21</v>
      </c>
      <c r="M595" t="s">
        <v>2661</v>
      </c>
    </row>
    <row r="596" spans="1:13" ht="15" thickBot="1" x14ac:dyDescent="0.35">
      <c r="A596" s="14">
        <v>589</v>
      </c>
      <c r="B596" s="15">
        <v>45482</v>
      </c>
      <c r="C596" s="15">
        <v>45482</v>
      </c>
      <c r="D596" s="16" t="s">
        <v>1192</v>
      </c>
      <c r="E596" s="16" t="s">
        <v>1193</v>
      </c>
      <c r="F596" s="16" t="s">
        <v>1615</v>
      </c>
      <c r="G596" s="16" t="s">
        <v>1197</v>
      </c>
      <c r="H596" s="14" t="str">
        <f>"20240709/153308"</f>
        <v>20240709/153308</v>
      </c>
      <c r="I596" s="19" t="str">
        <f t="shared" si="54"/>
        <v> </v>
      </c>
      <c r="J596" s="18">
        <v>345.12</v>
      </c>
      <c r="K596" s="18">
        <v>0</v>
      </c>
      <c r="L596" s="18">
        <v>1547572.33</v>
      </c>
      <c r="M596" t="s">
        <v>2658</v>
      </c>
    </row>
    <row r="597" spans="1:13" ht="15" thickBot="1" x14ac:dyDescent="0.35">
      <c r="A597" s="14">
        <v>590</v>
      </c>
      <c r="B597" s="15">
        <v>45482</v>
      </c>
      <c r="C597" s="15">
        <v>45482</v>
      </c>
      <c r="D597" s="16" t="s">
        <v>1192</v>
      </c>
      <c r="E597" s="16" t="s">
        <v>1193</v>
      </c>
      <c r="F597" s="16" t="s">
        <v>1616</v>
      </c>
      <c r="G597" s="16" t="s">
        <v>1197</v>
      </c>
      <c r="H597" s="14" t="str">
        <f>"20240709/246846"</f>
        <v>20240709/246846</v>
      </c>
      <c r="I597" s="19" t="str">
        <f t="shared" si="54"/>
        <v> </v>
      </c>
      <c r="J597" s="18">
        <v>51042.83</v>
      </c>
      <c r="K597" s="18">
        <v>0</v>
      </c>
      <c r="L597" s="18">
        <v>1598615.16</v>
      </c>
    </row>
    <row r="598" spans="1:13" ht="15" thickBot="1" x14ac:dyDescent="0.35">
      <c r="A598" s="14">
        <v>591</v>
      </c>
      <c r="B598" s="15">
        <v>45482</v>
      </c>
      <c r="C598" s="15">
        <v>45482</v>
      </c>
      <c r="D598" s="16" t="s">
        <v>1192</v>
      </c>
      <c r="E598" s="16" t="s">
        <v>1193</v>
      </c>
      <c r="F598" s="16" t="s">
        <v>1617</v>
      </c>
      <c r="G598" s="16" t="s">
        <v>1197</v>
      </c>
      <c r="H598" s="14" t="str">
        <f>"20240709/246847"</f>
        <v>20240709/246847</v>
      </c>
      <c r="I598" s="19" t="str">
        <f t="shared" si="54"/>
        <v> </v>
      </c>
      <c r="J598" s="18">
        <v>49360.1</v>
      </c>
      <c r="K598" s="18">
        <v>0</v>
      </c>
      <c r="L598" s="18">
        <v>1647975.26</v>
      </c>
    </row>
    <row r="599" spans="1:13" ht="15" thickBot="1" x14ac:dyDescent="0.35">
      <c r="A599" s="14">
        <v>592</v>
      </c>
      <c r="B599" s="15">
        <v>45482</v>
      </c>
      <c r="C599" s="15">
        <v>45482</v>
      </c>
      <c r="D599" s="16" t="s">
        <v>1192</v>
      </c>
      <c r="E599" s="16" t="s">
        <v>1193</v>
      </c>
      <c r="F599" s="16" t="s">
        <v>1618</v>
      </c>
      <c r="G599" s="16" t="s">
        <v>1197</v>
      </c>
      <c r="H599" s="14" t="str">
        <f>"20240709/302626"</f>
        <v>20240709/302626</v>
      </c>
      <c r="I599" s="19" t="str">
        <f t="shared" si="54"/>
        <v> </v>
      </c>
      <c r="J599" s="18">
        <v>0</v>
      </c>
      <c r="K599" s="18">
        <v>37312.28</v>
      </c>
      <c r="L599" s="18">
        <v>1610662.98</v>
      </c>
    </row>
    <row r="600" spans="1:13" ht="15" thickBot="1" x14ac:dyDescent="0.35">
      <c r="A600" s="14">
        <v>593</v>
      </c>
      <c r="B600" s="15">
        <v>45482</v>
      </c>
      <c r="C600" s="15">
        <v>45482</v>
      </c>
      <c r="D600" s="16" t="s">
        <v>1192</v>
      </c>
      <c r="E600" s="16" t="s">
        <v>1193</v>
      </c>
      <c r="F600" s="16" t="s">
        <v>1619</v>
      </c>
      <c r="G600" s="16" t="s">
        <v>1197</v>
      </c>
      <c r="H600" s="14" t="str">
        <f>"20240709/302627"</f>
        <v>20240709/302627</v>
      </c>
      <c r="I600" s="19" t="str">
        <f t="shared" si="54"/>
        <v> </v>
      </c>
      <c r="J600" s="18">
        <v>0</v>
      </c>
      <c r="K600" s="18">
        <v>397417.28</v>
      </c>
      <c r="L600" s="18">
        <v>1213245.7</v>
      </c>
    </row>
    <row r="601" spans="1:13" ht="15" thickBot="1" x14ac:dyDescent="0.35">
      <c r="A601" s="14">
        <v>594</v>
      </c>
      <c r="B601" s="15">
        <v>45482</v>
      </c>
      <c r="C601" s="15">
        <v>45483</v>
      </c>
      <c r="D601" s="16" t="s">
        <v>1192</v>
      </c>
      <c r="E601" s="16" t="s">
        <v>1193</v>
      </c>
      <c r="F601" s="16" t="s">
        <v>1620</v>
      </c>
      <c r="G601" s="16" t="s">
        <v>1197</v>
      </c>
      <c r="H601" s="14" t="str">
        <f>"20240709/381924"</f>
        <v>20240709/381924</v>
      </c>
      <c r="I601" s="19" t="str">
        <f>"2407003275768"</f>
        <v>2407003275768</v>
      </c>
      <c r="J601" s="18">
        <v>176785.55</v>
      </c>
      <c r="K601" s="18">
        <v>0</v>
      </c>
      <c r="L601" s="18">
        <v>1390031.25</v>
      </c>
    </row>
    <row r="602" spans="1:13" ht="15" thickBot="1" x14ac:dyDescent="0.35">
      <c r="A602" s="14">
        <v>595</v>
      </c>
      <c r="B602" s="15">
        <v>45483</v>
      </c>
      <c r="C602" s="15">
        <v>45483</v>
      </c>
      <c r="D602" s="16" t="s">
        <v>1192</v>
      </c>
      <c r="E602" s="16" t="s">
        <v>1193</v>
      </c>
      <c r="F602" s="16" t="s">
        <v>1202</v>
      </c>
      <c r="G602" s="16" t="s">
        <v>1203</v>
      </c>
      <c r="H602" s="14" t="str">
        <f>"20240710/5623"</f>
        <v>20240710/5623</v>
      </c>
      <c r="I602" s="17" t="str">
        <f t="shared" ref="I602:I608" si="55">" "</f>
        <v> </v>
      </c>
      <c r="J602" s="18">
        <v>334326.63</v>
      </c>
      <c r="K602" s="18">
        <v>0</v>
      </c>
      <c r="L602" s="18">
        <v>1724357.88</v>
      </c>
      <c r="M602" t="s">
        <v>2661</v>
      </c>
    </row>
    <row r="603" spans="1:13" ht="15" thickBot="1" x14ac:dyDescent="0.35">
      <c r="A603" s="14">
        <v>596</v>
      </c>
      <c r="B603" s="15">
        <v>45483</v>
      </c>
      <c r="C603" s="15">
        <v>45483</v>
      </c>
      <c r="D603" s="16" t="s">
        <v>1192</v>
      </c>
      <c r="E603" s="16" t="s">
        <v>1193</v>
      </c>
      <c r="F603" s="16" t="s">
        <v>1194</v>
      </c>
      <c r="G603" s="16" t="s">
        <v>1195</v>
      </c>
      <c r="H603" s="14" t="str">
        <f>"20240710/127996"</f>
        <v>20240710/127996</v>
      </c>
      <c r="I603" s="17" t="str">
        <f t="shared" si="55"/>
        <v> </v>
      </c>
      <c r="J603" s="18">
        <v>0</v>
      </c>
      <c r="K603" s="18">
        <v>323315.25</v>
      </c>
      <c r="L603" s="18">
        <v>1401042.63</v>
      </c>
      <c r="M603" t="s">
        <v>2661</v>
      </c>
    </row>
    <row r="604" spans="1:13" ht="15" thickBot="1" x14ac:dyDescent="0.35">
      <c r="A604" s="14">
        <v>597</v>
      </c>
      <c r="B604" s="15">
        <v>45483</v>
      </c>
      <c r="C604" s="15">
        <v>45483</v>
      </c>
      <c r="D604" s="16" t="s">
        <v>1192</v>
      </c>
      <c r="E604" s="16" t="s">
        <v>1193</v>
      </c>
      <c r="F604" s="16" t="s">
        <v>1194</v>
      </c>
      <c r="G604" s="16" t="s">
        <v>1195</v>
      </c>
      <c r="H604" s="14" t="str">
        <f>"20240710/31484"</f>
        <v>20240710/31484</v>
      </c>
      <c r="I604" s="17" t="str">
        <f t="shared" si="55"/>
        <v> </v>
      </c>
      <c r="J604" s="18">
        <v>0</v>
      </c>
      <c r="K604" s="18">
        <v>396.35</v>
      </c>
      <c r="L604" s="18">
        <v>1400646.28</v>
      </c>
      <c r="M604" t="s">
        <v>2661</v>
      </c>
    </row>
    <row r="605" spans="1:13" ht="15" thickBot="1" x14ac:dyDescent="0.35">
      <c r="A605" s="14">
        <v>598</v>
      </c>
      <c r="B605" s="15">
        <v>45483</v>
      </c>
      <c r="C605" s="15">
        <v>45483</v>
      </c>
      <c r="D605" s="16" t="s">
        <v>1192</v>
      </c>
      <c r="E605" s="16" t="s">
        <v>1193</v>
      </c>
      <c r="F605" s="16" t="s">
        <v>1621</v>
      </c>
      <c r="G605" s="16" t="s">
        <v>1197</v>
      </c>
      <c r="H605" s="14" t="str">
        <f>"20240710/135380"</f>
        <v>20240710/135380</v>
      </c>
      <c r="I605" s="19" t="str">
        <f t="shared" si="55"/>
        <v> </v>
      </c>
      <c r="J605" s="18">
        <v>396.35</v>
      </c>
      <c r="K605" s="18">
        <v>0</v>
      </c>
      <c r="L605" s="18">
        <v>1401042.63</v>
      </c>
      <c r="M605" t="s">
        <v>2658</v>
      </c>
    </row>
    <row r="606" spans="1:13" ht="15" thickBot="1" x14ac:dyDescent="0.35">
      <c r="A606" s="14">
        <v>599</v>
      </c>
      <c r="B606" s="15">
        <v>45483</v>
      </c>
      <c r="C606" s="15">
        <v>45483</v>
      </c>
      <c r="D606" s="16" t="s">
        <v>1192</v>
      </c>
      <c r="E606" s="16" t="s">
        <v>1193</v>
      </c>
      <c r="F606" s="16" t="s">
        <v>1622</v>
      </c>
      <c r="G606" s="16" t="s">
        <v>1197</v>
      </c>
      <c r="H606" s="14" t="str">
        <f>"20240710/202827"</f>
        <v>20240710/202827</v>
      </c>
      <c r="I606" s="19" t="str">
        <f t="shared" si="55"/>
        <v> </v>
      </c>
      <c r="J606" s="18">
        <v>21914.16</v>
      </c>
      <c r="K606" s="18">
        <v>0</v>
      </c>
      <c r="L606" s="18">
        <v>1422956.79</v>
      </c>
    </row>
    <row r="607" spans="1:13" ht="15" thickBot="1" x14ac:dyDescent="0.35">
      <c r="A607" s="14">
        <v>600</v>
      </c>
      <c r="B607" s="15">
        <v>45483</v>
      </c>
      <c r="C607" s="15">
        <v>45483</v>
      </c>
      <c r="D607" s="16" t="s">
        <v>1192</v>
      </c>
      <c r="E607" s="16" t="s">
        <v>1193</v>
      </c>
      <c r="F607" s="16" t="s">
        <v>1623</v>
      </c>
      <c r="G607" s="16" t="s">
        <v>1197</v>
      </c>
      <c r="H607" s="14" t="str">
        <f>"20240710/256153"</f>
        <v>20240710/256153</v>
      </c>
      <c r="I607" s="19" t="str">
        <f t="shared" si="55"/>
        <v> </v>
      </c>
      <c r="J607" s="18">
        <v>0</v>
      </c>
      <c r="K607" s="18">
        <v>51042.83</v>
      </c>
      <c r="L607" s="18">
        <v>1371913.96</v>
      </c>
    </row>
    <row r="608" spans="1:13" ht="15" thickBot="1" x14ac:dyDescent="0.35">
      <c r="A608" s="14">
        <v>601</v>
      </c>
      <c r="B608" s="15">
        <v>45483</v>
      </c>
      <c r="C608" s="15">
        <v>45483</v>
      </c>
      <c r="D608" s="16" t="s">
        <v>1192</v>
      </c>
      <c r="E608" s="16" t="s">
        <v>1193</v>
      </c>
      <c r="F608" s="16" t="s">
        <v>1624</v>
      </c>
      <c r="G608" s="16" t="s">
        <v>1197</v>
      </c>
      <c r="H608" s="14" t="str">
        <f>"20240710/256154"</f>
        <v>20240710/256154</v>
      </c>
      <c r="I608" s="19" t="str">
        <f t="shared" si="55"/>
        <v> </v>
      </c>
      <c r="J608" s="18">
        <v>0</v>
      </c>
      <c r="K608" s="18">
        <v>49360.1</v>
      </c>
      <c r="L608" s="18">
        <v>1322553.8600000001</v>
      </c>
    </row>
    <row r="609" spans="1:13" ht="15" thickBot="1" x14ac:dyDescent="0.35">
      <c r="A609" s="14">
        <v>602</v>
      </c>
      <c r="B609" s="15">
        <v>45483</v>
      </c>
      <c r="C609" s="15">
        <v>45484</v>
      </c>
      <c r="D609" s="16" t="s">
        <v>1192</v>
      </c>
      <c r="E609" s="16" t="s">
        <v>1193</v>
      </c>
      <c r="F609" s="16" t="s">
        <v>1625</v>
      </c>
      <c r="G609" s="16" t="s">
        <v>1197</v>
      </c>
      <c r="H609" s="14" t="str">
        <f>"20240710/373021"</f>
        <v>20240710/373021</v>
      </c>
      <c r="I609" s="19" t="str">
        <f>"2407003754920"</f>
        <v>2407003754920</v>
      </c>
      <c r="J609" s="18">
        <v>0</v>
      </c>
      <c r="K609" s="18">
        <v>41595.01</v>
      </c>
      <c r="L609" s="18">
        <v>1280958.8500000001</v>
      </c>
    </row>
    <row r="610" spans="1:13" ht="15" thickBot="1" x14ac:dyDescent="0.35">
      <c r="A610" s="14">
        <v>603</v>
      </c>
      <c r="B610" s="15">
        <v>45483</v>
      </c>
      <c r="C610" s="15">
        <v>45484</v>
      </c>
      <c r="D610" s="16" t="s">
        <v>1192</v>
      </c>
      <c r="E610" s="16" t="s">
        <v>1193</v>
      </c>
      <c r="F610" s="16" t="s">
        <v>1626</v>
      </c>
      <c r="G610" s="16" t="s">
        <v>1197</v>
      </c>
      <c r="H610" s="14" t="str">
        <f>"20240710/373022"</f>
        <v>20240710/373022</v>
      </c>
      <c r="I610" s="19" t="str">
        <f>"2407003754920"</f>
        <v>2407003754920</v>
      </c>
      <c r="J610" s="18">
        <v>60258.23</v>
      </c>
      <c r="K610" s="18">
        <v>0</v>
      </c>
      <c r="L610" s="18">
        <v>1341217.08</v>
      </c>
    </row>
    <row r="611" spans="1:13" ht="15" thickBot="1" x14ac:dyDescent="0.35">
      <c r="A611" s="14">
        <v>604</v>
      </c>
      <c r="B611" s="15">
        <v>45484</v>
      </c>
      <c r="C611" s="15">
        <v>45484</v>
      </c>
      <c r="D611" s="16" t="s">
        <v>1192</v>
      </c>
      <c r="E611" s="16" t="s">
        <v>1193</v>
      </c>
      <c r="F611" s="16" t="s">
        <v>1204</v>
      </c>
      <c r="G611" s="16" t="s">
        <v>1203</v>
      </c>
      <c r="H611" s="14" t="str">
        <f>"20240711/36605"</f>
        <v>20240711/36605</v>
      </c>
      <c r="I611" s="17" t="str">
        <f>" "</f>
        <v> </v>
      </c>
      <c r="J611" s="18">
        <v>41595.01</v>
      </c>
      <c r="K611" s="18">
        <v>0</v>
      </c>
      <c r="L611" s="18">
        <v>1382812.09</v>
      </c>
      <c r="M611" t="s">
        <v>2661</v>
      </c>
    </row>
    <row r="612" spans="1:13" ht="15" thickBot="1" x14ac:dyDescent="0.35">
      <c r="A612" s="14">
        <v>605</v>
      </c>
      <c r="B612" s="15">
        <v>45484</v>
      </c>
      <c r="C612" s="15">
        <v>45484</v>
      </c>
      <c r="D612" s="16" t="s">
        <v>1192</v>
      </c>
      <c r="E612" s="16" t="s">
        <v>1193</v>
      </c>
      <c r="F612" s="16" t="s">
        <v>1202</v>
      </c>
      <c r="G612" s="16" t="s">
        <v>1203</v>
      </c>
      <c r="H612" s="14" t="str">
        <f>"20240711/6017"</f>
        <v>20240711/6017</v>
      </c>
      <c r="I612" s="17" t="str">
        <f>" "</f>
        <v> </v>
      </c>
      <c r="J612" s="18">
        <v>5289.01</v>
      </c>
      <c r="K612" s="18">
        <v>0</v>
      </c>
      <c r="L612" s="18">
        <v>1388101.1</v>
      </c>
      <c r="M612" t="s">
        <v>2661</v>
      </c>
    </row>
    <row r="613" spans="1:13" ht="15" thickBot="1" x14ac:dyDescent="0.35">
      <c r="A613" s="14">
        <v>606</v>
      </c>
      <c r="B613" s="15">
        <v>45484</v>
      </c>
      <c r="C613" s="15">
        <v>45484</v>
      </c>
      <c r="D613" s="16" t="s">
        <v>1192</v>
      </c>
      <c r="E613" s="16" t="s">
        <v>1193</v>
      </c>
      <c r="F613" s="16" t="s">
        <v>1194</v>
      </c>
      <c r="G613" s="16" t="s">
        <v>1195</v>
      </c>
      <c r="H613" s="14" t="str">
        <f>"20240711/11066"</f>
        <v>20240711/11066</v>
      </c>
      <c r="I613" s="17" t="str">
        <f>" "</f>
        <v> </v>
      </c>
      <c r="J613" s="18">
        <v>0</v>
      </c>
      <c r="K613" s="18">
        <v>463.24</v>
      </c>
      <c r="L613" s="18">
        <v>1387637.86</v>
      </c>
      <c r="M613" t="s">
        <v>2661</v>
      </c>
    </row>
    <row r="614" spans="1:13" ht="15" thickBot="1" x14ac:dyDescent="0.35">
      <c r="A614" s="14">
        <v>607</v>
      </c>
      <c r="B614" s="15">
        <v>45484</v>
      </c>
      <c r="C614" s="15">
        <v>45484</v>
      </c>
      <c r="D614" s="16" t="s">
        <v>1192</v>
      </c>
      <c r="E614" s="16" t="s">
        <v>1193</v>
      </c>
      <c r="F614" s="16" t="s">
        <v>1627</v>
      </c>
      <c r="G614" s="16" t="s">
        <v>1197</v>
      </c>
      <c r="H614" s="14" t="str">
        <f>"20240711/126431"</f>
        <v>20240711/126431</v>
      </c>
      <c r="I614" s="19" t="str">
        <f>" "</f>
        <v> </v>
      </c>
      <c r="J614" s="18">
        <v>463.24</v>
      </c>
      <c r="K614" s="18">
        <v>0</v>
      </c>
      <c r="L614" s="18">
        <v>1388101.1</v>
      </c>
      <c r="M614" t="s">
        <v>2658</v>
      </c>
    </row>
    <row r="615" spans="1:13" ht="15" thickBot="1" x14ac:dyDescent="0.35">
      <c r="A615" s="14">
        <v>608</v>
      </c>
      <c r="B615" s="15">
        <v>45484</v>
      </c>
      <c r="C615" s="15">
        <v>45484</v>
      </c>
      <c r="D615" s="16" t="s">
        <v>1192</v>
      </c>
      <c r="E615" s="16" t="s">
        <v>1193</v>
      </c>
      <c r="F615" s="16" t="s">
        <v>1628</v>
      </c>
      <c r="G615" s="16" t="s">
        <v>1197</v>
      </c>
      <c r="H615" s="14" t="str">
        <f>"20240711/301892"</f>
        <v>20240711/301892</v>
      </c>
      <c r="I615" s="19" t="str">
        <f>" "</f>
        <v> </v>
      </c>
      <c r="J615" s="18">
        <v>0</v>
      </c>
      <c r="K615" s="18">
        <v>21914.16</v>
      </c>
      <c r="L615" s="18">
        <v>1366186.94</v>
      </c>
    </row>
    <row r="616" spans="1:13" ht="15" thickBot="1" x14ac:dyDescent="0.35">
      <c r="A616" s="14">
        <v>609</v>
      </c>
      <c r="B616" s="15">
        <v>45484</v>
      </c>
      <c r="C616" s="15">
        <v>45485</v>
      </c>
      <c r="D616" s="16" t="s">
        <v>1192</v>
      </c>
      <c r="E616" s="16" t="s">
        <v>1193</v>
      </c>
      <c r="F616" s="16" t="s">
        <v>1629</v>
      </c>
      <c r="G616" s="16" t="s">
        <v>1197</v>
      </c>
      <c r="H616" s="14" t="str">
        <f>"20240711/376526"</f>
        <v>20240711/376526</v>
      </c>
      <c r="I616" s="19" t="str">
        <f>"2407004244092"</f>
        <v>2407004244092</v>
      </c>
      <c r="J616" s="18">
        <v>0</v>
      </c>
      <c r="K616" s="18">
        <v>44275.74</v>
      </c>
      <c r="L616" s="18">
        <v>1321911.2</v>
      </c>
    </row>
    <row r="617" spans="1:13" ht="15" thickBot="1" x14ac:dyDescent="0.35">
      <c r="A617" s="14">
        <v>610</v>
      </c>
      <c r="B617" s="15">
        <v>45485</v>
      </c>
      <c r="C617" s="15">
        <v>45485</v>
      </c>
      <c r="D617" s="16" t="s">
        <v>1192</v>
      </c>
      <c r="E617" s="16" t="s">
        <v>1193</v>
      </c>
      <c r="F617" s="16" t="s">
        <v>1202</v>
      </c>
      <c r="G617" s="16" t="s">
        <v>1203</v>
      </c>
      <c r="H617" s="14" t="str">
        <f>"20240712/18933"</f>
        <v>20240712/18933</v>
      </c>
      <c r="I617" s="17" t="str">
        <f>" "</f>
        <v> </v>
      </c>
      <c r="J617" s="18">
        <v>21914.16</v>
      </c>
      <c r="K617" s="18">
        <v>0</v>
      </c>
      <c r="L617" s="18">
        <v>1343825.36</v>
      </c>
      <c r="M617" t="s">
        <v>2661</v>
      </c>
    </row>
    <row r="618" spans="1:13" ht="15" thickBot="1" x14ac:dyDescent="0.35">
      <c r="A618" s="14">
        <v>611</v>
      </c>
      <c r="B618" s="15">
        <v>45485</v>
      </c>
      <c r="C618" s="15">
        <v>45485</v>
      </c>
      <c r="D618" s="16" t="s">
        <v>1192</v>
      </c>
      <c r="E618" s="16" t="s">
        <v>1193</v>
      </c>
      <c r="F618" s="16" t="s">
        <v>1204</v>
      </c>
      <c r="G618" s="16" t="s">
        <v>1203</v>
      </c>
      <c r="H618" s="14" t="str">
        <f>"20240712/66713"</f>
        <v>20240712/66713</v>
      </c>
      <c r="I618" s="17" t="str">
        <f>" "</f>
        <v> </v>
      </c>
      <c r="J618" s="18">
        <v>44275.74</v>
      </c>
      <c r="K618" s="18">
        <v>0</v>
      </c>
      <c r="L618" s="18">
        <v>1388101.1</v>
      </c>
      <c r="M618" t="s">
        <v>2661</v>
      </c>
    </row>
    <row r="619" spans="1:13" ht="15" thickBot="1" x14ac:dyDescent="0.35">
      <c r="A619" s="14">
        <v>612</v>
      </c>
      <c r="B619" s="15">
        <v>45485</v>
      </c>
      <c r="C619" s="15">
        <v>45485</v>
      </c>
      <c r="D619" s="16" t="s">
        <v>1192</v>
      </c>
      <c r="E619" s="16" t="s">
        <v>1193</v>
      </c>
      <c r="F619" s="16" t="s">
        <v>1194</v>
      </c>
      <c r="G619" s="16" t="s">
        <v>1195</v>
      </c>
      <c r="H619" s="14" t="str">
        <f>"20240712/115080"</f>
        <v>20240712/115080</v>
      </c>
      <c r="I619" s="17" t="str">
        <f>" "</f>
        <v> </v>
      </c>
      <c r="J619" s="18">
        <v>0</v>
      </c>
      <c r="K619" s="18">
        <v>0.06</v>
      </c>
      <c r="L619" s="18">
        <v>1388101.04</v>
      </c>
      <c r="M619" t="s">
        <v>2661</v>
      </c>
    </row>
    <row r="620" spans="1:13" ht="15" thickBot="1" x14ac:dyDescent="0.35">
      <c r="A620" s="14">
        <v>613</v>
      </c>
      <c r="B620" s="15">
        <v>45485</v>
      </c>
      <c r="C620" s="15">
        <v>45485</v>
      </c>
      <c r="D620" s="16" t="s">
        <v>1192</v>
      </c>
      <c r="E620" s="16" t="s">
        <v>1193</v>
      </c>
      <c r="F620" s="16" t="s">
        <v>1194</v>
      </c>
      <c r="G620" s="16" t="s">
        <v>1195</v>
      </c>
      <c r="H620" s="14" t="str">
        <f>"20240712/14235"</f>
        <v>20240712/14235</v>
      </c>
      <c r="I620" s="17" t="str">
        <f>" "</f>
        <v> </v>
      </c>
      <c r="J620" s="18">
        <v>0</v>
      </c>
      <c r="K620" s="18">
        <v>486.59</v>
      </c>
      <c r="L620" s="18">
        <v>1387614.45</v>
      </c>
      <c r="M620" t="s">
        <v>2661</v>
      </c>
    </row>
    <row r="621" spans="1:13" ht="15" thickBot="1" x14ac:dyDescent="0.35">
      <c r="A621" s="14">
        <v>614</v>
      </c>
      <c r="B621" s="15">
        <v>45485</v>
      </c>
      <c r="C621" s="15">
        <v>45485</v>
      </c>
      <c r="D621" s="16" t="s">
        <v>1192</v>
      </c>
      <c r="E621" s="16" t="s">
        <v>1193</v>
      </c>
      <c r="F621" s="16" t="s">
        <v>1630</v>
      </c>
      <c r="G621" s="16" t="s">
        <v>1197</v>
      </c>
      <c r="H621" s="14" t="str">
        <f>"20240712/144413"</f>
        <v>20240712/144413</v>
      </c>
      <c r="I621" s="19" t="str">
        <f>" "</f>
        <v> </v>
      </c>
      <c r="J621" s="18">
        <v>486.59</v>
      </c>
      <c r="K621" s="18">
        <v>0</v>
      </c>
      <c r="L621" s="18">
        <v>1388101.04</v>
      </c>
      <c r="M621" t="s">
        <v>2658</v>
      </c>
    </row>
    <row r="622" spans="1:13" ht="15" thickBot="1" x14ac:dyDescent="0.35">
      <c r="A622" s="14">
        <v>615</v>
      </c>
      <c r="B622" s="15">
        <v>45485</v>
      </c>
      <c r="C622" s="15">
        <v>45488</v>
      </c>
      <c r="D622" s="16" t="s">
        <v>1192</v>
      </c>
      <c r="E622" s="16" t="s">
        <v>1193</v>
      </c>
      <c r="F622" s="16" t="s">
        <v>1631</v>
      </c>
      <c r="G622" s="16" t="s">
        <v>1197</v>
      </c>
      <c r="H622" s="14" t="str">
        <f>"20240712/379177"</f>
        <v>20240712/379177</v>
      </c>
      <c r="I622" s="19" t="str">
        <f>"2407004734089"</f>
        <v>2407004734089</v>
      </c>
      <c r="J622" s="18">
        <v>0</v>
      </c>
      <c r="K622" s="18">
        <v>136515.54</v>
      </c>
      <c r="L622" s="18">
        <v>1251585.5</v>
      </c>
    </row>
    <row r="623" spans="1:13" ht="15" thickBot="1" x14ac:dyDescent="0.35">
      <c r="A623" s="14">
        <v>616</v>
      </c>
      <c r="B623" s="15">
        <v>45488</v>
      </c>
      <c r="C623" s="15">
        <v>45488</v>
      </c>
      <c r="D623" s="16" t="s">
        <v>1192</v>
      </c>
      <c r="E623" s="16" t="s">
        <v>1193</v>
      </c>
      <c r="F623" s="16" t="s">
        <v>1202</v>
      </c>
      <c r="G623" s="16" t="s">
        <v>1203</v>
      </c>
      <c r="H623" s="14" t="str">
        <f>"20240715/371"</f>
        <v>20240715/371</v>
      </c>
      <c r="I623" s="17" t="str">
        <f t="shared" ref="I623:I633" si="56">" "</f>
        <v> </v>
      </c>
      <c r="J623" s="18">
        <v>9490.65</v>
      </c>
      <c r="K623" s="18">
        <v>0</v>
      </c>
      <c r="L623" s="18">
        <v>1261076.1499999999</v>
      </c>
      <c r="M623" t="s">
        <v>2661</v>
      </c>
    </row>
    <row r="624" spans="1:13" ht="15" thickBot="1" x14ac:dyDescent="0.35">
      <c r="A624" s="14">
        <v>617</v>
      </c>
      <c r="B624" s="15">
        <v>45488</v>
      </c>
      <c r="C624" s="15">
        <v>45488</v>
      </c>
      <c r="D624" s="16" t="s">
        <v>1192</v>
      </c>
      <c r="E624" s="16" t="s">
        <v>1193</v>
      </c>
      <c r="F624" s="16" t="s">
        <v>1194</v>
      </c>
      <c r="G624" s="16" t="s">
        <v>1195</v>
      </c>
      <c r="H624" s="14" t="str">
        <f>"20240715/4915"</f>
        <v>20240715/4915</v>
      </c>
      <c r="I624" s="17" t="str">
        <f t="shared" si="56"/>
        <v> </v>
      </c>
      <c r="J624" s="18">
        <v>0</v>
      </c>
      <c r="K624" s="18">
        <v>1483.17</v>
      </c>
      <c r="L624" s="18">
        <v>1259592.98</v>
      </c>
      <c r="M624" t="s">
        <v>2661</v>
      </c>
    </row>
    <row r="625" spans="1:13" ht="15" thickBot="1" x14ac:dyDescent="0.35">
      <c r="A625" s="14">
        <v>618</v>
      </c>
      <c r="B625" s="15">
        <v>45488</v>
      </c>
      <c r="C625" s="15">
        <v>45488</v>
      </c>
      <c r="D625" s="16" t="s">
        <v>1192</v>
      </c>
      <c r="E625" s="16" t="s">
        <v>1193</v>
      </c>
      <c r="F625" s="16" t="s">
        <v>1632</v>
      </c>
      <c r="G625" s="16" t="s">
        <v>1197</v>
      </c>
      <c r="H625" s="14" t="str">
        <f>"20240715/151294"</f>
        <v>20240715/151294</v>
      </c>
      <c r="I625" s="19" t="str">
        <f t="shared" si="56"/>
        <v> </v>
      </c>
      <c r="J625" s="18">
        <v>1483.17</v>
      </c>
      <c r="K625" s="18">
        <v>0</v>
      </c>
      <c r="L625" s="18">
        <v>1261076.1499999999</v>
      </c>
      <c r="M625" t="s">
        <v>2658</v>
      </c>
    </row>
    <row r="626" spans="1:13" ht="15" thickBot="1" x14ac:dyDescent="0.35">
      <c r="A626" s="14">
        <v>619</v>
      </c>
      <c r="B626" s="15">
        <v>45489</v>
      </c>
      <c r="C626" s="15">
        <v>45489</v>
      </c>
      <c r="D626" s="16" t="s">
        <v>1192</v>
      </c>
      <c r="E626" s="16" t="s">
        <v>1193</v>
      </c>
      <c r="F626" s="16" t="s">
        <v>1194</v>
      </c>
      <c r="G626" s="16" t="s">
        <v>1195</v>
      </c>
      <c r="H626" s="14" t="str">
        <f>"20240716/114802"</f>
        <v>20240716/114802</v>
      </c>
      <c r="I626" s="17" t="str">
        <f t="shared" si="56"/>
        <v> </v>
      </c>
      <c r="J626" s="18">
        <v>0</v>
      </c>
      <c r="K626" s="18">
        <v>152870.93</v>
      </c>
      <c r="L626" s="18">
        <v>1108205.22</v>
      </c>
      <c r="M626" t="s">
        <v>2661</v>
      </c>
    </row>
    <row r="627" spans="1:13" ht="15" thickBot="1" x14ac:dyDescent="0.35">
      <c r="A627" s="14">
        <v>620</v>
      </c>
      <c r="B627" s="15">
        <v>45489</v>
      </c>
      <c r="C627" s="15">
        <v>45489</v>
      </c>
      <c r="D627" s="16" t="s">
        <v>1192</v>
      </c>
      <c r="E627" s="16" t="s">
        <v>1193</v>
      </c>
      <c r="F627" s="16" t="s">
        <v>1194</v>
      </c>
      <c r="G627" s="16" t="s">
        <v>1195</v>
      </c>
      <c r="H627" s="14" t="str">
        <f>"20240716/4118"</f>
        <v>20240716/4118</v>
      </c>
      <c r="I627" s="17" t="str">
        <f t="shared" si="56"/>
        <v> </v>
      </c>
      <c r="J627" s="18">
        <v>0</v>
      </c>
      <c r="K627" s="18">
        <v>449.15</v>
      </c>
      <c r="L627" s="18">
        <v>1107756.07</v>
      </c>
      <c r="M627" t="s">
        <v>2661</v>
      </c>
    </row>
    <row r="628" spans="1:13" ht="15" thickBot="1" x14ac:dyDescent="0.35">
      <c r="A628" s="14">
        <v>621</v>
      </c>
      <c r="B628" s="15">
        <v>45489</v>
      </c>
      <c r="C628" s="15">
        <v>45489</v>
      </c>
      <c r="D628" s="16" t="s">
        <v>1192</v>
      </c>
      <c r="E628" s="16" t="s">
        <v>1193</v>
      </c>
      <c r="F628" s="16" t="s">
        <v>1633</v>
      </c>
      <c r="G628" s="16" t="s">
        <v>1197</v>
      </c>
      <c r="H628" s="14" t="str">
        <f>"20240716/142834"</f>
        <v>20240716/142834</v>
      </c>
      <c r="I628" s="19" t="str">
        <f t="shared" si="56"/>
        <v> </v>
      </c>
      <c r="J628" s="18">
        <v>449.15</v>
      </c>
      <c r="K628" s="18">
        <v>0</v>
      </c>
      <c r="L628" s="18">
        <v>1108205.22</v>
      </c>
      <c r="M628" t="s">
        <v>2658</v>
      </c>
    </row>
    <row r="629" spans="1:13" ht="15" thickBot="1" x14ac:dyDescent="0.35">
      <c r="A629" s="14">
        <v>622</v>
      </c>
      <c r="B629" s="15">
        <v>45491</v>
      </c>
      <c r="C629" s="15">
        <v>45491</v>
      </c>
      <c r="D629" s="16" t="s">
        <v>1192</v>
      </c>
      <c r="E629" s="16" t="s">
        <v>1193</v>
      </c>
      <c r="F629" s="16" t="s">
        <v>1194</v>
      </c>
      <c r="G629" s="16" t="s">
        <v>1195</v>
      </c>
      <c r="H629" s="14" t="str">
        <f>"20240718/110119"</f>
        <v>20240718/110119</v>
      </c>
      <c r="I629" s="17" t="str">
        <f t="shared" si="56"/>
        <v> </v>
      </c>
      <c r="J629" s="18">
        <v>0</v>
      </c>
      <c r="K629" s="18">
        <v>162908.28</v>
      </c>
      <c r="L629" s="18">
        <v>945296.94</v>
      </c>
      <c r="M629" t="s">
        <v>2661</v>
      </c>
    </row>
    <row r="630" spans="1:13" ht="15" thickBot="1" x14ac:dyDescent="0.35">
      <c r="A630" s="14">
        <v>623</v>
      </c>
      <c r="B630" s="15">
        <v>45491</v>
      </c>
      <c r="C630" s="15">
        <v>45491</v>
      </c>
      <c r="D630" s="16" t="s">
        <v>1192</v>
      </c>
      <c r="E630" s="16" t="s">
        <v>1193</v>
      </c>
      <c r="F630" s="16" t="s">
        <v>1194</v>
      </c>
      <c r="G630" s="16" t="s">
        <v>1195</v>
      </c>
      <c r="H630" s="14" t="str">
        <f>"20240718/8383"</f>
        <v>20240718/8383</v>
      </c>
      <c r="I630" s="17" t="str">
        <f t="shared" si="56"/>
        <v> </v>
      </c>
      <c r="J630" s="18">
        <v>0</v>
      </c>
      <c r="K630" s="18">
        <v>789.4</v>
      </c>
      <c r="L630" s="18">
        <v>944507.54</v>
      </c>
      <c r="M630" t="s">
        <v>2661</v>
      </c>
    </row>
    <row r="631" spans="1:13" ht="15" thickBot="1" x14ac:dyDescent="0.35">
      <c r="A631" s="14">
        <v>624</v>
      </c>
      <c r="B631" s="15">
        <v>45491</v>
      </c>
      <c r="C631" s="15">
        <v>45491</v>
      </c>
      <c r="D631" s="16" t="s">
        <v>1192</v>
      </c>
      <c r="E631" s="16" t="s">
        <v>1193</v>
      </c>
      <c r="F631" s="16" t="s">
        <v>1634</v>
      </c>
      <c r="G631" s="16" t="s">
        <v>1197</v>
      </c>
      <c r="H631" s="14" t="str">
        <f>"20240718/125075"</f>
        <v>20240718/125075</v>
      </c>
      <c r="I631" s="19" t="str">
        <f t="shared" si="56"/>
        <v> </v>
      </c>
      <c r="J631" s="18">
        <v>789.4</v>
      </c>
      <c r="K631" s="18">
        <v>0</v>
      </c>
      <c r="L631" s="18">
        <v>945296.94</v>
      </c>
      <c r="M631" t="s">
        <v>2658</v>
      </c>
    </row>
    <row r="632" spans="1:13" ht="15" thickBot="1" x14ac:dyDescent="0.35">
      <c r="A632" s="14">
        <v>625</v>
      </c>
      <c r="B632" s="15">
        <v>45491</v>
      </c>
      <c r="C632" s="15">
        <v>45491</v>
      </c>
      <c r="D632" s="16" t="s">
        <v>1192</v>
      </c>
      <c r="E632" s="16" t="s">
        <v>1193</v>
      </c>
      <c r="F632" s="16" t="s">
        <v>1635</v>
      </c>
      <c r="G632" s="16" t="s">
        <v>1197</v>
      </c>
      <c r="H632" s="14" t="str">
        <f>"20240718/192277"</f>
        <v>20240718/192277</v>
      </c>
      <c r="I632" s="19" t="str">
        <f t="shared" si="56"/>
        <v> </v>
      </c>
      <c r="J632" s="18">
        <v>107011.53</v>
      </c>
      <c r="K632" s="18">
        <v>0</v>
      </c>
      <c r="L632" s="18">
        <v>1052308.47</v>
      </c>
    </row>
    <row r="633" spans="1:13" ht="15" thickBot="1" x14ac:dyDescent="0.35">
      <c r="A633" s="14">
        <v>626</v>
      </c>
      <c r="B633" s="15">
        <v>45491</v>
      </c>
      <c r="C633" s="15">
        <v>45491</v>
      </c>
      <c r="D633" s="16" t="s">
        <v>1192</v>
      </c>
      <c r="E633" s="16" t="s">
        <v>1193</v>
      </c>
      <c r="F633" s="16" t="s">
        <v>1636</v>
      </c>
      <c r="G633" s="16" t="s">
        <v>1197</v>
      </c>
      <c r="H633" s="14" t="str">
        <f>"20240718/192278"</f>
        <v>20240718/192278</v>
      </c>
      <c r="I633" s="19" t="str">
        <f t="shared" si="56"/>
        <v> </v>
      </c>
      <c r="J633" s="18">
        <v>55896.75</v>
      </c>
      <c r="K633" s="18">
        <v>0</v>
      </c>
      <c r="L633" s="18">
        <v>1108205.22</v>
      </c>
    </row>
    <row r="634" spans="1:13" ht="15" thickBot="1" x14ac:dyDescent="0.35">
      <c r="A634" s="14">
        <v>627</v>
      </c>
      <c r="B634" s="15">
        <v>45491</v>
      </c>
      <c r="C634" s="15">
        <v>45492</v>
      </c>
      <c r="D634" s="16" t="s">
        <v>1192</v>
      </c>
      <c r="E634" s="16" t="s">
        <v>1193</v>
      </c>
      <c r="F634" s="16" t="s">
        <v>1637</v>
      </c>
      <c r="G634" s="16" t="s">
        <v>1197</v>
      </c>
      <c r="H634" s="14" t="str">
        <f>"20240718/381850"</f>
        <v>20240718/381850</v>
      </c>
      <c r="I634" s="19" t="str">
        <f>"2407006204321"</f>
        <v>2407006204321</v>
      </c>
      <c r="J634" s="18">
        <v>0</v>
      </c>
      <c r="K634" s="18">
        <v>32906.36</v>
      </c>
      <c r="L634" s="18">
        <v>1075298.8600000001</v>
      </c>
    </row>
    <row r="635" spans="1:13" ht="15" thickBot="1" x14ac:dyDescent="0.35">
      <c r="A635" s="14">
        <v>628</v>
      </c>
      <c r="B635" s="15">
        <v>45492</v>
      </c>
      <c r="C635" s="15">
        <v>45492</v>
      </c>
      <c r="D635" s="16" t="s">
        <v>1192</v>
      </c>
      <c r="E635" s="16" t="s">
        <v>1193</v>
      </c>
      <c r="F635" s="16" t="s">
        <v>1204</v>
      </c>
      <c r="G635" s="16" t="s">
        <v>1203</v>
      </c>
      <c r="H635" s="14" t="str">
        <f>"20240719/28384"</f>
        <v>20240719/28384</v>
      </c>
      <c r="I635" s="17" t="str">
        <f t="shared" ref="I635:I642" si="57">" "</f>
        <v> </v>
      </c>
      <c r="J635" s="18">
        <v>32906.36</v>
      </c>
      <c r="K635" s="18">
        <v>0</v>
      </c>
      <c r="L635" s="18">
        <v>1108205.22</v>
      </c>
      <c r="M635" t="s">
        <v>2661</v>
      </c>
    </row>
    <row r="636" spans="1:13" ht="15" thickBot="1" x14ac:dyDescent="0.35">
      <c r="A636" s="14">
        <v>629</v>
      </c>
      <c r="B636" s="15">
        <v>45492</v>
      </c>
      <c r="C636" s="15">
        <v>45492</v>
      </c>
      <c r="D636" s="16" t="s">
        <v>1192</v>
      </c>
      <c r="E636" s="16" t="s">
        <v>1193</v>
      </c>
      <c r="F636" s="16" t="s">
        <v>1194</v>
      </c>
      <c r="G636" s="16" t="s">
        <v>1195</v>
      </c>
      <c r="H636" s="14" t="str">
        <f>"20240719/138874"</f>
        <v>20240719/138874</v>
      </c>
      <c r="I636" s="17" t="str">
        <f t="shared" si="57"/>
        <v> </v>
      </c>
      <c r="J636" s="18">
        <v>0</v>
      </c>
      <c r="K636" s="18">
        <v>77788.75</v>
      </c>
      <c r="L636" s="18">
        <v>1030416.47</v>
      </c>
      <c r="M636" t="s">
        <v>2661</v>
      </c>
    </row>
    <row r="637" spans="1:13" ht="15" thickBot="1" x14ac:dyDescent="0.35">
      <c r="A637" s="14">
        <v>630</v>
      </c>
      <c r="B637" s="15">
        <v>45492</v>
      </c>
      <c r="C637" s="15">
        <v>45492</v>
      </c>
      <c r="D637" s="16" t="s">
        <v>1192</v>
      </c>
      <c r="E637" s="16" t="s">
        <v>1193</v>
      </c>
      <c r="F637" s="16" t="s">
        <v>1194</v>
      </c>
      <c r="G637" s="16" t="s">
        <v>1195</v>
      </c>
      <c r="H637" s="14" t="str">
        <f>"20240719/35201"</f>
        <v>20240719/35201</v>
      </c>
      <c r="I637" s="17" t="str">
        <f t="shared" si="57"/>
        <v> </v>
      </c>
      <c r="J637" s="18">
        <v>0</v>
      </c>
      <c r="K637" s="18">
        <v>336.68</v>
      </c>
      <c r="L637" s="18">
        <v>1030079.79</v>
      </c>
      <c r="M637" t="s">
        <v>2661</v>
      </c>
    </row>
    <row r="638" spans="1:13" ht="15" thickBot="1" x14ac:dyDescent="0.35">
      <c r="A638" s="14">
        <v>631</v>
      </c>
      <c r="B638" s="15">
        <v>45492</v>
      </c>
      <c r="C638" s="15">
        <v>45492</v>
      </c>
      <c r="D638" s="16" t="s">
        <v>1192</v>
      </c>
      <c r="E638" s="16" t="s">
        <v>1193</v>
      </c>
      <c r="F638" s="16" t="s">
        <v>1638</v>
      </c>
      <c r="G638" s="16" t="s">
        <v>1197</v>
      </c>
      <c r="H638" s="14" t="str">
        <f>"20240719/157156"</f>
        <v>20240719/157156</v>
      </c>
      <c r="I638" s="19" t="str">
        <f t="shared" si="57"/>
        <v> </v>
      </c>
      <c r="J638" s="18">
        <v>336.68</v>
      </c>
      <c r="K638" s="18">
        <v>0</v>
      </c>
      <c r="L638" s="18">
        <v>1030416.47</v>
      </c>
      <c r="M638" t="s">
        <v>2658</v>
      </c>
    </row>
    <row r="639" spans="1:13" ht="15" thickBot="1" x14ac:dyDescent="0.35">
      <c r="A639" s="14">
        <v>632</v>
      </c>
      <c r="B639" s="15">
        <v>45492</v>
      </c>
      <c r="C639" s="15">
        <v>45492</v>
      </c>
      <c r="D639" s="16" t="s">
        <v>1192</v>
      </c>
      <c r="E639" s="16" t="s">
        <v>1193</v>
      </c>
      <c r="F639" s="16" t="s">
        <v>1639</v>
      </c>
      <c r="G639" s="16" t="s">
        <v>1197</v>
      </c>
      <c r="H639" s="14" t="str">
        <f>"20240719/235031"</f>
        <v>20240719/235031</v>
      </c>
      <c r="I639" s="19" t="str">
        <f t="shared" si="57"/>
        <v> </v>
      </c>
      <c r="J639" s="18">
        <v>158919.03</v>
      </c>
      <c r="K639" s="18">
        <v>0</v>
      </c>
      <c r="L639" s="18">
        <v>1189335.5</v>
      </c>
    </row>
    <row r="640" spans="1:13" ht="15" thickBot="1" x14ac:dyDescent="0.35">
      <c r="A640" s="14">
        <v>633</v>
      </c>
      <c r="B640" s="15">
        <v>45492</v>
      </c>
      <c r="C640" s="15">
        <v>45492</v>
      </c>
      <c r="D640" s="16" t="s">
        <v>1192</v>
      </c>
      <c r="E640" s="16" t="s">
        <v>1193</v>
      </c>
      <c r="F640" s="16" t="s">
        <v>1640</v>
      </c>
      <c r="G640" s="16" t="s">
        <v>1197</v>
      </c>
      <c r="H640" s="14" t="str">
        <f>"20240719/235032"</f>
        <v>20240719/235032</v>
      </c>
      <c r="I640" s="19" t="str">
        <f t="shared" si="57"/>
        <v> </v>
      </c>
      <c r="J640" s="18">
        <v>81777</v>
      </c>
      <c r="K640" s="18">
        <v>0</v>
      </c>
      <c r="L640" s="18">
        <v>1271112.5</v>
      </c>
    </row>
    <row r="641" spans="1:13" ht="15" thickBot="1" x14ac:dyDescent="0.35">
      <c r="A641" s="14">
        <v>634</v>
      </c>
      <c r="B641" s="15">
        <v>45492</v>
      </c>
      <c r="C641" s="15">
        <v>45492</v>
      </c>
      <c r="D641" s="16" t="s">
        <v>1192</v>
      </c>
      <c r="E641" s="16" t="s">
        <v>1193</v>
      </c>
      <c r="F641" s="16" t="s">
        <v>1641</v>
      </c>
      <c r="G641" s="16" t="s">
        <v>1197</v>
      </c>
      <c r="H641" s="14" t="str">
        <f>"20240719/314957"</f>
        <v>20240719/314957</v>
      </c>
      <c r="I641" s="19" t="str">
        <f t="shared" si="57"/>
        <v> </v>
      </c>
      <c r="J641" s="18">
        <v>0</v>
      </c>
      <c r="K641" s="18">
        <v>107011.53</v>
      </c>
      <c r="L641" s="18">
        <v>1164100.97</v>
      </c>
    </row>
    <row r="642" spans="1:13" ht="15" thickBot="1" x14ac:dyDescent="0.35">
      <c r="A642" s="14">
        <v>635</v>
      </c>
      <c r="B642" s="15">
        <v>45492</v>
      </c>
      <c r="C642" s="15">
        <v>45492</v>
      </c>
      <c r="D642" s="16" t="s">
        <v>1192</v>
      </c>
      <c r="E642" s="16" t="s">
        <v>1193</v>
      </c>
      <c r="F642" s="16" t="s">
        <v>1642</v>
      </c>
      <c r="G642" s="16" t="s">
        <v>1197</v>
      </c>
      <c r="H642" s="14" t="str">
        <f>"20240719/314958"</f>
        <v>20240719/314958</v>
      </c>
      <c r="I642" s="19" t="str">
        <f t="shared" si="57"/>
        <v> </v>
      </c>
      <c r="J642" s="18">
        <v>0</v>
      </c>
      <c r="K642" s="18">
        <v>55896.75</v>
      </c>
      <c r="L642" s="18">
        <v>1108204.22</v>
      </c>
    </row>
    <row r="643" spans="1:13" ht="15" thickBot="1" x14ac:dyDescent="0.35">
      <c r="A643" s="14">
        <v>636</v>
      </c>
      <c r="B643" s="15">
        <v>45492</v>
      </c>
      <c r="C643" s="15">
        <v>45495</v>
      </c>
      <c r="D643" s="16" t="s">
        <v>1192</v>
      </c>
      <c r="E643" s="16" t="s">
        <v>1193</v>
      </c>
      <c r="F643" s="16" t="s">
        <v>1643</v>
      </c>
      <c r="G643" s="16" t="s">
        <v>1197</v>
      </c>
      <c r="H643" s="14" t="str">
        <f>"20240719/391219"</f>
        <v>20240719/391219</v>
      </c>
      <c r="I643" s="19" t="str">
        <f>"2407006708440"</f>
        <v>2407006708440</v>
      </c>
      <c r="J643" s="18">
        <v>179536.38</v>
      </c>
      <c r="K643" s="18">
        <v>0</v>
      </c>
      <c r="L643" s="18">
        <v>1287740.6000000001</v>
      </c>
    </row>
    <row r="644" spans="1:13" ht="15" thickBot="1" x14ac:dyDescent="0.35">
      <c r="A644" s="14">
        <v>637</v>
      </c>
      <c r="B644" s="15">
        <v>45495</v>
      </c>
      <c r="C644" s="15">
        <v>45495</v>
      </c>
      <c r="D644" s="16" t="s">
        <v>1192</v>
      </c>
      <c r="E644" s="16" t="s">
        <v>1193</v>
      </c>
      <c r="F644" s="16" t="s">
        <v>1194</v>
      </c>
      <c r="G644" s="16" t="s">
        <v>1195</v>
      </c>
      <c r="H644" s="14" t="str">
        <f>"20240722/37359"</f>
        <v>20240722/37359</v>
      </c>
      <c r="I644" s="17" t="str">
        <f t="shared" ref="I644:I657" si="58">" "</f>
        <v> </v>
      </c>
      <c r="J644" s="18">
        <v>0</v>
      </c>
      <c r="K644" s="18">
        <v>926.94</v>
      </c>
      <c r="L644" s="18">
        <v>1286813.6599999999</v>
      </c>
      <c r="M644" t="s">
        <v>2661</v>
      </c>
    </row>
    <row r="645" spans="1:13" ht="15" thickBot="1" x14ac:dyDescent="0.35">
      <c r="A645" s="14">
        <v>638</v>
      </c>
      <c r="B645" s="15">
        <v>45495</v>
      </c>
      <c r="C645" s="15">
        <v>45495</v>
      </c>
      <c r="D645" s="16" t="s">
        <v>1192</v>
      </c>
      <c r="E645" s="16" t="s">
        <v>1193</v>
      </c>
      <c r="F645" s="16" t="s">
        <v>1644</v>
      </c>
      <c r="G645" s="16" t="s">
        <v>1197</v>
      </c>
      <c r="H645" s="14" t="str">
        <f>"20240722/123074"</f>
        <v>20240722/123074</v>
      </c>
      <c r="I645" s="19" t="str">
        <f t="shared" si="58"/>
        <v> </v>
      </c>
      <c r="J645" s="18">
        <v>926.94</v>
      </c>
      <c r="K645" s="18">
        <v>0</v>
      </c>
      <c r="L645" s="18">
        <v>1287740.6000000001</v>
      </c>
      <c r="M645" t="s">
        <v>2658</v>
      </c>
    </row>
    <row r="646" spans="1:13" ht="15" thickBot="1" x14ac:dyDescent="0.35">
      <c r="A646" s="14">
        <v>639</v>
      </c>
      <c r="B646" s="15">
        <v>45495</v>
      </c>
      <c r="C646" s="15">
        <v>45495</v>
      </c>
      <c r="D646" s="16" t="s">
        <v>1192</v>
      </c>
      <c r="E646" s="16" t="s">
        <v>1193</v>
      </c>
      <c r="F646" s="16" t="s">
        <v>1645</v>
      </c>
      <c r="G646" s="16" t="s">
        <v>1197</v>
      </c>
      <c r="H646" s="14" t="str">
        <f>"20240722/171236"</f>
        <v>20240722/171236</v>
      </c>
      <c r="I646" s="19" t="str">
        <f t="shared" si="58"/>
        <v> </v>
      </c>
      <c r="J646" s="18">
        <v>150865.79999999999</v>
      </c>
      <c r="K646" s="18">
        <v>0</v>
      </c>
      <c r="L646" s="18">
        <v>1438606.4</v>
      </c>
    </row>
    <row r="647" spans="1:13" ht="15" thickBot="1" x14ac:dyDescent="0.35">
      <c r="A647" s="14">
        <v>640</v>
      </c>
      <c r="B647" s="15">
        <v>45495</v>
      </c>
      <c r="C647" s="15">
        <v>45495</v>
      </c>
      <c r="D647" s="16" t="s">
        <v>1192</v>
      </c>
      <c r="E647" s="16" t="s">
        <v>1193</v>
      </c>
      <c r="F647" s="16" t="s">
        <v>1646</v>
      </c>
      <c r="G647" s="16" t="s">
        <v>1197</v>
      </c>
      <c r="H647" s="14" t="str">
        <f>"20240722/171237"</f>
        <v>20240722/171237</v>
      </c>
      <c r="I647" s="19" t="str">
        <f t="shared" si="58"/>
        <v> </v>
      </c>
      <c r="J647" s="18">
        <v>60360.5</v>
      </c>
      <c r="K647" s="18">
        <v>0</v>
      </c>
      <c r="L647" s="18">
        <v>1498966.9</v>
      </c>
    </row>
    <row r="648" spans="1:13" ht="15" thickBot="1" x14ac:dyDescent="0.35">
      <c r="A648" s="14">
        <v>641</v>
      </c>
      <c r="B648" s="15">
        <v>45495</v>
      </c>
      <c r="C648" s="15">
        <v>45495</v>
      </c>
      <c r="D648" s="16" t="s">
        <v>1192</v>
      </c>
      <c r="E648" s="16" t="s">
        <v>1193</v>
      </c>
      <c r="F648" s="16" t="s">
        <v>1647</v>
      </c>
      <c r="G648" s="16" t="s">
        <v>1197</v>
      </c>
      <c r="H648" s="14" t="str">
        <f>"20240722/268286"</f>
        <v>20240722/268286</v>
      </c>
      <c r="I648" s="19" t="str">
        <f t="shared" si="58"/>
        <v> </v>
      </c>
      <c r="J648" s="18">
        <v>0</v>
      </c>
      <c r="K648" s="18">
        <v>158919.03</v>
      </c>
      <c r="L648" s="18">
        <v>1340047.8700000001</v>
      </c>
    </row>
    <row r="649" spans="1:13" ht="15" thickBot="1" x14ac:dyDescent="0.35">
      <c r="A649" s="14">
        <v>642</v>
      </c>
      <c r="B649" s="15">
        <v>45495</v>
      </c>
      <c r="C649" s="15">
        <v>45495</v>
      </c>
      <c r="D649" s="16" t="s">
        <v>1192</v>
      </c>
      <c r="E649" s="16" t="s">
        <v>1193</v>
      </c>
      <c r="F649" s="16" t="s">
        <v>1648</v>
      </c>
      <c r="G649" s="16" t="s">
        <v>1197</v>
      </c>
      <c r="H649" s="14" t="str">
        <f>"20240722/268287"</f>
        <v>20240722/268287</v>
      </c>
      <c r="I649" s="19" t="str">
        <f t="shared" si="58"/>
        <v> </v>
      </c>
      <c r="J649" s="18">
        <v>0</v>
      </c>
      <c r="K649" s="18">
        <v>81777</v>
      </c>
      <c r="L649" s="18">
        <v>1258270.8700000001</v>
      </c>
    </row>
    <row r="650" spans="1:13" ht="15" thickBot="1" x14ac:dyDescent="0.35">
      <c r="A650" s="14">
        <v>643</v>
      </c>
      <c r="B650" s="15">
        <v>45496</v>
      </c>
      <c r="C650" s="15">
        <v>45496</v>
      </c>
      <c r="D650" s="16" t="s">
        <v>1192</v>
      </c>
      <c r="E650" s="16" t="s">
        <v>1193</v>
      </c>
      <c r="F650" s="16" t="s">
        <v>1202</v>
      </c>
      <c r="G650" s="16" t="s">
        <v>1203</v>
      </c>
      <c r="H650" s="14" t="str">
        <f>"20240723/52"</f>
        <v>20240723/52</v>
      </c>
      <c r="I650" s="17" t="str">
        <f t="shared" si="58"/>
        <v> </v>
      </c>
      <c r="J650" s="18">
        <v>29469.73</v>
      </c>
      <c r="K650" s="18">
        <v>0</v>
      </c>
      <c r="L650" s="18">
        <v>1287740.6000000001</v>
      </c>
      <c r="M650" t="s">
        <v>2661</v>
      </c>
    </row>
    <row r="651" spans="1:13" ht="15" thickBot="1" x14ac:dyDescent="0.35">
      <c r="A651" s="14">
        <v>644</v>
      </c>
      <c r="B651" s="15">
        <v>45496</v>
      </c>
      <c r="C651" s="15">
        <v>45496</v>
      </c>
      <c r="D651" s="16" t="s">
        <v>1192</v>
      </c>
      <c r="E651" s="16" t="s">
        <v>1193</v>
      </c>
      <c r="F651" s="16" t="s">
        <v>1194</v>
      </c>
      <c r="G651" s="16" t="s">
        <v>1195</v>
      </c>
      <c r="H651" s="14" t="str">
        <f>"20240723/128316"</f>
        <v>20240723/128316</v>
      </c>
      <c r="I651" s="17" t="str">
        <f t="shared" si="58"/>
        <v> </v>
      </c>
      <c r="J651" s="18">
        <v>0</v>
      </c>
      <c r="K651" s="18">
        <v>60859.85</v>
      </c>
      <c r="L651" s="18">
        <v>1226880.75</v>
      </c>
      <c r="M651" t="s">
        <v>2661</v>
      </c>
    </row>
    <row r="652" spans="1:13" ht="15" thickBot="1" x14ac:dyDescent="0.35">
      <c r="A652" s="14">
        <v>645</v>
      </c>
      <c r="B652" s="15">
        <v>45496</v>
      </c>
      <c r="C652" s="15">
        <v>45496</v>
      </c>
      <c r="D652" s="16" t="s">
        <v>1192</v>
      </c>
      <c r="E652" s="16" t="s">
        <v>1193</v>
      </c>
      <c r="F652" s="16" t="s">
        <v>1194</v>
      </c>
      <c r="G652" s="16" t="s">
        <v>1195</v>
      </c>
      <c r="H652" s="14" t="str">
        <f>"20240723/37515"</f>
        <v>20240723/37515</v>
      </c>
      <c r="I652" s="17" t="str">
        <f t="shared" si="58"/>
        <v> </v>
      </c>
      <c r="J652" s="18">
        <v>0</v>
      </c>
      <c r="K652" s="18">
        <v>372.92</v>
      </c>
      <c r="L652" s="18">
        <v>1226507.83</v>
      </c>
      <c r="M652" t="s">
        <v>2661</v>
      </c>
    </row>
    <row r="653" spans="1:13" ht="15" thickBot="1" x14ac:dyDescent="0.35">
      <c r="A653" s="14">
        <v>646</v>
      </c>
      <c r="B653" s="15">
        <v>45496</v>
      </c>
      <c r="C653" s="15">
        <v>45496</v>
      </c>
      <c r="D653" s="16" t="s">
        <v>1192</v>
      </c>
      <c r="E653" s="16" t="s">
        <v>1193</v>
      </c>
      <c r="F653" s="16" t="s">
        <v>1649</v>
      </c>
      <c r="G653" s="16" t="s">
        <v>1197</v>
      </c>
      <c r="H653" s="14" t="str">
        <f>"20240723/142866"</f>
        <v>20240723/142866</v>
      </c>
      <c r="I653" s="19" t="str">
        <f t="shared" si="58"/>
        <v> </v>
      </c>
      <c r="J653" s="18">
        <v>372.92</v>
      </c>
      <c r="K653" s="18">
        <v>0</v>
      </c>
      <c r="L653" s="18">
        <v>1226880.75</v>
      </c>
      <c r="M653" t="s">
        <v>2658</v>
      </c>
    </row>
    <row r="654" spans="1:13" ht="15" thickBot="1" x14ac:dyDescent="0.35">
      <c r="A654" s="14">
        <v>647</v>
      </c>
      <c r="B654" s="15">
        <v>45496</v>
      </c>
      <c r="C654" s="15">
        <v>45496</v>
      </c>
      <c r="D654" s="16" t="s">
        <v>1192</v>
      </c>
      <c r="E654" s="16" t="s">
        <v>1193</v>
      </c>
      <c r="F654" s="16" t="s">
        <v>1650</v>
      </c>
      <c r="G654" s="16" t="s">
        <v>1197</v>
      </c>
      <c r="H654" s="14" t="str">
        <f>"20240723/222576"</f>
        <v>20240723/222576</v>
      </c>
      <c r="I654" s="19" t="str">
        <f t="shared" si="58"/>
        <v> </v>
      </c>
      <c r="J654" s="18">
        <v>73317</v>
      </c>
      <c r="K654" s="18">
        <v>0</v>
      </c>
      <c r="L654" s="18">
        <v>1300197.75</v>
      </c>
    </row>
    <row r="655" spans="1:13" ht="15" thickBot="1" x14ac:dyDescent="0.35">
      <c r="A655" s="14">
        <v>648</v>
      </c>
      <c r="B655" s="15">
        <v>45496</v>
      </c>
      <c r="C655" s="15">
        <v>45496</v>
      </c>
      <c r="D655" s="16" t="s">
        <v>1192</v>
      </c>
      <c r="E655" s="16" t="s">
        <v>1193</v>
      </c>
      <c r="F655" s="16" t="s">
        <v>1651</v>
      </c>
      <c r="G655" s="16" t="s">
        <v>1197</v>
      </c>
      <c r="H655" s="14" t="str">
        <f>"20240723/222577"</f>
        <v>20240723/222577</v>
      </c>
      <c r="I655" s="19" t="str">
        <f t="shared" si="58"/>
        <v> </v>
      </c>
      <c r="J655" s="18">
        <v>198769.15</v>
      </c>
      <c r="K655" s="18">
        <v>0</v>
      </c>
      <c r="L655" s="18">
        <v>1498966.9</v>
      </c>
    </row>
    <row r="656" spans="1:13" ht="15" thickBot="1" x14ac:dyDescent="0.35">
      <c r="A656" s="14">
        <v>649</v>
      </c>
      <c r="B656" s="15">
        <v>45496</v>
      </c>
      <c r="C656" s="15">
        <v>45496</v>
      </c>
      <c r="D656" s="16" t="s">
        <v>1192</v>
      </c>
      <c r="E656" s="16" t="s">
        <v>1193</v>
      </c>
      <c r="F656" s="16" t="s">
        <v>1652</v>
      </c>
      <c r="G656" s="16" t="s">
        <v>1197</v>
      </c>
      <c r="H656" s="14" t="str">
        <f>"20240723/312810"</f>
        <v>20240723/312810</v>
      </c>
      <c r="I656" s="19" t="str">
        <f t="shared" si="58"/>
        <v> </v>
      </c>
      <c r="J656" s="18">
        <v>0</v>
      </c>
      <c r="K656" s="18">
        <v>150865.79999999999</v>
      </c>
      <c r="L656" s="18">
        <v>1348101.1</v>
      </c>
    </row>
    <row r="657" spans="1:13" ht="15" thickBot="1" x14ac:dyDescent="0.35">
      <c r="A657" s="14">
        <v>650</v>
      </c>
      <c r="B657" s="15">
        <v>45496</v>
      </c>
      <c r="C657" s="15">
        <v>45496</v>
      </c>
      <c r="D657" s="16" t="s">
        <v>1192</v>
      </c>
      <c r="E657" s="16" t="s">
        <v>1193</v>
      </c>
      <c r="F657" s="16" t="s">
        <v>1653</v>
      </c>
      <c r="G657" s="16" t="s">
        <v>1197</v>
      </c>
      <c r="H657" s="14" t="str">
        <f>"20240723/312811"</f>
        <v>20240723/312811</v>
      </c>
      <c r="I657" s="19" t="str">
        <f t="shared" si="58"/>
        <v> </v>
      </c>
      <c r="J657" s="18">
        <v>0</v>
      </c>
      <c r="K657" s="18">
        <v>60360.5</v>
      </c>
      <c r="L657" s="18">
        <v>1287740.6000000001</v>
      </c>
    </row>
    <row r="658" spans="1:13" ht="15" thickBot="1" x14ac:dyDescent="0.35">
      <c r="A658" s="14">
        <v>651</v>
      </c>
      <c r="B658" s="15">
        <v>45496</v>
      </c>
      <c r="C658" s="15">
        <v>45497</v>
      </c>
      <c r="D658" s="16" t="s">
        <v>1192</v>
      </c>
      <c r="E658" s="16" t="s">
        <v>1193</v>
      </c>
      <c r="F658" s="16" t="s">
        <v>1654</v>
      </c>
      <c r="G658" s="16" t="s">
        <v>1197</v>
      </c>
      <c r="H658" s="14" t="str">
        <f>"20240723/381045"</f>
        <v>20240723/381045</v>
      </c>
      <c r="I658" s="19" t="str">
        <f>"2407007682472"</f>
        <v>2407007682472</v>
      </c>
      <c r="J658" s="18">
        <v>121097.2</v>
      </c>
      <c r="K658" s="18">
        <v>0</v>
      </c>
      <c r="L658" s="18">
        <v>1408837.8</v>
      </c>
    </row>
    <row r="659" spans="1:13" ht="15" thickBot="1" x14ac:dyDescent="0.35">
      <c r="A659" s="14">
        <v>652</v>
      </c>
      <c r="B659" s="15">
        <v>45497</v>
      </c>
      <c r="C659" s="15">
        <v>45497</v>
      </c>
      <c r="D659" s="16" t="s">
        <v>1192</v>
      </c>
      <c r="E659" s="16" t="s">
        <v>1193</v>
      </c>
      <c r="F659" s="16" t="s">
        <v>1194</v>
      </c>
      <c r="G659" s="16" t="s">
        <v>1195</v>
      </c>
      <c r="H659" s="14" t="str">
        <f>"20240724/35167"</f>
        <v>20240724/35167</v>
      </c>
      <c r="I659" s="17" t="str">
        <f t="shared" ref="I659:I678" si="59">" "</f>
        <v> </v>
      </c>
      <c r="J659" s="18">
        <v>0</v>
      </c>
      <c r="K659" s="18">
        <v>361.74</v>
      </c>
      <c r="L659" s="18">
        <v>1408476.06</v>
      </c>
      <c r="M659" t="s">
        <v>2661</v>
      </c>
    </row>
    <row r="660" spans="1:13" ht="15" thickBot="1" x14ac:dyDescent="0.35">
      <c r="A660" s="14">
        <v>653</v>
      </c>
      <c r="B660" s="15">
        <v>45497</v>
      </c>
      <c r="C660" s="15">
        <v>45497</v>
      </c>
      <c r="D660" s="16" t="s">
        <v>1192</v>
      </c>
      <c r="E660" s="16" t="s">
        <v>1193</v>
      </c>
      <c r="F660" s="16" t="s">
        <v>1655</v>
      </c>
      <c r="G660" s="16" t="s">
        <v>1197</v>
      </c>
      <c r="H660" s="14" t="str">
        <f>"20240724/135789"</f>
        <v>20240724/135789</v>
      </c>
      <c r="I660" s="19" t="str">
        <f t="shared" si="59"/>
        <v> </v>
      </c>
      <c r="J660" s="18">
        <v>361.74</v>
      </c>
      <c r="K660" s="18">
        <v>0</v>
      </c>
      <c r="L660" s="18">
        <v>1408837.8</v>
      </c>
      <c r="M660" t="s">
        <v>2658</v>
      </c>
    </row>
    <row r="661" spans="1:13" ht="15" thickBot="1" x14ac:dyDescent="0.35">
      <c r="A661" s="14">
        <v>654</v>
      </c>
      <c r="B661" s="15">
        <v>45497</v>
      </c>
      <c r="C661" s="15">
        <v>45497</v>
      </c>
      <c r="D661" s="16" t="s">
        <v>1192</v>
      </c>
      <c r="E661" s="16" t="s">
        <v>1193</v>
      </c>
      <c r="F661" s="16" t="s">
        <v>1656</v>
      </c>
      <c r="G661" s="16" t="s">
        <v>1197</v>
      </c>
      <c r="H661" s="14" t="str">
        <f>"20240724/220520"</f>
        <v>20240724/220520</v>
      </c>
      <c r="I661" s="19" t="str">
        <f t="shared" si="59"/>
        <v> </v>
      </c>
      <c r="J661" s="18">
        <v>67946.75</v>
      </c>
      <c r="K661" s="18">
        <v>0</v>
      </c>
      <c r="L661" s="18">
        <v>1476784.55</v>
      </c>
    </row>
    <row r="662" spans="1:13" ht="15" thickBot="1" x14ac:dyDescent="0.35">
      <c r="A662" s="14">
        <v>655</v>
      </c>
      <c r="B662" s="15">
        <v>45497</v>
      </c>
      <c r="C662" s="15">
        <v>45497</v>
      </c>
      <c r="D662" s="16" t="s">
        <v>1192</v>
      </c>
      <c r="E662" s="16" t="s">
        <v>1193</v>
      </c>
      <c r="F662" s="16" t="s">
        <v>1657</v>
      </c>
      <c r="G662" s="16" t="s">
        <v>1197</v>
      </c>
      <c r="H662" s="14" t="str">
        <f>"20240724/220521"</f>
        <v>20240724/220521</v>
      </c>
      <c r="I662" s="19" t="str">
        <f t="shared" si="59"/>
        <v> </v>
      </c>
      <c r="J662" s="18">
        <v>188508.56</v>
      </c>
      <c r="K662" s="18">
        <v>0</v>
      </c>
      <c r="L662" s="18">
        <v>1665293.11</v>
      </c>
    </row>
    <row r="663" spans="1:13" ht="15" thickBot="1" x14ac:dyDescent="0.35">
      <c r="A663" s="14">
        <v>656</v>
      </c>
      <c r="B663" s="15">
        <v>45497</v>
      </c>
      <c r="C663" s="15">
        <v>45497</v>
      </c>
      <c r="D663" s="16" t="s">
        <v>1192</v>
      </c>
      <c r="E663" s="16" t="s">
        <v>1193</v>
      </c>
      <c r="F663" s="16" t="s">
        <v>1658</v>
      </c>
      <c r="G663" s="16" t="s">
        <v>1197</v>
      </c>
      <c r="H663" s="14" t="str">
        <f>"20240724/310028"</f>
        <v>20240724/310028</v>
      </c>
      <c r="I663" s="19" t="str">
        <f t="shared" si="59"/>
        <v> </v>
      </c>
      <c r="J663" s="18">
        <v>0</v>
      </c>
      <c r="K663" s="18">
        <v>73317</v>
      </c>
      <c r="L663" s="18">
        <v>1591976.11</v>
      </c>
    </row>
    <row r="664" spans="1:13" ht="15" thickBot="1" x14ac:dyDescent="0.35">
      <c r="A664" s="14">
        <v>657</v>
      </c>
      <c r="B664" s="15">
        <v>45497</v>
      </c>
      <c r="C664" s="15">
        <v>45497</v>
      </c>
      <c r="D664" s="16" t="s">
        <v>1192</v>
      </c>
      <c r="E664" s="16" t="s">
        <v>1193</v>
      </c>
      <c r="F664" s="16" t="s">
        <v>1659</v>
      </c>
      <c r="G664" s="16" t="s">
        <v>1197</v>
      </c>
      <c r="H664" s="14" t="str">
        <f>"20240724/312432"</f>
        <v>20240724/312432</v>
      </c>
      <c r="I664" s="19" t="str">
        <f t="shared" si="59"/>
        <v> </v>
      </c>
      <c r="J664" s="18">
        <v>0</v>
      </c>
      <c r="K664" s="18">
        <v>198769.15</v>
      </c>
      <c r="L664" s="18">
        <v>1393206.96</v>
      </c>
    </row>
    <row r="665" spans="1:13" ht="15" thickBot="1" x14ac:dyDescent="0.35">
      <c r="A665" s="14">
        <v>658</v>
      </c>
      <c r="B665" s="15">
        <v>45498</v>
      </c>
      <c r="C665" s="15">
        <v>45498</v>
      </c>
      <c r="D665" s="16" t="s">
        <v>1192</v>
      </c>
      <c r="E665" s="16" t="s">
        <v>1193</v>
      </c>
      <c r="F665" s="16" t="s">
        <v>1202</v>
      </c>
      <c r="G665" s="16" t="s">
        <v>1203</v>
      </c>
      <c r="H665" s="14" t="str">
        <f>"20240725/529"</f>
        <v>20240725/529</v>
      </c>
      <c r="I665" s="17" t="str">
        <f t="shared" si="59"/>
        <v> </v>
      </c>
      <c r="J665" s="18">
        <v>15630.84</v>
      </c>
      <c r="K665" s="18">
        <v>0</v>
      </c>
      <c r="L665" s="18">
        <v>1408837.8</v>
      </c>
      <c r="M665" t="s">
        <v>2661</v>
      </c>
    </row>
    <row r="666" spans="1:13" ht="15" thickBot="1" x14ac:dyDescent="0.35">
      <c r="A666" s="14">
        <v>659</v>
      </c>
      <c r="B666" s="15">
        <v>45498</v>
      </c>
      <c r="C666" s="15">
        <v>45498</v>
      </c>
      <c r="D666" s="16" t="s">
        <v>1192</v>
      </c>
      <c r="E666" s="16" t="s">
        <v>1193</v>
      </c>
      <c r="F666" s="16" t="s">
        <v>1194</v>
      </c>
      <c r="G666" s="16" t="s">
        <v>1195</v>
      </c>
      <c r="H666" s="14" t="str">
        <f>"20240725/6725"</f>
        <v>20240725/6725</v>
      </c>
      <c r="I666" s="17" t="str">
        <f t="shared" si="59"/>
        <v> </v>
      </c>
      <c r="J666" s="18">
        <v>0</v>
      </c>
      <c r="K666" s="18">
        <v>404.87</v>
      </c>
      <c r="L666" s="18">
        <v>1408432.93</v>
      </c>
      <c r="M666" t="s">
        <v>2661</v>
      </c>
    </row>
    <row r="667" spans="1:13" ht="15" thickBot="1" x14ac:dyDescent="0.35">
      <c r="A667" s="14">
        <v>660</v>
      </c>
      <c r="B667" s="15">
        <v>45498</v>
      </c>
      <c r="C667" s="15">
        <v>45498</v>
      </c>
      <c r="D667" s="16" t="s">
        <v>1192</v>
      </c>
      <c r="E667" s="16" t="s">
        <v>1193</v>
      </c>
      <c r="F667" s="16" t="s">
        <v>1660</v>
      </c>
      <c r="G667" s="16" t="s">
        <v>1197</v>
      </c>
      <c r="H667" s="14" t="str">
        <f>"20240725/155122"</f>
        <v>20240725/155122</v>
      </c>
      <c r="I667" s="19" t="str">
        <f t="shared" si="59"/>
        <v> </v>
      </c>
      <c r="J667" s="18">
        <v>404.87</v>
      </c>
      <c r="K667" s="18">
        <v>0</v>
      </c>
      <c r="L667" s="18">
        <v>1408837.8</v>
      </c>
      <c r="M667" t="s">
        <v>2658</v>
      </c>
    </row>
    <row r="668" spans="1:13" ht="15" thickBot="1" x14ac:dyDescent="0.35">
      <c r="A668" s="14">
        <v>661</v>
      </c>
      <c r="B668" s="15">
        <v>45498</v>
      </c>
      <c r="C668" s="15">
        <v>45498</v>
      </c>
      <c r="D668" s="16" t="s">
        <v>1192</v>
      </c>
      <c r="E668" s="16" t="s">
        <v>1193</v>
      </c>
      <c r="F668" s="16" t="s">
        <v>1661</v>
      </c>
      <c r="G668" s="16" t="s">
        <v>1197</v>
      </c>
      <c r="H668" s="14" t="str">
        <f>"20240725/189224"</f>
        <v>20240725/189224</v>
      </c>
      <c r="I668" s="19" t="str">
        <f t="shared" si="59"/>
        <v> </v>
      </c>
      <c r="J668" s="18">
        <v>82926.75</v>
      </c>
      <c r="K668" s="18">
        <v>0</v>
      </c>
      <c r="L668" s="18">
        <v>1491764.55</v>
      </c>
    </row>
    <row r="669" spans="1:13" ht="15" thickBot="1" x14ac:dyDescent="0.35">
      <c r="A669" s="14">
        <v>662</v>
      </c>
      <c r="B669" s="15">
        <v>45498</v>
      </c>
      <c r="C669" s="15">
        <v>45498</v>
      </c>
      <c r="D669" s="16" t="s">
        <v>1192</v>
      </c>
      <c r="E669" s="16" t="s">
        <v>1193</v>
      </c>
      <c r="F669" s="16" t="s">
        <v>1662</v>
      </c>
      <c r="G669" s="16" t="s">
        <v>1197</v>
      </c>
      <c r="H669" s="14" t="str">
        <f>"20240725/189225"</f>
        <v>20240725/189225</v>
      </c>
      <c r="I669" s="19" t="str">
        <f t="shared" si="59"/>
        <v> </v>
      </c>
      <c r="J669" s="18">
        <v>172224.28</v>
      </c>
      <c r="K669" s="18">
        <v>0</v>
      </c>
      <c r="L669" s="18">
        <v>1663988.83</v>
      </c>
    </row>
    <row r="670" spans="1:13" ht="15" thickBot="1" x14ac:dyDescent="0.35">
      <c r="A670" s="14">
        <v>663</v>
      </c>
      <c r="B670" s="15">
        <v>45498</v>
      </c>
      <c r="C670" s="15">
        <v>45498</v>
      </c>
      <c r="D670" s="16" t="s">
        <v>1192</v>
      </c>
      <c r="E670" s="16" t="s">
        <v>1193</v>
      </c>
      <c r="F670" s="16" t="s">
        <v>1663</v>
      </c>
      <c r="G670" s="16" t="s">
        <v>1197</v>
      </c>
      <c r="H670" s="14" t="str">
        <f>"20240725/281075"</f>
        <v>20240725/281075</v>
      </c>
      <c r="I670" s="19" t="str">
        <f t="shared" si="59"/>
        <v> </v>
      </c>
      <c r="J670" s="18">
        <v>0</v>
      </c>
      <c r="K670" s="18">
        <v>67946.75</v>
      </c>
      <c r="L670" s="18">
        <v>1596042.08</v>
      </c>
    </row>
    <row r="671" spans="1:13" ht="15" thickBot="1" x14ac:dyDescent="0.35">
      <c r="A671" s="14">
        <v>664</v>
      </c>
      <c r="B671" s="15">
        <v>45498</v>
      </c>
      <c r="C671" s="15">
        <v>45498</v>
      </c>
      <c r="D671" s="16" t="s">
        <v>1192</v>
      </c>
      <c r="E671" s="16" t="s">
        <v>1193</v>
      </c>
      <c r="F671" s="16" t="s">
        <v>1664</v>
      </c>
      <c r="G671" s="16" t="s">
        <v>1197</v>
      </c>
      <c r="H671" s="14" t="str">
        <f>"20240725/281076"</f>
        <v>20240725/281076</v>
      </c>
      <c r="I671" s="19" t="str">
        <f t="shared" si="59"/>
        <v> </v>
      </c>
      <c r="J671" s="18">
        <v>0</v>
      </c>
      <c r="K671" s="18">
        <v>188508.56</v>
      </c>
      <c r="L671" s="18">
        <v>1407533.52</v>
      </c>
    </row>
    <row r="672" spans="1:13" ht="15" thickBot="1" x14ac:dyDescent="0.35">
      <c r="A672" s="14">
        <v>665</v>
      </c>
      <c r="B672" s="15">
        <v>45499</v>
      </c>
      <c r="C672" s="15">
        <v>45499</v>
      </c>
      <c r="D672" s="16" t="s">
        <v>1192</v>
      </c>
      <c r="E672" s="16" t="s">
        <v>1193</v>
      </c>
      <c r="F672" s="16" t="s">
        <v>1202</v>
      </c>
      <c r="G672" s="16" t="s">
        <v>1203</v>
      </c>
      <c r="H672" s="14" t="str">
        <f>"20240726/4082"</f>
        <v>20240726/4082</v>
      </c>
      <c r="I672" s="17" t="str">
        <f t="shared" si="59"/>
        <v> </v>
      </c>
      <c r="J672" s="18">
        <v>1304.28</v>
      </c>
      <c r="K672" s="18">
        <v>0</v>
      </c>
      <c r="L672" s="18">
        <v>1408837.8</v>
      </c>
      <c r="M672" t="s">
        <v>2661</v>
      </c>
    </row>
    <row r="673" spans="1:13" ht="15" thickBot="1" x14ac:dyDescent="0.35">
      <c r="A673" s="14">
        <v>666</v>
      </c>
      <c r="B673" s="15">
        <v>45499</v>
      </c>
      <c r="C673" s="15">
        <v>45499</v>
      </c>
      <c r="D673" s="16" t="s">
        <v>1192</v>
      </c>
      <c r="E673" s="16" t="s">
        <v>1193</v>
      </c>
      <c r="F673" s="16" t="s">
        <v>1194</v>
      </c>
      <c r="G673" s="16" t="s">
        <v>1195</v>
      </c>
      <c r="H673" s="14" t="str">
        <f>"20240726/35165"</f>
        <v>20240726/35165</v>
      </c>
      <c r="I673" s="17" t="str">
        <f t="shared" si="59"/>
        <v> </v>
      </c>
      <c r="J673" s="18">
        <v>0</v>
      </c>
      <c r="K673" s="18">
        <v>410.44</v>
      </c>
      <c r="L673" s="18">
        <v>1408427.36</v>
      </c>
      <c r="M673" t="s">
        <v>2661</v>
      </c>
    </row>
    <row r="674" spans="1:13" ht="15" thickBot="1" x14ac:dyDescent="0.35">
      <c r="A674" s="14">
        <v>667</v>
      </c>
      <c r="B674" s="15">
        <v>45499</v>
      </c>
      <c r="C674" s="15">
        <v>45499</v>
      </c>
      <c r="D674" s="16" t="s">
        <v>1192</v>
      </c>
      <c r="E674" s="16" t="s">
        <v>1193</v>
      </c>
      <c r="F674" s="16" t="s">
        <v>1665</v>
      </c>
      <c r="G674" s="16" t="s">
        <v>1197</v>
      </c>
      <c r="H674" s="14" t="str">
        <f>"20240726/161592"</f>
        <v>20240726/161592</v>
      </c>
      <c r="I674" s="19" t="str">
        <f t="shared" si="59"/>
        <v> </v>
      </c>
      <c r="J674" s="18">
        <v>410.44</v>
      </c>
      <c r="K674" s="18">
        <v>0</v>
      </c>
      <c r="L674" s="18">
        <v>1408837.8</v>
      </c>
      <c r="M674" t="s">
        <v>2658</v>
      </c>
    </row>
    <row r="675" spans="1:13" ht="15" thickBot="1" x14ac:dyDescent="0.35">
      <c r="A675" s="14">
        <v>668</v>
      </c>
      <c r="B675" s="15">
        <v>45499</v>
      </c>
      <c r="C675" s="15">
        <v>45499</v>
      </c>
      <c r="D675" s="16" t="s">
        <v>1192</v>
      </c>
      <c r="E675" s="16" t="s">
        <v>1193</v>
      </c>
      <c r="F675" s="16" t="s">
        <v>1666</v>
      </c>
      <c r="G675" s="16" t="s">
        <v>1197</v>
      </c>
      <c r="H675" s="14" t="str">
        <f>"20240726/210181"</f>
        <v>20240726/210181</v>
      </c>
      <c r="I675" s="19" t="str">
        <f t="shared" si="59"/>
        <v> </v>
      </c>
      <c r="J675" s="18">
        <v>165739.68</v>
      </c>
      <c r="K675" s="18">
        <v>0</v>
      </c>
      <c r="L675" s="18">
        <v>1574577.48</v>
      </c>
    </row>
    <row r="676" spans="1:13" ht="15" thickBot="1" x14ac:dyDescent="0.35">
      <c r="A676" s="14">
        <v>669</v>
      </c>
      <c r="B676" s="15">
        <v>45499</v>
      </c>
      <c r="C676" s="15">
        <v>45499</v>
      </c>
      <c r="D676" s="16" t="s">
        <v>1192</v>
      </c>
      <c r="E676" s="16" t="s">
        <v>1193</v>
      </c>
      <c r="F676" s="16" t="s">
        <v>1667</v>
      </c>
      <c r="G676" s="16" t="s">
        <v>1197</v>
      </c>
      <c r="H676" s="14" t="str">
        <f>"20240726/210182"</f>
        <v>20240726/210182</v>
      </c>
      <c r="I676" s="19" t="str">
        <f t="shared" si="59"/>
        <v> </v>
      </c>
      <c r="J676" s="18">
        <v>71315.5</v>
      </c>
      <c r="K676" s="18">
        <v>0</v>
      </c>
      <c r="L676" s="18">
        <v>1645892.98</v>
      </c>
    </row>
    <row r="677" spans="1:13" ht="15" thickBot="1" x14ac:dyDescent="0.35">
      <c r="A677" s="14">
        <v>670</v>
      </c>
      <c r="B677" s="15">
        <v>45499</v>
      </c>
      <c r="C677" s="15">
        <v>45499</v>
      </c>
      <c r="D677" s="16" t="s">
        <v>1192</v>
      </c>
      <c r="E677" s="16" t="s">
        <v>1193</v>
      </c>
      <c r="F677" s="16" t="s">
        <v>1668</v>
      </c>
      <c r="G677" s="16" t="s">
        <v>1197</v>
      </c>
      <c r="H677" s="14" t="str">
        <f>"20240726/249168"</f>
        <v>20240726/249168</v>
      </c>
      <c r="I677" s="19" t="str">
        <f t="shared" si="59"/>
        <v> </v>
      </c>
      <c r="J677" s="18">
        <v>0</v>
      </c>
      <c r="K677" s="18">
        <v>172224.28</v>
      </c>
      <c r="L677" s="18">
        <v>1473668.7</v>
      </c>
    </row>
    <row r="678" spans="1:13" ht="15" thickBot="1" x14ac:dyDescent="0.35">
      <c r="A678" s="14">
        <v>671</v>
      </c>
      <c r="B678" s="15">
        <v>45499</v>
      </c>
      <c r="C678" s="15">
        <v>45499</v>
      </c>
      <c r="D678" s="16" t="s">
        <v>1192</v>
      </c>
      <c r="E678" s="16" t="s">
        <v>1193</v>
      </c>
      <c r="F678" s="16" t="s">
        <v>1669</v>
      </c>
      <c r="G678" s="16" t="s">
        <v>1197</v>
      </c>
      <c r="H678" s="14" t="str">
        <f>"20240726/285641"</f>
        <v>20240726/285641</v>
      </c>
      <c r="I678" s="19" t="str">
        <f t="shared" si="59"/>
        <v> </v>
      </c>
      <c r="J678" s="18">
        <v>0</v>
      </c>
      <c r="K678" s="18">
        <v>82926.75</v>
      </c>
      <c r="L678" s="18">
        <v>1390741.95</v>
      </c>
    </row>
    <row r="679" spans="1:13" ht="15" thickBot="1" x14ac:dyDescent="0.35">
      <c r="A679" s="14">
        <v>672</v>
      </c>
      <c r="B679" s="15">
        <v>45499</v>
      </c>
      <c r="C679" s="15">
        <v>45502</v>
      </c>
      <c r="D679" s="16" t="s">
        <v>1192</v>
      </c>
      <c r="E679" s="16" t="s">
        <v>1193</v>
      </c>
      <c r="F679" s="16" t="s">
        <v>1670</v>
      </c>
      <c r="G679" s="16" t="s">
        <v>1197</v>
      </c>
      <c r="H679" s="14" t="str">
        <f>"20240726/385477"</f>
        <v>20240726/385477</v>
      </c>
      <c r="I679" s="19" t="str">
        <f>"2407009191184"</f>
        <v>2407009191184</v>
      </c>
      <c r="J679" s="18">
        <v>0</v>
      </c>
      <c r="K679" s="18">
        <v>37892.910000000003</v>
      </c>
      <c r="L679" s="18">
        <v>1352849.04</v>
      </c>
    </row>
    <row r="680" spans="1:13" ht="15" thickBot="1" x14ac:dyDescent="0.35">
      <c r="A680" s="14">
        <v>673</v>
      </c>
      <c r="B680" s="15">
        <v>45502</v>
      </c>
      <c r="C680" s="15">
        <v>45502</v>
      </c>
      <c r="D680" s="16" t="s">
        <v>1192</v>
      </c>
      <c r="E680" s="16" t="s">
        <v>1193</v>
      </c>
      <c r="F680" s="16" t="s">
        <v>1202</v>
      </c>
      <c r="G680" s="16" t="s">
        <v>1203</v>
      </c>
      <c r="H680" s="14" t="str">
        <f>"20240729/15004"</f>
        <v>20240729/15004</v>
      </c>
      <c r="I680" s="17" t="str">
        <f t="shared" ref="I680:I688" si="60">" "</f>
        <v> </v>
      </c>
      <c r="J680" s="18">
        <v>18095.849999999999</v>
      </c>
      <c r="K680" s="18">
        <v>0</v>
      </c>
      <c r="L680" s="18">
        <v>1370944.89</v>
      </c>
      <c r="M680" t="s">
        <v>2661</v>
      </c>
    </row>
    <row r="681" spans="1:13" ht="15" thickBot="1" x14ac:dyDescent="0.35">
      <c r="A681" s="14">
        <v>674</v>
      </c>
      <c r="B681" s="15">
        <v>45502</v>
      </c>
      <c r="C681" s="15">
        <v>45502</v>
      </c>
      <c r="D681" s="16" t="s">
        <v>1192</v>
      </c>
      <c r="E681" s="16" t="s">
        <v>1193</v>
      </c>
      <c r="F681" s="16" t="s">
        <v>1204</v>
      </c>
      <c r="G681" s="16" t="s">
        <v>1203</v>
      </c>
      <c r="H681" s="14" t="str">
        <f>"20240729/72076"</f>
        <v>20240729/72076</v>
      </c>
      <c r="I681" s="17" t="str">
        <f t="shared" si="60"/>
        <v> </v>
      </c>
      <c r="J681" s="18">
        <v>37892.910000000003</v>
      </c>
      <c r="K681" s="18">
        <v>0</v>
      </c>
      <c r="L681" s="18">
        <v>1408837.8</v>
      </c>
      <c r="M681" t="s">
        <v>2661</v>
      </c>
    </row>
    <row r="682" spans="1:13" ht="15" thickBot="1" x14ac:dyDescent="0.35">
      <c r="A682" s="14">
        <v>675</v>
      </c>
      <c r="B682" s="15">
        <v>45502</v>
      </c>
      <c r="C682" s="15">
        <v>45502</v>
      </c>
      <c r="D682" s="16" t="s">
        <v>1192</v>
      </c>
      <c r="E682" s="16" t="s">
        <v>1193</v>
      </c>
      <c r="F682" s="16" t="s">
        <v>1194</v>
      </c>
      <c r="G682" s="16" t="s">
        <v>1195</v>
      </c>
      <c r="H682" s="14" t="str">
        <f>"20240729/104595"</f>
        <v>20240729/104595</v>
      </c>
      <c r="I682" s="17" t="str">
        <f t="shared" si="60"/>
        <v> </v>
      </c>
      <c r="J682" s="18">
        <v>0</v>
      </c>
      <c r="K682" s="18">
        <v>25558.2</v>
      </c>
      <c r="L682" s="18">
        <v>1383279.6</v>
      </c>
      <c r="M682" t="s">
        <v>2661</v>
      </c>
    </row>
    <row r="683" spans="1:13" ht="15" thickBot="1" x14ac:dyDescent="0.35">
      <c r="A683" s="14">
        <v>676</v>
      </c>
      <c r="B683" s="15">
        <v>45502</v>
      </c>
      <c r="C683" s="15">
        <v>45502</v>
      </c>
      <c r="D683" s="16" t="s">
        <v>1192</v>
      </c>
      <c r="E683" s="16" t="s">
        <v>1193</v>
      </c>
      <c r="F683" s="16" t="s">
        <v>1194</v>
      </c>
      <c r="G683" s="16" t="s">
        <v>1195</v>
      </c>
      <c r="H683" s="14" t="str">
        <f>"20240729/41160"</f>
        <v>20240729/41160</v>
      </c>
      <c r="I683" s="17" t="str">
        <f t="shared" si="60"/>
        <v> </v>
      </c>
      <c r="J683" s="18">
        <v>0</v>
      </c>
      <c r="K683" s="18">
        <v>1232.7</v>
      </c>
      <c r="L683" s="18">
        <v>1382046.9</v>
      </c>
      <c r="M683" t="s">
        <v>2661</v>
      </c>
    </row>
    <row r="684" spans="1:13" ht="15" thickBot="1" x14ac:dyDescent="0.35">
      <c r="A684" s="14">
        <v>677</v>
      </c>
      <c r="B684" s="15">
        <v>45502</v>
      </c>
      <c r="C684" s="15">
        <v>45502</v>
      </c>
      <c r="D684" s="16" t="s">
        <v>1192</v>
      </c>
      <c r="E684" s="16" t="s">
        <v>1193</v>
      </c>
      <c r="F684" s="16" t="s">
        <v>1671</v>
      </c>
      <c r="G684" s="16" t="s">
        <v>1197</v>
      </c>
      <c r="H684" s="14" t="str">
        <f>"20240729/159800"</f>
        <v>20240729/159800</v>
      </c>
      <c r="I684" s="19" t="str">
        <f t="shared" si="60"/>
        <v> </v>
      </c>
      <c r="J684" s="18">
        <v>1232.7</v>
      </c>
      <c r="K684" s="18">
        <v>0</v>
      </c>
      <c r="L684" s="18">
        <v>1383279.6</v>
      </c>
      <c r="M684" t="s">
        <v>2658</v>
      </c>
    </row>
    <row r="685" spans="1:13" ht="15" thickBot="1" x14ac:dyDescent="0.35">
      <c r="A685" s="14">
        <v>678</v>
      </c>
      <c r="B685" s="15">
        <v>45502</v>
      </c>
      <c r="C685" s="15">
        <v>45502</v>
      </c>
      <c r="D685" s="16" t="s">
        <v>1192</v>
      </c>
      <c r="E685" s="16" t="s">
        <v>1193</v>
      </c>
      <c r="F685" s="16" t="s">
        <v>1672</v>
      </c>
      <c r="G685" s="16" t="s">
        <v>1197</v>
      </c>
      <c r="H685" s="14" t="str">
        <f>"20240729/213683"</f>
        <v>20240729/213683</v>
      </c>
      <c r="I685" s="19" t="str">
        <f t="shared" si="60"/>
        <v> </v>
      </c>
      <c r="J685" s="18">
        <v>213054.88</v>
      </c>
      <c r="K685" s="18">
        <v>0</v>
      </c>
      <c r="L685" s="18">
        <v>1596334.48</v>
      </c>
    </row>
    <row r="686" spans="1:13" ht="15" thickBot="1" x14ac:dyDescent="0.35">
      <c r="A686" s="14">
        <v>679</v>
      </c>
      <c r="B686" s="15">
        <v>45502</v>
      </c>
      <c r="C686" s="15">
        <v>45502</v>
      </c>
      <c r="D686" s="16" t="s">
        <v>1192</v>
      </c>
      <c r="E686" s="16" t="s">
        <v>1193</v>
      </c>
      <c r="F686" s="16" t="s">
        <v>1673</v>
      </c>
      <c r="G686" s="16" t="s">
        <v>1197</v>
      </c>
      <c r="H686" s="14" t="str">
        <f>"20240729/213684"</f>
        <v>20240729/213684</v>
      </c>
      <c r="I686" s="19" t="str">
        <f t="shared" si="60"/>
        <v> </v>
      </c>
      <c r="J686" s="18">
        <v>49560.5</v>
      </c>
      <c r="K686" s="18">
        <v>0</v>
      </c>
      <c r="L686" s="18">
        <v>1645894.98</v>
      </c>
    </row>
    <row r="687" spans="1:13" ht="15" thickBot="1" x14ac:dyDescent="0.35">
      <c r="A687" s="14">
        <v>680</v>
      </c>
      <c r="B687" s="15">
        <v>45502</v>
      </c>
      <c r="C687" s="15">
        <v>45502</v>
      </c>
      <c r="D687" s="16" t="s">
        <v>1192</v>
      </c>
      <c r="E687" s="16" t="s">
        <v>1193</v>
      </c>
      <c r="F687" s="16" t="s">
        <v>1674</v>
      </c>
      <c r="G687" s="16" t="s">
        <v>1197</v>
      </c>
      <c r="H687" s="14" t="str">
        <f>"20240729/299668"</f>
        <v>20240729/299668</v>
      </c>
      <c r="I687" s="19" t="str">
        <f t="shared" si="60"/>
        <v> </v>
      </c>
      <c r="J687" s="18">
        <v>0</v>
      </c>
      <c r="K687" s="18">
        <v>165739.68</v>
      </c>
      <c r="L687" s="18">
        <v>1480155.3</v>
      </c>
    </row>
    <row r="688" spans="1:13" ht="15" thickBot="1" x14ac:dyDescent="0.35">
      <c r="A688" s="14">
        <v>681</v>
      </c>
      <c r="B688" s="15">
        <v>45502</v>
      </c>
      <c r="C688" s="15">
        <v>45502</v>
      </c>
      <c r="D688" s="16" t="s">
        <v>1192</v>
      </c>
      <c r="E688" s="16" t="s">
        <v>1193</v>
      </c>
      <c r="F688" s="16" t="s">
        <v>1675</v>
      </c>
      <c r="G688" s="16" t="s">
        <v>1197</v>
      </c>
      <c r="H688" s="14" t="str">
        <f>"20240729/299669"</f>
        <v>20240729/299669</v>
      </c>
      <c r="I688" s="19" t="str">
        <f t="shared" si="60"/>
        <v> </v>
      </c>
      <c r="J688" s="18">
        <v>0</v>
      </c>
      <c r="K688" s="18">
        <v>71315.5</v>
      </c>
      <c r="L688" s="18">
        <v>1408839.8</v>
      </c>
    </row>
    <row r="689" spans="1:13" ht="15" thickBot="1" x14ac:dyDescent="0.35">
      <c r="A689" s="14">
        <v>682</v>
      </c>
      <c r="B689" s="15">
        <v>45502</v>
      </c>
      <c r="C689" s="15">
        <v>45503</v>
      </c>
      <c r="D689" s="16" t="s">
        <v>1192</v>
      </c>
      <c r="E689" s="16" t="s">
        <v>1193</v>
      </c>
      <c r="F689" s="16" t="s">
        <v>1676</v>
      </c>
      <c r="G689" s="16" t="s">
        <v>1197</v>
      </c>
      <c r="H689" s="14" t="str">
        <f>"20240729/395218"</f>
        <v>20240729/395218</v>
      </c>
      <c r="I689" s="19" t="str">
        <f>"2407009696486"</f>
        <v>2407009696486</v>
      </c>
      <c r="J689" s="18">
        <v>0</v>
      </c>
      <c r="K689" s="18">
        <v>2398.9899999999998</v>
      </c>
      <c r="L689" s="18">
        <v>1406440.81</v>
      </c>
    </row>
    <row r="690" spans="1:13" ht="15" thickBot="1" x14ac:dyDescent="0.35">
      <c r="A690" s="14">
        <v>683</v>
      </c>
      <c r="B690" s="15">
        <v>45502</v>
      </c>
      <c r="C690" s="15">
        <v>45503</v>
      </c>
      <c r="D690" s="16" t="s">
        <v>1192</v>
      </c>
      <c r="E690" s="16" t="s">
        <v>1193</v>
      </c>
      <c r="F690" s="16" t="s">
        <v>1677</v>
      </c>
      <c r="G690" s="16" t="s">
        <v>1197</v>
      </c>
      <c r="H690" s="14" t="str">
        <f>"20240729/395219"</f>
        <v>20240729/395219</v>
      </c>
      <c r="I690" s="19" t="str">
        <f>"2407009696486"</f>
        <v>2407009696486</v>
      </c>
      <c r="J690" s="18">
        <v>60196.94</v>
      </c>
      <c r="K690" s="18">
        <v>0</v>
      </c>
      <c r="L690" s="18">
        <v>1466637.75</v>
      </c>
    </row>
    <row r="691" spans="1:13" ht="15" thickBot="1" x14ac:dyDescent="0.35">
      <c r="A691" s="14">
        <v>684</v>
      </c>
      <c r="B691" s="15">
        <v>45503</v>
      </c>
      <c r="C691" s="15">
        <v>45503</v>
      </c>
      <c r="D691" s="16" t="s">
        <v>1192</v>
      </c>
      <c r="E691" s="16" t="s">
        <v>1193</v>
      </c>
      <c r="F691" s="16" t="s">
        <v>1204</v>
      </c>
      <c r="G691" s="16" t="s">
        <v>1203</v>
      </c>
      <c r="H691" s="14" t="str">
        <f>"20240730/74601"</f>
        <v>20240730/74601</v>
      </c>
      <c r="I691" s="17" t="str">
        <f t="shared" ref="I691:I699" si="61">" "</f>
        <v> </v>
      </c>
      <c r="J691" s="18">
        <v>2398.9899999999998</v>
      </c>
      <c r="K691" s="18">
        <v>0</v>
      </c>
      <c r="L691" s="18">
        <v>1469036.74</v>
      </c>
      <c r="M691" t="s">
        <v>2661</v>
      </c>
    </row>
    <row r="692" spans="1:13" ht="15" thickBot="1" x14ac:dyDescent="0.35">
      <c r="A692" s="14">
        <v>685</v>
      </c>
      <c r="B692" s="15">
        <v>45503</v>
      </c>
      <c r="C692" s="15">
        <v>45503</v>
      </c>
      <c r="D692" s="16" t="s">
        <v>1192</v>
      </c>
      <c r="E692" s="16" t="s">
        <v>1193</v>
      </c>
      <c r="F692" s="16" t="s">
        <v>1202</v>
      </c>
      <c r="G692" s="16" t="s">
        <v>1203</v>
      </c>
      <c r="H692" s="14" t="str">
        <f>"20240730/832"</f>
        <v>20240730/832</v>
      </c>
      <c r="I692" s="17" t="str">
        <f t="shared" si="61"/>
        <v> </v>
      </c>
      <c r="J692" s="18">
        <v>154.37</v>
      </c>
      <c r="K692" s="18">
        <v>0</v>
      </c>
      <c r="L692" s="18">
        <v>1469191.11</v>
      </c>
      <c r="M692" t="s">
        <v>2661</v>
      </c>
    </row>
    <row r="693" spans="1:13" ht="15" thickBot="1" x14ac:dyDescent="0.35">
      <c r="A693" s="14">
        <v>686</v>
      </c>
      <c r="B693" s="15">
        <v>45503</v>
      </c>
      <c r="C693" s="15">
        <v>45503</v>
      </c>
      <c r="D693" s="16" t="s">
        <v>1192</v>
      </c>
      <c r="E693" s="16" t="s">
        <v>1193</v>
      </c>
      <c r="F693" s="16" t="s">
        <v>1194</v>
      </c>
      <c r="G693" s="16" t="s">
        <v>1195</v>
      </c>
      <c r="H693" s="14" t="str">
        <f>"20240730/37181"</f>
        <v>20240730/37181</v>
      </c>
      <c r="I693" s="17" t="str">
        <f t="shared" si="61"/>
        <v> </v>
      </c>
      <c r="J693" s="18">
        <v>0</v>
      </c>
      <c r="K693" s="18">
        <v>408.24</v>
      </c>
      <c r="L693" s="18">
        <v>1468782.87</v>
      </c>
      <c r="M693" t="s">
        <v>2661</v>
      </c>
    </row>
    <row r="694" spans="1:13" ht="15" thickBot="1" x14ac:dyDescent="0.35">
      <c r="A694" s="14">
        <v>687</v>
      </c>
      <c r="B694" s="15">
        <v>45503</v>
      </c>
      <c r="C694" s="15">
        <v>45503</v>
      </c>
      <c r="D694" s="16" t="s">
        <v>1192</v>
      </c>
      <c r="E694" s="16" t="s">
        <v>1193</v>
      </c>
      <c r="F694" s="16" t="s">
        <v>1194</v>
      </c>
      <c r="G694" s="16" t="s">
        <v>1195</v>
      </c>
      <c r="H694" s="14" t="str">
        <f>"20240730/96552"</f>
        <v>20240730/96552</v>
      </c>
      <c r="I694" s="17" t="str">
        <f t="shared" si="61"/>
        <v> </v>
      </c>
      <c r="J694" s="18">
        <v>0</v>
      </c>
      <c r="K694" s="18">
        <v>206370.02</v>
      </c>
      <c r="L694" s="18">
        <v>1262412.8500000001</v>
      </c>
      <c r="M694" t="s">
        <v>2661</v>
      </c>
    </row>
    <row r="695" spans="1:13" ht="15" thickBot="1" x14ac:dyDescent="0.35">
      <c r="A695" s="14">
        <v>688</v>
      </c>
      <c r="B695" s="15">
        <v>45503</v>
      </c>
      <c r="C695" s="15">
        <v>45503</v>
      </c>
      <c r="D695" s="16" t="s">
        <v>1192</v>
      </c>
      <c r="E695" s="16" t="s">
        <v>1193</v>
      </c>
      <c r="F695" s="16" t="s">
        <v>1678</v>
      </c>
      <c r="G695" s="16" t="s">
        <v>1197</v>
      </c>
      <c r="H695" s="14" t="str">
        <f>"20240730/167618"</f>
        <v>20240730/167618</v>
      </c>
      <c r="I695" s="19" t="str">
        <f t="shared" si="61"/>
        <v> </v>
      </c>
      <c r="J695" s="18">
        <v>408.24</v>
      </c>
      <c r="K695" s="18">
        <v>0</v>
      </c>
      <c r="L695" s="18">
        <v>1262821.0900000001</v>
      </c>
      <c r="M695" t="s">
        <v>2658</v>
      </c>
    </row>
    <row r="696" spans="1:13" ht="15" thickBot="1" x14ac:dyDescent="0.35">
      <c r="A696" s="14">
        <v>689</v>
      </c>
      <c r="B696" s="15">
        <v>45503</v>
      </c>
      <c r="C696" s="15">
        <v>45503</v>
      </c>
      <c r="D696" s="16" t="s">
        <v>1192</v>
      </c>
      <c r="E696" s="16" t="s">
        <v>1193</v>
      </c>
      <c r="F696" s="16" t="s">
        <v>1679</v>
      </c>
      <c r="G696" s="16" t="s">
        <v>1197</v>
      </c>
      <c r="H696" s="14" t="str">
        <f>"20240730/218147"</f>
        <v>20240730/218147</v>
      </c>
      <c r="I696" s="19" t="str">
        <f t="shared" si="61"/>
        <v> </v>
      </c>
      <c r="J696" s="18">
        <v>421860.15</v>
      </c>
      <c r="K696" s="18">
        <v>0</v>
      </c>
      <c r="L696" s="18">
        <v>1684681.24</v>
      </c>
    </row>
    <row r="697" spans="1:13" ht="15" thickBot="1" x14ac:dyDescent="0.35">
      <c r="A697" s="14">
        <v>690</v>
      </c>
      <c r="B697" s="15">
        <v>45503</v>
      </c>
      <c r="C697" s="15">
        <v>45503</v>
      </c>
      <c r="D697" s="16" t="s">
        <v>1192</v>
      </c>
      <c r="E697" s="16" t="s">
        <v>1193</v>
      </c>
      <c r="F697" s="16" t="s">
        <v>1680</v>
      </c>
      <c r="G697" s="16" t="s">
        <v>1197</v>
      </c>
      <c r="H697" s="14" t="str">
        <f>"20240730/218148"</f>
        <v>20240730/218148</v>
      </c>
      <c r="I697" s="19" t="str">
        <f t="shared" si="61"/>
        <v> </v>
      </c>
      <c r="J697" s="18">
        <v>47124.25</v>
      </c>
      <c r="K697" s="18">
        <v>0</v>
      </c>
      <c r="L697" s="18">
        <v>1731805.49</v>
      </c>
    </row>
    <row r="698" spans="1:13" ht="15" thickBot="1" x14ac:dyDescent="0.35">
      <c r="A698" s="14">
        <v>691</v>
      </c>
      <c r="B698" s="15">
        <v>45503</v>
      </c>
      <c r="C698" s="15">
        <v>45503</v>
      </c>
      <c r="D698" s="16" t="s">
        <v>1192</v>
      </c>
      <c r="E698" s="16" t="s">
        <v>1193</v>
      </c>
      <c r="F698" s="16" t="s">
        <v>1681</v>
      </c>
      <c r="G698" s="16" t="s">
        <v>1197</v>
      </c>
      <c r="H698" s="14" t="str">
        <f>"20240730/304985"</f>
        <v>20240730/304985</v>
      </c>
      <c r="I698" s="19" t="str">
        <f t="shared" si="61"/>
        <v> </v>
      </c>
      <c r="J698" s="18">
        <v>0</v>
      </c>
      <c r="K698" s="18">
        <v>213054.88</v>
      </c>
      <c r="L698" s="18">
        <v>1518750.61</v>
      </c>
    </row>
    <row r="699" spans="1:13" ht="15" thickBot="1" x14ac:dyDescent="0.35">
      <c r="A699" s="14">
        <v>692</v>
      </c>
      <c r="B699" s="15">
        <v>45503</v>
      </c>
      <c r="C699" s="15">
        <v>45503</v>
      </c>
      <c r="D699" s="16" t="s">
        <v>1192</v>
      </c>
      <c r="E699" s="16" t="s">
        <v>1193</v>
      </c>
      <c r="F699" s="16" t="s">
        <v>1682</v>
      </c>
      <c r="G699" s="16" t="s">
        <v>1197</v>
      </c>
      <c r="H699" s="14" t="str">
        <f>"20240730/304986"</f>
        <v>20240730/304986</v>
      </c>
      <c r="I699" s="19" t="str">
        <f t="shared" si="61"/>
        <v> </v>
      </c>
      <c r="J699" s="18">
        <v>0</v>
      </c>
      <c r="K699" s="18">
        <v>49560.5</v>
      </c>
      <c r="L699" s="18">
        <v>1469190.11</v>
      </c>
    </row>
    <row r="700" spans="1:13" ht="15" thickBot="1" x14ac:dyDescent="0.35">
      <c r="A700" s="14">
        <v>693</v>
      </c>
      <c r="B700" s="15">
        <v>45503</v>
      </c>
      <c r="C700" s="15">
        <v>45504</v>
      </c>
      <c r="D700" s="16" t="s">
        <v>1192</v>
      </c>
      <c r="E700" s="16" t="s">
        <v>1193</v>
      </c>
      <c r="F700" s="16" t="s">
        <v>1683</v>
      </c>
      <c r="G700" s="16" t="s">
        <v>1197</v>
      </c>
      <c r="H700" s="14" t="str">
        <f>"20240730/387135"</f>
        <v>20240730/387135</v>
      </c>
      <c r="I700" s="19" t="str">
        <f>"2407010199888"</f>
        <v>2407010199888</v>
      </c>
      <c r="J700" s="18">
        <v>0</v>
      </c>
      <c r="K700" s="18">
        <v>194793.94</v>
      </c>
      <c r="L700" s="18">
        <v>1274396.17</v>
      </c>
    </row>
    <row r="701" spans="1:13" ht="15" thickBot="1" x14ac:dyDescent="0.35">
      <c r="A701" s="14">
        <v>694</v>
      </c>
      <c r="B701" s="15">
        <v>45503</v>
      </c>
      <c r="C701" s="15">
        <v>45504</v>
      </c>
      <c r="D701" s="16" t="s">
        <v>1192</v>
      </c>
      <c r="E701" s="16" t="s">
        <v>1193</v>
      </c>
      <c r="F701" s="16" t="s">
        <v>1684</v>
      </c>
      <c r="G701" s="16" t="s">
        <v>1197</v>
      </c>
      <c r="H701" s="14" t="str">
        <f>"20240730/387136"</f>
        <v>20240730/387136</v>
      </c>
      <c r="I701" s="19" t="str">
        <f>"2407010199888"</f>
        <v>2407010199888</v>
      </c>
      <c r="J701" s="18">
        <v>30979.15</v>
      </c>
      <c r="K701" s="18">
        <v>0</v>
      </c>
      <c r="L701" s="18">
        <v>1305375.32</v>
      </c>
    </row>
    <row r="702" spans="1:13" ht="15" thickBot="1" x14ac:dyDescent="0.35">
      <c r="A702" s="14">
        <v>695</v>
      </c>
      <c r="B702" s="15">
        <v>45504</v>
      </c>
      <c r="C702" s="15">
        <v>45504</v>
      </c>
      <c r="D702" s="16" t="s">
        <v>1192</v>
      </c>
      <c r="E702" s="16" t="s">
        <v>1193</v>
      </c>
      <c r="F702" s="16" t="s">
        <v>1204</v>
      </c>
      <c r="G702" s="16" t="s">
        <v>1203</v>
      </c>
      <c r="H702" s="14" t="str">
        <f>"20240731/67154"</f>
        <v>20240731/67154</v>
      </c>
      <c r="I702" s="17" t="str">
        <f t="shared" ref="I702:I709" si="62">" "</f>
        <v> </v>
      </c>
      <c r="J702" s="18">
        <v>194793.94</v>
      </c>
      <c r="K702" s="18">
        <v>0</v>
      </c>
      <c r="L702" s="18">
        <v>1500169.26</v>
      </c>
      <c r="M702" t="s">
        <v>2661</v>
      </c>
    </row>
    <row r="703" spans="1:13" ht="15" thickBot="1" x14ac:dyDescent="0.35">
      <c r="A703" s="14">
        <v>696</v>
      </c>
      <c r="B703" s="15">
        <v>45504</v>
      </c>
      <c r="C703" s="15">
        <v>45504</v>
      </c>
      <c r="D703" s="16" t="s">
        <v>1192</v>
      </c>
      <c r="E703" s="16" t="s">
        <v>1193</v>
      </c>
      <c r="F703" s="16" t="s">
        <v>1194</v>
      </c>
      <c r="G703" s="16" t="s">
        <v>1195</v>
      </c>
      <c r="H703" s="14" t="str">
        <f>"20240731/103035"</f>
        <v>20240731/103035</v>
      </c>
      <c r="I703" s="17" t="str">
        <f t="shared" si="62"/>
        <v> </v>
      </c>
      <c r="J703" s="18">
        <v>0</v>
      </c>
      <c r="K703" s="18">
        <v>135587.03</v>
      </c>
      <c r="L703" s="18">
        <v>1364582.23</v>
      </c>
      <c r="M703" t="s">
        <v>2661</v>
      </c>
    </row>
    <row r="704" spans="1:13" ht="15" thickBot="1" x14ac:dyDescent="0.35">
      <c r="A704" s="14">
        <v>697</v>
      </c>
      <c r="B704" s="15">
        <v>45504</v>
      </c>
      <c r="C704" s="15">
        <v>45504</v>
      </c>
      <c r="D704" s="16" t="s">
        <v>1192</v>
      </c>
      <c r="E704" s="16" t="s">
        <v>1193</v>
      </c>
      <c r="F704" s="16" t="s">
        <v>1194</v>
      </c>
      <c r="G704" s="16" t="s">
        <v>1195</v>
      </c>
      <c r="H704" s="14" t="str">
        <f>"20240731/6045"</f>
        <v>20240731/6045</v>
      </c>
      <c r="I704" s="17" t="str">
        <f t="shared" si="62"/>
        <v> </v>
      </c>
      <c r="J704" s="18">
        <v>0</v>
      </c>
      <c r="K704" s="18">
        <v>356.24</v>
      </c>
      <c r="L704" s="18">
        <v>1364225.99</v>
      </c>
      <c r="M704" t="s">
        <v>2661</v>
      </c>
    </row>
    <row r="705" spans="1:13" ht="15" thickBot="1" x14ac:dyDescent="0.35">
      <c r="A705" s="14">
        <v>698</v>
      </c>
      <c r="B705" s="15">
        <v>45504</v>
      </c>
      <c r="C705" s="15">
        <v>45504</v>
      </c>
      <c r="D705" s="16" t="s">
        <v>1192</v>
      </c>
      <c r="E705" s="16" t="s">
        <v>1193</v>
      </c>
      <c r="F705" s="16" t="s">
        <v>1685</v>
      </c>
      <c r="G705" s="16" t="s">
        <v>1197</v>
      </c>
      <c r="H705" s="14" t="str">
        <f>"20240731/135356"</f>
        <v>20240731/135356</v>
      </c>
      <c r="I705" s="19" t="str">
        <f t="shared" si="62"/>
        <v> </v>
      </c>
      <c r="J705" s="18">
        <v>356.24</v>
      </c>
      <c r="K705" s="18">
        <v>0</v>
      </c>
      <c r="L705" s="18">
        <v>1364582.23</v>
      </c>
      <c r="M705" t="s">
        <v>2658</v>
      </c>
    </row>
    <row r="706" spans="1:13" ht="15" thickBot="1" x14ac:dyDescent="0.35">
      <c r="A706" s="14">
        <v>699</v>
      </c>
      <c r="B706" s="15">
        <v>45504</v>
      </c>
      <c r="C706" s="15">
        <v>45504</v>
      </c>
      <c r="D706" s="16" t="s">
        <v>1192</v>
      </c>
      <c r="E706" s="16" t="s">
        <v>1193</v>
      </c>
      <c r="F706" s="16" t="s">
        <v>1686</v>
      </c>
      <c r="G706" s="16" t="s">
        <v>1197</v>
      </c>
      <c r="H706" s="14" t="str">
        <f>"20240731/240911"</f>
        <v>20240731/240911</v>
      </c>
      <c r="I706" s="19" t="str">
        <f t="shared" si="62"/>
        <v> </v>
      </c>
      <c r="J706" s="18">
        <v>547790.9</v>
      </c>
      <c r="K706" s="18">
        <v>0</v>
      </c>
      <c r="L706" s="18">
        <v>1912373.13</v>
      </c>
    </row>
    <row r="707" spans="1:13" ht="15" thickBot="1" x14ac:dyDescent="0.35">
      <c r="A707" s="14">
        <v>700</v>
      </c>
      <c r="B707" s="15">
        <v>45504</v>
      </c>
      <c r="C707" s="15">
        <v>45504</v>
      </c>
      <c r="D707" s="16" t="s">
        <v>1192</v>
      </c>
      <c r="E707" s="16" t="s">
        <v>1193</v>
      </c>
      <c r="F707" s="16" t="s">
        <v>1687</v>
      </c>
      <c r="G707" s="16" t="s">
        <v>1197</v>
      </c>
      <c r="H707" s="14" t="str">
        <f>"20240731/240912"</f>
        <v>20240731/240912</v>
      </c>
      <c r="I707" s="19" t="str">
        <f t="shared" si="62"/>
        <v> </v>
      </c>
      <c r="J707" s="18">
        <v>56780.5</v>
      </c>
      <c r="K707" s="18">
        <v>0</v>
      </c>
      <c r="L707" s="18">
        <v>1969153.63</v>
      </c>
    </row>
    <row r="708" spans="1:13" ht="15" thickBot="1" x14ac:dyDescent="0.35">
      <c r="A708" s="14">
        <v>701</v>
      </c>
      <c r="B708" s="15">
        <v>45504</v>
      </c>
      <c r="C708" s="15">
        <v>45504</v>
      </c>
      <c r="D708" s="16" t="s">
        <v>1192</v>
      </c>
      <c r="E708" s="16" t="s">
        <v>1193</v>
      </c>
      <c r="F708" s="16" t="s">
        <v>1688</v>
      </c>
      <c r="G708" s="16" t="s">
        <v>1197</v>
      </c>
      <c r="H708" s="14" t="str">
        <f>"20240731/278537"</f>
        <v>20240731/278537</v>
      </c>
      <c r="I708" s="19" t="str">
        <f t="shared" si="62"/>
        <v> </v>
      </c>
      <c r="J708" s="18">
        <v>0</v>
      </c>
      <c r="K708" s="18">
        <v>421860.15</v>
      </c>
      <c r="L708" s="18">
        <v>1547293.48</v>
      </c>
    </row>
    <row r="709" spans="1:13" ht="15" thickBot="1" x14ac:dyDescent="0.35">
      <c r="A709" s="14">
        <v>702</v>
      </c>
      <c r="B709" s="15">
        <v>45504</v>
      </c>
      <c r="C709" s="15">
        <v>45504</v>
      </c>
      <c r="D709" s="16" t="s">
        <v>1192</v>
      </c>
      <c r="E709" s="16" t="s">
        <v>1193</v>
      </c>
      <c r="F709" s="16" t="s">
        <v>1689</v>
      </c>
      <c r="G709" s="16" t="s">
        <v>1197</v>
      </c>
      <c r="H709" s="14" t="str">
        <f>"20240731/278538"</f>
        <v>20240731/278538</v>
      </c>
      <c r="I709" s="19" t="str">
        <f t="shared" si="62"/>
        <v> </v>
      </c>
      <c r="J709" s="18">
        <v>0</v>
      </c>
      <c r="K709" s="18">
        <v>47124.25</v>
      </c>
      <c r="L709" s="18">
        <v>1500169.23</v>
      </c>
    </row>
    <row r="710" spans="1:13" ht="15" thickBot="1" x14ac:dyDescent="0.35">
      <c r="A710" s="14">
        <v>703</v>
      </c>
      <c r="B710" s="15">
        <v>45504</v>
      </c>
      <c r="C710" s="15">
        <v>45505</v>
      </c>
      <c r="D710" s="16" t="s">
        <v>1192</v>
      </c>
      <c r="E710" s="16" t="s">
        <v>1193</v>
      </c>
      <c r="F710" s="16" t="s">
        <v>1690</v>
      </c>
      <c r="G710" s="16" t="s">
        <v>1197</v>
      </c>
      <c r="H710" s="14" t="str">
        <f>"20240731/373938"</f>
        <v>20240731/373938</v>
      </c>
      <c r="I710" s="19" t="str">
        <f>"2407010671955"</f>
        <v>2407010671955</v>
      </c>
      <c r="J710" s="18">
        <v>0</v>
      </c>
      <c r="K710" s="18">
        <v>129582.87</v>
      </c>
      <c r="L710" s="18">
        <v>1370586.36</v>
      </c>
    </row>
    <row r="711" spans="1:13" ht="15" thickBot="1" x14ac:dyDescent="0.35">
      <c r="A711" s="14">
        <v>704</v>
      </c>
      <c r="B711" s="15">
        <v>45505</v>
      </c>
      <c r="C711" s="15">
        <v>45505</v>
      </c>
      <c r="D711" s="16" t="s">
        <v>1192</v>
      </c>
      <c r="E711" s="16" t="s">
        <v>1193</v>
      </c>
      <c r="F711" s="16" t="s">
        <v>1202</v>
      </c>
      <c r="G711" s="16" t="s">
        <v>1203</v>
      </c>
      <c r="H711" s="14" t="str">
        <f>"20240801/11251"</f>
        <v>20240801/11251</v>
      </c>
      <c r="I711" s="17" t="str">
        <f t="shared" ref="I711:I718" si="63">" "</f>
        <v> </v>
      </c>
      <c r="J711" s="18">
        <v>16063.34</v>
      </c>
      <c r="K711" s="18">
        <v>0</v>
      </c>
      <c r="L711" s="18">
        <v>1386649.7</v>
      </c>
      <c r="M711" t="s">
        <v>2661</v>
      </c>
    </row>
    <row r="712" spans="1:13" ht="15" thickBot="1" x14ac:dyDescent="0.35">
      <c r="A712" s="14">
        <v>705</v>
      </c>
      <c r="B712" s="15">
        <v>45505</v>
      </c>
      <c r="C712" s="15">
        <v>45505</v>
      </c>
      <c r="D712" s="16" t="s">
        <v>1192</v>
      </c>
      <c r="E712" s="16" t="s">
        <v>1193</v>
      </c>
      <c r="F712" s="16" t="s">
        <v>1194</v>
      </c>
      <c r="G712" s="16" t="s">
        <v>1195</v>
      </c>
      <c r="H712" s="14" t="str">
        <f>"20240801/117889"</f>
        <v>20240801/117889</v>
      </c>
      <c r="I712" s="17" t="str">
        <f t="shared" si="63"/>
        <v> </v>
      </c>
      <c r="J712" s="18">
        <v>0</v>
      </c>
      <c r="K712" s="18">
        <v>13071.05</v>
      </c>
      <c r="L712" s="18">
        <v>1373578.65</v>
      </c>
      <c r="M712" t="s">
        <v>2661</v>
      </c>
    </row>
    <row r="713" spans="1:13" ht="15" thickBot="1" x14ac:dyDescent="0.35">
      <c r="A713" s="14">
        <v>706</v>
      </c>
      <c r="B713" s="15">
        <v>45505</v>
      </c>
      <c r="C713" s="15">
        <v>45505</v>
      </c>
      <c r="D713" s="16" t="s">
        <v>1192</v>
      </c>
      <c r="E713" s="16" t="s">
        <v>1193</v>
      </c>
      <c r="F713" s="16" t="s">
        <v>1194</v>
      </c>
      <c r="G713" s="16" t="s">
        <v>1195</v>
      </c>
      <c r="H713" s="14" t="str">
        <f>"20240801/20739"</f>
        <v>20240801/20739</v>
      </c>
      <c r="I713" s="17" t="str">
        <f t="shared" si="63"/>
        <v> </v>
      </c>
      <c r="J713" s="18">
        <v>0</v>
      </c>
      <c r="K713" s="18">
        <v>318.98</v>
      </c>
      <c r="L713" s="18">
        <v>1373259.67</v>
      </c>
      <c r="M713" t="s">
        <v>2661</v>
      </c>
    </row>
    <row r="714" spans="1:13" ht="15" thickBot="1" x14ac:dyDescent="0.35">
      <c r="A714" s="14">
        <v>707</v>
      </c>
      <c r="B714" s="15">
        <v>45505</v>
      </c>
      <c r="C714" s="15">
        <v>45505</v>
      </c>
      <c r="D714" s="16" t="s">
        <v>1192</v>
      </c>
      <c r="E714" s="16" t="s">
        <v>1193</v>
      </c>
      <c r="F714" s="16" t="s">
        <v>1691</v>
      </c>
      <c r="G714" s="16" t="s">
        <v>1197</v>
      </c>
      <c r="H714" s="14" t="str">
        <f>"20240801/141552"</f>
        <v>20240801/141552</v>
      </c>
      <c r="I714" s="19" t="str">
        <f t="shared" si="63"/>
        <v> </v>
      </c>
      <c r="J714" s="18">
        <v>318.98</v>
      </c>
      <c r="K714" s="18">
        <v>0</v>
      </c>
      <c r="L714" s="18">
        <v>1373578.65</v>
      </c>
      <c r="M714" t="s">
        <v>2658</v>
      </c>
    </row>
    <row r="715" spans="1:13" ht="15" thickBot="1" x14ac:dyDescent="0.35">
      <c r="A715" s="14">
        <v>708</v>
      </c>
      <c r="B715" s="15">
        <v>45505</v>
      </c>
      <c r="C715" s="15">
        <v>45505</v>
      </c>
      <c r="D715" s="16" t="s">
        <v>1192</v>
      </c>
      <c r="E715" s="16" t="s">
        <v>1193</v>
      </c>
      <c r="F715" s="16" t="s">
        <v>1692</v>
      </c>
      <c r="G715" s="16" t="s">
        <v>1197</v>
      </c>
      <c r="H715" s="14" t="str">
        <f>"20240801/199816"</f>
        <v>20240801/199816</v>
      </c>
      <c r="I715" s="19" t="str">
        <f t="shared" si="63"/>
        <v> </v>
      </c>
      <c r="J715" s="18">
        <v>69954.78</v>
      </c>
      <c r="K715" s="18">
        <v>0</v>
      </c>
      <c r="L715" s="18">
        <v>1443533.43</v>
      </c>
    </row>
    <row r="716" spans="1:13" ht="15" thickBot="1" x14ac:dyDescent="0.35">
      <c r="A716" s="14">
        <v>709</v>
      </c>
      <c r="B716" s="15">
        <v>45505</v>
      </c>
      <c r="C716" s="15">
        <v>45505</v>
      </c>
      <c r="D716" s="16" t="s">
        <v>1192</v>
      </c>
      <c r="E716" s="16" t="s">
        <v>1193</v>
      </c>
      <c r="F716" s="16" t="s">
        <v>1693</v>
      </c>
      <c r="G716" s="16" t="s">
        <v>1197</v>
      </c>
      <c r="H716" s="14" t="str">
        <f>"20240801/199817"</f>
        <v>20240801/199817</v>
      </c>
      <c r="I716" s="19" t="str">
        <f t="shared" si="63"/>
        <v> </v>
      </c>
      <c r="J716" s="18">
        <v>522782.32</v>
      </c>
      <c r="K716" s="18">
        <v>0</v>
      </c>
      <c r="L716" s="18">
        <v>1966315.75</v>
      </c>
    </row>
    <row r="717" spans="1:13" ht="15" thickBot="1" x14ac:dyDescent="0.35">
      <c r="A717" s="14">
        <v>710</v>
      </c>
      <c r="B717" s="15">
        <v>45505</v>
      </c>
      <c r="C717" s="15">
        <v>45505</v>
      </c>
      <c r="D717" s="16" t="s">
        <v>1192</v>
      </c>
      <c r="E717" s="16" t="s">
        <v>1193</v>
      </c>
      <c r="F717" s="16" t="s">
        <v>1694</v>
      </c>
      <c r="G717" s="16" t="s">
        <v>1197</v>
      </c>
      <c r="H717" s="14" t="str">
        <f>"20240801/296315"</f>
        <v>20240801/296315</v>
      </c>
      <c r="I717" s="19" t="str">
        <f t="shared" si="63"/>
        <v> </v>
      </c>
      <c r="J717" s="18">
        <v>0</v>
      </c>
      <c r="K717" s="18">
        <v>547790.9</v>
      </c>
      <c r="L717" s="18">
        <v>1418524.85</v>
      </c>
    </row>
    <row r="718" spans="1:13" ht="15" thickBot="1" x14ac:dyDescent="0.35">
      <c r="A718" s="14">
        <v>711</v>
      </c>
      <c r="B718" s="15">
        <v>45505</v>
      </c>
      <c r="C718" s="15">
        <v>45505</v>
      </c>
      <c r="D718" s="16" t="s">
        <v>1192</v>
      </c>
      <c r="E718" s="16" t="s">
        <v>1193</v>
      </c>
      <c r="F718" s="16" t="s">
        <v>1695</v>
      </c>
      <c r="G718" s="16" t="s">
        <v>1197</v>
      </c>
      <c r="H718" s="14" t="str">
        <f>"20240801/296316"</f>
        <v>20240801/296316</v>
      </c>
      <c r="I718" s="19" t="str">
        <f t="shared" si="63"/>
        <v> </v>
      </c>
      <c r="J718" s="18">
        <v>0</v>
      </c>
      <c r="K718" s="18">
        <v>56780.5</v>
      </c>
      <c r="L718" s="18">
        <v>1361744.35</v>
      </c>
    </row>
    <row r="719" spans="1:13" ht="15" thickBot="1" x14ac:dyDescent="0.35">
      <c r="A719" s="14">
        <v>712</v>
      </c>
      <c r="B719" s="15">
        <v>45505</v>
      </c>
      <c r="C719" s="15">
        <v>45506</v>
      </c>
      <c r="D719" s="16" t="s">
        <v>1192</v>
      </c>
      <c r="E719" s="16" t="s">
        <v>1193</v>
      </c>
      <c r="F719" s="16" t="s">
        <v>1696</v>
      </c>
      <c r="G719" s="16" t="s">
        <v>1197</v>
      </c>
      <c r="H719" s="14" t="str">
        <f>"20240801/375031"</f>
        <v>20240801/375031</v>
      </c>
      <c r="I719" s="19" t="str">
        <f>"2408000176235"</f>
        <v>2408000176235</v>
      </c>
      <c r="J719" s="18">
        <v>0</v>
      </c>
      <c r="K719" s="18">
        <v>42742.64</v>
      </c>
      <c r="L719" s="18">
        <v>1319001.71</v>
      </c>
    </row>
    <row r="720" spans="1:13" ht="15" thickBot="1" x14ac:dyDescent="0.35">
      <c r="A720" s="14">
        <v>713</v>
      </c>
      <c r="B720" s="15">
        <v>45505</v>
      </c>
      <c r="C720" s="15">
        <v>45506</v>
      </c>
      <c r="D720" s="16" t="s">
        <v>1192</v>
      </c>
      <c r="E720" s="16" t="s">
        <v>1193</v>
      </c>
      <c r="F720" s="16" t="s">
        <v>1697</v>
      </c>
      <c r="G720" s="16" t="s">
        <v>1197</v>
      </c>
      <c r="H720" s="14" t="str">
        <f>"20240801/375032"</f>
        <v>20240801/375032</v>
      </c>
      <c r="I720" s="19" t="str">
        <f>"2408000221880"</f>
        <v>2408000221880</v>
      </c>
      <c r="J720" s="18">
        <v>0</v>
      </c>
      <c r="K720" s="18">
        <v>26163.08</v>
      </c>
      <c r="L720" s="18">
        <v>1292838.6299999999</v>
      </c>
    </row>
    <row r="721" spans="1:13" ht="15" thickBot="1" x14ac:dyDescent="0.35">
      <c r="A721" s="14">
        <v>714</v>
      </c>
      <c r="B721" s="15">
        <v>45506</v>
      </c>
      <c r="C721" s="15">
        <v>45506</v>
      </c>
      <c r="D721" s="16" t="s">
        <v>1192</v>
      </c>
      <c r="E721" s="16" t="s">
        <v>1193</v>
      </c>
      <c r="F721" s="16" t="s">
        <v>1204</v>
      </c>
      <c r="G721" s="16" t="s">
        <v>1203</v>
      </c>
      <c r="H721" s="14" t="str">
        <f>"20240802/10863"</f>
        <v>20240802/10863</v>
      </c>
      <c r="I721" s="17" t="str">
        <f t="shared" ref="I721:I729" si="64">" "</f>
        <v> </v>
      </c>
      <c r="J721" s="18">
        <v>42742.64</v>
      </c>
      <c r="K721" s="18">
        <v>0</v>
      </c>
      <c r="L721" s="18">
        <v>1335581.27</v>
      </c>
      <c r="M721" t="s">
        <v>2661</v>
      </c>
    </row>
    <row r="722" spans="1:13" ht="15" thickBot="1" x14ac:dyDescent="0.35">
      <c r="A722" s="14">
        <v>715</v>
      </c>
      <c r="B722" s="15">
        <v>45506</v>
      </c>
      <c r="C722" s="15">
        <v>45506</v>
      </c>
      <c r="D722" s="16" t="s">
        <v>1192</v>
      </c>
      <c r="E722" s="16" t="s">
        <v>1193</v>
      </c>
      <c r="F722" s="16" t="s">
        <v>1202</v>
      </c>
      <c r="G722" s="16" t="s">
        <v>1203</v>
      </c>
      <c r="H722" s="14" t="str">
        <f>"20240802/5044"</f>
        <v>20240802/5044</v>
      </c>
      <c r="I722" s="17" t="str">
        <f t="shared" si="64"/>
        <v> </v>
      </c>
      <c r="J722" s="18">
        <v>300.83999999999997</v>
      </c>
      <c r="K722" s="18">
        <v>0</v>
      </c>
      <c r="L722" s="18">
        <v>1335882.1100000001</v>
      </c>
      <c r="M722" t="s">
        <v>2661</v>
      </c>
    </row>
    <row r="723" spans="1:13" ht="15" thickBot="1" x14ac:dyDescent="0.35">
      <c r="A723" s="14">
        <v>716</v>
      </c>
      <c r="B723" s="15">
        <v>45506</v>
      </c>
      <c r="C723" s="15">
        <v>45506</v>
      </c>
      <c r="D723" s="16" t="s">
        <v>1192</v>
      </c>
      <c r="E723" s="16" t="s">
        <v>1193</v>
      </c>
      <c r="F723" s="16" t="s">
        <v>1194</v>
      </c>
      <c r="G723" s="16" t="s">
        <v>1195</v>
      </c>
      <c r="H723" s="14" t="str">
        <f>"20240802/106959"</f>
        <v>20240802/106959</v>
      </c>
      <c r="I723" s="17" t="str">
        <f t="shared" si="64"/>
        <v> </v>
      </c>
      <c r="J723" s="18">
        <v>0</v>
      </c>
      <c r="K723" s="18">
        <v>19684.34</v>
      </c>
      <c r="L723" s="18">
        <v>1316197.77</v>
      </c>
      <c r="M723" t="s">
        <v>2661</v>
      </c>
    </row>
    <row r="724" spans="1:13" ht="15" thickBot="1" x14ac:dyDescent="0.35">
      <c r="A724" s="14">
        <v>717</v>
      </c>
      <c r="B724" s="15">
        <v>45506</v>
      </c>
      <c r="C724" s="15">
        <v>45506</v>
      </c>
      <c r="D724" s="16" t="s">
        <v>1192</v>
      </c>
      <c r="E724" s="16" t="s">
        <v>1193</v>
      </c>
      <c r="F724" s="16" t="s">
        <v>1194</v>
      </c>
      <c r="G724" s="16" t="s">
        <v>1195</v>
      </c>
      <c r="H724" s="14" t="str">
        <f>"20240802/34971"</f>
        <v>20240802/34971</v>
      </c>
      <c r="I724" s="17" t="str">
        <f t="shared" si="64"/>
        <v> </v>
      </c>
      <c r="J724" s="18">
        <v>0</v>
      </c>
      <c r="K724" s="18">
        <v>273.89</v>
      </c>
      <c r="L724" s="18">
        <v>1315923.8799999999</v>
      </c>
      <c r="M724" t="s">
        <v>2661</v>
      </c>
    </row>
    <row r="725" spans="1:13" ht="15" thickBot="1" x14ac:dyDescent="0.35">
      <c r="A725" s="14">
        <v>718</v>
      </c>
      <c r="B725" s="15">
        <v>45506</v>
      </c>
      <c r="C725" s="15">
        <v>45506</v>
      </c>
      <c r="D725" s="16" t="s">
        <v>1192</v>
      </c>
      <c r="E725" s="16" t="s">
        <v>1193</v>
      </c>
      <c r="F725" s="16" t="s">
        <v>1698</v>
      </c>
      <c r="G725" s="16" t="s">
        <v>1197</v>
      </c>
      <c r="H725" s="14" t="str">
        <f>"20240802/142105"</f>
        <v>20240802/142105</v>
      </c>
      <c r="I725" s="19" t="str">
        <f t="shared" si="64"/>
        <v> </v>
      </c>
      <c r="J725" s="18">
        <v>273.89</v>
      </c>
      <c r="K725" s="18">
        <v>0</v>
      </c>
      <c r="L725" s="18">
        <v>1316197.77</v>
      </c>
      <c r="M725" t="s">
        <v>2658</v>
      </c>
    </row>
    <row r="726" spans="1:13" ht="15" thickBot="1" x14ac:dyDescent="0.35">
      <c r="A726" s="14">
        <v>719</v>
      </c>
      <c r="B726" s="15">
        <v>45506</v>
      </c>
      <c r="C726" s="15">
        <v>45506</v>
      </c>
      <c r="D726" s="16" t="s">
        <v>1192</v>
      </c>
      <c r="E726" s="16" t="s">
        <v>1193</v>
      </c>
      <c r="F726" s="16" t="s">
        <v>1699</v>
      </c>
      <c r="G726" s="16" t="s">
        <v>1197</v>
      </c>
      <c r="H726" s="14" t="str">
        <f>"20240802/227929"</f>
        <v>20240802/227929</v>
      </c>
      <c r="I726" s="19" t="str">
        <f t="shared" si="64"/>
        <v> </v>
      </c>
      <c r="J726" s="18">
        <v>87201.68</v>
      </c>
      <c r="K726" s="18">
        <v>0</v>
      </c>
      <c r="L726" s="18">
        <v>1403399.45</v>
      </c>
    </row>
    <row r="727" spans="1:13" ht="15" thickBot="1" x14ac:dyDescent="0.35">
      <c r="A727" s="14">
        <v>720</v>
      </c>
      <c r="B727" s="15">
        <v>45506</v>
      </c>
      <c r="C727" s="15">
        <v>45506</v>
      </c>
      <c r="D727" s="16" t="s">
        <v>1192</v>
      </c>
      <c r="E727" s="16" t="s">
        <v>1193</v>
      </c>
      <c r="F727" s="16" t="s">
        <v>1700</v>
      </c>
      <c r="G727" s="16" t="s">
        <v>1197</v>
      </c>
      <c r="H727" s="14" t="str">
        <f>"20240802/227930"</f>
        <v>20240802/227930</v>
      </c>
      <c r="I727" s="19" t="str">
        <f t="shared" si="64"/>
        <v> </v>
      </c>
      <c r="J727" s="18">
        <v>525218.76</v>
      </c>
      <c r="K727" s="18">
        <v>0</v>
      </c>
      <c r="L727" s="18">
        <v>1928618.21</v>
      </c>
    </row>
    <row r="728" spans="1:13" ht="15" thickBot="1" x14ac:dyDescent="0.35">
      <c r="A728" s="14">
        <v>721</v>
      </c>
      <c r="B728" s="15">
        <v>45506</v>
      </c>
      <c r="C728" s="15">
        <v>45506</v>
      </c>
      <c r="D728" s="16" t="s">
        <v>1192</v>
      </c>
      <c r="E728" s="16" t="s">
        <v>1193</v>
      </c>
      <c r="F728" s="16" t="s">
        <v>1701</v>
      </c>
      <c r="G728" s="16" t="s">
        <v>1197</v>
      </c>
      <c r="H728" s="14" t="str">
        <f>"20240802/240647"</f>
        <v>20240802/240647</v>
      </c>
      <c r="I728" s="19" t="str">
        <f t="shared" si="64"/>
        <v> </v>
      </c>
      <c r="J728" s="18">
        <v>0</v>
      </c>
      <c r="K728" s="18">
        <v>69954.78</v>
      </c>
      <c r="L728" s="18">
        <v>1858663.43</v>
      </c>
    </row>
    <row r="729" spans="1:13" ht="15" thickBot="1" x14ac:dyDescent="0.35">
      <c r="A729" s="14">
        <v>722</v>
      </c>
      <c r="B729" s="15">
        <v>45506</v>
      </c>
      <c r="C729" s="15">
        <v>45506</v>
      </c>
      <c r="D729" s="16" t="s">
        <v>1192</v>
      </c>
      <c r="E729" s="16" t="s">
        <v>1193</v>
      </c>
      <c r="F729" s="16" t="s">
        <v>1702</v>
      </c>
      <c r="G729" s="16" t="s">
        <v>1197</v>
      </c>
      <c r="H729" s="14" t="str">
        <f>"20240802/240648"</f>
        <v>20240802/240648</v>
      </c>
      <c r="I729" s="19" t="str">
        <f t="shared" si="64"/>
        <v> </v>
      </c>
      <c r="J729" s="18">
        <v>0</v>
      </c>
      <c r="K729" s="18">
        <v>522782.32</v>
      </c>
      <c r="L729" s="18">
        <v>1335881.1100000001</v>
      </c>
    </row>
    <row r="730" spans="1:13" ht="15" thickBot="1" x14ac:dyDescent="0.35">
      <c r="A730" s="14">
        <v>723</v>
      </c>
      <c r="B730" s="15">
        <v>45506</v>
      </c>
      <c r="C730" s="15">
        <v>45509</v>
      </c>
      <c r="D730" s="16" t="s">
        <v>1192</v>
      </c>
      <c r="E730" s="16" t="s">
        <v>1193</v>
      </c>
      <c r="F730" s="16" t="s">
        <v>1703</v>
      </c>
      <c r="G730" s="16" t="s">
        <v>1197</v>
      </c>
      <c r="H730" s="14" t="str">
        <f>"20240802/370770"</f>
        <v>20240802/370770</v>
      </c>
      <c r="I730" s="19" t="str">
        <f>"2408000656968"</f>
        <v>2408000656968</v>
      </c>
      <c r="J730" s="18">
        <v>0</v>
      </c>
      <c r="K730" s="18">
        <v>28798.57</v>
      </c>
      <c r="L730" s="18">
        <v>1307082.54</v>
      </c>
    </row>
    <row r="731" spans="1:13" ht="15" thickBot="1" x14ac:dyDescent="0.35">
      <c r="A731" s="14">
        <v>724</v>
      </c>
      <c r="B731" s="15">
        <v>45506</v>
      </c>
      <c r="C731" s="15">
        <v>45509</v>
      </c>
      <c r="D731" s="16" t="s">
        <v>1192</v>
      </c>
      <c r="E731" s="16" t="s">
        <v>1193</v>
      </c>
      <c r="F731" s="16" t="s">
        <v>1704</v>
      </c>
      <c r="G731" s="16" t="s">
        <v>1197</v>
      </c>
      <c r="H731" s="14" t="str">
        <f>"20240802/370771"</f>
        <v>20240802/370771</v>
      </c>
      <c r="I731" s="19" t="str">
        <f>"2408000703683"</f>
        <v>2408000703683</v>
      </c>
      <c r="J731" s="18">
        <v>31321.19</v>
      </c>
      <c r="K731" s="18">
        <v>0</v>
      </c>
      <c r="L731" s="18">
        <v>1338403.73</v>
      </c>
    </row>
    <row r="732" spans="1:13" ht="15" thickBot="1" x14ac:dyDescent="0.35">
      <c r="A732" s="14">
        <v>725</v>
      </c>
      <c r="B732" s="15">
        <v>45509</v>
      </c>
      <c r="C732" s="15">
        <v>45509</v>
      </c>
      <c r="D732" s="16" t="s">
        <v>1192</v>
      </c>
      <c r="E732" s="16" t="s">
        <v>1193</v>
      </c>
      <c r="F732" s="16" t="s">
        <v>1204</v>
      </c>
      <c r="G732" s="16" t="s">
        <v>1203</v>
      </c>
      <c r="H732" s="14" t="str">
        <f>"20240805/8534"</f>
        <v>20240805/8534</v>
      </c>
      <c r="I732" s="17" t="str">
        <f t="shared" ref="I732:I739" si="65">" "</f>
        <v> </v>
      </c>
      <c r="J732" s="18">
        <v>28798.57</v>
      </c>
      <c r="K732" s="18">
        <v>0</v>
      </c>
      <c r="L732" s="18">
        <v>1367202.3</v>
      </c>
      <c r="M732" t="s">
        <v>2661</v>
      </c>
    </row>
    <row r="733" spans="1:13" ht="15" thickBot="1" x14ac:dyDescent="0.35">
      <c r="A733" s="14">
        <v>726</v>
      </c>
      <c r="B733" s="15">
        <v>45509</v>
      </c>
      <c r="C733" s="15">
        <v>45509</v>
      </c>
      <c r="D733" s="16" t="s">
        <v>1192</v>
      </c>
      <c r="E733" s="16" t="s">
        <v>1193</v>
      </c>
      <c r="F733" s="16" t="s">
        <v>1194</v>
      </c>
      <c r="G733" s="16" t="s">
        <v>1195</v>
      </c>
      <c r="H733" s="14" t="str">
        <f>"20240805/176421"</f>
        <v>20240805/176421</v>
      </c>
      <c r="I733" s="17" t="str">
        <f t="shared" si="65"/>
        <v> </v>
      </c>
      <c r="J733" s="18">
        <v>0</v>
      </c>
      <c r="K733" s="18">
        <v>89156.99</v>
      </c>
      <c r="L733" s="18">
        <v>1278045.31</v>
      </c>
      <c r="M733" t="s">
        <v>2661</v>
      </c>
    </row>
    <row r="734" spans="1:13" ht="15" thickBot="1" x14ac:dyDescent="0.35">
      <c r="A734" s="14">
        <v>727</v>
      </c>
      <c r="B734" s="15">
        <v>45509</v>
      </c>
      <c r="C734" s="15">
        <v>45509</v>
      </c>
      <c r="D734" s="16" t="s">
        <v>1192</v>
      </c>
      <c r="E734" s="16" t="s">
        <v>1193</v>
      </c>
      <c r="F734" s="16" t="s">
        <v>1194</v>
      </c>
      <c r="G734" s="16" t="s">
        <v>1195</v>
      </c>
      <c r="H734" s="14" t="str">
        <f>"20240805/36575"</f>
        <v>20240805/36575</v>
      </c>
      <c r="I734" s="17" t="str">
        <f t="shared" si="65"/>
        <v> </v>
      </c>
      <c r="J734" s="18">
        <v>0</v>
      </c>
      <c r="K734" s="18">
        <v>773.01</v>
      </c>
      <c r="L734" s="18">
        <v>1277272.3</v>
      </c>
      <c r="M734" t="s">
        <v>2661</v>
      </c>
    </row>
    <row r="735" spans="1:13" ht="15" thickBot="1" x14ac:dyDescent="0.35">
      <c r="A735" s="14">
        <v>728</v>
      </c>
      <c r="B735" s="15">
        <v>45509</v>
      </c>
      <c r="C735" s="15">
        <v>45509</v>
      </c>
      <c r="D735" s="16" t="s">
        <v>1192</v>
      </c>
      <c r="E735" s="16" t="s">
        <v>1193</v>
      </c>
      <c r="F735" s="16" t="s">
        <v>1705</v>
      </c>
      <c r="G735" s="16" t="s">
        <v>1197</v>
      </c>
      <c r="H735" s="14" t="str">
        <f>"20240805/140206"</f>
        <v>20240805/140206</v>
      </c>
      <c r="I735" s="19" t="str">
        <f t="shared" si="65"/>
        <v> </v>
      </c>
      <c r="J735" s="18">
        <v>773.01</v>
      </c>
      <c r="K735" s="18">
        <v>0</v>
      </c>
      <c r="L735" s="18">
        <v>1278045.31</v>
      </c>
      <c r="M735" t="s">
        <v>2658</v>
      </c>
    </row>
    <row r="736" spans="1:13" ht="15" thickBot="1" x14ac:dyDescent="0.35">
      <c r="A736" s="14">
        <v>729</v>
      </c>
      <c r="B736" s="15">
        <v>45509</v>
      </c>
      <c r="C736" s="15">
        <v>45509</v>
      </c>
      <c r="D736" s="16" t="s">
        <v>1192</v>
      </c>
      <c r="E736" s="16" t="s">
        <v>1193</v>
      </c>
      <c r="F736" s="16" t="s">
        <v>1706</v>
      </c>
      <c r="G736" s="16" t="s">
        <v>1197</v>
      </c>
      <c r="H736" s="14" t="str">
        <f>"20240805/173283"</f>
        <v>20240805/173283</v>
      </c>
      <c r="I736" s="19" t="str">
        <f t="shared" si="65"/>
        <v> </v>
      </c>
      <c r="J736" s="18">
        <v>144615.93</v>
      </c>
      <c r="K736" s="18">
        <v>0</v>
      </c>
      <c r="L736" s="18">
        <v>1422661.24</v>
      </c>
    </row>
    <row r="737" spans="1:13" ht="15" thickBot="1" x14ac:dyDescent="0.35">
      <c r="A737" s="14">
        <v>730</v>
      </c>
      <c r="B737" s="15">
        <v>45509</v>
      </c>
      <c r="C737" s="15">
        <v>45509</v>
      </c>
      <c r="D737" s="16" t="s">
        <v>1192</v>
      </c>
      <c r="E737" s="16" t="s">
        <v>1193</v>
      </c>
      <c r="F737" s="16" t="s">
        <v>1707</v>
      </c>
      <c r="G737" s="16" t="s">
        <v>1197</v>
      </c>
      <c r="H737" s="14" t="str">
        <f>"20240805/173284"</f>
        <v>20240805/173284</v>
      </c>
      <c r="I737" s="19" t="str">
        <f t="shared" si="65"/>
        <v> </v>
      </c>
      <c r="J737" s="18">
        <v>556959.5</v>
      </c>
      <c r="K737" s="18">
        <v>0</v>
      </c>
      <c r="L737" s="18">
        <v>1979620.74</v>
      </c>
    </row>
    <row r="738" spans="1:13" ht="15" thickBot="1" x14ac:dyDescent="0.35">
      <c r="A738" s="14">
        <v>731</v>
      </c>
      <c r="B738" s="15">
        <v>45509</v>
      </c>
      <c r="C738" s="15">
        <v>45509</v>
      </c>
      <c r="D738" s="16" t="s">
        <v>1192</v>
      </c>
      <c r="E738" s="16" t="s">
        <v>1193</v>
      </c>
      <c r="F738" s="16" t="s">
        <v>1708</v>
      </c>
      <c r="G738" s="16" t="s">
        <v>1197</v>
      </c>
      <c r="H738" s="14" t="str">
        <f>"20240805/252229"</f>
        <v>20240805/252229</v>
      </c>
      <c r="I738" s="19" t="str">
        <f t="shared" si="65"/>
        <v> </v>
      </c>
      <c r="J738" s="18">
        <v>0</v>
      </c>
      <c r="K738" s="18">
        <v>87201.68</v>
      </c>
      <c r="L738" s="18">
        <v>1892419.06</v>
      </c>
    </row>
    <row r="739" spans="1:13" ht="15" thickBot="1" x14ac:dyDescent="0.35">
      <c r="A739" s="14">
        <v>732</v>
      </c>
      <c r="B739" s="15">
        <v>45509</v>
      </c>
      <c r="C739" s="15">
        <v>45509</v>
      </c>
      <c r="D739" s="16" t="s">
        <v>1192</v>
      </c>
      <c r="E739" s="16" t="s">
        <v>1193</v>
      </c>
      <c r="F739" s="16" t="s">
        <v>1709</v>
      </c>
      <c r="G739" s="16" t="s">
        <v>1197</v>
      </c>
      <c r="H739" s="14" t="str">
        <f>"20240805/252230"</f>
        <v>20240805/252230</v>
      </c>
      <c r="I739" s="19" t="str">
        <f t="shared" si="65"/>
        <v> </v>
      </c>
      <c r="J739" s="18">
        <v>0</v>
      </c>
      <c r="K739" s="18">
        <v>525218.76</v>
      </c>
      <c r="L739" s="18">
        <v>1367200.3</v>
      </c>
    </row>
    <row r="740" spans="1:13" ht="15" thickBot="1" x14ac:dyDescent="0.35">
      <c r="A740" s="14">
        <v>733</v>
      </c>
      <c r="B740" s="15">
        <v>45509</v>
      </c>
      <c r="C740" s="15">
        <v>45510</v>
      </c>
      <c r="D740" s="16" t="s">
        <v>1192</v>
      </c>
      <c r="E740" s="16" t="s">
        <v>1193</v>
      </c>
      <c r="F740" s="16" t="s">
        <v>1710</v>
      </c>
      <c r="G740" s="16" t="s">
        <v>1197</v>
      </c>
      <c r="H740" s="14" t="str">
        <f>"20240805/387095"</f>
        <v>20240805/387095</v>
      </c>
      <c r="I740" s="19" t="str">
        <f>"2408001267976"</f>
        <v>2408001267976</v>
      </c>
      <c r="J740" s="18">
        <v>0</v>
      </c>
      <c r="K740" s="18">
        <v>196424.07</v>
      </c>
      <c r="L740" s="18">
        <v>1170776.23</v>
      </c>
    </row>
    <row r="741" spans="1:13" ht="15" thickBot="1" x14ac:dyDescent="0.35">
      <c r="A741" s="14">
        <v>734</v>
      </c>
      <c r="B741" s="15">
        <v>45509</v>
      </c>
      <c r="C741" s="15">
        <v>45510</v>
      </c>
      <c r="D741" s="16" t="s">
        <v>1192</v>
      </c>
      <c r="E741" s="16" t="s">
        <v>1193</v>
      </c>
      <c r="F741" s="16" t="s">
        <v>1711</v>
      </c>
      <c r="G741" s="16" t="s">
        <v>1197</v>
      </c>
      <c r="H741" s="14" t="str">
        <f>"20240805/387096"</f>
        <v>20240805/387096</v>
      </c>
      <c r="I741" s="19" t="str">
        <f>"2408001267976"</f>
        <v>2408001267976</v>
      </c>
      <c r="J741" s="18">
        <v>157948.63</v>
      </c>
      <c r="K741" s="18">
        <v>0</v>
      </c>
      <c r="L741" s="18">
        <v>1328724.8600000001</v>
      </c>
    </row>
    <row r="742" spans="1:13" ht="15" thickBot="1" x14ac:dyDescent="0.35">
      <c r="A742" s="14">
        <v>735</v>
      </c>
      <c r="B742" s="15">
        <v>45510</v>
      </c>
      <c r="C742" s="15">
        <v>45510</v>
      </c>
      <c r="D742" s="16" t="s">
        <v>1192</v>
      </c>
      <c r="E742" s="16" t="s">
        <v>1193</v>
      </c>
      <c r="F742" s="16" t="s">
        <v>1204</v>
      </c>
      <c r="G742" s="16" t="s">
        <v>1203</v>
      </c>
      <c r="H742" s="14" t="str">
        <f>"20240806/21799"</f>
        <v>20240806/21799</v>
      </c>
      <c r="I742" s="17" t="str">
        <f t="shared" ref="I742:I749" si="66">" "</f>
        <v> </v>
      </c>
      <c r="J742" s="18">
        <v>196424.07</v>
      </c>
      <c r="K742" s="18">
        <v>0</v>
      </c>
      <c r="L742" s="18">
        <v>1525148.93</v>
      </c>
      <c r="M742" t="s">
        <v>2661</v>
      </c>
    </row>
    <row r="743" spans="1:13" ht="15" thickBot="1" x14ac:dyDescent="0.35">
      <c r="A743" s="14">
        <v>736</v>
      </c>
      <c r="B743" s="15">
        <v>45510</v>
      </c>
      <c r="C743" s="15">
        <v>45510</v>
      </c>
      <c r="D743" s="16" t="s">
        <v>1192</v>
      </c>
      <c r="E743" s="16" t="s">
        <v>1193</v>
      </c>
      <c r="F743" s="16" t="s">
        <v>1194</v>
      </c>
      <c r="G743" s="16" t="s">
        <v>1195</v>
      </c>
      <c r="H743" s="14" t="str">
        <f>"20240806/121897"</f>
        <v>20240806/121897</v>
      </c>
      <c r="I743" s="17" t="str">
        <f t="shared" si="66"/>
        <v> </v>
      </c>
      <c r="J743" s="18">
        <v>0</v>
      </c>
      <c r="K743" s="18">
        <v>83547.61</v>
      </c>
      <c r="L743" s="18">
        <v>1441601.32</v>
      </c>
      <c r="M743" t="s">
        <v>2661</v>
      </c>
    </row>
    <row r="744" spans="1:13" ht="15" thickBot="1" x14ac:dyDescent="0.35">
      <c r="A744" s="14">
        <v>737</v>
      </c>
      <c r="B744" s="15">
        <v>45510</v>
      </c>
      <c r="C744" s="15">
        <v>45510</v>
      </c>
      <c r="D744" s="16" t="s">
        <v>1192</v>
      </c>
      <c r="E744" s="16" t="s">
        <v>1193</v>
      </c>
      <c r="F744" s="16" t="s">
        <v>1194</v>
      </c>
      <c r="G744" s="16" t="s">
        <v>1195</v>
      </c>
      <c r="H744" s="14" t="str">
        <f>"20240806/36528"</f>
        <v>20240806/36528</v>
      </c>
      <c r="I744" s="17" t="str">
        <f t="shared" si="66"/>
        <v> </v>
      </c>
      <c r="J744" s="18">
        <v>0</v>
      </c>
      <c r="K744" s="18">
        <v>237.07</v>
      </c>
      <c r="L744" s="18">
        <v>1441364.25</v>
      </c>
      <c r="M744" t="s">
        <v>2661</v>
      </c>
    </row>
    <row r="745" spans="1:13" ht="15" thickBot="1" x14ac:dyDescent="0.35">
      <c r="A745" s="14">
        <v>738</v>
      </c>
      <c r="B745" s="15">
        <v>45510</v>
      </c>
      <c r="C745" s="15">
        <v>45510</v>
      </c>
      <c r="D745" s="16" t="s">
        <v>1192</v>
      </c>
      <c r="E745" s="16" t="s">
        <v>1193</v>
      </c>
      <c r="F745" s="16" t="s">
        <v>1712</v>
      </c>
      <c r="G745" s="16" t="s">
        <v>1197</v>
      </c>
      <c r="H745" s="14" t="str">
        <f>"20240806/137522"</f>
        <v>20240806/137522</v>
      </c>
      <c r="I745" s="19" t="str">
        <f t="shared" si="66"/>
        <v> </v>
      </c>
      <c r="J745" s="18">
        <v>237.07</v>
      </c>
      <c r="K745" s="18">
        <v>0</v>
      </c>
      <c r="L745" s="18">
        <v>1441601.32</v>
      </c>
      <c r="M745" t="s">
        <v>2658</v>
      </c>
    </row>
    <row r="746" spans="1:13" ht="15" thickBot="1" x14ac:dyDescent="0.35">
      <c r="A746" s="14">
        <v>739</v>
      </c>
      <c r="B746" s="15">
        <v>45510</v>
      </c>
      <c r="C746" s="15">
        <v>45510</v>
      </c>
      <c r="D746" s="16" t="s">
        <v>1192</v>
      </c>
      <c r="E746" s="16" t="s">
        <v>1193</v>
      </c>
      <c r="F746" s="16" t="s">
        <v>1713</v>
      </c>
      <c r="G746" s="16" t="s">
        <v>1197</v>
      </c>
      <c r="H746" s="14" t="str">
        <f>"20240806/203461"</f>
        <v>20240806/203461</v>
      </c>
      <c r="I746" s="19" t="str">
        <f t="shared" si="66"/>
        <v> </v>
      </c>
      <c r="J746" s="18">
        <v>619819.86</v>
      </c>
      <c r="K746" s="18">
        <v>0</v>
      </c>
      <c r="L746" s="18">
        <v>2061421.18</v>
      </c>
    </row>
    <row r="747" spans="1:13" ht="15" thickBot="1" x14ac:dyDescent="0.35">
      <c r="A747" s="14">
        <v>740</v>
      </c>
      <c r="B747" s="15">
        <v>45510</v>
      </c>
      <c r="C747" s="15">
        <v>45510</v>
      </c>
      <c r="D747" s="16" t="s">
        <v>1192</v>
      </c>
      <c r="E747" s="16" t="s">
        <v>1193</v>
      </c>
      <c r="F747" s="16" t="s">
        <v>1714</v>
      </c>
      <c r="G747" s="16" t="s">
        <v>1197</v>
      </c>
      <c r="H747" s="14" t="str">
        <f>"20240806/203462"</f>
        <v>20240806/203462</v>
      </c>
      <c r="I747" s="19" t="str">
        <f t="shared" si="66"/>
        <v> </v>
      </c>
      <c r="J747" s="18">
        <v>165303.18</v>
      </c>
      <c r="K747" s="18">
        <v>0</v>
      </c>
      <c r="L747" s="18">
        <v>2226724.36</v>
      </c>
    </row>
    <row r="748" spans="1:13" ht="15" thickBot="1" x14ac:dyDescent="0.35">
      <c r="A748" s="14">
        <v>741</v>
      </c>
      <c r="B748" s="15">
        <v>45510</v>
      </c>
      <c r="C748" s="15">
        <v>45510</v>
      </c>
      <c r="D748" s="16" t="s">
        <v>1192</v>
      </c>
      <c r="E748" s="16" t="s">
        <v>1193</v>
      </c>
      <c r="F748" s="16" t="s">
        <v>1715</v>
      </c>
      <c r="G748" s="16" t="s">
        <v>1197</v>
      </c>
      <c r="H748" s="14" t="str">
        <f>"20240806/294386"</f>
        <v>20240806/294386</v>
      </c>
      <c r="I748" s="19" t="str">
        <f t="shared" si="66"/>
        <v> </v>
      </c>
      <c r="J748" s="18">
        <v>0</v>
      </c>
      <c r="K748" s="18">
        <v>144615.93</v>
      </c>
      <c r="L748" s="18">
        <v>2082108.43</v>
      </c>
    </row>
    <row r="749" spans="1:13" ht="15" thickBot="1" x14ac:dyDescent="0.35">
      <c r="A749" s="14">
        <v>742</v>
      </c>
      <c r="B749" s="15">
        <v>45510</v>
      </c>
      <c r="C749" s="15">
        <v>45510</v>
      </c>
      <c r="D749" s="16" t="s">
        <v>1192</v>
      </c>
      <c r="E749" s="16" t="s">
        <v>1193</v>
      </c>
      <c r="F749" s="16" t="s">
        <v>1716</v>
      </c>
      <c r="G749" s="16" t="s">
        <v>1197</v>
      </c>
      <c r="H749" s="14" t="str">
        <f>"20240806/294387"</f>
        <v>20240806/294387</v>
      </c>
      <c r="I749" s="19" t="str">
        <f t="shared" si="66"/>
        <v> </v>
      </c>
      <c r="J749" s="18">
        <v>0</v>
      </c>
      <c r="K749" s="18">
        <v>556959.5</v>
      </c>
      <c r="L749" s="18">
        <v>1525148.93</v>
      </c>
    </row>
    <row r="750" spans="1:13" ht="15" thickBot="1" x14ac:dyDescent="0.35">
      <c r="A750" s="14">
        <v>743</v>
      </c>
      <c r="B750" s="15">
        <v>45510</v>
      </c>
      <c r="C750" s="15">
        <v>45511</v>
      </c>
      <c r="D750" s="16" t="s">
        <v>1192</v>
      </c>
      <c r="E750" s="16" t="s">
        <v>1193</v>
      </c>
      <c r="F750" s="16" t="s">
        <v>1717</v>
      </c>
      <c r="G750" s="16" t="s">
        <v>1197</v>
      </c>
      <c r="H750" s="14" t="str">
        <f>"20240806/383689"</f>
        <v>20240806/383689</v>
      </c>
      <c r="I750" s="19" t="str">
        <f>"2408001784428"</f>
        <v>2408001784428</v>
      </c>
      <c r="J750" s="18">
        <v>161816.69</v>
      </c>
      <c r="K750" s="18">
        <v>0</v>
      </c>
      <c r="L750" s="18">
        <v>1686965.62</v>
      </c>
    </row>
    <row r="751" spans="1:13" ht="15" thickBot="1" x14ac:dyDescent="0.35">
      <c r="A751" s="14">
        <v>744</v>
      </c>
      <c r="B751" s="15">
        <v>45511</v>
      </c>
      <c r="C751" s="15">
        <v>45511</v>
      </c>
      <c r="D751" s="16" t="s">
        <v>1192</v>
      </c>
      <c r="E751" s="16" t="s">
        <v>1193</v>
      </c>
      <c r="F751" s="16" t="s">
        <v>1194</v>
      </c>
      <c r="G751" s="16" t="s">
        <v>1195</v>
      </c>
      <c r="H751" s="14" t="str">
        <f>"20240807/39737"</f>
        <v>20240807/39737</v>
      </c>
      <c r="I751" s="17" t="str">
        <f t="shared" ref="I751:I756" si="67">" "</f>
        <v> </v>
      </c>
      <c r="J751" s="18">
        <v>0</v>
      </c>
      <c r="K751" s="18">
        <v>263.57</v>
      </c>
      <c r="L751" s="18">
        <v>1686702.05</v>
      </c>
      <c r="M751" t="s">
        <v>2661</v>
      </c>
    </row>
    <row r="752" spans="1:13" ht="15" thickBot="1" x14ac:dyDescent="0.35">
      <c r="A752" s="14">
        <v>745</v>
      </c>
      <c r="B752" s="15">
        <v>45511</v>
      </c>
      <c r="C752" s="15">
        <v>45511</v>
      </c>
      <c r="D752" s="16" t="s">
        <v>1192</v>
      </c>
      <c r="E752" s="16" t="s">
        <v>1193</v>
      </c>
      <c r="F752" s="16" t="s">
        <v>1718</v>
      </c>
      <c r="G752" s="16" t="s">
        <v>1197</v>
      </c>
      <c r="H752" s="14" t="str">
        <f>"20240807/112223"</f>
        <v>20240807/112223</v>
      </c>
      <c r="I752" s="19" t="str">
        <f t="shared" si="67"/>
        <v> </v>
      </c>
      <c r="J752" s="18">
        <v>263.57</v>
      </c>
      <c r="K752" s="18">
        <v>0</v>
      </c>
      <c r="L752" s="18">
        <v>1686965.62</v>
      </c>
      <c r="M752" t="s">
        <v>2658</v>
      </c>
    </row>
    <row r="753" spans="1:13" ht="15" thickBot="1" x14ac:dyDescent="0.35">
      <c r="A753" s="14">
        <v>746</v>
      </c>
      <c r="B753" s="15">
        <v>45511</v>
      </c>
      <c r="C753" s="15">
        <v>45511</v>
      </c>
      <c r="D753" s="16" t="s">
        <v>1192</v>
      </c>
      <c r="E753" s="16" t="s">
        <v>1193</v>
      </c>
      <c r="F753" s="16" t="s">
        <v>1719</v>
      </c>
      <c r="G753" s="16" t="s">
        <v>1197</v>
      </c>
      <c r="H753" s="14" t="str">
        <f>"20240807/179933"</f>
        <v>20240807/179933</v>
      </c>
      <c r="I753" s="19" t="str">
        <f t="shared" si="67"/>
        <v> </v>
      </c>
      <c r="J753" s="18">
        <v>635382.43000000005</v>
      </c>
      <c r="K753" s="18">
        <v>0</v>
      </c>
      <c r="L753" s="18">
        <v>2322348.0499999998</v>
      </c>
    </row>
    <row r="754" spans="1:13" ht="15" thickBot="1" x14ac:dyDescent="0.35">
      <c r="A754" s="14">
        <v>747</v>
      </c>
      <c r="B754" s="15">
        <v>45511</v>
      </c>
      <c r="C754" s="15">
        <v>45511</v>
      </c>
      <c r="D754" s="16" t="s">
        <v>1192</v>
      </c>
      <c r="E754" s="16" t="s">
        <v>1193</v>
      </c>
      <c r="F754" s="16" t="s">
        <v>1720</v>
      </c>
      <c r="G754" s="16" t="s">
        <v>1197</v>
      </c>
      <c r="H754" s="14" t="str">
        <f>"20240807/179934"</f>
        <v>20240807/179934</v>
      </c>
      <c r="I754" s="19" t="str">
        <f t="shared" si="67"/>
        <v> </v>
      </c>
      <c r="J754" s="18">
        <v>128274.83</v>
      </c>
      <c r="K754" s="18">
        <v>0</v>
      </c>
      <c r="L754" s="18">
        <v>2450622.88</v>
      </c>
    </row>
    <row r="755" spans="1:13" ht="15" thickBot="1" x14ac:dyDescent="0.35">
      <c r="A755" s="14">
        <v>748</v>
      </c>
      <c r="B755" s="15">
        <v>45511</v>
      </c>
      <c r="C755" s="15">
        <v>45511</v>
      </c>
      <c r="D755" s="16" t="s">
        <v>1192</v>
      </c>
      <c r="E755" s="16" t="s">
        <v>1193</v>
      </c>
      <c r="F755" s="16" t="s">
        <v>1721</v>
      </c>
      <c r="G755" s="16" t="s">
        <v>1197</v>
      </c>
      <c r="H755" s="14" t="str">
        <f>"20240807/250408"</f>
        <v>20240807/250408</v>
      </c>
      <c r="I755" s="19" t="str">
        <f t="shared" si="67"/>
        <v> </v>
      </c>
      <c r="J755" s="18">
        <v>0</v>
      </c>
      <c r="K755" s="18">
        <v>619819.86</v>
      </c>
      <c r="L755" s="18">
        <v>1830803.02</v>
      </c>
    </row>
    <row r="756" spans="1:13" ht="15" thickBot="1" x14ac:dyDescent="0.35">
      <c r="A756" s="14">
        <v>749</v>
      </c>
      <c r="B756" s="15">
        <v>45511</v>
      </c>
      <c r="C756" s="15">
        <v>45511</v>
      </c>
      <c r="D756" s="16" t="s">
        <v>1192</v>
      </c>
      <c r="E756" s="16" t="s">
        <v>1193</v>
      </c>
      <c r="F756" s="16" t="s">
        <v>1722</v>
      </c>
      <c r="G756" s="16" t="s">
        <v>1197</v>
      </c>
      <c r="H756" s="14" t="str">
        <f>"20240807/250409"</f>
        <v>20240807/250409</v>
      </c>
      <c r="I756" s="19" t="str">
        <f t="shared" si="67"/>
        <v> </v>
      </c>
      <c r="J756" s="18">
        <v>0</v>
      </c>
      <c r="K756" s="18">
        <v>165303.18</v>
      </c>
      <c r="L756" s="18">
        <v>1665499.84</v>
      </c>
    </row>
    <row r="757" spans="1:13" ht="15" thickBot="1" x14ac:dyDescent="0.35">
      <c r="A757" s="14">
        <v>750</v>
      </c>
      <c r="B757" s="15">
        <v>45511</v>
      </c>
      <c r="C757" s="15">
        <v>45512</v>
      </c>
      <c r="D757" s="16" t="s">
        <v>1192</v>
      </c>
      <c r="E757" s="16" t="s">
        <v>1193</v>
      </c>
      <c r="F757" s="16" t="s">
        <v>1723</v>
      </c>
      <c r="G757" s="16" t="s">
        <v>1197</v>
      </c>
      <c r="H757" s="14" t="str">
        <f>"20240807/364523"</f>
        <v>20240807/364523</v>
      </c>
      <c r="I757" s="19" t="str">
        <f>"2408002261276"</f>
        <v>2408002261276</v>
      </c>
      <c r="J757" s="18">
        <v>0</v>
      </c>
      <c r="K757" s="18">
        <v>5279.37</v>
      </c>
      <c r="L757" s="18">
        <v>1660220.47</v>
      </c>
    </row>
    <row r="758" spans="1:13" ht="15" thickBot="1" x14ac:dyDescent="0.35">
      <c r="A758" s="14">
        <v>751</v>
      </c>
      <c r="B758" s="15">
        <v>45512</v>
      </c>
      <c r="C758" s="15">
        <v>45512</v>
      </c>
      <c r="D758" s="16" t="s">
        <v>1192</v>
      </c>
      <c r="E758" s="16" t="s">
        <v>1193</v>
      </c>
      <c r="F758" s="16" t="s">
        <v>1202</v>
      </c>
      <c r="G758" s="16" t="s">
        <v>1203</v>
      </c>
      <c r="H758" s="14" t="str">
        <f>"20240808/19534"</f>
        <v>20240808/19534</v>
      </c>
      <c r="I758" s="17" t="str">
        <f t="shared" ref="I758:I765" si="68">" "</f>
        <v> </v>
      </c>
      <c r="J758" s="18">
        <v>26745.15</v>
      </c>
      <c r="K758" s="18">
        <v>0</v>
      </c>
      <c r="L758" s="18">
        <v>1686965.62</v>
      </c>
      <c r="M758" t="s">
        <v>2661</v>
      </c>
    </row>
    <row r="759" spans="1:13" ht="15" thickBot="1" x14ac:dyDescent="0.35">
      <c r="A759" s="14">
        <v>752</v>
      </c>
      <c r="B759" s="15">
        <v>45512</v>
      </c>
      <c r="C759" s="15">
        <v>45512</v>
      </c>
      <c r="D759" s="16" t="s">
        <v>1192</v>
      </c>
      <c r="E759" s="16" t="s">
        <v>1193</v>
      </c>
      <c r="F759" s="16" t="s">
        <v>1194</v>
      </c>
      <c r="G759" s="16" t="s">
        <v>1195</v>
      </c>
      <c r="H759" s="14" t="str">
        <f>"20240808/131329"</f>
        <v>20240808/131329</v>
      </c>
      <c r="I759" s="17" t="str">
        <f t="shared" si="68"/>
        <v> </v>
      </c>
      <c r="J759" s="18">
        <v>0</v>
      </c>
      <c r="K759" s="18">
        <v>31608.73</v>
      </c>
      <c r="L759" s="18">
        <v>1655356.89</v>
      </c>
      <c r="M759" t="s">
        <v>2661</v>
      </c>
    </row>
    <row r="760" spans="1:13" ht="15" thickBot="1" x14ac:dyDescent="0.35">
      <c r="A760" s="14">
        <v>753</v>
      </c>
      <c r="B760" s="15">
        <v>45512</v>
      </c>
      <c r="C760" s="15">
        <v>45512</v>
      </c>
      <c r="D760" s="16" t="s">
        <v>1192</v>
      </c>
      <c r="E760" s="16" t="s">
        <v>1193</v>
      </c>
      <c r="F760" s="16" t="s">
        <v>1194</v>
      </c>
      <c r="G760" s="16" t="s">
        <v>1195</v>
      </c>
      <c r="H760" s="14" t="str">
        <f>"20240808/5220"</f>
        <v>20240808/5220</v>
      </c>
      <c r="I760" s="17" t="str">
        <f t="shared" si="68"/>
        <v> </v>
      </c>
      <c r="J760" s="18">
        <v>0</v>
      </c>
      <c r="K760" s="18">
        <v>321.2</v>
      </c>
      <c r="L760" s="18">
        <v>1655035.69</v>
      </c>
      <c r="M760" t="s">
        <v>2661</v>
      </c>
    </row>
    <row r="761" spans="1:13" ht="15" thickBot="1" x14ac:dyDescent="0.35">
      <c r="A761" s="14">
        <v>754</v>
      </c>
      <c r="B761" s="15">
        <v>45512</v>
      </c>
      <c r="C761" s="15">
        <v>45512</v>
      </c>
      <c r="D761" s="16" t="s">
        <v>1192</v>
      </c>
      <c r="E761" s="16" t="s">
        <v>1193</v>
      </c>
      <c r="F761" s="16" t="s">
        <v>1724</v>
      </c>
      <c r="G761" s="16" t="s">
        <v>1197</v>
      </c>
      <c r="H761" s="14" t="str">
        <f>"20240808/150191"</f>
        <v>20240808/150191</v>
      </c>
      <c r="I761" s="19" t="str">
        <f t="shared" si="68"/>
        <v> </v>
      </c>
      <c r="J761" s="18">
        <v>321.2</v>
      </c>
      <c r="K761" s="18">
        <v>0</v>
      </c>
      <c r="L761" s="18">
        <v>1655356.89</v>
      </c>
      <c r="M761" t="s">
        <v>2658</v>
      </c>
    </row>
    <row r="762" spans="1:13" ht="15" thickBot="1" x14ac:dyDescent="0.35">
      <c r="A762" s="14">
        <v>755</v>
      </c>
      <c r="B762" s="15">
        <v>45512</v>
      </c>
      <c r="C762" s="15">
        <v>45512</v>
      </c>
      <c r="D762" s="16" t="s">
        <v>1192</v>
      </c>
      <c r="E762" s="16" t="s">
        <v>1193</v>
      </c>
      <c r="F762" s="16" t="s">
        <v>1725</v>
      </c>
      <c r="G762" s="16" t="s">
        <v>1197</v>
      </c>
      <c r="H762" s="14" t="str">
        <f>"20240808/192426"</f>
        <v>20240808/192426</v>
      </c>
      <c r="I762" s="19" t="str">
        <f t="shared" si="68"/>
        <v> </v>
      </c>
      <c r="J762" s="18">
        <v>144809.23000000001</v>
      </c>
      <c r="K762" s="18">
        <v>0</v>
      </c>
      <c r="L762" s="18">
        <v>1800166.12</v>
      </c>
    </row>
    <row r="763" spans="1:13" ht="15" thickBot="1" x14ac:dyDescent="0.35">
      <c r="A763" s="14">
        <v>756</v>
      </c>
      <c r="B763" s="15">
        <v>45512</v>
      </c>
      <c r="C763" s="15">
        <v>45512</v>
      </c>
      <c r="D763" s="16" t="s">
        <v>1192</v>
      </c>
      <c r="E763" s="16" t="s">
        <v>1193</v>
      </c>
      <c r="F763" s="16" t="s">
        <v>1726</v>
      </c>
      <c r="G763" s="16" t="s">
        <v>1197</v>
      </c>
      <c r="H763" s="14" t="str">
        <f>"20240808/192427"</f>
        <v>20240808/192427</v>
      </c>
      <c r="I763" s="19" t="str">
        <f t="shared" si="68"/>
        <v> </v>
      </c>
      <c r="J763" s="18">
        <v>650456.76</v>
      </c>
      <c r="K763" s="18">
        <v>0</v>
      </c>
      <c r="L763" s="18">
        <v>2450622.88</v>
      </c>
    </row>
    <row r="764" spans="1:13" ht="15" thickBot="1" x14ac:dyDescent="0.35">
      <c r="A764" s="14">
        <v>757</v>
      </c>
      <c r="B764" s="15">
        <v>45512</v>
      </c>
      <c r="C764" s="15">
        <v>45512</v>
      </c>
      <c r="D764" s="16" t="s">
        <v>1192</v>
      </c>
      <c r="E764" s="16" t="s">
        <v>1193</v>
      </c>
      <c r="F764" s="16" t="s">
        <v>1727</v>
      </c>
      <c r="G764" s="16" t="s">
        <v>1197</v>
      </c>
      <c r="H764" s="14" t="str">
        <f>"20240808/303338"</f>
        <v>20240808/303338</v>
      </c>
      <c r="I764" s="19" t="str">
        <f t="shared" si="68"/>
        <v> </v>
      </c>
      <c r="J764" s="18">
        <v>0</v>
      </c>
      <c r="K764" s="18">
        <v>635382.43000000005</v>
      </c>
      <c r="L764" s="18">
        <v>1815240.45</v>
      </c>
    </row>
    <row r="765" spans="1:13" ht="15" thickBot="1" x14ac:dyDescent="0.35">
      <c r="A765" s="14">
        <v>758</v>
      </c>
      <c r="B765" s="15">
        <v>45512</v>
      </c>
      <c r="C765" s="15">
        <v>45512</v>
      </c>
      <c r="D765" s="16" t="s">
        <v>1192</v>
      </c>
      <c r="E765" s="16" t="s">
        <v>1193</v>
      </c>
      <c r="F765" s="16" t="s">
        <v>1728</v>
      </c>
      <c r="G765" s="16" t="s">
        <v>1197</v>
      </c>
      <c r="H765" s="14" t="str">
        <f>"20240808/303339"</f>
        <v>20240808/303339</v>
      </c>
      <c r="I765" s="19" t="str">
        <f t="shared" si="68"/>
        <v> </v>
      </c>
      <c r="J765" s="18">
        <v>0</v>
      </c>
      <c r="K765" s="18">
        <v>128274.83</v>
      </c>
      <c r="L765" s="18">
        <v>1686965.62</v>
      </c>
    </row>
    <row r="766" spans="1:13" ht="15" thickBot="1" x14ac:dyDescent="0.35">
      <c r="A766" s="14">
        <v>759</v>
      </c>
      <c r="B766" s="15">
        <v>45512</v>
      </c>
      <c r="C766" s="15">
        <v>45513</v>
      </c>
      <c r="D766" s="16" t="s">
        <v>1192</v>
      </c>
      <c r="E766" s="16" t="s">
        <v>1193</v>
      </c>
      <c r="F766" s="16" t="s">
        <v>1729</v>
      </c>
      <c r="G766" s="16" t="s">
        <v>1197</v>
      </c>
      <c r="H766" s="14" t="str">
        <f>"20240808/366267"</f>
        <v>20240808/366267</v>
      </c>
      <c r="I766" s="19" t="str">
        <f>"2408002725517"</f>
        <v>2408002725517</v>
      </c>
      <c r="J766" s="18">
        <v>33239.230000000003</v>
      </c>
      <c r="K766" s="18">
        <v>0</v>
      </c>
      <c r="L766" s="18">
        <v>1720204.85</v>
      </c>
    </row>
    <row r="767" spans="1:13" ht="15" thickBot="1" x14ac:dyDescent="0.35">
      <c r="A767" s="14">
        <v>760</v>
      </c>
      <c r="B767" s="15">
        <v>45513</v>
      </c>
      <c r="C767" s="15">
        <v>45513</v>
      </c>
      <c r="D767" s="16" t="s">
        <v>1192</v>
      </c>
      <c r="E767" s="16" t="s">
        <v>1193</v>
      </c>
      <c r="F767" s="16" t="s">
        <v>1194</v>
      </c>
      <c r="G767" s="16" t="s">
        <v>1195</v>
      </c>
      <c r="H767" s="14" t="str">
        <f>"20240809/12181"</f>
        <v>20240809/12181</v>
      </c>
      <c r="I767" s="17" t="str">
        <f t="shared" ref="I767:I780" si="69">" "</f>
        <v> </v>
      </c>
      <c r="J767" s="18">
        <v>0</v>
      </c>
      <c r="K767" s="18">
        <v>317.58999999999997</v>
      </c>
      <c r="L767" s="18">
        <v>1719887.26</v>
      </c>
      <c r="M767" t="s">
        <v>2661</v>
      </c>
    </row>
    <row r="768" spans="1:13" ht="15" thickBot="1" x14ac:dyDescent="0.35">
      <c r="A768" s="14">
        <v>761</v>
      </c>
      <c r="B768" s="15">
        <v>45513</v>
      </c>
      <c r="C768" s="15">
        <v>45513</v>
      </c>
      <c r="D768" s="16" t="s">
        <v>1192</v>
      </c>
      <c r="E768" s="16" t="s">
        <v>1193</v>
      </c>
      <c r="F768" s="16" t="s">
        <v>1730</v>
      </c>
      <c r="G768" s="16" t="s">
        <v>1197</v>
      </c>
      <c r="H768" s="14" t="str">
        <f>"20240809/142668"</f>
        <v>20240809/142668</v>
      </c>
      <c r="I768" s="19" t="str">
        <f t="shared" si="69"/>
        <v> </v>
      </c>
      <c r="J768" s="18">
        <v>317.58999999999997</v>
      </c>
      <c r="K768" s="18">
        <v>0</v>
      </c>
      <c r="L768" s="18">
        <v>1720204.85</v>
      </c>
      <c r="M768" t="s">
        <v>2658</v>
      </c>
    </row>
    <row r="769" spans="1:13" ht="15" thickBot="1" x14ac:dyDescent="0.35">
      <c r="A769" s="14">
        <v>762</v>
      </c>
      <c r="B769" s="15">
        <v>45513</v>
      </c>
      <c r="C769" s="15">
        <v>45513</v>
      </c>
      <c r="D769" s="16" t="s">
        <v>1192</v>
      </c>
      <c r="E769" s="16" t="s">
        <v>1193</v>
      </c>
      <c r="F769" s="16" t="s">
        <v>1731</v>
      </c>
      <c r="G769" s="16" t="s">
        <v>1197</v>
      </c>
      <c r="H769" s="14" t="str">
        <f>"20240809/198563"</f>
        <v>20240809/198563</v>
      </c>
      <c r="I769" s="19" t="str">
        <f t="shared" si="69"/>
        <v> </v>
      </c>
      <c r="J769" s="18">
        <v>138160.88</v>
      </c>
      <c r="K769" s="18">
        <v>0</v>
      </c>
      <c r="L769" s="18">
        <v>1858365.73</v>
      </c>
    </row>
    <row r="770" spans="1:13" ht="15" thickBot="1" x14ac:dyDescent="0.35">
      <c r="A770" s="14">
        <v>763</v>
      </c>
      <c r="B770" s="15">
        <v>45513</v>
      </c>
      <c r="C770" s="15">
        <v>45513</v>
      </c>
      <c r="D770" s="16" t="s">
        <v>1192</v>
      </c>
      <c r="E770" s="16" t="s">
        <v>1193</v>
      </c>
      <c r="F770" s="16" t="s">
        <v>1732</v>
      </c>
      <c r="G770" s="16" t="s">
        <v>1197</v>
      </c>
      <c r="H770" s="14" t="str">
        <f>"20240809/198564"</f>
        <v>20240809/198564</v>
      </c>
      <c r="I770" s="19" t="str">
        <f t="shared" si="69"/>
        <v> </v>
      </c>
      <c r="J770" s="18">
        <v>652534.94999999995</v>
      </c>
      <c r="K770" s="18">
        <v>0</v>
      </c>
      <c r="L770" s="18">
        <v>2510900.6800000002</v>
      </c>
    </row>
    <row r="771" spans="1:13" ht="15" thickBot="1" x14ac:dyDescent="0.35">
      <c r="A771" s="14">
        <v>764</v>
      </c>
      <c r="B771" s="15">
        <v>45513</v>
      </c>
      <c r="C771" s="15">
        <v>45513</v>
      </c>
      <c r="D771" s="16" t="s">
        <v>1192</v>
      </c>
      <c r="E771" s="16" t="s">
        <v>1193</v>
      </c>
      <c r="F771" s="16" t="s">
        <v>1733</v>
      </c>
      <c r="G771" s="16" t="s">
        <v>1197</v>
      </c>
      <c r="H771" s="14" t="str">
        <f>"20240809/277288"</f>
        <v>20240809/277288</v>
      </c>
      <c r="I771" s="19" t="str">
        <f t="shared" si="69"/>
        <v> </v>
      </c>
      <c r="J771" s="18">
        <v>0</v>
      </c>
      <c r="K771" s="18">
        <v>144809.23000000001</v>
      </c>
      <c r="L771" s="18">
        <v>2366091.4500000002</v>
      </c>
    </row>
    <row r="772" spans="1:13" ht="15" thickBot="1" x14ac:dyDescent="0.35">
      <c r="A772" s="14">
        <v>765</v>
      </c>
      <c r="B772" s="15">
        <v>45513</v>
      </c>
      <c r="C772" s="15">
        <v>45513</v>
      </c>
      <c r="D772" s="16" t="s">
        <v>1192</v>
      </c>
      <c r="E772" s="16" t="s">
        <v>1193</v>
      </c>
      <c r="F772" s="16" t="s">
        <v>1734</v>
      </c>
      <c r="G772" s="16" t="s">
        <v>1197</v>
      </c>
      <c r="H772" s="14" t="str">
        <f>"20240809/277289"</f>
        <v>20240809/277289</v>
      </c>
      <c r="I772" s="19" t="str">
        <f t="shared" si="69"/>
        <v> </v>
      </c>
      <c r="J772" s="18">
        <v>0</v>
      </c>
      <c r="K772" s="18">
        <v>650456.76</v>
      </c>
      <c r="L772" s="18">
        <v>1715634.69</v>
      </c>
    </row>
    <row r="773" spans="1:13" ht="15" thickBot="1" x14ac:dyDescent="0.35">
      <c r="A773" s="14">
        <v>766</v>
      </c>
      <c r="B773" s="15">
        <v>45516</v>
      </c>
      <c r="C773" s="15">
        <v>45516</v>
      </c>
      <c r="D773" s="16" t="s">
        <v>1192</v>
      </c>
      <c r="E773" s="16" t="s">
        <v>1193</v>
      </c>
      <c r="F773" s="16" t="s">
        <v>1202</v>
      </c>
      <c r="G773" s="16" t="s">
        <v>1203</v>
      </c>
      <c r="H773" s="14" t="str">
        <f>"20240812/15389"</f>
        <v>20240812/15389</v>
      </c>
      <c r="I773" s="17" t="str">
        <f t="shared" si="69"/>
        <v> </v>
      </c>
      <c r="J773" s="18">
        <v>4570.16</v>
      </c>
      <c r="K773" s="18">
        <v>0</v>
      </c>
      <c r="L773" s="18">
        <v>1720204.85</v>
      </c>
      <c r="M773" t="s">
        <v>2661</v>
      </c>
    </row>
    <row r="774" spans="1:13" ht="15" thickBot="1" x14ac:dyDescent="0.35">
      <c r="A774" s="14">
        <v>767</v>
      </c>
      <c r="B774" s="15">
        <v>45516</v>
      </c>
      <c r="C774" s="15">
        <v>45516</v>
      </c>
      <c r="D774" s="16" t="s">
        <v>1192</v>
      </c>
      <c r="E774" s="16" t="s">
        <v>1193</v>
      </c>
      <c r="F774" s="16" t="s">
        <v>1194</v>
      </c>
      <c r="G774" s="16" t="s">
        <v>1195</v>
      </c>
      <c r="H774" s="14" t="str">
        <f>"20240812/27339"</f>
        <v>20240812/27339</v>
      </c>
      <c r="I774" s="17" t="str">
        <f t="shared" si="69"/>
        <v> </v>
      </c>
      <c r="J774" s="18">
        <v>0</v>
      </c>
      <c r="K774" s="18">
        <v>988.29</v>
      </c>
      <c r="L774" s="18">
        <v>1719216.56</v>
      </c>
      <c r="M774" t="s">
        <v>2661</v>
      </c>
    </row>
    <row r="775" spans="1:13" ht="15" thickBot="1" x14ac:dyDescent="0.35">
      <c r="A775" s="14">
        <v>768</v>
      </c>
      <c r="B775" s="15">
        <v>45516</v>
      </c>
      <c r="C775" s="15">
        <v>45516</v>
      </c>
      <c r="D775" s="16" t="s">
        <v>1192</v>
      </c>
      <c r="E775" s="16" t="s">
        <v>1193</v>
      </c>
      <c r="F775" s="16" t="s">
        <v>1249</v>
      </c>
      <c r="G775" s="16" t="s">
        <v>1195</v>
      </c>
      <c r="H775" s="14" t="str">
        <f>"20240812/79409"</f>
        <v>20240812/79409</v>
      </c>
      <c r="I775" s="17" t="str">
        <f t="shared" si="69"/>
        <v> </v>
      </c>
      <c r="J775" s="18">
        <v>0</v>
      </c>
      <c r="K775" s="18">
        <v>42123.89</v>
      </c>
      <c r="L775" s="18">
        <v>1677092.67</v>
      </c>
      <c r="M775" t="s">
        <v>2661</v>
      </c>
    </row>
    <row r="776" spans="1:13" ht="15" thickBot="1" x14ac:dyDescent="0.35">
      <c r="A776" s="14">
        <v>769</v>
      </c>
      <c r="B776" s="15">
        <v>45516</v>
      </c>
      <c r="C776" s="15">
        <v>45516</v>
      </c>
      <c r="D776" s="16" t="s">
        <v>1192</v>
      </c>
      <c r="E776" s="16" t="s">
        <v>1193</v>
      </c>
      <c r="F776" s="16" t="s">
        <v>1735</v>
      </c>
      <c r="G776" s="16" t="s">
        <v>1197</v>
      </c>
      <c r="H776" s="14" t="str">
        <f>"20240812/122616"</f>
        <v>20240812/122616</v>
      </c>
      <c r="I776" s="19" t="str">
        <f t="shared" si="69"/>
        <v> </v>
      </c>
      <c r="J776" s="18">
        <v>988.29</v>
      </c>
      <c r="K776" s="18">
        <v>0</v>
      </c>
      <c r="L776" s="18">
        <v>1678080.96</v>
      </c>
      <c r="M776" t="s">
        <v>2658</v>
      </c>
    </row>
    <row r="777" spans="1:13" ht="15" thickBot="1" x14ac:dyDescent="0.35">
      <c r="A777" s="14">
        <v>770</v>
      </c>
      <c r="B777" s="15">
        <v>45516</v>
      </c>
      <c r="C777" s="15">
        <v>45516</v>
      </c>
      <c r="D777" s="16" t="s">
        <v>1192</v>
      </c>
      <c r="E777" s="16" t="s">
        <v>1193</v>
      </c>
      <c r="F777" s="16" t="s">
        <v>1736</v>
      </c>
      <c r="G777" s="16" t="s">
        <v>1197</v>
      </c>
      <c r="H777" s="14" t="str">
        <f>"20240812/195908"</f>
        <v>20240812/195908</v>
      </c>
      <c r="I777" s="19" t="str">
        <f t="shared" si="69"/>
        <v> </v>
      </c>
      <c r="J777" s="18">
        <v>132047.67999999999</v>
      </c>
      <c r="K777" s="18">
        <v>0</v>
      </c>
      <c r="L777" s="18">
        <v>1810128.64</v>
      </c>
    </row>
    <row r="778" spans="1:13" ht="15" thickBot="1" x14ac:dyDescent="0.35">
      <c r="A778" s="14">
        <v>771</v>
      </c>
      <c r="B778" s="15">
        <v>45516</v>
      </c>
      <c r="C778" s="15">
        <v>45516</v>
      </c>
      <c r="D778" s="16" t="s">
        <v>1192</v>
      </c>
      <c r="E778" s="16" t="s">
        <v>1193</v>
      </c>
      <c r="F778" s="16" t="s">
        <v>1737</v>
      </c>
      <c r="G778" s="16" t="s">
        <v>1197</v>
      </c>
      <c r="H778" s="14" t="str">
        <f>"20240812/195909"</f>
        <v>20240812/195909</v>
      </c>
      <c r="I778" s="19" t="str">
        <f t="shared" si="69"/>
        <v> </v>
      </c>
      <c r="J778" s="18">
        <v>655579.21</v>
      </c>
      <c r="K778" s="18">
        <v>0</v>
      </c>
      <c r="L778" s="18">
        <v>2465707.85</v>
      </c>
    </row>
    <row r="779" spans="1:13" ht="15" thickBot="1" x14ac:dyDescent="0.35">
      <c r="A779" s="14">
        <v>772</v>
      </c>
      <c r="B779" s="15">
        <v>45516</v>
      </c>
      <c r="C779" s="15">
        <v>45516</v>
      </c>
      <c r="D779" s="16" t="s">
        <v>1192</v>
      </c>
      <c r="E779" s="16" t="s">
        <v>1193</v>
      </c>
      <c r="F779" s="16" t="s">
        <v>1738</v>
      </c>
      <c r="G779" s="16" t="s">
        <v>1197</v>
      </c>
      <c r="H779" s="14" t="str">
        <f>"20240812/259164"</f>
        <v>20240812/259164</v>
      </c>
      <c r="I779" s="19" t="str">
        <f t="shared" si="69"/>
        <v> </v>
      </c>
      <c r="J779" s="18">
        <v>0</v>
      </c>
      <c r="K779" s="18">
        <v>138160.88</v>
      </c>
      <c r="L779" s="18">
        <v>2327546.9700000002</v>
      </c>
    </row>
    <row r="780" spans="1:13" ht="15" thickBot="1" x14ac:dyDescent="0.35">
      <c r="A780" s="14">
        <v>773</v>
      </c>
      <c r="B780" s="15">
        <v>45516</v>
      </c>
      <c r="C780" s="15">
        <v>45516</v>
      </c>
      <c r="D780" s="16" t="s">
        <v>1192</v>
      </c>
      <c r="E780" s="16" t="s">
        <v>1193</v>
      </c>
      <c r="F780" s="16" t="s">
        <v>1739</v>
      </c>
      <c r="G780" s="16" t="s">
        <v>1197</v>
      </c>
      <c r="H780" s="14" t="str">
        <f>"20240812/259165"</f>
        <v>20240812/259165</v>
      </c>
      <c r="I780" s="19" t="str">
        <f t="shared" si="69"/>
        <v> </v>
      </c>
      <c r="J780" s="18">
        <v>0</v>
      </c>
      <c r="K780" s="18">
        <v>652534.94999999995</v>
      </c>
      <c r="L780" s="18">
        <v>1675012.02</v>
      </c>
    </row>
    <row r="781" spans="1:13" ht="15" thickBot="1" x14ac:dyDescent="0.35">
      <c r="A781" s="14">
        <v>774</v>
      </c>
      <c r="B781" s="15">
        <v>45516</v>
      </c>
      <c r="C781" s="15">
        <v>45517</v>
      </c>
      <c r="D781" s="16" t="s">
        <v>1192</v>
      </c>
      <c r="E781" s="16" t="s">
        <v>1193</v>
      </c>
      <c r="F781" s="16" t="s">
        <v>1740</v>
      </c>
      <c r="G781" s="16" t="s">
        <v>1197</v>
      </c>
      <c r="H781" s="14" t="str">
        <f>"20240812/377772"</f>
        <v>20240812/377772</v>
      </c>
      <c r="I781" s="19" t="str">
        <f>"2408003659300"</f>
        <v>2408003659300</v>
      </c>
      <c r="J781" s="18">
        <v>42123.89</v>
      </c>
      <c r="K781" s="18">
        <v>0</v>
      </c>
      <c r="L781" s="18">
        <v>1717135.91</v>
      </c>
    </row>
    <row r="782" spans="1:13" ht="15" thickBot="1" x14ac:dyDescent="0.35">
      <c r="A782" s="14">
        <v>775</v>
      </c>
      <c r="B782" s="15">
        <v>45517</v>
      </c>
      <c r="C782" s="15">
        <v>45517</v>
      </c>
      <c r="D782" s="16" t="s">
        <v>1192</v>
      </c>
      <c r="E782" s="16" t="s">
        <v>1193</v>
      </c>
      <c r="F782" s="16" t="s">
        <v>1202</v>
      </c>
      <c r="G782" s="16" t="s">
        <v>1203</v>
      </c>
      <c r="H782" s="14" t="str">
        <f>"20240813/13488"</f>
        <v>20240813/13488</v>
      </c>
      <c r="I782" s="17" t="str">
        <f t="shared" ref="I782:I789" si="70">" "</f>
        <v> </v>
      </c>
      <c r="J782" s="18">
        <v>3068.94</v>
      </c>
      <c r="K782" s="18">
        <v>0</v>
      </c>
      <c r="L782" s="18">
        <v>1720204.85</v>
      </c>
      <c r="M782" t="s">
        <v>2661</v>
      </c>
    </row>
    <row r="783" spans="1:13" ht="15" thickBot="1" x14ac:dyDescent="0.35">
      <c r="A783" s="14">
        <v>776</v>
      </c>
      <c r="B783" s="15">
        <v>45517</v>
      </c>
      <c r="C783" s="15">
        <v>45517</v>
      </c>
      <c r="D783" s="16" t="s">
        <v>1192</v>
      </c>
      <c r="E783" s="16" t="s">
        <v>1193</v>
      </c>
      <c r="F783" s="16" t="s">
        <v>1194</v>
      </c>
      <c r="G783" s="16" t="s">
        <v>1195</v>
      </c>
      <c r="H783" s="14" t="str">
        <f>"20240813/132940"</f>
        <v>20240813/132940</v>
      </c>
      <c r="I783" s="17" t="str">
        <f t="shared" si="70"/>
        <v> </v>
      </c>
      <c r="J783" s="18">
        <v>0</v>
      </c>
      <c r="K783" s="18">
        <v>59950.79</v>
      </c>
      <c r="L783" s="18">
        <v>1660254.06</v>
      </c>
      <c r="M783" t="s">
        <v>2661</v>
      </c>
    </row>
    <row r="784" spans="1:13" ht="15" thickBot="1" x14ac:dyDescent="0.35">
      <c r="A784" s="14">
        <v>777</v>
      </c>
      <c r="B784" s="15">
        <v>45517</v>
      </c>
      <c r="C784" s="15">
        <v>45517</v>
      </c>
      <c r="D784" s="16" t="s">
        <v>1192</v>
      </c>
      <c r="E784" s="16" t="s">
        <v>1193</v>
      </c>
      <c r="F784" s="16" t="s">
        <v>1194</v>
      </c>
      <c r="G784" s="16" t="s">
        <v>1195</v>
      </c>
      <c r="H784" s="14" t="str">
        <f>"20240813/21552"</f>
        <v>20240813/21552</v>
      </c>
      <c r="I784" s="17" t="str">
        <f t="shared" si="70"/>
        <v> </v>
      </c>
      <c r="J784" s="18">
        <v>0</v>
      </c>
      <c r="K784" s="18">
        <v>331.06</v>
      </c>
      <c r="L784" s="18">
        <v>1659923</v>
      </c>
      <c r="M784" t="s">
        <v>2661</v>
      </c>
    </row>
    <row r="785" spans="1:13" ht="15" thickBot="1" x14ac:dyDescent="0.35">
      <c r="A785" s="14">
        <v>778</v>
      </c>
      <c r="B785" s="15">
        <v>45517</v>
      </c>
      <c r="C785" s="15">
        <v>45517</v>
      </c>
      <c r="D785" s="16" t="s">
        <v>1192</v>
      </c>
      <c r="E785" s="16" t="s">
        <v>1193</v>
      </c>
      <c r="F785" s="16" t="s">
        <v>1741</v>
      </c>
      <c r="G785" s="16" t="s">
        <v>1197</v>
      </c>
      <c r="H785" s="14" t="str">
        <f>"20240813/129960"</f>
        <v>20240813/129960</v>
      </c>
      <c r="I785" s="19" t="str">
        <f t="shared" si="70"/>
        <v> </v>
      </c>
      <c r="J785" s="18">
        <v>331.06</v>
      </c>
      <c r="K785" s="18">
        <v>0</v>
      </c>
      <c r="L785" s="18">
        <v>1660254.06</v>
      </c>
      <c r="M785" t="s">
        <v>2658</v>
      </c>
    </row>
    <row r="786" spans="1:13" ht="15" thickBot="1" x14ac:dyDescent="0.35">
      <c r="A786" s="14">
        <v>779</v>
      </c>
      <c r="B786" s="15">
        <v>45517</v>
      </c>
      <c r="C786" s="15">
        <v>45517</v>
      </c>
      <c r="D786" s="16" t="s">
        <v>1192</v>
      </c>
      <c r="E786" s="16" t="s">
        <v>1193</v>
      </c>
      <c r="F786" s="16" t="s">
        <v>1742</v>
      </c>
      <c r="G786" s="16" t="s">
        <v>1197</v>
      </c>
      <c r="H786" s="14" t="str">
        <f>"20240813/236272"</f>
        <v>20240813/236272</v>
      </c>
      <c r="I786" s="19" t="str">
        <f t="shared" si="70"/>
        <v> </v>
      </c>
      <c r="J786" s="18">
        <v>162441.32999999999</v>
      </c>
      <c r="K786" s="18">
        <v>0</v>
      </c>
      <c r="L786" s="18">
        <v>1822695.39</v>
      </c>
    </row>
    <row r="787" spans="1:13" ht="15" thickBot="1" x14ac:dyDescent="0.35">
      <c r="A787" s="14">
        <v>780</v>
      </c>
      <c r="B787" s="15">
        <v>45517</v>
      </c>
      <c r="C787" s="15">
        <v>45517</v>
      </c>
      <c r="D787" s="16" t="s">
        <v>1192</v>
      </c>
      <c r="E787" s="16" t="s">
        <v>1193</v>
      </c>
      <c r="F787" s="16" t="s">
        <v>1743</v>
      </c>
      <c r="G787" s="16" t="s">
        <v>1197</v>
      </c>
      <c r="H787" s="14" t="str">
        <f>"20240813/236273"</f>
        <v>20240813/236273</v>
      </c>
      <c r="I787" s="19" t="str">
        <f t="shared" si="70"/>
        <v> </v>
      </c>
      <c r="J787" s="18">
        <v>683564.01</v>
      </c>
      <c r="K787" s="18">
        <v>0</v>
      </c>
      <c r="L787" s="18">
        <v>2506259.4</v>
      </c>
    </row>
    <row r="788" spans="1:13" ht="15" thickBot="1" x14ac:dyDescent="0.35">
      <c r="A788" s="14">
        <v>781</v>
      </c>
      <c r="B788" s="15">
        <v>45517</v>
      </c>
      <c r="C788" s="15">
        <v>45517</v>
      </c>
      <c r="D788" s="16" t="s">
        <v>1192</v>
      </c>
      <c r="E788" s="16" t="s">
        <v>1193</v>
      </c>
      <c r="F788" s="16" t="s">
        <v>1744</v>
      </c>
      <c r="G788" s="16" t="s">
        <v>1197</v>
      </c>
      <c r="H788" s="14" t="str">
        <f>"20240813/276944"</f>
        <v>20240813/276944</v>
      </c>
      <c r="I788" s="19" t="str">
        <f t="shared" si="70"/>
        <v> </v>
      </c>
      <c r="J788" s="18">
        <v>0</v>
      </c>
      <c r="K788" s="18">
        <v>132047.67999999999</v>
      </c>
      <c r="L788" s="18">
        <v>2374211.7200000002</v>
      </c>
    </row>
    <row r="789" spans="1:13" ht="15" thickBot="1" x14ac:dyDescent="0.35">
      <c r="A789" s="14">
        <v>782</v>
      </c>
      <c r="B789" s="15">
        <v>45517</v>
      </c>
      <c r="C789" s="15">
        <v>45517</v>
      </c>
      <c r="D789" s="16" t="s">
        <v>1192</v>
      </c>
      <c r="E789" s="16" t="s">
        <v>1193</v>
      </c>
      <c r="F789" s="16" t="s">
        <v>1745</v>
      </c>
      <c r="G789" s="16" t="s">
        <v>1197</v>
      </c>
      <c r="H789" s="14" t="str">
        <f>"20240813/276945"</f>
        <v>20240813/276945</v>
      </c>
      <c r="I789" s="19" t="str">
        <f t="shared" si="70"/>
        <v> </v>
      </c>
      <c r="J789" s="18">
        <v>0</v>
      </c>
      <c r="K789" s="18">
        <v>655579.21</v>
      </c>
      <c r="L789" s="18">
        <v>1718632.51</v>
      </c>
    </row>
    <row r="790" spans="1:13" ht="15" thickBot="1" x14ac:dyDescent="0.35">
      <c r="A790" s="14">
        <v>783</v>
      </c>
      <c r="B790" s="15">
        <v>45517</v>
      </c>
      <c r="C790" s="15">
        <v>45518</v>
      </c>
      <c r="D790" s="16" t="s">
        <v>1192</v>
      </c>
      <c r="E790" s="16" t="s">
        <v>1193</v>
      </c>
      <c r="F790" s="16" t="s">
        <v>1746</v>
      </c>
      <c r="G790" s="16" t="s">
        <v>1197</v>
      </c>
      <c r="H790" s="14" t="str">
        <f>"20240813/383951"</f>
        <v>20240813/383951</v>
      </c>
      <c r="I790" s="19" t="str">
        <f>"2408004142424"</f>
        <v>2408004142424</v>
      </c>
      <c r="J790" s="18">
        <v>0</v>
      </c>
      <c r="K790" s="18">
        <v>20839.580000000002</v>
      </c>
      <c r="L790" s="18">
        <v>1697792.93</v>
      </c>
    </row>
    <row r="791" spans="1:13" ht="15" thickBot="1" x14ac:dyDescent="0.35">
      <c r="A791" s="14">
        <v>784</v>
      </c>
      <c r="B791" s="15">
        <v>45517</v>
      </c>
      <c r="C791" s="15">
        <v>45518</v>
      </c>
      <c r="D791" s="16" t="s">
        <v>1192</v>
      </c>
      <c r="E791" s="16" t="s">
        <v>1193</v>
      </c>
      <c r="F791" s="16" t="s">
        <v>1747</v>
      </c>
      <c r="G791" s="16" t="s">
        <v>1197</v>
      </c>
      <c r="H791" s="14" t="str">
        <f>"20240813/383952"</f>
        <v>20240813/383952</v>
      </c>
      <c r="I791" s="19" t="str">
        <f>"2408004142424"</f>
        <v>2408004142424</v>
      </c>
      <c r="J791" s="18">
        <v>112562.22</v>
      </c>
      <c r="K791" s="18">
        <v>0</v>
      </c>
      <c r="L791" s="18">
        <v>1810355.15</v>
      </c>
    </row>
    <row r="792" spans="1:13" ht="15" thickBot="1" x14ac:dyDescent="0.35">
      <c r="A792" s="14">
        <v>785</v>
      </c>
      <c r="B792" s="15">
        <v>45518</v>
      </c>
      <c r="C792" s="15">
        <v>45518</v>
      </c>
      <c r="D792" s="16" t="s">
        <v>1192</v>
      </c>
      <c r="E792" s="16" t="s">
        <v>1193</v>
      </c>
      <c r="F792" s="16" t="s">
        <v>1204</v>
      </c>
      <c r="G792" s="16" t="s">
        <v>1203</v>
      </c>
      <c r="H792" s="14" t="str">
        <f>"20240814/40203"</f>
        <v>20240814/40203</v>
      </c>
      <c r="I792" s="17" t="str">
        <f t="shared" ref="I792:I800" si="71">" "</f>
        <v> </v>
      </c>
      <c r="J792" s="18">
        <v>20839.580000000002</v>
      </c>
      <c r="K792" s="18">
        <v>0</v>
      </c>
      <c r="L792" s="18">
        <v>1831194.73</v>
      </c>
      <c r="M792" t="s">
        <v>2661</v>
      </c>
    </row>
    <row r="793" spans="1:13" ht="15" thickBot="1" x14ac:dyDescent="0.35">
      <c r="A793" s="14">
        <v>786</v>
      </c>
      <c r="B793" s="15">
        <v>45518</v>
      </c>
      <c r="C793" s="15">
        <v>45518</v>
      </c>
      <c r="D793" s="16" t="s">
        <v>1192</v>
      </c>
      <c r="E793" s="16" t="s">
        <v>1193</v>
      </c>
      <c r="F793" s="16" t="s">
        <v>1194</v>
      </c>
      <c r="G793" s="16" t="s">
        <v>1195</v>
      </c>
      <c r="H793" s="14" t="str">
        <f>"20240814/107045"</f>
        <v>20240814/107045</v>
      </c>
      <c r="I793" s="17" t="str">
        <f t="shared" si="71"/>
        <v> </v>
      </c>
      <c r="J793" s="18">
        <v>0</v>
      </c>
      <c r="K793" s="18">
        <v>41408.53</v>
      </c>
      <c r="L793" s="18">
        <v>1789786.2</v>
      </c>
      <c r="M793" t="s">
        <v>2661</v>
      </c>
    </row>
    <row r="794" spans="1:13" ht="15" thickBot="1" x14ac:dyDescent="0.35">
      <c r="A794" s="14">
        <v>787</v>
      </c>
      <c r="B794" s="15">
        <v>45518</v>
      </c>
      <c r="C794" s="15">
        <v>45518</v>
      </c>
      <c r="D794" s="16" t="s">
        <v>1192</v>
      </c>
      <c r="E794" s="16" t="s">
        <v>1193</v>
      </c>
      <c r="F794" s="16" t="s">
        <v>1194</v>
      </c>
      <c r="G794" s="16" t="s">
        <v>1195</v>
      </c>
      <c r="H794" s="14" t="str">
        <f>"20240814/36762"</f>
        <v>20240814/36762</v>
      </c>
      <c r="I794" s="17" t="str">
        <f t="shared" si="71"/>
        <v> </v>
      </c>
      <c r="J794" s="18">
        <v>0</v>
      </c>
      <c r="K794" s="18">
        <v>310.8</v>
      </c>
      <c r="L794" s="18">
        <v>1789475.4</v>
      </c>
      <c r="M794" t="s">
        <v>2661</v>
      </c>
    </row>
    <row r="795" spans="1:13" ht="15" thickBot="1" x14ac:dyDescent="0.35">
      <c r="A795" s="14">
        <v>788</v>
      </c>
      <c r="B795" s="15">
        <v>45518</v>
      </c>
      <c r="C795" s="15">
        <v>45518</v>
      </c>
      <c r="D795" s="16" t="s">
        <v>1192</v>
      </c>
      <c r="E795" s="16" t="s">
        <v>1193</v>
      </c>
      <c r="F795" s="16" t="s">
        <v>1249</v>
      </c>
      <c r="G795" s="16" t="s">
        <v>1195</v>
      </c>
      <c r="H795" s="14" t="str">
        <f>"20240814/51585"</f>
        <v>20240814/51585</v>
      </c>
      <c r="I795" s="17" t="str">
        <f t="shared" si="71"/>
        <v> </v>
      </c>
      <c r="J795" s="18">
        <v>0</v>
      </c>
      <c r="K795" s="18">
        <v>48158.64</v>
      </c>
      <c r="L795" s="18">
        <v>1741316.76</v>
      </c>
      <c r="M795" t="s">
        <v>2661</v>
      </c>
    </row>
    <row r="796" spans="1:13" ht="15" thickBot="1" x14ac:dyDescent="0.35">
      <c r="A796" s="14">
        <v>789</v>
      </c>
      <c r="B796" s="15">
        <v>45518</v>
      </c>
      <c r="C796" s="15">
        <v>45518</v>
      </c>
      <c r="D796" s="16" t="s">
        <v>1192</v>
      </c>
      <c r="E796" s="16" t="s">
        <v>1193</v>
      </c>
      <c r="F796" s="16" t="s">
        <v>1748</v>
      </c>
      <c r="G796" s="16" t="s">
        <v>1197</v>
      </c>
      <c r="H796" s="14" t="str">
        <f>"20240814/135879"</f>
        <v>20240814/135879</v>
      </c>
      <c r="I796" s="19" t="str">
        <f t="shared" si="71"/>
        <v> </v>
      </c>
      <c r="J796" s="18">
        <v>310.8</v>
      </c>
      <c r="K796" s="18">
        <v>0</v>
      </c>
      <c r="L796" s="18">
        <v>1741627.56</v>
      </c>
      <c r="M796" t="s">
        <v>2658</v>
      </c>
    </row>
    <row r="797" spans="1:13" ht="15" thickBot="1" x14ac:dyDescent="0.35">
      <c r="A797" s="14">
        <v>790</v>
      </c>
      <c r="B797" s="15">
        <v>45518</v>
      </c>
      <c r="C797" s="15">
        <v>45518</v>
      </c>
      <c r="D797" s="16" t="s">
        <v>1192</v>
      </c>
      <c r="E797" s="16" t="s">
        <v>1193</v>
      </c>
      <c r="F797" s="16" t="s">
        <v>1749</v>
      </c>
      <c r="G797" s="16" t="s">
        <v>1197</v>
      </c>
      <c r="H797" s="14" t="str">
        <f>"20240814/185276"</f>
        <v>20240814/185276</v>
      </c>
      <c r="I797" s="19" t="str">
        <f t="shared" si="71"/>
        <v> </v>
      </c>
      <c r="J797" s="18">
        <v>716625.04</v>
      </c>
      <c r="K797" s="18">
        <v>0</v>
      </c>
      <c r="L797" s="18">
        <v>2458252.6</v>
      </c>
    </row>
    <row r="798" spans="1:13" ht="15" thickBot="1" x14ac:dyDescent="0.35">
      <c r="A798" s="14">
        <v>791</v>
      </c>
      <c r="B798" s="15">
        <v>45518</v>
      </c>
      <c r="C798" s="15">
        <v>45518</v>
      </c>
      <c r="D798" s="16" t="s">
        <v>1192</v>
      </c>
      <c r="E798" s="16" t="s">
        <v>1193</v>
      </c>
      <c r="F798" s="16" t="s">
        <v>1750</v>
      </c>
      <c r="G798" s="16" t="s">
        <v>1197</v>
      </c>
      <c r="H798" s="14" t="str">
        <f>"20240814/185277"</f>
        <v>20240814/185277</v>
      </c>
      <c r="I798" s="19" t="str">
        <f t="shared" si="71"/>
        <v> </v>
      </c>
      <c r="J798" s="18">
        <v>170787.83</v>
      </c>
      <c r="K798" s="18">
        <v>0</v>
      </c>
      <c r="L798" s="18">
        <v>2629040.4300000002</v>
      </c>
    </row>
    <row r="799" spans="1:13" ht="15" thickBot="1" x14ac:dyDescent="0.35">
      <c r="A799" s="14">
        <v>792</v>
      </c>
      <c r="B799" s="15">
        <v>45518</v>
      </c>
      <c r="C799" s="15">
        <v>45518</v>
      </c>
      <c r="D799" s="16" t="s">
        <v>1192</v>
      </c>
      <c r="E799" s="16" t="s">
        <v>1193</v>
      </c>
      <c r="F799" s="16" t="s">
        <v>1751</v>
      </c>
      <c r="G799" s="16" t="s">
        <v>1197</v>
      </c>
      <c r="H799" s="14" t="str">
        <f>"20240814/281409"</f>
        <v>20240814/281409</v>
      </c>
      <c r="I799" s="19" t="str">
        <f t="shared" si="71"/>
        <v> </v>
      </c>
      <c r="J799" s="18">
        <v>0</v>
      </c>
      <c r="K799" s="18">
        <v>162441.32999999999</v>
      </c>
      <c r="L799" s="18">
        <v>2466599.1</v>
      </c>
    </row>
    <row r="800" spans="1:13" ht="15" thickBot="1" x14ac:dyDescent="0.35">
      <c r="A800" s="14">
        <v>793</v>
      </c>
      <c r="B800" s="15">
        <v>45518</v>
      </c>
      <c r="C800" s="15">
        <v>45518</v>
      </c>
      <c r="D800" s="16" t="s">
        <v>1192</v>
      </c>
      <c r="E800" s="16" t="s">
        <v>1193</v>
      </c>
      <c r="F800" s="16" t="s">
        <v>1752</v>
      </c>
      <c r="G800" s="16" t="s">
        <v>1197</v>
      </c>
      <c r="H800" s="14" t="str">
        <f>"20240814/281410"</f>
        <v>20240814/281410</v>
      </c>
      <c r="I800" s="19" t="str">
        <f t="shared" si="71"/>
        <v> </v>
      </c>
      <c r="J800" s="18">
        <v>0</v>
      </c>
      <c r="K800" s="18">
        <v>683564.01</v>
      </c>
      <c r="L800" s="18">
        <v>1783035.09</v>
      </c>
    </row>
    <row r="801" spans="1:13" ht="15" thickBot="1" x14ac:dyDescent="0.35">
      <c r="A801" s="14">
        <v>794</v>
      </c>
      <c r="B801" s="15">
        <v>45518</v>
      </c>
      <c r="C801" s="15">
        <v>45520</v>
      </c>
      <c r="D801" s="16" t="s">
        <v>1192</v>
      </c>
      <c r="E801" s="16" t="s">
        <v>1193</v>
      </c>
      <c r="F801" s="16" t="s">
        <v>1753</v>
      </c>
      <c r="G801" s="16" t="s">
        <v>1197</v>
      </c>
      <c r="H801" s="14" t="str">
        <f>"20240814/367650"</f>
        <v>20240814/367650</v>
      </c>
      <c r="I801" s="19" t="str">
        <f>"2408004618011"</f>
        <v>2408004618011</v>
      </c>
      <c r="J801" s="18">
        <v>40423.85</v>
      </c>
      <c r="K801" s="18">
        <v>0</v>
      </c>
      <c r="L801" s="18">
        <v>1823458.94</v>
      </c>
    </row>
    <row r="802" spans="1:13" ht="15" thickBot="1" x14ac:dyDescent="0.35">
      <c r="A802" s="14">
        <v>795</v>
      </c>
      <c r="B802" s="15">
        <v>45518</v>
      </c>
      <c r="C802" s="15">
        <v>45520</v>
      </c>
      <c r="D802" s="16" t="s">
        <v>1192</v>
      </c>
      <c r="E802" s="16" t="s">
        <v>1193</v>
      </c>
      <c r="F802" s="16" t="s">
        <v>1754</v>
      </c>
      <c r="G802" s="16" t="s">
        <v>1197</v>
      </c>
      <c r="H802" s="14" t="str">
        <f>"20240814/367651"</f>
        <v>20240814/367651</v>
      </c>
      <c r="I802" s="19" t="str">
        <f>"2408004618011"</f>
        <v>2408004618011</v>
      </c>
      <c r="J802" s="18">
        <v>106074.15</v>
      </c>
      <c r="K802" s="18">
        <v>0</v>
      </c>
      <c r="L802" s="18">
        <v>1929533.09</v>
      </c>
    </row>
    <row r="803" spans="1:13" ht="15" thickBot="1" x14ac:dyDescent="0.35">
      <c r="A803" s="14">
        <v>796</v>
      </c>
      <c r="B803" s="15">
        <v>45518</v>
      </c>
      <c r="C803" s="15">
        <v>45520</v>
      </c>
      <c r="D803" s="16" t="s">
        <v>1192</v>
      </c>
      <c r="E803" s="16" t="s">
        <v>1193</v>
      </c>
      <c r="F803" s="16" t="s">
        <v>1755</v>
      </c>
      <c r="G803" s="16" t="s">
        <v>1197</v>
      </c>
      <c r="H803" s="14" t="str">
        <f>"20240814/367652"</f>
        <v>20240814/367652</v>
      </c>
      <c r="I803" s="19" t="str">
        <f>"2408004618012"</f>
        <v>2408004618012</v>
      </c>
      <c r="J803" s="18">
        <v>7734.79</v>
      </c>
      <c r="K803" s="18">
        <v>0</v>
      </c>
      <c r="L803" s="18">
        <v>1937267.88</v>
      </c>
    </row>
    <row r="804" spans="1:13" ht="15" thickBot="1" x14ac:dyDescent="0.35">
      <c r="A804" s="14">
        <v>797</v>
      </c>
      <c r="B804" s="15">
        <v>45520</v>
      </c>
      <c r="C804" s="15">
        <v>45520</v>
      </c>
      <c r="D804" s="16" t="s">
        <v>1192</v>
      </c>
      <c r="E804" s="16" t="s">
        <v>1193</v>
      </c>
      <c r="F804" s="16" t="s">
        <v>1194</v>
      </c>
      <c r="G804" s="16" t="s">
        <v>1195</v>
      </c>
      <c r="H804" s="14" t="str">
        <f>"20240816/37883"</f>
        <v>20240816/37883</v>
      </c>
      <c r="I804" s="17" t="str">
        <f t="shared" ref="I804:I809" si="72">" "</f>
        <v> </v>
      </c>
      <c r="J804" s="18">
        <v>0</v>
      </c>
      <c r="K804" s="18">
        <v>672.28</v>
      </c>
      <c r="L804" s="18">
        <v>1936595.6</v>
      </c>
      <c r="M804" t="s">
        <v>2661</v>
      </c>
    </row>
    <row r="805" spans="1:13" ht="15" thickBot="1" x14ac:dyDescent="0.35">
      <c r="A805" s="14">
        <v>798</v>
      </c>
      <c r="B805" s="15">
        <v>45520</v>
      </c>
      <c r="C805" s="15">
        <v>45520</v>
      </c>
      <c r="D805" s="16" t="s">
        <v>1192</v>
      </c>
      <c r="E805" s="16" t="s">
        <v>1193</v>
      </c>
      <c r="F805" s="16" t="s">
        <v>1756</v>
      </c>
      <c r="G805" s="16" t="s">
        <v>1197</v>
      </c>
      <c r="H805" s="14" t="str">
        <f>"20240816/127963"</f>
        <v>20240816/127963</v>
      </c>
      <c r="I805" s="19" t="str">
        <f t="shared" si="72"/>
        <v> </v>
      </c>
      <c r="J805" s="18">
        <v>672.28</v>
      </c>
      <c r="K805" s="18">
        <v>0</v>
      </c>
      <c r="L805" s="18">
        <v>1937267.88</v>
      </c>
      <c r="M805" t="s">
        <v>2658</v>
      </c>
    </row>
    <row r="806" spans="1:13" ht="15" thickBot="1" x14ac:dyDescent="0.35">
      <c r="A806" s="14">
        <v>799</v>
      </c>
      <c r="B806" s="15">
        <v>45520</v>
      </c>
      <c r="C806" s="15">
        <v>45520</v>
      </c>
      <c r="D806" s="16" t="s">
        <v>1192</v>
      </c>
      <c r="E806" s="16" t="s">
        <v>1193</v>
      </c>
      <c r="F806" s="16" t="s">
        <v>1757</v>
      </c>
      <c r="G806" s="16" t="s">
        <v>1197</v>
      </c>
      <c r="H806" s="14" t="str">
        <f>"20240816/159282"</f>
        <v>20240816/159282</v>
      </c>
      <c r="I806" s="19" t="str">
        <f t="shared" si="72"/>
        <v> </v>
      </c>
      <c r="J806" s="18">
        <v>725235.22</v>
      </c>
      <c r="K806" s="18">
        <v>0</v>
      </c>
      <c r="L806" s="18">
        <v>2662503.1</v>
      </c>
    </row>
    <row r="807" spans="1:13" ht="15" thickBot="1" x14ac:dyDescent="0.35">
      <c r="A807" s="14">
        <v>800</v>
      </c>
      <c r="B807" s="15">
        <v>45520</v>
      </c>
      <c r="C807" s="15">
        <v>45520</v>
      </c>
      <c r="D807" s="16" t="s">
        <v>1192</v>
      </c>
      <c r="E807" s="16" t="s">
        <v>1193</v>
      </c>
      <c r="F807" s="16" t="s">
        <v>1758</v>
      </c>
      <c r="G807" s="16" t="s">
        <v>1197</v>
      </c>
      <c r="H807" s="14" t="str">
        <f>"20240816/159283"</f>
        <v>20240816/159283</v>
      </c>
      <c r="I807" s="19" t="str">
        <f t="shared" si="72"/>
        <v> </v>
      </c>
      <c r="J807" s="18">
        <v>146669.82999999999</v>
      </c>
      <c r="K807" s="18">
        <v>0</v>
      </c>
      <c r="L807" s="18">
        <v>2809172.93</v>
      </c>
    </row>
    <row r="808" spans="1:13" ht="15" thickBot="1" x14ac:dyDescent="0.35">
      <c r="A808" s="14">
        <v>801</v>
      </c>
      <c r="B808" s="15">
        <v>45520</v>
      </c>
      <c r="C808" s="15">
        <v>45520</v>
      </c>
      <c r="D808" s="16" t="s">
        <v>1192</v>
      </c>
      <c r="E808" s="16" t="s">
        <v>1193</v>
      </c>
      <c r="F808" s="16" t="s">
        <v>1759</v>
      </c>
      <c r="G808" s="16" t="s">
        <v>1197</v>
      </c>
      <c r="H808" s="14" t="str">
        <f>"20240816/239350"</f>
        <v>20240816/239350</v>
      </c>
      <c r="I808" s="19" t="str">
        <f t="shared" si="72"/>
        <v> </v>
      </c>
      <c r="J808" s="18">
        <v>0</v>
      </c>
      <c r="K808" s="18">
        <v>716625.04</v>
      </c>
      <c r="L808" s="18">
        <v>2092547.89</v>
      </c>
    </row>
    <row r="809" spans="1:13" ht="15" thickBot="1" x14ac:dyDescent="0.35">
      <c r="A809" s="14">
        <v>802</v>
      </c>
      <c r="B809" s="15">
        <v>45520</v>
      </c>
      <c r="C809" s="15">
        <v>45520</v>
      </c>
      <c r="D809" s="16" t="s">
        <v>1192</v>
      </c>
      <c r="E809" s="16" t="s">
        <v>1193</v>
      </c>
      <c r="F809" s="16" t="s">
        <v>1760</v>
      </c>
      <c r="G809" s="16" t="s">
        <v>1197</v>
      </c>
      <c r="H809" s="14" t="str">
        <f>"20240816/239351"</f>
        <v>20240816/239351</v>
      </c>
      <c r="I809" s="19" t="str">
        <f t="shared" si="72"/>
        <v> </v>
      </c>
      <c r="J809" s="18">
        <v>0</v>
      </c>
      <c r="K809" s="18">
        <v>170787.83</v>
      </c>
      <c r="L809" s="18">
        <v>1921760.06</v>
      </c>
    </row>
    <row r="810" spans="1:13" ht="15" thickBot="1" x14ac:dyDescent="0.35">
      <c r="A810" s="14">
        <v>803</v>
      </c>
      <c r="B810" s="15">
        <v>45520</v>
      </c>
      <c r="C810" s="15">
        <v>45523</v>
      </c>
      <c r="D810" s="16" t="s">
        <v>1192</v>
      </c>
      <c r="E810" s="16" t="s">
        <v>1193</v>
      </c>
      <c r="F810" s="16" t="s">
        <v>1761</v>
      </c>
      <c r="G810" s="16" t="s">
        <v>1197</v>
      </c>
      <c r="H810" s="14" t="str">
        <f>"20240816/359927"</f>
        <v>20240816/359927</v>
      </c>
      <c r="I810" s="19" t="str">
        <f>"2408005082716"</f>
        <v>2408005082716</v>
      </c>
      <c r="J810" s="18">
        <v>0</v>
      </c>
      <c r="K810" s="18">
        <v>37084.78</v>
      </c>
      <c r="L810" s="18">
        <v>1884675.28</v>
      </c>
    </row>
    <row r="811" spans="1:13" ht="15" thickBot="1" x14ac:dyDescent="0.35">
      <c r="A811" s="14">
        <v>804</v>
      </c>
      <c r="B811" s="15">
        <v>45520</v>
      </c>
      <c r="C811" s="15">
        <v>45523</v>
      </c>
      <c r="D811" s="16" t="s">
        <v>1192</v>
      </c>
      <c r="E811" s="16" t="s">
        <v>1193</v>
      </c>
      <c r="F811" s="16" t="s">
        <v>1762</v>
      </c>
      <c r="G811" s="16" t="s">
        <v>1197</v>
      </c>
      <c r="H811" s="14" t="str">
        <f>"20240816/359928"</f>
        <v>20240816/359928</v>
      </c>
      <c r="I811" s="19" t="str">
        <f>"2408005082716"</f>
        <v>2408005082716</v>
      </c>
      <c r="J811" s="18">
        <v>1310.96</v>
      </c>
      <c r="K811" s="18">
        <v>0</v>
      </c>
      <c r="L811" s="18">
        <v>1885986.24</v>
      </c>
    </row>
    <row r="812" spans="1:13" ht="15" thickBot="1" x14ac:dyDescent="0.35">
      <c r="A812" s="14">
        <v>805</v>
      </c>
      <c r="B812" s="15">
        <v>45523</v>
      </c>
      <c r="C812" s="15">
        <v>45523</v>
      </c>
      <c r="D812" s="16" t="s">
        <v>1192</v>
      </c>
      <c r="E812" s="16" t="s">
        <v>1193</v>
      </c>
      <c r="F812" s="16" t="s">
        <v>1202</v>
      </c>
      <c r="G812" s="16" t="s">
        <v>1203</v>
      </c>
      <c r="H812" s="14" t="str">
        <f>"20240819/20215"</f>
        <v>20240819/20215</v>
      </c>
      <c r="I812" s="17" t="str">
        <f t="shared" ref="I812:I819" si="73">" "</f>
        <v> </v>
      </c>
      <c r="J812" s="18">
        <v>14196.86</v>
      </c>
      <c r="K812" s="18">
        <v>0</v>
      </c>
      <c r="L812" s="18">
        <v>1900183.1</v>
      </c>
      <c r="M812" t="s">
        <v>2661</v>
      </c>
    </row>
    <row r="813" spans="1:13" ht="15" thickBot="1" x14ac:dyDescent="0.35">
      <c r="A813" s="14">
        <v>806</v>
      </c>
      <c r="B813" s="15">
        <v>45523</v>
      </c>
      <c r="C813" s="15">
        <v>45523</v>
      </c>
      <c r="D813" s="16" t="s">
        <v>1192</v>
      </c>
      <c r="E813" s="16" t="s">
        <v>1193</v>
      </c>
      <c r="F813" s="16" t="s">
        <v>1204</v>
      </c>
      <c r="G813" s="16" t="s">
        <v>1203</v>
      </c>
      <c r="H813" s="14" t="str">
        <f>"20240819/52099"</f>
        <v>20240819/52099</v>
      </c>
      <c r="I813" s="17" t="str">
        <f t="shared" si="73"/>
        <v> </v>
      </c>
      <c r="J813" s="18">
        <v>37084.78</v>
      </c>
      <c r="K813" s="18">
        <v>0</v>
      </c>
      <c r="L813" s="18">
        <v>1937267.88</v>
      </c>
      <c r="M813" t="s">
        <v>2661</v>
      </c>
    </row>
    <row r="814" spans="1:13" ht="15" thickBot="1" x14ac:dyDescent="0.35">
      <c r="A814" s="14">
        <v>807</v>
      </c>
      <c r="B814" s="15">
        <v>45523</v>
      </c>
      <c r="C814" s="15">
        <v>45523</v>
      </c>
      <c r="D814" s="16" t="s">
        <v>1192</v>
      </c>
      <c r="E814" s="16" t="s">
        <v>1193</v>
      </c>
      <c r="F814" s="16" t="s">
        <v>1194</v>
      </c>
      <c r="G814" s="16" t="s">
        <v>1195</v>
      </c>
      <c r="H814" s="14" t="str">
        <f>"20240819/39808"</f>
        <v>20240819/39808</v>
      </c>
      <c r="I814" s="17" t="str">
        <f t="shared" si="73"/>
        <v> </v>
      </c>
      <c r="J814" s="18">
        <v>0</v>
      </c>
      <c r="K814" s="18">
        <v>1121.76</v>
      </c>
      <c r="L814" s="18">
        <v>1936146.12</v>
      </c>
      <c r="M814" t="s">
        <v>2661</v>
      </c>
    </row>
    <row r="815" spans="1:13" ht="15" thickBot="1" x14ac:dyDescent="0.35">
      <c r="A815" s="14">
        <v>808</v>
      </c>
      <c r="B815" s="15">
        <v>45523</v>
      </c>
      <c r="C815" s="15">
        <v>45523</v>
      </c>
      <c r="D815" s="16" t="s">
        <v>1192</v>
      </c>
      <c r="E815" s="16" t="s">
        <v>1193</v>
      </c>
      <c r="F815" s="16" t="s">
        <v>1763</v>
      </c>
      <c r="G815" s="16" t="s">
        <v>1197</v>
      </c>
      <c r="H815" s="14" t="str">
        <f>"20240819/141559"</f>
        <v>20240819/141559</v>
      </c>
      <c r="I815" s="19" t="str">
        <f t="shared" si="73"/>
        <v> </v>
      </c>
      <c r="J815" s="18">
        <v>1121.76</v>
      </c>
      <c r="K815" s="18">
        <v>0</v>
      </c>
      <c r="L815" s="18">
        <v>1937267.88</v>
      </c>
      <c r="M815" t="s">
        <v>2658</v>
      </c>
    </row>
    <row r="816" spans="1:13" ht="15" thickBot="1" x14ac:dyDescent="0.35">
      <c r="A816" s="14">
        <v>809</v>
      </c>
      <c r="B816" s="15">
        <v>45523</v>
      </c>
      <c r="C816" s="15">
        <v>45523</v>
      </c>
      <c r="D816" s="16" t="s">
        <v>1192</v>
      </c>
      <c r="E816" s="16" t="s">
        <v>1193</v>
      </c>
      <c r="F816" s="16" t="s">
        <v>1764</v>
      </c>
      <c r="G816" s="16" t="s">
        <v>1197</v>
      </c>
      <c r="H816" s="14" t="str">
        <f>"20240819/170467"</f>
        <v>20240819/170467</v>
      </c>
      <c r="I816" s="19" t="str">
        <f t="shared" si="73"/>
        <v> </v>
      </c>
      <c r="J816" s="18">
        <v>100361.48</v>
      </c>
      <c r="K816" s="18">
        <v>0</v>
      </c>
      <c r="L816" s="18">
        <v>2037629.36</v>
      </c>
    </row>
    <row r="817" spans="1:13" ht="15" thickBot="1" x14ac:dyDescent="0.35">
      <c r="A817" s="14">
        <v>810</v>
      </c>
      <c r="B817" s="15">
        <v>45523</v>
      </c>
      <c r="C817" s="15">
        <v>45523</v>
      </c>
      <c r="D817" s="16" t="s">
        <v>1192</v>
      </c>
      <c r="E817" s="16" t="s">
        <v>1193</v>
      </c>
      <c r="F817" s="16" t="s">
        <v>1765</v>
      </c>
      <c r="G817" s="16" t="s">
        <v>1197</v>
      </c>
      <c r="H817" s="14" t="str">
        <f>"20240819/170468"</f>
        <v>20240819/170468</v>
      </c>
      <c r="I817" s="19" t="str">
        <f t="shared" si="73"/>
        <v> </v>
      </c>
      <c r="J817" s="18">
        <v>465066.42</v>
      </c>
      <c r="K817" s="18">
        <v>0</v>
      </c>
      <c r="L817" s="18">
        <v>2502695.7799999998</v>
      </c>
    </row>
    <row r="818" spans="1:13" ht="15" thickBot="1" x14ac:dyDescent="0.35">
      <c r="A818" s="14">
        <v>811</v>
      </c>
      <c r="B818" s="15">
        <v>45523</v>
      </c>
      <c r="C818" s="15">
        <v>45523</v>
      </c>
      <c r="D818" s="16" t="s">
        <v>1192</v>
      </c>
      <c r="E818" s="16" t="s">
        <v>1193</v>
      </c>
      <c r="F818" s="16" t="s">
        <v>1766</v>
      </c>
      <c r="G818" s="16" t="s">
        <v>1197</v>
      </c>
      <c r="H818" s="14" t="str">
        <f>"20240819/300271"</f>
        <v>20240819/300271</v>
      </c>
      <c r="I818" s="19" t="str">
        <f t="shared" si="73"/>
        <v> </v>
      </c>
      <c r="J818" s="18">
        <v>0</v>
      </c>
      <c r="K818" s="18">
        <v>725235.22</v>
      </c>
      <c r="L818" s="18">
        <v>1777460.56</v>
      </c>
    </row>
    <row r="819" spans="1:13" ht="15" thickBot="1" x14ac:dyDescent="0.35">
      <c r="A819" s="14">
        <v>812</v>
      </c>
      <c r="B819" s="15">
        <v>45523</v>
      </c>
      <c r="C819" s="15">
        <v>45523</v>
      </c>
      <c r="D819" s="16" t="s">
        <v>1192</v>
      </c>
      <c r="E819" s="16" t="s">
        <v>1193</v>
      </c>
      <c r="F819" s="16" t="s">
        <v>1767</v>
      </c>
      <c r="G819" s="16" t="s">
        <v>1197</v>
      </c>
      <c r="H819" s="14" t="str">
        <f>"20240819/300272"</f>
        <v>20240819/300272</v>
      </c>
      <c r="I819" s="19" t="str">
        <f t="shared" si="73"/>
        <v> </v>
      </c>
      <c r="J819" s="18">
        <v>0</v>
      </c>
      <c r="K819" s="18">
        <v>146669.82999999999</v>
      </c>
      <c r="L819" s="18">
        <v>1630790.73</v>
      </c>
    </row>
    <row r="820" spans="1:13" ht="15" thickBot="1" x14ac:dyDescent="0.35">
      <c r="A820" s="14">
        <v>813</v>
      </c>
      <c r="B820" s="15">
        <v>45523</v>
      </c>
      <c r="C820" s="15">
        <v>45524</v>
      </c>
      <c r="D820" s="16" t="s">
        <v>1192</v>
      </c>
      <c r="E820" s="16" t="s">
        <v>1193</v>
      </c>
      <c r="F820" s="16" t="s">
        <v>1768</v>
      </c>
      <c r="G820" s="16" t="s">
        <v>1197</v>
      </c>
      <c r="H820" s="14" t="str">
        <f>"20240819/379135"</f>
        <v>20240819/379135</v>
      </c>
      <c r="I820" s="19" t="str">
        <f>"2408005561674"</f>
        <v>2408005561674</v>
      </c>
      <c r="J820" s="18">
        <v>0</v>
      </c>
      <c r="K820" s="18">
        <v>480073.02</v>
      </c>
      <c r="L820" s="18">
        <v>1150717.71</v>
      </c>
    </row>
    <row r="821" spans="1:13" ht="15" thickBot="1" x14ac:dyDescent="0.35">
      <c r="A821" s="14">
        <v>814</v>
      </c>
      <c r="B821" s="15">
        <v>45524</v>
      </c>
      <c r="C821" s="15">
        <v>45524</v>
      </c>
      <c r="D821" s="16" t="s">
        <v>1192</v>
      </c>
      <c r="E821" s="16" t="s">
        <v>1193</v>
      </c>
      <c r="F821" s="16" t="s">
        <v>1202</v>
      </c>
      <c r="G821" s="16" t="s">
        <v>1203</v>
      </c>
      <c r="H821" s="14" t="str">
        <f>"20240820/22614"</f>
        <v>20240820/22614</v>
      </c>
      <c r="I821" s="17" t="str">
        <f t="shared" ref="I821:I829" si="74">" "</f>
        <v> </v>
      </c>
      <c r="J821" s="18">
        <v>119894.24</v>
      </c>
      <c r="K821" s="18">
        <v>0</v>
      </c>
      <c r="L821" s="18">
        <v>1270611.95</v>
      </c>
      <c r="M821" t="s">
        <v>2661</v>
      </c>
    </row>
    <row r="822" spans="1:13" ht="15" thickBot="1" x14ac:dyDescent="0.35">
      <c r="A822" s="14">
        <v>815</v>
      </c>
      <c r="B822" s="15">
        <v>45524</v>
      </c>
      <c r="C822" s="15">
        <v>45524</v>
      </c>
      <c r="D822" s="16" t="s">
        <v>1192</v>
      </c>
      <c r="E822" s="16" t="s">
        <v>1193</v>
      </c>
      <c r="F822" s="16" t="s">
        <v>1194</v>
      </c>
      <c r="G822" s="16" t="s">
        <v>1195</v>
      </c>
      <c r="H822" s="14" t="str">
        <f>"20240820/39869"</f>
        <v>20240820/39869</v>
      </c>
      <c r="I822" s="17" t="str">
        <f t="shared" si="74"/>
        <v> </v>
      </c>
      <c r="J822" s="18">
        <v>0</v>
      </c>
      <c r="K822" s="18">
        <v>379.44</v>
      </c>
      <c r="L822" s="18">
        <v>1270232.51</v>
      </c>
      <c r="M822" t="s">
        <v>2661</v>
      </c>
    </row>
    <row r="823" spans="1:13" ht="15" thickBot="1" x14ac:dyDescent="0.35">
      <c r="A823" s="14">
        <v>816</v>
      </c>
      <c r="B823" s="15">
        <v>45524</v>
      </c>
      <c r="C823" s="15">
        <v>45524</v>
      </c>
      <c r="D823" s="16" t="s">
        <v>1192</v>
      </c>
      <c r="E823" s="16" t="s">
        <v>1193</v>
      </c>
      <c r="F823" s="16" t="s">
        <v>1249</v>
      </c>
      <c r="G823" s="16" t="s">
        <v>1195</v>
      </c>
      <c r="H823" s="14" t="str">
        <f>"20240820/87474"</f>
        <v>20240820/87474</v>
      </c>
      <c r="I823" s="17" t="str">
        <f t="shared" si="74"/>
        <v> </v>
      </c>
      <c r="J823" s="18">
        <v>0</v>
      </c>
      <c r="K823" s="18">
        <v>22440.959999999999</v>
      </c>
      <c r="L823" s="18">
        <v>1247791.55</v>
      </c>
      <c r="M823" t="s">
        <v>2661</v>
      </c>
    </row>
    <row r="824" spans="1:13" ht="15" thickBot="1" x14ac:dyDescent="0.35">
      <c r="A824" s="14">
        <v>817</v>
      </c>
      <c r="B824" s="15">
        <v>45524</v>
      </c>
      <c r="C824" s="15">
        <v>45524</v>
      </c>
      <c r="D824" s="16" t="s">
        <v>1192</v>
      </c>
      <c r="E824" s="16" t="s">
        <v>1193</v>
      </c>
      <c r="F824" s="16" t="s">
        <v>1194</v>
      </c>
      <c r="G824" s="16" t="s">
        <v>1195</v>
      </c>
      <c r="H824" s="14" t="str">
        <f>"20240820/99725"</f>
        <v>20240820/99725</v>
      </c>
      <c r="I824" s="17" t="str">
        <f t="shared" si="74"/>
        <v> </v>
      </c>
      <c r="J824" s="18">
        <v>0</v>
      </c>
      <c r="K824" s="18">
        <v>2813.96</v>
      </c>
      <c r="L824" s="18">
        <v>1244977.5900000001</v>
      </c>
      <c r="M824" t="s">
        <v>2661</v>
      </c>
    </row>
    <row r="825" spans="1:13" ht="15" thickBot="1" x14ac:dyDescent="0.35">
      <c r="A825" s="14">
        <v>818</v>
      </c>
      <c r="B825" s="15">
        <v>45524</v>
      </c>
      <c r="C825" s="15">
        <v>45524</v>
      </c>
      <c r="D825" s="16" t="s">
        <v>1192</v>
      </c>
      <c r="E825" s="16" t="s">
        <v>1193</v>
      </c>
      <c r="F825" s="16" t="s">
        <v>1769</v>
      </c>
      <c r="G825" s="16" t="s">
        <v>1197</v>
      </c>
      <c r="H825" s="14" t="str">
        <f>"20240820/126652"</f>
        <v>20240820/126652</v>
      </c>
      <c r="I825" s="19" t="str">
        <f t="shared" si="74"/>
        <v> </v>
      </c>
      <c r="J825" s="18">
        <v>379.44</v>
      </c>
      <c r="K825" s="18">
        <v>0</v>
      </c>
      <c r="L825" s="18">
        <v>1245357.03</v>
      </c>
      <c r="M825" t="s">
        <v>2658</v>
      </c>
    </row>
    <row r="826" spans="1:13" ht="15" thickBot="1" x14ac:dyDescent="0.35">
      <c r="A826" s="14">
        <v>819</v>
      </c>
      <c r="B826" s="15">
        <v>45524</v>
      </c>
      <c r="C826" s="15">
        <v>45524</v>
      </c>
      <c r="D826" s="16" t="s">
        <v>1192</v>
      </c>
      <c r="E826" s="16" t="s">
        <v>1193</v>
      </c>
      <c r="F826" s="16" t="s">
        <v>1770</v>
      </c>
      <c r="G826" s="16" t="s">
        <v>1197</v>
      </c>
      <c r="H826" s="14" t="str">
        <f>"20240820/221750"</f>
        <v>20240820/221750</v>
      </c>
      <c r="I826" s="19" t="str">
        <f t="shared" si="74"/>
        <v> </v>
      </c>
      <c r="J826" s="18">
        <v>461874.36</v>
      </c>
      <c r="K826" s="18">
        <v>0</v>
      </c>
      <c r="L826" s="18">
        <v>1707231.39</v>
      </c>
    </row>
    <row r="827" spans="1:13" ht="15" thickBot="1" x14ac:dyDescent="0.35">
      <c r="A827" s="14">
        <v>820</v>
      </c>
      <c r="B827" s="15">
        <v>45524</v>
      </c>
      <c r="C827" s="15">
        <v>45524</v>
      </c>
      <c r="D827" s="16" t="s">
        <v>1192</v>
      </c>
      <c r="E827" s="16" t="s">
        <v>1193</v>
      </c>
      <c r="F827" s="16" t="s">
        <v>1771</v>
      </c>
      <c r="G827" s="16" t="s">
        <v>1197</v>
      </c>
      <c r="H827" s="14" t="str">
        <f>"20240820/221751"</f>
        <v>20240820/221751</v>
      </c>
      <c r="I827" s="19" t="str">
        <f t="shared" si="74"/>
        <v> </v>
      </c>
      <c r="J827" s="18">
        <v>106367.5</v>
      </c>
      <c r="K827" s="18">
        <v>0</v>
      </c>
      <c r="L827" s="18">
        <v>1813598.89</v>
      </c>
    </row>
    <row r="828" spans="1:13" ht="15" thickBot="1" x14ac:dyDescent="0.35">
      <c r="A828" s="14">
        <v>821</v>
      </c>
      <c r="B828" s="15">
        <v>45524</v>
      </c>
      <c r="C828" s="15">
        <v>45524</v>
      </c>
      <c r="D828" s="16" t="s">
        <v>1192</v>
      </c>
      <c r="E828" s="16" t="s">
        <v>1193</v>
      </c>
      <c r="F828" s="16" t="s">
        <v>1772</v>
      </c>
      <c r="G828" s="16" t="s">
        <v>1197</v>
      </c>
      <c r="H828" s="14" t="str">
        <f>"20240820/269838"</f>
        <v>20240820/269838</v>
      </c>
      <c r="I828" s="19" t="str">
        <f t="shared" si="74"/>
        <v> </v>
      </c>
      <c r="J828" s="18">
        <v>0</v>
      </c>
      <c r="K828" s="18">
        <v>100361.48</v>
      </c>
      <c r="L828" s="18">
        <v>1713237.41</v>
      </c>
    </row>
    <row r="829" spans="1:13" ht="15" thickBot="1" x14ac:dyDescent="0.35">
      <c r="A829" s="14">
        <v>822</v>
      </c>
      <c r="B829" s="15">
        <v>45524</v>
      </c>
      <c r="C829" s="15">
        <v>45524</v>
      </c>
      <c r="D829" s="16" t="s">
        <v>1192</v>
      </c>
      <c r="E829" s="16" t="s">
        <v>1193</v>
      </c>
      <c r="F829" s="16" t="s">
        <v>1773</v>
      </c>
      <c r="G829" s="16" t="s">
        <v>1197</v>
      </c>
      <c r="H829" s="14" t="str">
        <f>"20240820/269839"</f>
        <v>20240820/269839</v>
      </c>
      <c r="I829" s="19" t="str">
        <f t="shared" si="74"/>
        <v> </v>
      </c>
      <c r="J829" s="18">
        <v>0</v>
      </c>
      <c r="K829" s="18">
        <v>465066.42</v>
      </c>
      <c r="L829" s="18">
        <v>1248170.99</v>
      </c>
    </row>
    <row r="830" spans="1:13" ht="15" thickBot="1" x14ac:dyDescent="0.35">
      <c r="A830" s="14">
        <v>823</v>
      </c>
      <c r="B830" s="15">
        <v>45524</v>
      </c>
      <c r="C830" s="15">
        <v>45525</v>
      </c>
      <c r="D830" s="16" t="s">
        <v>1192</v>
      </c>
      <c r="E830" s="16" t="s">
        <v>1193</v>
      </c>
      <c r="F830" s="16" t="s">
        <v>1774</v>
      </c>
      <c r="G830" s="16" t="s">
        <v>1197</v>
      </c>
      <c r="H830" s="14" t="str">
        <f>"20240820/368710"</f>
        <v>20240820/368710</v>
      </c>
      <c r="I830" s="19" t="str">
        <f>"2408005986447"</f>
        <v>2408005986447</v>
      </c>
      <c r="J830" s="18">
        <v>22440.959999999999</v>
      </c>
      <c r="K830" s="18">
        <v>0</v>
      </c>
      <c r="L830" s="18">
        <v>1270611.95</v>
      </c>
    </row>
    <row r="831" spans="1:13" ht="15" thickBot="1" x14ac:dyDescent="0.35">
      <c r="A831" s="14">
        <v>824</v>
      </c>
      <c r="B831" s="15">
        <v>45525</v>
      </c>
      <c r="C831" s="15">
        <v>45525</v>
      </c>
      <c r="D831" s="16" t="s">
        <v>1192</v>
      </c>
      <c r="E831" s="16" t="s">
        <v>1193</v>
      </c>
      <c r="F831" s="16" t="s">
        <v>1194</v>
      </c>
      <c r="G831" s="16" t="s">
        <v>1195</v>
      </c>
      <c r="H831" s="14" t="str">
        <f>"20240821/23144"</f>
        <v>20240821/23144</v>
      </c>
      <c r="I831" s="17" t="str">
        <f t="shared" ref="I831:I836" si="75">" "</f>
        <v> </v>
      </c>
      <c r="J831" s="18">
        <v>0</v>
      </c>
      <c r="K831" s="18">
        <v>250.16</v>
      </c>
      <c r="L831" s="18">
        <v>1270361.79</v>
      </c>
      <c r="M831" t="s">
        <v>2661</v>
      </c>
    </row>
    <row r="832" spans="1:13" ht="15" thickBot="1" x14ac:dyDescent="0.35">
      <c r="A832" s="14">
        <v>825</v>
      </c>
      <c r="B832" s="15">
        <v>45525</v>
      </c>
      <c r="C832" s="15">
        <v>45525</v>
      </c>
      <c r="D832" s="16" t="s">
        <v>1192</v>
      </c>
      <c r="E832" s="16" t="s">
        <v>1193</v>
      </c>
      <c r="F832" s="16" t="s">
        <v>1775</v>
      </c>
      <c r="G832" s="16" t="s">
        <v>1197</v>
      </c>
      <c r="H832" s="14" t="str">
        <f>"20240821/121838"</f>
        <v>20240821/121838</v>
      </c>
      <c r="I832" s="19" t="str">
        <f t="shared" si="75"/>
        <v> </v>
      </c>
      <c r="J832" s="18">
        <v>250.16</v>
      </c>
      <c r="K832" s="18">
        <v>0</v>
      </c>
      <c r="L832" s="18">
        <v>1270611.95</v>
      </c>
      <c r="M832" t="s">
        <v>2658</v>
      </c>
    </row>
    <row r="833" spans="1:13" ht="15" thickBot="1" x14ac:dyDescent="0.35">
      <c r="A833" s="14">
        <v>826</v>
      </c>
      <c r="B833" s="15">
        <v>45525</v>
      </c>
      <c r="C833" s="15">
        <v>45525</v>
      </c>
      <c r="D833" s="16" t="s">
        <v>1192</v>
      </c>
      <c r="E833" s="16" t="s">
        <v>1193</v>
      </c>
      <c r="F833" s="16" t="s">
        <v>1776</v>
      </c>
      <c r="G833" s="16" t="s">
        <v>1197</v>
      </c>
      <c r="H833" s="14" t="str">
        <f>"20240821/232615"</f>
        <v>20240821/232615</v>
      </c>
      <c r="I833" s="19" t="str">
        <f t="shared" si="75"/>
        <v> </v>
      </c>
      <c r="J833" s="18">
        <v>104401.25</v>
      </c>
      <c r="K833" s="18">
        <v>0</v>
      </c>
      <c r="L833" s="18">
        <v>1375013.2</v>
      </c>
    </row>
    <row r="834" spans="1:13" ht="15" thickBot="1" x14ac:dyDescent="0.35">
      <c r="A834" s="14">
        <v>827</v>
      </c>
      <c r="B834" s="15">
        <v>45525</v>
      </c>
      <c r="C834" s="15">
        <v>45525</v>
      </c>
      <c r="D834" s="16" t="s">
        <v>1192</v>
      </c>
      <c r="E834" s="16" t="s">
        <v>1193</v>
      </c>
      <c r="F834" s="16" t="s">
        <v>1777</v>
      </c>
      <c r="G834" s="16" t="s">
        <v>1197</v>
      </c>
      <c r="H834" s="14" t="str">
        <f>"20240821/232616"</f>
        <v>20240821/232616</v>
      </c>
      <c r="I834" s="19" t="str">
        <f t="shared" si="75"/>
        <v> </v>
      </c>
      <c r="J834" s="18">
        <v>455855.44</v>
      </c>
      <c r="K834" s="18">
        <v>0</v>
      </c>
      <c r="L834" s="18">
        <v>1830868.64</v>
      </c>
    </row>
    <row r="835" spans="1:13" ht="15" thickBot="1" x14ac:dyDescent="0.35">
      <c r="A835" s="14">
        <v>828</v>
      </c>
      <c r="B835" s="15">
        <v>45525</v>
      </c>
      <c r="C835" s="15">
        <v>45525</v>
      </c>
      <c r="D835" s="16" t="s">
        <v>1192</v>
      </c>
      <c r="E835" s="16" t="s">
        <v>1193</v>
      </c>
      <c r="F835" s="16" t="s">
        <v>1778</v>
      </c>
      <c r="G835" s="16" t="s">
        <v>1197</v>
      </c>
      <c r="H835" s="14" t="str">
        <f>"20240821/291935"</f>
        <v>20240821/291935</v>
      </c>
      <c r="I835" s="19" t="str">
        <f t="shared" si="75"/>
        <v> </v>
      </c>
      <c r="J835" s="18">
        <v>0</v>
      </c>
      <c r="K835" s="18">
        <v>461874.36</v>
      </c>
      <c r="L835" s="18">
        <v>1368994.28</v>
      </c>
    </row>
    <row r="836" spans="1:13" ht="15" thickBot="1" x14ac:dyDescent="0.35">
      <c r="A836" s="14">
        <v>829</v>
      </c>
      <c r="B836" s="15">
        <v>45525</v>
      </c>
      <c r="C836" s="15">
        <v>45525</v>
      </c>
      <c r="D836" s="16" t="s">
        <v>1192</v>
      </c>
      <c r="E836" s="16" t="s">
        <v>1193</v>
      </c>
      <c r="F836" s="16" t="s">
        <v>1779</v>
      </c>
      <c r="G836" s="16" t="s">
        <v>1197</v>
      </c>
      <c r="H836" s="14" t="str">
        <f>"20240821/291936"</f>
        <v>20240821/291936</v>
      </c>
      <c r="I836" s="19" t="str">
        <f t="shared" si="75"/>
        <v> </v>
      </c>
      <c r="J836" s="18">
        <v>0</v>
      </c>
      <c r="K836" s="18">
        <v>106367.5</v>
      </c>
      <c r="L836" s="18">
        <v>1262626.78</v>
      </c>
    </row>
    <row r="837" spans="1:13" ht="15" thickBot="1" x14ac:dyDescent="0.35">
      <c r="A837" s="14">
        <v>830</v>
      </c>
      <c r="B837" s="15">
        <v>45525</v>
      </c>
      <c r="C837" s="15">
        <v>45526</v>
      </c>
      <c r="D837" s="16" t="s">
        <v>1192</v>
      </c>
      <c r="E837" s="16" t="s">
        <v>1193</v>
      </c>
      <c r="F837" s="16" t="s">
        <v>1780</v>
      </c>
      <c r="G837" s="16" t="s">
        <v>1197</v>
      </c>
      <c r="H837" s="14" t="str">
        <f>"20240821/372233"</f>
        <v>20240821/372233</v>
      </c>
      <c r="I837" s="19" t="str">
        <f>"2408006495316"</f>
        <v>2408006495316</v>
      </c>
      <c r="J837" s="18">
        <v>0</v>
      </c>
      <c r="K837" s="18">
        <v>24430.22</v>
      </c>
      <c r="L837" s="18">
        <v>1238196.56</v>
      </c>
    </row>
    <row r="838" spans="1:13" ht="15" thickBot="1" x14ac:dyDescent="0.35">
      <c r="A838" s="14">
        <v>831</v>
      </c>
      <c r="B838" s="15">
        <v>45526</v>
      </c>
      <c r="C838" s="15">
        <v>45526</v>
      </c>
      <c r="D838" s="16" t="s">
        <v>1192</v>
      </c>
      <c r="E838" s="16" t="s">
        <v>1193</v>
      </c>
      <c r="F838" s="16" t="s">
        <v>1202</v>
      </c>
      <c r="G838" s="16" t="s">
        <v>1203</v>
      </c>
      <c r="H838" s="14" t="str">
        <f>"20240822/17222"</f>
        <v>20240822/17222</v>
      </c>
      <c r="I838" s="17" t="str">
        <f t="shared" ref="I838:I853" si="76">" "</f>
        <v> </v>
      </c>
      <c r="J838" s="18">
        <v>9096.3700000000008</v>
      </c>
      <c r="K838" s="18">
        <v>0</v>
      </c>
      <c r="L838" s="18">
        <v>1247292.93</v>
      </c>
      <c r="M838" t="s">
        <v>2661</v>
      </c>
    </row>
    <row r="839" spans="1:13" ht="15" thickBot="1" x14ac:dyDescent="0.35">
      <c r="A839" s="14">
        <v>832</v>
      </c>
      <c r="B839" s="15">
        <v>45526</v>
      </c>
      <c r="C839" s="15">
        <v>45526</v>
      </c>
      <c r="D839" s="16" t="s">
        <v>1192</v>
      </c>
      <c r="E839" s="16" t="s">
        <v>1193</v>
      </c>
      <c r="F839" s="16" t="s">
        <v>1194</v>
      </c>
      <c r="G839" s="16" t="s">
        <v>1195</v>
      </c>
      <c r="H839" s="14" t="str">
        <f>"20240822/100064"</f>
        <v>20240822/100064</v>
      </c>
      <c r="I839" s="17" t="str">
        <f t="shared" si="76"/>
        <v> </v>
      </c>
      <c r="J839" s="18">
        <v>0</v>
      </c>
      <c r="K839" s="18">
        <v>35.32</v>
      </c>
      <c r="L839" s="18">
        <v>1247257.6100000001</v>
      </c>
      <c r="M839" t="s">
        <v>2661</v>
      </c>
    </row>
    <row r="840" spans="1:13" ht="15" thickBot="1" x14ac:dyDescent="0.35">
      <c r="A840" s="14">
        <v>833</v>
      </c>
      <c r="B840" s="15">
        <v>45526</v>
      </c>
      <c r="C840" s="15">
        <v>45526</v>
      </c>
      <c r="D840" s="16" t="s">
        <v>1192</v>
      </c>
      <c r="E840" s="16" t="s">
        <v>1193</v>
      </c>
      <c r="F840" s="16" t="s">
        <v>1194</v>
      </c>
      <c r="G840" s="16" t="s">
        <v>1195</v>
      </c>
      <c r="H840" s="14" t="str">
        <f>"20240822/7158"</f>
        <v>20240822/7158</v>
      </c>
      <c r="I840" s="17" t="str">
        <f t="shared" si="76"/>
        <v> </v>
      </c>
      <c r="J840" s="18">
        <v>0</v>
      </c>
      <c r="K840" s="18">
        <v>250.16</v>
      </c>
      <c r="L840" s="18">
        <v>1247007.45</v>
      </c>
      <c r="M840" t="s">
        <v>2661</v>
      </c>
    </row>
    <row r="841" spans="1:13" ht="15" thickBot="1" x14ac:dyDescent="0.35">
      <c r="A841" s="14">
        <v>834</v>
      </c>
      <c r="B841" s="15">
        <v>45526</v>
      </c>
      <c r="C841" s="15">
        <v>45526</v>
      </c>
      <c r="D841" s="16" t="s">
        <v>1192</v>
      </c>
      <c r="E841" s="16" t="s">
        <v>1193</v>
      </c>
      <c r="F841" s="16" t="s">
        <v>1781</v>
      </c>
      <c r="G841" s="16" t="s">
        <v>1197</v>
      </c>
      <c r="H841" s="14" t="str">
        <f>"20240822/146528"</f>
        <v>20240822/146528</v>
      </c>
      <c r="I841" s="19" t="str">
        <f t="shared" si="76"/>
        <v> </v>
      </c>
      <c r="J841" s="18">
        <v>250.16</v>
      </c>
      <c r="K841" s="18">
        <v>0</v>
      </c>
      <c r="L841" s="18">
        <v>1247257.6100000001</v>
      </c>
      <c r="M841" t="s">
        <v>2658</v>
      </c>
    </row>
    <row r="842" spans="1:13" ht="15" thickBot="1" x14ac:dyDescent="0.35">
      <c r="A842" s="14">
        <v>835</v>
      </c>
      <c r="B842" s="15">
        <v>45526</v>
      </c>
      <c r="C842" s="15">
        <v>45526</v>
      </c>
      <c r="D842" s="16" t="s">
        <v>1192</v>
      </c>
      <c r="E842" s="16" t="s">
        <v>1193</v>
      </c>
      <c r="F842" s="16" t="s">
        <v>1782</v>
      </c>
      <c r="G842" s="16" t="s">
        <v>1197</v>
      </c>
      <c r="H842" s="14" t="str">
        <f>"20240822/170301"</f>
        <v>20240822/170301</v>
      </c>
      <c r="I842" s="19" t="str">
        <f t="shared" si="76"/>
        <v> </v>
      </c>
      <c r="J842" s="18">
        <v>104411.25</v>
      </c>
      <c r="K842" s="18">
        <v>0</v>
      </c>
      <c r="L842" s="18">
        <v>1351668.86</v>
      </c>
    </row>
    <row r="843" spans="1:13" ht="15" thickBot="1" x14ac:dyDescent="0.35">
      <c r="A843" s="14">
        <v>836</v>
      </c>
      <c r="B843" s="15">
        <v>45526</v>
      </c>
      <c r="C843" s="15">
        <v>45526</v>
      </c>
      <c r="D843" s="16" t="s">
        <v>1192</v>
      </c>
      <c r="E843" s="16" t="s">
        <v>1193</v>
      </c>
      <c r="F843" s="16" t="s">
        <v>1783</v>
      </c>
      <c r="G843" s="16" t="s">
        <v>1197</v>
      </c>
      <c r="H843" s="14" t="str">
        <f>"20240822/170302"</f>
        <v>20240822/170302</v>
      </c>
      <c r="I843" s="19" t="str">
        <f t="shared" si="76"/>
        <v> </v>
      </c>
      <c r="J843" s="18">
        <v>455880.76</v>
      </c>
      <c r="K843" s="18">
        <v>0</v>
      </c>
      <c r="L843" s="18">
        <v>1807549.62</v>
      </c>
    </row>
    <row r="844" spans="1:13" ht="15" thickBot="1" x14ac:dyDescent="0.35">
      <c r="A844" s="14">
        <v>837</v>
      </c>
      <c r="B844" s="15">
        <v>45526</v>
      </c>
      <c r="C844" s="15">
        <v>45526</v>
      </c>
      <c r="D844" s="16" t="s">
        <v>1192</v>
      </c>
      <c r="E844" s="16" t="s">
        <v>1193</v>
      </c>
      <c r="F844" s="16" t="s">
        <v>1784</v>
      </c>
      <c r="G844" s="16" t="s">
        <v>1197</v>
      </c>
      <c r="H844" s="14" t="str">
        <f>"20240822/251720"</f>
        <v>20240822/251720</v>
      </c>
      <c r="I844" s="19" t="str">
        <f t="shared" si="76"/>
        <v> </v>
      </c>
      <c r="J844" s="18">
        <v>0</v>
      </c>
      <c r="K844" s="18">
        <v>104401.25</v>
      </c>
      <c r="L844" s="18">
        <v>1703148.37</v>
      </c>
    </row>
    <row r="845" spans="1:13" ht="15" thickBot="1" x14ac:dyDescent="0.35">
      <c r="A845" s="14">
        <v>838</v>
      </c>
      <c r="B845" s="15">
        <v>45526</v>
      </c>
      <c r="C845" s="15">
        <v>45526</v>
      </c>
      <c r="D845" s="16" t="s">
        <v>1192</v>
      </c>
      <c r="E845" s="16" t="s">
        <v>1193</v>
      </c>
      <c r="F845" s="16" t="s">
        <v>1785</v>
      </c>
      <c r="G845" s="16" t="s">
        <v>1197</v>
      </c>
      <c r="H845" s="14" t="str">
        <f>"20240822/251721"</f>
        <v>20240822/251721</v>
      </c>
      <c r="I845" s="19" t="str">
        <f t="shared" si="76"/>
        <v> </v>
      </c>
      <c r="J845" s="18">
        <v>0</v>
      </c>
      <c r="K845" s="18">
        <v>455855.44</v>
      </c>
      <c r="L845" s="18">
        <v>1247292.93</v>
      </c>
    </row>
    <row r="846" spans="1:13" ht="15" thickBot="1" x14ac:dyDescent="0.35">
      <c r="A846" s="14">
        <v>839</v>
      </c>
      <c r="B846" s="15">
        <v>45527</v>
      </c>
      <c r="C846" s="15">
        <v>45527</v>
      </c>
      <c r="D846" s="16" t="s">
        <v>1192</v>
      </c>
      <c r="E846" s="16" t="s">
        <v>1193</v>
      </c>
      <c r="F846" s="16" t="s">
        <v>1194</v>
      </c>
      <c r="G846" s="16" t="s">
        <v>1195</v>
      </c>
      <c r="H846" s="14" t="str">
        <f>"20240823/112327"</f>
        <v>20240823/112327</v>
      </c>
      <c r="I846" s="17" t="str">
        <f t="shared" si="76"/>
        <v> </v>
      </c>
      <c r="J846" s="18">
        <v>0</v>
      </c>
      <c r="K846" s="18">
        <v>15793.05</v>
      </c>
      <c r="L846" s="18">
        <v>1231499.8799999999</v>
      </c>
      <c r="M846" t="s">
        <v>2661</v>
      </c>
    </row>
    <row r="847" spans="1:13" ht="15" thickBot="1" x14ac:dyDescent="0.35">
      <c r="A847" s="14">
        <v>840</v>
      </c>
      <c r="B847" s="15">
        <v>45527</v>
      </c>
      <c r="C847" s="15">
        <v>45527</v>
      </c>
      <c r="D847" s="16" t="s">
        <v>1192</v>
      </c>
      <c r="E847" s="16" t="s">
        <v>1193</v>
      </c>
      <c r="F847" s="16" t="s">
        <v>1194</v>
      </c>
      <c r="G847" s="16" t="s">
        <v>1195</v>
      </c>
      <c r="H847" s="14" t="str">
        <f>"20240823/18561"</f>
        <v>20240823/18561</v>
      </c>
      <c r="I847" s="17" t="str">
        <f t="shared" si="76"/>
        <v> </v>
      </c>
      <c r="J847" s="18">
        <v>0</v>
      </c>
      <c r="K847" s="18">
        <v>244.69</v>
      </c>
      <c r="L847" s="18">
        <v>1231255.19</v>
      </c>
      <c r="M847" t="s">
        <v>2661</v>
      </c>
    </row>
    <row r="848" spans="1:13" ht="15" thickBot="1" x14ac:dyDescent="0.35">
      <c r="A848" s="14">
        <v>841</v>
      </c>
      <c r="B848" s="15">
        <v>45527</v>
      </c>
      <c r="C848" s="15">
        <v>45527</v>
      </c>
      <c r="D848" s="16" t="s">
        <v>1192</v>
      </c>
      <c r="E848" s="16" t="s">
        <v>1193</v>
      </c>
      <c r="F848" s="16" t="s">
        <v>1249</v>
      </c>
      <c r="G848" s="16" t="s">
        <v>1195</v>
      </c>
      <c r="H848" s="14" t="str">
        <f>"20240823/66617"</f>
        <v>20240823/66617</v>
      </c>
      <c r="I848" s="17" t="str">
        <f t="shared" si="76"/>
        <v> </v>
      </c>
      <c r="J848" s="18">
        <v>0</v>
      </c>
      <c r="K848" s="18">
        <v>32495.56</v>
      </c>
      <c r="L848" s="18">
        <v>1198759.6299999999</v>
      </c>
      <c r="M848" t="s">
        <v>2661</v>
      </c>
    </row>
    <row r="849" spans="1:13" ht="15" thickBot="1" x14ac:dyDescent="0.35">
      <c r="A849" s="14">
        <v>842</v>
      </c>
      <c r="B849" s="15">
        <v>45527</v>
      </c>
      <c r="C849" s="15">
        <v>45527</v>
      </c>
      <c r="D849" s="16" t="s">
        <v>1192</v>
      </c>
      <c r="E849" s="16" t="s">
        <v>1193</v>
      </c>
      <c r="F849" s="16" t="s">
        <v>1786</v>
      </c>
      <c r="G849" s="16" t="s">
        <v>1197</v>
      </c>
      <c r="H849" s="14" t="str">
        <f>"20240823/125022"</f>
        <v>20240823/125022</v>
      </c>
      <c r="I849" s="19" t="str">
        <f t="shared" si="76"/>
        <v> </v>
      </c>
      <c r="J849" s="18">
        <v>244.69</v>
      </c>
      <c r="K849" s="18">
        <v>0</v>
      </c>
      <c r="L849" s="18">
        <v>1199004.32</v>
      </c>
      <c r="M849" t="s">
        <v>2658</v>
      </c>
    </row>
    <row r="850" spans="1:13" ht="15" thickBot="1" x14ac:dyDescent="0.35">
      <c r="A850" s="14">
        <v>843</v>
      </c>
      <c r="B850" s="15">
        <v>45527</v>
      </c>
      <c r="C850" s="15">
        <v>45527</v>
      </c>
      <c r="D850" s="16" t="s">
        <v>1192</v>
      </c>
      <c r="E850" s="16" t="s">
        <v>1193</v>
      </c>
      <c r="F850" s="16" t="s">
        <v>1787</v>
      </c>
      <c r="G850" s="16" t="s">
        <v>1197</v>
      </c>
      <c r="H850" s="14" t="str">
        <f>"20240823/218819"</f>
        <v>20240823/218819</v>
      </c>
      <c r="I850" s="19" t="str">
        <f t="shared" si="76"/>
        <v> </v>
      </c>
      <c r="J850" s="18">
        <v>469279.06</v>
      </c>
      <c r="K850" s="18">
        <v>0</v>
      </c>
      <c r="L850" s="18">
        <v>1668283.38</v>
      </c>
    </row>
    <row r="851" spans="1:13" ht="15" thickBot="1" x14ac:dyDescent="0.35">
      <c r="A851" s="14">
        <v>844</v>
      </c>
      <c r="B851" s="15">
        <v>45527</v>
      </c>
      <c r="C851" s="15">
        <v>45527</v>
      </c>
      <c r="D851" s="16" t="s">
        <v>1192</v>
      </c>
      <c r="E851" s="16" t="s">
        <v>1193</v>
      </c>
      <c r="F851" s="16" t="s">
        <v>1788</v>
      </c>
      <c r="G851" s="16" t="s">
        <v>1197</v>
      </c>
      <c r="H851" s="14" t="str">
        <f>"20240823/218820"</f>
        <v>20240823/218820</v>
      </c>
      <c r="I851" s="19" t="str">
        <f t="shared" si="76"/>
        <v> </v>
      </c>
      <c r="J851" s="18">
        <v>106806</v>
      </c>
      <c r="K851" s="18">
        <v>0</v>
      </c>
      <c r="L851" s="18">
        <v>1775089.38</v>
      </c>
    </row>
    <row r="852" spans="1:13" ht="15" thickBot="1" x14ac:dyDescent="0.35">
      <c r="A852" s="14">
        <v>845</v>
      </c>
      <c r="B852" s="15">
        <v>45527</v>
      </c>
      <c r="C852" s="15">
        <v>45527</v>
      </c>
      <c r="D852" s="16" t="s">
        <v>1192</v>
      </c>
      <c r="E852" s="16" t="s">
        <v>1193</v>
      </c>
      <c r="F852" s="16" t="s">
        <v>1789</v>
      </c>
      <c r="G852" s="16" t="s">
        <v>1197</v>
      </c>
      <c r="H852" s="14" t="str">
        <f>"20240823/296695"</f>
        <v>20240823/296695</v>
      </c>
      <c r="I852" s="19" t="str">
        <f t="shared" si="76"/>
        <v> </v>
      </c>
      <c r="J852" s="18">
        <v>0</v>
      </c>
      <c r="K852" s="18">
        <v>104411.25</v>
      </c>
      <c r="L852" s="18">
        <v>1670678.13</v>
      </c>
    </row>
    <row r="853" spans="1:13" ht="15" thickBot="1" x14ac:dyDescent="0.35">
      <c r="A853" s="14">
        <v>846</v>
      </c>
      <c r="B853" s="15">
        <v>45527</v>
      </c>
      <c r="C853" s="15">
        <v>45527</v>
      </c>
      <c r="D853" s="16" t="s">
        <v>1192</v>
      </c>
      <c r="E853" s="16" t="s">
        <v>1193</v>
      </c>
      <c r="F853" s="16" t="s">
        <v>1790</v>
      </c>
      <c r="G853" s="16" t="s">
        <v>1197</v>
      </c>
      <c r="H853" s="14" t="str">
        <f>"20240823/296696"</f>
        <v>20240823/296696</v>
      </c>
      <c r="I853" s="19" t="str">
        <f t="shared" si="76"/>
        <v> </v>
      </c>
      <c r="J853" s="18">
        <v>0</v>
      </c>
      <c r="K853" s="18">
        <v>455880.76</v>
      </c>
      <c r="L853" s="18">
        <v>1214797.3700000001</v>
      </c>
    </row>
    <row r="854" spans="1:13" ht="15" thickBot="1" x14ac:dyDescent="0.35">
      <c r="A854" s="14">
        <v>847</v>
      </c>
      <c r="B854" s="15">
        <v>45527</v>
      </c>
      <c r="C854" s="15">
        <v>45530</v>
      </c>
      <c r="D854" s="16" t="s">
        <v>1192</v>
      </c>
      <c r="E854" s="16" t="s">
        <v>1193</v>
      </c>
      <c r="F854" s="16" t="s">
        <v>1791</v>
      </c>
      <c r="G854" s="16" t="s">
        <v>1197</v>
      </c>
      <c r="H854" s="14" t="str">
        <f>"20240823/370866"</f>
        <v>20240823/370866</v>
      </c>
      <c r="I854" s="19" t="str">
        <f>"2408007433792"</f>
        <v>2408007433792</v>
      </c>
      <c r="J854" s="18">
        <v>32495.56</v>
      </c>
      <c r="K854" s="18">
        <v>0</v>
      </c>
      <c r="L854" s="18">
        <v>1247292.93</v>
      </c>
    </row>
    <row r="855" spans="1:13" ht="15" thickBot="1" x14ac:dyDescent="0.35">
      <c r="A855" s="14">
        <v>848</v>
      </c>
      <c r="B855" s="15">
        <v>45527</v>
      </c>
      <c r="C855" s="15">
        <v>45530</v>
      </c>
      <c r="D855" s="16" t="s">
        <v>1192</v>
      </c>
      <c r="E855" s="16" t="s">
        <v>1193</v>
      </c>
      <c r="F855" s="16" t="s">
        <v>1792</v>
      </c>
      <c r="G855" s="16" t="s">
        <v>1197</v>
      </c>
      <c r="H855" s="14" t="str">
        <f>"20240823/370867"</f>
        <v>20240823/370867</v>
      </c>
      <c r="I855" s="19" t="str">
        <f>"2408007433792"</f>
        <v>2408007433792</v>
      </c>
      <c r="J855" s="18">
        <v>32099.85</v>
      </c>
      <c r="K855" s="18">
        <v>0</v>
      </c>
      <c r="L855" s="18">
        <v>1279392.78</v>
      </c>
    </row>
    <row r="856" spans="1:13" ht="15" thickBot="1" x14ac:dyDescent="0.35">
      <c r="A856" s="14">
        <v>849</v>
      </c>
      <c r="B856" s="15">
        <v>45530</v>
      </c>
      <c r="C856" s="15">
        <v>45530</v>
      </c>
      <c r="D856" s="16" t="s">
        <v>1192</v>
      </c>
      <c r="E856" s="16" t="s">
        <v>1193</v>
      </c>
      <c r="F856" s="16" t="s">
        <v>1194</v>
      </c>
      <c r="G856" s="16" t="s">
        <v>1195</v>
      </c>
      <c r="H856" s="14" t="str">
        <f>"20240826/106323"</f>
        <v>20240826/106323</v>
      </c>
      <c r="I856" s="17" t="str">
        <f t="shared" ref="I856:I862" si="77">" "</f>
        <v> </v>
      </c>
      <c r="J856" s="18">
        <v>0</v>
      </c>
      <c r="K856" s="18">
        <v>41276.239999999998</v>
      </c>
      <c r="L856" s="18">
        <v>1238116.54</v>
      </c>
      <c r="M856" t="s">
        <v>2661</v>
      </c>
    </row>
    <row r="857" spans="1:13" ht="15" thickBot="1" x14ac:dyDescent="0.35">
      <c r="A857" s="14">
        <v>850</v>
      </c>
      <c r="B857" s="15">
        <v>45530</v>
      </c>
      <c r="C857" s="15">
        <v>45530</v>
      </c>
      <c r="D857" s="16" t="s">
        <v>1192</v>
      </c>
      <c r="E857" s="16" t="s">
        <v>1193</v>
      </c>
      <c r="F857" s="16" t="s">
        <v>1194</v>
      </c>
      <c r="G857" s="16" t="s">
        <v>1195</v>
      </c>
      <c r="H857" s="14" t="str">
        <f>"20240826/39997"</f>
        <v>20240826/39997</v>
      </c>
      <c r="I857" s="17" t="str">
        <f t="shared" si="77"/>
        <v> </v>
      </c>
      <c r="J857" s="18">
        <v>0</v>
      </c>
      <c r="K857" s="18">
        <v>717.18</v>
      </c>
      <c r="L857" s="18">
        <v>1237399.3600000001</v>
      </c>
      <c r="M857" t="s">
        <v>2661</v>
      </c>
    </row>
    <row r="858" spans="1:13" ht="15" thickBot="1" x14ac:dyDescent="0.35">
      <c r="A858" s="14">
        <v>851</v>
      </c>
      <c r="B858" s="15">
        <v>45530</v>
      </c>
      <c r="C858" s="15">
        <v>45530</v>
      </c>
      <c r="D858" s="16" t="s">
        <v>1192</v>
      </c>
      <c r="E858" s="16" t="s">
        <v>1193</v>
      </c>
      <c r="F858" s="16" t="s">
        <v>1793</v>
      </c>
      <c r="G858" s="16" t="s">
        <v>1197</v>
      </c>
      <c r="H858" s="14" t="str">
        <f>"20240826/125098"</f>
        <v>20240826/125098</v>
      </c>
      <c r="I858" s="19" t="str">
        <f t="shared" si="77"/>
        <v> </v>
      </c>
      <c r="J858" s="18">
        <v>717.18</v>
      </c>
      <c r="K858" s="18">
        <v>0</v>
      </c>
      <c r="L858" s="18">
        <v>1238116.54</v>
      </c>
      <c r="M858" t="s">
        <v>2658</v>
      </c>
    </row>
    <row r="859" spans="1:13" ht="15" thickBot="1" x14ac:dyDescent="0.35">
      <c r="A859" s="14">
        <v>852</v>
      </c>
      <c r="B859" s="15">
        <v>45530</v>
      </c>
      <c r="C859" s="15">
        <v>45530</v>
      </c>
      <c r="D859" s="16" t="s">
        <v>1192</v>
      </c>
      <c r="E859" s="16" t="s">
        <v>1193</v>
      </c>
      <c r="F859" s="16" t="s">
        <v>1794</v>
      </c>
      <c r="G859" s="16" t="s">
        <v>1197</v>
      </c>
      <c r="H859" s="14" t="str">
        <f>"20240826/216770"</f>
        <v>20240826/216770</v>
      </c>
      <c r="I859" s="19" t="str">
        <f t="shared" si="77"/>
        <v> </v>
      </c>
      <c r="J859" s="18">
        <v>108176.25</v>
      </c>
      <c r="K859" s="18">
        <v>0</v>
      </c>
      <c r="L859" s="18">
        <v>1346292.79</v>
      </c>
    </row>
    <row r="860" spans="1:13" ht="15" thickBot="1" x14ac:dyDescent="0.35">
      <c r="A860" s="14">
        <v>853</v>
      </c>
      <c r="B860" s="15">
        <v>45530</v>
      </c>
      <c r="C860" s="15">
        <v>45530</v>
      </c>
      <c r="D860" s="16" t="s">
        <v>1192</v>
      </c>
      <c r="E860" s="16" t="s">
        <v>1193</v>
      </c>
      <c r="F860" s="16" t="s">
        <v>1795</v>
      </c>
      <c r="G860" s="16" t="s">
        <v>1197</v>
      </c>
      <c r="H860" s="14" t="str">
        <f>"20240826/216771"</f>
        <v>20240826/216771</v>
      </c>
      <c r="I860" s="19" t="str">
        <f t="shared" si="77"/>
        <v> </v>
      </c>
      <c r="J860" s="18">
        <v>427843.76</v>
      </c>
      <c r="K860" s="18">
        <v>0</v>
      </c>
      <c r="L860" s="18">
        <v>1774136.55</v>
      </c>
    </row>
    <row r="861" spans="1:13" ht="15" thickBot="1" x14ac:dyDescent="0.35">
      <c r="A861" s="14">
        <v>854</v>
      </c>
      <c r="B861" s="15">
        <v>45530</v>
      </c>
      <c r="C861" s="15">
        <v>45530</v>
      </c>
      <c r="D861" s="16" t="s">
        <v>1192</v>
      </c>
      <c r="E861" s="16" t="s">
        <v>1193</v>
      </c>
      <c r="F861" s="16" t="s">
        <v>1796</v>
      </c>
      <c r="G861" s="16" t="s">
        <v>1197</v>
      </c>
      <c r="H861" s="14" t="str">
        <f>"20240826/245783"</f>
        <v>20240826/245783</v>
      </c>
      <c r="I861" s="19" t="str">
        <f t="shared" si="77"/>
        <v> </v>
      </c>
      <c r="J861" s="18">
        <v>0</v>
      </c>
      <c r="K861" s="18">
        <v>469279.06</v>
      </c>
      <c r="L861" s="18">
        <v>1304857.49</v>
      </c>
    </row>
    <row r="862" spans="1:13" ht="15" thickBot="1" x14ac:dyDescent="0.35">
      <c r="A862" s="14">
        <v>855</v>
      </c>
      <c r="B862" s="15">
        <v>45530</v>
      </c>
      <c r="C862" s="15">
        <v>45530</v>
      </c>
      <c r="D862" s="16" t="s">
        <v>1192</v>
      </c>
      <c r="E862" s="16" t="s">
        <v>1193</v>
      </c>
      <c r="F862" s="16" t="s">
        <v>1797</v>
      </c>
      <c r="G862" s="16" t="s">
        <v>1197</v>
      </c>
      <c r="H862" s="14" t="str">
        <f>"20240826/245784"</f>
        <v>20240826/245784</v>
      </c>
      <c r="I862" s="19" t="str">
        <f t="shared" si="77"/>
        <v> </v>
      </c>
      <c r="J862" s="18">
        <v>0</v>
      </c>
      <c r="K862" s="18">
        <v>106806</v>
      </c>
      <c r="L862" s="18">
        <v>1198051.49</v>
      </c>
    </row>
    <row r="863" spans="1:13" ht="15" thickBot="1" x14ac:dyDescent="0.35">
      <c r="A863" s="14">
        <v>856</v>
      </c>
      <c r="B863" s="15">
        <v>45530</v>
      </c>
      <c r="C863" s="15">
        <v>45531</v>
      </c>
      <c r="D863" s="16" t="s">
        <v>1192</v>
      </c>
      <c r="E863" s="16" t="s">
        <v>1193</v>
      </c>
      <c r="F863" s="16" t="s">
        <v>1798</v>
      </c>
      <c r="G863" s="16" t="s">
        <v>1197</v>
      </c>
      <c r="H863" s="14" t="str">
        <f>"20240826/369844"</f>
        <v>20240826/369844</v>
      </c>
      <c r="I863" s="19" t="str">
        <f>"2408007896508"</f>
        <v>2408007896508</v>
      </c>
      <c r="J863" s="18">
        <v>0</v>
      </c>
      <c r="K863" s="18">
        <v>57259.22</v>
      </c>
      <c r="L863" s="18">
        <v>1140792.27</v>
      </c>
    </row>
    <row r="864" spans="1:13" ht="15" thickBot="1" x14ac:dyDescent="0.35">
      <c r="A864" s="14">
        <v>857</v>
      </c>
      <c r="B864" s="15">
        <v>45530</v>
      </c>
      <c r="C864" s="15">
        <v>45531</v>
      </c>
      <c r="D864" s="16" t="s">
        <v>1192</v>
      </c>
      <c r="E864" s="16" t="s">
        <v>1193</v>
      </c>
      <c r="F864" s="16" t="s">
        <v>1799</v>
      </c>
      <c r="G864" s="16" t="s">
        <v>1197</v>
      </c>
      <c r="H864" s="14" t="str">
        <f>"20240826/369845"</f>
        <v>20240826/369845</v>
      </c>
      <c r="I864" s="19" t="str">
        <f>"2408007896508"</f>
        <v>2408007896508</v>
      </c>
      <c r="J864" s="18">
        <v>0</v>
      </c>
      <c r="K864" s="18">
        <v>34612.32</v>
      </c>
      <c r="L864" s="18">
        <v>1106179.95</v>
      </c>
    </row>
    <row r="865" spans="1:13" ht="15" thickBot="1" x14ac:dyDescent="0.35">
      <c r="A865" s="14">
        <v>858</v>
      </c>
      <c r="B865" s="15">
        <v>45531</v>
      </c>
      <c r="C865" s="15">
        <v>45531</v>
      </c>
      <c r="D865" s="16" t="s">
        <v>1248</v>
      </c>
      <c r="E865" s="16" t="s">
        <v>1193</v>
      </c>
      <c r="F865" s="16" t="s">
        <v>1249</v>
      </c>
      <c r="G865" s="16" t="s">
        <v>1195</v>
      </c>
      <c r="H865" s="14" t="str">
        <f>"20240827/113715"</f>
        <v>20240827/113715</v>
      </c>
      <c r="I865" s="17" t="str">
        <f t="shared" ref="I865:I875" si="78">" "</f>
        <v> </v>
      </c>
      <c r="J865" s="18">
        <v>0</v>
      </c>
      <c r="K865" s="18">
        <v>172</v>
      </c>
      <c r="L865" s="18">
        <v>1106007.95</v>
      </c>
      <c r="M865" t="s">
        <v>2661</v>
      </c>
    </row>
    <row r="866" spans="1:13" ht="15" thickBot="1" x14ac:dyDescent="0.35">
      <c r="A866" s="14">
        <v>859</v>
      </c>
      <c r="B866" s="15">
        <v>45531</v>
      </c>
      <c r="C866" s="15">
        <v>45531</v>
      </c>
      <c r="D866" s="16" t="s">
        <v>1192</v>
      </c>
      <c r="E866" s="16" t="s">
        <v>1193</v>
      </c>
      <c r="F866" s="16" t="s">
        <v>1204</v>
      </c>
      <c r="G866" s="16" t="s">
        <v>1203</v>
      </c>
      <c r="H866" s="14" t="str">
        <f>"20240827/27750"</f>
        <v>20240827/27750</v>
      </c>
      <c r="I866" s="17" t="str">
        <f t="shared" si="78"/>
        <v> </v>
      </c>
      <c r="J866" s="18">
        <v>57259.22</v>
      </c>
      <c r="K866" s="18">
        <v>0</v>
      </c>
      <c r="L866" s="18">
        <v>1163267.17</v>
      </c>
      <c r="M866" t="s">
        <v>2661</v>
      </c>
    </row>
    <row r="867" spans="1:13" ht="15" thickBot="1" x14ac:dyDescent="0.35">
      <c r="A867" s="14">
        <v>860</v>
      </c>
      <c r="B867" s="15">
        <v>45531</v>
      </c>
      <c r="C867" s="15">
        <v>45531</v>
      </c>
      <c r="D867" s="16" t="s">
        <v>1192</v>
      </c>
      <c r="E867" s="16" t="s">
        <v>1193</v>
      </c>
      <c r="F867" s="16" t="s">
        <v>1202</v>
      </c>
      <c r="G867" s="16" t="s">
        <v>1203</v>
      </c>
      <c r="H867" s="14" t="str">
        <f>"20240827/3624"</f>
        <v>20240827/3624</v>
      </c>
      <c r="I867" s="17" t="str">
        <f t="shared" si="78"/>
        <v> </v>
      </c>
      <c r="J867" s="18">
        <v>232.32</v>
      </c>
      <c r="K867" s="18">
        <v>0</v>
      </c>
      <c r="L867" s="18">
        <v>1163499.49</v>
      </c>
      <c r="M867" t="s">
        <v>2661</v>
      </c>
    </row>
    <row r="868" spans="1:13" ht="15" thickBot="1" x14ac:dyDescent="0.35">
      <c r="A868" s="14">
        <v>861</v>
      </c>
      <c r="B868" s="15">
        <v>45531</v>
      </c>
      <c r="C868" s="15">
        <v>45531</v>
      </c>
      <c r="D868" s="16" t="s">
        <v>1192</v>
      </c>
      <c r="E868" s="16" t="s">
        <v>1193</v>
      </c>
      <c r="F868" s="16" t="s">
        <v>1194</v>
      </c>
      <c r="G868" s="16" t="s">
        <v>1195</v>
      </c>
      <c r="H868" s="14" t="str">
        <f>"20240827/101054"</f>
        <v>20240827/101054</v>
      </c>
      <c r="I868" s="17" t="str">
        <f t="shared" si="78"/>
        <v> </v>
      </c>
      <c r="J868" s="18">
        <v>0</v>
      </c>
      <c r="K868" s="18">
        <v>2150.8200000000002</v>
      </c>
      <c r="L868" s="18">
        <v>1161348.67</v>
      </c>
      <c r="M868" t="s">
        <v>2661</v>
      </c>
    </row>
    <row r="869" spans="1:13" ht="15" thickBot="1" x14ac:dyDescent="0.35">
      <c r="A869" s="14">
        <v>862</v>
      </c>
      <c r="B869" s="15">
        <v>45531</v>
      </c>
      <c r="C869" s="15">
        <v>45531</v>
      </c>
      <c r="D869" s="16" t="s">
        <v>1192</v>
      </c>
      <c r="E869" s="16" t="s">
        <v>1193</v>
      </c>
      <c r="F869" s="16" t="s">
        <v>1194</v>
      </c>
      <c r="G869" s="16" t="s">
        <v>1195</v>
      </c>
      <c r="H869" s="14" t="str">
        <f>"20240827/18184"</f>
        <v>20240827/18184</v>
      </c>
      <c r="I869" s="17" t="str">
        <f t="shared" si="78"/>
        <v> </v>
      </c>
      <c r="J869" s="18">
        <v>0</v>
      </c>
      <c r="K869" s="18">
        <v>235.79</v>
      </c>
      <c r="L869" s="18">
        <v>1161112.8799999999</v>
      </c>
      <c r="M869" t="s">
        <v>2661</v>
      </c>
    </row>
    <row r="870" spans="1:13" ht="15" thickBot="1" x14ac:dyDescent="0.35">
      <c r="A870" s="14">
        <v>863</v>
      </c>
      <c r="B870" s="15">
        <v>45531</v>
      </c>
      <c r="C870" s="15">
        <v>45531</v>
      </c>
      <c r="D870" s="16" t="s">
        <v>1192</v>
      </c>
      <c r="E870" s="16" t="s">
        <v>1193</v>
      </c>
      <c r="F870" s="16" t="s">
        <v>1249</v>
      </c>
      <c r="G870" s="16" t="s">
        <v>1195</v>
      </c>
      <c r="H870" s="14" t="str">
        <f>"20240827/85252"</f>
        <v>20240827/85252</v>
      </c>
      <c r="I870" s="17" t="str">
        <f t="shared" si="78"/>
        <v> </v>
      </c>
      <c r="J870" s="18">
        <v>0</v>
      </c>
      <c r="K870" s="18">
        <v>33855.01</v>
      </c>
      <c r="L870" s="18">
        <v>1127257.8700000001</v>
      </c>
      <c r="M870" t="s">
        <v>2661</v>
      </c>
    </row>
    <row r="871" spans="1:13" ht="15" thickBot="1" x14ac:dyDescent="0.35">
      <c r="A871" s="14">
        <v>864</v>
      </c>
      <c r="B871" s="15">
        <v>45531</v>
      </c>
      <c r="C871" s="15">
        <v>45531</v>
      </c>
      <c r="D871" s="16" t="s">
        <v>1192</v>
      </c>
      <c r="E871" s="16" t="s">
        <v>1193</v>
      </c>
      <c r="F871" s="16" t="s">
        <v>1800</v>
      </c>
      <c r="G871" s="16" t="s">
        <v>1197</v>
      </c>
      <c r="H871" s="14" t="str">
        <f>"20240827/162682"</f>
        <v>20240827/162682</v>
      </c>
      <c r="I871" s="19" t="str">
        <f t="shared" si="78"/>
        <v> </v>
      </c>
      <c r="J871" s="18">
        <v>235.79</v>
      </c>
      <c r="K871" s="18">
        <v>0</v>
      </c>
      <c r="L871" s="18">
        <v>1127493.6599999999</v>
      </c>
      <c r="M871" t="s">
        <v>2658</v>
      </c>
    </row>
    <row r="872" spans="1:13" ht="15" thickBot="1" x14ac:dyDescent="0.35">
      <c r="A872" s="14">
        <v>865</v>
      </c>
      <c r="B872" s="15">
        <v>45531</v>
      </c>
      <c r="C872" s="15">
        <v>45531</v>
      </c>
      <c r="D872" s="16" t="s">
        <v>1192</v>
      </c>
      <c r="E872" s="16" t="s">
        <v>1193</v>
      </c>
      <c r="F872" s="16" t="s">
        <v>1801</v>
      </c>
      <c r="G872" s="16" t="s">
        <v>1197</v>
      </c>
      <c r="H872" s="14" t="str">
        <f>"20240827/221017"</f>
        <v>20240827/221017</v>
      </c>
      <c r="I872" s="19" t="str">
        <f t="shared" si="78"/>
        <v> </v>
      </c>
      <c r="J872" s="18">
        <v>111891.25</v>
      </c>
      <c r="K872" s="18">
        <v>0</v>
      </c>
      <c r="L872" s="18">
        <v>1239384.9099999999</v>
      </c>
    </row>
    <row r="873" spans="1:13" ht="15" thickBot="1" x14ac:dyDescent="0.35">
      <c r="A873" s="14">
        <v>866</v>
      </c>
      <c r="B873" s="15">
        <v>45531</v>
      </c>
      <c r="C873" s="15">
        <v>45531</v>
      </c>
      <c r="D873" s="16" t="s">
        <v>1192</v>
      </c>
      <c r="E873" s="16" t="s">
        <v>1193</v>
      </c>
      <c r="F873" s="16" t="s">
        <v>1802</v>
      </c>
      <c r="G873" s="16" t="s">
        <v>1197</v>
      </c>
      <c r="H873" s="14" t="str">
        <f>"20240827/221018"</f>
        <v>20240827/221018</v>
      </c>
      <c r="I873" s="19" t="str">
        <f t="shared" si="78"/>
        <v> </v>
      </c>
      <c r="J873" s="18">
        <v>426279.58</v>
      </c>
      <c r="K873" s="18">
        <v>0</v>
      </c>
      <c r="L873" s="18">
        <v>1665664.49</v>
      </c>
    </row>
    <row r="874" spans="1:13" ht="15" thickBot="1" x14ac:dyDescent="0.35">
      <c r="A874" s="14">
        <v>867</v>
      </c>
      <c r="B874" s="15">
        <v>45531</v>
      </c>
      <c r="C874" s="15">
        <v>45531</v>
      </c>
      <c r="D874" s="16" t="s">
        <v>1192</v>
      </c>
      <c r="E874" s="16" t="s">
        <v>1193</v>
      </c>
      <c r="F874" s="16" t="s">
        <v>1803</v>
      </c>
      <c r="G874" s="16" t="s">
        <v>1197</v>
      </c>
      <c r="H874" s="14" t="str">
        <f>"20240827/307064"</f>
        <v>20240827/307064</v>
      </c>
      <c r="I874" s="19" t="str">
        <f t="shared" si="78"/>
        <v> </v>
      </c>
      <c r="J874" s="18">
        <v>0</v>
      </c>
      <c r="K874" s="18">
        <v>108176.25</v>
      </c>
      <c r="L874" s="18">
        <v>1557488.24</v>
      </c>
    </row>
    <row r="875" spans="1:13" ht="15" thickBot="1" x14ac:dyDescent="0.35">
      <c r="A875" s="14">
        <v>868</v>
      </c>
      <c r="B875" s="15">
        <v>45531</v>
      </c>
      <c r="C875" s="15">
        <v>45531</v>
      </c>
      <c r="D875" s="16" t="s">
        <v>1192</v>
      </c>
      <c r="E875" s="16" t="s">
        <v>1193</v>
      </c>
      <c r="F875" s="16" t="s">
        <v>1804</v>
      </c>
      <c r="G875" s="16" t="s">
        <v>1197</v>
      </c>
      <c r="H875" s="14" t="str">
        <f>"20240827/307065"</f>
        <v>20240827/307065</v>
      </c>
      <c r="I875" s="19" t="str">
        <f t="shared" si="78"/>
        <v> </v>
      </c>
      <c r="J875" s="18">
        <v>0</v>
      </c>
      <c r="K875" s="18">
        <v>427843.76</v>
      </c>
      <c r="L875" s="18">
        <v>1129644.48</v>
      </c>
    </row>
    <row r="876" spans="1:13" ht="15" thickBot="1" x14ac:dyDescent="0.35">
      <c r="A876" s="14">
        <v>869</v>
      </c>
      <c r="B876" s="15">
        <v>45531</v>
      </c>
      <c r="C876" s="15">
        <v>45532</v>
      </c>
      <c r="D876" s="16" t="s">
        <v>1248</v>
      </c>
      <c r="E876" s="16" t="s">
        <v>1193</v>
      </c>
      <c r="F876" s="16" t="s">
        <v>1805</v>
      </c>
      <c r="G876" s="16" t="s">
        <v>1197</v>
      </c>
      <c r="H876" s="14" t="str">
        <f>"20240827/349004"</f>
        <v>20240827/349004</v>
      </c>
      <c r="I876" s="19" t="str">
        <f>"2408008435445"</f>
        <v>2408008435445</v>
      </c>
      <c r="J876" s="18">
        <v>172</v>
      </c>
      <c r="K876" s="18">
        <v>0</v>
      </c>
      <c r="L876" s="18">
        <v>1129816.48</v>
      </c>
    </row>
    <row r="877" spans="1:13" ht="15" thickBot="1" x14ac:dyDescent="0.35">
      <c r="A877" s="14">
        <v>870</v>
      </c>
      <c r="B877" s="15">
        <v>45531</v>
      </c>
      <c r="C877" s="15">
        <v>45532</v>
      </c>
      <c r="D877" s="16" t="s">
        <v>1192</v>
      </c>
      <c r="E877" s="16" t="s">
        <v>1193</v>
      </c>
      <c r="F877" s="16" t="s">
        <v>1806</v>
      </c>
      <c r="G877" s="16" t="s">
        <v>1197</v>
      </c>
      <c r="H877" s="14" t="str">
        <f>"20240827/386556"</f>
        <v>20240827/386556</v>
      </c>
      <c r="I877" s="19" t="str">
        <f>"2408008385240"</f>
        <v>2408008385240</v>
      </c>
      <c r="J877" s="18">
        <v>33855.01</v>
      </c>
      <c r="K877" s="18">
        <v>0</v>
      </c>
      <c r="L877" s="18">
        <v>1163671.49</v>
      </c>
    </row>
    <row r="878" spans="1:13" ht="15" thickBot="1" x14ac:dyDescent="0.35">
      <c r="A878" s="14">
        <v>871</v>
      </c>
      <c r="B878" s="15">
        <v>45532</v>
      </c>
      <c r="C878" s="15">
        <v>45532</v>
      </c>
      <c r="D878" s="16" t="s">
        <v>1192</v>
      </c>
      <c r="E878" s="16" t="s">
        <v>1193</v>
      </c>
      <c r="F878" s="16" t="s">
        <v>1194</v>
      </c>
      <c r="G878" s="16" t="s">
        <v>1195</v>
      </c>
      <c r="H878" s="14" t="str">
        <f>"20240828/7751"</f>
        <v>20240828/7751</v>
      </c>
      <c r="I878" s="17" t="str">
        <f t="shared" ref="I878:I883" si="79">" "</f>
        <v> </v>
      </c>
      <c r="J878" s="18">
        <v>0</v>
      </c>
      <c r="K878" s="18">
        <v>222.78</v>
      </c>
      <c r="L878" s="18">
        <v>1163448.71</v>
      </c>
      <c r="M878" t="s">
        <v>2661</v>
      </c>
    </row>
    <row r="879" spans="1:13" ht="15" thickBot="1" x14ac:dyDescent="0.35">
      <c r="A879" s="14">
        <v>872</v>
      </c>
      <c r="B879" s="15">
        <v>45532</v>
      </c>
      <c r="C879" s="15">
        <v>45532</v>
      </c>
      <c r="D879" s="16" t="s">
        <v>1192</v>
      </c>
      <c r="E879" s="16" t="s">
        <v>1193</v>
      </c>
      <c r="F879" s="16" t="s">
        <v>1807</v>
      </c>
      <c r="G879" s="16" t="s">
        <v>1197</v>
      </c>
      <c r="H879" s="14" t="str">
        <f>"20240828/132063"</f>
        <v>20240828/132063</v>
      </c>
      <c r="I879" s="19" t="str">
        <f t="shared" si="79"/>
        <v> </v>
      </c>
      <c r="J879" s="18">
        <v>222.78</v>
      </c>
      <c r="K879" s="18">
        <v>0</v>
      </c>
      <c r="L879" s="18">
        <v>1163671.49</v>
      </c>
      <c r="M879" t="s">
        <v>2658</v>
      </c>
    </row>
    <row r="880" spans="1:13" ht="15" thickBot="1" x14ac:dyDescent="0.35">
      <c r="A880" s="14">
        <v>873</v>
      </c>
      <c r="B880" s="15">
        <v>45532</v>
      </c>
      <c r="C880" s="15">
        <v>45532</v>
      </c>
      <c r="D880" s="16" t="s">
        <v>1192</v>
      </c>
      <c r="E880" s="16" t="s">
        <v>1193</v>
      </c>
      <c r="F880" s="16" t="s">
        <v>1808</v>
      </c>
      <c r="G880" s="16" t="s">
        <v>1197</v>
      </c>
      <c r="H880" s="14" t="str">
        <f>"20240828/217330"</f>
        <v>20240828/217330</v>
      </c>
      <c r="I880" s="19" t="str">
        <f t="shared" si="79"/>
        <v> </v>
      </c>
      <c r="J880" s="18">
        <v>430080.32</v>
      </c>
      <c r="K880" s="18">
        <v>0</v>
      </c>
      <c r="L880" s="18">
        <v>1593751.81</v>
      </c>
    </row>
    <row r="881" spans="1:13" ht="15" thickBot="1" x14ac:dyDescent="0.35">
      <c r="A881" s="14">
        <v>874</v>
      </c>
      <c r="B881" s="15">
        <v>45532</v>
      </c>
      <c r="C881" s="15">
        <v>45532</v>
      </c>
      <c r="D881" s="16" t="s">
        <v>1192</v>
      </c>
      <c r="E881" s="16" t="s">
        <v>1193</v>
      </c>
      <c r="F881" s="16" t="s">
        <v>1809</v>
      </c>
      <c r="G881" s="16" t="s">
        <v>1197</v>
      </c>
      <c r="H881" s="14" t="str">
        <f>"20240828/217331"</f>
        <v>20240828/217331</v>
      </c>
      <c r="I881" s="19" t="str">
        <f t="shared" si="79"/>
        <v> </v>
      </c>
      <c r="J881" s="18">
        <v>104090</v>
      </c>
      <c r="K881" s="18">
        <v>0</v>
      </c>
      <c r="L881" s="18">
        <v>1697841.81</v>
      </c>
    </row>
    <row r="882" spans="1:13" ht="15" thickBot="1" x14ac:dyDescent="0.35">
      <c r="A882" s="14">
        <v>875</v>
      </c>
      <c r="B882" s="15">
        <v>45532</v>
      </c>
      <c r="C882" s="15">
        <v>45532</v>
      </c>
      <c r="D882" s="16" t="s">
        <v>1192</v>
      </c>
      <c r="E882" s="16" t="s">
        <v>1193</v>
      </c>
      <c r="F882" s="16" t="s">
        <v>1810</v>
      </c>
      <c r="G882" s="16" t="s">
        <v>1197</v>
      </c>
      <c r="H882" s="14" t="str">
        <f>"20240828/298128"</f>
        <v>20240828/298128</v>
      </c>
      <c r="I882" s="19" t="str">
        <f t="shared" si="79"/>
        <v> </v>
      </c>
      <c r="J882" s="18">
        <v>0</v>
      </c>
      <c r="K882" s="18">
        <v>111891.25</v>
      </c>
      <c r="L882" s="18">
        <v>1585950.56</v>
      </c>
    </row>
    <row r="883" spans="1:13" ht="15" thickBot="1" x14ac:dyDescent="0.35">
      <c r="A883" s="14">
        <v>876</v>
      </c>
      <c r="B883" s="15">
        <v>45532</v>
      </c>
      <c r="C883" s="15">
        <v>45532</v>
      </c>
      <c r="D883" s="16" t="s">
        <v>1192</v>
      </c>
      <c r="E883" s="16" t="s">
        <v>1193</v>
      </c>
      <c r="F883" s="16" t="s">
        <v>1811</v>
      </c>
      <c r="G883" s="16" t="s">
        <v>1197</v>
      </c>
      <c r="H883" s="14" t="str">
        <f>"20240828/300464"</f>
        <v>20240828/300464</v>
      </c>
      <c r="I883" s="19" t="str">
        <f t="shared" si="79"/>
        <v> </v>
      </c>
      <c r="J883" s="18">
        <v>0</v>
      </c>
      <c r="K883" s="18">
        <v>426279.58</v>
      </c>
      <c r="L883" s="18">
        <v>1159670.98</v>
      </c>
    </row>
    <row r="884" spans="1:13" ht="15" thickBot="1" x14ac:dyDescent="0.35">
      <c r="A884" s="14">
        <v>877</v>
      </c>
      <c r="B884" s="15">
        <v>45532</v>
      </c>
      <c r="C884" s="15">
        <v>45533</v>
      </c>
      <c r="D884" s="16" t="s">
        <v>1192</v>
      </c>
      <c r="E884" s="16" t="s">
        <v>1193</v>
      </c>
      <c r="F884" s="16" t="s">
        <v>1812</v>
      </c>
      <c r="G884" s="16" t="s">
        <v>1197</v>
      </c>
      <c r="H884" s="14" t="str">
        <f>"20240828/382027"</f>
        <v>20240828/382027</v>
      </c>
      <c r="I884" s="19" t="str">
        <f>"2408008865425"</f>
        <v>2408008865425</v>
      </c>
      <c r="J884" s="18">
        <v>0</v>
      </c>
      <c r="K884" s="18">
        <v>30209.24</v>
      </c>
      <c r="L884" s="18">
        <v>1129461.74</v>
      </c>
    </row>
    <row r="885" spans="1:13" ht="15" thickBot="1" x14ac:dyDescent="0.35">
      <c r="A885" s="14">
        <v>878</v>
      </c>
      <c r="B885" s="15">
        <v>45533</v>
      </c>
      <c r="C885" s="15">
        <v>45533</v>
      </c>
      <c r="D885" s="16" t="s">
        <v>1192</v>
      </c>
      <c r="E885" s="16" t="s">
        <v>1193</v>
      </c>
      <c r="F885" s="16" t="s">
        <v>1202</v>
      </c>
      <c r="G885" s="16" t="s">
        <v>1203</v>
      </c>
      <c r="H885" s="14" t="str">
        <f>"20240829/10348"</f>
        <v>20240829/10348</v>
      </c>
      <c r="I885" s="17" t="str">
        <f t="shared" ref="I885:I914" si="80">" "</f>
        <v> </v>
      </c>
      <c r="J885" s="18">
        <v>4000.51</v>
      </c>
      <c r="K885" s="18">
        <v>0</v>
      </c>
      <c r="L885" s="18">
        <v>1133462.25</v>
      </c>
      <c r="M885" t="s">
        <v>2661</v>
      </c>
    </row>
    <row r="886" spans="1:13" ht="15" thickBot="1" x14ac:dyDescent="0.35">
      <c r="A886" s="14">
        <v>879</v>
      </c>
      <c r="B886" s="15">
        <v>45533</v>
      </c>
      <c r="C886" s="15">
        <v>45533</v>
      </c>
      <c r="D886" s="16" t="s">
        <v>1192</v>
      </c>
      <c r="E886" s="16" t="s">
        <v>1193</v>
      </c>
      <c r="F886" s="16" t="s">
        <v>1204</v>
      </c>
      <c r="G886" s="16" t="s">
        <v>1203</v>
      </c>
      <c r="H886" s="14" t="str">
        <f>"20240829/48014"</f>
        <v>20240829/48014</v>
      </c>
      <c r="I886" s="17" t="str">
        <f t="shared" si="80"/>
        <v> </v>
      </c>
      <c r="J886" s="18">
        <v>30209.24</v>
      </c>
      <c r="K886" s="18">
        <v>0</v>
      </c>
      <c r="L886" s="18">
        <v>1163671.49</v>
      </c>
      <c r="M886" t="s">
        <v>2661</v>
      </c>
    </row>
    <row r="887" spans="1:13" ht="15" thickBot="1" x14ac:dyDescent="0.35">
      <c r="A887" s="14">
        <v>880</v>
      </c>
      <c r="B887" s="15">
        <v>45533</v>
      </c>
      <c r="C887" s="15">
        <v>45533</v>
      </c>
      <c r="D887" s="16" t="s">
        <v>1192</v>
      </c>
      <c r="E887" s="16" t="s">
        <v>1193</v>
      </c>
      <c r="F887" s="16" t="s">
        <v>1194</v>
      </c>
      <c r="G887" s="16" t="s">
        <v>1195</v>
      </c>
      <c r="H887" s="14" t="str">
        <f>"20240829/107149"</f>
        <v>20240829/107149</v>
      </c>
      <c r="I887" s="17" t="str">
        <f t="shared" si="80"/>
        <v> </v>
      </c>
      <c r="J887" s="18">
        <v>0</v>
      </c>
      <c r="K887" s="18">
        <v>911.38</v>
      </c>
      <c r="L887" s="18">
        <v>1162760.1100000001</v>
      </c>
      <c r="M887" t="s">
        <v>2661</v>
      </c>
    </row>
    <row r="888" spans="1:13" ht="15" thickBot="1" x14ac:dyDescent="0.35">
      <c r="A888" s="14">
        <v>881</v>
      </c>
      <c r="B888" s="15">
        <v>45533</v>
      </c>
      <c r="C888" s="15">
        <v>45533</v>
      </c>
      <c r="D888" s="16" t="s">
        <v>1192</v>
      </c>
      <c r="E888" s="16" t="s">
        <v>1193</v>
      </c>
      <c r="F888" s="16" t="s">
        <v>1194</v>
      </c>
      <c r="G888" s="16" t="s">
        <v>1195</v>
      </c>
      <c r="H888" s="14" t="str">
        <f>"20240829/12539"</f>
        <v>20240829/12539</v>
      </c>
      <c r="I888" s="17" t="str">
        <f t="shared" si="80"/>
        <v> </v>
      </c>
      <c r="J888" s="18">
        <v>0</v>
      </c>
      <c r="K888" s="18">
        <v>222.78</v>
      </c>
      <c r="L888" s="18">
        <v>1162537.33</v>
      </c>
      <c r="M888" t="s">
        <v>2661</v>
      </c>
    </row>
    <row r="889" spans="1:13" ht="15" thickBot="1" x14ac:dyDescent="0.35">
      <c r="A889" s="14">
        <v>882</v>
      </c>
      <c r="B889" s="15">
        <v>45533</v>
      </c>
      <c r="C889" s="15">
        <v>45533</v>
      </c>
      <c r="D889" s="16" t="s">
        <v>1192</v>
      </c>
      <c r="E889" s="16" t="s">
        <v>1193</v>
      </c>
      <c r="F889" s="16" t="s">
        <v>1813</v>
      </c>
      <c r="G889" s="16" t="s">
        <v>1197</v>
      </c>
      <c r="H889" s="14" t="str">
        <f>"20240829/132624"</f>
        <v>20240829/132624</v>
      </c>
      <c r="I889" s="19" t="str">
        <f t="shared" si="80"/>
        <v> </v>
      </c>
      <c r="J889" s="18">
        <v>222.78</v>
      </c>
      <c r="K889" s="18">
        <v>0</v>
      </c>
      <c r="L889" s="18">
        <v>1162760.1100000001</v>
      </c>
      <c r="M889" t="s">
        <v>2658</v>
      </c>
    </row>
    <row r="890" spans="1:13" ht="15" thickBot="1" x14ac:dyDescent="0.35">
      <c r="A890" s="14">
        <v>883</v>
      </c>
      <c r="B890" s="15">
        <v>45533</v>
      </c>
      <c r="C890" s="15">
        <v>45533</v>
      </c>
      <c r="D890" s="16" t="s">
        <v>1192</v>
      </c>
      <c r="E890" s="16" t="s">
        <v>1193</v>
      </c>
      <c r="F890" s="16" t="s">
        <v>1814</v>
      </c>
      <c r="G890" s="16" t="s">
        <v>1197</v>
      </c>
      <c r="H890" s="14" t="str">
        <f>"20240829/182759"</f>
        <v>20240829/182759</v>
      </c>
      <c r="I890" s="19" t="str">
        <f t="shared" si="80"/>
        <v> </v>
      </c>
      <c r="J890" s="18">
        <v>105650</v>
      </c>
      <c r="K890" s="18">
        <v>0</v>
      </c>
      <c r="L890" s="18">
        <v>1268410.1100000001</v>
      </c>
    </row>
    <row r="891" spans="1:13" ht="15" thickBot="1" x14ac:dyDescent="0.35">
      <c r="A891" s="14">
        <v>884</v>
      </c>
      <c r="B891" s="15">
        <v>45533</v>
      </c>
      <c r="C891" s="15">
        <v>45533</v>
      </c>
      <c r="D891" s="16" t="s">
        <v>1192</v>
      </c>
      <c r="E891" s="16" t="s">
        <v>1193</v>
      </c>
      <c r="F891" s="16" t="s">
        <v>1815</v>
      </c>
      <c r="G891" s="16" t="s">
        <v>1197</v>
      </c>
      <c r="H891" s="14" t="str">
        <f>"20240829/182760"</f>
        <v>20240829/182760</v>
      </c>
      <c r="I891" s="19" t="str">
        <f t="shared" si="80"/>
        <v> </v>
      </c>
      <c r="J891" s="18">
        <v>429431.7</v>
      </c>
      <c r="K891" s="18">
        <v>0</v>
      </c>
      <c r="L891" s="18">
        <v>1697841.81</v>
      </c>
    </row>
    <row r="892" spans="1:13" ht="15" thickBot="1" x14ac:dyDescent="0.35">
      <c r="A892" s="14">
        <v>885</v>
      </c>
      <c r="B892" s="15">
        <v>45533</v>
      </c>
      <c r="C892" s="15">
        <v>45533</v>
      </c>
      <c r="D892" s="16" t="s">
        <v>1192</v>
      </c>
      <c r="E892" s="16" t="s">
        <v>1193</v>
      </c>
      <c r="F892" s="16" t="s">
        <v>1816</v>
      </c>
      <c r="G892" s="16" t="s">
        <v>1197</v>
      </c>
      <c r="H892" s="14" t="str">
        <f>"20240829/264441"</f>
        <v>20240829/264441</v>
      </c>
      <c r="I892" s="19" t="str">
        <f t="shared" si="80"/>
        <v> </v>
      </c>
      <c r="J892" s="18">
        <v>0</v>
      </c>
      <c r="K892" s="18">
        <v>430080.32</v>
      </c>
      <c r="L892" s="18">
        <v>1267761.49</v>
      </c>
    </row>
    <row r="893" spans="1:13" ht="15" thickBot="1" x14ac:dyDescent="0.35">
      <c r="A893" s="14">
        <v>886</v>
      </c>
      <c r="B893" s="15">
        <v>45533</v>
      </c>
      <c r="C893" s="15">
        <v>45533</v>
      </c>
      <c r="D893" s="16" t="s">
        <v>1192</v>
      </c>
      <c r="E893" s="16" t="s">
        <v>1193</v>
      </c>
      <c r="F893" s="16" t="s">
        <v>1817</v>
      </c>
      <c r="G893" s="16" t="s">
        <v>1197</v>
      </c>
      <c r="H893" s="14" t="str">
        <f>"20240829/264442"</f>
        <v>20240829/264442</v>
      </c>
      <c r="I893" s="19" t="str">
        <f t="shared" si="80"/>
        <v> </v>
      </c>
      <c r="J893" s="18">
        <v>0</v>
      </c>
      <c r="K893" s="18">
        <v>104090</v>
      </c>
      <c r="L893" s="18">
        <v>1163671.49</v>
      </c>
    </row>
    <row r="894" spans="1:13" ht="15" thickBot="1" x14ac:dyDescent="0.35">
      <c r="A894" s="14">
        <v>887</v>
      </c>
      <c r="B894" s="15">
        <v>45534</v>
      </c>
      <c r="C894" s="15">
        <v>45534</v>
      </c>
      <c r="D894" s="16" t="s">
        <v>1192</v>
      </c>
      <c r="E894" s="16" t="s">
        <v>1193</v>
      </c>
      <c r="F894" s="16" t="s">
        <v>1194</v>
      </c>
      <c r="G894" s="16" t="s">
        <v>1195</v>
      </c>
      <c r="H894" s="14" t="str">
        <f>"20240830/101549"</f>
        <v>20240830/101549</v>
      </c>
      <c r="I894" s="17" t="str">
        <f t="shared" si="80"/>
        <v> </v>
      </c>
      <c r="J894" s="18">
        <v>0</v>
      </c>
      <c r="K894" s="18">
        <v>4405.62</v>
      </c>
      <c r="L894" s="18">
        <v>1159265.8700000001</v>
      </c>
      <c r="M894" t="s">
        <v>2661</v>
      </c>
    </row>
    <row r="895" spans="1:13" ht="15" thickBot="1" x14ac:dyDescent="0.35">
      <c r="A895" s="14">
        <v>888</v>
      </c>
      <c r="B895" s="15">
        <v>45534</v>
      </c>
      <c r="C895" s="15">
        <v>45534</v>
      </c>
      <c r="D895" s="16" t="s">
        <v>1192</v>
      </c>
      <c r="E895" s="16" t="s">
        <v>1193</v>
      </c>
      <c r="F895" s="16" t="s">
        <v>1194</v>
      </c>
      <c r="G895" s="16" t="s">
        <v>1195</v>
      </c>
      <c r="H895" s="14" t="str">
        <f>"20240830/31863"</f>
        <v>20240830/31863</v>
      </c>
      <c r="I895" s="17" t="str">
        <f t="shared" si="80"/>
        <v> </v>
      </c>
      <c r="J895" s="18">
        <v>0</v>
      </c>
      <c r="K895" s="18">
        <v>223.88</v>
      </c>
      <c r="L895" s="18">
        <v>1159041.99</v>
      </c>
      <c r="M895" t="s">
        <v>2661</v>
      </c>
    </row>
    <row r="896" spans="1:13" ht="15" thickBot="1" x14ac:dyDescent="0.35">
      <c r="A896" s="14">
        <v>889</v>
      </c>
      <c r="B896" s="15">
        <v>45534</v>
      </c>
      <c r="C896" s="15">
        <v>45534</v>
      </c>
      <c r="D896" s="16" t="s">
        <v>1192</v>
      </c>
      <c r="E896" s="16" t="s">
        <v>1193</v>
      </c>
      <c r="F896" s="16" t="s">
        <v>1818</v>
      </c>
      <c r="G896" s="16" t="s">
        <v>1197</v>
      </c>
      <c r="H896" s="14" t="str">
        <f>"20240830/153858"</f>
        <v>20240830/153858</v>
      </c>
      <c r="I896" s="19" t="str">
        <f t="shared" si="80"/>
        <v> </v>
      </c>
      <c r="J896" s="18">
        <v>223.88</v>
      </c>
      <c r="K896" s="18">
        <v>0</v>
      </c>
      <c r="L896" s="18">
        <v>1159265.8700000001</v>
      </c>
      <c r="M896" t="s">
        <v>2658</v>
      </c>
    </row>
    <row r="897" spans="1:13" ht="15" thickBot="1" x14ac:dyDescent="0.35">
      <c r="A897" s="14">
        <v>890</v>
      </c>
      <c r="B897" s="15">
        <v>45534</v>
      </c>
      <c r="C897" s="15">
        <v>45534</v>
      </c>
      <c r="D897" s="16" t="s">
        <v>1192</v>
      </c>
      <c r="E897" s="16" t="s">
        <v>1193</v>
      </c>
      <c r="F897" s="16" t="s">
        <v>1819</v>
      </c>
      <c r="G897" s="16" t="s">
        <v>1197</v>
      </c>
      <c r="H897" s="14" t="str">
        <f>"20240830/201668"</f>
        <v>20240830/201668</v>
      </c>
      <c r="I897" s="19" t="str">
        <f t="shared" si="80"/>
        <v> </v>
      </c>
      <c r="J897" s="18">
        <v>425304.82</v>
      </c>
      <c r="K897" s="18">
        <v>0</v>
      </c>
      <c r="L897" s="18">
        <v>1584570.69</v>
      </c>
    </row>
    <row r="898" spans="1:13" ht="15" thickBot="1" x14ac:dyDescent="0.35">
      <c r="A898" s="14">
        <v>891</v>
      </c>
      <c r="B898" s="15">
        <v>45534</v>
      </c>
      <c r="C898" s="15">
        <v>45534</v>
      </c>
      <c r="D898" s="16" t="s">
        <v>1192</v>
      </c>
      <c r="E898" s="16" t="s">
        <v>1193</v>
      </c>
      <c r="F898" s="16" t="s">
        <v>1820</v>
      </c>
      <c r="G898" s="16" t="s">
        <v>1197</v>
      </c>
      <c r="H898" s="14" t="str">
        <f>"20240830/201669"</f>
        <v>20240830/201669</v>
      </c>
      <c r="I898" s="19" t="str">
        <f t="shared" si="80"/>
        <v> </v>
      </c>
      <c r="J898" s="18">
        <v>114182.5</v>
      </c>
      <c r="K898" s="18">
        <v>0</v>
      </c>
      <c r="L898" s="18">
        <v>1698753.19</v>
      </c>
    </row>
    <row r="899" spans="1:13" ht="15" thickBot="1" x14ac:dyDescent="0.35">
      <c r="A899" s="14">
        <v>892</v>
      </c>
      <c r="B899" s="15">
        <v>45534</v>
      </c>
      <c r="C899" s="15">
        <v>45534</v>
      </c>
      <c r="D899" s="16" t="s">
        <v>1192</v>
      </c>
      <c r="E899" s="16" t="s">
        <v>1193</v>
      </c>
      <c r="F899" s="16" t="s">
        <v>1821</v>
      </c>
      <c r="G899" s="16" t="s">
        <v>1197</v>
      </c>
      <c r="H899" s="14" t="str">
        <f>"20240830/262144"</f>
        <v>20240830/262144</v>
      </c>
      <c r="I899" s="19" t="str">
        <f t="shared" si="80"/>
        <v> </v>
      </c>
      <c r="J899" s="18">
        <v>0</v>
      </c>
      <c r="K899" s="18">
        <v>105650</v>
      </c>
      <c r="L899" s="18">
        <v>1593103.19</v>
      </c>
    </row>
    <row r="900" spans="1:13" ht="15" thickBot="1" x14ac:dyDescent="0.35">
      <c r="A900" s="14">
        <v>893</v>
      </c>
      <c r="B900" s="15">
        <v>45534</v>
      </c>
      <c r="C900" s="15">
        <v>45534</v>
      </c>
      <c r="D900" s="16" t="s">
        <v>1192</v>
      </c>
      <c r="E900" s="16" t="s">
        <v>1193</v>
      </c>
      <c r="F900" s="16" t="s">
        <v>1822</v>
      </c>
      <c r="G900" s="16" t="s">
        <v>1197</v>
      </c>
      <c r="H900" s="14" t="str">
        <f>"20240830/262145"</f>
        <v>20240830/262145</v>
      </c>
      <c r="I900" s="19" t="str">
        <f t="shared" si="80"/>
        <v> </v>
      </c>
      <c r="J900" s="18">
        <v>0</v>
      </c>
      <c r="K900" s="18">
        <v>429431.7</v>
      </c>
      <c r="L900" s="18">
        <v>1163671.49</v>
      </c>
    </row>
    <row r="901" spans="1:13" ht="15" thickBot="1" x14ac:dyDescent="0.35">
      <c r="A901" s="14">
        <v>894</v>
      </c>
      <c r="B901" s="15">
        <v>45537</v>
      </c>
      <c r="C901" s="15">
        <v>45537</v>
      </c>
      <c r="D901" s="16" t="s">
        <v>1192</v>
      </c>
      <c r="E901" s="16" t="s">
        <v>1193</v>
      </c>
      <c r="F901" s="16" t="s">
        <v>1194</v>
      </c>
      <c r="G901" s="16" t="s">
        <v>1195</v>
      </c>
      <c r="H901" s="14" t="str">
        <f>"20240902/112205"</f>
        <v>20240902/112205</v>
      </c>
      <c r="I901" s="17" t="str">
        <f t="shared" si="80"/>
        <v> </v>
      </c>
      <c r="J901" s="18">
        <v>0</v>
      </c>
      <c r="K901" s="18">
        <v>1527.43</v>
      </c>
      <c r="L901" s="18">
        <v>1162144.06</v>
      </c>
      <c r="M901" t="s">
        <v>2661</v>
      </c>
    </row>
    <row r="902" spans="1:13" ht="15" thickBot="1" x14ac:dyDescent="0.35">
      <c r="A902" s="14">
        <v>895</v>
      </c>
      <c r="B902" s="15">
        <v>45537</v>
      </c>
      <c r="C902" s="15">
        <v>45537</v>
      </c>
      <c r="D902" s="16" t="s">
        <v>1192</v>
      </c>
      <c r="E902" s="16" t="s">
        <v>1193</v>
      </c>
      <c r="F902" s="16" t="s">
        <v>1194</v>
      </c>
      <c r="G902" s="16" t="s">
        <v>1195</v>
      </c>
      <c r="H902" s="14" t="str">
        <f>"20240902/8401"</f>
        <v>20240902/8401</v>
      </c>
      <c r="I902" s="17" t="str">
        <f t="shared" si="80"/>
        <v> </v>
      </c>
      <c r="J902" s="18">
        <v>0</v>
      </c>
      <c r="K902" s="18">
        <v>666.93</v>
      </c>
      <c r="L902" s="18">
        <v>1161477.1299999999</v>
      </c>
      <c r="M902" t="s">
        <v>2661</v>
      </c>
    </row>
    <row r="903" spans="1:13" ht="15" thickBot="1" x14ac:dyDescent="0.35">
      <c r="A903" s="14">
        <v>896</v>
      </c>
      <c r="B903" s="15">
        <v>45537</v>
      </c>
      <c r="C903" s="15">
        <v>45537</v>
      </c>
      <c r="D903" s="16" t="s">
        <v>1192</v>
      </c>
      <c r="E903" s="16" t="s">
        <v>1193</v>
      </c>
      <c r="F903" s="16" t="s">
        <v>1823</v>
      </c>
      <c r="G903" s="16" t="s">
        <v>1197</v>
      </c>
      <c r="H903" s="14" t="str">
        <f>"20240902/147590"</f>
        <v>20240902/147590</v>
      </c>
      <c r="I903" s="19" t="str">
        <f t="shared" si="80"/>
        <v> </v>
      </c>
      <c r="J903" s="18">
        <v>666.93</v>
      </c>
      <c r="K903" s="18">
        <v>0</v>
      </c>
      <c r="L903" s="18">
        <v>1162144.06</v>
      </c>
      <c r="M903" t="s">
        <v>2658</v>
      </c>
    </row>
    <row r="904" spans="1:13" ht="15" thickBot="1" x14ac:dyDescent="0.35">
      <c r="A904" s="14">
        <v>897</v>
      </c>
      <c r="B904" s="15">
        <v>45537</v>
      </c>
      <c r="C904" s="15">
        <v>45537</v>
      </c>
      <c r="D904" s="16" t="s">
        <v>1192</v>
      </c>
      <c r="E904" s="16" t="s">
        <v>1193</v>
      </c>
      <c r="F904" s="16" t="s">
        <v>1824</v>
      </c>
      <c r="G904" s="16" t="s">
        <v>1197</v>
      </c>
      <c r="H904" s="14" t="str">
        <f>"20240902/184548"</f>
        <v>20240902/184548</v>
      </c>
      <c r="I904" s="19" t="str">
        <f t="shared" si="80"/>
        <v> </v>
      </c>
      <c r="J904" s="18">
        <v>424252.5</v>
      </c>
      <c r="K904" s="18">
        <v>0</v>
      </c>
      <c r="L904" s="18">
        <v>1586396.56</v>
      </c>
    </row>
    <row r="905" spans="1:13" ht="15" thickBot="1" x14ac:dyDescent="0.35">
      <c r="A905" s="14">
        <v>898</v>
      </c>
      <c r="B905" s="15">
        <v>45537</v>
      </c>
      <c r="C905" s="15">
        <v>45537</v>
      </c>
      <c r="D905" s="16" t="s">
        <v>1192</v>
      </c>
      <c r="E905" s="16" t="s">
        <v>1193</v>
      </c>
      <c r="F905" s="16" t="s">
        <v>1825</v>
      </c>
      <c r="G905" s="16" t="s">
        <v>1197</v>
      </c>
      <c r="H905" s="14" t="str">
        <f>"20240902/184549"</f>
        <v>20240902/184549</v>
      </c>
      <c r="I905" s="19" t="str">
        <f t="shared" si="80"/>
        <v> </v>
      </c>
      <c r="J905" s="18">
        <v>116762.25</v>
      </c>
      <c r="K905" s="18">
        <v>0</v>
      </c>
      <c r="L905" s="18">
        <v>1703158.81</v>
      </c>
    </row>
    <row r="906" spans="1:13" ht="15" thickBot="1" x14ac:dyDescent="0.35">
      <c r="A906" s="14">
        <v>899</v>
      </c>
      <c r="B906" s="15">
        <v>45537</v>
      </c>
      <c r="C906" s="15">
        <v>45537</v>
      </c>
      <c r="D906" s="16" t="s">
        <v>1192</v>
      </c>
      <c r="E906" s="16" t="s">
        <v>1193</v>
      </c>
      <c r="F906" s="16" t="s">
        <v>1826</v>
      </c>
      <c r="G906" s="16" t="s">
        <v>1197</v>
      </c>
      <c r="H906" s="14" t="str">
        <f>"20240902/304148"</f>
        <v>20240902/304148</v>
      </c>
      <c r="I906" s="19" t="str">
        <f t="shared" si="80"/>
        <v> </v>
      </c>
      <c r="J906" s="18">
        <v>0</v>
      </c>
      <c r="K906" s="18">
        <v>425304.82</v>
      </c>
      <c r="L906" s="18">
        <v>1277853.99</v>
      </c>
    </row>
    <row r="907" spans="1:13" ht="15" thickBot="1" x14ac:dyDescent="0.35">
      <c r="A907" s="14">
        <v>900</v>
      </c>
      <c r="B907" s="15">
        <v>45537</v>
      </c>
      <c r="C907" s="15">
        <v>45537</v>
      </c>
      <c r="D907" s="16" t="s">
        <v>1192</v>
      </c>
      <c r="E907" s="16" t="s">
        <v>1193</v>
      </c>
      <c r="F907" s="16" t="s">
        <v>1827</v>
      </c>
      <c r="G907" s="16" t="s">
        <v>1197</v>
      </c>
      <c r="H907" s="14" t="str">
        <f>"20240902/304149"</f>
        <v>20240902/304149</v>
      </c>
      <c r="I907" s="19" t="str">
        <f t="shared" si="80"/>
        <v> </v>
      </c>
      <c r="J907" s="18">
        <v>0</v>
      </c>
      <c r="K907" s="18">
        <v>114182.5</v>
      </c>
      <c r="L907" s="18">
        <v>1163671.49</v>
      </c>
    </row>
    <row r="908" spans="1:13" ht="15" thickBot="1" x14ac:dyDescent="0.35">
      <c r="A908" s="14">
        <v>901</v>
      </c>
      <c r="B908" s="15">
        <v>45538</v>
      </c>
      <c r="C908" s="15">
        <v>45538</v>
      </c>
      <c r="D908" s="16" t="s">
        <v>1192</v>
      </c>
      <c r="E908" s="16" t="s">
        <v>1193</v>
      </c>
      <c r="F908" s="16" t="s">
        <v>1194</v>
      </c>
      <c r="G908" s="16" t="s">
        <v>1195</v>
      </c>
      <c r="H908" s="14" t="str">
        <f>"20240903/11098"</f>
        <v>20240903/11098</v>
      </c>
      <c r="I908" s="17" t="str">
        <f t="shared" si="80"/>
        <v> </v>
      </c>
      <c r="J908" s="18">
        <v>0</v>
      </c>
      <c r="K908" s="18">
        <v>221.77</v>
      </c>
      <c r="L908" s="18">
        <v>1163449.72</v>
      </c>
      <c r="M908" t="s">
        <v>2661</v>
      </c>
    </row>
    <row r="909" spans="1:13" ht="15" thickBot="1" x14ac:dyDescent="0.35">
      <c r="A909" s="14">
        <v>902</v>
      </c>
      <c r="B909" s="15">
        <v>45538</v>
      </c>
      <c r="C909" s="15">
        <v>45538</v>
      </c>
      <c r="D909" s="16" t="s">
        <v>1192</v>
      </c>
      <c r="E909" s="16" t="s">
        <v>1193</v>
      </c>
      <c r="F909" s="16" t="s">
        <v>1194</v>
      </c>
      <c r="G909" s="16" t="s">
        <v>1195</v>
      </c>
      <c r="H909" s="14" t="str">
        <f>"20240903/98887"</f>
        <v>20240903/98887</v>
      </c>
      <c r="I909" s="17" t="str">
        <f t="shared" si="80"/>
        <v> </v>
      </c>
      <c r="J909" s="18">
        <v>0</v>
      </c>
      <c r="K909" s="18">
        <v>42861.04</v>
      </c>
      <c r="L909" s="18">
        <v>1120588.68</v>
      </c>
      <c r="M909" t="s">
        <v>2661</v>
      </c>
    </row>
    <row r="910" spans="1:13" ht="15" thickBot="1" x14ac:dyDescent="0.35">
      <c r="A910" s="14">
        <v>903</v>
      </c>
      <c r="B910" s="15">
        <v>45538</v>
      </c>
      <c r="C910" s="15">
        <v>45538</v>
      </c>
      <c r="D910" s="16" t="s">
        <v>1192</v>
      </c>
      <c r="E910" s="16" t="s">
        <v>1193</v>
      </c>
      <c r="F910" s="16" t="s">
        <v>1828</v>
      </c>
      <c r="G910" s="16" t="s">
        <v>1197</v>
      </c>
      <c r="H910" s="14" t="str">
        <f>"20240903/128230"</f>
        <v>20240903/128230</v>
      </c>
      <c r="I910" s="19" t="str">
        <f t="shared" si="80"/>
        <v> </v>
      </c>
      <c r="J910" s="18">
        <v>221.77</v>
      </c>
      <c r="K910" s="18">
        <v>0</v>
      </c>
      <c r="L910" s="18">
        <v>1120810.45</v>
      </c>
      <c r="M910" t="s">
        <v>2658</v>
      </c>
    </row>
    <row r="911" spans="1:13" ht="15" thickBot="1" x14ac:dyDescent="0.35">
      <c r="A911" s="14">
        <v>904</v>
      </c>
      <c r="B911" s="15">
        <v>45538</v>
      </c>
      <c r="C911" s="15">
        <v>45538</v>
      </c>
      <c r="D911" s="16" t="s">
        <v>1192</v>
      </c>
      <c r="E911" s="16" t="s">
        <v>1193</v>
      </c>
      <c r="F911" s="16" t="s">
        <v>1829</v>
      </c>
      <c r="G911" s="16" t="s">
        <v>1197</v>
      </c>
      <c r="H911" s="14" t="str">
        <f>"20240903/232731"</f>
        <v>20240903/232731</v>
      </c>
      <c r="I911" s="19" t="str">
        <f t="shared" si="80"/>
        <v> </v>
      </c>
      <c r="J911" s="18">
        <v>113823</v>
      </c>
      <c r="K911" s="18">
        <v>0</v>
      </c>
      <c r="L911" s="18">
        <v>1234633.45</v>
      </c>
    </row>
    <row r="912" spans="1:13" ht="15" thickBot="1" x14ac:dyDescent="0.35">
      <c r="A912" s="14">
        <v>905</v>
      </c>
      <c r="B912" s="15">
        <v>45538</v>
      </c>
      <c r="C912" s="15">
        <v>45538</v>
      </c>
      <c r="D912" s="16" t="s">
        <v>1192</v>
      </c>
      <c r="E912" s="16" t="s">
        <v>1193</v>
      </c>
      <c r="F912" s="16" t="s">
        <v>1830</v>
      </c>
      <c r="G912" s="16" t="s">
        <v>1197</v>
      </c>
      <c r="H912" s="14" t="str">
        <f>"20240903/232732"</f>
        <v>20240903/232732</v>
      </c>
      <c r="I912" s="19" t="str">
        <f t="shared" si="80"/>
        <v> </v>
      </c>
      <c r="J912" s="18">
        <v>470052.79</v>
      </c>
      <c r="K912" s="18">
        <v>0</v>
      </c>
      <c r="L912" s="18">
        <v>1704686.24</v>
      </c>
    </row>
    <row r="913" spans="1:13" ht="15" thickBot="1" x14ac:dyDescent="0.35">
      <c r="A913" s="14">
        <v>906</v>
      </c>
      <c r="B913" s="15">
        <v>45538</v>
      </c>
      <c r="C913" s="15">
        <v>45538</v>
      </c>
      <c r="D913" s="16" t="s">
        <v>1192</v>
      </c>
      <c r="E913" s="16" t="s">
        <v>1193</v>
      </c>
      <c r="F913" s="16" t="s">
        <v>1831</v>
      </c>
      <c r="G913" s="16" t="s">
        <v>1197</v>
      </c>
      <c r="H913" s="14" t="str">
        <f>"20240903/249929"</f>
        <v>20240903/249929</v>
      </c>
      <c r="I913" s="19" t="str">
        <f t="shared" si="80"/>
        <v> </v>
      </c>
      <c r="J913" s="18">
        <v>0</v>
      </c>
      <c r="K913" s="18">
        <v>424252.5</v>
      </c>
      <c r="L913" s="18">
        <v>1280433.74</v>
      </c>
    </row>
    <row r="914" spans="1:13" ht="15" thickBot="1" x14ac:dyDescent="0.35">
      <c r="A914" s="14">
        <v>907</v>
      </c>
      <c r="B914" s="15">
        <v>45538</v>
      </c>
      <c r="C914" s="15">
        <v>45538</v>
      </c>
      <c r="D914" s="16" t="s">
        <v>1192</v>
      </c>
      <c r="E914" s="16" t="s">
        <v>1193</v>
      </c>
      <c r="F914" s="16" t="s">
        <v>1832</v>
      </c>
      <c r="G914" s="16" t="s">
        <v>1197</v>
      </c>
      <c r="H914" s="14" t="str">
        <f>"20240903/249930"</f>
        <v>20240903/249930</v>
      </c>
      <c r="I914" s="19" t="str">
        <f t="shared" si="80"/>
        <v> </v>
      </c>
      <c r="J914" s="18">
        <v>0</v>
      </c>
      <c r="K914" s="18">
        <v>116762.25</v>
      </c>
      <c r="L914" s="18">
        <v>1163671.49</v>
      </c>
    </row>
    <row r="915" spans="1:13" ht="15" thickBot="1" x14ac:dyDescent="0.35">
      <c r="A915" s="14">
        <v>908</v>
      </c>
      <c r="B915" s="15">
        <v>45538</v>
      </c>
      <c r="C915" s="15">
        <v>45539</v>
      </c>
      <c r="D915" s="16" t="s">
        <v>1192</v>
      </c>
      <c r="E915" s="16" t="s">
        <v>1193</v>
      </c>
      <c r="F915" s="16" t="s">
        <v>1833</v>
      </c>
      <c r="G915" s="16" t="s">
        <v>1197</v>
      </c>
      <c r="H915" s="14" t="str">
        <f>"20240903/369244"</f>
        <v>20240903/369244</v>
      </c>
      <c r="I915" s="19" t="str">
        <f>"2409000685482"</f>
        <v>2409000685482</v>
      </c>
      <c r="J915" s="18">
        <v>117421.8</v>
      </c>
      <c r="K915" s="18">
        <v>0</v>
      </c>
      <c r="L915" s="18">
        <v>1281093.29</v>
      </c>
    </row>
    <row r="916" spans="1:13" ht="15" thickBot="1" x14ac:dyDescent="0.35">
      <c r="A916" s="14">
        <v>909</v>
      </c>
      <c r="B916" s="15">
        <v>45539</v>
      </c>
      <c r="C916" s="15">
        <v>45539</v>
      </c>
      <c r="D916" s="16" t="s">
        <v>1192</v>
      </c>
      <c r="E916" s="16" t="s">
        <v>1193</v>
      </c>
      <c r="F916" s="16" t="s">
        <v>1194</v>
      </c>
      <c r="G916" s="16" t="s">
        <v>1195</v>
      </c>
      <c r="H916" s="14" t="str">
        <f>"20240904/108359"</f>
        <v>20240904/108359</v>
      </c>
      <c r="I916" s="17" t="str">
        <f t="shared" ref="I916:I922" si="81">" "</f>
        <v> </v>
      </c>
      <c r="J916" s="18">
        <v>0</v>
      </c>
      <c r="K916" s="18">
        <v>455.79</v>
      </c>
      <c r="L916" s="18">
        <v>1280637.5</v>
      </c>
      <c r="M916" t="s">
        <v>2661</v>
      </c>
    </row>
    <row r="917" spans="1:13" ht="15" thickBot="1" x14ac:dyDescent="0.35">
      <c r="A917" s="14">
        <v>910</v>
      </c>
      <c r="B917" s="15">
        <v>45539</v>
      </c>
      <c r="C917" s="15">
        <v>45539</v>
      </c>
      <c r="D917" s="16" t="s">
        <v>1192</v>
      </c>
      <c r="E917" s="16" t="s">
        <v>1193</v>
      </c>
      <c r="F917" s="16" t="s">
        <v>1194</v>
      </c>
      <c r="G917" s="16" t="s">
        <v>1195</v>
      </c>
      <c r="H917" s="14" t="str">
        <f>"20240904/23912"</f>
        <v>20240904/23912</v>
      </c>
      <c r="I917" s="17" t="str">
        <f t="shared" si="81"/>
        <v> </v>
      </c>
      <c r="J917" s="18">
        <v>0</v>
      </c>
      <c r="K917" s="18">
        <v>206.5</v>
      </c>
      <c r="L917" s="18">
        <v>1280431</v>
      </c>
      <c r="M917" t="s">
        <v>2661</v>
      </c>
    </row>
    <row r="918" spans="1:13" ht="15" thickBot="1" x14ac:dyDescent="0.35">
      <c r="A918" s="14">
        <v>911</v>
      </c>
      <c r="B918" s="15">
        <v>45539</v>
      </c>
      <c r="C918" s="15">
        <v>45539</v>
      </c>
      <c r="D918" s="16" t="s">
        <v>1192</v>
      </c>
      <c r="E918" s="16" t="s">
        <v>1193</v>
      </c>
      <c r="F918" s="16" t="s">
        <v>1834</v>
      </c>
      <c r="G918" s="16" t="s">
        <v>1197</v>
      </c>
      <c r="H918" s="14" t="str">
        <f>"20240904/156181"</f>
        <v>20240904/156181</v>
      </c>
      <c r="I918" s="19" t="str">
        <f t="shared" si="81"/>
        <v> </v>
      </c>
      <c r="J918" s="18">
        <v>206.5</v>
      </c>
      <c r="K918" s="18">
        <v>0</v>
      </c>
      <c r="L918" s="18">
        <v>1280637.5</v>
      </c>
      <c r="M918" t="s">
        <v>2658</v>
      </c>
    </row>
    <row r="919" spans="1:13" ht="15" thickBot="1" x14ac:dyDescent="0.35">
      <c r="A919" s="14">
        <v>912</v>
      </c>
      <c r="B919" s="15">
        <v>45539</v>
      </c>
      <c r="C919" s="15">
        <v>45539</v>
      </c>
      <c r="D919" s="16" t="s">
        <v>1192</v>
      </c>
      <c r="E919" s="16" t="s">
        <v>1193</v>
      </c>
      <c r="F919" s="16" t="s">
        <v>1835</v>
      </c>
      <c r="G919" s="16" t="s">
        <v>1197</v>
      </c>
      <c r="H919" s="14" t="str">
        <f>"20240904/180316"</f>
        <v>20240904/180316</v>
      </c>
      <c r="I919" s="19" t="str">
        <f t="shared" si="81"/>
        <v> </v>
      </c>
      <c r="J919" s="18">
        <v>478345.33</v>
      </c>
      <c r="K919" s="18">
        <v>0</v>
      </c>
      <c r="L919" s="18">
        <v>1758982.83</v>
      </c>
    </row>
    <row r="920" spans="1:13" ht="15" thickBot="1" x14ac:dyDescent="0.35">
      <c r="A920" s="14">
        <v>913</v>
      </c>
      <c r="B920" s="15">
        <v>45539</v>
      </c>
      <c r="C920" s="15">
        <v>45539</v>
      </c>
      <c r="D920" s="16" t="s">
        <v>1192</v>
      </c>
      <c r="E920" s="16" t="s">
        <v>1193</v>
      </c>
      <c r="F920" s="16" t="s">
        <v>1836</v>
      </c>
      <c r="G920" s="16" t="s">
        <v>1197</v>
      </c>
      <c r="H920" s="14" t="str">
        <f>"20240904/180317"</f>
        <v>20240904/180317</v>
      </c>
      <c r="I920" s="19" t="str">
        <f t="shared" si="81"/>
        <v> </v>
      </c>
      <c r="J920" s="18">
        <v>105986.25</v>
      </c>
      <c r="K920" s="18">
        <v>0</v>
      </c>
      <c r="L920" s="18">
        <v>1864969.08</v>
      </c>
    </row>
    <row r="921" spans="1:13" ht="15" thickBot="1" x14ac:dyDescent="0.35">
      <c r="A921" s="14">
        <v>914</v>
      </c>
      <c r="B921" s="15">
        <v>45539</v>
      </c>
      <c r="C921" s="15">
        <v>45539</v>
      </c>
      <c r="D921" s="16" t="s">
        <v>1192</v>
      </c>
      <c r="E921" s="16" t="s">
        <v>1193</v>
      </c>
      <c r="F921" s="16" t="s">
        <v>1837</v>
      </c>
      <c r="G921" s="16" t="s">
        <v>1197</v>
      </c>
      <c r="H921" s="14" t="str">
        <f>"20240904/269130"</f>
        <v>20240904/269130</v>
      </c>
      <c r="I921" s="19" t="str">
        <f t="shared" si="81"/>
        <v> </v>
      </c>
      <c r="J921" s="18">
        <v>0</v>
      </c>
      <c r="K921" s="18">
        <v>113823</v>
      </c>
      <c r="L921" s="18">
        <v>1751146.08</v>
      </c>
    </row>
    <row r="922" spans="1:13" ht="15" thickBot="1" x14ac:dyDescent="0.35">
      <c r="A922" s="14">
        <v>915</v>
      </c>
      <c r="B922" s="15">
        <v>45539</v>
      </c>
      <c r="C922" s="15">
        <v>45539</v>
      </c>
      <c r="D922" s="16" t="s">
        <v>1192</v>
      </c>
      <c r="E922" s="16" t="s">
        <v>1193</v>
      </c>
      <c r="F922" s="16" t="s">
        <v>1838</v>
      </c>
      <c r="G922" s="16" t="s">
        <v>1197</v>
      </c>
      <c r="H922" s="14" t="str">
        <f>"20240904/269131"</f>
        <v>20240904/269131</v>
      </c>
      <c r="I922" s="19" t="str">
        <f t="shared" si="81"/>
        <v> </v>
      </c>
      <c r="J922" s="18">
        <v>0</v>
      </c>
      <c r="K922" s="18">
        <v>470052.79</v>
      </c>
      <c r="L922" s="18">
        <v>1281093.29</v>
      </c>
    </row>
    <row r="923" spans="1:13" ht="15" thickBot="1" x14ac:dyDescent="0.35">
      <c r="A923" s="14">
        <v>916</v>
      </c>
      <c r="B923" s="15">
        <v>45539</v>
      </c>
      <c r="C923" s="15">
        <v>45540</v>
      </c>
      <c r="D923" s="16" t="s">
        <v>1192</v>
      </c>
      <c r="E923" s="16" t="s">
        <v>1193</v>
      </c>
      <c r="F923" s="16" t="s">
        <v>1839</v>
      </c>
      <c r="G923" s="16" t="s">
        <v>1197</v>
      </c>
      <c r="H923" s="14" t="str">
        <f>"20240904/375512"</f>
        <v>20240904/375512</v>
      </c>
      <c r="I923" s="19" t="str">
        <f>"2409001163771"</f>
        <v>2409001163771</v>
      </c>
      <c r="J923" s="18">
        <v>16679.150000000001</v>
      </c>
      <c r="K923" s="18">
        <v>0</v>
      </c>
      <c r="L923" s="18">
        <v>1297772.44</v>
      </c>
    </row>
    <row r="924" spans="1:13" ht="15" thickBot="1" x14ac:dyDescent="0.35">
      <c r="A924" s="14">
        <v>917</v>
      </c>
      <c r="B924" s="15">
        <v>45540</v>
      </c>
      <c r="C924" s="15">
        <v>45540</v>
      </c>
      <c r="D924" s="16" t="s">
        <v>1192</v>
      </c>
      <c r="E924" s="16" t="s">
        <v>1193</v>
      </c>
      <c r="F924" s="16" t="s">
        <v>1194</v>
      </c>
      <c r="G924" s="16" t="s">
        <v>1195</v>
      </c>
      <c r="H924" s="14" t="str">
        <f>"20240905/102897"</f>
        <v>20240905/102897</v>
      </c>
      <c r="I924" s="17" t="str">
        <f t="shared" ref="I924:I930" si="82">" "</f>
        <v> </v>
      </c>
      <c r="J924" s="18">
        <v>0</v>
      </c>
      <c r="K924" s="18">
        <v>2487.92</v>
      </c>
      <c r="L924" s="18">
        <v>1295284.52</v>
      </c>
      <c r="M924" t="s">
        <v>2661</v>
      </c>
    </row>
    <row r="925" spans="1:13" ht="15" thickBot="1" x14ac:dyDescent="0.35">
      <c r="A925" s="14">
        <v>918</v>
      </c>
      <c r="B925" s="15">
        <v>45540</v>
      </c>
      <c r="C925" s="15">
        <v>45540</v>
      </c>
      <c r="D925" s="16" t="s">
        <v>1192</v>
      </c>
      <c r="E925" s="16" t="s">
        <v>1193</v>
      </c>
      <c r="F925" s="16" t="s">
        <v>1194</v>
      </c>
      <c r="G925" s="16" t="s">
        <v>1195</v>
      </c>
      <c r="H925" s="14" t="str">
        <f>"20240905/35442"</f>
        <v>20240905/35442</v>
      </c>
      <c r="I925" s="17" t="str">
        <f t="shared" si="82"/>
        <v> </v>
      </c>
      <c r="J925" s="18">
        <v>0</v>
      </c>
      <c r="K925" s="18">
        <v>248.16</v>
      </c>
      <c r="L925" s="18">
        <v>1295036.3600000001</v>
      </c>
      <c r="M925" t="s">
        <v>2661</v>
      </c>
    </row>
    <row r="926" spans="1:13" ht="15" thickBot="1" x14ac:dyDescent="0.35">
      <c r="A926" s="14">
        <v>919</v>
      </c>
      <c r="B926" s="15">
        <v>45540</v>
      </c>
      <c r="C926" s="15">
        <v>45540</v>
      </c>
      <c r="D926" s="16" t="s">
        <v>1192</v>
      </c>
      <c r="E926" s="16" t="s">
        <v>1193</v>
      </c>
      <c r="F926" s="16" t="s">
        <v>1840</v>
      </c>
      <c r="G926" s="16" t="s">
        <v>1197</v>
      </c>
      <c r="H926" s="14" t="str">
        <f>"20240905/138168"</f>
        <v>20240905/138168</v>
      </c>
      <c r="I926" s="19" t="str">
        <f t="shared" si="82"/>
        <v> </v>
      </c>
      <c r="J926" s="18">
        <v>248.16</v>
      </c>
      <c r="K926" s="18">
        <v>0</v>
      </c>
      <c r="L926" s="18">
        <v>1295284.52</v>
      </c>
      <c r="M926" t="s">
        <v>2658</v>
      </c>
    </row>
    <row r="927" spans="1:13" ht="15" thickBot="1" x14ac:dyDescent="0.35">
      <c r="A927" s="14">
        <v>920</v>
      </c>
      <c r="B927" s="15">
        <v>45540</v>
      </c>
      <c r="C927" s="15">
        <v>45540</v>
      </c>
      <c r="D927" s="16" t="s">
        <v>1192</v>
      </c>
      <c r="E927" s="16" t="s">
        <v>1193</v>
      </c>
      <c r="F927" s="16" t="s">
        <v>1841</v>
      </c>
      <c r="G927" s="16" t="s">
        <v>1197</v>
      </c>
      <c r="H927" s="14" t="str">
        <f>"20240905/228670"</f>
        <v>20240905/228670</v>
      </c>
      <c r="I927" s="19" t="str">
        <f t="shared" si="82"/>
        <v> </v>
      </c>
      <c r="J927" s="18">
        <v>110737.25</v>
      </c>
      <c r="K927" s="18">
        <v>0</v>
      </c>
      <c r="L927" s="18">
        <v>1406021.77</v>
      </c>
    </row>
    <row r="928" spans="1:13" ht="15" thickBot="1" x14ac:dyDescent="0.35">
      <c r="A928" s="14">
        <v>921</v>
      </c>
      <c r="B928" s="15">
        <v>45540</v>
      </c>
      <c r="C928" s="15">
        <v>45540</v>
      </c>
      <c r="D928" s="16" t="s">
        <v>1192</v>
      </c>
      <c r="E928" s="16" t="s">
        <v>1193</v>
      </c>
      <c r="F928" s="16" t="s">
        <v>1842</v>
      </c>
      <c r="G928" s="16" t="s">
        <v>1197</v>
      </c>
      <c r="H928" s="14" t="str">
        <f>"20240905/228671"</f>
        <v>20240905/228671</v>
      </c>
      <c r="I928" s="19" t="str">
        <f t="shared" si="82"/>
        <v> </v>
      </c>
      <c r="J928" s="18">
        <v>476082.25</v>
      </c>
      <c r="K928" s="18">
        <v>0</v>
      </c>
      <c r="L928" s="18">
        <v>1882104.02</v>
      </c>
    </row>
    <row r="929" spans="1:13" ht="15" thickBot="1" x14ac:dyDescent="0.35">
      <c r="A929" s="14">
        <v>922</v>
      </c>
      <c r="B929" s="15">
        <v>45540</v>
      </c>
      <c r="C929" s="15">
        <v>45540</v>
      </c>
      <c r="D929" s="16" t="s">
        <v>1192</v>
      </c>
      <c r="E929" s="16" t="s">
        <v>1193</v>
      </c>
      <c r="F929" s="16" t="s">
        <v>1843</v>
      </c>
      <c r="G929" s="16" t="s">
        <v>1197</v>
      </c>
      <c r="H929" s="14" t="str">
        <f>"20240905/247902"</f>
        <v>20240905/247902</v>
      </c>
      <c r="I929" s="19" t="str">
        <f t="shared" si="82"/>
        <v> </v>
      </c>
      <c r="J929" s="18">
        <v>0</v>
      </c>
      <c r="K929" s="18">
        <v>478345.33</v>
      </c>
      <c r="L929" s="18">
        <v>1403758.69</v>
      </c>
    </row>
    <row r="930" spans="1:13" ht="15" thickBot="1" x14ac:dyDescent="0.35">
      <c r="A930" s="14">
        <v>923</v>
      </c>
      <c r="B930" s="15">
        <v>45540</v>
      </c>
      <c r="C930" s="15">
        <v>45540</v>
      </c>
      <c r="D930" s="16" t="s">
        <v>1192</v>
      </c>
      <c r="E930" s="16" t="s">
        <v>1193</v>
      </c>
      <c r="F930" s="16" t="s">
        <v>1844</v>
      </c>
      <c r="G930" s="16" t="s">
        <v>1197</v>
      </c>
      <c r="H930" s="14" t="str">
        <f>"20240905/247903"</f>
        <v>20240905/247903</v>
      </c>
      <c r="I930" s="19" t="str">
        <f t="shared" si="82"/>
        <v> </v>
      </c>
      <c r="J930" s="18">
        <v>0</v>
      </c>
      <c r="K930" s="18">
        <v>105986.25</v>
      </c>
      <c r="L930" s="18">
        <v>1297772.44</v>
      </c>
    </row>
    <row r="931" spans="1:13" ht="15" thickBot="1" x14ac:dyDescent="0.35">
      <c r="A931" s="14">
        <v>924</v>
      </c>
      <c r="B931" s="15">
        <v>45540</v>
      </c>
      <c r="C931" s="15">
        <v>45541</v>
      </c>
      <c r="D931" s="16" t="s">
        <v>1192</v>
      </c>
      <c r="E931" s="16" t="s">
        <v>1193</v>
      </c>
      <c r="F931" s="16" t="s">
        <v>1845</v>
      </c>
      <c r="G931" s="16" t="s">
        <v>1197</v>
      </c>
      <c r="H931" s="14" t="str">
        <f>"20240905/374176"</f>
        <v>20240905/374176</v>
      </c>
      <c r="I931" s="19" t="str">
        <f>"2409001637265"</f>
        <v>2409001637265</v>
      </c>
      <c r="J931" s="18">
        <v>0</v>
      </c>
      <c r="K931" s="18">
        <v>75109.820000000007</v>
      </c>
      <c r="L931" s="18">
        <v>1222662.6200000001</v>
      </c>
    </row>
    <row r="932" spans="1:13" ht="15" thickBot="1" x14ac:dyDescent="0.35">
      <c r="A932" s="14">
        <v>925</v>
      </c>
      <c r="B932" s="15">
        <v>45541</v>
      </c>
      <c r="C932" s="15">
        <v>45541</v>
      </c>
      <c r="D932" s="16" t="s">
        <v>1192</v>
      </c>
      <c r="E932" s="16" t="s">
        <v>1193</v>
      </c>
      <c r="F932" s="16" t="s">
        <v>1204</v>
      </c>
      <c r="G932" s="16" t="s">
        <v>1203</v>
      </c>
      <c r="H932" s="14" t="str">
        <f>"20240906/52334"</f>
        <v>20240906/52334</v>
      </c>
      <c r="I932" s="17" t="str">
        <f t="shared" ref="I932:I940" si="83">" "</f>
        <v> </v>
      </c>
      <c r="J932" s="18">
        <v>75109.820000000007</v>
      </c>
      <c r="K932" s="18">
        <v>0</v>
      </c>
      <c r="L932" s="18">
        <v>1297772.44</v>
      </c>
      <c r="M932" t="s">
        <v>2661</v>
      </c>
    </row>
    <row r="933" spans="1:13" ht="15" thickBot="1" x14ac:dyDescent="0.35">
      <c r="A933" s="14">
        <v>926</v>
      </c>
      <c r="B933" s="15">
        <v>45541</v>
      </c>
      <c r="C933" s="15">
        <v>45541</v>
      </c>
      <c r="D933" s="16" t="s">
        <v>1192</v>
      </c>
      <c r="E933" s="16" t="s">
        <v>1193</v>
      </c>
      <c r="F933" s="16" t="s">
        <v>1249</v>
      </c>
      <c r="G933" s="16" t="s">
        <v>1195</v>
      </c>
      <c r="H933" s="14" t="str">
        <f>"20240906/109469"</f>
        <v>20240906/109469</v>
      </c>
      <c r="I933" s="17" t="str">
        <f t="shared" si="83"/>
        <v> </v>
      </c>
      <c r="J933" s="18">
        <v>0</v>
      </c>
      <c r="K933" s="18">
        <v>20314.62</v>
      </c>
      <c r="L933" s="18">
        <v>1277457.82</v>
      </c>
      <c r="M933" t="s">
        <v>2661</v>
      </c>
    </row>
    <row r="934" spans="1:13" ht="15" thickBot="1" x14ac:dyDescent="0.35">
      <c r="A934" s="14">
        <v>927</v>
      </c>
      <c r="B934" s="15">
        <v>45541</v>
      </c>
      <c r="C934" s="15">
        <v>45541</v>
      </c>
      <c r="D934" s="16" t="s">
        <v>1192</v>
      </c>
      <c r="E934" s="16" t="s">
        <v>1193</v>
      </c>
      <c r="F934" s="16" t="s">
        <v>1194</v>
      </c>
      <c r="G934" s="16" t="s">
        <v>1195</v>
      </c>
      <c r="H934" s="14" t="str">
        <f>"20240906/139441"</f>
        <v>20240906/139441</v>
      </c>
      <c r="I934" s="17" t="str">
        <f t="shared" si="83"/>
        <v> </v>
      </c>
      <c r="J934" s="18">
        <v>0</v>
      </c>
      <c r="K934" s="18">
        <v>85367.92</v>
      </c>
      <c r="L934" s="18">
        <v>1192089.8999999999</v>
      </c>
      <c r="M934" t="s">
        <v>2661</v>
      </c>
    </row>
    <row r="935" spans="1:13" ht="15" thickBot="1" x14ac:dyDescent="0.35">
      <c r="A935" s="14">
        <v>928</v>
      </c>
      <c r="B935" s="15">
        <v>45541</v>
      </c>
      <c r="C935" s="15">
        <v>45541</v>
      </c>
      <c r="D935" s="16" t="s">
        <v>1192</v>
      </c>
      <c r="E935" s="16" t="s">
        <v>1193</v>
      </c>
      <c r="F935" s="16" t="s">
        <v>1194</v>
      </c>
      <c r="G935" s="16" t="s">
        <v>1195</v>
      </c>
      <c r="H935" s="14" t="str">
        <f>"20240906/40179"</f>
        <v>20240906/40179</v>
      </c>
      <c r="I935" s="17" t="str">
        <f t="shared" si="83"/>
        <v> </v>
      </c>
      <c r="J935" s="18">
        <v>0</v>
      </c>
      <c r="K935" s="18">
        <v>253.22</v>
      </c>
      <c r="L935" s="18">
        <v>1191836.68</v>
      </c>
      <c r="M935" t="s">
        <v>2661</v>
      </c>
    </row>
    <row r="936" spans="1:13" ht="15" thickBot="1" x14ac:dyDescent="0.35">
      <c r="A936" s="14">
        <v>929</v>
      </c>
      <c r="B936" s="15">
        <v>45541</v>
      </c>
      <c r="C936" s="15">
        <v>45541</v>
      </c>
      <c r="D936" s="16" t="s">
        <v>1192</v>
      </c>
      <c r="E936" s="16" t="s">
        <v>1193</v>
      </c>
      <c r="F936" s="16" t="s">
        <v>1846</v>
      </c>
      <c r="G936" s="16" t="s">
        <v>1197</v>
      </c>
      <c r="H936" s="14" t="str">
        <f>"20240906/132974"</f>
        <v>20240906/132974</v>
      </c>
      <c r="I936" s="19" t="str">
        <f t="shared" si="83"/>
        <v> </v>
      </c>
      <c r="J936" s="18">
        <v>253.22</v>
      </c>
      <c r="K936" s="18">
        <v>0</v>
      </c>
      <c r="L936" s="18">
        <v>1192089.8999999999</v>
      </c>
      <c r="M936" t="s">
        <v>2658</v>
      </c>
    </row>
    <row r="937" spans="1:13" ht="15" thickBot="1" x14ac:dyDescent="0.35">
      <c r="A937" s="14">
        <v>930</v>
      </c>
      <c r="B937" s="15">
        <v>45541</v>
      </c>
      <c r="C937" s="15">
        <v>45541</v>
      </c>
      <c r="D937" s="16" t="s">
        <v>1192</v>
      </c>
      <c r="E937" s="16" t="s">
        <v>1193</v>
      </c>
      <c r="F937" s="16" t="s">
        <v>1847</v>
      </c>
      <c r="G937" s="16" t="s">
        <v>1197</v>
      </c>
      <c r="H937" s="14" t="str">
        <f>"20240906/207998"</f>
        <v>20240906/207998</v>
      </c>
      <c r="I937" s="19" t="str">
        <f t="shared" si="83"/>
        <v> </v>
      </c>
      <c r="J937" s="18">
        <v>129685.25</v>
      </c>
      <c r="K937" s="18">
        <v>0</v>
      </c>
      <c r="L937" s="18">
        <v>1321775.1499999999</v>
      </c>
    </row>
    <row r="938" spans="1:13" ht="15" thickBot="1" x14ac:dyDescent="0.35">
      <c r="A938" s="14">
        <v>931</v>
      </c>
      <c r="B938" s="15">
        <v>45541</v>
      </c>
      <c r="C938" s="15">
        <v>45541</v>
      </c>
      <c r="D938" s="16" t="s">
        <v>1192</v>
      </c>
      <c r="E938" s="16" t="s">
        <v>1193</v>
      </c>
      <c r="F938" s="16" t="s">
        <v>1848</v>
      </c>
      <c r="G938" s="16" t="s">
        <v>1197</v>
      </c>
      <c r="H938" s="14" t="str">
        <f>"20240906/207999"</f>
        <v>20240906/207999</v>
      </c>
      <c r="I938" s="19" t="str">
        <f t="shared" si="83"/>
        <v> </v>
      </c>
      <c r="J938" s="18">
        <v>542502.17000000004</v>
      </c>
      <c r="K938" s="18">
        <v>0</v>
      </c>
      <c r="L938" s="18">
        <v>1864277.32</v>
      </c>
    </row>
    <row r="939" spans="1:13" ht="15" thickBot="1" x14ac:dyDescent="0.35">
      <c r="A939" s="14">
        <v>932</v>
      </c>
      <c r="B939" s="15">
        <v>45541</v>
      </c>
      <c r="C939" s="15">
        <v>45541</v>
      </c>
      <c r="D939" s="16" t="s">
        <v>1192</v>
      </c>
      <c r="E939" s="16" t="s">
        <v>1193</v>
      </c>
      <c r="F939" s="16" t="s">
        <v>1849</v>
      </c>
      <c r="G939" s="16" t="s">
        <v>1197</v>
      </c>
      <c r="H939" s="14" t="str">
        <f>"20240906/306566"</f>
        <v>20240906/306566</v>
      </c>
      <c r="I939" s="19" t="str">
        <f t="shared" si="83"/>
        <v> </v>
      </c>
      <c r="J939" s="18">
        <v>0</v>
      </c>
      <c r="K939" s="18">
        <v>110737.25</v>
      </c>
      <c r="L939" s="18">
        <v>1753540.07</v>
      </c>
    </row>
    <row r="940" spans="1:13" ht="15" thickBot="1" x14ac:dyDescent="0.35">
      <c r="A940" s="14">
        <v>933</v>
      </c>
      <c r="B940" s="15">
        <v>45541</v>
      </c>
      <c r="C940" s="15">
        <v>45541</v>
      </c>
      <c r="D940" s="16" t="s">
        <v>1192</v>
      </c>
      <c r="E940" s="16" t="s">
        <v>1193</v>
      </c>
      <c r="F940" s="16" t="s">
        <v>1850</v>
      </c>
      <c r="G940" s="16" t="s">
        <v>1197</v>
      </c>
      <c r="H940" s="14" t="str">
        <f>"20240906/306567"</f>
        <v>20240906/306567</v>
      </c>
      <c r="I940" s="19" t="str">
        <f t="shared" si="83"/>
        <v> </v>
      </c>
      <c r="J940" s="18">
        <v>0</v>
      </c>
      <c r="K940" s="18">
        <v>476082.25</v>
      </c>
      <c r="L940" s="18">
        <v>1277457.82</v>
      </c>
    </row>
    <row r="941" spans="1:13" ht="15" thickBot="1" x14ac:dyDescent="0.35">
      <c r="A941" s="14">
        <v>934</v>
      </c>
      <c r="B941" s="15">
        <v>45541</v>
      </c>
      <c r="C941" s="15">
        <v>45544</v>
      </c>
      <c r="D941" s="16" t="s">
        <v>1192</v>
      </c>
      <c r="E941" s="16" t="s">
        <v>1193</v>
      </c>
      <c r="F941" s="16" t="s">
        <v>1851</v>
      </c>
      <c r="G941" s="16" t="s">
        <v>1197</v>
      </c>
      <c r="H941" s="14" t="str">
        <f>"20240906/386783"</f>
        <v>20240906/386783</v>
      </c>
      <c r="I941" s="19" t="str">
        <f>"2409002135239"</f>
        <v>2409002135239</v>
      </c>
      <c r="J941" s="18">
        <v>184360.58</v>
      </c>
      <c r="K941" s="18">
        <v>0</v>
      </c>
      <c r="L941" s="18">
        <v>1461818.4</v>
      </c>
    </row>
    <row r="942" spans="1:13" ht="15" thickBot="1" x14ac:dyDescent="0.35">
      <c r="A942" s="14">
        <v>935</v>
      </c>
      <c r="B942" s="15">
        <v>45541</v>
      </c>
      <c r="C942" s="15">
        <v>45544</v>
      </c>
      <c r="D942" s="16" t="s">
        <v>1192</v>
      </c>
      <c r="E942" s="16" t="s">
        <v>1193</v>
      </c>
      <c r="F942" s="16" t="s">
        <v>1852</v>
      </c>
      <c r="G942" s="16" t="s">
        <v>1197</v>
      </c>
      <c r="H942" s="14" t="str">
        <f>"20240906/386784"</f>
        <v>20240906/386784</v>
      </c>
      <c r="I942" s="19" t="str">
        <f>"2409002135240"</f>
        <v>2409002135240</v>
      </c>
      <c r="J942" s="18">
        <v>20314.62</v>
      </c>
      <c r="K942" s="18">
        <v>0</v>
      </c>
      <c r="L942" s="18">
        <v>1482133.02</v>
      </c>
    </row>
    <row r="943" spans="1:13" ht="15" thickBot="1" x14ac:dyDescent="0.35">
      <c r="A943" s="14">
        <v>936</v>
      </c>
      <c r="B943" s="15">
        <v>45544</v>
      </c>
      <c r="C943" s="15">
        <v>45544</v>
      </c>
      <c r="D943" s="16" t="s">
        <v>1192</v>
      </c>
      <c r="E943" s="16" t="s">
        <v>1193</v>
      </c>
      <c r="F943" s="16" t="s">
        <v>1194</v>
      </c>
      <c r="G943" s="16" t="s">
        <v>1195</v>
      </c>
      <c r="H943" s="14" t="str">
        <f>"20240909/111940"</f>
        <v>20240909/111940</v>
      </c>
      <c r="I943" s="17" t="str">
        <f t="shared" ref="I943:I955" si="84">" "</f>
        <v> </v>
      </c>
      <c r="J943" s="18">
        <v>0</v>
      </c>
      <c r="K943" s="18">
        <v>7435.88</v>
      </c>
      <c r="L943" s="18">
        <v>1474697.14</v>
      </c>
      <c r="M943" t="s">
        <v>2661</v>
      </c>
    </row>
    <row r="944" spans="1:13" ht="15" thickBot="1" x14ac:dyDescent="0.35">
      <c r="A944" s="14">
        <v>937</v>
      </c>
      <c r="B944" s="15">
        <v>45544</v>
      </c>
      <c r="C944" s="15">
        <v>45544</v>
      </c>
      <c r="D944" s="16" t="s">
        <v>1192</v>
      </c>
      <c r="E944" s="16" t="s">
        <v>1193</v>
      </c>
      <c r="F944" s="16" t="s">
        <v>1194</v>
      </c>
      <c r="G944" s="16" t="s">
        <v>1195</v>
      </c>
      <c r="H944" s="14" t="str">
        <f>"20240909/17219"</f>
        <v>20240909/17219</v>
      </c>
      <c r="I944" s="17" t="str">
        <f t="shared" si="84"/>
        <v> </v>
      </c>
      <c r="J944" s="18">
        <v>0</v>
      </c>
      <c r="K944" s="18">
        <v>668.43</v>
      </c>
      <c r="L944" s="18">
        <v>1474028.71</v>
      </c>
      <c r="M944" t="s">
        <v>2661</v>
      </c>
    </row>
    <row r="945" spans="1:13" ht="15" thickBot="1" x14ac:dyDescent="0.35">
      <c r="A945" s="14">
        <v>938</v>
      </c>
      <c r="B945" s="15">
        <v>45544</v>
      </c>
      <c r="C945" s="15">
        <v>45544</v>
      </c>
      <c r="D945" s="16" t="s">
        <v>1192</v>
      </c>
      <c r="E945" s="16" t="s">
        <v>1193</v>
      </c>
      <c r="F945" s="16" t="s">
        <v>1853</v>
      </c>
      <c r="G945" s="16" t="s">
        <v>1197</v>
      </c>
      <c r="H945" s="14" t="str">
        <f>"20240909/153242"</f>
        <v>20240909/153242</v>
      </c>
      <c r="I945" s="19" t="str">
        <f t="shared" si="84"/>
        <v> </v>
      </c>
      <c r="J945" s="18">
        <v>668.43</v>
      </c>
      <c r="K945" s="18">
        <v>0</v>
      </c>
      <c r="L945" s="18">
        <v>1474697.14</v>
      </c>
      <c r="M945" t="s">
        <v>2658</v>
      </c>
    </row>
    <row r="946" spans="1:13" ht="15" thickBot="1" x14ac:dyDescent="0.35">
      <c r="A946" s="14">
        <v>939</v>
      </c>
      <c r="B946" s="15">
        <v>45544</v>
      </c>
      <c r="C946" s="15">
        <v>45544</v>
      </c>
      <c r="D946" s="16" t="s">
        <v>1192</v>
      </c>
      <c r="E946" s="16" t="s">
        <v>1193</v>
      </c>
      <c r="F946" s="16" t="s">
        <v>1854</v>
      </c>
      <c r="G946" s="16" t="s">
        <v>1197</v>
      </c>
      <c r="H946" s="14" t="str">
        <f>"20240909/189095"</f>
        <v>20240909/189095</v>
      </c>
      <c r="I946" s="19" t="str">
        <f t="shared" si="84"/>
        <v> </v>
      </c>
      <c r="J946" s="18">
        <v>143342.75</v>
      </c>
      <c r="K946" s="18">
        <v>0</v>
      </c>
      <c r="L946" s="18">
        <v>1618039.89</v>
      </c>
    </row>
    <row r="947" spans="1:13" ht="15" thickBot="1" x14ac:dyDescent="0.35">
      <c r="A947" s="14">
        <v>940</v>
      </c>
      <c r="B947" s="15">
        <v>45544</v>
      </c>
      <c r="C947" s="15">
        <v>45544</v>
      </c>
      <c r="D947" s="16" t="s">
        <v>1192</v>
      </c>
      <c r="E947" s="16" t="s">
        <v>1193</v>
      </c>
      <c r="F947" s="16" t="s">
        <v>1855</v>
      </c>
      <c r="G947" s="16" t="s">
        <v>1197</v>
      </c>
      <c r="H947" s="14" t="str">
        <f>"20240909/189096"</f>
        <v>20240909/189096</v>
      </c>
      <c r="I947" s="19" t="str">
        <f t="shared" si="84"/>
        <v> </v>
      </c>
      <c r="J947" s="18">
        <v>536280.55000000005</v>
      </c>
      <c r="K947" s="18">
        <v>0</v>
      </c>
      <c r="L947" s="18">
        <v>2154320.44</v>
      </c>
    </row>
    <row r="948" spans="1:13" ht="15" thickBot="1" x14ac:dyDescent="0.35">
      <c r="A948" s="14">
        <v>941</v>
      </c>
      <c r="B948" s="15">
        <v>45544</v>
      </c>
      <c r="C948" s="15">
        <v>45544</v>
      </c>
      <c r="D948" s="16" t="s">
        <v>1192</v>
      </c>
      <c r="E948" s="16" t="s">
        <v>1193</v>
      </c>
      <c r="F948" s="16" t="s">
        <v>1856</v>
      </c>
      <c r="G948" s="16" t="s">
        <v>1197</v>
      </c>
      <c r="H948" s="14" t="str">
        <f>"20240909/256729"</f>
        <v>20240909/256729</v>
      </c>
      <c r="I948" s="19" t="str">
        <f t="shared" si="84"/>
        <v> </v>
      </c>
      <c r="J948" s="18">
        <v>0</v>
      </c>
      <c r="K948" s="18">
        <v>129685.25</v>
      </c>
      <c r="L948" s="18">
        <v>2024635.19</v>
      </c>
    </row>
    <row r="949" spans="1:13" ht="15" thickBot="1" x14ac:dyDescent="0.35">
      <c r="A949" s="14">
        <v>942</v>
      </c>
      <c r="B949" s="15">
        <v>45544</v>
      </c>
      <c r="C949" s="15">
        <v>45544</v>
      </c>
      <c r="D949" s="16" t="s">
        <v>1192</v>
      </c>
      <c r="E949" s="16" t="s">
        <v>1193</v>
      </c>
      <c r="F949" s="16" t="s">
        <v>1857</v>
      </c>
      <c r="G949" s="16" t="s">
        <v>1197</v>
      </c>
      <c r="H949" s="14" t="str">
        <f>"20240909/256730"</f>
        <v>20240909/256730</v>
      </c>
      <c r="I949" s="19" t="str">
        <f t="shared" si="84"/>
        <v> </v>
      </c>
      <c r="J949" s="18">
        <v>0</v>
      </c>
      <c r="K949" s="18">
        <v>542502.17000000004</v>
      </c>
      <c r="L949" s="18">
        <v>1482133.02</v>
      </c>
    </row>
    <row r="950" spans="1:13" ht="15" thickBot="1" x14ac:dyDescent="0.35">
      <c r="A950" s="14">
        <v>943</v>
      </c>
      <c r="B950" s="15">
        <v>45545</v>
      </c>
      <c r="C950" s="15">
        <v>45545</v>
      </c>
      <c r="D950" s="16" t="s">
        <v>1192</v>
      </c>
      <c r="E950" s="16" t="s">
        <v>1193</v>
      </c>
      <c r="F950" s="16" t="s">
        <v>1194</v>
      </c>
      <c r="G950" s="16" t="s">
        <v>1195</v>
      </c>
      <c r="H950" s="14" t="str">
        <f>"20240910/38262"</f>
        <v>20240910/38262</v>
      </c>
      <c r="I950" s="17" t="str">
        <f t="shared" si="84"/>
        <v> </v>
      </c>
      <c r="J950" s="18">
        <v>0</v>
      </c>
      <c r="K950" s="18">
        <v>285.83</v>
      </c>
      <c r="L950" s="18">
        <v>1481847.19</v>
      </c>
      <c r="M950" t="s">
        <v>2661</v>
      </c>
    </row>
    <row r="951" spans="1:13" ht="15" thickBot="1" x14ac:dyDescent="0.35">
      <c r="A951" s="14">
        <v>944</v>
      </c>
      <c r="B951" s="15">
        <v>45545</v>
      </c>
      <c r="C951" s="15">
        <v>45545</v>
      </c>
      <c r="D951" s="16" t="s">
        <v>1192</v>
      </c>
      <c r="E951" s="16" t="s">
        <v>1193</v>
      </c>
      <c r="F951" s="16" t="s">
        <v>1858</v>
      </c>
      <c r="G951" s="16" t="s">
        <v>1197</v>
      </c>
      <c r="H951" s="14" t="str">
        <f>"20240910/144905"</f>
        <v>20240910/144905</v>
      </c>
      <c r="I951" s="19" t="str">
        <f t="shared" si="84"/>
        <v> </v>
      </c>
      <c r="J951" s="18">
        <v>285.83</v>
      </c>
      <c r="K951" s="18">
        <v>0</v>
      </c>
      <c r="L951" s="18">
        <v>1482133.02</v>
      </c>
      <c r="M951" t="s">
        <v>2658</v>
      </c>
    </row>
    <row r="952" spans="1:13" ht="15" thickBot="1" x14ac:dyDescent="0.35">
      <c r="A952" s="14">
        <v>945</v>
      </c>
      <c r="B952" s="15">
        <v>45545</v>
      </c>
      <c r="C952" s="15">
        <v>45545</v>
      </c>
      <c r="D952" s="16" t="s">
        <v>1192</v>
      </c>
      <c r="E952" s="16" t="s">
        <v>1193</v>
      </c>
      <c r="F952" s="16" t="s">
        <v>1859</v>
      </c>
      <c r="G952" s="16" t="s">
        <v>1197</v>
      </c>
      <c r="H952" s="14" t="str">
        <f>"20240910/204781"</f>
        <v>20240910/204781</v>
      </c>
      <c r="I952" s="19" t="str">
        <f t="shared" si="84"/>
        <v> </v>
      </c>
      <c r="J952" s="18">
        <v>133813.75</v>
      </c>
      <c r="K952" s="18">
        <v>0</v>
      </c>
      <c r="L952" s="18">
        <v>1615946.77</v>
      </c>
    </row>
    <row r="953" spans="1:13" ht="15" thickBot="1" x14ac:dyDescent="0.35">
      <c r="A953" s="14">
        <v>946</v>
      </c>
      <c r="B953" s="15">
        <v>45545</v>
      </c>
      <c r="C953" s="15">
        <v>45545</v>
      </c>
      <c r="D953" s="16" t="s">
        <v>1192</v>
      </c>
      <c r="E953" s="16" t="s">
        <v>1193</v>
      </c>
      <c r="F953" s="16" t="s">
        <v>1860</v>
      </c>
      <c r="G953" s="16" t="s">
        <v>1197</v>
      </c>
      <c r="H953" s="14" t="str">
        <f>"20240910/204782"</f>
        <v>20240910/204782</v>
      </c>
      <c r="I953" s="19" t="str">
        <f t="shared" si="84"/>
        <v> </v>
      </c>
      <c r="J953" s="18">
        <v>540614.1</v>
      </c>
      <c r="K953" s="18">
        <v>0</v>
      </c>
      <c r="L953" s="18">
        <v>2156560.87</v>
      </c>
    </row>
    <row r="954" spans="1:13" ht="15" thickBot="1" x14ac:dyDescent="0.35">
      <c r="A954" s="14">
        <v>947</v>
      </c>
      <c r="B954" s="15">
        <v>45545</v>
      </c>
      <c r="C954" s="15">
        <v>45545</v>
      </c>
      <c r="D954" s="16" t="s">
        <v>1192</v>
      </c>
      <c r="E954" s="16" t="s">
        <v>1193</v>
      </c>
      <c r="F954" s="16" t="s">
        <v>1861</v>
      </c>
      <c r="G954" s="16" t="s">
        <v>1197</v>
      </c>
      <c r="H954" s="14" t="str">
        <f>"20240910/293484"</f>
        <v>20240910/293484</v>
      </c>
      <c r="I954" s="19" t="str">
        <f t="shared" si="84"/>
        <v> </v>
      </c>
      <c r="J954" s="18">
        <v>0</v>
      </c>
      <c r="K954" s="18">
        <v>143342.75</v>
      </c>
      <c r="L954" s="18">
        <v>2013218.12</v>
      </c>
    </row>
    <row r="955" spans="1:13" ht="15" thickBot="1" x14ac:dyDescent="0.35">
      <c r="A955" s="14">
        <v>948</v>
      </c>
      <c r="B955" s="15">
        <v>45545</v>
      </c>
      <c r="C955" s="15">
        <v>45545</v>
      </c>
      <c r="D955" s="16" t="s">
        <v>1192</v>
      </c>
      <c r="E955" s="16" t="s">
        <v>1193</v>
      </c>
      <c r="F955" s="16" t="s">
        <v>1862</v>
      </c>
      <c r="G955" s="16" t="s">
        <v>1197</v>
      </c>
      <c r="H955" s="14" t="str">
        <f>"20240910/293485"</f>
        <v>20240910/293485</v>
      </c>
      <c r="I955" s="19" t="str">
        <f t="shared" si="84"/>
        <v> </v>
      </c>
      <c r="J955" s="18">
        <v>0</v>
      </c>
      <c r="K955" s="18">
        <v>536280.55000000005</v>
      </c>
      <c r="L955" s="18">
        <v>1476937.57</v>
      </c>
    </row>
    <row r="956" spans="1:13" ht="15" thickBot="1" x14ac:dyDescent="0.35">
      <c r="A956" s="14">
        <v>949</v>
      </c>
      <c r="B956" s="15">
        <v>45545</v>
      </c>
      <c r="C956" s="15">
        <v>45546</v>
      </c>
      <c r="D956" s="16" t="s">
        <v>1192</v>
      </c>
      <c r="E956" s="16" t="s">
        <v>1193</v>
      </c>
      <c r="F956" s="16" t="s">
        <v>1863</v>
      </c>
      <c r="G956" s="16" t="s">
        <v>1197</v>
      </c>
      <c r="H956" s="14" t="str">
        <f>"20240910/373448"</f>
        <v>20240910/373448</v>
      </c>
      <c r="I956" s="19" t="str">
        <f>"2409003112728"</f>
        <v>2409003112728</v>
      </c>
      <c r="J956" s="18">
        <v>0</v>
      </c>
      <c r="K956" s="18">
        <v>26919.200000000001</v>
      </c>
      <c r="L956" s="18">
        <v>1450018.37</v>
      </c>
    </row>
    <row r="957" spans="1:13" ht="15" thickBot="1" x14ac:dyDescent="0.35">
      <c r="A957" s="14">
        <v>950</v>
      </c>
      <c r="B957" s="15">
        <v>45546</v>
      </c>
      <c r="C957" s="15">
        <v>45546</v>
      </c>
      <c r="D957" s="16" t="s">
        <v>1192</v>
      </c>
      <c r="E957" s="16" t="s">
        <v>1193</v>
      </c>
      <c r="F957" s="16" t="s">
        <v>1204</v>
      </c>
      <c r="G957" s="16" t="s">
        <v>1203</v>
      </c>
      <c r="H957" s="14" t="str">
        <f>"20240911/28092"</f>
        <v>20240911/28092</v>
      </c>
      <c r="I957" s="17" t="str">
        <f t="shared" ref="I957:I965" si="85">" "</f>
        <v> </v>
      </c>
      <c r="J957" s="18">
        <v>26919.200000000001</v>
      </c>
      <c r="K957" s="18">
        <v>0</v>
      </c>
      <c r="L957" s="18">
        <v>1476937.57</v>
      </c>
      <c r="M957" t="s">
        <v>2661</v>
      </c>
    </row>
    <row r="958" spans="1:13" ht="15" thickBot="1" x14ac:dyDescent="0.35">
      <c r="A958" s="14">
        <v>951</v>
      </c>
      <c r="B958" s="15">
        <v>45546</v>
      </c>
      <c r="C958" s="15">
        <v>45546</v>
      </c>
      <c r="D958" s="16" t="s">
        <v>1192</v>
      </c>
      <c r="E958" s="16" t="s">
        <v>1193</v>
      </c>
      <c r="F958" s="16" t="s">
        <v>1202</v>
      </c>
      <c r="G958" s="16" t="s">
        <v>1203</v>
      </c>
      <c r="H958" s="14" t="str">
        <f>"20240911/9313"</f>
        <v>20240911/9313</v>
      </c>
      <c r="I958" s="17" t="str">
        <f t="shared" si="85"/>
        <v> </v>
      </c>
      <c r="J958" s="18">
        <v>5195.45</v>
      </c>
      <c r="K958" s="18">
        <v>0</v>
      </c>
      <c r="L958" s="18">
        <v>1482133.02</v>
      </c>
      <c r="M958" t="s">
        <v>2661</v>
      </c>
    </row>
    <row r="959" spans="1:13" ht="15" thickBot="1" x14ac:dyDescent="0.35">
      <c r="A959" s="14">
        <v>952</v>
      </c>
      <c r="B959" s="15">
        <v>45546</v>
      </c>
      <c r="C959" s="15">
        <v>45546</v>
      </c>
      <c r="D959" s="16" t="s">
        <v>1192</v>
      </c>
      <c r="E959" s="16" t="s">
        <v>1193</v>
      </c>
      <c r="F959" s="16" t="s">
        <v>1194</v>
      </c>
      <c r="G959" s="16" t="s">
        <v>1195</v>
      </c>
      <c r="H959" s="14" t="str">
        <f>"20240911/120391"</f>
        <v>20240911/120391</v>
      </c>
      <c r="I959" s="17" t="str">
        <f t="shared" si="85"/>
        <v> </v>
      </c>
      <c r="J959" s="18">
        <v>0</v>
      </c>
      <c r="K959" s="18">
        <v>13000.47</v>
      </c>
      <c r="L959" s="18">
        <v>1469132.55</v>
      </c>
      <c r="M959" t="s">
        <v>2661</v>
      </c>
    </row>
    <row r="960" spans="1:13" ht="15" thickBot="1" x14ac:dyDescent="0.35">
      <c r="A960" s="14">
        <v>953</v>
      </c>
      <c r="B960" s="15">
        <v>45546</v>
      </c>
      <c r="C960" s="15">
        <v>45546</v>
      </c>
      <c r="D960" s="16" t="s">
        <v>1192</v>
      </c>
      <c r="E960" s="16" t="s">
        <v>1193</v>
      </c>
      <c r="F960" s="16" t="s">
        <v>1194</v>
      </c>
      <c r="G960" s="16" t="s">
        <v>1195</v>
      </c>
      <c r="H960" s="14" t="str">
        <f>"20240911/17321"</f>
        <v>20240911/17321</v>
      </c>
      <c r="I960" s="17" t="str">
        <f t="shared" si="85"/>
        <v> </v>
      </c>
      <c r="J960" s="18">
        <v>0</v>
      </c>
      <c r="K960" s="18">
        <v>285.83</v>
      </c>
      <c r="L960" s="18">
        <v>1468846.72</v>
      </c>
      <c r="M960" t="s">
        <v>2661</v>
      </c>
    </row>
    <row r="961" spans="1:13" ht="15" thickBot="1" x14ac:dyDescent="0.35">
      <c r="A961" s="14">
        <v>954</v>
      </c>
      <c r="B961" s="15">
        <v>45546</v>
      </c>
      <c r="C961" s="15">
        <v>45546</v>
      </c>
      <c r="D961" s="16" t="s">
        <v>1192</v>
      </c>
      <c r="E961" s="16" t="s">
        <v>1193</v>
      </c>
      <c r="F961" s="16" t="s">
        <v>1864</v>
      </c>
      <c r="G961" s="16" t="s">
        <v>1197</v>
      </c>
      <c r="H961" s="14" t="str">
        <f>"20240911/150810"</f>
        <v>20240911/150810</v>
      </c>
      <c r="I961" s="19" t="str">
        <f t="shared" si="85"/>
        <v> </v>
      </c>
      <c r="J961" s="18">
        <v>285.83</v>
      </c>
      <c r="K961" s="18">
        <v>0</v>
      </c>
      <c r="L961" s="18">
        <v>1469132.55</v>
      </c>
      <c r="M961" t="s">
        <v>2658</v>
      </c>
    </row>
    <row r="962" spans="1:13" ht="15" thickBot="1" x14ac:dyDescent="0.35">
      <c r="A962" s="14">
        <v>955</v>
      </c>
      <c r="B962" s="15">
        <v>45546</v>
      </c>
      <c r="C962" s="15">
        <v>45546</v>
      </c>
      <c r="D962" s="16" t="s">
        <v>1192</v>
      </c>
      <c r="E962" s="16" t="s">
        <v>1193</v>
      </c>
      <c r="F962" s="16" t="s">
        <v>1865</v>
      </c>
      <c r="G962" s="16" t="s">
        <v>1197</v>
      </c>
      <c r="H962" s="14" t="str">
        <f>"20240911/236348"</f>
        <v>20240911/236348</v>
      </c>
      <c r="I962" s="19" t="str">
        <f t="shared" si="85"/>
        <v> </v>
      </c>
      <c r="J962" s="18">
        <v>548380.81999999995</v>
      </c>
      <c r="K962" s="18">
        <v>0</v>
      </c>
      <c r="L962" s="18">
        <v>2017513.37</v>
      </c>
    </row>
    <row r="963" spans="1:13" ht="15" thickBot="1" x14ac:dyDescent="0.35">
      <c r="A963" s="14">
        <v>956</v>
      </c>
      <c r="B963" s="15">
        <v>45546</v>
      </c>
      <c r="C963" s="15">
        <v>45546</v>
      </c>
      <c r="D963" s="16" t="s">
        <v>1192</v>
      </c>
      <c r="E963" s="16" t="s">
        <v>1193</v>
      </c>
      <c r="F963" s="16" t="s">
        <v>1866</v>
      </c>
      <c r="G963" s="16" t="s">
        <v>1197</v>
      </c>
      <c r="H963" s="14" t="str">
        <f>"20240911/236349"</f>
        <v>20240911/236349</v>
      </c>
      <c r="I963" s="19" t="str">
        <f t="shared" si="85"/>
        <v> </v>
      </c>
      <c r="J963" s="18">
        <v>139047.5</v>
      </c>
      <c r="K963" s="18">
        <v>0</v>
      </c>
      <c r="L963" s="18">
        <v>2156560.87</v>
      </c>
    </row>
    <row r="964" spans="1:13" ht="15" thickBot="1" x14ac:dyDescent="0.35">
      <c r="A964" s="14">
        <v>957</v>
      </c>
      <c r="B964" s="15">
        <v>45546</v>
      </c>
      <c r="C964" s="15">
        <v>45546</v>
      </c>
      <c r="D964" s="16" t="s">
        <v>1192</v>
      </c>
      <c r="E964" s="16" t="s">
        <v>1193</v>
      </c>
      <c r="F964" s="16" t="s">
        <v>1867</v>
      </c>
      <c r="G964" s="16" t="s">
        <v>1197</v>
      </c>
      <c r="H964" s="14" t="str">
        <f>"20240911/263534"</f>
        <v>20240911/263534</v>
      </c>
      <c r="I964" s="19" t="str">
        <f t="shared" si="85"/>
        <v> </v>
      </c>
      <c r="J964" s="18">
        <v>0</v>
      </c>
      <c r="K964" s="18">
        <v>133813.75</v>
      </c>
      <c r="L964" s="18">
        <v>2022747.12</v>
      </c>
    </row>
    <row r="965" spans="1:13" ht="15" thickBot="1" x14ac:dyDescent="0.35">
      <c r="A965" s="14">
        <v>958</v>
      </c>
      <c r="B965" s="15">
        <v>45546</v>
      </c>
      <c r="C965" s="15">
        <v>45546</v>
      </c>
      <c r="D965" s="16" t="s">
        <v>1192</v>
      </c>
      <c r="E965" s="16" t="s">
        <v>1193</v>
      </c>
      <c r="F965" s="16" t="s">
        <v>1868</v>
      </c>
      <c r="G965" s="16" t="s">
        <v>1197</v>
      </c>
      <c r="H965" s="14" t="str">
        <f>"20240911/265866"</f>
        <v>20240911/265866</v>
      </c>
      <c r="I965" s="19" t="str">
        <f t="shared" si="85"/>
        <v> </v>
      </c>
      <c r="J965" s="18">
        <v>0</v>
      </c>
      <c r="K965" s="18">
        <v>540614.1</v>
      </c>
      <c r="L965" s="18">
        <v>1482133.02</v>
      </c>
    </row>
    <row r="966" spans="1:13" ht="15" thickBot="1" x14ac:dyDescent="0.35">
      <c r="A966" s="14">
        <v>959</v>
      </c>
      <c r="B966" s="15">
        <v>45546</v>
      </c>
      <c r="C966" s="15">
        <v>45547</v>
      </c>
      <c r="D966" s="16" t="s">
        <v>1192</v>
      </c>
      <c r="E966" s="16" t="s">
        <v>1193</v>
      </c>
      <c r="F966" s="16" t="s">
        <v>1869</v>
      </c>
      <c r="G966" s="16" t="s">
        <v>1197</v>
      </c>
      <c r="H966" s="14" t="str">
        <f>"20240911/377540"</f>
        <v>20240911/377540</v>
      </c>
      <c r="I966" s="19" t="str">
        <f>"2409003588524"</f>
        <v>2409003588524</v>
      </c>
      <c r="J966" s="18">
        <v>23069.57</v>
      </c>
      <c r="K966" s="18">
        <v>0</v>
      </c>
      <c r="L966" s="18">
        <v>1505202.59</v>
      </c>
    </row>
    <row r="967" spans="1:13" ht="15" thickBot="1" x14ac:dyDescent="0.35">
      <c r="A967" s="14">
        <v>960</v>
      </c>
      <c r="B967" s="15">
        <v>45547</v>
      </c>
      <c r="C967" s="15">
        <v>45547</v>
      </c>
      <c r="D967" s="16" t="s">
        <v>1192</v>
      </c>
      <c r="E967" s="16" t="s">
        <v>1193</v>
      </c>
      <c r="F967" s="16" t="s">
        <v>1194</v>
      </c>
      <c r="G967" s="16" t="s">
        <v>1195</v>
      </c>
      <c r="H967" s="14" t="str">
        <f>"20240912/18715"</f>
        <v>20240912/18715</v>
      </c>
      <c r="I967" s="17" t="str">
        <f t="shared" ref="I967:I973" si="86">" "</f>
        <v> </v>
      </c>
      <c r="J967" s="18">
        <v>0</v>
      </c>
      <c r="K967" s="18">
        <v>283.05</v>
      </c>
      <c r="L967" s="18">
        <v>1504919.54</v>
      </c>
      <c r="M967" t="s">
        <v>2661</v>
      </c>
    </row>
    <row r="968" spans="1:13" ht="15" thickBot="1" x14ac:dyDescent="0.35">
      <c r="A968" s="14">
        <v>961</v>
      </c>
      <c r="B968" s="15">
        <v>45547</v>
      </c>
      <c r="C968" s="15">
        <v>45547</v>
      </c>
      <c r="D968" s="16" t="s">
        <v>1192</v>
      </c>
      <c r="E968" s="16" t="s">
        <v>1193</v>
      </c>
      <c r="F968" s="16" t="s">
        <v>1194</v>
      </c>
      <c r="G968" s="16" t="s">
        <v>1195</v>
      </c>
      <c r="H968" s="14" t="str">
        <f>"20240912/85322"</f>
        <v>20240912/85322</v>
      </c>
      <c r="I968" s="17" t="str">
        <f t="shared" si="86"/>
        <v> </v>
      </c>
      <c r="J968" s="18">
        <v>0</v>
      </c>
      <c r="K968" s="18">
        <v>25768.44</v>
      </c>
      <c r="L968" s="18">
        <v>1479151.1</v>
      </c>
      <c r="M968" t="s">
        <v>2661</v>
      </c>
    </row>
    <row r="969" spans="1:13" ht="15" thickBot="1" x14ac:dyDescent="0.35">
      <c r="A969" s="14">
        <v>962</v>
      </c>
      <c r="B969" s="15">
        <v>45547</v>
      </c>
      <c r="C969" s="15">
        <v>45547</v>
      </c>
      <c r="D969" s="16" t="s">
        <v>1192</v>
      </c>
      <c r="E969" s="16" t="s">
        <v>1193</v>
      </c>
      <c r="F969" s="16" t="s">
        <v>1870</v>
      </c>
      <c r="G969" s="16" t="s">
        <v>1197</v>
      </c>
      <c r="H969" s="14" t="str">
        <f>"20240912/124685"</f>
        <v>20240912/124685</v>
      </c>
      <c r="I969" s="19" t="str">
        <f t="shared" si="86"/>
        <v> </v>
      </c>
      <c r="J969" s="18">
        <v>283.05</v>
      </c>
      <c r="K969" s="18">
        <v>0</v>
      </c>
      <c r="L969" s="18">
        <v>1479434.15</v>
      </c>
      <c r="M969" t="s">
        <v>2658</v>
      </c>
    </row>
    <row r="970" spans="1:13" ht="15" thickBot="1" x14ac:dyDescent="0.35">
      <c r="A970" s="14">
        <v>963</v>
      </c>
      <c r="B970" s="15">
        <v>45547</v>
      </c>
      <c r="C970" s="15">
        <v>45547</v>
      </c>
      <c r="D970" s="16" t="s">
        <v>1192</v>
      </c>
      <c r="E970" s="16" t="s">
        <v>1193</v>
      </c>
      <c r="F970" s="16" t="s">
        <v>1871</v>
      </c>
      <c r="G970" s="16" t="s">
        <v>1197</v>
      </c>
      <c r="H970" s="14" t="str">
        <f>"20240912/192670"</f>
        <v>20240912/192670</v>
      </c>
      <c r="I970" s="19" t="str">
        <f t="shared" si="86"/>
        <v> </v>
      </c>
      <c r="J970" s="18">
        <v>584584.76</v>
      </c>
      <c r="K970" s="18">
        <v>0</v>
      </c>
      <c r="L970" s="18">
        <v>2064018.91</v>
      </c>
    </row>
    <row r="971" spans="1:13" ht="15" thickBot="1" x14ac:dyDescent="0.35">
      <c r="A971" s="14">
        <v>964</v>
      </c>
      <c r="B971" s="15">
        <v>45547</v>
      </c>
      <c r="C971" s="15">
        <v>45547</v>
      </c>
      <c r="D971" s="16" t="s">
        <v>1192</v>
      </c>
      <c r="E971" s="16" t="s">
        <v>1193</v>
      </c>
      <c r="F971" s="16" t="s">
        <v>1872</v>
      </c>
      <c r="G971" s="16" t="s">
        <v>1197</v>
      </c>
      <c r="H971" s="14" t="str">
        <f>"20240912/192671"</f>
        <v>20240912/192671</v>
      </c>
      <c r="I971" s="19" t="str">
        <f t="shared" si="86"/>
        <v> </v>
      </c>
      <c r="J971" s="18">
        <v>128612</v>
      </c>
      <c r="K971" s="18">
        <v>0</v>
      </c>
      <c r="L971" s="18">
        <v>2192630.91</v>
      </c>
    </row>
    <row r="972" spans="1:13" ht="15" thickBot="1" x14ac:dyDescent="0.35">
      <c r="A972" s="14">
        <v>965</v>
      </c>
      <c r="B972" s="15">
        <v>45547</v>
      </c>
      <c r="C972" s="15">
        <v>45547</v>
      </c>
      <c r="D972" s="16" t="s">
        <v>1192</v>
      </c>
      <c r="E972" s="16" t="s">
        <v>1193</v>
      </c>
      <c r="F972" s="16" t="s">
        <v>1873</v>
      </c>
      <c r="G972" s="16" t="s">
        <v>1197</v>
      </c>
      <c r="H972" s="14" t="str">
        <f>"20240912/278655"</f>
        <v>20240912/278655</v>
      </c>
      <c r="I972" s="19" t="str">
        <f t="shared" si="86"/>
        <v> </v>
      </c>
      <c r="J972" s="18">
        <v>0</v>
      </c>
      <c r="K972" s="18">
        <v>548380.81999999995</v>
      </c>
      <c r="L972" s="18">
        <v>1644250.09</v>
      </c>
    </row>
    <row r="973" spans="1:13" ht="15" thickBot="1" x14ac:dyDescent="0.35">
      <c r="A973" s="14">
        <v>966</v>
      </c>
      <c r="B973" s="15">
        <v>45547</v>
      </c>
      <c r="C973" s="15">
        <v>45547</v>
      </c>
      <c r="D973" s="16" t="s">
        <v>1192</v>
      </c>
      <c r="E973" s="16" t="s">
        <v>1193</v>
      </c>
      <c r="F973" s="16" t="s">
        <v>1874</v>
      </c>
      <c r="G973" s="16" t="s">
        <v>1197</v>
      </c>
      <c r="H973" s="14" t="str">
        <f>"20240912/278656"</f>
        <v>20240912/278656</v>
      </c>
      <c r="I973" s="19" t="str">
        <f t="shared" si="86"/>
        <v> </v>
      </c>
      <c r="J973" s="18">
        <v>0</v>
      </c>
      <c r="K973" s="18">
        <v>139047.5</v>
      </c>
      <c r="L973" s="18">
        <v>1505202.59</v>
      </c>
    </row>
    <row r="974" spans="1:13" ht="15" thickBot="1" x14ac:dyDescent="0.35">
      <c r="A974" s="14">
        <v>967</v>
      </c>
      <c r="B974" s="15">
        <v>45547</v>
      </c>
      <c r="C974" s="15">
        <v>45548</v>
      </c>
      <c r="D974" s="16" t="s">
        <v>1192</v>
      </c>
      <c r="E974" s="16" t="s">
        <v>1193</v>
      </c>
      <c r="F974" s="16" t="s">
        <v>1875</v>
      </c>
      <c r="G974" s="16" t="s">
        <v>1197</v>
      </c>
      <c r="H974" s="14" t="str">
        <f>"20240912/367212"</f>
        <v>20240912/367212</v>
      </c>
      <c r="I974" s="19" t="str">
        <f>"2409004050559"</f>
        <v>2409004050559</v>
      </c>
      <c r="J974" s="18">
        <v>69216.33</v>
      </c>
      <c r="K974" s="18">
        <v>0</v>
      </c>
      <c r="L974" s="18">
        <v>1574418.92</v>
      </c>
    </row>
    <row r="975" spans="1:13" ht="15" thickBot="1" x14ac:dyDescent="0.35">
      <c r="A975" s="14">
        <v>968</v>
      </c>
      <c r="B975" s="15">
        <v>45548</v>
      </c>
      <c r="C975" s="15">
        <v>45548</v>
      </c>
      <c r="D975" s="16" t="s">
        <v>1192</v>
      </c>
      <c r="E975" s="16" t="s">
        <v>1193</v>
      </c>
      <c r="F975" s="16" t="s">
        <v>1194</v>
      </c>
      <c r="G975" s="16" t="s">
        <v>1195</v>
      </c>
      <c r="H975" s="14" t="str">
        <f>"20240913/37729"</f>
        <v>20240913/37729</v>
      </c>
      <c r="I975" s="17" t="str">
        <f t="shared" ref="I975:I987" si="87">" "</f>
        <v> </v>
      </c>
      <c r="J975" s="18">
        <v>0</v>
      </c>
      <c r="K975" s="18">
        <v>282.08</v>
      </c>
      <c r="L975" s="18">
        <v>1574136.84</v>
      </c>
      <c r="M975" t="s">
        <v>2661</v>
      </c>
    </row>
    <row r="976" spans="1:13" ht="15" thickBot="1" x14ac:dyDescent="0.35">
      <c r="A976" s="14">
        <v>969</v>
      </c>
      <c r="B976" s="15">
        <v>45548</v>
      </c>
      <c r="C976" s="15">
        <v>45548</v>
      </c>
      <c r="D976" s="16" t="s">
        <v>1192</v>
      </c>
      <c r="E976" s="16" t="s">
        <v>1193</v>
      </c>
      <c r="F976" s="16" t="s">
        <v>1194</v>
      </c>
      <c r="G976" s="16" t="s">
        <v>1195</v>
      </c>
      <c r="H976" s="14" t="str">
        <f>"20240913/89741"</f>
        <v>20240913/89741</v>
      </c>
      <c r="I976" s="17" t="str">
        <f t="shared" si="87"/>
        <v> </v>
      </c>
      <c r="J976" s="18">
        <v>0</v>
      </c>
      <c r="K976" s="18">
        <v>1276.76</v>
      </c>
      <c r="L976" s="18">
        <v>1572860.08</v>
      </c>
      <c r="M976" t="s">
        <v>2661</v>
      </c>
    </row>
    <row r="977" spans="1:13" ht="15" thickBot="1" x14ac:dyDescent="0.35">
      <c r="A977" s="14">
        <v>970</v>
      </c>
      <c r="B977" s="15">
        <v>45548</v>
      </c>
      <c r="C977" s="15">
        <v>45548</v>
      </c>
      <c r="D977" s="16" t="s">
        <v>1192</v>
      </c>
      <c r="E977" s="16" t="s">
        <v>1193</v>
      </c>
      <c r="F977" s="16" t="s">
        <v>1876</v>
      </c>
      <c r="G977" s="16" t="s">
        <v>1197</v>
      </c>
      <c r="H977" s="14" t="str">
        <f>"20240913/144693"</f>
        <v>20240913/144693</v>
      </c>
      <c r="I977" s="19" t="str">
        <f t="shared" si="87"/>
        <v> </v>
      </c>
      <c r="J977" s="18">
        <v>282.08</v>
      </c>
      <c r="K977" s="18">
        <v>0</v>
      </c>
      <c r="L977" s="18">
        <v>1573142.16</v>
      </c>
      <c r="M977" t="s">
        <v>2658</v>
      </c>
    </row>
    <row r="978" spans="1:13" ht="15" thickBot="1" x14ac:dyDescent="0.35">
      <c r="A978" s="14">
        <v>971</v>
      </c>
      <c r="B978" s="15">
        <v>45548</v>
      </c>
      <c r="C978" s="15">
        <v>45548</v>
      </c>
      <c r="D978" s="16" t="s">
        <v>1192</v>
      </c>
      <c r="E978" s="16" t="s">
        <v>1193</v>
      </c>
      <c r="F978" s="16" t="s">
        <v>1877</v>
      </c>
      <c r="G978" s="16" t="s">
        <v>1197</v>
      </c>
      <c r="H978" s="14" t="str">
        <f>"20240913/221905"</f>
        <v>20240913/221905</v>
      </c>
      <c r="I978" s="19" t="str">
        <f t="shared" si="87"/>
        <v> </v>
      </c>
      <c r="J978" s="18">
        <v>131118.25</v>
      </c>
      <c r="K978" s="18">
        <v>0</v>
      </c>
      <c r="L978" s="18">
        <v>1704260.41</v>
      </c>
    </row>
    <row r="979" spans="1:13" ht="15" thickBot="1" x14ac:dyDescent="0.35">
      <c r="A979" s="14">
        <v>972</v>
      </c>
      <c r="B979" s="15">
        <v>45548</v>
      </c>
      <c r="C979" s="15">
        <v>45548</v>
      </c>
      <c r="D979" s="16" t="s">
        <v>1192</v>
      </c>
      <c r="E979" s="16" t="s">
        <v>1193</v>
      </c>
      <c r="F979" s="16" t="s">
        <v>1878</v>
      </c>
      <c r="G979" s="16" t="s">
        <v>1197</v>
      </c>
      <c r="H979" s="14" t="str">
        <f>"20240913/221906"</f>
        <v>20240913/221906</v>
      </c>
      <c r="I979" s="19" t="str">
        <f t="shared" si="87"/>
        <v> </v>
      </c>
      <c r="J979" s="18">
        <v>583355.27</v>
      </c>
      <c r="K979" s="18">
        <v>0</v>
      </c>
      <c r="L979" s="18">
        <v>2287615.6800000002</v>
      </c>
    </row>
    <row r="980" spans="1:13" ht="15" thickBot="1" x14ac:dyDescent="0.35">
      <c r="A980" s="14">
        <v>973</v>
      </c>
      <c r="B980" s="15">
        <v>45548</v>
      </c>
      <c r="C980" s="15">
        <v>45548</v>
      </c>
      <c r="D980" s="16" t="s">
        <v>1192</v>
      </c>
      <c r="E980" s="16" t="s">
        <v>1193</v>
      </c>
      <c r="F980" s="16" t="s">
        <v>1879</v>
      </c>
      <c r="G980" s="16" t="s">
        <v>1197</v>
      </c>
      <c r="H980" s="14" t="str">
        <f>"20240913/308309"</f>
        <v>20240913/308309</v>
      </c>
      <c r="I980" s="19" t="str">
        <f t="shared" si="87"/>
        <v> </v>
      </c>
      <c r="J980" s="18">
        <v>0</v>
      </c>
      <c r="K980" s="18">
        <v>584584.76</v>
      </c>
      <c r="L980" s="18">
        <v>1703030.92</v>
      </c>
    </row>
    <row r="981" spans="1:13" ht="15" thickBot="1" x14ac:dyDescent="0.35">
      <c r="A981" s="14">
        <v>974</v>
      </c>
      <c r="B981" s="15">
        <v>45548</v>
      </c>
      <c r="C981" s="15">
        <v>45548</v>
      </c>
      <c r="D981" s="16" t="s">
        <v>1192</v>
      </c>
      <c r="E981" s="16" t="s">
        <v>1193</v>
      </c>
      <c r="F981" s="16" t="s">
        <v>1880</v>
      </c>
      <c r="G981" s="16" t="s">
        <v>1197</v>
      </c>
      <c r="H981" s="14" t="str">
        <f>"20240913/308310"</f>
        <v>20240913/308310</v>
      </c>
      <c r="I981" s="19" t="str">
        <f t="shared" si="87"/>
        <v> </v>
      </c>
      <c r="J981" s="18">
        <v>0</v>
      </c>
      <c r="K981" s="18">
        <v>128612</v>
      </c>
      <c r="L981" s="18">
        <v>1574418.92</v>
      </c>
    </row>
    <row r="982" spans="1:13" ht="15" thickBot="1" x14ac:dyDescent="0.35">
      <c r="A982" s="14">
        <v>975</v>
      </c>
      <c r="B982" s="15">
        <v>45551</v>
      </c>
      <c r="C982" s="15">
        <v>45551</v>
      </c>
      <c r="D982" s="16" t="s">
        <v>1192</v>
      </c>
      <c r="E982" s="16" t="s">
        <v>1193</v>
      </c>
      <c r="F982" s="16" t="s">
        <v>1194</v>
      </c>
      <c r="G982" s="16" t="s">
        <v>1195</v>
      </c>
      <c r="H982" s="14" t="str">
        <f>"20240916/19060"</f>
        <v>20240916/19060</v>
      </c>
      <c r="I982" s="17" t="str">
        <f t="shared" si="87"/>
        <v> </v>
      </c>
      <c r="J982" s="18">
        <v>0</v>
      </c>
      <c r="K982" s="18">
        <v>918.84</v>
      </c>
      <c r="L982" s="18">
        <v>1573500.08</v>
      </c>
      <c r="M982" t="s">
        <v>2661</v>
      </c>
    </row>
    <row r="983" spans="1:13" ht="15" thickBot="1" x14ac:dyDescent="0.35">
      <c r="A983" s="14">
        <v>976</v>
      </c>
      <c r="B983" s="15">
        <v>45551</v>
      </c>
      <c r="C983" s="15">
        <v>45551</v>
      </c>
      <c r="D983" s="16" t="s">
        <v>1192</v>
      </c>
      <c r="E983" s="16" t="s">
        <v>1193</v>
      </c>
      <c r="F983" s="16" t="s">
        <v>1881</v>
      </c>
      <c r="G983" s="16" t="s">
        <v>1197</v>
      </c>
      <c r="H983" s="14" t="str">
        <f>"20240916/127003"</f>
        <v>20240916/127003</v>
      </c>
      <c r="I983" s="19" t="str">
        <f t="shared" si="87"/>
        <v> </v>
      </c>
      <c r="J983" s="18">
        <v>0</v>
      </c>
      <c r="K983" s="18">
        <v>131118.25</v>
      </c>
      <c r="L983" s="18">
        <v>1442381.83</v>
      </c>
    </row>
    <row r="984" spans="1:13" ht="15" thickBot="1" x14ac:dyDescent="0.35">
      <c r="A984" s="14">
        <v>977</v>
      </c>
      <c r="B984" s="15">
        <v>45551</v>
      </c>
      <c r="C984" s="15">
        <v>45551</v>
      </c>
      <c r="D984" s="16" t="s">
        <v>1192</v>
      </c>
      <c r="E984" s="16" t="s">
        <v>1193</v>
      </c>
      <c r="F984" s="16" t="s">
        <v>1882</v>
      </c>
      <c r="G984" s="16" t="s">
        <v>1197</v>
      </c>
      <c r="H984" s="14" t="str">
        <f>"20240916/127004"</f>
        <v>20240916/127004</v>
      </c>
      <c r="I984" s="19" t="str">
        <f t="shared" si="87"/>
        <v> </v>
      </c>
      <c r="J984" s="18">
        <v>0</v>
      </c>
      <c r="K984" s="18">
        <v>583355.27</v>
      </c>
      <c r="L984" s="18">
        <v>859026.56</v>
      </c>
    </row>
    <row r="985" spans="1:13" ht="15" thickBot="1" x14ac:dyDescent="0.35">
      <c r="A985" s="14">
        <v>978</v>
      </c>
      <c r="B985" s="15">
        <v>45551</v>
      </c>
      <c r="C985" s="15">
        <v>45551</v>
      </c>
      <c r="D985" s="16" t="s">
        <v>1192</v>
      </c>
      <c r="E985" s="16" t="s">
        <v>1193</v>
      </c>
      <c r="F985" s="16" t="s">
        <v>1883</v>
      </c>
      <c r="G985" s="16" t="s">
        <v>1197</v>
      </c>
      <c r="H985" s="14" t="str">
        <f>"20240916/13528"</f>
        <v>20240916/13528</v>
      </c>
      <c r="I985" s="19" t="str">
        <f t="shared" si="87"/>
        <v> </v>
      </c>
      <c r="J985" s="18">
        <v>918.84</v>
      </c>
      <c r="K985" s="18">
        <v>0</v>
      </c>
      <c r="L985" s="18">
        <v>859945.4</v>
      </c>
      <c r="M985" t="s">
        <v>2658</v>
      </c>
    </row>
    <row r="986" spans="1:13" ht="15" thickBot="1" x14ac:dyDescent="0.35">
      <c r="A986" s="14">
        <v>979</v>
      </c>
      <c r="B986" s="15">
        <v>45551</v>
      </c>
      <c r="C986" s="15">
        <v>45551</v>
      </c>
      <c r="D986" s="16" t="s">
        <v>1192</v>
      </c>
      <c r="E986" s="16" t="s">
        <v>1193</v>
      </c>
      <c r="F986" s="16" t="s">
        <v>1884</v>
      </c>
      <c r="G986" s="16" t="s">
        <v>1197</v>
      </c>
      <c r="H986" s="14" t="str">
        <f>"20240916/50516"</f>
        <v>20240916/50516</v>
      </c>
      <c r="I986" s="19" t="str">
        <f t="shared" si="87"/>
        <v> </v>
      </c>
      <c r="J986" s="18">
        <v>532223.1</v>
      </c>
      <c r="K986" s="18">
        <v>0</v>
      </c>
      <c r="L986" s="18">
        <v>1392168.5</v>
      </c>
    </row>
    <row r="987" spans="1:13" ht="15" thickBot="1" x14ac:dyDescent="0.35">
      <c r="A987" s="14">
        <v>980</v>
      </c>
      <c r="B987" s="15">
        <v>45551</v>
      </c>
      <c r="C987" s="15">
        <v>45551</v>
      </c>
      <c r="D987" s="16" t="s">
        <v>1192</v>
      </c>
      <c r="E987" s="16" t="s">
        <v>1193</v>
      </c>
      <c r="F987" s="16" t="s">
        <v>1885</v>
      </c>
      <c r="G987" s="16" t="s">
        <v>1197</v>
      </c>
      <c r="H987" s="14" t="str">
        <f>"20240916/50517"</f>
        <v>20240916/50517</v>
      </c>
      <c r="I987" s="19" t="str">
        <f t="shared" si="87"/>
        <v> </v>
      </c>
      <c r="J987" s="18">
        <v>102591.25</v>
      </c>
      <c r="K987" s="18">
        <v>0</v>
      </c>
      <c r="L987" s="18">
        <v>1494759.75</v>
      </c>
    </row>
    <row r="988" spans="1:13" ht="15" thickBot="1" x14ac:dyDescent="0.35">
      <c r="A988" s="14">
        <v>981</v>
      </c>
      <c r="B988" s="15">
        <v>45551</v>
      </c>
      <c r="C988" s="15">
        <v>45552</v>
      </c>
      <c r="D988" s="16" t="s">
        <v>1192</v>
      </c>
      <c r="E988" s="16" t="s">
        <v>1193</v>
      </c>
      <c r="F988" s="16" t="s">
        <v>1886</v>
      </c>
      <c r="G988" s="16" t="s">
        <v>1197</v>
      </c>
      <c r="H988" s="14" t="str">
        <f>"20240916/270248"</f>
        <v>20240916/270248</v>
      </c>
      <c r="I988" s="19" t="str">
        <f>"2409004908643"</f>
        <v>2409004908643</v>
      </c>
      <c r="J988" s="18">
        <v>0</v>
      </c>
      <c r="K988" s="18">
        <v>97974.41</v>
      </c>
      <c r="L988" s="18">
        <v>1396785.34</v>
      </c>
    </row>
    <row r="989" spans="1:13" ht="15" thickBot="1" x14ac:dyDescent="0.35">
      <c r="A989" s="14">
        <v>982</v>
      </c>
      <c r="B989" s="15">
        <v>45552</v>
      </c>
      <c r="C989" s="15">
        <v>45552</v>
      </c>
      <c r="D989" s="16" t="s">
        <v>1192</v>
      </c>
      <c r="E989" s="16" t="s">
        <v>1193</v>
      </c>
      <c r="F989" s="16" t="s">
        <v>1202</v>
      </c>
      <c r="G989" s="16" t="s">
        <v>1203</v>
      </c>
      <c r="H989" s="14" t="str">
        <f>"20240917/7931"</f>
        <v>20240917/7931</v>
      </c>
      <c r="I989" s="17" t="str">
        <f t="shared" ref="I989:I995" si="88">" "</f>
        <v> </v>
      </c>
      <c r="J989" s="18">
        <v>46741.69</v>
      </c>
      <c r="K989" s="18">
        <v>0</v>
      </c>
      <c r="L989" s="18">
        <v>1443527.03</v>
      </c>
      <c r="M989" t="s">
        <v>2661</v>
      </c>
    </row>
    <row r="990" spans="1:13" ht="15" thickBot="1" x14ac:dyDescent="0.35">
      <c r="A990" s="14">
        <v>983</v>
      </c>
      <c r="B990" s="15">
        <v>45552</v>
      </c>
      <c r="C990" s="15">
        <v>45552</v>
      </c>
      <c r="D990" s="16" t="s">
        <v>1192</v>
      </c>
      <c r="E990" s="16" t="s">
        <v>1193</v>
      </c>
      <c r="F990" s="16" t="s">
        <v>1194</v>
      </c>
      <c r="G990" s="16" t="s">
        <v>1195</v>
      </c>
      <c r="H990" s="14" t="str">
        <f>"20240917/8104"</f>
        <v>20240917/8104</v>
      </c>
      <c r="I990" s="17" t="str">
        <f t="shared" si="88"/>
        <v> </v>
      </c>
      <c r="J990" s="18">
        <v>0</v>
      </c>
      <c r="K990" s="18">
        <v>306.27999999999997</v>
      </c>
      <c r="L990" s="18">
        <v>1443220.75</v>
      </c>
      <c r="M990" t="s">
        <v>2661</v>
      </c>
    </row>
    <row r="991" spans="1:13" ht="15" thickBot="1" x14ac:dyDescent="0.35">
      <c r="A991" s="14">
        <v>984</v>
      </c>
      <c r="B991" s="15">
        <v>45552</v>
      </c>
      <c r="C991" s="15">
        <v>45552</v>
      </c>
      <c r="D991" s="16" t="s">
        <v>1192</v>
      </c>
      <c r="E991" s="16" t="s">
        <v>1193</v>
      </c>
      <c r="F991" s="16" t="s">
        <v>1887</v>
      </c>
      <c r="G991" s="16" t="s">
        <v>1197</v>
      </c>
      <c r="H991" s="14" t="str">
        <f>"20240917/308540"</f>
        <v>20240917/308540</v>
      </c>
      <c r="I991" s="19" t="str">
        <f t="shared" si="88"/>
        <v> </v>
      </c>
      <c r="J991" s="18">
        <v>306.27999999999997</v>
      </c>
      <c r="K991" s="18">
        <v>0</v>
      </c>
      <c r="L991" s="18">
        <v>1443527.03</v>
      </c>
      <c r="M991" t="s">
        <v>2658</v>
      </c>
    </row>
    <row r="992" spans="1:13" ht="15" thickBot="1" x14ac:dyDescent="0.35">
      <c r="A992" s="14">
        <v>985</v>
      </c>
      <c r="B992" s="15">
        <v>45552</v>
      </c>
      <c r="C992" s="15">
        <v>45552</v>
      </c>
      <c r="D992" s="16" t="s">
        <v>1192</v>
      </c>
      <c r="E992" s="16" t="s">
        <v>1193</v>
      </c>
      <c r="F992" s="16" t="s">
        <v>1888</v>
      </c>
      <c r="G992" s="16" t="s">
        <v>1197</v>
      </c>
      <c r="H992" s="14" t="str">
        <f>"20240917/403702"</f>
        <v>20240917/403702</v>
      </c>
      <c r="I992" s="19" t="str">
        <f t="shared" si="88"/>
        <v> </v>
      </c>
      <c r="J992" s="18">
        <v>493755.37</v>
      </c>
      <c r="K992" s="18">
        <v>0</v>
      </c>
      <c r="L992" s="18">
        <v>1937282.4</v>
      </c>
    </row>
    <row r="993" spans="1:13" ht="15" thickBot="1" x14ac:dyDescent="0.35">
      <c r="A993" s="14">
        <v>986</v>
      </c>
      <c r="B993" s="15">
        <v>45552</v>
      </c>
      <c r="C993" s="15">
        <v>45552</v>
      </c>
      <c r="D993" s="16" t="s">
        <v>1192</v>
      </c>
      <c r="E993" s="16" t="s">
        <v>1193</v>
      </c>
      <c r="F993" s="16" t="s">
        <v>1889</v>
      </c>
      <c r="G993" s="16" t="s">
        <v>1197</v>
      </c>
      <c r="H993" s="14" t="str">
        <f>"20240917/403703"</f>
        <v>20240917/403703</v>
      </c>
      <c r="I993" s="19" t="str">
        <f t="shared" si="88"/>
        <v> </v>
      </c>
      <c r="J993" s="18">
        <v>105893</v>
      </c>
      <c r="K993" s="18">
        <v>0</v>
      </c>
      <c r="L993" s="18">
        <v>2043175.4</v>
      </c>
    </row>
    <row r="994" spans="1:13" ht="15" thickBot="1" x14ac:dyDescent="0.35">
      <c r="A994" s="14">
        <v>987</v>
      </c>
      <c r="B994" s="15">
        <v>45552</v>
      </c>
      <c r="C994" s="15">
        <v>45552</v>
      </c>
      <c r="D994" s="16" t="s">
        <v>1192</v>
      </c>
      <c r="E994" s="16" t="s">
        <v>1193</v>
      </c>
      <c r="F994" s="16" t="s">
        <v>1890</v>
      </c>
      <c r="G994" s="16" t="s">
        <v>1197</v>
      </c>
      <c r="H994" s="14" t="str">
        <f>"20240917/463705"</f>
        <v>20240917/463705</v>
      </c>
      <c r="I994" s="19" t="str">
        <f t="shared" si="88"/>
        <v> </v>
      </c>
      <c r="J994" s="18">
        <v>0</v>
      </c>
      <c r="K994" s="18">
        <v>532223.1</v>
      </c>
      <c r="L994" s="18">
        <v>1510952.3</v>
      </c>
    </row>
    <row r="995" spans="1:13" ht="15" thickBot="1" x14ac:dyDescent="0.35">
      <c r="A995" s="14">
        <v>988</v>
      </c>
      <c r="B995" s="15">
        <v>45552</v>
      </c>
      <c r="C995" s="15">
        <v>45552</v>
      </c>
      <c r="D995" s="16" t="s">
        <v>1192</v>
      </c>
      <c r="E995" s="16" t="s">
        <v>1193</v>
      </c>
      <c r="F995" s="16" t="s">
        <v>1891</v>
      </c>
      <c r="G995" s="16" t="s">
        <v>1197</v>
      </c>
      <c r="H995" s="14" t="str">
        <f>"20240917/463706"</f>
        <v>20240917/463706</v>
      </c>
      <c r="I995" s="19" t="str">
        <f t="shared" si="88"/>
        <v> </v>
      </c>
      <c r="J995" s="18">
        <v>0</v>
      </c>
      <c r="K995" s="18">
        <v>102591.25</v>
      </c>
      <c r="L995" s="18">
        <v>1408361.05</v>
      </c>
    </row>
    <row r="996" spans="1:13" ht="15" thickBot="1" x14ac:dyDescent="0.35">
      <c r="A996" s="14">
        <v>989</v>
      </c>
      <c r="B996" s="15">
        <v>45552</v>
      </c>
      <c r="C996" s="15">
        <v>45554</v>
      </c>
      <c r="D996" s="16" t="s">
        <v>1192</v>
      </c>
      <c r="E996" s="16" t="s">
        <v>1193</v>
      </c>
      <c r="F996" s="16" t="s">
        <v>1892</v>
      </c>
      <c r="G996" s="16" t="s">
        <v>1197</v>
      </c>
      <c r="H996" s="14" t="str">
        <f>"20240917/551094"</f>
        <v>20240917/551094</v>
      </c>
      <c r="I996" s="19" t="str">
        <f>"2409005578014"</f>
        <v>2409005578014</v>
      </c>
      <c r="J996" s="18">
        <v>0</v>
      </c>
      <c r="K996" s="18">
        <v>82864.31</v>
      </c>
      <c r="L996" s="18">
        <v>1325496.74</v>
      </c>
    </row>
    <row r="997" spans="1:13" ht="15" thickBot="1" x14ac:dyDescent="0.35">
      <c r="A997" s="14">
        <v>990</v>
      </c>
      <c r="B997" s="15">
        <v>45552</v>
      </c>
      <c r="C997" s="15">
        <v>45554</v>
      </c>
      <c r="D997" s="16" t="s">
        <v>1192</v>
      </c>
      <c r="E997" s="16" t="s">
        <v>1193</v>
      </c>
      <c r="F997" s="16" t="s">
        <v>1893</v>
      </c>
      <c r="G997" s="16" t="s">
        <v>1197</v>
      </c>
      <c r="H997" s="14" t="str">
        <f>"20240917/551095"</f>
        <v>20240917/551095</v>
      </c>
      <c r="I997" s="19" t="str">
        <f>"2409005578015"</f>
        <v>2409005578015</v>
      </c>
      <c r="J997" s="18">
        <v>0</v>
      </c>
      <c r="K997" s="18">
        <v>5118.5</v>
      </c>
      <c r="L997" s="18">
        <v>1320378.24</v>
      </c>
    </row>
    <row r="998" spans="1:13" ht="15" thickBot="1" x14ac:dyDescent="0.35">
      <c r="A998" s="14">
        <v>991</v>
      </c>
      <c r="B998" s="15">
        <v>45553</v>
      </c>
      <c r="C998" s="15">
        <v>45553</v>
      </c>
      <c r="D998" s="16" t="s">
        <v>1192</v>
      </c>
      <c r="E998" s="16" t="s">
        <v>1193</v>
      </c>
      <c r="F998" s="16" t="s">
        <v>1894</v>
      </c>
      <c r="G998" s="16" t="s">
        <v>1197</v>
      </c>
      <c r="H998" s="14" t="str">
        <f>"20240918/106223"</f>
        <v>20240918/106223</v>
      </c>
      <c r="I998" s="19" t="str">
        <f t="shared" ref="I998:I1010" si="89">" "</f>
        <v> </v>
      </c>
      <c r="J998" s="18">
        <v>490568.57</v>
      </c>
      <c r="K998" s="18">
        <v>0</v>
      </c>
      <c r="L998" s="18">
        <v>1810946.81</v>
      </c>
    </row>
    <row r="999" spans="1:13" ht="15" thickBot="1" x14ac:dyDescent="0.35">
      <c r="A999" s="14">
        <v>992</v>
      </c>
      <c r="B999" s="15">
        <v>45553</v>
      </c>
      <c r="C999" s="15">
        <v>45553</v>
      </c>
      <c r="D999" s="16" t="s">
        <v>1192</v>
      </c>
      <c r="E999" s="16" t="s">
        <v>1193</v>
      </c>
      <c r="F999" s="16" t="s">
        <v>1895</v>
      </c>
      <c r="G999" s="16" t="s">
        <v>1197</v>
      </c>
      <c r="H999" s="14" t="str">
        <f>"20240918/106224"</f>
        <v>20240918/106224</v>
      </c>
      <c r="I999" s="19" t="str">
        <f t="shared" si="89"/>
        <v> </v>
      </c>
      <c r="J999" s="18">
        <v>113102</v>
      </c>
      <c r="K999" s="18">
        <v>0</v>
      </c>
      <c r="L999" s="18">
        <v>1924048.81</v>
      </c>
    </row>
    <row r="1000" spans="1:13" ht="15" thickBot="1" x14ac:dyDescent="0.35">
      <c r="A1000" s="14">
        <v>993</v>
      </c>
      <c r="B1000" s="15">
        <v>45553</v>
      </c>
      <c r="C1000" s="15">
        <v>45553</v>
      </c>
      <c r="D1000" s="16" t="s">
        <v>1192</v>
      </c>
      <c r="E1000" s="16" t="s">
        <v>1193</v>
      </c>
      <c r="F1000" s="16" t="s">
        <v>1896</v>
      </c>
      <c r="G1000" s="16" t="s">
        <v>1197</v>
      </c>
      <c r="H1000" s="14" t="str">
        <f>"20240918/179830"</f>
        <v>20240918/179830</v>
      </c>
      <c r="I1000" s="19" t="str">
        <f t="shared" si="89"/>
        <v> </v>
      </c>
      <c r="J1000" s="18">
        <v>0</v>
      </c>
      <c r="K1000" s="18">
        <v>493755.37</v>
      </c>
      <c r="L1000" s="18">
        <v>1430293.44</v>
      </c>
    </row>
    <row r="1001" spans="1:13" ht="15" thickBot="1" x14ac:dyDescent="0.35">
      <c r="A1001" s="14">
        <v>994</v>
      </c>
      <c r="B1001" s="15">
        <v>45553</v>
      </c>
      <c r="C1001" s="15">
        <v>45553</v>
      </c>
      <c r="D1001" s="16" t="s">
        <v>1192</v>
      </c>
      <c r="E1001" s="16" t="s">
        <v>1193</v>
      </c>
      <c r="F1001" s="16" t="s">
        <v>1897</v>
      </c>
      <c r="G1001" s="16" t="s">
        <v>1197</v>
      </c>
      <c r="H1001" s="14" t="str">
        <f>"20240918/182200"</f>
        <v>20240918/182200</v>
      </c>
      <c r="I1001" s="19" t="str">
        <f t="shared" si="89"/>
        <v> </v>
      </c>
      <c r="J1001" s="18">
        <v>0</v>
      </c>
      <c r="K1001" s="18">
        <v>105893</v>
      </c>
      <c r="L1001" s="18">
        <v>1324400.44</v>
      </c>
    </row>
    <row r="1002" spans="1:13" ht="15" thickBot="1" x14ac:dyDescent="0.35">
      <c r="A1002" s="14">
        <v>995</v>
      </c>
      <c r="B1002" s="15">
        <v>45553</v>
      </c>
      <c r="C1002" s="15">
        <v>45553</v>
      </c>
      <c r="D1002" s="16" t="s">
        <v>1192</v>
      </c>
      <c r="E1002" s="16" t="s">
        <v>1193</v>
      </c>
      <c r="F1002" s="16" t="s">
        <v>1898</v>
      </c>
      <c r="G1002" s="16" t="s">
        <v>1197</v>
      </c>
      <c r="H1002" s="14" t="str">
        <f>"20240918/21277"</f>
        <v>20240918/21277</v>
      </c>
      <c r="I1002" s="19" t="str">
        <f t="shared" si="89"/>
        <v> </v>
      </c>
      <c r="J1002" s="18">
        <v>288.02999999999997</v>
      </c>
      <c r="K1002" s="18">
        <v>0</v>
      </c>
      <c r="L1002" s="18">
        <v>1324688.47</v>
      </c>
      <c r="M1002" t="s">
        <v>2658</v>
      </c>
    </row>
    <row r="1003" spans="1:13" ht="15" thickBot="1" x14ac:dyDescent="0.35">
      <c r="A1003" s="14">
        <v>996</v>
      </c>
      <c r="B1003" s="15">
        <v>45554</v>
      </c>
      <c r="C1003" s="15">
        <v>45554</v>
      </c>
      <c r="D1003" s="16" t="s">
        <v>1192</v>
      </c>
      <c r="E1003" s="16" t="s">
        <v>1193</v>
      </c>
      <c r="F1003" s="16" t="s">
        <v>1202</v>
      </c>
      <c r="G1003" s="16" t="s">
        <v>1203</v>
      </c>
      <c r="H1003" s="14" t="str">
        <f>"20240919/4762"</f>
        <v>20240919/4762</v>
      </c>
      <c r="I1003" s="17" t="str">
        <f t="shared" si="89"/>
        <v> </v>
      </c>
      <c r="J1003" s="18">
        <v>30965.93</v>
      </c>
      <c r="K1003" s="18">
        <v>0</v>
      </c>
      <c r="L1003" s="18">
        <v>1355654.4</v>
      </c>
      <c r="M1003" t="s">
        <v>2661</v>
      </c>
    </row>
    <row r="1004" spans="1:13" ht="15" thickBot="1" x14ac:dyDescent="0.35">
      <c r="A1004" s="14">
        <v>997</v>
      </c>
      <c r="B1004" s="15">
        <v>45554</v>
      </c>
      <c r="C1004" s="15">
        <v>45554</v>
      </c>
      <c r="D1004" s="16" t="s">
        <v>1192</v>
      </c>
      <c r="E1004" s="16" t="s">
        <v>1193</v>
      </c>
      <c r="F1004" s="16" t="s">
        <v>1204</v>
      </c>
      <c r="G1004" s="16" t="s">
        <v>1203</v>
      </c>
      <c r="H1004" s="14" t="str">
        <f>"20240919/61348"</f>
        <v>20240919/61348</v>
      </c>
      <c r="I1004" s="17" t="str">
        <f t="shared" si="89"/>
        <v> </v>
      </c>
      <c r="J1004" s="18">
        <v>5118.5</v>
      </c>
      <c r="K1004" s="18">
        <v>0</v>
      </c>
      <c r="L1004" s="18">
        <v>1360772.9</v>
      </c>
      <c r="M1004" t="s">
        <v>2661</v>
      </c>
    </row>
    <row r="1005" spans="1:13" ht="15" thickBot="1" x14ac:dyDescent="0.35">
      <c r="A1005" s="14">
        <v>998</v>
      </c>
      <c r="B1005" s="15">
        <v>45554</v>
      </c>
      <c r="C1005" s="15">
        <v>45554</v>
      </c>
      <c r="D1005" s="16" t="s">
        <v>1192</v>
      </c>
      <c r="E1005" s="16" t="s">
        <v>1193</v>
      </c>
      <c r="F1005" s="16" t="s">
        <v>1194</v>
      </c>
      <c r="G1005" s="16" t="s">
        <v>1195</v>
      </c>
      <c r="H1005" s="14" t="str">
        <f>"20240919/9976"</f>
        <v>20240919/9976</v>
      </c>
      <c r="I1005" s="17" t="str">
        <f t="shared" si="89"/>
        <v> </v>
      </c>
      <c r="J1005" s="18">
        <v>0</v>
      </c>
      <c r="K1005" s="18">
        <v>288.14</v>
      </c>
      <c r="L1005" s="18">
        <v>1360484.76</v>
      </c>
      <c r="M1005" t="s">
        <v>2661</v>
      </c>
    </row>
    <row r="1006" spans="1:13" ht="15" thickBot="1" x14ac:dyDescent="0.35">
      <c r="A1006" s="14">
        <v>999</v>
      </c>
      <c r="B1006" s="15">
        <v>45554</v>
      </c>
      <c r="C1006" s="15">
        <v>45554</v>
      </c>
      <c r="D1006" s="16" t="s">
        <v>1192</v>
      </c>
      <c r="E1006" s="16" t="s">
        <v>1193</v>
      </c>
      <c r="F1006" s="16" t="s">
        <v>1899</v>
      </c>
      <c r="G1006" s="16" t="s">
        <v>1197</v>
      </c>
      <c r="H1006" s="14" t="str">
        <f>"20240919/271904"</f>
        <v>20240919/271904</v>
      </c>
      <c r="I1006" s="19" t="str">
        <f t="shared" si="89"/>
        <v> </v>
      </c>
      <c r="J1006" s="18">
        <v>288.14</v>
      </c>
      <c r="K1006" s="18">
        <v>0</v>
      </c>
      <c r="L1006" s="18">
        <v>1360772.9</v>
      </c>
      <c r="M1006" t="s">
        <v>2658</v>
      </c>
    </row>
    <row r="1007" spans="1:13" ht="15" thickBot="1" x14ac:dyDescent="0.35">
      <c r="A1007" s="14">
        <v>1000</v>
      </c>
      <c r="B1007" s="15">
        <v>45554</v>
      </c>
      <c r="C1007" s="15">
        <v>45554</v>
      </c>
      <c r="D1007" s="16" t="s">
        <v>1192</v>
      </c>
      <c r="E1007" s="16" t="s">
        <v>1193</v>
      </c>
      <c r="F1007" s="16" t="s">
        <v>1900</v>
      </c>
      <c r="G1007" s="16" t="s">
        <v>1197</v>
      </c>
      <c r="H1007" s="14" t="str">
        <f>"20240919/346114"</f>
        <v>20240919/346114</v>
      </c>
      <c r="I1007" s="19" t="str">
        <f t="shared" si="89"/>
        <v> </v>
      </c>
      <c r="J1007" s="18">
        <v>458270.82</v>
      </c>
      <c r="K1007" s="18">
        <v>0</v>
      </c>
      <c r="L1007" s="18">
        <v>1819043.72</v>
      </c>
    </row>
    <row r="1008" spans="1:13" ht="15" thickBot="1" x14ac:dyDescent="0.35">
      <c r="A1008" s="14">
        <v>1001</v>
      </c>
      <c r="B1008" s="15">
        <v>45554</v>
      </c>
      <c r="C1008" s="15">
        <v>45554</v>
      </c>
      <c r="D1008" s="16" t="s">
        <v>1192</v>
      </c>
      <c r="E1008" s="16" t="s">
        <v>1193</v>
      </c>
      <c r="F1008" s="16" t="s">
        <v>1901</v>
      </c>
      <c r="G1008" s="16" t="s">
        <v>1197</v>
      </c>
      <c r="H1008" s="14" t="str">
        <f>"20240919/346115"</f>
        <v>20240919/346115</v>
      </c>
      <c r="I1008" s="19" t="str">
        <f t="shared" si="89"/>
        <v> </v>
      </c>
      <c r="J1008" s="18">
        <v>124452</v>
      </c>
      <c r="K1008" s="18">
        <v>0</v>
      </c>
      <c r="L1008" s="18">
        <v>1943495.72</v>
      </c>
    </row>
    <row r="1009" spans="1:13" ht="15" thickBot="1" x14ac:dyDescent="0.35">
      <c r="A1009" s="14">
        <v>1002</v>
      </c>
      <c r="B1009" s="15">
        <v>45554</v>
      </c>
      <c r="C1009" s="15">
        <v>45554</v>
      </c>
      <c r="D1009" s="16" t="s">
        <v>1192</v>
      </c>
      <c r="E1009" s="16" t="s">
        <v>1193</v>
      </c>
      <c r="F1009" s="16" t="s">
        <v>1902</v>
      </c>
      <c r="G1009" s="16" t="s">
        <v>1197</v>
      </c>
      <c r="H1009" s="14" t="str">
        <f>"20240919/459048"</f>
        <v>20240919/459048</v>
      </c>
      <c r="I1009" s="19" t="str">
        <f t="shared" si="89"/>
        <v> </v>
      </c>
      <c r="J1009" s="18">
        <v>0</v>
      </c>
      <c r="K1009" s="18">
        <v>490568.57</v>
      </c>
      <c r="L1009" s="18">
        <v>1452927.15</v>
      </c>
    </row>
    <row r="1010" spans="1:13" ht="15" thickBot="1" x14ac:dyDescent="0.35">
      <c r="A1010" s="14">
        <v>1003</v>
      </c>
      <c r="B1010" s="15">
        <v>45554</v>
      </c>
      <c r="C1010" s="15">
        <v>45554</v>
      </c>
      <c r="D1010" s="16" t="s">
        <v>1192</v>
      </c>
      <c r="E1010" s="16" t="s">
        <v>1193</v>
      </c>
      <c r="F1010" s="16" t="s">
        <v>1903</v>
      </c>
      <c r="G1010" s="16" t="s">
        <v>1197</v>
      </c>
      <c r="H1010" s="14" t="str">
        <f>"20240919/459049"</f>
        <v>20240919/459049</v>
      </c>
      <c r="I1010" s="19" t="str">
        <f t="shared" si="89"/>
        <v> </v>
      </c>
      <c r="J1010" s="18">
        <v>0</v>
      </c>
      <c r="K1010" s="18">
        <v>113102</v>
      </c>
      <c r="L1010" s="18">
        <v>1339825.1499999999</v>
      </c>
    </row>
    <row r="1011" spans="1:13" ht="15" thickBot="1" x14ac:dyDescent="0.35">
      <c r="A1011" s="14">
        <v>1004</v>
      </c>
      <c r="B1011" s="15">
        <v>45554</v>
      </c>
      <c r="C1011" s="15">
        <v>45555</v>
      </c>
      <c r="D1011" s="16" t="s">
        <v>1192</v>
      </c>
      <c r="E1011" s="16" t="s">
        <v>1193</v>
      </c>
      <c r="F1011" s="16" t="s">
        <v>1904</v>
      </c>
      <c r="G1011" s="16" t="s">
        <v>1197</v>
      </c>
      <c r="H1011" s="14" t="str">
        <f>"20240919/540766"</f>
        <v>20240919/540766</v>
      </c>
      <c r="I1011" s="19" t="str">
        <f>"2409006599857"</f>
        <v>2409006599857</v>
      </c>
      <c r="J1011" s="18">
        <v>0</v>
      </c>
      <c r="K1011" s="18">
        <v>70795.69</v>
      </c>
      <c r="L1011" s="18">
        <v>1269029.46</v>
      </c>
    </row>
    <row r="1012" spans="1:13" ht="15" thickBot="1" x14ac:dyDescent="0.35">
      <c r="A1012" s="14">
        <v>1005</v>
      </c>
      <c r="B1012" s="15">
        <v>45555</v>
      </c>
      <c r="C1012" s="15">
        <v>45555</v>
      </c>
      <c r="D1012" s="16" t="s">
        <v>1192</v>
      </c>
      <c r="E1012" s="16" t="s">
        <v>1193</v>
      </c>
      <c r="F1012" s="16" t="s">
        <v>1202</v>
      </c>
      <c r="G1012" s="16" t="s">
        <v>1203</v>
      </c>
      <c r="H1012" s="14" t="str">
        <f>"20240920/3822"</f>
        <v>20240920/3822</v>
      </c>
      <c r="I1012" s="17" t="str">
        <f t="shared" ref="I1012:I1019" si="90">" "</f>
        <v> </v>
      </c>
      <c r="J1012" s="18">
        <v>23522.52</v>
      </c>
      <c r="K1012" s="18">
        <v>0</v>
      </c>
      <c r="L1012" s="18">
        <v>1292551.98</v>
      </c>
      <c r="M1012" t="s">
        <v>2661</v>
      </c>
    </row>
    <row r="1013" spans="1:13" ht="15" thickBot="1" x14ac:dyDescent="0.35">
      <c r="A1013" s="14">
        <v>1006</v>
      </c>
      <c r="B1013" s="15">
        <v>45555</v>
      </c>
      <c r="C1013" s="15">
        <v>45555</v>
      </c>
      <c r="D1013" s="16" t="s">
        <v>1192</v>
      </c>
      <c r="E1013" s="16" t="s">
        <v>1193</v>
      </c>
      <c r="F1013" s="16" t="s">
        <v>1194</v>
      </c>
      <c r="G1013" s="16" t="s">
        <v>1195</v>
      </c>
      <c r="H1013" s="14" t="str">
        <f>"20240920/29438"</f>
        <v>20240920/29438</v>
      </c>
      <c r="I1013" s="17" t="str">
        <f t="shared" si="90"/>
        <v> </v>
      </c>
      <c r="J1013" s="18">
        <v>0</v>
      </c>
      <c r="K1013" s="18">
        <v>269.64999999999998</v>
      </c>
      <c r="L1013" s="18">
        <v>1292282.33</v>
      </c>
      <c r="M1013" t="s">
        <v>2661</v>
      </c>
    </row>
    <row r="1014" spans="1:13" ht="15" thickBot="1" x14ac:dyDescent="0.35">
      <c r="A1014" s="14">
        <v>1007</v>
      </c>
      <c r="B1014" s="15">
        <v>45555</v>
      </c>
      <c r="C1014" s="15">
        <v>45555</v>
      </c>
      <c r="D1014" s="16" t="s">
        <v>1192</v>
      </c>
      <c r="E1014" s="16" t="s">
        <v>1193</v>
      </c>
      <c r="F1014" s="16" t="s">
        <v>1249</v>
      </c>
      <c r="G1014" s="16" t="s">
        <v>1195</v>
      </c>
      <c r="H1014" s="14" t="str">
        <f>"20240920/69296"</f>
        <v>20240920/69296</v>
      </c>
      <c r="I1014" s="17" t="str">
        <f t="shared" si="90"/>
        <v> </v>
      </c>
      <c r="J1014" s="18">
        <v>0</v>
      </c>
      <c r="K1014" s="18">
        <v>18936.12</v>
      </c>
      <c r="L1014" s="18">
        <v>1273346.21</v>
      </c>
      <c r="M1014" t="s">
        <v>2661</v>
      </c>
    </row>
    <row r="1015" spans="1:13" ht="15" thickBot="1" x14ac:dyDescent="0.35">
      <c r="A1015" s="14">
        <v>1008</v>
      </c>
      <c r="B1015" s="15">
        <v>45555</v>
      </c>
      <c r="C1015" s="15">
        <v>45555</v>
      </c>
      <c r="D1015" s="16" t="s">
        <v>1192</v>
      </c>
      <c r="E1015" s="16" t="s">
        <v>1193</v>
      </c>
      <c r="F1015" s="16" t="s">
        <v>1905</v>
      </c>
      <c r="G1015" s="16" t="s">
        <v>1197</v>
      </c>
      <c r="H1015" s="14" t="str">
        <f>"20240920/130643"</f>
        <v>20240920/130643</v>
      </c>
      <c r="I1015" s="19" t="str">
        <f t="shared" si="90"/>
        <v> </v>
      </c>
      <c r="J1015" s="18">
        <v>269.64999999999998</v>
      </c>
      <c r="K1015" s="18">
        <v>0</v>
      </c>
      <c r="L1015" s="18">
        <v>1273615.8600000001</v>
      </c>
      <c r="M1015" t="s">
        <v>2658</v>
      </c>
    </row>
    <row r="1016" spans="1:13" ht="15" thickBot="1" x14ac:dyDescent="0.35">
      <c r="A1016" s="14">
        <v>1009</v>
      </c>
      <c r="B1016" s="15">
        <v>45555</v>
      </c>
      <c r="C1016" s="15">
        <v>45555</v>
      </c>
      <c r="D1016" s="16" t="s">
        <v>1192</v>
      </c>
      <c r="E1016" s="16" t="s">
        <v>1193</v>
      </c>
      <c r="F1016" s="16" t="s">
        <v>1906</v>
      </c>
      <c r="G1016" s="16" t="s">
        <v>1197</v>
      </c>
      <c r="H1016" s="14" t="str">
        <f>"20240920/176841"</f>
        <v>20240920/176841</v>
      </c>
      <c r="I1016" s="19" t="str">
        <f t="shared" si="90"/>
        <v> </v>
      </c>
      <c r="J1016" s="18">
        <v>109665.25</v>
      </c>
      <c r="K1016" s="18">
        <v>0</v>
      </c>
      <c r="L1016" s="18">
        <v>1383281.11</v>
      </c>
    </row>
    <row r="1017" spans="1:13" ht="15" thickBot="1" x14ac:dyDescent="0.35">
      <c r="A1017" s="14">
        <v>1010</v>
      </c>
      <c r="B1017" s="15">
        <v>45555</v>
      </c>
      <c r="C1017" s="15">
        <v>45555</v>
      </c>
      <c r="D1017" s="16" t="s">
        <v>1192</v>
      </c>
      <c r="E1017" s="16" t="s">
        <v>1193</v>
      </c>
      <c r="F1017" s="16" t="s">
        <v>1907</v>
      </c>
      <c r="G1017" s="16" t="s">
        <v>1197</v>
      </c>
      <c r="H1017" s="14" t="str">
        <f>"20240920/176842"</f>
        <v>20240920/176842</v>
      </c>
      <c r="I1017" s="19" t="str">
        <f t="shared" si="90"/>
        <v> </v>
      </c>
      <c r="J1017" s="18">
        <v>432746.82</v>
      </c>
      <c r="K1017" s="18">
        <v>0</v>
      </c>
      <c r="L1017" s="18">
        <v>1816027.93</v>
      </c>
    </row>
    <row r="1018" spans="1:13" ht="15" thickBot="1" x14ac:dyDescent="0.35">
      <c r="A1018" s="14">
        <v>1011</v>
      </c>
      <c r="B1018" s="15">
        <v>45555</v>
      </c>
      <c r="C1018" s="15">
        <v>45555</v>
      </c>
      <c r="D1018" s="16" t="s">
        <v>1192</v>
      </c>
      <c r="E1018" s="16" t="s">
        <v>1193</v>
      </c>
      <c r="F1018" s="16" t="s">
        <v>1908</v>
      </c>
      <c r="G1018" s="16" t="s">
        <v>1197</v>
      </c>
      <c r="H1018" s="14" t="str">
        <f>"20240920/255820"</f>
        <v>20240920/255820</v>
      </c>
      <c r="I1018" s="19" t="str">
        <f t="shared" si="90"/>
        <v> </v>
      </c>
      <c r="J1018" s="18">
        <v>0</v>
      </c>
      <c r="K1018" s="18">
        <v>458270.82</v>
      </c>
      <c r="L1018" s="18">
        <v>1357757.11</v>
      </c>
    </row>
    <row r="1019" spans="1:13" ht="15" thickBot="1" x14ac:dyDescent="0.35">
      <c r="A1019" s="14">
        <v>1012</v>
      </c>
      <c r="B1019" s="15">
        <v>45555</v>
      </c>
      <c r="C1019" s="15">
        <v>45555</v>
      </c>
      <c r="D1019" s="16" t="s">
        <v>1192</v>
      </c>
      <c r="E1019" s="16" t="s">
        <v>1193</v>
      </c>
      <c r="F1019" s="16" t="s">
        <v>1909</v>
      </c>
      <c r="G1019" s="16" t="s">
        <v>1197</v>
      </c>
      <c r="H1019" s="14" t="str">
        <f>"20240920/258154"</f>
        <v>20240920/258154</v>
      </c>
      <c r="I1019" s="19" t="str">
        <f t="shared" si="90"/>
        <v> </v>
      </c>
      <c r="J1019" s="18">
        <v>0</v>
      </c>
      <c r="K1019" s="18">
        <v>124452</v>
      </c>
      <c r="L1019" s="18">
        <v>1233305.1100000001</v>
      </c>
    </row>
    <row r="1020" spans="1:13" ht="15" thickBot="1" x14ac:dyDescent="0.35">
      <c r="A1020" s="14">
        <v>1013</v>
      </c>
      <c r="B1020" s="15">
        <v>45555</v>
      </c>
      <c r="C1020" s="15">
        <v>45558</v>
      </c>
      <c r="D1020" s="16" t="s">
        <v>1192</v>
      </c>
      <c r="E1020" s="16" t="s">
        <v>1193</v>
      </c>
      <c r="F1020" s="16" t="s">
        <v>1910</v>
      </c>
      <c r="G1020" s="16" t="s">
        <v>1197</v>
      </c>
      <c r="H1020" s="14" t="str">
        <f>"20240920/395733"</f>
        <v>20240920/395733</v>
      </c>
      <c r="I1020" s="19" t="str">
        <f>"2409007129109"</f>
        <v>2409007129109</v>
      </c>
      <c r="J1020" s="18">
        <v>18936.12</v>
      </c>
      <c r="K1020" s="18">
        <v>0</v>
      </c>
      <c r="L1020" s="18">
        <v>1252241.23</v>
      </c>
    </row>
    <row r="1021" spans="1:13" ht="15" thickBot="1" x14ac:dyDescent="0.35">
      <c r="A1021" s="14">
        <v>1014</v>
      </c>
      <c r="B1021" s="15">
        <v>45555</v>
      </c>
      <c r="C1021" s="15">
        <v>45558</v>
      </c>
      <c r="D1021" s="16" t="s">
        <v>1192</v>
      </c>
      <c r="E1021" s="16" t="s">
        <v>1193</v>
      </c>
      <c r="F1021" s="16" t="s">
        <v>1911</v>
      </c>
      <c r="G1021" s="16" t="s">
        <v>1197</v>
      </c>
      <c r="H1021" s="14" t="str">
        <f>"20240920/395734"</f>
        <v>20240920/395734</v>
      </c>
      <c r="I1021" s="19" t="str">
        <f>"2409007129109"</f>
        <v>2409007129109</v>
      </c>
      <c r="J1021" s="18">
        <v>0</v>
      </c>
      <c r="K1021" s="18">
        <v>70890.509999999995</v>
      </c>
      <c r="L1021" s="18">
        <v>1181350.72</v>
      </c>
    </row>
    <row r="1022" spans="1:13" ht="15" thickBot="1" x14ac:dyDescent="0.35">
      <c r="A1022" s="14">
        <v>1015</v>
      </c>
      <c r="B1022" s="15">
        <v>45558</v>
      </c>
      <c r="C1022" s="15">
        <v>45558</v>
      </c>
      <c r="D1022" s="16" t="s">
        <v>1192</v>
      </c>
      <c r="E1022" s="16" t="s">
        <v>1193</v>
      </c>
      <c r="F1022" s="16" t="s">
        <v>1202</v>
      </c>
      <c r="G1022" s="16" t="s">
        <v>1203</v>
      </c>
      <c r="H1022" s="14" t="str">
        <f>"20240923/9564"</f>
        <v>20240923/9564</v>
      </c>
      <c r="I1022" s="17" t="str">
        <f t="shared" ref="I1022:I1028" si="91">" "</f>
        <v> </v>
      </c>
      <c r="J1022" s="18">
        <v>41984.93</v>
      </c>
      <c r="K1022" s="18">
        <v>0</v>
      </c>
      <c r="L1022" s="18">
        <v>1223335.6499999999</v>
      </c>
      <c r="M1022" t="s">
        <v>2661</v>
      </c>
    </row>
    <row r="1023" spans="1:13" ht="15" thickBot="1" x14ac:dyDescent="0.35">
      <c r="A1023" s="14">
        <v>1016</v>
      </c>
      <c r="B1023" s="15">
        <v>45558</v>
      </c>
      <c r="C1023" s="15">
        <v>45558</v>
      </c>
      <c r="D1023" s="16" t="s">
        <v>1192</v>
      </c>
      <c r="E1023" s="16" t="s">
        <v>1193</v>
      </c>
      <c r="F1023" s="16" t="s">
        <v>1194</v>
      </c>
      <c r="G1023" s="16" t="s">
        <v>1195</v>
      </c>
      <c r="H1023" s="14" t="str">
        <f>"20240923/38751"</f>
        <v>20240923/38751</v>
      </c>
      <c r="I1023" s="17" t="str">
        <f t="shared" si="91"/>
        <v> </v>
      </c>
      <c r="J1023" s="18">
        <v>0</v>
      </c>
      <c r="K1023" s="18">
        <v>758.46</v>
      </c>
      <c r="L1023" s="18">
        <v>1222577.19</v>
      </c>
      <c r="M1023" t="s">
        <v>2661</v>
      </c>
    </row>
    <row r="1024" spans="1:13" ht="15" thickBot="1" x14ac:dyDescent="0.35">
      <c r="A1024" s="14">
        <v>1017</v>
      </c>
      <c r="B1024" s="15">
        <v>45558</v>
      </c>
      <c r="C1024" s="15">
        <v>45558</v>
      </c>
      <c r="D1024" s="16" t="s">
        <v>1192</v>
      </c>
      <c r="E1024" s="16" t="s">
        <v>1193</v>
      </c>
      <c r="F1024" s="16" t="s">
        <v>1912</v>
      </c>
      <c r="G1024" s="16" t="s">
        <v>1197</v>
      </c>
      <c r="H1024" s="14" t="str">
        <f>"20240923/150517"</f>
        <v>20240923/150517</v>
      </c>
      <c r="I1024" s="19" t="str">
        <f t="shared" si="91"/>
        <v> </v>
      </c>
      <c r="J1024" s="18">
        <v>758.46</v>
      </c>
      <c r="K1024" s="18">
        <v>0</v>
      </c>
      <c r="L1024" s="18">
        <v>1223335.6499999999</v>
      </c>
      <c r="M1024" t="s">
        <v>2658</v>
      </c>
    </row>
    <row r="1025" spans="1:13" ht="15" thickBot="1" x14ac:dyDescent="0.35">
      <c r="A1025" s="14">
        <v>1018</v>
      </c>
      <c r="B1025" s="15">
        <v>45558</v>
      </c>
      <c r="C1025" s="15">
        <v>45558</v>
      </c>
      <c r="D1025" s="16" t="s">
        <v>1192</v>
      </c>
      <c r="E1025" s="16" t="s">
        <v>1193</v>
      </c>
      <c r="F1025" s="16" t="s">
        <v>1913</v>
      </c>
      <c r="G1025" s="16" t="s">
        <v>1197</v>
      </c>
      <c r="H1025" s="14" t="str">
        <f>"20240923/243441"</f>
        <v>20240923/243441</v>
      </c>
      <c r="I1025" s="19" t="str">
        <f t="shared" si="91"/>
        <v> </v>
      </c>
      <c r="J1025" s="18">
        <v>435540.07</v>
      </c>
      <c r="K1025" s="18">
        <v>0</v>
      </c>
      <c r="L1025" s="18">
        <v>1658875.72</v>
      </c>
    </row>
    <row r="1026" spans="1:13" ht="15" thickBot="1" x14ac:dyDescent="0.35">
      <c r="A1026" s="14">
        <v>1019</v>
      </c>
      <c r="B1026" s="15">
        <v>45558</v>
      </c>
      <c r="C1026" s="15">
        <v>45558</v>
      </c>
      <c r="D1026" s="16" t="s">
        <v>1192</v>
      </c>
      <c r="E1026" s="16" t="s">
        <v>1193</v>
      </c>
      <c r="F1026" s="16" t="s">
        <v>1914</v>
      </c>
      <c r="G1026" s="16" t="s">
        <v>1197</v>
      </c>
      <c r="H1026" s="14" t="str">
        <f>"20240923/243442"</f>
        <v>20240923/243442</v>
      </c>
      <c r="I1026" s="19" t="str">
        <f t="shared" si="91"/>
        <v> </v>
      </c>
      <c r="J1026" s="18">
        <v>102250.25</v>
      </c>
      <c r="K1026" s="18">
        <v>0</v>
      </c>
      <c r="L1026" s="18">
        <v>1761125.97</v>
      </c>
    </row>
    <row r="1027" spans="1:13" ht="15" thickBot="1" x14ac:dyDescent="0.35">
      <c r="A1027" s="14">
        <v>1020</v>
      </c>
      <c r="B1027" s="15">
        <v>45558</v>
      </c>
      <c r="C1027" s="15">
        <v>45558</v>
      </c>
      <c r="D1027" s="16" t="s">
        <v>1192</v>
      </c>
      <c r="E1027" s="16" t="s">
        <v>1193</v>
      </c>
      <c r="F1027" s="16" t="s">
        <v>1915</v>
      </c>
      <c r="G1027" s="16" t="s">
        <v>1197</v>
      </c>
      <c r="H1027" s="14" t="str">
        <f>"20240923/298068"</f>
        <v>20240923/298068</v>
      </c>
      <c r="I1027" s="19" t="str">
        <f t="shared" si="91"/>
        <v> </v>
      </c>
      <c r="J1027" s="18">
        <v>0</v>
      </c>
      <c r="K1027" s="18">
        <v>109665.25</v>
      </c>
      <c r="L1027" s="18">
        <v>1651460.72</v>
      </c>
    </row>
    <row r="1028" spans="1:13" ht="15" thickBot="1" x14ac:dyDescent="0.35">
      <c r="A1028" s="14">
        <v>1021</v>
      </c>
      <c r="B1028" s="15">
        <v>45558</v>
      </c>
      <c r="C1028" s="15">
        <v>45558</v>
      </c>
      <c r="D1028" s="16" t="s">
        <v>1192</v>
      </c>
      <c r="E1028" s="16" t="s">
        <v>1193</v>
      </c>
      <c r="F1028" s="16" t="s">
        <v>1916</v>
      </c>
      <c r="G1028" s="16" t="s">
        <v>1197</v>
      </c>
      <c r="H1028" s="14" t="str">
        <f>"20240923/298069"</f>
        <v>20240923/298069</v>
      </c>
      <c r="I1028" s="19" t="str">
        <f t="shared" si="91"/>
        <v> </v>
      </c>
      <c r="J1028" s="18">
        <v>0</v>
      </c>
      <c r="K1028" s="18">
        <v>432746.82</v>
      </c>
      <c r="L1028" s="18">
        <v>1218713.8999999999</v>
      </c>
    </row>
    <row r="1029" spans="1:13" ht="15" thickBot="1" x14ac:dyDescent="0.35">
      <c r="A1029" s="14">
        <v>1022</v>
      </c>
      <c r="B1029" s="15">
        <v>45558</v>
      </c>
      <c r="C1029" s="15">
        <v>45559</v>
      </c>
      <c r="D1029" s="16" t="s">
        <v>1192</v>
      </c>
      <c r="E1029" s="16" t="s">
        <v>1193</v>
      </c>
      <c r="F1029" s="16" t="s">
        <v>1917</v>
      </c>
      <c r="G1029" s="16" t="s">
        <v>1197</v>
      </c>
      <c r="H1029" s="14" t="str">
        <f>"20240923/413321"</f>
        <v>20240923/413321</v>
      </c>
      <c r="I1029" s="19" t="str">
        <f>"2409007657982"</f>
        <v>2409007657982</v>
      </c>
      <c r="J1029" s="18">
        <v>1749.68</v>
      </c>
      <c r="K1029" s="18">
        <v>0</v>
      </c>
      <c r="L1029" s="18">
        <v>1220463.58</v>
      </c>
    </row>
    <row r="1030" spans="1:13" ht="15" thickBot="1" x14ac:dyDescent="0.35">
      <c r="A1030" s="14">
        <v>1023</v>
      </c>
      <c r="B1030" s="15">
        <v>45559</v>
      </c>
      <c r="C1030" s="15">
        <v>45559</v>
      </c>
      <c r="D1030" s="16" t="s">
        <v>1192</v>
      </c>
      <c r="E1030" s="16" t="s">
        <v>1193</v>
      </c>
      <c r="F1030" s="16" t="s">
        <v>1202</v>
      </c>
      <c r="G1030" s="16" t="s">
        <v>1203</v>
      </c>
      <c r="H1030" s="14" t="str">
        <f>"20240924/9052"</f>
        <v>20240924/9052</v>
      </c>
      <c r="I1030" s="17" t="str">
        <f t="shared" ref="I1030:I1036" si="92">" "</f>
        <v> </v>
      </c>
      <c r="J1030" s="18">
        <v>2872.07</v>
      </c>
      <c r="K1030" s="18">
        <v>0</v>
      </c>
      <c r="L1030" s="18">
        <v>1223335.6499999999</v>
      </c>
      <c r="M1030" t="s">
        <v>2661</v>
      </c>
    </row>
    <row r="1031" spans="1:13" ht="15" thickBot="1" x14ac:dyDescent="0.35">
      <c r="A1031" s="14">
        <v>1024</v>
      </c>
      <c r="B1031" s="15">
        <v>45559</v>
      </c>
      <c r="C1031" s="15">
        <v>45559</v>
      </c>
      <c r="D1031" s="16" t="s">
        <v>1192</v>
      </c>
      <c r="E1031" s="16" t="s">
        <v>1193</v>
      </c>
      <c r="F1031" s="16" t="s">
        <v>1194</v>
      </c>
      <c r="G1031" s="16" t="s">
        <v>1195</v>
      </c>
      <c r="H1031" s="14" t="str">
        <f>"20240924/37929"</f>
        <v>20240924/37929</v>
      </c>
      <c r="I1031" s="17" t="str">
        <f t="shared" si="92"/>
        <v> </v>
      </c>
      <c r="J1031" s="18">
        <v>0</v>
      </c>
      <c r="K1031" s="18">
        <v>242.52</v>
      </c>
      <c r="L1031" s="18">
        <v>1223093.1299999999</v>
      </c>
      <c r="M1031" t="s">
        <v>2661</v>
      </c>
    </row>
    <row r="1032" spans="1:13" ht="15" thickBot="1" x14ac:dyDescent="0.35">
      <c r="A1032" s="14">
        <v>1025</v>
      </c>
      <c r="B1032" s="15">
        <v>45559</v>
      </c>
      <c r="C1032" s="15">
        <v>45559</v>
      </c>
      <c r="D1032" s="16" t="s">
        <v>1192</v>
      </c>
      <c r="E1032" s="16" t="s">
        <v>1193</v>
      </c>
      <c r="F1032" s="16" t="s">
        <v>1918</v>
      </c>
      <c r="G1032" s="16" t="s">
        <v>1197</v>
      </c>
      <c r="H1032" s="14" t="str">
        <f>"20240924/165652"</f>
        <v>20240924/165652</v>
      </c>
      <c r="I1032" s="19" t="str">
        <f t="shared" si="92"/>
        <v> </v>
      </c>
      <c r="J1032" s="18">
        <v>242.52</v>
      </c>
      <c r="K1032" s="18">
        <v>0</v>
      </c>
      <c r="L1032" s="18">
        <v>1223335.6499999999</v>
      </c>
      <c r="M1032" t="s">
        <v>2658</v>
      </c>
    </row>
    <row r="1033" spans="1:13" ht="15" thickBot="1" x14ac:dyDescent="0.35">
      <c r="A1033" s="14">
        <v>1026</v>
      </c>
      <c r="B1033" s="15">
        <v>45559</v>
      </c>
      <c r="C1033" s="15">
        <v>45559</v>
      </c>
      <c r="D1033" s="16" t="s">
        <v>1192</v>
      </c>
      <c r="E1033" s="16" t="s">
        <v>1193</v>
      </c>
      <c r="F1033" s="16" t="s">
        <v>1919</v>
      </c>
      <c r="G1033" s="16" t="s">
        <v>1197</v>
      </c>
      <c r="H1033" s="14" t="str">
        <f>"20240924/238912"</f>
        <v>20240924/238912</v>
      </c>
      <c r="I1033" s="19" t="str">
        <f t="shared" si="92"/>
        <v> </v>
      </c>
      <c r="J1033" s="18">
        <v>403008.07</v>
      </c>
      <c r="K1033" s="18">
        <v>0</v>
      </c>
      <c r="L1033" s="18">
        <v>1626343.72</v>
      </c>
    </row>
    <row r="1034" spans="1:13" ht="15" thickBot="1" x14ac:dyDescent="0.35">
      <c r="A1034" s="14">
        <v>1027</v>
      </c>
      <c r="B1034" s="15">
        <v>45559</v>
      </c>
      <c r="C1034" s="15">
        <v>45559</v>
      </c>
      <c r="D1034" s="16" t="s">
        <v>1192</v>
      </c>
      <c r="E1034" s="16" t="s">
        <v>1193</v>
      </c>
      <c r="F1034" s="16" t="s">
        <v>1920</v>
      </c>
      <c r="G1034" s="16" t="s">
        <v>1197</v>
      </c>
      <c r="H1034" s="14" t="str">
        <f>"20240924/238913"</f>
        <v>20240924/238913</v>
      </c>
      <c r="I1034" s="19" t="str">
        <f t="shared" si="92"/>
        <v> </v>
      </c>
      <c r="J1034" s="18">
        <v>101535.25</v>
      </c>
      <c r="K1034" s="18">
        <v>0</v>
      </c>
      <c r="L1034" s="18">
        <v>1727878.97</v>
      </c>
    </row>
    <row r="1035" spans="1:13" ht="15" thickBot="1" x14ac:dyDescent="0.35">
      <c r="A1035" s="14">
        <v>1028</v>
      </c>
      <c r="B1035" s="15">
        <v>45559</v>
      </c>
      <c r="C1035" s="15">
        <v>45559</v>
      </c>
      <c r="D1035" s="16" t="s">
        <v>1192</v>
      </c>
      <c r="E1035" s="16" t="s">
        <v>1193</v>
      </c>
      <c r="F1035" s="16" t="s">
        <v>1921</v>
      </c>
      <c r="G1035" s="16" t="s">
        <v>1197</v>
      </c>
      <c r="H1035" s="14" t="str">
        <f>"20240924/273170"</f>
        <v>20240924/273170</v>
      </c>
      <c r="I1035" s="19" t="str">
        <f t="shared" si="92"/>
        <v> </v>
      </c>
      <c r="J1035" s="18">
        <v>0</v>
      </c>
      <c r="K1035" s="18">
        <v>435540.07</v>
      </c>
      <c r="L1035" s="18">
        <v>1292338.8999999999</v>
      </c>
    </row>
    <row r="1036" spans="1:13" ht="15" thickBot="1" x14ac:dyDescent="0.35">
      <c r="A1036" s="14">
        <v>1029</v>
      </c>
      <c r="B1036" s="15">
        <v>45559</v>
      </c>
      <c r="C1036" s="15">
        <v>45559</v>
      </c>
      <c r="D1036" s="16" t="s">
        <v>1192</v>
      </c>
      <c r="E1036" s="16" t="s">
        <v>1193</v>
      </c>
      <c r="F1036" s="16" t="s">
        <v>1922</v>
      </c>
      <c r="G1036" s="16" t="s">
        <v>1197</v>
      </c>
      <c r="H1036" s="14" t="str">
        <f>"20240924/273171"</f>
        <v>20240924/273171</v>
      </c>
      <c r="I1036" s="19" t="str">
        <f t="shared" si="92"/>
        <v> </v>
      </c>
      <c r="J1036" s="18">
        <v>0</v>
      </c>
      <c r="K1036" s="18">
        <v>102250.25</v>
      </c>
      <c r="L1036" s="18">
        <v>1190088.6499999999</v>
      </c>
    </row>
    <row r="1037" spans="1:13" ht="15" thickBot="1" x14ac:dyDescent="0.35">
      <c r="A1037" s="14">
        <v>1030</v>
      </c>
      <c r="B1037" s="15">
        <v>45559</v>
      </c>
      <c r="C1037" s="15">
        <v>45560</v>
      </c>
      <c r="D1037" s="16" t="s">
        <v>1192</v>
      </c>
      <c r="E1037" s="16" t="s">
        <v>1193</v>
      </c>
      <c r="F1037" s="16" t="s">
        <v>1923</v>
      </c>
      <c r="G1037" s="16" t="s">
        <v>1197</v>
      </c>
      <c r="H1037" s="14" t="str">
        <f>"20240924/395571"</f>
        <v>20240924/395571</v>
      </c>
      <c r="I1037" s="19" t="str">
        <f>"2409008173147"</f>
        <v>2409008173147</v>
      </c>
      <c r="J1037" s="18">
        <v>0</v>
      </c>
      <c r="K1037" s="18">
        <v>91345.919999999998</v>
      </c>
      <c r="L1037" s="18">
        <v>1098742.73</v>
      </c>
    </row>
    <row r="1038" spans="1:13" ht="15" thickBot="1" x14ac:dyDescent="0.35">
      <c r="A1038" s="14">
        <v>1031</v>
      </c>
      <c r="B1038" s="15">
        <v>45559</v>
      </c>
      <c r="C1038" s="15">
        <v>45560</v>
      </c>
      <c r="D1038" s="16" t="s">
        <v>1192</v>
      </c>
      <c r="E1038" s="16" t="s">
        <v>1193</v>
      </c>
      <c r="F1038" s="16" t="s">
        <v>1924</v>
      </c>
      <c r="G1038" s="16" t="s">
        <v>1197</v>
      </c>
      <c r="H1038" s="14" t="str">
        <f>"20240924/395572"</f>
        <v>20240924/395572</v>
      </c>
      <c r="I1038" s="19" t="str">
        <f>"2409008173148"</f>
        <v>2409008173148</v>
      </c>
      <c r="J1038" s="18">
        <v>0</v>
      </c>
      <c r="K1038" s="18">
        <v>26171.55</v>
      </c>
      <c r="L1038" s="18">
        <v>1072571.18</v>
      </c>
    </row>
    <row r="1039" spans="1:13" ht="15" thickBot="1" x14ac:dyDescent="0.35">
      <c r="A1039" s="14">
        <v>1032</v>
      </c>
      <c r="B1039" s="15">
        <v>45560</v>
      </c>
      <c r="C1039" s="15">
        <v>45560</v>
      </c>
      <c r="D1039" s="16" t="s">
        <v>1192</v>
      </c>
      <c r="E1039" s="16" t="s">
        <v>1193</v>
      </c>
      <c r="F1039" s="16" t="s">
        <v>1204</v>
      </c>
      <c r="G1039" s="16" t="s">
        <v>1203</v>
      </c>
      <c r="H1039" s="14" t="str">
        <f>"20240925/33497"</f>
        <v>20240925/33497</v>
      </c>
      <c r="I1039" s="17" t="str">
        <f t="shared" ref="I1039:I1053" si="93">" "</f>
        <v> </v>
      </c>
      <c r="J1039" s="18">
        <v>26171.55</v>
      </c>
      <c r="K1039" s="18">
        <v>0</v>
      </c>
      <c r="L1039" s="18">
        <v>1098742.73</v>
      </c>
      <c r="M1039" t="s">
        <v>2661</v>
      </c>
    </row>
    <row r="1040" spans="1:13" ht="15" thickBot="1" x14ac:dyDescent="0.35">
      <c r="A1040" s="14">
        <v>1033</v>
      </c>
      <c r="B1040" s="15">
        <v>45560</v>
      </c>
      <c r="C1040" s="15">
        <v>45560</v>
      </c>
      <c r="D1040" s="16" t="s">
        <v>1192</v>
      </c>
      <c r="E1040" s="16" t="s">
        <v>1193</v>
      </c>
      <c r="F1040" s="16" t="s">
        <v>1202</v>
      </c>
      <c r="G1040" s="16" t="s">
        <v>1203</v>
      </c>
      <c r="H1040" s="14" t="str">
        <f>"20240925/5274"</f>
        <v>20240925/5274</v>
      </c>
      <c r="I1040" s="17" t="str">
        <f t="shared" si="93"/>
        <v> </v>
      </c>
      <c r="J1040" s="18">
        <v>38830.97</v>
      </c>
      <c r="K1040" s="18">
        <v>0</v>
      </c>
      <c r="L1040" s="18">
        <v>1137573.7</v>
      </c>
      <c r="M1040" t="s">
        <v>2661</v>
      </c>
    </row>
    <row r="1041" spans="1:13" ht="15" thickBot="1" x14ac:dyDescent="0.35">
      <c r="A1041" s="14">
        <v>1034</v>
      </c>
      <c r="B1041" s="15">
        <v>45560</v>
      </c>
      <c r="C1041" s="15">
        <v>45560</v>
      </c>
      <c r="D1041" s="16" t="s">
        <v>1192</v>
      </c>
      <c r="E1041" s="16" t="s">
        <v>1193</v>
      </c>
      <c r="F1041" s="16" t="s">
        <v>1194</v>
      </c>
      <c r="G1041" s="16" t="s">
        <v>1195</v>
      </c>
      <c r="H1041" s="14" t="str">
        <f>"20240925/121900"</f>
        <v>20240925/121900</v>
      </c>
      <c r="I1041" s="17" t="str">
        <f t="shared" si="93"/>
        <v> </v>
      </c>
      <c r="J1041" s="18">
        <v>0</v>
      </c>
      <c r="K1041" s="18">
        <v>50496.5</v>
      </c>
      <c r="L1041" s="18">
        <v>1087077.2</v>
      </c>
      <c r="M1041" t="s">
        <v>2661</v>
      </c>
    </row>
    <row r="1042" spans="1:13" ht="15" thickBot="1" x14ac:dyDescent="0.35">
      <c r="A1042" s="14">
        <v>1035</v>
      </c>
      <c r="B1042" s="15">
        <v>45560</v>
      </c>
      <c r="C1042" s="15">
        <v>45560</v>
      </c>
      <c r="D1042" s="16" t="s">
        <v>1192</v>
      </c>
      <c r="E1042" s="16" t="s">
        <v>1193</v>
      </c>
      <c r="F1042" s="16" t="s">
        <v>1194</v>
      </c>
      <c r="G1042" s="16" t="s">
        <v>1195</v>
      </c>
      <c r="H1042" s="14" t="str">
        <f>"20240925/3872"</f>
        <v>20240925/3872</v>
      </c>
      <c r="I1042" s="17" t="str">
        <f t="shared" si="93"/>
        <v> </v>
      </c>
      <c r="J1042" s="18">
        <v>0</v>
      </c>
      <c r="K1042" s="18">
        <v>244.17</v>
      </c>
      <c r="L1042" s="18">
        <v>1086833.03</v>
      </c>
      <c r="M1042" t="s">
        <v>2661</v>
      </c>
    </row>
    <row r="1043" spans="1:13" ht="15" thickBot="1" x14ac:dyDescent="0.35">
      <c r="A1043" s="14">
        <v>1036</v>
      </c>
      <c r="B1043" s="15">
        <v>45560</v>
      </c>
      <c r="C1043" s="15">
        <v>45560</v>
      </c>
      <c r="D1043" s="16" t="s">
        <v>1192</v>
      </c>
      <c r="E1043" s="16" t="s">
        <v>1193</v>
      </c>
      <c r="F1043" s="16" t="s">
        <v>1925</v>
      </c>
      <c r="G1043" s="16" t="s">
        <v>1197</v>
      </c>
      <c r="H1043" s="14" t="str">
        <f>"20240925/167806"</f>
        <v>20240925/167806</v>
      </c>
      <c r="I1043" s="19" t="str">
        <f t="shared" si="93"/>
        <v> </v>
      </c>
      <c r="J1043" s="18">
        <v>244.17</v>
      </c>
      <c r="K1043" s="18">
        <v>0</v>
      </c>
      <c r="L1043" s="18">
        <v>1087077.2</v>
      </c>
      <c r="M1043" t="s">
        <v>2658</v>
      </c>
    </row>
    <row r="1044" spans="1:13" ht="15" thickBot="1" x14ac:dyDescent="0.35">
      <c r="A1044" s="14">
        <v>1037</v>
      </c>
      <c r="B1044" s="15">
        <v>45560</v>
      </c>
      <c r="C1044" s="15">
        <v>45560</v>
      </c>
      <c r="D1044" s="16" t="s">
        <v>1192</v>
      </c>
      <c r="E1044" s="16" t="s">
        <v>1193</v>
      </c>
      <c r="F1044" s="16" t="s">
        <v>1926</v>
      </c>
      <c r="G1044" s="16" t="s">
        <v>1197</v>
      </c>
      <c r="H1044" s="14" t="str">
        <f>"20240925/199953"</f>
        <v>20240925/199953</v>
      </c>
      <c r="I1044" s="19" t="str">
        <f t="shared" si="93"/>
        <v> </v>
      </c>
      <c r="J1044" s="18">
        <v>108891.25</v>
      </c>
      <c r="K1044" s="18">
        <v>0</v>
      </c>
      <c r="L1044" s="18">
        <v>1195968.45</v>
      </c>
    </row>
    <row r="1045" spans="1:13" ht="15" thickBot="1" x14ac:dyDescent="0.35">
      <c r="A1045" s="14">
        <v>1038</v>
      </c>
      <c r="B1045" s="15">
        <v>45560</v>
      </c>
      <c r="C1045" s="15">
        <v>45560</v>
      </c>
      <c r="D1045" s="16" t="s">
        <v>1192</v>
      </c>
      <c r="E1045" s="16" t="s">
        <v>1193</v>
      </c>
      <c r="F1045" s="16" t="s">
        <v>1927</v>
      </c>
      <c r="G1045" s="16" t="s">
        <v>1197</v>
      </c>
      <c r="H1045" s="14" t="str">
        <f>"20240925/199954"</f>
        <v>20240925/199954</v>
      </c>
      <c r="I1045" s="19" t="str">
        <f t="shared" si="93"/>
        <v> </v>
      </c>
      <c r="J1045" s="18">
        <v>446148.57</v>
      </c>
      <c r="K1045" s="18">
        <v>0</v>
      </c>
      <c r="L1045" s="18">
        <v>1642117.02</v>
      </c>
    </row>
    <row r="1046" spans="1:13" ht="15" thickBot="1" x14ac:dyDescent="0.35">
      <c r="A1046" s="14">
        <v>1039</v>
      </c>
      <c r="B1046" s="15">
        <v>45560</v>
      </c>
      <c r="C1046" s="15">
        <v>45560</v>
      </c>
      <c r="D1046" s="16" t="s">
        <v>1192</v>
      </c>
      <c r="E1046" s="16" t="s">
        <v>1193</v>
      </c>
      <c r="F1046" s="16" t="s">
        <v>1928</v>
      </c>
      <c r="G1046" s="16" t="s">
        <v>1197</v>
      </c>
      <c r="H1046" s="14" t="str">
        <f>"20240925/329810"</f>
        <v>20240925/329810</v>
      </c>
      <c r="I1046" s="19" t="str">
        <f t="shared" si="93"/>
        <v> </v>
      </c>
      <c r="J1046" s="18">
        <v>0</v>
      </c>
      <c r="K1046" s="18">
        <v>403008.07</v>
      </c>
      <c r="L1046" s="18">
        <v>1239108.95</v>
      </c>
    </row>
    <row r="1047" spans="1:13" ht="15" thickBot="1" x14ac:dyDescent="0.35">
      <c r="A1047" s="14">
        <v>1040</v>
      </c>
      <c r="B1047" s="15">
        <v>45560</v>
      </c>
      <c r="C1047" s="15">
        <v>45560</v>
      </c>
      <c r="D1047" s="16" t="s">
        <v>1192</v>
      </c>
      <c r="E1047" s="16" t="s">
        <v>1193</v>
      </c>
      <c r="F1047" s="16" t="s">
        <v>1929</v>
      </c>
      <c r="G1047" s="16" t="s">
        <v>1197</v>
      </c>
      <c r="H1047" s="14" t="str">
        <f>"20240925/329811"</f>
        <v>20240925/329811</v>
      </c>
      <c r="I1047" s="19" t="str">
        <f t="shared" si="93"/>
        <v> </v>
      </c>
      <c r="J1047" s="18">
        <v>0</v>
      </c>
      <c r="K1047" s="18">
        <v>101535.25</v>
      </c>
      <c r="L1047" s="18">
        <v>1137573.7</v>
      </c>
    </row>
    <row r="1048" spans="1:13" ht="15" thickBot="1" x14ac:dyDescent="0.35">
      <c r="A1048" s="14">
        <v>1041</v>
      </c>
      <c r="B1048" s="15">
        <v>45561</v>
      </c>
      <c r="C1048" s="15">
        <v>45561</v>
      </c>
      <c r="D1048" s="16" t="s">
        <v>1192</v>
      </c>
      <c r="E1048" s="16" t="s">
        <v>1193</v>
      </c>
      <c r="F1048" s="16" t="s">
        <v>1194</v>
      </c>
      <c r="G1048" s="16" t="s">
        <v>1195</v>
      </c>
      <c r="H1048" s="14" t="str">
        <f>"20240926/5342"</f>
        <v>20240926/5342</v>
      </c>
      <c r="I1048" s="17" t="str">
        <f t="shared" si="93"/>
        <v> </v>
      </c>
      <c r="J1048" s="18">
        <v>0</v>
      </c>
      <c r="K1048" s="18">
        <v>207.48</v>
      </c>
      <c r="L1048" s="18">
        <v>1137366.22</v>
      </c>
      <c r="M1048" t="s">
        <v>2661</v>
      </c>
    </row>
    <row r="1049" spans="1:13" ht="15" thickBot="1" x14ac:dyDescent="0.35">
      <c r="A1049" s="14">
        <v>1042</v>
      </c>
      <c r="B1049" s="15">
        <v>45561</v>
      </c>
      <c r="C1049" s="15">
        <v>45561</v>
      </c>
      <c r="D1049" s="16" t="s">
        <v>1192</v>
      </c>
      <c r="E1049" s="16" t="s">
        <v>1193</v>
      </c>
      <c r="F1049" s="16" t="s">
        <v>1930</v>
      </c>
      <c r="G1049" s="16" t="s">
        <v>1197</v>
      </c>
      <c r="H1049" s="14" t="str">
        <f>"20240926/127215"</f>
        <v>20240926/127215</v>
      </c>
      <c r="I1049" s="19" t="str">
        <f t="shared" si="93"/>
        <v> </v>
      </c>
      <c r="J1049" s="18">
        <v>207.48</v>
      </c>
      <c r="K1049" s="18">
        <v>0</v>
      </c>
      <c r="L1049" s="18">
        <v>1137573.7</v>
      </c>
      <c r="M1049" t="s">
        <v>2658</v>
      </c>
    </row>
    <row r="1050" spans="1:13" ht="15" thickBot="1" x14ac:dyDescent="0.35">
      <c r="A1050" s="14">
        <v>1043</v>
      </c>
      <c r="B1050" s="15">
        <v>45561</v>
      </c>
      <c r="C1050" s="15">
        <v>45561</v>
      </c>
      <c r="D1050" s="16" t="s">
        <v>1192</v>
      </c>
      <c r="E1050" s="16" t="s">
        <v>1193</v>
      </c>
      <c r="F1050" s="16" t="s">
        <v>1931</v>
      </c>
      <c r="G1050" s="16" t="s">
        <v>1197</v>
      </c>
      <c r="H1050" s="14" t="str">
        <f>"20240926/219862"</f>
        <v>20240926/219862</v>
      </c>
      <c r="I1050" s="19" t="str">
        <f t="shared" si="93"/>
        <v> </v>
      </c>
      <c r="J1050" s="18">
        <v>111723.75</v>
      </c>
      <c r="K1050" s="18">
        <v>0</v>
      </c>
      <c r="L1050" s="18">
        <v>1249297.45</v>
      </c>
    </row>
    <row r="1051" spans="1:13" ht="15" thickBot="1" x14ac:dyDescent="0.35">
      <c r="A1051" s="14">
        <v>1044</v>
      </c>
      <c r="B1051" s="15">
        <v>45561</v>
      </c>
      <c r="C1051" s="15">
        <v>45561</v>
      </c>
      <c r="D1051" s="16" t="s">
        <v>1192</v>
      </c>
      <c r="E1051" s="16" t="s">
        <v>1193</v>
      </c>
      <c r="F1051" s="16" t="s">
        <v>1932</v>
      </c>
      <c r="G1051" s="16" t="s">
        <v>1197</v>
      </c>
      <c r="H1051" s="14" t="str">
        <f>"20240926/219863"</f>
        <v>20240926/219863</v>
      </c>
      <c r="I1051" s="19" t="str">
        <f t="shared" si="93"/>
        <v> </v>
      </c>
      <c r="J1051" s="18">
        <v>428306.47</v>
      </c>
      <c r="K1051" s="18">
        <v>0</v>
      </c>
      <c r="L1051" s="18">
        <v>1677603.92</v>
      </c>
    </row>
    <row r="1052" spans="1:13" ht="15" thickBot="1" x14ac:dyDescent="0.35">
      <c r="A1052" s="14">
        <v>1045</v>
      </c>
      <c r="B1052" s="15">
        <v>45561</v>
      </c>
      <c r="C1052" s="15">
        <v>45561</v>
      </c>
      <c r="D1052" s="16" t="s">
        <v>1192</v>
      </c>
      <c r="E1052" s="16" t="s">
        <v>1193</v>
      </c>
      <c r="F1052" s="16" t="s">
        <v>1933</v>
      </c>
      <c r="G1052" s="16" t="s">
        <v>1197</v>
      </c>
      <c r="H1052" s="14" t="str">
        <f>"20240926/277696"</f>
        <v>20240926/277696</v>
      </c>
      <c r="I1052" s="19" t="str">
        <f t="shared" si="93"/>
        <v> </v>
      </c>
      <c r="J1052" s="18">
        <v>0</v>
      </c>
      <c r="K1052" s="18">
        <v>108891.25</v>
      </c>
      <c r="L1052" s="18">
        <v>1568712.67</v>
      </c>
    </row>
    <row r="1053" spans="1:13" ht="15" thickBot="1" x14ac:dyDescent="0.35">
      <c r="A1053" s="14">
        <v>1046</v>
      </c>
      <c r="B1053" s="15">
        <v>45561</v>
      </c>
      <c r="C1053" s="15">
        <v>45561</v>
      </c>
      <c r="D1053" s="16" t="s">
        <v>1192</v>
      </c>
      <c r="E1053" s="16" t="s">
        <v>1193</v>
      </c>
      <c r="F1053" s="16" t="s">
        <v>1934</v>
      </c>
      <c r="G1053" s="16" t="s">
        <v>1197</v>
      </c>
      <c r="H1053" s="14" t="str">
        <f>"20240926/277697"</f>
        <v>20240926/277697</v>
      </c>
      <c r="I1053" s="19" t="str">
        <f t="shared" si="93"/>
        <v> </v>
      </c>
      <c r="J1053" s="18">
        <v>0</v>
      </c>
      <c r="K1053" s="18">
        <v>446148.57</v>
      </c>
      <c r="L1053" s="18">
        <v>1122564.1000000001</v>
      </c>
    </row>
    <row r="1054" spans="1:13" ht="15" thickBot="1" x14ac:dyDescent="0.35">
      <c r="A1054" s="14">
        <v>1047</v>
      </c>
      <c r="B1054" s="15">
        <v>45561</v>
      </c>
      <c r="C1054" s="15">
        <v>45562</v>
      </c>
      <c r="D1054" s="16" t="s">
        <v>1192</v>
      </c>
      <c r="E1054" s="16" t="s">
        <v>1193</v>
      </c>
      <c r="F1054" s="16" t="s">
        <v>1935</v>
      </c>
      <c r="G1054" s="16" t="s">
        <v>1197</v>
      </c>
      <c r="H1054" s="14" t="str">
        <f>"20240926/373967"</f>
        <v>20240926/373967</v>
      </c>
      <c r="I1054" s="19" t="str">
        <f>"2409009154511"</f>
        <v>2409009154511</v>
      </c>
      <c r="J1054" s="18">
        <v>0</v>
      </c>
      <c r="K1054" s="18">
        <v>49396.73</v>
      </c>
      <c r="L1054" s="18">
        <v>1073167.3700000001</v>
      </c>
    </row>
    <row r="1055" spans="1:13" ht="15" thickBot="1" x14ac:dyDescent="0.35">
      <c r="A1055" s="14">
        <v>1048</v>
      </c>
      <c r="B1055" s="15">
        <v>45562</v>
      </c>
      <c r="C1055" s="15">
        <v>45562</v>
      </c>
      <c r="D1055" s="16" t="s">
        <v>1192</v>
      </c>
      <c r="E1055" s="16" t="s">
        <v>1193</v>
      </c>
      <c r="F1055" s="16" t="s">
        <v>1202</v>
      </c>
      <c r="G1055" s="16" t="s">
        <v>1203</v>
      </c>
      <c r="H1055" s="14" t="str">
        <f>"20240927/6567"</f>
        <v>20240927/6567</v>
      </c>
      <c r="I1055" s="17" t="str">
        <f t="shared" ref="I1055:I1076" si="94">" "</f>
        <v> </v>
      </c>
      <c r="J1055" s="18">
        <v>18445.45</v>
      </c>
      <c r="K1055" s="18">
        <v>0</v>
      </c>
      <c r="L1055" s="18">
        <v>1091612.82</v>
      </c>
      <c r="M1055" t="s">
        <v>2661</v>
      </c>
    </row>
    <row r="1056" spans="1:13" ht="15" thickBot="1" x14ac:dyDescent="0.35">
      <c r="A1056" s="14">
        <v>1049</v>
      </c>
      <c r="B1056" s="15">
        <v>45562</v>
      </c>
      <c r="C1056" s="15">
        <v>45562</v>
      </c>
      <c r="D1056" s="16" t="s">
        <v>1192</v>
      </c>
      <c r="E1056" s="16" t="s">
        <v>1193</v>
      </c>
      <c r="F1056" s="16" t="s">
        <v>1194</v>
      </c>
      <c r="G1056" s="16" t="s">
        <v>1195</v>
      </c>
      <c r="H1056" s="14" t="str">
        <f>"20240927/37022"</f>
        <v>20240927/37022</v>
      </c>
      <c r="I1056" s="17" t="str">
        <f t="shared" si="94"/>
        <v> </v>
      </c>
      <c r="J1056" s="18">
        <v>0</v>
      </c>
      <c r="K1056" s="18">
        <v>207.48</v>
      </c>
      <c r="L1056" s="18">
        <v>1091405.3400000001</v>
      </c>
      <c r="M1056" t="s">
        <v>2661</v>
      </c>
    </row>
    <row r="1057" spans="1:13" ht="15" thickBot="1" x14ac:dyDescent="0.35">
      <c r="A1057" s="14">
        <v>1050</v>
      </c>
      <c r="B1057" s="15">
        <v>45562</v>
      </c>
      <c r="C1057" s="15">
        <v>45562</v>
      </c>
      <c r="D1057" s="16" t="s">
        <v>1192</v>
      </c>
      <c r="E1057" s="16" t="s">
        <v>1193</v>
      </c>
      <c r="F1057" s="16" t="s">
        <v>1936</v>
      </c>
      <c r="G1057" s="16" t="s">
        <v>1197</v>
      </c>
      <c r="H1057" s="14" t="str">
        <f>"20240927/138639"</f>
        <v>20240927/138639</v>
      </c>
      <c r="I1057" s="19" t="str">
        <f t="shared" si="94"/>
        <v> </v>
      </c>
      <c r="J1057" s="18">
        <v>207.48</v>
      </c>
      <c r="K1057" s="18">
        <v>0</v>
      </c>
      <c r="L1057" s="18">
        <v>1091612.82</v>
      </c>
      <c r="M1057" t="s">
        <v>2658</v>
      </c>
    </row>
    <row r="1058" spans="1:13" ht="15" thickBot="1" x14ac:dyDescent="0.35">
      <c r="A1058" s="14">
        <v>1051</v>
      </c>
      <c r="B1058" s="15">
        <v>45562</v>
      </c>
      <c r="C1058" s="15">
        <v>45562</v>
      </c>
      <c r="D1058" s="16" t="s">
        <v>1192</v>
      </c>
      <c r="E1058" s="16" t="s">
        <v>1193</v>
      </c>
      <c r="F1058" s="16" t="s">
        <v>1937</v>
      </c>
      <c r="G1058" s="16" t="s">
        <v>1197</v>
      </c>
      <c r="H1058" s="14" t="str">
        <f>"20240927/213863"</f>
        <v>20240927/213863</v>
      </c>
      <c r="I1058" s="19" t="str">
        <f t="shared" si="94"/>
        <v> </v>
      </c>
      <c r="J1058" s="18">
        <v>99800</v>
      </c>
      <c r="K1058" s="18">
        <v>0</v>
      </c>
      <c r="L1058" s="18">
        <v>1191412.82</v>
      </c>
    </row>
    <row r="1059" spans="1:13" ht="15" thickBot="1" x14ac:dyDescent="0.35">
      <c r="A1059" s="14">
        <v>1052</v>
      </c>
      <c r="B1059" s="15">
        <v>45562</v>
      </c>
      <c r="C1059" s="15">
        <v>45562</v>
      </c>
      <c r="D1059" s="16" t="s">
        <v>1192</v>
      </c>
      <c r="E1059" s="16" t="s">
        <v>1193</v>
      </c>
      <c r="F1059" s="16" t="s">
        <v>1938</v>
      </c>
      <c r="G1059" s="16" t="s">
        <v>1197</v>
      </c>
      <c r="H1059" s="14" t="str">
        <f>"20240927/213864"</f>
        <v>20240927/213864</v>
      </c>
      <c r="I1059" s="19" t="str">
        <f t="shared" si="94"/>
        <v> </v>
      </c>
      <c r="J1059" s="18">
        <v>434377.07</v>
      </c>
      <c r="K1059" s="18">
        <v>0</v>
      </c>
      <c r="L1059" s="18">
        <v>1625789.89</v>
      </c>
    </row>
    <row r="1060" spans="1:13" ht="15" thickBot="1" x14ac:dyDescent="0.35">
      <c r="A1060" s="14">
        <v>1053</v>
      </c>
      <c r="B1060" s="15">
        <v>45562</v>
      </c>
      <c r="C1060" s="15">
        <v>45562</v>
      </c>
      <c r="D1060" s="16" t="s">
        <v>1192</v>
      </c>
      <c r="E1060" s="16" t="s">
        <v>1193</v>
      </c>
      <c r="F1060" s="16" t="s">
        <v>1939</v>
      </c>
      <c r="G1060" s="16" t="s">
        <v>1197</v>
      </c>
      <c r="H1060" s="14" t="str">
        <f>"20240927/259298"</f>
        <v>20240927/259298</v>
      </c>
      <c r="I1060" s="19" t="str">
        <f t="shared" si="94"/>
        <v> </v>
      </c>
      <c r="J1060" s="18">
        <v>0</v>
      </c>
      <c r="K1060" s="18">
        <v>111723.75</v>
      </c>
      <c r="L1060" s="18">
        <v>1514066.14</v>
      </c>
    </row>
    <row r="1061" spans="1:13" ht="15" thickBot="1" x14ac:dyDescent="0.35">
      <c r="A1061" s="14">
        <v>1054</v>
      </c>
      <c r="B1061" s="15">
        <v>45562</v>
      </c>
      <c r="C1061" s="15">
        <v>45562</v>
      </c>
      <c r="D1061" s="16" t="s">
        <v>1192</v>
      </c>
      <c r="E1061" s="16" t="s">
        <v>1193</v>
      </c>
      <c r="F1061" s="16" t="s">
        <v>1940</v>
      </c>
      <c r="G1061" s="16" t="s">
        <v>1197</v>
      </c>
      <c r="H1061" s="14" t="str">
        <f>"20240927/259299"</f>
        <v>20240927/259299</v>
      </c>
      <c r="I1061" s="19" t="str">
        <f t="shared" si="94"/>
        <v> </v>
      </c>
      <c r="J1061" s="18">
        <v>0</v>
      </c>
      <c r="K1061" s="18">
        <v>428306.47</v>
      </c>
      <c r="L1061" s="18">
        <v>1085759.67</v>
      </c>
    </row>
    <row r="1062" spans="1:13" ht="15" thickBot="1" x14ac:dyDescent="0.35">
      <c r="A1062" s="14">
        <v>1055</v>
      </c>
      <c r="B1062" s="15">
        <v>45565</v>
      </c>
      <c r="C1062" s="15">
        <v>45565</v>
      </c>
      <c r="D1062" s="16" t="s">
        <v>1192</v>
      </c>
      <c r="E1062" s="16" t="s">
        <v>1193</v>
      </c>
      <c r="F1062" s="16" t="s">
        <v>1202</v>
      </c>
      <c r="G1062" s="16" t="s">
        <v>1203</v>
      </c>
      <c r="H1062" s="14" t="str">
        <f>"20240930/7637"</f>
        <v>20240930/7637</v>
      </c>
      <c r="I1062" s="17" t="str">
        <f t="shared" si="94"/>
        <v> </v>
      </c>
      <c r="J1062" s="18">
        <v>5853.15</v>
      </c>
      <c r="K1062" s="18">
        <v>0</v>
      </c>
      <c r="L1062" s="18">
        <v>1091612.82</v>
      </c>
      <c r="M1062" t="s">
        <v>2661</v>
      </c>
    </row>
    <row r="1063" spans="1:13" ht="15" thickBot="1" x14ac:dyDescent="0.35">
      <c r="A1063" s="14">
        <v>1056</v>
      </c>
      <c r="B1063" s="15">
        <v>45565</v>
      </c>
      <c r="C1063" s="15">
        <v>45565</v>
      </c>
      <c r="D1063" s="16" t="s">
        <v>1192</v>
      </c>
      <c r="E1063" s="16" t="s">
        <v>1193</v>
      </c>
      <c r="F1063" s="16" t="s">
        <v>1194</v>
      </c>
      <c r="G1063" s="16" t="s">
        <v>1195</v>
      </c>
      <c r="H1063" s="14" t="str">
        <f>"20240930/128124"</f>
        <v>20240930/128124</v>
      </c>
      <c r="I1063" s="17" t="str">
        <f t="shared" si="94"/>
        <v> </v>
      </c>
      <c r="J1063" s="18">
        <v>0</v>
      </c>
      <c r="K1063" s="18">
        <v>3694.98</v>
      </c>
      <c r="L1063" s="18">
        <v>1087917.8400000001</v>
      </c>
      <c r="M1063" t="s">
        <v>2661</v>
      </c>
    </row>
    <row r="1064" spans="1:13" ht="15" thickBot="1" x14ac:dyDescent="0.35">
      <c r="A1064" s="14">
        <v>1057</v>
      </c>
      <c r="B1064" s="15">
        <v>45565</v>
      </c>
      <c r="C1064" s="15">
        <v>45565</v>
      </c>
      <c r="D1064" s="16" t="s">
        <v>1192</v>
      </c>
      <c r="E1064" s="16" t="s">
        <v>1193</v>
      </c>
      <c r="F1064" s="16" t="s">
        <v>1194</v>
      </c>
      <c r="G1064" s="16" t="s">
        <v>1195</v>
      </c>
      <c r="H1064" s="14" t="str">
        <f>"20240930/26816"</f>
        <v>20240930/26816</v>
      </c>
      <c r="I1064" s="17" t="str">
        <f t="shared" si="94"/>
        <v> </v>
      </c>
      <c r="J1064" s="18">
        <v>0</v>
      </c>
      <c r="K1064" s="18">
        <v>589.35</v>
      </c>
      <c r="L1064" s="18">
        <v>1087328.49</v>
      </c>
      <c r="M1064" t="s">
        <v>2661</v>
      </c>
    </row>
    <row r="1065" spans="1:13" ht="15" thickBot="1" x14ac:dyDescent="0.35">
      <c r="A1065" s="14">
        <v>1058</v>
      </c>
      <c r="B1065" s="15">
        <v>45565</v>
      </c>
      <c r="C1065" s="15">
        <v>45565</v>
      </c>
      <c r="D1065" s="16" t="s">
        <v>1192</v>
      </c>
      <c r="E1065" s="16" t="s">
        <v>1193</v>
      </c>
      <c r="F1065" s="16" t="s">
        <v>1941</v>
      </c>
      <c r="G1065" s="16" t="s">
        <v>1197</v>
      </c>
      <c r="H1065" s="14" t="str">
        <f>"20240930/156117"</f>
        <v>20240930/156117</v>
      </c>
      <c r="I1065" s="19" t="str">
        <f t="shared" si="94"/>
        <v> </v>
      </c>
      <c r="J1065" s="18">
        <v>589.35</v>
      </c>
      <c r="K1065" s="18">
        <v>0</v>
      </c>
      <c r="L1065" s="18">
        <v>1087917.8400000001</v>
      </c>
      <c r="M1065" t="s">
        <v>2658</v>
      </c>
    </row>
    <row r="1066" spans="1:13" ht="15" thickBot="1" x14ac:dyDescent="0.35">
      <c r="A1066" s="14">
        <v>1059</v>
      </c>
      <c r="B1066" s="15">
        <v>45565</v>
      </c>
      <c r="C1066" s="15">
        <v>45565</v>
      </c>
      <c r="D1066" s="16" t="s">
        <v>1192</v>
      </c>
      <c r="E1066" s="16" t="s">
        <v>1193</v>
      </c>
      <c r="F1066" s="16" t="s">
        <v>1942</v>
      </c>
      <c r="G1066" s="16" t="s">
        <v>1197</v>
      </c>
      <c r="H1066" s="14" t="str">
        <f>"20240930/172594"</f>
        <v>20240930/172594</v>
      </c>
      <c r="I1066" s="19" t="str">
        <f t="shared" si="94"/>
        <v> </v>
      </c>
      <c r="J1066" s="18">
        <v>442775.8</v>
      </c>
      <c r="K1066" s="18">
        <v>0</v>
      </c>
      <c r="L1066" s="18">
        <v>1530693.64</v>
      </c>
    </row>
    <row r="1067" spans="1:13" ht="15" thickBot="1" x14ac:dyDescent="0.35">
      <c r="A1067" s="14">
        <v>1060</v>
      </c>
      <c r="B1067" s="15">
        <v>45565</v>
      </c>
      <c r="C1067" s="15">
        <v>45565</v>
      </c>
      <c r="D1067" s="16" t="s">
        <v>1192</v>
      </c>
      <c r="E1067" s="16" t="s">
        <v>1193</v>
      </c>
      <c r="F1067" s="16" t="s">
        <v>1943</v>
      </c>
      <c r="G1067" s="16" t="s">
        <v>1197</v>
      </c>
      <c r="H1067" s="14" t="str">
        <f>"20240930/172595"</f>
        <v>20240930/172595</v>
      </c>
      <c r="I1067" s="19" t="str">
        <f t="shared" si="94"/>
        <v> </v>
      </c>
      <c r="J1067" s="18">
        <v>95096.25</v>
      </c>
      <c r="K1067" s="18">
        <v>0</v>
      </c>
      <c r="L1067" s="18">
        <v>1625789.89</v>
      </c>
    </row>
    <row r="1068" spans="1:13" ht="15" thickBot="1" x14ac:dyDescent="0.35">
      <c r="A1068" s="14">
        <v>1061</v>
      </c>
      <c r="B1068" s="15">
        <v>45565</v>
      </c>
      <c r="C1068" s="15">
        <v>45565</v>
      </c>
      <c r="D1068" s="16" t="s">
        <v>1192</v>
      </c>
      <c r="E1068" s="16" t="s">
        <v>1193</v>
      </c>
      <c r="F1068" s="16" t="s">
        <v>1944</v>
      </c>
      <c r="G1068" s="16" t="s">
        <v>1197</v>
      </c>
      <c r="H1068" s="14" t="str">
        <f>"20240930/261157"</f>
        <v>20240930/261157</v>
      </c>
      <c r="I1068" s="19" t="str">
        <f t="shared" si="94"/>
        <v> </v>
      </c>
      <c r="J1068" s="18">
        <v>0</v>
      </c>
      <c r="K1068" s="18">
        <v>99800</v>
      </c>
      <c r="L1068" s="18">
        <v>1525989.89</v>
      </c>
    </row>
    <row r="1069" spans="1:13" ht="15" thickBot="1" x14ac:dyDescent="0.35">
      <c r="A1069" s="14">
        <v>1062</v>
      </c>
      <c r="B1069" s="15">
        <v>45565</v>
      </c>
      <c r="C1069" s="15">
        <v>45565</v>
      </c>
      <c r="D1069" s="16" t="s">
        <v>1192</v>
      </c>
      <c r="E1069" s="16" t="s">
        <v>1193</v>
      </c>
      <c r="F1069" s="16" t="s">
        <v>1945</v>
      </c>
      <c r="G1069" s="16" t="s">
        <v>1197</v>
      </c>
      <c r="H1069" s="14" t="str">
        <f>"20240930/261158"</f>
        <v>20240930/261158</v>
      </c>
      <c r="I1069" s="19" t="str">
        <f t="shared" si="94"/>
        <v> </v>
      </c>
      <c r="J1069" s="18">
        <v>0</v>
      </c>
      <c r="K1069" s="18">
        <v>434377.07</v>
      </c>
      <c r="L1069" s="18">
        <v>1091612.82</v>
      </c>
    </row>
    <row r="1070" spans="1:13" ht="15" thickBot="1" x14ac:dyDescent="0.35">
      <c r="A1070" s="14">
        <v>1063</v>
      </c>
      <c r="B1070" s="15">
        <v>45566</v>
      </c>
      <c r="C1070" s="15">
        <v>45566</v>
      </c>
      <c r="D1070" s="16" t="s">
        <v>1192</v>
      </c>
      <c r="E1070" s="16" t="s">
        <v>1193</v>
      </c>
      <c r="F1070" s="16" t="s">
        <v>1194</v>
      </c>
      <c r="G1070" s="16" t="s">
        <v>1195</v>
      </c>
      <c r="H1070" s="14" t="str">
        <f>"20241001/116641"</f>
        <v>20241001/116641</v>
      </c>
      <c r="I1070" s="17" t="str">
        <f t="shared" si="94"/>
        <v> </v>
      </c>
      <c r="J1070" s="18">
        <v>0</v>
      </c>
      <c r="K1070" s="18">
        <v>3100.59</v>
      </c>
      <c r="L1070" s="18">
        <v>1088512.23</v>
      </c>
      <c r="M1070" t="s">
        <v>2661</v>
      </c>
    </row>
    <row r="1071" spans="1:13" ht="15" thickBot="1" x14ac:dyDescent="0.35">
      <c r="A1071" s="14">
        <v>1064</v>
      </c>
      <c r="B1071" s="15">
        <v>45566</v>
      </c>
      <c r="C1071" s="15">
        <v>45566</v>
      </c>
      <c r="D1071" s="16" t="s">
        <v>1192</v>
      </c>
      <c r="E1071" s="16" t="s">
        <v>1193</v>
      </c>
      <c r="F1071" s="16" t="s">
        <v>1194</v>
      </c>
      <c r="G1071" s="16" t="s">
        <v>1195</v>
      </c>
      <c r="H1071" s="14" t="str">
        <f>"20241001/31195"</f>
        <v>20241001/31195</v>
      </c>
      <c r="I1071" s="17" t="str">
        <f t="shared" si="94"/>
        <v> </v>
      </c>
      <c r="J1071" s="18">
        <v>0</v>
      </c>
      <c r="K1071" s="18">
        <v>197.22</v>
      </c>
      <c r="L1071" s="18">
        <v>1088315.01</v>
      </c>
      <c r="M1071" t="s">
        <v>2661</v>
      </c>
    </row>
    <row r="1072" spans="1:13" ht="15" thickBot="1" x14ac:dyDescent="0.35">
      <c r="A1072" s="14">
        <v>1065</v>
      </c>
      <c r="B1072" s="15">
        <v>45566</v>
      </c>
      <c r="C1072" s="15">
        <v>45566</v>
      </c>
      <c r="D1072" s="16" t="s">
        <v>1192</v>
      </c>
      <c r="E1072" s="16" t="s">
        <v>1193</v>
      </c>
      <c r="F1072" s="16" t="s">
        <v>1946</v>
      </c>
      <c r="G1072" s="16" t="s">
        <v>1197</v>
      </c>
      <c r="H1072" s="14" t="str">
        <f>"20241001/159793"</f>
        <v>20241001/159793</v>
      </c>
      <c r="I1072" s="19" t="str">
        <f t="shared" si="94"/>
        <v> </v>
      </c>
      <c r="J1072" s="18">
        <v>197.22</v>
      </c>
      <c r="K1072" s="18">
        <v>0</v>
      </c>
      <c r="L1072" s="18">
        <v>1088512.23</v>
      </c>
      <c r="M1072" t="s">
        <v>2658</v>
      </c>
    </row>
    <row r="1073" spans="1:13" ht="15" thickBot="1" x14ac:dyDescent="0.35">
      <c r="A1073" s="14">
        <v>1066</v>
      </c>
      <c r="B1073" s="15">
        <v>45566</v>
      </c>
      <c r="C1073" s="15">
        <v>45566</v>
      </c>
      <c r="D1073" s="16" t="s">
        <v>1192</v>
      </c>
      <c r="E1073" s="16" t="s">
        <v>1193</v>
      </c>
      <c r="F1073" s="16" t="s">
        <v>1947</v>
      </c>
      <c r="G1073" s="16" t="s">
        <v>1197</v>
      </c>
      <c r="H1073" s="14" t="str">
        <f>"20241001/173516"</f>
        <v>20241001/173516</v>
      </c>
      <c r="I1073" s="19" t="str">
        <f t="shared" si="94"/>
        <v> </v>
      </c>
      <c r="J1073" s="18">
        <v>102870.75</v>
      </c>
      <c r="K1073" s="18">
        <v>0</v>
      </c>
      <c r="L1073" s="18">
        <v>1191382.98</v>
      </c>
    </row>
    <row r="1074" spans="1:13" ht="15" thickBot="1" x14ac:dyDescent="0.35">
      <c r="A1074" s="14">
        <v>1067</v>
      </c>
      <c r="B1074" s="15">
        <v>45566</v>
      </c>
      <c r="C1074" s="15">
        <v>45566</v>
      </c>
      <c r="D1074" s="16" t="s">
        <v>1192</v>
      </c>
      <c r="E1074" s="16" t="s">
        <v>1193</v>
      </c>
      <c r="F1074" s="16" t="s">
        <v>1948</v>
      </c>
      <c r="G1074" s="16" t="s">
        <v>1197</v>
      </c>
      <c r="H1074" s="14" t="str">
        <f>"20241001/173517"</f>
        <v>20241001/173517</v>
      </c>
      <c r="I1074" s="19" t="str">
        <f t="shared" si="94"/>
        <v> </v>
      </c>
      <c r="J1074" s="18">
        <v>438101.89</v>
      </c>
      <c r="K1074" s="18">
        <v>0</v>
      </c>
      <c r="L1074" s="18">
        <v>1629484.87</v>
      </c>
    </row>
    <row r="1075" spans="1:13" ht="15" thickBot="1" x14ac:dyDescent="0.35">
      <c r="A1075" s="14">
        <v>1068</v>
      </c>
      <c r="B1075" s="15">
        <v>45566</v>
      </c>
      <c r="C1075" s="15">
        <v>45566</v>
      </c>
      <c r="D1075" s="16" t="s">
        <v>1192</v>
      </c>
      <c r="E1075" s="16" t="s">
        <v>1193</v>
      </c>
      <c r="F1075" s="16" t="s">
        <v>1949</v>
      </c>
      <c r="G1075" s="16" t="s">
        <v>1197</v>
      </c>
      <c r="H1075" s="14" t="str">
        <f>"20241001/296019"</f>
        <v>20241001/296019</v>
      </c>
      <c r="I1075" s="19" t="str">
        <f t="shared" si="94"/>
        <v> </v>
      </c>
      <c r="J1075" s="18">
        <v>0</v>
      </c>
      <c r="K1075" s="18">
        <v>442775.8</v>
      </c>
      <c r="L1075" s="18">
        <v>1186709.07</v>
      </c>
    </row>
    <row r="1076" spans="1:13" ht="15" thickBot="1" x14ac:dyDescent="0.35">
      <c r="A1076" s="14">
        <v>1069</v>
      </c>
      <c r="B1076" s="15">
        <v>45566</v>
      </c>
      <c r="C1076" s="15">
        <v>45566</v>
      </c>
      <c r="D1076" s="16" t="s">
        <v>1192</v>
      </c>
      <c r="E1076" s="16" t="s">
        <v>1193</v>
      </c>
      <c r="F1076" s="16" t="s">
        <v>1950</v>
      </c>
      <c r="G1076" s="16" t="s">
        <v>1197</v>
      </c>
      <c r="H1076" s="14" t="str">
        <f>"20241001/296020"</f>
        <v>20241001/296020</v>
      </c>
      <c r="I1076" s="19" t="str">
        <f t="shared" si="94"/>
        <v> </v>
      </c>
      <c r="J1076" s="18">
        <v>0</v>
      </c>
      <c r="K1076" s="18">
        <v>95096.25</v>
      </c>
      <c r="L1076" s="18">
        <v>1091612.82</v>
      </c>
    </row>
    <row r="1077" spans="1:13" ht="15" thickBot="1" x14ac:dyDescent="0.35">
      <c r="A1077" s="14">
        <v>1070</v>
      </c>
      <c r="B1077" s="15">
        <v>45566</v>
      </c>
      <c r="C1077" s="15">
        <v>45568</v>
      </c>
      <c r="D1077" s="16" t="s">
        <v>1192</v>
      </c>
      <c r="E1077" s="16" t="s">
        <v>1193</v>
      </c>
      <c r="F1077" s="16" t="s">
        <v>1951</v>
      </c>
      <c r="G1077" s="16" t="s">
        <v>1197</v>
      </c>
      <c r="H1077" s="14" t="str">
        <f>"20241001/373237"</f>
        <v>20241001/373237</v>
      </c>
      <c r="I1077" s="19" t="str">
        <f>"2410000211941"</f>
        <v>2410000211941</v>
      </c>
      <c r="J1077" s="18">
        <v>0</v>
      </c>
      <c r="K1077" s="18">
        <v>59921.39</v>
      </c>
      <c r="L1077" s="18">
        <v>1031691.43</v>
      </c>
    </row>
    <row r="1078" spans="1:13" ht="15" thickBot="1" x14ac:dyDescent="0.35">
      <c r="A1078" s="14">
        <v>1071</v>
      </c>
      <c r="B1078" s="15">
        <v>45568</v>
      </c>
      <c r="C1078" s="15">
        <v>45568</v>
      </c>
      <c r="D1078" s="16" t="s">
        <v>1192</v>
      </c>
      <c r="E1078" s="16" t="s">
        <v>1193</v>
      </c>
      <c r="F1078" s="16" t="s">
        <v>1204</v>
      </c>
      <c r="G1078" s="16" t="s">
        <v>1203</v>
      </c>
      <c r="H1078" s="14" t="str">
        <f>"20241003/30298"</f>
        <v>20241003/30298</v>
      </c>
      <c r="I1078" s="17" t="str">
        <f t="shared" ref="I1078:I1085" si="95">" "</f>
        <v> </v>
      </c>
      <c r="J1078" s="18">
        <v>59921.39</v>
      </c>
      <c r="K1078" s="18">
        <v>0</v>
      </c>
      <c r="L1078" s="18">
        <v>1091612.82</v>
      </c>
      <c r="M1078" t="s">
        <v>2661</v>
      </c>
    </row>
    <row r="1079" spans="1:13" ht="15" thickBot="1" x14ac:dyDescent="0.35">
      <c r="A1079" s="14">
        <v>1072</v>
      </c>
      <c r="B1079" s="15">
        <v>45568</v>
      </c>
      <c r="C1079" s="15">
        <v>45568</v>
      </c>
      <c r="D1079" s="16" t="s">
        <v>1192</v>
      </c>
      <c r="E1079" s="16" t="s">
        <v>1193</v>
      </c>
      <c r="F1079" s="16" t="s">
        <v>1194</v>
      </c>
      <c r="G1079" s="16" t="s">
        <v>1195</v>
      </c>
      <c r="H1079" s="14" t="str">
        <f>"20241003/122414"</f>
        <v>20241003/122414</v>
      </c>
      <c r="I1079" s="17" t="str">
        <f t="shared" si="95"/>
        <v> </v>
      </c>
      <c r="J1079" s="18">
        <v>0</v>
      </c>
      <c r="K1079" s="18">
        <v>16929.2</v>
      </c>
      <c r="L1079" s="18">
        <v>1074683.6200000001</v>
      </c>
      <c r="M1079" t="s">
        <v>2661</v>
      </c>
    </row>
    <row r="1080" spans="1:13" ht="15" thickBot="1" x14ac:dyDescent="0.35">
      <c r="A1080" s="14">
        <v>1073</v>
      </c>
      <c r="B1080" s="15">
        <v>45568</v>
      </c>
      <c r="C1080" s="15">
        <v>45568</v>
      </c>
      <c r="D1080" s="16" t="s">
        <v>1192</v>
      </c>
      <c r="E1080" s="16" t="s">
        <v>1193</v>
      </c>
      <c r="F1080" s="16" t="s">
        <v>1194</v>
      </c>
      <c r="G1080" s="16" t="s">
        <v>1195</v>
      </c>
      <c r="H1080" s="14" t="str">
        <f>"20241003/36597"</f>
        <v>20241003/36597</v>
      </c>
      <c r="I1080" s="17" t="str">
        <f t="shared" si="95"/>
        <v> </v>
      </c>
      <c r="J1080" s="18">
        <v>0</v>
      </c>
      <c r="K1080" s="18">
        <v>392.24</v>
      </c>
      <c r="L1080" s="18">
        <v>1074291.3799999999</v>
      </c>
      <c r="M1080" t="s">
        <v>2661</v>
      </c>
    </row>
    <row r="1081" spans="1:13" ht="15" thickBot="1" x14ac:dyDescent="0.35">
      <c r="A1081" s="14">
        <v>1074</v>
      </c>
      <c r="B1081" s="15">
        <v>45568</v>
      </c>
      <c r="C1081" s="15">
        <v>45568</v>
      </c>
      <c r="D1081" s="16" t="s">
        <v>1192</v>
      </c>
      <c r="E1081" s="16" t="s">
        <v>1193</v>
      </c>
      <c r="F1081" s="16" t="s">
        <v>1952</v>
      </c>
      <c r="G1081" s="16" t="s">
        <v>1197</v>
      </c>
      <c r="H1081" s="14" t="str">
        <f>"20241003/113522"</f>
        <v>20241003/113522</v>
      </c>
      <c r="I1081" s="19" t="str">
        <f t="shared" si="95"/>
        <v> </v>
      </c>
      <c r="J1081" s="18">
        <v>392.24</v>
      </c>
      <c r="K1081" s="18">
        <v>0</v>
      </c>
      <c r="L1081" s="18">
        <v>1074683.6200000001</v>
      </c>
      <c r="M1081" t="s">
        <v>2658</v>
      </c>
    </row>
    <row r="1082" spans="1:13" ht="15" thickBot="1" x14ac:dyDescent="0.35">
      <c r="A1082" s="14">
        <v>1075</v>
      </c>
      <c r="B1082" s="15">
        <v>45568</v>
      </c>
      <c r="C1082" s="15">
        <v>45568</v>
      </c>
      <c r="D1082" s="16" t="s">
        <v>1192</v>
      </c>
      <c r="E1082" s="16" t="s">
        <v>1193</v>
      </c>
      <c r="F1082" s="16" t="s">
        <v>1953</v>
      </c>
      <c r="G1082" s="16" t="s">
        <v>1197</v>
      </c>
      <c r="H1082" s="14" t="str">
        <f>"20241003/192326"</f>
        <v>20241003/192326</v>
      </c>
      <c r="I1082" s="19" t="str">
        <f t="shared" si="95"/>
        <v> </v>
      </c>
      <c r="J1082" s="18">
        <v>126251.75</v>
      </c>
      <c r="K1082" s="18">
        <v>0</v>
      </c>
      <c r="L1082" s="18">
        <v>1200935.3700000001</v>
      </c>
    </row>
    <row r="1083" spans="1:13" ht="15" thickBot="1" x14ac:dyDescent="0.35">
      <c r="A1083" s="14">
        <v>1076</v>
      </c>
      <c r="B1083" s="15">
        <v>45568</v>
      </c>
      <c r="C1083" s="15">
        <v>45568</v>
      </c>
      <c r="D1083" s="16" t="s">
        <v>1192</v>
      </c>
      <c r="E1083" s="16" t="s">
        <v>1193</v>
      </c>
      <c r="F1083" s="16" t="s">
        <v>1954</v>
      </c>
      <c r="G1083" s="16" t="s">
        <v>1197</v>
      </c>
      <c r="H1083" s="14" t="str">
        <f>"20241003/192327"</f>
        <v>20241003/192327</v>
      </c>
      <c r="I1083" s="19" t="str">
        <f t="shared" si="95"/>
        <v> </v>
      </c>
      <c r="J1083" s="18">
        <v>431648.09</v>
      </c>
      <c r="K1083" s="18">
        <v>0</v>
      </c>
      <c r="L1083" s="18">
        <v>1632583.46</v>
      </c>
    </row>
    <row r="1084" spans="1:13" ht="15" thickBot="1" x14ac:dyDescent="0.35">
      <c r="A1084" s="14">
        <v>1077</v>
      </c>
      <c r="B1084" s="15">
        <v>45568</v>
      </c>
      <c r="C1084" s="15">
        <v>45568</v>
      </c>
      <c r="D1084" s="16" t="s">
        <v>1192</v>
      </c>
      <c r="E1084" s="16" t="s">
        <v>1193</v>
      </c>
      <c r="F1084" s="16" t="s">
        <v>1955</v>
      </c>
      <c r="G1084" s="16" t="s">
        <v>1197</v>
      </c>
      <c r="H1084" s="14" t="str">
        <f>"20241003/243324"</f>
        <v>20241003/243324</v>
      </c>
      <c r="I1084" s="19" t="str">
        <f t="shared" si="95"/>
        <v> </v>
      </c>
      <c r="J1084" s="18">
        <v>0</v>
      </c>
      <c r="K1084" s="18">
        <v>102870.75</v>
      </c>
      <c r="L1084" s="18">
        <v>1529712.71</v>
      </c>
    </row>
    <row r="1085" spans="1:13" ht="15" thickBot="1" x14ac:dyDescent="0.35">
      <c r="A1085" s="14">
        <v>1078</v>
      </c>
      <c r="B1085" s="15">
        <v>45568</v>
      </c>
      <c r="C1085" s="15">
        <v>45568</v>
      </c>
      <c r="D1085" s="16" t="s">
        <v>1192</v>
      </c>
      <c r="E1085" s="16" t="s">
        <v>1193</v>
      </c>
      <c r="F1085" s="16" t="s">
        <v>1956</v>
      </c>
      <c r="G1085" s="16" t="s">
        <v>1197</v>
      </c>
      <c r="H1085" s="14" t="str">
        <f>"20241003/243325"</f>
        <v>20241003/243325</v>
      </c>
      <c r="I1085" s="19" t="str">
        <f t="shared" si="95"/>
        <v> </v>
      </c>
      <c r="J1085" s="18">
        <v>0</v>
      </c>
      <c r="K1085" s="18">
        <v>438101.89</v>
      </c>
      <c r="L1085" s="18">
        <v>1091610.82</v>
      </c>
    </row>
    <row r="1086" spans="1:13" ht="15" thickBot="1" x14ac:dyDescent="0.35">
      <c r="A1086" s="14">
        <v>1079</v>
      </c>
      <c r="B1086" s="15">
        <v>45568</v>
      </c>
      <c r="C1086" s="15">
        <v>45569</v>
      </c>
      <c r="D1086" s="16" t="s">
        <v>1192</v>
      </c>
      <c r="E1086" s="16" t="s">
        <v>1193</v>
      </c>
      <c r="F1086" s="16" t="s">
        <v>1957</v>
      </c>
      <c r="G1086" s="16" t="s">
        <v>1197</v>
      </c>
      <c r="H1086" s="14" t="str">
        <f>"20241003/374119"</f>
        <v>20241003/374119</v>
      </c>
      <c r="I1086" s="19" t="str">
        <f>"2410000706031"</f>
        <v>2410000706031</v>
      </c>
      <c r="J1086" s="18">
        <v>16781.72</v>
      </c>
      <c r="K1086" s="18">
        <v>0</v>
      </c>
      <c r="L1086" s="18">
        <v>1108392.54</v>
      </c>
    </row>
    <row r="1087" spans="1:13" ht="15" thickBot="1" x14ac:dyDescent="0.35">
      <c r="A1087" s="14">
        <v>1080</v>
      </c>
      <c r="B1087" s="15">
        <v>45569</v>
      </c>
      <c r="C1087" s="15">
        <v>45569</v>
      </c>
      <c r="D1087" s="16" t="s">
        <v>1192</v>
      </c>
      <c r="E1087" s="16" t="s">
        <v>1193</v>
      </c>
      <c r="F1087" s="16" t="s">
        <v>1194</v>
      </c>
      <c r="G1087" s="16" t="s">
        <v>1195</v>
      </c>
      <c r="H1087" s="14" t="str">
        <f>"20241004/130031"</f>
        <v>20241004/130031</v>
      </c>
      <c r="I1087" s="17" t="str">
        <f t="shared" ref="I1087:I1093" si="96">" "</f>
        <v> </v>
      </c>
      <c r="J1087" s="18">
        <v>0</v>
      </c>
      <c r="K1087" s="18">
        <v>7248.29</v>
      </c>
      <c r="L1087" s="18">
        <v>1101144.25</v>
      </c>
      <c r="M1087" t="s">
        <v>2661</v>
      </c>
    </row>
    <row r="1088" spans="1:13" ht="15" thickBot="1" x14ac:dyDescent="0.35">
      <c r="A1088" s="14">
        <v>1081</v>
      </c>
      <c r="B1088" s="15">
        <v>45569</v>
      </c>
      <c r="C1088" s="15">
        <v>45569</v>
      </c>
      <c r="D1088" s="16" t="s">
        <v>1192</v>
      </c>
      <c r="E1088" s="16" t="s">
        <v>1193</v>
      </c>
      <c r="F1088" s="16" t="s">
        <v>1194</v>
      </c>
      <c r="G1088" s="16" t="s">
        <v>1195</v>
      </c>
      <c r="H1088" s="14" t="str">
        <f>"20241004/8803"</f>
        <v>20241004/8803</v>
      </c>
      <c r="I1088" s="17" t="str">
        <f t="shared" si="96"/>
        <v> </v>
      </c>
      <c r="J1088" s="18">
        <v>0</v>
      </c>
      <c r="K1088" s="18">
        <v>190.09</v>
      </c>
      <c r="L1088" s="18">
        <v>1100954.1599999999</v>
      </c>
      <c r="M1088" t="s">
        <v>2661</v>
      </c>
    </row>
    <row r="1089" spans="1:13" ht="15" thickBot="1" x14ac:dyDescent="0.35">
      <c r="A1089" s="14">
        <v>1082</v>
      </c>
      <c r="B1089" s="15">
        <v>45569</v>
      </c>
      <c r="C1089" s="15">
        <v>45569</v>
      </c>
      <c r="D1089" s="16" t="s">
        <v>1192</v>
      </c>
      <c r="E1089" s="16" t="s">
        <v>1193</v>
      </c>
      <c r="F1089" s="16" t="s">
        <v>1958</v>
      </c>
      <c r="G1089" s="16" t="s">
        <v>1197</v>
      </c>
      <c r="H1089" s="14" t="str">
        <f>"20241004/136470"</f>
        <v>20241004/136470</v>
      </c>
      <c r="I1089" s="19" t="str">
        <f t="shared" si="96"/>
        <v> </v>
      </c>
      <c r="J1089" s="18">
        <v>190.09</v>
      </c>
      <c r="K1089" s="18">
        <v>0</v>
      </c>
      <c r="L1089" s="18">
        <v>1101144.25</v>
      </c>
      <c r="M1089" t="s">
        <v>2658</v>
      </c>
    </row>
    <row r="1090" spans="1:13" ht="15" thickBot="1" x14ac:dyDescent="0.35">
      <c r="A1090" s="14">
        <v>1083</v>
      </c>
      <c r="B1090" s="15">
        <v>45569</v>
      </c>
      <c r="C1090" s="15">
        <v>45569</v>
      </c>
      <c r="D1090" s="16" t="s">
        <v>1192</v>
      </c>
      <c r="E1090" s="16" t="s">
        <v>1193</v>
      </c>
      <c r="F1090" s="16" t="s">
        <v>1959</v>
      </c>
      <c r="G1090" s="16" t="s">
        <v>1197</v>
      </c>
      <c r="H1090" s="14" t="str">
        <f>"20241004/214601"</f>
        <v>20241004/214601</v>
      </c>
      <c r="I1090" s="19" t="str">
        <f t="shared" si="96"/>
        <v> </v>
      </c>
      <c r="J1090" s="18">
        <v>133348</v>
      </c>
      <c r="K1090" s="18">
        <v>0</v>
      </c>
      <c r="L1090" s="18">
        <v>1234492.25</v>
      </c>
    </row>
    <row r="1091" spans="1:13" ht="15" thickBot="1" x14ac:dyDescent="0.35">
      <c r="A1091" s="14">
        <v>1084</v>
      </c>
      <c r="B1091" s="15">
        <v>45569</v>
      </c>
      <c r="C1091" s="15">
        <v>45569</v>
      </c>
      <c r="D1091" s="16" t="s">
        <v>1192</v>
      </c>
      <c r="E1091" s="16" t="s">
        <v>1193</v>
      </c>
      <c r="F1091" s="16" t="s">
        <v>1960</v>
      </c>
      <c r="G1091" s="16" t="s">
        <v>1197</v>
      </c>
      <c r="H1091" s="14" t="str">
        <f>"20241004/214602"</f>
        <v>20241004/214602</v>
      </c>
      <c r="I1091" s="19" t="str">
        <f t="shared" si="96"/>
        <v> </v>
      </c>
      <c r="J1091" s="18">
        <v>431800.13</v>
      </c>
      <c r="K1091" s="18">
        <v>0</v>
      </c>
      <c r="L1091" s="18">
        <v>1666292.38</v>
      </c>
    </row>
    <row r="1092" spans="1:13" ht="15" thickBot="1" x14ac:dyDescent="0.35">
      <c r="A1092" s="14">
        <v>1085</v>
      </c>
      <c r="B1092" s="15">
        <v>45569</v>
      </c>
      <c r="C1092" s="15">
        <v>45569</v>
      </c>
      <c r="D1092" s="16" t="s">
        <v>1192</v>
      </c>
      <c r="E1092" s="16" t="s">
        <v>1193</v>
      </c>
      <c r="F1092" s="16" t="s">
        <v>1961</v>
      </c>
      <c r="G1092" s="16" t="s">
        <v>1197</v>
      </c>
      <c r="H1092" s="14" t="str">
        <f>"20241004/268231"</f>
        <v>20241004/268231</v>
      </c>
      <c r="I1092" s="19" t="str">
        <f t="shared" si="96"/>
        <v> </v>
      </c>
      <c r="J1092" s="18">
        <v>0</v>
      </c>
      <c r="K1092" s="18">
        <v>126251.75</v>
      </c>
      <c r="L1092" s="18">
        <v>1540040.63</v>
      </c>
    </row>
    <row r="1093" spans="1:13" ht="15" thickBot="1" x14ac:dyDescent="0.35">
      <c r="A1093" s="14">
        <v>1086</v>
      </c>
      <c r="B1093" s="15">
        <v>45569</v>
      </c>
      <c r="C1093" s="15">
        <v>45569</v>
      </c>
      <c r="D1093" s="16" t="s">
        <v>1192</v>
      </c>
      <c r="E1093" s="16" t="s">
        <v>1193</v>
      </c>
      <c r="F1093" s="16" t="s">
        <v>1962</v>
      </c>
      <c r="G1093" s="16" t="s">
        <v>1197</v>
      </c>
      <c r="H1093" s="14" t="str">
        <f>"20241004/268232"</f>
        <v>20241004/268232</v>
      </c>
      <c r="I1093" s="19" t="str">
        <f t="shared" si="96"/>
        <v> </v>
      </c>
      <c r="J1093" s="18">
        <v>0</v>
      </c>
      <c r="K1093" s="18">
        <v>431648.09</v>
      </c>
      <c r="L1093" s="18">
        <v>1108392.54</v>
      </c>
    </row>
    <row r="1094" spans="1:13" ht="15" thickBot="1" x14ac:dyDescent="0.35">
      <c r="A1094" s="14">
        <v>1087</v>
      </c>
      <c r="B1094" s="15">
        <v>45569</v>
      </c>
      <c r="C1094" s="15">
        <v>45572</v>
      </c>
      <c r="D1094" s="16" t="s">
        <v>1192</v>
      </c>
      <c r="E1094" s="16" t="s">
        <v>1193</v>
      </c>
      <c r="F1094" s="16" t="s">
        <v>1963</v>
      </c>
      <c r="G1094" s="16" t="s">
        <v>1197</v>
      </c>
      <c r="H1094" s="14" t="str">
        <f>"20241004/384962"</f>
        <v>20241004/384962</v>
      </c>
      <c r="I1094" s="19" t="str">
        <f>"2410001212633"</f>
        <v>2410001212633</v>
      </c>
      <c r="J1094" s="18">
        <v>13626.72</v>
      </c>
      <c r="K1094" s="18">
        <v>0</v>
      </c>
      <c r="L1094" s="18">
        <v>1122019.26</v>
      </c>
    </row>
    <row r="1095" spans="1:13" ht="15" thickBot="1" x14ac:dyDescent="0.35">
      <c r="A1095" s="14">
        <v>1088</v>
      </c>
      <c r="B1095" s="15">
        <v>45572</v>
      </c>
      <c r="C1095" s="15">
        <v>45572</v>
      </c>
      <c r="D1095" s="16" t="s">
        <v>1192</v>
      </c>
      <c r="E1095" s="16" t="s">
        <v>1193</v>
      </c>
      <c r="F1095" s="16" t="s">
        <v>1194</v>
      </c>
      <c r="G1095" s="16" t="s">
        <v>1195</v>
      </c>
      <c r="H1095" s="14" t="str">
        <f>"20241007/10499"</f>
        <v>20241007/10499</v>
      </c>
      <c r="I1095" s="17" t="str">
        <f t="shared" ref="I1095:I1101" si="97">" "</f>
        <v> </v>
      </c>
      <c r="J1095" s="18">
        <v>0</v>
      </c>
      <c r="K1095" s="18">
        <v>580.44000000000005</v>
      </c>
      <c r="L1095" s="18">
        <v>1121438.82</v>
      </c>
      <c r="M1095" t="s">
        <v>2661</v>
      </c>
    </row>
    <row r="1096" spans="1:13" ht="15" thickBot="1" x14ac:dyDescent="0.35">
      <c r="A1096" s="14">
        <v>1089</v>
      </c>
      <c r="B1096" s="15">
        <v>45572</v>
      </c>
      <c r="C1096" s="15">
        <v>45572</v>
      </c>
      <c r="D1096" s="16" t="s">
        <v>1192</v>
      </c>
      <c r="E1096" s="16" t="s">
        <v>1193</v>
      </c>
      <c r="F1096" s="16" t="s">
        <v>1194</v>
      </c>
      <c r="G1096" s="16" t="s">
        <v>1195</v>
      </c>
      <c r="H1096" s="14" t="str">
        <f>"20241007/152734"</f>
        <v>20241007/152734</v>
      </c>
      <c r="I1096" s="17" t="str">
        <f t="shared" si="97"/>
        <v> </v>
      </c>
      <c r="J1096" s="18">
        <v>0</v>
      </c>
      <c r="K1096" s="18">
        <v>14701.51</v>
      </c>
      <c r="L1096" s="18">
        <v>1106737.31</v>
      </c>
      <c r="M1096" t="s">
        <v>2661</v>
      </c>
    </row>
    <row r="1097" spans="1:13" ht="15" thickBot="1" x14ac:dyDescent="0.35">
      <c r="A1097" s="14">
        <v>1090</v>
      </c>
      <c r="B1097" s="15">
        <v>45572</v>
      </c>
      <c r="C1097" s="15">
        <v>45572</v>
      </c>
      <c r="D1097" s="16" t="s">
        <v>1192</v>
      </c>
      <c r="E1097" s="16" t="s">
        <v>1193</v>
      </c>
      <c r="F1097" s="16" t="s">
        <v>1964</v>
      </c>
      <c r="G1097" s="16" t="s">
        <v>1197</v>
      </c>
      <c r="H1097" s="14" t="str">
        <f>"20241007/123298"</f>
        <v>20241007/123298</v>
      </c>
      <c r="I1097" s="19" t="str">
        <f t="shared" si="97"/>
        <v> </v>
      </c>
      <c r="J1097" s="18">
        <v>580.44000000000005</v>
      </c>
      <c r="K1097" s="18">
        <v>0</v>
      </c>
      <c r="L1097" s="18">
        <v>1107317.75</v>
      </c>
      <c r="M1097" t="s">
        <v>2658</v>
      </c>
    </row>
    <row r="1098" spans="1:13" ht="15" thickBot="1" x14ac:dyDescent="0.35">
      <c r="A1098" s="14">
        <v>1091</v>
      </c>
      <c r="B1098" s="15">
        <v>45572</v>
      </c>
      <c r="C1098" s="15">
        <v>45572</v>
      </c>
      <c r="D1098" s="16" t="s">
        <v>1192</v>
      </c>
      <c r="E1098" s="16" t="s">
        <v>1193</v>
      </c>
      <c r="F1098" s="16" t="s">
        <v>1965</v>
      </c>
      <c r="G1098" s="16" t="s">
        <v>1197</v>
      </c>
      <c r="H1098" s="14" t="str">
        <f>"20241007/159717"</f>
        <v>20241007/159717</v>
      </c>
      <c r="I1098" s="19" t="str">
        <f t="shared" si="97"/>
        <v> </v>
      </c>
      <c r="J1098" s="18">
        <v>159243.15</v>
      </c>
      <c r="K1098" s="18">
        <v>0</v>
      </c>
      <c r="L1098" s="18">
        <v>1266560.8999999999</v>
      </c>
    </row>
    <row r="1099" spans="1:13" ht="15" thickBot="1" x14ac:dyDescent="0.35">
      <c r="A1099" s="14">
        <v>1092</v>
      </c>
      <c r="B1099" s="15">
        <v>45572</v>
      </c>
      <c r="C1099" s="15">
        <v>45572</v>
      </c>
      <c r="D1099" s="16" t="s">
        <v>1192</v>
      </c>
      <c r="E1099" s="16" t="s">
        <v>1193</v>
      </c>
      <c r="F1099" s="16" t="s">
        <v>1966</v>
      </c>
      <c r="G1099" s="16" t="s">
        <v>1197</v>
      </c>
      <c r="H1099" s="14" t="str">
        <f>"20241007/159718"</f>
        <v>20241007/159718</v>
      </c>
      <c r="I1099" s="19" t="str">
        <f t="shared" si="97"/>
        <v> </v>
      </c>
      <c r="J1099" s="18">
        <v>420606.49</v>
      </c>
      <c r="K1099" s="18">
        <v>0</v>
      </c>
      <c r="L1099" s="18">
        <v>1687167.39</v>
      </c>
    </row>
    <row r="1100" spans="1:13" ht="15" thickBot="1" x14ac:dyDescent="0.35">
      <c r="A1100" s="14">
        <v>1093</v>
      </c>
      <c r="B1100" s="15">
        <v>45572</v>
      </c>
      <c r="C1100" s="15">
        <v>45572</v>
      </c>
      <c r="D1100" s="16" t="s">
        <v>1192</v>
      </c>
      <c r="E1100" s="16" t="s">
        <v>1193</v>
      </c>
      <c r="F1100" s="16" t="s">
        <v>1967</v>
      </c>
      <c r="G1100" s="16" t="s">
        <v>1197</v>
      </c>
      <c r="H1100" s="14" t="str">
        <f>"20241007/249052"</f>
        <v>20241007/249052</v>
      </c>
      <c r="I1100" s="19" t="str">
        <f t="shared" si="97"/>
        <v> </v>
      </c>
      <c r="J1100" s="18">
        <v>0</v>
      </c>
      <c r="K1100" s="18">
        <v>133348</v>
      </c>
      <c r="L1100" s="18">
        <v>1553819.39</v>
      </c>
    </row>
    <row r="1101" spans="1:13" ht="15" thickBot="1" x14ac:dyDescent="0.35">
      <c r="A1101" s="14">
        <v>1094</v>
      </c>
      <c r="B1101" s="15">
        <v>45572</v>
      </c>
      <c r="C1101" s="15">
        <v>45572</v>
      </c>
      <c r="D1101" s="16" t="s">
        <v>1192</v>
      </c>
      <c r="E1101" s="16" t="s">
        <v>1193</v>
      </c>
      <c r="F1101" s="16" t="s">
        <v>1968</v>
      </c>
      <c r="G1101" s="16" t="s">
        <v>1197</v>
      </c>
      <c r="H1101" s="14" t="str">
        <f>"20241007/249053"</f>
        <v>20241007/249053</v>
      </c>
      <c r="I1101" s="19" t="str">
        <f t="shared" si="97"/>
        <v> </v>
      </c>
      <c r="J1101" s="18">
        <v>0</v>
      </c>
      <c r="K1101" s="18">
        <v>431800.13</v>
      </c>
      <c r="L1101" s="18">
        <v>1122019.26</v>
      </c>
    </row>
    <row r="1102" spans="1:13" ht="15" thickBot="1" x14ac:dyDescent="0.35">
      <c r="A1102" s="14">
        <v>1095</v>
      </c>
      <c r="B1102" s="15">
        <v>45572</v>
      </c>
      <c r="C1102" s="15">
        <v>45573</v>
      </c>
      <c r="D1102" s="16" t="s">
        <v>1192</v>
      </c>
      <c r="E1102" s="16" t="s">
        <v>1193</v>
      </c>
      <c r="F1102" s="16" t="s">
        <v>1969</v>
      </c>
      <c r="G1102" s="16" t="s">
        <v>1197</v>
      </c>
      <c r="H1102" s="14" t="str">
        <f>"20241007/374006"</f>
        <v>20241007/374006</v>
      </c>
      <c r="I1102" s="19" t="str">
        <f>"2410001790521"</f>
        <v>2410001790521</v>
      </c>
      <c r="J1102" s="18">
        <v>11242.91</v>
      </c>
      <c r="K1102" s="18">
        <v>0</v>
      </c>
      <c r="L1102" s="18">
        <v>1133262.17</v>
      </c>
    </row>
    <row r="1103" spans="1:13" ht="15" thickBot="1" x14ac:dyDescent="0.35">
      <c r="A1103" s="14">
        <v>1096</v>
      </c>
      <c r="B1103" s="15">
        <v>45573</v>
      </c>
      <c r="C1103" s="15">
        <v>45573</v>
      </c>
      <c r="D1103" s="16" t="s">
        <v>1192</v>
      </c>
      <c r="E1103" s="16" t="s">
        <v>1193</v>
      </c>
      <c r="F1103" s="16" t="s">
        <v>1194</v>
      </c>
      <c r="G1103" s="16" t="s">
        <v>1195</v>
      </c>
      <c r="H1103" s="14" t="str">
        <f>"20241008/8373"</f>
        <v>20241008/8373</v>
      </c>
      <c r="I1103" s="17" t="str">
        <f t="shared" ref="I1103:I1108" si="98">" "</f>
        <v> </v>
      </c>
      <c r="J1103" s="18">
        <v>0</v>
      </c>
      <c r="K1103" s="18">
        <v>193.1</v>
      </c>
      <c r="L1103" s="18">
        <v>1133069.07</v>
      </c>
      <c r="M1103" t="s">
        <v>2661</v>
      </c>
    </row>
    <row r="1104" spans="1:13" ht="15" thickBot="1" x14ac:dyDescent="0.35">
      <c r="A1104" s="14">
        <v>1097</v>
      </c>
      <c r="B1104" s="15">
        <v>45573</v>
      </c>
      <c r="C1104" s="15">
        <v>45573</v>
      </c>
      <c r="D1104" s="16" t="s">
        <v>1192</v>
      </c>
      <c r="E1104" s="16" t="s">
        <v>1193</v>
      </c>
      <c r="F1104" s="16" t="s">
        <v>1970</v>
      </c>
      <c r="G1104" s="16" t="s">
        <v>1197</v>
      </c>
      <c r="H1104" s="14" t="str">
        <f>"20241008/116475"</f>
        <v>20241008/116475</v>
      </c>
      <c r="I1104" s="19" t="str">
        <f t="shared" si="98"/>
        <v> </v>
      </c>
      <c r="J1104" s="18">
        <v>193.1</v>
      </c>
      <c r="K1104" s="18">
        <v>0</v>
      </c>
      <c r="L1104" s="18">
        <v>1133262.17</v>
      </c>
      <c r="M1104" t="s">
        <v>2658</v>
      </c>
    </row>
    <row r="1105" spans="1:13" ht="15" thickBot="1" x14ac:dyDescent="0.35">
      <c r="A1105" s="14">
        <v>1098</v>
      </c>
      <c r="B1105" s="15">
        <v>45573</v>
      </c>
      <c r="C1105" s="15">
        <v>45573</v>
      </c>
      <c r="D1105" s="16" t="s">
        <v>1192</v>
      </c>
      <c r="E1105" s="16" t="s">
        <v>1193</v>
      </c>
      <c r="F1105" s="16" t="s">
        <v>1971</v>
      </c>
      <c r="G1105" s="16" t="s">
        <v>1197</v>
      </c>
      <c r="H1105" s="14" t="str">
        <f>"20241008/149531"</f>
        <v>20241008/149531</v>
      </c>
      <c r="I1105" s="19" t="str">
        <f t="shared" si="98"/>
        <v> </v>
      </c>
      <c r="J1105" s="18">
        <v>432258.76</v>
      </c>
      <c r="K1105" s="18">
        <v>0</v>
      </c>
      <c r="L1105" s="18">
        <v>1565520.93</v>
      </c>
    </row>
    <row r="1106" spans="1:13" ht="15" thickBot="1" x14ac:dyDescent="0.35">
      <c r="A1106" s="14">
        <v>1099</v>
      </c>
      <c r="B1106" s="15">
        <v>45573</v>
      </c>
      <c r="C1106" s="15">
        <v>45573</v>
      </c>
      <c r="D1106" s="16" t="s">
        <v>1192</v>
      </c>
      <c r="E1106" s="16" t="s">
        <v>1193</v>
      </c>
      <c r="F1106" s="16" t="s">
        <v>1972</v>
      </c>
      <c r="G1106" s="16" t="s">
        <v>1197</v>
      </c>
      <c r="H1106" s="14" t="str">
        <f>"20241008/149532"</f>
        <v>20241008/149532</v>
      </c>
      <c r="I1106" s="19" t="str">
        <f t="shared" si="98"/>
        <v> </v>
      </c>
      <c r="J1106" s="18">
        <v>141875.25</v>
      </c>
      <c r="K1106" s="18">
        <v>0</v>
      </c>
      <c r="L1106" s="18">
        <v>1707396.18</v>
      </c>
    </row>
    <row r="1107" spans="1:13" ht="15" thickBot="1" x14ac:dyDescent="0.35">
      <c r="A1107" s="14">
        <v>1100</v>
      </c>
      <c r="B1107" s="15">
        <v>45573</v>
      </c>
      <c r="C1107" s="15">
        <v>45573</v>
      </c>
      <c r="D1107" s="16" t="s">
        <v>1192</v>
      </c>
      <c r="E1107" s="16" t="s">
        <v>1193</v>
      </c>
      <c r="F1107" s="16" t="s">
        <v>1973</v>
      </c>
      <c r="G1107" s="16" t="s">
        <v>1197</v>
      </c>
      <c r="H1107" s="14" t="str">
        <f>"20241008/280635"</f>
        <v>20241008/280635</v>
      </c>
      <c r="I1107" s="19" t="str">
        <f t="shared" si="98"/>
        <v> </v>
      </c>
      <c r="J1107" s="18">
        <v>0</v>
      </c>
      <c r="K1107" s="18">
        <v>159243.15</v>
      </c>
      <c r="L1107" s="18">
        <v>1548153.03</v>
      </c>
    </row>
    <row r="1108" spans="1:13" ht="15" thickBot="1" x14ac:dyDescent="0.35">
      <c r="A1108" s="14">
        <v>1101</v>
      </c>
      <c r="B1108" s="15">
        <v>45573</v>
      </c>
      <c r="C1108" s="15">
        <v>45573</v>
      </c>
      <c r="D1108" s="16" t="s">
        <v>1192</v>
      </c>
      <c r="E1108" s="16" t="s">
        <v>1193</v>
      </c>
      <c r="F1108" s="16" t="s">
        <v>1974</v>
      </c>
      <c r="G1108" s="16" t="s">
        <v>1197</v>
      </c>
      <c r="H1108" s="14" t="str">
        <f>"20241008/280636"</f>
        <v>20241008/280636</v>
      </c>
      <c r="I1108" s="19" t="str">
        <f t="shared" si="98"/>
        <v> </v>
      </c>
      <c r="J1108" s="18">
        <v>0</v>
      </c>
      <c r="K1108" s="18">
        <v>420606.49</v>
      </c>
      <c r="L1108" s="18">
        <v>1127546.54</v>
      </c>
    </row>
    <row r="1109" spans="1:13" ht="15" thickBot="1" x14ac:dyDescent="0.35">
      <c r="A1109" s="14">
        <v>1102</v>
      </c>
      <c r="B1109" s="15">
        <v>45573</v>
      </c>
      <c r="C1109" s="15">
        <v>45574</v>
      </c>
      <c r="D1109" s="16" t="s">
        <v>1192</v>
      </c>
      <c r="E1109" s="16" t="s">
        <v>1193</v>
      </c>
      <c r="F1109" s="16" t="s">
        <v>1975</v>
      </c>
      <c r="G1109" s="16" t="s">
        <v>1197</v>
      </c>
      <c r="H1109" s="14" t="str">
        <f>"20241008/360677"</f>
        <v>20241008/360677</v>
      </c>
      <c r="I1109" s="19" t="str">
        <f>"2410002269971"</f>
        <v>2410002269971</v>
      </c>
      <c r="J1109" s="18">
        <v>0</v>
      </c>
      <c r="K1109" s="18">
        <v>27666.85</v>
      </c>
      <c r="L1109" s="18">
        <v>1099879.69</v>
      </c>
    </row>
    <row r="1110" spans="1:13" ht="15" thickBot="1" x14ac:dyDescent="0.35">
      <c r="A1110" s="14">
        <v>1103</v>
      </c>
      <c r="B1110" s="15">
        <v>45574</v>
      </c>
      <c r="C1110" s="15">
        <v>45574</v>
      </c>
      <c r="D1110" s="16" t="s">
        <v>1192</v>
      </c>
      <c r="E1110" s="16" t="s">
        <v>1193</v>
      </c>
      <c r="F1110" s="16" t="s">
        <v>1202</v>
      </c>
      <c r="G1110" s="16" t="s">
        <v>1203</v>
      </c>
      <c r="H1110" s="14" t="str">
        <f>"20241009/10465"</f>
        <v>20241009/10465</v>
      </c>
      <c r="I1110" s="17" t="str">
        <f t="shared" ref="I1110:I1117" si="99">" "</f>
        <v> </v>
      </c>
      <c r="J1110" s="18">
        <v>5715.63</v>
      </c>
      <c r="K1110" s="18">
        <v>0</v>
      </c>
      <c r="L1110" s="18">
        <v>1105595.32</v>
      </c>
      <c r="M1110" t="s">
        <v>2661</v>
      </c>
    </row>
    <row r="1111" spans="1:13" ht="15" thickBot="1" x14ac:dyDescent="0.35">
      <c r="A1111" s="14">
        <v>1104</v>
      </c>
      <c r="B1111" s="15">
        <v>45574</v>
      </c>
      <c r="C1111" s="15">
        <v>45574</v>
      </c>
      <c r="D1111" s="16" t="s">
        <v>1192</v>
      </c>
      <c r="E1111" s="16" t="s">
        <v>1193</v>
      </c>
      <c r="F1111" s="16" t="s">
        <v>1204</v>
      </c>
      <c r="G1111" s="16" t="s">
        <v>1203</v>
      </c>
      <c r="H1111" s="14" t="str">
        <f>"20241009/41974"</f>
        <v>20241009/41974</v>
      </c>
      <c r="I1111" s="17" t="str">
        <f t="shared" si="99"/>
        <v> </v>
      </c>
      <c r="J1111" s="18">
        <v>27666.85</v>
      </c>
      <c r="K1111" s="18">
        <v>0</v>
      </c>
      <c r="L1111" s="18">
        <v>1133262.17</v>
      </c>
      <c r="M1111" t="s">
        <v>2661</v>
      </c>
    </row>
    <row r="1112" spans="1:13" ht="15" thickBot="1" x14ac:dyDescent="0.35">
      <c r="A1112" s="14">
        <v>1105</v>
      </c>
      <c r="B1112" s="15">
        <v>45574</v>
      </c>
      <c r="C1112" s="15">
        <v>45574</v>
      </c>
      <c r="D1112" s="16" t="s">
        <v>1192</v>
      </c>
      <c r="E1112" s="16" t="s">
        <v>1193</v>
      </c>
      <c r="F1112" s="16" t="s">
        <v>1194</v>
      </c>
      <c r="G1112" s="16" t="s">
        <v>1195</v>
      </c>
      <c r="H1112" s="14" t="str">
        <f>"20241009/4631"</f>
        <v>20241009/4631</v>
      </c>
      <c r="I1112" s="17" t="str">
        <f t="shared" si="99"/>
        <v> </v>
      </c>
      <c r="J1112" s="18">
        <v>0</v>
      </c>
      <c r="K1112" s="18">
        <v>197.11</v>
      </c>
      <c r="L1112" s="18">
        <v>1133065.06</v>
      </c>
      <c r="M1112" t="s">
        <v>2661</v>
      </c>
    </row>
    <row r="1113" spans="1:13" ht="15" thickBot="1" x14ac:dyDescent="0.35">
      <c r="A1113" s="14">
        <v>1106</v>
      </c>
      <c r="B1113" s="15">
        <v>45574</v>
      </c>
      <c r="C1113" s="15">
        <v>45574</v>
      </c>
      <c r="D1113" s="16" t="s">
        <v>1192</v>
      </c>
      <c r="E1113" s="16" t="s">
        <v>1193</v>
      </c>
      <c r="F1113" s="16" t="s">
        <v>1976</v>
      </c>
      <c r="G1113" s="16" t="s">
        <v>1197</v>
      </c>
      <c r="H1113" s="14" t="str">
        <f>"20241009/138092"</f>
        <v>20241009/138092</v>
      </c>
      <c r="I1113" s="19" t="str">
        <f t="shared" si="99"/>
        <v> </v>
      </c>
      <c r="J1113" s="18">
        <v>197.11</v>
      </c>
      <c r="K1113" s="18">
        <v>0</v>
      </c>
      <c r="L1113" s="18">
        <v>1133262.17</v>
      </c>
      <c r="M1113" t="s">
        <v>2658</v>
      </c>
    </row>
    <row r="1114" spans="1:13" ht="15" thickBot="1" x14ac:dyDescent="0.35">
      <c r="A1114" s="14">
        <v>1107</v>
      </c>
      <c r="B1114" s="15">
        <v>45574</v>
      </c>
      <c r="C1114" s="15">
        <v>45574</v>
      </c>
      <c r="D1114" s="16" t="s">
        <v>1192</v>
      </c>
      <c r="E1114" s="16" t="s">
        <v>1193</v>
      </c>
      <c r="F1114" s="16" t="s">
        <v>1977</v>
      </c>
      <c r="G1114" s="16" t="s">
        <v>1197</v>
      </c>
      <c r="H1114" s="14" t="str">
        <f>"20241009/177232"</f>
        <v>20241009/177232</v>
      </c>
      <c r="I1114" s="19" t="str">
        <f t="shared" si="99"/>
        <v> </v>
      </c>
      <c r="J1114" s="18">
        <v>139149.5</v>
      </c>
      <c r="K1114" s="18">
        <v>0</v>
      </c>
      <c r="L1114" s="18">
        <v>1272411.67</v>
      </c>
    </row>
    <row r="1115" spans="1:13" ht="15" thickBot="1" x14ac:dyDescent="0.35">
      <c r="A1115" s="14">
        <v>1108</v>
      </c>
      <c r="B1115" s="15">
        <v>45574</v>
      </c>
      <c r="C1115" s="15">
        <v>45574</v>
      </c>
      <c r="D1115" s="16" t="s">
        <v>1192</v>
      </c>
      <c r="E1115" s="16" t="s">
        <v>1193</v>
      </c>
      <c r="F1115" s="16" t="s">
        <v>1978</v>
      </c>
      <c r="G1115" s="16" t="s">
        <v>1197</v>
      </c>
      <c r="H1115" s="14" t="str">
        <f>"20241009/177233"</f>
        <v>20241009/177233</v>
      </c>
      <c r="I1115" s="19" t="str">
        <f t="shared" si="99"/>
        <v> </v>
      </c>
      <c r="J1115" s="18">
        <v>433315.82</v>
      </c>
      <c r="K1115" s="18">
        <v>0</v>
      </c>
      <c r="L1115" s="18">
        <v>1705727.49</v>
      </c>
    </row>
    <row r="1116" spans="1:13" ht="15" thickBot="1" x14ac:dyDescent="0.35">
      <c r="A1116" s="14">
        <v>1109</v>
      </c>
      <c r="B1116" s="15">
        <v>45574</v>
      </c>
      <c r="C1116" s="15">
        <v>45574</v>
      </c>
      <c r="D1116" s="16" t="s">
        <v>1192</v>
      </c>
      <c r="E1116" s="16" t="s">
        <v>1193</v>
      </c>
      <c r="F1116" s="16" t="s">
        <v>1979</v>
      </c>
      <c r="G1116" s="16" t="s">
        <v>1197</v>
      </c>
      <c r="H1116" s="14" t="str">
        <f>"20241009/271780"</f>
        <v>20241009/271780</v>
      </c>
      <c r="I1116" s="19" t="str">
        <f t="shared" si="99"/>
        <v> </v>
      </c>
      <c r="J1116" s="18">
        <v>0</v>
      </c>
      <c r="K1116" s="18">
        <v>432258.76</v>
      </c>
      <c r="L1116" s="18">
        <v>1273468.73</v>
      </c>
    </row>
    <row r="1117" spans="1:13" ht="15" thickBot="1" x14ac:dyDescent="0.35">
      <c r="A1117" s="14">
        <v>1110</v>
      </c>
      <c r="B1117" s="15">
        <v>45574</v>
      </c>
      <c r="C1117" s="15">
        <v>45574</v>
      </c>
      <c r="D1117" s="16" t="s">
        <v>1192</v>
      </c>
      <c r="E1117" s="16" t="s">
        <v>1193</v>
      </c>
      <c r="F1117" s="16" t="s">
        <v>1980</v>
      </c>
      <c r="G1117" s="16" t="s">
        <v>1197</v>
      </c>
      <c r="H1117" s="14" t="str">
        <f>"20241009/271781"</f>
        <v>20241009/271781</v>
      </c>
      <c r="I1117" s="19" t="str">
        <f t="shared" si="99"/>
        <v> </v>
      </c>
      <c r="J1117" s="18">
        <v>0</v>
      </c>
      <c r="K1117" s="18">
        <v>141875.25</v>
      </c>
      <c r="L1117" s="18">
        <v>1131593.48</v>
      </c>
    </row>
    <row r="1118" spans="1:13" ht="15" thickBot="1" x14ac:dyDescent="0.35">
      <c r="A1118" s="14">
        <v>1111</v>
      </c>
      <c r="B1118" s="15">
        <v>45574</v>
      </c>
      <c r="C1118" s="15">
        <v>45575</v>
      </c>
      <c r="D1118" s="16" t="s">
        <v>1192</v>
      </c>
      <c r="E1118" s="16" t="s">
        <v>1193</v>
      </c>
      <c r="F1118" s="16" t="s">
        <v>1981</v>
      </c>
      <c r="G1118" s="16" t="s">
        <v>1197</v>
      </c>
      <c r="H1118" s="14" t="str">
        <f>"20241009/355434"</f>
        <v>20241009/355434</v>
      </c>
      <c r="I1118" s="19" t="str">
        <f>"2410002724023"</f>
        <v>2410002724023</v>
      </c>
      <c r="J1118" s="18">
        <v>0</v>
      </c>
      <c r="K1118" s="18">
        <v>58201.51</v>
      </c>
      <c r="L1118" s="18">
        <v>1073391.97</v>
      </c>
    </row>
    <row r="1119" spans="1:13" ht="15" thickBot="1" x14ac:dyDescent="0.35">
      <c r="A1119" s="14">
        <v>1112</v>
      </c>
      <c r="B1119" s="15">
        <v>45575</v>
      </c>
      <c r="C1119" s="15">
        <v>45575</v>
      </c>
      <c r="D1119" s="16" t="s">
        <v>1192</v>
      </c>
      <c r="E1119" s="16" t="s">
        <v>1193</v>
      </c>
      <c r="F1119" s="16" t="s">
        <v>1204</v>
      </c>
      <c r="G1119" s="16" t="s">
        <v>1203</v>
      </c>
      <c r="H1119" s="14" t="str">
        <f>"20241010/33950"</f>
        <v>20241010/33950</v>
      </c>
      <c r="I1119" s="17" t="str">
        <f t="shared" ref="I1119:I1127" si="100">" "</f>
        <v> </v>
      </c>
      <c r="J1119" s="18">
        <v>58201.51</v>
      </c>
      <c r="K1119" s="18">
        <v>0</v>
      </c>
      <c r="L1119" s="18">
        <v>1131593.48</v>
      </c>
      <c r="M1119" t="s">
        <v>2661</v>
      </c>
    </row>
    <row r="1120" spans="1:13" ht="15" thickBot="1" x14ac:dyDescent="0.35">
      <c r="A1120" s="14">
        <v>1113</v>
      </c>
      <c r="B1120" s="15">
        <v>45575</v>
      </c>
      <c r="C1120" s="15">
        <v>45575</v>
      </c>
      <c r="D1120" s="16" t="s">
        <v>1192</v>
      </c>
      <c r="E1120" s="16" t="s">
        <v>1193</v>
      </c>
      <c r="F1120" s="16" t="s">
        <v>1202</v>
      </c>
      <c r="G1120" s="16" t="s">
        <v>1203</v>
      </c>
      <c r="H1120" s="14" t="str">
        <f>"20241010/7489"</f>
        <v>20241010/7489</v>
      </c>
      <c r="I1120" s="17" t="str">
        <f t="shared" si="100"/>
        <v> </v>
      </c>
      <c r="J1120" s="18">
        <v>1668.69</v>
      </c>
      <c r="K1120" s="18">
        <v>0</v>
      </c>
      <c r="L1120" s="18">
        <v>1133262.17</v>
      </c>
      <c r="M1120" t="s">
        <v>2661</v>
      </c>
    </row>
    <row r="1121" spans="1:13" ht="15" thickBot="1" x14ac:dyDescent="0.35">
      <c r="A1121" s="14">
        <v>1114</v>
      </c>
      <c r="B1121" s="15">
        <v>45575</v>
      </c>
      <c r="C1121" s="15">
        <v>45575</v>
      </c>
      <c r="D1121" s="16" t="s">
        <v>1192</v>
      </c>
      <c r="E1121" s="16" t="s">
        <v>1193</v>
      </c>
      <c r="F1121" s="16" t="s">
        <v>1194</v>
      </c>
      <c r="G1121" s="16" t="s">
        <v>1195</v>
      </c>
      <c r="H1121" s="14" t="str">
        <f>"20241010/36252"</f>
        <v>20241010/36252</v>
      </c>
      <c r="I1121" s="17" t="str">
        <f t="shared" si="100"/>
        <v> </v>
      </c>
      <c r="J1121" s="18">
        <v>0</v>
      </c>
      <c r="K1121" s="18">
        <v>199.14</v>
      </c>
      <c r="L1121" s="18">
        <v>1133063.03</v>
      </c>
      <c r="M1121" t="s">
        <v>2661</v>
      </c>
    </row>
    <row r="1122" spans="1:13" ht="15" thickBot="1" x14ac:dyDescent="0.35">
      <c r="A1122" s="14">
        <v>1115</v>
      </c>
      <c r="B1122" s="15">
        <v>45575</v>
      </c>
      <c r="C1122" s="15">
        <v>45575</v>
      </c>
      <c r="D1122" s="16" t="s">
        <v>1192</v>
      </c>
      <c r="E1122" s="16" t="s">
        <v>1193</v>
      </c>
      <c r="F1122" s="16" t="s">
        <v>1194</v>
      </c>
      <c r="G1122" s="16" t="s">
        <v>1195</v>
      </c>
      <c r="H1122" s="14" t="str">
        <f>"20241010/94517"</f>
        <v>20241010/94517</v>
      </c>
      <c r="I1122" s="17" t="str">
        <f t="shared" si="100"/>
        <v> </v>
      </c>
      <c r="J1122" s="18">
        <v>0</v>
      </c>
      <c r="K1122" s="18">
        <v>997.95</v>
      </c>
      <c r="L1122" s="18">
        <v>1132065.08</v>
      </c>
      <c r="M1122" t="s">
        <v>2661</v>
      </c>
    </row>
    <row r="1123" spans="1:13" ht="15" thickBot="1" x14ac:dyDescent="0.35">
      <c r="A1123" s="14">
        <v>1116</v>
      </c>
      <c r="B1123" s="15">
        <v>45575</v>
      </c>
      <c r="C1123" s="15">
        <v>45575</v>
      </c>
      <c r="D1123" s="16" t="s">
        <v>1192</v>
      </c>
      <c r="E1123" s="16" t="s">
        <v>1193</v>
      </c>
      <c r="F1123" s="16" t="s">
        <v>1982</v>
      </c>
      <c r="G1123" s="16" t="s">
        <v>1197</v>
      </c>
      <c r="H1123" s="14" t="str">
        <f>"20241010/128864"</f>
        <v>20241010/128864</v>
      </c>
      <c r="I1123" s="19" t="str">
        <f t="shared" si="100"/>
        <v> </v>
      </c>
      <c r="J1123" s="18">
        <v>199.14</v>
      </c>
      <c r="K1123" s="18">
        <v>0</v>
      </c>
      <c r="L1123" s="18">
        <v>1132264.22</v>
      </c>
      <c r="M1123" t="s">
        <v>2658</v>
      </c>
    </row>
    <row r="1124" spans="1:13" ht="15" thickBot="1" x14ac:dyDescent="0.35">
      <c r="A1124" s="14">
        <v>1117</v>
      </c>
      <c r="B1124" s="15">
        <v>45575</v>
      </c>
      <c r="C1124" s="15">
        <v>45575</v>
      </c>
      <c r="D1124" s="16" t="s">
        <v>1192</v>
      </c>
      <c r="E1124" s="16" t="s">
        <v>1193</v>
      </c>
      <c r="F1124" s="16" t="s">
        <v>1983</v>
      </c>
      <c r="G1124" s="16" t="s">
        <v>1197</v>
      </c>
      <c r="H1124" s="14" t="str">
        <f>"20241010/177214"</f>
        <v>20241010/177214</v>
      </c>
      <c r="I1124" s="19" t="str">
        <f t="shared" si="100"/>
        <v> </v>
      </c>
      <c r="J1124" s="18">
        <v>141424.5</v>
      </c>
      <c r="K1124" s="18">
        <v>0</v>
      </c>
      <c r="L1124" s="18">
        <v>1273688.72</v>
      </c>
    </row>
    <row r="1125" spans="1:13" ht="15" thickBot="1" x14ac:dyDescent="0.35">
      <c r="A1125" s="14">
        <v>1118</v>
      </c>
      <c r="B1125" s="15">
        <v>45575</v>
      </c>
      <c r="C1125" s="15">
        <v>45575</v>
      </c>
      <c r="D1125" s="16" t="s">
        <v>1192</v>
      </c>
      <c r="E1125" s="16" t="s">
        <v>1193</v>
      </c>
      <c r="F1125" s="16" t="s">
        <v>1984</v>
      </c>
      <c r="G1125" s="16" t="s">
        <v>1197</v>
      </c>
      <c r="H1125" s="14" t="str">
        <f>"20241010/177215"</f>
        <v>20241010/177215</v>
      </c>
      <c r="I1125" s="19" t="str">
        <f t="shared" si="100"/>
        <v> </v>
      </c>
      <c r="J1125" s="18">
        <v>432038.77</v>
      </c>
      <c r="K1125" s="18">
        <v>0</v>
      </c>
      <c r="L1125" s="18">
        <v>1705727.49</v>
      </c>
    </row>
    <row r="1126" spans="1:13" ht="15" thickBot="1" x14ac:dyDescent="0.35">
      <c r="A1126" s="14">
        <v>1119</v>
      </c>
      <c r="B1126" s="15">
        <v>45575</v>
      </c>
      <c r="C1126" s="15">
        <v>45575</v>
      </c>
      <c r="D1126" s="16" t="s">
        <v>1192</v>
      </c>
      <c r="E1126" s="16" t="s">
        <v>1193</v>
      </c>
      <c r="F1126" s="16" t="s">
        <v>1985</v>
      </c>
      <c r="G1126" s="16" t="s">
        <v>1197</v>
      </c>
      <c r="H1126" s="14" t="str">
        <f>"20241010/263834"</f>
        <v>20241010/263834</v>
      </c>
      <c r="I1126" s="19" t="str">
        <f t="shared" si="100"/>
        <v> </v>
      </c>
      <c r="J1126" s="18">
        <v>0</v>
      </c>
      <c r="K1126" s="18">
        <v>139149.5</v>
      </c>
      <c r="L1126" s="18">
        <v>1566577.99</v>
      </c>
    </row>
    <row r="1127" spans="1:13" ht="15" thickBot="1" x14ac:dyDescent="0.35">
      <c r="A1127" s="14">
        <v>1120</v>
      </c>
      <c r="B1127" s="15">
        <v>45575</v>
      </c>
      <c r="C1127" s="15">
        <v>45575</v>
      </c>
      <c r="D1127" s="16" t="s">
        <v>1192</v>
      </c>
      <c r="E1127" s="16" t="s">
        <v>1193</v>
      </c>
      <c r="F1127" s="16" t="s">
        <v>1986</v>
      </c>
      <c r="G1127" s="16" t="s">
        <v>1197</v>
      </c>
      <c r="H1127" s="14" t="str">
        <f>"20241010/263835"</f>
        <v>20241010/263835</v>
      </c>
      <c r="I1127" s="19" t="str">
        <f t="shared" si="100"/>
        <v> </v>
      </c>
      <c r="J1127" s="18">
        <v>0</v>
      </c>
      <c r="K1127" s="18">
        <v>433315.82</v>
      </c>
      <c r="L1127" s="18">
        <v>1133262.17</v>
      </c>
    </row>
    <row r="1128" spans="1:13" ht="15" thickBot="1" x14ac:dyDescent="0.35">
      <c r="A1128" s="14">
        <v>1121</v>
      </c>
      <c r="B1128" s="15">
        <v>45575</v>
      </c>
      <c r="C1128" s="15">
        <v>45576</v>
      </c>
      <c r="D1128" s="16" t="s">
        <v>1192</v>
      </c>
      <c r="E1128" s="16" t="s">
        <v>1193</v>
      </c>
      <c r="F1128" s="16" t="s">
        <v>1987</v>
      </c>
      <c r="G1128" s="16" t="s">
        <v>1197</v>
      </c>
      <c r="H1128" s="14" t="str">
        <f>"20241010/346594"</f>
        <v>20241010/346594</v>
      </c>
      <c r="I1128" s="19" t="str">
        <f>"2410003162357"</f>
        <v>2410003162357</v>
      </c>
      <c r="J1128" s="18">
        <v>0</v>
      </c>
      <c r="K1128" s="18">
        <v>129129.96</v>
      </c>
      <c r="L1128" s="18">
        <v>1004132.21</v>
      </c>
    </row>
    <row r="1129" spans="1:13" ht="15" thickBot="1" x14ac:dyDescent="0.35">
      <c r="A1129" s="14">
        <v>1122</v>
      </c>
      <c r="B1129" s="15">
        <v>45576</v>
      </c>
      <c r="C1129" s="15">
        <v>45576</v>
      </c>
      <c r="D1129" s="16" t="s">
        <v>1192</v>
      </c>
      <c r="E1129" s="16" t="s">
        <v>1193</v>
      </c>
      <c r="F1129" s="16" t="s">
        <v>1204</v>
      </c>
      <c r="G1129" s="16" t="s">
        <v>1203</v>
      </c>
      <c r="H1129" s="14" t="str">
        <f>"20241011/28971"</f>
        <v>20241011/28971</v>
      </c>
      <c r="I1129" s="17" t="str">
        <f t="shared" ref="I1129:I1136" si="101">" "</f>
        <v> </v>
      </c>
      <c r="J1129" s="18">
        <v>129129.96</v>
      </c>
      <c r="K1129" s="18">
        <v>0</v>
      </c>
      <c r="L1129" s="18">
        <v>1133262.17</v>
      </c>
      <c r="M1129" t="s">
        <v>2661</v>
      </c>
    </row>
    <row r="1130" spans="1:13" ht="15" thickBot="1" x14ac:dyDescent="0.35">
      <c r="A1130" s="14">
        <v>1123</v>
      </c>
      <c r="B1130" s="15">
        <v>45576</v>
      </c>
      <c r="C1130" s="15">
        <v>45576</v>
      </c>
      <c r="D1130" s="16" t="s">
        <v>1192</v>
      </c>
      <c r="E1130" s="16" t="s">
        <v>1193</v>
      </c>
      <c r="F1130" s="16" t="s">
        <v>1194</v>
      </c>
      <c r="G1130" s="16" t="s">
        <v>1195</v>
      </c>
      <c r="H1130" s="14" t="str">
        <f>"20241011/38125"</f>
        <v>20241011/38125</v>
      </c>
      <c r="I1130" s="17" t="str">
        <f t="shared" si="101"/>
        <v> </v>
      </c>
      <c r="J1130" s="18">
        <v>0</v>
      </c>
      <c r="K1130" s="18">
        <v>199.38</v>
      </c>
      <c r="L1130" s="18">
        <v>1133062.79</v>
      </c>
      <c r="M1130" t="s">
        <v>2661</v>
      </c>
    </row>
    <row r="1131" spans="1:13" ht="15" thickBot="1" x14ac:dyDescent="0.35">
      <c r="A1131" s="14">
        <v>1124</v>
      </c>
      <c r="B1131" s="15">
        <v>45576</v>
      </c>
      <c r="C1131" s="15">
        <v>45576</v>
      </c>
      <c r="D1131" s="16" t="s">
        <v>1192</v>
      </c>
      <c r="E1131" s="16" t="s">
        <v>1193</v>
      </c>
      <c r="F1131" s="16" t="s">
        <v>1194</v>
      </c>
      <c r="G1131" s="16" t="s">
        <v>1195</v>
      </c>
      <c r="H1131" s="14" t="str">
        <f>"20241011/96509"</f>
        <v>20241011/96509</v>
      </c>
      <c r="I1131" s="17" t="str">
        <f t="shared" si="101"/>
        <v> </v>
      </c>
      <c r="J1131" s="18">
        <v>0</v>
      </c>
      <c r="K1131" s="18">
        <v>191262.21</v>
      </c>
      <c r="L1131" s="18">
        <v>941800.58</v>
      </c>
      <c r="M1131" t="s">
        <v>2661</v>
      </c>
    </row>
    <row r="1132" spans="1:13" ht="15" thickBot="1" x14ac:dyDescent="0.35">
      <c r="A1132" s="14">
        <v>1125</v>
      </c>
      <c r="B1132" s="15">
        <v>45576</v>
      </c>
      <c r="C1132" s="15">
        <v>45576</v>
      </c>
      <c r="D1132" s="16" t="s">
        <v>1192</v>
      </c>
      <c r="E1132" s="16" t="s">
        <v>1193</v>
      </c>
      <c r="F1132" s="16" t="s">
        <v>1988</v>
      </c>
      <c r="G1132" s="16" t="s">
        <v>1197</v>
      </c>
      <c r="H1132" s="14" t="str">
        <f>"20241011/119795"</f>
        <v>20241011/119795</v>
      </c>
      <c r="I1132" s="19" t="str">
        <f t="shared" si="101"/>
        <v> </v>
      </c>
      <c r="J1132" s="18">
        <v>199.38</v>
      </c>
      <c r="K1132" s="18">
        <v>0</v>
      </c>
      <c r="L1132" s="18">
        <v>941999.96</v>
      </c>
      <c r="M1132" t="s">
        <v>2658</v>
      </c>
    </row>
    <row r="1133" spans="1:13" ht="15" thickBot="1" x14ac:dyDescent="0.35">
      <c r="A1133" s="14">
        <v>1126</v>
      </c>
      <c r="B1133" s="15">
        <v>45576</v>
      </c>
      <c r="C1133" s="15">
        <v>45576</v>
      </c>
      <c r="D1133" s="16" t="s">
        <v>1192</v>
      </c>
      <c r="E1133" s="16" t="s">
        <v>1193</v>
      </c>
      <c r="F1133" s="16" t="s">
        <v>1989</v>
      </c>
      <c r="G1133" s="16" t="s">
        <v>1197</v>
      </c>
      <c r="H1133" s="14" t="str">
        <f>"20241011/188594"</f>
        <v>20241011/188594</v>
      </c>
      <c r="I1133" s="19" t="str">
        <f t="shared" si="101"/>
        <v> </v>
      </c>
      <c r="J1133" s="18">
        <v>151263</v>
      </c>
      <c r="K1133" s="18">
        <v>0</v>
      </c>
      <c r="L1133" s="18">
        <v>1093262.96</v>
      </c>
    </row>
    <row r="1134" spans="1:13" ht="15" thickBot="1" x14ac:dyDescent="0.35">
      <c r="A1134" s="14">
        <v>1127</v>
      </c>
      <c r="B1134" s="15">
        <v>45576</v>
      </c>
      <c r="C1134" s="15">
        <v>45576</v>
      </c>
      <c r="D1134" s="16" t="s">
        <v>1192</v>
      </c>
      <c r="E1134" s="16" t="s">
        <v>1193</v>
      </c>
      <c r="F1134" s="16" t="s">
        <v>1990</v>
      </c>
      <c r="G1134" s="16" t="s">
        <v>1197</v>
      </c>
      <c r="H1134" s="14" t="str">
        <f>"20241011/188595"</f>
        <v>20241011/188595</v>
      </c>
      <c r="I1134" s="19" t="str">
        <f t="shared" si="101"/>
        <v> </v>
      </c>
      <c r="J1134" s="18">
        <v>613462.48</v>
      </c>
      <c r="K1134" s="18">
        <v>0</v>
      </c>
      <c r="L1134" s="18">
        <v>1706725.44</v>
      </c>
    </row>
    <row r="1135" spans="1:13" ht="15" thickBot="1" x14ac:dyDescent="0.35">
      <c r="A1135" s="14">
        <v>1128</v>
      </c>
      <c r="B1135" s="15">
        <v>45576</v>
      </c>
      <c r="C1135" s="15">
        <v>45576</v>
      </c>
      <c r="D1135" s="16" t="s">
        <v>1192</v>
      </c>
      <c r="E1135" s="16" t="s">
        <v>1193</v>
      </c>
      <c r="F1135" s="16" t="s">
        <v>1991</v>
      </c>
      <c r="G1135" s="16" t="s">
        <v>1197</v>
      </c>
      <c r="H1135" s="14" t="str">
        <f>"20241011/275788"</f>
        <v>20241011/275788</v>
      </c>
      <c r="I1135" s="19" t="str">
        <f t="shared" si="101"/>
        <v> </v>
      </c>
      <c r="J1135" s="18">
        <v>0</v>
      </c>
      <c r="K1135" s="18">
        <v>141424.5</v>
      </c>
      <c r="L1135" s="18">
        <v>1565300.94</v>
      </c>
    </row>
    <row r="1136" spans="1:13" ht="15" thickBot="1" x14ac:dyDescent="0.35">
      <c r="A1136" s="14">
        <v>1129</v>
      </c>
      <c r="B1136" s="15">
        <v>45576</v>
      </c>
      <c r="C1136" s="15">
        <v>45576</v>
      </c>
      <c r="D1136" s="16" t="s">
        <v>1192</v>
      </c>
      <c r="E1136" s="16" t="s">
        <v>1193</v>
      </c>
      <c r="F1136" s="16" t="s">
        <v>1992</v>
      </c>
      <c r="G1136" s="16" t="s">
        <v>1197</v>
      </c>
      <c r="H1136" s="14" t="str">
        <f>"20241011/275789"</f>
        <v>20241011/275789</v>
      </c>
      <c r="I1136" s="19" t="str">
        <f t="shared" si="101"/>
        <v> </v>
      </c>
      <c r="J1136" s="18">
        <v>0</v>
      </c>
      <c r="K1136" s="18">
        <v>432038.77</v>
      </c>
      <c r="L1136" s="18">
        <v>1133262.17</v>
      </c>
    </row>
    <row r="1137" spans="1:13" ht="15" thickBot="1" x14ac:dyDescent="0.35">
      <c r="A1137" s="14">
        <v>1130</v>
      </c>
      <c r="B1137" s="15">
        <v>45576</v>
      </c>
      <c r="C1137" s="15">
        <v>45579</v>
      </c>
      <c r="D1137" s="16" t="s">
        <v>1192</v>
      </c>
      <c r="E1137" s="16" t="s">
        <v>1193</v>
      </c>
      <c r="F1137" s="16" t="s">
        <v>1993</v>
      </c>
      <c r="G1137" s="16" t="s">
        <v>1197</v>
      </c>
      <c r="H1137" s="14" t="str">
        <f>"20241011/341260"</f>
        <v>20241011/341260</v>
      </c>
      <c r="I1137" s="19" t="str">
        <f>"2410003594303"</f>
        <v>2410003594303</v>
      </c>
      <c r="J1137" s="18">
        <v>0</v>
      </c>
      <c r="K1137" s="18">
        <v>68644.479999999996</v>
      </c>
      <c r="L1137" s="18">
        <v>1064617.69</v>
      </c>
    </row>
    <row r="1138" spans="1:13" ht="15" thickBot="1" x14ac:dyDescent="0.35">
      <c r="A1138" s="14">
        <v>1131</v>
      </c>
      <c r="B1138" s="15">
        <v>45576</v>
      </c>
      <c r="C1138" s="15">
        <v>45579</v>
      </c>
      <c r="D1138" s="16" t="s">
        <v>1192</v>
      </c>
      <c r="E1138" s="16" t="s">
        <v>1193</v>
      </c>
      <c r="F1138" s="16" t="s">
        <v>1994</v>
      </c>
      <c r="G1138" s="16" t="s">
        <v>1197</v>
      </c>
      <c r="H1138" s="14" t="str">
        <f>"20241011/341261"</f>
        <v>20241011/341261</v>
      </c>
      <c r="I1138" s="19" t="str">
        <f>"2410003594303"</f>
        <v>2410003594303</v>
      </c>
      <c r="J1138" s="18">
        <v>539150.6</v>
      </c>
      <c r="K1138" s="18">
        <v>0</v>
      </c>
      <c r="L1138" s="18">
        <v>1603768.29</v>
      </c>
    </row>
    <row r="1139" spans="1:13" ht="15" thickBot="1" x14ac:dyDescent="0.35">
      <c r="A1139" s="14">
        <v>1132</v>
      </c>
      <c r="B1139" s="15">
        <v>45579</v>
      </c>
      <c r="C1139" s="15">
        <v>45579</v>
      </c>
      <c r="D1139" s="16" t="s">
        <v>1192</v>
      </c>
      <c r="E1139" s="16" t="s">
        <v>1193</v>
      </c>
      <c r="F1139" s="16" t="s">
        <v>1204</v>
      </c>
      <c r="G1139" s="16" t="s">
        <v>1203</v>
      </c>
      <c r="H1139" s="14" t="str">
        <f>"20241014/30909"</f>
        <v>20241014/30909</v>
      </c>
      <c r="I1139" s="17" t="str">
        <f t="shared" ref="I1139:I1144" si="102">" "</f>
        <v> </v>
      </c>
      <c r="J1139" s="18">
        <v>68644.479999999996</v>
      </c>
      <c r="K1139" s="18">
        <v>0</v>
      </c>
      <c r="L1139" s="18">
        <v>1672412.77</v>
      </c>
      <c r="M1139" t="s">
        <v>2661</v>
      </c>
    </row>
    <row r="1140" spans="1:13" ht="15" thickBot="1" x14ac:dyDescent="0.35">
      <c r="A1140" s="14">
        <v>1133</v>
      </c>
      <c r="B1140" s="15">
        <v>45579</v>
      </c>
      <c r="C1140" s="15">
        <v>45579</v>
      </c>
      <c r="D1140" s="16" t="s">
        <v>1192</v>
      </c>
      <c r="E1140" s="16" t="s">
        <v>1193</v>
      </c>
      <c r="F1140" s="16" t="s">
        <v>1995</v>
      </c>
      <c r="G1140" s="16" t="s">
        <v>1197</v>
      </c>
      <c r="H1140" s="14" t="str">
        <f>"20241014/185573"</f>
        <v>20241014/185573</v>
      </c>
      <c r="I1140" s="19" t="str">
        <f t="shared" si="102"/>
        <v> </v>
      </c>
      <c r="J1140" s="18">
        <v>159374.75</v>
      </c>
      <c r="K1140" s="18">
        <v>0</v>
      </c>
      <c r="L1140" s="18">
        <v>1831787.52</v>
      </c>
    </row>
    <row r="1141" spans="1:13" ht="15" thickBot="1" x14ac:dyDescent="0.35">
      <c r="A1141" s="14">
        <v>1134</v>
      </c>
      <c r="B1141" s="15">
        <v>45579</v>
      </c>
      <c r="C1141" s="15">
        <v>45579</v>
      </c>
      <c r="D1141" s="16" t="s">
        <v>1192</v>
      </c>
      <c r="E1141" s="16" t="s">
        <v>1193</v>
      </c>
      <c r="F1141" s="16" t="s">
        <v>1996</v>
      </c>
      <c r="G1141" s="16" t="s">
        <v>1197</v>
      </c>
      <c r="H1141" s="14" t="str">
        <f>"20241014/185574"</f>
        <v>20241014/185574</v>
      </c>
      <c r="I1141" s="19" t="str">
        <f t="shared" si="102"/>
        <v> </v>
      </c>
      <c r="J1141" s="18">
        <v>562771.39</v>
      </c>
      <c r="K1141" s="18">
        <v>0</v>
      </c>
      <c r="L1141" s="18">
        <v>2394558.91</v>
      </c>
    </row>
    <row r="1142" spans="1:13" ht="15" thickBot="1" x14ac:dyDescent="0.35">
      <c r="A1142" s="14">
        <v>1135</v>
      </c>
      <c r="B1142" s="15">
        <v>45579</v>
      </c>
      <c r="C1142" s="15">
        <v>45579</v>
      </c>
      <c r="D1142" s="16" t="s">
        <v>1192</v>
      </c>
      <c r="E1142" s="16" t="s">
        <v>1193</v>
      </c>
      <c r="F1142" s="16" t="s">
        <v>1997</v>
      </c>
      <c r="G1142" s="16" t="s">
        <v>1197</v>
      </c>
      <c r="H1142" s="14" t="str">
        <f>"20241014/283053"</f>
        <v>20241014/283053</v>
      </c>
      <c r="I1142" s="19" t="str">
        <f t="shared" si="102"/>
        <v> </v>
      </c>
      <c r="J1142" s="18">
        <v>0</v>
      </c>
      <c r="K1142" s="18">
        <v>151263</v>
      </c>
      <c r="L1142" s="18">
        <v>2243295.91</v>
      </c>
    </row>
    <row r="1143" spans="1:13" ht="15" thickBot="1" x14ac:dyDescent="0.35">
      <c r="A1143" s="14">
        <v>1136</v>
      </c>
      <c r="B1143" s="15">
        <v>45579</v>
      </c>
      <c r="C1143" s="15">
        <v>45579</v>
      </c>
      <c r="D1143" s="16" t="s">
        <v>1192</v>
      </c>
      <c r="E1143" s="16" t="s">
        <v>1193</v>
      </c>
      <c r="F1143" s="16" t="s">
        <v>1998</v>
      </c>
      <c r="G1143" s="16" t="s">
        <v>1197</v>
      </c>
      <c r="H1143" s="14" t="str">
        <f>"20241014/283054"</f>
        <v>20241014/283054</v>
      </c>
      <c r="I1143" s="19" t="str">
        <f t="shared" si="102"/>
        <v> </v>
      </c>
      <c r="J1143" s="18">
        <v>0</v>
      </c>
      <c r="K1143" s="18">
        <v>613462.48</v>
      </c>
      <c r="L1143" s="18">
        <v>1629833.43</v>
      </c>
    </row>
    <row r="1144" spans="1:13" ht="15" thickBot="1" x14ac:dyDescent="0.35">
      <c r="A1144" s="14">
        <v>1137</v>
      </c>
      <c r="B1144" s="15">
        <v>45579</v>
      </c>
      <c r="C1144" s="15">
        <v>45579</v>
      </c>
      <c r="D1144" s="16" t="s">
        <v>1192</v>
      </c>
      <c r="E1144" s="16" t="s">
        <v>1193</v>
      </c>
      <c r="F1144" s="16" t="s">
        <v>1999</v>
      </c>
      <c r="G1144" s="16" t="s">
        <v>1197</v>
      </c>
      <c r="H1144" s="14" t="str">
        <f>"20241014/86865"</f>
        <v>20241014/86865</v>
      </c>
      <c r="I1144" s="19" t="str">
        <f t="shared" si="102"/>
        <v> </v>
      </c>
      <c r="J1144" s="18">
        <v>393.78</v>
      </c>
      <c r="K1144" s="18">
        <v>0</v>
      </c>
      <c r="L1144" s="18">
        <v>1630227.21</v>
      </c>
      <c r="M1144" t="s">
        <v>2658</v>
      </c>
    </row>
    <row r="1145" spans="1:13" ht="15" thickBot="1" x14ac:dyDescent="0.35">
      <c r="A1145" s="14">
        <v>1138</v>
      </c>
      <c r="B1145" s="15">
        <v>45579</v>
      </c>
      <c r="C1145" s="15">
        <v>45580</v>
      </c>
      <c r="D1145" s="16" t="s">
        <v>1192</v>
      </c>
      <c r="E1145" s="16" t="s">
        <v>1193</v>
      </c>
      <c r="F1145" s="16" t="s">
        <v>2000</v>
      </c>
      <c r="G1145" s="16" t="s">
        <v>1197</v>
      </c>
      <c r="H1145" s="14" t="str">
        <f>"20241014/338553"</f>
        <v>20241014/338553</v>
      </c>
      <c r="I1145" s="19" t="str">
        <f>"2410004015891"</f>
        <v>2410004015891</v>
      </c>
      <c r="J1145" s="18">
        <v>0</v>
      </c>
      <c r="K1145" s="18">
        <v>97423.91</v>
      </c>
      <c r="L1145" s="18">
        <v>1532803.3</v>
      </c>
    </row>
    <row r="1146" spans="1:13" ht="15" thickBot="1" x14ac:dyDescent="0.35">
      <c r="A1146" s="14">
        <v>1139</v>
      </c>
      <c r="B1146" s="15">
        <v>45579</v>
      </c>
      <c r="C1146" s="15">
        <v>45580</v>
      </c>
      <c r="D1146" s="16" t="s">
        <v>1192</v>
      </c>
      <c r="E1146" s="16" t="s">
        <v>1193</v>
      </c>
      <c r="F1146" s="16" t="s">
        <v>2001</v>
      </c>
      <c r="G1146" s="16" t="s">
        <v>1197</v>
      </c>
      <c r="H1146" s="14" t="str">
        <f>"20241014/338554"</f>
        <v>20241014/338554</v>
      </c>
      <c r="I1146" s="19" t="str">
        <f>"2410004015891"</f>
        <v>2410004015891</v>
      </c>
      <c r="J1146" s="18">
        <v>0</v>
      </c>
      <c r="K1146" s="18">
        <v>147082.89000000001</v>
      </c>
      <c r="L1146" s="18">
        <v>1385720.41</v>
      </c>
    </row>
    <row r="1147" spans="1:13" ht="15" thickBot="1" x14ac:dyDescent="0.35">
      <c r="A1147" s="14">
        <v>1140</v>
      </c>
      <c r="B1147" s="15">
        <v>45580</v>
      </c>
      <c r="C1147" s="15">
        <v>45580</v>
      </c>
      <c r="D1147" s="16" t="s">
        <v>1192</v>
      </c>
      <c r="E1147" s="16" t="s">
        <v>1193</v>
      </c>
      <c r="F1147" s="16" t="s">
        <v>1204</v>
      </c>
      <c r="G1147" s="16" t="s">
        <v>1203</v>
      </c>
      <c r="H1147" s="14" t="str">
        <f>"20241015/27445"</f>
        <v>20241015/27445</v>
      </c>
      <c r="I1147" s="17" t="str">
        <f t="shared" ref="I1147:I1155" si="103">" "</f>
        <v> </v>
      </c>
      <c r="J1147" s="18">
        <v>97423.91</v>
      </c>
      <c r="K1147" s="18">
        <v>0</v>
      </c>
      <c r="L1147" s="18">
        <v>1483144.32</v>
      </c>
      <c r="M1147" t="s">
        <v>2661</v>
      </c>
    </row>
    <row r="1148" spans="1:13" ht="15" thickBot="1" x14ac:dyDescent="0.35">
      <c r="A1148" s="14">
        <v>1141</v>
      </c>
      <c r="B1148" s="15">
        <v>45580</v>
      </c>
      <c r="C1148" s="15">
        <v>45580</v>
      </c>
      <c r="D1148" s="16" t="s">
        <v>1192</v>
      </c>
      <c r="E1148" s="16" t="s">
        <v>1193</v>
      </c>
      <c r="F1148" s="16" t="s">
        <v>1202</v>
      </c>
      <c r="G1148" s="16" t="s">
        <v>1203</v>
      </c>
      <c r="H1148" s="14" t="str">
        <f>"20241015/5036"</f>
        <v>20241015/5036</v>
      </c>
      <c r="I1148" s="17" t="str">
        <f t="shared" si="103"/>
        <v> </v>
      </c>
      <c r="J1148" s="18">
        <v>44330.25</v>
      </c>
      <c r="K1148" s="18">
        <v>0</v>
      </c>
      <c r="L1148" s="18">
        <v>1527474.57</v>
      </c>
      <c r="M1148" t="s">
        <v>2661</v>
      </c>
    </row>
    <row r="1149" spans="1:13" ht="15" thickBot="1" x14ac:dyDescent="0.35">
      <c r="A1149" s="14">
        <v>1142</v>
      </c>
      <c r="B1149" s="15">
        <v>45580</v>
      </c>
      <c r="C1149" s="15">
        <v>45580</v>
      </c>
      <c r="D1149" s="16" t="s">
        <v>1192</v>
      </c>
      <c r="E1149" s="16" t="s">
        <v>1193</v>
      </c>
      <c r="F1149" s="16" t="s">
        <v>1194</v>
      </c>
      <c r="G1149" s="16" t="s">
        <v>1195</v>
      </c>
      <c r="H1149" s="14" t="str">
        <f>"20241015/20483"</f>
        <v>20241015/20483</v>
      </c>
      <c r="I1149" s="17" t="str">
        <f t="shared" si="103"/>
        <v> </v>
      </c>
      <c r="J1149" s="18">
        <v>0</v>
      </c>
      <c r="K1149" s="18">
        <v>323.43</v>
      </c>
      <c r="L1149" s="18">
        <v>1527151.14</v>
      </c>
      <c r="M1149" t="s">
        <v>2661</v>
      </c>
    </row>
    <row r="1150" spans="1:13" ht="15" thickBot="1" x14ac:dyDescent="0.35">
      <c r="A1150" s="14">
        <v>1143</v>
      </c>
      <c r="B1150" s="15">
        <v>45580</v>
      </c>
      <c r="C1150" s="15">
        <v>45580</v>
      </c>
      <c r="D1150" s="16" t="s">
        <v>1192</v>
      </c>
      <c r="E1150" s="16" t="s">
        <v>1193</v>
      </c>
      <c r="F1150" s="16" t="s">
        <v>1194</v>
      </c>
      <c r="G1150" s="16" t="s">
        <v>1195</v>
      </c>
      <c r="H1150" s="14" t="str">
        <f>"20241015/99820"</f>
        <v>20241015/99820</v>
      </c>
      <c r="I1150" s="17" t="str">
        <f t="shared" si="103"/>
        <v> </v>
      </c>
      <c r="J1150" s="18">
        <v>0</v>
      </c>
      <c r="K1150" s="18">
        <v>7107.15</v>
      </c>
      <c r="L1150" s="18">
        <v>1520043.99</v>
      </c>
      <c r="M1150" t="s">
        <v>2661</v>
      </c>
    </row>
    <row r="1151" spans="1:13" ht="15" thickBot="1" x14ac:dyDescent="0.35">
      <c r="A1151" s="14">
        <v>1144</v>
      </c>
      <c r="B1151" s="15">
        <v>45580</v>
      </c>
      <c r="C1151" s="15">
        <v>45580</v>
      </c>
      <c r="D1151" s="16" t="s">
        <v>1192</v>
      </c>
      <c r="E1151" s="16" t="s">
        <v>1193</v>
      </c>
      <c r="F1151" s="16" t="s">
        <v>2002</v>
      </c>
      <c r="G1151" s="16" t="s">
        <v>1197</v>
      </c>
      <c r="H1151" s="14" t="str">
        <f>"20241015/139321"</f>
        <v>20241015/139321</v>
      </c>
      <c r="I1151" s="19" t="str">
        <f t="shared" si="103"/>
        <v> </v>
      </c>
      <c r="J1151" s="18">
        <v>323.43</v>
      </c>
      <c r="K1151" s="18">
        <v>0</v>
      </c>
      <c r="L1151" s="18">
        <v>1520367.42</v>
      </c>
      <c r="M1151" t="s">
        <v>2658</v>
      </c>
    </row>
    <row r="1152" spans="1:13" ht="15" thickBot="1" x14ac:dyDescent="0.35">
      <c r="A1152" s="14">
        <v>1145</v>
      </c>
      <c r="B1152" s="15">
        <v>45580</v>
      </c>
      <c r="C1152" s="15">
        <v>45580</v>
      </c>
      <c r="D1152" s="16" t="s">
        <v>1192</v>
      </c>
      <c r="E1152" s="16" t="s">
        <v>1193</v>
      </c>
      <c r="F1152" s="16" t="s">
        <v>2003</v>
      </c>
      <c r="G1152" s="16" t="s">
        <v>1197</v>
      </c>
      <c r="H1152" s="14" t="str">
        <f>"20241015/189059"</f>
        <v>20241015/189059</v>
      </c>
      <c r="I1152" s="19" t="str">
        <f t="shared" si="103"/>
        <v> </v>
      </c>
      <c r="J1152" s="18">
        <v>170497.25</v>
      </c>
      <c r="K1152" s="18">
        <v>0</v>
      </c>
      <c r="L1152" s="18">
        <v>1690864.67</v>
      </c>
    </row>
    <row r="1153" spans="1:13" ht="15" thickBot="1" x14ac:dyDescent="0.35">
      <c r="A1153" s="14">
        <v>1146</v>
      </c>
      <c r="B1153" s="15">
        <v>45580</v>
      </c>
      <c r="C1153" s="15">
        <v>45580</v>
      </c>
      <c r="D1153" s="16" t="s">
        <v>1192</v>
      </c>
      <c r="E1153" s="16" t="s">
        <v>1193</v>
      </c>
      <c r="F1153" s="16" t="s">
        <v>2004</v>
      </c>
      <c r="G1153" s="16" t="s">
        <v>1197</v>
      </c>
      <c r="H1153" s="14" t="str">
        <f>"20241015/189060"</f>
        <v>20241015/189060</v>
      </c>
      <c r="I1153" s="19" t="str">
        <f t="shared" si="103"/>
        <v> </v>
      </c>
      <c r="J1153" s="18">
        <v>558756.04</v>
      </c>
      <c r="K1153" s="18">
        <v>0</v>
      </c>
      <c r="L1153" s="18">
        <v>2249620.71</v>
      </c>
    </row>
    <row r="1154" spans="1:13" ht="15" thickBot="1" x14ac:dyDescent="0.35">
      <c r="A1154" s="14">
        <v>1147</v>
      </c>
      <c r="B1154" s="15">
        <v>45580</v>
      </c>
      <c r="C1154" s="15">
        <v>45580</v>
      </c>
      <c r="D1154" s="16" t="s">
        <v>1192</v>
      </c>
      <c r="E1154" s="16" t="s">
        <v>1193</v>
      </c>
      <c r="F1154" s="16" t="s">
        <v>2005</v>
      </c>
      <c r="G1154" s="16" t="s">
        <v>1197</v>
      </c>
      <c r="H1154" s="14" t="str">
        <f>"20241015/291494"</f>
        <v>20241015/291494</v>
      </c>
      <c r="I1154" s="19" t="str">
        <f t="shared" si="103"/>
        <v> </v>
      </c>
      <c r="J1154" s="18">
        <v>0</v>
      </c>
      <c r="K1154" s="18">
        <v>159374.75</v>
      </c>
      <c r="L1154" s="18">
        <v>2090245.96</v>
      </c>
    </row>
    <row r="1155" spans="1:13" ht="15" thickBot="1" x14ac:dyDescent="0.35">
      <c r="A1155" s="14">
        <v>1148</v>
      </c>
      <c r="B1155" s="15">
        <v>45580</v>
      </c>
      <c r="C1155" s="15">
        <v>45580</v>
      </c>
      <c r="D1155" s="16" t="s">
        <v>1192</v>
      </c>
      <c r="E1155" s="16" t="s">
        <v>1193</v>
      </c>
      <c r="F1155" s="16" t="s">
        <v>2006</v>
      </c>
      <c r="G1155" s="16" t="s">
        <v>1197</v>
      </c>
      <c r="H1155" s="14" t="str">
        <f>"20241015/291495"</f>
        <v>20241015/291495</v>
      </c>
      <c r="I1155" s="19" t="str">
        <f t="shared" si="103"/>
        <v> </v>
      </c>
      <c r="J1155" s="18">
        <v>0</v>
      </c>
      <c r="K1155" s="18">
        <v>562771.39</v>
      </c>
      <c r="L1155" s="18">
        <v>1527474.57</v>
      </c>
    </row>
    <row r="1156" spans="1:13" ht="15" thickBot="1" x14ac:dyDescent="0.35">
      <c r="A1156" s="14">
        <v>1149</v>
      </c>
      <c r="B1156" s="15">
        <v>45580</v>
      </c>
      <c r="C1156" s="15">
        <v>45581</v>
      </c>
      <c r="D1156" s="16" t="s">
        <v>1192</v>
      </c>
      <c r="E1156" s="16" t="s">
        <v>1193</v>
      </c>
      <c r="F1156" s="16" t="s">
        <v>2007</v>
      </c>
      <c r="G1156" s="16" t="s">
        <v>1197</v>
      </c>
      <c r="H1156" s="14" t="str">
        <f>"20241015/355110"</f>
        <v>20241015/355110</v>
      </c>
      <c r="I1156" s="19" t="str">
        <f>"2410004457907"</f>
        <v>2410004457907</v>
      </c>
      <c r="J1156" s="18">
        <v>0</v>
      </c>
      <c r="K1156" s="18">
        <v>33057.08</v>
      </c>
      <c r="L1156" s="18">
        <v>1494417.49</v>
      </c>
    </row>
    <row r="1157" spans="1:13" ht="15" thickBot="1" x14ac:dyDescent="0.35">
      <c r="A1157" s="14">
        <v>1150</v>
      </c>
      <c r="B1157" s="15">
        <v>45581</v>
      </c>
      <c r="C1157" s="15">
        <v>45581</v>
      </c>
      <c r="D1157" s="16" t="s">
        <v>1192</v>
      </c>
      <c r="E1157" s="16" t="s">
        <v>1193</v>
      </c>
      <c r="F1157" s="16" t="s">
        <v>1204</v>
      </c>
      <c r="G1157" s="16" t="s">
        <v>1203</v>
      </c>
      <c r="H1157" s="14" t="str">
        <f>"20241016/27238"</f>
        <v>20241016/27238</v>
      </c>
      <c r="I1157" s="17" t="str">
        <f t="shared" ref="I1157:I1164" si="104">" "</f>
        <v> </v>
      </c>
      <c r="J1157" s="18">
        <v>33057.08</v>
      </c>
      <c r="K1157" s="18">
        <v>0</v>
      </c>
      <c r="L1157" s="18">
        <v>1527474.57</v>
      </c>
      <c r="M1157" t="s">
        <v>2661</v>
      </c>
    </row>
    <row r="1158" spans="1:13" ht="15" thickBot="1" x14ac:dyDescent="0.35">
      <c r="A1158" s="14">
        <v>1151</v>
      </c>
      <c r="B1158" s="15">
        <v>45581</v>
      </c>
      <c r="C1158" s="15">
        <v>45581</v>
      </c>
      <c r="D1158" s="16" t="s">
        <v>1192</v>
      </c>
      <c r="E1158" s="16" t="s">
        <v>1193</v>
      </c>
      <c r="F1158" s="16" t="s">
        <v>1194</v>
      </c>
      <c r="G1158" s="16" t="s">
        <v>1195</v>
      </c>
      <c r="H1158" s="14" t="str">
        <f>"20241016/101076"</f>
        <v>20241016/101076</v>
      </c>
      <c r="I1158" s="17" t="str">
        <f t="shared" si="104"/>
        <v> </v>
      </c>
      <c r="J1158" s="18">
        <v>0</v>
      </c>
      <c r="K1158" s="18">
        <v>2510.0300000000002</v>
      </c>
      <c r="L1158" s="18">
        <v>1524964.54</v>
      </c>
      <c r="M1158" t="s">
        <v>2661</v>
      </c>
    </row>
    <row r="1159" spans="1:13" ht="15" thickBot="1" x14ac:dyDescent="0.35">
      <c r="A1159" s="14">
        <v>1152</v>
      </c>
      <c r="B1159" s="15">
        <v>45581</v>
      </c>
      <c r="C1159" s="15">
        <v>45581</v>
      </c>
      <c r="D1159" s="16" t="s">
        <v>1192</v>
      </c>
      <c r="E1159" s="16" t="s">
        <v>1193</v>
      </c>
      <c r="F1159" s="16" t="s">
        <v>1194</v>
      </c>
      <c r="G1159" s="16" t="s">
        <v>1195</v>
      </c>
      <c r="H1159" s="14" t="str">
        <f>"20241016/7138"</f>
        <v>20241016/7138</v>
      </c>
      <c r="I1159" s="17" t="str">
        <f t="shared" si="104"/>
        <v> </v>
      </c>
      <c r="J1159" s="18">
        <v>0</v>
      </c>
      <c r="K1159" s="18">
        <v>284.3</v>
      </c>
      <c r="L1159" s="18">
        <v>1524680.24</v>
      </c>
      <c r="M1159" t="s">
        <v>2661</v>
      </c>
    </row>
    <row r="1160" spans="1:13" ht="15" thickBot="1" x14ac:dyDescent="0.35">
      <c r="A1160" s="14">
        <v>1153</v>
      </c>
      <c r="B1160" s="15">
        <v>45581</v>
      </c>
      <c r="C1160" s="15">
        <v>45581</v>
      </c>
      <c r="D1160" s="16" t="s">
        <v>1192</v>
      </c>
      <c r="E1160" s="16" t="s">
        <v>1193</v>
      </c>
      <c r="F1160" s="16" t="s">
        <v>2008</v>
      </c>
      <c r="G1160" s="16" t="s">
        <v>1197</v>
      </c>
      <c r="H1160" s="14" t="str">
        <f>"20241016/104840"</f>
        <v>20241016/104840</v>
      </c>
      <c r="I1160" s="19" t="str">
        <f t="shared" si="104"/>
        <v> </v>
      </c>
      <c r="J1160" s="18">
        <v>284.3</v>
      </c>
      <c r="K1160" s="18">
        <v>0</v>
      </c>
      <c r="L1160" s="18">
        <v>1524964.54</v>
      </c>
      <c r="M1160" t="s">
        <v>2658</v>
      </c>
    </row>
    <row r="1161" spans="1:13" ht="15" thickBot="1" x14ac:dyDescent="0.35">
      <c r="A1161" s="14">
        <v>1154</v>
      </c>
      <c r="B1161" s="15">
        <v>45581</v>
      </c>
      <c r="C1161" s="15">
        <v>45581</v>
      </c>
      <c r="D1161" s="16" t="s">
        <v>1192</v>
      </c>
      <c r="E1161" s="16" t="s">
        <v>1193</v>
      </c>
      <c r="F1161" s="16" t="s">
        <v>2009</v>
      </c>
      <c r="G1161" s="16" t="s">
        <v>1197</v>
      </c>
      <c r="H1161" s="14" t="str">
        <f>"20241016/148353"</f>
        <v>20241016/148353</v>
      </c>
      <c r="I1161" s="19" t="str">
        <f t="shared" si="104"/>
        <v> </v>
      </c>
      <c r="J1161" s="18">
        <v>174941</v>
      </c>
      <c r="K1161" s="18">
        <v>0</v>
      </c>
      <c r="L1161" s="18">
        <v>1699905.54</v>
      </c>
    </row>
    <row r="1162" spans="1:13" ht="15" thickBot="1" x14ac:dyDescent="0.35">
      <c r="A1162" s="14">
        <v>1155</v>
      </c>
      <c r="B1162" s="15">
        <v>45581</v>
      </c>
      <c r="C1162" s="15">
        <v>45581</v>
      </c>
      <c r="D1162" s="16" t="s">
        <v>1192</v>
      </c>
      <c r="E1162" s="16" t="s">
        <v>1193</v>
      </c>
      <c r="F1162" s="16" t="s">
        <v>2010</v>
      </c>
      <c r="G1162" s="16" t="s">
        <v>1197</v>
      </c>
      <c r="H1162" s="14" t="str">
        <f>"20241016/148354"</f>
        <v>20241016/148354</v>
      </c>
      <c r="I1162" s="19" t="str">
        <f t="shared" si="104"/>
        <v> </v>
      </c>
      <c r="J1162" s="18">
        <v>556822.31999999995</v>
      </c>
      <c r="K1162" s="18">
        <v>0</v>
      </c>
      <c r="L1162" s="18">
        <v>2256727.86</v>
      </c>
    </row>
    <row r="1163" spans="1:13" ht="15" thickBot="1" x14ac:dyDescent="0.35">
      <c r="A1163" s="14">
        <v>1156</v>
      </c>
      <c r="B1163" s="15">
        <v>45581</v>
      </c>
      <c r="C1163" s="15">
        <v>45581</v>
      </c>
      <c r="D1163" s="16" t="s">
        <v>1192</v>
      </c>
      <c r="E1163" s="16" t="s">
        <v>1193</v>
      </c>
      <c r="F1163" s="16" t="s">
        <v>2011</v>
      </c>
      <c r="G1163" s="16" t="s">
        <v>1197</v>
      </c>
      <c r="H1163" s="14" t="str">
        <f>"20241016/239262"</f>
        <v>20241016/239262</v>
      </c>
      <c r="I1163" s="19" t="str">
        <f t="shared" si="104"/>
        <v> </v>
      </c>
      <c r="J1163" s="18">
        <v>0</v>
      </c>
      <c r="K1163" s="18">
        <v>170497.25</v>
      </c>
      <c r="L1163" s="18">
        <v>2086230.61</v>
      </c>
    </row>
    <row r="1164" spans="1:13" ht="15" thickBot="1" x14ac:dyDescent="0.35">
      <c r="A1164" s="14">
        <v>1157</v>
      </c>
      <c r="B1164" s="15">
        <v>45581</v>
      </c>
      <c r="C1164" s="15">
        <v>45581</v>
      </c>
      <c r="D1164" s="16" t="s">
        <v>1192</v>
      </c>
      <c r="E1164" s="16" t="s">
        <v>1193</v>
      </c>
      <c r="F1164" s="16" t="s">
        <v>2012</v>
      </c>
      <c r="G1164" s="16" t="s">
        <v>1197</v>
      </c>
      <c r="H1164" s="14" t="str">
        <f>"20241016/239263"</f>
        <v>20241016/239263</v>
      </c>
      <c r="I1164" s="19" t="str">
        <f t="shared" si="104"/>
        <v> </v>
      </c>
      <c r="J1164" s="18">
        <v>0</v>
      </c>
      <c r="K1164" s="18">
        <v>558756.04</v>
      </c>
      <c r="L1164" s="18">
        <v>1527474.57</v>
      </c>
    </row>
    <row r="1165" spans="1:13" ht="15" thickBot="1" x14ac:dyDescent="0.35">
      <c r="A1165" s="14">
        <v>1158</v>
      </c>
      <c r="B1165" s="15">
        <v>45581</v>
      </c>
      <c r="C1165" s="15">
        <v>45582</v>
      </c>
      <c r="D1165" s="16" t="s">
        <v>1192</v>
      </c>
      <c r="E1165" s="16" t="s">
        <v>1193</v>
      </c>
      <c r="F1165" s="16" t="s">
        <v>2013</v>
      </c>
      <c r="G1165" s="16" t="s">
        <v>1197</v>
      </c>
      <c r="H1165" s="14" t="str">
        <f>"20241016/349732"</f>
        <v>20241016/349732</v>
      </c>
      <c r="I1165" s="19" t="str">
        <f>"2410004895494"</f>
        <v>2410004895494</v>
      </c>
      <c r="J1165" s="18">
        <v>0</v>
      </c>
      <c r="K1165" s="18">
        <v>87315.85</v>
      </c>
      <c r="L1165" s="18">
        <v>1440158.72</v>
      </c>
    </row>
    <row r="1166" spans="1:13" ht="15" thickBot="1" x14ac:dyDescent="0.35">
      <c r="A1166" s="14">
        <v>1159</v>
      </c>
      <c r="B1166" s="15">
        <v>45582</v>
      </c>
      <c r="C1166" s="15">
        <v>45582</v>
      </c>
      <c r="D1166" s="16" t="s">
        <v>1192</v>
      </c>
      <c r="E1166" s="16" t="s">
        <v>1193</v>
      </c>
      <c r="F1166" s="16" t="s">
        <v>1204</v>
      </c>
      <c r="G1166" s="16" t="s">
        <v>1203</v>
      </c>
      <c r="H1166" s="14" t="str">
        <f>"20241017/30198"</f>
        <v>20241017/30198</v>
      </c>
      <c r="I1166" s="17" t="str">
        <f t="shared" ref="I1166:I1187" si="105">" "</f>
        <v> </v>
      </c>
      <c r="J1166" s="18">
        <v>87315.85</v>
      </c>
      <c r="K1166" s="18">
        <v>0</v>
      </c>
      <c r="L1166" s="18">
        <v>1527474.57</v>
      </c>
      <c r="M1166" t="s">
        <v>2661</v>
      </c>
    </row>
    <row r="1167" spans="1:13" ht="15" thickBot="1" x14ac:dyDescent="0.35">
      <c r="A1167" s="14">
        <v>1160</v>
      </c>
      <c r="B1167" s="15">
        <v>45582</v>
      </c>
      <c r="C1167" s="15">
        <v>45582</v>
      </c>
      <c r="D1167" s="16" t="s">
        <v>1192</v>
      </c>
      <c r="E1167" s="16" t="s">
        <v>1193</v>
      </c>
      <c r="F1167" s="16" t="s">
        <v>1194</v>
      </c>
      <c r="G1167" s="16" t="s">
        <v>1195</v>
      </c>
      <c r="H1167" s="14" t="str">
        <f>"20241017/115293"</f>
        <v>20241017/115293</v>
      </c>
      <c r="I1167" s="17" t="str">
        <f t="shared" si="105"/>
        <v> </v>
      </c>
      <c r="J1167" s="18">
        <v>0</v>
      </c>
      <c r="K1167" s="18">
        <v>5319.59</v>
      </c>
      <c r="L1167" s="18">
        <v>1522154.98</v>
      </c>
      <c r="M1167" t="s">
        <v>2661</v>
      </c>
    </row>
    <row r="1168" spans="1:13" ht="15" thickBot="1" x14ac:dyDescent="0.35">
      <c r="A1168" s="14">
        <v>1161</v>
      </c>
      <c r="B1168" s="15">
        <v>45582</v>
      </c>
      <c r="C1168" s="15">
        <v>45582</v>
      </c>
      <c r="D1168" s="16" t="s">
        <v>1192</v>
      </c>
      <c r="E1168" s="16" t="s">
        <v>1193</v>
      </c>
      <c r="F1168" s="16" t="s">
        <v>1194</v>
      </c>
      <c r="G1168" s="16" t="s">
        <v>1195</v>
      </c>
      <c r="H1168" s="14" t="str">
        <f>"20241017/38064"</f>
        <v>20241017/38064</v>
      </c>
      <c r="I1168" s="17" t="str">
        <f t="shared" si="105"/>
        <v> </v>
      </c>
      <c r="J1168" s="18">
        <v>0</v>
      </c>
      <c r="K1168" s="18">
        <v>283.39999999999998</v>
      </c>
      <c r="L1168" s="18">
        <v>1521871.58</v>
      </c>
      <c r="M1168" t="s">
        <v>2661</v>
      </c>
    </row>
    <row r="1169" spans="1:13" ht="15" thickBot="1" x14ac:dyDescent="0.35">
      <c r="A1169" s="14">
        <v>1162</v>
      </c>
      <c r="B1169" s="15">
        <v>45582</v>
      </c>
      <c r="C1169" s="15">
        <v>45582</v>
      </c>
      <c r="D1169" s="16" t="s">
        <v>1192</v>
      </c>
      <c r="E1169" s="16" t="s">
        <v>1193</v>
      </c>
      <c r="F1169" s="16" t="s">
        <v>2014</v>
      </c>
      <c r="G1169" s="16" t="s">
        <v>1197</v>
      </c>
      <c r="H1169" s="14" t="str">
        <f>"20241017/111740"</f>
        <v>20241017/111740</v>
      </c>
      <c r="I1169" s="19" t="str">
        <f t="shared" si="105"/>
        <v> </v>
      </c>
      <c r="J1169" s="18">
        <v>283.39999999999998</v>
      </c>
      <c r="K1169" s="18">
        <v>0</v>
      </c>
      <c r="L1169" s="18">
        <v>1522154.98</v>
      </c>
      <c r="M1169" t="s">
        <v>2658</v>
      </c>
    </row>
    <row r="1170" spans="1:13" ht="15" thickBot="1" x14ac:dyDescent="0.35">
      <c r="A1170" s="14">
        <v>1163</v>
      </c>
      <c r="B1170" s="15">
        <v>45582</v>
      </c>
      <c r="C1170" s="15">
        <v>45582</v>
      </c>
      <c r="D1170" s="16" t="s">
        <v>1192</v>
      </c>
      <c r="E1170" s="16" t="s">
        <v>1193</v>
      </c>
      <c r="F1170" s="16" t="s">
        <v>2015</v>
      </c>
      <c r="G1170" s="16" t="s">
        <v>1197</v>
      </c>
      <c r="H1170" s="14" t="str">
        <f>"20241017/168619"</f>
        <v>20241017/168619</v>
      </c>
      <c r="I1170" s="19" t="str">
        <f t="shared" si="105"/>
        <v> </v>
      </c>
      <c r="J1170" s="18">
        <v>186211.7</v>
      </c>
      <c r="K1170" s="18">
        <v>0</v>
      </c>
      <c r="L1170" s="18">
        <v>1708366.68</v>
      </c>
    </row>
    <row r="1171" spans="1:13" ht="15" thickBot="1" x14ac:dyDescent="0.35">
      <c r="A1171" s="14">
        <v>1164</v>
      </c>
      <c r="B1171" s="15">
        <v>45582</v>
      </c>
      <c r="C1171" s="15">
        <v>45582</v>
      </c>
      <c r="D1171" s="16" t="s">
        <v>1192</v>
      </c>
      <c r="E1171" s="16" t="s">
        <v>1193</v>
      </c>
      <c r="F1171" s="16" t="s">
        <v>2016</v>
      </c>
      <c r="G1171" s="16" t="s">
        <v>1197</v>
      </c>
      <c r="H1171" s="14" t="str">
        <f>"20241017/168620"</f>
        <v>20241017/168620</v>
      </c>
      <c r="I1171" s="19" t="str">
        <f t="shared" si="105"/>
        <v> </v>
      </c>
      <c r="J1171" s="18">
        <v>550871.21</v>
      </c>
      <c r="K1171" s="18">
        <v>0</v>
      </c>
      <c r="L1171" s="18">
        <v>2259237.89</v>
      </c>
    </row>
    <row r="1172" spans="1:13" ht="15" thickBot="1" x14ac:dyDescent="0.35">
      <c r="A1172" s="14">
        <v>1165</v>
      </c>
      <c r="B1172" s="15">
        <v>45582</v>
      </c>
      <c r="C1172" s="15">
        <v>45582</v>
      </c>
      <c r="D1172" s="16" t="s">
        <v>1192</v>
      </c>
      <c r="E1172" s="16" t="s">
        <v>1193</v>
      </c>
      <c r="F1172" s="16" t="s">
        <v>2017</v>
      </c>
      <c r="G1172" s="16" t="s">
        <v>1197</v>
      </c>
      <c r="H1172" s="14" t="str">
        <f>"20241017/300771"</f>
        <v>20241017/300771</v>
      </c>
      <c r="I1172" s="19" t="str">
        <f t="shared" si="105"/>
        <v> </v>
      </c>
      <c r="J1172" s="18">
        <v>0</v>
      </c>
      <c r="K1172" s="18">
        <v>174941</v>
      </c>
      <c r="L1172" s="18">
        <v>2084296.89</v>
      </c>
    </row>
    <row r="1173" spans="1:13" ht="15" thickBot="1" x14ac:dyDescent="0.35">
      <c r="A1173" s="14">
        <v>1166</v>
      </c>
      <c r="B1173" s="15">
        <v>45582</v>
      </c>
      <c r="C1173" s="15">
        <v>45582</v>
      </c>
      <c r="D1173" s="16" t="s">
        <v>1192</v>
      </c>
      <c r="E1173" s="16" t="s">
        <v>1193</v>
      </c>
      <c r="F1173" s="16" t="s">
        <v>2018</v>
      </c>
      <c r="G1173" s="16" t="s">
        <v>1197</v>
      </c>
      <c r="H1173" s="14" t="str">
        <f>"20241017/300772"</f>
        <v>20241017/300772</v>
      </c>
      <c r="I1173" s="19" t="str">
        <f t="shared" si="105"/>
        <v> </v>
      </c>
      <c r="J1173" s="18">
        <v>0</v>
      </c>
      <c r="K1173" s="18">
        <v>556822.31999999995</v>
      </c>
      <c r="L1173" s="18">
        <v>1527474.57</v>
      </c>
    </row>
    <row r="1174" spans="1:13" ht="15" thickBot="1" x14ac:dyDescent="0.35">
      <c r="A1174" s="14">
        <v>1167</v>
      </c>
      <c r="B1174" s="15">
        <v>45583</v>
      </c>
      <c r="C1174" s="15">
        <v>45583</v>
      </c>
      <c r="D1174" s="16" t="s">
        <v>1192</v>
      </c>
      <c r="E1174" s="16" t="s">
        <v>1193</v>
      </c>
      <c r="F1174" s="16" t="s">
        <v>1194</v>
      </c>
      <c r="G1174" s="16" t="s">
        <v>1195</v>
      </c>
      <c r="H1174" s="14" t="str">
        <f>"20241018/100170"</f>
        <v>20241018/100170</v>
      </c>
      <c r="I1174" s="17" t="str">
        <f t="shared" si="105"/>
        <v> </v>
      </c>
      <c r="J1174" s="18">
        <v>0</v>
      </c>
      <c r="K1174" s="18">
        <v>585.75</v>
      </c>
      <c r="L1174" s="18">
        <v>1526888.82</v>
      </c>
      <c r="M1174" t="s">
        <v>2661</v>
      </c>
    </row>
    <row r="1175" spans="1:13" ht="15" thickBot="1" x14ac:dyDescent="0.35">
      <c r="A1175" s="14">
        <v>1168</v>
      </c>
      <c r="B1175" s="15">
        <v>45583</v>
      </c>
      <c r="C1175" s="15">
        <v>45583</v>
      </c>
      <c r="D1175" s="16" t="s">
        <v>1192</v>
      </c>
      <c r="E1175" s="16" t="s">
        <v>1193</v>
      </c>
      <c r="F1175" s="16" t="s">
        <v>1194</v>
      </c>
      <c r="G1175" s="16" t="s">
        <v>1195</v>
      </c>
      <c r="H1175" s="14" t="str">
        <f>"20241018/1381"</f>
        <v>20241018/1381</v>
      </c>
      <c r="I1175" s="17" t="str">
        <f t="shared" si="105"/>
        <v> </v>
      </c>
      <c r="J1175" s="18">
        <v>0</v>
      </c>
      <c r="K1175" s="18">
        <v>281.51</v>
      </c>
      <c r="L1175" s="18">
        <v>1526607.31</v>
      </c>
      <c r="M1175" t="s">
        <v>2661</v>
      </c>
    </row>
    <row r="1176" spans="1:13" ht="15" thickBot="1" x14ac:dyDescent="0.35">
      <c r="A1176" s="14">
        <v>1169</v>
      </c>
      <c r="B1176" s="15">
        <v>45583</v>
      </c>
      <c r="C1176" s="15">
        <v>45583</v>
      </c>
      <c r="D1176" s="16" t="s">
        <v>1192</v>
      </c>
      <c r="E1176" s="16" t="s">
        <v>1193</v>
      </c>
      <c r="F1176" s="16" t="s">
        <v>2019</v>
      </c>
      <c r="G1176" s="16" t="s">
        <v>1197</v>
      </c>
      <c r="H1176" s="14" t="str">
        <f>"20241018/105354"</f>
        <v>20241018/105354</v>
      </c>
      <c r="I1176" s="19" t="str">
        <f t="shared" si="105"/>
        <v> </v>
      </c>
      <c r="J1176" s="18">
        <v>281.51</v>
      </c>
      <c r="K1176" s="18">
        <v>0</v>
      </c>
      <c r="L1176" s="18">
        <v>1526888.82</v>
      </c>
      <c r="M1176" t="s">
        <v>2658</v>
      </c>
    </row>
    <row r="1177" spans="1:13" ht="15" thickBot="1" x14ac:dyDescent="0.35">
      <c r="A1177" s="14">
        <v>1170</v>
      </c>
      <c r="B1177" s="15">
        <v>45583</v>
      </c>
      <c r="C1177" s="15">
        <v>45583</v>
      </c>
      <c r="D1177" s="16" t="s">
        <v>1192</v>
      </c>
      <c r="E1177" s="16" t="s">
        <v>1193</v>
      </c>
      <c r="F1177" s="16" t="s">
        <v>2020</v>
      </c>
      <c r="G1177" s="16" t="s">
        <v>1197</v>
      </c>
      <c r="H1177" s="14" t="str">
        <f>"20241018/155187"</f>
        <v>20241018/155187</v>
      </c>
      <c r="I1177" s="19" t="str">
        <f t="shared" si="105"/>
        <v> </v>
      </c>
      <c r="J1177" s="18">
        <v>550040.66</v>
      </c>
      <c r="K1177" s="18">
        <v>0</v>
      </c>
      <c r="L1177" s="18">
        <v>2076929.48</v>
      </c>
    </row>
    <row r="1178" spans="1:13" ht="15" thickBot="1" x14ac:dyDescent="0.35">
      <c r="A1178" s="14">
        <v>1171</v>
      </c>
      <c r="B1178" s="15">
        <v>45583</v>
      </c>
      <c r="C1178" s="15">
        <v>45583</v>
      </c>
      <c r="D1178" s="16" t="s">
        <v>1192</v>
      </c>
      <c r="E1178" s="16" t="s">
        <v>1193</v>
      </c>
      <c r="F1178" s="16" t="s">
        <v>2021</v>
      </c>
      <c r="G1178" s="16" t="s">
        <v>1197</v>
      </c>
      <c r="H1178" s="14" t="str">
        <f>"20241018/155188"</f>
        <v>20241018/155188</v>
      </c>
      <c r="I1178" s="19" t="str">
        <f t="shared" si="105"/>
        <v> </v>
      </c>
      <c r="J1178" s="18">
        <v>187628</v>
      </c>
      <c r="K1178" s="18">
        <v>0</v>
      </c>
      <c r="L1178" s="18">
        <v>2264557.48</v>
      </c>
    </row>
    <row r="1179" spans="1:13" ht="15" thickBot="1" x14ac:dyDescent="0.35">
      <c r="A1179" s="14">
        <v>1172</v>
      </c>
      <c r="B1179" s="15">
        <v>45583</v>
      </c>
      <c r="C1179" s="15">
        <v>45583</v>
      </c>
      <c r="D1179" s="16" t="s">
        <v>1192</v>
      </c>
      <c r="E1179" s="16" t="s">
        <v>1193</v>
      </c>
      <c r="F1179" s="16" t="s">
        <v>2022</v>
      </c>
      <c r="G1179" s="16" t="s">
        <v>1197</v>
      </c>
      <c r="H1179" s="14" t="str">
        <f>"20241018/295164"</f>
        <v>20241018/295164</v>
      </c>
      <c r="I1179" s="19" t="str">
        <f t="shared" si="105"/>
        <v> </v>
      </c>
      <c r="J1179" s="18">
        <v>0</v>
      </c>
      <c r="K1179" s="18">
        <v>186211.7</v>
      </c>
      <c r="L1179" s="18">
        <v>2078345.78</v>
      </c>
    </row>
    <row r="1180" spans="1:13" ht="15" thickBot="1" x14ac:dyDescent="0.35">
      <c r="A1180" s="14">
        <v>1173</v>
      </c>
      <c r="B1180" s="15">
        <v>45583</v>
      </c>
      <c r="C1180" s="15">
        <v>45583</v>
      </c>
      <c r="D1180" s="16" t="s">
        <v>1192</v>
      </c>
      <c r="E1180" s="16" t="s">
        <v>1193</v>
      </c>
      <c r="F1180" s="16" t="s">
        <v>2023</v>
      </c>
      <c r="G1180" s="16" t="s">
        <v>1197</v>
      </c>
      <c r="H1180" s="14" t="str">
        <f>"20241018/295165"</f>
        <v>20241018/295165</v>
      </c>
      <c r="I1180" s="19" t="str">
        <f t="shared" si="105"/>
        <v> </v>
      </c>
      <c r="J1180" s="18">
        <v>0</v>
      </c>
      <c r="K1180" s="18">
        <v>550871.21</v>
      </c>
      <c r="L1180" s="18">
        <v>1527474.57</v>
      </c>
    </row>
    <row r="1181" spans="1:13" ht="15" thickBot="1" x14ac:dyDescent="0.35">
      <c r="A1181" s="14">
        <v>1174</v>
      </c>
      <c r="B1181" s="15">
        <v>45586</v>
      </c>
      <c r="C1181" s="15">
        <v>45586</v>
      </c>
      <c r="D1181" s="16" t="s">
        <v>1192</v>
      </c>
      <c r="E1181" s="16" t="s">
        <v>1193</v>
      </c>
      <c r="F1181" s="16" t="s">
        <v>1194</v>
      </c>
      <c r="G1181" s="16" t="s">
        <v>1195</v>
      </c>
      <c r="H1181" s="14" t="str">
        <f>"20241021/29505"</f>
        <v>20241021/29505</v>
      </c>
      <c r="I1181" s="17" t="str">
        <f t="shared" si="105"/>
        <v> </v>
      </c>
      <c r="J1181" s="18">
        <v>0</v>
      </c>
      <c r="K1181" s="18">
        <v>843.9</v>
      </c>
      <c r="L1181" s="18">
        <v>1526630.67</v>
      </c>
      <c r="M1181" t="s">
        <v>2661</v>
      </c>
    </row>
    <row r="1182" spans="1:13" ht="15" thickBot="1" x14ac:dyDescent="0.35">
      <c r="A1182" s="14">
        <v>1175</v>
      </c>
      <c r="B1182" s="15">
        <v>45586</v>
      </c>
      <c r="C1182" s="15">
        <v>45586</v>
      </c>
      <c r="D1182" s="16" t="s">
        <v>1192</v>
      </c>
      <c r="E1182" s="16" t="s">
        <v>1193</v>
      </c>
      <c r="F1182" s="16" t="s">
        <v>1194</v>
      </c>
      <c r="G1182" s="16" t="s">
        <v>1195</v>
      </c>
      <c r="H1182" s="14" t="str">
        <f>"20241021/98466"</f>
        <v>20241021/98466</v>
      </c>
      <c r="I1182" s="17" t="str">
        <f t="shared" si="105"/>
        <v> </v>
      </c>
      <c r="J1182" s="18">
        <v>0</v>
      </c>
      <c r="K1182" s="18">
        <v>9525.09</v>
      </c>
      <c r="L1182" s="18">
        <v>1517105.58</v>
      </c>
      <c r="M1182" t="s">
        <v>2661</v>
      </c>
    </row>
    <row r="1183" spans="1:13" ht="15" thickBot="1" x14ac:dyDescent="0.35">
      <c r="A1183" s="14">
        <v>1176</v>
      </c>
      <c r="B1183" s="15">
        <v>45586</v>
      </c>
      <c r="C1183" s="15">
        <v>45586</v>
      </c>
      <c r="D1183" s="16" t="s">
        <v>1192</v>
      </c>
      <c r="E1183" s="16" t="s">
        <v>1193</v>
      </c>
      <c r="F1183" s="16" t="s">
        <v>2024</v>
      </c>
      <c r="G1183" s="16" t="s">
        <v>1197</v>
      </c>
      <c r="H1183" s="14" t="str">
        <f>"20241021/115400"</f>
        <v>20241021/115400</v>
      </c>
      <c r="I1183" s="19" t="str">
        <f t="shared" si="105"/>
        <v> </v>
      </c>
      <c r="J1183" s="18">
        <v>843.9</v>
      </c>
      <c r="K1183" s="18">
        <v>0</v>
      </c>
      <c r="L1183" s="18">
        <v>1517949.48</v>
      </c>
      <c r="M1183" t="s">
        <v>2658</v>
      </c>
    </row>
    <row r="1184" spans="1:13" ht="15" thickBot="1" x14ac:dyDescent="0.35">
      <c r="A1184" s="14">
        <v>1177</v>
      </c>
      <c r="B1184" s="15">
        <v>45586</v>
      </c>
      <c r="C1184" s="15">
        <v>45586</v>
      </c>
      <c r="D1184" s="16" t="s">
        <v>1192</v>
      </c>
      <c r="E1184" s="16" t="s">
        <v>1193</v>
      </c>
      <c r="F1184" s="16" t="s">
        <v>2025</v>
      </c>
      <c r="G1184" s="16" t="s">
        <v>1197</v>
      </c>
      <c r="H1184" s="14" t="str">
        <f>"20241021/179300"</f>
        <v>20241021/179300</v>
      </c>
      <c r="I1184" s="19" t="str">
        <f t="shared" si="105"/>
        <v> </v>
      </c>
      <c r="J1184" s="18">
        <v>549363.80000000005</v>
      </c>
      <c r="K1184" s="18">
        <v>0</v>
      </c>
      <c r="L1184" s="18">
        <v>2067313.28</v>
      </c>
    </row>
    <row r="1185" spans="1:13" ht="15" thickBot="1" x14ac:dyDescent="0.35">
      <c r="A1185" s="14">
        <v>1178</v>
      </c>
      <c r="B1185" s="15">
        <v>45586</v>
      </c>
      <c r="C1185" s="15">
        <v>45586</v>
      </c>
      <c r="D1185" s="16" t="s">
        <v>1192</v>
      </c>
      <c r="E1185" s="16" t="s">
        <v>1193</v>
      </c>
      <c r="F1185" s="16" t="s">
        <v>2026</v>
      </c>
      <c r="G1185" s="16" t="s">
        <v>1197</v>
      </c>
      <c r="H1185" s="14" t="str">
        <f>"20241021/179301"</f>
        <v>20241021/179301</v>
      </c>
      <c r="I1185" s="19" t="str">
        <f t="shared" si="105"/>
        <v> </v>
      </c>
      <c r="J1185" s="18">
        <v>197829.95</v>
      </c>
      <c r="K1185" s="18">
        <v>0</v>
      </c>
      <c r="L1185" s="18">
        <v>2265143.23</v>
      </c>
    </row>
    <row r="1186" spans="1:13" ht="15" thickBot="1" x14ac:dyDescent="0.35">
      <c r="A1186" s="14">
        <v>1179</v>
      </c>
      <c r="B1186" s="15">
        <v>45586</v>
      </c>
      <c r="C1186" s="15">
        <v>45586</v>
      </c>
      <c r="D1186" s="16" t="s">
        <v>1192</v>
      </c>
      <c r="E1186" s="16" t="s">
        <v>1193</v>
      </c>
      <c r="F1186" s="16" t="s">
        <v>2027</v>
      </c>
      <c r="G1186" s="16" t="s">
        <v>1197</v>
      </c>
      <c r="H1186" s="14" t="str">
        <f>"20241021/273022"</f>
        <v>20241021/273022</v>
      </c>
      <c r="I1186" s="19" t="str">
        <f t="shared" si="105"/>
        <v> </v>
      </c>
      <c r="J1186" s="18">
        <v>0</v>
      </c>
      <c r="K1186" s="18">
        <v>550040.66</v>
      </c>
      <c r="L1186" s="18">
        <v>1715102.57</v>
      </c>
    </row>
    <row r="1187" spans="1:13" ht="15" thickBot="1" x14ac:dyDescent="0.35">
      <c r="A1187" s="14">
        <v>1180</v>
      </c>
      <c r="B1187" s="15">
        <v>45586</v>
      </c>
      <c r="C1187" s="15">
        <v>45586</v>
      </c>
      <c r="D1187" s="16" t="s">
        <v>1192</v>
      </c>
      <c r="E1187" s="16" t="s">
        <v>1193</v>
      </c>
      <c r="F1187" s="16" t="s">
        <v>2028</v>
      </c>
      <c r="G1187" s="16" t="s">
        <v>1197</v>
      </c>
      <c r="H1187" s="14" t="str">
        <f>"20241021/273023"</f>
        <v>20241021/273023</v>
      </c>
      <c r="I1187" s="19" t="str">
        <f t="shared" si="105"/>
        <v> </v>
      </c>
      <c r="J1187" s="18">
        <v>0</v>
      </c>
      <c r="K1187" s="18">
        <v>187628</v>
      </c>
      <c r="L1187" s="18">
        <v>1527474.57</v>
      </c>
    </row>
    <row r="1188" spans="1:13" ht="15" thickBot="1" x14ac:dyDescent="0.35">
      <c r="A1188" s="14">
        <v>1181</v>
      </c>
      <c r="B1188" s="15">
        <v>45586</v>
      </c>
      <c r="C1188" s="15">
        <v>45587</v>
      </c>
      <c r="D1188" s="16" t="s">
        <v>1192</v>
      </c>
      <c r="E1188" s="16" t="s">
        <v>1193</v>
      </c>
      <c r="F1188" s="16" t="s">
        <v>2029</v>
      </c>
      <c r="G1188" s="16" t="s">
        <v>1197</v>
      </c>
      <c r="H1188" s="14" t="str">
        <f>"20241021/361839"</f>
        <v>20241021/361839</v>
      </c>
      <c r="I1188" s="19" t="str">
        <f>"2410006247791"</f>
        <v>2410006247791</v>
      </c>
      <c r="J1188" s="18">
        <v>17903.87</v>
      </c>
      <c r="K1188" s="18">
        <v>0</v>
      </c>
      <c r="L1188" s="18">
        <v>1545378.44</v>
      </c>
    </row>
    <row r="1189" spans="1:13" ht="15" thickBot="1" x14ac:dyDescent="0.35">
      <c r="A1189" s="14">
        <v>1182</v>
      </c>
      <c r="B1189" s="15">
        <v>45587</v>
      </c>
      <c r="C1189" s="15">
        <v>45587</v>
      </c>
      <c r="D1189" s="16" t="s">
        <v>1192</v>
      </c>
      <c r="E1189" s="16" t="s">
        <v>1193</v>
      </c>
      <c r="F1189" s="16" t="s">
        <v>1194</v>
      </c>
      <c r="G1189" s="16" t="s">
        <v>1195</v>
      </c>
      <c r="H1189" s="14" t="str">
        <f>"20241022/118188"</f>
        <v>20241022/118188</v>
      </c>
      <c r="I1189" s="17" t="str">
        <f t="shared" ref="I1189:I1195" si="106">" "</f>
        <v> </v>
      </c>
      <c r="J1189" s="18">
        <v>0</v>
      </c>
      <c r="K1189" s="18">
        <v>30176.87</v>
      </c>
      <c r="L1189" s="18">
        <v>1515201.57</v>
      </c>
      <c r="M1189" t="s">
        <v>2661</v>
      </c>
    </row>
    <row r="1190" spans="1:13" ht="15" thickBot="1" x14ac:dyDescent="0.35">
      <c r="A1190" s="14">
        <v>1183</v>
      </c>
      <c r="B1190" s="15">
        <v>45587</v>
      </c>
      <c r="C1190" s="15">
        <v>45587</v>
      </c>
      <c r="D1190" s="16" t="s">
        <v>1192</v>
      </c>
      <c r="E1190" s="16" t="s">
        <v>1193</v>
      </c>
      <c r="F1190" s="16" t="s">
        <v>1194</v>
      </c>
      <c r="G1190" s="16" t="s">
        <v>1195</v>
      </c>
      <c r="H1190" s="14" t="str">
        <f>"20241022/21594"</f>
        <v>20241022/21594</v>
      </c>
      <c r="I1190" s="17" t="str">
        <f t="shared" si="106"/>
        <v> </v>
      </c>
      <c r="J1190" s="18">
        <v>0</v>
      </c>
      <c r="K1190" s="18">
        <v>277.91000000000003</v>
      </c>
      <c r="L1190" s="18">
        <v>1514923.66</v>
      </c>
      <c r="M1190" t="s">
        <v>2661</v>
      </c>
    </row>
    <row r="1191" spans="1:13" ht="15" thickBot="1" x14ac:dyDescent="0.35">
      <c r="A1191" s="14">
        <v>1184</v>
      </c>
      <c r="B1191" s="15">
        <v>45587</v>
      </c>
      <c r="C1191" s="15">
        <v>45587</v>
      </c>
      <c r="D1191" s="16" t="s">
        <v>1192</v>
      </c>
      <c r="E1191" s="16" t="s">
        <v>1193</v>
      </c>
      <c r="F1191" s="16" t="s">
        <v>2030</v>
      </c>
      <c r="G1191" s="16" t="s">
        <v>1197</v>
      </c>
      <c r="H1191" s="14" t="str">
        <f>"20241022/124695"</f>
        <v>20241022/124695</v>
      </c>
      <c r="I1191" s="19" t="str">
        <f t="shared" si="106"/>
        <v> </v>
      </c>
      <c r="J1191" s="18">
        <v>277.91000000000003</v>
      </c>
      <c r="K1191" s="18">
        <v>0</v>
      </c>
      <c r="L1191" s="18">
        <v>1515201.57</v>
      </c>
      <c r="M1191" t="s">
        <v>2658</v>
      </c>
    </row>
    <row r="1192" spans="1:13" ht="15" thickBot="1" x14ac:dyDescent="0.35">
      <c r="A1192" s="14">
        <v>1185</v>
      </c>
      <c r="B1192" s="15">
        <v>45587</v>
      </c>
      <c r="C1192" s="15">
        <v>45587</v>
      </c>
      <c r="D1192" s="16" t="s">
        <v>1192</v>
      </c>
      <c r="E1192" s="16" t="s">
        <v>1193</v>
      </c>
      <c r="F1192" s="16" t="s">
        <v>2031</v>
      </c>
      <c r="G1192" s="16" t="s">
        <v>1197</v>
      </c>
      <c r="H1192" s="14" t="str">
        <f>"20241022/208628"</f>
        <v>20241022/208628</v>
      </c>
      <c r="I1192" s="19" t="str">
        <f t="shared" si="106"/>
        <v> </v>
      </c>
      <c r="J1192" s="18">
        <v>536365.68999999994</v>
      </c>
      <c r="K1192" s="18">
        <v>0</v>
      </c>
      <c r="L1192" s="18">
        <v>2051567.26</v>
      </c>
    </row>
    <row r="1193" spans="1:13" ht="15" thickBot="1" x14ac:dyDescent="0.35">
      <c r="A1193" s="14">
        <v>1186</v>
      </c>
      <c r="B1193" s="15">
        <v>45587</v>
      </c>
      <c r="C1193" s="15">
        <v>45587</v>
      </c>
      <c r="D1193" s="16" t="s">
        <v>1192</v>
      </c>
      <c r="E1193" s="16" t="s">
        <v>1193</v>
      </c>
      <c r="F1193" s="16" t="s">
        <v>2032</v>
      </c>
      <c r="G1193" s="16" t="s">
        <v>1197</v>
      </c>
      <c r="H1193" s="14" t="str">
        <f>"20241022/208629"</f>
        <v>20241022/208629</v>
      </c>
      <c r="I1193" s="19" t="str">
        <f t="shared" si="106"/>
        <v> </v>
      </c>
      <c r="J1193" s="18">
        <v>241004.93</v>
      </c>
      <c r="K1193" s="18">
        <v>0</v>
      </c>
      <c r="L1193" s="18">
        <v>2292572.19</v>
      </c>
    </row>
    <row r="1194" spans="1:13" ht="15" thickBot="1" x14ac:dyDescent="0.35">
      <c r="A1194" s="14">
        <v>1187</v>
      </c>
      <c r="B1194" s="15">
        <v>45587</v>
      </c>
      <c r="C1194" s="15">
        <v>45587</v>
      </c>
      <c r="D1194" s="16" t="s">
        <v>1192</v>
      </c>
      <c r="E1194" s="16" t="s">
        <v>1193</v>
      </c>
      <c r="F1194" s="16" t="s">
        <v>2033</v>
      </c>
      <c r="G1194" s="16" t="s">
        <v>1197</v>
      </c>
      <c r="H1194" s="14" t="str">
        <f>"20241022/270902"</f>
        <v>20241022/270902</v>
      </c>
      <c r="I1194" s="19" t="str">
        <f t="shared" si="106"/>
        <v> </v>
      </c>
      <c r="J1194" s="18">
        <v>0</v>
      </c>
      <c r="K1194" s="18">
        <v>549363.80000000005</v>
      </c>
      <c r="L1194" s="18">
        <v>1743208.39</v>
      </c>
    </row>
    <row r="1195" spans="1:13" ht="15" thickBot="1" x14ac:dyDescent="0.35">
      <c r="A1195" s="14">
        <v>1188</v>
      </c>
      <c r="B1195" s="15">
        <v>45587</v>
      </c>
      <c r="C1195" s="15">
        <v>45587</v>
      </c>
      <c r="D1195" s="16" t="s">
        <v>1192</v>
      </c>
      <c r="E1195" s="16" t="s">
        <v>1193</v>
      </c>
      <c r="F1195" s="16" t="s">
        <v>2034</v>
      </c>
      <c r="G1195" s="16" t="s">
        <v>1197</v>
      </c>
      <c r="H1195" s="14" t="str">
        <f>"20241022/270903"</f>
        <v>20241022/270903</v>
      </c>
      <c r="I1195" s="19" t="str">
        <f t="shared" si="106"/>
        <v> </v>
      </c>
      <c r="J1195" s="18">
        <v>0</v>
      </c>
      <c r="K1195" s="18">
        <v>197829.95</v>
      </c>
      <c r="L1195" s="18">
        <v>1545378.44</v>
      </c>
    </row>
    <row r="1196" spans="1:13" ht="15" thickBot="1" x14ac:dyDescent="0.35">
      <c r="A1196" s="14">
        <v>1189</v>
      </c>
      <c r="B1196" s="15">
        <v>45587</v>
      </c>
      <c r="C1196" s="15">
        <v>45588</v>
      </c>
      <c r="D1196" s="16" t="s">
        <v>1192</v>
      </c>
      <c r="E1196" s="16" t="s">
        <v>1193</v>
      </c>
      <c r="F1196" s="16" t="s">
        <v>2035</v>
      </c>
      <c r="G1196" s="16" t="s">
        <v>1197</v>
      </c>
      <c r="H1196" s="14" t="str">
        <f>"20241022/365535"</f>
        <v>20241022/365535</v>
      </c>
      <c r="I1196" s="19" t="str">
        <f>"2410006706506"</f>
        <v>2410006706506</v>
      </c>
      <c r="J1196" s="18">
        <v>21174.57</v>
      </c>
      <c r="K1196" s="18">
        <v>0</v>
      </c>
      <c r="L1196" s="18">
        <v>1566553.01</v>
      </c>
    </row>
    <row r="1197" spans="1:13" ht="15" thickBot="1" x14ac:dyDescent="0.35">
      <c r="A1197" s="14">
        <v>1190</v>
      </c>
      <c r="B1197" s="15">
        <v>45588</v>
      </c>
      <c r="C1197" s="15">
        <v>45588</v>
      </c>
      <c r="D1197" s="16" t="s">
        <v>1192</v>
      </c>
      <c r="E1197" s="16" t="s">
        <v>1193</v>
      </c>
      <c r="F1197" s="16" t="s">
        <v>1194</v>
      </c>
      <c r="G1197" s="16" t="s">
        <v>1195</v>
      </c>
      <c r="H1197" s="14" t="str">
        <f>"20241023/9813"</f>
        <v>20241023/9813</v>
      </c>
      <c r="I1197" s="17" t="str">
        <f t="shared" ref="I1197:I1231" si="107">" "</f>
        <v> </v>
      </c>
      <c r="J1197" s="18">
        <v>0</v>
      </c>
      <c r="K1197" s="18">
        <v>273.54000000000002</v>
      </c>
      <c r="L1197" s="18">
        <v>1566279.47</v>
      </c>
      <c r="M1197" t="s">
        <v>2661</v>
      </c>
    </row>
    <row r="1198" spans="1:13" ht="15" thickBot="1" x14ac:dyDescent="0.35">
      <c r="A1198" s="14">
        <v>1191</v>
      </c>
      <c r="B1198" s="15">
        <v>45588</v>
      </c>
      <c r="C1198" s="15">
        <v>45588</v>
      </c>
      <c r="D1198" s="16" t="s">
        <v>1192</v>
      </c>
      <c r="E1198" s="16" t="s">
        <v>1193</v>
      </c>
      <c r="F1198" s="16" t="s">
        <v>2036</v>
      </c>
      <c r="G1198" s="16" t="s">
        <v>1197</v>
      </c>
      <c r="H1198" s="14" t="str">
        <f>"20241023/114029"</f>
        <v>20241023/114029</v>
      </c>
      <c r="I1198" s="19" t="str">
        <f t="shared" si="107"/>
        <v> </v>
      </c>
      <c r="J1198" s="18">
        <v>273.54000000000002</v>
      </c>
      <c r="K1198" s="18">
        <v>0</v>
      </c>
      <c r="L1198" s="18">
        <v>1566553.01</v>
      </c>
      <c r="M1198" t="s">
        <v>2658</v>
      </c>
    </row>
    <row r="1199" spans="1:13" ht="15" thickBot="1" x14ac:dyDescent="0.35">
      <c r="A1199" s="14">
        <v>1192</v>
      </c>
      <c r="B1199" s="15">
        <v>45588</v>
      </c>
      <c r="C1199" s="15">
        <v>45588</v>
      </c>
      <c r="D1199" s="16" t="s">
        <v>1192</v>
      </c>
      <c r="E1199" s="16" t="s">
        <v>1193</v>
      </c>
      <c r="F1199" s="16" t="s">
        <v>2037</v>
      </c>
      <c r="G1199" s="16" t="s">
        <v>1197</v>
      </c>
      <c r="H1199" s="14" t="str">
        <f>"20241023/187802"</f>
        <v>20241023/187802</v>
      </c>
      <c r="I1199" s="19" t="str">
        <f t="shared" si="107"/>
        <v> </v>
      </c>
      <c r="J1199" s="18">
        <v>540562.41</v>
      </c>
      <c r="K1199" s="18">
        <v>0</v>
      </c>
      <c r="L1199" s="18">
        <v>2107115.42</v>
      </c>
    </row>
    <row r="1200" spans="1:13" ht="15" thickBot="1" x14ac:dyDescent="0.35">
      <c r="A1200" s="14">
        <v>1193</v>
      </c>
      <c r="B1200" s="15">
        <v>45588</v>
      </c>
      <c r="C1200" s="15">
        <v>45588</v>
      </c>
      <c r="D1200" s="16" t="s">
        <v>1192</v>
      </c>
      <c r="E1200" s="16" t="s">
        <v>1193</v>
      </c>
      <c r="F1200" s="16" t="s">
        <v>2038</v>
      </c>
      <c r="G1200" s="16" t="s">
        <v>1197</v>
      </c>
      <c r="H1200" s="14" t="str">
        <f>"20241023/187803"</f>
        <v>20241023/187803</v>
      </c>
      <c r="I1200" s="19" t="str">
        <f t="shared" si="107"/>
        <v> </v>
      </c>
      <c r="J1200" s="18">
        <v>231085.2</v>
      </c>
      <c r="K1200" s="18">
        <v>0</v>
      </c>
      <c r="L1200" s="18">
        <v>2338200.62</v>
      </c>
    </row>
    <row r="1201" spans="1:13" ht="15" thickBot="1" x14ac:dyDescent="0.35">
      <c r="A1201" s="14">
        <v>1194</v>
      </c>
      <c r="B1201" s="15">
        <v>45588</v>
      </c>
      <c r="C1201" s="15">
        <v>45588</v>
      </c>
      <c r="D1201" s="16" t="s">
        <v>1192</v>
      </c>
      <c r="E1201" s="16" t="s">
        <v>1193</v>
      </c>
      <c r="F1201" s="16" t="s">
        <v>2039</v>
      </c>
      <c r="G1201" s="16" t="s">
        <v>1197</v>
      </c>
      <c r="H1201" s="14" t="str">
        <f>"20241023/264984"</f>
        <v>20241023/264984</v>
      </c>
      <c r="I1201" s="19" t="str">
        <f t="shared" si="107"/>
        <v> </v>
      </c>
      <c r="J1201" s="18">
        <v>0</v>
      </c>
      <c r="K1201" s="18">
        <v>536365.68999999994</v>
      </c>
      <c r="L1201" s="18">
        <v>1801834.93</v>
      </c>
    </row>
    <row r="1202" spans="1:13" ht="15" thickBot="1" x14ac:dyDescent="0.35">
      <c r="A1202" s="14">
        <v>1195</v>
      </c>
      <c r="B1202" s="15">
        <v>45588</v>
      </c>
      <c r="C1202" s="15">
        <v>45588</v>
      </c>
      <c r="D1202" s="16" t="s">
        <v>1192</v>
      </c>
      <c r="E1202" s="16" t="s">
        <v>1193</v>
      </c>
      <c r="F1202" s="16" t="s">
        <v>2040</v>
      </c>
      <c r="G1202" s="16" t="s">
        <v>1197</v>
      </c>
      <c r="H1202" s="14" t="str">
        <f>"20241023/264985"</f>
        <v>20241023/264985</v>
      </c>
      <c r="I1202" s="19" t="str">
        <f t="shared" si="107"/>
        <v> </v>
      </c>
      <c r="J1202" s="18">
        <v>0</v>
      </c>
      <c r="K1202" s="18">
        <v>241004.93</v>
      </c>
      <c r="L1202" s="18">
        <v>1560830</v>
      </c>
    </row>
    <row r="1203" spans="1:13" ht="15" thickBot="1" x14ac:dyDescent="0.35">
      <c r="A1203" s="14">
        <v>1196</v>
      </c>
      <c r="B1203" s="15">
        <v>45589</v>
      </c>
      <c r="C1203" s="15">
        <v>45589</v>
      </c>
      <c r="D1203" s="16" t="s">
        <v>1192</v>
      </c>
      <c r="E1203" s="16" t="s">
        <v>1193</v>
      </c>
      <c r="F1203" s="16" t="s">
        <v>1202</v>
      </c>
      <c r="G1203" s="16" t="s">
        <v>1203</v>
      </c>
      <c r="H1203" s="14" t="str">
        <f>"20241024/6693"</f>
        <v>20241024/6693</v>
      </c>
      <c r="I1203" s="17" t="str">
        <f t="shared" si="107"/>
        <v> </v>
      </c>
      <c r="J1203" s="18">
        <v>5723.01</v>
      </c>
      <c r="K1203" s="18">
        <v>0</v>
      </c>
      <c r="L1203" s="18">
        <v>1566553.01</v>
      </c>
      <c r="M1203" t="s">
        <v>2661</v>
      </c>
    </row>
    <row r="1204" spans="1:13" ht="15" thickBot="1" x14ac:dyDescent="0.35">
      <c r="A1204" s="14">
        <v>1197</v>
      </c>
      <c r="B1204" s="15">
        <v>45589</v>
      </c>
      <c r="C1204" s="15">
        <v>45589</v>
      </c>
      <c r="D1204" s="16" t="s">
        <v>1192</v>
      </c>
      <c r="E1204" s="16" t="s">
        <v>1193</v>
      </c>
      <c r="F1204" s="16" t="s">
        <v>1194</v>
      </c>
      <c r="G1204" s="16" t="s">
        <v>1195</v>
      </c>
      <c r="H1204" s="14" t="str">
        <f>"20241024/3506"</f>
        <v>20241024/3506</v>
      </c>
      <c r="I1204" s="17" t="str">
        <f t="shared" si="107"/>
        <v> </v>
      </c>
      <c r="J1204" s="18">
        <v>0</v>
      </c>
      <c r="K1204" s="18">
        <v>281.08</v>
      </c>
      <c r="L1204" s="18">
        <v>1566271.93</v>
      </c>
      <c r="M1204" t="s">
        <v>2661</v>
      </c>
    </row>
    <row r="1205" spans="1:13" ht="15" thickBot="1" x14ac:dyDescent="0.35">
      <c r="A1205" s="14">
        <v>1198</v>
      </c>
      <c r="B1205" s="15">
        <v>45589</v>
      </c>
      <c r="C1205" s="15">
        <v>45589</v>
      </c>
      <c r="D1205" s="16" t="s">
        <v>1192</v>
      </c>
      <c r="E1205" s="16" t="s">
        <v>1193</v>
      </c>
      <c r="F1205" s="16" t="s">
        <v>1194</v>
      </c>
      <c r="G1205" s="16" t="s">
        <v>1195</v>
      </c>
      <c r="H1205" s="14" t="str">
        <f>"20241024/98220"</f>
        <v>20241024/98220</v>
      </c>
      <c r="I1205" s="17" t="str">
        <f t="shared" si="107"/>
        <v> </v>
      </c>
      <c r="J1205" s="18">
        <v>0</v>
      </c>
      <c r="K1205" s="18">
        <v>7547.43</v>
      </c>
      <c r="L1205" s="18">
        <v>1558724.5</v>
      </c>
      <c r="M1205" t="s">
        <v>2661</v>
      </c>
    </row>
    <row r="1206" spans="1:13" ht="15" thickBot="1" x14ac:dyDescent="0.35">
      <c r="A1206" s="14">
        <v>1199</v>
      </c>
      <c r="B1206" s="15">
        <v>45589</v>
      </c>
      <c r="C1206" s="15">
        <v>45589</v>
      </c>
      <c r="D1206" s="16" t="s">
        <v>1192</v>
      </c>
      <c r="E1206" s="16" t="s">
        <v>1193</v>
      </c>
      <c r="F1206" s="16" t="s">
        <v>2041</v>
      </c>
      <c r="G1206" s="16" t="s">
        <v>1197</v>
      </c>
      <c r="H1206" s="14" t="str">
        <f>"20241024/127455"</f>
        <v>20241024/127455</v>
      </c>
      <c r="I1206" s="19" t="str">
        <f t="shared" si="107"/>
        <v> </v>
      </c>
      <c r="J1206" s="18">
        <v>281.08</v>
      </c>
      <c r="K1206" s="18">
        <v>0</v>
      </c>
      <c r="L1206" s="18">
        <v>1559005.58</v>
      </c>
      <c r="M1206" t="s">
        <v>2658</v>
      </c>
    </row>
    <row r="1207" spans="1:13" ht="15" thickBot="1" x14ac:dyDescent="0.35">
      <c r="A1207" s="14">
        <v>1200</v>
      </c>
      <c r="B1207" s="15">
        <v>45589</v>
      </c>
      <c r="C1207" s="15">
        <v>45589</v>
      </c>
      <c r="D1207" s="16" t="s">
        <v>1192</v>
      </c>
      <c r="E1207" s="16" t="s">
        <v>1193</v>
      </c>
      <c r="F1207" s="16" t="s">
        <v>2042</v>
      </c>
      <c r="G1207" s="16" t="s">
        <v>1197</v>
      </c>
      <c r="H1207" s="14" t="str">
        <f>"20241024/180436"</f>
        <v>20241024/180436</v>
      </c>
      <c r="I1207" s="19" t="str">
        <f t="shared" si="107"/>
        <v> </v>
      </c>
      <c r="J1207" s="18">
        <v>241180.95</v>
      </c>
      <c r="K1207" s="18">
        <v>0</v>
      </c>
      <c r="L1207" s="18">
        <v>1800186.53</v>
      </c>
    </row>
    <row r="1208" spans="1:13" ht="15" thickBot="1" x14ac:dyDescent="0.35">
      <c r="A1208" s="14">
        <v>1201</v>
      </c>
      <c r="B1208" s="15">
        <v>45589</v>
      </c>
      <c r="C1208" s="15">
        <v>45589</v>
      </c>
      <c r="D1208" s="16" t="s">
        <v>1192</v>
      </c>
      <c r="E1208" s="16" t="s">
        <v>1193</v>
      </c>
      <c r="F1208" s="16" t="s">
        <v>2043</v>
      </c>
      <c r="G1208" s="16" t="s">
        <v>1197</v>
      </c>
      <c r="H1208" s="14" t="str">
        <f>"20241024/180437"</f>
        <v>20241024/180437</v>
      </c>
      <c r="I1208" s="19" t="str">
        <f t="shared" si="107"/>
        <v> </v>
      </c>
      <c r="J1208" s="18">
        <v>538014.09</v>
      </c>
      <c r="K1208" s="18">
        <v>0</v>
      </c>
      <c r="L1208" s="18">
        <v>2338200.62</v>
      </c>
    </row>
    <row r="1209" spans="1:13" ht="15" thickBot="1" x14ac:dyDescent="0.35">
      <c r="A1209" s="14">
        <v>1202</v>
      </c>
      <c r="B1209" s="15">
        <v>45589</v>
      </c>
      <c r="C1209" s="15">
        <v>45589</v>
      </c>
      <c r="D1209" s="16" t="s">
        <v>1192</v>
      </c>
      <c r="E1209" s="16" t="s">
        <v>1193</v>
      </c>
      <c r="F1209" s="16" t="s">
        <v>2044</v>
      </c>
      <c r="G1209" s="16" t="s">
        <v>1197</v>
      </c>
      <c r="H1209" s="14" t="str">
        <f>"20241024/241188"</f>
        <v>20241024/241188</v>
      </c>
      <c r="I1209" s="19" t="str">
        <f t="shared" si="107"/>
        <v> </v>
      </c>
      <c r="J1209" s="18">
        <v>0</v>
      </c>
      <c r="K1209" s="18">
        <v>540562.41</v>
      </c>
      <c r="L1209" s="18">
        <v>1797638.21</v>
      </c>
    </row>
    <row r="1210" spans="1:13" ht="15" thickBot="1" x14ac:dyDescent="0.35">
      <c r="A1210" s="14">
        <v>1203</v>
      </c>
      <c r="B1210" s="15">
        <v>45589</v>
      </c>
      <c r="C1210" s="15">
        <v>45589</v>
      </c>
      <c r="D1210" s="16" t="s">
        <v>1192</v>
      </c>
      <c r="E1210" s="16" t="s">
        <v>1193</v>
      </c>
      <c r="F1210" s="16" t="s">
        <v>2045</v>
      </c>
      <c r="G1210" s="16" t="s">
        <v>1197</v>
      </c>
      <c r="H1210" s="14" t="str">
        <f>"20241024/241189"</f>
        <v>20241024/241189</v>
      </c>
      <c r="I1210" s="19" t="str">
        <f t="shared" si="107"/>
        <v> </v>
      </c>
      <c r="J1210" s="18">
        <v>0</v>
      </c>
      <c r="K1210" s="18">
        <v>231085.2</v>
      </c>
      <c r="L1210" s="18">
        <v>1566553.01</v>
      </c>
    </row>
    <row r="1211" spans="1:13" ht="15" thickBot="1" x14ac:dyDescent="0.35">
      <c r="A1211" s="14">
        <v>1204</v>
      </c>
      <c r="B1211" s="15">
        <v>45590</v>
      </c>
      <c r="C1211" s="15">
        <v>45590</v>
      </c>
      <c r="D1211" s="16" t="s">
        <v>1192</v>
      </c>
      <c r="E1211" s="16" t="s">
        <v>1193</v>
      </c>
      <c r="F1211" s="16" t="s">
        <v>1194</v>
      </c>
      <c r="G1211" s="16" t="s">
        <v>1195</v>
      </c>
      <c r="H1211" s="14" t="str">
        <f>"20241025/142262"</f>
        <v>20241025/142262</v>
      </c>
      <c r="I1211" s="17" t="str">
        <f t="shared" si="107"/>
        <v> </v>
      </c>
      <c r="J1211" s="18">
        <v>0</v>
      </c>
      <c r="K1211" s="18">
        <v>9252.59</v>
      </c>
      <c r="L1211" s="18">
        <v>1557300.42</v>
      </c>
      <c r="M1211" t="s">
        <v>2661</v>
      </c>
    </row>
    <row r="1212" spans="1:13" ht="15" thickBot="1" x14ac:dyDescent="0.35">
      <c r="A1212" s="14">
        <v>1205</v>
      </c>
      <c r="B1212" s="15">
        <v>45590</v>
      </c>
      <c r="C1212" s="15">
        <v>45590</v>
      </c>
      <c r="D1212" s="16" t="s">
        <v>1192</v>
      </c>
      <c r="E1212" s="16" t="s">
        <v>1193</v>
      </c>
      <c r="F1212" s="16" t="s">
        <v>1194</v>
      </c>
      <c r="G1212" s="16" t="s">
        <v>1195</v>
      </c>
      <c r="H1212" s="14" t="str">
        <f>"20241025/9163"</f>
        <v>20241025/9163</v>
      </c>
      <c r="I1212" s="17" t="str">
        <f t="shared" si="107"/>
        <v> </v>
      </c>
      <c r="J1212" s="18">
        <v>0</v>
      </c>
      <c r="K1212" s="18">
        <v>280.43</v>
      </c>
      <c r="L1212" s="18">
        <v>1557019.99</v>
      </c>
      <c r="M1212" t="s">
        <v>2661</v>
      </c>
    </row>
    <row r="1213" spans="1:13" ht="15" thickBot="1" x14ac:dyDescent="0.35">
      <c r="A1213" s="14">
        <v>1206</v>
      </c>
      <c r="B1213" s="15">
        <v>45590</v>
      </c>
      <c r="C1213" s="15">
        <v>45590</v>
      </c>
      <c r="D1213" s="16" t="s">
        <v>1192</v>
      </c>
      <c r="E1213" s="16" t="s">
        <v>1193</v>
      </c>
      <c r="F1213" s="16" t="s">
        <v>2046</v>
      </c>
      <c r="G1213" s="16" t="s">
        <v>1197</v>
      </c>
      <c r="H1213" s="14" t="str">
        <f>"20241025/126310"</f>
        <v>20241025/126310</v>
      </c>
      <c r="I1213" s="19" t="str">
        <f t="shared" si="107"/>
        <v> </v>
      </c>
      <c r="J1213" s="18">
        <v>280.43</v>
      </c>
      <c r="K1213" s="18">
        <v>0</v>
      </c>
      <c r="L1213" s="18">
        <v>1557300.42</v>
      </c>
      <c r="M1213" t="s">
        <v>2658</v>
      </c>
    </row>
    <row r="1214" spans="1:13" ht="15" thickBot="1" x14ac:dyDescent="0.35">
      <c r="A1214" s="14">
        <v>1207</v>
      </c>
      <c r="B1214" s="15">
        <v>45590</v>
      </c>
      <c r="C1214" s="15">
        <v>45590</v>
      </c>
      <c r="D1214" s="16" t="s">
        <v>1192</v>
      </c>
      <c r="E1214" s="16" t="s">
        <v>1193</v>
      </c>
      <c r="F1214" s="16" t="s">
        <v>2047</v>
      </c>
      <c r="G1214" s="16" t="s">
        <v>1197</v>
      </c>
      <c r="H1214" s="14" t="str">
        <f>"20241025/207009"</f>
        <v>20241025/207009</v>
      </c>
      <c r="I1214" s="19" t="str">
        <f t="shared" si="107"/>
        <v> </v>
      </c>
      <c r="J1214" s="18">
        <v>527809.48</v>
      </c>
      <c r="K1214" s="18">
        <v>0</v>
      </c>
      <c r="L1214" s="18">
        <v>2085109.9</v>
      </c>
    </row>
    <row r="1215" spans="1:13" ht="15" thickBot="1" x14ac:dyDescent="0.35">
      <c r="A1215" s="14">
        <v>1208</v>
      </c>
      <c r="B1215" s="15">
        <v>45590</v>
      </c>
      <c r="C1215" s="15">
        <v>45590</v>
      </c>
      <c r="D1215" s="16" t="s">
        <v>1192</v>
      </c>
      <c r="E1215" s="16" t="s">
        <v>1193</v>
      </c>
      <c r="F1215" s="16" t="s">
        <v>2048</v>
      </c>
      <c r="G1215" s="16" t="s">
        <v>1197</v>
      </c>
      <c r="H1215" s="14" t="str">
        <f>"20241025/207010"</f>
        <v>20241025/207010</v>
      </c>
      <c r="I1215" s="19" t="str">
        <f t="shared" si="107"/>
        <v> </v>
      </c>
      <c r="J1215" s="18">
        <v>260638.15</v>
      </c>
      <c r="K1215" s="18">
        <v>0</v>
      </c>
      <c r="L1215" s="18">
        <v>2345748.0499999998</v>
      </c>
    </row>
    <row r="1216" spans="1:13" ht="15" thickBot="1" x14ac:dyDescent="0.35">
      <c r="A1216" s="14">
        <v>1209</v>
      </c>
      <c r="B1216" s="15">
        <v>45590</v>
      </c>
      <c r="C1216" s="15">
        <v>45590</v>
      </c>
      <c r="D1216" s="16" t="s">
        <v>1192</v>
      </c>
      <c r="E1216" s="16" t="s">
        <v>1193</v>
      </c>
      <c r="F1216" s="16" t="s">
        <v>2049</v>
      </c>
      <c r="G1216" s="16" t="s">
        <v>1197</v>
      </c>
      <c r="H1216" s="14" t="str">
        <f>"20241025/244837"</f>
        <v>20241025/244837</v>
      </c>
      <c r="I1216" s="19" t="str">
        <f t="shared" si="107"/>
        <v> </v>
      </c>
      <c r="J1216" s="18">
        <v>0</v>
      </c>
      <c r="K1216" s="18">
        <v>241180.95</v>
      </c>
      <c r="L1216" s="18">
        <v>2104567.1</v>
      </c>
    </row>
    <row r="1217" spans="1:13" ht="15" thickBot="1" x14ac:dyDescent="0.35">
      <c r="A1217" s="14">
        <v>1210</v>
      </c>
      <c r="B1217" s="15">
        <v>45590</v>
      </c>
      <c r="C1217" s="15">
        <v>45590</v>
      </c>
      <c r="D1217" s="16" t="s">
        <v>1192</v>
      </c>
      <c r="E1217" s="16" t="s">
        <v>1193</v>
      </c>
      <c r="F1217" s="16" t="s">
        <v>2050</v>
      </c>
      <c r="G1217" s="16" t="s">
        <v>1197</v>
      </c>
      <c r="H1217" s="14" t="str">
        <f>"20241025/244838"</f>
        <v>20241025/244838</v>
      </c>
      <c r="I1217" s="19" t="str">
        <f t="shared" si="107"/>
        <v> </v>
      </c>
      <c r="J1217" s="18">
        <v>0</v>
      </c>
      <c r="K1217" s="18">
        <v>538014.09</v>
      </c>
      <c r="L1217" s="18">
        <v>1566553.01</v>
      </c>
    </row>
    <row r="1218" spans="1:13" ht="15" thickBot="1" x14ac:dyDescent="0.35">
      <c r="A1218" s="14">
        <v>1211</v>
      </c>
      <c r="B1218" s="15">
        <v>45593</v>
      </c>
      <c r="C1218" s="15">
        <v>45593</v>
      </c>
      <c r="D1218" s="16" t="s">
        <v>1192</v>
      </c>
      <c r="E1218" s="16" t="s">
        <v>1193</v>
      </c>
      <c r="F1218" s="16" t="s">
        <v>1194</v>
      </c>
      <c r="G1218" s="16" t="s">
        <v>1195</v>
      </c>
      <c r="H1218" s="14" t="str">
        <f>"20241028/28157"</f>
        <v>20241028/28157</v>
      </c>
      <c r="I1218" s="17" t="str">
        <f t="shared" si="107"/>
        <v> </v>
      </c>
      <c r="J1218" s="18">
        <v>0</v>
      </c>
      <c r="K1218" s="18">
        <v>831.39</v>
      </c>
      <c r="L1218" s="18">
        <v>1565721.62</v>
      </c>
      <c r="M1218" t="s">
        <v>2661</v>
      </c>
    </row>
    <row r="1219" spans="1:13" ht="15" thickBot="1" x14ac:dyDescent="0.35">
      <c r="A1219" s="14">
        <v>1212</v>
      </c>
      <c r="B1219" s="15">
        <v>45593</v>
      </c>
      <c r="C1219" s="15">
        <v>45593</v>
      </c>
      <c r="D1219" s="16" t="s">
        <v>1192</v>
      </c>
      <c r="E1219" s="16" t="s">
        <v>1193</v>
      </c>
      <c r="F1219" s="16" t="s">
        <v>2051</v>
      </c>
      <c r="G1219" s="16" t="s">
        <v>1197</v>
      </c>
      <c r="H1219" s="14" t="str">
        <f>"20241028/107937"</f>
        <v>20241028/107937</v>
      </c>
      <c r="I1219" s="19" t="str">
        <f t="shared" si="107"/>
        <v> </v>
      </c>
      <c r="J1219" s="18">
        <v>831.39</v>
      </c>
      <c r="K1219" s="18">
        <v>0</v>
      </c>
      <c r="L1219" s="18">
        <v>1566553.01</v>
      </c>
      <c r="M1219" t="s">
        <v>2658</v>
      </c>
    </row>
    <row r="1220" spans="1:13" ht="15" thickBot="1" x14ac:dyDescent="0.35">
      <c r="A1220" s="14">
        <v>1213</v>
      </c>
      <c r="B1220" s="15">
        <v>45593</v>
      </c>
      <c r="C1220" s="15">
        <v>45593</v>
      </c>
      <c r="D1220" s="16" t="s">
        <v>1192</v>
      </c>
      <c r="E1220" s="16" t="s">
        <v>1193</v>
      </c>
      <c r="F1220" s="16" t="s">
        <v>2052</v>
      </c>
      <c r="G1220" s="16" t="s">
        <v>1197</v>
      </c>
      <c r="H1220" s="14" t="str">
        <f>"20241028/185416"</f>
        <v>20241028/185416</v>
      </c>
      <c r="I1220" s="19" t="str">
        <f t="shared" si="107"/>
        <v> </v>
      </c>
      <c r="J1220" s="18">
        <v>247545.2</v>
      </c>
      <c r="K1220" s="18">
        <v>0</v>
      </c>
      <c r="L1220" s="18">
        <v>1814098.21</v>
      </c>
    </row>
    <row r="1221" spans="1:13" ht="15" thickBot="1" x14ac:dyDescent="0.35">
      <c r="A1221" s="14">
        <v>1214</v>
      </c>
      <c r="B1221" s="15">
        <v>45593</v>
      </c>
      <c r="C1221" s="15">
        <v>45593</v>
      </c>
      <c r="D1221" s="16" t="s">
        <v>1192</v>
      </c>
      <c r="E1221" s="16" t="s">
        <v>1193</v>
      </c>
      <c r="F1221" s="16" t="s">
        <v>2053</v>
      </c>
      <c r="G1221" s="16" t="s">
        <v>1197</v>
      </c>
      <c r="H1221" s="14" t="str">
        <f>"20241028/185417"</f>
        <v>20241028/185417</v>
      </c>
      <c r="I1221" s="19" t="str">
        <f t="shared" si="107"/>
        <v> </v>
      </c>
      <c r="J1221" s="18">
        <v>535454.4</v>
      </c>
      <c r="K1221" s="18">
        <v>0</v>
      </c>
      <c r="L1221" s="18">
        <v>2349552.61</v>
      </c>
    </row>
    <row r="1222" spans="1:13" ht="15" thickBot="1" x14ac:dyDescent="0.35">
      <c r="A1222" s="14">
        <v>1215</v>
      </c>
      <c r="B1222" s="15">
        <v>45593</v>
      </c>
      <c r="C1222" s="15">
        <v>45593</v>
      </c>
      <c r="D1222" s="16" t="s">
        <v>1192</v>
      </c>
      <c r="E1222" s="16" t="s">
        <v>1193</v>
      </c>
      <c r="F1222" s="16" t="s">
        <v>2054</v>
      </c>
      <c r="G1222" s="16" t="s">
        <v>1197</v>
      </c>
      <c r="H1222" s="14" t="str">
        <f>"20241028/268969"</f>
        <v>20241028/268969</v>
      </c>
      <c r="I1222" s="19" t="str">
        <f t="shared" si="107"/>
        <v> </v>
      </c>
      <c r="J1222" s="18">
        <v>0</v>
      </c>
      <c r="K1222" s="18">
        <v>527809.48</v>
      </c>
      <c r="L1222" s="18">
        <v>1821743.13</v>
      </c>
    </row>
    <row r="1223" spans="1:13" ht="15" thickBot="1" x14ac:dyDescent="0.35">
      <c r="A1223" s="14">
        <v>1216</v>
      </c>
      <c r="B1223" s="15">
        <v>45593</v>
      </c>
      <c r="C1223" s="15">
        <v>45593</v>
      </c>
      <c r="D1223" s="16" t="s">
        <v>1192</v>
      </c>
      <c r="E1223" s="16" t="s">
        <v>1193</v>
      </c>
      <c r="F1223" s="16" t="s">
        <v>2055</v>
      </c>
      <c r="G1223" s="16" t="s">
        <v>1197</v>
      </c>
      <c r="H1223" s="14" t="str">
        <f>"20241028/268970"</f>
        <v>20241028/268970</v>
      </c>
      <c r="I1223" s="19" t="str">
        <f t="shared" si="107"/>
        <v> </v>
      </c>
      <c r="J1223" s="18">
        <v>0</v>
      </c>
      <c r="K1223" s="18">
        <v>260638.15</v>
      </c>
      <c r="L1223" s="18">
        <v>1561104.98</v>
      </c>
    </row>
    <row r="1224" spans="1:13" ht="15" thickBot="1" x14ac:dyDescent="0.35">
      <c r="A1224" s="14">
        <v>1217</v>
      </c>
      <c r="B1224" s="15">
        <v>45594</v>
      </c>
      <c r="C1224" s="15">
        <v>45594</v>
      </c>
      <c r="D1224" s="16" t="s">
        <v>1192</v>
      </c>
      <c r="E1224" s="16" t="s">
        <v>1193</v>
      </c>
      <c r="F1224" s="16" t="s">
        <v>1202</v>
      </c>
      <c r="G1224" s="16" t="s">
        <v>1203</v>
      </c>
      <c r="H1224" s="14" t="str">
        <f>"20241029/10401"</f>
        <v>20241029/10401</v>
      </c>
      <c r="I1224" s="17" t="str">
        <f t="shared" si="107"/>
        <v> </v>
      </c>
      <c r="J1224" s="18">
        <v>5448.03</v>
      </c>
      <c r="K1224" s="18">
        <v>0</v>
      </c>
      <c r="L1224" s="18">
        <v>1566553.01</v>
      </c>
      <c r="M1224" t="s">
        <v>2661</v>
      </c>
    </row>
    <row r="1225" spans="1:13" ht="15" thickBot="1" x14ac:dyDescent="0.35">
      <c r="A1225" s="14">
        <v>1218</v>
      </c>
      <c r="B1225" s="15">
        <v>45594</v>
      </c>
      <c r="C1225" s="15">
        <v>45594</v>
      </c>
      <c r="D1225" s="16" t="s">
        <v>1192</v>
      </c>
      <c r="E1225" s="16" t="s">
        <v>1193</v>
      </c>
      <c r="F1225" s="16" t="s">
        <v>1194</v>
      </c>
      <c r="G1225" s="16" t="s">
        <v>1195</v>
      </c>
      <c r="H1225" s="14" t="str">
        <f>"20241029/107218"</f>
        <v>20241029/107218</v>
      </c>
      <c r="I1225" s="17" t="str">
        <f t="shared" si="107"/>
        <v> </v>
      </c>
      <c r="J1225" s="18">
        <v>0</v>
      </c>
      <c r="K1225" s="18">
        <v>7965.64</v>
      </c>
      <c r="L1225" s="18">
        <v>1558587.37</v>
      </c>
      <c r="M1225" t="s">
        <v>2661</v>
      </c>
    </row>
    <row r="1226" spans="1:13" ht="15" thickBot="1" x14ac:dyDescent="0.35">
      <c r="A1226" s="14">
        <v>1219</v>
      </c>
      <c r="B1226" s="15">
        <v>45594</v>
      </c>
      <c r="C1226" s="15">
        <v>45594</v>
      </c>
      <c r="D1226" s="16" t="s">
        <v>1192</v>
      </c>
      <c r="E1226" s="16" t="s">
        <v>1193</v>
      </c>
      <c r="F1226" s="16" t="s">
        <v>1194</v>
      </c>
      <c r="G1226" s="16" t="s">
        <v>1195</v>
      </c>
      <c r="H1226" s="14" t="str">
        <f>"20241029/36702"</f>
        <v>20241029/36702</v>
      </c>
      <c r="I1226" s="17" t="str">
        <f t="shared" si="107"/>
        <v> </v>
      </c>
      <c r="J1226" s="18">
        <v>0</v>
      </c>
      <c r="K1226" s="18">
        <v>277.13</v>
      </c>
      <c r="L1226" s="18">
        <v>1558310.24</v>
      </c>
      <c r="M1226" t="s">
        <v>2661</v>
      </c>
    </row>
    <row r="1227" spans="1:13" ht="15" thickBot="1" x14ac:dyDescent="0.35">
      <c r="A1227" s="14">
        <v>1220</v>
      </c>
      <c r="B1227" s="15">
        <v>45594</v>
      </c>
      <c r="C1227" s="15">
        <v>45594</v>
      </c>
      <c r="D1227" s="16" t="s">
        <v>1192</v>
      </c>
      <c r="E1227" s="16" t="s">
        <v>1193</v>
      </c>
      <c r="F1227" s="16" t="s">
        <v>2056</v>
      </c>
      <c r="G1227" s="16" t="s">
        <v>1197</v>
      </c>
      <c r="H1227" s="14" t="str">
        <f>"20241029/113670"</f>
        <v>20241029/113670</v>
      </c>
      <c r="I1227" s="19" t="str">
        <f t="shared" si="107"/>
        <v> </v>
      </c>
      <c r="J1227" s="18">
        <v>277.13</v>
      </c>
      <c r="K1227" s="18">
        <v>0</v>
      </c>
      <c r="L1227" s="18">
        <v>1558587.37</v>
      </c>
      <c r="M1227" t="s">
        <v>2658</v>
      </c>
    </row>
    <row r="1228" spans="1:13" ht="15" thickBot="1" x14ac:dyDescent="0.35">
      <c r="A1228" s="14">
        <v>1221</v>
      </c>
      <c r="B1228" s="15">
        <v>45594</v>
      </c>
      <c r="C1228" s="15">
        <v>45594</v>
      </c>
      <c r="D1228" s="16" t="s">
        <v>1192</v>
      </c>
      <c r="E1228" s="16" t="s">
        <v>1193</v>
      </c>
      <c r="F1228" s="16" t="s">
        <v>2057</v>
      </c>
      <c r="G1228" s="16" t="s">
        <v>1197</v>
      </c>
      <c r="H1228" s="14" t="str">
        <f>"20241029/199567"</f>
        <v>20241029/199567</v>
      </c>
      <c r="I1228" s="19" t="str">
        <f t="shared" si="107"/>
        <v> </v>
      </c>
      <c r="J1228" s="18">
        <v>237577.25</v>
      </c>
      <c r="K1228" s="18">
        <v>0</v>
      </c>
      <c r="L1228" s="18">
        <v>1796164.62</v>
      </c>
    </row>
    <row r="1229" spans="1:13" ht="15" thickBot="1" x14ac:dyDescent="0.35">
      <c r="A1229" s="14">
        <v>1222</v>
      </c>
      <c r="B1229" s="15">
        <v>45594</v>
      </c>
      <c r="C1229" s="15">
        <v>45594</v>
      </c>
      <c r="D1229" s="16" t="s">
        <v>1192</v>
      </c>
      <c r="E1229" s="16" t="s">
        <v>1193</v>
      </c>
      <c r="F1229" s="16" t="s">
        <v>2058</v>
      </c>
      <c r="G1229" s="16" t="s">
        <v>1197</v>
      </c>
      <c r="H1229" s="14" t="str">
        <f>"20241029/199568"</f>
        <v>20241029/199568</v>
      </c>
      <c r="I1229" s="19" t="str">
        <f t="shared" si="107"/>
        <v> </v>
      </c>
      <c r="J1229" s="18">
        <v>553387.99</v>
      </c>
      <c r="K1229" s="18">
        <v>0</v>
      </c>
      <c r="L1229" s="18">
        <v>2349552.61</v>
      </c>
    </row>
    <row r="1230" spans="1:13" ht="15" thickBot="1" x14ac:dyDescent="0.35">
      <c r="A1230" s="14">
        <v>1223</v>
      </c>
      <c r="B1230" s="15">
        <v>45594</v>
      </c>
      <c r="C1230" s="15">
        <v>45594</v>
      </c>
      <c r="D1230" s="16" t="s">
        <v>1192</v>
      </c>
      <c r="E1230" s="16" t="s">
        <v>1193</v>
      </c>
      <c r="F1230" s="16" t="s">
        <v>2059</v>
      </c>
      <c r="G1230" s="16" t="s">
        <v>1197</v>
      </c>
      <c r="H1230" s="14" t="str">
        <f>"20241029/237980"</f>
        <v>20241029/237980</v>
      </c>
      <c r="I1230" s="19" t="str">
        <f t="shared" si="107"/>
        <v> </v>
      </c>
      <c r="J1230" s="18">
        <v>0</v>
      </c>
      <c r="K1230" s="18">
        <v>247545.2</v>
      </c>
      <c r="L1230" s="18">
        <v>2102007.41</v>
      </c>
    </row>
    <row r="1231" spans="1:13" ht="15" thickBot="1" x14ac:dyDescent="0.35">
      <c r="A1231" s="14">
        <v>1224</v>
      </c>
      <c r="B1231" s="15">
        <v>45594</v>
      </c>
      <c r="C1231" s="15">
        <v>45594</v>
      </c>
      <c r="D1231" s="16" t="s">
        <v>1192</v>
      </c>
      <c r="E1231" s="16" t="s">
        <v>1193</v>
      </c>
      <c r="F1231" s="16" t="s">
        <v>2060</v>
      </c>
      <c r="G1231" s="16" t="s">
        <v>1197</v>
      </c>
      <c r="H1231" s="14" t="str">
        <f>"20241029/237981"</f>
        <v>20241029/237981</v>
      </c>
      <c r="I1231" s="19" t="str">
        <f t="shared" si="107"/>
        <v> </v>
      </c>
      <c r="J1231" s="18">
        <v>0</v>
      </c>
      <c r="K1231" s="18">
        <v>535454.4</v>
      </c>
      <c r="L1231" s="18">
        <v>1566553.01</v>
      </c>
    </row>
    <row r="1232" spans="1:13" ht="15" thickBot="1" x14ac:dyDescent="0.35">
      <c r="A1232" s="14">
        <v>1225</v>
      </c>
      <c r="B1232" s="15">
        <v>45594</v>
      </c>
      <c r="C1232" s="15">
        <v>45595</v>
      </c>
      <c r="D1232" s="16" t="s">
        <v>1192</v>
      </c>
      <c r="E1232" s="16" t="s">
        <v>1193</v>
      </c>
      <c r="F1232" s="16" t="s">
        <v>2061</v>
      </c>
      <c r="G1232" s="16" t="s">
        <v>1197</v>
      </c>
      <c r="H1232" s="14" t="str">
        <f>"20241029/372427"</f>
        <v>20241029/372427</v>
      </c>
      <c r="I1232" s="19" t="str">
        <f>"2410009047275"</f>
        <v>2410009047275</v>
      </c>
      <c r="J1232" s="18">
        <v>30503.97</v>
      </c>
      <c r="K1232" s="18">
        <v>0</v>
      </c>
      <c r="L1232" s="18">
        <v>1597056.98</v>
      </c>
    </row>
    <row r="1233" spans="1:13" ht="15" thickBot="1" x14ac:dyDescent="0.35">
      <c r="A1233" s="14">
        <v>1226</v>
      </c>
      <c r="B1233" s="15">
        <v>45595</v>
      </c>
      <c r="C1233" s="15">
        <v>45595</v>
      </c>
      <c r="D1233" s="16" t="s">
        <v>1192</v>
      </c>
      <c r="E1233" s="16" t="s">
        <v>1193</v>
      </c>
      <c r="F1233" s="16" t="s">
        <v>1194</v>
      </c>
      <c r="G1233" s="16" t="s">
        <v>1195</v>
      </c>
      <c r="H1233" s="14" t="str">
        <f>"20241030/39351"</f>
        <v>20241030/39351</v>
      </c>
      <c r="I1233" s="17" t="str">
        <f t="shared" ref="I1233:I1238" si="108">" "</f>
        <v> </v>
      </c>
      <c r="J1233" s="18">
        <v>0</v>
      </c>
      <c r="K1233" s="18">
        <v>276.24</v>
      </c>
      <c r="L1233" s="18">
        <v>1596780.74</v>
      </c>
      <c r="M1233" t="s">
        <v>2661</v>
      </c>
    </row>
    <row r="1234" spans="1:13" ht="15" thickBot="1" x14ac:dyDescent="0.35">
      <c r="A1234" s="14">
        <v>1227</v>
      </c>
      <c r="B1234" s="15">
        <v>45595</v>
      </c>
      <c r="C1234" s="15">
        <v>45595</v>
      </c>
      <c r="D1234" s="16" t="s">
        <v>1192</v>
      </c>
      <c r="E1234" s="16" t="s">
        <v>1193</v>
      </c>
      <c r="F1234" s="16" t="s">
        <v>2062</v>
      </c>
      <c r="G1234" s="16" t="s">
        <v>1197</v>
      </c>
      <c r="H1234" s="14" t="str">
        <f>"20241030/107064"</f>
        <v>20241030/107064</v>
      </c>
      <c r="I1234" s="19" t="str">
        <f t="shared" si="108"/>
        <v> </v>
      </c>
      <c r="J1234" s="18">
        <v>276.24</v>
      </c>
      <c r="K1234" s="18">
        <v>0</v>
      </c>
      <c r="L1234" s="18">
        <v>1597056.98</v>
      </c>
      <c r="M1234" t="s">
        <v>2658</v>
      </c>
    </row>
    <row r="1235" spans="1:13" ht="15" thickBot="1" x14ac:dyDescent="0.35">
      <c r="A1235" s="14">
        <v>1228</v>
      </c>
      <c r="B1235" s="15">
        <v>45595</v>
      </c>
      <c r="C1235" s="15">
        <v>45595</v>
      </c>
      <c r="D1235" s="16" t="s">
        <v>1192</v>
      </c>
      <c r="E1235" s="16" t="s">
        <v>1193</v>
      </c>
      <c r="F1235" s="16" t="s">
        <v>2063</v>
      </c>
      <c r="G1235" s="16" t="s">
        <v>1197</v>
      </c>
      <c r="H1235" s="14" t="str">
        <f>"20241030/194990"</f>
        <v>20241030/194990</v>
      </c>
      <c r="I1235" s="19" t="str">
        <f t="shared" si="108"/>
        <v> </v>
      </c>
      <c r="J1235" s="18">
        <v>558007.67000000004</v>
      </c>
      <c r="K1235" s="18">
        <v>0</v>
      </c>
      <c r="L1235" s="18">
        <v>2155064.65</v>
      </c>
    </row>
    <row r="1236" spans="1:13" ht="15" thickBot="1" x14ac:dyDescent="0.35">
      <c r="A1236" s="14">
        <v>1229</v>
      </c>
      <c r="B1236" s="15">
        <v>45595</v>
      </c>
      <c r="C1236" s="15">
        <v>45595</v>
      </c>
      <c r="D1236" s="16" t="s">
        <v>1192</v>
      </c>
      <c r="E1236" s="16" t="s">
        <v>1193</v>
      </c>
      <c r="F1236" s="16" t="s">
        <v>2064</v>
      </c>
      <c r="G1236" s="16" t="s">
        <v>1197</v>
      </c>
      <c r="H1236" s="14" t="str">
        <f>"20241030/194991"</f>
        <v>20241030/194991</v>
      </c>
      <c r="I1236" s="19" t="str">
        <f t="shared" si="108"/>
        <v> </v>
      </c>
      <c r="J1236" s="18">
        <v>226090.15</v>
      </c>
      <c r="K1236" s="18">
        <v>0</v>
      </c>
      <c r="L1236" s="18">
        <v>2381154.7999999998</v>
      </c>
    </row>
    <row r="1237" spans="1:13" ht="15" thickBot="1" x14ac:dyDescent="0.35">
      <c r="A1237" s="14">
        <v>1230</v>
      </c>
      <c r="B1237" s="15">
        <v>45595</v>
      </c>
      <c r="C1237" s="15">
        <v>45595</v>
      </c>
      <c r="D1237" s="16" t="s">
        <v>1192</v>
      </c>
      <c r="E1237" s="16" t="s">
        <v>1193</v>
      </c>
      <c r="F1237" s="16" t="s">
        <v>2065</v>
      </c>
      <c r="G1237" s="16" t="s">
        <v>1197</v>
      </c>
      <c r="H1237" s="14" t="str">
        <f>"20241030/238813"</f>
        <v>20241030/238813</v>
      </c>
      <c r="I1237" s="19" t="str">
        <f t="shared" si="108"/>
        <v> </v>
      </c>
      <c r="J1237" s="18">
        <v>0</v>
      </c>
      <c r="K1237" s="18">
        <v>237577.25</v>
      </c>
      <c r="L1237" s="18">
        <v>2143577.5499999998</v>
      </c>
    </row>
    <row r="1238" spans="1:13" ht="15" thickBot="1" x14ac:dyDescent="0.35">
      <c r="A1238" s="14">
        <v>1231</v>
      </c>
      <c r="B1238" s="15">
        <v>45595</v>
      </c>
      <c r="C1238" s="15">
        <v>45595</v>
      </c>
      <c r="D1238" s="16" t="s">
        <v>1192</v>
      </c>
      <c r="E1238" s="16" t="s">
        <v>1193</v>
      </c>
      <c r="F1238" s="16" t="s">
        <v>2066</v>
      </c>
      <c r="G1238" s="16" t="s">
        <v>1197</v>
      </c>
      <c r="H1238" s="14" t="str">
        <f>"20241030/238814"</f>
        <v>20241030/238814</v>
      </c>
      <c r="I1238" s="19" t="str">
        <f t="shared" si="108"/>
        <v> </v>
      </c>
      <c r="J1238" s="18">
        <v>0</v>
      </c>
      <c r="K1238" s="18">
        <v>553387.99</v>
      </c>
      <c r="L1238" s="18">
        <v>1590189.56</v>
      </c>
    </row>
    <row r="1239" spans="1:13" ht="15" thickBot="1" x14ac:dyDescent="0.35">
      <c r="A1239" s="14">
        <v>1232</v>
      </c>
      <c r="B1239" s="15">
        <v>45595</v>
      </c>
      <c r="C1239" s="15">
        <v>45596</v>
      </c>
      <c r="D1239" s="16" t="s">
        <v>1192</v>
      </c>
      <c r="E1239" s="16" t="s">
        <v>1193</v>
      </c>
      <c r="F1239" s="16" t="s">
        <v>2067</v>
      </c>
      <c r="G1239" s="16" t="s">
        <v>1197</v>
      </c>
      <c r="H1239" s="14" t="str">
        <f>"20241030/354377"</f>
        <v>20241030/354377</v>
      </c>
      <c r="I1239" s="19" t="str">
        <f>"2410009458421"</f>
        <v>2410009458421</v>
      </c>
      <c r="J1239" s="18">
        <v>0</v>
      </c>
      <c r="K1239" s="18">
        <v>29814.720000000001</v>
      </c>
      <c r="L1239" s="18">
        <v>1560374.84</v>
      </c>
    </row>
    <row r="1240" spans="1:13" ht="15" thickBot="1" x14ac:dyDescent="0.35">
      <c r="A1240" s="14">
        <v>1233</v>
      </c>
      <c r="B1240" s="15">
        <v>45596</v>
      </c>
      <c r="C1240" s="15">
        <v>45596</v>
      </c>
      <c r="D1240" s="16" t="s">
        <v>1192</v>
      </c>
      <c r="E1240" s="16" t="s">
        <v>1193</v>
      </c>
      <c r="F1240" s="16" t="s">
        <v>1204</v>
      </c>
      <c r="G1240" s="16" t="s">
        <v>1203</v>
      </c>
      <c r="H1240" s="14" t="str">
        <f>"20241031/36561"</f>
        <v>20241031/36561</v>
      </c>
      <c r="I1240" s="17" t="str">
        <f t="shared" ref="I1240:I1248" si="109">" "</f>
        <v> </v>
      </c>
      <c r="J1240" s="18">
        <v>29814.720000000001</v>
      </c>
      <c r="K1240" s="18">
        <v>0</v>
      </c>
      <c r="L1240" s="18">
        <v>1590189.56</v>
      </c>
      <c r="M1240" t="s">
        <v>2661</v>
      </c>
    </row>
    <row r="1241" spans="1:13" ht="15" thickBot="1" x14ac:dyDescent="0.35">
      <c r="A1241" s="14">
        <v>1234</v>
      </c>
      <c r="B1241" s="15">
        <v>45596</v>
      </c>
      <c r="C1241" s="15">
        <v>45596</v>
      </c>
      <c r="D1241" s="16" t="s">
        <v>1192</v>
      </c>
      <c r="E1241" s="16" t="s">
        <v>1193</v>
      </c>
      <c r="F1241" s="16" t="s">
        <v>1202</v>
      </c>
      <c r="G1241" s="16" t="s">
        <v>1203</v>
      </c>
      <c r="H1241" s="14" t="str">
        <f>"20241031/8937"</f>
        <v>20241031/8937</v>
      </c>
      <c r="I1241" s="17" t="str">
        <f t="shared" si="109"/>
        <v> </v>
      </c>
      <c r="J1241" s="18">
        <v>6867.42</v>
      </c>
      <c r="K1241" s="18">
        <v>0</v>
      </c>
      <c r="L1241" s="18">
        <v>1597056.98</v>
      </c>
      <c r="M1241" t="s">
        <v>2661</v>
      </c>
    </row>
    <row r="1242" spans="1:13" ht="15" thickBot="1" x14ac:dyDescent="0.35">
      <c r="A1242" s="14">
        <v>1235</v>
      </c>
      <c r="B1242" s="15">
        <v>45596</v>
      </c>
      <c r="C1242" s="15">
        <v>45596</v>
      </c>
      <c r="D1242" s="16" t="s">
        <v>1192</v>
      </c>
      <c r="E1242" s="16" t="s">
        <v>1193</v>
      </c>
      <c r="F1242" s="16" t="s">
        <v>1194</v>
      </c>
      <c r="G1242" s="16" t="s">
        <v>1195</v>
      </c>
      <c r="H1242" s="14" t="str">
        <f>"20241031/37532"</f>
        <v>20241031/37532</v>
      </c>
      <c r="I1242" s="17" t="str">
        <f t="shared" si="109"/>
        <v> </v>
      </c>
      <c r="J1242" s="18">
        <v>0</v>
      </c>
      <c r="K1242" s="18">
        <v>287.10000000000002</v>
      </c>
      <c r="L1242" s="18">
        <v>1596769.88</v>
      </c>
      <c r="M1242" t="s">
        <v>2661</v>
      </c>
    </row>
    <row r="1243" spans="1:13" ht="15" thickBot="1" x14ac:dyDescent="0.35">
      <c r="A1243" s="14">
        <v>1236</v>
      </c>
      <c r="B1243" s="15">
        <v>45596</v>
      </c>
      <c r="C1243" s="15">
        <v>45596</v>
      </c>
      <c r="D1243" s="16" t="s">
        <v>1192</v>
      </c>
      <c r="E1243" s="16" t="s">
        <v>1193</v>
      </c>
      <c r="F1243" s="16" t="s">
        <v>1249</v>
      </c>
      <c r="G1243" s="16" t="s">
        <v>1195</v>
      </c>
      <c r="H1243" s="14" t="str">
        <f>"20241031/87920"</f>
        <v>20241031/87920</v>
      </c>
      <c r="I1243" s="17" t="str">
        <f t="shared" si="109"/>
        <v> </v>
      </c>
      <c r="J1243" s="18">
        <v>0</v>
      </c>
      <c r="K1243" s="18">
        <v>6914.76</v>
      </c>
      <c r="L1243" s="18">
        <v>1589855.12</v>
      </c>
      <c r="M1243" t="s">
        <v>2661</v>
      </c>
    </row>
    <row r="1244" spans="1:13" ht="15" thickBot="1" x14ac:dyDescent="0.35">
      <c r="A1244" s="14">
        <v>1237</v>
      </c>
      <c r="B1244" s="15">
        <v>45596</v>
      </c>
      <c r="C1244" s="15">
        <v>45596</v>
      </c>
      <c r="D1244" s="16" t="s">
        <v>1192</v>
      </c>
      <c r="E1244" s="16" t="s">
        <v>1193</v>
      </c>
      <c r="F1244" s="16" t="s">
        <v>2068</v>
      </c>
      <c r="G1244" s="16" t="s">
        <v>1197</v>
      </c>
      <c r="H1244" s="14" t="str">
        <f>"20241031/101202"</f>
        <v>20241031/101202</v>
      </c>
      <c r="I1244" s="19" t="str">
        <f t="shared" si="109"/>
        <v> </v>
      </c>
      <c r="J1244" s="18">
        <v>287.10000000000002</v>
      </c>
      <c r="K1244" s="18">
        <v>0</v>
      </c>
      <c r="L1244" s="18">
        <v>1590142.22</v>
      </c>
      <c r="M1244" t="s">
        <v>2658</v>
      </c>
    </row>
    <row r="1245" spans="1:13" ht="15" thickBot="1" x14ac:dyDescent="0.35">
      <c r="A1245" s="14">
        <v>1238</v>
      </c>
      <c r="B1245" s="15">
        <v>45596</v>
      </c>
      <c r="C1245" s="15">
        <v>45596</v>
      </c>
      <c r="D1245" s="16" t="s">
        <v>1192</v>
      </c>
      <c r="E1245" s="16" t="s">
        <v>1193</v>
      </c>
      <c r="F1245" s="16" t="s">
        <v>2069</v>
      </c>
      <c r="G1245" s="16" t="s">
        <v>1197</v>
      </c>
      <c r="H1245" s="14" t="str">
        <f>"20241031/179426"</f>
        <v>20241031/179426</v>
      </c>
      <c r="I1245" s="19" t="str">
        <f t="shared" si="109"/>
        <v> </v>
      </c>
      <c r="J1245" s="18">
        <v>222461.75</v>
      </c>
      <c r="K1245" s="18">
        <v>0</v>
      </c>
      <c r="L1245" s="18">
        <v>1812603.97</v>
      </c>
    </row>
    <row r="1246" spans="1:13" ht="15" thickBot="1" x14ac:dyDescent="0.35">
      <c r="A1246" s="14">
        <v>1239</v>
      </c>
      <c r="B1246" s="15">
        <v>45596</v>
      </c>
      <c r="C1246" s="15">
        <v>45596</v>
      </c>
      <c r="D1246" s="16" t="s">
        <v>1192</v>
      </c>
      <c r="E1246" s="16" t="s">
        <v>1193</v>
      </c>
      <c r="F1246" s="16" t="s">
        <v>2070</v>
      </c>
      <c r="G1246" s="16" t="s">
        <v>1197</v>
      </c>
      <c r="H1246" s="14" t="str">
        <f>"20241031/179427"</f>
        <v>20241031/179427</v>
      </c>
      <c r="I1246" s="19" t="str">
        <f t="shared" si="109"/>
        <v> </v>
      </c>
      <c r="J1246" s="18">
        <v>559944.65</v>
      </c>
      <c r="K1246" s="18">
        <v>0</v>
      </c>
      <c r="L1246" s="18">
        <v>2372548.62</v>
      </c>
    </row>
    <row r="1247" spans="1:13" ht="15" thickBot="1" x14ac:dyDescent="0.35">
      <c r="A1247" s="14">
        <v>1240</v>
      </c>
      <c r="B1247" s="15">
        <v>45596</v>
      </c>
      <c r="C1247" s="15">
        <v>45596</v>
      </c>
      <c r="D1247" s="16" t="s">
        <v>1192</v>
      </c>
      <c r="E1247" s="16" t="s">
        <v>1193</v>
      </c>
      <c r="F1247" s="16" t="s">
        <v>2071</v>
      </c>
      <c r="G1247" s="16" t="s">
        <v>1197</v>
      </c>
      <c r="H1247" s="14" t="str">
        <f>"20241031/290325"</f>
        <v>20241031/290325</v>
      </c>
      <c r="I1247" s="19" t="str">
        <f t="shared" si="109"/>
        <v> </v>
      </c>
      <c r="J1247" s="18">
        <v>0</v>
      </c>
      <c r="K1247" s="18">
        <v>558007.67000000004</v>
      </c>
      <c r="L1247" s="18">
        <v>1814540.95</v>
      </c>
    </row>
    <row r="1248" spans="1:13" ht="15" thickBot="1" x14ac:dyDescent="0.35">
      <c r="A1248" s="14">
        <v>1241</v>
      </c>
      <c r="B1248" s="15">
        <v>45596</v>
      </c>
      <c r="C1248" s="15">
        <v>45596</v>
      </c>
      <c r="D1248" s="16" t="s">
        <v>1192</v>
      </c>
      <c r="E1248" s="16" t="s">
        <v>1193</v>
      </c>
      <c r="F1248" s="16" t="s">
        <v>2072</v>
      </c>
      <c r="G1248" s="16" t="s">
        <v>1197</v>
      </c>
      <c r="H1248" s="14" t="str">
        <f>"20241031/290326"</f>
        <v>20241031/290326</v>
      </c>
      <c r="I1248" s="19" t="str">
        <f t="shared" si="109"/>
        <v> </v>
      </c>
      <c r="J1248" s="18">
        <v>0</v>
      </c>
      <c r="K1248" s="18">
        <v>226090.15</v>
      </c>
      <c r="L1248" s="18">
        <v>1588450.8</v>
      </c>
    </row>
    <row r="1249" spans="1:13" ht="15" thickBot="1" x14ac:dyDescent="0.35">
      <c r="A1249" s="14">
        <v>1242</v>
      </c>
      <c r="B1249" s="15">
        <v>45596</v>
      </c>
      <c r="C1249" s="15">
        <v>45600</v>
      </c>
      <c r="D1249" s="16" t="s">
        <v>1192</v>
      </c>
      <c r="E1249" s="16" t="s">
        <v>1193</v>
      </c>
      <c r="F1249" s="16" t="s">
        <v>2073</v>
      </c>
      <c r="G1249" s="16" t="s">
        <v>1197</v>
      </c>
      <c r="H1249" s="14" t="str">
        <f>"20241031/339140"</f>
        <v>20241031/339140</v>
      </c>
      <c r="I1249" s="19" t="str">
        <f>"2410009919207"</f>
        <v>2410009919207</v>
      </c>
      <c r="J1249" s="18">
        <v>6914.76</v>
      </c>
      <c r="K1249" s="18">
        <v>0</v>
      </c>
      <c r="L1249" s="18">
        <v>1595365.56</v>
      </c>
    </row>
    <row r="1250" spans="1:13" ht="15" thickBot="1" x14ac:dyDescent="0.35">
      <c r="A1250" s="14">
        <v>1243</v>
      </c>
      <c r="B1250" s="15">
        <v>45597</v>
      </c>
      <c r="C1250" s="15">
        <v>45597</v>
      </c>
      <c r="D1250" s="16" t="s">
        <v>1192</v>
      </c>
      <c r="E1250" s="16" t="s">
        <v>1193</v>
      </c>
      <c r="F1250" s="16" t="s">
        <v>2074</v>
      </c>
      <c r="G1250" s="16" t="s">
        <v>1197</v>
      </c>
      <c r="H1250" s="14" t="str">
        <f>"20241101/100075"</f>
        <v>20241101/100075</v>
      </c>
      <c r="I1250" s="19" t="str">
        <f>" "</f>
        <v> </v>
      </c>
      <c r="J1250" s="18">
        <v>0</v>
      </c>
      <c r="K1250" s="18">
        <v>222461.75</v>
      </c>
      <c r="L1250" s="18">
        <v>1372903.81</v>
      </c>
    </row>
    <row r="1251" spans="1:13" ht="15" thickBot="1" x14ac:dyDescent="0.35">
      <c r="A1251" s="14">
        <v>1244</v>
      </c>
      <c r="B1251" s="15">
        <v>45597</v>
      </c>
      <c r="C1251" s="15">
        <v>45597</v>
      </c>
      <c r="D1251" s="16" t="s">
        <v>1192</v>
      </c>
      <c r="E1251" s="16" t="s">
        <v>1193</v>
      </c>
      <c r="F1251" s="16" t="s">
        <v>2075</v>
      </c>
      <c r="G1251" s="16" t="s">
        <v>1197</v>
      </c>
      <c r="H1251" s="14" t="str">
        <f>"20241101/100076"</f>
        <v>20241101/100076</v>
      </c>
      <c r="I1251" s="19" t="str">
        <f>" "</f>
        <v> </v>
      </c>
      <c r="J1251" s="18">
        <v>0</v>
      </c>
      <c r="K1251" s="18">
        <v>559944.65</v>
      </c>
      <c r="L1251" s="18">
        <v>812959.16</v>
      </c>
    </row>
    <row r="1252" spans="1:13" ht="15" thickBot="1" x14ac:dyDescent="0.35">
      <c r="A1252" s="14">
        <v>1245</v>
      </c>
      <c r="B1252" s="15">
        <v>45597</v>
      </c>
      <c r="C1252" s="15">
        <v>45597</v>
      </c>
      <c r="D1252" s="16" t="s">
        <v>1192</v>
      </c>
      <c r="E1252" s="16" t="s">
        <v>1193</v>
      </c>
      <c r="F1252" s="16" t="s">
        <v>2076</v>
      </c>
      <c r="G1252" s="16" t="s">
        <v>1197</v>
      </c>
      <c r="H1252" s="14" t="str">
        <f>"20241101/65057"</f>
        <v>20241101/65057</v>
      </c>
      <c r="I1252" s="19" t="str">
        <f>" "</f>
        <v> </v>
      </c>
      <c r="J1252" s="18">
        <v>210412.2</v>
      </c>
      <c r="K1252" s="18">
        <v>0</v>
      </c>
      <c r="L1252" s="18">
        <v>1023371.36</v>
      </c>
    </row>
    <row r="1253" spans="1:13" ht="15" thickBot="1" x14ac:dyDescent="0.35">
      <c r="A1253" s="14">
        <v>1246</v>
      </c>
      <c r="B1253" s="15">
        <v>45597</v>
      </c>
      <c r="C1253" s="15">
        <v>45597</v>
      </c>
      <c r="D1253" s="16" t="s">
        <v>1192</v>
      </c>
      <c r="E1253" s="16" t="s">
        <v>1193</v>
      </c>
      <c r="F1253" s="16" t="s">
        <v>2077</v>
      </c>
      <c r="G1253" s="16" t="s">
        <v>1197</v>
      </c>
      <c r="H1253" s="14" t="str">
        <f>"20241101/65058"</f>
        <v>20241101/65058</v>
      </c>
      <c r="I1253" s="19" t="str">
        <f>" "</f>
        <v> </v>
      </c>
      <c r="J1253" s="18">
        <v>565112.16</v>
      </c>
      <c r="K1253" s="18">
        <v>0</v>
      </c>
      <c r="L1253" s="18">
        <v>1588483.52</v>
      </c>
    </row>
    <row r="1254" spans="1:13" ht="15" thickBot="1" x14ac:dyDescent="0.35">
      <c r="A1254" s="14">
        <v>1247</v>
      </c>
      <c r="B1254" s="15">
        <v>45597</v>
      </c>
      <c r="C1254" s="15">
        <v>45600</v>
      </c>
      <c r="D1254" s="16" t="s">
        <v>1192</v>
      </c>
      <c r="E1254" s="16" t="s">
        <v>1193</v>
      </c>
      <c r="F1254" s="16" t="s">
        <v>2078</v>
      </c>
      <c r="G1254" s="16" t="s">
        <v>1197</v>
      </c>
      <c r="H1254" s="14" t="str">
        <f>"20241101/207218"</f>
        <v>20241101/207218</v>
      </c>
      <c r="I1254" s="19" t="str">
        <f>"2411000046883"</f>
        <v>2411000046883</v>
      </c>
      <c r="J1254" s="18">
        <v>0</v>
      </c>
      <c r="K1254" s="18">
        <v>9376.1200000000008</v>
      </c>
      <c r="L1254" s="18">
        <v>1579107.4</v>
      </c>
    </row>
    <row r="1255" spans="1:13" ht="15" thickBot="1" x14ac:dyDescent="0.35">
      <c r="A1255" s="14">
        <v>1248</v>
      </c>
      <c r="B1255" s="15">
        <v>45600</v>
      </c>
      <c r="C1255" s="15">
        <v>45600</v>
      </c>
      <c r="D1255" s="16" t="s">
        <v>1192</v>
      </c>
      <c r="E1255" s="16" t="s">
        <v>1193</v>
      </c>
      <c r="F1255" s="16" t="s">
        <v>1202</v>
      </c>
      <c r="G1255" s="16" t="s">
        <v>1203</v>
      </c>
      <c r="H1255" s="14" t="str">
        <f>"20241104/12048"</f>
        <v>20241104/12048</v>
      </c>
      <c r="I1255" s="17" t="str">
        <f t="shared" ref="I1255:I1264" si="110">" "</f>
        <v> </v>
      </c>
      <c r="J1255" s="18">
        <v>8573.4599999999991</v>
      </c>
      <c r="K1255" s="18">
        <v>0</v>
      </c>
      <c r="L1255" s="18">
        <v>1587680.86</v>
      </c>
      <c r="M1255" t="s">
        <v>2661</v>
      </c>
    </row>
    <row r="1256" spans="1:13" ht="15" thickBot="1" x14ac:dyDescent="0.35">
      <c r="A1256" s="14">
        <v>1249</v>
      </c>
      <c r="B1256" s="15">
        <v>45600</v>
      </c>
      <c r="C1256" s="15">
        <v>45600</v>
      </c>
      <c r="D1256" s="16" t="s">
        <v>1192</v>
      </c>
      <c r="E1256" s="16" t="s">
        <v>1193</v>
      </c>
      <c r="F1256" s="16" t="s">
        <v>1204</v>
      </c>
      <c r="G1256" s="16" t="s">
        <v>1203</v>
      </c>
      <c r="H1256" s="14" t="str">
        <f>"20241104/46927"</f>
        <v>20241104/46927</v>
      </c>
      <c r="I1256" s="17" t="str">
        <f t="shared" si="110"/>
        <v> </v>
      </c>
      <c r="J1256" s="18">
        <v>9376.1200000000008</v>
      </c>
      <c r="K1256" s="18">
        <v>0</v>
      </c>
      <c r="L1256" s="18">
        <v>1597056.98</v>
      </c>
      <c r="M1256" t="s">
        <v>2661</v>
      </c>
    </row>
    <row r="1257" spans="1:13" ht="15" thickBot="1" x14ac:dyDescent="0.35">
      <c r="A1257" s="14">
        <v>1250</v>
      </c>
      <c r="B1257" s="15">
        <v>45600</v>
      </c>
      <c r="C1257" s="15">
        <v>45600</v>
      </c>
      <c r="D1257" s="16" t="s">
        <v>1192</v>
      </c>
      <c r="E1257" s="16" t="s">
        <v>1193</v>
      </c>
      <c r="F1257" s="16" t="s">
        <v>1194</v>
      </c>
      <c r="G1257" s="16" t="s">
        <v>1195</v>
      </c>
      <c r="H1257" s="14" t="str">
        <f>"20241104/146149"</f>
        <v>20241104/146149</v>
      </c>
      <c r="I1257" s="17" t="str">
        <f t="shared" si="110"/>
        <v> </v>
      </c>
      <c r="J1257" s="18">
        <v>0</v>
      </c>
      <c r="K1257" s="18">
        <v>22990.26</v>
      </c>
      <c r="L1257" s="18">
        <v>1574066.72</v>
      </c>
      <c r="M1257" t="s">
        <v>2661</v>
      </c>
    </row>
    <row r="1258" spans="1:13" ht="15" thickBot="1" x14ac:dyDescent="0.35">
      <c r="A1258" s="14">
        <v>1251</v>
      </c>
      <c r="B1258" s="15">
        <v>45600</v>
      </c>
      <c r="C1258" s="15">
        <v>45600</v>
      </c>
      <c r="D1258" s="16" t="s">
        <v>1192</v>
      </c>
      <c r="E1258" s="16" t="s">
        <v>1193</v>
      </c>
      <c r="F1258" s="16" t="s">
        <v>1194</v>
      </c>
      <c r="G1258" s="16" t="s">
        <v>1195</v>
      </c>
      <c r="H1258" s="14" t="str">
        <f>"20241104/24867"</f>
        <v>20241104/24867</v>
      </c>
      <c r="I1258" s="17" t="str">
        <f t="shared" si="110"/>
        <v> </v>
      </c>
      <c r="J1258" s="18">
        <v>0</v>
      </c>
      <c r="K1258" s="18">
        <v>1158.2</v>
      </c>
      <c r="L1258" s="18">
        <v>1572908.52</v>
      </c>
      <c r="M1258" t="s">
        <v>2661</v>
      </c>
    </row>
    <row r="1259" spans="1:13" ht="15" thickBot="1" x14ac:dyDescent="0.35">
      <c r="A1259" s="14">
        <v>1252</v>
      </c>
      <c r="B1259" s="15">
        <v>45600</v>
      </c>
      <c r="C1259" s="15">
        <v>45600</v>
      </c>
      <c r="D1259" s="16" t="s">
        <v>1192</v>
      </c>
      <c r="E1259" s="16" t="s">
        <v>1193</v>
      </c>
      <c r="F1259" s="16" t="s">
        <v>2079</v>
      </c>
      <c r="G1259" s="16" t="s">
        <v>1197</v>
      </c>
      <c r="H1259" s="14" t="str">
        <f>"20241104/159751"</f>
        <v>20241104/159751</v>
      </c>
      <c r="I1259" s="19" t="str">
        <f t="shared" si="110"/>
        <v> </v>
      </c>
      <c r="J1259" s="18">
        <v>289.55</v>
      </c>
      <c r="K1259" s="18">
        <v>0</v>
      </c>
      <c r="L1259" s="18">
        <v>1573198.07</v>
      </c>
      <c r="M1259" t="s">
        <v>2658</v>
      </c>
    </row>
    <row r="1260" spans="1:13" ht="15" thickBot="1" x14ac:dyDescent="0.35">
      <c r="A1260" s="14">
        <v>1253</v>
      </c>
      <c r="B1260" s="15">
        <v>45600</v>
      </c>
      <c r="C1260" s="15">
        <v>45600</v>
      </c>
      <c r="D1260" s="16" t="s">
        <v>1192</v>
      </c>
      <c r="E1260" s="16" t="s">
        <v>1193</v>
      </c>
      <c r="F1260" s="16" t="s">
        <v>2080</v>
      </c>
      <c r="G1260" s="16" t="s">
        <v>1197</v>
      </c>
      <c r="H1260" s="14" t="str">
        <f>"20241104/204279"</f>
        <v>20241104/204279</v>
      </c>
      <c r="I1260" s="19" t="str">
        <f t="shared" si="110"/>
        <v> </v>
      </c>
      <c r="J1260" s="18">
        <v>868.65</v>
      </c>
      <c r="K1260" s="18">
        <v>0</v>
      </c>
      <c r="L1260" s="18">
        <v>1574066.72</v>
      </c>
      <c r="M1260" t="s">
        <v>2658</v>
      </c>
    </row>
    <row r="1261" spans="1:13" ht="15" thickBot="1" x14ac:dyDescent="0.35">
      <c r="A1261" s="14">
        <v>1254</v>
      </c>
      <c r="B1261" s="15">
        <v>45600</v>
      </c>
      <c r="C1261" s="15">
        <v>45600</v>
      </c>
      <c r="D1261" s="16" t="s">
        <v>1192</v>
      </c>
      <c r="E1261" s="16" t="s">
        <v>1193</v>
      </c>
      <c r="F1261" s="16" t="s">
        <v>2081</v>
      </c>
      <c r="G1261" s="16" t="s">
        <v>1197</v>
      </c>
      <c r="H1261" s="14" t="str">
        <f>"20241104/241608"</f>
        <v>20241104/241608</v>
      </c>
      <c r="I1261" s="19" t="str">
        <f t="shared" si="110"/>
        <v> </v>
      </c>
      <c r="J1261" s="18">
        <v>553448.46</v>
      </c>
      <c r="K1261" s="18">
        <v>0</v>
      </c>
      <c r="L1261" s="18">
        <v>2127515.1800000002</v>
      </c>
    </row>
    <row r="1262" spans="1:13" ht="15" thickBot="1" x14ac:dyDescent="0.35">
      <c r="A1262" s="14">
        <v>1255</v>
      </c>
      <c r="B1262" s="15">
        <v>45600</v>
      </c>
      <c r="C1262" s="15">
        <v>45600</v>
      </c>
      <c r="D1262" s="16" t="s">
        <v>1192</v>
      </c>
      <c r="E1262" s="16" t="s">
        <v>1193</v>
      </c>
      <c r="F1262" s="16" t="s">
        <v>2082</v>
      </c>
      <c r="G1262" s="16" t="s">
        <v>1197</v>
      </c>
      <c r="H1262" s="14" t="str">
        <f>"20241104/241609"</f>
        <v>20241104/241609</v>
      </c>
      <c r="I1262" s="19" t="str">
        <f t="shared" si="110"/>
        <v> </v>
      </c>
      <c r="J1262" s="18">
        <v>224751.55</v>
      </c>
      <c r="K1262" s="18">
        <v>0</v>
      </c>
      <c r="L1262" s="18">
        <v>2352266.73</v>
      </c>
    </row>
    <row r="1263" spans="1:13" ht="15" thickBot="1" x14ac:dyDescent="0.35">
      <c r="A1263" s="14">
        <v>1256</v>
      </c>
      <c r="B1263" s="15">
        <v>45600</v>
      </c>
      <c r="C1263" s="15">
        <v>45600</v>
      </c>
      <c r="D1263" s="16" t="s">
        <v>1192</v>
      </c>
      <c r="E1263" s="16" t="s">
        <v>1193</v>
      </c>
      <c r="F1263" s="16" t="s">
        <v>2083</v>
      </c>
      <c r="G1263" s="16" t="s">
        <v>1197</v>
      </c>
      <c r="H1263" s="14" t="str">
        <f>"20241104/366056"</f>
        <v>20241104/366056</v>
      </c>
      <c r="I1263" s="19" t="str">
        <f t="shared" si="110"/>
        <v> </v>
      </c>
      <c r="J1263" s="18">
        <v>0</v>
      </c>
      <c r="K1263" s="18">
        <v>210412.2</v>
      </c>
      <c r="L1263" s="18">
        <v>2141854.5299999998</v>
      </c>
    </row>
    <row r="1264" spans="1:13" ht="15" thickBot="1" x14ac:dyDescent="0.35">
      <c r="A1264" s="14">
        <v>1257</v>
      </c>
      <c r="B1264" s="15">
        <v>45600</v>
      </c>
      <c r="C1264" s="15">
        <v>45600</v>
      </c>
      <c r="D1264" s="16" t="s">
        <v>1192</v>
      </c>
      <c r="E1264" s="16" t="s">
        <v>1193</v>
      </c>
      <c r="F1264" s="16" t="s">
        <v>2084</v>
      </c>
      <c r="G1264" s="16" t="s">
        <v>1197</v>
      </c>
      <c r="H1264" s="14" t="str">
        <f>"20241104/366057"</f>
        <v>20241104/366057</v>
      </c>
      <c r="I1264" s="19" t="str">
        <f t="shared" si="110"/>
        <v> </v>
      </c>
      <c r="J1264" s="18">
        <v>0</v>
      </c>
      <c r="K1264" s="18">
        <v>565112.16</v>
      </c>
      <c r="L1264" s="18">
        <v>1576742.37</v>
      </c>
    </row>
    <row r="1265" spans="1:13" ht="15" thickBot="1" x14ac:dyDescent="0.35">
      <c r="A1265" s="14">
        <v>1258</v>
      </c>
      <c r="B1265" s="15">
        <v>45600</v>
      </c>
      <c r="C1265" s="15">
        <v>45601</v>
      </c>
      <c r="D1265" s="16" t="s">
        <v>1192</v>
      </c>
      <c r="E1265" s="16" t="s">
        <v>1193</v>
      </c>
      <c r="F1265" s="16" t="s">
        <v>2085</v>
      </c>
      <c r="G1265" s="16" t="s">
        <v>1197</v>
      </c>
      <c r="H1265" s="14" t="str">
        <f>"20241104/462284"</f>
        <v>20241104/462284</v>
      </c>
      <c r="I1265" s="19" t="str">
        <f>"2411000580937"</f>
        <v>2411000580937</v>
      </c>
      <c r="J1265" s="18">
        <v>6938.76</v>
      </c>
      <c r="K1265" s="18">
        <v>0</v>
      </c>
      <c r="L1265" s="18">
        <v>1583681.13</v>
      </c>
    </row>
    <row r="1266" spans="1:13" ht="15" thickBot="1" x14ac:dyDescent="0.35">
      <c r="A1266" s="14">
        <v>1259</v>
      </c>
      <c r="B1266" s="15">
        <v>45601</v>
      </c>
      <c r="C1266" s="15">
        <v>45601</v>
      </c>
      <c r="D1266" s="16" t="s">
        <v>1192</v>
      </c>
      <c r="E1266" s="16" t="s">
        <v>1193</v>
      </c>
      <c r="F1266" s="16" t="s">
        <v>1194</v>
      </c>
      <c r="G1266" s="16" t="s">
        <v>1195</v>
      </c>
      <c r="H1266" s="14" t="str">
        <f>"20241105/19383"</f>
        <v>20241105/19383</v>
      </c>
      <c r="I1266" s="17" t="str">
        <f t="shared" ref="I1266:I1272" si="111">" "</f>
        <v> </v>
      </c>
      <c r="J1266" s="18">
        <v>0</v>
      </c>
      <c r="K1266" s="18">
        <v>284.41000000000003</v>
      </c>
      <c r="L1266" s="18">
        <v>1583396.72</v>
      </c>
      <c r="M1266" t="s">
        <v>2661</v>
      </c>
    </row>
    <row r="1267" spans="1:13" ht="15" thickBot="1" x14ac:dyDescent="0.35">
      <c r="A1267" s="14">
        <v>1260</v>
      </c>
      <c r="B1267" s="15">
        <v>45601</v>
      </c>
      <c r="C1267" s="15">
        <v>45601</v>
      </c>
      <c r="D1267" s="16" t="s">
        <v>1192</v>
      </c>
      <c r="E1267" s="16" t="s">
        <v>1193</v>
      </c>
      <c r="F1267" s="16" t="s">
        <v>1194</v>
      </c>
      <c r="G1267" s="16" t="s">
        <v>1195</v>
      </c>
      <c r="H1267" s="14" t="str">
        <f>"20241105/94989"</f>
        <v>20241105/94989</v>
      </c>
      <c r="I1267" s="17" t="str">
        <f t="shared" si="111"/>
        <v> </v>
      </c>
      <c r="J1267" s="18">
        <v>0</v>
      </c>
      <c r="K1267" s="18">
        <v>1694.83</v>
      </c>
      <c r="L1267" s="18">
        <v>1581701.89</v>
      </c>
      <c r="M1267" t="s">
        <v>2661</v>
      </c>
    </row>
    <row r="1268" spans="1:13" ht="15" thickBot="1" x14ac:dyDescent="0.35">
      <c r="A1268" s="14">
        <v>1261</v>
      </c>
      <c r="B1268" s="15">
        <v>45601</v>
      </c>
      <c r="C1268" s="15">
        <v>45601</v>
      </c>
      <c r="D1268" s="16" t="s">
        <v>1192</v>
      </c>
      <c r="E1268" s="16" t="s">
        <v>1193</v>
      </c>
      <c r="F1268" s="16" t="s">
        <v>2086</v>
      </c>
      <c r="G1268" s="16" t="s">
        <v>1197</v>
      </c>
      <c r="H1268" s="14" t="str">
        <f>"20241105/113290"</f>
        <v>20241105/113290</v>
      </c>
      <c r="I1268" s="19" t="str">
        <f t="shared" si="111"/>
        <v> </v>
      </c>
      <c r="J1268" s="18">
        <v>284.41000000000003</v>
      </c>
      <c r="K1268" s="18">
        <v>0</v>
      </c>
      <c r="L1268" s="18">
        <v>1581986.3</v>
      </c>
      <c r="M1268" t="s">
        <v>2658</v>
      </c>
    </row>
    <row r="1269" spans="1:13" ht="15" thickBot="1" x14ac:dyDescent="0.35">
      <c r="A1269" s="14">
        <v>1262</v>
      </c>
      <c r="B1269" s="15">
        <v>45601</v>
      </c>
      <c r="C1269" s="15">
        <v>45601</v>
      </c>
      <c r="D1269" s="16" t="s">
        <v>1192</v>
      </c>
      <c r="E1269" s="16" t="s">
        <v>1193</v>
      </c>
      <c r="F1269" s="16" t="s">
        <v>2087</v>
      </c>
      <c r="G1269" s="16" t="s">
        <v>1197</v>
      </c>
      <c r="H1269" s="14" t="str">
        <f>"20241105/141384"</f>
        <v>20241105/141384</v>
      </c>
      <c r="I1269" s="19" t="str">
        <f t="shared" si="111"/>
        <v> </v>
      </c>
      <c r="J1269" s="18">
        <v>559066.64</v>
      </c>
      <c r="K1269" s="18">
        <v>0</v>
      </c>
      <c r="L1269" s="18">
        <v>2141052.94</v>
      </c>
    </row>
    <row r="1270" spans="1:13" ht="15" thickBot="1" x14ac:dyDescent="0.35">
      <c r="A1270" s="14">
        <v>1263</v>
      </c>
      <c r="B1270" s="15">
        <v>45601</v>
      </c>
      <c r="C1270" s="15">
        <v>45601</v>
      </c>
      <c r="D1270" s="16" t="s">
        <v>1192</v>
      </c>
      <c r="E1270" s="16" t="s">
        <v>1193</v>
      </c>
      <c r="F1270" s="16" t="s">
        <v>2088</v>
      </c>
      <c r="G1270" s="16" t="s">
        <v>1197</v>
      </c>
      <c r="H1270" s="14" t="str">
        <f>"20241105/141385"</f>
        <v>20241105/141385</v>
      </c>
      <c r="I1270" s="19" t="str">
        <f t="shared" si="111"/>
        <v> </v>
      </c>
      <c r="J1270" s="18">
        <v>220828.2</v>
      </c>
      <c r="K1270" s="18">
        <v>0</v>
      </c>
      <c r="L1270" s="18">
        <v>2361881.14</v>
      </c>
    </row>
    <row r="1271" spans="1:13" ht="15" thickBot="1" x14ac:dyDescent="0.35">
      <c r="A1271" s="14">
        <v>1264</v>
      </c>
      <c r="B1271" s="15">
        <v>45601</v>
      </c>
      <c r="C1271" s="15">
        <v>45601</v>
      </c>
      <c r="D1271" s="16" t="s">
        <v>1192</v>
      </c>
      <c r="E1271" s="16" t="s">
        <v>1193</v>
      </c>
      <c r="F1271" s="16" t="s">
        <v>2089</v>
      </c>
      <c r="G1271" s="16" t="s">
        <v>1197</v>
      </c>
      <c r="H1271" s="14" t="str">
        <f>"20241105/266582"</f>
        <v>20241105/266582</v>
      </c>
      <c r="I1271" s="19" t="str">
        <f t="shared" si="111"/>
        <v> </v>
      </c>
      <c r="J1271" s="18">
        <v>0</v>
      </c>
      <c r="K1271" s="18">
        <v>553448.46</v>
      </c>
      <c r="L1271" s="18">
        <v>1808432.68</v>
      </c>
    </row>
    <row r="1272" spans="1:13" ht="15" thickBot="1" x14ac:dyDescent="0.35">
      <c r="A1272" s="14">
        <v>1265</v>
      </c>
      <c r="B1272" s="15">
        <v>45601</v>
      </c>
      <c r="C1272" s="15">
        <v>45601</v>
      </c>
      <c r="D1272" s="16" t="s">
        <v>1192</v>
      </c>
      <c r="E1272" s="16" t="s">
        <v>1193</v>
      </c>
      <c r="F1272" s="16" t="s">
        <v>2090</v>
      </c>
      <c r="G1272" s="16" t="s">
        <v>1197</v>
      </c>
      <c r="H1272" s="14" t="str">
        <f>"20241105/266583"</f>
        <v>20241105/266583</v>
      </c>
      <c r="I1272" s="19" t="str">
        <f t="shared" si="111"/>
        <v> </v>
      </c>
      <c r="J1272" s="18">
        <v>0</v>
      </c>
      <c r="K1272" s="18">
        <v>224751.55</v>
      </c>
      <c r="L1272" s="18">
        <v>1583681.13</v>
      </c>
    </row>
    <row r="1273" spans="1:13" ht="15" thickBot="1" x14ac:dyDescent="0.35">
      <c r="A1273" s="14">
        <v>1266</v>
      </c>
      <c r="B1273" s="15">
        <v>45601</v>
      </c>
      <c r="C1273" s="15">
        <v>45602</v>
      </c>
      <c r="D1273" s="16" t="s">
        <v>1192</v>
      </c>
      <c r="E1273" s="16" t="s">
        <v>1193</v>
      </c>
      <c r="F1273" s="16" t="s">
        <v>2091</v>
      </c>
      <c r="G1273" s="16" t="s">
        <v>1197</v>
      </c>
      <c r="H1273" s="14" t="str">
        <f>"20241105/358347"</f>
        <v>20241105/358347</v>
      </c>
      <c r="I1273" s="19" t="str">
        <f>"2411001043241"</f>
        <v>2411001043241</v>
      </c>
      <c r="J1273" s="18">
        <v>11403.32</v>
      </c>
      <c r="K1273" s="18">
        <v>0</v>
      </c>
      <c r="L1273" s="18">
        <v>1595084.45</v>
      </c>
    </row>
    <row r="1274" spans="1:13" ht="15" thickBot="1" x14ac:dyDescent="0.35">
      <c r="A1274" s="14">
        <v>1267</v>
      </c>
      <c r="B1274" s="15">
        <v>45602</v>
      </c>
      <c r="C1274" s="15">
        <v>45602</v>
      </c>
      <c r="D1274" s="16" t="s">
        <v>1192</v>
      </c>
      <c r="E1274" s="16" t="s">
        <v>1193</v>
      </c>
      <c r="F1274" s="16" t="s">
        <v>1194</v>
      </c>
      <c r="G1274" s="16" t="s">
        <v>1195</v>
      </c>
      <c r="H1274" s="14" t="str">
        <f>"20241106/29225"</f>
        <v>20241106/29225</v>
      </c>
      <c r="I1274" s="17" t="str">
        <f t="shared" ref="I1274:I1287" si="112">" "</f>
        <v> </v>
      </c>
      <c r="J1274" s="18">
        <v>0</v>
      </c>
      <c r="K1274" s="18">
        <v>286.27999999999997</v>
      </c>
      <c r="L1274" s="18">
        <v>1594798.17</v>
      </c>
      <c r="M1274" t="s">
        <v>2661</v>
      </c>
    </row>
    <row r="1275" spans="1:13" ht="15" thickBot="1" x14ac:dyDescent="0.35">
      <c r="A1275" s="14">
        <v>1268</v>
      </c>
      <c r="B1275" s="15">
        <v>45602</v>
      </c>
      <c r="C1275" s="15">
        <v>45602</v>
      </c>
      <c r="D1275" s="16" t="s">
        <v>1192</v>
      </c>
      <c r="E1275" s="16" t="s">
        <v>1193</v>
      </c>
      <c r="F1275" s="16" t="s">
        <v>2092</v>
      </c>
      <c r="G1275" s="16" t="s">
        <v>1197</v>
      </c>
      <c r="H1275" s="14" t="str">
        <f>"20241106/123536"</f>
        <v>20241106/123536</v>
      </c>
      <c r="I1275" s="19" t="str">
        <f t="shared" si="112"/>
        <v> </v>
      </c>
      <c r="J1275" s="18">
        <v>286.27999999999997</v>
      </c>
      <c r="K1275" s="18">
        <v>0</v>
      </c>
      <c r="L1275" s="18">
        <v>1595084.45</v>
      </c>
      <c r="M1275" t="s">
        <v>2658</v>
      </c>
    </row>
    <row r="1276" spans="1:13" ht="15" thickBot="1" x14ac:dyDescent="0.35">
      <c r="A1276" s="14">
        <v>1269</v>
      </c>
      <c r="B1276" s="15">
        <v>45602</v>
      </c>
      <c r="C1276" s="15">
        <v>45602</v>
      </c>
      <c r="D1276" s="16" t="s">
        <v>1192</v>
      </c>
      <c r="E1276" s="16" t="s">
        <v>1193</v>
      </c>
      <c r="F1276" s="16" t="s">
        <v>2093</v>
      </c>
      <c r="G1276" s="16" t="s">
        <v>1197</v>
      </c>
      <c r="H1276" s="14" t="str">
        <f>"20241106/215837"</f>
        <v>20241106/215837</v>
      </c>
      <c r="I1276" s="19" t="str">
        <f t="shared" si="112"/>
        <v> </v>
      </c>
      <c r="J1276" s="18">
        <v>193374.2</v>
      </c>
      <c r="K1276" s="18">
        <v>0</v>
      </c>
      <c r="L1276" s="18">
        <v>1788458.65</v>
      </c>
    </row>
    <row r="1277" spans="1:13" ht="15" thickBot="1" x14ac:dyDescent="0.35">
      <c r="A1277" s="14">
        <v>1270</v>
      </c>
      <c r="B1277" s="15">
        <v>45602</v>
      </c>
      <c r="C1277" s="15">
        <v>45602</v>
      </c>
      <c r="D1277" s="16" t="s">
        <v>1192</v>
      </c>
      <c r="E1277" s="16" t="s">
        <v>1193</v>
      </c>
      <c r="F1277" s="16" t="s">
        <v>2094</v>
      </c>
      <c r="G1277" s="16" t="s">
        <v>1197</v>
      </c>
      <c r="H1277" s="14" t="str">
        <f>"20241106/215838"</f>
        <v>20241106/215838</v>
      </c>
      <c r="I1277" s="19" t="str">
        <f t="shared" si="112"/>
        <v> </v>
      </c>
      <c r="J1277" s="18">
        <v>571394.80000000005</v>
      </c>
      <c r="K1277" s="18">
        <v>0</v>
      </c>
      <c r="L1277" s="18">
        <v>2359853.4500000002</v>
      </c>
    </row>
    <row r="1278" spans="1:13" ht="15" thickBot="1" x14ac:dyDescent="0.35">
      <c r="A1278" s="14">
        <v>1271</v>
      </c>
      <c r="B1278" s="15">
        <v>45602</v>
      </c>
      <c r="C1278" s="15">
        <v>45602</v>
      </c>
      <c r="D1278" s="16" t="s">
        <v>1192</v>
      </c>
      <c r="E1278" s="16" t="s">
        <v>1193</v>
      </c>
      <c r="F1278" s="16" t="s">
        <v>2095</v>
      </c>
      <c r="G1278" s="16" t="s">
        <v>1197</v>
      </c>
      <c r="H1278" s="14" t="str">
        <f>"20241106/263130"</f>
        <v>20241106/263130</v>
      </c>
      <c r="I1278" s="19" t="str">
        <f t="shared" si="112"/>
        <v> </v>
      </c>
      <c r="J1278" s="18">
        <v>0</v>
      </c>
      <c r="K1278" s="18">
        <v>559066.64</v>
      </c>
      <c r="L1278" s="18">
        <v>1800786.81</v>
      </c>
    </row>
    <row r="1279" spans="1:13" ht="15" thickBot="1" x14ac:dyDescent="0.35">
      <c r="A1279" s="14">
        <v>1272</v>
      </c>
      <c r="B1279" s="15">
        <v>45602</v>
      </c>
      <c r="C1279" s="15">
        <v>45602</v>
      </c>
      <c r="D1279" s="16" t="s">
        <v>1192</v>
      </c>
      <c r="E1279" s="16" t="s">
        <v>1193</v>
      </c>
      <c r="F1279" s="16" t="s">
        <v>2096</v>
      </c>
      <c r="G1279" s="16" t="s">
        <v>1197</v>
      </c>
      <c r="H1279" s="14" t="str">
        <f>"20241106/263131"</f>
        <v>20241106/263131</v>
      </c>
      <c r="I1279" s="19" t="str">
        <f t="shared" si="112"/>
        <v> </v>
      </c>
      <c r="J1279" s="18">
        <v>0</v>
      </c>
      <c r="K1279" s="18">
        <v>220828.2</v>
      </c>
      <c r="L1279" s="18">
        <v>1579958.61</v>
      </c>
    </row>
    <row r="1280" spans="1:13" ht="15" thickBot="1" x14ac:dyDescent="0.35">
      <c r="A1280" s="14">
        <v>1273</v>
      </c>
      <c r="B1280" s="15">
        <v>45603</v>
      </c>
      <c r="C1280" s="15">
        <v>45603</v>
      </c>
      <c r="D1280" s="16" t="s">
        <v>1192</v>
      </c>
      <c r="E1280" s="16" t="s">
        <v>1193</v>
      </c>
      <c r="F1280" s="16" t="s">
        <v>1202</v>
      </c>
      <c r="G1280" s="16" t="s">
        <v>1203</v>
      </c>
      <c r="H1280" s="14" t="str">
        <f>"20241107/11775"</f>
        <v>20241107/11775</v>
      </c>
      <c r="I1280" s="17" t="str">
        <f t="shared" si="112"/>
        <v> </v>
      </c>
      <c r="J1280" s="18">
        <v>15125.84</v>
      </c>
      <c r="K1280" s="18">
        <v>0</v>
      </c>
      <c r="L1280" s="18">
        <v>1595084.45</v>
      </c>
      <c r="M1280" t="s">
        <v>2661</v>
      </c>
    </row>
    <row r="1281" spans="1:13" ht="15" thickBot="1" x14ac:dyDescent="0.35">
      <c r="A1281" s="14">
        <v>1274</v>
      </c>
      <c r="B1281" s="15">
        <v>45603</v>
      </c>
      <c r="C1281" s="15">
        <v>45603</v>
      </c>
      <c r="D1281" s="16" t="s">
        <v>1192</v>
      </c>
      <c r="E1281" s="16" t="s">
        <v>1193</v>
      </c>
      <c r="F1281" s="16" t="s">
        <v>1194</v>
      </c>
      <c r="G1281" s="16" t="s">
        <v>1195</v>
      </c>
      <c r="H1281" s="14" t="str">
        <f>"20241107/11641"</f>
        <v>20241107/11641</v>
      </c>
      <c r="I1281" s="17" t="str">
        <f t="shared" si="112"/>
        <v> </v>
      </c>
      <c r="J1281" s="18">
        <v>0</v>
      </c>
      <c r="K1281" s="18">
        <v>290.33999999999997</v>
      </c>
      <c r="L1281" s="18">
        <v>1594794.11</v>
      </c>
      <c r="M1281" t="s">
        <v>2661</v>
      </c>
    </row>
    <row r="1282" spans="1:13" ht="15" thickBot="1" x14ac:dyDescent="0.35">
      <c r="A1282" s="14">
        <v>1275</v>
      </c>
      <c r="B1282" s="15">
        <v>45603</v>
      </c>
      <c r="C1282" s="15">
        <v>45603</v>
      </c>
      <c r="D1282" s="16" t="s">
        <v>1192</v>
      </c>
      <c r="E1282" s="16" t="s">
        <v>1193</v>
      </c>
      <c r="F1282" s="16" t="s">
        <v>1194</v>
      </c>
      <c r="G1282" s="16" t="s">
        <v>1195</v>
      </c>
      <c r="H1282" s="14" t="str">
        <f>"20241107/98688"</f>
        <v>20241107/98688</v>
      </c>
      <c r="I1282" s="17" t="str">
        <f t="shared" si="112"/>
        <v> </v>
      </c>
      <c r="J1282" s="18">
        <v>0</v>
      </c>
      <c r="K1282" s="18">
        <v>9762.7199999999993</v>
      </c>
      <c r="L1282" s="18">
        <v>1585031.39</v>
      </c>
      <c r="M1282" t="s">
        <v>2661</v>
      </c>
    </row>
    <row r="1283" spans="1:13" ht="15" thickBot="1" x14ac:dyDescent="0.35">
      <c r="A1283" s="14">
        <v>1276</v>
      </c>
      <c r="B1283" s="15">
        <v>45603</v>
      </c>
      <c r="C1283" s="15">
        <v>45603</v>
      </c>
      <c r="D1283" s="16" t="s">
        <v>1192</v>
      </c>
      <c r="E1283" s="16" t="s">
        <v>1193</v>
      </c>
      <c r="F1283" s="16" t="s">
        <v>2097</v>
      </c>
      <c r="G1283" s="16" t="s">
        <v>1197</v>
      </c>
      <c r="H1283" s="14" t="str">
        <f>"20241107/120556"</f>
        <v>20241107/120556</v>
      </c>
      <c r="I1283" s="19" t="str">
        <f t="shared" si="112"/>
        <v> </v>
      </c>
      <c r="J1283" s="18">
        <v>290.33999999999997</v>
      </c>
      <c r="K1283" s="18">
        <v>0</v>
      </c>
      <c r="L1283" s="18">
        <v>1585321.73</v>
      </c>
      <c r="M1283" t="s">
        <v>2658</v>
      </c>
    </row>
    <row r="1284" spans="1:13" ht="15" thickBot="1" x14ac:dyDescent="0.35">
      <c r="A1284" s="14">
        <v>1277</v>
      </c>
      <c r="B1284" s="15">
        <v>45603</v>
      </c>
      <c r="C1284" s="15">
        <v>45603</v>
      </c>
      <c r="D1284" s="16" t="s">
        <v>1192</v>
      </c>
      <c r="E1284" s="16" t="s">
        <v>1193</v>
      </c>
      <c r="F1284" s="16" t="s">
        <v>2098</v>
      </c>
      <c r="G1284" s="16" t="s">
        <v>1197</v>
      </c>
      <c r="H1284" s="14" t="str">
        <f>"20241107/168744"</f>
        <v>20241107/168744</v>
      </c>
      <c r="I1284" s="19" t="str">
        <f t="shared" si="112"/>
        <v> </v>
      </c>
      <c r="J1284" s="18">
        <v>575440.02</v>
      </c>
      <c r="K1284" s="18">
        <v>0</v>
      </c>
      <c r="L1284" s="18">
        <v>2160761.75</v>
      </c>
    </row>
    <row r="1285" spans="1:13" ht="15" thickBot="1" x14ac:dyDescent="0.35">
      <c r="A1285" s="14">
        <v>1278</v>
      </c>
      <c r="B1285" s="15">
        <v>45603</v>
      </c>
      <c r="C1285" s="15">
        <v>45603</v>
      </c>
      <c r="D1285" s="16" t="s">
        <v>1192</v>
      </c>
      <c r="E1285" s="16" t="s">
        <v>1193</v>
      </c>
      <c r="F1285" s="16" t="s">
        <v>2099</v>
      </c>
      <c r="G1285" s="16" t="s">
        <v>1197</v>
      </c>
      <c r="H1285" s="14" t="str">
        <f>"20241107/168745"</f>
        <v>20241107/168745</v>
      </c>
      <c r="I1285" s="19" t="str">
        <f t="shared" si="112"/>
        <v> </v>
      </c>
      <c r="J1285" s="18">
        <v>199091.7</v>
      </c>
      <c r="K1285" s="18">
        <v>0</v>
      </c>
      <c r="L1285" s="18">
        <v>2359853.4500000002</v>
      </c>
    </row>
    <row r="1286" spans="1:13" ht="15" thickBot="1" x14ac:dyDescent="0.35">
      <c r="A1286" s="14">
        <v>1279</v>
      </c>
      <c r="B1286" s="15">
        <v>45603</v>
      </c>
      <c r="C1286" s="15">
        <v>45603</v>
      </c>
      <c r="D1286" s="16" t="s">
        <v>1192</v>
      </c>
      <c r="E1286" s="16" t="s">
        <v>1193</v>
      </c>
      <c r="F1286" s="16" t="s">
        <v>2100</v>
      </c>
      <c r="G1286" s="16" t="s">
        <v>1197</v>
      </c>
      <c r="H1286" s="14" t="str">
        <f>"20241107/246301"</f>
        <v>20241107/246301</v>
      </c>
      <c r="I1286" s="19" t="str">
        <f t="shared" si="112"/>
        <v> </v>
      </c>
      <c r="J1286" s="18">
        <v>0</v>
      </c>
      <c r="K1286" s="18">
        <v>193374.2</v>
      </c>
      <c r="L1286" s="18">
        <v>2166479.25</v>
      </c>
    </row>
    <row r="1287" spans="1:13" ht="15" thickBot="1" x14ac:dyDescent="0.35">
      <c r="A1287" s="14">
        <v>1280</v>
      </c>
      <c r="B1287" s="15">
        <v>45603</v>
      </c>
      <c r="C1287" s="15">
        <v>45603</v>
      </c>
      <c r="D1287" s="16" t="s">
        <v>1192</v>
      </c>
      <c r="E1287" s="16" t="s">
        <v>1193</v>
      </c>
      <c r="F1287" s="16" t="s">
        <v>2101</v>
      </c>
      <c r="G1287" s="16" t="s">
        <v>1197</v>
      </c>
      <c r="H1287" s="14" t="str">
        <f>"20241107/246302"</f>
        <v>20241107/246302</v>
      </c>
      <c r="I1287" s="19" t="str">
        <f t="shared" si="112"/>
        <v> </v>
      </c>
      <c r="J1287" s="18">
        <v>0</v>
      </c>
      <c r="K1287" s="18">
        <v>571394.80000000005</v>
      </c>
      <c r="L1287" s="18">
        <v>1595084.45</v>
      </c>
    </row>
    <row r="1288" spans="1:13" ht="15" thickBot="1" x14ac:dyDescent="0.35">
      <c r="A1288" s="14">
        <v>1281</v>
      </c>
      <c r="B1288" s="15">
        <v>45603</v>
      </c>
      <c r="C1288" s="15">
        <v>45604</v>
      </c>
      <c r="D1288" s="16" t="s">
        <v>1192</v>
      </c>
      <c r="E1288" s="16" t="s">
        <v>1193</v>
      </c>
      <c r="F1288" s="16" t="s">
        <v>2102</v>
      </c>
      <c r="G1288" s="16" t="s">
        <v>1197</v>
      </c>
      <c r="H1288" s="14" t="str">
        <f>"20241107/372470"</f>
        <v>20241107/372470</v>
      </c>
      <c r="I1288" s="19" t="str">
        <f>"2411001977331"</f>
        <v>2411001977331</v>
      </c>
      <c r="J1288" s="18">
        <v>0</v>
      </c>
      <c r="K1288" s="18">
        <v>40137.24</v>
      </c>
      <c r="L1288" s="18">
        <v>1554947.21</v>
      </c>
    </row>
    <row r="1289" spans="1:13" ht="15" thickBot="1" x14ac:dyDescent="0.35">
      <c r="A1289" s="14">
        <v>1282</v>
      </c>
      <c r="B1289" s="15">
        <v>45603</v>
      </c>
      <c r="C1289" s="15">
        <v>45604</v>
      </c>
      <c r="D1289" s="16" t="s">
        <v>1192</v>
      </c>
      <c r="E1289" s="16" t="s">
        <v>1193</v>
      </c>
      <c r="F1289" s="16" t="s">
        <v>2103</v>
      </c>
      <c r="G1289" s="16" t="s">
        <v>1197</v>
      </c>
      <c r="H1289" s="14" t="str">
        <f>"20241107/372471"</f>
        <v>20241107/372471</v>
      </c>
      <c r="I1289" s="19" t="str">
        <f>"2411001977331"</f>
        <v>2411001977331</v>
      </c>
      <c r="J1289" s="18">
        <v>21778.81</v>
      </c>
      <c r="K1289" s="18">
        <v>0</v>
      </c>
      <c r="L1289" s="18">
        <v>1576726.02</v>
      </c>
    </row>
    <row r="1290" spans="1:13" ht="15" thickBot="1" x14ac:dyDescent="0.35">
      <c r="A1290" s="14">
        <v>1283</v>
      </c>
      <c r="B1290" s="15">
        <v>45604</v>
      </c>
      <c r="C1290" s="15">
        <v>45604</v>
      </c>
      <c r="D1290" s="16" t="s">
        <v>1192</v>
      </c>
      <c r="E1290" s="16" t="s">
        <v>1193</v>
      </c>
      <c r="F1290" s="16" t="s">
        <v>1204</v>
      </c>
      <c r="G1290" s="16" t="s">
        <v>1203</v>
      </c>
      <c r="H1290" s="14" t="str">
        <f>"20241108/20737"</f>
        <v>20241108/20737</v>
      </c>
      <c r="I1290" s="17" t="str">
        <f t="shared" ref="I1290:I1297" si="113">" "</f>
        <v> </v>
      </c>
      <c r="J1290" s="18">
        <v>40137.24</v>
      </c>
      <c r="K1290" s="18">
        <v>0</v>
      </c>
      <c r="L1290" s="18">
        <v>1616863.26</v>
      </c>
      <c r="M1290" t="s">
        <v>2661</v>
      </c>
    </row>
    <row r="1291" spans="1:13" ht="15" thickBot="1" x14ac:dyDescent="0.35">
      <c r="A1291" s="14">
        <v>1284</v>
      </c>
      <c r="B1291" s="15">
        <v>45604</v>
      </c>
      <c r="C1291" s="15">
        <v>45604</v>
      </c>
      <c r="D1291" s="16" t="s">
        <v>1192</v>
      </c>
      <c r="E1291" s="16" t="s">
        <v>1193</v>
      </c>
      <c r="F1291" s="16" t="s">
        <v>1194</v>
      </c>
      <c r="G1291" s="16" t="s">
        <v>1195</v>
      </c>
      <c r="H1291" s="14" t="str">
        <f>"20241108/125999"</f>
        <v>20241108/125999</v>
      </c>
      <c r="I1291" s="17" t="str">
        <f t="shared" si="113"/>
        <v> </v>
      </c>
      <c r="J1291" s="18">
        <v>0</v>
      </c>
      <c r="K1291" s="18">
        <v>15168.44</v>
      </c>
      <c r="L1291" s="18">
        <v>1601694.82</v>
      </c>
      <c r="M1291" t="s">
        <v>2661</v>
      </c>
    </row>
    <row r="1292" spans="1:13" ht="15" thickBot="1" x14ac:dyDescent="0.35">
      <c r="A1292" s="14">
        <v>1285</v>
      </c>
      <c r="B1292" s="15">
        <v>45604</v>
      </c>
      <c r="C1292" s="15">
        <v>45604</v>
      </c>
      <c r="D1292" s="16" t="s">
        <v>1192</v>
      </c>
      <c r="E1292" s="16" t="s">
        <v>1193</v>
      </c>
      <c r="F1292" s="16" t="s">
        <v>1194</v>
      </c>
      <c r="G1292" s="16" t="s">
        <v>1195</v>
      </c>
      <c r="H1292" s="14" t="str">
        <f>"20241108/37813"</f>
        <v>20241108/37813</v>
      </c>
      <c r="I1292" s="17" t="str">
        <f t="shared" si="113"/>
        <v> </v>
      </c>
      <c r="J1292" s="18">
        <v>0</v>
      </c>
      <c r="K1292" s="18">
        <v>292.25</v>
      </c>
      <c r="L1292" s="18">
        <v>1601402.57</v>
      </c>
      <c r="M1292" t="s">
        <v>2661</v>
      </c>
    </row>
    <row r="1293" spans="1:13" ht="15" thickBot="1" x14ac:dyDescent="0.35">
      <c r="A1293" s="14">
        <v>1286</v>
      </c>
      <c r="B1293" s="15">
        <v>45604</v>
      </c>
      <c r="C1293" s="15">
        <v>45604</v>
      </c>
      <c r="D1293" s="16" t="s">
        <v>1192</v>
      </c>
      <c r="E1293" s="16" t="s">
        <v>1193</v>
      </c>
      <c r="F1293" s="16" t="s">
        <v>2104</v>
      </c>
      <c r="G1293" s="16" t="s">
        <v>1197</v>
      </c>
      <c r="H1293" s="14" t="str">
        <f>"20241108/119391"</f>
        <v>20241108/119391</v>
      </c>
      <c r="I1293" s="19" t="str">
        <f t="shared" si="113"/>
        <v> </v>
      </c>
      <c r="J1293" s="18">
        <v>292.25</v>
      </c>
      <c r="K1293" s="18">
        <v>0</v>
      </c>
      <c r="L1293" s="18">
        <v>1601694.82</v>
      </c>
      <c r="M1293" t="s">
        <v>2658</v>
      </c>
    </row>
    <row r="1294" spans="1:13" ht="15" thickBot="1" x14ac:dyDescent="0.35">
      <c r="A1294" s="14">
        <v>1287</v>
      </c>
      <c r="B1294" s="15">
        <v>45604</v>
      </c>
      <c r="C1294" s="15">
        <v>45604</v>
      </c>
      <c r="D1294" s="16" t="s">
        <v>1192</v>
      </c>
      <c r="E1294" s="16" t="s">
        <v>1193</v>
      </c>
      <c r="F1294" s="16" t="s">
        <v>2105</v>
      </c>
      <c r="G1294" s="16" t="s">
        <v>1197</v>
      </c>
      <c r="H1294" s="14" t="str">
        <f>"20241108/173773"</f>
        <v>20241108/173773</v>
      </c>
      <c r="I1294" s="19" t="str">
        <f t="shared" si="113"/>
        <v> </v>
      </c>
      <c r="J1294" s="18">
        <v>227230.15</v>
      </c>
      <c r="K1294" s="18">
        <v>0</v>
      </c>
      <c r="L1294" s="18">
        <v>1828924.97</v>
      </c>
    </row>
    <row r="1295" spans="1:13" ht="15" thickBot="1" x14ac:dyDescent="0.35">
      <c r="A1295" s="14">
        <v>1288</v>
      </c>
      <c r="B1295" s="15">
        <v>45604</v>
      </c>
      <c r="C1295" s="15">
        <v>45604</v>
      </c>
      <c r="D1295" s="16" t="s">
        <v>1192</v>
      </c>
      <c r="E1295" s="16" t="s">
        <v>1193</v>
      </c>
      <c r="F1295" s="16" t="s">
        <v>2106</v>
      </c>
      <c r="G1295" s="16" t="s">
        <v>1197</v>
      </c>
      <c r="H1295" s="14" t="str">
        <f>"20241108/173774"</f>
        <v>20241108/173774</v>
      </c>
      <c r="I1295" s="19" t="str">
        <f t="shared" si="113"/>
        <v> </v>
      </c>
      <c r="J1295" s="18">
        <v>562470.01</v>
      </c>
      <c r="K1295" s="18">
        <v>0</v>
      </c>
      <c r="L1295" s="18">
        <v>2391394.98</v>
      </c>
    </row>
    <row r="1296" spans="1:13" ht="15" thickBot="1" x14ac:dyDescent="0.35">
      <c r="A1296" s="14">
        <v>1289</v>
      </c>
      <c r="B1296" s="15">
        <v>45604</v>
      </c>
      <c r="C1296" s="15">
        <v>45604</v>
      </c>
      <c r="D1296" s="16" t="s">
        <v>1192</v>
      </c>
      <c r="E1296" s="16" t="s">
        <v>1193</v>
      </c>
      <c r="F1296" s="16" t="s">
        <v>2107</v>
      </c>
      <c r="G1296" s="16" t="s">
        <v>1197</v>
      </c>
      <c r="H1296" s="14" t="str">
        <f>"20241108/274461"</f>
        <v>20241108/274461</v>
      </c>
      <c r="I1296" s="19" t="str">
        <f t="shared" si="113"/>
        <v> </v>
      </c>
      <c r="J1296" s="18">
        <v>0</v>
      </c>
      <c r="K1296" s="18">
        <v>575440.02</v>
      </c>
      <c r="L1296" s="18">
        <v>1815954.96</v>
      </c>
    </row>
    <row r="1297" spans="1:13" ht="15" thickBot="1" x14ac:dyDescent="0.35">
      <c r="A1297" s="14">
        <v>1290</v>
      </c>
      <c r="B1297" s="15">
        <v>45604</v>
      </c>
      <c r="C1297" s="15">
        <v>45604</v>
      </c>
      <c r="D1297" s="16" t="s">
        <v>1192</v>
      </c>
      <c r="E1297" s="16" t="s">
        <v>1193</v>
      </c>
      <c r="F1297" s="16" t="s">
        <v>2108</v>
      </c>
      <c r="G1297" s="16" t="s">
        <v>1197</v>
      </c>
      <c r="H1297" s="14" t="str">
        <f>"20241108/274462"</f>
        <v>20241108/274462</v>
      </c>
      <c r="I1297" s="19" t="str">
        <f t="shared" si="113"/>
        <v> </v>
      </c>
      <c r="J1297" s="18">
        <v>0</v>
      </c>
      <c r="K1297" s="18">
        <v>199091.7</v>
      </c>
      <c r="L1297" s="18">
        <v>1616863.26</v>
      </c>
    </row>
    <row r="1298" spans="1:13" ht="15" thickBot="1" x14ac:dyDescent="0.35">
      <c r="A1298" s="14">
        <v>1291</v>
      </c>
      <c r="B1298" s="15">
        <v>45604</v>
      </c>
      <c r="C1298" s="15">
        <v>45607</v>
      </c>
      <c r="D1298" s="16" t="s">
        <v>1192</v>
      </c>
      <c r="E1298" s="16" t="s">
        <v>1193</v>
      </c>
      <c r="F1298" s="16" t="s">
        <v>2109</v>
      </c>
      <c r="G1298" s="16" t="s">
        <v>1197</v>
      </c>
      <c r="H1298" s="14" t="str">
        <f>"20241108/355099"</f>
        <v>20241108/355099</v>
      </c>
      <c r="I1298" s="19" t="str">
        <f>"2411002431258"</f>
        <v>2411002431258</v>
      </c>
      <c r="J1298" s="18">
        <v>0</v>
      </c>
      <c r="K1298" s="18">
        <v>28183.96</v>
      </c>
      <c r="L1298" s="18">
        <v>1588679.3</v>
      </c>
    </row>
    <row r="1299" spans="1:13" ht="15" thickBot="1" x14ac:dyDescent="0.35">
      <c r="A1299" s="14">
        <v>1292</v>
      </c>
      <c r="B1299" s="15">
        <v>45607</v>
      </c>
      <c r="C1299" s="15">
        <v>45607</v>
      </c>
      <c r="D1299" s="16" t="s">
        <v>1248</v>
      </c>
      <c r="E1299" s="16" t="s">
        <v>1193</v>
      </c>
      <c r="F1299" s="16" t="s">
        <v>1249</v>
      </c>
      <c r="G1299" s="16" t="s">
        <v>1195</v>
      </c>
      <c r="H1299" s="14" t="str">
        <f>"20241111/133261"</f>
        <v>20241111/133261</v>
      </c>
      <c r="I1299" s="17" t="str">
        <f t="shared" ref="I1299:I1307" si="114">" "</f>
        <v> </v>
      </c>
      <c r="J1299" s="18">
        <v>0</v>
      </c>
      <c r="K1299" s="18">
        <v>37.770000000000003</v>
      </c>
      <c r="L1299" s="18">
        <v>1588641.53</v>
      </c>
      <c r="M1299" t="s">
        <v>2661</v>
      </c>
    </row>
    <row r="1300" spans="1:13" ht="15" thickBot="1" x14ac:dyDescent="0.35">
      <c r="A1300" s="14">
        <v>1293</v>
      </c>
      <c r="B1300" s="15">
        <v>45607</v>
      </c>
      <c r="C1300" s="15">
        <v>45607</v>
      </c>
      <c r="D1300" s="16" t="s">
        <v>1192</v>
      </c>
      <c r="E1300" s="16" t="s">
        <v>1193</v>
      </c>
      <c r="F1300" s="16" t="s">
        <v>1204</v>
      </c>
      <c r="G1300" s="16" t="s">
        <v>1203</v>
      </c>
      <c r="H1300" s="14" t="str">
        <f>"20241111/13963"</f>
        <v>20241111/13963</v>
      </c>
      <c r="I1300" s="17" t="str">
        <f t="shared" si="114"/>
        <v> </v>
      </c>
      <c r="J1300" s="18">
        <v>28183.96</v>
      </c>
      <c r="K1300" s="18">
        <v>0</v>
      </c>
      <c r="L1300" s="18">
        <v>1616825.49</v>
      </c>
      <c r="M1300" t="s">
        <v>2661</v>
      </c>
    </row>
    <row r="1301" spans="1:13" ht="15" thickBot="1" x14ac:dyDescent="0.35">
      <c r="A1301" s="14">
        <v>1294</v>
      </c>
      <c r="B1301" s="15">
        <v>45607</v>
      </c>
      <c r="C1301" s="15">
        <v>45607</v>
      </c>
      <c r="D1301" s="16" t="s">
        <v>1192</v>
      </c>
      <c r="E1301" s="16" t="s">
        <v>1193</v>
      </c>
      <c r="F1301" s="16" t="s">
        <v>1194</v>
      </c>
      <c r="G1301" s="16" t="s">
        <v>1195</v>
      </c>
      <c r="H1301" s="14" t="str">
        <f>"20241111/119265"</f>
        <v>20241111/119265</v>
      </c>
      <c r="I1301" s="17" t="str">
        <f t="shared" si="114"/>
        <v> </v>
      </c>
      <c r="J1301" s="18">
        <v>0</v>
      </c>
      <c r="K1301" s="18">
        <v>17702.580000000002</v>
      </c>
      <c r="L1301" s="18">
        <v>1599122.91</v>
      </c>
      <c r="M1301" t="s">
        <v>2661</v>
      </c>
    </row>
    <row r="1302" spans="1:13" ht="15" thickBot="1" x14ac:dyDescent="0.35">
      <c r="A1302" s="14">
        <v>1295</v>
      </c>
      <c r="B1302" s="15">
        <v>45607</v>
      </c>
      <c r="C1302" s="15">
        <v>45607</v>
      </c>
      <c r="D1302" s="16" t="s">
        <v>1192</v>
      </c>
      <c r="E1302" s="16" t="s">
        <v>1193</v>
      </c>
      <c r="F1302" s="16" t="s">
        <v>1194</v>
      </c>
      <c r="G1302" s="16" t="s">
        <v>1195</v>
      </c>
      <c r="H1302" s="14" t="str">
        <f>"20241111/17900"</f>
        <v>20241111/17900</v>
      </c>
      <c r="I1302" s="17" t="str">
        <f t="shared" si="114"/>
        <v> </v>
      </c>
      <c r="J1302" s="18">
        <v>0</v>
      </c>
      <c r="K1302" s="18">
        <v>883.83</v>
      </c>
      <c r="L1302" s="18">
        <v>1598239.08</v>
      </c>
      <c r="M1302" t="s">
        <v>2661</v>
      </c>
    </row>
    <row r="1303" spans="1:13" ht="15" thickBot="1" x14ac:dyDescent="0.35">
      <c r="A1303" s="14">
        <v>1296</v>
      </c>
      <c r="B1303" s="15">
        <v>45607</v>
      </c>
      <c r="C1303" s="15">
        <v>45607</v>
      </c>
      <c r="D1303" s="16" t="s">
        <v>1192</v>
      </c>
      <c r="E1303" s="16" t="s">
        <v>1193</v>
      </c>
      <c r="F1303" s="16" t="s">
        <v>2110</v>
      </c>
      <c r="G1303" s="16" t="s">
        <v>1197</v>
      </c>
      <c r="H1303" s="14" t="str">
        <f>"20241111/286803"</f>
        <v>20241111/286803</v>
      </c>
      <c r="I1303" s="19" t="str">
        <f t="shared" si="114"/>
        <v> </v>
      </c>
      <c r="J1303" s="18">
        <v>252877.1</v>
      </c>
      <c r="K1303" s="18">
        <v>0</v>
      </c>
      <c r="L1303" s="18">
        <v>1851116.18</v>
      </c>
    </row>
    <row r="1304" spans="1:13" ht="15" thickBot="1" x14ac:dyDescent="0.35">
      <c r="A1304" s="14">
        <v>1297</v>
      </c>
      <c r="B1304" s="15">
        <v>45607</v>
      </c>
      <c r="C1304" s="15">
        <v>45607</v>
      </c>
      <c r="D1304" s="16" t="s">
        <v>1192</v>
      </c>
      <c r="E1304" s="16" t="s">
        <v>1193</v>
      </c>
      <c r="F1304" s="16" t="s">
        <v>2111</v>
      </c>
      <c r="G1304" s="16" t="s">
        <v>1197</v>
      </c>
      <c r="H1304" s="14" t="str">
        <f>"20241111/289123"</f>
        <v>20241111/289123</v>
      </c>
      <c r="I1304" s="19" t="str">
        <f t="shared" si="114"/>
        <v> </v>
      </c>
      <c r="J1304" s="18">
        <v>554525.64</v>
      </c>
      <c r="K1304" s="18">
        <v>0</v>
      </c>
      <c r="L1304" s="18">
        <v>2405641.8199999998</v>
      </c>
    </row>
    <row r="1305" spans="1:13" ht="15" thickBot="1" x14ac:dyDescent="0.35">
      <c r="A1305" s="14">
        <v>1298</v>
      </c>
      <c r="B1305" s="15">
        <v>45607</v>
      </c>
      <c r="C1305" s="15">
        <v>45607</v>
      </c>
      <c r="D1305" s="16" t="s">
        <v>1192</v>
      </c>
      <c r="E1305" s="16" t="s">
        <v>1193</v>
      </c>
      <c r="F1305" s="16" t="s">
        <v>2112</v>
      </c>
      <c r="G1305" s="16" t="s">
        <v>1197</v>
      </c>
      <c r="H1305" s="14" t="str">
        <f>"20241111/368428"</f>
        <v>20241111/368428</v>
      </c>
      <c r="I1305" s="19" t="str">
        <f t="shared" si="114"/>
        <v> </v>
      </c>
      <c r="J1305" s="18">
        <v>0</v>
      </c>
      <c r="K1305" s="18">
        <v>227230.15</v>
      </c>
      <c r="L1305" s="18">
        <v>2178411.67</v>
      </c>
    </row>
    <row r="1306" spans="1:13" ht="15" thickBot="1" x14ac:dyDescent="0.35">
      <c r="A1306" s="14">
        <v>1299</v>
      </c>
      <c r="B1306" s="15">
        <v>45607</v>
      </c>
      <c r="C1306" s="15">
        <v>45607</v>
      </c>
      <c r="D1306" s="16" t="s">
        <v>1192</v>
      </c>
      <c r="E1306" s="16" t="s">
        <v>1193</v>
      </c>
      <c r="F1306" s="16" t="s">
        <v>2113</v>
      </c>
      <c r="G1306" s="16" t="s">
        <v>1197</v>
      </c>
      <c r="H1306" s="14" t="str">
        <f>"20241111/368429"</f>
        <v>20241111/368429</v>
      </c>
      <c r="I1306" s="19" t="str">
        <f t="shared" si="114"/>
        <v> </v>
      </c>
      <c r="J1306" s="18">
        <v>0</v>
      </c>
      <c r="K1306" s="18">
        <v>562470.01</v>
      </c>
      <c r="L1306" s="18">
        <v>1615941.66</v>
      </c>
    </row>
    <row r="1307" spans="1:13" ht="15" thickBot="1" x14ac:dyDescent="0.35">
      <c r="A1307" s="14">
        <v>1300</v>
      </c>
      <c r="B1307" s="15">
        <v>45607</v>
      </c>
      <c r="C1307" s="15">
        <v>45607</v>
      </c>
      <c r="D1307" s="16" t="s">
        <v>1192</v>
      </c>
      <c r="E1307" s="16" t="s">
        <v>1193</v>
      </c>
      <c r="F1307" s="16" t="s">
        <v>2114</v>
      </c>
      <c r="G1307" s="16" t="s">
        <v>1197</v>
      </c>
      <c r="H1307" s="14" t="str">
        <f>"20241111/97428"</f>
        <v>20241111/97428</v>
      </c>
      <c r="I1307" s="19" t="str">
        <f t="shared" si="114"/>
        <v> </v>
      </c>
      <c r="J1307" s="18">
        <v>883.83</v>
      </c>
      <c r="K1307" s="18">
        <v>0</v>
      </c>
      <c r="L1307" s="18">
        <v>1616825.49</v>
      </c>
      <c r="M1307" t="s">
        <v>2658</v>
      </c>
    </row>
    <row r="1308" spans="1:13" ht="15" thickBot="1" x14ac:dyDescent="0.35">
      <c r="A1308" s="14">
        <v>1301</v>
      </c>
      <c r="B1308" s="15">
        <v>45607</v>
      </c>
      <c r="C1308" s="15">
        <v>45608</v>
      </c>
      <c r="D1308" s="16" t="s">
        <v>1248</v>
      </c>
      <c r="E1308" s="16" t="s">
        <v>1193</v>
      </c>
      <c r="F1308" s="16" t="s">
        <v>2115</v>
      </c>
      <c r="G1308" s="16" t="s">
        <v>1197</v>
      </c>
      <c r="H1308" s="14" t="str">
        <f>"20241111/404598"</f>
        <v>20241111/404598</v>
      </c>
      <c r="I1308" s="19" t="str">
        <f>"2411002949063"</f>
        <v>2411002949063</v>
      </c>
      <c r="J1308" s="18">
        <v>37.770000000000003</v>
      </c>
      <c r="K1308" s="18">
        <v>0</v>
      </c>
      <c r="L1308" s="18">
        <v>1616863.26</v>
      </c>
    </row>
    <row r="1309" spans="1:13" ht="15" thickBot="1" x14ac:dyDescent="0.35">
      <c r="A1309" s="14">
        <v>1302</v>
      </c>
      <c r="B1309" s="15">
        <v>45607</v>
      </c>
      <c r="C1309" s="15">
        <v>45608</v>
      </c>
      <c r="D1309" s="16" t="s">
        <v>1192</v>
      </c>
      <c r="E1309" s="16" t="s">
        <v>1193</v>
      </c>
      <c r="F1309" s="16" t="s">
        <v>2116</v>
      </c>
      <c r="G1309" s="16" t="s">
        <v>1197</v>
      </c>
      <c r="H1309" s="14" t="str">
        <f>"20241111/165311"</f>
        <v>20241111/165311</v>
      </c>
      <c r="I1309" s="19" t="str">
        <f>"2411002882310"</f>
        <v>2411002882310</v>
      </c>
      <c r="J1309" s="18">
        <v>7508.78</v>
      </c>
      <c r="K1309" s="18">
        <v>0</v>
      </c>
      <c r="L1309" s="18">
        <v>1624372.04</v>
      </c>
    </row>
    <row r="1310" spans="1:13" ht="15" thickBot="1" x14ac:dyDescent="0.35">
      <c r="A1310" s="14">
        <v>1303</v>
      </c>
      <c r="B1310" s="15">
        <v>45608</v>
      </c>
      <c r="C1310" s="15">
        <v>45608</v>
      </c>
      <c r="D1310" s="16" t="s">
        <v>1192</v>
      </c>
      <c r="E1310" s="16" t="s">
        <v>1193</v>
      </c>
      <c r="F1310" s="16" t="s">
        <v>1194</v>
      </c>
      <c r="G1310" s="16" t="s">
        <v>1195</v>
      </c>
      <c r="H1310" s="14" t="str">
        <f>"20241112/101689"</f>
        <v>20241112/101689</v>
      </c>
      <c r="I1310" s="17" t="str">
        <f t="shared" ref="I1310:I1332" si="115">" "</f>
        <v> </v>
      </c>
      <c r="J1310" s="18">
        <v>0</v>
      </c>
      <c r="K1310" s="18">
        <v>4269.63</v>
      </c>
      <c r="L1310" s="18">
        <v>1620102.41</v>
      </c>
      <c r="M1310" t="s">
        <v>2661</v>
      </c>
    </row>
    <row r="1311" spans="1:13" ht="15" thickBot="1" x14ac:dyDescent="0.35">
      <c r="A1311" s="14">
        <v>1304</v>
      </c>
      <c r="B1311" s="15">
        <v>45608</v>
      </c>
      <c r="C1311" s="15">
        <v>45608</v>
      </c>
      <c r="D1311" s="16" t="s">
        <v>1192</v>
      </c>
      <c r="E1311" s="16" t="s">
        <v>1193</v>
      </c>
      <c r="F1311" s="16" t="s">
        <v>1194</v>
      </c>
      <c r="G1311" s="16" t="s">
        <v>1195</v>
      </c>
      <c r="H1311" s="14" t="str">
        <f>"20241112/38829"</f>
        <v>20241112/38829</v>
      </c>
      <c r="I1311" s="17" t="str">
        <f t="shared" si="115"/>
        <v> </v>
      </c>
      <c r="J1311" s="18">
        <v>0</v>
      </c>
      <c r="K1311" s="18">
        <v>288.3</v>
      </c>
      <c r="L1311" s="18">
        <v>1619814.11</v>
      </c>
      <c r="M1311" t="s">
        <v>2661</v>
      </c>
    </row>
    <row r="1312" spans="1:13" ht="15" thickBot="1" x14ac:dyDescent="0.35">
      <c r="A1312" s="14">
        <v>1305</v>
      </c>
      <c r="B1312" s="15">
        <v>45608</v>
      </c>
      <c r="C1312" s="15">
        <v>45608</v>
      </c>
      <c r="D1312" s="16" t="s">
        <v>1192</v>
      </c>
      <c r="E1312" s="16" t="s">
        <v>1193</v>
      </c>
      <c r="F1312" s="16" t="s">
        <v>2117</v>
      </c>
      <c r="G1312" s="16" t="s">
        <v>1197</v>
      </c>
      <c r="H1312" s="14" t="str">
        <f>"20241112/117727"</f>
        <v>20241112/117727</v>
      </c>
      <c r="I1312" s="19" t="str">
        <f t="shared" si="115"/>
        <v> </v>
      </c>
      <c r="J1312" s="18">
        <v>288.3</v>
      </c>
      <c r="K1312" s="18">
        <v>0</v>
      </c>
      <c r="L1312" s="18">
        <v>1620102.41</v>
      </c>
      <c r="M1312" t="s">
        <v>2658</v>
      </c>
    </row>
    <row r="1313" spans="1:13" ht="15" thickBot="1" x14ac:dyDescent="0.35">
      <c r="A1313" s="14">
        <v>1306</v>
      </c>
      <c r="B1313" s="15">
        <v>45608</v>
      </c>
      <c r="C1313" s="15">
        <v>45608</v>
      </c>
      <c r="D1313" s="16" t="s">
        <v>1192</v>
      </c>
      <c r="E1313" s="16" t="s">
        <v>1193</v>
      </c>
      <c r="F1313" s="16" t="s">
        <v>2118</v>
      </c>
      <c r="G1313" s="16" t="s">
        <v>1197</v>
      </c>
      <c r="H1313" s="14" t="str">
        <f>"20241112/310700"</f>
        <v>20241112/310700</v>
      </c>
      <c r="I1313" s="19" t="str">
        <f t="shared" si="115"/>
        <v> </v>
      </c>
      <c r="J1313" s="18">
        <v>549614.24</v>
      </c>
      <c r="K1313" s="18">
        <v>0</v>
      </c>
      <c r="L1313" s="18">
        <v>2169716.65</v>
      </c>
    </row>
    <row r="1314" spans="1:13" ht="15" thickBot="1" x14ac:dyDescent="0.35">
      <c r="A1314" s="14">
        <v>1307</v>
      </c>
      <c r="B1314" s="15">
        <v>45608</v>
      </c>
      <c r="C1314" s="15">
        <v>45608</v>
      </c>
      <c r="D1314" s="16" t="s">
        <v>1192</v>
      </c>
      <c r="E1314" s="16" t="s">
        <v>1193</v>
      </c>
      <c r="F1314" s="16" t="s">
        <v>2119</v>
      </c>
      <c r="G1314" s="16" t="s">
        <v>1197</v>
      </c>
      <c r="H1314" s="14" t="str">
        <f>"20241112/310701"</f>
        <v>20241112/310701</v>
      </c>
      <c r="I1314" s="19" t="str">
        <f t="shared" si="115"/>
        <v> </v>
      </c>
      <c r="J1314" s="18">
        <v>262058.13</v>
      </c>
      <c r="K1314" s="18">
        <v>0</v>
      </c>
      <c r="L1314" s="18">
        <v>2431774.7799999998</v>
      </c>
    </row>
    <row r="1315" spans="1:13" ht="15" thickBot="1" x14ac:dyDescent="0.35">
      <c r="A1315" s="14">
        <v>1308</v>
      </c>
      <c r="B1315" s="15">
        <v>45608</v>
      </c>
      <c r="C1315" s="15">
        <v>45608</v>
      </c>
      <c r="D1315" s="16" t="s">
        <v>1192</v>
      </c>
      <c r="E1315" s="16" t="s">
        <v>1193</v>
      </c>
      <c r="F1315" s="16" t="s">
        <v>2120</v>
      </c>
      <c r="G1315" s="16" t="s">
        <v>1197</v>
      </c>
      <c r="H1315" s="14" t="str">
        <f>"20241112/347589"</f>
        <v>20241112/347589</v>
      </c>
      <c r="I1315" s="19" t="str">
        <f t="shared" si="115"/>
        <v> </v>
      </c>
      <c r="J1315" s="18">
        <v>0</v>
      </c>
      <c r="K1315" s="18">
        <v>252877.1</v>
      </c>
      <c r="L1315" s="18">
        <v>2178897.6800000002</v>
      </c>
    </row>
    <row r="1316" spans="1:13" ht="15" thickBot="1" x14ac:dyDescent="0.35">
      <c r="A1316" s="14">
        <v>1309</v>
      </c>
      <c r="B1316" s="15">
        <v>45608</v>
      </c>
      <c r="C1316" s="15">
        <v>45608</v>
      </c>
      <c r="D1316" s="16" t="s">
        <v>1192</v>
      </c>
      <c r="E1316" s="16" t="s">
        <v>1193</v>
      </c>
      <c r="F1316" s="16" t="s">
        <v>2121</v>
      </c>
      <c r="G1316" s="16" t="s">
        <v>1197</v>
      </c>
      <c r="H1316" s="14" t="str">
        <f>"20241112/347590"</f>
        <v>20241112/347590</v>
      </c>
      <c r="I1316" s="19" t="str">
        <f t="shared" si="115"/>
        <v> </v>
      </c>
      <c r="J1316" s="18">
        <v>0</v>
      </c>
      <c r="K1316" s="18">
        <v>554525.64</v>
      </c>
      <c r="L1316" s="18">
        <v>1624372.04</v>
      </c>
    </row>
    <row r="1317" spans="1:13" ht="15" thickBot="1" x14ac:dyDescent="0.35">
      <c r="A1317" s="14">
        <v>1310</v>
      </c>
      <c r="B1317" s="15">
        <v>45609</v>
      </c>
      <c r="C1317" s="15">
        <v>45609</v>
      </c>
      <c r="D1317" s="16" t="s">
        <v>1192</v>
      </c>
      <c r="E1317" s="16" t="s">
        <v>1193</v>
      </c>
      <c r="F1317" s="16" t="s">
        <v>1194</v>
      </c>
      <c r="G1317" s="16" t="s">
        <v>1195</v>
      </c>
      <c r="H1317" s="14" t="str">
        <f>"20241113/135953"</f>
        <v>20241113/135953</v>
      </c>
      <c r="I1317" s="17" t="str">
        <f t="shared" si="115"/>
        <v> </v>
      </c>
      <c r="J1317" s="18">
        <v>0</v>
      </c>
      <c r="K1317" s="18">
        <v>22366.67</v>
      </c>
      <c r="L1317" s="18">
        <v>1602005.37</v>
      </c>
      <c r="M1317" t="s">
        <v>2661</v>
      </c>
    </row>
    <row r="1318" spans="1:13" ht="15" thickBot="1" x14ac:dyDescent="0.35">
      <c r="A1318" s="14">
        <v>1311</v>
      </c>
      <c r="B1318" s="15">
        <v>45609</v>
      </c>
      <c r="C1318" s="15">
        <v>45609</v>
      </c>
      <c r="D1318" s="16" t="s">
        <v>1192</v>
      </c>
      <c r="E1318" s="16" t="s">
        <v>1193</v>
      </c>
      <c r="F1318" s="16" t="s">
        <v>1194</v>
      </c>
      <c r="G1318" s="16" t="s">
        <v>1195</v>
      </c>
      <c r="H1318" s="14" t="str">
        <f>"20241113/20540"</f>
        <v>20241113/20540</v>
      </c>
      <c r="I1318" s="17" t="str">
        <f t="shared" si="115"/>
        <v> </v>
      </c>
      <c r="J1318" s="18">
        <v>0</v>
      </c>
      <c r="K1318" s="18">
        <v>289.45</v>
      </c>
      <c r="L1318" s="18">
        <v>1601715.92</v>
      </c>
      <c r="M1318" t="s">
        <v>2661</v>
      </c>
    </row>
    <row r="1319" spans="1:13" ht="15" thickBot="1" x14ac:dyDescent="0.35">
      <c r="A1319" s="14">
        <v>1312</v>
      </c>
      <c r="B1319" s="15">
        <v>45609</v>
      </c>
      <c r="C1319" s="15">
        <v>45609</v>
      </c>
      <c r="D1319" s="16" t="s">
        <v>1192</v>
      </c>
      <c r="E1319" s="16" t="s">
        <v>1193</v>
      </c>
      <c r="F1319" s="16" t="s">
        <v>2122</v>
      </c>
      <c r="G1319" s="16" t="s">
        <v>1197</v>
      </c>
      <c r="H1319" s="14" t="str">
        <f>"20241113/124829"</f>
        <v>20241113/124829</v>
      </c>
      <c r="I1319" s="19" t="str">
        <f t="shared" si="115"/>
        <v> </v>
      </c>
      <c r="J1319" s="18">
        <v>289.45</v>
      </c>
      <c r="K1319" s="18">
        <v>0</v>
      </c>
      <c r="L1319" s="18">
        <v>1602005.37</v>
      </c>
      <c r="M1319" t="s">
        <v>2658</v>
      </c>
    </row>
    <row r="1320" spans="1:13" ht="15" thickBot="1" x14ac:dyDescent="0.35">
      <c r="A1320" s="14">
        <v>1313</v>
      </c>
      <c r="B1320" s="15">
        <v>45609</v>
      </c>
      <c r="C1320" s="15">
        <v>45609</v>
      </c>
      <c r="D1320" s="16" t="s">
        <v>1192</v>
      </c>
      <c r="E1320" s="16" t="s">
        <v>1193</v>
      </c>
      <c r="F1320" s="16" t="s">
        <v>2123</v>
      </c>
      <c r="G1320" s="16" t="s">
        <v>1197</v>
      </c>
      <c r="H1320" s="14" t="str">
        <f>"20241113/280089"</f>
        <v>20241113/280089</v>
      </c>
      <c r="I1320" s="19" t="str">
        <f t="shared" si="115"/>
        <v> </v>
      </c>
      <c r="J1320" s="18">
        <v>300827.03000000003</v>
      </c>
      <c r="K1320" s="18">
        <v>0</v>
      </c>
      <c r="L1320" s="18">
        <v>1902832.4</v>
      </c>
    </row>
    <row r="1321" spans="1:13" ht="15" thickBot="1" x14ac:dyDescent="0.35">
      <c r="A1321" s="14">
        <v>1314</v>
      </c>
      <c r="B1321" s="15">
        <v>45609</v>
      </c>
      <c r="C1321" s="15">
        <v>45609</v>
      </c>
      <c r="D1321" s="16" t="s">
        <v>1192</v>
      </c>
      <c r="E1321" s="16" t="s">
        <v>1193</v>
      </c>
      <c r="F1321" s="16" t="s">
        <v>2124</v>
      </c>
      <c r="G1321" s="16" t="s">
        <v>1197</v>
      </c>
      <c r="H1321" s="14" t="str">
        <f>"20241113/280090"</f>
        <v>20241113/280090</v>
      </c>
      <c r="I1321" s="19" t="str">
        <f t="shared" si="115"/>
        <v> </v>
      </c>
      <c r="J1321" s="18">
        <v>533212.01</v>
      </c>
      <c r="K1321" s="18">
        <v>0</v>
      </c>
      <c r="L1321" s="18">
        <v>2436044.41</v>
      </c>
    </row>
    <row r="1322" spans="1:13" ht="15" thickBot="1" x14ac:dyDescent="0.35">
      <c r="A1322" s="14">
        <v>1315</v>
      </c>
      <c r="B1322" s="15">
        <v>45609</v>
      </c>
      <c r="C1322" s="15">
        <v>45609</v>
      </c>
      <c r="D1322" s="16" t="s">
        <v>1192</v>
      </c>
      <c r="E1322" s="16" t="s">
        <v>1193</v>
      </c>
      <c r="F1322" s="16" t="s">
        <v>2125</v>
      </c>
      <c r="G1322" s="16" t="s">
        <v>1197</v>
      </c>
      <c r="H1322" s="14" t="str">
        <f>"20241113/365113"</f>
        <v>20241113/365113</v>
      </c>
      <c r="I1322" s="19" t="str">
        <f t="shared" si="115"/>
        <v> </v>
      </c>
      <c r="J1322" s="18">
        <v>0</v>
      </c>
      <c r="K1322" s="18">
        <v>549614.24</v>
      </c>
      <c r="L1322" s="18">
        <v>1886430.17</v>
      </c>
    </row>
    <row r="1323" spans="1:13" ht="15" thickBot="1" x14ac:dyDescent="0.35">
      <c r="A1323" s="14">
        <v>1316</v>
      </c>
      <c r="B1323" s="15">
        <v>45609</v>
      </c>
      <c r="C1323" s="15">
        <v>45609</v>
      </c>
      <c r="D1323" s="16" t="s">
        <v>1192</v>
      </c>
      <c r="E1323" s="16" t="s">
        <v>1193</v>
      </c>
      <c r="F1323" s="16" t="s">
        <v>2126</v>
      </c>
      <c r="G1323" s="16" t="s">
        <v>1197</v>
      </c>
      <c r="H1323" s="14" t="str">
        <f>"20241113/365114"</f>
        <v>20241113/365114</v>
      </c>
      <c r="I1323" s="19" t="str">
        <f t="shared" si="115"/>
        <v> </v>
      </c>
      <c r="J1323" s="18">
        <v>0</v>
      </c>
      <c r="K1323" s="18">
        <v>262058.13</v>
      </c>
      <c r="L1323" s="18">
        <v>1624372.04</v>
      </c>
    </row>
    <row r="1324" spans="1:13" ht="15" thickBot="1" x14ac:dyDescent="0.35">
      <c r="A1324" s="14">
        <v>1317</v>
      </c>
      <c r="B1324" s="15">
        <v>45610</v>
      </c>
      <c r="C1324" s="15">
        <v>45610</v>
      </c>
      <c r="D1324" s="16" t="s">
        <v>1192</v>
      </c>
      <c r="E1324" s="16" t="s">
        <v>1193</v>
      </c>
      <c r="F1324" s="16" t="s">
        <v>1194</v>
      </c>
      <c r="G1324" s="16" t="s">
        <v>1195</v>
      </c>
      <c r="H1324" s="14" t="str">
        <f>"20241114/100467"</f>
        <v>20241114/100467</v>
      </c>
      <c r="I1324" s="17" t="str">
        <f t="shared" si="115"/>
        <v> </v>
      </c>
      <c r="J1324" s="18">
        <v>0</v>
      </c>
      <c r="K1324" s="18">
        <v>5258.97</v>
      </c>
      <c r="L1324" s="18">
        <v>1619113.07</v>
      </c>
      <c r="M1324" t="s">
        <v>2661</v>
      </c>
    </row>
    <row r="1325" spans="1:13" ht="15" thickBot="1" x14ac:dyDescent="0.35">
      <c r="A1325" s="14">
        <v>1318</v>
      </c>
      <c r="B1325" s="15">
        <v>45610</v>
      </c>
      <c r="C1325" s="15">
        <v>45610</v>
      </c>
      <c r="D1325" s="16" t="s">
        <v>1192</v>
      </c>
      <c r="E1325" s="16" t="s">
        <v>1193</v>
      </c>
      <c r="F1325" s="16" t="s">
        <v>1194</v>
      </c>
      <c r="G1325" s="16" t="s">
        <v>1195</v>
      </c>
      <c r="H1325" s="14" t="str">
        <f>"20241114/8934"</f>
        <v>20241114/8934</v>
      </c>
      <c r="I1325" s="17" t="str">
        <f t="shared" si="115"/>
        <v> </v>
      </c>
      <c r="J1325" s="18">
        <v>0</v>
      </c>
      <c r="K1325" s="18">
        <v>281.49</v>
      </c>
      <c r="L1325" s="18">
        <v>1618831.58</v>
      </c>
      <c r="M1325" t="s">
        <v>2661</v>
      </c>
    </row>
    <row r="1326" spans="1:13" ht="15" thickBot="1" x14ac:dyDescent="0.35">
      <c r="A1326" s="14">
        <v>1319</v>
      </c>
      <c r="B1326" s="15">
        <v>45610</v>
      </c>
      <c r="C1326" s="15">
        <v>45610</v>
      </c>
      <c r="D1326" s="16" t="s">
        <v>1192</v>
      </c>
      <c r="E1326" s="16" t="s">
        <v>1193</v>
      </c>
      <c r="F1326" s="16" t="s">
        <v>2127</v>
      </c>
      <c r="G1326" s="16" t="s">
        <v>1197</v>
      </c>
      <c r="H1326" s="14" t="str">
        <f>"20241114/130246"</f>
        <v>20241114/130246</v>
      </c>
      <c r="I1326" s="19" t="str">
        <f t="shared" si="115"/>
        <v> </v>
      </c>
      <c r="J1326" s="18">
        <v>281.49</v>
      </c>
      <c r="K1326" s="18">
        <v>0</v>
      </c>
      <c r="L1326" s="18">
        <v>1619113.07</v>
      </c>
      <c r="M1326" t="s">
        <v>2658</v>
      </c>
    </row>
    <row r="1327" spans="1:13" ht="15" thickBot="1" x14ac:dyDescent="0.35">
      <c r="A1327" s="14">
        <v>1320</v>
      </c>
      <c r="B1327" s="15">
        <v>45610</v>
      </c>
      <c r="C1327" s="15">
        <v>45610</v>
      </c>
      <c r="D1327" s="16" t="s">
        <v>1192</v>
      </c>
      <c r="E1327" s="16" t="s">
        <v>1193</v>
      </c>
      <c r="F1327" s="16" t="s">
        <v>2128</v>
      </c>
      <c r="G1327" s="16" t="s">
        <v>1197</v>
      </c>
      <c r="H1327" s="14" t="str">
        <f>"20241114/274727"</f>
        <v>20241114/274727</v>
      </c>
      <c r="I1327" s="19" t="str">
        <f t="shared" si="115"/>
        <v> </v>
      </c>
      <c r="J1327" s="18">
        <v>1964.78</v>
      </c>
      <c r="K1327" s="18">
        <v>0</v>
      </c>
      <c r="L1327" s="18">
        <v>1621077.85</v>
      </c>
    </row>
    <row r="1328" spans="1:13" ht="15" thickBot="1" x14ac:dyDescent="0.35">
      <c r="A1328" s="14">
        <v>1321</v>
      </c>
      <c r="B1328" s="15">
        <v>45610</v>
      </c>
      <c r="C1328" s="15">
        <v>45610</v>
      </c>
      <c r="D1328" s="16" t="s">
        <v>1192</v>
      </c>
      <c r="E1328" s="16" t="s">
        <v>1193</v>
      </c>
      <c r="F1328" s="16" t="s">
        <v>2129</v>
      </c>
      <c r="G1328" s="16" t="s">
        <v>1197</v>
      </c>
      <c r="H1328" s="14" t="str">
        <f>"20241114/274728"</f>
        <v>20241114/274728</v>
      </c>
      <c r="I1328" s="19" t="str">
        <f t="shared" si="115"/>
        <v> </v>
      </c>
      <c r="J1328" s="18">
        <v>0.85</v>
      </c>
      <c r="K1328" s="18">
        <v>0</v>
      </c>
      <c r="L1328" s="18">
        <v>1621078.7</v>
      </c>
    </row>
    <row r="1329" spans="1:13" ht="15" thickBot="1" x14ac:dyDescent="0.35">
      <c r="A1329" s="14">
        <v>1322</v>
      </c>
      <c r="B1329" s="15">
        <v>45610</v>
      </c>
      <c r="C1329" s="15">
        <v>45610</v>
      </c>
      <c r="D1329" s="16" t="s">
        <v>1192</v>
      </c>
      <c r="E1329" s="16" t="s">
        <v>1193</v>
      </c>
      <c r="F1329" s="16" t="s">
        <v>2129</v>
      </c>
      <c r="G1329" s="16" t="s">
        <v>1197</v>
      </c>
      <c r="H1329" s="14" t="str">
        <f>"20241114/274729"</f>
        <v>20241114/274729</v>
      </c>
      <c r="I1329" s="19" t="str">
        <f t="shared" si="115"/>
        <v> </v>
      </c>
      <c r="J1329" s="18">
        <v>305893.68</v>
      </c>
      <c r="K1329" s="18">
        <v>0</v>
      </c>
      <c r="L1329" s="18">
        <v>1926972.38</v>
      </c>
    </row>
    <row r="1330" spans="1:13" ht="15" thickBot="1" x14ac:dyDescent="0.35">
      <c r="A1330" s="14">
        <v>1323</v>
      </c>
      <c r="B1330" s="15">
        <v>45610</v>
      </c>
      <c r="C1330" s="15">
        <v>45610</v>
      </c>
      <c r="D1330" s="16" t="s">
        <v>1192</v>
      </c>
      <c r="E1330" s="16" t="s">
        <v>1193</v>
      </c>
      <c r="F1330" s="16" t="s">
        <v>2128</v>
      </c>
      <c r="G1330" s="16" t="s">
        <v>1197</v>
      </c>
      <c r="H1330" s="14" t="str">
        <f>"20241114/274730"</f>
        <v>20241114/274730</v>
      </c>
      <c r="I1330" s="19" t="str">
        <f t="shared" si="115"/>
        <v> </v>
      </c>
      <c r="J1330" s="18">
        <v>531438.69999999995</v>
      </c>
      <c r="K1330" s="18">
        <v>0</v>
      </c>
      <c r="L1330" s="18">
        <v>2458411.08</v>
      </c>
    </row>
    <row r="1331" spans="1:13" ht="15" thickBot="1" x14ac:dyDescent="0.35">
      <c r="A1331" s="14">
        <v>1324</v>
      </c>
      <c r="B1331" s="15">
        <v>45610</v>
      </c>
      <c r="C1331" s="15">
        <v>45610</v>
      </c>
      <c r="D1331" s="16" t="s">
        <v>1192</v>
      </c>
      <c r="E1331" s="16" t="s">
        <v>1193</v>
      </c>
      <c r="F1331" s="16" t="s">
        <v>2130</v>
      </c>
      <c r="G1331" s="16" t="s">
        <v>1197</v>
      </c>
      <c r="H1331" s="14" t="str">
        <f>"20241114/339842"</f>
        <v>20241114/339842</v>
      </c>
      <c r="I1331" s="19" t="str">
        <f t="shared" si="115"/>
        <v> </v>
      </c>
      <c r="J1331" s="18">
        <v>0</v>
      </c>
      <c r="K1331" s="18">
        <v>300827.03000000003</v>
      </c>
      <c r="L1331" s="18">
        <v>2157584.0499999998</v>
      </c>
    </row>
    <row r="1332" spans="1:13" ht="15" thickBot="1" x14ac:dyDescent="0.35">
      <c r="A1332" s="14">
        <v>1325</v>
      </c>
      <c r="B1332" s="15">
        <v>45610</v>
      </c>
      <c r="C1332" s="15">
        <v>45610</v>
      </c>
      <c r="D1332" s="16" t="s">
        <v>1192</v>
      </c>
      <c r="E1332" s="16" t="s">
        <v>1193</v>
      </c>
      <c r="F1332" s="16" t="s">
        <v>2131</v>
      </c>
      <c r="G1332" s="16" t="s">
        <v>1197</v>
      </c>
      <c r="H1332" s="14" t="str">
        <f>"20241114/339843"</f>
        <v>20241114/339843</v>
      </c>
      <c r="I1332" s="19" t="str">
        <f t="shared" si="115"/>
        <v> </v>
      </c>
      <c r="J1332" s="18">
        <v>0</v>
      </c>
      <c r="K1332" s="18">
        <v>533212.01</v>
      </c>
      <c r="L1332" s="18">
        <v>1624372.04</v>
      </c>
    </row>
    <row r="1333" spans="1:13" ht="15" thickBot="1" x14ac:dyDescent="0.35">
      <c r="A1333" s="14">
        <v>1326</v>
      </c>
      <c r="B1333" s="15">
        <v>45610</v>
      </c>
      <c r="C1333" s="15">
        <v>45614</v>
      </c>
      <c r="D1333" s="16" t="s">
        <v>1192</v>
      </c>
      <c r="E1333" s="16" t="s">
        <v>1193</v>
      </c>
      <c r="F1333" s="16" t="s">
        <v>2132</v>
      </c>
      <c r="G1333" s="16" t="s">
        <v>1197</v>
      </c>
      <c r="H1333" s="14" t="str">
        <f>"20241114/179545"</f>
        <v>20241114/179545</v>
      </c>
      <c r="I1333" s="19" t="str">
        <f>"2411004234623"</f>
        <v>2411004234623</v>
      </c>
      <c r="J1333" s="18">
        <v>6587.91</v>
      </c>
      <c r="K1333" s="18">
        <v>0</v>
      </c>
      <c r="L1333" s="18">
        <v>1630959.95</v>
      </c>
    </row>
    <row r="1334" spans="1:13" ht="15" thickBot="1" x14ac:dyDescent="0.35">
      <c r="A1334" s="14">
        <v>1327</v>
      </c>
      <c r="B1334" s="15">
        <v>45614</v>
      </c>
      <c r="C1334" s="15">
        <v>45614</v>
      </c>
      <c r="D1334" s="16" t="s">
        <v>1192</v>
      </c>
      <c r="E1334" s="16" t="s">
        <v>1193</v>
      </c>
      <c r="F1334" s="16" t="s">
        <v>1194</v>
      </c>
      <c r="G1334" s="16" t="s">
        <v>1195</v>
      </c>
      <c r="H1334" s="14" t="str">
        <f>"20241118/17931"</f>
        <v>20241118/17931</v>
      </c>
      <c r="I1334" s="17" t="str">
        <f t="shared" ref="I1334:I1362" si="116">" "</f>
        <v> </v>
      </c>
      <c r="J1334" s="18">
        <v>0</v>
      </c>
      <c r="K1334" s="18">
        <v>1118.48</v>
      </c>
      <c r="L1334" s="18">
        <v>1629841.47</v>
      </c>
      <c r="M1334" t="s">
        <v>2661</v>
      </c>
    </row>
    <row r="1335" spans="1:13" ht="15" thickBot="1" x14ac:dyDescent="0.35">
      <c r="A1335" s="14">
        <v>1328</v>
      </c>
      <c r="B1335" s="15">
        <v>45614</v>
      </c>
      <c r="C1335" s="15">
        <v>45614</v>
      </c>
      <c r="D1335" s="16" t="s">
        <v>1192</v>
      </c>
      <c r="E1335" s="16" t="s">
        <v>1193</v>
      </c>
      <c r="F1335" s="16" t="s">
        <v>2133</v>
      </c>
      <c r="G1335" s="16" t="s">
        <v>1197</v>
      </c>
      <c r="H1335" s="14" t="str">
        <f>"20241118/107173"</f>
        <v>20241118/107173</v>
      </c>
      <c r="I1335" s="19" t="str">
        <f t="shared" si="116"/>
        <v> </v>
      </c>
      <c r="J1335" s="18">
        <v>1118.48</v>
      </c>
      <c r="K1335" s="18">
        <v>0</v>
      </c>
      <c r="L1335" s="18">
        <v>1630959.95</v>
      </c>
      <c r="M1335" t="s">
        <v>2658</v>
      </c>
    </row>
    <row r="1336" spans="1:13" ht="15" thickBot="1" x14ac:dyDescent="0.35">
      <c r="A1336" s="14">
        <v>1329</v>
      </c>
      <c r="B1336" s="15">
        <v>45614</v>
      </c>
      <c r="C1336" s="15">
        <v>45614</v>
      </c>
      <c r="D1336" s="16" t="s">
        <v>1192</v>
      </c>
      <c r="E1336" s="16" t="s">
        <v>1193</v>
      </c>
      <c r="F1336" s="16" t="s">
        <v>2134</v>
      </c>
      <c r="G1336" s="16" t="s">
        <v>1197</v>
      </c>
      <c r="H1336" s="14" t="str">
        <f>"20241118/224547"</f>
        <v>20241118/224547</v>
      </c>
      <c r="I1336" s="19" t="str">
        <f t="shared" si="116"/>
        <v> </v>
      </c>
      <c r="J1336" s="18">
        <v>1965.03</v>
      </c>
      <c r="K1336" s="18">
        <v>0</v>
      </c>
      <c r="L1336" s="18">
        <v>1632924.98</v>
      </c>
    </row>
    <row r="1337" spans="1:13" ht="15" thickBot="1" x14ac:dyDescent="0.35">
      <c r="A1337" s="14">
        <v>1330</v>
      </c>
      <c r="B1337" s="15">
        <v>45614</v>
      </c>
      <c r="C1337" s="15">
        <v>45614</v>
      </c>
      <c r="D1337" s="16" t="s">
        <v>1192</v>
      </c>
      <c r="E1337" s="16" t="s">
        <v>1193</v>
      </c>
      <c r="F1337" s="16" t="s">
        <v>2135</v>
      </c>
      <c r="G1337" s="16" t="s">
        <v>1197</v>
      </c>
      <c r="H1337" s="14" t="str">
        <f>"20241118/224548"</f>
        <v>20241118/224548</v>
      </c>
      <c r="I1337" s="19" t="str">
        <f t="shared" si="116"/>
        <v> </v>
      </c>
      <c r="J1337" s="18">
        <v>290124.08</v>
      </c>
      <c r="K1337" s="18">
        <v>0</v>
      </c>
      <c r="L1337" s="18">
        <v>1923049.06</v>
      </c>
    </row>
    <row r="1338" spans="1:13" ht="15" thickBot="1" x14ac:dyDescent="0.35">
      <c r="A1338" s="14">
        <v>1331</v>
      </c>
      <c r="B1338" s="15">
        <v>45614</v>
      </c>
      <c r="C1338" s="15">
        <v>45614</v>
      </c>
      <c r="D1338" s="16" t="s">
        <v>1192</v>
      </c>
      <c r="E1338" s="16" t="s">
        <v>1193</v>
      </c>
      <c r="F1338" s="16" t="s">
        <v>2134</v>
      </c>
      <c r="G1338" s="16" t="s">
        <v>1197</v>
      </c>
      <c r="H1338" s="14" t="str">
        <f>"20241118/224549"</f>
        <v>20241118/224549</v>
      </c>
      <c r="I1338" s="19" t="str">
        <f t="shared" si="116"/>
        <v> </v>
      </c>
      <c r="J1338" s="18">
        <v>537593.26</v>
      </c>
      <c r="K1338" s="18">
        <v>0</v>
      </c>
      <c r="L1338" s="18">
        <v>2460642.3199999998</v>
      </c>
    </row>
    <row r="1339" spans="1:13" ht="15" thickBot="1" x14ac:dyDescent="0.35">
      <c r="A1339" s="14">
        <v>1332</v>
      </c>
      <c r="B1339" s="15">
        <v>45614</v>
      </c>
      <c r="C1339" s="15">
        <v>45614</v>
      </c>
      <c r="D1339" s="16" t="s">
        <v>1192</v>
      </c>
      <c r="E1339" s="16" t="s">
        <v>1193</v>
      </c>
      <c r="F1339" s="16" t="s">
        <v>2136</v>
      </c>
      <c r="G1339" s="16" t="s">
        <v>1197</v>
      </c>
      <c r="H1339" s="14" t="str">
        <f>"20241118/357538"</f>
        <v>20241118/357538</v>
      </c>
      <c r="I1339" s="19" t="str">
        <f t="shared" si="116"/>
        <v> </v>
      </c>
      <c r="J1339" s="18">
        <v>0</v>
      </c>
      <c r="K1339" s="18">
        <v>1964.78</v>
      </c>
      <c r="L1339" s="18">
        <v>2458677.54</v>
      </c>
    </row>
    <row r="1340" spans="1:13" ht="15" thickBot="1" x14ac:dyDescent="0.35">
      <c r="A1340" s="14">
        <v>1333</v>
      </c>
      <c r="B1340" s="15">
        <v>45614</v>
      </c>
      <c r="C1340" s="15">
        <v>45614</v>
      </c>
      <c r="D1340" s="16" t="s">
        <v>1192</v>
      </c>
      <c r="E1340" s="16" t="s">
        <v>1193</v>
      </c>
      <c r="F1340" s="16" t="s">
        <v>2137</v>
      </c>
      <c r="G1340" s="16" t="s">
        <v>1197</v>
      </c>
      <c r="H1340" s="14" t="str">
        <f>"20241118/357539"</f>
        <v>20241118/357539</v>
      </c>
      <c r="I1340" s="19" t="str">
        <f t="shared" si="116"/>
        <v> </v>
      </c>
      <c r="J1340" s="18">
        <v>0</v>
      </c>
      <c r="K1340" s="18">
        <v>0.85</v>
      </c>
      <c r="L1340" s="18">
        <v>2458676.69</v>
      </c>
    </row>
    <row r="1341" spans="1:13" ht="15" thickBot="1" x14ac:dyDescent="0.35">
      <c r="A1341" s="14">
        <v>1334</v>
      </c>
      <c r="B1341" s="15">
        <v>45614</v>
      </c>
      <c r="C1341" s="15">
        <v>45614</v>
      </c>
      <c r="D1341" s="16" t="s">
        <v>1192</v>
      </c>
      <c r="E1341" s="16" t="s">
        <v>1193</v>
      </c>
      <c r="F1341" s="16" t="s">
        <v>2137</v>
      </c>
      <c r="G1341" s="16" t="s">
        <v>1197</v>
      </c>
      <c r="H1341" s="14" t="str">
        <f>"20241118/357540"</f>
        <v>20241118/357540</v>
      </c>
      <c r="I1341" s="19" t="str">
        <f t="shared" si="116"/>
        <v> </v>
      </c>
      <c r="J1341" s="18">
        <v>0</v>
      </c>
      <c r="K1341" s="18">
        <v>305893.68</v>
      </c>
      <c r="L1341" s="18">
        <v>2152783.0099999998</v>
      </c>
    </row>
    <row r="1342" spans="1:13" ht="15" thickBot="1" x14ac:dyDescent="0.35">
      <c r="A1342" s="14">
        <v>1335</v>
      </c>
      <c r="B1342" s="15">
        <v>45614</v>
      </c>
      <c r="C1342" s="15">
        <v>45614</v>
      </c>
      <c r="D1342" s="16" t="s">
        <v>1192</v>
      </c>
      <c r="E1342" s="16" t="s">
        <v>1193</v>
      </c>
      <c r="F1342" s="16" t="s">
        <v>2136</v>
      </c>
      <c r="G1342" s="16" t="s">
        <v>1197</v>
      </c>
      <c r="H1342" s="14" t="str">
        <f>"20241118/359872"</f>
        <v>20241118/359872</v>
      </c>
      <c r="I1342" s="19" t="str">
        <f t="shared" si="116"/>
        <v> </v>
      </c>
      <c r="J1342" s="18">
        <v>0</v>
      </c>
      <c r="K1342" s="18">
        <v>531438.69999999995</v>
      </c>
      <c r="L1342" s="18">
        <v>1621344.31</v>
      </c>
    </row>
    <row r="1343" spans="1:13" ht="15" thickBot="1" x14ac:dyDescent="0.35">
      <c r="A1343" s="14">
        <v>1336</v>
      </c>
      <c r="B1343" s="15">
        <v>45615</v>
      </c>
      <c r="C1343" s="15">
        <v>45615</v>
      </c>
      <c r="D1343" s="16" t="s">
        <v>1192</v>
      </c>
      <c r="E1343" s="16" t="s">
        <v>1193</v>
      </c>
      <c r="F1343" s="16" t="s">
        <v>1202</v>
      </c>
      <c r="G1343" s="16" t="s">
        <v>1203</v>
      </c>
      <c r="H1343" s="14" t="str">
        <f>"20241119/5818"</f>
        <v>20241119/5818</v>
      </c>
      <c r="I1343" s="17" t="str">
        <f t="shared" si="116"/>
        <v> </v>
      </c>
      <c r="J1343" s="18">
        <v>9615.64</v>
      </c>
      <c r="K1343" s="18">
        <v>0</v>
      </c>
      <c r="L1343" s="18">
        <v>1630959.95</v>
      </c>
      <c r="M1343" t="s">
        <v>2661</v>
      </c>
    </row>
    <row r="1344" spans="1:13" ht="15" thickBot="1" x14ac:dyDescent="0.35">
      <c r="A1344" s="14">
        <v>1337</v>
      </c>
      <c r="B1344" s="15">
        <v>45615</v>
      </c>
      <c r="C1344" s="15">
        <v>45615</v>
      </c>
      <c r="D1344" s="16" t="s">
        <v>1192</v>
      </c>
      <c r="E1344" s="16" t="s">
        <v>1193</v>
      </c>
      <c r="F1344" s="16" t="s">
        <v>1194</v>
      </c>
      <c r="G1344" s="16" t="s">
        <v>1195</v>
      </c>
      <c r="H1344" s="14" t="str">
        <f>"20241119/29818"</f>
        <v>20241119/29818</v>
      </c>
      <c r="I1344" s="17" t="str">
        <f t="shared" si="116"/>
        <v> </v>
      </c>
      <c r="J1344" s="18">
        <v>0</v>
      </c>
      <c r="K1344" s="18">
        <v>281.95999999999998</v>
      </c>
      <c r="L1344" s="18">
        <v>1630677.99</v>
      </c>
      <c r="M1344" t="s">
        <v>2661</v>
      </c>
    </row>
    <row r="1345" spans="1:13" ht="15" thickBot="1" x14ac:dyDescent="0.35">
      <c r="A1345" s="14">
        <v>1338</v>
      </c>
      <c r="B1345" s="15">
        <v>45615</v>
      </c>
      <c r="C1345" s="15">
        <v>45615</v>
      </c>
      <c r="D1345" s="16" t="s">
        <v>1192</v>
      </c>
      <c r="E1345" s="16" t="s">
        <v>1193</v>
      </c>
      <c r="F1345" s="16" t="s">
        <v>2138</v>
      </c>
      <c r="G1345" s="16" t="s">
        <v>1197</v>
      </c>
      <c r="H1345" s="14" t="str">
        <f>"20241119/108074"</f>
        <v>20241119/108074</v>
      </c>
      <c r="I1345" s="19" t="str">
        <f t="shared" si="116"/>
        <v> </v>
      </c>
      <c r="J1345" s="18">
        <v>281.95999999999998</v>
      </c>
      <c r="K1345" s="18">
        <v>0</v>
      </c>
      <c r="L1345" s="18">
        <v>1630959.95</v>
      </c>
      <c r="M1345" t="s">
        <v>2658</v>
      </c>
    </row>
    <row r="1346" spans="1:13" ht="15" thickBot="1" x14ac:dyDescent="0.35">
      <c r="A1346" s="14">
        <v>1339</v>
      </c>
      <c r="B1346" s="15">
        <v>45615</v>
      </c>
      <c r="C1346" s="15">
        <v>45615</v>
      </c>
      <c r="D1346" s="16" t="s">
        <v>1192</v>
      </c>
      <c r="E1346" s="16" t="s">
        <v>1193</v>
      </c>
      <c r="F1346" s="16" t="s">
        <v>2139</v>
      </c>
      <c r="G1346" s="16" t="s">
        <v>1197</v>
      </c>
      <c r="H1346" s="14" t="str">
        <f>"20241119/258837"</f>
        <v>20241119/258837</v>
      </c>
      <c r="I1346" s="19" t="str">
        <f t="shared" si="116"/>
        <v> </v>
      </c>
      <c r="J1346" s="18">
        <v>1965.03</v>
      </c>
      <c r="K1346" s="18">
        <v>0</v>
      </c>
      <c r="L1346" s="18">
        <v>1632924.98</v>
      </c>
    </row>
    <row r="1347" spans="1:13" ht="15" thickBot="1" x14ac:dyDescent="0.35">
      <c r="A1347" s="14">
        <v>1340</v>
      </c>
      <c r="B1347" s="15">
        <v>45615</v>
      </c>
      <c r="C1347" s="15">
        <v>45615</v>
      </c>
      <c r="D1347" s="16" t="s">
        <v>1192</v>
      </c>
      <c r="E1347" s="16" t="s">
        <v>1193</v>
      </c>
      <c r="F1347" s="16" t="s">
        <v>2140</v>
      </c>
      <c r="G1347" s="16" t="s">
        <v>1197</v>
      </c>
      <c r="H1347" s="14" t="str">
        <f>"20241119/258838"</f>
        <v>20241119/258838</v>
      </c>
      <c r="I1347" s="19" t="str">
        <f t="shared" si="116"/>
        <v> </v>
      </c>
      <c r="J1347" s="18">
        <v>281713.43</v>
      </c>
      <c r="K1347" s="18">
        <v>0</v>
      </c>
      <c r="L1347" s="18">
        <v>1914638.41</v>
      </c>
    </row>
    <row r="1348" spans="1:13" ht="15" thickBot="1" x14ac:dyDescent="0.35">
      <c r="A1348" s="14">
        <v>1341</v>
      </c>
      <c r="B1348" s="15">
        <v>45615</v>
      </c>
      <c r="C1348" s="15">
        <v>45615</v>
      </c>
      <c r="D1348" s="16" t="s">
        <v>1192</v>
      </c>
      <c r="E1348" s="16" t="s">
        <v>1193</v>
      </c>
      <c r="F1348" s="16" t="s">
        <v>2139</v>
      </c>
      <c r="G1348" s="16" t="s">
        <v>1197</v>
      </c>
      <c r="H1348" s="14" t="str">
        <f>"20241119/258839"</f>
        <v>20241119/258839</v>
      </c>
      <c r="I1348" s="19" t="str">
        <f t="shared" si="116"/>
        <v> </v>
      </c>
      <c r="J1348" s="18">
        <v>541577.74</v>
      </c>
      <c r="K1348" s="18">
        <v>0</v>
      </c>
      <c r="L1348" s="18">
        <v>2456216.15</v>
      </c>
    </row>
    <row r="1349" spans="1:13" ht="15" thickBot="1" x14ac:dyDescent="0.35">
      <c r="A1349" s="14">
        <v>1342</v>
      </c>
      <c r="B1349" s="15">
        <v>45615</v>
      </c>
      <c r="C1349" s="15">
        <v>45615</v>
      </c>
      <c r="D1349" s="16" t="s">
        <v>1192</v>
      </c>
      <c r="E1349" s="16" t="s">
        <v>1193</v>
      </c>
      <c r="F1349" s="16" t="s">
        <v>2141</v>
      </c>
      <c r="G1349" s="16" t="s">
        <v>1197</v>
      </c>
      <c r="H1349" s="14" t="str">
        <f>"20241119/320820"</f>
        <v>20241119/320820</v>
      </c>
      <c r="I1349" s="19" t="str">
        <f t="shared" si="116"/>
        <v> </v>
      </c>
      <c r="J1349" s="18">
        <v>0</v>
      </c>
      <c r="K1349" s="18">
        <v>1965.03</v>
      </c>
      <c r="L1349" s="18">
        <v>2454251.12</v>
      </c>
    </row>
    <row r="1350" spans="1:13" ht="15" thickBot="1" x14ac:dyDescent="0.35">
      <c r="A1350" s="14">
        <v>1343</v>
      </c>
      <c r="B1350" s="15">
        <v>45615</v>
      </c>
      <c r="C1350" s="15">
        <v>45615</v>
      </c>
      <c r="D1350" s="16" t="s">
        <v>1192</v>
      </c>
      <c r="E1350" s="16" t="s">
        <v>1193</v>
      </c>
      <c r="F1350" s="16" t="s">
        <v>2142</v>
      </c>
      <c r="G1350" s="16" t="s">
        <v>1197</v>
      </c>
      <c r="H1350" s="14" t="str">
        <f>"20241119/320821"</f>
        <v>20241119/320821</v>
      </c>
      <c r="I1350" s="19" t="str">
        <f t="shared" si="116"/>
        <v> </v>
      </c>
      <c r="J1350" s="18">
        <v>0</v>
      </c>
      <c r="K1350" s="18">
        <v>290124.08</v>
      </c>
      <c r="L1350" s="18">
        <v>2164127.04</v>
      </c>
    </row>
    <row r="1351" spans="1:13" ht="15" thickBot="1" x14ac:dyDescent="0.35">
      <c r="A1351" s="14">
        <v>1344</v>
      </c>
      <c r="B1351" s="15">
        <v>45615</v>
      </c>
      <c r="C1351" s="15">
        <v>45615</v>
      </c>
      <c r="D1351" s="16" t="s">
        <v>1192</v>
      </c>
      <c r="E1351" s="16" t="s">
        <v>1193</v>
      </c>
      <c r="F1351" s="16" t="s">
        <v>2141</v>
      </c>
      <c r="G1351" s="16" t="s">
        <v>1197</v>
      </c>
      <c r="H1351" s="14" t="str">
        <f>"20241119/320822"</f>
        <v>20241119/320822</v>
      </c>
      <c r="I1351" s="19" t="str">
        <f t="shared" si="116"/>
        <v> </v>
      </c>
      <c r="J1351" s="18">
        <v>0</v>
      </c>
      <c r="K1351" s="18">
        <v>537593.26</v>
      </c>
      <c r="L1351" s="18">
        <v>1626533.78</v>
      </c>
    </row>
    <row r="1352" spans="1:13" ht="15" thickBot="1" x14ac:dyDescent="0.35">
      <c r="A1352" s="14">
        <v>1345</v>
      </c>
      <c r="B1352" s="15">
        <v>45617</v>
      </c>
      <c r="C1352" s="15">
        <v>45617</v>
      </c>
      <c r="D1352" s="16" t="s">
        <v>1192</v>
      </c>
      <c r="E1352" s="16" t="s">
        <v>1193</v>
      </c>
      <c r="F1352" s="16" t="s">
        <v>1202</v>
      </c>
      <c r="G1352" s="16" t="s">
        <v>1203</v>
      </c>
      <c r="H1352" s="14" t="str">
        <f>"20241121/8256"</f>
        <v>20241121/8256</v>
      </c>
      <c r="I1352" s="17" t="str">
        <f t="shared" si="116"/>
        <v> </v>
      </c>
      <c r="J1352" s="18">
        <v>4426.17</v>
      </c>
      <c r="K1352" s="18">
        <v>0</v>
      </c>
      <c r="L1352" s="18">
        <v>1630959.95</v>
      </c>
      <c r="M1352" t="s">
        <v>2661</v>
      </c>
    </row>
    <row r="1353" spans="1:13" ht="15" thickBot="1" x14ac:dyDescent="0.35">
      <c r="A1353" s="14">
        <v>1346</v>
      </c>
      <c r="B1353" s="15">
        <v>45617</v>
      </c>
      <c r="C1353" s="15">
        <v>45617</v>
      </c>
      <c r="D1353" s="16" t="s">
        <v>1192</v>
      </c>
      <c r="E1353" s="16" t="s">
        <v>1193</v>
      </c>
      <c r="F1353" s="16" t="s">
        <v>1194</v>
      </c>
      <c r="G1353" s="16" t="s">
        <v>1195</v>
      </c>
      <c r="H1353" s="14" t="str">
        <f>"20241121/132218"</f>
        <v>20241121/132218</v>
      </c>
      <c r="I1353" s="17" t="str">
        <f t="shared" si="116"/>
        <v> </v>
      </c>
      <c r="J1353" s="18">
        <v>0</v>
      </c>
      <c r="K1353" s="18">
        <v>11700.27</v>
      </c>
      <c r="L1353" s="18">
        <v>1619259.68</v>
      </c>
      <c r="M1353" t="s">
        <v>2661</v>
      </c>
    </row>
    <row r="1354" spans="1:13" ht="15" thickBot="1" x14ac:dyDescent="0.35">
      <c r="A1354" s="14">
        <v>1347</v>
      </c>
      <c r="B1354" s="15">
        <v>45617</v>
      </c>
      <c r="C1354" s="15">
        <v>45617</v>
      </c>
      <c r="D1354" s="16" t="s">
        <v>1192</v>
      </c>
      <c r="E1354" s="16" t="s">
        <v>1193</v>
      </c>
      <c r="F1354" s="16" t="s">
        <v>1194</v>
      </c>
      <c r="G1354" s="16" t="s">
        <v>1195</v>
      </c>
      <c r="H1354" s="14" t="str">
        <f>"20241121/17789"</f>
        <v>20241121/17789</v>
      </c>
      <c r="I1354" s="17" t="str">
        <f t="shared" si="116"/>
        <v> </v>
      </c>
      <c r="J1354" s="18">
        <v>0</v>
      </c>
      <c r="K1354" s="18">
        <v>570.78</v>
      </c>
      <c r="L1354" s="18">
        <v>1618688.9</v>
      </c>
      <c r="M1354" t="s">
        <v>2661</v>
      </c>
    </row>
    <row r="1355" spans="1:13" ht="15" thickBot="1" x14ac:dyDescent="0.35">
      <c r="A1355" s="14">
        <v>1348</v>
      </c>
      <c r="B1355" s="15">
        <v>45617</v>
      </c>
      <c r="C1355" s="15">
        <v>45617</v>
      </c>
      <c r="D1355" s="16" t="s">
        <v>1192</v>
      </c>
      <c r="E1355" s="16" t="s">
        <v>1193</v>
      </c>
      <c r="F1355" s="16" t="s">
        <v>2143</v>
      </c>
      <c r="G1355" s="16" t="s">
        <v>1197</v>
      </c>
      <c r="H1355" s="14" t="str">
        <f>"20241121/111233"</f>
        <v>20241121/111233</v>
      </c>
      <c r="I1355" s="19" t="str">
        <f t="shared" si="116"/>
        <v> </v>
      </c>
      <c r="J1355" s="18">
        <v>570.78</v>
      </c>
      <c r="K1355" s="18">
        <v>0</v>
      </c>
      <c r="L1355" s="18">
        <v>1619259.68</v>
      </c>
      <c r="M1355" t="s">
        <v>2658</v>
      </c>
    </row>
    <row r="1356" spans="1:13" ht="15" thickBot="1" x14ac:dyDescent="0.35">
      <c r="A1356" s="14">
        <v>1349</v>
      </c>
      <c r="B1356" s="15">
        <v>45617</v>
      </c>
      <c r="C1356" s="15">
        <v>45617</v>
      </c>
      <c r="D1356" s="16" t="s">
        <v>1192</v>
      </c>
      <c r="E1356" s="16" t="s">
        <v>1193</v>
      </c>
      <c r="F1356" s="16" t="s">
        <v>2144</v>
      </c>
      <c r="G1356" s="16" t="s">
        <v>1197</v>
      </c>
      <c r="H1356" s="14" t="str">
        <f>"20241121/268772"</f>
        <v>20241121/268772</v>
      </c>
      <c r="I1356" s="19" t="str">
        <f t="shared" si="116"/>
        <v> </v>
      </c>
      <c r="J1356" s="18">
        <v>3879.4</v>
      </c>
      <c r="K1356" s="18">
        <v>0</v>
      </c>
      <c r="L1356" s="18">
        <v>1623139.08</v>
      </c>
    </row>
    <row r="1357" spans="1:13" ht="15" thickBot="1" x14ac:dyDescent="0.35">
      <c r="A1357" s="14">
        <v>1350</v>
      </c>
      <c r="B1357" s="15">
        <v>45617</v>
      </c>
      <c r="C1357" s="15">
        <v>45617</v>
      </c>
      <c r="D1357" s="16" t="s">
        <v>1192</v>
      </c>
      <c r="E1357" s="16" t="s">
        <v>1193</v>
      </c>
      <c r="F1357" s="16" t="s">
        <v>2145</v>
      </c>
      <c r="G1357" s="16" t="s">
        <v>1197</v>
      </c>
      <c r="H1357" s="14" t="str">
        <f>"20241121/268773"</f>
        <v>20241121/268773</v>
      </c>
      <c r="I1357" s="19" t="str">
        <f t="shared" si="116"/>
        <v> </v>
      </c>
      <c r="J1357" s="18">
        <v>99</v>
      </c>
      <c r="K1357" s="18">
        <v>0</v>
      </c>
      <c r="L1357" s="18">
        <v>1623238.08</v>
      </c>
    </row>
    <row r="1358" spans="1:13" ht="15" thickBot="1" x14ac:dyDescent="0.35">
      <c r="A1358" s="14">
        <v>1351</v>
      </c>
      <c r="B1358" s="15">
        <v>45617</v>
      </c>
      <c r="C1358" s="15">
        <v>45617</v>
      </c>
      <c r="D1358" s="16" t="s">
        <v>1192</v>
      </c>
      <c r="E1358" s="16" t="s">
        <v>1193</v>
      </c>
      <c r="F1358" s="16" t="s">
        <v>2145</v>
      </c>
      <c r="G1358" s="16" t="s">
        <v>1197</v>
      </c>
      <c r="H1358" s="14" t="str">
        <f>"20241121/268774"</f>
        <v>20241121/268774</v>
      </c>
      <c r="I1358" s="19" t="str">
        <f t="shared" si="116"/>
        <v> </v>
      </c>
      <c r="J1358" s="18">
        <v>296614.48</v>
      </c>
      <c r="K1358" s="18">
        <v>0</v>
      </c>
      <c r="L1358" s="18">
        <v>1919852.56</v>
      </c>
    </row>
    <row r="1359" spans="1:13" ht="15" thickBot="1" x14ac:dyDescent="0.35">
      <c r="A1359" s="14">
        <v>1352</v>
      </c>
      <c r="B1359" s="15">
        <v>45617</v>
      </c>
      <c r="C1359" s="15">
        <v>45617</v>
      </c>
      <c r="D1359" s="16" t="s">
        <v>1192</v>
      </c>
      <c r="E1359" s="16" t="s">
        <v>1193</v>
      </c>
      <c r="F1359" s="16" t="s">
        <v>2144</v>
      </c>
      <c r="G1359" s="16" t="s">
        <v>1197</v>
      </c>
      <c r="H1359" s="14" t="str">
        <f>"20241121/268775"</f>
        <v>20241121/268775</v>
      </c>
      <c r="I1359" s="19" t="str">
        <f t="shared" si="116"/>
        <v> </v>
      </c>
      <c r="J1359" s="18">
        <v>536363.59</v>
      </c>
      <c r="K1359" s="18">
        <v>0</v>
      </c>
      <c r="L1359" s="18">
        <v>2456216.15</v>
      </c>
    </row>
    <row r="1360" spans="1:13" ht="15" thickBot="1" x14ac:dyDescent="0.35">
      <c r="A1360" s="14">
        <v>1353</v>
      </c>
      <c r="B1360" s="15">
        <v>45617</v>
      </c>
      <c r="C1360" s="15">
        <v>45617</v>
      </c>
      <c r="D1360" s="16" t="s">
        <v>1192</v>
      </c>
      <c r="E1360" s="16" t="s">
        <v>1193</v>
      </c>
      <c r="F1360" s="16" t="s">
        <v>2146</v>
      </c>
      <c r="G1360" s="16" t="s">
        <v>1197</v>
      </c>
      <c r="H1360" s="14" t="str">
        <f>"20241121/378237"</f>
        <v>20241121/378237</v>
      </c>
      <c r="I1360" s="19" t="str">
        <f t="shared" si="116"/>
        <v> </v>
      </c>
      <c r="J1360" s="18">
        <v>0</v>
      </c>
      <c r="K1360" s="18">
        <v>1965.03</v>
      </c>
      <c r="L1360" s="18">
        <v>2454251.12</v>
      </c>
    </row>
    <row r="1361" spans="1:13" ht="15" thickBot="1" x14ac:dyDescent="0.35">
      <c r="A1361" s="14">
        <v>1354</v>
      </c>
      <c r="B1361" s="15">
        <v>45617</v>
      </c>
      <c r="C1361" s="15">
        <v>45617</v>
      </c>
      <c r="D1361" s="16" t="s">
        <v>1192</v>
      </c>
      <c r="E1361" s="16" t="s">
        <v>1193</v>
      </c>
      <c r="F1361" s="16" t="s">
        <v>2147</v>
      </c>
      <c r="G1361" s="16" t="s">
        <v>1197</v>
      </c>
      <c r="H1361" s="14" t="str">
        <f>"20241121/378238"</f>
        <v>20241121/378238</v>
      </c>
      <c r="I1361" s="19" t="str">
        <f t="shared" si="116"/>
        <v> </v>
      </c>
      <c r="J1361" s="18">
        <v>0</v>
      </c>
      <c r="K1361" s="18">
        <v>281713.43</v>
      </c>
      <c r="L1361" s="18">
        <v>2172537.69</v>
      </c>
    </row>
    <row r="1362" spans="1:13" ht="15" thickBot="1" x14ac:dyDescent="0.35">
      <c r="A1362" s="14">
        <v>1355</v>
      </c>
      <c r="B1362" s="15">
        <v>45617</v>
      </c>
      <c r="C1362" s="15">
        <v>45617</v>
      </c>
      <c r="D1362" s="16" t="s">
        <v>1192</v>
      </c>
      <c r="E1362" s="16" t="s">
        <v>1193</v>
      </c>
      <c r="F1362" s="16" t="s">
        <v>2146</v>
      </c>
      <c r="G1362" s="16" t="s">
        <v>1197</v>
      </c>
      <c r="H1362" s="14" t="str">
        <f>"20241121/378239"</f>
        <v>20241121/378239</v>
      </c>
      <c r="I1362" s="19" t="str">
        <f t="shared" si="116"/>
        <v> </v>
      </c>
      <c r="J1362" s="18">
        <v>0</v>
      </c>
      <c r="K1362" s="18">
        <v>541577.74</v>
      </c>
      <c r="L1362" s="18">
        <v>1630959.95</v>
      </c>
    </row>
    <row r="1363" spans="1:13" ht="15" thickBot="1" x14ac:dyDescent="0.35">
      <c r="A1363" s="14">
        <v>1356</v>
      </c>
      <c r="B1363" s="15">
        <v>45617</v>
      </c>
      <c r="C1363" s="15">
        <v>45618</v>
      </c>
      <c r="D1363" s="16" t="s">
        <v>1192</v>
      </c>
      <c r="E1363" s="16" t="s">
        <v>1193</v>
      </c>
      <c r="F1363" s="16" t="s">
        <v>2148</v>
      </c>
      <c r="G1363" s="16" t="s">
        <v>1197</v>
      </c>
      <c r="H1363" s="14" t="str">
        <f>"20241121/174940"</f>
        <v>20241121/174940</v>
      </c>
      <c r="I1363" s="19" t="str">
        <f>"2411005626209"</f>
        <v>2411005626209</v>
      </c>
      <c r="J1363" s="18">
        <v>12133.9</v>
      </c>
      <c r="K1363" s="18">
        <v>0</v>
      </c>
      <c r="L1363" s="18">
        <v>1643093.85</v>
      </c>
    </row>
    <row r="1364" spans="1:13" ht="15" thickBot="1" x14ac:dyDescent="0.35">
      <c r="A1364" s="14">
        <v>1357</v>
      </c>
      <c r="B1364" s="15">
        <v>45618</v>
      </c>
      <c r="C1364" s="15">
        <v>45618</v>
      </c>
      <c r="D1364" s="16" t="s">
        <v>1192</v>
      </c>
      <c r="E1364" s="16" t="s">
        <v>1193</v>
      </c>
      <c r="F1364" s="16" t="s">
        <v>1194</v>
      </c>
      <c r="G1364" s="16" t="s">
        <v>1195</v>
      </c>
      <c r="H1364" s="14" t="str">
        <f>"20241122/10303"</f>
        <v>20241122/10303</v>
      </c>
      <c r="I1364" s="17" t="str">
        <f t="shared" ref="I1364:I1372" si="117">" "</f>
        <v> </v>
      </c>
      <c r="J1364" s="18">
        <v>0</v>
      </c>
      <c r="K1364" s="18">
        <v>282.8</v>
      </c>
      <c r="L1364" s="18">
        <v>1642811.05</v>
      </c>
      <c r="M1364" t="s">
        <v>2661</v>
      </c>
    </row>
    <row r="1365" spans="1:13" ht="15" thickBot="1" x14ac:dyDescent="0.35">
      <c r="A1365" s="14">
        <v>1358</v>
      </c>
      <c r="B1365" s="15">
        <v>45618</v>
      </c>
      <c r="C1365" s="15">
        <v>45618</v>
      </c>
      <c r="D1365" s="16" t="s">
        <v>1192</v>
      </c>
      <c r="E1365" s="16" t="s">
        <v>1193</v>
      </c>
      <c r="F1365" s="16" t="s">
        <v>2149</v>
      </c>
      <c r="G1365" s="16" t="s">
        <v>1197</v>
      </c>
      <c r="H1365" s="14" t="str">
        <f>"20241122/107787"</f>
        <v>20241122/107787</v>
      </c>
      <c r="I1365" s="19" t="str">
        <f t="shared" si="117"/>
        <v> </v>
      </c>
      <c r="J1365" s="18">
        <v>282.8</v>
      </c>
      <c r="K1365" s="18">
        <v>0</v>
      </c>
      <c r="L1365" s="18">
        <v>1643093.85</v>
      </c>
      <c r="M1365" t="s">
        <v>2658</v>
      </c>
    </row>
    <row r="1366" spans="1:13" ht="15" thickBot="1" x14ac:dyDescent="0.35">
      <c r="A1366" s="14">
        <v>1359</v>
      </c>
      <c r="B1366" s="15">
        <v>45618</v>
      </c>
      <c r="C1366" s="15">
        <v>45618</v>
      </c>
      <c r="D1366" s="16" t="s">
        <v>1192</v>
      </c>
      <c r="E1366" s="16" t="s">
        <v>1193</v>
      </c>
      <c r="F1366" s="16" t="s">
        <v>2150</v>
      </c>
      <c r="G1366" s="16" t="s">
        <v>1197</v>
      </c>
      <c r="H1366" s="14" t="str">
        <f>"20241122/276915"</f>
        <v>20241122/276915</v>
      </c>
      <c r="I1366" s="19" t="str">
        <f t="shared" si="117"/>
        <v> </v>
      </c>
      <c r="J1366" s="18">
        <v>3909.09</v>
      </c>
      <c r="K1366" s="18">
        <v>0</v>
      </c>
      <c r="L1366" s="18">
        <v>1647002.94</v>
      </c>
    </row>
    <row r="1367" spans="1:13" ht="15" thickBot="1" x14ac:dyDescent="0.35">
      <c r="A1367" s="14">
        <v>1360</v>
      </c>
      <c r="B1367" s="15">
        <v>45618</v>
      </c>
      <c r="C1367" s="15">
        <v>45618</v>
      </c>
      <c r="D1367" s="16" t="s">
        <v>1192</v>
      </c>
      <c r="E1367" s="16" t="s">
        <v>1193</v>
      </c>
      <c r="F1367" s="16" t="s">
        <v>2151</v>
      </c>
      <c r="G1367" s="16" t="s">
        <v>1197</v>
      </c>
      <c r="H1367" s="14" t="str">
        <f>"20241122/276916"</f>
        <v>20241122/276916</v>
      </c>
      <c r="I1367" s="19" t="str">
        <f t="shared" si="117"/>
        <v> </v>
      </c>
      <c r="J1367" s="18">
        <v>276219.18</v>
      </c>
      <c r="K1367" s="18">
        <v>0</v>
      </c>
      <c r="L1367" s="18">
        <v>1923222.12</v>
      </c>
    </row>
    <row r="1368" spans="1:13" ht="15" thickBot="1" x14ac:dyDescent="0.35">
      <c r="A1368" s="14">
        <v>1361</v>
      </c>
      <c r="B1368" s="15">
        <v>45618</v>
      </c>
      <c r="C1368" s="15">
        <v>45618</v>
      </c>
      <c r="D1368" s="16" t="s">
        <v>1192</v>
      </c>
      <c r="E1368" s="16" t="s">
        <v>1193</v>
      </c>
      <c r="F1368" s="16" t="s">
        <v>2150</v>
      </c>
      <c r="G1368" s="16" t="s">
        <v>1197</v>
      </c>
      <c r="H1368" s="14" t="str">
        <f>"20241122/276917"</f>
        <v>20241122/276917</v>
      </c>
      <c r="I1368" s="19" t="str">
        <f t="shared" si="117"/>
        <v> </v>
      </c>
      <c r="J1368" s="18">
        <v>544847.69999999995</v>
      </c>
      <c r="K1368" s="18">
        <v>0</v>
      </c>
      <c r="L1368" s="18">
        <v>2468069.8199999998</v>
      </c>
    </row>
    <row r="1369" spans="1:13" ht="15" thickBot="1" x14ac:dyDescent="0.35">
      <c r="A1369" s="14">
        <v>1362</v>
      </c>
      <c r="B1369" s="15">
        <v>45618</v>
      </c>
      <c r="C1369" s="15">
        <v>45618</v>
      </c>
      <c r="D1369" s="16" t="s">
        <v>1192</v>
      </c>
      <c r="E1369" s="16" t="s">
        <v>1193</v>
      </c>
      <c r="F1369" s="16" t="s">
        <v>2152</v>
      </c>
      <c r="G1369" s="16" t="s">
        <v>1197</v>
      </c>
      <c r="H1369" s="14" t="str">
        <f>"20241122/343246"</f>
        <v>20241122/343246</v>
      </c>
      <c r="I1369" s="19" t="str">
        <f t="shared" si="117"/>
        <v> </v>
      </c>
      <c r="J1369" s="18">
        <v>0</v>
      </c>
      <c r="K1369" s="18">
        <v>3879.4</v>
      </c>
      <c r="L1369" s="18">
        <v>2464190.42</v>
      </c>
    </row>
    <row r="1370" spans="1:13" ht="15" thickBot="1" x14ac:dyDescent="0.35">
      <c r="A1370" s="14">
        <v>1363</v>
      </c>
      <c r="B1370" s="15">
        <v>45618</v>
      </c>
      <c r="C1370" s="15">
        <v>45618</v>
      </c>
      <c r="D1370" s="16" t="s">
        <v>1192</v>
      </c>
      <c r="E1370" s="16" t="s">
        <v>1193</v>
      </c>
      <c r="F1370" s="16" t="s">
        <v>2153</v>
      </c>
      <c r="G1370" s="16" t="s">
        <v>1197</v>
      </c>
      <c r="H1370" s="14" t="str">
        <f>"20241122/343247"</f>
        <v>20241122/343247</v>
      </c>
      <c r="I1370" s="19" t="str">
        <f t="shared" si="117"/>
        <v> </v>
      </c>
      <c r="J1370" s="18">
        <v>0</v>
      </c>
      <c r="K1370" s="18">
        <v>99</v>
      </c>
      <c r="L1370" s="18">
        <v>2464091.42</v>
      </c>
    </row>
    <row r="1371" spans="1:13" ht="15" thickBot="1" x14ac:dyDescent="0.35">
      <c r="A1371" s="14">
        <v>1364</v>
      </c>
      <c r="B1371" s="15">
        <v>45618</v>
      </c>
      <c r="C1371" s="15">
        <v>45618</v>
      </c>
      <c r="D1371" s="16" t="s">
        <v>1192</v>
      </c>
      <c r="E1371" s="16" t="s">
        <v>1193</v>
      </c>
      <c r="F1371" s="16" t="s">
        <v>2153</v>
      </c>
      <c r="G1371" s="16" t="s">
        <v>1197</v>
      </c>
      <c r="H1371" s="14" t="str">
        <f>"20241122/343248"</f>
        <v>20241122/343248</v>
      </c>
      <c r="I1371" s="19" t="str">
        <f t="shared" si="117"/>
        <v> </v>
      </c>
      <c r="J1371" s="18">
        <v>0</v>
      </c>
      <c r="K1371" s="18">
        <v>296614.48</v>
      </c>
      <c r="L1371" s="18">
        <v>2167476.94</v>
      </c>
    </row>
    <row r="1372" spans="1:13" ht="15" thickBot="1" x14ac:dyDescent="0.35">
      <c r="A1372" s="14">
        <v>1365</v>
      </c>
      <c r="B1372" s="15">
        <v>45618</v>
      </c>
      <c r="C1372" s="15">
        <v>45618</v>
      </c>
      <c r="D1372" s="16" t="s">
        <v>1192</v>
      </c>
      <c r="E1372" s="16" t="s">
        <v>1193</v>
      </c>
      <c r="F1372" s="16" t="s">
        <v>2152</v>
      </c>
      <c r="G1372" s="16" t="s">
        <v>1197</v>
      </c>
      <c r="H1372" s="14" t="str">
        <f>"20241122/343249"</f>
        <v>20241122/343249</v>
      </c>
      <c r="I1372" s="19" t="str">
        <f t="shared" si="117"/>
        <v> </v>
      </c>
      <c r="J1372" s="18">
        <v>0</v>
      </c>
      <c r="K1372" s="18">
        <v>536363.59</v>
      </c>
      <c r="L1372" s="18">
        <v>1631113.35</v>
      </c>
    </row>
    <row r="1373" spans="1:13" ht="15" thickBot="1" x14ac:dyDescent="0.35">
      <c r="A1373" s="14">
        <v>1366</v>
      </c>
      <c r="B1373" s="15">
        <v>45618</v>
      </c>
      <c r="C1373" s="15">
        <v>45621</v>
      </c>
      <c r="D1373" s="16" t="s">
        <v>1192</v>
      </c>
      <c r="E1373" s="16" t="s">
        <v>1193</v>
      </c>
      <c r="F1373" s="16" t="s">
        <v>2154</v>
      </c>
      <c r="G1373" s="16" t="s">
        <v>1197</v>
      </c>
      <c r="H1373" s="14" t="str">
        <f>"20241122/169063"</f>
        <v>20241122/169063</v>
      </c>
      <c r="I1373" s="19" t="str">
        <f>"2411006051765"</f>
        <v>2411006051765</v>
      </c>
      <c r="J1373" s="18">
        <v>0</v>
      </c>
      <c r="K1373" s="18">
        <v>37262.67</v>
      </c>
      <c r="L1373" s="18">
        <v>1593850.68</v>
      </c>
    </row>
    <row r="1374" spans="1:13" ht="15" thickBot="1" x14ac:dyDescent="0.35">
      <c r="A1374" s="14">
        <v>1367</v>
      </c>
      <c r="B1374" s="15">
        <v>45621</v>
      </c>
      <c r="C1374" s="15">
        <v>45621</v>
      </c>
      <c r="D1374" s="16" t="s">
        <v>1192</v>
      </c>
      <c r="E1374" s="16" t="s">
        <v>1193</v>
      </c>
      <c r="F1374" s="16" t="s">
        <v>1202</v>
      </c>
      <c r="G1374" s="16" t="s">
        <v>1203</v>
      </c>
      <c r="H1374" s="14" t="str">
        <f>"20241125/11481"</f>
        <v>20241125/11481</v>
      </c>
      <c r="I1374" s="17" t="str">
        <f t="shared" ref="I1374:I1393" si="118">" "</f>
        <v> </v>
      </c>
      <c r="J1374" s="18">
        <v>11980.5</v>
      </c>
      <c r="K1374" s="18">
        <v>0</v>
      </c>
      <c r="L1374" s="18">
        <v>1605831.18</v>
      </c>
      <c r="M1374" t="s">
        <v>2661</v>
      </c>
    </row>
    <row r="1375" spans="1:13" ht="15" thickBot="1" x14ac:dyDescent="0.35">
      <c r="A1375" s="14">
        <v>1368</v>
      </c>
      <c r="B1375" s="15">
        <v>45621</v>
      </c>
      <c r="C1375" s="15">
        <v>45621</v>
      </c>
      <c r="D1375" s="16" t="s">
        <v>1192</v>
      </c>
      <c r="E1375" s="16" t="s">
        <v>1193</v>
      </c>
      <c r="F1375" s="16" t="s">
        <v>1204</v>
      </c>
      <c r="G1375" s="16" t="s">
        <v>1203</v>
      </c>
      <c r="H1375" s="14" t="str">
        <f>"20241125/45442"</f>
        <v>20241125/45442</v>
      </c>
      <c r="I1375" s="17" t="str">
        <f t="shared" si="118"/>
        <v> </v>
      </c>
      <c r="J1375" s="18">
        <v>37262.67</v>
      </c>
      <c r="K1375" s="18">
        <v>0</v>
      </c>
      <c r="L1375" s="18">
        <v>1643093.85</v>
      </c>
      <c r="M1375" t="s">
        <v>2661</v>
      </c>
    </row>
    <row r="1376" spans="1:13" ht="15" thickBot="1" x14ac:dyDescent="0.35">
      <c r="A1376" s="14">
        <v>1369</v>
      </c>
      <c r="B1376" s="15">
        <v>45621</v>
      </c>
      <c r="C1376" s="15">
        <v>45621</v>
      </c>
      <c r="D1376" s="16" t="s">
        <v>1192</v>
      </c>
      <c r="E1376" s="16" t="s">
        <v>1193</v>
      </c>
      <c r="F1376" s="16" t="s">
        <v>1194</v>
      </c>
      <c r="G1376" s="16" t="s">
        <v>1195</v>
      </c>
      <c r="H1376" s="14" t="str">
        <f>"20241125/40404"</f>
        <v>20241125/40404</v>
      </c>
      <c r="I1376" s="17" t="str">
        <f t="shared" si="118"/>
        <v> </v>
      </c>
      <c r="J1376" s="18">
        <v>0</v>
      </c>
      <c r="K1376" s="18">
        <v>861.36</v>
      </c>
      <c r="L1376" s="18">
        <v>1642232.49</v>
      </c>
      <c r="M1376" t="s">
        <v>2661</v>
      </c>
    </row>
    <row r="1377" spans="1:13" ht="15" thickBot="1" x14ac:dyDescent="0.35">
      <c r="A1377" s="14">
        <v>1370</v>
      </c>
      <c r="B1377" s="15">
        <v>45621</v>
      </c>
      <c r="C1377" s="15">
        <v>45621</v>
      </c>
      <c r="D1377" s="16" t="s">
        <v>1192</v>
      </c>
      <c r="E1377" s="16" t="s">
        <v>1193</v>
      </c>
      <c r="F1377" s="16" t="s">
        <v>2155</v>
      </c>
      <c r="G1377" s="16" t="s">
        <v>1197</v>
      </c>
      <c r="H1377" s="14" t="str">
        <f>"20241125/136263"</f>
        <v>20241125/136263</v>
      </c>
      <c r="I1377" s="19" t="str">
        <f t="shared" si="118"/>
        <v> </v>
      </c>
      <c r="J1377" s="18">
        <v>861.36</v>
      </c>
      <c r="K1377" s="18">
        <v>0</v>
      </c>
      <c r="L1377" s="18">
        <v>1643093.85</v>
      </c>
      <c r="M1377" t="s">
        <v>2658</v>
      </c>
    </row>
    <row r="1378" spans="1:13" ht="15" thickBot="1" x14ac:dyDescent="0.35">
      <c r="A1378" s="14">
        <v>1371</v>
      </c>
      <c r="B1378" s="15">
        <v>45621</v>
      </c>
      <c r="C1378" s="15">
        <v>45621</v>
      </c>
      <c r="D1378" s="16" t="s">
        <v>1192</v>
      </c>
      <c r="E1378" s="16" t="s">
        <v>1193</v>
      </c>
      <c r="F1378" s="16" t="s">
        <v>2156</v>
      </c>
      <c r="G1378" s="16" t="s">
        <v>1197</v>
      </c>
      <c r="H1378" s="14" t="str">
        <f>"20241125/305690"</f>
        <v>20241125/305690</v>
      </c>
      <c r="I1378" s="19" t="str">
        <f t="shared" si="118"/>
        <v> </v>
      </c>
      <c r="J1378" s="18">
        <v>3909.09</v>
      </c>
      <c r="K1378" s="18">
        <v>0</v>
      </c>
      <c r="L1378" s="18">
        <v>1647002.94</v>
      </c>
    </row>
    <row r="1379" spans="1:13" ht="15" thickBot="1" x14ac:dyDescent="0.35">
      <c r="A1379" s="14">
        <v>1372</v>
      </c>
      <c r="B1379" s="15">
        <v>45621</v>
      </c>
      <c r="C1379" s="15">
        <v>45621</v>
      </c>
      <c r="D1379" s="16" t="s">
        <v>1192</v>
      </c>
      <c r="E1379" s="16" t="s">
        <v>1193</v>
      </c>
      <c r="F1379" s="16" t="s">
        <v>2156</v>
      </c>
      <c r="G1379" s="16" t="s">
        <v>1197</v>
      </c>
      <c r="H1379" s="14" t="str">
        <f>"20241125/305691"</f>
        <v>20241125/305691</v>
      </c>
      <c r="I1379" s="19" t="str">
        <f t="shared" si="118"/>
        <v> </v>
      </c>
      <c r="J1379" s="18">
        <v>557412.18999999994</v>
      </c>
      <c r="K1379" s="18">
        <v>0</v>
      </c>
      <c r="L1379" s="18">
        <v>2204415.13</v>
      </c>
    </row>
    <row r="1380" spans="1:13" ht="15" thickBot="1" x14ac:dyDescent="0.35">
      <c r="A1380" s="14">
        <v>1373</v>
      </c>
      <c r="B1380" s="15">
        <v>45621</v>
      </c>
      <c r="C1380" s="15">
        <v>45621</v>
      </c>
      <c r="D1380" s="16" t="s">
        <v>1192</v>
      </c>
      <c r="E1380" s="16" t="s">
        <v>1193</v>
      </c>
      <c r="F1380" s="16" t="s">
        <v>2157</v>
      </c>
      <c r="G1380" s="16" t="s">
        <v>1197</v>
      </c>
      <c r="H1380" s="14" t="str">
        <f>"20241125/305692"</f>
        <v>20241125/305692</v>
      </c>
      <c r="I1380" s="19" t="str">
        <f t="shared" si="118"/>
        <v> </v>
      </c>
      <c r="J1380" s="18">
        <v>250540.63</v>
      </c>
      <c r="K1380" s="18">
        <v>0</v>
      </c>
      <c r="L1380" s="18">
        <v>2454955.7599999998</v>
      </c>
    </row>
    <row r="1381" spans="1:13" ht="15" thickBot="1" x14ac:dyDescent="0.35">
      <c r="A1381" s="14">
        <v>1374</v>
      </c>
      <c r="B1381" s="15">
        <v>45621</v>
      </c>
      <c r="C1381" s="15">
        <v>45621</v>
      </c>
      <c r="D1381" s="16" t="s">
        <v>1192</v>
      </c>
      <c r="E1381" s="16" t="s">
        <v>1193</v>
      </c>
      <c r="F1381" s="16" t="s">
        <v>2158</v>
      </c>
      <c r="G1381" s="16" t="s">
        <v>1197</v>
      </c>
      <c r="H1381" s="14" t="str">
        <f>"20241125/334203"</f>
        <v>20241125/334203</v>
      </c>
      <c r="I1381" s="19" t="str">
        <f t="shared" si="118"/>
        <v> </v>
      </c>
      <c r="J1381" s="18">
        <v>0</v>
      </c>
      <c r="K1381" s="18">
        <v>3909.09</v>
      </c>
      <c r="L1381" s="18">
        <v>2451046.67</v>
      </c>
    </row>
    <row r="1382" spans="1:13" ht="15" thickBot="1" x14ac:dyDescent="0.35">
      <c r="A1382" s="14">
        <v>1375</v>
      </c>
      <c r="B1382" s="15">
        <v>45621</v>
      </c>
      <c r="C1382" s="15">
        <v>45621</v>
      </c>
      <c r="D1382" s="16" t="s">
        <v>1192</v>
      </c>
      <c r="E1382" s="16" t="s">
        <v>1193</v>
      </c>
      <c r="F1382" s="16" t="s">
        <v>2159</v>
      </c>
      <c r="G1382" s="16" t="s">
        <v>1197</v>
      </c>
      <c r="H1382" s="14" t="str">
        <f>"20241125/334204"</f>
        <v>20241125/334204</v>
      </c>
      <c r="I1382" s="19" t="str">
        <f t="shared" si="118"/>
        <v> </v>
      </c>
      <c r="J1382" s="18">
        <v>0</v>
      </c>
      <c r="K1382" s="18">
        <v>276219.18</v>
      </c>
      <c r="L1382" s="18">
        <v>2174827.4900000002</v>
      </c>
    </row>
    <row r="1383" spans="1:13" ht="15" thickBot="1" x14ac:dyDescent="0.35">
      <c r="A1383" s="14">
        <v>1376</v>
      </c>
      <c r="B1383" s="15">
        <v>45621</v>
      </c>
      <c r="C1383" s="15">
        <v>45621</v>
      </c>
      <c r="D1383" s="16" t="s">
        <v>1192</v>
      </c>
      <c r="E1383" s="16" t="s">
        <v>1193</v>
      </c>
      <c r="F1383" s="16" t="s">
        <v>2158</v>
      </c>
      <c r="G1383" s="16" t="s">
        <v>1197</v>
      </c>
      <c r="H1383" s="14" t="str">
        <f>"20241125/334205"</f>
        <v>20241125/334205</v>
      </c>
      <c r="I1383" s="19" t="str">
        <f t="shared" si="118"/>
        <v> </v>
      </c>
      <c r="J1383" s="18">
        <v>0</v>
      </c>
      <c r="K1383" s="18">
        <v>544847.69999999995</v>
      </c>
      <c r="L1383" s="18">
        <v>1629979.79</v>
      </c>
    </row>
    <row r="1384" spans="1:13" ht="15" thickBot="1" x14ac:dyDescent="0.35">
      <c r="A1384" s="14">
        <v>1377</v>
      </c>
      <c r="B1384" s="15">
        <v>45622</v>
      </c>
      <c r="C1384" s="15">
        <v>45622</v>
      </c>
      <c r="D1384" s="16" t="s">
        <v>1192</v>
      </c>
      <c r="E1384" s="16" t="s">
        <v>1193</v>
      </c>
      <c r="F1384" s="16" t="s">
        <v>1202</v>
      </c>
      <c r="G1384" s="16" t="s">
        <v>1203</v>
      </c>
      <c r="H1384" s="14" t="str">
        <f>"20241126/11974"</f>
        <v>20241126/11974</v>
      </c>
      <c r="I1384" s="17" t="str">
        <f t="shared" si="118"/>
        <v> </v>
      </c>
      <c r="J1384" s="18">
        <v>13114.06</v>
      </c>
      <c r="K1384" s="18">
        <v>0</v>
      </c>
      <c r="L1384" s="18">
        <v>1643093.85</v>
      </c>
      <c r="M1384" t="s">
        <v>2661</v>
      </c>
    </row>
    <row r="1385" spans="1:13" ht="15" thickBot="1" x14ac:dyDescent="0.35">
      <c r="A1385" s="14">
        <v>1378</v>
      </c>
      <c r="B1385" s="15">
        <v>45622</v>
      </c>
      <c r="C1385" s="15">
        <v>45622</v>
      </c>
      <c r="D1385" s="16" t="s">
        <v>1192</v>
      </c>
      <c r="E1385" s="16" t="s">
        <v>1193</v>
      </c>
      <c r="F1385" s="16" t="s">
        <v>1194</v>
      </c>
      <c r="G1385" s="16" t="s">
        <v>1195</v>
      </c>
      <c r="H1385" s="14" t="str">
        <f>"20241126/3912"</f>
        <v>20241126/3912</v>
      </c>
      <c r="I1385" s="17" t="str">
        <f t="shared" si="118"/>
        <v> </v>
      </c>
      <c r="J1385" s="18">
        <v>0</v>
      </c>
      <c r="K1385" s="18">
        <v>291.38</v>
      </c>
      <c r="L1385" s="18">
        <v>1642802.47</v>
      </c>
      <c r="M1385" t="s">
        <v>2661</v>
      </c>
    </row>
    <row r="1386" spans="1:13" ht="15" thickBot="1" x14ac:dyDescent="0.35">
      <c r="A1386" s="14">
        <v>1379</v>
      </c>
      <c r="B1386" s="15">
        <v>45622</v>
      </c>
      <c r="C1386" s="15">
        <v>45622</v>
      </c>
      <c r="D1386" s="16" t="s">
        <v>1192</v>
      </c>
      <c r="E1386" s="16" t="s">
        <v>1193</v>
      </c>
      <c r="F1386" s="16" t="s">
        <v>1194</v>
      </c>
      <c r="G1386" s="16" t="s">
        <v>1195</v>
      </c>
      <c r="H1386" s="14" t="str">
        <f>"20241126/89653"</f>
        <v>20241126/89653</v>
      </c>
      <c r="I1386" s="17" t="str">
        <f t="shared" si="118"/>
        <v> </v>
      </c>
      <c r="J1386" s="18">
        <v>0</v>
      </c>
      <c r="K1386" s="18">
        <v>1975.62</v>
      </c>
      <c r="L1386" s="18">
        <v>1640826.85</v>
      </c>
      <c r="M1386" t="s">
        <v>2661</v>
      </c>
    </row>
    <row r="1387" spans="1:13" ht="15" thickBot="1" x14ac:dyDescent="0.35">
      <c r="A1387" s="14">
        <v>1380</v>
      </c>
      <c r="B1387" s="15">
        <v>45622</v>
      </c>
      <c r="C1387" s="15">
        <v>45622</v>
      </c>
      <c r="D1387" s="16" t="s">
        <v>1192</v>
      </c>
      <c r="E1387" s="16" t="s">
        <v>1193</v>
      </c>
      <c r="F1387" s="16" t="s">
        <v>2160</v>
      </c>
      <c r="G1387" s="16" t="s">
        <v>1197</v>
      </c>
      <c r="H1387" s="14" t="str">
        <f>"20241126/146198"</f>
        <v>20241126/146198</v>
      </c>
      <c r="I1387" s="19" t="str">
        <f t="shared" si="118"/>
        <v> </v>
      </c>
      <c r="J1387" s="18">
        <v>291.38</v>
      </c>
      <c r="K1387" s="18">
        <v>0</v>
      </c>
      <c r="L1387" s="18">
        <v>1641118.23</v>
      </c>
      <c r="M1387" t="s">
        <v>2658</v>
      </c>
    </row>
    <row r="1388" spans="1:13" ht="15" thickBot="1" x14ac:dyDescent="0.35">
      <c r="A1388" s="14">
        <v>1381</v>
      </c>
      <c r="B1388" s="15">
        <v>45622</v>
      </c>
      <c r="C1388" s="15">
        <v>45622</v>
      </c>
      <c r="D1388" s="16" t="s">
        <v>1192</v>
      </c>
      <c r="E1388" s="16" t="s">
        <v>1193</v>
      </c>
      <c r="F1388" s="16" t="s">
        <v>2161</v>
      </c>
      <c r="G1388" s="16" t="s">
        <v>1197</v>
      </c>
      <c r="H1388" s="14" t="str">
        <f>"20241126/264336"</f>
        <v>20241126/264336</v>
      </c>
      <c r="I1388" s="19" t="str">
        <f t="shared" si="118"/>
        <v> </v>
      </c>
      <c r="J1388" s="18">
        <v>3909.09</v>
      </c>
      <c r="K1388" s="18">
        <v>0</v>
      </c>
      <c r="L1388" s="18">
        <v>1645027.32</v>
      </c>
    </row>
    <row r="1389" spans="1:13" ht="15" thickBot="1" x14ac:dyDescent="0.35">
      <c r="A1389" s="14">
        <v>1382</v>
      </c>
      <c r="B1389" s="15">
        <v>45622</v>
      </c>
      <c r="C1389" s="15">
        <v>45622</v>
      </c>
      <c r="D1389" s="16" t="s">
        <v>1192</v>
      </c>
      <c r="E1389" s="16" t="s">
        <v>1193</v>
      </c>
      <c r="F1389" s="16" t="s">
        <v>2162</v>
      </c>
      <c r="G1389" s="16" t="s">
        <v>1197</v>
      </c>
      <c r="H1389" s="14" t="str">
        <f>"20241126/264337"</f>
        <v>20241126/264337</v>
      </c>
      <c r="I1389" s="19" t="str">
        <f t="shared" si="118"/>
        <v> </v>
      </c>
      <c r="J1389" s="18">
        <v>254397.38</v>
      </c>
      <c r="K1389" s="18">
        <v>0</v>
      </c>
      <c r="L1389" s="18">
        <v>1899424.7</v>
      </c>
    </row>
    <row r="1390" spans="1:13" ht="15" thickBot="1" x14ac:dyDescent="0.35">
      <c r="A1390" s="14">
        <v>1383</v>
      </c>
      <c r="B1390" s="15">
        <v>45622</v>
      </c>
      <c r="C1390" s="15">
        <v>45622</v>
      </c>
      <c r="D1390" s="16" t="s">
        <v>1192</v>
      </c>
      <c r="E1390" s="16" t="s">
        <v>1193</v>
      </c>
      <c r="F1390" s="16" t="s">
        <v>2161</v>
      </c>
      <c r="G1390" s="16" t="s">
        <v>1197</v>
      </c>
      <c r="H1390" s="14" t="str">
        <f>"20241126/264338"</f>
        <v>20241126/264338</v>
      </c>
      <c r="I1390" s="19" t="str">
        <f t="shared" si="118"/>
        <v> </v>
      </c>
      <c r="J1390" s="18">
        <v>555531.06000000006</v>
      </c>
      <c r="K1390" s="18">
        <v>0</v>
      </c>
      <c r="L1390" s="18">
        <v>2454955.7599999998</v>
      </c>
    </row>
    <row r="1391" spans="1:13" ht="15" thickBot="1" x14ac:dyDescent="0.35">
      <c r="A1391" s="14">
        <v>1384</v>
      </c>
      <c r="B1391" s="15">
        <v>45622</v>
      </c>
      <c r="C1391" s="15">
        <v>45622</v>
      </c>
      <c r="D1391" s="16" t="s">
        <v>1192</v>
      </c>
      <c r="E1391" s="16" t="s">
        <v>1193</v>
      </c>
      <c r="F1391" s="16" t="s">
        <v>2163</v>
      </c>
      <c r="G1391" s="16" t="s">
        <v>1197</v>
      </c>
      <c r="H1391" s="14" t="str">
        <f>"20241126/367061"</f>
        <v>20241126/367061</v>
      </c>
      <c r="I1391" s="19" t="str">
        <f t="shared" si="118"/>
        <v> </v>
      </c>
      <c r="J1391" s="18">
        <v>0</v>
      </c>
      <c r="K1391" s="18">
        <v>3909.09</v>
      </c>
      <c r="L1391" s="18">
        <v>2451046.67</v>
      </c>
    </row>
    <row r="1392" spans="1:13" ht="15" thickBot="1" x14ac:dyDescent="0.35">
      <c r="A1392" s="14">
        <v>1385</v>
      </c>
      <c r="B1392" s="15">
        <v>45622</v>
      </c>
      <c r="C1392" s="15">
        <v>45622</v>
      </c>
      <c r="D1392" s="16" t="s">
        <v>1192</v>
      </c>
      <c r="E1392" s="16" t="s">
        <v>1193</v>
      </c>
      <c r="F1392" s="16" t="s">
        <v>2163</v>
      </c>
      <c r="G1392" s="16" t="s">
        <v>1197</v>
      </c>
      <c r="H1392" s="14" t="str">
        <f>"20241126/367062"</f>
        <v>20241126/367062</v>
      </c>
      <c r="I1392" s="19" t="str">
        <f t="shared" si="118"/>
        <v> </v>
      </c>
      <c r="J1392" s="18">
        <v>0</v>
      </c>
      <c r="K1392" s="18">
        <v>557412.18999999994</v>
      </c>
      <c r="L1392" s="18">
        <v>1893634.48</v>
      </c>
    </row>
    <row r="1393" spans="1:13" ht="15" thickBot="1" x14ac:dyDescent="0.35">
      <c r="A1393" s="14">
        <v>1386</v>
      </c>
      <c r="B1393" s="15">
        <v>45622</v>
      </c>
      <c r="C1393" s="15">
        <v>45622</v>
      </c>
      <c r="D1393" s="16" t="s">
        <v>1192</v>
      </c>
      <c r="E1393" s="16" t="s">
        <v>1193</v>
      </c>
      <c r="F1393" s="16" t="s">
        <v>2164</v>
      </c>
      <c r="G1393" s="16" t="s">
        <v>1197</v>
      </c>
      <c r="H1393" s="14" t="str">
        <f>"20241126/367063"</f>
        <v>20241126/367063</v>
      </c>
      <c r="I1393" s="19" t="str">
        <f t="shared" si="118"/>
        <v> </v>
      </c>
      <c r="J1393" s="18">
        <v>0</v>
      </c>
      <c r="K1393" s="18">
        <v>250540.63</v>
      </c>
      <c r="L1393" s="18">
        <v>1643093.85</v>
      </c>
    </row>
    <row r="1394" spans="1:13" ht="15" thickBot="1" x14ac:dyDescent="0.35">
      <c r="A1394" s="14">
        <v>1387</v>
      </c>
      <c r="B1394" s="15">
        <v>45622</v>
      </c>
      <c r="C1394" s="15">
        <v>45623</v>
      </c>
      <c r="D1394" s="16" t="s">
        <v>1192</v>
      </c>
      <c r="E1394" s="16" t="s">
        <v>1193</v>
      </c>
      <c r="F1394" s="16" t="s">
        <v>2165</v>
      </c>
      <c r="G1394" s="16" t="s">
        <v>1197</v>
      </c>
      <c r="H1394" s="14" t="str">
        <f>"20241126/185446"</f>
        <v>20241126/185446</v>
      </c>
      <c r="I1394" s="19" t="str">
        <f>"2411007001783"</f>
        <v>2411007001783</v>
      </c>
      <c r="J1394" s="18">
        <v>0</v>
      </c>
      <c r="K1394" s="18">
        <v>74886.78</v>
      </c>
      <c r="L1394" s="18">
        <v>1568207.07</v>
      </c>
    </row>
    <row r="1395" spans="1:13" ht="15" thickBot="1" x14ac:dyDescent="0.35">
      <c r="A1395" s="14">
        <v>1388</v>
      </c>
      <c r="B1395" s="15">
        <v>45623</v>
      </c>
      <c r="C1395" s="15">
        <v>45623</v>
      </c>
      <c r="D1395" s="16" t="s">
        <v>1192</v>
      </c>
      <c r="E1395" s="16" t="s">
        <v>1193</v>
      </c>
      <c r="F1395" s="16" t="s">
        <v>1204</v>
      </c>
      <c r="G1395" s="16" t="s">
        <v>1203</v>
      </c>
      <c r="H1395" s="14" t="str">
        <f>"20241127/35496"</f>
        <v>20241127/35496</v>
      </c>
      <c r="I1395" s="17" t="str">
        <f t="shared" ref="I1395:I1424" si="119">" "</f>
        <v> </v>
      </c>
      <c r="J1395" s="18">
        <v>74886.78</v>
      </c>
      <c r="K1395" s="18">
        <v>0</v>
      </c>
      <c r="L1395" s="18">
        <v>1643093.85</v>
      </c>
      <c r="M1395" t="s">
        <v>2661</v>
      </c>
    </row>
    <row r="1396" spans="1:13" ht="15" thickBot="1" x14ac:dyDescent="0.35">
      <c r="A1396" s="14">
        <v>1389</v>
      </c>
      <c r="B1396" s="15">
        <v>45623</v>
      </c>
      <c r="C1396" s="15">
        <v>45623</v>
      </c>
      <c r="D1396" s="16" t="s">
        <v>1192</v>
      </c>
      <c r="E1396" s="16" t="s">
        <v>1193</v>
      </c>
      <c r="F1396" s="16" t="s">
        <v>1194</v>
      </c>
      <c r="G1396" s="16" t="s">
        <v>1195</v>
      </c>
      <c r="H1396" s="14" t="str">
        <f>"20241127/26290"</f>
        <v>20241127/26290</v>
      </c>
      <c r="I1396" s="17" t="str">
        <f t="shared" si="119"/>
        <v> </v>
      </c>
      <c r="J1396" s="18">
        <v>0</v>
      </c>
      <c r="K1396" s="18">
        <v>295.35000000000002</v>
      </c>
      <c r="L1396" s="18">
        <v>1642798.5</v>
      </c>
      <c r="M1396" t="s">
        <v>2661</v>
      </c>
    </row>
    <row r="1397" spans="1:13" ht="15" thickBot="1" x14ac:dyDescent="0.35">
      <c r="A1397" s="14">
        <v>1390</v>
      </c>
      <c r="B1397" s="15">
        <v>45623</v>
      </c>
      <c r="C1397" s="15">
        <v>45623</v>
      </c>
      <c r="D1397" s="16" t="s">
        <v>1192</v>
      </c>
      <c r="E1397" s="16" t="s">
        <v>1193</v>
      </c>
      <c r="F1397" s="16" t="s">
        <v>2166</v>
      </c>
      <c r="G1397" s="16" t="s">
        <v>1197</v>
      </c>
      <c r="H1397" s="14" t="str">
        <f>"20241127/107985"</f>
        <v>20241127/107985</v>
      </c>
      <c r="I1397" s="19" t="str">
        <f t="shared" si="119"/>
        <v> </v>
      </c>
      <c r="J1397" s="18">
        <v>295.35000000000002</v>
      </c>
      <c r="K1397" s="18">
        <v>0</v>
      </c>
      <c r="L1397" s="18">
        <v>1643093.85</v>
      </c>
      <c r="M1397" t="s">
        <v>2658</v>
      </c>
    </row>
    <row r="1398" spans="1:13" ht="15" thickBot="1" x14ac:dyDescent="0.35">
      <c r="A1398" s="14">
        <v>1391</v>
      </c>
      <c r="B1398" s="15">
        <v>45623</v>
      </c>
      <c r="C1398" s="15">
        <v>45623</v>
      </c>
      <c r="D1398" s="16" t="s">
        <v>1192</v>
      </c>
      <c r="E1398" s="16" t="s">
        <v>1193</v>
      </c>
      <c r="F1398" s="16" t="s">
        <v>2167</v>
      </c>
      <c r="G1398" s="16" t="s">
        <v>1197</v>
      </c>
      <c r="H1398" s="14" t="str">
        <f>"20241127/254118"</f>
        <v>20241127/254118</v>
      </c>
      <c r="I1398" s="19" t="str">
        <f t="shared" si="119"/>
        <v> </v>
      </c>
      <c r="J1398" s="18">
        <v>3909.09</v>
      </c>
      <c r="K1398" s="18">
        <v>0</v>
      </c>
      <c r="L1398" s="18">
        <v>1647002.94</v>
      </c>
    </row>
    <row r="1399" spans="1:13" ht="15" thickBot="1" x14ac:dyDescent="0.35">
      <c r="A1399" s="14">
        <v>1392</v>
      </c>
      <c r="B1399" s="15">
        <v>45623</v>
      </c>
      <c r="C1399" s="15">
        <v>45623</v>
      </c>
      <c r="D1399" s="16" t="s">
        <v>1192</v>
      </c>
      <c r="E1399" s="16" t="s">
        <v>1193</v>
      </c>
      <c r="F1399" s="16" t="s">
        <v>2167</v>
      </c>
      <c r="G1399" s="16" t="s">
        <v>1197</v>
      </c>
      <c r="H1399" s="14" t="str">
        <f>"20241127/254119"</f>
        <v>20241127/254119</v>
      </c>
      <c r="I1399" s="19" t="str">
        <f t="shared" si="119"/>
        <v> </v>
      </c>
      <c r="J1399" s="18">
        <v>564889.31000000006</v>
      </c>
      <c r="K1399" s="18">
        <v>0</v>
      </c>
      <c r="L1399" s="18">
        <v>2211892.25</v>
      </c>
    </row>
    <row r="1400" spans="1:13" ht="15" thickBot="1" x14ac:dyDescent="0.35">
      <c r="A1400" s="14">
        <v>1393</v>
      </c>
      <c r="B1400" s="15">
        <v>45623</v>
      </c>
      <c r="C1400" s="15">
        <v>45623</v>
      </c>
      <c r="D1400" s="16" t="s">
        <v>1192</v>
      </c>
      <c r="E1400" s="16" t="s">
        <v>1193</v>
      </c>
      <c r="F1400" s="16" t="s">
        <v>2168</v>
      </c>
      <c r="G1400" s="16" t="s">
        <v>1197</v>
      </c>
      <c r="H1400" s="14" t="str">
        <f>"20241127/254120"</f>
        <v>20241127/254120</v>
      </c>
      <c r="I1400" s="19" t="str">
        <f t="shared" si="119"/>
        <v> </v>
      </c>
      <c r="J1400" s="18">
        <v>234968.13</v>
      </c>
      <c r="K1400" s="18">
        <v>0</v>
      </c>
      <c r="L1400" s="18">
        <v>2446860.38</v>
      </c>
    </row>
    <row r="1401" spans="1:13" ht="15" thickBot="1" x14ac:dyDescent="0.35">
      <c r="A1401" s="14">
        <v>1394</v>
      </c>
      <c r="B1401" s="15">
        <v>45623</v>
      </c>
      <c r="C1401" s="15">
        <v>45623</v>
      </c>
      <c r="D1401" s="16" t="s">
        <v>1192</v>
      </c>
      <c r="E1401" s="16" t="s">
        <v>1193</v>
      </c>
      <c r="F1401" s="16" t="s">
        <v>2169</v>
      </c>
      <c r="G1401" s="16" t="s">
        <v>1197</v>
      </c>
      <c r="H1401" s="14" t="str">
        <f>"20241127/355158"</f>
        <v>20241127/355158</v>
      </c>
      <c r="I1401" s="19" t="str">
        <f t="shared" si="119"/>
        <v> </v>
      </c>
      <c r="J1401" s="18">
        <v>0</v>
      </c>
      <c r="K1401" s="18">
        <v>3909.09</v>
      </c>
      <c r="L1401" s="18">
        <v>2442951.29</v>
      </c>
    </row>
    <row r="1402" spans="1:13" ht="15" thickBot="1" x14ac:dyDescent="0.35">
      <c r="A1402" s="14">
        <v>1395</v>
      </c>
      <c r="B1402" s="15">
        <v>45623</v>
      </c>
      <c r="C1402" s="15">
        <v>45623</v>
      </c>
      <c r="D1402" s="16" t="s">
        <v>1192</v>
      </c>
      <c r="E1402" s="16" t="s">
        <v>1193</v>
      </c>
      <c r="F1402" s="16" t="s">
        <v>2170</v>
      </c>
      <c r="G1402" s="16" t="s">
        <v>1197</v>
      </c>
      <c r="H1402" s="14" t="str">
        <f>"20241127/355159"</f>
        <v>20241127/355159</v>
      </c>
      <c r="I1402" s="19" t="str">
        <f t="shared" si="119"/>
        <v> </v>
      </c>
      <c r="J1402" s="18">
        <v>0</v>
      </c>
      <c r="K1402" s="18">
        <v>254397.38</v>
      </c>
      <c r="L1402" s="18">
        <v>2188553.91</v>
      </c>
    </row>
    <row r="1403" spans="1:13" ht="15" thickBot="1" x14ac:dyDescent="0.35">
      <c r="A1403" s="14">
        <v>1396</v>
      </c>
      <c r="B1403" s="15">
        <v>45623</v>
      </c>
      <c r="C1403" s="15">
        <v>45623</v>
      </c>
      <c r="D1403" s="16" t="s">
        <v>1192</v>
      </c>
      <c r="E1403" s="16" t="s">
        <v>1193</v>
      </c>
      <c r="F1403" s="16" t="s">
        <v>2169</v>
      </c>
      <c r="G1403" s="16" t="s">
        <v>1197</v>
      </c>
      <c r="H1403" s="14" t="str">
        <f>"20241127/355160"</f>
        <v>20241127/355160</v>
      </c>
      <c r="I1403" s="19" t="str">
        <f t="shared" si="119"/>
        <v> </v>
      </c>
      <c r="J1403" s="18">
        <v>0</v>
      </c>
      <c r="K1403" s="18">
        <v>555531.06000000006</v>
      </c>
      <c r="L1403" s="18">
        <v>1633022.85</v>
      </c>
    </row>
    <row r="1404" spans="1:13" ht="15" thickBot="1" x14ac:dyDescent="0.35">
      <c r="A1404" s="14">
        <v>1397</v>
      </c>
      <c r="B1404" s="15">
        <v>45624</v>
      </c>
      <c r="C1404" s="15">
        <v>45624</v>
      </c>
      <c r="D1404" s="16" t="s">
        <v>1192</v>
      </c>
      <c r="E1404" s="16" t="s">
        <v>1193</v>
      </c>
      <c r="F1404" s="16" t="s">
        <v>1202</v>
      </c>
      <c r="G1404" s="16" t="s">
        <v>1203</v>
      </c>
      <c r="H1404" s="14" t="str">
        <f>"20241128/9636"</f>
        <v>20241128/9636</v>
      </c>
      <c r="I1404" s="17" t="str">
        <f t="shared" si="119"/>
        <v> </v>
      </c>
      <c r="J1404" s="18">
        <v>10071</v>
      </c>
      <c r="K1404" s="18">
        <v>0</v>
      </c>
      <c r="L1404" s="18">
        <v>1643093.85</v>
      </c>
      <c r="M1404" t="s">
        <v>2661</v>
      </c>
    </row>
    <row r="1405" spans="1:13" ht="15" thickBot="1" x14ac:dyDescent="0.35">
      <c r="A1405" s="14">
        <v>1398</v>
      </c>
      <c r="B1405" s="15">
        <v>45624</v>
      </c>
      <c r="C1405" s="15">
        <v>45624</v>
      </c>
      <c r="D1405" s="16" t="s">
        <v>1192</v>
      </c>
      <c r="E1405" s="16" t="s">
        <v>1193</v>
      </c>
      <c r="F1405" s="16" t="s">
        <v>1194</v>
      </c>
      <c r="G1405" s="16" t="s">
        <v>1195</v>
      </c>
      <c r="H1405" s="14" t="str">
        <f>"20241128/31509"</f>
        <v>20241128/31509</v>
      </c>
      <c r="I1405" s="17" t="str">
        <f t="shared" si="119"/>
        <v> </v>
      </c>
      <c r="J1405" s="18">
        <v>0</v>
      </c>
      <c r="K1405" s="18">
        <v>295.35000000000002</v>
      </c>
      <c r="L1405" s="18">
        <v>1642798.5</v>
      </c>
      <c r="M1405" t="s">
        <v>2661</v>
      </c>
    </row>
    <row r="1406" spans="1:13" ht="15" thickBot="1" x14ac:dyDescent="0.35">
      <c r="A1406" s="14">
        <v>1399</v>
      </c>
      <c r="B1406" s="15">
        <v>45624</v>
      </c>
      <c r="C1406" s="15">
        <v>45624</v>
      </c>
      <c r="D1406" s="16" t="s">
        <v>1192</v>
      </c>
      <c r="E1406" s="16" t="s">
        <v>1193</v>
      </c>
      <c r="F1406" s="16" t="s">
        <v>1194</v>
      </c>
      <c r="G1406" s="16" t="s">
        <v>1195</v>
      </c>
      <c r="H1406" s="14" t="str">
        <f>"20241128/99808"</f>
        <v>20241128/99808</v>
      </c>
      <c r="I1406" s="17" t="str">
        <f t="shared" si="119"/>
        <v> </v>
      </c>
      <c r="J1406" s="18">
        <v>0</v>
      </c>
      <c r="K1406" s="18">
        <v>2763.87</v>
      </c>
      <c r="L1406" s="18">
        <v>1640034.63</v>
      </c>
      <c r="M1406" t="s">
        <v>2661</v>
      </c>
    </row>
    <row r="1407" spans="1:13" ht="15" thickBot="1" x14ac:dyDescent="0.35">
      <c r="A1407" s="14">
        <v>1400</v>
      </c>
      <c r="B1407" s="15">
        <v>45624</v>
      </c>
      <c r="C1407" s="15">
        <v>45624</v>
      </c>
      <c r="D1407" s="16" t="s">
        <v>1192</v>
      </c>
      <c r="E1407" s="16" t="s">
        <v>1193</v>
      </c>
      <c r="F1407" s="16" t="s">
        <v>2171</v>
      </c>
      <c r="G1407" s="16" t="s">
        <v>1197</v>
      </c>
      <c r="H1407" s="14" t="str">
        <f>"20241128/149549"</f>
        <v>20241128/149549</v>
      </c>
      <c r="I1407" s="19" t="str">
        <f t="shared" si="119"/>
        <v> </v>
      </c>
      <c r="J1407" s="18">
        <v>295.35000000000002</v>
      </c>
      <c r="K1407" s="18">
        <v>0</v>
      </c>
      <c r="L1407" s="18">
        <v>1640329.98</v>
      </c>
      <c r="M1407" t="s">
        <v>2658</v>
      </c>
    </row>
    <row r="1408" spans="1:13" ht="15" thickBot="1" x14ac:dyDescent="0.35">
      <c r="A1408" s="14">
        <v>1401</v>
      </c>
      <c r="B1408" s="15">
        <v>45624</v>
      </c>
      <c r="C1408" s="15">
        <v>45624</v>
      </c>
      <c r="D1408" s="16" t="s">
        <v>1192</v>
      </c>
      <c r="E1408" s="16" t="s">
        <v>1193</v>
      </c>
      <c r="F1408" s="16" t="s">
        <v>2172</v>
      </c>
      <c r="G1408" s="16" t="s">
        <v>1197</v>
      </c>
      <c r="H1408" s="14" t="str">
        <f>"20241128/263334"</f>
        <v>20241128/263334</v>
      </c>
      <c r="I1408" s="19" t="str">
        <f t="shared" si="119"/>
        <v> </v>
      </c>
      <c r="J1408" s="18">
        <v>3896.91</v>
      </c>
      <c r="K1408" s="18">
        <v>0</v>
      </c>
      <c r="L1408" s="18">
        <v>1644226.89</v>
      </c>
    </row>
    <row r="1409" spans="1:13" ht="15" thickBot="1" x14ac:dyDescent="0.35">
      <c r="A1409" s="14">
        <v>1402</v>
      </c>
      <c r="B1409" s="15">
        <v>45624</v>
      </c>
      <c r="C1409" s="15">
        <v>45624</v>
      </c>
      <c r="D1409" s="16" t="s">
        <v>1192</v>
      </c>
      <c r="E1409" s="16" t="s">
        <v>1193</v>
      </c>
      <c r="F1409" s="16" t="s">
        <v>2173</v>
      </c>
      <c r="G1409" s="16" t="s">
        <v>1197</v>
      </c>
      <c r="H1409" s="14" t="str">
        <f>"20241128/263335"</f>
        <v>20241128/263335</v>
      </c>
      <c r="I1409" s="19" t="str">
        <f t="shared" si="119"/>
        <v> </v>
      </c>
      <c r="J1409" s="18">
        <v>11.3</v>
      </c>
      <c r="K1409" s="18">
        <v>0</v>
      </c>
      <c r="L1409" s="18">
        <v>1644238.19</v>
      </c>
    </row>
    <row r="1410" spans="1:13" ht="15" thickBot="1" x14ac:dyDescent="0.35">
      <c r="A1410" s="14">
        <v>1403</v>
      </c>
      <c r="B1410" s="15">
        <v>45624</v>
      </c>
      <c r="C1410" s="15">
        <v>45624</v>
      </c>
      <c r="D1410" s="16" t="s">
        <v>1192</v>
      </c>
      <c r="E1410" s="16" t="s">
        <v>1193</v>
      </c>
      <c r="F1410" s="16" t="s">
        <v>2173</v>
      </c>
      <c r="G1410" s="16" t="s">
        <v>1197</v>
      </c>
      <c r="H1410" s="14" t="str">
        <f>"20241128/263336"</f>
        <v>20241128/263336</v>
      </c>
      <c r="I1410" s="19" t="str">
        <f t="shared" si="119"/>
        <v> </v>
      </c>
      <c r="J1410" s="18">
        <v>235752.83</v>
      </c>
      <c r="K1410" s="18">
        <v>0</v>
      </c>
      <c r="L1410" s="18">
        <v>1879991.02</v>
      </c>
    </row>
    <row r="1411" spans="1:13" ht="15" thickBot="1" x14ac:dyDescent="0.35">
      <c r="A1411" s="14">
        <v>1404</v>
      </c>
      <c r="B1411" s="15">
        <v>45624</v>
      </c>
      <c r="C1411" s="15">
        <v>45624</v>
      </c>
      <c r="D1411" s="16" t="s">
        <v>1192</v>
      </c>
      <c r="E1411" s="16" t="s">
        <v>1193</v>
      </c>
      <c r="F1411" s="16" t="s">
        <v>2172</v>
      </c>
      <c r="G1411" s="16" t="s">
        <v>1197</v>
      </c>
      <c r="H1411" s="14" t="str">
        <f>"20241128/263337"</f>
        <v>20241128/263337</v>
      </c>
      <c r="I1411" s="19" t="str">
        <f t="shared" si="119"/>
        <v> </v>
      </c>
      <c r="J1411" s="18">
        <v>566869.36</v>
      </c>
      <c r="K1411" s="18">
        <v>0</v>
      </c>
      <c r="L1411" s="18">
        <v>2446860.38</v>
      </c>
    </row>
    <row r="1412" spans="1:13" ht="15" thickBot="1" x14ac:dyDescent="0.35">
      <c r="A1412" s="14">
        <v>1405</v>
      </c>
      <c r="B1412" s="15">
        <v>45624</v>
      </c>
      <c r="C1412" s="15">
        <v>45624</v>
      </c>
      <c r="D1412" s="16" t="s">
        <v>1192</v>
      </c>
      <c r="E1412" s="16" t="s">
        <v>1193</v>
      </c>
      <c r="F1412" s="16" t="s">
        <v>2174</v>
      </c>
      <c r="G1412" s="16" t="s">
        <v>1197</v>
      </c>
      <c r="H1412" s="14" t="str">
        <f>"20241128/356365"</f>
        <v>20241128/356365</v>
      </c>
      <c r="I1412" s="19" t="str">
        <f t="shared" si="119"/>
        <v> </v>
      </c>
      <c r="J1412" s="18">
        <v>0</v>
      </c>
      <c r="K1412" s="18">
        <v>3909.09</v>
      </c>
      <c r="L1412" s="18">
        <v>2442951.29</v>
      </c>
    </row>
    <row r="1413" spans="1:13" ht="15" thickBot="1" x14ac:dyDescent="0.35">
      <c r="A1413" s="14">
        <v>1406</v>
      </c>
      <c r="B1413" s="15">
        <v>45624</v>
      </c>
      <c r="C1413" s="15">
        <v>45624</v>
      </c>
      <c r="D1413" s="16" t="s">
        <v>1192</v>
      </c>
      <c r="E1413" s="16" t="s">
        <v>1193</v>
      </c>
      <c r="F1413" s="16" t="s">
        <v>2174</v>
      </c>
      <c r="G1413" s="16" t="s">
        <v>1197</v>
      </c>
      <c r="H1413" s="14" t="str">
        <f>"20241128/356366"</f>
        <v>20241128/356366</v>
      </c>
      <c r="I1413" s="19" t="str">
        <f t="shared" si="119"/>
        <v> </v>
      </c>
      <c r="J1413" s="18">
        <v>0</v>
      </c>
      <c r="K1413" s="18">
        <v>564889.31000000006</v>
      </c>
      <c r="L1413" s="18">
        <v>1878061.98</v>
      </c>
    </row>
    <row r="1414" spans="1:13" ht="15" thickBot="1" x14ac:dyDescent="0.35">
      <c r="A1414" s="14">
        <v>1407</v>
      </c>
      <c r="B1414" s="15">
        <v>45624</v>
      </c>
      <c r="C1414" s="15">
        <v>45624</v>
      </c>
      <c r="D1414" s="16" t="s">
        <v>1192</v>
      </c>
      <c r="E1414" s="16" t="s">
        <v>1193</v>
      </c>
      <c r="F1414" s="16" t="s">
        <v>2175</v>
      </c>
      <c r="G1414" s="16" t="s">
        <v>1197</v>
      </c>
      <c r="H1414" s="14" t="str">
        <f>"20241128/356367"</f>
        <v>20241128/356367</v>
      </c>
      <c r="I1414" s="19" t="str">
        <f t="shared" si="119"/>
        <v> </v>
      </c>
      <c r="J1414" s="18">
        <v>0</v>
      </c>
      <c r="K1414" s="18">
        <v>234968.13</v>
      </c>
      <c r="L1414" s="18">
        <v>1643093.85</v>
      </c>
    </row>
    <row r="1415" spans="1:13" ht="15" thickBot="1" x14ac:dyDescent="0.35">
      <c r="A1415" s="14">
        <v>1408</v>
      </c>
      <c r="B1415" s="15">
        <v>45625</v>
      </c>
      <c r="C1415" s="15">
        <v>45625</v>
      </c>
      <c r="D1415" s="16" t="s">
        <v>1192</v>
      </c>
      <c r="E1415" s="16" t="s">
        <v>1193</v>
      </c>
      <c r="F1415" s="16" t="s">
        <v>1194</v>
      </c>
      <c r="G1415" s="16" t="s">
        <v>1195</v>
      </c>
      <c r="H1415" s="14" t="str">
        <f>"20241129/15683"</f>
        <v>20241129/15683</v>
      </c>
      <c r="I1415" s="17" t="str">
        <f t="shared" si="119"/>
        <v> </v>
      </c>
      <c r="J1415" s="18">
        <v>0</v>
      </c>
      <c r="K1415" s="18">
        <v>297.95</v>
      </c>
      <c r="L1415" s="18">
        <v>1642795.9</v>
      </c>
      <c r="M1415" t="s">
        <v>2661</v>
      </c>
    </row>
    <row r="1416" spans="1:13" ht="15" thickBot="1" x14ac:dyDescent="0.35">
      <c r="A1416" s="14">
        <v>1409</v>
      </c>
      <c r="B1416" s="15">
        <v>45625</v>
      </c>
      <c r="C1416" s="15">
        <v>45625</v>
      </c>
      <c r="D1416" s="16" t="s">
        <v>1192</v>
      </c>
      <c r="E1416" s="16" t="s">
        <v>1193</v>
      </c>
      <c r="F1416" s="16" t="s">
        <v>1249</v>
      </c>
      <c r="G1416" s="16" t="s">
        <v>1195</v>
      </c>
      <c r="H1416" s="14" t="str">
        <f>"20241129/83099"</f>
        <v>20241129/83099</v>
      </c>
      <c r="I1416" s="17" t="str">
        <f t="shared" si="119"/>
        <v> </v>
      </c>
      <c r="J1416" s="18">
        <v>0</v>
      </c>
      <c r="K1416" s="18">
        <v>28084.84</v>
      </c>
      <c r="L1416" s="18">
        <v>1614711.06</v>
      </c>
      <c r="M1416" t="s">
        <v>2661</v>
      </c>
    </row>
    <row r="1417" spans="1:13" ht="15" thickBot="1" x14ac:dyDescent="0.35">
      <c r="A1417" s="14">
        <v>1410</v>
      </c>
      <c r="B1417" s="15">
        <v>45625</v>
      </c>
      <c r="C1417" s="15">
        <v>45625</v>
      </c>
      <c r="D1417" s="16" t="s">
        <v>1192</v>
      </c>
      <c r="E1417" s="16" t="s">
        <v>1193</v>
      </c>
      <c r="F1417" s="16" t="s">
        <v>2176</v>
      </c>
      <c r="G1417" s="16" t="s">
        <v>1197</v>
      </c>
      <c r="H1417" s="14" t="str">
        <f>"20241129/142378"</f>
        <v>20241129/142378</v>
      </c>
      <c r="I1417" s="19" t="str">
        <f t="shared" si="119"/>
        <v> </v>
      </c>
      <c r="J1417" s="18">
        <v>297.95</v>
      </c>
      <c r="K1417" s="18">
        <v>0</v>
      </c>
      <c r="L1417" s="18">
        <v>1615009.01</v>
      </c>
      <c r="M1417" t="s">
        <v>2658</v>
      </c>
    </row>
    <row r="1418" spans="1:13" ht="15" thickBot="1" x14ac:dyDescent="0.35">
      <c r="A1418" s="14">
        <v>1411</v>
      </c>
      <c r="B1418" s="15">
        <v>45625</v>
      </c>
      <c r="C1418" s="15">
        <v>45625</v>
      </c>
      <c r="D1418" s="16" t="s">
        <v>1192</v>
      </c>
      <c r="E1418" s="16" t="s">
        <v>1193</v>
      </c>
      <c r="F1418" s="16" t="s">
        <v>2177</v>
      </c>
      <c r="G1418" s="16" t="s">
        <v>1197</v>
      </c>
      <c r="H1418" s="14" t="str">
        <f>"20241129/278912"</f>
        <v>20241129/278912</v>
      </c>
      <c r="I1418" s="19" t="str">
        <f t="shared" si="119"/>
        <v> </v>
      </c>
      <c r="J1418" s="18">
        <v>3909.09</v>
      </c>
      <c r="K1418" s="18">
        <v>0</v>
      </c>
      <c r="L1418" s="18">
        <v>1618918.1</v>
      </c>
    </row>
    <row r="1419" spans="1:13" ht="15" thickBot="1" x14ac:dyDescent="0.35">
      <c r="A1419" s="14">
        <v>1412</v>
      </c>
      <c r="B1419" s="15">
        <v>45625</v>
      </c>
      <c r="C1419" s="15">
        <v>45625</v>
      </c>
      <c r="D1419" s="16" t="s">
        <v>1192</v>
      </c>
      <c r="E1419" s="16" t="s">
        <v>1193</v>
      </c>
      <c r="F1419" s="16" t="s">
        <v>2178</v>
      </c>
      <c r="G1419" s="16" t="s">
        <v>1197</v>
      </c>
      <c r="H1419" s="14" t="str">
        <f>"20241129/278913"</f>
        <v>20241129/278913</v>
      </c>
      <c r="I1419" s="19" t="str">
        <f t="shared" si="119"/>
        <v> </v>
      </c>
      <c r="J1419" s="18">
        <v>229575.13</v>
      </c>
      <c r="K1419" s="18">
        <v>0</v>
      </c>
      <c r="L1419" s="18">
        <v>1848493.23</v>
      </c>
    </row>
    <row r="1420" spans="1:13" ht="15" thickBot="1" x14ac:dyDescent="0.35">
      <c r="A1420" s="14">
        <v>1413</v>
      </c>
      <c r="B1420" s="15">
        <v>45625</v>
      </c>
      <c r="C1420" s="15">
        <v>45625</v>
      </c>
      <c r="D1420" s="16" t="s">
        <v>1192</v>
      </c>
      <c r="E1420" s="16" t="s">
        <v>1193</v>
      </c>
      <c r="F1420" s="16" t="s">
        <v>2177</v>
      </c>
      <c r="G1420" s="16" t="s">
        <v>1197</v>
      </c>
      <c r="H1420" s="14" t="str">
        <f>"20241129/278914"</f>
        <v>20241129/278914</v>
      </c>
      <c r="I1420" s="19" t="str">
        <f t="shared" si="119"/>
        <v> </v>
      </c>
      <c r="J1420" s="18">
        <v>572159.9</v>
      </c>
      <c r="K1420" s="18">
        <v>0</v>
      </c>
      <c r="L1420" s="18">
        <v>2420653.13</v>
      </c>
    </row>
    <row r="1421" spans="1:13" ht="15" thickBot="1" x14ac:dyDescent="0.35">
      <c r="A1421" s="14">
        <v>1414</v>
      </c>
      <c r="B1421" s="15">
        <v>45625</v>
      </c>
      <c r="C1421" s="15">
        <v>45625</v>
      </c>
      <c r="D1421" s="16" t="s">
        <v>1192</v>
      </c>
      <c r="E1421" s="16" t="s">
        <v>1193</v>
      </c>
      <c r="F1421" s="16" t="s">
        <v>2179</v>
      </c>
      <c r="G1421" s="16" t="s">
        <v>1197</v>
      </c>
      <c r="H1421" s="14" t="str">
        <f>"20241129/351241"</f>
        <v>20241129/351241</v>
      </c>
      <c r="I1421" s="19" t="str">
        <f t="shared" si="119"/>
        <v> </v>
      </c>
      <c r="J1421" s="18">
        <v>0</v>
      </c>
      <c r="K1421" s="18">
        <v>3896.91</v>
      </c>
      <c r="L1421" s="18">
        <v>2416756.2200000002</v>
      </c>
    </row>
    <row r="1422" spans="1:13" ht="15" thickBot="1" x14ac:dyDescent="0.35">
      <c r="A1422" s="14">
        <v>1415</v>
      </c>
      <c r="B1422" s="15">
        <v>45625</v>
      </c>
      <c r="C1422" s="15">
        <v>45625</v>
      </c>
      <c r="D1422" s="16" t="s">
        <v>1192</v>
      </c>
      <c r="E1422" s="16" t="s">
        <v>1193</v>
      </c>
      <c r="F1422" s="16" t="s">
        <v>2180</v>
      </c>
      <c r="G1422" s="16" t="s">
        <v>1197</v>
      </c>
      <c r="H1422" s="14" t="str">
        <f>"20241129/351242"</f>
        <v>20241129/351242</v>
      </c>
      <c r="I1422" s="19" t="str">
        <f t="shared" si="119"/>
        <v> </v>
      </c>
      <c r="J1422" s="18">
        <v>0</v>
      </c>
      <c r="K1422" s="18">
        <v>11.3</v>
      </c>
      <c r="L1422" s="18">
        <v>2416744.92</v>
      </c>
    </row>
    <row r="1423" spans="1:13" ht="15" thickBot="1" x14ac:dyDescent="0.35">
      <c r="A1423" s="14">
        <v>1416</v>
      </c>
      <c r="B1423" s="15">
        <v>45625</v>
      </c>
      <c r="C1423" s="15">
        <v>45625</v>
      </c>
      <c r="D1423" s="16" t="s">
        <v>1192</v>
      </c>
      <c r="E1423" s="16" t="s">
        <v>1193</v>
      </c>
      <c r="F1423" s="16" t="s">
        <v>2180</v>
      </c>
      <c r="G1423" s="16" t="s">
        <v>1197</v>
      </c>
      <c r="H1423" s="14" t="str">
        <f>"20241129/351243"</f>
        <v>20241129/351243</v>
      </c>
      <c r="I1423" s="19" t="str">
        <f t="shared" si="119"/>
        <v> </v>
      </c>
      <c r="J1423" s="18">
        <v>0</v>
      </c>
      <c r="K1423" s="18">
        <v>235752.83</v>
      </c>
      <c r="L1423" s="18">
        <v>2180992.09</v>
      </c>
    </row>
    <row r="1424" spans="1:13" ht="15" thickBot="1" x14ac:dyDescent="0.35">
      <c r="A1424" s="14">
        <v>1417</v>
      </c>
      <c r="B1424" s="15">
        <v>45625</v>
      </c>
      <c r="C1424" s="15">
        <v>45625</v>
      </c>
      <c r="D1424" s="16" t="s">
        <v>1192</v>
      </c>
      <c r="E1424" s="16" t="s">
        <v>1193</v>
      </c>
      <c r="F1424" s="16" t="s">
        <v>2179</v>
      </c>
      <c r="G1424" s="16" t="s">
        <v>1197</v>
      </c>
      <c r="H1424" s="14" t="str">
        <f>"20241129/351244"</f>
        <v>20241129/351244</v>
      </c>
      <c r="I1424" s="19" t="str">
        <f t="shared" si="119"/>
        <v> </v>
      </c>
      <c r="J1424" s="18">
        <v>0</v>
      </c>
      <c r="K1424" s="18">
        <v>566869.36</v>
      </c>
      <c r="L1424" s="18">
        <v>1614122.73</v>
      </c>
    </row>
    <row r="1425" spans="1:13" ht="15" thickBot="1" x14ac:dyDescent="0.35">
      <c r="A1425" s="14">
        <v>1418</v>
      </c>
      <c r="B1425" s="15">
        <v>45625</v>
      </c>
      <c r="C1425" s="15">
        <v>45628</v>
      </c>
      <c r="D1425" s="16" t="s">
        <v>1192</v>
      </c>
      <c r="E1425" s="16" t="s">
        <v>1193</v>
      </c>
      <c r="F1425" s="16" t="s">
        <v>2181</v>
      </c>
      <c r="G1425" s="16" t="s">
        <v>1197</v>
      </c>
      <c r="H1425" s="14" t="str">
        <f>"20241129/178613"</f>
        <v>20241129/178613</v>
      </c>
      <c r="I1425" s="19" t="str">
        <f>"2411008328431"</f>
        <v>2411008328431</v>
      </c>
      <c r="J1425" s="18">
        <v>28084.84</v>
      </c>
      <c r="K1425" s="18">
        <v>0</v>
      </c>
      <c r="L1425" s="18">
        <v>1642207.57</v>
      </c>
    </row>
    <row r="1426" spans="1:13" ht="15" thickBot="1" x14ac:dyDescent="0.35">
      <c r="A1426" s="14">
        <v>1419</v>
      </c>
      <c r="B1426" s="15">
        <v>45628</v>
      </c>
      <c r="C1426" s="15">
        <v>45628</v>
      </c>
      <c r="D1426" s="16" t="s">
        <v>1192</v>
      </c>
      <c r="E1426" s="16" t="s">
        <v>1193</v>
      </c>
      <c r="F1426" s="16" t="s">
        <v>1202</v>
      </c>
      <c r="G1426" s="16" t="s">
        <v>1203</v>
      </c>
      <c r="H1426" s="14" t="str">
        <f>"20241202/8191"</f>
        <v>20241202/8191</v>
      </c>
      <c r="I1426" s="17" t="str">
        <f t="shared" ref="I1426:I1453" si="120">" "</f>
        <v> </v>
      </c>
      <c r="J1426" s="18">
        <v>886.28</v>
      </c>
      <c r="K1426" s="18">
        <v>0</v>
      </c>
      <c r="L1426" s="18">
        <v>1643093.85</v>
      </c>
      <c r="M1426" t="s">
        <v>2661</v>
      </c>
    </row>
    <row r="1427" spans="1:13" ht="15" thickBot="1" x14ac:dyDescent="0.35">
      <c r="A1427" s="14">
        <v>1420</v>
      </c>
      <c r="B1427" s="15">
        <v>45628</v>
      </c>
      <c r="C1427" s="15">
        <v>45628</v>
      </c>
      <c r="D1427" s="16" t="s">
        <v>1192</v>
      </c>
      <c r="E1427" s="16" t="s">
        <v>1193</v>
      </c>
      <c r="F1427" s="16" t="s">
        <v>1194</v>
      </c>
      <c r="G1427" s="16" t="s">
        <v>1195</v>
      </c>
      <c r="H1427" s="14" t="str">
        <f>"20241202/41174"</f>
        <v>20241202/41174</v>
      </c>
      <c r="I1427" s="17" t="str">
        <f t="shared" si="120"/>
        <v> </v>
      </c>
      <c r="J1427" s="18">
        <v>0</v>
      </c>
      <c r="K1427" s="18">
        <v>893.85</v>
      </c>
      <c r="L1427" s="18">
        <v>1642200</v>
      </c>
      <c r="M1427" t="s">
        <v>2661</v>
      </c>
    </row>
    <row r="1428" spans="1:13" ht="15" thickBot="1" x14ac:dyDescent="0.35">
      <c r="A1428" s="14">
        <v>1421</v>
      </c>
      <c r="B1428" s="15">
        <v>45628</v>
      </c>
      <c r="C1428" s="15">
        <v>45628</v>
      </c>
      <c r="D1428" s="16" t="s">
        <v>1192</v>
      </c>
      <c r="E1428" s="16" t="s">
        <v>1193</v>
      </c>
      <c r="F1428" s="16" t="s">
        <v>1194</v>
      </c>
      <c r="G1428" s="16" t="s">
        <v>1195</v>
      </c>
      <c r="H1428" s="14" t="str">
        <f>"20241202/95044"</f>
        <v>20241202/95044</v>
      </c>
      <c r="I1428" s="17" t="str">
        <f t="shared" si="120"/>
        <v> </v>
      </c>
      <c r="J1428" s="18">
        <v>0</v>
      </c>
      <c r="K1428" s="18">
        <v>227.14</v>
      </c>
      <c r="L1428" s="18">
        <v>1641972.86</v>
      </c>
      <c r="M1428" t="s">
        <v>2661</v>
      </c>
    </row>
    <row r="1429" spans="1:13" ht="15" thickBot="1" x14ac:dyDescent="0.35">
      <c r="A1429" s="14">
        <v>1422</v>
      </c>
      <c r="B1429" s="15">
        <v>45628</v>
      </c>
      <c r="C1429" s="15">
        <v>45628</v>
      </c>
      <c r="D1429" s="16" t="s">
        <v>1192</v>
      </c>
      <c r="E1429" s="16" t="s">
        <v>1193</v>
      </c>
      <c r="F1429" s="16" t="s">
        <v>2182</v>
      </c>
      <c r="G1429" s="16" t="s">
        <v>1197</v>
      </c>
      <c r="H1429" s="14" t="str">
        <f>"20241202/121555"</f>
        <v>20241202/121555</v>
      </c>
      <c r="I1429" s="19" t="str">
        <f t="shared" si="120"/>
        <v> </v>
      </c>
      <c r="J1429" s="18">
        <v>893.85</v>
      </c>
      <c r="K1429" s="18">
        <v>0</v>
      </c>
      <c r="L1429" s="18">
        <v>1642866.71</v>
      </c>
      <c r="M1429" t="s">
        <v>2658</v>
      </c>
    </row>
    <row r="1430" spans="1:13" ht="15" thickBot="1" x14ac:dyDescent="0.35">
      <c r="A1430" s="14">
        <v>1423</v>
      </c>
      <c r="B1430" s="15">
        <v>45628</v>
      </c>
      <c r="C1430" s="15">
        <v>45628</v>
      </c>
      <c r="D1430" s="16" t="s">
        <v>1192</v>
      </c>
      <c r="E1430" s="16" t="s">
        <v>1193</v>
      </c>
      <c r="F1430" s="16" t="s">
        <v>2183</v>
      </c>
      <c r="G1430" s="16" t="s">
        <v>1197</v>
      </c>
      <c r="H1430" s="14" t="str">
        <f>"20241202/296961"</f>
        <v>20241202/296961</v>
      </c>
      <c r="I1430" s="19" t="str">
        <f t="shared" si="120"/>
        <v> </v>
      </c>
      <c r="J1430" s="18">
        <v>3909.09</v>
      </c>
      <c r="K1430" s="18">
        <v>0</v>
      </c>
      <c r="L1430" s="18">
        <v>1646775.8</v>
      </c>
    </row>
    <row r="1431" spans="1:13" ht="15" thickBot="1" x14ac:dyDescent="0.35">
      <c r="A1431" s="14">
        <v>1424</v>
      </c>
      <c r="B1431" s="15">
        <v>45628</v>
      </c>
      <c r="C1431" s="15">
        <v>45628</v>
      </c>
      <c r="D1431" s="16" t="s">
        <v>1192</v>
      </c>
      <c r="E1431" s="16" t="s">
        <v>1193</v>
      </c>
      <c r="F1431" s="16" t="s">
        <v>2184</v>
      </c>
      <c r="G1431" s="16" t="s">
        <v>1197</v>
      </c>
      <c r="H1431" s="14" t="str">
        <f>"20241202/296962"</f>
        <v>20241202/296962</v>
      </c>
      <c r="I1431" s="19" t="str">
        <f t="shared" si="120"/>
        <v> </v>
      </c>
      <c r="J1431" s="18">
        <v>230755.48</v>
      </c>
      <c r="K1431" s="18">
        <v>0</v>
      </c>
      <c r="L1431" s="18">
        <v>1877531.28</v>
      </c>
    </row>
    <row r="1432" spans="1:13" ht="15" thickBot="1" x14ac:dyDescent="0.35">
      <c r="A1432" s="14">
        <v>1425</v>
      </c>
      <c r="B1432" s="15">
        <v>45628</v>
      </c>
      <c r="C1432" s="15">
        <v>45628</v>
      </c>
      <c r="D1432" s="16" t="s">
        <v>1192</v>
      </c>
      <c r="E1432" s="16" t="s">
        <v>1193</v>
      </c>
      <c r="F1432" s="16" t="s">
        <v>2183</v>
      </c>
      <c r="G1432" s="16" t="s">
        <v>1197</v>
      </c>
      <c r="H1432" s="14" t="str">
        <f>"20241202/296963"</f>
        <v>20241202/296963</v>
      </c>
      <c r="I1432" s="19" t="str">
        <f t="shared" si="120"/>
        <v> </v>
      </c>
      <c r="J1432" s="18">
        <v>571206.68999999994</v>
      </c>
      <c r="K1432" s="18">
        <v>0</v>
      </c>
      <c r="L1432" s="18">
        <v>2448737.9700000002</v>
      </c>
    </row>
    <row r="1433" spans="1:13" ht="15" thickBot="1" x14ac:dyDescent="0.35">
      <c r="A1433" s="14">
        <v>1426</v>
      </c>
      <c r="B1433" s="15">
        <v>45628</v>
      </c>
      <c r="C1433" s="15">
        <v>45628</v>
      </c>
      <c r="D1433" s="16" t="s">
        <v>1192</v>
      </c>
      <c r="E1433" s="16" t="s">
        <v>1193</v>
      </c>
      <c r="F1433" s="16" t="s">
        <v>2185</v>
      </c>
      <c r="G1433" s="16" t="s">
        <v>1197</v>
      </c>
      <c r="H1433" s="14" t="str">
        <f>"20241202/351623"</f>
        <v>20241202/351623</v>
      </c>
      <c r="I1433" s="19" t="str">
        <f t="shared" si="120"/>
        <v> </v>
      </c>
      <c r="J1433" s="18">
        <v>0</v>
      </c>
      <c r="K1433" s="18">
        <v>3909.09</v>
      </c>
      <c r="L1433" s="18">
        <v>2444828.88</v>
      </c>
    </row>
    <row r="1434" spans="1:13" ht="15" thickBot="1" x14ac:dyDescent="0.35">
      <c r="A1434" s="14">
        <v>1427</v>
      </c>
      <c r="B1434" s="15">
        <v>45628</v>
      </c>
      <c r="C1434" s="15">
        <v>45628</v>
      </c>
      <c r="D1434" s="16" t="s">
        <v>1192</v>
      </c>
      <c r="E1434" s="16" t="s">
        <v>1193</v>
      </c>
      <c r="F1434" s="16" t="s">
        <v>2186</v>
      </c>
      <c r="G1434" s="16" t="s">
        <v>1197</v>
      </c>
      <c r="H1434" s="14" t="str">
        <f>"20241202/351624"</f>
        <v>20241202/351624</v>
      </c>
      <c r="I1434" s="19" t="str">
        <f t="shared" si="120"/>
        <v> </v>
      </c>
      <c r="J1434" s="18">
        <v>0</v>
      </c>
      <c r="K1434" s="18">
        <v>229575.13</v>
      </c>
      <c r="L1434" s="18">
        <v>2215253.75</v>
      </c>
    </row>
    <row r="1435" spans="1:13" ht="15" thickBot="1" x14ac:dyDescent="0.35">
      <c r="A1435" s="14">
        <v>1428</v>
      </c>
      <c r="B1435" s="15">
        <v>45628</v>
      </c>
      <c r="C1435" s="15">
        <v>45628</v>
      </c>
      <c r="D1435" s="16" t="s">
        <v>1192</v>
      </c>
      <c r="E1435" s="16" t="s">
        <v>1193</v>
      </c>
      <c r="F1435" s="16" t="s">
        <v>2185</v>
      </c>
      <c r="G1435" s="16" t="s">
        <v>1197</v>
      </c>
      <c r="H1435" s="14" t="str">
        <f>"20241202/351625"</f>
        <v>20241202/351625</v>
      </c>
      <c r="I1435" s="19" t="str">
        <f t="shared" si="120"/>
        <v> </v>
      </c>
      <c r="J1435" s="18">
        <v>0</v>
      </c>
      <c r="K1435" s="18">
        <v>572159.9</v>
      </c>
      <c r="L1435" s="18">
        <v>1643093.85</v>
      </c>
    </row>
    <row r="1436" spans="1:13" ht="15" thickBot="1" x14ac:dyDescent="0.35">
      <c r="A1436" s="14">
        <v>1429</v>
      </c>
      <c r="B1436" s="15">
        <v>45629</v>
      </c>
      <c r="C1436" s="15">
        <v>45629</v>
      </c>
      <c r="D1436" s="16" t="s">
        <v>1192</v>
      </c>
      <c r="E1436" s="16" t="s">
        <v>1193</v>
      </c>
      <c r="F1436" s="16" t="s">
        <v>1194</v>
      </c>
      <c r="G1436" s="16" t="s">
        <v>1195</v>
      </c>
      <c r="H1436" s="14" t="str">
        <f>"20241203/7285"</f>
        <v>20241203/7285</v>
      </c>
      <c r="I1436" s="17" t="str">
        <f t="shared" si="120"/>
        <v> </v>
      </c>
      <c r="J1436" s="18">
        <v>0</v>
      </c>
      <c r="K1436" s="18">
        <v>298.19</v>
      </c>
      <c r="L1436" s="18">
        <v>1642795.66</v>
      </c>
      <c r="M1436" t="s">
        <v>2661</v>
      </c>
    </row>
    <row r="1437" spans="1:13" ht="15" thickBot="1" x14ac:dyDescent="0.35">
      <c r="A1437" s="14">
        <v>1430</v>
      </c>
      <c r="B1437" s="15">
        <v>45629</v>
      </c>
      <c r="C1437" s="15">
        <v>45629</v>
      </c>
      <c r="D1437" s="16" t="s">
        <v>1192</v>
      </c>
      <c r="E1437" s="16" t="s">
        <v>1193</v>
      </c>
      <c r="F1437" s="16" t="s">
        <v>2187</v>
      </c>
      <c r="G1437" s="16" t="s">
        <v>1197</v>
      </c>
      <c r="H1437" s="14" t="str">
        <f>"20241203/115349"</f>
        <v>20241203/115349</v>
      </c>
      <c r="I1437" s="19" t="str">
        <f t="shared" si="120"/>
        <v> </v>
      </c>
      <c r="J1437" s="18">
        <v>298.19</v>
      </c>
      <c r="K1437" s="18">
        <v>0</v>
      </c>
      <c r="L1437" s="18">
        <v>1643093.85</v>
      </c>
      <c r="M1437" t="s">
        <v>2658</v>
      </c>
    </row>
    <row r="1438" spans="1:13" ht="15" thickBot="1" x14ac:dyDescent="0.35">
      <c r="A1438" s="14">
        <v>1431</v>
      </c>
      <c r="B1438" s="15">
        <v>45629</v>
      </c>
      <c r="C1438" s="15">
        <v>45629</v>
      </c>
      <c r="D1438" s="16" t="s">
        <v>1192</v>
      </c>
      <c r="E1438" s="16" t="s">
        <v>1193</v>
      </c>
      <c r="F1438" s="16" t="s">
        <v>2188</v>
      </c>
      <c r="G1438" s="16" t="s">
        <v>1197</v>
      </c>
      <c r="H1438" s="14" t="str">
        <f>"20241203/241270"</f>
        <v>20241203/241270</v>
      </c>
      <c r="I1438" s="19" t="str">
        <f t="shared" si="120"/>
        <v> </v>
      </c>
      <c r="J1438" s="18">
        <v>3909.09</v>
      </c>
      <c r="K1438" s="18">
        <v>0</v>
      </c>
      <c r="L1438" s="18">
        <v>1647002.94</v>
      </c>
    </row>
    <row r="1439" spans="1:13" ht="15" thickBot="1" x14ac:dyDescent="0.35">
      <c r="A1439" s="14">
        <v>1432</v>
      </c>
      <c r="B1439" s="15">
        <v>45629</v>
      </c>
      <c r="C1439" s="15">
        <v>45629</v>
      </c>
      <c r="D1439" s="16" t="s">
        <v>1192</v>
      </c>
      <c r="E1439" s="16" t="s">
        <v>1193</v>
      </c>
      <c r="F1439" s="16" t="s">
        <v>2189</v>
      </c>
      <c r="G1439" s="16" t="s">
        <v>1197</v>
      </c>
      <c r="H1439" s="14" t="str">
        <f>"20241203/241271"</f>
        <v>20241203/241271</v>
      </c>
      <c r="I1439" s="19" t="str">
        <f t="shared" si="120"/>
        <v> </v>
      </c>
      <c r="J1439" s="18">
        <v>196027.38</v>
      </c>
      <c r="K1439" s="18">
        <v>0</v>
      </c>
      <c r="L1439" s="18">
        <v>1843030.32</v>
      </c>
    </row>
    <row r="1440" spans="1:13" ht="15" thickBot="1" x14ac:dyDescent="0.35">
      <c r="A1440" s="14">
        <v>1433</v>
      </c>
      <c r="B1440" s="15">
        <v>45629</v>
      </c>
      <c r="C1440" s="15">
        <v>45629</v>
      </c>
      <c r="D1440" s="16" t="s">
        <v>1192</v>
      </c>
      <c r="E1440" s="16" t="s">
        <v>1193</v>
      </c>
      <c r="F1440" s="16" t="s">
        <v>2188</v>
      </c>
      <c r="G1440" s="16" t="s">
        <v>1197</v>
      </c>
      <c r="H1440" s="14" t="str">
        <f>"20241203/241272"</f>
        <v>20241203/241272</v>
      </c>
      <c r="I1440" s="19" t="str">
        <f t="shared" si="120"/>
        <v> </v>
      </c>
      <c r="J1440" s="18">
        <v>579555.99</v>
      </c>
      <c r="K1440" s="18">
        <v>0</v>
      </c>
      <c r="L1440" s="18">
        <v>2422586.31</v>
      </c>
    </row>
    <row r="1441" spans="1:13" ht="15" thickBot="1" x14ac:dyDescent="0.35">
      <c r="A1441" s="14">
        <v>1434</v>
      </c>
      <c r="B1441" s="15">
        <v>45629</v>
      </c>
      <c r="C1441" s="15">
        <v>45629</v>
      </c>
      <c r="D1441" s="16" t="s">
        <v>1192</v>
      </c>
      <c r="E1441" s="16" t="s">
        <v>1193</v>
      </c>
      <c r="F1441" s="16" t="s">
        <v>2190</v>
      </c>
      <c r="G1441" s="16" t="s">
        <v>1197</v>
      </c>
      <c r="H1441" s="14" t="str">
        <f>"20241203/314711"</f>
        <v>20241203/314711</v>
      </c>
      <c r="I1441" s="19" t="str">
        <f t="shared" si="120"/>
        <v> </v>
      </c>
      <c r="J1441" s="18">
        <v>0</v>
      </c>
      <c r="K1441" s="18">
        <v>3909.09</v>
      </c>
      <c r="L1441" s="18">
        <v>2418677.2200000002</v>
      </c>
    </row>
    <row r="1442" spans="1:13" ht="15" thickBot="1" x14ac:dyDescent="0.35">
      <c r="A1442" s="14">
        <v>1435</v>
      </c>
      <c r="B1442" s="15">
        <v>45629</v>
      </c>
      <c r="C1442" s="15">
        <v>45629</v>
      </c>
      <c r="D1442" s="16" t="s">
        <v>1192</v>
      </c>
      <c r="E1442" s="16" t="s">
        <v>1193</v>
      </c>
      <c r="F1442" s="16" t="s">
        <v>2191</v>
      </c>
      <c r="G1442" s="16" t="s">
        <v>1197</v>
      </c>
      <c r="H1442" s="14" t="str">
        <f>"20241203/314712"</f>
        <v>20241203/314712</v>
      </c>
      <c r="I1442" s="19" t="str">
        <f t="shared" si="120"/>
        <v> </v>
      </c>
      <c r="J1442" s="18">
        <v>0</v>
      </c>
      <c r="K1442" s="18">
        <v>230755.48</v>
      </c>
      <c r="L1442" s="18">
        <v>2187921.7400000002</v>
      </c>
    </row>
    <row r="1443" spans="1:13" ht="15" thickBot="1" x14ac:dyDescent="0.35">
      <c r="A1443" s="14">
        <v>1436</v>
      </c>
      <c r="B1443" s="15">
        <v>45629</v>
      </c>
      <c r="C1443" s="15">
        <v>45629</v>
      </c>
      <c r="D1443" s="16" t="s">
        <v>1192</v>
      </c>
      <c r="E1443" s="16" t="s">
        <v>1193</v>
      </c>
      <c r="F1443" s="16" t="s">
        <v>2190</v>
      </c>
      <c r="G1443" s="16" t="s">
        <v>1197</v>
      </c>
      <c r="H1443" s="14" t="str">
        <f>"20241203/314713"</f>
        <v>20241203/314713</v>
      </c>
      <c r="I1443" s="19" t="str">
        <f t="shared" si="120"/>
        <v> </v>
      </c>
      <c r="J1443" s="18">
        <v>0</v>
      </c>
      <c r="K1443" s="18">
        <v>571206.68999999994</v>
      </c>
      <c r="L1443" s="18">
        <v>1616715.05</v>
      </c>
    </row>
    <row r="1444" spans="1:13" ht="15" thickBot="1" x14ac:dyDescent="0.35">
      <c r="A1444" s="14">
        <v>1437</v>
      </c>
      <c r="B1444" s="15">
        <v>45630</v>
      </c>
      <c r="C1444" s="15">
        <v>45630</v>
      </c>
      <c r="D1444" s="16" t="s">
        <v>1192</v>
      </c>
      <c r="E1444" s="16" t="s">
        <v>1193</v>
      </c>
      <c r="F1444" s="16" t="s">
        <v>1202</v>
      </c>
      <c r="G1444" s="16" t="s">
        <v>1203</v>
      </c>
      <c r="H1444" s="14" t="str">
        <f>"20241204/11043"</f>
        <v>20241204/11043</v>
      </c>
      <c r="I1444" s="17" t="str">
        <f t="shared" si="120"/>
        <v> </v>
      </c>
      <c r="J1444" s="18">
        <v>14372.85</v>
      </c>
      <c r="K1444" s="18">
        <v>0</v>
      </c>
      <c r="L1444" s="18">
        <v>1631087.9</v>
      </c>
      <c r="M1444" t="s">
        <v>2661</v>
      </c>
    </row>
    <row r="1445" spans="1:13" ht="15" thickBot="1" x14ac:dyDescent="0.35">
      <c r="A1445" s="14">
        <v>1438</v>
      </c>
      <c r="B1445" s="15">
        <v>45630</v>
      </c>
      <c r="C1445" s="15">
        <v>45630</v>
      </c>
      <c r="D1445" s="16" t="s">
        <v>1192</v>
      </c>
      <c r="E1445" s="16" t="s">
        <v>1193</v>
      </c>
      <c r="F1445" s="16" t="s">
        <v>1194</v>
      </c>
      <c r="G1445" s="16" t="s">
        <v>1195</v>
      </c>
      <c r="H1445" s="14" t="str">
        <f>"20241204/15174"</f>
        <v>20241204/15174</v>
      </c>
      <c r="I1445" s="17" t="str">
        <f t="shared" si="120"/>
        <v> </v>
      </c>
      <c r="J1445" s="18">
        <v>0</v>
      </c>
      <c r="K1445" s="18">
        <v>298.19</v>
      </c>
      <c r="L1445" s="18">
        <v>1630789.71</v>
      </c>
      <c r="M1445" t="s">
        <v>2661</v>
      </c>
    </row>
    <row r="1446" spans="1:13" ht="15" thickBot="1" x14ac:dyDescent="0.35">
      <c r="A1446" s="14">
        <v>1439</v>
      </c>
      <c r="B1446" s="15">
        <v>45630</v>
      </c>
      <c r="C1446" s="15">
        <v>45630</v>
      </c>
      <c r="D1446" s="16" t="s">
        <v>1192</v>
      </c>
      <c r="E1446" s="16" t="s">
        <v>1193</v>
      </c>
      <c r="F1446" s="16" t="s">
        <v>1194</v>
      </c>
      <c r="G1446" s="16" t="s">
        <v>1195</v>
      </c>
      <c r="H1446" s="14" t="str">
        <f>"20241204/90375"</f>
        <v>20241204/90375</v>
      </c>
      <c r="I1446" s="17" t="str">
        <f t="shared" si="120"/>
        <v> </v>
      </c>
      <c r="J1446" s="18">
        <v>0</v>
      </c>
      <c r="K1446" s="18">
        <v>13048.44</v>
      </c>
      <c r="L1446" s="18">
        <v>1617741.27</v>
      </c>
      <c r="M1446" t="s">
        <v>2661</v>
      </c>
    </row>
    <row r="1447" spans="1:13" ht="15" thickBot="1" x14ac:dyDescent="0.35">
      <c r="A1447" s="14">
        <v>1440</v>
      </c>
      <c r="B1447" s="15">
        <v>45630</v>
      </c>
      <c r="C1447" s="15">
        <v>45630</v>
      </c>
      <c r="D1447" s="16" t="s">
        <v>1192</v>
      </c>
      <c r="E1447" s="16" t="s">
        <v>1193</v>
      </c>
      <c r="F1447" s="16" t="s">
        <v>2192</v>
      </c>
      <c r="G1447" s="16" t="s">
        <v>1197</v>
      </c>
      <c r="H1447" s="14" t="str">
        <f>"20241204/157490"</f>
        <v>20241204/157490</v>
      </c>
      <c r="I1447" s="19" t="str">
        <f t="shared" si="120"/>
        <v> </v>
      </c>
      <c r="J1447" s="18">
        <v>298.19</v>
      </c>
      <c r="K1447" s="18">
        <v>0</v>
      </c>
      <c r="L1447" s="18">
        <v>1618039.46</v>
      </c>
      <c r="M1447" t="s">
        <v>2658</v>
      </c>
    </row>
    <row r="1448" spans="1:13" ht="15" thickBot="1" x14ac:dyDescent="0.35">
      <c r="A1448" s="14">
        <v>1441</v>
      </c>
      <c r="B1448" s="15">
        <v>45630</v>
      </c>
      <c r="C1448" s="15">
        <v>45630</v>
      </c>
      <c r="D1448" s="16" t="s">
        <v>1192</v>
      </c>
      <c r="E1448" s="16" t="s">
        <v>1193</v>
      </c>
      <c r="F1448" s="16" t="s">
        <v>2193</v>
      </c>
      <c r="G1448" s="16" t="s">
        <v>1197</v>
      </c>
      <c r="H1448" s="14" t="str">
        <f>"20241204/281673"</f>
        <v>20241204/281673</v>
      </c>
      <c r="I1448" s="19" t="str">
        <f t="shared" si="120"/>
        <v> </v>
      </c>
      <c r="J1448" s="18">
        <v>3909.09</v>
      </c>
      <c r="K1448" s="18">
        <v>0</v>
      </c>
      <c r="L1448" s="18">
        <v>1621948.55</v>
      </c>
    </row>
    <row r="1449" spans="1:13" ht="15" thickBot="1" x14ac:dyDescent="0.35">
      <c r="A1449" s="14">
        <v>1442</v>
      </c>
      <c r="B1449" s="15">
        <v>45630</v>
      </c>
      <c r="C1449" s="15">
        <v>45630</v>
      </c>
      <c r="D1449" s="16" t="s">
        <v>1192</v>
      </c>
      <c r="E1449" s="16" t="s">
        <v>1193</v>
      </c>
      <c r="F1449" s="16" t="s">
        <v>2194</v>
      </c>
      <c r="G1449" s="16" t="s">
        <v>1197</v>
      </c>
      <c r="H1449" s="14" t="str">
        <f>"20241204/281674"</f>
        <v>20241204/281674</v>
      </c>
      <c r="I1449" s="19" t="str">
        <f t="shared" si="120"/>
        <v> </v>
      </c>
      <c r="J1449" s="18">
        <v>188053.75</v>
      </c>
      <c r="K1449" s="18">
        <v>0</v>
      </c>
      <c r="L1449" s="18">
        <v>1810002.3</v>
      </c>
    </row>
    <row r="1450" spans="1:13" ht="15" thickBot="1" x14ac:dyDescent="0.35">
      <c r="A1450" s="14">
        <v>1443</v>
      </c>
      <c r="B1450" s="15">
        <v>45630</v>
      </c>
      <c r="C1450" s="15">
        <v>45630</v>
      </c>
      <c r="D1450" s="16" t="s">
        <v>1192</v>
      </c>
      <c r="E1450" s="16" t="s">
        <v>1193</v>
      </c>
      <c r="F1450" s="16" t="s">
        <v>2193</v>
      </c>
      <c r="G1450" s="16" t="s">
        <v>1197</v>
      </c>
      <c r="H1450" s="14" t="str">
        <f>"20241204/281675"</f>
        <v>20241204/281675</v>
      </c>
      <c r="I1450" s="19" t="str">
        <f t="shared" si="120"/>
        <v> </v>
      </c>
      <c r="J1450" s="18">
        <v>600578.06000000006</v>
      </c>
      <c r="K1450" s="18">
        <v>0</v>
      </c>
      <c r="L1450" s="18">
        <v>2410580.36</v>
      </c>
    </row>
    <row r="1451" spans="1:13" ht="15" thickBot="1" x14ac:dyDescent="0.35">
      <c r="A1451" s="14">
        <v>1444</v>
      </c>
      <c r="B1451" s="15">
        <v>45630</v>
      </c>
      <c r="C1451" s="15">
        <v>45630</v>
      </c>
      <c r="D1451" s="16" t="s">
        <v>1192</v>
      </c>
      <c r="E1451" s="16" t="s">
        <v>1193</v>
      </c>
      <c r="F1451" s="16" t="s">
        <v>2195</v>
      </c>
      <c r="G1451" s="16" t="s">
        <v>1197</v>
      </c>
      <c r="H1451" s="14" t="str">
        <f>"20241204/330054"</f>
        <v>20241204/330054</v>
      </c>
      <c r="I1451" s="19" t="str">
        <f t="shared" si="120"/>
        <v> </v>
      </c>
      <c r="J1451" s="18">
        <v>0</v>
      </c>
      <c r="K1451" s="18">
        <v>3909.09</v>
      </c>
      <c r="L1451" s="18">
        <v>2406671.27</v>
      </c>
    </row>
    <row r="1452" spans="1:13" ht="15" thickBot="1" x14ac:dyDescent="0.35">
      <c r="A1452" s="14">
        <v>1445</v>
      </c>
      <c r="B1452" s="15">
        <v>45630</v>
      </c>
      <c r="C1452" s="15">
        <v>45630</v>
      </c>
      <c r="D1452" s="16" t="s">
        <v>1192</v>
      </c>
      <c r="E1452" s="16" t="s">
        <v>1193</v>
      </c>
      <c r="F1452" s="16" t="s">
        <v>2196</v>
      </c>
      <c r="G1452" s="16" t="s">
        <v>1197</v>
      </c>
      <c r="H1452" s="14" t="str">
        <f>"20241204/330055"</f>
        <v>20241204/330055</v>
      </c>
      <c r="I1452" s="19" t="str">
        <f t="shared" si="120"/>
        <v> </v>
      </c>
      <c r="J1452" s="18">
        <v>0</v>
      </c>
      <c r="K1452" s="18">
        <v>196027.38</v>
      </c>
      <c r="L1452" s="18">
        <v>2210643.89</v>
      </c>
    </row>
    <row r="1453" spans="1:13" ht="15" thickBot="1" x14ac:dyDescent="0.35">
      <c r="A1453" s="14">
        <v>1446</v>
      </c>
      <c r="B1453" s="15">
        <v>45630</v>
      </c>
      <c r="C1453" s="15">
        <v>45630</v>
      </c>
      <c r="D1453" s="16" t="s">
        <v>1192</v>
      </c>
      <c r="E1453" s="16" t="s">
        <v>1193</v>
      </c>
      <c r="F1453" s="16" t="s">
        <v>2195</v>
      </c>
      <c r="G1453" s="16" t="s">
        <v>1197</v>
      </c>
      <c r="H1453" s="14" t="str">
        <f>"20241204/330056"</f>
        <v>20241204/330056</v>
      </c>
      <c r="I1453" s="19" t="str">
        <f t="shared" si="120"/>
        <v> </v>
      </c>
      <c r="J1453" s="18">
        <v>0</v>
      </c>
      <c r="K1453" s="18">
        <v>579555.99</v>
      </c>
      <c r="L1453" s="18">
        <v>1631087.9</v>
      </c>
    </row>
    <row r="1454" spans="1:13" ht="15" thickBot="1" x14ac:dyDescent="0.35">
      <c r="A1454" s="14">
        <v>1447</v>
      </c>
      <c r="B1454" s="15">
        <v>45630</v>
      </c>
      <c r="C1454" s="15">
        <v>45631</v>
      </c>
      <c r="D1454" s="16" t="s">
        <v>1192</v>
      </c>
      <c r="E1454" s="16" t="s">
        <v>1193</v>
      </c>
      <c r="F1454" s="16" t="s">
        <v>2197</v>
      </c>
      <c r="G1454" s="16" t="s">
        <v>1197</v>
      </c>
      <c r="H1454" s="14" t="str">
        <f>"20241204/197477"</f>
        <v>20241204/197477</v>
      </c>
      <c r="I1454" s="19" t="str">
        <f>"2412001100256"</f>
        <v>2412001100256</v>
      </c>
      <c r="J1454" s="18">
        <v>45721.35</v>
      </c>
      <c r="K1454" s="18">
        <v>0</v>
      </c>
      <c r="L1454" s="18">
        <v>1676809.25</v>
      </c>
    </row>
    <row r="1455" spans="1:13" ht="15" thickBot="1" x14ac:dyDescent="0.35">
      <c r="A1455" s="14">
        <v>1448</v>
      </c>
      <c r="B1455" s="15">
        <v>45631</v>
      </c>
      <c r="C1455" s="15">
        <v>45631</v>
      </c>
      <c r="D1455" s="16" t="s">
        <v>1192</v>
      </c>
      <c r="E1455" s="16" t="s">
        <v>1193</v>
      </c>
      <c r="F1455" s="16" t="s">
        <v>1194</v>
      </c>
      <c r="G1455" s="16" t="s">
        <v>1195</v>
      </c>
      <c r="H1455" s="14" t="str">
        <f>"20241205/20151"</f>
        <v>20241205/20151</v>
      </c>
      <c r="I1455" s="17" t="str">
        <f t="shared" ref="I1455:I1463" si="121">" "</f>
        <v> </v>
      </c>
      <c r="J1455" s="18">
        <v>0</v>
      </c>
      <c r="K1455" s="18">
        <v>298.66000000000003</v>
      </c>
      <c r="L1455" s="18">
        <v>1676510.59</v>
      </c>
      <c r="M1455" t="s">
        <v>2661</v>
      </c>
    </row>
    <row r="1456" spans="1:13" ht="15" thickBot="1" x14ac:dyDescent="0.35">
      <c r="A1456" s="14">
        <v>1449</v>
      </c>
      <c r="B1456" s="15">
        <v>45631</v>
      </c>
      <c r="C1456" s="15">
        <v>45631</v>
      </c>
      <c r="D1456" s="16" t="s">
        <v>1192</v>
      </c>
      <c r="E1456" s="16" t="s">
        <v>1193</v>
      </c>
      <c r="F1456" s="16" t="s">
        <v>1249</v>
      </c>
      <c r="G1456" s="16" t="s">
        <v>1195</v>
      </c>
      <c r="H1456" s="14" t="str">
        <f>"20241205/78292"</f>
        <v>20241205/78292</v>
      </c>
      <c r="I1456" s="17" t="str">
        <f t="shared" si="121"/>
        <v> </v>
      </c>
      <c r="J1456" s="18">
        <v>0</v>
      </c>
      <c r="K1456" s="18">
        <v>13648.11</v>
      </c>
      <c r="L1456" s="18">
        <v>1662862.48</v>
      </c>
      <c r="M1456" t="s">
        <v>2661</v>
      </c>
    </row>
    <row r="1457" spans="1:13" ht="15" thickBot="1" x14ac:dyDescent="0.35">
      <c r="A1457" s="14">
        <v>1450</v>
      </c>
      <c r="B1457" s="15">
        <v>45631</v>
      </c>
      <c r="C1457" s="15">
        <v>45631</v>
      </c>
      <c r="D1457" s="16" t="s">
        <v>1192</v>
      </c>
      <c r="E1457" s="16" t="s">
        <v>1193</v>
      </c>
      <c r="F1457" s="16" t="s">
        <v>2198</v>
      </c>
      <c r="G1457" s="16" t="s">
        <v>1197</v>
      </c>
      <c r="H1457" s="14" t="str">
        <f>"20241205/134488"</f>
        <v>20241205/134488</v>
      </c>
      <c r="I1457" s="19" t="str">
        <f t="shared" si="121"/>
        <v> </v>
      </c>
      <c r="J1457" s="18">
        <v>298.66000000000003</v>
      </c>
      <c r="K1457" s="18">
        <v>0</v>
      </c>
      <c r="L1457" s="18">
        <v>1663161.14</v>
      </c>
      <c r="M1457" t="s">
        <v>2658</v>
      </c>
    </row>
    <row r="1458" spans="1:13" ht="15" thickBot="1" x14ac:dyDescent="0.35">
      <c r="A1458" s="14">
        <v>1451</v>
      </c>
      <c r="B1458" s="15">
        <v>45631</v>
      </c>
      <c r="C1458" s="15">
        <v>45631</v>
      </c>
      <c r="D1458" s="16" t="s">
        <v>1192</v>
      </c>
      <c r="E1458" s="16" t="s">
        <v>1193</v>
      </c>
      <c r="F1458" s="16" t="s">
        <v>2199</v>
      </c>
      <c r="G1458" s="16" t="s">
        <v>1197</v>
      </c>
      <c r="H1458" s="14" t="str">
        <f>"20241205/291598"</f>
        <v>20241205/291598</v>
      </c>
      <c r="I1458" s="19" t="str">
        <f t="shared" si="121"/>
        <v> </v>
      </c>
      <c r="J1458" s="18">
        <v>3909.09</v>
      </c>
      <c r="K1458" s="18">
        <v>0</v>
      </c>
      <c r="L1458" s="18">
        <v>1667070.23</v>
      </c>
    </row>
    <row r="1459" spans="1:13" ht="15" thickBot="1" x14ac:dyDescent="0.35">
      <c r="A1459" s="14">
        <v>1452</v>
      </c>
      <c r="B1459" s="15">
        <v>45631</v>
      </c>
      <c r="C1459" s="15">
        <v>45631</v>
      </c>
      <c r="D1459" s="16" t="s">
        <v>1192</v>
      </c>
      <c r="E1459" s="16" t="s">
        <v>1193</v>
      </c>
      <c r="F1459" s="16" t="s">
        <v>2199</v>
      </c>
      <c r="G1459" s="16" t="s">
        <v>1197</v>
      </c>
      <c r="H1459" s="14" t="str">
        <f>"20241205/291599"</f>
        <v>20241205/291599</v>
      </c>
      <c r="I1459" s="19" t="str">
        <f t="shared" si="121"/>
        <v> </v>
      </c>
      <c r="J1459" s="18">
        <v>610737.18999999994</v>
      </c>
      <c r="K1459" s="18">
        <v>0</v>
      </c>
      <c r="L1459" s="18">
        <v>2277807.42</v>
      </c>
    </row>
    <row r="1460" spans="1:13" ht="15" thickBot="1" x14ac:dyDescent="0.35">
      <c r="A1460" s="14">
        <v>1453</v>
      </c>
      <c r="B1460" s="15">
        <v>45631</v>
      </c>
      <c r="C1460" s="15">
        <v>45631</v>
      </c>
      <c r="D1460" s="16" t="s">
        <v>1192</v>
      </c>
      <c r="E1460" s="16" t="s">
        <v>1193</v>
      </c>
      <c r="F1460" s="16" t="s">
        <v>2200</v>
      </c>
      <c r="G1460" s="16" t="s">
        <v>1197</v>
      </c>
      <c r="H1460" s="14" t="str">
        <f>"20241205/291600"</f>
        <v>20241205/291600</v>
      </c>
      <c r="I1460" s="19" t="str">
        <f t="shared" si="121"/>
        <v> </v>
      </c>
      <c r="J1460" s="18">
        <v>171982</v>
      </c>
      <c r="K1460" s="18">
        <v>0</v>
      </c>
      <c r="L1460" s="18">
        <v>2449789.42</v>
      </c>
    </row>
    <row r="1461" spans="1:13" ht="15" thickBot="1" x14ac:dyDescent="0.35">
      <c r="A1461" s="14">
        <v>1454</v>
      </c>
      <c r="B1461" s="15">
        <v>45631</v>
      </c>
      <c r="C1461" s="15">
        <v>45631</v>
      </c>
      <c r="D1461" s="16" t="s">
        <v>1192</v>
      </c>
      <c r="E1461" s="16" t="s">
        <v>1193</v>
      </c>
      <c r="F1461" s="16" t="s">
        <v>2201</v>
      </c>
      <c r="G1461" s="16" t="s">
        <v>1197</v>
      </c>
      <c r="H1461" s="14" t="str">
        <f>"20241205/394058"</f>
        <v>20241205/394058</v>
      </c>
      <c r="I1461" s="19" t="str">
        <f t="shared" si="121"/>
        <v> </v>
      </c>
      <c r="J1461" s="18">
        <v>0</v>
      </c>
      <c r="K1461" s="18">
        <v>3909.09</v>
      </c>
      <c r="L1461" s="18">
        <v>2445880.33</v>
      </c>
    </row>
    <row r="1462" spans="1:13" ht="15" thickBot="1" x14ac:dyDescent="0.35">
      <c r="A1462" s="14">
        <v>1455</v>
      </c>
      <c r="B1462" s="15">
        <v>45631</v>
      </c>
      <c r="C1462" s="15">
        <v>45631</v>
      </c>
      <c r="D1462" s="16" t="s">
        <v>1192</v>
      </c>
      <c r="E1462" s="16" t="s">
        <v>1193</v>
      </c>
      <c r="F1462" s="16" t="s">
        <v>2202</v>
      </c>
      <c r="G1462" s="16" t="s">
        <v>1197</v>
      </c>
      <c r="H1462" s="14" t="str">
        <f>"20241205/394059"</f>
        <v>20241205/394059</v>
      </c>
      <c r="I1462" s="19" t="str">
        <f t="shared" si="121"/>
        <v> </v>
      </c>
      <c r="J1462" s="18">
        <v>0</v>
      </c>
      <c r="K1462" s="18">
        <v>188053.75</v>
      </c>
      <c r="L1462" s="18">
        <v>2257826.58</v>
      </c>
    </row>
    <row r="1463" spans="1:13" ht="15" thickBot="1" x14ac:dyDescent="0.35">
      <c r="A1463" s="14">
        <v>1456</v>
      </c>
      <c r="B1463" s="15">
        <v>45631</v>
      </c>
      <c r="C1463" s="15">
        <v>45631</v>
      </c>
      <c r="D1463" s="16" t="s">
        <v>1192</v>
      </c>
      <c r="E1463" s="16" t="s">
        <v>1193</v>
      </c>
      <c r="F1463" s="16" t="s">
        <v>2201</v>
      </c>
      <c r="G1463" s="16" t="s">
        <v>1197</v>
      </c>
      <c r="H1463" s="14" t="str">
        <f>"20241205/394060"</f>
        <v>20241205/394060</v>
      </c>
      <c r="I1463" s="19" t="str">
        <f t="shared" si="121"/>
        <v> </v>
      </c>
      <c r="J1463" s="18">
        <v>0</v>
      </c>
      <c r="K1463" s="18">
        <v>600578.06000000006</v>
      </c>
      <c r="L1463" s="18">
        <v>1657248.52</v>
      </c>
    </row>
    <row r="1464" spans="1:13" ht="15" thickBot="1" x14ac:dyDescent="0.35">
      <c r="A1464" s="14">
        <v>1457</v>
      </c>
      <c r="B1464" s="15">
        <v>45631</v>
      </c>
      <c r="C1464" s="15">
        <v>45632</v>
      </c>
      <c r="D1464" s="16" t="s">
        <v>1192</v>
      </c>
      <c r="E1464" s="16" t="s">
        <v>1193</v>
      </c>
      <c r="F1464" s="16" t="s">
        <v>2203</v>
      </c>
      <c r="G1464" s="16" t="s">
        <v>1197</v>
      </c>
      <c r="H1464" s="14" t="str">
        <f>"20241205/190199"</f>
        <v>20241205/190199</v>
      </c>
      <c r="I1464" s="19" t="str">
        <f>"2412001517133"</f>
        <v>2412001517133</v>
      </c>
      <c r="J1464" s="18">
        <v>13648.11</v>
      </c>
      <c r="K1464" s="18">
        <v>0</v>
      </c>
      <c r="L1464" s="18">
        <v>1670896.63</v>
      </c>
    </row>
    <row r="1465" spans="1:13" ht="15" thickBot="1" x14ac:dyDescent="0.35">
      <c r="A1465" s="14">
        <v>1458</v>
      </c>
      <c r="B1465" s="15">
        <v>45631</v>
      </c>
      <c r="C1465" s="15">
        <v>45632</v>
      </c>
      <c r="D1465" s="16" t="s">
        <v>1192</v>
      </c>
      <c r="E1465" s="16" t="s">
        <v>1193</v>
      </c>
      <c r="F1465" s="16" t="s">
        <v>2204</v>
      </c>
      <c r="G1465" s="16" t="s">
        <v>1197</v>
      </c>
      <c r="H1465" s="14" t="str">
        <f>"20241205/190200"</f>
        <v>20241205/190200</v>
      </c>
      <c r="I1465" s="19" t="str">
        <f>"2412001555681"</f>
        <v>2412001555681</v>
      </c>
      <c r="J1465" s="18">
        <v>12004.15</v>
      </c>
      <c r="K1465" s="18">
        <v>0</v>
      </c>
      <c r="L1465" s="18">
        <v>1682900.78</v>
      </c>
    </row>
    <row r="1466" spans="1:13" ht="15" thickBot="1" x14ac:dyDescent="0.35">
      <c r="A1466" s="14">
        <v>1459</v>
      </c>
      <c r="B1466" s="15">
        <v>45632</v>
      </c>
      <c r="C1466" s="15">
        <v>45632</v>
      </c>
      <c r="D1466" s="16" t="s">
        <v>1192</v>
      </c>
      <c r="E1466" s="16" t="s">
        <v>1193</v>
      </c>
      <c r="F1466" s="16" t="s">
        <v>1202</v>
      </c>
      <c r="G1466" s="16" t="s">
        <v>1203</v>
      </c>
      <c r="H1466" s="14" t="str">
        <f>"20241206/7639"</f>
        <v>20241206/7639</v>
      </c>
      <c r="I1466" s="17" t="str">
        <f t="shared" ref="I1466:I1493" si="122">" "</f>
        <v> </v>
      </c>
      <c r="J1466" s="18">
        <v>5912.62</v>
      </c>
      <c r="K1466" s="18">
        <v>0</v>
      </c>
      <c r="L1466" s="18">
        <v>1688813.4</v>
      </c>
      <c r="M1466" t="s">
        <v>2661</v>
      </c>
    </row>
    <row r="1467" spans="1:13" ht="15" thickBot="1" x14ac:dyDescent="0.35">
      <c r="A1467" s="14">
        <v>1460</v>
      </c>
      <c r="B1467" s="15">
        <v>45632</v>
      </c>
      <c r="C1467" s="15">
        <v>45632</v>
      </c>
      <c r="D1467" s="16" t="s">
        <v>1192</v>
      </c>
      <c r="E1467" s="16" t="s">
        <v>1193</v>
      </c>
      <c r="F1467" s="16" t="s">
        <v>1202</v>
      </c>
      <c r="G1467" s="16" t="s">
        <v>1203</v>
      </c>
      <c r="H1467" s="14" t="str">
        <f>"20241206/86294"</f>
        <v>20241206/86294</v>
      </c>
      <c r="I1467" s="17" t="str">
        <f t="shared" si="122"/>
        <v> </v>
      </c>
      <c r="J1467" s="18">
        <v>1579.51</v>
      </c>
      <c r="K1467" s="18">
        <v>0</v>
      </c>
      <c r="L1467" s="18">
        <v>1690392.91</v>
      </c>
      <c r="M1467" t="s">
        <v>2661</v>
      </c>
    </row>
    <row r="1468" spans="1:13" ht="15" thickBot="1" x14ac:dyDescent="0.35">
      <c r="A1468" s="14">
        <v>1461</v>
      </c>
      <c r="B1468" s="15">
        <v>45632</v>
      </c>
      <c r="C1468" s="15">
        <v>45632</v>
      </c>
      <c r="D1468" s="16" t="s">
        <v>1192</v>
      </c>
      <c r="E1468" s="16" t="s">
        <v>1193</v>
      </c>
      <c r="F1468" s="16" t="s">
        <v>1194</v>
      </c>
      <c r="G1468" s="16" t="s">
        <v>1195</v>
      </c>
      <c r="H1468" s="14" t="str">
        <f>"20241206/21499"</f>
        <v>20241206/21499</v>
      </c>
      <c r="I1468" s="17" t="str">
        <f t="shared" si="122"/>
        <v> </v>
      </c>
      <c r="J1468" s="18">
        <v>0</v>
      </c>
      <c r="K1468" s="18">
        <v>314.94</v>
      </c>
      <c r="L1468" s="18">
        <v>1690077.97</v>
      </c>
      <c r="M1468" t="s">
        <v>2661</v>
      </c>
    </row>
    <row r="1469" spans="1:13" ht="15" thickBot="1" x14ac:dyDescent="0.35">
      <c r="A1469" s="14">
        <v>1462</v>
      </c>
      <c r="B1469" s="15">
        <v>45632</v>
      </c>
      <c r="C1469" s="15">
        <v>45632</v>
      </c>
      <c r="D1469" s="16" t="s">
        <v>1192</v>
      </c>
      <c r="E1469" s="16" t="s">
        <v>1193</v>
      </c>
      <c r="F1469" s="16" t="s">
        <v>2205</v>
      </c>
      <c r="G1469" s="16" t="s">
        <v>1197</v>
      </c>
      <c r="H1469" s="14" t="str">
        <f>"20241206/163671"</f>
        <v>20241206/163671</v>
      </c>
      <c r="I1469" s="19" t="str">
        <f t="shared" si="122"/>
        <v> </v>
      </c>
      <c r="J1469" s="18">
        <v>314.94</v>
      </c>
      <c r="K1469" s="18">
        <v>0</v>
      </c>
      <c r="L1469" s="18">
        <v>1690392.91</v>
      </c>
      <c r="M1469" t="s">
        <v>2658</v>
      </c>
    </row>
    <row r="1470" spans="1:13" ht="15" thickBot="1" x14ac:dyDescent="0.35">
      <c r="A1470" s="14">
        <v>1463</v>
      </c>
      <c r="B1470" s="15">
        <v>45632</v>
      </c>
      <c r="C1470" s="15">
        <v>45632</v>
      </c>
      <c r="D1470" s="16" t="s">
        <v>1192</v>
      </c>
      <c r="E1470" s="16" t="s">
        <v>1193</v>
      </c>
      <c r="F1470" s="16" t="s">
        <v>2206</v>
      </c>
      <c r="G1470" s="16" t="s">
        <v>1197</v>
      </c>
      <c r="H1470" s="14" t="str">
        <f>"20241206/270318"</f>
        <v>20241206/270318</v>
      </c>
      <c r="I1470" s="19" t="str">
        <f t="shared" si="122"/>
        <v> </v>
      </c>
      <c r="J1470" s="18">
        <v>3909.09</v>
      </c>
      <c r="K1470" s="18">
        <v>0</v>
      </c>
      <c r="L1470" s="18">
        <v>1694302</v>
      </c>
    </row>
    <row r="1471" spans="1:13" ht="15" thickBot="1" x14ac:dyDescent="0.35">
      <c r="A1471" s="14">
        <v>1464</v>
      </c>
      <c r="B1471" s="15">
        <v>45632</v>
      </c>
      <c r="C1471" s="15">
        <v>45632</v>
      </c>
      <c r="D1471" s="16" t="s">
        <v>1192</v>
      </c>
      <c r="E1471" s="16" t="s">
        <v>1193</v>
      </c>
      <c r="F1471" s="16" t="s">
        <v>2207</v>
      </c>
      <c r="G1471" s="16" t="s">
        <v>1197</v>
      </c>
      <c r="H1471" s="14" t="str">
        <f>"20241206/270319"</f>
        <v>20241206/270319</v>
      </c>
      <c r="I1471" s="19" t="str">
        <f t="shared" si="122"/>
        <v> </v>
      </c>
      <c r="J1471" s="18">
        <v>167737.35</v>
      </c>
      <c r="K1471" s="18">
        <v>0</v>
      </c>
      <c r="L1471" s="18">
        <v>1862039.35</v>
      </c>
    </row>
    <row r="1472" spans="1:13" ht="15" thickBot="1" x14ac:dyDescent="0.35">
      <c r="A1472" s="14">
        <v>1465</v>
      </c>
      <c r="B1472" s="15">
        <v>45632</v>
      </c>
      <c r="C1472" s="15">
        <v>45632</v>
      </c>
      <c r="D1472" s="16" t="s">
        <v>1192</v>
      </c>
      <c r="E1472" s="16" t="s">
        <v>1193</v>
      </c>
      <c r="F1472" s="16" t="s">
        <v>2206</v>
      </c>
      <c r="G1472" s="16" t="s">
        <v>1197</v>
      </c>
      <c r="H1472" s="14" t="str">
        <f>"20241206/270320"</f>
        <v>20241206/270320</v>
      </c>
      <c r="I1472" s="19" t="str">
        <f t="shared" si="122"/>
        <v> </v>
      </c>
      <c r="J1472" s="18">
        <v>613402.32999999996</v>
      </c>
      <c r="K1472" s="18">
        <v>0</v>
      </c>
      <c r="L1472" s="18">
        <v>2475441.6800000002</v>
      </c>
    </row>
    <row r="1473" spans="1:13" ht="15" thickBot="1" x14ac:dyDescent="0.35">
      <c r="A1473" s="14">
        <v>1466</v>
      </c>
      <c r="B1473" s="15">
        <v>45632</v>
      </c>
      <c r="C1473" s="15">
        <v>45632</v>
      </c>
      <c r="D1473" s="16" t="s">
        <v>1192</v>
      </c>
      <c r="E1473" s="16" t="s">
        <v>1193</v>
      </c>
      <c r="F1473" s="16" t="s">
        <v>2208</v>
      </c>
      <c r="G1473" s="16" t="s">
        <v>1197</v>
      </c>
      <c r="H1473" s="14" t="str">
        <f>"20241206/346829"</f>
        <v>20241206/346829</v>
      </c>
      <c r="I1473" s="19" t="str">
        <f t="shared" si="122"/>
        <v> </v>
      </c>
      <c r="J1473" s="18">
        <v>0</v>
      </c>
      <c r="K1473" s="18">
        <v>3909.09</v>
      </c>
      <c r="L1473" s="18">
        <v>2471532.59</v>
      </c>
    </row>
    <row r="1474" spans="1:13" ht="15" thickBot="1" x14ac:dyDescent="0.35">
      <c r="A1474" s="14">
        <v>1467</v>
      </c>
      <c r="B1474" s="15">
        <v>45632</v>
      </c>
      <c r="C1474" s="15">
        <v>45632</v>
      </c>
      <c r="D1474" s="16" t="s">
        <v>1192</v>
      </c>
      <c r="E1474" s="16" t="s">
        <v>1193</v>
      </c>
      <c r="F1474" s="16" t="s">
        <v>2208</v>
      </c>
      <c r="G1474" s="16" t="s">
        <v>1197</v>
      </c>
      <c r="H1474" s="14" t="str">
        <f>"20241206/346830"</f>
        <v>20241206/346830</v>
      </c>
      <c r="I1474" s="19" t="str">
        <f t="shared" si="122"/>
        <v> </v>
      </c>
      <c r="J1474" s="18">
        <v>0</v>
      </c>
      <c r="K1474" s="18">
        <v>610737.18999999994</v>
      </c>
      <c r="L1474" s="18">
        <v>1860795.4</v>
      </c>
    </row>
    <row r="1475" spans="1:13" ht="15" thickBot="1" x14ac:dyDescent="0.35">
      <c r="A1475" s="14">
        <v>1468</v>
      </c>
      <c r="B1475" s="15">
        <v>45632</v>
      </c>
      <c r="C1475" s="15">
        <v>45632</v>
      </c>
      <c r="D1475" s="16" t="s">
        <v>1192</v>
      </c>
      <c r="E1475" s="16" t="s">
        <v>1193</v>
      </c>
      <c r="F1475" s="16" t="s">
        <v>2209</v>
      </c>
      <c r="G1475" s="16" t="s">
        <v>1197</v>
      </c>
      <c r="H1475" s="14" t="str">
        <f>"20241206/346831"</f>
        <v>20241206/346831</v>
      </c>
      <c r="I1475" s="19" t="str">
        <f t="shared" si="122"/>
        <v> </v>
      </c>
      <c r="J1475" s="18">
        <v>0</v>
      </c>
      <c r="K1475" s="18">
        <v>171982</v>
      </c>
      <c r="L1475" s="18">
        <v>1688813.4</v>
      </c>
    </row>
    <row r="1476" spans="1:13" ht="15" thickBot="1" x14ac:dyDescent="0.35">
      <c r="A1476" s="14">
        <v>1469</v>
      </c>
      <c r="B1476" s="15">
        <v>45635</v>
      </c>
      <c r="C1476" s="15">
        <v>45635</v>
      </c>
      <c r="D1476" s="16" t="s">
        <v>1192</v>
      </c>
      <c r="E1476" s="16" t="s">
        <v>1193</v>
      </c>
      <c r="F1476" s="16" t="s">
        <v>1194</v>
      </c>
      <c r="G1476" s="16" t="s">
        <v>1195</v>
      </c>
      <c r="H1476" s="14" t="str">
        <f>"20241209/40348"</f>
        <v>20241209/40348</v>
      </c>
      <c r="I1476" s="17" t="str">
        <f t="shared" si="122"/>
        <v> </v>
      </c>
      <c r="J1476" s="18">
        <v>0</v>
      </c>
      <c r="K1476" s="18">
        <v>965.67</v>
      </c>
      <c r="L1476" s="18">
        <v>1687847.73</v>
      </c>
      <c r="M1476" t="s">
        <v>2661</v>
      </c>
    </row>
    <row r="1477" spans="1:13" ht="15" thickBot="1" x14ac:dyDescent="0.35">
      <c r="A1477" s="14">
        <v>1470</v>
      </c>
      <c r="B1477" s="15">
        <v>45635</v>
      </c>
      <c r="C1477" s="15">
        <v>45635</v>
      </c>
      <c r="D1477" s="16" t="s">
        <v>1192</v>
      </c>
      <c r="E1477" s="16" t="s">
        <v>1193</v>
      </c>
      <c r="F1477" s="16" t="s">
        <v>1194</v>
      </c>
      <c r="G1477" s="16" t="s">
        <v>1195</v>
      </c>
      <c r="H1477" s="14" t="str">
        <f>"20241209/97339"</f>
        <v>20241209/97339</v>
      </c>
      <c r="I1477" s="17" t="str">
        <f t="shared" si="122"/>
        <v> </v>
      </c>
      <c r="J1477" s="18">
        <v>0</v>
      </c>
      <c r="K1477" s="18">
        <v>925.98</v>
      </c>
      <c r="L1477" s="18">
        <v>1686921.75</v>
      </c>
      <c r="M1477" t="s">
        <v>2661</v>
      </c>
    </row>
    <row r="1478" spans="1:13" ht="15" thickBot="1" x14ac:dyDescent="0.35">
      <c r="A1478" s="14">
        <v>1471</v>
      </c>
      <c r="B1478" s="15">
        <v>45635</v>
      </c>
      <c r="C1478" s="15">
        <v>45635</v>
      </c>
      <c r="D1478" s="16" t="s">
        <v>1192</v>
      </c>
      <c r="E1478" s="16" t="s">
        <v>1193</v>
      </c>
      <c r="F1478" s="16" t="s">
        <v>2210</v>
      </c>
      <c r="G1478" s="16" t="s">
        <v>1197</v>
      </c>
      <c r="H1478" s="14" t="str">
        <f>"20241209/131798"</f>
        <v>20241209/131798</v>
      </c>
      <c r="I1478" s="19" t="str">
        <f t="shared" si="122"/>
        <v> </v>
      </c>
      <c r="J1478" s="18">
        <v>965.67</v>
      </c>
      <c r="K1478" s="18">
        <v>0</v>
      </c>
      <c r="L1478" s="18">
        <v>1687887.42</v>
      </c>
      <c r="M1478" t="s">
        <v>2658</v>
      </c>
    </row>
    <row r="1479" spans="1:13" ht="15" thickBot="1" x14ac:dyDescent="0.35">
      <c r="A1479" s="14">
        <v>1472</v>
      </c>
      <c r="B1479" s="15">
        <v>45635</v>
      </c>
      <c r="C1479" s="15">
        <v>45635</v>
      </c>
      <c r="D1479" s="16" t="s">
        <v>1192</v>
      </c>
      <c r="E1479" s="16" t="s">
        <v>1193</v>
      </c>
      <c r="F1479" s="16" t="s">
        <v>2211</v>
      </c>
      <c r="G1479" s="16" t="s">
        <v>1197</v>
      </c>
      <c r="H1479" s="14" t="str">
        <f>"20241209/277675"</f>
        <v>20241209/277675</v>
      </c>
      <c r="I1479" s="19" t="str">
        <f t="shared" si="122"/>
        <v> </v>
      </c>
      <c r="J1479" s="18">
        <v>3909.09</v>
      </c>
      <c r="K1479" s="18">
        <v>0</v>
      </c>
      <c r="L1479" s="18">
        <v>1691796.51</v>
      </c>
    </row>
    <row r="1480" spans="1:13" ht="15" thickBot="1" x14ac:dyDescent="0.35">
      <c r="A1480" s="14">
        <v>1473</v>
      </c>
      <c r="B1480" s="15">
        <v>45635</v>
      </c>
      <c r="C1480" s="15">
        <v>45635</v>
      </c>
      <c r="D1480" s="16" t="s">
        <v>1192</v>
      </c>
      <c r="E1480" s="16" t="s">
        <v>1193</v>
      </c>
      <c r="F1480" s="16" t="s">
        <v>2212</v>
      </c>
      <c r="G1480" s="16" t="s">
        <v>1197</v>
      </c>
      <c r="H1480" s="14" t="str">
        <f>"20241209/279993"</f>
        <v>20241209/279993</v>
      </c>
      <c r="I1480" s="19" t="str">
        <f t="shared" si="122"/>
        <v> </v>
      </c>
      <c r="J1480" s="18">
        <v>168887.5</v>
      </c>
      <c r="K1480" s="18">
        <v>0</v>
      </c>
      <c r="L1480" s="18">
        <v>1860684.01</v>
      </c>
    </row>
    <row r="1481" spans="1:13" ht="15" thickBot="1" x14ac:dyDescent="0.35">
      <c r="A1481" s="14">
        <v>1474</v>
      </c>
      <c r="B1481" s="15">
        <v>45635</v>
      </c>
      <c r="C1481" s="15">
        <v>45635</v>
      </c>
      <c r="D1481" s="16" t="s">
        <v>1192</v>
      </c>
      <c r="E1481" s="16" t="s">
        <v>1193</v>
      </c>
      <c r="F1481" s="16" t="s">
        <v>2211</v>
      </c>
      <c r="G1481" s="16" t="s">
        <v>1197</v>
      </c>
      <c r="H1481" s="14" t="str">
        <f>"20241209/279994"</f>
        <v>20241209/279994</v>
      </c>
      <c r="I1481" s="19" t="str">
        <f t="shared" si="122"/>
        <v> </v>
      </c>
      <c r="J1481" s="18">
        <v>613178.16</v>
      </c>
      <c r="K1481" s="18">
        <v>0</v>
      </c>
      <c r="L1481" s="18">
        <v>2473862.17</v>
      </c>
    </row>
    <row r="1482" spans="1:13" ht="15" thickBot="1" x14ac:dyDescent="0.35">
      <c r="A1482" s="14">
        <v>1475</v>
      </c>
      <c r="B1482" s="15">
        <v>45635</v>
      </c>
      <c r="C1482" s="15">
        <v>45635</v>
      </c>
      <c r="D1482" s="16" t="s">
        <v>1192</v>
      </c>
      <c r="E1482" s="16" t="s">
        <v>1193</v>
      </c>
      <c r="F1482" s="16" t="s">
        <v>2213</v>
      </c>
      <c r="G1482" s="16" t="s">
        <v>1197</v>
      </c>
      <c r="H1482" s="14" t="str">
        <f>"20241209/341277"</f>
        <v>20241209/341277</v>
      </c>
      <c r="I1482" s="19" t="str">
        <f t="shared" si="122"/>
        <v> </v>
      </c>
      <c r="J1482" s="18">
        <v>0</v>
      </c>
      <c r="K1482" s="18">
        <v>3909.09</v>
      </c>
      <c r="L1482" s="18">
        <v>2469953.08</v>
      </c>
    </row>
    <row r="1483" spans="1:13" ht="15" thickBot="1" x14ac:dyDescent="0.35">
      <c r="A1483" s="14">
        <v>1476</v>
      </c>
      <c r="B1483" s="15">
        <v>45635</v>
      </c>
      <c r="C1483" s="15">
        <v>45635</v>
      </c>
      <c r="D1483" s="16" t="s">
        <v>1192</v>
      </c>
      <c r="E1483" s="16" t="s">
        <v>1193</v>
      </c>
      <c r="F1483" s="16" t="s">
        <v>2214</v>
      </c>
      <c r="G1483" s="16" t="s">
        <v>1197</v>
      </c>
      <c r="H1483" s="14" t="str">
        <f>"20241209/341278"</f>
        <v>20241209/341278</v>
      </c>
      <c r="I1483" s="19" t="str">
        <f t="shared" si="122"/>
        <v> </v>
      </c>
      <c r="J1483" s="18">
        <v>0</v>
      </c>
      <c r="K1483" s="18">
        <v>167737.35</v>
      </c>
      <c r="L1483" s="18">
        <v>2302215.73</v>
      </c>
    </row>
    <row r="1484" spans="1:13" ht="15" thickBot="1" x14ac:dyDescent="0.35">
      <c r="A1484" s="14">
        <v>1477</v>
      </c>
      <c r="B1484" s="15">
        <v>45635</v>
      </c>
      <c r="C1484" s="15">
        <v>45635</v>
      </c>
      <c r="D1484" s="16" t="s">
        <v>1192</v>
      </c>
      <c r="E1484" s="16" t="s">
        <v>1193</v>
      </c>
      <c r="F1484" s="16" t="s">
        <v>2213</v>
      </c>
      <c r="G1484" s="16" t="s">
        <v>1197</v>
      </c>
      <c r="H1484" s="14" t="str">
        <f>"20241209/341279"</f>
        <v>20241209/341279</v>
      </c>
      <c r="I1484" s="19" t="str">
        <f t="shared" si="122"/>
        <v> </v>
      </c>
      <c r="J1484" s="18">
        <v>0</v>
      </c>
      <c r="K1484" s="18">
        <v>613402.32999999996</v>
      </c>
      <c r="L1484" s="18">
        <v>1688813.4</v>
      </c>
    </row>
    <row r="1485" spans="1:13" ht="15" thickBot="1" x14ac:dyDescent="0.35">
      <c r="A1485" s="14">
        <v>1478</v>
      </c>
      <c r="B1485" s="15">
        <v>45636</v>
      </c>
      <c r="C1485" s="15">
        <v>45636</v>
      </c>
      <c r="D1485" s="16" t="s">
        <v>1192</v>
      </c>
      <c r="E1485" s="16" t="s">
        <v>1193</v>
      </c>
      <c r="F1485" s="16" t="s">
        <v>1194</v>
      </c>
      <c r="G1485" s="16" t="s">
        <v>1195</v>
      </c>
      <c r="H1485" s="14" t="str">
        <f>"20241210/38082"</f>
        <v>20241210/38082</v>
      </c>
      <c r="I1485" s="17" t="str">
        <f t="shared" si="122"/>
        <v> </v>
      </c>
      <c r="J1485" s="18">
        <v>0</v>
      </c>
      <c r="K1485" s="18">
        <v>321.56</v>
      </c>
      <c r="L1485" s="18">
        <v>1688491.84</v>
      </c>
      <c r="M1485" t="s">
        <v>2661</v>
      </c>
    </row>
    <row r="1486" spans="1:13" ht="15" thickBot="1" x14ac:dyDescent="0.35">
      <c r="A1486" s="14">
        <v>1479</v>
      </c>
      <c r="B1486" s="15">
        <v>45636</v>
      </c>
      <c r="C1486" s="15">
        <v>45636</v>
      </c>
      <c r="D1486" s="16" t="s">
        <v>1192</v>
      </c>
      <c r="E1486" s="16" t="s">
        <v>1193</v>
      </c>
      <c r="F1486" s="16" t="s">
        <v>1194</v>
      </c>
      <c r="G1486" s="16" t="s">
        <v>1195</v>
      </c>
      <c r="H1486" s="14" t="str">
        <f>"20241210/94202"</f>
        <v>20241210/94202</v>
      </c>
      <c r="I1486" s="17" t="str">
        <f t="shared" si="122"/>
        <v> </v>
      </c>
      <c r="J1486" s="18">
        <v>0</v>
      </c>
      <c r="K1486" s="18">
        <v>4116.51</v>
      </c>
      <c r="L1486" s="18">
        <v>1684375.33</v>
      </c>
      <c r="M1486" t="s">
        <v>2661</v>
      </c>
    </row>
    <row r="1487" spans="1:13" ht="15" thickBot="1" x14ac:dyDescent="0.35">
      <c r="A1487" s="14">
        <v>1480</v>
      </c>
      <c r="B1487" s="15">
        <v>45636</v>
      </c>
      <c r="C1487" s="15">
        <v>45636</v>
      </c>
      <c r="D1487" s="16" t="s">
        <v>1192</v>
      </c>
      <c r="E1487" s="16" t="s">
        <v>1193</v>
      </c>
      <c r="F1487" s="16" t="s">
        <v>2215</v>
      </c>
      <c r="G1487" s="16" t="s">
        <v>1197</v>
      </c>
      <c r="H1487" s="14" t="str">
        <f>"20241210/120031"</f>
        <v>20241210/120031</v>
      </c>
      <c r="I1487" s="19" t="str">
        <f t="shared" si="122"/>
        <v> </v>
      </c>
      <c r="J1487" s="18">
        <v>321.56</v>
      </c>
      <c r="K1487" s="18">
        <v>0</v>
      </c>
      <c r="L1487" s="18">
        <v>1684696.89</v>
      </c>
      <c r="M1487" t="s">
        <v>2658</v>
      </c>
    </row>
    <row r="1488" spans="1:13" ht="15" thickBot="1" x14ac:dyDescent="0.35">
      <c r="A1488" s="14">
        <v>1481</v>
      </c>
      <c r="B1488" s="15">
        <v>45636</v>
      </c>
      <c r="C1488" s="15">
        <v>45636</v>
      </c>
      <c r="D1488" s="16" t="s">
        <v>1192</v>
      </c>
      <c r="E1488" s="16" t="s">
        <v>1193</v>
      </c>
      <c r="F1488" s="16" t="s">
        <v>2216</v>
      </c>
      <c r="G1488" s="16" t="s">
        <v>1197</v>
      </c>
      <c r="H1488" s="14" t="str">
        <f>"20241210/305566"</f>
        <v>20241210/305566</v>
      </c>
      <c r="I1488" s="19" t="str">
        <f t="shared" si="122"/>
        <v> </v>
      </c>
      <c r="J1488" s="18">
        <v>3909.09</v>
      </c>
      <c r="K1488" s="18">
        <v>0</v>
      </c>
      <c r="L1488" s="18">
        <v>1688605.98</v>
      </c>
    </row>
    <row r="1489" spans="1:13" ht="15" thickBot="1" x14ac:dyDescent="0.35">
      <c r="A1489" s="14">
        <v>1482</v>
      </c>
      <c r="B1489" s="15">
        <v>45636</v>
      </c>
      <c r="C1489" s="15">
        <v>45636</v>
      </c>
      <c r="D1489" s="16" t="s">
        <v>1192</v>
      </c>
      <c r="E1489" s="16" t="s">
        <v>1193</v>
      </c>
      <c r="F1489" s="16" t="s">
        <v>2216</v>
      </c>
      <c r="G1489" s="16" t="s">
        <v>1197</v>
      </c>
      <c r="H1489" s="14" t="str">
        <f>"20241210/305567"</f>
        <v>20241210/305567</v>
      </c>
      <c r="I1489" s="19" t="str">
        <f t="shared" si="122"/>
        <v> </v>
      </c>
      <c r="J1489" s="18">
        <v>620320.87</v>
      </c>
      <c r="K1489" s="18">
        <v>0</v>
      </c>
      <c r="L1489" s="18">
        <v>2308926.85</v>
      </c>
    </row>
    <row r="1490" spans="1:13" ht="15" thickBot="1" x14ac:dyDescent="0.35">
      <c r="A1490" s="14">
        <v>1483</v>
      </c>
      <c r="B1490" s="15">
        <v>45636</v>
      </c>
      <c r="C1490" s="15">
        <v>45636</v>
      </c>
      <c r="D1490" s="16" t="s">
        <v>1192</v>
      </c>
      <c r="E1490" s="16" t="s">
        <v>1193</v>
      </c>
      <c r="F1490" s="16" t="s">
        <v>2217</v>
      </c>
      <c r="G1490" s="16" t="s">
        <v>1197</v>
      </c>
      <c r="H1490" s="14" t="str">
        <f>"20241210/305568"</f>
        <v>20241210/305568</v>
      </c>
      <c r="I1490" s="19" t="str">
        <f t="shared" si="122"/>
        <v> </v>
      </c>
      <c r="J1490" s="18">
        <v>165861.29999999999</v>
      </c>
      <c r="K1490" s="18">
        <v>0</v>
      </c>
      <c r="L1490" s="18">
        <v>2474788.15</v>
      </c>
    </row>
    <row r="1491" spans="1:13" ht="15" thickBot="1" x14ac:dyDescent="0.35">
      <c r="A1491" s="14">
        <v>1484</v>
      </c>
      <c r="B1491" s="15">
        <v>45636</v>
      </c>
      <c r="C1491" s="15">
        <v>45636</v>
      </c>
      <c r="D1491" s="16" t="s">
        <v>1192</v>
      </c>
      <c r="E1491" s="16" t="s">
        <v>1193</v>
      </c>
      <c r="F1491" s="16" t="s">
        <v>2218</v>
      </c>
      <c r="G1491" s="16" t="s">
        <v>1197</v>
      </c>
      <c r="H1491" s="14" t="str">
        <f>"20241210/368736"</f>
        <v>20241210/368736</v>
      </c>
      <c r="I1491" s="19" t="str">
        <f t="shared" si="122"/>
        <v> </v>
      </c>
      <c r="J1491" s="18">
        <v>0</v>
      </c>
      <c r="K1491" s="18">
        <v>3909.09</v>
      </c>
      <c r="L1491" s="18">
        <v>2470879.06</v>
      </c>
    </row>
    <row r="1492" spans="1:13" ht="15" thickBot="1" x14ac:dyDescent="0.35">
      <c r="A1492" s="14">
        <v>1485</v>
      </c>
      <c r="B1492" s="15">
        <v>45636</v>
      </c>
      <c r="C1492" s="15">
        <v>45636</v>
      </c>
      <c r="D1492" s="16" t="s">
        <v>1192</v>
      </c>
      <c r="E1492" s="16" t="s">
        <v>1193</v>
      </c>
      <c r="F1492" s="16" t="s">
        <v>2219</v>
      </c>
      <c r="G1492" s="16" t="s">
        <v>1197</v>
      </c>
      <c r="H1492" s="14" t="str">
        <f>"20241210/368737"</f>
        <v>20241210/368737</v>
      </c>
      <c r="I1492" s="19" t="str">
        <f t="shared" si="122"/>
        <v> </v>
      </c>
      <c r="J1492" s="18">
        <v>0</v>
      </c>
      <c r="K1492" s="18">
        <v>168887.5</v>
      </c>
      <c r="L1492" s="18">
        <v>2301991.56</v>
      </c>
    </row>
    <row r="1493" spans="1:13" ht="15" thickBot="1" x14ac:dyDescent="0.35">
      <c r="A1493" s="14">
        <v>1486</v>
      </c>
      <c r="B1493" s="15">
        <v>45636</v>
      </c>
      <c r="C1493" s="15">
        <v>45636</v>
      </c>
      <c r="D1493" s="16" t="s">
        <v>1192</v>
      </c>
      <c r="E1493" s="16" t="s">
        <v>1193</v>
      </c>
      <c r="F1493" s="16" t="s">
        <v>2218</v>
      </c>
      <c r="G1493" s="16" t="s">
        <v>1197</v>
      </c>
      <c r="H1493" s="14" t="str">
        <f>"20241210/368738"</f>
        <v>20241210/368738</v>
      </c>
      <c r="I1493" s="19" t="str">
        <f t="shared" si="122"/>
        <v> </v>
      </c>
      <c r="J1493" s="18">
        <v>0</v>
      </c>
      <c r="K1493" s="18">
        <v>613178.16</v>
      </c>
      <c r="L1493" s="18">
        <v>1688813.4</v>
      </c>
    </row>
    <row r="1494" spans="1:13" ht="15" thickBot="1" x14ac:dyDescent="0.35">
      <c r="A1494" s="14">
        <v>1487</v>
      </c>
      <c r="B1494" s="15">
        <v>45636</v>
      </c>
      <c r="C1494" s="15">
        <v>45637</v>
      </c>
      <c r="D1494" s="16" t="s">
        <v>1192</v>
      </c>
      <c r="E1494" s="16" t="s">
        <v>1193</v>
      </c>
      <c r="F1494" s="16" t="s">
        <v>2220</v>
      </c>
      <c r="G1494" s="16" t="s">
        <v>1197</v>
      </c>
      <c r="H1494" s="14" t="str">
        <f>"20241210/183979"</f>
        <v>20241210/183979</v>
      </c>
      <c r="I1494" s="19" t="str">
        <f>"2412002945346"</f>
        <v>2412002945346</v>
      </c>
      <c r="J1494" s="18">
        <v>0</v>
      </c>
      <c r="K1494" s="18">
        <v>32653.81</v>
      </c>
      <c r="L1494" s="18">
        <v>1656159.59</v>
      </c>
    </row>
    <row r="1495" spans="1:13" ht="15" thickBot="1" x14ac:dyDescent="0.35">
      <c r="A1495" s="14">
        <v>1488</v>
      </c>
      <c r="B1495" s="15">
        <v>45636</v>
      </c>
      <c r="C1495" s="15">
        <v>45637</v>
      </c>
      <c r="D1495" s="16" t="s">
        <v>1192</v>
      </c>
      <c r="E1495" s="16" t="s">
        <v>1193</v>
      </c>
      <c r="F1495" s="16" t="s">
        <v>2221</v>
      </c>
      <c r="G1495" s="16" t="s">
        <v>1197</v>
      </c>
      <c r="H1495" s="14" t="str">
        <f>"20241210/183980"</f>
        <v>20241210/183980</v>
      </c>
      <c r="I1495" s="19" t="str">
        <f>"2412002945346"</f>
        <v>2412002945346</v>
      </c>
      <c r="J1495" s="18">
        <v>10543.39</v>
      </c>
      <c r="K1495" s="18">
        <v>0</v>
      </c>
      <c r="L1495" s="18">
        <v>1666702.98</v>
      </c>
    </row>
    <row r="1496" spans="1:13" ht="15" thickBot="1" x14ac:dyDescent="0.35">
      <c r="A1496" s="14">
        <v>1489</v>
      </c>
      <c r="B1496" s="15">
        <v>45637</v>
      </c>
      <c r="C1496" s="15">
        <v>45637</v>
      </c>
      <c r="D1496" s="16" t="s">
        <v>1192</v>
      </c>
      <c r="E1496" s="16" t="s">
        <v>1193</v>
      </c>
      <c r="F1496" s="16" t="s">
        <v>1204</v>
      </c>
      <c r="G1496" s="16" t="s">
        <v>1203</v>
      </c>
      <c r="H1496" s="14" t="str">
        <f>"20241211/29447"</f>
        <v>20241211/29447</v>
      </c>
      <c r="I1496" s="17" t="str">
        <f t="shared" ref="I1496:I1505" si="123">" "</f>
        <v> </v>
      </c>
      <c r="J1496" s="18">
        <v>32653.81</v>
      </c>
      <c r="K1496" s="18">
        <v>0</v>
      </c>
      <c r="L1496" s="18">
        <v>1699356.79</v>
      </c>
      <c r="M1496" t="s">
        <v>2661</v>
      </c>
    </row>
    <row r="1497" spans="1:13" ht="15" thickBot="1" x14ac:dyDescent="0.35">
      <c r="A1497" s="14">
        <v>1490</v>
      </c>
      <c r="B1497" s="15">
        <v>45637</v>
      </c>
      <c r="C1497" s="15">
        <v>45637</v>
      </c>
      <c r="D1497" s="16" t="s">
        <v>1192</v>
      </c>
      <c r="E1497" s="16" t="s">
        <v>1193</v>
      </c>
      <c r="F1497" s="16" t="s">
        <v>1194</v>
      </c>
      <c r="G1497" s="16" t="s">
        <v>1195</v>
      </c>
      <c r="H1497" s="14" t="str">
        <f>"20241211/39523"</f>
        <v>20241211/39523</v>
      </c>
      <c r="I1497" s="17" t="str">
        <f t="shared" si="123"/>
        <v> </v>
      </c>
      <c r="J1497" s="18">
        <v>0</v>
      </c>
      <c r="K1497" s="18">
        <v>320.08999999999997</v>
      </c>
      <c r="L1497" s="18">
        <v>1699036.7</v>
      </c>
      <c r="M1497" t="s">
        <v>2661</v>
      </c>
    </row>
    <row r="1498" spans="1:13" ht="15" thickBot="1" x14ac:dyDescent="0.35">
      <c r="A1498" s="14">
        <v>1491</v>
      </c>
      <c r="B1498" s="15">
        <v>45637</v>
      </c>
      <c r="C1498" s="15">
        <v>45637</v>
      </c>
      <c r="D1498" s="16" t="s">
        <v>1192</v>
      </c>
      <c r="E1498" s="16" t="s">
        <v>1193</v>
      </c>
      <c r="F1498" s="16" t="s">
        <v>1194</v>
      </c>
      <c r="G1498" s="16" t="s">
        <v>1195</v>
      </c>
      <c r="H1498" s="14" t="str">
        <f>"20241211/90811"</f>
        <v>20241211/90811</v>
      </c>
      <c r="I1498" s="17" t="str">
        <f t="shared" si="123"/>
        <v> </v>
      </c>
      <c r="J1498" s="18">
        <v>0</v>
      </c>
      <c r="K1498" s="18">
        <v>45070.71</v>
      </c>
      <c r="L1498" s="18">
        <v>1653965.99</v>
      </c>
      <c r="M1498" t="s">
        <v>2661</v>
      </c>
    </row>
    <row r="1499" spans="1:13" ht="15" thickBot="1" x14ac:dyDescent="0.35">
      <c r="A1499" s="14">
        <v>1492</v>
      </c>
      <c r="B1499" s="15">
        <v>45637</v>
      </c>
      <c r="C1499" s="15">
        <v>45637</v>
      </c>
      <c r="D1499" s="16" t="s">
        <v>1192</v>
      </c>
      <c r="E1499" s="16" t="s">
        <v>1193</v>
      </c>
      <c r="F1499" s="16" t="s">
        <v>2222</v>
      </c>
      <c r="G1499" s="16" t="s">
        <v>1197</v>
      </c>
      <c r="H1499" s="14" t="str">
        <f>"20241211/111714"</f>
        <v>20241211/111714</v>
      </c>
      <c r="I1499" s="19" t="str">
        <f t="shared" si="123"/>
        <v> </v>
      </c>
      <c r="J1499" s="18">
        <v>320.08999999999997</v>
      </c>
      <c r="K1499" s="18">
        <v>0</v>
      </c>
      <c r="L1499" s="18">
        <v>1654286.08</v>
      </c>
      <c r="M1499" t="s">
        <v>2658</v>
      </c>
    </row>
    <row r="1500" spans="1:13" ht="15" thickBot="1" x14ac:dyDescent="0.35">
      <c r="A1500" s="14">
        <v>1493</v>
      </c>
      <c r="B1500" s="15">
        <v>45637</v>
      </c>
      <c r="C1500" s="15">
        <v>45637</v>
      </c>
      <c r="D1500" s="16" t="s">
        <v>1192</v>
      </c>
      <c r="E1500" s="16" t="s">
        <v>1193</v>
      </c>
      <c r="F1500" s="16" t="s">
        <v>2223</v>
      </c>
      <c r="G1500" s="16" t="s">
        <v>1197</v>
      </c>
      <c r="H1500" s="14" t="str">
        <f>"20241211/236353"</f>
        <v>20241211/236353</v>
      </c>
      <c r="I1500" s="19" t="str">
        <f t="shared" si="123"/>
        <v> </v>
      </c>
      <c r="J1500" s="18">
        <v>3909.09</v>
      </c>
      <c r="K1500" s="18">
        <v>0</v>
      </c>
      <c r="L1500" s="18">
        <v>1658195.17</v>
      </c>
    </row>
    <row r="1501" spans="1:13" ht="15" thickBot="1" x14ac:dyDescent="0.35">
      <c r="A1501" s="14">
        <v>1494</v>
      </c>
      <c r="B1501" s="15">
        <v>45637</v>
      </c>
      <c r="C1501" s="15">
        <v>45637</v>
      </c>
      <c r="D1501" s="16" t="s">
        <v>1192</v>
      </c>
      <c r="E1501" s="16" t="s">
        <v>1193</v>
      </c>
      <c r="F1501" s="16" t="s">
        <v>2223</v>
      </c>
      <c r="G1501" s="16" t="s">
        <v>1197</v>
      </c>
      <c r="H1501" s="14" t="str">
        <f>"20241211/236354"</f>
        <v>20241211/236354</v>
      </c>
      <c r="I1501" s="19" t="str">
        <f t="shared" si="123"/>
        <v> </v>
      </c>
      <c r="J1501" s="18">
        <v>660699.63</v>
      </c>
      <c r="K1501" s="18">
        <v>0</v>
      </c>
      <c r="L1501" s="18">
        <v>2318894.7999999998</v>
      </c>
    </row>
    <row r="1502" spans="1:13" ht="15" thickBot="1" x14ac:dyDescent="0.35">
      <c r="A1502" s="14">
        <v>1495</v>
      </c>
      <c r="B1502" s="15">
        <v>45637</v>
      </c>
      <c r="C1502" s="15">
        <v>45637</v>
      </c>
      <c r="D1502" s="16" t="s">
        <v>1192</v>
      </c>
      <c r="E1502" s="16" t="s">
        <v>1193</v>
      </c>
      <c r="F1502" s="16" t="s">
        <v>2224</v>
      </c>
      <c r="G1502" s="16" t="s">
        <v>1197</v>
      </c>
      <c r="H1502" s="14" t="str">
        <f>"20241211/236355"</f>
        <v>20241211/236355</v>
      </c>
      <c r="I1502" s="19" t="str">
        <f t="shared" si="123"/>
        <v> </v>
      </c>
      <c r="J1502" s="18">
        <v>170553.25</v>
      </c>
      <c r="K1502" s="18">
        <v>0</v>
      </c>
      <c r="L1502" s="18">
        <v>2489448.0499999998</v>
      </c>
    </row>
    <row r="1503" spans="1:13" ht="15" thickBot="1" x14ac:dyDescent="0.35">
      <c r="A1503" s="14">
        <v>1496</v>
      </c>
      <c r="B1503" s="15">
        <v>45637</v>
      </c>
      <c r="C1503" s="15">
        <v>45637</v>
      </c>
      <c r="D1503" s="16" t="s">
        <v>1192</v>
      </c>
      <c r="E1503" s="16" t="s">
        <v>1193</v>
      </c>
      <c r="F1503" s="16" t="s">
        <v>2225</v>
      </c>
      <c r="G1503" s="16" t="s">
        <v>1197</v>
      </c>
      <c r="H1503" s="14" t="str">
        <f>"20241211/313838"</f>
        <v>20241211/313838</v>
      </c>
      <c r="I1503" s="19" t="str">
        <f t="shared" si="123"/>
        <v> </v>
      </c>
      <c r="J1503" s="18">
        <v>0</v>
      </c>
      <c r="K1503" s="18">
        <v>3909.09</v>
      </c>
      <c r="L1503" s="18">
        <v>2485538.96</v>
      </c>
    </row>
    <row r="1504" spans="1:13" ht="15" thickBot="1" x14ac:dyDescent="0.35">
      <c r="A1504" s="14">
        <v>1497</v>
      </c>
      <c r="B1504" s="15">
        <v>45637</v>
      </c>
      <c r="C1504" s="15">
        <v>45637</v>
      </c>
      <c r="D1504" s="16" t="s">
        <v>1192</v>
      </c>
      <c r="E1504" s="16" t="s">
        <v>1193</v>
      </c>
      <c r="F1504" s="16" t="s">
        <v>2225</v>
      </c>
      <c r="G1504" s="16" t="s">
        <v>1197</v>
      </c>
      <c r="H1504" s="14" t="str">
        <f>"20241211/313839"</f>
        <v>20241211/313839</v>
      </c>
      <c r="I1504" s="19" t="str">
        <f t="shared" si="123"/>
        <v> </v>
      </c>
      <c r="J1504" s="18">
        <v>0</v>
      </c>
      <c r="K1504" s="18">
        <v>620320.87</v>
      </c>
      <c r="L1504" s="18">
        <v>1865218.09</v>
      </c>
    </row>
    <row r="1505" spans="1:13" ht="15" thickBot="1" x14ac:dyDescent="0.35">
      <c r="A1505" s="14">
        <v>1498</v>
      </c>
      <c r="B1505" s="15">
        <v>45637</v>
      </c>
      <c r="C1505" s="15">
        <v>45637</v>
      </c>
      <c r="D1505" s="16" t="s">
        <v>1192</v>
      </c>
      <c r="E1505" s="16" t="s">
        <v>1193</v>
      </c>
      <c r="F1505" s="16" t="s">
        <v>2226</v>
      </c>
      <c r="G1505" s="16" t="s">
        <v>1197</v>
      </c>
      <c r="H1505" s="14" t="str">
        <f>"20241211/313840"</f>
        <v>20241211/313840</v>
      </c>
      <c r="I1505" s="19" t="str">
        <f t="shared" si="123"/>
        <v> </v>
      </c>
      <c r="J1505" s="18">
        <v>0</v>
      </c>
      <c r="K1505" s="18">
        <v>165861.29999999999</v>
      </c>
      <c r="L1505" s="18">
        <v>1699356.79</v>
      </c>
    </row>
    <row r="1506" spans="1:13" ht="15" thickBot="1" x14ac:dyDescent="0.35">
      <c r="A1506" s="14">
        <v>1499</v>
      </c>
      <c r="B1506" s="15">
        <v>45637</v>
      </c>
      <c r="C1506" s="15">
        <v>45638</v>
      </c>
      <c r="D1506" s="16" t="s">
        <v>1192</v>
      </c>
      <c r="E1506" s="16" t="s">
        <v>1193</v>
      </c>
      <c r="F1506" s="16" t="s">
        <v>2227</v>
      </c>
      <c r="G1506" s="16" t="s">
        <v>1197</v>
      </c>
      <c r="H1506" s="14" t="str">
        <f>"20241211/176489"</f>
        <v>20241211/176489</v>
      </c>
      <c r="I1506" s="19" t="str">
        <f>"2412003389866"</f>
        <v>2412003389866</v>
      </c>
      <c r="J1506" s="18">
        <v>94628.54</v>
      </c>
      <c r="K1506" s="18">
        <v>0</v>
      </c>
      <c r="L1506" s="18">
        <v>1793985.33</v>
      </c>
    </row>
    <row r="1507" spans="1:13" ht="15" thickBot="1" x14ac:dyDescent="0.35">
      <c r="A1507" s="14">
        <v>1500</v>
      </c>
      <c r="B1507" s="15">
        <v>45638</v>
      </c>
      <c r="C1507" s="15">
        <v>45638</v>
      </c>
      <c r="D1507" s="16" t="s">
        <v>1192</v>
      </c>
      <c r="E1507" s="16" t="s">
        <v>1193</v>
      </c>
      <c r="F1507" s="16" t="s">
        <v>1194</v>
      </c>
      <c r="G1507" s="16" t="s">
        <v>1195</v>
      </c>
      <c r="H1507" s="14" t="str">
        <f>"20241212/113482"</f>
        <v>20241212/113482</v>
      </c>
      <c r="I1507" s="17" t="str">
        <f t="shared" ref="I1507:I1525" si="124">" "</f>
        <v> </v>
      </c>
      <c r="J1507" s="18">
        <v>0</v>
      </c>
      <c r="K1507" s="18">
        <v>15229.75</v>
      </c>
      <c r="L1507" s="18">
        <v>1778755.58</v>
      </c>
      <c r="M1507" t="s">
        <v>2661</v>
      </c>
    </row>
    <row r="1508" spans="1:13" ht="15" thickBot="1" x14ac:dyDescent="0.35">
      <c r="A1508" s="14">
        <v>1501</v>
      </c>
      <c r="B1508" s="15">
        <v>45638</v>
      </c>
      <c r="C1508" s="15">
        <v>45638</v>
      </c>
      <c r="D1508" s="16" t="s">
        <v>1192</v>
      </c>
      <c r="E1508" s="16" t="s">
        <v>1193</v>
      </c>
      <c r="F1508" s="16" t="s">
        <v>1194</v>
      </c>
      <c r="G1508" s="16" t="s">
        <v>1195</v>
      </c>
      <c r="H1508" s="14" t="str">
        <f>"20241212/24484"</f>
        <v>20241212/24484</v>
      </c>
      <c r="I1508" s="17" t="str">
        <f t="shared" si="124"/>
        <v> </v>
      </c>
      <c r="J1508" s="18">
        <v>0</v>
      </c>
      <c r="K1508" s="18">
        <v>307.8</v>
      </c>
      <c r="L1508" s="18">
        <v>1778447.78</v>
      </c>
      <c r="M1508" t="s">
        <v>2661</v>
      </c>
    </row>
    <row r="1509" spans="1:13" ht="15" thickBot="1" x14ac:dyDescent="0.35">
      <c r="A1509" s="14">
        <v>1502</v>
      </c>
      <c r="B1509" s="15">
        <v>45638</v>
      </c>
      <c r="C1509" s="15">
        <v>45638</v>
      </c>
      <c r="D1509" s="16" t="s">
        <v>1192</v>
      </c>
      <c r="E1509" s="16" t="s">
        <v>1193</v>
      </c>
      <c r="F1509" s="16" t="s">
        <v>2228</v>
      </c>
      <c r="G1509" s="16" t="s">
        <v>1197</v>
      </c>
      <c r="H1509" s="14" t="str">
        <f>"20241212/130874"</f>
        <v>20241212/130874</v>
      </c>
      <c r="I1509" s="19" t="str">
        <f t="shared" si="124"/>
        <v> </v>
      </c>
      <c r="J1509" s="18">
        <v>307.8</v>
      </c>
      <c r="K1509" s="18">
        <v>0</v>
      </c>
      <c r="L1509" s="18">
        <v>1778755.58</v>
      </c>
      <c r="M1509" t="s">
        <v>2658</v>
      </c>
    </row>
    <row r="1510" spans="1:13" ht="15" thickBot="1" x14ac:dyDescent="0.35">
      <c r="A1510" s="14">
        <v>1503</v>
      </c>
      <c r="B1510" s="15">
        <v>45638</v>
      </c>
      <c r="C1510" s="15">
        <v>45638</v>
      </c>
      <c r="D1510" s="16" t="s">
        <v>1192</v>
      </c>
      <c r="E1510" s="16" t="s">
        <v>1193</v>
      </c>
      <c r="F1510" s="16" t="s">
        <v>2229</v>
      </c>
      <c r="G1510" s="16" t="s">
        <v>1197</v>
      </c>
      <c r="H1510" s="14" t="str">
        <f>"20241212/304993"</f>
        <v>20241212/304993</v>
      </c>
      <c r="I1510" s="19" t="str">
        <f t="shared" si="124"/>
        <v> </v>
      </c>
      <c r="J1510" s="18">
        <v>3909.09</v>
      </c>
      <c r="K1510" s="18">
        <v>0</v>
      </c>
      <c r="L1510" s="18">
        <v>1782664.67</v>
      </c>
    </row>
    <row r="1511" spans="1:13" ht="15" thickBot="1" x14ac:dyDescent="0.35">
      <c r="A1511" s="14">
        <v>1504</v>
      </c>
      <c r="B1511" s="15">
        <v>45638</v>
      </c>
      <c r="C1511" s="15">
        <v>45638</v>
      </c>
      <c r="D1511" s="16" t="s">
        <v>1192</v>
      </c>
      <c r="E1511" s="16" t="s">
        <v>1193</v>
      </c>
      <c r="F1511" s="16" t="s">
        <v>2230</v>
      </c>
      <c r="G1511" s="16" t="s">
        <v>1197</v>
      </c>
      <c r="H1511" s="14" t="str">
        <f>"20241212/304994"</f>
        <v>20241212/304994</v>
      </c>
      <c r="I1511" s="19" t="str">
        <f t="shared" si="124"/>
        <v> </v>
      </c>
      <c r="J1511" s="18">
        <v>185174.5</v>
      </c>
      <c r="K1511" s="18">
        <v>0</v>
      </c>
      <c r="L1511" s="18">
        <v>1967839.17</v>
      </c>
    </row>
    <row r="1512" spans="1:13" ht="15" thickBot="1" x14ac:dyDescent="0.35">
      <c r="A1512" s="14">
        <v>1505</v>
      </c>
      <c r="B1512" s="15">
        <v>45638</v>
      </c>
      <c r="C1512" s="15">
        <v>45638</v>
      </c>
      <c r="D1512" s="16" t="s">
        <v>1192</v>
      </c>
      <c r="E1512" s="16" t="s">
        <v>1193</v>
      </c>
      <c r="F1512" s="16" t="s">
        <v>2229</v>
      </c>
      <c r="G1512" s="16" t="s">
        <v>1197</v>
      </c>
      <c r="H1512" s="14" t="str">
        <f>"20241212/304995"</f>
        <v>20241212/304995</v>
      </c>
      <c r="I1512" s="19" t="str">
        <f t="shared" si="124"/>
        <v> </v>
      </c>
      <c r="J1512" s="18">
        <v>661308.13</v>
      </c>
      <c r="K1512" s="18">
        <v>0</v>
      </c>
      <c r="L1512" s="18">
        <v>2629147.2999999998</v>
      </c>
    </row>
    <row r="1513" spans="1:13" ht="15" thickBot="1" x14ac:dyDescent="0.35">
      <c r="A1513" s="14">
        <v>1506</v>
      </c>
      <c r="B1513" s="15">
        <v>45638</v>
      </c>
      <c r="C1513" s="15">
        <v>45638</v>
      </c>
      <c r="D1513" s="16" t="s">
        <v>1192</v>
      </c>
      <c r="E1513" s="16" t="s">
        <v>1193</v>
      </c>
      <c r="F1513" s="16" t="s">
        <v>2231</v>
      </c>
      <c r="G1513" s="16" t="s">
        <v>1197</v>
      </c>
      <c r="H1513" s="14" t="str">
        <f>"20241212/375970"</f>
        <v>20241212/375970</v>
      </c>
      <c r="I1513" s="19" t="str">
        <f t="shared" si="124"/>
        <v> </v>
      </c>
      <c r="J1513" s="18">
        <v>0</v>
      </c>
      <c r="K1513" s="18">
        <v>3909.09</v>
      </c>
      <c r="L1513" s="18">
        <v>2625238.21</v>
      </c>
    </row>
    <row r="1514" spans="1:13" ht="15" thickBot="1" x14ac:dyDescent="0.35">
      <c r="A1514" s="14">
        <v>1507</v>
      </c>
      <c r="B1514" s="15">
        <v>45638</v>
      </c>
      <c r="C1514" s="15">
        <v>45638</v>
      </c>
      <c r="D1514" s="16" t="s">
        <v>1192</v>
      </c>
      <c r="E1514" s="16" t="s">
        <v>1193</v>
      </c>
      <c r="F1514" s="16" t="s">
        <v>2231</v>
      </c>
      <c r="G1514" s="16" t="s">
        <v>1197</v>
      </c>
      <c r="H1514" s="14" t="str">
        <f>"20241212/375971"</f>
        <v>20241212/375971</v>
      </c>
      <c r="I1514" s="19" t="str">
        <f t="shared" si="124"/>
        <v> </v>
      </c>
      <c r="J1514" s="18">
        <v>0</v>
      </c>
      <c r="K1514" s="18">
        <v>660699.63</v>
      </c>
      <c r="L1514" s="18">
        <v>1964538.58</v>
      </c>
    </row>
    <row r="1515" spans="1:13" ht="15" thickBot="1" x14ac:dyDescent="0.35">
      <c r="A1515" s="14">
        <v>1508</v>
      </c>
      <c r="B1515" s="15">
        <v>45638</v>
      </c>
      <c r="C1515" s="15">
        <v>45638</v>
      </c>
      <c r="D1515" s="16" t="s">
        <v>1192</v>
      </c>
      <c r="E1515" s="16" t="s">
        <v>1193</v>
      </c>
      <c r="F1515" s="16" t="s">
        <v>2232</v>
      </c>
      <c r="G1515" s="16" t="s">
        <v>1197</v>
      </c>
      <c r="H1515" s="14" t="str">
        <f>"20241212/375972"</f>
        <v>20241212/375972</v>
      </c>
      <c r="I1515" s="19" t="str">
        <f t="shared" si="124"/>
        <v> </v>
      </c>
      <c r="J1515" s="18">
        <v>0</v>
      </c>
      <c r="K1515" s="18">
        <v>170553.25</v>
      </c>
      <c r="L1515" s="18">
        <v>1793985.33</v>
      </c>
    </row>
    <row r="1516" spans="1:13" ht="15" thickBot="1" x14ac:dyDescent="0.35">
      <c r="A1516" s="14">
        <v>1509</v>
      </c>
      <c r="B1516" s="15">
        <v>45639</v>
      </c>
      <c r="C1516" s="15">
        <v>45639</v>
      </c>
      <c r="D1516" s="16" t="s">
        <v>1192</v>
      </c>
      <c r="E1516" s="16" t="s">
        <v>1193</v>
      </c>
      <c r="F1516" s="16" t="s">
        <v>1194</v>
      </c>
      <c r="G1516" s="16" t="s">
        <v>1195</v>
      </c>
      <c r="H1516" s="14" t="str">
        <f>"20241213/108709"</f>
        <v>20241213/108709</v>
      </c>
      <c r="I1516" s="17" t="str">
        <f t="shared" si="124"/>
        <v> </v>
      </c>
      <c r="J1516" s="18">
        <v>0</v>
      </c>
      <c r="K1516" s="18">
        <v>1197.8699999999999</v>
      </c>
      <c r="L1516" s="18">
        <v>1792787.46</v>
      </c>
      <c r="M1516" t="s">
        <v>2661</v>
      </c>
    </row>
    <row r="1517" spans="1:13" ht="15" thickBot="1" x14ac:dyDescent="0.35">
      <c r="A1517" s="14">
        <v>1510</v>
      </c>
      <c r="B1517" s="15">
        <v>45639</v>
      </c>
      <c r="C1517" s="15">
        <v>45639</v>
      </c>
      <c r="D1517" s="16" t="s">
        <v>1192</v>
      </c>
      <c r="E1517" s="16" t="s">
        <v>1193</v>
      </c>
      <c r="F1517" s="16" t="s">
        <v>1194</v>
      </c>
      <c r="G1517" s="16" t="s">
        <v>1195</v>
      </c>
      <c r="H1517" s="14" t="str">
        <f>"20241213/15346"</f>
        <v>20241213/15346</v>
      </c>
      <c r="I1517" s="17" t="str">
        <f t="shared" si="124"/>
        <v> </v>
      </c>
      <c r="J1517" s="18">
        <v>0</v>
      </c>
      <c r="K1517" s="18">
        <v>336.07</v>
      </c>
      <c r="L1517" s="18">
        <v>1792451.39</v>
      </c>
      <c r="M1517" t="s">
        <v>2661</v>
      </c>
    </row>
    <row r="1518" spans="1:13" ht="15" thickBot="1" x14ac:dyDescent="0.35">
      <c r="A1518" s="14">
        <v>1511</v>
      </c>
      <c r="B1518" s="15">
        <v>45639</v>
      </c>
      <c r="C1518" s="15">
        <v>45639</v>
      </c>
      <c r="D1518" s="16" t="s">
        <v>1192</v>
      </c>
      <c r="E1518" s="16" t="s">
        <v>1193</v>
      </c>
      <c r="F1518" s="16" t="s">
        <v>1249</v>
      </c>
      <c r="G1518" s="16" t="s">
        <v>1195</v>
      </c>
      <c r="H1518" s="14" t="str">
        <f>"20241213/85997"</f>
        <v>20241213/85997</v>
      </c>
      <c r="I1518" s="17" t="str">
        <f t="shared" si="124"/>
        <v> </v>
      </c>
      <c r="J1518" s="18">
        <v>0</v>
      </c>
      <c r="K1518" s="18">
        <v>27834.66</v>
      </c>
      <c r="L1518" s="18">
        <v>1764616.73</v>
      </c>
      <c r="M1518" t="s">
        <v>2661</v>
      </c>
    </row>
    <row r="1519" spans="1:13" ht="15" thickBot="1" x14ac:dyDescent="0.35">
      <c r="A1519" s="14">
        <v>1512</v>
      </c>
      <c r="B1519" s="15">
        <v>45639</v>
      </c>
      <c r="C1519" s="15">
        <v>45639</v>
      </c>
      <c r="D1519" s="16" t="s">
        <v>1192</v>
      </c>
      <c r="E1519" s="16" t="s">
        <v>1193</v>
      </c>
      <c r="F1519" s="16" t="s">
        <v>2233</v>
      </c>
      <c r="G1519" s="16" t="s">
        <v>1197</v>
      </c>
      <c r="H1519" s="14" t="str">
        <f>"20241213/112798"</f>
        <v>20241213/112798</v>
      </c>
      <c r="I1519" s="19" t="str">
        <f t="shared" si="124"/>
        <v> </v>
      </c>
      <c r="J1519" s="18">
        <v>336.07</v>
      </c>
      <c r="K1519" s="18">
        <v>0</v>
      </c>
      <c r="L1519" s="18">
        <v>1764952.8</v>
      </c>
      <c r="M1519" t="s">
        <v>2658</v>
      </c>
    </row>
    <row r="1520" spans="1:13" ht="15" thickBot="1" x14ac:dyDescent="0.35">
      <c r="A1520" s="14">
        <v>1513</v>
      </c>
      <c r="B1520" s="15">
        <v>45639</v>
      </c>
      <c r="C1520" s="15">
        <v>45639</v>
      </c>
      <c r="D1520" s="16" t="s">
        <v>1192</v>
      </c>
      <c r="E1520" s="16" t="s">
        <v>1193</v>
      </c>
      <c r="F1520" s="16" t="s">
        <v>2234</v>
      </c>
      <c r="G1520" s="16" t="s">
        <v>1197</v>
      </c>
      <c r="H1520" s="14" t="str">
        <f>"20241213/296007"</f>
        <v>20241213/296007</v>
      </c>
      <c r="I1520" s="19" t="str">
        <f t="shared" si="124"/>
        <v> </v>
      </c>
      <c r="J1520" s="18">
        <v>3909.09</v>
      </c>
      <c r="K1520" s="18">
        <v>0</v>
      </c>
      <c r="L1520" s="18">
        <v>1768861.89</v>
      </c>
    </row>
    <row r="1521" spans="1:13" ht="15" thickBot="1" x14ac:dyDescent="0.35">
      <c r="A1521" s="14">
        <v>1514</v>
      </c>
      <c r="B1521" s="15">
        <v>45639</v>
      </c>
      <c r="C1521" s="15">
        <v>45639</v>
      </c>
      <c r="D1521" s="16" t="s">
        <v>1192</v>
      </c>
      <c r="E1521" s="16" t="s">
        <v>1193</v>
      </c>
      <c r="F1521" s="16" t="s">
        <v>2235</v>
      </c>
      <c r="G1521" s="16" t="s">
        <v>1197</v>
      </c>
      <c r="H1521" s="14" t="str">
        <f>"20241213/296008"</f>
        <v>20241213/296008</v>
      </c>
      <c r="I1521" s="19" t="str">
        <f t="shared" si="124"/>
        <v> </v>
      </c>
      <c r="J1521" s="18">
        <v>188606.4</v>
      </c>
      <c r="K1521" s="18">
        <v>0</v>
      </c>
      <c r="L1521" s="18">
        <v>1957468.29</v>
      </c>
    </row>
    <row r="1522" spans="1:13" ht="15" thickBot="1" x14ac:dyDescent="0.35">
      <c r="A1522" s="14">
        <v>1515</v>
      </c>
      <c r="B1522" s="15">
        <v>45639</v>
      </c>
      <c r="C1522" s="15">
        <v>45639</v>
      </c>
      <c r="D1522" s="16" t="s">
        <v>1192</v>
      </c>
      <c r="E1522" s="16" t="s">
        <v>1193</v>
      </c>
      <c r="F1522" s="16" t="s">
        <v>2234</v>
      </c>
      <c r="G1522" s="16" t="s">
        <v>1197</v>
      </c>
      <c r="H1522" s="14" t="str">
        <f>"20241213/296009"</f>
        <v>20241213/296009</v>
      </c>
      <c r="I1522" s="19" t="str">
        <f t="shared" si="124"/>
        <v> </v>
      </c>
      <c r="J1522" s="18">
        <v>659074.1</v>
      </c>
      <c r="K1522" s="18">
        <v>0</v>
      </c>
      <c r="L1522" s="18">
        <v>2616542.39</v>
      </c>
    </row>
    <row r="1523" spans="1:13" ht="15" thickBot="1" x14ac:dyDescent="0.35">
      <c r="A1523" s="14">
        <v>1516</v>
      </c>
      <c r="B1523" s="15">
        <v>45639</v>
      </c>
      <c r="C1523" s="15">
        <v>45639</v>
      </c>
      <c r="D1523" s="16" t="s">
        <v>1192</v>
      </c>
      <c r="E1523" s="16" t="s">
        <v>1193</v>
      </c>
      <c r="F1523" s="16" t="s">
        <v>2236</v>
      </c>
      <c r="G1523" s="16" t="s">
        <v>1197</v>
      </c>
      <c r="H1523" s="14" t="str">
        <f>"20241213/314394"</f>
        <v>20241213/314394</v>
      </c>
      <c r="I1523" s="19" t="str">
        <f t="shared" si="124"/>
        <v> </v>
      </c>
      <c r="J1523" s="18">
        <v>0</v>
      </c>
      <c r="K1523" s="18">
        <v>3909.09</v>
      </c>
      <c r="L1523" s="18">
        <v>2612633.2999999998</v>
      </c>
    </row>
    <row r="1524" spans="1:13" ht="15" thickBot="1" x14ac:dyDescent="0.35">
      <c r="A1524" s="14">
        <v>1517</v>
      </c>
      <c r="B1524" s="15">
        <v>45639</v>
      </c>
      <c r="C1524" s="15">
        <v>45639</v>
      </c>
      <c r="D1524" s="16" t="s">
        <v>1192</v>
      </c>
      <c r="E1524" s="16" t="s">
        <v>1193</v>
      </c>
      <c r="F1524" s="16" t="s">
        <v>2237</v>
      </c>
      <c r="G1524" s="16" t="s">
        <v>1197</v>
      </c>
      <c r="H1524" s="14" t="str">
        <f>"20241213/314395"</f>
        <v>20241213/314395</v>
      </c>
      <c r="I1524" s="19" t="str">
        <f t="shared" si="124"/>
        <v> </v>
      </c>
      <c r="J1524" s="18">
        <v>0</v>
      </c>
      <c r="K1524" s="18">
        <v>185174.5</v>
      </c>
      <c r="L1524" s="18">
        <v>2427458.7999999998</v>
      </c>
    </row>
    <row r="1525" spans="1:13" ht="15" thickBot="1" x14ac:dyDescent="0.35">
      <c r="A1525" s="14">
        <v>1518</v>
      </c>
      <c r="B1525" s="15">
        <v>45639</v>
      </c>
      <c r="C1525" s="15">
        <v>45639</v>
      </c>
      <c r="D1525" s="16" t="s">
        <v>1192</v>
      </c>
      <c r="E1525" s="16" t="s">
        <v>1193</v>
      </c>
      <c r="F1525" s="16" t="s">
        <v>2236</v>
      </c>
      <c r="G1525" s="16" t="s">
        <v>1197</v>
      </c>
      <c r="H1525" s="14" t="str">
        <f>"20241213/314396"</f>
        <v>20241213/314396</v>
      </c>
      <c r="I1525" s="19" t="str">
        <f t="shared" si="124"/>
        <v> </v>
      </c>
      <c r="J1525" s="18">
        <v>0</v>
      </c>
      <c r="K1525" s="18">
        <v>661308.13</v>
      </c>
      <c r="L1525" s="18">
        <v>1766150.67</v>
      </c>
    </row>
    <row r="1526" spans="1:13" ht="15" thickBot="1" x14ac:dyDescent="0.35">
      <c r="A1526" s="14">
        <v>1519</v>
      </c>
      <c r="B1526" s="15">
        <v>45639</v>
      </c>
      <c r="C1526" s="15">
        <v>45642</v>
      </c>
      <c r="D1526" s="16" t="s">
        <v>1192</v>
      </c>
      <c r="E1526" s="16" t="s">
        <v>1193</v>
      </c>
      <c r="F1526" s="16" t="s">
        <v>2238</v>
      </c>
      <c r="G1526" s="16" t="s">
        <v>1197</v>
      </c>
      <c r="H1526" s="14" t="str">
        <f>"20241213/171525"</f>
        <v>20241213/171525</v>
      </c>
      <c r="I1526" s="19" t="str">
        <f>"2412004274672"</f>
        <v>2412004274672</v>
      </c>
      <c r="J1526" s="18">
        <v>27834.66</v>
      </c>
      <c r="K1526" s="18">
        <v>0</v>
      </c>
      <c r="L1526" s="18">
        <v>1793985.33</v>
      </c>
    </row>
    <row r="1527" spans="1:13" ht="15" thickBot="1" x14ac:dyDescent="0.35">
      <c r="A1527" s="14">
        <v>1520</v>
      </c>
      <c r="B1527" s="15">
        <v>45642</v>
      </c>
      <c r="C1527" s="15">
        <v>45642</v>
      </c>
      <c r="D1527" s="16" t="s">
        <v>1192</v>
      </c>
      <c r="E1527" s="16" t="s">
        <v>1193</v>
      </c>
      <c r="F1527" s="16" t="s">
        <v>1194</v>
      </c>
      <c r="G1527" s="16" t="s">
        <v>1195</v>
      </c>
      <c r="H1527" s="14" t="str">
        <f>"20241216/37495"</f>
        <v>20241216/37495</v>
      </c>
      <c r="I1527" s="17" t="str">
        <f t="shared" ref="I1527:I1543" si="125">" "</f>
        <v> </v>
      </c>
      <c r="J1527" s="18">
        <v>0</v>
      </c>
      <c r="K1527" s="18">
        <v>1006.95</v>
      </c>
      <c r="L1527" s="18">
        <v>1792978.38</v>
      </c>
      <c r="M1527" t="s">
        <v>2661</v>
      </c>
    </row>
    <row r="1528" spans="1:13" ht="15" thickBot="1" x14ac:dyDescent="0.35">
      <c r="A1528" s="14">
        <v>1521</v>
      </c>
      <c r="B1528" s="15">
        <v>45642</v>
      </c>
      <c r="C1528" s="15">
        <v>45642</v>
      </c>
      <c r="D1528" s="16" t="s">
        <v>1192</v>
      </c>
      <c r="E1528" s="16" t="s">
        <v>1193</v>
      </c>
      <c r="F1528" s="16" t="s">
        <v>1194</v>
      </c>
      <c r="G1528" s="16" t="s">
        <v>1195</v>
      </c>
      <c r="H1528" s="14" t="str">
        <f>"20241216/90546"</f>
        <v>20241216/90546</v>
      </c>
      <c r="I1528" s="17" t="str">
        <f t="shared" si="125"/>
        <v> </v>
      </c>
      <c r="J1528" s="18">
        <v>0</v>
      </c>
      <c r="K1528" s="18">
        <v>55.1</v>
      </c>
      <c r="L1528" s="18">
        <v>1792923.28</v>
      </c>
      <c r="M1528" t="s">
        <v>2661</v>
      </c>
    </row>
    <row r="1529" spans="1:13" ht="15" thickBot="1" x14ac:dyDescent="0.35">
      <c r="A1529" s="14">
        <v>1522</v>
      </c>
      <c r="B1529" s="15">
        <v>45642</v>
      </c>
      <c r="C1529" s="15">
        <v>45642</v>
      </c>
      <c r="D1529" s="16" t="s">
        <v>1192</v>
      </c>
      <c r="E1529" s="16" t="s">
        <v>1193</v>
      </c>
      <c r="F1529" s="16" t="s">
        <v>2239</v>
      </c>
      <c r="G1529" s="16" t="s">
        <v>1197</v>
      </c>
      <c r="H1529" s="14" t="str">
        <f>"20241216/162923"</f>
        <v>20241216/162923</v>
      </c>
      <c r="I1529" s="19" t="str">
        <f t="shared" si="125"/>
        <v> </v>
      </c>
      <c r="J1529" s="18">
        <v>3909.09</v>
      </c>
      <c r="K1529" s="18">
        <v>0</v>
      </c>
      <c r="L1529" s="18">
        <v>1796832.37</v>
      </c>
    </row>
    <row r="1530" spans="1:13" ht="15" thickBot="1" x14ac:dyDescent="0.35">
      <c r="A1530" s="14">
        <v>1523</v>
      </c>
      <c r="B1530" s="15">
        <v>45642</v>
      </c>
      <c r="C1530" s="15">
        <v>45642</v>
      </c>
      <c r="D1530" s="16" t="s">
        <v>1192</v>
      </c>
      <c r="E1530" s="16" t="s">
        <v>1193</v>
      </c>
      <c r="F1530" s="16" t="s">
        <v>2240</v>
      </c>
      <c r="G1530" s="16" t="s">
        <v>1197</v>
      </c>
      <c r="H1530" s="14" t="str">
        <f>"20241216/162924"</f>
        <v>20241216/162924</v>
      </c>
      <c r="I1530" s="19" t="str">
        <f t="shared" si="125"/>
        <v> </v>
      </c>
      <c r="J1530" s="18">
        <v>183835.9</v>
      </c>
      <c r="K1530" s="18">
        <v>0</v>
      </c>
      <c r="L1530" s="18">
        <v>1980668.27</v>
      </c>
    </row>
    <row r="1531" spans="1:13" ht="15" thickBot="1" x14ac:dyDescent="0.35">
      <c r="A1531" s="14">
        <v>1524</v>
      </c>
      <c r="B1531" s="15">
        <v>45642</v>
      </c>
      <c r="C1531" s="15">
        <v>45642</v>
      </c>
      <c r="D1531" s="16" t="s">
        <v>1192</v>
      </c>
      <c r="E1531" s="16" t="s">
        <v>1193</v>
      </c>
      <c r="F1531" s="16" t="s">
        <v>2239</v>
      </c>
      <c r="G1531" s="16" t="s">
        <v>1197</v>
      </c>
      <c r="H1531" s="14" t="str">
        <f>"20241216/162925"</f>
        <v>20241216/162925</v>
      </c>
      <c r="I1531" s="19" t="str">
        <f t="shared" si="125"/>
        <v> </v>
      </c>
      <c r="J1531" s="18">
        <v>663899.69999999995</v>
      </c>
      <c r="K1531" s="18">
        <v>0</v>
      </c>
      <c r="L1531" s="18">
        <v>2644567.9700000002</v>
      </c>
    </row>
    <row r="1532" spans="1:13" ht="15" thickBot="1" x14ac:dyDescent="0.35">
      <c r="A1532" s="14">
        <v>1525</v>
      </c>
      <c r="B1532" s="15">
        <v>45642</v>
      </c>
      <c r="C1532" s="15">
        <v>45642</v>
      </c>
      <c r="D1532" s="16" t="s">
        <v>1192</v>
      </c>
      <c r="E1532" s="16" t="s">
        <v>1193</v>
      </c>
      <c r="F1532" s="16" t="s">
        <v>2241</v>
      </c>
      <c r="G1532" s="16" t="s">
        <v>1197</v>
      </c>
      <c r="H1532" s="14" t="str">
        <f>"20241216/257252"</f>
        <v>20241216/257252</v>
      </c>
      <c r="I1532" s="19" t="str">
        <f t="shared" si="125"/>
        <v> </v>
      </c>
      <c r="J1532" s="18">
        <v>0</v>
      </c>
      <c r="K1532" s="18">
        <v>3909.09</v>
      </c>
      <c r="L1532" s="18">
        <v>2640658.88</v>
      </c>
    </row>
    <row r="1533" spans="1:13" ht="15" thickBot="1" x14ac:dyDescent="0.35">
      <c r="A1533" s="14">
        <v>1526</v>
      </c>
      <c r="B1533" s="15">
        <v>45642</v>
      </c>
      <c r="C1533" s="15">
        <v>45642</v>
      </c>
      <c r="D1533" s="16" t="s">
        <v>1192</v>
      </c>
      <c r="E1533" s="16" t="s">
        <v>1193</v>
      </c>
      <c r="F1533" s="16" t="s">
        <v>2242</v>
      </c>
      <c r="G1533" s="16" t="s">
        <v>1197</v>
      </c>
      <c r="H1533" s="14" t="str">
        <f>"20241216/257253"</f>
        <v>20241216/257253</v>
      </c>
      <c r="I1533" s="19" t="str">
        <f t="shared" si="125"/>
        <v> </v>
      </c>
      <c r="J1533" s="18">
        <v>0</v>
      </c>
      <c r="K1533" s="18">
        <v>188606.4</v>
      </c>
      <c r="L1533" s="18">
        <v>2452052.48</v>
      </c>
    </row>
    <row r="1534" spans="1:13" ht="15" thickBot="1" x14ac:dyDescent="0.35">
      <c r="A1534" s="14">
        <v>1527</v>
      </c>
      <c r="B1534" s="15">
        <v>45642</v>
      </c>
      <c r="C1534" s="15">
        <v>45642</v>
      </c>
      <c r="D1534" s="16" t="s">
        <v>1192</v>
      </c>
      <c r="E1534" s="16" t="s">
        <v>1193</v>
      </c>
      <c r="F1534" s="16" t="s">
        <v>2241</v>
      </c>
      <c r="G1534" s="16" t="s">
        <v>1197</v>
      </c>
      <c r="H1534" s="14" t="str">
        <f>"20241216/257254"</f>
        <v>20241216/257254</v>
      </c>
      <c r="I1534" s="19" t="str">
        <f t="shared" si="125"/>
        <v> </v>
      </c>
      <c r="J1534" s="18">
        <v>0</v>
      </c>
      <c r="K1534" s="18">
        <v>659074.1</v>
      </c>
      <c r="L1534" s="18">
        <v>1792978.38</v>
      </c>
    </row>
    <row r="1535" spans="1:13" ht="15" thickBot="1" x14ac:dyDescent="0.35">
      <c r="A1535" s="14">
        <v>1528</v>
      </c>
      <c r="B1535" s="15">
        <v>45642</v>
      </c>
      <c r="C1535" s="15">
        <v>45642</v>
      </c>
      <c r="D1535" s="16" t="s">
        <v>1192</v>
      </c>
      <c r="E1535" s="16" t="s">
        <v>1193</v>
      </c>
      <c r="F1535" s="16" t="s">
        <v>2243</v>
      </c>
      <c r="G1535" s="16" t="s">
        <v>1197</v>
      </c>
      <c r="H1535" s="14" t="str">
        <f>"20241216/41590"</f>
        <v>20241216/41590</v>
      </c>
      <c r="I1535" s="19" t="str">
        <f t="shared" si="125"/>
        <v> </v>
      </c>
      <c r="J1535" s="18">
        <v>1006.95</v>
      </c>
      <c r="K1535" s="18">
        <v>0</v>
      </c>
      <c r="L1535" s="18">
        <v>1793985.33</v>
      </c>
      <c r="M1535" t="s">
        <v>2658</v>
      </c>
    </row>
    <row r="1536" spans="1:13" ht="15" thickBot="1" x14ac:dyDescent="0.35">
      <c r="A1536" s="14">
        <v>1529</v>
      </c>
      <c r="B1536" s="15">
        <v>45643</v>
      </c>
      <c r="C1536" s="15">
        <v>45643</v>
      </c>
      <c r="D1536" s="16" t="s">
        <v>1192</v>
      </c>
      <c r="E1536" s="16" t="s">
        <v>1193</v>
      </c>
      <c r="F1536" s="16" t="s">
        <v>1194</v>
      </c>
      <c r="G1536" s="16" t="s">
        <v>1195</v>
      </c>
      <c r="H1536" s="14" t="str">
        <f>"20241217/26324"</f>
        <v>20241217/26324</v>
      </c>
      <c r="I1536" s="17" t="str">
        <f t="shared" si="125"/>
        <v> </v>
      </c>
      <c r="J1536" s="18">
        <v>0</v>
      </c>
      <c r="K1536" s="18">
        <v>335.63</v>
      </c>
      <c r="L1536" s="18">
        <v>1793649.7</v>
      </c>
      <c r="M1536" t="s">
        <v>2661</v>
      </c>
    </row>
    <row r="1537" spans="1:13" ht="15" thickBot="1" x14ac:dyDescent="0.35">
      <c r="A1537" s="14">
        <v>1530</v>
      </c>
      <c r="B1537" s="15">
        <v>45643</v>
      </c>
      <c r="C1537" s="15">
        <v>45643</v>
      </c>
      <c r="D1537" s="16" t="s">
        <v>1192</v>
      </c>
      <c r="E1537" s="16" t="s">
        <v>1193</v>
      </c>
      <c r="F1537" s="16" t="s">
        <v>2244</v>
      </c>
      <c r="G1537" s="16" t="s">
        <v>1197</v>
      </c>
      <c r="H1537" s="14" t="str">
        <f>"20241217/143728"</f>
        <v>20241217/143728</v>
      </c>
      <c r="I1537" s="19" t="str">
        <f t="shared" si="125"/>
        <v> </v>
      </c>
      <c r="J1537" s="18">
        <v>335.63</v>
      </c>
      <c r="K1537" s="18">
        <v>0</v>
      </c>
      <c r="L1537" s="18">
        <v>1793985.33</v>
      </c>
      <c r="M1537" t="s">
        <v>2658</v>
      </c>
    </row>
    <row r="1538" spans="1:13" ht="15" thickBot="1" x14ac:dyDescent="0.35">
      <c r="A1538" s="14">
        <v>1531</v>
      </c>
      <c r="B1538" s="15">
        <v>45643</v>
      </c>
      <c r="C1538" s="15">
        <v>45643</v>
      </c>
      <c r="D1538" s="16" t="s">
        <v>1192</v>
      </c>
      <c r="E1538" s="16" t="s">
        <v>1193</v>
      </c>
      <c r="F1538" s="16" t="s">
        <v>2245</v>
      </c>
      <c r="G1538" s="16" t="s">
        <v>1197</v>
      </c>
      <c r="H1538" s="14" t="str">
        <f>"20241217/253805"</f>
        <v>20241217/253805</v>
      </c>
      <c r="I1538" s="19" t="str">
        <f t="shared" si="125"/>
        <v> </v>
      </c>
      <c r="J1538" s="18">
        <v>3909.09</v>
      </c>
      <c r="K1538" s="18">
        <v>0</v>
      </c>
      <c r="L1538" s="18">
        <v>1797894.42</v>
      </c>
    </row>
    <row r="1539" spans="1:13" ht="15" thickBot="1" x14ac:dyDescent="0.35">
      <c r="A1539" s="14">
        <v>1532</v>
      </c>
      <c r="B1539" s="15">
        <v>45643</v>
      </c>
      <c r="C1539" s="15">
        <v>45643</v>
      </c>
      <c r="D1539" s="16" t="s">
        <v>1192</v>
      </c>
      <c r="E1539" s="16" t="s">
        <v>1193</v>
      </c>
      <c r="F1539" s="16" t="s">
        <v>2246</v>
      </c>
      <c r="G1539" s="16" t="s">
        <v>1197</v>
      </c>
      <c r="H1539" s="14" t="str">
        <f>"20241217/253806"</f>
        <v>20241217/253806</v>
      </c>
      <c r="I1539" s="19" t="str">
        <f t="shared" si="125"/>
        <v> </v>
      </c>
      <c r="J1539" s="18">
        <v>196151</v>
      </c>
      <c r="K1539" s="18">
        <v>0</v>
      </c>
      <c r="L1539" s="18">
        <v>1994045.42</v>
      </c>
    </row>
    <row r="1540" spans="1:13" ht="15" thickBot="1" x14ac:dyDescent="0.35">
      <c r="A1540" s="14">
        <v>1533</v>
      </c>
      <c r="B1540" s="15">
        <v>45643</v>
      </c>
      <c r="C1540" s="15">
        <v>45643</v>
      </c>
      <c r="D1540" s="16" t="s">
        <v>1192</v>
      </c>
      <c r="E1540" s="16" t="s">
        <v>1193</v>
      </c>
      <c r="F1540" s="16" t="s">
        <v>2245</v>
      </c>
      <c r="G1540" s="16" t="s">
        <v>1197</v>
      </c>
      <c r="H1540" s="14" t="str">
        <f>"20241217/253807"</f>
        <v>20241217/253807</v>
      </c>
      <c r="I1540" s="19" t="str">
        <f t="shared" si="125"/>
        <v> </v>
      </c>
      <c r="J1540" s="18">
        <v>629661.55000000005</v>
      </c>
      <c r="K1540" s="18">
        <v>0</v>
      </c>
      <c r="L1540" s="18">
        <v>2623706.9700000002</v>
      </c>
    </row>
    <row r="1541" spans="1:13" ht="15" thickBot="1" x14ac:dyDescent="0.35">
      <c r="A1541" s="14">
        <v>1534</v>
      </c>
      <c r="B1541" s="15">
        <v>45643</v>
      </c>
      <c r="C1541" s="15">
        <v>45643</v>
      </c>
      <c r="D1541" s="16" t="s">
        <v>1192</v>
      </c>
      <c r="E1541" s="16" t="s">
        <v>1193</v>
      </c>
      <c r="F1541" s="16" t="s">
        <v>2247</v>
      </c>
      <c r="G1541" s="16" t="s">
        <v>1197</v>
      </c>
      <c r="H1541" s="14" t="str">
        <f>"20241217/382329"</f>
        <v>20241217/382329</v>
      </c>
      <c r="I1541" s="19" t="str">
        <f t="shared" si="125"/>
        <v> </v>
      </c>
      <c r="J1541" s="18">
        <v>0</v>
      </c>
      <c r="K1541" s="18">
        <v>3909.09</v>
      </c>
      <c r="L1541" s="18">
        <v>2619797.88</v>
      </c>
    </row>
    <row r="1542" spans="1:13" ht="15" thickBot="1" x14ac:dyDescent="0.35">
      <c r="A1542" s="14">
        <v>1535</v>
      </c>
      <c r="B1542" s="15">
        <v>45643</v>
      </c>
      <c r="C1542" s="15">
        <v>45643</v>
      </c>
      <c r="D1542" s="16" t="s">
        <v>1192</v>
      </c>
      <c r="E1542" s="16" t="s">
        <v>1193</v>
      </c>
      <c r="F1542" s="16" t="s">
        <v>2248</v>
      </c>
      <c r="G1542" s="16" t="s">
        <v>1197</v>
      </c>
      <c r="H1542" s="14" t="str">
        <f>"20241217/382330"</f>
        <v>20241217/382330</v>
      </c>
      <c r="I1542" s="19" t="str">
        <f t="shared" si="125"/>
        <v> </v>
      </c>
      <c r="J1542" s="18">
        <v>0</v>
      </c>
      <c r="K1542" s="18">
        <v>183835.9</v>
      </c>
      <c r="L1542" s="18">
        <v>2435961.98</v>
      </c>
    </row>
    <row r="1543" spans="1:13" ht="15" thickBot="1" x14ac:dyDescent="0.35">
      <c r="A1543" s="14">
        <v>1536</v>
      </c>
      <c r="B1543" s="15">
        <v>45643</v>
      </c>
      <c r="C1543" s="15">
        <v>45643</v>
      </c>
      <c r="D1543" s="16" t="s">
        <v>1192</v>
      </c>
      <c r="E1543" s="16" t="s">
        <v>1193</v>
      </c>
      <c r="F1543" s="16" t="s">
        <v>2247</v>
      </c>
      <c r="G1543" s="16" t="s">
        <v>1197</v>
      </c>
      <c r="H1543" s="14" t="str">
        <f>"20241217/382331"</f>
        <v>20241217/382331</v>
      </c>
      <c r="I1543" s="19" t="str">
        <f t="shared" si="125"/>
        <v> </v>
      </c>
      <c r="J1543" s="18">
        <v>0</v>
      </c>
      <c r="K1543" s="18">
        <v>663899.69999999995</v>
      </c>
      <c r="L1543" s="18">
        <v>1772062.28</v>
      </c>
    </row>
    <row r="1544" spans="1:13" ht="15" thickBot="1" x14ac:dyDescent="0.35">
      <c r="A1544" s="14">
        <v>1537</v>
      </c>
      <c r="B1544" s="15">
        <v>45643</v>
      </c>
      <c r="C1544" s="15">
        <v>45644</v>
      </c>
      <c r="D1544" s="16" t="s">
        <v>1192</v>
      </c>
      <c r="E1544" s="16" t="s">
        <v>1193</v>
      </c>
      <c r="F1544" s="16" t="s">
        <v>2249</v>
      </c>
      <c r="G1544" s="16" t="s">
        <v>1197</v>
      </c>
      <c r="H1544" s="14" t="str">
        <f>"20241217/188833"</f>
        <v>20241217/188833</v>
      </c>
      <c r="I1544" s="19" t="str">
        <f>"2412005172873"</f>
        <v>2412005172873</v>
      </c>
      <c r="J1544" s="18">
        <v>0</v>
      </c>
      <c r="K1544" s="18">
        <v>60823.76</v>
      </c>
      <c r="L1544" s="18">
        <v>1711238.52</v>
      </c>
    </row>
    <row r="1545" spans="1:13" ht="15" thickBot="1" x14ac:dyDescent="0.35">
      <c r="A1545" s="14">
        <v>1538</v>
      </c>
      <c r="B1545" s="15">
        <v>45644</v>
      </c>
      <c r="C1545" s="15">
        <v>45644</v>
      </c>
      <c r="D1545" s="16" t="s">
        <v>1192</v>
      </c>
      <c r="E1545" s="16" t="s">
        <v>1193</v>
      </c>
      <c r="F1545" s="16" t="s">
        <v>1202</v>
      </c>
      <c r="G1545" s="16" t="s">
        <v>1203</v>
      </c>
      <c r="H1545" s="14" t="str">
        <f>"20241218/2134"</f>
        <v>20241218/2134</v>
      </c>
      <c r="I1545" s="17" t="str">
        <f t="shared" ref="I1545:I1554" si="126">" "</f>
        <v> </v>
      </c>
      <c r="J1545" s="18">
        <v>29870.53</v>
      </c>
      <c r="K1545" s="18">
        <v>0</v>
      </c>
      <c r="L1545" s="18">
        <v>1741109.05</v>
      </c>
      <c r="M1545" t="s">
        <v>2661</v>
      </c>
    </row>
    <row r="1546" spans="1:13" ht="15" thickBot="1" x14ac:dyDescent="0.35">
      <c r="A1546" s="14">
        <v>1539</v>
      </c>
      <c r="B1546" s="15">
        <v>45644</v>
      </c>
      <c r="C1546" s="15">
        <v>45644</v>
      </c>
      <c r="D1546" s="16" t="s">
        <v>1192</v>
      </c>
      <c r="E1546" s="16" t="s">
        <v>1193</v>
      </c>
      <c r="F1546" s="16" t="s">
        <v>1194</v>
      </c>
      <c r="G1546" s="16" t="s">
        <v>1195</v>
      </c>
      <c r="H1546" s="14" t="str">
        <f>"20241218/24319"</f>
        <v>20241218/24319</v>
      </c>
      <c r="I1546" s="17" t="str">
        <f t="shared" si="126"/>
        <v> </v>
      </c>
      <c r="J1546" s="18">
        <v>0</v>
      </c>
      <c r="K1546" s="18">
        <v>335.63</v>
      </c>
      <c r="L1546" s="18">
        <v>1740773.42</v>
      </c>
      <c r="M1546" t="s">
        <v>2661</v>
      </c>
    </row>
    <row r="1547" spans="1:13" ht="15" thickBot="1" x14ac:dyDescent="0.35">
      <c r="A1547" s="14">
        <v>1540</v>
      </c>
      <c r="B1547" s="15">
        <v>45644</v>
      </c>
      <c r="C1547" s="15">
        <v>45644</v>
      </c>
      <c r="D1547" s="16" t="s">
        <v>1192</v>
      </c>
      <c r="E1547" s="16" t="s">
        <v>1193</v>
      </c>
      <c r="F1547" s="16" t="s">
        <v>1194</v>
      </c>
      <c r="G1547" s="16" t="s">
        <v>1195</v>
      </c>
      <c r="H1547" s="14" t="str">
        <f>"20241218/96870"</f>
        <v>20241218/96870</v>
      </c>
      <c r="I1547" s="17" t="str">
        <f t="shared" si="126"/>
        <v> </v>
      </c>
      <c r="J1547" s="18">
        <v>0</v>
      </c>
      <c r="K1547" s="18">
        <v>17310.400000000001</v>
      </c>
      <c r="L1547" s="18">
        <v>1723463.02</v>
      </c>
      <c r="M1547" t="s">
        <v>2661</v>
      </c>
    </row>
    <row r="1548" spans="1:13" ht="15" thickBot="1" x14ac:dyDescent="0.35">
      <c r="A1548" s="14">
        <v>1541</v>
      </c>
      <c r="B1548" s="15">
        <v>45644</v>
      </c>
      <c r="C1548" s="15">
        <v>45644</v>
      </c>
      <c r="D1548" s="16" t="s">
        <v>1192</v>
      </c>
      <c r="E1548" s="16" t="s">
        <v>1193</v>
      </c>
      <c r="F1548" s="16" t="s">
        <v>2250</v>
      </c>
      <c r="G1548" s="16" t="s">
        <v>1197</v>
      </c>
      <c r="H1548" s="14" t="str">
        <f>"20241218/113989"</f>
        <v>20241218/113989</v>
      </c>
      <c r="I1548" s="19" t="str">
        <f t="shared" si="126"/>
        <v> </v>
      </c>
      <c r="J1548" s="18">
        <v>335.63</v>
      </c>
      <c r="K1548" s="18">
        <v>0</v>
      </c>
      <c r="L1548" s="18">
        <v>1723798.65</v>
      </c>
      <c r="M1548" t="s">
        <v>2658</v>
      </c>
    </row>
    <row r="1549" spans="1:13" ht="15" thickBot="1" x14ac:dyDescent="0.35">
      <c r="A1549" s="14">
        <v>1542</v>
      </c>
      <c r="B1549" s="15">
        <v>45644</v>
      </c>
      <c r="C1549" s="15">
        <v>45644</v>
      </c>
      <c r="D1549" s="16" t="s">
        <v>1192</v>
      </c>
      <c r="E1549" s="16" t="s">
        <v>1193</v>
      </c>
      <c r="F1549" s="16" t="s">
        <v>2251</v>
      </c>
      <c r="G1549" s="16" t="s">
        <v>1197</v>
      </c>
      <c r="H1549" s="14" t="str">
        <f>"20241218/253405"</f>
        <v>20241218/253405</v>
      </c>
      <c r="I1549" s="19" t="str">
        <f t="shared" si="126"/>
        <v> </v>
      </c>
      <c r="J1549" s="18">
        <v>3909.09</v>
      </c>
      <c r="K1549" s="18">
        <v>0</v>
      </c>
      <c r="L1549" s="18">
        <v>1727707.74</v>
      </c>
    </row>
    <row r="1550" spans="1:13" ht="15" thickBot="1" x14ac:dyDescent="0.35">
      <c r="A1550" s="14">
        <v>1543</v>
      </c>
      <c r="B1550" s="15">
        <v>45644</v>
      </c>
      <c r="C1550" s="15">
        <v>45644</v>
      </c>
      <c r="D1550" s="16" t="s">
        <v>1192</v>
      </c>
      <c r="E1550" s="16" t="s">
        <v>1193</v>
      </c>
      <c r="F1550" s="16" t="s">
        <v>2252</v>
      </c>
      <c r="G1550" s="16" t="s">
        <v>1197</v>
      </c>
      <c r="H1550" s="14" t="str">
        <f>"20241218/253406"</f>
        <v>20241218/253406</v>
      </c>
      <c r="I1550" s="19" t="str">
        <f t="shared" si="126"/>
        <v> </v>
      </c>
      <c r="J1550" s="18">
        <v>203202.2</v>
      </c>
      <c r="K1550" s="18">
        <v>0</v>
      </c>
      <c r="L1550" s="18">
        <v>1930909.94</v>
      </c>
    </row>
    <row r="1551" spans="1:13" ht="15" thickBot="1" x14ac:dyDescent="0.35">
      <c r="A1551" s="14">
        <v>1544</v>
      </c>
      <c r="B1551" s="15">
        <v>45644</v>
      </c>
      <c r="C1551" s="15">
        <v>45644</v>
      </c>
      <c r="D1551" s="16" t="s">
        <v>1192</v>
      </c>
      <c r="E1551" s="16" t="s">
        <v>1193</v>
      </c>
      <c r="F1551" s="16" t="s">
        <v>2251</v>
      </c>
      <c r="G1551" s="16" t="s">
        <v>1197</v>
      </c>
      <c r="H1551" s="14" t="str">
        <f>"20241218/253407"</f>
        <v>20241218/253407</v>
      </c>
      <c r="I1551" s="19" t="str">
        <f t="shared" si="126"/>
        <v> </v>
      </c>
      <c r="J1551" s="18">
        <v>639920.75</v>
      </c>
      <c r="K1551" s="18">
        <v>0</v>
      </c>
      <c r="L1551" s="18">
        <v>2570830.69</v>
      </c>
    </row>
    <row r="1552" spans="1:13" ht="15" thickBot="1" x14ac:dyDescent="0.35">
      <c r="A1552" s="14">
        <v>1545</v>
      </c>
      <c r="B1552" s="15">
        <v>45644</v>
      </c>
      <c r="C1552" s="15">
        <v>45644</v>
      </c>
      <c r="D1552" s="16" t="s">
        <v>1192</v>
      </c>
      <c r="E1552" s="16" t="s">
        <v>1193</v>
      </c>
      <c r="F1552" s="16" t="s">
        <v>2253</v>
      </c>
      <c r="G1552" s="16" t="s">
        <v>1197</v>
      </c>
      <c r="H1552" s="14" t="str">
        <f>"20241218/386645"</f>
        <v>20241218/386645</v>
      </c>
      <c r="I1552" s="19" t="str">
        <f t="shared" si="126"/>
        <v> </v>
      </c>
      <c r="J1552" s="18">
        <v>0</v>
      </c>
      <c r="K1552" s="18">
        <v>3909.09</v>
      </c>
      <c r="L1552" s="18">
        <v>2566921.6</v>
      </c>
    </row>
    <row r="1553" spans="1:13" ht="15" thickBot="1" x14ac:dyDescent="0.35">
      <c r="A1553" s="14">
        <v>1546</v>
      </c>
      <c r="B1553" s="15">
        <v>45644</v>
      </c>
      <c r="C1553" s="15">
        <v>45644</v>
      </c>
      <c r="D1553" s="16" t="s">
        <v>1192</v>
      </c>
      <c r="E1553" s="16" t="s">
        <v>1193</v>
      </c>
      <c r="F1553" s="16" t="s">
        <v>2254</v>
      </c>
      <c r="G1553" s="16" t="s">
        <v>1197</v>
      </c>
      <c r="H1553" s="14" t="str">
        <f>"20241218/386646"</f>
        <v>20241218/386646</v>
      </c>
      <c r="I1553" s="19" t="str">
        <f t="shared" si="126"/>
        <v> </v>
      </c>
      <c r="J1553" s="18">
        <v>0</v>
      </c>
      <c r="K1553" s="18">
        <v>196151</v>
      </c>
      <c r="L1553" s="18">
        <v>2370770.6</v>
      </c>
    </row>
    <row r="1554" spans="1:13" ht="15" thickBot="1" x14ac:dyDescent="0.35">
      <c r="A1554" s="14">
        <v>1547</v>
      </c>
      <c r="B1554" s="15">
        <v>45644</v>
      </c>
      <c r="C1554" s="15">
        <v>45644</v>
      </c>
      <c r="D1554" s="16" t="s">
        <v>1192</v>
      </c>
      <c r="E1554" s="16" t="s">
        <v>1193</v>
      </c>
      <c r="F1554" s="16" t="s">
        <v>2253</v>
      </c>
      <c r="G1554" s="16" t="s">
        <v>1197</v>
      </c>
      <c r="H1554" s="14" t="str">
        <f>"20241218/386647"</f>
        <v>20241218/386647</v>
      </c>
      <c r="I1554" s="19" t="str">
        <f t="shared" si="126"/>
        <v> </v>
      </c>
      <c r="J1554" s="18">
        <v>0</v>
      </c>
      <c r="K1554" s="18">
        <v>629661.55000000005</v>
      </c>
      <c r="L1554" s="18">
        <v>1741109.05</v>
      </c>
    </row>
    <row r="1555" spans="1:13" ht="15" thickBot="1" x14ac:dyDescent="0.35">
      <c r="A1555" s="14">
        <v>1548</v>
      </c>
      <c r="B1555" s="15">
        <v>45644</v>
      </c>
      <c r="C1555" s="15">
        <v>45645</v>
      </c>
      <c r="D1555" s="16" t="s">
        <v>1192</v>
      </c>
      <c r="E1555" s="16" t="s">
        <v>1193</v>
      </c>
      <c r="F1555" s="16" t="s">
        <v>2255</v>
      </c>
      <c r="G1555" s="16" t="s">
        <v>1197</v>
      </c>
      <c r="H1555" s="14" t="str">
        <f>"20241218/178463"</f>
        <v>20241218/178463</v>
      </c>
      <c r="I1555" s="19" t="str">
        <f>"2412005638364"</f>
        <v>2412005638364</v>
      </c>
      <c r="J1555" s="18">
        <v>44426.14</v>
      </c>
      <c r="K1555" s="18">
        <v>0</v>
      </c>
      <c r="L1555" s="18">
        <v>1785535.19</v>
      </c>
    </row>
    <row r="1556" spans="1:13" ht="15" thickBot="1" x14ac:dyDescent="0.35">
      <c r="A1556" s="14">
        <v>1549</v>
      </c>
      <c r="B1556" s="15">
        <v>45645</v>
      </c>
      <c r="C1556" s="15">
        <v>45645</v>
      </c>
      <c r="D1556" s="16" t="s">
        <v>1192</v>
      </c>
      <c r="E1556" s="16" t="s">
        <v>1193</v>
      </c>
      <c r="F1556" s="16" t="s">
        <v>1194</v>
      </c>
      <c r="G1556" s="16" t="s">
        <v>1195</v>
      </c>
      <c r="H1556" s="14" t="str">
        <f>"20241219/117607"</f>
        <v>20241219/117607</v>
      </c>
      <c r="I1556" s="17" t="str">
        <f t="shared" ref="I1556:I1565" si="127">" "</f>
        <v> </v>
      </c>
      <c r="J1556" s="18">
        <v>0</v>
      </c>
      <c r="K1556" s="18">
        <v>10870.99</v>
      </c>
      <c r="L1556" s="18">
        <v>1774664.2</v>
      </c>
      <c r="M1556" t="s">
        <v>2661</v>
      </c>
    </row>
    <row r="1557" spans="1:13" ht="15" thickBot="1" x14ac:dyDescent="0.35">
      <c r="A1557" s="14">
        <v>1550</v>
      </c>
      <c r="B1557" s="15">
        <v>45645</v>
      </c>
      <c r="C1557" s="15">
        <v>45645</v>
      </c>
      <c r="D1557" s="16" t="s">
        <v>1192</v>
      </c>
      <c r="E1557" s="16" t="s">
        <v>1193</v>
      </c>
      <c r="F1557" s="16" t="s">
        <v>1194</v>
      </c>
      <c r="G1557" s="16" t="s">
        <v>1195</v>
      </c>
      <c r="H1557" s="14" t="str">
        <f>"20241219/38674"</f>
        <v>20241219/38674</v>
      </c>
      <c r="I1557" s="17" t="str">
        <f t="shared" si="127"/>
        <v> </v>
      </c>
      <c r="J1557" s="18">
        <v>0</v>
      </c>
      <c r="K1557" s="18">
        <v>318.44</v>
      </c>
      <c r="L1557" s="18">
        <v>1774345.76</v>
      </c>
      <c r="M1557" t="s">
        <v>2661</v>
      </c>
    </row>
    <row r="1558" spans="1:13" ht="15" thickBot="1" x14ac:dyDescent="0.35">
      <c r="A1558" s="14">
        <v>1551</v>
      </c>
      <c r="B1558" s="15">
        <v>45645</v>
      </c>
      <c r="C1558" s="15">
        <v>45645</v>
      </c>
      <c r="D1558" s="16" t="s">
        <v>1192</v>
      </c>
      <c r="E1558" s="16" t="s">
        <v>1193</v>
      </c>
      <c r="F1558" s="16" t="s">
        <v>1249</v>
      </c>
      <c r="G1558" s="16" t="s">
        <v>1195</v>
      </c>
      <c r="H1558" s="14" t="str">
        <f>"20241219/94996"</f>
        <v>20241219/94996</v>
      </c>
      <c r="I1558" s="17" t="str">
        <f t="shared" si="127"/>
        <v> </v>
      </c>
      <c r="J1558" s="18">
        <v>0</v>
      </c>
      <c r="K1558" s="18">
        <v>12702.77</v>
      </c>
      <c r="L1558" s="18">
        <v>1761642.99</v>
      </c>
      <c r="M1558" t="s">
        <v>2661</v>
      </c>
    </row>
    <row r="1559" spans="1:13" ht="15" thickBot="1" x14ac:dyDescent="0.35">
      <c r="A1559" s="14">
        <v>1552</v>
      </c>
      <c r="B1559" s="15">
        <v>45645</v>
      </c>
      <c r="C1559" s="15">
        <v>45645</v>
      </c>
      <c r="D1559" s="16" t="s">
        <v>1192</v>
      </c>
      <c r="E1559" s="16" t="s">
        <v>1193</v>
      </c>
      <c r="F1559" s="16" t="s">
        <v>2256</v>
      </c>
      <c r="G1559" s="16" t="s">
        <v>1197</v>
      </c>
      <c r="H1559" s="14" t="str">
        <f>"20241219/165378"</f>
        <v>20241219/165378</v>
      </c>
      <c r="I1559" s="19" t="str">
        <f t="shared" si="127"/>
        <v> </v>
      </c>
      <c r="J1559" s="18">
        <v>318.44</v>
      </c>
      <c r="K1559" s="18">
        <v>0</v>
      </c>
      <c r="L1559" s="18">
        <v>1761961.43</v>
      </c>
      <c r="M1559" t="s">
        <v>2658</v>
      </c>
    </row>
    <row r="1560" spans="1:13" ht="15" thickBot="1" x14ac:dyDescent="0.35">
      <c r="A1560" s="14">
        <v>1553</v>
      </c>
      <c r="B1560" s="15">
        <v>45645</v>
      </c>
      <c r="C1560" s="15">
        <v>45645</v>
      </c>
      <c r="D1560" s="16" t="s">
        <v>1192</v>
      </c>
      <c r="E1560" s="16" t="s">
        <v>1193</v>
      </c>
      <c r="F1560" s="16" t="s">
        <v>2257</v>
      </c>
      <c r="G1560" s="16" t="s">
        <v>1197</v>
      </c>
      <c r="H1560" s="14" t="str">
        <f>"20241219/307660"</f>
        <v>20241219/307660</v>
      </c>
      <c r="I1560" s="19" t="str">
        <f t="shared" si="127"/>
        <v> </v>
      </c>
      <c r="J1560" s="18">
        <v>3909.09</v>
      </c>
      <c r="K1560" s="18">
        <v>0</v>
      </c>
      <c r="L1560" s="18">
        <v>1765870.52</v>
      </c>
    </row>
    <row r="1561" spans="1:13" ht="15" thickBot="1" x14ac:dyDescent="0.35">
      <c r="A1561" s="14">
        <v>1554</v>
      </c>
      <c r="B1561" s="15">
        <v>45645</v>
      </c>
      <c r="C1561" s="15">
        <v>45645</v>
      </c>
      <c r="D1561" s="16" t="s">
        <v>1192</v>
      </c>
      <c r="E1561" s="16" t="s">
        <v>1193</v>
      </c>
      <c r="F1561" s="16" t="s">
        <v>2258</v>
      </c>
      <c r="G1561" s="16" t="s">
        <v>1197</v>
      </c>
      <c r="H1561" s="14" t="str">
        <f>"20241219/307661"</f>
        <v>20241219/307661</v>
      </c>
      <c r="I1561" s="19" t="str">
        <f t="shared" si="127"/>
        <v> </v>
      </c>
      <c r="J1561" s="18">
        <v>210174.4</v>
      </c>
      <c r="K1561" s="18">
        <v>0</v>
      </c>
      <c r="L1561" s="18">
        <v>1976044.92</v>
      </c>
    </row>
    <row r="1562" spans="1:13" ht="15" thickBot="1" x14ac:dyDescent="0.35">
      <c r="A1562" s="14">
        <v>1555</v>
      </c>
      <c r="B1562" s="15">
        <v>45645</v>
      </c>
      <c r="C1562" s="15">
        <v>45645</v>
      </c>
      <c r="D1562" s="16" t="s">
        <v>1192</v>
      </c>
      <c r="E1562" s="16" t="s">
        <v>1193</v>
      </c>
      <c r="F1562" s="16" t="s">
        <v>2257</v>
      </c>
      <c r="G1562" s="16" t="s">
        <v>1197</v>
      </c>
      <c r="H1562" s="14" t="str">
        <f>"20241219/307662"</f>
        <v>20241219/307662</v>
      </c>
      <c r="I1562" s="19" t="str">
        <f t="shared" si="127"/>
        <v> </v>
      </c>
      <c r="J1562" s="18">
        <v>643819.54</v>
      </c>
      <c r="K1562" s="18">
        <v>0</v>
      </c>
      <c r="L1562" s="18">
        <v>2619864.46</v>
      </c>
    </row>
    <row r="1563" spans="1:13" ht="15" thickBot="1" x14ac:dyDescent="0.35">
      <c r="A1563" s="14">
        <v>1556</v>
      </c>
      <c r="B1563" s="15">
        <v>45645</v>
      </c>
      <c r="C1563" s="15">
        <v>45645</v>
      </c>
      <c r="D1563" s="16" t="s">
        <v>1192</v>
      </c>
      <c r="E1563" s="16" t="s">
        <v>1193</v>
      </c>
      <c r="F1563" s="16" t="s">
        <v>2259</v>
      </c>
      <c r="G1563" s="16" t="s">
        <v>1197</v>
      </c>
      <c r="H1563" s="14" t="str">
        <f>"20241219/380423"</f>
        <v>20241219/380423</v>
      </c>
      <c r="I1563" s="19" t="str">
        <f t="shared" si="127"/>
        <v> </v>
      </c>
      <c r="J1563" s="18">
        <v>0</v>
      </c>
      <c r="K1563" s="18">
        <v>3909.09</v>
      </c>
      <c r="L1563" s="18">
        <v>2615955.37</v>
      </c>
    </row>
    <row r="1564" spans="1:13" ht="15" thickBot="1" x14ac:dyDescent="0.35">
      <c r="A1564" s="14">
        <v>1557</v>
      </c>
      <c r="B1564" s="15">
        <v>45645</v>
      </c>
      <c r="C1564" s="15">
        <v>45645</v>
      </c>
      <c r="D1564" s="16" t="s">
        <v>1192</v>
      </c>
      <c r="E1564" s="16" t="s">
        <v>1193</v>
      </c>
      <c r="F1564" s="16" t="s">
        <v>2260</v>
      </c>
      <c r="G1564" s="16" t="s">
        <v>1197</v>
      </c>
      <c r="H1564" s="14" t="str">
        <f>"20241219/380424"</f>
        <v>20241219/380424</v>
      </c>
      <c r="I1564" s="19" t="str">
        <f t="shared" si="127"/>
        <v> </v>
      </c>
      <c r="J1564" s="18">
        <v>0</v>
      </c>
      <c r="K1564" s="18">
        <v>203202.2</v>
      </c>
      <c r="L1564" s="18">
        <v>2412753.17</v>
      </c>
    </row>
    <row r="1565" spans="1:13" ht="15" thickBot="1" x14ac:dyDescent="0.35">
      <c r="A1565" s="14">
        <v>1558</v>
      </c>
      <c r="B1565" s="15">
        <v>45645</v>
      </c>
      <c r="C1565" s="15">
        <v>45645</v>
      </c>
      <c r="D1565" s="16" t="s">
        <v>1192</v>
      </c>
      <c r="E1565" s="16" t="s">
        <v>1193</v>
      </c>
      <c r="F1565" s="16" t="s">
        <v>2259</v>
      </c>
      <c r="G1565" s="16" t="s">
        <v>1197</v>
      </c>
      <c r="H1565" s="14" t="str">
        <f>"20241219/380425"</f>
        <v>20241219/380425</v>
      </c>
      <c r="I1565" s="19" t="str">
        <f t="shared" si="127"/>
        <v> </v>
      </c>
      <c r="J1565" s="18">
        <v>0</v>
      </c>
      <c r="K1565" s="18">
        <v>639920.75</v>
      </c>
      <c r="L1565" s="18">
        <v>1772832.42</v>
      </c>
    </row>
    <row r="1566" spans="1:13" ht="15" thickBot="1" x14ac:dyDescent="0.35">
      <c r="A1566" s="14">
        <v>1559</v>
      </c>
      <c r="B1566" s="15">
        <v>45645</v>
      </c>
      <c r="C1566" s="15">
        <v>45646</v>
      </c>
      <c r="D1566" s="16" t="s">
        <v>1192</v>
      </c>
      <c r="E1566" s="16" t="s">
        <v>1193</v>
      </c>
      <c r="F1566" s="16" t="s">
        <v>2261</v>
      </c>
      <c r="G1566" s="16" t="s">
        <v>1197</v>
      </c>
      <c r="H1566" s="14" t="str">
        <f>"20241219/219737"</f>
        <v>20241219/219737</v>
      </c>
      <c r="I1566" s="19" t="str">
        <f>"2412006156874"</f>
        <v>2412006156874</v>
      </c>
      <c r="J1566" s="18">
        <v>12702.77</v>
      </c>
      <c r="K1566" s="18">
        <v>0</v>
      </c>
      <c r="L1566" s="18">
        <v>1785535.19</v>
      </c>
    </row>
    <row r="1567" spans="1:13" ht="15" thickBot="1" x14ac:dyDescent="0.35">
      <c r="A1567" s="14">
        <v>1560</v>
      </c>
      <c r="B1567" s="15">
        <v>45645</v>
      </c>
      <c r="C1567" s="15">
        <v>45646</v>
      </c>
      <c r="D1567" s="16" t="s">
        <v>1192</v>
      </c>
      <c r="E1567" s="16" t="s">
        <v>1193</v>
      </c>
      <c r="F1567" s="16" t="s">
        <v>2262</v>
      </c>
      <c r="G1567" s="16" t="s">
        <v>1197</v>
      </c>
      <c r="H1567" s="14" t="str">
        <f>"20241219/219738"</f>
        <v>20241219/219738</v>
      </c>
      <c r="I1567" s="19" t="str">
        <f>"2412006156874"</f>
        <v>2412006156874</v>
      </c>
      <c r="J1567" s="18">
        <v>25029.32</v>
      </c>
      <c r="K1567" s="18">
        <v>0</v>
      </c>
      <c r="L1567" s="18">
        <v>1810564.51</v>
      </c>
    </row>
    <row r="1568" spans="1:13" ht="15" thickBot="1" x14ac:dyDescent="0.35">
      <c r="A1568" s="14">
        <v>1561</v>
      </c>
      <c r="B1568" s="15">
        <v>45646</v>
      </c>
      <c r="C1568" s="15">
        <v>45646</v>
      </c>
      <c r="D1568" s="16" t="s">
        <v>1192</v>
      </c>
      <c r="E1568" s="16" t="s">
        <v>1193</v>
      </c>
      <c r="F1568" s="16" t="s">
        <v>1194</v>
      </c>
      <c r="G1568" s="16" t="s">
        <v>1195</v>
      </c>
      <c r="H1568" s="14" t="str">
        <f>"20241220/119798"</f>
        <v>20241220/119798</v>
      </c>
      <c r="I1568" s="17" t="str">
        <f t="shared" ref="I1568:I1631" si="128">" "</f>
        <v> </v>
      </c>
      <c r="J1568" s="18">
        <v>0</v>
      </c>
      <c r="K1568" s="18">
        <v>21424.53</v>
      </c>
      <c r="L1568" s="18">
        <v>1789139.98</v>
      </c>
      <c r="M1568" t="s">
        <v>2661</v>
      </c>
    </row>
    <row r="1569" spans="1:13" ht="15" thickBot="1" x14ac:dyDescent="0.35">
      <c r="A1569" s="14">
        <v>1562</v>
      </c>
      <c r="B1569" s="15">
        <v>45646</v>
      </c>
      <c r="C1569" s="15">
        <v>45646</v>
      </c>
      <c r="D1569" s="16" t="s">
        <v>1192</v>
      </c>
      <c r="E1569" s="16" t="s">
        <v>1193</v>
      </c>
      <c r="F1569" s="16" t="s">
        <v>1194</v>
      </c>
      <c r="G1569" s="16" t="s">
        <v>1195</v>
      </c>
      <c r="H1569" s="14" t="str">
        <f>"20241220/37914"</f>
        <v>20241220/37914</v>
      </c>
      <c r="I1569" s="17" t="str">
        <f t="shared" si="128"/>
        <v> </v>
      </c>
      <c r="J1569" s="18">
        <v>0</v>
      </c>
      <c r="K1569" s="18">
        <v>330.39</v>
      </c>
      <c r="L1569" s="18">
        <v>1788809.59</v>
      </c>
      <c r="M1569" t="s">
        <v>2661</v>
      </c>
    </row>
    <row r="1570" spans="1:13" ht="15" thickBot="1" x14ac:dyDescent="0.35">
      <c r="A1570" s="14">
        <v>1563</v>
      </c>
      <c r="B1570" s="15">
        <v>45646</v>
      </c>
      <c r="C1570" s="15">
        <v>45646</v>
      </c>
      <c r="D1570" s="16" t="s">
        <v>1192</v>
      </c>
      <c r="E1570" s="16" t="s">
        <v>1193</v>
      </c>
      <c r="F1570" s="16" t="s">
        <v>2263</v>
      </c>
      <c r="G1570" s="16" t="s">
        <v>1197</v>
      </c>
      <c r="H1570" s="14" t="str">
        <f>"20241220/117348"</f>
        <v>20241220/117348</v>
      </c>
      <c r="I1570" s="19" t="str">
        <f t="shared" si="128"/>
        <v> </v>
      </c>
      <c r="J1570" s="18">
        <v>330.39</v>
      </c>
      <c r="K1570" s="18">
        <v>0</v>
      </c>
      <c r="L1570" s="18">
        <v>1789139.98</v>
      </c>
      <c r="M1570" t="s">
        <v>2658</v>
      </c>
    </row>
    <row r="1571" spans="1:13" ht="15" thickBot="1" x14ac:dyDescent="0.35">
      <c r="A1571" s="14">
        <v>1564</v>
      </c>
      <c r="B1571" s="15">
        <v>45646</v>
      </c>
      <c r="C1571" s="15">
        <v>45646</v>
      </c>
      <c r="D1571" s="16" t="s">
        <v>1192</v>
      </c>
      <c r="E1571" s="16" t="s">
        <v>1193</v>
      </c>
      <c r="F1571" s="16" t="s">
        <v>2264</v>
      </c>
      <c r="G1571" s="16" t="s">
        <v>1197</v>
      </c>
      <c r="H1571" s="14" t="str">
        <f>"20241220/277160"</f>
        <v>20241220/277160</v>
      </c>
      <c r="I1571" s="19" t="str">
        <f t="shared" si="128"/>
        <v> </v>
      </c>
      <c r="J1571" s="18">
        <v>3909.09</v>
      </c>
      <c r="K1571" s="18">
        <v>0</v>
      </c>
      <c r="L1571" s="18">
        <v>1793049.07</v>
      </c>
    </row>
    <row r="1572" spans="1:13" ht="15" thickBot="1" x14ac:dyDescent="0.35">
      <c r="A1572" s="14">
        <v>1565</v>
      </c>
      <c r="B1572" s="15">
        <v>45646</v>
      </c>
      <c r="C1572" s="15">
        <v>45646</v>
      </c>
      <c r="D1572" s="16" t="s">
        <v>1192</v>
      </c>
      <c r="E1572" s="16" t="s">
        <v>1193</v>
      </c>
      <c r="F1572" s="16" t="s">
        <v>2265</v>
      </c>
      <c r="G1572" s="16" t="s">
        <v>1197</v>
      </c>
      <c r="H1572" s="14" t="str">
        <f>"20241220/277161"</f>
        <v>20241220/277161</v>
      </c>
      <c r="I1572" s="19" t="str">
        <f t="shared" si="128"/>
        <v> </v>
      </c>
      <c r="J1572" s="18">
        <v>245129.45</v>
      </c>
      <c r="K1572" s="18">
        <v>0</v>
      </c>
      <c r="L1572" s="18">
        <v>2038178.52</v>
      </c>
    </row>
    <row r="1573" spans="1:13" ht="15" thickBot="1" x14ac:dyDescent="0.35">
      <c r="A1573" s="14">
        <v>1566</v>
      </c>
      <c r="B1573" s="15">
        <v>45646</v>
      </c>
      <c r="C1573" s="15">
        <v>45646</v>
      </c>
      <c r="D1573" s="16" t="s">
        <v>1192</v>
      </c>
      <c r="E1573" s="16" t="s">
        <v>1193</v>
      </c>
      <c r="F1573" s="16" t="s">
        <v>2264</v>
      </c>
      <c r="G1573" s="16" t="s">
        <v>1197</v>
      </c>
      <c r="H1573" s="14" t="str">
        <f>"20241220/277162"</f>
        <v>20241220/277162</v>
      </c>
      <c r="I1573" s="19" t="str">
        <f t="shared" si="128"/>
        <v> </v>
      </c>
      <c r="J1573" s="18">
        <v>630289.02</v>
      </c>
      <c r="K1573" s="18">
        <v>0</v>
      </c>
      <c r="L1573" s="18">
        <v>2668467.54</v>
      </c>
    </row>
    <row r="1574" spans="1:13" ht="15" thickBot="1" x14ac:dyDescent="0.35">
      <c r="A1574" s="14">
        <v>1567</v>
      </c>
      <c r="B1574" s="15">
        <v>45646</v>
      </c>
      <c r="C1574" s="15">
        <v>45646</v>
      </c>
      <c r="D1574" s="16" t="s">
        <v>1192</v>
      </c>
      <c r="E1574" s="16" t="s">
        <v>1193</v>
      </c>
      <c r="F1574" s="16" t="s">
        <v>2266</v>
      </c>
      <c r="G1574" s="16" t="s">
        <v>1197</v>
      </c>
      <c r="H1574" s="14" t="str">
        <f>"20241220/413405"</f>
        <v>20241220/413405</v>
      </c>
      <c r="I1574" s="19" t="str">
        <f t="shared" si="128"/>
        <v> </v>
      </c>
      <c r="J1574" s="18">
        <v>0</v>
      </c>
      <c r="K1574" s="18">
        <v>3909.09</v>
      </c>
      <c r="L1574" s="18">
        <v>2664558.4500000002</v>
      </c>
    </row>
    <row r="1575" spans="1:13" ht="15" thickBot="1" x14ac:dyDescent="0.35">
      <c r="A1575" s="14">
        <v>1568</v>
      </c>
      <c r="B1575" s="15">
        <v>45646</v>
      </c>
      <c r="C1575" s="15">
        <v>45646</v>
      </c>
      <c r="D1575" s="16" t="s">
        <v>1192</v>
      </c>
      <c r="E1575" s="16" t="s">
        <v>1193</v>
      </c>
      <c r="F1575" s="16" t="s">
        <v>2267</v>
      </c>
      <c r="G1575" s="16" t="s">
        <v>1197</v>
      </c>
      <c r="H1575" s="14" t="str">
        <f>"20241220/413406"</f>
        <v>20241220/413406</v>
      </c>
      <c r="I1575" s="19" t="str">
        <f t="shared" si="128"/>
        <v> </v>
      </c>
      <c r="J1575" s="18">
        <v>0</v>
      </c>
      <c r="K1575" s="18">
        <v>210174.4</v>
      </c>
      <c r="L1575" s="18">
        <v>2454384.0499999998</v>
      </c>
    </row>
    <row r="1576" spans="1:13" ht="15" thickBot="1" x14ac:dyDescent="0.35">
      <c r="A1576" s="14">
        <v>1569</v>
      </c>
      <c r="B1576" s="15">
        <v>45646</v>
      </c>
      <c r="C1576" s="15">
        <v>45646</v>
      </c>
      <c r="D1576" s="16" t="s">
        <v>1192</v>
      </c>
      <c r="E1576" s="16" t="s">
        <v>1193</v>
      </c>
      <c r="F1576" s="16" t="s">
        <v>2266</v>
      </c>
      <c r="G1576" s="16" t="s">
        <v>1197</v>
      </c>
      <c r="H1576" s="14" t="str">
        <f>"20241220/413407"</f>
        <v>20241220/413407</v>
      </c>
      <c r="I1576" s="19" t="str">
        <f t="shared" si="128"/>
        <v> </v>
      </c>
      <c r="J1576" s="18">
        <v>0</v>
      </c>
      <c r="K1576" s="18">
        <v>643819.54</v>
      </c>
      <c r="L1576" s="18">
        <v>1810564.51</v>
      </c>
    </row>
    <row r="1577" spans="1:13" ht="15" thickBot="1" x14ac:dyDescent="0.35">
      <c r="A1577" s="14">
        <v>1570</v>
      </c>
      <c r="B1577" s="15">
        <v>45649</v>
      </c>
      <c r="C1577" s="15">
        <v>45649</v>
      </c>
      <c r="D1577" s="16" t="s">
        <v>1192</v>
      </c>
      <c r="E1577" s="16" t="s">
        <v>1193</v>
      </c>
      <c r="F1577" s="16" t="s">
        <v>1194</v>
      </c>
      <c r="G1577" s="16" t="s">
        <v>1195</v>
      </c>
      <c r="H1577" s="14" t="str">
        <f>"20241223/37529"</f>
        <v>20241223/37529</v>
      </c>
      <c r="I1577" s="17" t="str">
        <f t="shared" si="128"/>
        <v> </v>
      </c>
      <c r="J1577" s="18">
        <v>0</v>
      </c>
      <c r="K1577" s="18">
        <v>995.01</v>
      </c>
      <c r="L1577" s="18">
        <v>1809569.5</v>
      </c>
      <c r="M1577" t="s">
        <v>2661</v>
      </c>
    </row>
    <row r="1578" spans="1:13" ht="15" thickBot="1" x14ac:dyDescent="0.35">
      <c r="A1578" s="14">
        <v>1571</v>
      </c>
      <c r="B1578" s="15">
        <v>45649</v>
      </c>
      <c r="C1578" s="15">
        <v>45649</v>
      </c>
      <c r="D1578" s="16" t="s">
        <v>1192</v>
      </c>
      <c r="E1578" s="16" t="s">
        <v>1193</v>
      </c>
      <c r="F1578" s="16" t="s">
        <v>2268</v>
      </c>
      <c r="G1578" s="16" t="s">
        <v>1197</v>
      </c>
      <c r="H1578" s="14" t="str">
        <f>"20241223/115465"</f>
        <v>20241223/115465</v>
      </c>
      <c r="I1578" s="19" t="str">
        <f t="shared" si="128"/>
        <v> </v>
      </c>
      <c r="J1578" s="18">
        <v>995.01</v>
      </c>
      <c r="K1578" s="18">
        <v>0</v>
      </c>
      <c r="L1578" s="18">
        <v>1810564.51</v>
      </c>
      <c r="M1578" t="s">
        <v>2658</v>
      </c>
    </row>
    <row r="1579" spans="1:13" ht="15" thickBot="1" x14ac:dyDescent="0.35">
      <c r="A1579" s="14">
        <v>1572</v>
      </c>
      <c r="B1579" s="15">
        <v>45649</v>
      </c>
      <c r="C1579" s="15">
        <v>45649</v>
      </c>
      <c r="D1579" s="16" t="s">
        <v>1192</v>
      </c>
      <c r="E1579" s="16" t="s">
        <v>1193</v>
      </c>
      <c r="F1579" s="16" t="s">
        <v>2269</v>
      </c>
      <c r="G1579" s="16" t="s">
        <v>1197</v>
      </c>
      <c r="H1579" s="14" t="str">
        <f>"20241223/269593"</f>
        <v>20241223/269593</v>
      </c>
      <c r="I1579" s="19" t="str">
        <f t="shared" si="128"/>
        <v> </v>
      </c>
      <c r="J1579" s="18">
        <v>3909.09</v>
      </c>
      <c r="K1579" s="18">
        <v>0</v>
      </c>
      <c r="L1579" s="18">
        <v>1814473.6</v>
      </c>
    </row>
    <row r="1580" spans="1:13" ht="15" thickBot="1" x14ac:dyDescent="0.35">
      <c r="A1580" s="14">
        <v>1573</v>
      </c>
      <c r="B1580" s="15">
        <v>45649</v>
      </c>
      <c r="C1580" s="15">
        <v>45649</v>
      </c>
      <c r="D1580" s="16" t="s">
        <v>1192</v>
      </c>
      <c r="E1580" s="16" t="s">
        <v>1193</v>
      </c>
      <c r="F1580" s="16" t="s">
        <v>2270</v>
      </c>
      <c r="G1580" s="16" t="s">
        <v>1197</v>
      </c>
      <c r="H1580" s="14" t="str">
        <f>"20241223/269594"</f>
        <v>20241223/269594</v>
      </c>
      <c r="I1580" s="19" t="str">
        <f t="shared" si="128"/>
        <v> </v>
      </c>
      <c r="J1580" s="18">
        <v>240074.65</v>
      </c>
      <c r="K1580" s="18">
        <v>0</v>
      </c>
      <c r="L1580" s="18">
        <v>2054548.25</v>
      </c>
    </row>
    <row r="1581" spans="1:13" ht="15" thickBot="1" x14ac:dyDescent="0.35">
      <c r="A1581" s="14">
        <v>1574</v>
      </c>
      <c r="B1581" s="15">
        <v>45649</v>
      </c>
      <c r="C1581" s="15">
        <v>45649</v>
      </c>
      <c r="D1581" s="16" t="s">
        <v>1192</v>
      </c>
      <c r="E1581" s="16" t="s">
        <v>1193</v>
      </c>
      <c r="F1581" s="16" t="s">
        <v>2269</v>
      </c>
      <c r="G1581" s="16" t="s">
        <v>1197</v>
      </c>
      <c r="H1581" s="14" t="str">
        <f>"20241223/269595"</f>
        <v>20241223/269595</v>
      </c>
      <c r="I1581" s="19" t="str">
        <f t="shared" si="128"/>
        <v> </v>
      </c>
      <c r="J1581" s="18">
        <v>630855.48</v>
      </c>
      <c r="K1581" s="18">
        <v>0</v>
      </c>
      <c r="L1581" s="18">
        <v>2685403.73</v>
      </c>
    </row>
    <row r="1582" spans="1:13" ht="15" thickBot="1" x14ac:dyDescent="0.35">
      <c r="A1582" s="14">
        <v>1575</v>
      </c>
      <c r="B1582" s="15">
        <v>45649</v>
      </c>
      <c r="C1582" s="15">
        <v>45649</v>
      </c>
      <c r="D1582" s="16" t="s">
        <v>1192</v>
      </c>
      <c r="E1582" s="16" t="s">
        <v>1193</v>
      </c>
      <c r="F1582" s="16" t="s">
        <v>2271</v>
      </c>
      <c r="G1582" s="16" t="s">
        <v>1197</v>
      </c>
      <c r="H1582" s="14" t="str">
        <f>"20241223/364958"</f>
        <v>20241223/364958</v>
      </c>
      <c r="I1582" s="19" t="str">
        <f t="shared" si="128"/>
        <v> </v>
      </c>
      <c r="J1582" s="18">
        <v>0</v>
      </c>
      <c r="K1582" s="18">
        <v>3909.09</v>
      </c>
      <c r="L1582" s="18">
        <v>2681494.64</v>
      </c>
    </row>
    <row r="1583" spans="1:13" ht="15" thickBot="1" x14ac:dyDescent="0.35">
      <c r="A1583" s="14">
        <v>1576</v>
      </c>
      <c r="B1583" s="15">
        <v>45649</v>
      </c>
      <c r="C1583" s="15">
        <v>45649</v>
      </c>
      <c r="D1583" s="16" t="s">
        <v>1192</v>
      </c>
      <c r="E1583" s="16" t="s">
        <v>1193</v>
      </c>
      <c r="F1583" s="16" t="s">
        <v>2272</v>
      </c>
      <c r="G1583" s="16" t="s">
        <v>1197</v>
      </c>
      <c r="H1583" s="14" t="str">
        <f>"20241223/364959"</f>
        <v>20241223/364959</v>
      </c>
      <c r="I1583" s="19" t="str">
        <f t="shared" si="128"/>
        <v> </v>
      </c>
      <c r="J1583" s="18">
        <v>0</v>
      </c>
      <c r="K1583" s="18">
        <v>245129.45</v>
      </c>
      <c r="L1583" s="18">
        <v>2436365.19</v>
      </c>
    </row>
    <row r="1584" spans="1:13" ht="15" thickBot="1" x14ac:dyDescent="0.35">
      <c r="A1584" s="14">
        <v>1577</v>
      </c>
      <c r="B1584" s="15">
        <v>45649</v>
      </c>
      <c r="C1584" s="15">
        <v>45649</v>
      </c>
      <c r="D1584" s="16" t="s">
        <v>1192</v>
      </c>
      <c r="E1584" s="16" t="s">
        <v>1193</v>
      </c>
      <c r="F1584" s="16" t="s">
        <v>2271</v>
      </c>
      <c r="G1584" s="16" t="s">
        <v>1197</v>
      </c>
      <c r="H1584" s="14" t="str">
        <f>"20241223/364960"</f>
        <v>20241223/364960</v>
      </c>
      <c r="I1584" s="19" t="str">
        <f t="shared" si="128"/>
        <v> </v>
      </c>
      <c r="J1584" s="18">
        <v>0</v>
      </c>
      <c r="K1584" s="18">
        <v>630289.02</v>
      </c>
      <c r="L1584" s="18">
        <v>1806076.17</v>
      </c>
    </row>
    <row r="1585" spans="1:13" ht="15" thickBot="1" x14ac:dyDescent="0.35">
      <c r="A1585" s="14">
        <v>1578</v>
      </c>
      <c r="B1585" s="15">
        <v>45650</v>
      </c>
      <c r="C1585" s="15">
        <v>45650</v>
      </c>
      <c r="D1585" s="16" t="s">
        <v>1192</v>
      </c>
      <c r="E1585" s="16" t="s">
        <v>1193</v>
      </c>
      <c r="F1585" s="16" t="s">
        <v>1202</v>
      </c>
      <c r="G1585" s="16" t="s">
        <v>1203</v>
      </c>
      <c r="H1585" s="14" t="str">
        <f>"20241224/7217"</f>
        <v>20241224/7217</v>
      </c>
      <c r="I1585" s="17" t="str">
        <f t="shared" si="128"/>
        <v> </v>
      </c>
      <c r="J1585" s="18">
        <v>4488.34</v>
      </c>
      <c r="K1585" s="18">
        <v>0</v>
      </c>
      <c r="L1585" s="18">
        <v>1810564.51</v>
      </c>
      <c r="M1585" t="s">
        <v>2661</v>
      </c>
    </row>
    <row r="1586" spans="1:13" ht="15" thickBot="1" x14ac:dyDescent="0.35">
      <c r="A1586" s="14">
        <v>1579</v>
      </c>
      <c r="B1586" s="15">
        <v>45650</v>
      </c>
      <c r="C1586" s="15">
        <v>45650</v>
      </c>
      <c r="D1586" s="16" t="s">
        <v>1192</v>
      </c>
      <c r="E1586" s="16" t="s">
        <v>1193</v>
      </c>
      <c r="F1586" s="16" t="s">
        <v>1194</v>
      </c>
      <c r="G1586" s="16" t="s">
        <v>1195</v>
      </c>
      <c r="H1586" s="14" t="str">
        <f>"20241224/36874"</f>
        <v>20241224/36874</v>
      </c>
      <c r="I1586" s="17" t="str">
        <f t="shared" si="128"/>
        <v> </v>
      </c>
      <c r="J1586" s="18">
        <v>0</v>
      </c>
      <c r="K1586" s="18">
        <v>331.67</v>
      </c>
      <c r="L1586" s="18">
        <v>1810232.84</v>
      </c>
      <c r="M1586" t="s">
        <v>2661</v>
      </c>
    </row>
    <row r="1587" spans="1:13" ht="15" thickBot="1" x14ac:dyDescent="0.35">
      <c r="A1587" s="14">
        <v>1580</v>
      </c>
      <c r="B1587" s="15">
        <v>45650</v>
      </c>
      <c r="C1587" s="15">
        <v>45650</v>
      </c>
      <c r="D1587" s="16" t="s">
        <v>1192</v>
      </c>
      <c r="E1587" s="16" t="s">
        <v>1193</v>
      </c>
      <c r="F1587" s="16" t="s">
        <v>1194</v>
      </c>
      <c r="G1587" s="16" t="s">
        <v>1195</v>
      </c>
      <c r="H1587" s="14" t="str">
        <f>"20241224/96238"</f>
        <v>20241224/96238</v>
      </c>
      <c r="I1587" s="17" t="str">
        <f t="shared" si="128"/>
        <v> </v>
      </c>
      <c r="J1587" s="18">
        <v>0</v>
      </c>
      <c r="K1587" s="18">
        <v>1.08</v>
      </c>
      <c r="L1587" s="18">
        <v>1810231.76</v>
      </c>
      <c r="M1587" t="s">
        <v>2661</v>
      </c>
    </row>
    <row r="1588" spans="1:13" ht="15" thickBot="1" x14ac:dyDescent="0.35">
      <c r="A1588" s="14">
        <v>1581</v>
      </c>
      <c r="B1588" s="15">
        <v>45650</v>
      </c>
      <c r="C1588" s="15">
        <v>45650</v>
      </c>
      <c r="D1588" s="16" t="s">
        <v>1192</v>
      </c>
      <c r="E1588" s="16" t="s">
        <v>1193</v>
      </c>
      <c r="F1588" s="16" t="s">
        <v>2273</v>
      </c>
      <c r="G1588" s="16" t="s">
        <v>1197</v>
      </c>
      <c r="H1588" s="14" t="str">
        <f>"20241224/120609"</f>
        <v>20241224/120609</v>
      </c>
      <c r="I1588" s="19" t="str">
        <f t="shared" si="128"/>
        <v> </v>
      </c>
      <c r="J1588" s="18">
        <v>331.67</v>
      </c>
      <c r="K1588" s="18">
        <v>0</v>
      </c>
      <c r="L1588" s="18">
        <v>1810563.43</v>
      </c>
      <c r="M1588" t="s">
        <v>2658</v>
      </c>
    </row>
    <row r="1589" spans="1:13" ht="15" thickBot="1" x14ac:dyDescent="0.35">
      <c r="A1589" s="14">
        <v>1582</v>
      </c>
      <c r="B1589" s="15">
        <v>45650</v>
      </c>
      <c r="C1589" s="15">
        <v>45650</v>
      </c>
      <c r="D1589" s="16" t="s">
        <v>1192</v>
      </c>
      <c r="E1589" s="16" t="s">
        <v>1193</v>
      </c>
      <c r="F1589" s="16" t="s">
        <v>2274</v>
      </c>
      <c r="G1589" s="16" t="s">
        <v>1197</v>
      </c>
      <c r="H1589" s="14" t="str">
        <f>"20241224/238964"</f>
        <v>20241224/238964</v>
      </c>
      <c r="I1589" s="19" t="str">
        <f t="shared" si="128"/>
        <v> </v>
      </c>
      <c r="J1589" s="18">
        <v>3909.09</v>
      </c>
      <c r="K1589" s="18">
        <v>0</v>
      </c>
      <c r="L1589" s="18">
        <v>1814472.52</v>
      </c>
    </row>
    <row r="1590" spans="1:13" ht="15" thickBot="1" x14ac:dyDescent="0.35">
      <c r="A1590" s="14">
        <v>1583</v>
      </c>
      <c r="B1590" s="15">
        <v>45650</v>
      </c>
      <c r="C1590" s="15">
        <v>45650</v>
      </c>
      <c r="D1590" s="16" t="s">
        <v>1192</v>
      </c>
      <c r="E1590" s="16" t="s">
        <v>1193</v>
      </c>
      <c r="F1590" s="16" t="s">
        <v>2275</v>
      </c>
      <c r="G1590" s="16" t="s">
        <v>1197</v>
      </c>
      <c r="H1590" s="14" t="str">
        <f>"20241224/238965"</f>
        <v>20241224/238965</v>
      </c>
      <c r="I1590" s="19" t="str">
        <f t="shared" si="128"/>
        <v> </v>
      </c>
      <c r="J1590" s="18">
        <v>241275.05</v>
      </c>
      <c r="K1590" s="18">
        <v>0</v>
      </c>
      <c r="L1590" s="18">
        <v>2055747.57</v>
      </c>
    </row>
    <row r="1591" spans="1:13" ht="15" thickBot="1" x14ac:dyDescent="0.35">
      <c r="A1591" s="14">
        <v>1584</v>
      </c>
      <c r="B1591" s="15">
        <v>45650</v>
      </c>
      <c r="C1591" s="15">
        <v>45650</v>
      </c>
      <c r="D1591" s="16" t="s">
        <v>1192</v>
      </c>
      <c r="E1591" s="16" t="s">
        <v>1193</v>
      </c>
      <c r="F1591" s="16" t="s">
        <v>2274</v>
      </c>
      <c r="G1591" s="16" t="s">
        <v>1197</v>
      </c>
      <c r="H1591" s="14" t="str">
        <f>"20241224/238966"</f>
        <v>20241224/238966</v>
      </c>
      <c r="I1591" s="19" t="str">
        <f t="shared" si="128"/>
        <v> </v>
      </c>
      <c r="J1591" s="18">
        <v>629656.16</v>
      </c>
      <c r="K1591" s="18">
        <v>0</v>
      </c>
      <c r="L1591" s="18">
        <v>2685403.73</v>
      </c>
    </row>
    <row r="1592" spans="1:13" ht="15" thickBot="1" x14ac:dyDescent="0.35">
      <c r="A1592" s="14">
        <v>1585</v>
      </c>
      <c r="B1592" s="15">
        <v>45650</v>
      </c>
      <c r="C1592" s="15">
        <v>45650</v>
      </c>
      <c r="D1592" s="16" t="s">
        <v>1192</v>
      </c>
      <c r="E1592" s="16" t="s">
        <v>1193</v>
      </c>
      <c r="F1592" s="16" t="s">
        <v>2276</v>
      </c>
      <c r="G1592" s="16" t="s">
        <v>1197</v>
      </c>
      <c r="H1592" s="14" t="str">
        <f>"20241224/365258"</f>
        <v>20241224/365258</v>
      </c>
      <c r="I1592" s="19" t="str">
        <f t="shared" si="128"/>
        <v> </v>
      </c>
      <c r="J1592" s="18">
        <v>0</v>
      </c>
      <c r="K1592" s="18">
        <v>3909.09</v>
      </c>
      <c r="L1592" s="18">
        <v>2681494.64</v>
      </c>
    </row>
    <row r="1593" spans="1:13" ht="15" thickBot="1" x14ac:dyDescent="0.35">
      <c r="A1593" s="14">
        <v>1586</v>
      </c>
      <c r="B1593" s="15">
        <v>45650</v>
      </c>
      <c r="C1593" s="15">
        <v>45650</v>
      </c>
      <c r="D1593" s="16" t="s">
        <v>1192</v>
      </c>
      <c r="E1593" s="16" t="s">
        <v>1193</v>
      </c>
      <c r="F1593" s="16" t="s">
        <v>2277</v>
      </c>
      <c r="G1593" s="16" t="s">
        <v>1197</v>
      </c>
      <c r="H1593" s="14" t="str">
        <f>"20241224/365259"</f>
        <v>20241224/365259</v>
      </c>
      <c r="I1593" s="19" t="str">
        <f t="shared" si="128"/>
        <v> </v>
      </c>
      <c r="J1593" s="18">
        <v>0</v>
      </c>
      <c r="K1593" s="18">
        <v>240074.65</v>
      </c>
      <c r="L1593" s="18">
        <v>2441419.9900000002</v>
      </c>
    </row>
    <row r="1594" spans="1:13" ht="15" thickBot="1" x14ac:dyDescent="0.35">
      <c r="A1594" s="14">
        <v>1587</v>
      </c>
      <c r="B1594" s="15">
        <v>45650</v>
      </c>
      <c r="C1594" s="15">
        <v>45650</v>
      </c>
      <c r="D1594" s="16" t="s">
        <v>1192</v>
      </c>
      <c r="E1594" s="16" t="s">
        <v>1193</v>
      </c>
      <c r="F1594" s="16" t="s">
        <v>2276</v>
      </c>
      <c r="G1594" s="16" t="s">
        <v>1197</v>
      </c>
      <c r="H1594" s="14" t="str">
        <f>"20241224/365260"</f>
        <v>20241224/365260</v>
      </c>
      <c r="I1594" s="19" t="str">
        <f t="shared" si="128"/>
        <v> </v>
      </c>
      <c r="J1594" s="18">
        <v>0</v>
      </c>
      <c r="K1594" s="18">
        <v>630855.48</v>
      </c>
      <c r="L1594" s="18">
        <v>1810564.51</v>
      </c>
    </row>
    <row r="1595" spans="1:13" ht="15" thickBot="1" x14ac:dyDescent="0.35">
      <c r="A1595" s="14">
        <v>1588</v>
      </c>
      <c r="B1595" s="15">
        <v>45652</v>
      </c>
      <c r="C1595" s="15">
        <v>45652</v>
      </c>
      <c r="D1595" s="16" t="s">
        <v>1192</v>
      </c>
      <c r="E1595" s="16" t="s">
        <v>1193</v>
      </c>
      <c r="F1595" s="16" t="s">
        <v>1194</v>
      </c>
      <c r="G1595" s="16" t="s">
        <v>1195</v>
      </c>
      <c r="H1595" s="14" t="str">
        <f>"20241226/123823"</f>
        <v>20241226/123823</v>
      </c>
      <c r="I1595" s="17" t="str">
        <f t="shared" si="128"/>
        <v> </v>
      </c>
      <c r="J1595" s="18">
        <v>0</v>
      </c>
      <c r="K1595" s="18">
        <v>1637.2</v>
      </c>
      <c r="L1595" s="18">
        <v>1808927.31</v>
      </c>
      <c r="M1595" t="s">
        <v>2661</v>
      </c>
    </row>
    <row r="1596" spans="1:13" ht="15" thickBot="1" x14ac:dyDescent="0.35">
      <c r="A1596" s="14">
        <v>1589</v>
      </c>
      <c r="B1596" s="15">
        <v>45652</v>
      </c>
      <c r="C1596" s="15">
        <v>45652</v>
      </c>
      <c r="D1596" s="16" t="s">
        <v>1192</v>
      </c>
      <c r="E1596" s="16" t="s">
        <v>1193</v>
      </c>
      <c r="F1596" s="16" t="s">
        <v>1194</v>
      </c>
      <c r="G1596" s="16" t="s">
        <v>1195</v>
      </c>
      <c r="H1596" s="14" t="str">
        <f>"20241226/39712"</f>
        <v>20241226/39712</v>
      </c>
      <c r="I1596" s="17" t="str">
        <f t="shared" si="128"/>
        <v> </v>
      </c>
      <c r="J1596" s="18">
        <v>0</v>
      </c>
      <c r="K1596" s="18">
        <v>666.54</v>
      </c>
      <c r="L1596" s="18">
        <v>1808260.77</v>
      </c>
      <c r="M1596" t="s">
        <v>2661</v>
      </c>
    </row>
    <row r="1597" spans="1:13" ht="15" thickBot="1" x14ac:dyDescent="0.35">
      <c r="A1597" s="14">
        <v>1590</v>
      </c>
      <c r="B1597" s="15">
        <v>45652</v>
      </c>
      <c r="C1597" s="15">
        <v>45652</v>
      </c>
      <c r="D1597" s="16" t="s">
        <v>1192</v>
      </c>
      <c r="E1597" s="16" t="s">
        <v>1193</v>
      </c>
      <c r="F1597" s="16" t="s">
        <v>2278</v>
      </c>
      <c r="G1597" s="16" t="s">
        <v>1197</v>
      </c>
      <c r="H1597" s="14" t="str">
        <f>"20241226/111694"</f>
        <v>20241226/111694</v>
      </c>
      <c r="I1597" s="19" t="str">
        <f t="shared" si="128"/>
        <v> </v>
      </c>
      <c r="J1597" s="18">
        <v>666.54</v>
      </c>
      <c r="K1597" s="18">
        <v>0</v>
      </c>
      <c r="L1597" s="18">
        <v>1808927.31</v>
      </c>
      <c r="M1597" t="s">
        <v>2658</v>
      </c>
    </row>
    <row r="1598" spans="1:13" ht="15" thickBot="1" x14ac:dyDescent="0.35">
      <c r="A1598" s="14">
        <v>1591</v>
      </c>
      <c r="B1598" s="15">
        <v>45652</v>
      </c>
      <c r="C1598" s="15">
        <v>45652</v>
      </c>
      <c r="D1598" s="16" t="s">
        <v>1192</v>
      </c>
      <c r="E1598" s="16" t="s">
        <v>1193</v>
      </c>
      <c r="F1598" s="16" t="s">
        <v>2279</v>
      </c>
      <c r="G1598" s="16" t="s">
        <v>1197</v>
      </c>
      <c r="H1598" s="14" t="str">
        <f>"20241226/208233"</f>
        <v>20241226/208233</v>
      </c>
      <c r="I1598" s="19" t="str">
        <f t="shared" si="128"/>
        <v> </v>
      </c>
      <c r="J1598" s="18">
        <v>3909.09</v>
      </c>
      <c r="K1598" s="18">
        <v>0</v>
      </c>
      <c r="L1598" s="18">
        <v>1812836.4</v>
      </c>
    </row>
    <row r="1599" spans="1:13" ht="15" thickBot="1" x14ac:dyDescent="0.35">
      <c r="A1599" s="14">
        <v>1592</v>
      </c>
      <c r="B1599" s="15">
        <v>45652</v>
      </c>
      <c r="C1599" s="15">
        <v>45652</v>
      </c>
      <c r="D1599" s="16" t="s">
        <v>1192</v>
      </c>
      <c r="E1599" s="16" t="s">
        <v>1193</v>
      </c>
      <c r="F1599" s="16" t="s">
        <v>2279</v>
      </c>
      <c r="G1599" s="16" t="s">
        <v>1197</v>
      </c>
      <c r="H1599" s="14" t="str">
        <f>"20241226/208234"</f>
        <v>20241226/208234</v>
      </c>
      <c r="I1599" s="19" t="str">
        <f t="shared" si="128"/>
        <v> </v>
      </c>
      <c r="J1599" s="18">
        <v>626084.81000000006</v>
      </c>
      <c r="K1599" s="18">
        <v>0</v>
      </c>
      <c r="L1599" s="18">
        <v>2438921.21</v>
      </c>
    </row>
    <row r="1600" spans="1:13" ht="15" thickBot="1" x14ac:dyDescent="0.35">
      <c r="A1600" s="14">
        <v>1593</v>
      </c>
      <c r="B1600" s="15">
        <v>45652</v>
      </c>
      <c r="C1600" s="15">
        <v>45652</v>
      </c>
      <c r="D1600" s="16" t="s">
        <v>1192</v>
      </c>
      <c r="E1600" s="16" t="s">
        <v>1193</v>
      </c>
      <c r="F1600" s="16" t="s">
        <v>2280</v>
      </c>
      <c r="G1600" s="16" t="s">
        <v>1197</v>
      </c>
      <c r="H1600" s="14" t="str">
        <f>"20241226/208235"</f>
        <v>20241226/208235</v>
      </c>
      <c r="I1600" s="19" t="str">
        <f t="shared" si="128"/>
        <v> </v>
      </c>
      <c r="J1600" s="18">
        <v>246483.6</v>
      </c>
      <c r="K1600" s="18">
        <v>0</v>
      </c>
      <c r="L1600" s="18">
        <v>2685404.81</v>
      </c>
    </row>
    <row r="1601" spans="1:13" ht="15" thickBot="1" x14ac:dyDescent="0.35">
      <c r="A1601" s="14">
        <v>1594</v>
      </c>
      <c r="B1601" s="15">
        <v>45652</v>
      </c>
      <c r="C1601" s="15">
        <v>45652</v>
      </c>
      <c r="D1601" s="16" t="s">
        <v>1192</v>
      </c>
      <c r="E1601" s="16" t="s">
        <v>1193</v>
      </c>
      <c r="F1601" s="16" t="s">
        <v>2281</v>
      </c>
      <c r="G1601" s="16" t="s">
        <v>1197</v>
      </c>
      <c r="H1601" s="14" t="str">
        <f>"20241226/257274"</f>
        <v>20241226/257274</v>
      </c>
      <c r="I1601" s="19" t="str">
        <f t="shared" si="128"/>
        <v> </v>
      </c>
      <c r="J1601" s="18">
        <v>0</v>
      </c>
      <c r="K1601" s="18">
        <v>3909.09</v>
      </c>
      <c r="L1601" s="18">
        <v>2681495.7200000002</v>
      </c>
    </row>
    <row r="1602" spans="1:13" ht="15" thickBot="1" x14ac:dyDescent="0.35">
      <c r="A1602" s="14">
        <v>1595</v>
      </c>
      <c r="B1602" s="15">
        <v>45652</v>
      </c>
      <c r="C1602" s="15">
        <v>45652</v>
      </c>
      <c r="D1602" s="16" t="s">
        <v>1192</v>
      </c>
      <c r="E1602" s="16" t="s">
        <v>1193</v>
      </c>
      <c r="F1602" s="16" t="s">
        <v>2282</v>
      </c>
      <c r="G1602" s="16" t="s">
        <v>1197</v>
      </c>
      <c r="H1602" s="14" t="str">
        <f>"20241226/257275"</f>
        <v>20241226/257275</v>
      </c>
      <c r="I1602" s="19" t="str">
        <f t="shared" si="128"/>
        <v> </v>
      </c>
      <c r="J1602" s="18">
        <v>0</v>
      </c>
      <c r="K1602" s="18">
        <v>241275.05</v>
      </c>
      <c r="L1602" s="18">
        <v>2440220.67</v>
      </c>
    </row>
    <row r="1603" spans="1:13" ht="15" thickBot="1" x14ac:dyDescent="0.35">
      <c r="A1603" s="14">
        <v>1596</v>
      </c>
      <c r="B1603" s="15">
        <v>45652</v>
      </c>
      <c r="C1603" s="15">
        <v>45652</v>
      </c>
      <c r="D1603" s="16" t="s">
        <v>1192</v>
      </c>
      <c r="E1603" s="16" t="s">
        <v>1193</v>
      </c>
      <c r="F1603" s="16" t="s">
        <v>2281</v>
      </c>
      <c r="G1603" s="16" t="s">
        <v>1197</v>
      </c>
      <c r="H1603" s="14" t="str">
        <f>"20241226/257276"</f>
        <v>20241226/257276</v>
      </c>
      <c r="I1603" s="19" t="str">
        <f t="shared" si="128"/>
        <v> </v>
      </c>
      <c r="J1603" s="18">
        <v>0</v>
      </c>
      <c r="K1603" s="18">
        <v>629656.16</v>
      </c>
      <c r="L1603" s="18">
        <v>1810564.51</v>
      </c>
    </row>
    <row r="1604" spans="1:13" ht="15" thickBot="1" x14ac:dyDescent="0.35">
      <c r="A1604" s="14">
        <v>1597</v>
      </c>
      <c r="B1604" s="15">
        <v>45653</v>
      </c>
      <c r="C1604" s="15">
        <v>45653</v>
      </c>
      <c r="D1604" s="16" t="s">
        <v>1192</v>
      </c>
      <c r="E1604" s="16" t="s">
        <v>1193</v>
      </c>
      <c r="F1604" s="16" t="s">
        <v>1194</v>
      </c>
      <c r="G1604" s="16" t="s">
        <v>1195</v>
      </c>
      <c r="H1604" s="14" t="str">
        <f>"20241227/113909"</f>
        <v>20241227/113909</v>
      </c>
      <c r="I1604" s="17" t="str">
        <f t="shared" si="128"/>
        <v> </v>
      </c>
      <c r="J1604" s="18">
        <v>0</v>
      </c>
      <c r="K1604" s="18">
        <v>4089.87</v>
      </c>
      <c r="L1604" s="18">
        <v>1806474.64</v>
      </c>
      <c r="M1604" t="s">
        <v>2661</v>
      </c>
    </row>
    <row r="1605" spans="1:13" ht="15" thickBot="1" x14ac:dyDescent="0.35">
      <c r="A1605" s="14">
        <v>1598</v>
      </c>
      <c r="B1605" s="15">
        <v>45653</v>
      </c>
      <c r="C1605" s="15">
        <v>45653</v>
      </c>
      <c r="D1605" s="16" t="s">
        <v>1192</v>
      </c>
      <c r="E1605" s="16" t="s">
        <v>1193</v>
      </c>
      <c r="F1605" s="16" t="s">
        <v>1194</v>
      </c>
      <c r="G1605" s="16" t="s">
        <v>1195</v>
      </c>
      <c r="H1605" s="14" t="str">
        <f>"20241227/12736"</f>
        <v>20241227/12736</v>
      </c>
      <c r="I1605" s="17" t="str">
        <f t="shared" si="128"/>
        <v> </v>
      </c>
      <c r="J1605" s="18">
        <v>0</v>
      </c>
      <c r="K1605" s="18">
        <v>332.69</v>
      </c>
      <c r="L1605" s="18">
        <v>1806141.95</v>
      </c>
      <c r="M1605" t="s">
        <v>2661</v>
      </c>
    </row>
    <row r="1606" spans="1:13" ht="15" thickBot="1" x14ac:dyDescent="0.35">
      <c r="A1606" s="14">
        <v>1599</v>
      </c>
      <c r="B1606" s="15">
        <v>45653</v>
      </c>
      <c r="C1606" s="15">
        <v>45653</v>
      </c>
      <c r="D1606" s="16" t="s">
        <v>1192</v>
      </c>
      <c r="E1606" s="16" t="s">
        <v>1193</v>
      </c>
      <c r="F1606" s="16" t="s">
        <v>2283</v>
      </c>
      <c r="G1606" s="16" t="s">
        <v>1197</v>
      </c>
      <c r="H1606" s="14" t="str">
        <f>"20241227/261724"</f>
        <v>20241227/261724</v>
      </c>
      <c r="I1606" s="19" t="str">
        <f t="shared" si="128"/>
        <v> </v>
      </c>
      <c r="J1606" s="18">
        <v>3909.09</v>
      </c>
      <c r="K1606" s="18">
        <v>0</v>
      </c>
      <c r="L1606" s="18">
        <v>1810051.04</v>
      </c>
    </row>
    <row r="1607" spans="1:13" ht="15" thickBot="1" x14ac:dyDescent="0.35">
      <c r="A1607" s="14">
        <v>1600</v>
      </c>
      <c r="B1607" s="15">
        <v>45653</v>
      </c>
      <c r="C1607" s="15">
        <v>45653</v>
      </c>
      <c r="D1607" s="16" t="s">
        <v>1192</v>
      </c>
      <c r="E1607" s="16" t="s">
        <v>1193</v>
      </c>
      <c r="F1607" s="16" t="s">
        <v>2283</v>
      </c>
      <c r="G1607" s="16" t="s">
        <v>1197</v>
      </c>
      <c r="H1607" s="14" t="str">
        <f>"20241227/261725"</f>
        <v>20241227/261725</v>
      </c>
      <c r="I1607" s="19" t="str">
        <f t="shared" si="128"/>
        <v> </v>
      </c>
      <c r="J1607" s="18">
        <v>623624.23</v>
      </c>
      <c r="K1607" s="18">
        <v>0</v>
      </c>
      <c r="L1607" s="18">
        <v>2433675.27</v>
      </c>
    </row>
    <row r="1608" spans="1:13" ht="15" thickBot="1" x14ac:dyDescent="0.35">
      <c r="A1608" s="14">
        <v>1601</v>
      </c>
      <c r="B1608" s="15">
        <v>45653</v>
      </c>
      <c r="C1608" s="15">
        <v>45653</v>
      </c>
      <c r="D1608" s="16" t="s">
        <v>1192</v>
      </c>
      <c r="E1608" s="16" t="s">
        <v>1193</v>
      </c>
      <c r="F1608" s="16" t="s">
        <v>2284</v>
      </c>
      <c r="G1608" s="16" t="s">
        <v>1197</v>
      </c>
      <c r="H1608" s="14" t="str">
        <f>"20241227/261726"</f>
        <v>20241227/261726</v>
      </c>
      <c r="I1608" s="19" t="str">
        <f t="shared" si="128"/>
        <v> </v>
      </c>
      <c r="J1608" s="18">
        <v>253034.05</v>
      </c>
      <c r="K1608" s="18">
        <v>0</v>
      </c>
      <c r="L1608" s="18">
        <v>2686709.32</v>
      </c>
    </row>
    <row r="1609" spans="1:13" ht="15" thickBot="1" x14ac:dyDescent="0.35">
      <c r="A1609" s="14">
        <v>1602</v>
      </c>
      <c r="B1609" s="15">
        <v>45653</v>
      </c>
      <c r="C1609" s="15">
        <v>45653</v>
      </c>
      <c r="D1609" s="16" t="s">
        <v>1192</v>
      </c>
      <c r="E1609" s="16" t="s">
        <v>1193</v>
      </c>
      <c r="F1609" s="16" t="s">
        <v>2285</v>
      </c>
      <c r="G1609" s="16" t="s">
        <v>1197</v>
      </c>
      <c r="H1609" s="14" t="str">
        <f>"20241227/320500"</f>
        <v>20241227/320500</v>
      </c>
      <c r="I1609" s="19" t="str">
        <f t="shared" si="128"/>
        <v> </v>
      </c>
      <c r="J1609" s="18">
        <v>0</v>
      </c>
      <c r="K1609" s="18">
        <v>3909.09</v>
      </c>
      <c r="L1609" s="18">
        <v>2682800.23</v>
      </c>
    </row>
    <row r="1610" spans="1:13" ht="15" thickBot="1" x14ac:dyDescent="0.35">
      <c r="A1610" s="14">
        <v>1603</v>
      </c>
      <c r="B1610" s="15">
        <v>45653</v>
      </c>
      <c r="C1610" s="15">
        <v>45653</v>
      </c>
      <c r="D1610" s="16" t="s">
        <v>1192</v>
      </c>
      <c r="E1610" s="16" t="s">
        <v>1193</v>
      </c>
      <c r="F1610" s="16" t="s">
        <v>2285</v>
      </c>
      <c r="G1610" s="16" t="s">
        <v>1197</v>
      </c>
      <c r="H1610" s="14" t="str">
        <f>"20241227/320501"</f>
        <v>20241227/320501</v>
      </c>
      <c r="I1610" s="19" t="str">
        <f t="shared" si="128"/>
        <v> </v>
      </c>
      <c r="J1610" s="18">
        <v>0</v>
      </c>
      <c r="K1610" s="18">
        <v>626084.81000000006</v>
      </c>
      <c r="L1610" s="18">
        <v>2056715.42</v>
      </c>
    </row>
    <row r="1611" spans="1:13" ht="15" thickBot="1" x14ac:dyDescent="0.35">
      <c r="A1611" s="14">
        <v>1604</v>
      </c>
      <c r="B1611" s="15">
        <v>45653</v>
      </c>
      <c r="C1611" s="15">
        <v>45653</v>
      </c>
      <c r="D1611" s="16" t="s">
        <v>1192</v>
      </c>
      <c r="E1611" s="16" t="s">
        <v>1193</v>
      </c>
      <c r="F1611" s="16" t="s">
        <v>2286</v>
      </c>
      <c r="G1611" s="16" t="s">
        <v>1197</v>
      </c>
      <c r="H1611" s="14" t="str">
        <f>"20241227/320502"</f>
        <v>20241227/320502</v>
      </c>
      <c r="I1611" s="19" t="str">
        <f t="shared" si="128"/>
        <v> </v>
      </c>
      <c r="J1611" s="18">
        <v>0</v>
      </c>
      <c r="K1611" s="18">
        <v>246483.6</v>
      </c>
      <c r="L1611" s="18">
        <v>1810231.82</v>
      </c>
    </row>
    <row r="1612" spans="1:13" ht="15" thickBot="1" x14ac:dyDescent="0.35">
      <c r="A1612" s="14">
        <v>1605</v>
      </c>
      <c r="B1612" s="15">
        <v>45653</v>
      </c>
      <c r="C1612" s="15">
        <v>45653</v>
      </c>
      <c r="D1612" s="16" t="s">
        <v>1192</v>
      </c>
      <c r="E1612" s="16" t="s">
        <v>1193</v>
      </c>
      <c r="F1612" s="16" t="s">
        <v>2287</v>
      </c>
      <c r="G1612" s="16" t="s">
        <v>1197</v>
      </c>
      <c r="H1612" s="14" t="str">
        <f>"20241227/85518"</f>
        <v>20241227/85518</v>
      </c>
      <c r="I1612" s="19" t="str">
        <f t="shared" si="128"/>
        <v> </v>
      </c>
      <c r="J1612" s="18">
        <v>332.69</v>
      </c>
      <c r="K1612" s="18">
        <v>0</v>
      </c>
      <c r="L1612" s="18">
        <v>1810564.51</v>
      </c>
      <c r="M1612" t="s">
        <v>2658</v>
      </c>
    </row>
    <row r="1613" spans="1:13" ht="15" thickBot="1" x14ac:dyDescent="0.35">
      <c r="A1613" s="14">
        <v>1606</v>
      </c>
      <c r="B1613" s="15">
        <v>45656</v>
      </c>
      <c r="C1613" s="15">
        <v>45656</v>
      </c>
      <c r="D1613" s="16" t="s">
        <v>1192</v>
      </c>
      <c r="E1613" s="16" t="s">
        <v>1193</v>
      </c>
      <c r="F1613" s="16" t="s">
        <v>1194</v>
      </c>
      <c r="G1613" s="16" t="s">
        <v>1195</v>
      </c>
      <c r="H1613" s="14" t="str">
        <f>"20241230/39948"</f>
        <v>20241230/39948</v>
      </c>
      <c r="I1613" s="17" t="str">
        <f t="shared" si="128"/>
        <v> </v>
      </c>
      <c r="J1613" s="18">
        <v>0</v>
      </c>
      <c r="K1613" s="18">
        <v>993.69</v>
      </c>
      <c r="L1613" s="18">
        <v>1809570.82</v>
      </c>
      <c r="M1613" t="s">
        <v>2661</v>
      </c>
    </row>
    <row r="1614" spans="1:13" ht="15" thickBot="1" x14ac:dyDescent="0.35">
      <c r="A1614" s="14">
        <v>1607</v>
      </c>
      <c r="B1614" s="15">
        <v>45656</v>
      </c>
      <c r="C1614" s="15">
        <v>45656</v>
      </c>
      <c r="D1614" s="16" t="s">
        <v>1192</v>
      </c>
      <c r="E1614" s="16" t="s">
        <v>1193</v>
      </c>
      <c r="F1614" s="16" t="s">
        <v>2288</v>
      </c>
      <c r="G1614" s="16" t="s">
        <v>1197</v>
      </c>
      <c r="H1614" s="14" t="str">
        <f>"20241230/288024"</f>
        <v>20241230/288024</v>
      </c>
      <c r="I1614" s="19" t="str">
        <f t="shared" si="128"/>
        <v> </v>
      </c>
      <c r="J1614" s="18">
        <v>3909.09</v>
      </c>
      <c r="K1614" s="18">
        <v>0</v>
      </c>
      <c r="L1614" s="18">
        <v>1813479.91</v>
      </c>
    </row>
    <row r="1615" spans="1:13" ht="15" thickBot="1" x14ac:dyDescent="0.35">
      <c r="A1615" s="14">
        <v>1608</v>
      </c>
      <c r="B1615" s="15">
        <v>45656</v>
      </c>
      <c r="C1615" s="15">
        <v>45656</v>
      </c>
      <c r="D1615" s="16" t="s">
        <v>1192</v>
      </c>
      <c r="E1615" s="16" t="s">
        <v>1193</v>
      </c>
      <c r="F1615" s="16" t="s">
        <v>2288</v>
      </c>
      <c r="G1615" s="16" t="s">
        <v>1197</v>
      </c>
      <c r="H1615" s="14" t="str">
        <f>"20241230/288025"</f>
        <v>20241230/288025</v>
      </c>
      <c r="I1615" s="19" t="str">
        <f t="shared" si="128"/>
        <v> </v>
      </c>
      <c r="J1615" s="18">
        <v>572641.32999999996</v>
      </c>
      <c r="K1615" s="18">
        <v>0</v>
      </c>
      <c r="L1615" s="18">
        <v>2386121.2400000002</v>
      </c>
    </row>
    <row r="1616" spans="1:13" ht="15" thickBot="1" x14ac:dyDescent="0.35">
      <c r="A1616" s="14">
        <v>1609</v>
      </c>
      <c r="B1616" s="15">
        <v>45656</v>
      </c>
      <c r="C1616" s="15">
        <v>45656</v>
      </c>
      <c r="D1616" s="16" t="s">
        <v>1192</v>
      </c>
      <c r="E1616" s="16" t="s">
        <v>1193</v>
      </c>
      <c r="F1616" s="16" t="s">
        <v>2289</v>
      </c>
      <c r="G1616" s="16" t="s">
        <v>1197</v>
      </c>
      <c r="H1616" s="14" t="str">
        <f>"20241230/288026"</f>
        <v>20241230/288026</v>
      </c>
      <c r="I1616" s="19" t="str">
        <f t="shared" si="128"/>
        <v> </v>
      </c>
      <c r="J1616" s="18">
        <v>256763.05</v>
      </c>
      <c r="K1616" s="18">
        <v>0</v>
      </c>
      <c r="L1616" s="18">
        <v>2642884.29</v>
      </c>
    </row>
    <row r="1617" spans="1:13" ht="15" thickBot="1" x14ac:dyDescent="0.35">
      <c r="A1617" s="14">
        <v>1610</v>
      </c>
      <c r="B1617" s="15">
        <v>45656</v>
      </c>
      <c r="C1617" s="15">
        <v>45656</v>
      </c>
      <c r="D1617" s="16" t="s">
        <v>1192</v>
      </c>
      <c r="E1617" s="16" t="s">
        <v>1193</v>
      </c>
      <c r="F1617" s="16" t="s">
        <v>2290</v>
      </c>
      <c r="G1617" s="16" t="s">
        <v>1197</v>
      </c>
      <c r="H1617" s="14" t="str">
        <f>"20241230/359264"</f>
        <v>20241230/359264</v>
      </c>
      <c r="I1617" s="19" t="str">
        <f t="shared" si="128"/>
        <v> </v>
      </c>
      <c r="J1617" s="18">
        <v>0</v>
      </c>
      <c r="K1617" s="18">
        <v>3909.09</v>
      </c>
      <c r="L1617" s="18">
        <v>2638975.2000000002</v>
      </c>
    </row>
    <row r="1618" spans="1:13" ht="15" thickBot="1" x14ac:dyDescent="0.35">
      <c r="A1618" s="14">
        <v>1611</v>
      </c>
      <c r="B1618" s="15">
        <v>45656</v>
      </c>
      <c r="C1618" s="15">
        <v>45656</v>
      </c>
      <c r="D1618" s="16" t="s">
        <v>1192</v>
      </c>
      <c r="E1618" s="16" t="s">
        <v>1193</v>
      </c>
      <c r="F1618" s="16" t="s">
        <v>2290</v>
      </c>
      <c r="G1618" s="16" t="s">
        <v>1197</v>
      </c>
      <c r="H1618" s="14" t="str">
        <f>"20241230/359265"</f>
        <v>20241230/359265</v>
      </c>
      <c r="I1618" s="19" t="str">
        <f t="shared" si="128"/>
        <v> </v>
      </c>
      <c r="J1618" s="18">
        <v>0</v>
      </c>
      <c r="K1618" s="18">
        <v>623624.23</v>
      </c>
      <c r="L1618" s="18">
        <v>2015350.97</v>
      </c>
    </row>
    <row r="1619" spans="1:13" ht="15" thickBot="1" x14ac:dyDescent="0.35">
      <c r="A1619" s="14">
        <v>1612</v>
      </c>
      <c r="B1619" s="15">
        <v>45656</v>
      </c>
      <c r="C1619" s="15">
        <v>45656</v>
      </c>
      <c r="D1619" s="16" t="s">
        <v>1192</v>
      </c>
      <c r="E1619" s="16" t="s">
        <v>1193</v>
      </c>
      <c r="F1619" s="16" t="s">
        <v>2291</v>
      </c>
      <c r="G1619" s="16" t="s">
        <v>1197</v>
      </c>
      <c r="H1619" s="14" t="str">
        <f>"20241230/359266"</f>
        <v>20241230/359266</v>
      </c>
      <c r="I1619" s="19" t="str">
        <f t="shared" si="128"/>
        <v> </v>
      </c>
      <c r="J1619" s="18">
        <v>0</v>
      </c>
      <c r="K1619" s="18">
        <v>253034.05</v>
      </c>
      <c r="L1619" s="18">
        <v>1762316.92</v>
      </c>
    </row>
    <row r="1620" spans="1:13" ht="15" thickBot="1" x14ac:dyDescent="0.35">
      <c r="A1620" s="14">
        <v>1613</v>
      </c>
      <c r="B1620" s="15">
        <v>45656</v>
      </c>
      <c r="C1620" s="15">
        <v>45656</v>
      </c>
      <c r="D1620" s="16" t="s">
        <v>1192</v>
      </c>
      <c r="E1620" s="16" t="s">
        <v>1193</v>
      </c>
      <c r="F1620" s="16" t="s">
        <v>2292</v>
      </c>
      <c r="G1620" s="16" t="s">
        <v>1197</v>
      </c>
      <c r="H1620" s="14" t="str">
        <f>"20241230/99174"</f>
        <v>20241230/99174</v>
      </c>
      <c r="I1620" s="19" t="str">
        <f t="shared" si="128"/>
        <v> </v>
      </c>
      <c r="J1620" s="18">
        <v>993.69</v>
      </c>
      <c r="K1620" s="18">
        <v>0</v>
      </c>
      <c r="L1620" s="18">
        <v>1763310.61</v>
      </c>
      <c r="M1620" t="s">
        <v>2658</v>
      </c>
    </row>
    <row r="1621" spans="1:13" ht="15" thickBot="1" x14ac:dyDescent="0.35">
      <c r="A1621" s="14">
        <v>1614</v>
      </c>
      <c r="B1621" s="15">
        <v>45657</v>
      </c>
      <c r="C1621" s="15">
        <v>45657</v>
      </c>
      <c r="D1621" s="16" t="s">
        <v>1192</v>
      </c>
      <c r="E1621" s="16" t="s">
        <v>1193</v>
      </c>
      <c r="F1621" s="16" t="s">
        <v>1202</v>
      </c>
      <c r="G1621" s="16" t="s">
        <v>1203</v>
      </c>
      <c r="H1621" s="14" t="str">
        <f>"20241231/3903"</f>
        <v>20241231/3903</v>
      </c>
      <c r="I1621" s="17" t="str">
        <f t="shared" si="128"/>
        <v> </v>
      </c>
      <c r="J1621" s="18">
        <v>47253.9</v>
      </c>
      <c r="K1621" s="18">
        <v>0</v>
      </c>
      <c r="L1621" s="18">
        <v>1810564.51</v>
      </c>
      <c r="M1621" t="s">
        <v>2661</v>
      </c>
    </row>
    <row r="1622" spans="1:13" ht="15" thickBot="1" x14ac:dyDescent="0.35">
      <c r="A1622" s="14">
        <v>1615</v>
      </c>
      <c r="B1622" s="15">
        <v>45657</v>
      </c>
      <c r="C1622" s="15">
        <v>45657</v>
      </c>
      <c r="D1622" s="16" t="s">
        <v>1192</v>
      </c>
      <c r="E1622" s="16" t="s">
        <v>1193</v>
      </c>
      <c r="F1622" s="16" t="s">
        <v>1194</v>
      </c>
      <c r="G1622" s="16" t="s">
        <v>1195</v>
      </c>
      <c r="H1622" s="14" t="str">
        <f>"20241231/15889"</f>
        <v>20241231/15889</v>
      </c>
      <c r="I1622" s="17" t="str">
        <f t="shared" si="128"/>
        <v> </v>
      </c>
      <c r="J1622" s="18">
        <v>0</v>
      </c>
      <c r="K1622" s="18">
        <v>331.23</v>
      </c>
      <c r="L1622" s="18">
        <v>1810233.28</v>
      </c>
      <c r="M1622" t="s">
        <v>2661</v>
      </c>
    </row>
    <row r="1623" spans="1:13" ht="15" thickBot="1" x14ac:dyDescent="0.35">
      <c r="A1623" s="14">
        <v>1616</v>
      </c>
      <c r="B1623" s="15">
        <v>45657</v>
      </c>
      <c r="C1623" s="15">
        <v>45657</v>
      </c>
      <c r="D1623" s="16" t="s">
        <v>1192</v>
      </c>
      <c r="E1623" s="16" t="s">
        <v>1193</v>
      </c>
      <c r="F1623" s="16" t="s">
        <v>1194</v>
      </c>
      <c r="G1623" s="16" t="s">
        <v>1195</v>
      </c>
      <c r="H1623" s="14" t="str">
        <f>"20241231/97469"</f>
        <v>20241231/97469</v>
      </c>
      <c r="I1623" s="17" t="str">
        <f t="shared" si="128"/>
        <v> </v>
      </c>
      <c r="J1623" s="18">
        <v>0</v>
      </c>
      <c r="K1623" s="18">
        <v>3827.24</v>
      </c>
      <c r="L1623" s="18">
        <v>1806406.04</v>
      </c>
      <c r="M1623" t="s">
        <v>2661</v>
      </c>
    </row>
    <row r="1624" spans="1:13" ht="15" thickBot="1" x14ac:dyDescent="0.35">
      <c r="A1624" s="14">
        <v>1617</v>
      </c>
      <c r="B1624" s="15">
        <v>45657</v>
      </c>
      <c r="C1624" s="15">
        <v>45657</v>
      </c>
      <c r="D1624" s="16" t="s">
        <v>1192</v>
      </c>
      <c r="E1624" s="16" t="s">
        <v>1193</v>
      </c>
      <c r="F1624" s="16" t="s">
        <v>2293</v>
      </c>
      <c r="G1624" s="16" t="s">
        <v>1197</v>
      </c>
      <c r="H1624" s="14" t="str">
        <f>"20241231/133860"</f>
        <v>20241231/133860</v>
      </c>
      <c r="I1624" s="19" t="str">
        <f t="shared" si="128"/>
        <v> </v>
      </c>
      <c r="J1624" s="18">
        <v>331.23</v>
      </c>
      <c r="K1624" s="18">
        <v>0</v>
      </c>
      <c r="L1624" s="18">
        <v>1806737.27</v>
      </c>
      <c r="M1624" t="s">
        <v>2658</v>
      </c>
    </row>
    <row r="1625" spans="1:13" ht="15" thickBot="1" x14ac:dyDescent="0.35">
      <c r="A1625" s="14">
        <v>1618</v>
      </c>
      <c r="B1625" s="15">
        <v>45657</v>
      </c>
      <c r="C1625" s="15">
        <v>45657</v>
      </c>
      <c r="D1625" s="16" t="s">
        <v>1192</v>
      </c>
      <c r="E1625" s="16" t="s">
        <v>1193</v>
      </c>
      <c r="F1625" s="16" t="s">
        <v>2294</v>
      </c>
      <c r="G1625" s="16" t="s">
        <v>1197</v>
      </c>
      <c r="H1625" s="14" t="str">
        <f>"20241231/253130"</f>
        <v>20241231/253130</v>
      </c>
      <c r="I1625" s="19" t="str">
        <f t="shared" si="128"/>
        <v> </v>
      </c>
      <c r="J1625" s="18">
        <v>3909.09</v>
      </c>
      <c r="K1625" s="18">
        <v>0</v>
      </c>
      <c r="L1625" s="18">
        <v>1810646.36</v>
      </c>
    </row>
    <row r="1626" spans="1:13" ht="15" thickBot="1" x14ac:dyDescent="0.35">
      <c r="A1626" s="14">
        <v>1619</v>
      </c>
      <c r="B1626" s="15">
        <v>45657</v>
      </c>
      <c r="C1626" s="15">
        <v>45657</v>
      </c>
      <c r="D1626" s="16" t="s">
        <v>1192</v>
      </c>
      <c r="E1626" s="16" t="s">
        <v>1193</v>
      </c>
      <c r="F1626" s="16" t="s">
        <v>2294</v>
      </c>
      <c r="G1626" s="16" t="s">
        <v>1197</v>
      </c>
      <c r="H1626" s="14" t="str">
        <f>"20241231/253131"</f>
        <v>20241231/253131</v>
      </c>
      <c r="I1626" s="19" t="str">
        <f t="shared" si="128"/>
        <v> </v>
      </c>
      <c r="J1626" s="18">
        <v>571215.72</v>
      </c>
      <c r="K1626" s="18">
        <v>0</v>
      </c>
      <c r="L1626" s="18">
        <v>2381862.08</v>
      </c>
    </row>
    <row r="1627" spans="1:13" ht="15" thickBot="1" x14ac:dyDescent="0.35">
      <c r="A1627" s="14">
        <v>1620</v>
      </c>
      <c r="B1627" s="15">
        <v>45657</v>
      </c>
      <c r="C1627" s="15">
        <v>45657</v>
      </c>
      <c r="D1627" s="16" t="s">
        <v>1192</v>
      </c>
      <c r="E1627" s="16" t="s">
        <v>1193</v>
      </c>
      <c r="F1627" s="16" t="s">
        <v>2295</v>
      </c>
      <c r="G1627" s="16" t="s">
        <v>1197</v>
      </c>
      <c r="H1627" s="14" t="str">
        <f>"20241231/253132"</f>
        <v>20241231/253132</v>
      </c>
      <c r="I1627" s="19" t="str">
        <f t="shared" si="128"/>
        <v> </v>
      </c>
      <c r="J1627" s="18">
        <v>262015.9</v>
      </c>
      <c r="K1627" s="18">
        <v>0</v>
      </c>
      <c r="L1627" s="18">
        <v>2643877.98</v>
      </c>
    </row>
    <row r="1628" spans="1:13" ht="15" thickBot="1" x14ac:dyDescent="0.35">
      <c r="A1628" s="14">
        <v>1621</v>
      </c>
      <c r="B1628" s="15">
        <v>45657</v>
      </c>
      <c r="C1628" s="15">
        <v>45657</v>
      </c>
      <c r="D1628" s="16" t="s">
        <v>1192</v>
      </c>
      <c r="E1628" s="16" t="s">
        <v>1193</v>
      </c>
      <c r="F1628" s="16" t="s">
        <v>2296</v>
      </c>
      <c r="G1628" s="16" t="s">
        <v>1197</v>
      </c>
      <c r="H1628" s="14" t="str">
        <f>"20241231/325829"</f>
        <v>20241231/325829</v>
      </c>
      <c r="I1628" s="19" t="str">
        <f t="shared" si="128"/>
        <v> </v>
      </c>
      <c r="J1628" s="18">
        <v>0</v>
      </c>
      <c r="K1628" s="18">
        <v>3909.09</v>
      </c>
      <c r="L1628" s="18">
        <v>2639968.89</v>
      </c>
    </row>
    <row r="1629" spans="1:13" ht="15" thickBot="1" x14ac:dyDescent="0.35">
      <c r="A1629" s="14">
        <v>1622</v>
      </c>
      <c r="B1629" s="15">
        <v>45657</v>
      </c>
      <c r="C1629" s="15">
        <v>45657</v>
      </c>
      <c r="D1629" s="16" t="s">
        <v>1192</v>
      </c>
      <c r="E1629" s="16" t="s">
        <v>1193</v>
      </c>
      <c r="F1629" s="16" t="s">
        <v>2296</v>
      </c>
      <c r="G1629" s="16" t="s">
        <v>1197</v>
      </c>
      <c r="H1629" s="14" t="str">
        <f>"20241231/325830"</f>
        <v>20241231/325830</v>
      </c>
      <c r="I1629" s="19" t="str">
        <f t="shared" si="128"/>
        <v> </v>
      </c>
      <c r="J1629" s="18">
        <v>0</v>
      </c>
      <c r="K1629" s="18">
        <v>572641.32999999996</v>
      </c>
      <c r="L1629" s="18">
        <v>2067327.56</v>
      </c>
    </row>
    <row r="1630" spans="1:13" ht="15" thickBot="1" x14ac:dyDescent="0.35">
      <c r="A1630" s="14">
        <v>1623</v>
      </c>
      <c r="B1630" s="15">
        <v>45657</v>
      </c>
      <c r="C1630" s="15">
        <v>45657</v>
      </c>
      <c r="D1630" s="16" t="s">
        <v>1192</v>
      </c>
      <c r="E1630" s="16" t="s">
        <v>1193</v>
      </c>
      <c r="F1630" s="16" t="s">
        <v>2297</v>
      </c>
      <c r="G1630" s="16" t="s">
        <v>1197</v>
      </c>
      <c r="H1630" s="14" t="str">
        <f>"20241231/325831"</f>
        <v>20241231/325831</v>
      </c>
      <c r="I1630" s="19" t="str">
        <f t="shared" si="128"/>
        <v> </v>
      </c>
      <c r="J1630" s="18">
        <v>0</v>
      </c>
      <c r="K1630" s="18">
        <v>256763.05</v>
      </c>
      <c r="L1630" s="18">
        <v>1810564.51</v>
      </c>
    </row>
    <row r="1631" spans="1:13" ht="15" thickBot="1" x14ac:dyDescent="0.35">
      <c r="A1631" s="14">
        <v>1624</v>
      </c>
      <c r="B1631" s="15">
        <v>45658</v>
      </c>
      <c r="C1631" s="15">
        <v>45658</v>
      </c>
      <c r="D1631" s="16" t="s">
        <v>1192</v>
      </c>
      <c r="E1631" s="16" t="s">
        <v>1193</v>
      </c>
      <c r="F1631" s="16" t="s">
        <v>1194</v>
      </c>
      <c r="G1631" s="16" t="s">
        <v>1195</v>
      </c>
      <c r="H1631" s="14" t="str">
        <f>"20250101/45438"</f>
        <v>20250101/45438</v>
      </c>
      <c r="I1631" s="17" t="str">
        <f t="shared" si="128"/>
        <v> </v>
      </c>
      <c r="J1631" s="18">
        <v>0</v>
      </c>
      <c r="K1631" s="18">
        <v>346.7</v>
      </c>
      <c r="L1631" s="18">
        <v>1810217.81</v>
      </c>
      <c r="M1631" t="s">
        <v>2661</v>
      </c>
    </row>
    <row r="1632" spans="1:13" ht="15" thickBot="1" x14ac:dyDescent="0.35">
      <c r="A1632" s="14">
        <v>1625</v>
      </c>
      <c r="B1632" s="15">
        <v>45658</v>
      </c>
      <c r="C1632" s="15">
        <v>45658</v>
      </c>
      <c r="D1632" s="16" t="s">
        <v>1192</v>
      </c>
      <c r="E1632" s="16" t="s">
        <v>1193</v>
      </c>
      <c r="F1632" s="16" t="s">
        <v>2298</v>
      </c>
      <c r="G1632" s="16" t="s">
        <v>1197</v>
      </c>
      <c r="H1632" s="14" t="str">
        <f>"20250101/219526"</f>
        <v>20250101/219526</v>
      </c>
      <c r="I1632" s="19" t="str">
        <f t="shared" ref="I1632:I1648" si="129">" "</f>
        <v> </v>
      </c>
      <c r="J1632" s="18">
        <v>3909.09</v>
      </c>
      <c r="K1632" s="18">
        <v>0</v>
      </c>
      <c r="L1632" s="18">
        <v>1814126.9</v>
      </c>
    </row>
    <row r="1633" spans="1:13" ht="15" thickBot="1" x14ac:dyDescent="0.35">
      <c r="A1633" s="14">
        <v>1626</v>
      </c>
      <c r="B1633" s="15">
        <v>45658</v>
      </c>
      <c r="C1633" s="15">
        <v>45658</v>
      </c>
      <c r="D1633" s="16" t="s">
        <v>1192</v>
      </c>
      <c r="E1633" s="16" t="s">
        <v>1193</v>
      </c>
      <c r="F1633" s="16" t="s">
        <v>2298</v>
      </c>
      <c r="G1633" s="16" t="s">
        <v>1197</v>
      </c>
      <c r="H1633" s="14" t="str">
        <f>"20250101/219527"</f>
        <v>20250101/219527</v>
      </c>
      <c r="I1633" s="19" t="str">
        <f t="shared" si="129"/>
        <v> </v>
      </c>
      <c r="J1633" s="18">
        <v>575933.65</v>
      </c>
      <c r="K1633" s="18">
        <v>0</v>
      </c>
      <c r="L1633" s="18">
        <v>2390060.5499999998</v>
      </c>
    </row>
    <row r="1634" spans="1:13" ht="15" thickBot="1" x14ac:dyDescent="0.35">
      <c r="A1634" s="14">
        <v>1627</v>
      </c>
      <c r="B1634" s="15">
        <v>45658</v>
      </c>
      <c r="C1634" s="15">
        <v>45658</v>
      </c>
      <c r="D1634" s="16" t="s">
        <v>1192</v>
      </c>
      <c r="E1634" s="16" t="s">
        <v>1193</v>
      </c>
      <c r="F1634" s="16" t="s">
        <v>2299</v>
      </c>
      <c r="G1634" s="16" t="s">
        <v>1197</v>
      </c>
      <c r="H1634" s="14" t="str">
        <f>"20250101/219528"</f>
        <v>20250101/219528</v>
      </c>
      <c r="I1634" s="19" t="str">
        <f t="shared" si="129"/>
        <v> </v>
      </c>
      <c r="J1634" s="18">
        <v>251938.9</v>
      </c>
      <c r="K1634" s="18">
        <v>0</v>
      </c>
      <c r="L1634" s="18">
        <v>2641999.4500000002</v>
      </c>
    </row>
    <row r="1635" spans="1:13" ht="15" thickBot="1" x14ac:dyDescent="0.35">
      <c r="A1635" s="14">
        <v>1628</v>
      </c>
      <c r="B1635" s="15">
        <v>45658</v>
      </c>
      <c r="C1635" s="15">
        <v>45658</v>
      </c>
      <c r="D1635" s="16" t="s">
        <v>1192</v>
      </c>
      <c r="E1635" s="16" t="s">
        <v>1193</v>
      </c>
      <c r="F1635" s="16" t="s">
        <v>2300</v>
      </c>
      <c r="G1635" s="16" t="s">
        <v>1197</v>
      </c>
      <c r="H1635" s="14" t="str">
        <f>"20250101/358238"</f>
        <v>20250101/358238</v>
      </c>
      <c r="I1635" s="19" t="str">
        <f t="shared" si="129"/>
        <v> </v>
      </c>
      <c r="J1635" s="18">
        <v>0</v>
      </c>
      <c r="K1635" s="18">
        <v>3909.09</v>
      </c>
      <c r="L1635" s="18">
        <v>2638090.36</v>
      </c>
    </row>
    <row r="1636" spans="1:13" ht="15" thickBot="1" x14ac:dyDescent="0.35">
      <c r="A1636" s="14">
        <v>1629</v>
      </c>
      <c r="B1636" s="15">
        <v>45658</v>
      </c>
      <c r="C1636" s="15">
        <v>45658</v>
      </c>
      <c r="D1636" s="16" t="s">
        <v>1192</v>
      </c>
      <c r="E1636" s="16" t="s">
        <v>1193</v>
      </c>
      <c r="F1636" s="16" t="s">
        <v>2300</v>
      </c>
      <c r="G1636" s="16" t="s">
        <v>1197</v>
      </c>
      <c r="H1636" s="14" t="str">
        <f>"20250101/358239"</f>
        <v>20250101/358239</v>
      </c>
      <c r="I1636" s="19" t="str">
        <f t="shared" si="129"/>
        <v> </v>
      </c>
      <c r="J1636" s="18">
        <v>0</v>
      </c>
      <c r="K1636" s="18">
        <v>571215.72</v>
      </c>
      <c r="L1636" s="18">
        <v>2066874.64</v>
      </c>
    </row>
    <row r="1637" spans="1:13" ht="15" thickBot="1" x14ac:dyDescent="0.35">
      <c r="A1637" s="14">
        <v>1630</v>
      </c>
      <c r="B1637" s="15">
        <v>45658</v>
      </c>
      <c r="C1637" s="15">
        <v>45658</v>
      </c>
      <c r="D1637" s="16" t="s">
        <v>1192</v>
      </c>
      <c r="E1637" s="16" t="s">
        <v>1193</v>
      </c>
      <c r="F1637" s="16" t="s">
        <v>2301</v>
      </c>
      <c r="G1637" s="16" t="s">
        <v>1197</v>
      </c>
      <c r="H1637" s="14" t="str">
        <f>"20250101/358240"</f>
        <v>20250101/358240</v>
      </c>
      <c r="I1637" s="19" t="str">
        <f t="shared" si="129"/>
        <v> </v>
      </c>
      <c r="J1637" s="18">
        <v>0</v>
      </c>
      <c r="K1637" s="18">
        <v>262015.9</v>
      </c>
      <c r="L1637" s="18">
        <v>1804858.74</v>
      </c>
    </row>
    <row r="1638" spans="1:13" ht="15" thickBot="1" x14ac:dyDescent="0.35">
      <c r="A1638" s="14">
        <v>1631</v>
      </c>
      <c r="B1638" s="15">
        <v>45658</v>
      </c>
      <c r="C1638" s="15">
        <v>45658</v>
      </c>
      <c r="D1638" s="16" t="s">
        <v>1192</v>
      </c>
      <c r="E1638" s="16" t="s">
        <v>1193</v>
      </c>
      <c r="F1638" s="16" t="s">
        <v>2302</v>
      </c>
      <c r="G1638" s="16" t="s">
        <v>1197</v>
      </c>
      <c r="H1638" s="14" t="str">
        <f>"20250101/86288"</f>
        <v>20250101/86288</v>
      </c>
      <c r="I1638" s="19" t="str">
        <f t="shared" si="129"/>
        <v> </v>
      </c>
      <c r="J1638" s="18">
        <v>346.7</v>
      </c>
      <c r="K1638" s="18">
        <v>0</v>
      </c>
      <c r="L1638" s="18">
        <v>1805205.44</v>
      </c>
      <c r="M1638" t="s">
        <v>2658</v>
      </c>
    </row>
    <row r="1639" spans="1:13" ht="15" thickBot="1" x14ac:dyDescent="0.35">
      <c r="A1639" s="14">
        <v>1632</v>
      </c>
      <c r="B1639" s="15">
        <v>45659</v>
      </c>
      <c r="C1639" s="15">
        <v>45659</v>
      </c>
      <c r="D1639" s="16" t="s">
        <v>1192</v>
      </c>
      <c r="E1639" s="16" t="s">
        <v>1193</v>
      </c>
      <c r="F1639" s="16" t="s">
        <v>1202</v>
      </c>
      <c r="G1639" s="16" t="s">
        <v>1203</v>
      </c>
      <c r="H1639" s="14" t="str">
        <f>"20250102/10594"</f>
        <v>20250102/10594</v>
      </c>
      <c r="I1639" s="17" t="str">
        <f t="shared" si="129"/>
        <v> </v>
      </c>
      <c r="J1639" s="18">
        <v>5359.07</v>
      </c>
      <c r="K1639" s="18">
        <v>0</v>
      </c>
      <c r="L1639" s="18">
        <v>1810564.51</v>
      </c>
      <c r="M1639" t="s">
        <v>2661</v>
      </c>
    </row>
    <row r="1640" spans="1:13" ht="15" thickBot="1" x14ac:dyDescent="0.35">
      <c r="A1640" s="14">
        <v>1633</v>
      </c>
      <c r="B1640" s="15">
        <v>45659</v>
      </c>
      <c r="C1640" s="15">
        <v>45659</v>
      </c>
      <c r="D1640" s="16" t="s">
        <v>1192</v>
      </c>
      <c r="E1640" s="16" t="s">
        <v>1193</v>
      </c>
      <c r="F1640" s="16" t="s">
        <v>1194</v>
      </c>
      <c r="G1640" s="16" t="s">
        <v>1195</v>
      </c>
      <c r="H1640" s="14" t="str">
        <f>"20250102/33910"</f>
        <v>20250102/33910</v>
      </c>
      <c r="I1640" s="17" t="str">
        <f t="shared" si="129"/>
        <v> </v>
      </c>
      <c r="J1640" s="18">
        <v>0</v>
      </c>
      <c r="K1640" s="18">
        <v>346.7</v>
      </c>
      <c r="L1640" s="18">
        <v>1810217.81</v>
      </c>
      <c r="M1640" t="s">
        <v>2661</v>
      </c>
    </row>
    <row r="1641" spans="1:13" ht="15" thickBot="1" x14ac:dyDescent="0.35">
      <c r="A1641" s="14">
        <v>1634</v>
      </c>
      <c r="B1641" s="15">
        <v>45659</v>
      </c>
      <c r="C1641" s="15">
        <v>45659</v>
      </c>
      <c r="D1641" s="16" t="s">
        <v>1192</v>
      </c>
      <c r="E1641" s="16" t="s">
        <v>1193</v>
      </c>
      <c r="F1641" s="16" t="s">
        <v>1194</v>
      </c>
      <c r="G1641" s="16" t="s">
        <v>1195</v>
      </c>
      <c r="H1641" s="14" t="str">
        <f>"20250102/92364"</f>
        <v>20250102/92364</v>
      </c>
      <c r="I1641" s="17" t="str">
        <f t="shared" si="129"/>
        <v> </v>
      </c>
      <c r="J1641" s="18">
        <v>0</v>
      </c>
      <c r="K1641" s="18">
        <v>63492.639999999999</v>
      </c>
      <c r="L1641" s="18">
        <v>1746725.17</v>
      </c>
      <c r="M1641" t="s">
        <v>2661</v>
      </c>
    </row>
    <row r="1642" spans="1:13" ht="15" thickBot="1" x14ac:dyDescent="0.35">
      <c r="A1642" s="14">
        <v>1635</v>
      </c>
      <c r="B1642" s="15">
        <v>45659</v>
      </c>
      <c r="C1642" s="15">
        <v>45659</v>
      </c>
      <c r="D1642" s="16" t="s">
        <v>1192</v>
      </c>
      <c r="E1642" s="16" t="s">
        <v>1193</v>
      </c>
      <c r="F1642" s="16" t="s">
        <v>2303</v>
      </c>
      <c r="G1642" s="16" t="s">
        <v>1197</v>
      </c>
      <c r="H1642" s="14" t="str">
        <f>"20250102/102996"</f>
        <v>20250102/102996</v>
      </c>
      <c r="I1642" s="19" t="str">
        <f t="shared" si="129"/>
        <v> </v>
      </c>
      <c r="J1642" s="18">
        <v>346.7</v>
      </c>
      <c r="K1642" s="18">
        <v>0</v>
      </c>
      <c r="L1642" s="18">
        <v>1747071.87</v>
      </c>
      <c r="M1642" t="s">
        <v>2658</v>
      </c>
    </row>
    <row r="1643" spans="1:13" ht="15" thickBot="1" x14ac:dyDescent="0.35">
      <c r="A1643" s="14">
        <v>1636</v>
      </c>
      <c r="B1643" s="15">
        <v>45659</v>
      </c>
      <c r="C1643" s="15">
        <v>45659</v>
      </c>
      <c r="D1643" s="16" t="s">
        <v>1192</v>
      </c>
      <c r="E1643" s="16" t="s">
        <v>1193</v>
      </c>
      <c r="F1643" s="16" t="s">
        <v>2304</v>
      </c>
      <c r="G1643" s="16" t="s">
        <v>1197</v>
      </c>
      <c r="H1643" s="14" t="str">
        <f>"20250102/259933"</f>
        <v>20250102/259933</v>
      </c>
      <c r="I1643" s="19" t="str">
        <f t="shared" si="129"/>
        <v> </v>
      </c>
      <c r="J1643" s="18">
        <v>3909.09</v>
      </c>
      <c r="K1643" s="18">
        <v>0</v>
      </c>
      <c r="L1643" s="18">
        <v>1750980.96</v>
      </c>
    </row>
    <row r="1644" spans="1:13" ht="15" thickBot="1" x14ac:dyDescent="0.35">
      <c r="A1644" s="14">
        <v>1637</v>
      </c>
      <c r="B1644" s="15">
        <v>45659</v>
      </c>
      <c r="C1644" s="15">
        <v>45659</v>
      </c>
      <c r="D1644" s="16" t="s">
        <v>1192</v>
      </c>
      <c r="E1644" s="16" t="s">
        <v>1193</v>
      </c>
      <c r="F1644" s="16" t="s">
        <v>2304</v>
      </c>
      <c r="G1644" s="16" t="s">
        <v>1197</v>
      </c>
      <c r="H1644" s="14" t="str">
        <f>"20250102/259934"</f>
        <v>20250102/259934</v>
      </c>
      <c r="I1644" s="19" t="str">
        <f t="shared" si="129"/>
        <v> </v>
      </c>
      <c r="J1644" s="18">
        <v>552997.93000000005</v>
      </c>
      <c r="K1644" s="18">
        <v>0</v>
      </c>
      <c r="L1644" s="18">
        <v>2303978.89</v>
      </c>
    </row>
    <row r="1645" spans="1:13" ht="15" thickBot="1" x14ac:dyDescent="0.35">
      <c r="A1645" s="14">
        <v>1638</v>
      </c>
      <c r="B1645" s="15">
        <v>45659</v>
      </c>
      <c r="C1645" s="15">
        <v>45659</v>
      </c>
      <c r="D1645" s="16" t="s">
        <v>1192</v>
      </c>
      <c r="E1645" s="16" t="s">
        <v>1193</v>
      </c>
      <c r="F1645" s="16" t="s">
        <v>2305</v>
      </c>
      <c r="G1645" s="16" t="s">
        <v>1197</v>
      </c>
      <c r="H1645" s="14" t="str">
        <f>"20250102/259935"</f>
        <v>20250102/259935</v>
      </c>
      <c r="I1645" s="19" t="str">
        <f t="shared" si="129"/>
        <v> </v>
      </c>
      <c r="J1645" s="18">
        <v>237752.95</v>
      </c>
      <c r="K1645" s="18">
        <v>0</v>
      </c>
      <c r="L1645" s="18">
        <v>2541731.8399999999</v>
      </c>
    </row>
    <row r="1646" spans="1:13" ht="15" thickBot="1" x14ac:dyDescent="0.35">
      <c r="A1646" s="14">
        <v>1639</v>
      </c>
      <c r="B1646" s="15">
        <v>45659</v>
      </c>
      <c r="C1646" s="15">
        <v>45659</v>
      </c>
      <c r="D1646" s="16" t="s">
        <v>1192</v>
      </c>
      <c r="E1646" s="16" t="s">
        <v>1193</v>
      </c>
      <c r="F1646" s="16" t="s">
        <v>2306</v>
      </c>
      <c r="G1646" s="16" t="s">
        <v>1197</v>
      </c>
      <c r="H1646" s="14" t="str">
        <f>"20250102/353541"</f>
        <v>20250102/353541</v>
      </c>
      <c r="I1646" s="19" t="str">
        <f t="shared" si="129"/>
        <v> </v>
      </c>
      <c r="J1646" s="18">
        <v>0</v>
      </c>
      <c r="K1646" s="18">
        <v>3909.09</v>
      </c>
      <c r="L1646" s="18">
        <v>2537822.75</v>
      </c>
    </row>
    <row r="1647" spans="1:13" ht="15" thickBot="1" x14ac:dyDescent="0.35">
      <c r="A1647" s="14">
        <v>1640</v>
      </c>
      <c r="B1647" s="15">
        <v>45659</v>
      </c>
      <c r="C1647" s="15">
        <v>45659</v>
      </c>
      <c r="D1647" s="16" t="s">
        <v>1192</v>
      </c>
      <c r="E1647" s="16" t="s">
        <v>1193</v>
      </c>
      <c r="F1647" s="16" t="s">
        <v>2306</v>
      </c>
      <c r="G1647" s="16" t="s">
        <v>1197</v>
      </c>
      <c r="H1647" s="14" t="str">
        <f>"20250102/353542"</f>
        <v>20250102/353542</v>
      </c>
      <c r="I1647" s="19" t="str">
        <f t="shared" si="129"/>
        <v> </v>
      </c>
      <c r="J1647" s="18">
        <v>0</v>
      </c>
      <c r="K1647" s="18">
        <v>575933.65</v>
      </c>
      <c r="L1647" s="18">
        <v>1961889.1</v>
      </c>
    </row>
    <row r="1648" spans="1:13" ht="15" thickBot="1" x14ac:dyDescent="0.35">
      <c r="A1648" s="14">
        <v>1641</v>
      </c>
      <c r="B1648" s="15">
        <v>45659</v>
      </c>
      <c r="C1648" s="15">
        <v>45659</v>
      </c>
      <c r="D1648" s="16" t="s">
        <v>1192</v>
      </c>
      <c r="E1648" s="16" t="s">
        <v>1193</v>
      </c>
      <c r="F1648" s="16" t="s">
        <v>2307</v>
      </c>
      <c r="G1648" s="16" t="s">
        <v>1197</v>
      </c>
      <c r="H1648" s="14" t="str">
        <f>"20250102/353543"</f>
        <v>20250102/353543</v>
      </c>
      <c r="I1648" s="19" t="str">
        <f t="shared" si="129"/>
        <v> </v>
      </c>
      <c r="J1648" s="18">
        <v>0</v>
      </c>
      <c r="K1648" s="18">
        <v>251938.9</v>
      </c>
      <c r="L1648" s="18">
        <v>1709950.2</v>
      </c>
    </row>
    <row r="1649" spans="1:13" ht="15" thickBot="1" x14ac:dyDescent="0.35">
      <c r="A1649" s="14">
        <v>1642</v>
      </c>
      <c r="B1649" s="15">
        <v>45659</v>
      </c>
      <c r="C1649" s="15">
        <v>45660</v>
      </c>
      <c r="D1649" s="16" t="s">
        <v>1192</v>
      </c>
      <c r="E1649" s="16" t="s">
        <v>1193</v>
      </c>
      <c r="F1649" s="16" t="s">
        <v>2308</v>
      </c>
      <c r="G1649" s="16" t="s">
        <v>1197</v>
      </c>
      <c r="H1649" s="14" t="str">
        <f>"20250102/153985"</f>
        <v>20250102/153985</v>
      </c>
      <c r="I1649" s="19" t="str">
        <f>"2501000586966"</f>
        <v>2501000586966</v>
      </c>
      <c r="J1649" s="18">
        <v>13197.48</v>
      </c>
      <c r="K1649" s="18">
        <v>0</v>
      </c>
      <c r="L1649" s="18">
        <v>1723147.68</v>
      </c>
    </row>
    <row r="1650" spans="1:13" ht="15" thickBot="1" x14ac:dyDescent="0.35">
      <c r="A1650" s="14">
        <v>1643</v>
      </c>
      <c r="B1650" s="15">
        <v>45660</v>
      </c>
      <c r="C1650" s="15">
        <v>45660</v>
      </c>
      <c r="D1650" s="16" t="s">
        <v>1192</v>
      </c>
      <c r="E1650" s="16" t="s">
        <v>1193</v>
      </c>
      <c r="F1650" s="16" t="s">
        <v>1194</v>
      </c>
      <c r="G1650" s="16" t="s">
        <v>1195</v>
      </c>
      <c r="H1650" s="14" t="str">
        <f>"20250103/135533"</f>
        <v>20250103/135533</v>
      </c>
      <c r="I1650" s="17" t="str">
        <f t="shared" ref="I1650:I1667" si="130">" "</f>
        <v> </v>
      </c>
      <c r="J1650" s="18">
        <v>0</v>
      </c>
      <c r="K1650" s="18">
        <v>3304.04</v>
      </c>
      <c r="L1650" s="18">
        <v>1719843.64</v>
      </c>
      <c r="M1650" t="s">
        <v>2661</v>
      </c>
    </row>
    <row r="1651" spans="1:13" ht="15" thickBot="1" x14ac:dyDescent="0.35">
      <c r="A1651" s="14">
        <v>1644</v>
      </c>
      <c r="B1651" s="15">
        <v>45660</v>
      </c>
      <c r="C1651" s="15">
        <v>45660</v>
      </c>
      <c r="D1651" s="16" t="s">
        <v>1192</v>
      </c>
      <c r="E1651" s="16" t="s">
        <v>1193</v>
      </c>
      <c r="F1651" s="16" t="s">
        <v>1194</v>
      </c>
      <c r="G1651" s="16" t="s">
        <v>1195</v>
      </c>
      <c r="H1651" s="14" t="str">
        <f>"20250103/42829"</f>
        <v>20250103/42829</v>
      </c>
      <c r="I1651" s="17" t="str">
        <f t="shared" si="130"/>
        <v> </v>
      </c>
      <c r="J1651" s="18">
        <v>0</v>
      </c>
      <c r="K1651" s="18">
        <v>325.99</v>
      </c>
      <c r="L1651" s="18">
        <v>1719517.65</v>
      </c>
      <c r="M1651" t="s">
        <v>2661</v>
      </c>
    </row>
    <row r="1652" spans="1:13" ht="15" thickBot="1" x14ac:dyDescent="0.35">
      <c r="A1652" s="14">
        <v>1645</v>
      </c>
      <c r="B1652" s="15">
        <v>45660</v>
      </c>
      <c r="C1652" s="15">
        <v>45660</v>
      </c>
      <c r="D1652" s="16" t="s">
        <v>1192</v>
      </c>
      <c r="E1652" s="16" t="s">
        <v>1193</v>
      </c>
      <c r="F1652" s="16" t="s">
        <v>2309</v>
      </c>
      <c r="G1652" s="16" t="s">
        <v>1197</v>
      </c>
      <c r="H1652" s="14" t="str">
        <f>"20250103/135026"</f>
        <v>20250103/135026</v>
      </c>
      <c r="I1652" s="19" t="str">
        <f t="shared" si="130"/>
        <v> </v>
      </c>
      <c r="J1652" s="18">
        <v>325.99</v>
      </c>
      <c r="K1652" s="18">
        <v>0</v>
      </c>
      <c r="L1652" s="18">
        <v>1719843.64</v>
      </c>
      <c r="M1652" t="s">
        <v>2658</v>
      </c>
    </row>
    <row r="1653" spans="1:13" ht="15" thickBot="1" x14ac:dyDescent="0.35">
      <c r="A1653" s="14">
        <v>1646</v>
      </c>
      <c r="B1653" s="15">
        <v>45660</v>
      </c>
      <c r="C1653" s="15">
        <v>45660</v>
      </c>
      <c r="D1653" s="16" t="s">
        <v>1192</v>
      </c>
      <c r="E1653" s="16" t="s">
        <v>1193</v>
      </c>
      <c r="F1653" s="16" t="s">
        <v>2310</v>
      </c>
      <c r="G1653" s="16" t="s">
        <v>1197</v>
      </c>
      <c r="H1653" s="14" t="str">
        <f>"20250103/267743"</f>
        <v>20250103/267743</v>
      </c>
      <c r="I1653" s="19" t="str">
        <f t="shared" si="130"/>
        <v> </v>
      </c>
      <c r="J1653" s="18">
        <v>3909.09</v>
      </c>
      <c r="K1653" s="18">
        <v>0</v>
      </c>
      <c r="L1653" s="18">
        <v>1723752.73</v>
      </c>
    </row>
    <row r="1654" spans="1:13" ht="15" thickBot="1" x14ac:dyDescent="0.35">
      <c r="A1654" s="14">
        <v>1647</v>
      </c>
      <c r="B1654" s="15">
        <v>45660</v>
      </c>
      <c r="C1654" s="15">
        <v>45660</v>
      </c>
      <c r="D1654" s="16" t="s">
        <v>1192</v>
      </c>
      <c r="E1654" s="16" t="s">
        <v>1193</v>
      </c>
      <c r="F1654" s="16" t="s">
        <v>2310</v>
      </c>
      <c r="G1654" s="16" t="s">
        <v>1197</v>
      </c>
      <c r="H1654" s="14" t="str">
        <f>"20250103/267744"</f>
        <v>20250103/267744</v>
      </c>
      <c r="I1654" s="19" t="str">
        <f t="shared" si="130"/>
        <v> </v>
      </c>
      <c r="J1654" s="18">
        <v>551286.02</v>
      </c>
      <c r="K1654" s="18">
        <v>0</v>
      </c>
      <c r="L1654" s="18">
        <v>2275038.75</v>
      </c>
    </row>
    <row r="1655" spans="1:13" ht="15" thickBot="1" x14ac:dyDescent="0.35">
      <c r="A1655" s="14">
        <v>1648</v>
      </c>
      <c r="B1655" s="15">
        <v>45660</v>
      </c>
      <c r="C1655" s="15">
        <v>45660</v>
      </c>
      <c r="D1655" s="16" t="s">
        <v>1192</v>
      </c>
      <c r="E1655" s="16" t="s">
        <v>1193</v>
      </c>
      <c r="F1655" s="16" t="s">
        <v>2311</v>
      </c>
      <c r="G1655" s="16" t="s">
        <v>1197</v>
      </c>
      <c r="H1655" s="14" t="str">
        <f>"20250103/267745"</f>
        <v>20250103/267745</v>
      </c>
      <c r="I1655" s="19" t="str">
        <f t="shared" si="130"/>
        <v> </v>
      </c>
      <c r="J1655" s="18">
        <v>242768.9</v>
      </c>
      <c r="K1655" s="18">
        <v>0</v>
      </c>
      <c r="L1655" s="18">
        <v>2517807.65</v>
      </c>
    </row>
    <row r="1656" spans="1:13" ht="15" thickBot="1" x14ac:dyDescent="0.35">
      <c r="A1656" s="14">
        <v>1649</v>
      </c>
      <c r="B1656" s="15">
        <v>45660</v>
      </c>
      <c r="C1656" s="15">
        <v>45660</v>
      </c>
      <c r="D1656" s="16" t="s">
        <v>1192</v>
      </c>
      <c r="E1656" s="16" t="s">
        <v>1193</v>
      </c>
      <c r="F1656" s="16" t="s">
        <v>2312</v>
      </c>
      <c r="G1656" s="16" t="s">
        <v>1197</v>
      </c>
      <c r="H1656" s="14" t="str">
        <f>"20250103/411451"</f>
        <v>20250103/411451</v>
      </c>
      <c r="I1656" s="19" t="str">
        <f t="shared" si="130"/>
        <v> </v>
      </c>
      <c r="J1656" s="18">
        <v>0</v>
      </c>
      <c r="K1656" s="18">
        <v>3909.09</v>
      </c>
      <c r="L1656" s="18">
        <v>2513898.56</v>
      </c>
    </row>
    <row r="1657" spans="1:13" ht="15" thickBot="1" x14ac:dyDescent="0.35">
      <c r="A1657" s="14">
        <v>1650</v>
      </c>
      <c r="B1657" s="15">
        <v>45660</v>
      </c>
      <c r="C1657" s="15">
        <v>45660</v>
      </c>
      <c r="D1657" s="16" t="s">
        <v>1192</v>
      </c>
      <c r="E1657" s="16" t="s">
        <v>1193</v>
      </c>
      <c r="F1657" s="16" t="s">
        <v>2312</v>
      </c>
      <c r="G1657" s="16" t="s">
        <v>1197</v>
      </c>
      <c r="H1657" s="14" t="str">
        <f>"20250103/411452"</f>
        <v>20250103/411452</v>
      </c>
      <c r="I1657" s="19" t="str">
        <f t="shared" si="130"/>
        <v> </v>
      </c>
      <c r="J1657" s="18">
        <v>0</v>
      </c>
      <c r="K1657" s="18">
        <v>552997.93000000005</v>
      </c>
      <c r="L1657" s="18">
        <v>1960900.63</v>
      </c>
    </row>
    <row r="1658" spans="1:13" ht="15" thickBot="1" x14ac:dyDescent="0.35">
      <c r="A1658" s="14">
        <v>1651</v>
      </c>
      <c r="B1658" s="15">
        <v>45660</v>
      </c>
      <c r="C1658" s="15">
        <v>45660</v>
      </c>
      <c r="D1658" s="16" t="s">
        <v>1192</v>
      </c>
      <c r="E1658" s="16" t="s">
        <v>1193</v>
      </c>
      <c r="F1658" s="16" t="s">
        <v>2313</v>
      </c>
      <c r="G1658" s="16" t="s">
        <v>1197</v>
      </c>
      <c r="H1658" s="14" t="str">
        <f>"20250103/411453"</f>
        <v>20250103/411453</v>
      </c>
      <c r="I1658" s="19" t="str">
        <f t="shared" si="130"/>
        <v> </v>
      </c>
      <c r="J1658" s="18">
        <v>0</v>
      </c>
      <c r="K1658" s="18">
        <v>237752.95</v>
      </c>
      <c r="L1658" s="18">
        <v>1723147.68</v>
      </c>
    </row>
    <row r="1659" spans="1:13" ht="15" thickBot="1" x14ac:dyDescent="0.35">
      <c r="A1659" s="14">
        <v>1652</v>
      </c>
      <c r="B1659" s="15">
        <v>45663</v>
      </c>
      <c r="C1659" s="15">
        <v>45663</v>
      </c>
      <c r="D1659" s="16" t="s">
        <v>1192</v>
      </c>
      <c r="E1659" s="16" t="s">
        <v>1193</v>
      </c>
      <c r="F1659" s="16" t="s">
        <v>1194</v>
      </c>
      <c r="G1659" s="16" t="s">
        <v>1195</v>
      </c>
      <c r="H1659" s="14" t="str">
        <f>"20250106/133494"</f>
        <v>20250106/133494</v>
      </c>
      <c r="I1659" s="17" t="str">
        <f t="shared" si="130"/>
        <v> </v>
      </c>
      <c r="J1659" s="18">
        <v>0</v>
      </c>
      <c r="K1659" s="18">
        <v>34319.339999999997</v>
      </c>
      <c r="L1659" s="18">
        <v>1688828.34</v>
      </c>
      <c r="M1659" t="s">
        <v>2661</v>
      </c>
    </row>
    <row r="1660" spans="1:13" ht="15" thickBot="1" x14ac:dyDescent="0.35">
      <c r="A1660" s="14">
        <v>1653</v>
      </c>
      <c r="B1660" s="15">
        <v>45663</v>
      </c>
      <c r="C1660" s="15">
        <v>45663</v>
      </c>
      <c r="D1660" s="16" t="s">
        <v>1192</v>
      </c>
      <c r="E1660" s="16" t="s">
        <v>1193</v>
      </c>
      <c r="F1660" s="16" t="s">
        <v>1194</v>
      </c>
      <c r="G1660" s="16" t="s">
        <v>1195</v>
      </c>
      <c r="H1660" s="14" t="str">
        <f>"20250106/27954"</f>
        <v>20250106/27954</v>
      </c>
      <c r="I1660" s="17" t="str">
        <f t="shared" si="130"/>
        <v> </v>
      </c>
      <c r="J1660" s="18">
        <v>0</v>
      </c>
      <c r="K1660" s="18">
        <v>988.56</v>
      </c>
      <c r="L1660" s="18">
        <v>1687839.78</v>
      </c>
      <c r="M1660" t="s">
        <v>2661</v>
      </c>
    </row>
    <row r="1661" spans="1:13" ht="15" thickBot="1" x14ac:dyDescent="0.35">
      <c r="A1661" s="14">
        <v>1654</v>
      </c>
      <c r="B1661" s="15">
        <v>45663</v>
      </c>
      <c r="C1661" s="15">
        <v>45663</v>
      </c>
      <c r="D1661" s="16" t="s">
        <v>1192</v>
      </c>
      <c r="E1661" s="16" t="s">
        <v>1193</v>
      </c>
      <c r="F1661" s="16" t="s">
        <v>2314</v>
      </c>
      <c r="G1661" s="16" t="s">
        <v>1197</v>
      </c>
      <c r="H1661" s="14" t="str">
        <f>"20250106/108499"</f>
        <v>20250106/108499</v>
      </c>
      <c r="I1661" s="19" t="str">
        <f t="shared" si="130"/>
        <v> </v>
      </c>
      <c r="J1661" s="18">
        <v>988.56</v>
      </c>
      <c r="K1661" s="18">
        <v>0</v>
      </c>
      <c r="L1661" s="18">
        <v>1688828.34</v>
      </c>
      <c r="M1661" t="s">
        <v>2658</v>
      </c>
    </row>
    <row r="1662" spans="1:13" ht="15" thickBot="1" x14ac:dyDescent="0.35">
      <c r="A1662" s="14">
        <v>1655</v>
      </c>
      <c r="B1662" s="15">
        <v>45663</v>
      </c>
      <c r="C1662" s="15">
        <v>45663</v>
      </c>
      <c r="D1662" s="16" t="s">
        <v>1192</v>
      </c>
      <c r="E1662" s="16" t="s">
        <v>1193</v>
      </c>
      <c r="F1662" s="16" t="s">
        <v>2315</v>
      </c>
      <c r="G1662" s="16" t="s">
        <v>1197</v>
      </c>
      <c r="H1662" s="14" t="str">
        <f>"20250106/257260"</f>
        <v>20250106/257260</v>
      </c>
      <c r="I1662" s="19" t="str">
        <f t="shared" si="130"/>
        <v> </v>
      </c>
      <c r="J1662" s="18">
        <v>3909.09</v>
      </c>
      <c r="K1662" s="18">
        <v>0</v>
      </c>
      <c r="L1662" s="18">
        <v>1692737.43</v>
      </c>
    </row>
    <row r="1663" spans="1:13" ht="15" thickBot="1" x14ac:dyDescent="0.35">
      <c r="A1663" s="14">
        <v>1656</v>
      </c>
      <c r="B1663" s="15">
        <v>45663</v>
      </c>
      <c r="C1663" s="15">
        <v>45663</v>
      </c>
      <c r="D1663" s="16" t="s">
        <v>1192</v>
      </c>
      <c r="E1663" s="16" t="s">
        <v>1193</v>
      </c>
      <c r="F1663" s="16" t="s">
        <v>2316</v>
      </c>
      <c r="G1663" s="16" t="s">
        <v>1197</v>
      </c>
      <c r="H1663" s="14" t="str">
        <f>"20250106/257261"</f>
        <v>20250106/257261</v>
      </c>
      <c r="I1663" s="19" t="str">
        <f t="shared" si="130"/>
        <v> </v>
      </c>
      <c r="J1663" s="18">
        <v>279290.7</v>
      </c>
      <c r="K1663" s="18">
        <v>0</v>
      </c>
      <c r="L1663" s="18">
        <v>1972028.13</v>
      </c>
    </row>
    <row r="1664" spans="1:13" ht="15" thickBot="1" x14ac:dyDescent="0.35">
      <c r="A1664" s="14">
        <v>1657</v>
      </c>
      <c r="B1664" s="15">
        <v>45663</v>
      </c>
      <c r="C1664" s="15">
        <v>45663</v>
      </c>
      <c r="D1664" s="16" t="s">
        <v>1192</v>
      </c>
      <c r="E1664" s="16" t="s">
        <v>1193</v>
      </c>
      <c r="F1664" s="16" t="s">
        <v>2315</v>
      </c>
      <c r="G1664" s="16" t="s">
        <v>1197</v>
      </c>
      <c r="H1664" s="14" t="str">
        <f>"20250106/257262"</f>
        <v>20250106/257262</v>
      </c>
      <c r="I1664" s="19" t="str">
        <f t="shared" si="130"/>
        <v> </v>
      </c>
      <c r="J1664" s="18">
        <v>549084.56000000006</v>
      </c>
      <c r="K1664" s="18">
        <v>0</v>
      </c>
      <c r="L1664" s="18">
        <v>2521112.69</v>
      </c>
    </row>
    <row r="1665" spans="1:13" ht="15" thickBot="1" x14ac:dyDescent="0.35">
      <c r="A1665" s="14">
        <v>1658</v>
      </c>
      <c r="B1665" s="15">
        <v>45663</v>
      </c>
      <c r="C1665" s="15">
        <v>45663</v>
      </c>
      <c r="D1665" s="16" t="s">
        <v>1192</v>
      </c>
      <c r="E1665" s="16" t="s">
        <v>1193</v>
      </c>
      <c r="F1665" s="16" t="s">
        <v>2317</v>
      </c>
      <c r="G1665" s="16" t="s">
        <v>1197</v>
      </c>
      <c r="H1665" s="14" t="str">
        <f>"20250106/415401"</f>
        <v>20250106/415401</v>
      </c>
      <c r="I1665" s="19" t="str">
        <f t="shared" si="130"/>
        <v> </v>
      </c>
      <c r="J1665" s="18">
        <v>0</v>
      </c>
      <c r="K1665" s="18">
        <v>3909.09</v>
      </c>
      <c r="L1665" s="18">
        <v>2517203.6</v>
      </c>
    </row>
    <row r="1666" spans="1:13" ht="15" thickBot="1" x14ac:dyDescent="0.35">
      <c r="A1666" s="14">
        <v>1659</v>
      </c>
      <c r="B1666" s="15">
        <v>45663</v>
      </c>
      <c r="C1666" s="15">
        <v>45663</v>
      </c>
      <c r="D1666" s="16" t="s">
        <v>1192</v>
      </c>
      <c r="E1666" s="16" t="s">
        <v>1193</v>
      </c>
      <c r="F1666" s="16" t="s">
        <v>2317</v>
      </c>
      <c r="G1666" s="16" t="s">
        <v>1197</v>
      </c>
      <c r="H1666" s="14" t="str">
        <f>"20250106/415402"</f>
        <v>20250106/415402</v>
      </c>
      <c r="I1666" s="19" t="str">
        <f t="shared" si="130"/>
        <v> </v>
      </c>
      <c r="J1666" s="18">
        <v>0</v>
      </c>
      <c r="K1666" s="18">
        <v>551286.02</v>
      </c>
      <c r="L1666" s="18">
        <v>1965917.58</v>
      </c>
    </row>
    <row r="1667" spans="1:13" ht="15" thickBot="1" x14ac:dyDescent="0.35">
      <c r="A1667" s="14">
        <v>1660</v>
      </c>
      <c r="B1667" s="15">
        <v>45663</v>
      </c>
      <c r="C1667" s="15">
        <v>45663</v>
      </c>
      <c r="D1667" s="16" t="s">
        <v>1192</v>
      </c>
      <c r="E1667" s="16" t="s">
        <v>1193</v>
      </c>
      <c r="F1667" s="16" t="s">
        <v>2318</v>
      </c>
      <c r="G1667" s="16" t="s">
        <v>1197</v>
      </c>
      <c r="H1667" s="14" t="str">
        <f>"20250106/415403"</f>
        <v>20250106/415403</v>
      </c>
      <c r="I1667" s="19" t="str">
        <f t="shared" si="130"/>
        <v> </v>
      </c>
      <c r="J1667" s="18">
        <v>0</v>
      </c>
      <c r="K1667" s="18">
        <v>242768.9</v>
      </c>
      <c r="L1667" s="18">
        <v>1723148.68</v>
      </c>
    </row>
    <row r="1668" spans="1:13" ht="15" thickBot="1" x14ac:dyDescent="0.35">
      <c r="A1668" s="14">
        <v>1661</v>
      </c>
      <c r="B1668" s="15">
        <v>45663</v>
      </c>
      <c r="C1668" s="15">
        <v>45664</v>
      </c>
      <c r="D1668" s="16" t="s">
        <v>1192</v>
      </c>
      <c r="E1668" s="16" t="s">
        <v>1193</v>
      </c>
      <c r="F1668" s="16" t="s">
        <v>2319</v>
      </c>
      <c r="G1668" s="16" t="s">
        <v>1197</v>
      </c>
      <c r="H1668" s="14" t="str">
        <f>"20250106/179668"</f>
        <v>20250106/179668</v>
      </c>
      <c r="I1668" s="19" t="str">
        <f>"2501001621040"</f>
        <v>2501001621040</v>
      </c>
      <c r="J1668" s="18">
        <v>39313.33</v>
      </c>
      <c r="K1668" s="18">
        <v>0</v>
      </c>
      <c r="L1668" s="18">
        <v>1762462.01</v>
      </c>
    </row>
    <row r="1669" spans="1:13" ht="15" thickBot="1" x14ac:dyDescent="0.35">
      <c r="A1669" s="14">
        <v>1662</v>
      </c>
      <c r="B1669" s="15">
        <v>45664</v>
      </c>
      <c r="C1669" s="15">
        <v>45664</v>
      </c>
      <c r="D1669" s="16" t="s">
        <v>1192</v>
      </c>
      <c r="E1669" s="16" t="s">
        <v>1193</v>
      </c>
      <c r="F1669" s="16" t="s">
        <v>1194</v>
      </c>
      <c r="G1669" s="16" t="s">
        <v>1195</v>
      </c>
      <c r="H1669" s="14" t="str">
        <f>"20250107/39465"</f>
        <v>20250107/39465</v>
      </c>
      <c r="I1669" s="17" t="str">
        <f t="shared" ref="I1669:I1732" si="131">" "</f>
        <v> </v>
      </c>
      <c r="J1669" s="18">
        <v>0</v>
      </c>
      <c r="K1669" s="18">
        <v>317.29000000000002</v>
      </c>
      <c r="L1669" s="18">
        <v>1762144.72</v>
      </c>
      <c r="M1669" t="s">
        <v>2661</v>
      </c>
    </row>
    <row r="1670" spans="1:13" ht="15" thickBot="1" x14ac:dyDescent="0.35">
      <c r="A1670" s="14">
        <v>1663</v>
      </c>
      <c r="B1670" s="15">
        <v>45664</v>
      </c>
      <c r="C1670" s="15">
        <v>45664</v>
      </c>
      <c r="D1670" s="16" t="s">
        <v>1192</v>
      </c>
      <c r="E1670" s="16" t="s">
        <v>1193</v>
      </c>
      <c r="F1670" s="16" t="s">
        <v>2320</v>
      </c>
      <c r="G1670" s="16" t="s">
        <v>1197</v>
      </c>
      <c r="H1670" s="14" t="str">
        <f>"20250107/114634"</f>
        <v>20250107/114634</v>
      </c>
      <c r="I1670" s="19" t="str">
        <f t="shared" si="131"/>
        <v> </v>
      </c>
      <c r="J1670" s="18">
        <v>317.29000000000002</v>
      </c>
      <c r="K1670" s="18">
        <v>0</v>
      </c>
      <c r="L1670" s="18">
        <v>1762462.01</v>
      </c>
      <c r="M1670" t="s">
        <v>2658</v>
      </c>
    </row>
    <row r="1671" spans="1:13" ht="15" thickBot="1" x14ac:dyDescent="0.35">
      <c r="A1671" s="14">
        <v>1664</v>
      </c>
      <c r="B1671" s="15">
        <v>45664</v>
      </c>
      <c r="C1671" s="15">
        <v>45664</v>
      </c>
      <c r="D1671" s="16" t="s">
        <v>1192</v>
      </c>
      <c r="E1671" s="16" t="s">
        <v>1193</v>
      </c>
      <c r="F1671" s="16" t="s">
        <v>2321</v>
      </c>
      <c r="G1671" s="16" t="s">
        <v>1197</v>
      </c>
      <c r="H1671" s="14" t="str">
        <f>"20250107/219875"</f>
        <v>20250107/219875</v>
      </c>
      <c r="I1671" s="19" t="str">
        <f t="shared" si="131"/>
        <v> </v>
      </c>
      <c r="J1671" s="18">
        <v>3909.09</v>
      </c>
      <c r="K1671" s="18">
        <v>0</v>
      </c>
      <c r="L1671" s="18">
        <v>1766371.1</v>
      </c>
    </row>
    <row r="1672" spans="1:13" ht="15" thickBot="1" x14ac:dyDescent="0.35">
      <c r="A1672" s="14">
        <v>1665</v>
      </c>
      <c r="B1672" s="15">
        <v>45664</v>
      </c>
      <c r="C1672" s="15">
        <v>45664</v>
      </c>
      <c r="D1672" s="16" t="s">
        <v>1192</v>
      </c>
      <c r="E1672" s="16" t="s">
        <v>1193</v>
      </c>
      <c r="F1672" s="16" t="s">
        <v>2322</v>
      </c>
      <c r="G1672" s="16" t="s">
        <v>1197</v>
      </c>
      <c r="H1672" s="14" t="str">
        <f>"20250107/222060"</f>
        <v>20250107/222060</v>
      </c>
      <c r="I1672" s="19" t="str">
        <f t="shared" si="131"/>
        <v> </v>
      </c>
      <c r="J1672" s="18">
        <v>270183.59999999998</v>
      </c>
      <c r="K1672" s="18">
        <v>0</v>
      </c>
      <c r="L1672" s="18">
        <v>2036554.7</v>
      </c>
    </row>
    <row r="1673" spans="1:13" ht="15" thickBot="1" x14ac:dyDescent="0.35">
      <c r="A1673" s="14">
        <v>1666</v>
      </c>
      <c r="B1673" s="15">
        <v>45664</v>
      </c>
      <c r="C1673" s="15">
        <v>45664</v>
      </c>
      <c r="D1673" s="16" t="s">
        <v>1192</v>
      </c>
      <c r="E1673" s="16" t="s">
        <v>1193</v>
      </c>
      <c r="F1673" s="16" t="s">
        <v>2321</v>
      </c>
      <c r="G1673" s="16" t="s">
        <v>1197</v>
      </c>
      <c r="H1673" s="14" t="str">
        <f>"20250107/222061"</f>
        <v>20250107/222061</v>
      </c>
      <c r="I1673" s="19" t="str">
        <f t="shared" si="131"/>
        <v> </v>
      </c>
      <c r="J1673" s="18">
        <v>552725.73</v>
      </c>
      <c r="K1673" s="18">
        <v>0</v>
      </c>
      <c r="L1673" s="18">
        <v>2589280.4300000002</v>
      </c>
    </row>
    <row r="1674" spans="1:13" ht="15" thickBot="1" x14ac:dyDescent="0.35">
      <c r="A1674" s="14">
        <v>1667</v>
      </c>
      <c r="B1674" s="15">
        <v>45664</v>
      </c>
      <c r="C1674" s="15">
        <v>45664</v>
      </c>
      <c r="D1674" s="16" t="s">
        <v>1192</v>
      </c>
      <c r="E1674" s="16" t="s">
        <v>1193</v>
      </c>
      <c r="F1674" s="16" t="s">
        <v>2323</v>
      </c>
      <c r="G1674" s="16" t="s">
        <v>1197</v>
      </c>
      <c r="H1674" s="14" t="str">
        <f>"20250107/383566"</f>
        <v>20250107/383566</v>
      </c>
      <c r="I1674" s="19" t="str">
        <f t="shared" si="131"/>
        <v> </v>
      </c>
      <c r="J1674" s="18">
        <v>0</v>
      </c>
      <c r="K1674" s="18">
        <v>3909.09</v>
      </c>
      <c r="L1674" s="18">
        <v>2585371.34</v>
      </c>
    </row>
    <row r="1675" spans="1:13" ht="15" thickBot="1" x14ac:dyDescent="0.35">
      <c r="A1675" s="14">
        <v>1668</v>
      </c>
      <c r="B1675" s="15">
        <v>45664</v>
      </c>
      <c r="C1675" s="15">
        <v>45664</v>
      </c>
      <c r="D1675" s="16" t="s">
        <v>1192</v>
      </c>
      <c r="E1675" s="16" t="s">
        <v>1193</v>
      </c>
      <c r="F1675" s="16" t="s">
        <v>2324</v>
      </c>
      <c r="G1675" s="16" t="s">
        <v>1197</v>
      </c>
      <c r="H1675" s="14" t="str">
        <f>"20250107/383567"</f>
        <v>20250107/383567</v>
      </c>
      <c r="I1675" s="19" t="str">
        <f t="shared" si="131"/>
        <v> </v>
      </c>
      <c r="J1675" s="18">
        <v>0</v>
      </c>
      <c r="K1675" s="18">
        <v>279290.7</v>
      </c>
      <c r="L1675" s="18">
        <v>2306080.64</v>
      </c>
    </row>
    <row r="1676" spans="1:13" ht="15" thickBot="1" x14ac:dyDescent="0.35">
      <c r="A1676" s="14">
        <v>1669</v>
      </c>
      <c r="B1676" s="15">
        <v>45664</v>
      </c>
      <c r="C1676" s="15">
        <v>45664</v>
      </c>
      <c r="D1676" s="16" t="s">
        <v>1192</v>
      </c>
      <c r="E1676" s="16" t="s">
        <v>1193</v>
      </c>
      <c r="F1676" s="16" t="s">
        <v>2323</v>
      </c>
      <c r="G1676" s="16" t="s">
        <v>1197</v>
      </c>
      <c r="H1676" s="14" t="str">
        <f>"20250107/383568"</f>
        <v>20250107/383568</v>
      </c>
      <c r="I1676" s="19" t="str">
        <f t="shared" si="131"/>
        <v> </v>
      </c>
      <c r="J1676" s="18">
        <v>0</v>
      </c>
      <c r="K1676" s="18">
        <v>549084.56000000006</v>
      </c>
      <c r="L1676" s="18">
        <v>1756996.08</v>
      </c>
    </row>
    <row r="1677" spans="1:13" ht="15" thickBot="1" x14ac:dyDescent="0.35">
      <c r="A1677" s="14">
        <v>1670</v>
      </c>
      <c r="B1677" s="15">
        <v>45665</v>
      </c>
      <c r="C1677" s="15">
        <v>45665</v>
      </c>
      <c r="D1677" s="16" t="s">
        <v>1192</v>
      </c>
      <c r="E1677" s="16" t="s">
        <v>1193</v>
      </c>
      <c r="F1677" s="16" t="s">
        <v>1202</v>
      </c>
      <c r="G1677" s="16" t="s">
        <v>1203</v>
      </c>
      <c r="H1677" s="14" t="str">
        <f>"20250108/11137"</f>
        <v>20250108/11137</v>
      </c>
      <c r="I1677" s="17" t="str">
        <f t="shared" si="131"/>
        <v> </v>
      </c>
      <c r="J1677" s="18">
        <v>5465.93</v>
      </c>
      <c r="K1677" s="18">
        <v>0</v>
      </c>
      <c r="L1677" s="18">
        <v>1762462.01</v>
      </c>
      <c r="M1677" t="s">
        <v>2661</v>
      </c>
    </row>
    <row r="1678" spans="1:13" ht="15" thickBot="1" x14ac:dyDescent="0.35">
      <c r="A1678" s="14">
        <v>1671</v>
      </c>
      <c r="B1678" s="15">
        <v>45665</v>
      </c>
      <c r="C1678" s="15">
        <v>45665</v>
      </c>
      <c r="D1678" s="16" t="s">
        <v>1192</v>
      </c>
      <c r="E1678" s="16" t="s">
        <v>1193</v>
      </c>
      <c r="F1678" s="16" t="s">
        <v>1194</v>
      </c>
      <c r="G1678" s="16" t="s">
        <v>1195</v>
      </c>
      <c r="H1678" s="14" t="str">
        <f>"20250108/110528"</f>
        <v>20250108/110528</v>
      </c>
      <c r="I1678" s="17" t="str">
        <f t="shared" si="131"/>
        <v> </v>
      </c>
      <c r="J1678" s="18">
        <v>0</v>
      </c>
      <c r="K1678" s="18">
        <v>10229.68</v>
      </c>
      <c r="L1678" s="18">
        <v>1752232.33</v>
      </c>
      <c r="M1678" t="s">
        <v>2661</v>
      </c>
    </row>
    <row r="1679" spans="1:13" ht="15" thickBot="1" x14ac:dyDescent="0.35">
      <c r="A1679" s="14">
        <v>1672</v>
      </c>
      <c r="B1679" s="15">
        <v>45665</v>
      </c>
      <c r="C1679" s="15">
        <v>45665</v>
      </c>
      <c r="D1679" s="16" t="s">
        <v>1192</v>
      </c>
      <c r="E1679" s="16" t="s">
        <v>1193</v>
      </c>
      <c r="F1679" s="16" t="s">
        <v>1194</v>
      </c>
      <c r="G1679" s="16" t="s">
        <v>1195</v>
      </c>
      <c r="H1679" s="14" t="str">
        <f>"20250108/36578"</f>
        <v>20250108/36578</v>
      </c>
      <c r="I1679" s="17" t="str">
        <f t="shared" si="131"/>
        <v> </v>
      </c>
      <c r="J1679" s="18">
        <v>0</v>
      </c>
      <c r="K1679" s="18">
        <v>331.3</v>
      </c>
      <c r="L1679" s="18">
        <v>1751901.03</v>
      </c>
      <c r="M1679" t="s">
        <v>2661</v>
      </c>
    </row>
    <row r="1680" spans="1:13" ht="15" thickBot="1" x14ac:dyDescent="0.35">
      <c r="A1680" s="14">
        <v>1673</v>
      </c>
      <c r="B1680" s="15">
        <v>45665</v>
      </c>
      <c r="C1680" s="15">
        <v>45665</v>
      </c>
      <c r="D1680" s="16" t="s">
        <v>1192</v>
      </c>
      <c r="E1680" s="16" t="s">
        <v>1193</v>
      </c>
      <c r="F1680" s="16" t="s">
        <v>2325</v>
      </c>
      <c r="G1680" s="16" t="s">
        <v>1197</v>
      </c>
      <c r="H1680" s="14" t="str">
        <f>"20250108/117748"</f>
        <v>20250108/117748</v>
      </c>
      <c r="I1680" s="19" t="str">
        <f t="shared" si="131"/>
        <v> </v>
      </c>
      <c r="J1680" s="18">
        <v>331.3</v>
      </c>
      <c r="K1680" s="18">
        <v>0</v>
      </c>
      <c r="L1680" s="18">
        <v>1752232.33</v>
      </c>
      <c r="M1680" t="s">
        <v>2658</v>
      </c>
    </row>
    <row r="1681" spans="1:13" ht="15" thickBot="1" x14ac:dyDescent="0.35">
      <c r="A1681" s="14">
        <v>1674</v>
      </c>
      <c r="B1681" s="15">
        <v>45665</v>
      </c>
      <c r="C1681" s="15">
        <v>45665</v>
      </c>
      <c r="D1681" s="16" t="s">
        <v>1192</v>
      </c>
      <c r="E1681" s="16" t="s">
        <v>1193</v>
      </c>
      <c r="F1681" s="16" t="s">
        <v>2326</v>
      </c>
      <c r="G1681" s="16" t="s">
        <v>1197</v>
      </c>
      <c r="H1681" s="14" t="str">
        <f>"20250108/273529"</f>
        <v>20250108/273529</v>
      </c>
      <c r="I1681" s="19" t="str">
        <f t="shared" si="131"/>
        <v> </v>
      </c>
      <c r="J1681" s="18">
        <v>3909.09</v>
      </c>
      <c r="K1681" s="18">
        <v>0</v>
      </c>
      <c r="L1681" s="18">
        <v>1756141.42</v>
      </c>
    </row>
    <row r="1682" spans="1:13" ht="15" thickBot="1" x14ac:dyDescent="0.35">
      <c r="A1682" s="14">
        <v>1675</v>
      </c>
      <c r="B1682" s="15">
        <v>45665</v>
      </c>
      <c r="C1682" s="15">
        <v>45665</v>
      </c>
      <c r="D1682" s="16" t="s">
        <v>1192</v>
      </c>
      <c r="E1682" s="16" t="s">
        <v>1193</v>
      </c>
      <c r="F1682" s="16" t="s">
        <v>2327</v>
      </c>
      <c r="G1682" s="16" t="s">
        <v>1197</v>
      </c>
      <c r="H1682" s="14" t="str">
        <f>"20250108/273530"</f>
        <v>20250108/273530</v>
      </c>
      <c r="I1682" s="19" t="str">
        <f t="shared" si="131"/>
        <v> </v>
      </c>
      <c r="J1682" s="18">
        <v>287428.75</v>
      </c>
      <c r="K1682" s="18">
        <v>0</v>
      </c>
      <c r="L1682" s="18">
        <v>2043570.17</v>
      </c>
    </row>
    <row r="1683" spans="1:13" ht="15" thickBot="1" x14ac:dyDescent="0.35">
      <c r="A1683" s="14">
        <v>1676</v>
      </c>
      <c r="B1683" s="15">
        <v>45665</v>
      </c>
      <c r="C1683" s="15">
        <v>45665</v>
      </c>
      <c r="D1683" s="16" t="s">
        <v>1192</v>
      </c>
      <c r="E1683" s="16" t="s">
        <v>1193</v>
      </c>
      <c r="F1683" s="16" t="s">
        <v>2326</v>
      </c>
      <c r="G1683" s="16" t="s">
        <v>1197</v>
      </c>
      <c r="H1683" s="14" t="str">
        <f>"20250108/273531"</f>
        <v>20250108/273531</v>
      </c>
      <c r="I1683" s="19" t="str">
        <f t="shared" si="131"/>
        <v> </v>
      </c>
      <c r="J1683" s="18">
        <v>545710.26</v>
      </c>
      <c r="K1683" s="18">
        <v>0</v>
      </c>
      <c r="L1683" s="18">
        <v>2589280.4300000002</v>
      </c>
    </row>
    <row r="1684" spans="1:13" ht="15" thickBot="1" x14ac:dyDescent="0.35">
      <c r="A1684" s="14">
        <v>1677</v>
      </c>
      <c r="B1684" s="15">
        <v>45665</v>
      </c>
      <c r="C1684" s="15">
        <v>45665</v>
      </c>
      <c r="D1684" s="16" t="s">
        <v>1192</v>
      </c>
      <c r="E1684" s="16" t="s">
        <v>1193</v>
      </c>
      <c r="F1684" s="16" t="s">
        <v>2328</v>
      </c>
      <c r="G1684" s="16" t="s">
        <v>1197</v>
      </c>
      <c r="H1684" s="14" t="str">
        <f>"20250108/324232"</f>
        <v>20250108/324232</v>
      </c>
      <c r="I1684" s="19" t="str">
        <f t="shared" si="131"/>
        <v> </v>
      </c>
      <c r="J1684" s="18">
        <v>0</v>
      </c>
      <c r="K1684" s="18">
        <v>3909.09</v>
      </c>
      <c r="L1684" s="18">
        <v>2585371.34</v>
      </c>
    </row>
    <row r="1685" spans="1:13" ht="15" thickBot="1" x14ac:dyDescent="0.35">
      <c r="A1685" s="14">
        <v>1678</v>
      </c>
      <c r="B1685" s="15">
        <v>45665</v>
      </c>
      <c r="C1685" s="15">
        <v>45665</v>
      </c>
      <c r="D1685" s="16" t="s">
        <v>1192</v>
      </c>
      <c r="E1685" s="16" t="s">
        <v>1193</v>
      </c>
      <c r="F1685" s="16" t="s">
        <v>2329</v>
      </c>
      <c r="G1685" s="16" t="s">
        <v>1197</v>
      </c>
      <c r="H1685" s="14" t="str">
        <f>"20250108/324233"</f>
        <v>20250108/324233</v>
      </c>
      <c r="I1685" s="19" t="str">
        <f t="shared" si="131"/>
        <v> </v>
      </c>
      <c r="J1685" s="18">
        <v>0</v>
      </c>
      <c r="K1685" s="18">
        <v>270183.59999999998</v>
      </c>
      <c r="L1685" s="18">
        <v>2315187.7400000002</v>
      </c>
    </row>
    <row r="1686" spans="1:13" ht="15" thickBot="1" x14ac:dyDescent="0.35">
      <c r="A1686" s="14">
        <v>1679</v>
      </c>
      <c r="B1686" s="15">
        <v>45665</v>
      </c>
      <c r="C1686" s="15">
        <v>45665</v>
      </c>
      <c r="D1686" s="16" t="s">
        <v>1192</v>
      </c>
      <c r="E1686" s="16" t="s">
        <v>1193</v>
      </c>
      <c r="F1686" s="16" t="s">
        <v>2328</v>
      </c>
      <c r="G1686" s="16" t="s">
        <v>1197</v>
      </c>
      <c r="H1686" s="14" t="str">
        <f>"20250108/324234"</f>
        <v>20250108/324234</v>
      </c>
      <c r="I1686" s="19" t="str">
        <f t="shared" si="131"/>
        <v> </v>
      </c>
      <c r="J1686" s="18">
        <v>0</v>
      </c>
      <c r="K1686" s="18">
        <v>552725.73</v>
      </c>
      <c r="L1686" s="18">
        <v>1762462.01</v>
      </c>
    </row>
    <row r="1687" spans="1:13" ht="15" thickBot="1" x14ac:dyDescent="0.35">
      <c r="A1687" s="14">
        <v>1680</v>
      </c>
      <c r="B1687" s="15">
        <v>45666</v>
      </c>
      <c r="C1687" s="15">
        <v>45666</v>
      </c>
      <c r="D1687" s="16" t="s">
        <v>1192</v>
      </c>
      <c r="E1687" s="16" t="s">
        <v>1193</v>
      </c>
      <c r="F1687" s="16" t="s">
        <v>1194</v>
      </c>
      <c r="G1687" s="16" t="s">
        <v>1195</v>
      </c>
      <c r="H1687" s="14" t="str">
        <f>"20250109/121044"</f>
        <v>20250109/121044</v>
      </c>
      <c r="I1687" s="17" t="str">
        <f t="shared" si="131"/>
        <v> </v>
      </c>
      <c r="J1687" s="18">
        <v>0</v>
      </c>
      <c r="K1687" s="18">
        <v>13033.56</v>
      </c>
      <c r="L1687" s="18">
        <v>1749428.45</v>
      </c>
      <c r="M1687" t="s">
        <v>2661</v>
      </c>
    </row>
    <row r="1688" spans="1:13" ht="15" thickBot="1" x14ac:dyDescent="0.35">
      <c r="A1688" s="14">
        <v>1681</v>
      </c>
      <c r="B1688" s="15">
        <v>45666</v>
      </c>
      <c r="C1688" s="15">
        <v>45666</v>
      </c>
      <c r="D1688" s="16" t="s">
        <v>1192</v>
      </c>
      <c r="E1688" s="16" t="s">
        <v>1193</v>
      </c>
      <c r="F1688" s="16" t="s">
        <v>1194</v>
      </c>
      <c r="G1688" s="16" t="s">
        <v>1195</v>
      </c>
      <c r="H1688" s="14" t="str">
        <f>"20250109/12309"</f>
        <v>20250109/12309</v>
      </c>
      <c r="I1688" s="17" t="str">
        <f t="shared" si="131"/>
        <v> </v>
      </c>
      <c r="J1688" s="18">
        <v>0</v>
      </c>
      <c r="K1688" s="18">
        <v>329.6</v>
      </c>
      <c r="L1688" s="18">
        <v>1749098.85</v>
      </c>
      <c r="M1688" t="s">
        <v>2661</v>
      </c>
    </row>
    <row r="1689" spans="1:13" ht="15" thickBot="1" x14ac:dyDescent="0.35">
      <c r="A1689" s="14">
        <v>1682</v>
      </c>
      <c r="B1689" s="15">
        <v>45666</v>
      </c>
      <c r="C1689" s="15">
        <v>45666</v>
      </c>
      <c r="D1689" s="16" t="s">
        <v>1192</v>
      </c>
      <c r="E1689" s="16" t="s">
        <v>1193</v>
      </c>
      <c r="F1689" s="16" t="s">
        <v>2330</v>
      </c>
      <c r="G1689" s="16" t="s">
        <v>1197</v>
      </c>
      <c r="H1689" s="14" t="str">
        <f>"20250109/110717"</f>
        <v>20250109/110717</v>
      </c>
      <c r="I1689" s="19" t="str">
        <f t="shared" si="131"/>
        <v> </v>
      </c>
      <c r="J1689" s="18">
        <v>329.6</v>
      </c>
      <c r="K1689" s="18">
        <v>0</v>
      </c>
      <c r="L1689" s="18">
        <v>1749428.45</v>
      </c>
      <c r="M1689" t="s">
        <v>2658</v>
      </c>
    </row>
    <row r="1690" spans="1:13" ht="15" thickBot="1" x14ac:dyDescent="0.35">
      <c r="A1690" s="14">
        <v>1683</v>
      </c>
      <c r="B1690" s="15">
        <v>45666</v>
      </c>
      <c r="C1690" s="15">
        <v>45666</v>
      </c>
      <c r="D1690" s="16" t="s">
        <v>1192</v>
      </c>
      <c r="E1690" s="16" t="s">
        <v>1193</v>
      </c>
      <c r="F1690" s="16" t="s">
        <v>2331</v>
      </c>
      <c r="G1690" s="16" t="s">
        <v>1197</v>
      </c>
      <c r="H1690" s="14" t="str">
        <f>"20250109/219059"</f>
        <v>20250109/219059</v>
      </c>
      <c r="I1690" s="19" t="str">
        <f t="shared" si="131"/>
        <v> </v>
      </c>
      <c r="J1690" s="18">
        <v>3909.09</v>
      </c>
      <c r="K1690" s="18">
        <v>0</v>
      </c>
      <c r="L1690" s="18">
        <v>1753337.54</v>
      </c>
    </row>
    <row r="1691" spans="1:13" ht="15" thickBot="1" x14ac:dyDescent="0.35">
      <c r="A1691" s="14">
        <v>1684</v>
      </c>
      <c r="B1691" s="15">
        <v>45666</v>
      </c>
      <c r="C1691" s="15">
        <v>45666</v>
      </c>
      <c r="D1691" s="16" t="s">
        <v>1192</v>
      </c>
      <c r="E1691" s="16" t="s">
        <v>1193</v>
      </c>
      <c r="F1691" s="16" t="s">
        <v>2332</v>
      </c>
      <c r="G1691" s="16" t="s">
        <v>1197</v>
      </c>
      <c r="H1691" s="14" t="str">
        <f>"20250109/219060"</f>
        <v>20250109/219060</v>
      </c>
      <c r="I1691" s="19" t="str">
        <f t="shared" si="131"/>
        <v> </v>
      </c>
      <c r="J1691" s="18">
        <v>309080.25</v>
      </c>
      <c r="K1691" s="18">
        <v>0</v>
      </c>
      <c r="L1691" s="18">
        <v>2062417.79</v>
      </c>
    </row>
    <row r="1692" spans="1:13" ht="15" thickBot="1" x14ac:dyDescent="0.35">
      <c r="A1692" s="14">
        <v>1685</v>
      </c>
      <c r="B1692" s="15">
        <v>45666</v>
      </c>
      <c r="C1692" s="15">
        <v>45666</v>
      </c>
      <c r="D1692" s="16" t="s">
        <v>1192</v>
      </c>
      <c r="E1692" s="16" t="s">
        <v>1193</v>
      </c>
      <c r="F1692" s="16" t="s">
        <v>2331</v>
      </c>
      <c r="G1692" s="16" t="s">
        <v>1197</v>
      </c>
      <c r="H1692" s="14" t="str">
        <f>"20250109/219061"</f>
        <v>20250109/219061</v>
      </c>
      <c r="I1692" s="19" t="str">
        <f t="shared" si="131"/>
        <v> </v>
      </c>
      <c r="J1692" s="18">
        <v>537092.31999999995</v>
      </c>
      <c r="K1692" s="18">
        <v>0</v>
      </c>
      <c r="L1692" s="18">
        <v>2599510.11</v>
      </c>
    </row>
    <row r="1693" spans="1:13" ht="15" thickBot="1" x14ac:dyDescent="0.35">
      <c r="A1693" s="14">
        <v>1686</v>
      </c>
      <c r="B1693" s="15">
        <v>45666</v>
      </c>
      <c r="C1693" s="15">
        <v>45666</v>
      </c>
      <c r="D1693" s="16" t="s">
        <v>1192</v>
      </c>
      <c r="E1693" s="16" t="s">
        <v>1193</v>
      </c>
      <c r="F1693" s="16" t="s">
        <v>2333</v>
      </c>
      <c r="G1693" s="16" t="s">
        <v>1197</v>
      </c>
      <c r="H1693" s="14" t="str">
        <f>"20250109/315334"</f>
        <v>20250109/315334</v>
      </c>
      <c r="I1693" s="19" t="str">
        <f t="shared" si="131"/>
        <v> </v>
      </c>
      <c r="J1693" s="18">
        <v>0</v>
      </c>
      <c r="K1693" s="18">
        <v>3909.09</v>
      </c>
      <c r="L1693" s="18">
        <v>2595601.02</v>
      </c>
    </row>
    <row r="1694" spans="1:13" ht="15" thickBot="1" x14ac:dyDescent="0.35">
      <c r="A1694" s="14">
        <v>1687</v>
      </c>
      <c r="B1694" s="15">
        <v>45666</v>
      </c>
      <c r="C1694" s="15">
        <v>45666</v>
      </c>
      <c r="D1694" s="16" t="s">
        <v>1192</v>
      </c>
      <c r="E1694" s="16" t="s">
        <v>1193</v>
      </c>
      <c r="F1694" s="16" t="s">
        <v>2334</v>
      </c>
      <c r="G1694" s="16" t="s">
        <v>1197</v>
      </c>
      <c r="H1694" s="14" t="str">
        <f>"20250109/315335"</f>
        <v>20250109/315335</v>
      </c>
      <c r="I1694" s="19" t="str">
        <f t="shared" si="131"/>
        <v> </v>
      </c>
      <c r="J1694" s="18">
        <v>0</v>
      </c>
      <c r="K1694" s="18">
        <v>287428.75</v>
      </c>
      <c r="L1694" s="18">
        <v>2308172.27</v>
      </c>
    </row>
    <row r="1695" spans="1:13" ht="15" thickBot="1" x14ac:dyDescent="0.35">
      <c r="A1695" s="14">
        <v>1688</v>
      </c>
      <c r="B1695" s="15">
        <v>45666</v>
      </c>
      <c r="C1695" s="15">
        <v>45666</v>
      </c>
      <c r="D1695" s="16" t="s">
        <v>1192</v>
      </c>
      <c r="E1695" s="16" t="s">
        <v>1193</v>
      </c>
      <c r="F1695" s="16" t="s">
        <v>2333</v>
      </c>
      <c r="G1695" s="16" t="s">
        <v>1197</v>
      </c>
      <c r="H1695" s="14" t="str">
        <f>"20250109/315336"</f>
        <v>20250109/315336</v>
      </c>
      <c r="I1695" s="19" t="str">
        <f t="shared" si="131"/>
        <v> </v>
      </c>
      <c r="J1695" s="18">
        <v>0</v>
      </c>
      <c r="K1695" s="18">
        <v>545710.26</v>
      </c>
      <c r="L1695" s="18">
        <v>1762462.01</v>
      </c>
    </row>
    <row r="1696" spans="1:13" ht="15" thickBot="1" x14ac:dyDescent="0.35">
      <c r="A1696" s="14">
        <v>1689</v>
      </c>
      <c r="B1696" s="15">
        <v>45667</v>
      </c>
      <c r="C1696" s="15">
        <v>45667</v>
      </c>
      <c r="D1696" s="16" t="s">
        <v>1192</v>
      </c>
      <c r="E1696" s="16" t="s">
        <v>1193</v>
      </c>
      <c r="F1696" s="16" t="s">
        <v>1194</v>
      </c>
      <c r="G1696" s="16" t="s">
        <v>1195</v>
      </c>
      <c r="H1696" s="14" t="str">
        <f>"20250110/104554"</f>
        <v>20250110/104554</v>
      </c>
      <c r="I1696" s="17" t="str">
        <f t="shared" si="131"/>
        <v> </v>
      </c>
      <c r="J1696" s="18">
        <v>0</v>
      </c>
      <c r="K1696" s="18">
        <v>25075.26</v>
      </c>
      <c r="L1696" s="18">
        <v>1737386.75</v>
      </c>
      <c r="M1696" t="s">
        <v>2661</v>
      </c>
    </row>
    <row r="1697" spans="1:13" ht="15" thickBot="1" x14ac:dyDescent="0.35">
      <c r="A1697" s="14">
        <v>1690</v>
      </c>
      <c r="B1697" s="15">
        <v>45667</v>
      </c>
      <c r="C1697" s="15">
        <v>45667</v>
      </c>
      <c r="D1697" s="16" t="s">
        <v>1192</v>
      </c>
      <c r="E1697" s="16" t="s">
        <v>1193</v>
      </c>
      <c r="F1697" s="16" t="s">
        <v>1194</v>
      </c>
      <c r="G1697" s="16" t="s">
        <v>1195</v>
      </c>
      <c r="H1697" s="14" t="str">
        <f>"20250110/25322"</f>
        <v>20250110/25322</v>
      </c>
      <c r="I1697" s="17" t="str">
        <f t="shared" si="131"/>
        <v> </v>
      </c>
      <c r="J1697" s="18">
        <v>0</v>
      </c>
      <c r="K1697" s="18">
        <v>324.95999999999998</v>
      </c>
      <c r="L1697" s="18">
        <v>1737061.79</v>
      </c>
      <c r="M1697" t="s">
        <v>2661</v>
      </c>
    </row>
    <row r="1698" spans="1:13" ht="15" thickBot="1" x14ac:dyDescent="0.35">
      <c r="A1698" s="14">
        <v>1691</v>
      </c>
      <c r="B1698" s="15">
        <v>45667</v>
      </c>
      <c r="C1698" s="15">
        <v>45667</v>
      </c>
      <c r="D1698" s="16" t="s">
        <v>1192</v>
      </c>
      <c r="E1698" s="16" t="s">
        <v>1193</v>
      </c>
      <c r="F1698" s="16" t="s">
        <v>2335</v>
      </c>
      <c r="G1698" s="16" t="s">
        <v>1197</v>
      </c>
      <c r="H1698" s="14" t="str">
        <f>"20250110/284002"</f>
        <v>20250110/284002</v>
      </c>
      <c r="I1698" s="19" t="str">
        <f t="shared" si="131"/>
        <v> </v>
      </c>
      <c r="J1698" s="18">
        <v>3909.09</v>
      </c>
      <c r="K1698" s="18">
        <v>0</v>
      </c>
      <c r="L1698" s="18">
        <v>1740970.88</v>
      </c>
    </row>
    <row r="1699" spans="1:13" ht="15" thickBot="1" x14ac:dyDescent="0.35">
      <c r="A1699" s="14">
        <v>1692</v>
      </c>
      <c r="B1699" s="15">
        <v>45667</v>
      </c>
      <c r="C1699" s="15">
        <v>45667</v>
      </c>
      <c r="D1699" s="16" t="s">
        <v>1192</v>
      </c>
      <c r="E1699" s="16" t="s">
        <v>1193</v>
      </c>
      <c r="F1699" s="16" t="s">
        <v>2336</v>
      </c>
      <c r="G1699" s="16" t="s">
        <v>1197</v>
      </c>
      <c r="H1699" s="14" t="str">
        <f>"20250110/284003"</f>
        <v>20250110/284003</v>
      </c>
      <c r="I1699" s="19" t="str">
        <f t="shared" si="131"/>
        <v> </v>
      </c>
      <c r="J1699" s="18">
        <v>350913.6</v>
      </c>
      <c r="K1699" s="18">
        <v>0</v>
      </c>
      <c r="L1699" s="18">
        <v>2091884.48</v>
      </c>
    </row>
    <row r="1700" spans="1:13" ht="15" thickBot="1" x14ac:dyDescent="0.35">
      <c r="A1700" s="14">
        <v>1693</v>
      </c>
      <c r="B1700" s="15">
        <v>45667</v>
      </c>
      <c r="C1700" s="15">
        <v>45667</v>
      </c>
      <c r="D1700" s="16" t="s">
        <v>1192</v>
      </c>
      <c r="E1700" s="16" t="s">
        <v>1193</v>
      </c>
      <c r="F1700" s="16" t="s">
        <v>2335</v>
      </c>
      <c r="G1700" s="16" t="s">
        <v>1197</v>
      </c>
      <c r="H1700" s="14" t="str">
        <f>"20250110/284004"</f>
        <v>20250110/284004</v>
      </c>
      <c r="I1700" s="19" t="str">
        <f t="shared" si="131"/>
        <v> </v>
      </c>
      <c r="J1700" s="18">
        <v>520334.23</v>
      </c>
      <c r="K1700" s="18">
        <v>0</v>
      </c>
      <c r="L1700" s="18">
        <v>2612218.71</v>
      </c>
    </row>
    <row r="1701" spans="1:13" ht="15" thickBot="1" x14ac:dyDescent="0.35">
      <c r="A1701" s="14">
        <v>1694</v>
      </c>
      <c r="B1701" s="15">
        <v>45667</v>
      </c>
      <c r="C1701" s="15">
        <v>45667</v>
      </c>
      <c r="D1701" s="16" t="s">
        <v>1192</v>
      </c>
      <c r="E1701" s="16" t="s">
        <v>1193</v>
      </c>
      <c r="F1701" s="16" t="s">
        <v>2337</v>
      </c>
      <c r="G1701" s="16" t="s">
        <v>1197</v>
      </c>
      <c r="H1701" s="14" t="str">
        <f>"20250110/352927"</f>
        <v>20250110/352927</v>
      </c>
      <c r="I1701" s="19" t="str">
        <f t="shared" si="131"/>
        <v> </v>
      </c>
      <c r="J1701" s="18">
        <v>0</v>
      </c>
      <c r="K1701" s="18">
        <v>3909.09</v>
      </c>
      <c r="L1701" s="18">
        <v>2608309.62</v>
      </c>
    </row>
    <row r="1702" spans="1:13" ht="15" thickBot="1" x14ac:dyDescent="0.35">
      <c r="A1702" s="14">
        <v>1695</v>
      </c>
      <c r="B1702" s="15">
        <v>45667</v>
      </c>
      <c r="C1702" s="15">
        <v>45667</v>
      </c>
      <c r="D1702" s="16" t="s">
        <v>1192</v>
      </c>
      <c r="E1702" s="16" t="s">
        <v>1193</v>
      </c>
      <c r="F1702" s="16" t="s">
        <v>2338</v>
      </c>
      <c r="G1702" s="16" t="s">
        <v>1197</v>
      </c>
      <c r="H1702" s="14" t="str">
        <f>"20250110/352928"</f>
        <v>20250110/352928</v>
      </c>
      <c r="I1702" s="19" t="str">
        <f t="shared" si="131"/>
        <v> </v>
      </c>
      <c r="J1702" s="18">
        <v>0</v>
      </c>
      <c r="K1702" s="18">
        <v>309080.25</v>
      </c>
      <c r="L1702" s="18">
        <v>2299229.37</v>
      </c>
    </row>
    <row r="1703" spans="1:13" ht="15" thickBot="1" x14ac:dyDescent="0.35">
      <c r="A1703" s="14">
        <v>1696</v>
      </c>
      <c r="B1703" s="15">
        <v>45667</v>
      </c>
      <c r="C1703" s="15">
        <v>45667</v>
      </c>
      <c r="D1703" s="16" t="s">
        <v>1192</v>
      </c>
      <c r="E1703" s="16" t="s">
        <v>1193</v>
      </c>
      <c r="F1703" s="16" t="s">
        <v>2337</v>
      </c>
      <c r="G1703" s="16" t="s">
        <v>1197</v>
      </c>
      <c r="H1703" s="14" t="str">
        <f>"20250110/352929"</f>
        <v>20250110/352929</v>
      </c>
      <c r="I1703" s="19" t="str">
        <f t="shared" si="131"/>
        <v> </v>
      </c>
      <c r="J1703" s="18">
        <v>0</v>
      </c>
      <c r="K1703" s="18">
        <v>537092.31999999995</v>
      </c>
      <c r="L1703" s="18">
        <v>1762137.05</v>
      </c>
    </row>
    <row r="1704" spans="1:13" ht="15" thickBot="1" x14ac:dyDescent="0.35">
      <c r="A1704" s="14">
        <v>1697</v>
      </c>
      <c r="B1704" s="15">
        <v>45667</v>
      </c>
      <c r="C1704" s="15">
        <v>45667</v>
      </c>
      <c r="D1704" s="16" t="s">
        <v>1192</v>
      </c>
      <c r="E1704" s="16" t="s">
        <v>1193</v>
      </c>
      <c r="F1704" s="16" t="s">
        <v>2339</v>
      </c>
      <c r="G1704" s="16" t="s">
        <v>1197</v>
      </c>
      <c r="H1704" s="14" t="str">
        <f>"20250110/97400"</f>
        <v>20250110/97400</v>
      </c>
      <c r="I1704" s="19" t="str">
        <f t="shared" si="131"/>
        <v> </v>
      </c>
      <c r="J1704" s="18">
        <v>324.95999999999998</v>
      </c>
      <c r="K1704" s="18">
        <v>0</v>
      </c>
      <c r="L1704" s="18">
        <v>1762462.01</v>
      </c>
      <c r="M1704" t="s">
        <v>2658</v>
      </c>
    </row>
    <row r="1705" spans="1:13" ht="15" thickBot="1" x14ac:dyDescent="0.35">
      <c r="A1705" s="14">
        <v>1698</v>
      </c>
      <c r="B1705" s="15">
        <v>45670</v>
      </c>
      <c r="C1705" s="15">
        <v>45670</v>
      </c>
      <c r="D1705" s="16" t="s">
        <v>1192</v>
      </c>
      <c r="E1705" s="16" t="s">
        <v>1193</v>
      </c>
      <c r="F1705" s="16" t="s">
        <v>1194</v>
      </c>
      <c r="G1705" s="16" t="s">
        <v>1195</v>
      </c>
      <c r="H1705" s="14" t="str">
        <f>"20250113/115152"</f>
        <v>20250113/115152</v>
      </c>
      <c r="I1705" s="17" t="str">
        <f t="shared" si="131"/>
        <v> </v>
      </c>
      <c r="J1705" s="18">
        <v>0</v>
      </c>
      <c r="K1705" s="18">
        <v>28859.26</v>
      </c>
      <c r="L1705" s="18">
        <v>1733602.75</v>
      </c>
      <c r="M1705" t="s">
        <v>2661</v>
      </c>
    </row>
    <row r="1706" spans="1:13" ht="15" thickBot="1" x14ac:dyDescent="0.35">
      <c r="A1706" s="14">
        <v>1699</v>
      </c>
      <c r="B1706" s="15">
        <v>45670</v>
      </c>
      <c r="C1706" s="15">
        <v>45670</v>
      </c>
      <c r="D1706" s="16" t="s">
        <v>1192</v>
      </c>
      <c r="E1706" s="16" t="s">
        <v>1193</v>
      </c>
      <c r="F1706" s="16" t="s">
        <v>1194</v>
      </c>
      <c r="G1706" s="16" t="s">
        <v>1195</v>
      </c>
      <c r="H1706" s="14" t="str">
        <f>"20250113/6299"</f>
        <v>20250113/6299</v>
      </c>
      <c r="I1706" s="17" t="str">
        <f t="shared" si="131"/>
        <v> </v>
      </c>
      <c r="J1706" s="18">
        <v>0</v>
      </c>
      <c r="K1706" s="18">
        <v>948.09</v>
      </c>
      <c r="L1706" s="18">
        <v>1732654.66</v>
      </c>
      <c r="M1706" t="s">
        <v>2661</v>
      </c>
    </row>
    <row r="1707" spans="1:13" ht="15" thickBot="1" x14ac:dyDescent="0.35">
      <c r="A1707" s="14">
        <v>1700</v>
      </c>
      <c r="B1707" s="15">
        <v>45670</v>
      </c>
      <c r="C1707" s="15">
        <v>45670</v>
      </c>
      <c r="D1707" s="16" t="s">
        <v>1192</v>
      </c>
      <c r="E1707" s="16" t="s">
        <v>1193</v>
      </c>
      <c r="F1707" s="16" t="s">
        <v>2340</v>
      </c>
      <c r="G1707" s="16" t="s">
        <v>1197</v>
      </c>
      <c r="H1707" s="14" t="str">
        <f>"20250113/103509"</f>
        <v>20250113/103509</v>
      </c>
      <c r="I1707" s="19" t="str">
        <f t="shared" si="131"/>
        <v> </v>
      </c>
      <c r="J1707" s="18">
        <v>948.09</v>
      </c>
      <c r="K1707" s="18">
        <v>0</v>
      </c>
      <c r="L1707" s="18">
        <v>1733602.75</v>
      </c>
      <c r="M1707" t="s">
        <v>2658</v>
      </c>
    </row>
    <row r="1708" spans="1:13" ht="15" thickBot="1" x14ac:dyDescent="0.35">
      <c r="A1708" s="14">
        <v>1701</v>
      </c>
      <c r="B1708" s="15">
        <v>45670</v>
      </c>
      <c r="C1708" s="15">
        <v>45670</v>
      </c>
      <c r="D1708" s="16" t="s">
        <v>1192</v>
      </c>
      <c r="E1708" s="16" t="s">
        <v>1193</v>
      </c>
      <c r="F1708" s="16" t="s">
        <v>2341</v>
      </c>
      <c r="G1708" s="16" t="s">
        <v>1197</v>
      </c>
      <c r="H1708" s="14" t="str">
        <f>"20250113/288465"</f>
        <v>20250113/288465</v>
      </c>
      <c r="I1708" s="19" t="str">
        <f t="shared" si="131"/>
        <v> </v>
      </c>
      <c r="J1708" s="18">
        <v>3909.09</v>
      </c>
      <c r="K1708" s="18">
        <v>0</v>
      </c>
      <c r="L1708" s="18">
        <v>1737511.84</v>
      </c>
    </row>
    <row r="1709" spans="1:13" ht="15" thickBot="1" x14ac:dyDescent="0.35">
      <c r="A1709" s="14">
        <v>1702</v>
      </c>
      <c r="B1709" s="15">
        <v>45670</v>
      </c>
      <c r="C1709" s="15">
        <v>45670</v>
      </c>
      <c r="D1709" s="16" t="s">
        <v>1192</v>
      </c>
      <c r="E1709" s="16" t="s">
        <v>1193</v>
      </c>
      <c r="F1709" s="16" t="s">
        <v>2342</v>
      </c>
      <c r="G1709" s="16" t="s">
        <v>1197</v>
      </c>
      <c r="H1709" s="14" t="str">
        <f>"20250113/288466"</f>
        <v>20250113/288466</v>
      </c>
      <c r="I1709" s="19" t="str">
        <f t="shared" si="131"/>
        <v> </v>
      </c>
      <c r="J1709" s="18">
        <v>398508.79999999999</v>
      </c>
      <c r="K1709" s="18">
        <v>0</v>
      </c>
      <c r="L1709" s="18">
        <v>2136020.64</v>
      </c>
    </row>
    <row r="1710" spans="1:13" ht="15" thickBot="1" x14ac:dyDescent="0.35">
      <c r="A1710" s="14">
        <v>1703</v>
      </c>
      <c r="B1710" s="15">
        <v>45670</v>
      </c>
      <c r="C1710" s="15">
        <v>45670</v>
      </c>
      <c r="D1710" s="16" t="s">
        <v>1192</v>
      </c>
      <c r="E1710" s="16" t="s">
        <v>1193</v>
      </c>
      <c r="F1710" s="16" t="s">
        <v>2341</v>
      </c>
      <c r="G1710" s="16" t="s">
        <v>1197</v>
      </c>
      <c r="H1710" s="14" t="str">
        <f>"20250113/288467"</f>
        <v>20250113/288467</v>
      </c>
      <c r="I1710" s="19" t="str">
        <f t="shared" si="131"/>
        <v> </v>
      </c>
      <c r="J1710" s="18">
        <v>501598.29</v>
      </c>
      <c r="K1710" s="18">
        <v>0</v>
      </c>
      <c r="L1710" s="18">
        <v>2637618.9300000002</v>
      </c>
    </row>
    <row r="1711" spans="1:13" ht="15" thickBot="1" x14ac:dyDescent="0.35">
      <c r="A1711" s="14">
        <v>1704</v>
      </c>
      <c r="B1711" s="15">
        <v>45670</v>
      </c>
      <c r="C1711" s="15">
        <v>45670</v>
      </c>
      <c r="D1711" s="16" t="s">
        <v>1192</v>
      </c>
      <c r="E1711" s="16" t="s">
        <v>1193</v>
      </c>
      <c r="F1711" s="16" t="s">
        <v>2343</v>
      </c>
      <c r="G1711" s="16" t="s">
        <v>1197</v>
      </c>
      <c r="H1711" s="14" t="str">
        <f>"20250113/351232"</f>
        <v>20250113/351232</v>
      </c>
      <c r="I1711" s="19" t="str">
        <f t="shared" si="131"/>
        <v> </v>
      </c>
      <c r="J1711" s="18">
        <v>0</v>
      </c>
      <c r="K1711" s="18">
        <v>3909.09</v>
      </c>
      <c r="L1711" s="18">
        <v>2633709.84</v>
      </c>
    </row>
    <row r="1712" spans="1:13" ht="15" thickBot="1" x14ac:dyDescent="0.35">
      <c r="A1712" s="14">
        <v>1705</v>
      </c>
      <c r="B1712" s="15">
        <v>45670</v>
      </c>
      <c r="C1712" s="15">
        <v>45670</v>
      </c>
      <c r="D1712" s="16" t="s">
        <v>1192</v>
      </c>
      <c r="E1712" s="16" t="s">
        <v>1193</v>
      </c>
      <c r="F1712" s="16" t="s">
        <v>2344</v>
      </c>
      <c r="G1712" s="16" t="s">
        <v>1197</v>
      </c>
      <c r="H1712" s="14" t="str">
        <f>"20250113/353623"</f>
        <v>20250113/353623</v>
      </c>
      <c r="I1712" s="19" t="str">
        <f t="shared" si="131"/>
        <v> </v>
      </c>
      <c r="J1712" s="18">
        <v>0</v>
      </c>
      <c r="K1712" s="18">
        <v>350913.6</v>
      </c>
      <c r="L1712" s="18">
        <v>2282796.2400000002</v>
      </c>
    </row>
    <row r="1713" spans="1:13" ht="15" thickBot="1" x14ac:dyDescent="0.35">
      <c r="A1713" s="14">
        <v>1706</v>
      </c>
      <c r="B1713" s="15">
        <v>45670</v>
      </c>
      <c r="C1713" s="15">
        <v>45670</v>
      </c>
      <c r="D1713" s="16" t="s">
        <v>1192</v>
      </c>
      <c r="E1713" s="16" t="s">
        <v>1193</v>
      </c>
      <c r="F1713" s="16" t="s">
        <v>2343</v>
      </c>
      <c r="G1713" s="16" t="s">
        <v>1197</v>
      </c>
      <c r="H1713" s="14" t="str">
        <f>"20250113/353624"</f>
        <v>20250113/353624</v>
      </c>
      <c r="I1713" s="19" t="str">
        <f t="shared" si="131"/>
        <v> </v>
      </c>
      <c r="J1713" s="18">
        <v>0</v>
      </c>
      <c r="K1713" s="18">
        <v>520334.23</v>
      </c>
      <c r="L1713" s="18">
        <v>1762462.01</v>
      </c>
    </row>
    <row r="1714" spans="1:13" ht="15" thickBot="1" x14ac:dyDescent="0.35">
      <c r="A1714" s="14">
        <v>1707</v>
      </c>
      <c r="B1714" s="15">
        <v>45671</v>
      </c>
      <c r="C1714" s="15">
        <v>45671</v>
      </c>
      <c r="D1714" s="16" t="s">
        <v>1192</v>
      </c>
      <c r="E1714" s="16" t="s">
        <v>1193</v>
      </c>
      <c r="F1714" s="16" t="s">
        <v>1194</v>
      </c>
      <c r="G1714" s="16" t="s">
        <v>1195</v>
      </c>
      <c r="H1714" s="14" t="str">
        <f>"20250114/29773"</f>
        <v>20250114/29773</v>
      </c>
      <c r="I1714" s="17" t="str">
        <f t="shared" si="131"/>
        <v> </v>
      </c>
      <c r="J1714" s="18">
        <v>0</v>
      </c>
      <c r="K1714" s="18">
        <v>305.75</v>
      </c>
      <c r="L1714" s="18">
        <v>1762156.26</v>
      </c>
      <c r="M1714" t="s">
        <v>2661</v>
      </c>
    </row>
    <row r="1715" spans="1:13" ht="15" thickBot="1" x14ac:dyDescent="0.35">
      <c r="A1715" s="14">
        <v>1708</v>
      </c>
      <c r="B1715" s="15">
        <v>45671</v>
      </c>
      <c r="C1715" s="15">
        <v>45671</v>
      </c>
      <c r="D1715" s="16" t="s">
        <v>1192</v>
      </c>
      <c r="E1715" s="16" t="s">
        <v>1193</v>
      </c>
      <c r="F1715" s="16" t="s">
        <v>2345</v>
      </c>
      <c r="G1715" s="16" t="s">
        <v>1197</v>
      </c>
      <c r="H1715" s="14" t="str">
        <f>"20250114/125324"</f>
        <v>20250114/125324</v>
      </c>
      <c r="I1715" s="19" t="str">
        <f t="shared" si="131"/>
        <v> </v>
      </c>
      <c r="J1715" s="18">
        <v>305.75</v>
      </c>
      <c r="K1715" s="18">
        <v>0</v>
      </c>
      <c r="L1715" s="18">
        <v>1762462.01</v>
      </c>
      <c r="M1715" t="s">
        <v>2658</v>
      </c>
    </row>
    <row r="1716" spans="1:13" ht="15" thickBot="1" x14ac:dyDescent="0.35">
      <c r="A1716" s="14">
        <v>1709</v>
      </c>
      <c r="B1716" s="15">
        <v>45671</v>
      </c>
      <c r="C1716" s="15">
        <v>45671</v>
      </c>
      <c r="D1716" s="16" t="s">
        <v>1192</v>
      </c>
      <c r="E1716" s="16" t="s">
        <v>1193</v>
      </c>
      <c r="F1716" s="16" t="s">
        <v>2346</v>
      </c>
      <c r="G1716" s="16" t="s">
        <v>1197</v>
      </c>
      <c r="H1716" s="14" t="str">
        <f>"20250114/245733"</f>
        <v>20250114/245733</v>
      </c>
      <c r="I1716" s="19" t="str">
        <f t="shared" si="131"/>
        <v> </v>
      </c>
      <c r="J1716" s="18">
        <v>3909.09</v>
      </c>
      <c r="K1716" s="18">
        <v>0</v>
      </c>
      <c r="L1716" s="18">
        <v>1766371.1</v>
      </c>
    </row>
    <row r="1717" spans="1:13" ht="15" thickBot="1" x14ac:dyDescent="0.35">
      <c r="A1717" s="14">
        <v>1710</v>
      </c>
      <c r="B1717" s="15">
        <v>45671</v>
      </c>
      <c r="C1717" s="15">
        <v>45671</v>
      </c>
      <c r="D1717" s="16" t="s">
        <v>1192</v>
      </c>
      <c r="E1717" s="16" t="s">
        <v>1193</v>
      </c>
      <c r="F1717" s="16" t="s">
        <v>2347</v>
      </c>
      <c r="G1717" s="16" t="s">
        <v>1197</v>
      </c>
      <c r="H1717" s="14" t="str">
        <f>"20250114/245734"</f>
        <v>20250114/245734</v>
      </c>
      <c r="I1717" s="19" t="str">
        <f t="shared" si="131"/>
        <v> </v>
      </c>
      <c r="J1717" s="18">
        <v>365571</v>
      </c>
      <c r="K1717" s="18">
        <v>0</v>
      </c>
      <c r="L1717" s="18">
        <v>2131942.1</v>
      </c>
    </row>
    <row r="1718" spans="1:13" ht="15" thickBot="1" x14ac:dyDescent="0.35">
      <c r="A1718" s="14">
        <v>1711</v>
      </c>
      <c r="B1718" s="15">
        <v>45671</v>
      </c>
      <c r="C1718" s="15">
        <v>45671</v>
      </c>
      <c r="D1718" s="16" t="s">
        <v>1192</v>
      </c>
      <c r="E1718" s="16" t="s">
        <v>1193</v>
      </c>
      <c r="F1718" s="16" t="s">
        <v>2346</v>
      </c>
      <c r="G1718" s="16" t="s">
        <v>1197</v>
      </c>
      <c r="H1718" s="14" t="str">
        <f>"20250114/245735"</f>
        <v>20250114/245735</v>
      </c>
      <c r="I1718" s="19" t="str">
        <f t="shared" si="131"/>
        <v> </v>
      </c>
      <c r="J1718" s="18">
        <v>514991.39</v>
      </c>
      <c r="K1718" s="18">
        <v>0</v>
      </c>
      <c r="L1718" s="18">
        <v>2646933.4900000002</v>
      </c>
    </row>
    <row r="1719" spans="1:13" ht="15" thickBot="1" x14ac:dyDescent="0.35">
      <c r="A1719" s="14">
        <v>1712</v>
      </c>
      <c r="B1719" s="15">
        <v>45671</v>
      </c>
      <c r="C1719" s="15">
        <v>45671</v>
      </c>
      <c r="D1719" s="16" t="s">
        <v>1192</v>
      </c>
      <c r="E1719" s="16" t="s">
        <v>1193</v>
      </c>
      <c r="F1719" s="16" t="s">
        <v>2348</v>
      </c>
      <c r="G1719" s="16" t="s">
        <v>1197</v>
      </c>
      <c r="H1719" s="14" t="str">
        <f>"20250114/330817"</f>
        <v>20250114/330817</v>
      </c>
      <c r="I1719" s="19" t="str">
        <f t="shared" si="131"/>
        <v> </v>
      </c>
      <c r="J1719" s="18">
        <v>0</v>
      </c>
      <c r="K1719" s="18">
        <v>3909.09</v>
      </c>
      <c r="L1719" s="18">
        <v>2643024.4</v>
      </c>
    </row>
    <row r="1720" spans="1:13" ht="15" thickBot="1" x14ac:dyDescent="0.35">
      <c r="A1720" s="14">
        <v>1713</v>
      </c>
      <c r="B1720" s="15">
        <v>45671</v>
      </c>
      <c r="C1720" s="15">
        <v>45671</v>
      </c>
      <c r="D1720" s="16" t="s">
        <v>1192</v>
      </c>
      <c r="E1720" s="16" t="s">
        <v>1193</v>
      </c>
      <c r="F1720" s="16" t="s">
        <v>2349</v>
      </c>
      <c r="G1720" s="16" t="s">
        <v>1197</v>
      </c>
      <c r="H1720" s="14" t="str">
        <f>"20250114/330818"</f>
        <v>20250114/330818</v>
      </c>
      <c r="I1720" s="19" t="str">
        <f t="shared" si="131"/>
        <v> </v>
      </c>
      <c r="J1720" s="18">
        <v>0</v>
      </c>
      <c r="K1720" s="18">
        <v>398508.79999999999</v>
      </c>
      <c r="L1720" s="18">
        <v>2244515.6</v>
      </c>
    </row>
    <row r="1721" spans="1:13" ht="15" thickBot="1" x14ac:dyDescent="0.35">
      <c r="A1721" s="14">
        <v>1714</v>
      </c>
      <c r="B1721" s="15">
        <v>45671</v>
      </c>
      <c r="C1721" s="15">
        <v>45671</v>
      </c>
      <c r="D1721" s="16" t="s">
        <v>1192</v>
      </c>
      <c r="E1721" s="16" t="s">
        <v>1193</v>
      </c>
      <c r="F1721" s="16" t="s">
        <v>2348</v>
      </c>
      <c r="G1721" s="16" t="s">
        <v>1197</v>
      </c>
      <c r="H1721" s="14" t="str">
        <f>"20250114/330819"</f>
        <v>20250114/330819</v>
      </c>
      <c r="I1721" s="19" t="str">
        <f t="shared" si="131"/>
        <v> </v>
      </c>
      <c r="J1721" s="18">
        <v>0</v>
      </c>
      <c r="K1721" s="18">
        <v>501598.29</v>
      </c>
      <c r="L1721" s="18">
        <v>1742917.31</v>
      </c>
    </row>
    <row r="1722" spans="1:13" ht="15" thickBot="1" x14ac:dyDescent="0.35">
      <c r="A1722" s="14">
        <v>1715</v>
      </c>
      <c r="B1722" s="15">
        <v>45672</v>
      </c>
      <c r="C1722" s="15">
        <v>45672</v>
      </c>
      <c r="D1722" s="16" t="s">
        <v>1192</v>
      </c>
      <c r="E1722" s="16" t="s">
        <v>1193</v>
      </c>
      <c r="F1722" s="16" t="s">
        <v>1202</v>
      </c>
      <c r="G1722" s="16" t="s">
        <v>1203</v>
      </c>
      <c r="H1722" s="14" t="str">
        <f>"20250115/12320"</f>
        <v>20250115/12320</v>
      </c>
      <c r="I1722" s="17" t="str">
        <f t="shared" si="131"/>
        <v> </v>
      </c>
      <c r="J1722" s="18">
        <v>19544.7</v>
      </c>
      <c r="K1722" s="18">
        <v>0</v>
      </c>
      <c r="L1722" s="18">
        <v>1762462.01</v>
      </c>
      <c r="M1722" t="s">
        <v>2661</v>
      </c>
    </row>
    <row r="1723" spans="1:13" ht="15" thickBot="1" x14ac:dyDescent="0.35">
      <c r="A1723" s="14">
        <v>1716</v>
      </c>
      <c r="B1723" s="15">
        <v>45672</v>
      </c>
      <c r="C1723" s="15">
        <v>45672</v>
      </c>
      <c r="D1723" s="16" t="s">
        <v>1192</v>
      </c>
      <c r="E1723" s="16" t="s">
        <v>1193</v>
      </c>
      <c r="F1723" s="16" t="s">
        <v>1194</v>
      </c>
      <c r="G1723" s="16" t="s">
        <v>1195</v>
      </c>
      <c r="H1723" s="14" t="str">
        <f>"20250115/1078"</f>
        <v>20250115/1078</v>
      </c>
      <c r="I1723" s="17" t="str">
        <f t="shared" si="131"/>
        <v> </v>
      </c>
      <c r="J1723" s="18">
        <v>0</v>
      </c>
      <c r="K1723" s="18">
        <v>305.75</v>
      </c>
      <c r="L1723" s="18">
        <v>1762156.26</v>
      </c>
      <c r="M1723" t="s">
        <v>2661</v>
      </c>
    </row>
    <row r="1724" spans="1:13" ht="15" thickBot="1" x14ac:dyDescent="0.35">
      <c r="A1724" s="14">
        <v>1717</v>
      </c>
      <c r="B1724" s="15">
        <v>45672</v>
      </c>
      <c r="C1724" s="15">
        <v>45672</v>
      </c>
      <c r="D1724" s="16" t="s">
        <v>1192</v>
      </c>
      <c r="E1724" s="16" t="s">
        <v>1193</v>
      </c>
      <c r="F1724" s="16" t="s">
        <v>2350</v>
      </c>
      <c r="G1724" s="16" t="s">
        <v>1197</v>
      </c>
      <c r="H1724" s="14" t="str">
        <f>"20250115/198034"</f>
        <v>20250115/198034</v>
      </c>
      <c r="I1724" s="19" t="str">
        <f t="shared" si="131"/>
        <v> </v>
      </c>
      <c r="J1724" s="18">
        <v>3909.09</v>
      </c>
      <c r="K1724" s="18">
        <v>0</v>
      </c>
      <c r="L1724" s="18">
        <v>1766065.35</v>
      </c>
    </row>
    <row r="1725" spans="1:13" ht="15" thickBot="1" x14ac:dyDescent="0.35">
      <c r="A1725" s="14">
        <v>1718</v>
      </c>
      <c r="B1725" s="15">
        <v>45672</v>
      </c>
      <c r="C1725" s="15">
        <v>45672</v>
      </c>
      <c r="D1725" s="16" t="s">
        <v>1192</v>
      </c>
      <c r="E1725" s="16" t="s">
        <v>1193</v>
      </c>
      <c r="F1725" s="16" t="s">
        <v>2351</v>
      </c>
      <c r="G1725" s="16" t="s">
        <v>1197</v>
      </c>
      <c r="H1725" s="14" t="str">
        <f>"20250115/198035"</f>
        <v>20250115/198035</v>
      </c>
      <c r="I1725" s="19" t="str">
        <f t="shared" si="131"/>
        <v> </v>
      </c>
      <c r="J1725" s="18">
        <v>354975.4</v>
      </c>
      <c r="K1725" s="18">
        <v>0</v>
      </c>
      <c r="L1725" s="18">
        <v>2121040.75</v>
      </c>
    </row>
    <row r="1726" spans="1:13" ht="15" thickBot="1" x14ac:dyDescent="0.35">
      <c r="A1726" s="14">
        <v>1719</v>
      </c>
      <c r="B1726" s="15">
        <v>45672</v>
      </c>
      <c r="C1726" s="15">
        <v>45672</v>
      </c>
      <c r="D1726" s="16" t="s">
        <v>1192</v>
      </c>
      <c r="E1726" s="16" t="s">
        <v>1193</v>
      </c>
      <c r="F1726" s="16" t="s">
        <v>2350</v>
      </c>
      <c r="G1726" s="16" t="s">
        <v>1197</v>
      </c>
      <c r="H1726" s="14" t="str">
        <f>"20250115/198036"</f>
        <v>20250115/198036</v>
      </c>
      <c r="I1726" s="19" t="str">
        <f t="shared" si="131"/>
        <v> </v>
      </c>
      <c r="J1726" s="18">
        <v>519305.26</v>
      </c>
      <c r="K1726" s="18">
        <v>0</v>
      </c>
      <c r="L1726" s="18">
        <v>2640346.0099999998</v>
      </c>
    </row>
    <row r="1727" spans="1:13" ht="15" thickBot="1" x14ac:dyDescent="0.35">
      <c r="A1727" s="14">
        <v>1720</v>
      </c>
      <c r="B1727" s="15">
        <v>45672</v>
      </c>
      <c r="C1727" s="15">
        <v>45672</v>
      </c>
      <c r="D1727" s="16" t="s">
        <v>1192</v>
      </c>
      <c r="E1727" s="16" t="s">
        <v>1193</v>
      </c>
      <c r="F1727" s="16" t="s">
        <v>2352</v>
      </c>
      <c r="G1727" s="16" t="s">
        <v>1197</v>
      </c>
      <c r="H1727" s="14" t="str">
        <f>"20250115/285590"</f>
        <v>20250115/285590</v>
      </c>
      <c r="I1727" s="19" t="str">
        <f t="shared" si="131"/>
        <v> </v>
      </c>
      <c r="J1727" s="18">
        <v>0</v>
      </c>
      <c r="K1727" s="18">
        <v>3909.09</v>
      </c>
      <c r="L1727" s="18">
        <v>2636436.92</v>
      </c>
    </row>
    <row r="1728" spans="1:13" ht="15" thickBot="1" x14ac:dyDescent="0.35">
      <c r="A1728" s="14">
        <v>1721</v>
      </c>
      <c r="B1728" s="15">
        <v>45672</v>
      </c>
      <c r="C1728" s="15">
        <v>45672</v>
      </c>
      <c r="D1728" s="16" t="s">
        <v>1192</v>
      </c>
      <c r="E1728" s="16" t="s">
        <v>1193</v>
      </c>
      <c r="F1728" s="16" t="s">
        <v>2353</v>
      </c>
      <c r="G1728" s="16" t="s">
        <v>1197</v>
      </c>
      <c r="H1728" s="14" t="str">
        <f>"20250115/285591"</f>
        <v>20250115/285591</v>
      </c>
      <c r="I1728" s="19" t="str">
        <f t="shared" si="131"/>
        <v> </v>
      </c>
      <c r="J1728" s="18">
        <v>0</v>
      </c>
      <c r="K1728" s="18">
        <v>365571</v>
      </c>
      <c r="L1728" s="18">
        <v>2270865.92</v>
      </c>
    </row>
    <row r="1729" spans="1:13" ht="15" thickBot="1" x14ac:dyDescent="0.35">
      <c r="A1729" s="14">
        <v>1722</v>
      </c>
      <c r="B1729" s="15">
        <v>45672</v>
      </c>
      <c r="C1729" s="15">
        <v>45672</v>
      </c>
      <c r="D1729" s="16" t="s">
        <v>1192</v>
      </c>
      <c r="E1729" s="16" t="s">
        <v>1193</v>
      </c>
      <c r="F1729" s="16" t="s">
        <v>2352</v>
      </c>
      <c r="G1729" s="16" t="s">
        <v>1197</v>
      </c>
      <c r="H1729" s="14" t="str">
        <f>"20250115/285592"</f>
        <v>20250115/285592</v>
      </c>
      <c r="I1729" s="19" t="str">
        <f t="shared" si="131"/>
        <v> </v>
      </c>
      <c r="J1729" s="18">
        <v>0</v>
      </c>
      <c r="K1729" s="18">
        <v>514991.39</v>
      </c>
      <c r="L1729" s="18">
        <v>1755874.53</v>
      </c>
    </row>
    <row r="1730" spans="1:13" ht="15" thickBot="1" x14ac:dyDescent="0.35">
      <c r="A1730" s="14">
        <v>1723</v>
      </c>
      <c r="B1730" s="15">
        <v>45672</v>
      </c>
      <c r="C1730" s="15">
        <v>45672</v>
      </c>
      <c r="D1730" s="16" t="s">
        <v>1192</v>
      </c>
      <c r="E1730" s="16" t="s">
        <v>1193</v>
      </c>
      <c r="F1730" s="16" t="s">
        <v>2354</v>
      </c>
      <c r="G1730" s="16" t="s">
        <v>1197</v>
      </c>
      <c r="H1730" s="14" t="str">
        <f>"20250115/86816"</f>
        <v>20250115/86816</v>
      </c>
      <c r="I1730" s="19" t="str">
        <f t="shared" si="131"/>
        <v> </v>
      </c>
      <c r="J1730" s="18">
        <v>305.75</v>
      </c>
      <c r="K1730" s="18">
        <v>0</v>
      </c>
      <c r="L1730" s="18">
        <v>1756180.28</v>
      </c>
      <c r="M1730" t="s">
        <v>2658</v>
      </c>
    </row>
    <row r="1731" spans="1:13" ht="15" thickBot="1" x14ac:dyDescent="0.35">
      <c r="A1731" s="14">
        <v>1724</v>
      </c>
      <c r="B1731" s="15">
        <v>45673</v>
      </c>
      <c r="C1731" s="15">
        <v>45673</v>
      </c>
      <c r="D1731" s="16" t="s">
        <v>1192</v>
      </c>
      <c r="E1731" s="16" t="s">
        <v>1193</v>
      </c>
      <c r="F1731" s="16" t="s">
        <v>1202</v>
      </c>
      <c r="G1731" s="16" t="s">
        <v>1203</v>
      </c>
      <c r="H1731" s="14" t="str">
        <f>"20250116/8493"</f>
        <v>20250116/8493</v>
      </c>
      <c r="I1731" s="17" t="str">
        <f t="shared" si="131"/>
        <v> </v>
      </c>
      <c r="J1731" s="18">
        <v>6281.73</v>
      </c>
      <c r="K1731" s="18">
        <v>0</v>
      </c>
      <c r="L1731" s="18">
        <v>1762462.01</v>
      </c>
      <c r="M1731" t="s">
        <v>2661</v>
      </c>
    </row>
    <row r="1732" spans="1:13" ht="15" thickBot="1" x14ac:dyDescent="0.35">
      <c r="A1732" s="14">
        <v>1725</v>
      </c>
      <c r="B1732" s="15">
        <v>45673</v>
      </c>
      <c r="C1732" s="15">
        <v>45673</v>
      </c>
      <c r="D1732" s="16" t="s">
        <v>1192</v>
      </c>
      <c r="E1732" s="16" t="s">
        <v>1193</v>
      </c>
      <c r="F1732" s="16" t="s">
        <v>1194</v>
      </c>
      <c r="G1732" s="16" t="s">
        <v>1195</v>
      </c>
      <c r="H1732" s="14" t="str">
        <f>"20250116/41525"</f>
        <v>20250116/41525</v>
      </c>
      <c r="I1732" s="17" t="str">
        <f t="shared" si="131"/>
        <v> </v>
      </c>
      <c r="J1732" s="18">
        <v>0</v>
      </c>
      <c r="K1732" s="18">
        <v>312.70999999999998</v>
      </c>
      <c r="L1732" s="18">
        <v>1762149.3</v>
      </c>
      <c r="M1732" t="s">
        <v>2661</v>
      </c>
    </row>
    <row r="1733" spans="1:13" ht="15" thickBot="1" x14ac:dyDescent="0.35">
      <c r="A1733" s="14">
        <v>1726</v>
      </c>
      <c r="B1733" s="15">
        <v>45673</v>
      </c>
      <c r="C1733" s="15">
        <v>45673</v>
      </c>
      <c r="D1733" s="16" t="s">
        <v>1192</v>
      </c>
      <c r="E1733" s="16" t="s">
        <v>1193</v>
      </c>
      <c r="F1733" s="16" t="s">
        <v>2355</v>
      </c>
      <c r="G1733" s="16" t="s">
        <v>1197</v>
      </c>
      <c r="H1733" s="14" t="str">
        <f>"20250116/110932"</f>
        <v>20250116/110932</v>
      </c>
      <c r="I1733" s="19" t="str">
        <f t="shared" ref="I1733:I1793" si="132">" "</f>
        <v> </v>
      </c>
      <c r="J1733" s="18">
        <v>312.70999999999998</v>
      </c>
      <c r="K1733" s="18">
        <v>0</v>
      </c>
      <c r="L1733" s="18">
        <v>1762462.01</v>
      </c>
      <c r="M1733" t="s">
        <v>2658</v>
      </c>
    </row>
    <row r="1734" spans="1:13" ht="15" thickBot="1" x14ac:dyDescent="0.35">
      <c r="A1734" s="14">
        <v>1727</v>
      </c>
      <c r="B1734" s="15">
        <v>45673</v>
      </c>
      <c r="C1734" s="15">
        <v>45673</v>
      </c>
      <c r="D1734" s="16" t="s">
        <v>1192</v>
      </c>
      <c r="E1734" s="16" t="s">
        <v>1193</v>
      </c>
      <c r="F1734" s="16" t="s">
        <v>2356</v>
      </c>
      <c r="G1734" s="16" t="s">
        <v>1197</v>
      </c>
      <c r="H1734" s="14" t="str">
        <f>"20250116/222512"</f>
        <v>20250116/222512</v>
      </c>
      <c r="I1734" s="19" t="str">
        <f t="shared" si="132"/>
        <v> </v>
      </c>
      <c r="J1734" s="18">
        <v>3909.09</v>
      </c>
      <c r="K1734" s="18">
        <v>0</v>
      </c>
      <c r="L1734" s="18">
        <v>1766371.1</v>
      </c>
    </row>
    <row r="1735" spans="1:13" ht="15" thickBot="1" x14ac:dyDescent="0.35">
      <c r="A1735" s="14">
        <v>1728</v>
      </c>
      <c r="B1735" s="15">
        <v>45673</v>
      </c>
      <c r="C1735" s="15">
        <v>45673</v>
      </c>
      <c r="D1735" s="16" t="s">
        <v>1192</v>
      </c>
      <c r="E1735" s="16" t="s">
        <v>1193</v>
      </c>
      <c r="F1735" s="16" t="s">
        <v>2357</v>
      </c>
      <c r="G1735" s="16" t="s">
        <v>1197</v>
      </c>
      <c r="H1735" s="14" t="str">
        <f>"20250116/222513"</f>
        <v>20250116/222513</v>
      </c>
      <c r="I1735" s="19" t="str">
        <f t="shared" si="132"/>
        <v> </v>
      </c>
      <c r="J1735" s="18">
        <v>340610.9</v>
      </c>
      <c r="K1735" s="18">
        <v>0</v>
      </c>
      <c r="L1735" s="18">
        <v>2106982</v>
      </c>
    </row>
    <row r="1736" spans="1:13" ht="15" thickBot="1" x14ac:dyDescent="0.35">
      <c r="A1736" s="14">
        <v>1729</v>
      </c>
      <c r="B1736" s="15">
        <v>45673</v>
      </c>
      <c r="C1736" s="15">
        <v>45673</v>
      </c>
      <c r="D1736" s="16" t="s">
        <v>1192</v>
      </c>
      <c r="E1736" s="16" t="s">
        <v>1193</v>
      </c>
      <c r="F1736" s="16" t="s">
        <v>2356</v>
      </c>
      <c r="G1736" s="16" t="s">
        <v>1197</v>
      </c>
      <c r="H1736" s="14" t="str">
        <f>"20250116/222514"</f>
        <v>20250116/222514</v>
      </c>
      <c r="I1736" s="19" t="str">
        <f t="shared" si="132"/>
        <v> </v>
      </c>
      <c r="J1736" s="18">
        <v>524853.11</v>
      </c>
      <c r="K1736" s="18">
        <v>0</v>
      </c>
      <c r="L1736" s="18">
        <v>2631835.11</v>
      </c>
    </row>
    <row r="1737" spans="1:13" ht="15" thickBot="1" x14ac:dyDescent="0.35">
      <c r="A1737" s="14">
        <v>1730</v>
      </c>
      <c r="B1737" s="15">
        <v>45673</v>
      </c>
      <c r="C1737" s="15">
        <v>45673</v>
      </c>
      <c r="D1737" s="16" t="s">
        <v>1192</v>
      </c>
      <c r="E1737" s="16" t="s">
        <v>1193</v>
      </c>
      <c r="F1737" s="16" t="s">
        <v>2358</v>
      </c>
      <c r="G1737" s="16" t="s">
        <v>1197</v>
      </c>
      <c r="H1737" s="14" t="str">
        <f>"20250116/271584"</f>
        <v>20250116/271584</v>
      </c>
      <c r="I1737" s="19" t="str">
        <f t="shared" si="132"/>
        <v> </v>
      </c>
      <c r="J1737" s="18">
        <v>0</v>
      </c>
      <c r="K1737" s="18">
        <v>3909.09</v>
      </c>
      <c r="L1737" s="18">
        <v>2627926.02</v>
      </c>
    </row>
    <row r="1738" spans="1:13" ht="15" thickBot="1" x14ac:dyDescent="0.35">
      <c r="A1738" s="14">
        <v>1731</v>
      </c>
      <c r="B1738" s="15">
        <v>45673</v>
      </c>
      <c r="C1738" s="15">
        <v>45673</v>
      </c>
      <c r="D1738" s="16" t="s">
        <v>1192</v>
      </c>
      <c r="E1738" s="16" t="s">
        <v>1193</v>
      </c>
      <c r="F1738" s="16" t="s">
        <v>2359</v>
      </c>
      <c r="G1738" s="16" t="s">
        <v>1197</v>
      </c>
      <c r="H1738" s="14" t="str">
        <f>"20250116/271585"</f>
        <v>20250116/271585</v>
      </c>
      <c r="I1738" s="19" t="str">
        <f t="shared" si="132"/>
        <v> </v>
      </c>
      <c r="J1738" s="18">
        <v>0</v>
      </c>
      <c r="K1738" s="18">
        <v>354975.4</v>
      </c>
      <c r="L1738" s="18">
        <v>2272950.62</v>
      </c>
    </row>
    <row r="1739" spans="1:13" ht="15" thickBot="1" x14ac:dyDescent="0.35">
      <c r="A1739" s="14">
        <v>1732</v>
      </c>
      <c r="B1739" s="15">
        <v>45673</v>
      </c>
      <c r="C1739" s="15">
        <v>45673</v>
      </c>
      <c r="D1739" s="16" t="s">
        <v>1192</v>
      </c>
      <c r="E1739" s="16" t="s">
        <v>1193</v>
      </c>
      <c r="F1739" s="16" t="s">
        <v>2358</v>
      </c>
      <c r="G1739" s="16" t="s">
        <v>1197</v>
      </c>
      <c r="H1739" s="14" t="str">
        <f>"20250116/271586"</f>
        <v>20250116/271586</v>
      </c>
      <c r="I1739" s="19" t="str">
        <f t="shared" si="132"/>
        <v> </v>
      </c>
      <c r="J1739" s="18">
        <v>0</v>
      </c>
      <c r="K1739" s="18">
        <v>519305.26</v>
      </c>
      <c r="L1739" s="18">
        <v>1753645.36</v>
      </c>
    </row>
    <row r="1740" spans="1:13" ht="15" thickBot="1" x14ac:dyDescent="0.35">
      <c r="A1740" s="14">
        <v>1733</v>
      </c>
      <c r="B1740" s="15">
        <v>45674</v>
      </c>
      <c r="C1740" s="15">
        <v>45674</v>
      </c>
      <c r="D1740" s="16" t="s">
        <v>1192</v>
      </c>
      <c r="E1740" s="16" t="s">
        <v>1193</v>
      </c>
      <c r="F1740" s="16" t="s">
        <v>1202</v>
      </c>
      <c r="G1740" s="16" t="s">
        <v>1203</v>
      </c>
      <c r="H1740" s="14" t="str">
        <f>"20250117/12431"</f>
        <v>20250117/12431</v>
      </c>
      <c r="I1740" s="17" t="str">
        <f t="shared" si="132"/>
        <v> </v>
      </c>
      <c r="J1740" s="18">
        <v>8816.65</v>
      </c>
      <c r="K1740" s="18">
        <v>0</v>
      </c>
      <c r="L1740" s="18">
        <v>1762462.01</v>
      </c>
      <c r="M1740" t="s">
        <v>2661</v>
      </c>
    </row>
    <row r="1741" spans="1:13" ht="15" thickBot="1" x14ac:dyDescent="0.35">
      <c r="A1741" s="14">
        <v>1734</v>
      </c>
      <c r="B1741" s="15">
        <v>45674</v>
      </c>
      <c r="C1741" s="15">
        <v>45674</v>
      </c>
      <c r="D1741" s="16" t="s">
        <v>1192</v>
      </c>
      <c r="E1741" s="16" t="s">
        <v>1193</v>
      </c>
      <c r="F1741" s="16" t="s">
        <v>1194</v>
      </c>
      <c r="G1741" s="16" t="s">
        <v>1195</v>
      </c>
      <c r="H1741" s="14" t="str">
        <f>"20250117/40736"</f>
        <v>20250117/40736</v>
      </c>
      <c r="I1741" s="17" t="str">
        <f t="shared" si="132"/>
        <v> </v>
      </c>
      <c r="J1741" s="18">
        <v>0</v>
      </c>
      <c r="K1741" s="18">
        <v>314.95</v>
      </c>
      <c r="L1741" s="18">
        <v>1762147.06</v>
      </c>
      <c r="M1741" t="s">
        <v>2661</v>
      </c>
    </row>
    <row r="1742" spans="1:13" ht="15" thickBot="1" x14ac:dyDescent="0.35">
      <c r="A1742" s="14">
        <v>1735</v>
      </c>
      <c r="B1742" s="15">
        <v>45674</v>
      </c>
      <c r="C1742" s="15">
        <v>45674</v>
      </c>
      <c r="D1742" s="16" t="s">
        <v>1192</v>
      </c>
      <c r="E1742" s="16" t="s">
        <v>1193</v>
      </c>
      <c r="F1742" s="16" t="s">
        <v>1194</v>
      </c>
      <c r="G1742" s="16" t="s">
        <v>1195</v>
      </c>
      <c r="H1742" s="14" t="str">
        <f>"20250117/91416"</f>
        <v>20250117/91416</v>
      </c>
      <c r="I1742" s="17" t="str">
        <f t="shared" si="132"/>
        <v> </v>
      </c>
      <c r="J1742" s="18">
        <v>0</v>
      </c>
      <c r="K1742" s="18">
        <v>1135</v>
      </c>
      <c r="L1742" s="18">
        <v>1761012.06</v>
      </c>
      <c r="M1742" t="s">
        <v>2661</v>
      </c>
    </row>
    <row r="1743" spans="1:13" ht="15" thickBot="1" x14ac:dyDescent="0.35">
      <c r="A1743" s="14">
        <v>1736</v>
      </c>
      <c r="B1743" s="15">
        <v>45674</v>
      </c>
      <c r="C1743" s="15">
        <v>45674</v>
      </c>
      <c r="D1743" s="16" t="s">
        <v>1192</v>
      </c>
      <c r="E1743" s="16" t="s">
        <v>1193</v>
      </c>
      <c r="F1743" s="16" t="s">
        <v>2360</v>
      </c>
      <c r="G1743" s="16" t="s">
        <v>1197</v>
      </c>
      <c r="H1743" s="14" t="str">
        <f>"20250117/121631"</f>
        <v>20250117/121631</v>
      </c>
      <c r="I1743" s="19" t="str">
        <f t="shared" si="132"/>
        <v> </v>
      </c>
      <c r="J1743" s="18">
        <v>314.95</v>
      </c>
      <c r="K1743" s="18">
        <v>0</v>
      </c>
      <c r="L1743" s="18">
        <v>1761327.01</v>
      </c>
      <c r="M1743" t="s">
        <v>2658</v>
      </c>
    </row>
    <row r="1744" spans="1:13" ht="15" thickBot="1" x14ac:dyDescent="0.35">
      <c r="A1744" s="14">
        <v>1737</v>
      </c>
      <c r="B1744" s="15">
        <v>45674</v>
      </c>
      <c r="C1744" s="15">
        <v>45674</v>
      </c>
      <c r="D1744" s="16" t="s">
        <v>1192</v>
      </c>
      <c r="E1744" s="16" t="s">
        <v>1193</v>
      </c>
      <c r="F1744" s="16" t="s">
        <v>2361</v>
      </c>
      <c r="G1744" s="16" t="s">
        <v>1197</v>
      </c>
      <c r="H1744" s="14" t="str">
        <f>"20250117/231640"</f>
        <v>20250117/231640</v>
      </c>
      <c r="I1744" s="19" t="str">
        <f t="shared" si="132"/>
        <v> </v>
      </c>
      <c r="J1744" s="18">
        <v>3909.09</v>
      </c>
      <c r="K1744" s="18">
        <v>0</v>
      </c>
      <c r="L1744" s="18">
        <v>1765236.1</v>
      </c>
    </row>
    <row r="1745" spans="1:13" ht="15" thickBot="1" x14ac:dyDescent="0.35">
      <c r="A1745" s="14">
        <v>1738</v>
      </c>
      <c r="B1745" s="15">
        <v>45674</v>
      </c>
      <c r="C1745" s="15">
        <v>45674</v>
      </c>
      <c r="D1745" s="16" t="s">
        <v>1192</v>
      </c>
      <c r="E1745" s="16" t="s">
        <v>1193</v>
      </c>
      <c r="F1745" s="16" t="s">
        <v>2362</v>
      </c>
      <c r="G1745" s="16" t="s">
        <v>1197</v>
      </c>
      <c r="H1745" s="14" t="str">
        <f>"20250117/231641"</f>
        <v>20250117/231641</v>
      </c>
      <c r="I1745" s="19" t="str">
        <f t="shared" si="132"/>
        <v> </v>
      </c>
      <c r="J1745" s="18">
        <v>337799.85</v>
      </c>
      <c r="K1745" s="18">
        <v>0</v>
      </c>
      <c r="L1745" s="18">
        <v>2103035.9500000002</v>
      </c>
    </row>
    <row r="1746" spans="1:13" ht="15" thickBot="1" x14ac:dyDescent="0.35">
      <c r="A1746" s="14">
        <v>1739</v>
      </c>
      <c r="B1746" s="15">
        <v>45674</v>
      </c>
      <c r="C1746" s="15">
        <v>45674</v>
      </c>
      <c r="D1746" s="16" t="s">
        <v>1192</v>
      </c>
      <c r="E1746" s="16" t="s">
        <v>1193</v>
      </c>
      <c r="F1746" s="16" t="s">
        <v>2361</v>
      </c>
      <c r="G1746" s="16" t="s">
        <v>1197</v>
      </c>
      <c r="H1746" s="14" t="str">
        <f>"20250117/231642"</f>
        <v>20250117/231642</v>
      </c>
      <c r="I1746" s="19" t="str">
        <f t="shared" si="132"/>
        <v> </v>
      </c>
      <c r="J1746" s="18">
        <v>528799.16</v>
      </c>
      <c r="K1746" s="18">
        <v>0</v>
      </c>
      <c r="L1746" s="18">
        <v>2631835.11</v>
      </c>
    </row>
    <row r="1747" spans="1:13" ht="15" thickBot="1" x14ac:dyDescent="0.35">
      <c r="A1747" s="14">
        <v>1740</v>
      </c>
      <c r="B1747" s="15">
        <v>45674</v>
      </c>
      <c r="C1747" s="15">
        <v>45674</v>
      </c>
      <c r="D1747" s="16" t="s">
        <v>1192</v>
      </c>
      <c r="E1747" s="16" t="s">
        <v>1193</v>
      </c>
      <c r="F1747" s="16" t="s">
        <v>2363</v>
      </c>
      <c r="G1747" s="16" t="s">
        <v>1197</v>
      </c>
      <c r="H1747" s="14" t="str">
        <f>"20250117/299794"</f>
        <v>20250117/299794</v>
      </c>
      <c r="I1747" s="19" t="str">
        <f t="shared" si="132"/>
        <v> </v>
      </c>
      <c r="J1747" s="18">
        <v>0</v>
      </c>
      <c r="K1747" s="18">
        <v>3909.09</v>
      </c>
      <c r="L1747" s="18">
        <v>2627926.02</v>
      </c>
    </row>
    <row r="1748" spans="1:13" ht="15" thickBot="1" x14ac:dyDescent="0.35">
      <c r="A1748" s="14">
        <v>1741</v>
      </c>
      <c r="B1748" s="15">
        <v>45674</v>
      </c>
      <c r="C1748" s="15">
        <v>45674</v>
      </c>
      <c r="D1748" s="16" t="s">
        <v>1192</v>
      </c>
      <c r="E1748" s="16" t="s">
        <v>1193</v>
      </c>
      <c r="F1748" s="16" t="s">
        <v>2364</v>
      </c>
      <c r="G1748" s="16" t="s">
        <v>1197</v>
      </c>
      <c r="H1748" s="14" t="str">
        <f>"20250117/299795"</f>
        <v>20250117/299795</v>
      </c>
      <c r="I1748" s="19" t="str">
        <f t="shared" si="132"/>
        <v> </v>
      </c>
      <c r="J1748" s="18">
        <v>0</v>
      </c>
      <c r="K1748" s="18">
        <v>340610.9</v>
      </c>
      <c r="L1748" s="18">
        <v>2287315.12</v>
      </c>
    </row>
    <row r="1749" spans="1:13" ht="15" thickBot="1" x14ac:dyDescent="0.35">
      <c r="A1749" s="14">
        <v>1742</v>
      </c>
      <c r="B1749" s="15">
        <v>45674</v>
      </c>
      <c r="C1749" s="15">
        <v>45674</v>
      </c>
      <c r="D1749" s="16" t="s">
        <v>1192</v>
      </c>
      <c r="E1749" s="16" t="s">
        <v>1193</v>
      </c>
      <c r="F1749" s="16" t="s">
        <v>2363</v>
      </c>
      <c r="G1749" s="16" t="s">
        <v>1197</v>
      </c>
      <c r="H1749" s="14" t="str">
        <f>"20250117/299796"</f>
        <v>20250117/299796</v>
      </c>
      <c r="I1749" s="19" t="str">
        <f t="shared" si="132"/>
        <v> </v>
      </c>
      <c r="J1749" s="18">
        <v>0</v>
      </c>
      <c r="K1749" s="18">
        <v>524853.11</v>
      </c>
      <c r="L1749" s="18">
        <v>1762462.01</v>
      </c>
    </row>
    <row r="1750" spans="1:13" ht="15" thickBot="1" x14ac:dyDescent="0.35">
      <c r="A1750" s="14">
        <v>1743</v>
      </c>
      <c r="B1750" s="15">
        <v>45677</v>
      </c>
      <c r="C1750" s="15">
        <v>45677</v>
      </c>
      <c r="D1750" s="16" t="s">
        <v>1192</v>
      </c>
      <c r="E1750" s="16" t="s">
        <v>1193</v>
      </c>
      <c r="F1750" s="16" t="s">
        <v>1194</v>
      </c>
      <c r="G1750" s="16" t="s">
        <v>1195</v>
      </c>
      <c r="H1750" s="14" t="str">
        <f>"20250120/26820"</f>
        <v>20250120/26820</v>
      </c>
      <c r="I1750" s="17" t="str">
        <f t="shared" si="132"/>
        <v> </v>
      </c>
      <c r="J1750" s="18">
        <v>0</v>
      </c>
      <c r="K1750" s="18">
        <v>953.04</v>
      </c>
      <c r="L1750" s="18">
        <v>1761508.97</v>
      </c>
      <c r="M1750" t="s">
        <v>2661</v>
      </c>
    </row>
    <row r="1751" spans="1:13" ht="15" thickBot="1" x14ac:dyDescent="0.35">
      <c r="A1751" s="14">
        <v>1744</v>
      </c>
      <c r="B1751" s="15">
        <v>45677</v>
      </c>
      <c r="C1751" s="15">
        <v>45677</v>
      </c>
      <c r="D1751" s="16" t="s">
        <v>1192</v>
      </c>
      <c r="E1751" s="16" t="s">
        <v>1193</v>
      </c>
      <c r="F1751" s="16" t="s">
        <v>2365</v>
      </c>
      <c r="G1751" s="16" t="s">
        <v>1197</v>
      </c>
      <c r="H1751" s="14" t="str">
        <f>"20250120/240408"</f>
        <v>20250120/240408</v>
      </c>
      <c r="I1751" s="19" t="str">
        <f t="shared" si="132"/>
        <v> </v>
      </c>
      <c r="J1751" s="18">
        <v>3909.09</v>
      </c>
      <c r="K1751" s="18">
        <v>0</v>
      </c>
      <c r="L1751" s="18">
        <v>1765418.06</v>
      </c>
    </row>
    <row r="1752" spans="1:13" ht="15" thickBot="1" x14ac:dyDescent="0.35">
      <c r="A1752" s="14">
        <v>1745</v>
      </c>
      <c r="B1752" s="15">
        <v>45677</v>
      </c>
      <c r="C1752" s="15">
        <v>45677</v>
      </c>
      <c r="D1752" s="16" t="s">
        <v>1192</v>
      </c>
      <c r="E1752" s="16" t="s">
        <v>1193</v>
      </c>
      <c r="F1752" s="16" t="s">
        <v>2366</v>
      </c>
      <c r="G1752" s="16" t="s">
        <v>1197</v>
      </c>
      <c r="H1752" s="14" t="str">
        <f>"20250120/240409"</f>
        <v>20250120/240409</v>
      </c>
      <c r="I1752" s="19" t="str">
        <f t="shared" si="132"/>
        <v> </v>
      </c>
      <c r="J1752" s="18">
        <v>335624.6</v>
      </c>
      <c r="K1752" s="18">
        <v>0</v>
      </c>
      <c r="L1752" s="18">
        <v>2101042.66</v>
      </c>
    </row>
    <row r="1753" spans="1:13" ht="15" thickBot="1" x14ac:dyDescent="0.35">
      <c r="A1753" s="14">
        <v>1746</v>
      </c>
      <c r="B1753" s="15">
        <v>45677</v>
      </c>
      <c r="C1753" s="15">
        <v>45677</v>
      </c>
      <c r="D1753" s="16" t="s">
        <v>1192</v>
      </c>
      <c r="E1753" s="16" t="s">
        <v>1193</v>
      </c>
      <c r="F1753" s="16" t="s">
        <v>2365</v>
      </c>
      <c r="G1753" s="16" t="s">
        <v>1197</v>
      </c>
      <c r="H1753" s="14" t="str">
        <f>"20250120/240410"</f>
        <v>20250120/240410</v>
      </c>
      <c r="I1753" s="19" t="str">
        <f t="shared" si="132"/>
        <v> </v>
      </c>
      <c r="J1753" s="18">
        <v>529927.21</v>
      </c>
      <c r="K1753" s="18">
        <v>0</v>
      </c>
      <c r="L1753" s="18">
        <v>2630969.87</v>
      </c>
    </row>
    <row r="1754" spans="1:13" ht="15" thickBot="1" x14ac:dyDescent="0.35">
      <c r="A1754" s="14">
        <v>1747</v>
      </c>
      <c r="B1754" s="15">
        <v>45677</v>
      </c>
      <c r="C1754" s="15">
        <v>45677</v>
      </c>
      <c r="D1754" s="16" t="s">
        <v>1192</v>
      </c>
      <c r="E1754" s="16" t="s">
        <v>1193</v>
      </c>
      <c r="F1754" s="16" t="s">
        <v>2367</v>
      </c>
      <c r="G1754" s="16" t="s">
        <v>1197</v>
      </c>
      <c r="H1754" s="14" t="str">
        <f>"20250120/349613"</f>
        <v>20250120/349613</v>
      </c>
      <c r="I1754" s="19" t="str">
        <f t="shared" si="132"/>
        <v> </v>
      </c>
      <c r="J1754" s="18">
        <v>0</v>
      </c>
      <c r="K1754" s="18">
        <v>3909.09</v>
      </c>
      <c r="L1754" s="18">
        <v>2627060.7799999998</v>
      </c>
    </row>
    <row r="1755" spans="1:13" ht="15" thickBot="1" x14ac:dyDescent="0.35">
      <c r="A1755" s="14">
        <v>1748</v>
      </c>
      <c r="B1755" s="15">
        <v>45677</v>
      </c>
      <c r="C1755" s="15">
        <v>45677</v>
      </c>
      <c r="D1755" s="16" t="s">
        <v>1192</v>
      </c>
      <c r="E1755" s="16" t="s">
        <v>1193</v>
      </c>
      <c r="F1755" s="16" t="s">
        <v>2368</v>
      </c>
      <c r="G1755" s="16" t="s">
        <v>1197</v>
      </c>
      <c r="H1755" s="14" t="str">
        <f>"20250120/349614"</f>
        <v>20250120/349614</v>
      </c>
      <c r="I1755" s="19" t="str">
        <f t="shared" si="132"/>
        <v> </v>
      </c>
      <c r="J1755" s="18">
        <v>0</v>
      </c>
      <c r="K1755" s="18">
        <v>337799.85</v>
      </c>
      <c r="L1755" s="18">
        <v>2289260.9300000002</v>
      </c>
    </row>
    <row r="1756" spans="1:13" ht="15" thickBot="1" x14ac:dyDescent="0.35">
      <c r="A1756" s="14">
        <v>1749</v>
      </c>
      <c r="B1756" s="15">
        <v>45677</v>
      </c>
      <c r="C1756" s="15">
        <v>45677</v>
      </c>
      <c r="D1756" s="16" t="s">
        <v>1192</v>
      </c>
      <c r="E1756" s="16" t="s">
        <v>1193</v>
      </c>
      <c r="F1756" s="16" t="s">
        <v>2367</v>
      </c>
      <c r="G1756" s="16" t="s">
        <v>1197</v>
      </c>
      <c r="H1756" s="14" t="str">
        <f>"20250120/349615"</f>
        <v>20250120/349615</v>
      </c>
      <c r="I1756" s="19" t="str">
        <f t="shared" si="132"/>
        <v> </v>
      </c>
      <c r="J1756" s="18">
        <v>0</v>
      </c>
      <c r="K1756" s="18">
        <v>528799.16</v>
      </c>
      <c r="L1756" s="18">
        <v>1760461.77</v>
      </c>
    </row>
    <row r="1757" spans="1:13" ht="15" thickBot="1" x14ac:dyDescent="0.35">
      <c r="A1757" s="14">
        <v>1750</v>
      </c>
      <c r="B1757" s="15">
        <v>45677</v>
      </c>
      <c r="C1757" s="15">
        <v>45677</v>
      </c>
      <c r="D1757" s="16" t="s">
        <v>1192</v>
      </c>
      <c r="E1757" s="16" t="s">
        <v>1193</v>
      </c>
      <c r="F1757" s="16" t="s">
        <v>2369</v>
      </c>
      <c r="G1757" s="16" t="s">
        <v>1197</v>
      </c>
      <c r="H1757" s="14" t="str">
        <f>"20250120/88061"</f>
        <v>20250120/88061</v>
      </c>
      <c r="I1757" s="19" t="str">
        <f t="shared" si="132"/>
        <v> </v>
      </c>
      <c r="J1757" s="18">
        <v>953.04</v>
      </c>
      <c r="K1757" s="18">
        <v>0</v>
      </c>
      <c r="L1757" s="18">
        <v>1761414.81</v>
      </c>
      <c r="M1757" t="s">
        <v>2658</v>
      </c>
    </row>
    <row r="1758" spans="1:13" ht="15" thickBot="1" x14ac:dyDescent="0.35">
      <c r="A1758" s="14">
        <v>1751</v>
      </c>
      <c r="B1758" s="15">
        <v>45678</v>
      </c>
      <c r="C1758" s="15">
        <v>45678</v>
      </c>
      <c r="D1758" s="16" t="s">
        <v>1192</v>
      </c>
      <c r="E1758" s="16" t="s">
        <v>1193</v>
      </c>
      <c r="F1758" s="16" t="s">
        <v>1202</v>
      </c>
      <c r="G1758" s="16" t="s">
        <v>1203</v>
      </c>
      <c r="H1758" s="14" t="str">
        <f>"20250121/10871"</f>
        <v>20250121/10871</v>
      </c>
      <c r="I1758" s="17" t="str">
        <f t="shared" si="132"/>
        <v> </v>
      </c>
      <c r="J1758" s="18">
        <v>1047.2</v>
      </c>
      <c r="K1758" s="18">
        <v>0</v>
      </c>
      <c r="L1758" s="18">
        <v>1762462.01</v>
      </c>
      <c r="M1758" t="s">
        <v>2661</v>
      </c>
    </row>
    <row r="1759" spans="1:13" ht="15" thickBot="1" x14ac:dyDescent="0.35">
      <c r="A1759" s="14">
        <v>1752</v>
      </c>
      <c r="B1759" s="15">
        <v>45678</v>
      </c>
      <c r="C1759" s="15">
        <v>45678</v>
      </c>
      <c r="D1759" s="16" t="s">
        <v>1192</v>
      </c>
      <c r="E1759" s="16" t="s">
        <v>1193</v>
      </c>
      <c r="F1759" s="16" t="s">
        <v>1194</v>
      </c>
      <c r="G1759" s="16" t="s">
        <v>1195</v>
      </c>
      <c r="H1759" s="14" t="str">
        <f>"20250121/8189"</f>
        <v>20250121/8189</v>
      </c>
      <c r="I1759" s="17" t="str">
        <f t="shared" si="132"/>
        <v> </v>
      </c>
      <c r="J1759" s="18">
        <v>0</v>
      </c>
      <c r="K1759" s="18">
        <v>317.68</v>
      </c>
      <c r="L1759" s="18">
        <v>1762144.33</v>
      </c>
      <c r="M1759" t="s">
        <v>2661</v>
      </c>
    </row>
    <row r="1760" spans="1:13" ht="15" thickBot="1" x14ac:dyDescent="0.35">
      <c r="A1760" s="14">
        <v>1753</v>
      </c>
      <c r="B1760" s="15">
        <v>45678</v>
      </c>
      <c r="C1760" s="15">
        <v>45678</v>
      </c>
      <c r="D1760" s="16" t="s">
        <v>1192</v>
      </c>
      <c r="E1760" s="16" t="s">
        <v>1193</v>
      </c>
      <c r="F1760" s="16" t="s">
        <v>1194</v>
      </c>
      <c r="G1760" s="16" t="s">
        <v>1195</v>
      </c>
      <c r="H1760" s="14" t="str">
        <f>"20250121/94939"</f>
        <v>20250121/94939</v>
      </c>
      <c r="I1760" s="17" t="str">
        <f t="shared" si="132"/>
        <v> </v>
      </c>
      <c r="J1760" s="18">
        <v>0</v>
      </c>
      <c r="K1760" s="18">
        <v>7915.59</v>
      </c>
      <c r="L1760" s="18">
        <v>1754228.74</v>
      </c>
      <c r="M1760" t="s">
        <v>2661</v>
      </c>
    </row>
    <row r="1761" spans="1:13" ht="15" thickBot="1" x14ac:dyDescent="0.35">
      <c r="A1761" s="14">
        <v>1754</v>
      </c>
      <c r="B1761" s="15">
        <v>45678</v>
      </c>
      <c r="C1761" s="15">
        <v>45678</v>
      </c>
      <c r="D1761" s="16" t="s">
        <v>1192</v>
      </c>
      <c r="E1761" s="16" t="s">
        <v>1193</v>
      </c>
      <c r="F1761" s="16" t="s">
        <v>2370</v>
      </c>
      <c r="G1761" s="16" t="s">
        <v>1197</v>
      </c>
      <c r="H1761" s="14" t="str">
        <f>"20250121/222508"</f>
        <v>20250121/222508</v>
      </c>
      <c r="I1761" s="19" t="str">
        <f t="shared" si="132"/>
        <v> </v>
      </c>
      <c r="J1761" s="18">
        <v>3909.09</v>
      </c>
      <c r="K1761" s="18">
        <v>0</v>
      </c>
      <c r="L1761" s="18">
        <v>1758137.83</v>
      </c>
    </row>
    <row r="1762" spans="1:13" ht="15" thickBot="1" x14ac:dyDescent="0.35">
      <c r="A1762" s="14">
        <v>1755</v>
      </c>
      <c r="B1762" s="15">
        <v>45678</v>
      </c>
      <c r="C1762" s="15">
        <v>45678</v>
      </c>
      <c r="D1762" s="16" t="s">
        <v>1192</v>
      </c>
      <c r="E1762" s="16" t="s">
        <v>1193</v>
      </c>
      <c r="F1762" s="16" t="s">
        <v>2371</v>
      </c>
      <c r="G1762" s="16" t="s">
        <v>1197</v>
      </c>
      <c r="H1762" s="14" t="str">
        <f>"20250121/222509"</f>
        <v>20250121/222509</v>
      </c>
      <c r="I1762" s="19" t="str">
        <f t="shared" si="132"/>
        <v> </v>
      </c>
      <c r="J1762" s="18">
        <v>349345.05</v>
      </c>
      <c r="K1762" s="18">
        <v>0</v>
      </c>
      <c r="L1762" s="18">
        <v>2107482.88</v>
      </c>
    </row>
    <row r="1763" spans="1:13" ht="15" thickBot="1" x14ac:dyDescent="0.35">
      <c r="A1763" s="14">
        <v>1756</v>
      </c>
      <c r="B1763" s="15">
        <v>45678</v>
      </c>
      <c r="C1763" s="15">
        <v>45678</v>
      </c>
      <c r="D1763" s="16" t="s">
        <v>1192</v>
      </c>
      <c r="E1763" s="16" t="s">
        <v>1193</v>
      </c>
      <c r="F1763" s="16" t="s">
        <v>2370</v>
      </c>
      <c r="G1763" s="16" t="s">
        <v>1197</v>
      </c>
      <c r="H1763" s="14" t="str">
        <f>"20250121/222510"</f>
        <v>20250121/222510</v>
      </c>
      <c r="I1763" s="19" t="str">
        <f t="shared" si="132"/>
        <v> </v>
      </c>
      <c r="J1763" s="18">
        <v>524122.35</v>
      </c>
      <c r="K1763" s="18">
        <v>0</v>
      </c>
      <c r="L1763" s="18">
        <v>2631605.23</v>
      </c>
    </row>
    <row r="1764" spans="1:13" ht="15" thickBot="1" x14ac:dyDescent="0.35">
      <c r="A1764" s="14">
        <v>1757</v>
      </c>
      <c r="B1764" s="15">
        <v>45678</v>
      </c>
      <c r="C1764" s="15">
        <v>45678</v>
      </c>
      <c r="D1764" s="16" t="s">
        <v>1192</v>
      </c>
      <c r="E1764" s="16" t="s">
        <v>1193</v>
      </c>
      <c r="F1764" s="16" t="s">
        <v>2372</v>
      </c>
      <c r="G1764" s="16" t="s">
        <v>1197</v>
      </c>
      <c r="H1764" s="14" t="str">
        <f>"20250121/362985"</f>
        <v>20250121/362985</v>
      </c>
      <c r="I1764" s="19" t="str">
        <f t="shared" si="132"/>
        <v> </v>
      </c>
      <c r="J1764" s="18">
        <v>0</v>
      </c>
      <c r="K1764" s="18">
        <v>3909.09</v>
      </c>
      <c r="L1764" s="18">
        <v>2627696.14</v>
      </c>
    </row>
    <row r="1765" spans="1:13" ht="15" thickBot="1" x14ac:dyDescent="0.35">
      <c r="A1765" s="14">
        <v>1758</v>
      </c>
      <c r="B1765" s="15">
        <v>45678</v>
      </c>
      <c r="C1765" s="15">
        <v>45678</v>
      </c>
      <c r="D1765" s="16" t="s">
        <v>1192</v>
      </c>
      <c r="E1765" s="16" t="s">
        <v>1193</v>
      </c>
      <c r="F1765" s="16" t="s">
        <v>2373</v>
      </c>
      <c r="G1765" s="16" t="s">
        <v>1197</v>
      </c>
      <c r="H1765" s="14" t="str">
        <f>"20250121/362986"</f>
        <v>20250121/362986</v>
      </c>
      <c r="I1765" s="19" t="str">
        <f t="shared" si="132"/>
        <v> </v>
      </c>
      <c r="J1765" s="18">
        <v>0</v>
      </c>
      <c r="K1765" s="18">
        <v>335624.6</v>
      </c>
      <c r="L1765" s="18">
        <v>2292071.54</v>
      </c>
    </row>
    <row r="1766" spans="1:13" ht="15" thickBot="1" x14ac:dyDescent="0.35">
      <c r="A1766" s="14">
        <v>1759</v>
      </c>
      <c r="B1766" s="15">
        <v>45678</v>
      </c>
      <c r="C1766" s="15">
        <v>45678</v>
      </c>
      <c r="D1766" s="16" t="s">
        <v>1192</v>
      </c>
      <c r="E1766" s="16" t="s">
        <v>1193</v>
      </c>
      <c r="F1766" s="16" t="s">
        <v>2372</v>
      </c>
      <c r="G1766" s="16" t="s">
        <v>1197</v>
      </c>
      <c r="H1766" s="14" t="str">
        <f>"20250121/362987"</f>
        <v>20250121/362987</v>
      </c>
      <c r="I1766" s="19" t="str">
        <f t="shared" si="132"/>
        <v> </v>
      </c>
      <c r="J1766" s="18">
        <v>0</v>
      </c>
      <c r="K1766" s="18">
        <v>529927.21</v>
      </c>
      <c r="L1766" s="18">
        <v>1762144.33</v>
      </c>
    </row>
    <row r="1767" spans="1:13" ht="15" thickBot="1" x14ac:dyDescent="0.35">
      <c r="A1767" s="14">
        <v>1760</v>
      </c>
      <c r="B1767" s="15">
        <v>45678</v>
      </c>
      <c r="C1767" s="15">
        <v>45678</v>
      </c>
      <c r="D1767" s="16" t="s">
        <v>1192</v>
      </c>
      <c r="E1767" s="16" t="s">
        <v>1193</v>
      </c>
      <c r="F1767" s="16" t="s">
        <v>2374</v>
      </c>
      <c r="G1767" s="16" t="s">
        <v>1197</v>
      </c>
      <c r="H1767" s="14" t="str">
        <f>"20250121/90933"</f>
        <v>20250121/90933</v>
      </c>
      <c r="I1767" s="19" t="str">
        <f t="shared" si="132"/>
        <v> </v>
      </c>
      <c r="J1767" s="18">
        <v>317.68</v>
      </c>
      <c r="K1767" s="18">
        <v>0</v>
      </c>
      <c r="L1767" s="18">
        <v>1762462.01</v>
      </c>
      <c r="M1767" t="s">
        <v>2658</v>
      </c>
    </row>
    <row r="1768" spans="1:13" ht="15" thickBot="1" x14ac:dyDescent="0.35">
      <c r="A1768" s="14">
        <v>1761</v>
      </c>
      <c r="B1768" s="15">
        <v>45679</v>
      </c>
      <c r="C1768" s="15">
        <v>45679</v>
      </c>
      <c r="D1768" s="16" t="s">
        <v>1192</v>
      </c>
      <c r="E1768" s="16" t="s">
        <v>1193</v>
      </c>
      <c r="F1768" s="16" t="s">
        <v>1194</v>
      </c>
      <c r="G1768" s="16" t="s">
        <v>1195</v>
      </c>
      <c r="H1768" s="14" t="str">
        <f>"20250122/115183"</f>
        <v>20250122/115183</v>
      </c>
      <c r="I1768" s="17" t="str">
        <f t="shared" si="132"/>
        <v> </v>
      </c>
      <c r="J1768" s="18">
        <v>0</v>
      </c>
      <c r="K1768" s="18">
        <v>7000.88</v>
      </c>
      <c r="L1768" s="18">
        <v>1755461.13</v>
      </c>
      <c r="M1768" t="s">
        <v>2661</v>
      </c>
    </row>
    <row r="1769" spans="1:13" ht="15" thickBot="1" x14ac:dyDescent="0.35">
      <c r="A1769" s="14">
        <v>1762</v>
      </c>
      <c r="B1769" s="15">
        <v>45679</v>
      </c>
      <c r="C1769" s="15">
        <v>45679</v>
      </c>
      <c r="D1769" s="16" t="s">
        <v>1192</v>
      </c>
      <c r="E1769" s="16" t="s">
        <v>1193</v>
      </c>
      <c r="F1769" s="16" t="s">
        <v>1194</v>
      </c>
      <c r="G1769" s="16" t="s">
        <v>1195</v>
      </c>
      <c r="H1769" s="14" t="str">
        <f>"20250122/25510"</f>
        <v>20250122/25510</v>
      </c>
      <c r="I1769" s="17" t="str">
        <f t="shared" si="132"/>
        <v> </v>
      </c>
      <c r="J1769" s="18">
        <v>0</v>
      </c>
      <c r="K1769" s="18">
        <v>315.24</v>
      </c>
      <c r="L1769" s="18">
        <v>1755145.89</v>
      </c>
      <c r="M1769" t="s">
        <v>2661</v>
      </c>
    </row>
    <row r="1770" spans="1:13" ht="15" thickBot="1" x14ac:dyDescent="0.35">
      <c r="A1770" s="14">
        <v>1763</v>
      </c>
      <c r="B1770" s="15">
        <v>45679</v>
      </c>
      <c r="C1770" s="15">
        <v>45679</v>
      </c>
      <c r="D1770" s="16" t="s">
        <v>1192</v>
      </c>
      <c r="E1770" s="16" t="s">
        <v>1193</v>
      </c>
      <c r="F1770" s="16" t="s">
        <v>2375</v>
      </c>
      <c r="G1770" s="16" t="s">
        <v>1197</v>
      </c>
      <c r="H1770" s="14" t="str">
        <f>"20250122/103388"</f>
        <v>20250122/103388</v>
      </c>
      <c r="I1770" s="19" t="str">
        <f t="shared" si="132"/>
        <v> </v>
      </c>
      <c r="J1770" s="18">
        <v>315.24</v>
      </c>
      <c r="K1770" s="18">
        <v>0</v>
      </c>
      <c r="L1770" s="18">
        <v>1755461.13</v>
      </c>
      <c r="M1770" t="s">
        <v>2658</v>
      </c>
    </row>
    <row r="1771" spans="1:13" ht="15" thickBot="1" x14ac:dyDescent="0.35">
      <c r="A1771" s="14">
        <v>1764</v>
      </c>
      <c r="B1771" s="15">
        <v>45679</v>
      </c>
      <c r="C1771" s="15">
        <v>45679</v>
      </c>
      <c r="D1771" s="16" t="s">
        <v>1192</v>
      </c>
      <c r="E1771" s="16" t="s">
        <v>1193</v>
      </c>
      <c r="F1771" s="16" t="s">
        <v>2376</v>
      </c>
      <c r="G1771" s="16" t="s">
        <v>1197</v>
      </c>
      <c r="H1771" s="14" t="str">
        <f>"20250122/241846"</f>
        <v>20250122/241846</v>
      </c>
      <c r="I1771" s="19" t="str">
        <f t="shared" si="132"/>
        <v> </v>
      </c>
      <c r="J1771" s="18">
        <v>3909.09</v>
      </c>
      <c r="K1771" s="18">
        <v>0</v>
      </c>
      <c r="L1771" s="18">
        <v>1759370.22</v>
      </c>
    </row>
    <row r="1772" spans="1:13" ht="15" thickBot="1" x14ac:dyDescent="0.35">
      <c r="A1772" s="14">
        <v>1765</v>
      </c>
      <c r="B1772" s="15">
        <v>45679</v>
      </c>
      <c r="C1772" s="15">
        <v>45679</v>
      </c>
      <c r="D1772" s="16" t="s">
        <v>1192</v>
      </c>
      <c r="E1772" s="16" t="s">
        <v>1193</v>
      </c>
      <c r="F1772" s="16" t="s">
        <v>2377</v>
      </c>
      <c r="G1772" s="16" t="s">
        <v>1197</v>
      </c>
      <c r="H1772" s="14" t="str">
        <f>"20250122/241847"</f>
        <v>20250122/241847</v>
      </c>
      <c r="I1772" s="19" t="str">
        <f t="shared" si="132"/>
        <v> </v>
      </c>
      <c r="J1772" s="18">
        <v>361542.45</v>
      </c>
      <c r="K1772" s="18">
        <v>0</v>
      </c>
      <c r="L1772" s="18">
        <v>2120912.67</v>
      </c>
    </row>
    <row r="1773" spans="1:13" ht="15" thickBot="1" x14ac:dyDescent="0.35">
      <c r="A1773" s="14">
        <v>1766</v>
      </c>
      <c r="B1773" s="15">
        <v>45679</v>
      </c>
      <c r="C1773" s="15">
        <v>45679</v>
      </c>
      <c r="D1773" s="16" t="s">
        <v>1192</v>
      </c>
      <c r="E1773" s="16" t="s">
        <v>1193</v>
      </c>
      <c r="F1773" s="16" t="s">
        <v>2376</v>
      </c>
      <c r="G1773" s="16" t="s">
        <v>1197</v>
      </c>
      <c r="H1773" s="14" t="str">
        <f>"20250122/241848"</f>
        <v>20250122/241848</v>
      </c>
      <c r="I1773" s="19" t="str">
        <f t="shared" si="132"/>
        <v> </v>
      </c>
      <c r="J1773" s="18">
        <v>518925.83</v>
      </c>
      <c r="K1773" s="18">
        <v>0</v>
      </c>
      <c r="L1773" s="18">
        <v>2639838.5</v>
      </c>
    </row>
    <row r="1774" spans="1:13" ht="15" thickBot="1" x14ac:dyDescent="0.35">
      <c r="A1774" s="14">
        <v>1767</v>
      </c>
      <c r="B1774" s="15">
        <v>45679</v>
      </c>
      <c r="C1774" s="15">
        <v>45679</v>
      </c>
      <c r="D1774" s="16" t="s">
        <v>1192</v>
      </c>
      <c r="E1774" s="16" t="s">
        <v>1193</v>
      </c>
      <c r="F1774" s="16" t="s">
        <v>2378</v>
      </c>
      <c r="G1774" s="16" t="s">
        <v>1197</v>
      </c>
      <c r="H1774" s="14" t="str">
        <f>"20250122/311357"</f>
        <v>20250122/311357</v>
      </c>
      <c r="I1774" s="19" t="str">
        <f t="shared" si="132"/>
        <v> </v>
      </c>
      <c r="J1774" s="18">
        <v>0</v>
      </c>
      <c r="K1774" s="18">
        <v>3909.09</v>
      </c>
      <c r="L1774" s="18">
        <v>2635929.41</v>
      </c>
    </row>
    <row r="1775" spans="1:13" ht="15" thickBot="1" x14ac:dyDescent="0.35">
      <c r="A1775" s="14">
        <v>1768</v>
      </c>
      <c r="B1775" s="15">
        <v>45679</v>
      </c>
      <c r="C1775" s="15">
        <v>45679</v>
      </c>
      <c r="D1775" s="16" t="s">
        <v>1192</v>
      </c>
      <c r="E1775" s="16" t="s">
        <v>1193</v>
      </c>
      <c r="F1775" s="16" t="s">
        <v>2379</v>
      </c>
      <c r="G1775" s="16" t="s">
        <v>1197</v>
      </c>
      <c r="H1775" s="14" t="str">
        <f>"20250122/311358"</f>
        <v>20250122/311358</v>
      </c>
      <c r="I1775" s="19" t="str">
        <f t="shared" si="132"/>
        <v> </v>
      </c>
      <c r="J1775" s="18">
        <v>0</v>
      </c>
      <c r="K1775" s="18">
        <v>349345.05</v>
      </c>
      <c r="L1775" s="18">
        <v>2286584.36</v>
      </c>
    </row>
    <row r="1776" spans="1:13" ht="15" thickBot="1" x14ac:dyDescent="0.35">
      <c r="A1776" s="14">
        <v>1769</v>
      </c>
      <c r="B1776" s="15">
        <v>45679</v>
      </c>
      <c r="C1776" s="15">
        <v>45679</v>
      </c>
      <c r="D1776" s="16" t="s">
        <v>1192</v>
      </c>
      <c r="E1776" s="16" t="s">
        <v>1193</v>
      </c>
      <c r="F1776" s="16" t="s">
        <v>2378</v>
      </c>
      <c r="G1776" s="16" t="s">
        <v>1197</v>
      </c>
      <c r="H1776" s="14" t="str">
        <f>"20250122/311359"</f>
        <v>20250122/311359</v>
      </c>
      <c r="I1776" s="19" t="str">
        <f t="shared" si="132"/>
        <v> </v>
      </c>
      <c r="J1776" s="18">
        <v>0</v>
      </c>
      <c r="K1776" s="18">
        <v>524122.35</v>
      </c>
      <c r="L1776" s="18">
        <v>1762462.01</v>
      </c>
    </row>
    <row r="1777" spans="1:13" ht="15" thickBot="1" x14ac:dyDescent="0.35">
      <c r="A1777" s="14">
        <v>1770</v>
      </c>
      <c r="B1777" s="15">
        <v>45680</v>
      </c>
      <c r="C1777" s="15">
        <v>45680</v>
      </c>
      <c r="D1777" s="16" t="s">
        <v>1192</v>
      </c>
      <c r="E1777" s="16" t="s">
        <v>1193</v>
      </c>
      <c r="F1777" s="16" t="s">
        <v>1194</v>
      </c>
      <c r="G1777" s="16" t="s">
        <v>1195</v>
      </c>
      <c r="H1777" s="14" t="str">
        <f>"20250123/7857"</f>
        <v>20250123/7857</v>
      </c>
      <c r="I1777" s="17" t="str">
        <f t="shared" si="132"/>
        <v> </v>
      </c>
      <c r="J1777" s="18">
        <v>0</v>
      </c>
      <c r="K1777" s="18">
        <v>312.74</v>
      </c>
      <c r="L1777" s="18">
        <v>1762149.27</v>
      </c>
      <c r="M1777" t="s">
        <v>2661</v>
      </c>
    </row>
    <row r="1778" spans="1:13" ht="15" thickBot="1" x14ac:dyDescent="0.35">
      <c r="A1778" s="14">
        <v>1771</v>
      </c>
      <c r="B1778" s="15">
        <v>45680</v>
      </c>
      <c r="C1778" s="15">
        <v>45680</v>
      </c>
      <c r="D1778" s="16" t="s">
        <v>1192</v>
      </c>
      <c r="E1778" s="16" t="s">
        <v>1193</v>
      </c>
      <c r="F1778" s="16" t="s">
        <v>2380</v>
      </c>
      <c r="G1778" s="16" t="s">
        <v>1197</v>
      </c>
      <c r="H1778" s="14" t="str">
        <f>"20250123/100546"</f>
        <v>20250123/100546</v>
      </c>
      <c r="I1778" s="19" t="str">
        <f t="shared" si="132"/>
        <v> </v>
      </c>
      <c r="J1778" s="18">
        <v>312.74</v>
      </c>
      <c r="K1778" s="18">
        <v>0</v>
      </c>
      <c r="L1778" s="18">
        <v>1762462.01</v>
      </c>
      <c r="M1778" t="s">
        <v>2658</v>
      </c>
    </row>
    <row r="1779" spans="1:13" ht="15" thickBot="1" x14ac:dyDescent="0.35">
      <c r="A1779" s="14">
        <v>1772</v>
      </c>
      <c r="B1779" s="15">
        <v>45680</v>
      </c>
      <c r="C1779" s="15">
        <v>45680</v>
      </c>
      <c r="D1779" s="16" t="s">
        <v>1192</v>
      </c>
      <c r="E1779" s="16" t="s">
        <v>1193</v>
      </c>
      <c r="F1779" s="16" t="s">
        <v>2381</v>
      </c>
      <c r="G1779" s="16" t="s">
        <v>1197</v>
      </c>
      <c r="H1779" s="14" t="str">
        <f>"20250123/293062"</f>
        <v>20250123/293062</v>
      </c>
      <c r="I1779" s="19" t="str">
        <f t="shared" si="132"/>
        <v> </v>
      </c>
      <c r="J1779" s="18">
        <v>3909.09</v>
      </c>
      <c r="K1779" s="18">
        <v>0</v>
      </c>
      <c r="L1779" s="18">
        <v>1766371.1</v>
      </c>
    </row>
    <row r="1780" spans="1:13" ht="15" thickBot="1" x14ac:dyDescent="0.35">
      <c r="A1780" s="14">
        <v>1773</v>
      </c>
      <c r="B1780" s="15">
        <v>45680</v>
      </c>
      <c r="C1780" s="15">
        <v>45680</v>
      </c>
      <c r="D1780" s="16" t="s">
        <v>1192</v>
      </c>
      <c r="E1780" s="16" t="s">
        <v>1193</v>
      </c>
      <c r="F1780" s="16" t="s">
        <v>2382</v>
      </c>
      <c r="G1780" s="16" t="s">
        <v>1197</v>
      </c>
      <c r="H1780" s="14" t="str">
        <f>"20250123/293063"</f>
        <v>20250123/293063</v>
      </c>
      <c r="I1780" s="19" t="str">
        <f t="shared" si="132"/>
        <v> </v>
      </c>
      <c r="J1780" s="18">
        <v>347035.1</v>
      </c>
      <c r="K1780" s="18">
        <v>0</v>
      </c>
      <c r="L1780" s="18">
        <v>2113406.2000000002</v>
      </c>
    </row>
    <row r="1781" spans="1:13" ht="15" thickBot="1" x14ac:dyDescent="0.35">
      <c r="A1781" s="14">
        <v>1774</v>
      </c>
      <c r="B1781" s="15">
        <v>45680</v>
      </c>
      <c r="C1781" s="15">
        <v>45680</v>
      </c>
      <c r="D1781" s="16" t="s">
        <v>1192</v>
      </c>
      <c r="E1781" s="16" t="s">
        <v>1193</v>
      </c>
      <c r="F1781" s="16" t="s">
        <v>2381</v>
      </c>
      <c r="G1781" s="16" t="s">
        <v>1197</v>
      </c>
      <c r="H1781" s="14" t="str">
        <f>"20250123/293064"</f>
        <v>20250123/293064</v>
      </c>
      <c r="I1781" s="19" t="str">
        <f t="shared" si="132"/>
        <v> </v>
      </c>
      <c r="J1781" s="18">
        <v>523886.83</v>
      </c>
      <c r="K1781" s="18">
        <v>0</v>
      </c>
      <c r="L1781" s="18">
        <v>2637293.0299999998</v>
      </c>
    </row>
    <row r="1782" spans="1:13" ht="15" thickBot="1" x14ac:dyDescent="0.35">
      <c r="A1782" s="14">
        <v>1775</v>
      </c>
      <c r="B1782" s="15">
        <v>45680</v>
      </c>
      <c r="C1782" s="15">
        <v>45680</v>
      </c>
      <c r="D1782" s="16" t="s">
        <v>1192</v>
      </c>
      <c r="E1782" s="16" t="s">
        <v>1193</v>
      </c>
      <c r="F1782" s="16" t="s">
        <v>2383</v>
      </c>
      <c r="G1782" s="16" t="s">
        <v>1197</v>
      </c>
      <c r="H1782" s="14" t="str">
        <f>"20250123/368727"</f>
        <v>20250123/368727</v>
      </c>
      <c r="I1782" s="19" t="str">
        <f t="shared" si="132"/>
        <v> </v>
      </c>
      <c r="J1782" s="18">
        <v>0</v>
      </c>
      <c r="K1782" s="18">
        <v>3909.09</v>
      </c>
      <c r="L1782" s="18">
        <v>2633383.94</v>
      </c>
    </row>
    <row r="1783" spans="1:13" ht="15" thickBot="1" x14ac:dyDescent="0.35">
      <c r="A1783" s="14">
        <v>1776</v>
      </c>
      <c r="B1783" s="15">
        <v>45680</v>
      </c>
      <c r="C1783" s="15">
        <v>45680</v>
      </c>
      <c r="D1783" s="16" t="s">
        <v>1192</v>
      </c>
      <c r="E1783" s="16" t="s">
        <v>1193</v>
      </c>
      <c r="F1783" s="16" t="s">
        <v>2384</v>
      </c>
      <c r="G1783" s="16" t="s">
        <v>1197</v>
      </c>
      <c r="H1783" s="14" t="str">
        <f>"20250123/368728"</f>
        <v>20250123/368728</v>
      </c>
      <c r="I1783" s="19" t="str">
        <f t="shared" si="132"/>
        <v> </v>
      </c>
      <c r="J1783" s="18">
        <v>0</v>
      </c>
      <c r="K1783" s="18">
        <v>361542.45</v>
      </c>
      <c r="L1783" s="18">
        <v>2271841.4900000002</v>
      </c>
    </row>
    <row r="1784" spans="1:13" ht="15" thickBot="1" x14ac:dyDescent="0.35">
      <c r="A1784" s="14">
        <v>1777</v>
      </c>
      <c r="B1784" s="15">
        <v>45680</v>
      </c>
      <c r="C1784" s="15">
        <v>45680</v>
      </c>
      <c r="D1784" s="16" t="s">
        <v>1192</v>
      </c>
      <c r="E1784" s="16" t="s">
        <v>1193</v>
      </c>
      <c r="F1784" s="16" t="s">
        <v>2383</v>
      </c>
      <c r="G1784" s="16" t="s">
        <v>1197</v>
      </c>
      <c r="H1784" s="14" t="str">
        <f>"20250123/368729"</f>
        <v>20250123/368729</v>
      </c>
      <c r="I1784" s="19" t="str">
        <f t="shared" si="132"/>
        <v> </v>
      </c>
      <c r="J1784" s="18">
        <v>0</v>
      </c>
      <c r="K1784" s="18">
        <v>518925.83</v>
      </c>
      <c r="L1784" s="18">
        <v>1752915.66</v>
      </c>
    </row>
    <row r="1785" spans="1:13" ht="15" thickBot="1" x14ac:dyDescent="0.35">
      <c r="A1785" s="14">
        <v>1778</v>
      </c>
      <c r="B1785" s="15">
        <v>45681</v>
      </c>
      <c r="C1785" s="15">
        <v>45681</v>
      </c>
      <c r="D1785" s="16" t="s">
        <v>1192</v>
      </c>
      <c r="E1785" s="16" t="s">
        <v>1193</v>
      </c>
      <c r="F1785" s="16" t="s">
        <v>1202</v>
      </c>
      <c r="G1785" s="16" t="s">
        <v>1203</v>
      </c>
      <c r="H1785" s="14" t="str">
        <f>"20250124/9434"</f>
        <v>20250124/9434</v>
      </c>
      <c r="I1785" s="17" t="str">
        <f t="shared" si="132"/>
        <v> </v>
      </c>
      <c r="J1785" s="18">
        <v>9546.35</v>
      </c>
      <c r="K1785" s="18">
        <v>0</v>
      </c>
      <c r="L1785" s="18">
        <v>1762462.01</v>
      </c>
      <c r="M1785" t="s">
        <v>2661</v>
      </c>
    </row>
    <row r="1786" spans="1:13" ht="15" thickBot="1" x14ac:dyDescent="0.35">
      <c r="A1786" s="14">
        <v>1779</v>
      </c>
      <c r="B1786" s="15">
        <v>45681</v>
      </c>
      <c r="C1786" s="15">
        <v>45681</v>
      </c>
      <c r="D1786" s="16" t="s">
        <v>1192</v>
      </c>
      <c r="E1786" s="16" t="s">
        <v>1193</v>
      </c>
      <c r="F1786" s="16" t="s">
        <v>1194</v>
      </c>
      <c r="G1786" s="16" t="s">
        <v>1195</v>
      </c>
      <c r="H1786" s="14" t="str">
        <f>"20250124/28957"</f>
        <v>20250124/28957</v>
      </c>
      <c r="I1786" s="17" t="str">
        <f t="shared" si="132"/>
        <v> </v>
      </c>
      <c r="J1786" s="18">
        <v>0</v>
      </c>
      <c r="K1786" s="18">
        <v>312.74</v>
      </c>
      <c r="L1786" s="18">
        <v>1762149.27</v>
      </c>
      <c r="M1786" t="s">
        <v>2661</v>
      </c>
    </row>
    <row r="1787" spans="1:13" ht="15" thickBot="1" x14ac:dyDescent="0.35">
      <c r="A1787" s="14">
        <v>1780</v>
      </c>
      <c r="B1787" s="15">
        <v>45681</v>
      </c>
      <c r="C1787" s="15">
        <v>45681</v>
      </c>
      <c r="D1787" s="16" t="s">
        <v>1192</v>
      </c>
      <c r="E1787" s="16" t="s">
        <v>1193</v>
      </c>
      <c r="F1787" s="16" t="s">
        <v>2385</v>
      </c>
      <c r="G1787" s="16" t="s">
        <v>1197</v>
      </c>
      <c r="H1787" s="14" t="str">
        <f>"20250124/223069"</f>
        <v>20250124/223069</v>
      </c>
      <c r="I1787" s="19" t="str">
        <f t="shared" si="132"/>
        <v> </v>
      </c>
      <c r="J1787" s="18">
        <v>3909.09</v>
      </c>
      <c r="K1787" s="18">
        <v>0</v>
      </c>
      <c r="L1787" s="18">
        <v>1766058.36</v>
      </c>
    </row>
    <row r="1788" spans="1:13" ht="15" thickBot="1" x14ac:dyDescent="0.35">
      <c r="A1788" s="14">
        <v>1781</v>
      </c>
      <c r="B1788" s="15">
        <v>45681</v>
      </c>
      <c r="C1788" s="15">
        <v>45681</v>
      </c>
      <c r="D1788" s="16" t="s">
        <v>1192</v>
      </c>
      <c r="E1788" s="16" t="s">
        <v>1193</v>
      </c>
      <c r="F1788" s="16" t="s">
        <v>2386</v>
      </c>
      <c r="G1788" s="16" t="s">
        <v>1197</v>
      </c>
      <c r="H1788" s="14" t="str">
        <f>"20250124/223070"</f>
        <v>20250124/223070</v>
      </c>
      <c r="I1788" s="19" t="str">
        <f t="shared" si="132"/>
        <v> </v>
      </c>
      <c r="J1788" s="18">
        <v>354822.40000000002</v>
      </c>
      <c r="K1788" s="18">
        <v>0</v>
      </c>
      <c r="L1788" s="18">
        <v>2120880.7599999998</v>
      </c>
    </row>
    <row r="1789" spans="1:13" ht="15" thickBot="1" x14ac:dyDescent="0.35">
      <c r="A1789" s="14">
        <v>1782</v>
      </c>
      <c r="B1789" s="15">
        <v>45681</v>
      </c>
      <c r="C1789" s="15">
        <v>45681</v>
      </c>
      <c r="D1789" s="16" t="s">
        <v>1192</v>
      </c>
      <c r="E1789" s="16" t="s">
        <v>1193</v>
      </c>
      <c r="F1789" s="16" t="s">
        <v>2385</v>
      </c>
      <c r="G1789" s="16" t="s">
        <v>1197</v>
      </c>
      <c r="H1789" s="14" t="str">
        <f>"20250124/223071"</f>
        <v>20250124/223071</v>
      </c>
      <c r="I1789" s="19" t="str">
        <f t="shared" si="132"/>
        <v> </v>
      </c>
      <c r="J1789" s="18">
        <v>495440.04</v>
      </c>
      <c r="K1789" s="18">
        <v>0</v>
      </c>
      <c r="L1789" s="18">
        <v>2616320.7999999998</v>
      </c>
    </row>
    <row r="1790" spans="1:13" ht="15" thickBot="1" x14ac:dyDescent="0.35">
      <c r="A1790" s="14">
        <v>1783</v>
      </c>
      <c r="B1790" s="15">
        <v>45681</v>
      </c>
      <c r="C1790" s="15">
        <v>45681</v>
      </c>
      <c r="D1790" s="16" t="s">
        <v>1192</v>
      </c>
      <c r="E1790" s="16" t="s">
        <v>1193</v>
      </c>
      <c r="F1790" s="16" t="s">
        <v>2387</v>
      </c>
      <c r="G1790" s="16" t="s">
        <v>1197</v>
      </c>
      <c r="H1790" s="14" t="str">
        <f>"20250124/312867"</f>
        <v>20250124/312867</v>
      </c>
      <c r="I1790" s="19" t="str">
        <f t="shared" si="132"/>
        <v> </v>
      </c>
      <c r="J1790" s="18">
        <v>0</v>
      </c>
      <c r="K1790" s="18">
        <v>3909.09</v>
      </c>
      <c r="L1790" s="18">
        <v>2612411.71</v>
      </c>
    </row>
    <row r="1791" spans="1:13" ht="15" thickBot="1" x14ac:dyDescent="0.35">
      <c r="A1791" s="14">
        <v>1784</v>
      </c>
      <c r="B1791" s="15">
        <v>45681</v>
      </c>
      <c r="C1791" s="15">
        <v>45681</v>
      </c>
      <c r="D1791" s="16" t="s">
        <v>1192</v>
      </c>
      <c r="E1791" s="16" t="s">
        <v>1193</v>
      </c>
      <c r="F1791" s="16" t="s">
        <v>2388</v>
      </c>
      <c r="G1791" s="16" t="s">
        <v>1197</v>
      </c>
      <c r="H1791" s="14" t="str">
        <f>"20250124/312868"</f>
        <v>20250124/312868</v>
      </c>
      <c r="I1791" s="19" t="str">
        <f t="shared" si="132"/>
        <v> </v>
      </c>
      <c r="J1791" s="18">
        <v>0</v>
      </c>
      <c r="K1791" s="18">
        <v>347035.1</v>
      </c>
      <c r="L1791" s="18">
        <v>2265376.61</v>
      </c>
    </row>
    <row r="1792" spans="1:13" ht="15" thickBot="1" x14ac:dyDescent="0.35">
      <c r="A1792" s="14">
        <v>1785</v>
      </c>
      <c r="B1792" s="15">
        <v>45681</v>
      </c>
      <c r="C1792" s="15">
        <v>45681</v>
      </c>
      <c r="D1792" s="16" t="s">
        <v>1192</v>
      </c>
      <c r="E1792" s="16" t="s">
        <v>1193</v>
      </c>
      <c r="F1792" s="16" t="s">
        <v>2387</v>
      </c>
      <c r="G1792" s="16" t="s">
        <v>1197</v>
      </c>
      <c r="H1792" s="14" t="str">
        <f>"20250124/312869"</f>
        <v>20250124/312869</v>
      </c>
      <c r="I1792" s="19" t="str">
        <f t="shared" si="132"/>
        <v> </v>
      </c>
      <c r="J1792" s="18">
        <v>0</v>
      </c>
      <c r="K1792" s="18">
        <v>523886.83</v>
      </c>
      <c r="L1792" s="18">
        <v>1741489.78</v>
      </c>
    </row>
    <row r="1793" spans="1:13" ht="15" thickBot="1" x14ac:dyDescent="0.35">
      <c r="A1793" s="14">
        <v>1786</v>
      </c>
      <c r="B1793" s="15">
        <v>45681</v>
      </c>
      <c r="C1793" s="15">
        <v>45681</v>
      </c>
      <c r="D1793" s="16" t="s">
        <v>1192</v>
      </c>
      <c r="E1793" s="16" t="s">
        <v>1193</v>
      </c>
      <c r="F1793" s="16" t="s">
        <v>2389</v>
      </c>
      <c r="G1793" s="16" t="s">
        <v>1197</v>
      </c>
      <c r="H1793" s="14" t="str">
        <f>"20250124/96210"</f>
        <v>20250124/96210</v>
      </c>
      <c r="I1793" s="19" t="str">
        <f t="shared" si="132"/>
        <v> </v>
      </c>
      <c r="J1793" s="18">
        <v>312.74</v>
      </c>
      <c r="K1793" s="18">
        <v>0</v>
      </c>
      <c r="L1793" s="18">
        <v>1741802.52</v>
      </c>
      <c r="M1793" t="s">
        <v>2658</v>
      </c>
    </row>
    <row r="1794" spans="1:13" ht="15" thickBot="1" x14ac:dyDescent="0.35">
      <c r="A1794" s="14">
        <v>1787</v>
      </c>
      <c r="B1794" s="15">
        <v>45681</v>
      </c>
      <c r="C1794" s="15">
        <v>45684</v>
      </c>
      <c r="D1794" s="16" t="s">
        <v>1192</v>
      </c>
      <c r="E1794" s="16" t="s">
        <v>1193</v>
      </c>
      <c r="F1794" s="16" t="s">
        <v>2390</v>
      </c>
      <c r="G1794" s="16" t="s">
        <v>1197</v>
      </c>
      <c r="H1794" s="14" t="str">
        <f>"20250124/147170"</f>
        <v>20250124/147170</v>
      </c>
      <c r="I1794" s="19" t="str">
        <f>"2501007707498"</f>
        <v>2501007707498</v>
      </c>
      <c r="J1794" s="18">
        <v>0</v>
      </c>
      <c r="K1794" s="18">
        <v>62300.08</v>
      </c>
      <c r="L1794" s="18">
        <v>1679502.44</v>
      </c>
    </row>
    <row r="1795" spans="1:13" ht="15" thickBot="1" x14ac:dyDescent="0.35">
      <c r="A1795" s="14">
        <v>1788</v>
      </c>
      <c r="B1795" s="15">
        <v>45684</v>
      </c>
      <c r="C1795" s="15">
        <v>45684</v>
      </c>
      <c r="D1795" s="16" t="s">
        <v>1192</v>
      </c>
      <c r="E1795" s="16" t="s">
        <v>1193</v>
      </c>
      <c r="F1795" s="16" t="s">
        <v>1202</v>
      </c>
      <c r="G1795" s="16" t="s">
        <v>1203</v>
      </c>
      <c r="H1795" s="14" t="str">
        <f>"20250127/1375"</f>
        <v>20250127/1375</v>
      </c>
      <c r="I1795" s="17" t="str">
        <f t="shared" ref="I1795:I1856" si="133">" "</f>
        <v> </v>
      </c>
      <c r="J1795" s="18">
        <v>25473.59</v>
      </c>
      <c r="K1795" s="18">
        <v>0</v>
      </c>
      <c r="L1795" s="18">
        <v>1704976.03</v>
      </c>
      <c r="M1795" t="s">
        <v>2661</v>
      </c>
    </row>
    <row r="1796" spans="1:13" ht="15" thickBot="1" x14ac:dyDescent="0.35">
      <c r="A1796" s="14">
        <v>1789</v>
      </c>
      <c r="B1796" s="15">
        <v>45684</v>
      </c>
      <c r="C1796" s="15">
        <v>45684</v>
      </c>
      <c r="D1796" s="16" t="s">
        <v>1192</v>
      </c>
      <c r="E1796" s="16" t="s">
        <v>1193</v>
      </c>
      <c r="F1796" s="16" t="s">
        <v>1194</v>
      </c>
      <c r="G1796" s="16" t="s">
        <v>1195</v>
      </c>
      <c r="H1796" s="14" t="str">
        <f>"20250127/120935"</f>
        <v>20250127/120935</v>
      </c>
      <c r="I1796" s="17" t="str">
        <f t="shared" si="133"/>
        <v> </v>
      </c>
      <c r="J1796" s="18">
        <v>0</v>
      </c>
      <c r="K1796" s="18">
        <v>25750.79</v>
      </c>
      <c r="L1796" s="18">
        <v>1679225.24</v>
      </c>
      <c r="M1796" t="s">
        <v>2661</v>
      </c>
    </row>
    <row r="1797" spans="1:13" ht="15" thickBot="1" x14ac:dyDescent="0.35">
      <c r="A1797" s="14">
        <v>1790</v>
      </c>
      <c r="B1797" s="15">
        <v>45684</v>
      </c>
      <c r="C1797" s="15">
        <v>45684</v>
      </c>
      <c r="D1797" s="16" t="s">
        <v>1192</v>
      </c>
      <c r="E1797" s="16" t="s">
        <v>1193</v>
      </c>
      <c r="F1797" s="16" t="s">
        <v>1194</v>
      </c>
      <c r="G1797" s="16" t="s">
        <v>1195</v>
      </c>
      <c r="H1797" s="14" t="str">
        <f>"20250127/40611"</f>
        <v>20250127/40611</v>
      </c>
      <c r="I1797" s="17" t="str">
        <f t="shared" si="133"/>
        <v> </v>
      </c>
      <c r="J1797" s="18">
        <v>0</v>
      </c>
      <c r="K1797" s="18">
        <v>948.42</v>
      </c>
      <c r="L1797" s="18">
        <v>1678276.82</v>
      </c>
      <c r="M1797" t="s">
        <v>2661</v>
      </c>
    </row>
    <row r="1798" spans="1:13" ht="15" thickBot="1" x14ac:dyDescent="0.35">
      <c r="A1798" s="14">
        <v>1791</v>
      </c>
      <c r="B1798" s="15">
        <v>45684</v>
      </c>
      <c r="C1798" s="15">
        <v>45684</v>
      </c>
      <c r="D1798" s="16" t="s">
        <v>1192</v>
      </c>
      <c r="E1798" s="16" t="s">
        <v>1193</v>
      </c>
      <c r="F1798" s="16" t="s">
        <v>2391</v>
      </c>
      <c r="G1798" s="16" t="s">
        <v>1197</v>
      </c>
      <c r="H1798" s="14" t="str">
        <f>"20250127/207743"</f>
        <v>20250127/207743</v>
      </c>
      <c r="I1798" s="19" t="str">
        <f t="shared" si="133"/>
        <v> </v>
      </c>
      <c r="J1798" s="18">
        <v>3909.09</v>
      </c>
      <c r="K1798" s="18">
        <v>0</v>
      </c>
      <c r="L1798" s="18">
        <v>1682185.91</v>
      </c>
    </row>
    <row r="1799" spans="1:13" ht="15" thickBot="1" x14ac:dyDescent="0.35">
      <c r="A1799" s="14">
        <v>1792</v>
      </c>
      <c r="B1799" s="15">
        <v>45684</v>
      </c>
      <c r="C1799" s="15">
        <v>45684</v>
      </c>
      <c r="D1799" s="16" t="s">
        <v>1192</v>
      </c>
      <c r="E1799" s="16" t="s">
        <v>1193</v>
      </c>
      <c r="F1799" s="16" t="s">
        <v>2392</v>
      </c>
      <c r="G1799" s="16" t="s">
        <v>1197</v>
      </c>
      <c r="H1799" s="14" t="str">
        <f>"20250127/207744"</f>
        <v>20250127/207744</v>
      </c>
      <c r="I1799" s="19" t="str">
        <f t="shared" si="133"/>
        <v> </v>
      </c>
      <c r="J1799" s="18">
        <v>396689.4</v>
      </c>
      <c r="K1799" s="18">
        <v>0</v>
      </c>
      <c r="L1799" s="18">
        <v>2078875.31</v>
      </c>
    </row>
    <row r="1800" spans="1:13" ht="15" thickBot="1" x14ac:dyDescent="0.35">
      <c r="A1800" s="14">
        <v>1793</v>
      </c>
      <c r="B1800" s="15">
        <v>45684</v>
      </c>
      <c r="C1800" s="15">
        <v>45684</v>
      </c>
      <c r="D1800" s="16" t="s">
        <v>1192</v>
      </c>
      <c r="E1800" s="16" t="s">
        <v>1193</v>
      </c>
      <c r="F1800" s="16" t="s">
        <v>2391</v>
      </c>
      <c r="G1800" s="16" t="s">
        <v>1197</v>
      </c>
      <c r="H1800" s="14" t="str">
        <f>"20250127/207745"</f>
        <v>20250127/207745</v>
      </c>
      <c r="I1800" s="19" t="str">
        <f t="shared" si="133"/>
        <v> </v>
      </c>
      <c r="J1800" s="18">
        <v>479323.83</v>
      </c>
      <c r="K1800" s="18">
        <v>0</v>
      </c>
      <c r="L1800" s="18">
        <v>2558199.14</v>
      </c>
    </row>
    <row r="1801" spans="1:13" ht="15" thickBot="1" x14ac:dyDescent="0.35">
      <c r="A1801" s="14">
        <v>1794</v>
      </c>
      <c r="B1801" s="15">
        <v>45684</v>
      </c>
      <c r="C1801" s="15">
        <v>45684</v>
      </c>
      <c r="D1801" s="16" t="s">
        <v>1192</v>
      </c>
      <c r="E1801" s="16" t="s">
        <v>1193</v>
      </c>
      <c r="F1801" s="16" t="s">
        <v>2393</v>
      </c>
      <c r="G1801" s="16" t="s">
        <v>1197</v>
      </c>
      <c r="H1801" s="14" t="str">
        <f>"20250127/337097"</f>
        <v>20250127/337097</v>
      </c>
      <c r="I1801" s="19" t="str">
        <f t="shared" si="133"/>
        <v> </v>
      </c>
      <c r="J1801" s="18">
        <v>0</v>
      </c>
      <c r="K1801" s="18">
        <v>3909.09</v>
      </c>
      <c r="L1801" s="18">
        <v>2554290.0499999998</v>
      </c>
    </row>
    <row r="1802" spans="1:13" ht="15" thickBot="1" x14ac:dyDescent="0.35">
      <c r="A1802" s="14">
        <v>1795</v>
      </c>
      <c r="B1802" s="15">
        <v>45684</v>
      </c>
      <c r="C1802" s="15">
        <v>45684</v>
      </c>
      <c r="D1802" s="16" t="s">
        <v>1192</v>
      </c>
      <c r="E1802" s="16" t="s">
        <v>1193</v>
      </c>
      <c r="F1802" s="16" t="s">
        <v>2394</v>
      </c>
      <c r="G1802" s="16" t="s">
        <v>1197</v>
      </c>
      <c r="H1802" s="14" t="str">
        <f>"20250127/337098"</f>
        <v>20250127/337098</v>
      </c>
      <c r="I1802" s="19" t="str">
        <f t="shared" si="133"/>
        <v> </v>
      </c>
      <c r="J1802" s="18">
        <v>0</v>
      </c>
      <c r="K1802" s="18">
        <v>354822.40000000002</v>
      </c>
      <c r="L1802" s="18">
        <v>2199467.65</v>
      </c>
    </row>
    <row r="1803" spans="1:13" ht="15" thickBot="1" x14ac:dyDescent="0.35">
      <c r="A1803" s="14">
        <v>1796</v>
      </c>
      <c r="B1803" s="15">
        <v>45684</v>
      </c>
      <c r="C1803" s="15">
        <v>45684</v>
      </c>
      <c r="D1803" s="16" t="s">
        <v>1192</v>
      </c>
      <c r="E1803" s="16" t="s">
        <v>1193</v>
      </c>
      <c r="F1803" s="16" t="s">
        <v>2393</v>
      </c>
      <c r="G1803" s="16" t="s">
        <v>1197</v>
      </c>
      <c r="H1803" s="14" t="str">
        <f>"20250127/337099"</f>
        <v>20250127/337099</v>
      </c>
      <c r="I1803" s="19" t="str">
        <f t="shared" si="133"/>
        <v> </v>
      </c>
      <c r="J1803" s="18">
        <v>0</v>
      </c>
      <c r="K1803" s="18">
        <v>495440.04</v>
      </c>
      <c r="L1803" s="18">
        <v>1704027.61</v>
      </c>
    </row>
    <row r="1804" spans="1:13" ht="15" thickBot="1" x14ac:dyDescent="0.35">
      <c r="A1804" s="14">
        <v>1797</v>
      </c>
      <c r="B1804" s="15">
        <v>45684</v>
      </c>
      <c r="C1804" s="15">
        <v>45684</v>
      </c>
      <c r="D1804" s="16" t="s">
        <v>1192</v>
      </c>
      <c r="E1804" s="16" t="s">
        <v>1193</v>
      </c>
      <c r="F1804" s="16" t="s">
        <v>2395</v>
      </c>
      <c r="G1804" s="16" t="s">
        <v>1197</v>
      </c>
      <c r="H1804" s="14" t="str">
        <f>"20250127/82416"</f>
        <v>20250127/82416</v>
      </c>
      <c r="I1804" s="19" t="str">
        <f t="shared" si="133"/>
        <v> </v>
      </c>
      <c r="J1804" s="18">
        <v>948.42</v>
      </c>
      <c r="K1804" s="18">
        <v>0</v>
      </c>
      <c r="L1804" s="18">
        <v>1704976.03</v>
      </c>
      <c r="M1804" t="s">
        <v>2658</v>
      </c>
    </row>
    <row r="1805" spans="1:13" ht="15" thickBot="1" x14ac:dyDescent="0.35">
      <c r="A1805" s="14">
        <v>1798</v>
      </c>
      <c r="B1805" s="15">
        <v>45685</v>
      </c>
      <c r="C1805" s="15">
        <v>45685</v>
      </c>
      <c r="D1805" s="16" t="s">
        <v>1192</v>
      </c>
      <c r="E1805" s="16" t="s">
        <v>1193</v>
      </c>
      <c r="F1805" s="16" t="s">
        <v>1194</v>
      </c>
      <c r="G1805" s="16" t="s">
        <v>1195</v>
      </c>
      <c r="H1805" s="14" t="str">
        <f>"20250128/39356"</f>
        <v>20250128/39356</v>
      </c>
      <c r="I1805" s="17" t="str">
        <f t="shared" si="133"/>
        <v> </v>
      </c>
      <c r="J1805" s="18">
        <v>0</v>
      </c>
      <c r="K1805" s="18">
        <v>293.85000000000002</v>
      </c>
      <c r="L1805" s="18">
        <v>1704682.18</v>
      </c>
      <c r="M1805" t="s">
        <v>2661</v>
      </c>
    </row>
    <row r="1806" spans="1:13" ht="15" thickBot="1" x14ac:dyDescent="0.35">
      <c r="A1806" s="14">
        <v>1799</v>
      </c>
      <c r="B1806" s="15">
        <v>45685</v>
      </c>
      <c r="C1806" s="15">
        <v>45685</v>
      </c>
      <c r="D1806" s="16" t="s">
        <v>1192</v>
      </c>
      <c r="E1806" s="16" t="s">
        <v>1193</v>
      </c>
      <c r="F1806" s="16" t="s">
        <v>1194</v>
      </c>
      <c r="G1806" s="16" t="s">
        <v>1195</v>
      </c>
      <c r="H1806" s="14" t="str">
        <f>"20250128/93112"</f>
        <v>20250128/93112</v>
      </c>
      <c r="I1806" s="17" t="str">
        <f t="shared" si="133"/>
        <v> </v>
      </c>
      <c r="J1806" s="18">
        <v>0</v>
      </c>
      <c r="K1806" s="18">
        <v>3016.36</v>
      </c>
      <c r="L1806" s="18">
        <v>1701665.82</v>
      </c>
      <c r="M1806" t="s">
        <v>2661</v>
      </c>
    </row>
    <row r="1807" spans="1:13" ht="15" thickBot="1" x14ac:dyDescent="0.35">
      <c r="A1807" s="14">
        <v>1800</v>
      </c>
      <c r="B1807" s="15">
        <v>45685</v>
      </c>
      <c r="C1807" s="15">
        <v>45685</v>
      </c>
      <c r="D1807" s="16" t="s">
        <v>1192</v>
      </c>
      <c r="E1807" s="16" t="s">
        <v>1193</v>
      </c>
      <c r="F1807" s="16" t="s">
        <v>2396</v>
      </c>
      <c r="G1807" s="16" t="s">
        <v>1197</v>
      </c>
      <c r="H1807" s="14" t="str">
        <f>"20250128/116770"</f>
        <v>20250128/116770</v>
      </c>
      <c r="I1807" s="19" t="str">
        <f t="shared" si="133"/>
        <v> </v>
      </c>
      <c r="J1807" s="18">
        <v>293.85000000000002</v>
      </c>
      <c r="K1807" s="18">
        <v>0</v>
      </c>
      <c r="L1807" s="18">
        <v>1701959.67</v>
      </c>
      <c r="M1807" t="s">
        <v>2658</v>
      </c>
    </row>
    <row r="1808" spans="1:13" ht="15" thickBot="1" x14ac:dyDescent="0.35">
      <c r="A1808" s="14">
        <v>1801</v>
      </c>
      <c r="B1808" s="15">
        <v>45685</v>
      </c>
      <c r="C1808" s="15">
        <v>45685</v>
      </c>
      <c r="D1808" s="16" t="s">
        <v>1192</v>
      </c>
      <c r="E1808" s="16" t="s">
        <v>1193</v>
      </c>
      <c r="F1808" s="16" t="s">
        <v>2397</v>
      </c>
      <c r="G1808" s="16" t="s">
        <v>1197</v>
      </c>
      <c r="H1808" s="14" t="str">
        <f>"20250128/252255"</f>
        <v>20250128/252255</v>
      </c>
      <c r="I1808" s="19" t="str">
        <f t="shared" si="133"/>
        <v> </v>
      </c>
      <c r="J1808" s="18">
        <v>3909.09</v>
      </c>
      <c r="K1808" s="18">
        <v>0</v>
      </c>
      <c r="L1808" s="18">
        <v>1705868.76</v>
      </c>
    </row>
    <row r="1809" spans="1:13" ht="15" thickBot="1" x14ac:dyDescent="0.35">
      <c r="A1809" s="14">
        <v>1802</v>
      </c>
      <c r="B1809" s="15">
        <v>45685</v>
      </c>
      <c r="C1809" s="15">
        <v>45685</v>
      </c>
      <c r="D1809" s="16" t="s">
        <v>1192</v>
      </c>
      <c r="E1809" s="16" t="s">
        <v>1193</v>
      </c>
      <c r="F1809" s="16" t="s">
        <v>2398</v>
      </c>
      <c r="G1809" s="16" t="s">
        <v>1197</v>
      </c>
      <c r="H1809" s="14" t="str">
        <f>"20250128/252256"</f>
        <v>20250128/252256</v>
      </c>
      <c r="I1809" s="19" t="str">
        <f t="shared" si="133"/>
        <v> </v>
      </c>
      <c r="J1809" s="18">
        <v>401831.65</v>
      </c>
      <c r="K1809" s="18">
        <v>0</v>
      </c>
      <c r="L1809" s="18">
        <v>2107700.41</v>
      </c>
    </row>
    <row r="1810" spans="1:13" ht="15" thickBot="1" x14ac:dyDescent="0.35">
      <c r="A1810" s="14">
        <v>1803</v>
      </c>
      <c r="B1810" s="15">
        <v>45685</v>
      </c>
      <c r="C1810" s="15">
        <v>45685</v>
      </c>
      <c r="D1810" s="16" t="s">
        <v>1192</v>
      </c>
      <c r="E1810" s="16" t="s">
        <v>1193</v>
      </c>
      <c r="F1810" s="16" t="s">
        <v>2397</v>
      </c>
      <c r="G1810" s="16" t="s">
        <v>1197</v>
      </c>
      <c r="H1810" s="14" t="str">
        <f>"20250128/252257"</f>
        <v>20250128/252257</v>
      </c>
      <c r="I1810" s="19" t="str">
        <f t="shared" si="133"/>
        <v> </v>
      </c>
      <c r="J1810" s="18">
        <v>477197.94</v>
      </c>
      <c r="K1810" s="18">
        <v>0</v>
      </c>
      <c r="L1810" s="18">
        <v>2584898.35</v>
      </c>
    </row>
    <row r="1811" spans="1:13" ht="15" thickBot="1" x14ac:dyDescent="0.35">
      <c r="A1811" s="14">
        <v>1804</v>
      </c>
      <c r="B1811" s="15">
        <v>45685</v>
      </c>
      <c r="C1811" s="15">
        <v>45685</v>
      </c>
      <c r="D1811" s="16" t="s">
        <v>1192</v>
      </c>
      <c r="E1811" s="16" t="s">
        <v>1193</v>
      </c>
      <c r="F1811" s="16" t="s">
        <v>2399</v>
      </c>
      <c r="G1811" s="16" t="s">
        <v>1197</v>
      </c>
      <c r="H1811" s="14" t="str">
        <f>"20250128/356853"</f>
        <v>20250128/356853</v>
      </c>
      <c r="I1811" s="19" t="str">
        <f t="shared" si="133"/>
        <v> </v>
      </c>
      <c r="J1811" s="18">
        <v>0</v>
      </c>
      <c r="K1811" s="18">
        <v>3909.09</v>
      </c>
      <c r="L1811" s="18">
        <v>2580989.2599999998</v>
      </c>
    </row>
    <row r="1812" spans="1:13" ht="15" thickBot="1" x14ac:dyDescent="0.35">
      <c r="A1812" s="14">
        <v>1805</v>
      </c>
      <c r="B1812" s="15">
        <v>45685</v>
      </c>
      <c r="C1812" s="15">
        <v>45685</v>
      </c>
      <c r="D1812" s="16" t="s">
        <v>1192</v>
      </c>
      <c r="E1812" s="16" t="s">
        <v>1193</v>
      </c>
      <c r="F1812" s="16" t="s">
        <v>2400</v>
      </c>
      <c r="G1812" s="16" t="s">
        <v>1197</v>
      </c>
      <c r="H1812" s="14" t="str">
        <f>"20250128/356854"</f>
        <v>20250128/356854</v>
      </c>
      <c r="I1812" s="19" t="str">
        <f t="shared" si="133"/>
        <v> </v>
      </c>
      <c r="J1812" s="18">
        <v>0</v>
      </c>
      <c r="K1812" s="18">
        <v>396689.4</v>
      </c>
      <c r="L1812" s="18">
        <v>2184299.86</v>
      </c>
    </row>
    <row r="1813" spans="1:13" ht="15" thickBot="1" x14ac:dyDescent="0.35">
      <c r="A1813" s="14">
        <v>1806</v>
      </c>
      <c r="B1813" s="15">
        <v>45685</v>
      </c>
      <c r="C1813" s="15">
        <v>45685</v>
      </c>
      <c r="D1813" s="16" t="s">
        <v>1192</v>
      </c>
      <c r="E1813" s="16" t="s">
        <v>1193</v>
      </c>
      <c r="F1813" s="16" t="s">
        <v>2399</v>
      </c>
      <c r="G1813" s="16" t="s">
        <v>1197</v>
      </c>
      <c r="H1813" s="14" t="str">
        <f>"20250128/356855"</f>
        <v>20250128/356855</v>
      </c>
      <c r="I1813" s="19" t="str">
        <f t="shared" si="133"/>
        <v> </v>
      </c>
      <c r="J1813" s="18">
        <v>0</v>
      </c>
      <c r="K1813" s="18">
        <v>479323.83</v>
      </c>
      <c r="L1813" s="18">
        <v>1704976.03</v>
      </c>
    </row>
    <row r="1814" spans="1:13" ht="15" thickBot="1" x14ac:dyDescent="0.35">
      <c r="A1814" s="14">
        <v>1807</v>
      </c>
      <c r="B1814" s="15">
        <v>45686</v>
      </c>
      <c r="C1814" s="15">
        <v>45686</v>
      </c>
      <c r="D1814" s="16" t="s">
        <v>1192</v>
      </c>
      <c r="E1814" s="16" t="s">
        <v>1193</v>
      </c>
      <c r="F1814" s="16" t="s">
        <v>1194</v>
      </c>
      <c r="G1814" s="16" t="s">
        <v>1195</v>
      </c>
      <c r="H1814" s="14" t="str">
        <f>"20250129/1777"</f>
        <v>20250129/1777</v>
      </c>
      <c r="I1814" s="17" t="str">
        <f t="shared" si="133"/>
        <v> </v>
      </c>
      <c r="J1814" s="18">
        <v>0</v>
      </c>
      <c r="K1814" s="18">
        <v>292.77999999999997</v>
      </c>
      <c r="L1814" s="18">
        <v>1704683.25</v>
      </c>
      <c r="M1814" t="s">
        <v>2661</v>
      </c>
    </row>
    <row r="1815" spans="1:13" ht="15" thickBot="1" x14ac:dyDescent="0.35">
      <c r="A1815" s="14">
        <v>1808</v>
      </c>
      <c r="B1815" s="15">
        <v>45686</v>
      </c>
      <c r="C1815" s="15">
        <v>45686</v>
      </c>
      <c r="D1815" s="16" t="s">
        <v>1192</v>
      </c>
      <c r="E1815" s="16" t="s">
        <v>1193</v>
      </c>
      <c r="F1815" s="16" t="s">
        <v>2401</v>
      </c>
      <c r="G1815" s="16" t="s">
        <v>1197</v>
      </c>
      <c r="H1815" s="14" t="str">
        <f>"20250129/130278"</f>
        <v>20250129/130278</v>
      </c>
      <c r="I1815" s="19" t="str">
        <f t="shared" si="133"/>
        <v> </v>
      </c>
      <c r="J1815" s="18">
        <v>292.77999999999997</v>
      </c>
      <c r="K1815" s="18">
        <v>0</v>
      </c>
      <c r="L1815" s="18">
        <v>1704976.03</v>
      </c>
      <c r="M1815" t="s">
        <v>2658</v>
      </c>
    </row>
    <row r="1816" spans="1:13" ht="15" thickBot="1" x14ac:dyDescent="0.35">
      <c r="A1816" s="14">
        <v>1809</v>
      </c>
      <c r="B1816" s="15">
        <v>45686</v>
      </c>
      <c r="C1816" s="15">
        <v>45686</v>
      </c>
      <c r="D1816" s="16" t="s">
        <v>1192</v>
      </c>
      <c r="E1816" s="16" t="s">
        <v>1193</v>
      </c>
      <c r="F1816" s="16" t="s">
        <v>2402</v>
      </c>
      <c r="G1816" s="16" t="s">
        <v>1197</v>
      </c>
      <c r="H1816" s="14" t="str">
        <f>"20250129/266513"</f>
        <v>20250129/266513</v>
      </c>
      <c r="I1816" s="19" t="str">
        <f t="shared" si="133"/>
        <v> </v>
      </c>
      <c r="J1816" s="18">
        <v>3909.09</v>
      </c>
      <c r="K1816" s="18">
        <v>0</v>
      </c>
      <c r="L1816" s="18">
        <v>1708885.12</v>
      </c>
    </row>
    <row r="1817" spans="1:13" ht="15" thickBot="1" x14ac:dyDescent="0.35">
      <c r="A1817" s="14">
        <v>1810</v>
      </c>
      <c r="B1817" s="15">
        <v>45686</v>
      </c>
      <c r="C1817" s="15">
        <v>45686</v>
      </c>
      <c r="D1817" s="16" t="s">
        <v>1192</v>
      </c>
      <c r="E1817" s="16" t="s">
        <v>1193</v>
      </c>
      <c r="F1817" s="16" t="s">
        <v>2403</v>
      </c>
      <c r="G1817" s="16" t="s">
        <v>1197</v>
      </c>
      <c r="H1817" s="14" t="str">
        <f>"20250129/266514"</f>
        <v>20250129/266514</v>
      </c>
      <c r="I1817" s="19" t="str">
        <f t="shared" si="133"/>
        <v> </v>
      </c>
      <c r="J1817" s="18">
        <v>365832.95</v>
      </c>
      <c r="K1817" s="18">
        <v>0</v>
      </c>
      <c r="L1817" s="18">
        <v>2074718.07</v>
      </c>
    </row>
    <row r="1818" spans="1:13" ht="15" thickBot="1" x14ac:dyDescent="0.35">
      <c r="A1818" s="14">
        <v>1811</v>
      </c>
      <c r="B1818" s="15">
        <v>45686</v>
      </c>
      <c r="C1818" s="15">
        <v>45686</v>
      </c>
      <c r="D1818" s="16" t="s">
        <v>1192</v>
      </c>
      <c r="E1818" s="16" t="s">
        <v>1193</v>
      </c>
      <c r="F1818" s="16" t="s">
        <v>2402</v>
      </c>
      <c r="G1818" s="16" t="s">
        <v>1197</v>
      </c>
      <c r="H1818" s="14" t="str">
        <f>"20250129/266515"</f>
        <v>20250129/266515</v>
      </c>
      <c r="I1818" s="19" t="str">
        <f t="shared" si="133"/>
        <v> </v>
      </c>
      <c r="J1818" s="18">
        <v>491213.33</v>
      </c>
      <c r="K1818" s="18">
        <v>0</v>
      </c>
      <c r="L1818" s="18">
        <v>2565931.4</v>
      </c>
    </row>
    <row r="1819" spans="1:13" ht="15" thickBot="1" x14ac:dyDescent="0.35">
      <c r="A1819" s="14">
        <v>1812</v>
      </c>
      <c r="B1819" s="15">
        <v>45686</v>
      </c>
      <c r="C1819" s="15">
        <v>45686</v>
      </c>
      <c r="D1819" s="16" t="s">
        <v>1192</v>
      </c>
      <c r="E1819" s="16" t="s">
        <v>1193</v>
      </c>
      <c r="F1819" s="16" t="s">
        <v>2404</v>
      </c>
      <c r="G1819" s="16" t="s">
        <v>1197</v>
      </c>
      <c r="H1819" s="14" t="str">
        <f>"20250129/362604"</f>
        <v>20250129/362604</v>
      </c>
      <c r="I1819" s="19" t="str">
        <f t="shared" si="133"/>
        <v> </v>
      </c>
      <c r="J1819" s="18">
        <v>0</v>
      </c>
      <c r="K1819" s="18">
        <v>3909.09</v>
      </c>
      <c r="L1819" s="18">
        <v>2562022.31</v>
      </c>
    </row>
    <row r="1820" spans="1:13" ht="15" thickBot="1" x14ac:dyDescent="0.35">
      <c r="A1820" s="14">
        <v>1813</v>
      </c>
      <c r="B1820" s="15">
        <v>45686</v>
      </c>
      <c r="C1820" s="15">
        <v>45686</v>
      </c>
      <c r="D1820" s="16" t="s">
        <v>1192</v>
      </c>
      <c r="E1820" s="16" t="s">
        <v>1193</v>
      </c>
      <c r="F1820" s="16" t="s">
        <v>2405</v>
      </c>
      <c r="G1820" s="16" t="s">
        <v>1197</v>
      </c>
      <c r="H1820" s="14" t="str">
        <f>"20250129/362605"</f>
        <v>20250129/362605</v>
      </c>
      <c r="I1820" s="19" t="str">
        <f t="shared" si="133"/>
        <v> </v>
      </c>
      <c r="J1820" s="18">
        <v>0</v>
      </c>
      <c r="K1820" s="18">
        <v>401831.65</v>
      </c>
      <c r="L1820" s="18">
        <v>2160190.66</v>
      </c>
    </row>
    <row r="1821" spans="1:13" ht="15" thickBot="1" x14ac:dyDescent="0.35">
      <c r="A1821" s="14">
        <v>1814</v>
      </c>
      <c r="B1821" s="15">
        <v>45686</v>
      </c>
      <c r="C1821" s="15">
        <v>45686</v>
      </c>
      <c r="D1821" s="16" t="s">
        <v>1192</v>
      </c>
      <c r="E1821" s="16" t="s">
        <v>1193</v>
      </c>
      <c r="F1821" s="16" t="s">
        <v>2404</v>
      </c>
      <c r="G1821" s="16" t="s">
        <v>1197</v>
      </c>
      <c r="H1821" s="14" t="str">
        <f>"20250129/362606"</f>
        <v>20250129/362606</v>
      </c>
      <c r="I1821" s="19" t="str">
        <f t="shared" si="133"/>
        <v> </v>
      </c>
      <c r="J1821" s="18">
        <v>0</v>
      </c>
      <c r="K1821" s="18">
        <v>477197.94</v>
      </c>
      <c r="L1821" s="18">
        <v>1682992.72</v>
      </c>
    </row>
    <row r="1822" spans="1:13" ht="15" thickBot="1" x14ac:dyDescent="0.35">
      <c r="A1822" s="14">
        <v>1815</v>
      </c>
      <c r="B1822" s="15">
        <v>45687</v>
      </c>
      <c r="C1822" s="15">
        <v>45687</v>
      </c>
      <c r="D1822" s="16" t="s">
        <v>1192</v>
      </c>
      <c r="E1822" s="16" t="s">
        <v>1193</v>
      </c>
      <c r="F1822" s="16" t="s">
        <v>1202</v>
      </c>
      <c r="G1822" s="16" t="s">
        <v>1203</v>
      </c>
      <c r="H1822" s="14" t="str">
        <f>"20250130/12944"</f>
        <v>20250130/12944</v>
      </c>
      <c r="I1822" s="17" t="str">
        <f t="shared" si="133"/>
        <v> </v>
      </c>
      <c r="J1822" s="18">
        <v>21983.31</v>
      </c>
      <c r="K1822" s="18">
        <v>0</v>
      </c>
      <c r="L1822" s="18">
        <v>1704976.03</v>
      </c>
      <c r="M1822" t="s">
        <v>2661</v>
      </c>
    </row>
    <row r="1823" spans="1:13" ht="15" thickBot="1" x14ac:dyDescent="0.35">
      <c r="A1823" s="14">
        <v>1816</v>
      </c>
      <c r="B1823" s="15">
        <v>45687</v>
      </c>
      <c r="C1823" s="15">
        <v>45687</v>
      </c>
      <c r="D1823" s="16" t="s">
        <v>1192</v>
      </c>
      <c r="E1823" s="16" t="s">
        <v>1193</v>
      </c>
      <c r="F1823" s="16" t="s">
        <v>1194</v>
      </c>
      <c r="G1823" s="16" t="s">
        <v>1195</v>
      </c>
      <c r="H1823" s="14" t="str">
        <f>"20250130/133330"</f>
        <v>20250130/133330</v>
      </c>
      <c r="I1823" s="17" t="str">
        <f t="shared" si="133"/>
        <v> </v>
      </c>
      <c r="J1823" s="18">
        <v>0</v>
      </c>
      <c r="K1823" s="18">
        <v>4485.84</v>
      </c>
      <c r="L1823" s="18">
        <v>1700490.19</v>
      </c>
      <c r="M1823" t="s">
        <v>2661</v>
      </c>
    </row>
    <row r="1824" spans="1:13" ht="15" thickBot="1" x14ac:dyDescent="0.35">
      <c r="A1824" s="14">
        <v>1817</v>
      </c>
      <c r="B1824" s="15">
        <v>45687</v>
      </c>
      <c r="C1824" s="15">
        <v>45687</v>
      </c>
      <c r="D1824" s="16" t="s">
        <v>1192</v>
      </c>
      <c r="E1824" s="16" t="s">
        <v>1193</v>
      </c>
      <c r="F1824" s="16" t="s">
        <v>1194</v>
      </c>
      <c r="G1824" s="16" t="s">
        <v>1195</v>
      </c>
      <c r="H1824" s="14" t="str">
        <f>"20250130/27477"</f>
        <v>20250130/27477</v>
      </c>
      <c r="I1824" s="17" t="str">
        <f t="shared" si="133"/>
        <v> </v>
      </c>
      <c r="J1824" s="18">
        <v>0</v>
      </c>
      <c r="K1824" s="18">
        <v>292.77999999999997</v>
      </c>
      <c r="L1824" s="18">
        <v>1700197.41</v>
      </c>
      <c r="M1824" t="s">
        <v>2661</v>
      </c>
    </row>
    <row r="1825" spans="1:13" ht="15" thickBot="1" x14ac:dyDescent="0.35">
      <c r="A1825" s="14">
        <v>1818</v>
      </c>
      <c r="B1825" s="15">
        <v>45687</v>
      </c>
      <c r="C1825" s="15">
        <v>45687</v>
      </c>
      <c r="D1825" s="16" t="s">
        <v>1192</v>
      </c>
      <c r="E1825" s="16" t="s">
        <v>1193</v>
      </c>
      <c r="F1825" s="16" t="s">
        <v>2406</v>
      </c>
      <c r="G1825" s="16" t="s">
        <v>1197</v>
      </c>
      <c r="H1825" s="14" t="str">
        <f>"20250130/105887"</f>
        <v>20250130/105887</v>
      </c>
      <c r="I1825" s="19" t="str">
        <f t="shared" si="133"/>
        <v> </v>
      </c>
      <c r="J1825" s="18">
        <v>292.77999999999997</v>
      </c>
      <c r="K1825" s="18">
        <v>0</v>
      </c>
      <c r="L1825" s="18">
        <v>1700490.19</v>
      </c>
      <c r="M1825" t="s">
        <v>2658</v>
      </c>
    </row>
    <row r="1826" spans="1:13" ht="15" thickBot="1" x14ac:dyDescent="0.35">
      <c r="A1826" s="14">
        <v>1819</v>
      </c>
      <c r="B1826" s="15">
        <v>45687</v>
      </c>
      <c r="C1826" s="15">
        <v>45687</v>
      </c>
      <c r="D1826" s="16" t="s">
        <v>1192</v>
      </c>
      <c r="E1826" s="16" t="s">
        <v>1193</v>
      </c>
      <c r="F1826" s="16" t="s">
        <v>2407</v>
      </c>
      <c r="G1826" s="16" t="s">
        <v>1197</v>
      </c>
      <c r="H1826" s="14" t="str">
        <f>"20250130/289058"</f>
        <v>20250130/289058</v>
      </c>
      <c r="I1826" s="19" t="str">
        <f t="shared" si="133"/>
        <v> </v>
      </c>
      <c r="J1826" s="18">
        <v>3909.09</v>
      </c>
      <c r="K1826" s="18">
        <v>0</v>
      </c>
      <c r="L1826" s="18">
        <v>1704399.28</v>
      </c>
    </row>
    <row r="1827" spans="1:13" ht="15" thickBot="1" x14ac:dyDescent="0.35">
      <c r="A1827" s="14">
        <v>1820</v>
      </c>
      <c r="B1827" s="15">
        <v>45687</v>
      </c>
      <c r="C1827" s="15">
        <v>45687</v>
      </c>
      <c r="D1827" s="16" t="s">
        <v>1192</v>
      </c>
      <c r="E1827" s="16" t="s">
        <v>1193</v>
      </c>
      <c r="F1827" s="16" t="s">
        <v>2408</v>
      </c>
      <c r="G1827" s="16" t="s">
        <v>1197</v>
      </c>
      <c r="H1827" s="14" t="str">
        <f>"20250130/289059"</f>
        <v>20250130/289059</v>
      </c>
      <c r="I1827" s="19" t="str">
        <f t="shared" si="133"/>
        <v> </v>
      </c>
      <c r="J1827" s="18">
        <v>372296.4</v>
      </c>
      <c r="K1827" s="18">
        <v>0</v>
      </c>
      <c r="L1827" s="18">
        <v>2076695.68</v>
      </c>
    </row>
    <row r="1828" spans="1:13" ht="15" thickBot="1" x14ac:dyDescent="0.35">
      <c r="A1828" s="14">
        <v>1821</v>
      </c>
      <c r="B1828" s="15">
        <v>45687</v>
      </c>
      <c r="C1828" s="15">
        <v>45687</v>
      </c>
      <c r="D1828" s="16" t="s">
        <v>1192</v>
      </c>
      <c r="E1828" s="16" t="s">
        <v>1193</v>
      </c>
      <c r="F1828" s="16" t="s">
        <v>2407</v>
      </c>
      <c r="G1828" s="16" t="s">
        <v>1197</v>
      </c>
      <c r="H1828" s="14" t="str">
        <f>"20250130/289060"</f>
        <v>20250130/289060</v>
      </c>
      <c r="I1828" s="19" t="str">
        <f t="shared" si="133"/>
        <v> </v>
      </c>
      <c r="J1828" s="18">
        <v>489235.72</v>
      </c>
      <c r="K1828" s="18">
        <v>0</v>
      </c>
      <c r="L1828" s="18">
        <v>2565931.4</v>
      </c>
    </row>
    <row r="1829" spans="1:13" ht="15" thickBot="1" x14ac:dyDescent="0.35">
      <c r="A1829" s="14">
        <v>1822</v>
      </c>
      <c r="B1829" s="15">
        <v>45687</v>
      </c>
      <c r="C1829" s="15">
        <v>45687</v>
      </c>
      <c r="D1829" s="16" t="s">
        <v>1192</v>
      </c>
      <c r="E1829" s="16" t="s">
        <v>1193</v>
      </c>
      <c r="F1829" s="16" t="s">
        <v>2409</v>
      </c>
      <c r="G1829" s="16" t="s">
        <v>1197</v>
      </c>
      <c r="H1829" s="14" t="str">
        <f>"20250130/387421"</f>
        <v>20250130/387421</v>
      </c>
      <c r="I1829" s="19" t="str">
        <f t="shared" si="133"/>
        <v> </v>
      </c>
      <c r="J1829" s="18">
        <v>0</v>
      </c>
      <c r="K1829" s="18">
        <v>3909.09</v>
      </c>
      <c r="L1829" s="18">
        <v>2562022.31</v>
      </c>
    </row>
    <row r="1830" spans="1:13" ht="15" thickBot="1" x14ac:dyDescent="0.35">
      <c r="A1830" s="14">
        <v>1823</v>
      </c>
      <c r="B1830" s="15">
        <v>45687</v>
      </c>
      <c r="C1830" s="15">
        <v>45687</v>
      </c>
      <c r="D1830" s="16" t="s">
        <v>1192</v>
      </c>
      <c r="E1830" s="16" t="s">
        <v>1193</v>
      </c>
      <c r="F1830" s="16" t="s">
        <v>2410</v>
      </c>
      <c r="G1830" s="16" t="s">
        <v>1197</v>
      </c>
      <c r="H1830" s="14" t="str">
        <f>"20250130/387422"</f>
        <v>20250130/387422</v>
      </c>
      <c r="I1830" s="19" t="str">
        <f t="shared" si="133"/>
        <v> </v>
      </c>
      <c r="J1830" s="18">
        <v>0</v>
      </c>
      <c r="K1830" s="18">
        <v>365832.95</v>
      </c>
      <c r="L1830" s="18">
        <v>2196189.36</v>
      </c>
    </row>
    <row r="1831" spans="1:13" ht="15" thickBot="1" x14ac:dyDescent="0.35">
      <c r="A1831" s="14">
        <v>1824</v>
      </c>
      <c r="B1831" s="15">
        <v>45687</v>
      </c>
      <c r="C1831" s="15">
        <v>45687</v>
      </c>
      <c r="D1831" s="16" t="s">
        <v>1192</v>
      </c>
      <c r="E1831" s="16" t="s">
        <v>1193</v>
      </c>
      <c r="F1831" s="16" t="s">
        <v>2409</v>
      </c>
      <c r="G1831" s="16" t="s">
        <v>1197</v>
      </c>
      <c r="H1831" s="14" t="str">
        <f>"20250130/387423"</f>
        <v>20250130/387423</v>
      </c>
      <c r="I1831" s="19" t="str">
        <f t="shared" si="133"/>
        <v> </v>
      </c>
      <c r="J1831" s="18">
        <v>0</v>
      </c>
      <c r="K1831" s="18">
        <v>491213.33</v>
      </c>
      <c r="L1831" s="18">
        <v>1704976.03</v>
      </c>
    </row>
    <row r="1832" spans="1:13" ht="15" thickBot="1" x14ac:dyDescent="0.35">
      <c r="A1832" s="14">
        <v>1825</v>
      </c>
      <c r="B1832" s="15">
        <v>45688</v>
      </c>
      <c r="C1832" s="15">
        <v>45688</v>
      </c>
      <c r="D1832" s="16" t="s">
        <v>1192</v>
      </c>
      <c r="E1832" s="16" t="s">
        <v>1193</v>
      </c>
      <c r="F1832" s="16" t="s">
        <v>1194</v>
      </c>
      <c r="G1832" s="16" t="s">
        <v>1195</v>
      </c>
      <c r="H1832" s="14" t="str">
        <f>"20250131/16985"</f>
        <v>20250131/16985</v>
      </c>
      <c r="I1832" s="17" t="str">
        <f t="shared" si="133"/>
        <v> </v>
      </c>
      <c r="J1832" s="18">
        <v>0</v>
      </c>
      <c r="K1832" s="18">
        <v>299.01</v>
      </c>
      <c r="L1832" s="18">
        <v>1704677.02</v>
      </c>
      <c r="M1832" t="s">
        <v>2661</v>
      </c>
    </row>
    <row r="1833" spans="1:13" ht="15" thickBot="1" x14ac:dyDescent="0.35">
      <c r="A1833" s="14">
        <v>1826</v>
      </c>
      <c r="B1833" s="15">
        <v>45688</v>
      </c>
      <c r="C1833" s="15">
        <v>45688</v>
      </c>
      <c r="D1833" s="16" t="s">
        <v>1192</v>
      </c>
      <c r="E1833" s="16" t="s">
        <v>1193</v>
      </c>
      <c r="F1833" s="16" t="s">
        <v>2411</v>
      </c>
      <c r="G1833" s="16" t="s">
        <v>1197</v>
      </c>
      <c r="H1833" s="14" t="str">
        <f>"20250131/120042"</f>
        <v>20250131/120042</v>
      </c>
      <c r="I1833" s="19" t="str">
        <f t="shared" si="133"/>
        <v> </v>
      </c>
      <c r="J1833" s="18">
        <v>299.01</v>
      </c>
      <c r="K1833" s="18">
        <v>0</v>
      </c>
      <c r="L1833" s="18">
        <v>1704976.03</v>
      </c>
      <c r="M1833" t="s">
        <v>2658</v>
      </c>
    </row>
    <row r="1834" spans="1:13" ht="15" thickBot="1" x14ac:dyDescent="0.35">
      <c r="A1834" s="14">
        <v>1827</v>
      </c>
      <c r="B1834" s="15">
        <v>45688</v>
      </c>
      <c r="C1834" s="15">
        <v>45688</v>
      </c>
      <c r="D1834" s="16" t="s">
        <v>1192</v>
      </c>
      <c r="E1834" s="16" t="s">
        <v>1193</v>
      </c>
      <c r="F1834" s="16" t="s">
        <v>2412</v>
      </c>
      <c r="G1834" s="16" t="s">
        <v>1197</v>
      </c>
      <c r="H1834" s="14" t="str">
        <f>"20250131/268651"</f>
        <v>20250131/268651</v>
      </c>
      <c r="I1834" s="19" t="str">
        <f t="shared" si="133"/>
        <v> </v>
      </c>
      <c r="J1834" s="18">
        <v>3909.09</v>
      </c>
      <c r="K1834" s="18">
        <v>0</v>
      </c>
      <c r="L1834" s="18">
        <v>1708885.12</v>
      </c>
    </row>
    <row r="1835" spans="1:13" ht="15" thickBot="1" x14ac:dyDescent="0.35">
      <c r="A1835" s="14">
        <v>1828</v>
      </c>
      <c r="B1835" s="15">
        <v>45688</v>
      </c>
      <c r="C1835" s="15">
        <v>45688</v>
      </c>
      <c r="D1835" s="16" t="s">
        <v>1192</v>
      </c>
      <c r="E1835" s="16" t="s">
        <v>1193</v>
      </c>
      <c r="F1835" s="16" t="s">
        <v>2412</v>
      </c>
      <c r="G1835" s="16" t="s">
        <v>1197</v>
      </c>
      <c r="H1835" s="14" t="str">
        <f>"20250131/268652"</f>
        <v>20250131/268652</v>
      </c>
      <c r="I1835" s="19" t="str">
        <f t="shared" si="133"/>
        <v> </v>
      </c>
      <c r="J1835" s="18">
        <v>500551.91</v>
      </c>
      <c r="K1835" s="18">
        <v>0</v>
      </c>
      <c r="L1835" s="18">
        <v>2209437.0299999998</v>
      </c>
    </row>
    <row r="1836" spans="1:13" ht="15" thickBot="1" x14ac:dyDescent="0.35">
      <c r="A1836" s="14">
        <v>1829</v>
      </c>
      <c r="B1836" s="15">
        <v>45688</v>
      </c>
      <c r="C1836" s="15">
        <v>45688</v>
      </c>
      <c r="D1836" s="16" t="s">
        <v>1192</v>
      </c>
      <c r="E1836" s="16" t="s">
        <v>1193</v>
      </c>
      <c r="F1836" s="16" t="s">
        <v>2413</v>
      </c>
      <c r="G1836" s="16" t="s">
        <v>1197</v>
      </c>
      <c r="H1836" s="14" t="str">
        <f>"20250131/268653"</f>
        <v>20250131/268653</v>
      </c>
      <c r="I1836" s="19" t="str">
        <f t="shared" si="133"/>
        <v> </v>
      </c>
      <c r="J1836" s="18">
        <v>343614.85</v>
      </c>
      <c r="K1836" s="18">
        <v>0</v>
      </c>
      <c r="L1836" s="18">
        <v>2553051.88</v>
      </c>
    </row>
    <row r="1837" spans="1:13" ht="15" thickBot="1" x14ac:dyDescent="0.35">
      <c r="A1837" s="14">
        <v>1830</v>
      </c>
      <c r="B1837" s="15">
        <v>45688</v>
      </c>
      <c r="C1837" s="15">
        <v>45688</v>
      </c>
      <c r="D1837" s="16" t="s">
        <v>1192</v>
      </c>
      <c r="E1837" s="16" t="s">
        <v>1193</v>
      </c>
      <c r="F1837" s="16" t="s">
        <v>2414</v>
      </c>
      <c r="G1837" s="16" t="s">
        <v>1197</v>
      </c>
      <c r="H1837" s="14" t="str">
        <f>"20250131/345240"</f>
        <v>20250131/345240</v>
      </c>
      <c r="I1837" s="19" t="str">
        <f t="shared" si="133"/>
        <v> </v>
      </c>
      <c r="J1837" s="18">
        <v>0</v>
      </c>
      <c r="K1837" s="18">
        <v>3909.09</v>
      </c>
      <c r="L1837" s="18">
        <v>2549142.79</v>
      </c>
    </row>
    <row r="1838" spans="1:13" ht="15" thickBot="1" x14ac:dyDescent="0.35">
      <c r="A1838" s="14">
        <v>1831</v>
      </c>
      <c r="B1838" s="15">
        <v>45688</v>
      </c>
      <c r="C1838" s="15">
        <v>45688</v>
      </c>
      <c r="D1838" s="16" t="s">
        <v>1192</v>
      </c>
      <c r="E1838" s="16" t="s">
        <v>1193</v>
      </c>
      <c r="F1838" s="16" t="s">
        <v>2415</v>
      </c>
      <c r="G1838" s="16" t="s">
        <v>1197</v>
      </c>
      <c r="H1838" s="14" t="str">
        <f>"20250131/345241"</f>
        <v>20250131/345241</v>
      </c>
      <c r="I1838" s="19" t="str">
        <f t="shared" si="133"/>
        <v> </v>
      </c>
      <c r="J1838" s="18">
        <v>0</v>
      </c>
      <c r="K1838" s="18">
        <v>372296.4</v>
      </c>
      <c r="L1838" s="18">
        <v>2176846.39</v>
      </c>
    </row>
    <row r="1839" spans="1:13" ht="15" thickBot="1" x14ac:dyDescent="0.35">
      <c r="A1839" s="14">
        <v>1832</v>
      </c>
      <c r="B1839" s="15">
        <v>45688</v>
      </c>
      <c r="C1839" s="15">
        <v>45688</v>
      </c>
      <c r="D1839" s="16" t="s">
        <v>1192</v>
      </c>
      <c r="E1839" s="16" t="s">
        <v>1193</v>
      </c>
      <c r="F1839" s="16" t="s">
        <v>2414</v>
      </c>
      <c r="G1839" s="16" t="s">
        <v>1197</v>
      </c>
      <c r="H1839" s="14" t="str">
        <f>"20250131/345242"</f>
        <v>20250131/345242</v>
      </c>
      <c r="I1839" s="19" t="str">
        <f t="shared" si="133"/>
        <v> </v>
      </c>
      <c r="J1839" s="18">
        <v>0</v>
      </c>
      <c r="K1839" s="18">
        <v>489235.72</v>
      </c>
      <c r="L1839" s="18">
        <v>1687610.67</v>
      </c>
    </row>
    <row r="1840" spans="1:13" ht="15" thickBot="1" x14ac:dyDescent="0.35">
      <c r="A1840" s="14">
        <v>1833</v>
      </c>
      <c r="B1840" s="15">
        <v>45689</v>
      </c>
      <c r="C1840" s="15">
        <v>45689</v>
      </c>
      <c r="D1840" s="16" t="s">
        <v>1192</v>
      </c>
      <c r="E1840" s="16" t="s">
        <v>1193</v>
      </c>
      <c r="F1840" s="16" t="s">
        <v>2416</v>
      </c>
      <c r="G1840" s="16" t="s">
        <v>1197</v>
      </c>
      <c r="H1840" s="14" t="str">
        <f>"20250201/17698"</f>
        <v>20250201/17698</v>
      </c>
      <c r="I1840" s="19" t="str">
        <f t="shared" si="133"/>
        <v> </v>
      </c>
      <c r="J1840" s="18">
        <v>299.01</v>
      </c>
      <c r="K1840" s="18">
        <v>0</v>
      </c>
      <c r="L1840" s="18">
        <v>1687909.68</v>
      </c>
      <c r="M1840" t="s">
        <v>2658</v>
      </c>
    </row>
    <row r="1841" spans="1:13" ht="15" thickBot="1" x14ac:dyDescent="0.35">
      <c r="A1841" s="14">
        <v>1834</v>
      </c>
      <c r="B1841" s="15">
        <v>45689</v>
      </c>
      <c r="C1841" s="15">
        <v>45689</v>
      </c>
      <c r="D1841" s="16" t="s">
        <v>1192</v>
      </c>
      <c r="E1841" s="16" t="s">
        <v>1193</v>
      </c>
      <c r="F1841" s="16" t="s">
        <v>2417</v>
      </c>
      <c r="G1841" s="16" t="s">
        <v>1197</v>
      </c>
      <c r="H1841" s="14" t="str">
        <f>"20250201/186699"</f>
        <v>20250201/186699</v>
      </c>
      <c r="I1841" s="19" t="str">
        <f t="shared" si="133"/>
        <v> </v>
      </c>
      <c r="J1841" s="18">
        <v>3909.09</v>
      </c>
      <c r="K1841" s="18">
        <v>0</v>
      </c>
      <c r="L1841" s="18">
        <v>1691818.77</v>
      </c>
    </row>
    <row r="1842" spans="1:13" ht="15" thickBot="1" x14ac:dyDescent="0.35">
      <c r="A1842" s="14">
        <v>1835</v>
      </c>
      <c r="B1842" s="15">
        <v>45689</v>
      </c>
      <c r="C1842" s="15">
        <v>45689</v>
      </c>
      <c r="D1842" s="16" t="s">
        <v>1192</v>
      </c>
      <c r="E1842" s="16" t="s">
        <v>1193</v>
      </c>
      <c r="F1842" s="16" t="s">
        <v>2418</v>
      </c>
      <c r="G1842" s="16" t="s">
        <v>1197</v>
      </c>
      <c r="H1842" s="14" t="str">
        <f>"20250201/186700"</f>
        <v>20250201/186700</v>
      </c>
      <c r="I1842" s="19" t="str">
        <f t="shared" si="133"/>
        <v> </v>
      </c>
      <c r="J1842" s="18">
        <v>351273.05</v>
      </c>
      <c r="K1842" s="18">
        <v>0</v>
      </c>
      <c r="L1842" s="18">
        <v>2043091.82</v>
      </c>
    </row>
    <row r="1843" spans="1:13" ht="15" thickBot="1" x14ac:dyDescent="0.35">
      <c r="A1843" s="14">
        <v>1836</v>
      </c>
      <c r="B1843" s="15">
        <v>45689</v>
      </c>
      <c r="C1843" s="15">
        <v>45689</v>
      </c>
      <c r="D1843" s="16" t="s">
        <v>1192</v>
      </c>
      <c r="E1843" s="16" t="s">
        <v>1193</v>
      </c>
      <c r="F1843" s="16" t="s">
        <v>2417</v>
      </c>
      <c r="G1843" s="16" t="s">
        <v>1197</v>
      </c>
      <c r="H1843" s="14" t="str">
        <f>"20250201/186701"</f>
        <v>20250201/186701</v>
      </c>
      <c r="I1843" s="19" t="str">
        <f t="shared" si="133"/>
        <v> </v>
      </c>
      <c r="J1843" s="18">
        <v>497265.76</v>
      </c>
      <c r="K1843" s="18">
        <v>0</v>
      </c>
      <c r="L1843" s="18">
        <v>2540357.58</v>
      </c>
    </row>
    <row r="1844" spans="1:13" ht="15" thickBot="1" x14ac:dyDescent="0.35">
      <c r="A1844" s="14">
        <v>1837</v>
      </c>
      <c r="B1844" s="15">
        <v>45689</v>
      </c>
      <c r="C1844" s="15">
        <v>45689</v>
      </c>
      <c r="D1844" s="16" t="s">
        <v>1192</v>
      </c>
      <c r="E1844" s="16" t="s">
        <v>1193</v>
      </c>
      <c r="F1844" s="16" t="s">
        <v>2419</v>
      </c>
      <c r="G1844" s="16" t="s">
        <v>1197</v>
      </c>
      <c r="H1844" s="14" t="str">
        <f>"20250201/249809"</f>
        <v>20250201/249809</v>
      </c>
      <c r="I1844" s="19" t="str">
        <f t="shared" si="133"/>
        <v> </v>
      </c>
      <c r="J1844" s="18">
        <v>0</v>
      </c>
      <c r="K1844" s="18">
        <v>3909.09</v>
      </c>
      <c r="L1844" s="18">
        <v>2536448.4900000002</v>
      </c>
    </row>
    <row r="1845" spans="1:13" ht="15" thickBot="1" x14ac:dyDescent="0.35">
      <c r="A1845" s="14">
        <v>1838</v>
      </c>
      <c r="B1845" s="15">
        <v>45689</v>
      </c>
      <c r="C1845" s="15">
        <v>45689</v>
      </c>
      <c r="D1845" s="16" t="s">
        <v>1192</v>
      </c>
      <c r="E1845" s="16" t="s">
        <v>1193</v>
      </c>
      <c r="F1845" s="16" t="s">
        <v>2419</v>
      </c>
      <c r="G1845" s="16" t="s">
        <v>1197</v>
      </c>
      <c r="H1845" s="14" t="str">
        <f>"20250201/249810"</f>
        <v>20250201/249810</v>
      </c>
      <c r="I1845" s="19" t="str">
        <f t="shared" si="133"/>
        <v> </v>
      </c>
      <c r="J1845" s="18">
        <v>0</v>
      </c>
      <c r="K1845" s="18">
        <v>500551.91</v>
      </c>
      <c r="L1845" s="18">
        <v>2035896.58</v>
      </c>
    </row>
    <row r="1846" spans="1:13" ht="15" thickBot="1" x14ac:dyDescent="0.35">
      <c r="A1846" s="14">
        <v>1839</v>
      </c>
      <c r="B1846" s="15">
        <v>45689</v>
      </c>
      <c r="C1846" s="15">
        <v>45689</v>
      </c>
      <c r="D1846" s="16" t="s">
        <v>1192</v>
      </c>
      <c r="E1846" s="16" t="s">
        <v>1193</v>
      </c>
      <c r="F1846" s="16" t="s">
        <v>2420</v>
      </c>
      <c r="G1846" s="16" t="s">
        <v>1197</v>
      </c>
      <c r="H1846" s="14" t="str">
        <f>"20250201/249811"</f>
        <v>20250201/249811</v>
      </c>
      <c r="I1846" s="19" t="str">
        <f t="shared" si="133"/>
        <v> </v>
      </c>
      <c r="J1846" s="18">
        <v>0</v>
      </c>
      <c r="K1846" s="18">
        <v>343614.85</v>
      </c>
      <c r="L1846" s="18">
        <v>1692281.73</v>
      </c>
    </row>
    <row r="1847" spans="1:13" ht="15" thickBot="1" x14ac:dyDescent="0.35">
      <c r="A1847" s="14">
        <v>1840</v>
      </c>
      <c r="B1847" s="15">
        <v>45691</v>
      </c>
      <c r="C1847" s="15">
        <v>45691</v>
      </c>
      <c r="D1847" s="16" t="s">
        <v>1192</v>
      </c>
      <c r="E1847" s="16" t="s">
        <v>1193</v>
      </c>
      <c r="F1847" s="16" t="s">
        <v>1202</v>
      </c>
      <c r="G1847" s="16" t="s">
        <v>1203</v>
      </c>
      <c r="H1847" s="14" t="str">
        <f>"20250203/10925"</f>
        <v>20250203/10925</v>
      </c>
      <c r="I1847" s="17" t="str">
        <f t="shared" si="133"/>
        <v> </v>
      </c>
      <c r="J1847" s="18">
        <v>12694.3</v>
      </c>
      <c r="K1847" s="18">
        <v>0</v>
      </c>
      <c r="L1847" s="18">
        <v>1704976.03</v>
      </c>
      <c r="M1847" t="s">
        <v>2661</v>
      </c>
    </row>
    <row r="1848" spans="1:13" ht="15" thickBot="1" x14ac:dyDescent="0.35">
      <c r="A1848" s="14">
        <v>1841</v>
      </c>
      <c r="B1848" s="15">
        <v>45691</v>
      </c>
      <c r="C1848" s="15">
        <v>45691</v>
      </c>
      <c r="D1848" s="16" t="s">
        <v>1192</v>
      </c>
      <c r="E1848" s="16" t="s">
        <v>1193</v>
      </c>
      <c r="F1848" s="16" t="s">
        <v>1249</v>
      </c>
      <c r="G1848" s="16" t="s">
        <v>1195</v>
      </c>
      <c r="H1848" s="14" t="str">
        <f>"20250203/49811"</f>
        <v>20250203/49811</v>
      </c>
      <c r="I1848" s="17" t="str">
        <f t="shared" si="133"/>
        <v> </v>
      </c>
      <c r="J1848" s="18">
        <v>0</v>
      </c>
      <c r="K1848" s="18">
        <v>6162.28</v>
      </c>
      <c r="L1848" s="18">
        <v>1698813.75</v>
      </c>
      <c r="M1848" t="s">
        <v>2661</v>
      </c>
    </row>
    <row r="1849" spans="1:13" ht="15" thickBot="1" x14ac:dyDescent="0.35">
      <c r="A1849" s="14">
        <v>1842</v>
      </c>
      <c r="B1849" s="15">
        <v>45691</v>
      </c>
      <c r="C1849" s="15">
        <v>45691</v>
      </c>
      <c r="D1849" s="16" t="s">
        <v>1192</v>
      </c>
      <c r="E1849" s="16" t="s">
        <v>1193</v>
      </c>
      <c r="F1849" s="16" t="s">
        <v>1194</v>
      </c>
      <c r="G1849" s="16" t="s">
        <v>1195</v>
      </c>
      <c r="H1849" s="14" t="str">
        <f>"20250203/73733"</f>
        <v>20250203/73733</v>
      </c>
      <c r="I1849" s="17" t="str">
        <f t="shared" si="133"/>
        <v> </v>
      </c>
      <c r="J1849" s="18">
        <v>0</v>
      </c>
      <c r="K1849" s="18">
        <v>17788.16</v>
      </c>
      <c r="L1849" s="18">
        <v>1681025.59</v>
      </c>
      <c r="M1849" t="s">
        <v>2661</v>
      </c>
    </row>
    <row r="1850" spans="1:13" ht="15" thickBot="1" x14ac:dyDescent="0.35">
      <c r="A1850" s="14">
        <v>1843</v>
      </c>
      <c r="B1850" s="15">
        <v>45691</v>
      </c>
      <c r="C1850" s="15">
        <v>45691</v>
      </c>
      <c r="D1850" s="16" t="s">
        <v>1192</v>
      </c>
      <c r="E1850" s="16" t="s">
        <v>1193</v>
      </c>
      <c r="F1850" s="16" t="s">
        <v>2421</v>
      </c>
      <c r="G1850" s="16" t="s">
        <v>1197</v>
      </c>
      <c r="H1850" s="14" t="str">
        <f>"20250203/303673"</f>
        <v>20250203/303673</v>
      </c>
      <c r="I1850" s="19" t="str">
        <f t="shared" si="133"/>
        <v> </v>
      </c>
      <c r="J1850" s="18">
        <v>598.24</v>
      </c>
      <c r="K1850" s="18">
        <v>0</v>
      </c>
      <c r="L1850" s="18">
        <v>1681623.83</v>
      </c>
      <c r="M1850" t="s">
        <v>2658</v>
      </c>
    </row>
    <row r="1851" spans="1:13" ht="15" thickBot="1" x14ac:dyDescent="0.35">
      <c r="A1851" s="14">
        <v>1844</v>
      </c>
      <c r="B1851" s="15">
        <v>45691</v>
      </c>
      <c r="C1851" s="15">
        <v>45691</v>
      </c>
      <c r="D1851" s="16" t="s">
        <v>1192</v>
      </c>
      <c r="E1851" s="16" t="s">
        <v>1193</v>
      </c>
      <c r="F1851" s="16" t="s">
        <v>2422</v>
      </c>
      <c r="G1851" s="16" t="s">
        <v>1197</v>
      </c>
      <c r="H1851" s="14" t="str">
        <f>"20250203/313760"</f>
        <v>20250203/313760</v>
      </c>
      <c r="I1851" s="19" t="str">
        <f t="shared" si="133"/>
        <v> </v>
      </c>
      <c r="J1851" s="18">
        <v>3909.09</v>
      </c>
      <c r="K1851" s="18">
        <v>0</v>
      </c>
      <c r="L1851" s="18">
        <v>1685532.92</v>
      </c>
    </row>
    <row r="1852" spans="1:13" ht="15" thickBot="1" x14ac:dyDescent="0.35">
      <c r="A1852" s="14">
        <v>1845</v>
      </c>
      <c r="B1852" s="15">
        <v>45691</v>
      </c>
      <c r="C1852" s="15">
        <v>45691</v>
      </c>
      <c r="D1852" s="16" t="s">
        <v>1192</v>
      </c>
      <c r="E1852" s="16" t="s">
        <v>1193</v>
      </c>
      <c r="F1852" s="16" t="s">
        <v>2423</v>
      </c>
      <c r="G1852" s="16" t="s">
        <v>1197</v>
      </c>
      <c r="H1852" s="14" t="str">
        <f>"20250203/313761"</f>
        <v>20250203/313761</v>
      </c>
      <c r="I1852" s="19" t="str">
        <f t="shared" si="133"/>
        <v> </v>
      </c>
      <c r="J1852" s="18">
        <v>368446.3</v>
      </c>
      <c r="K1852" s="18">
        <v>0</v>
      </c>
      <c r="L1852" s="18">
        <v>2053979.22</v>
      </c>
    </row>
    <row r="1853" spans="1:13" ht="15" thickBot="1" x14ac:dyDescent="0.35">
      <c r="A1853" s="14">
        <v>1846</v>
      </c>
      <c r="B1853" s="15">
        <v>45691</v>
      </c>
      <c r="C1853" s="15">
        <v>45691</v>
      </c>
      <c r="D1853" s="16" t="s">
        <v>1192</v>
      </c>
      <c r="E1853" s="16" t="s">
        <v>1193</v>
      </c>
      <c r="F1853" s="16" t="s">
        <v>2422</v>
      </c>
      <c r="G1853" s="16" t="s">
        <v>1197</v>
      </c>
      <c r="H1853" s="14" t="str">
        <f>"20250203/313762"</f>
        <v>20250203/313762</v>
      </c>
      <c r="I1853" s="19" t="str">
        <f t="shared" si="133"/>
        <v> </v>
      </c>
      <c r="J1853" s="18">
        <v>497283.43</v>
      </c>
      <c r="K1853" s="18">
        <v>0</v>
      </c>
      <c r="L1853" s="18">
        <v>2551262.65</v>
      </c>
    </row>
    <row r="1854" spans="1:13" ht="15" thickBot="1" x14ac:dyDescent="0.35">
      <c r="A1854" s="14">
        <v>1847</v>
      </c>
      <c r="B1854" s="15">
        <v>45691</v>
      </c>
      <c r="C1854" s="15">
        <v>45691</v>
      </c>
      <c r="D1854" s="16" t="s">
        <v>1192</v>
      </c>
      <c r="E1854" s="16" t="s">
        <v>1193</v>
      </c>
      <c r="F1854" s="16" t="s">
        <v>2424</v>
      </c>
      <c r="G1854" s="16" t="s">
        <v>1197</v>
      </c>
      <c r="H1854" s="14" t="str">
        <f>"20250203/441828"</f>
        <v>20250203/441828</v>
      </c>
      <c r="I1854" s="19" t="str">
        <f t="shared" si="133"/>
        <v> </v>
      </c>
      <c r="J1854" s="18">
        <v>0</v>
      </c>
      <c r="K1854" s="18">
        <v>3909.09</v>
      </c>
      <c r="L1854" s="18">
        <v>2547353.56</v>
      </c>
    </row>
    <row r="1855" spans="1:13" ht="15" thickBot="1" x14ac:dyDescent="0.35">
      <c r="A1855" s="14">
        <v>1848</v>
      </c>
      <c r="B1855" s="15">
        <v>45691</v>
      </c>
      <c r="C1855" s="15">
        <v>45691</v>
      </c>
      <c r="D1855" s="16" t="s">
        <v>1192</v>
      </c>
      <c r="E1855" s="16" t="s">
        <v>1193</v>
      </c>
      <c r="F1855" s="16" t="s">
        <v>2425</v>
      </c>
      <c r="G1855" s="16" t="s">
        <v>1197</v>
      </c>
      <c r="H1855" s="14" t="str">
        <f>"20250203/441829"</f>
        <v>20250203/441829</v>
      </c>
      <c r="I1855" s="19" t="str">
        <f t="shared" si="133"/>
        <v> </v>
      </c>
      <c r="J1855" s="18">
        <v>0</v>
      </c>
      <c r="K1855" s="18">
        <v>351273.05</v>
      </c>
      <c r="L1855" s="18">
        <v>2196080.5099999998</v>
      </c>
    </row>
    <row r="1856" spans="1:13" ht="15" thickBot="1" x14ac:dyDescent="0.35">
      <c r="A1856" s="14">
        <v>1849</v>
      </c>
      <c r="B1856" s="15">
        <v>45691</v>
      </c>
      <c r="C1856" s="15">
        <v>45691</v>
      </c>
      <c r="D1856" s="16" t="s">
        <v>1192</v>
      </c>
      <c r="E1856" s="16" t="s">
        <v>1193</v>
      </c>
      <c r="F1856" s="16" t="s">
        <v>2424</v>
      </c>
      <c r="G1856" s="16" t="s">
        <v>1197</v>
      </c>
      <c r="H1856" s="14" t="str">
        <f>"20250203/441830"</f>
        <v>20250203/441830</v>
      </c>
      <c r="I1856" s="19" t="str">
        <f t="shared" si="133"/>
        <v> </v>
      </c>
      <c r="J1856" s="18">
        <v>0</v>
      </c>
      <c r="K1856" s="18">
        <v>497265.76</v>
      </c>
      <c r="L1856" s="18">
        <v>1698814.75</v>
      </c>
    </row>
    <row r="1857" spans="1:13" ht="15" thickBot="1" x14ac:dyDescent="0.35">
      <c r="A1857" s="14">
        <v>1850</v>
      </c>
      <c r="B1857" s="15">
        <v>45691</v>
      </c>
      <c r="C1857" s="15">
        <v>45692</v>
      </c>
      <c r="D1857" s="16" t="s">
        <v>1192</v>
      </c>
      <c r="E1857" s="16" t="s">
        <v>1193</v>
      </c>
      <c r="F1857" s="16" t="s">
        <v>2426</v>
      </c>
      <c r="G1857" s="16" t="s">
        <v>1197</v>
      </c>
      <c r="H1857" s="14" t="str">
        <f>"20250203/212336"</f>
        <v>20250203/212336</v>
      </c>
      <c r="I1857" s="19" t="str">
        <f>"2502000528213"</f>
        <v>2502000528213</v>
      </c>
      <c r="J1857" s="18">
        <v>6162.28</v>
      </c>
      <c r="K1857" s="18">
        <v>0</v>
      </c>
      <c r="L1857" s="18">
        <v>1704977.03</v>
      </c>
    </row>
    <row r="1858" spans="1:13" ht="15" thickBot="1" x14ac:dyDescent="0.35">
      <c r="A1858" s="14">
        <v>1851</v>
      </c>
      <c r="B1858" s="15">
        <v>45691</v>
      </c>
      <c r="C1858" s="15">
        <v>45692</v>
      </c>
      <c r="D1858" s="16" t="s">
        <v>1192</v>
      </c>
      <c r="E1858" s="16" t="s">
        <v>1193</v>
      </c>
      <c r="F1858" s="16" t="s">
        <v>2427</v>
      </c>
      <c r="G1858" s="16" t="s">
        <v>1197</v>
      </c>
      <c r="H1858" s="14" t="str">
        <f>"20250203/212337"</f>
        <v>20250203/212337</v>
      </c>
      <c r="I1858" s="19" t="str">
        <f>"2502000560843"</f>
        <v>2502000560843</v>
      </c>
      <c r="J1858" s="18">
        <v>21224.49</v>
      </c>
      <c r="K1858" s="18">
        <v>0</v>
      </c>
      <c r="L1858" s="18">
        <v>1726201.52</v>
      </c>
    </row>
    <row r="1859" spans="1:13" ht="15" thickBot="1" x14ac:dyDescent="0.35">
      <c r="A1859" s="14">
        <v>1852</v>
      </c>
      <c r="B1859" s="15">
        <v>45692</v>
      </c>
      <c r="C1859" s="15">
        <v>45692</v>
      </c>
      <c r="D1859" s="16" t="s">
        <v>1192</v>
      </c>
      <c r="E1859" s="16" t="s">
        <v>1193</v>
      </c>
      <c r="F1859" s="16" t="s">
        <v>1194</v>
      </c>
      <c r="G1859" s="16" t="s">
        <v>1195</v>
      </c>
      <c r="H1859" s="14" t="str">
        <f>"20250204/103619"</f>
        <v>20250204/103619</v>
      </c>
      <c r="I1859" s="17" t="str">
        <f t="shared" ref="I1859:I1867" si="134">" "</f>
        <v> </v>
      </c>
      <c r="J1859" s="18">
        <v>0</v>
      </c>
      <c r="K1859" s="18">
        <v>12866.08</v>
      </c>
      <c r="L1859" s="18">
        <v>1713335.44</v>
      </c>
      <c r="M1859" t="s">
        <v>2661</v>
      </c>
    </row>
    <row r="1860" spans="1:13" ht="15" thickBot="1" x14ac:dyDescent="0.35">
      <c r="A1860" s="14">
        <v>1853</v>
      </c>
      <c r="B1860" s="15">
        <v>45692</v>
      </c>
      <c r="C1860" s="15">
        <v>45692</v>
      </c>
      <c r="D1860" s="16" t="s">
        <v>1192</v>
      </c>
      <c r="E1860" s="16" t="s">
        <v>1193</v>
      </c>
      <c r="F1860" s="16" t="s">
        <v>1194</v>
      </c>
      <c r="G1860" s="16" t="s">
        <v>1195</v>
      </c>
      <c r="H1860" s="14" t="str">
        <f>"20250204/33854"</f>
        <v>20250204/33854</v>
      </c>
      <c r="I1860" s="17" t="str">
        <f t="shared" si="134"/>
        <v> </v>
      </c>
      <c r="J1860" s="18">
        <v>0</v>
      </c>
      <c r="K1860" s="18">
        <v>295.32</v>
      </c>
      <c r="L1860" s="18">
        <v>1713040.12</v>
      </c>
      <c r="M1860" t="s">
        <v>2661</v>
      </c>
    </row>
    <row r="1861" spans="1:13" ht="15" thickBot="1" x14ac:dyDescent="0.35">
      <c r="A1861" s="14">
        <v>1854</v>
      </c>
      <c r="B1861" s="15">
        <v>45692</v>
      </c>
      <c r="C1861" s="15">
        <v>45692</v>
      </c>
      <c r="D1861" s="16" t="s">
        <v>1192</v>
      </c>
      <c r="E1861" s="16" t="s">
        <v>1193</v>
      </c>
      <c r="F1861" s="16" t="s">
        <v>2428</v>
      </c>
      <c r="G1861" s="16" t="s">
        <v>1197</v>
      </c>
      <c r="H1861" s="14" t="str">
        <f>"20250204/216982"</f>
        <v>20250204/216982</v>
      </c>
      <c r="I1861" s="19" t="str">
        <f t="shared" si="134"/>
        <v> </v>
      </c>
      <c r="J1861" s="18">
        <v>3909.09</v>
      </c>
      <c r="K1861" s="18">
        <v>0</v>
      </c>
      <c r="L1861" s="18">
        <v>1716949.21</v>
      </c>
    </row>
    <row r="1862" spans="1:13" ht="15" thickBot="1" x14ac:dyDescent="0.35">
      <c r="A1862" s="14">
        <v>1855</v>
      </c>
      <c r="B1862" s="15">
        <v>45692</v>
      </c>
      <c r="C1862" s="15">
        <v>45692</v>
      </c>
      <c r="D1862" s="16" t="s">
        <v>1192</v>
      </c>
      <c r="E1862" s="16" t="s">
        <v>1193</v>
      </c>
      <c r="F1862" s="16" t="s">
        <v>2429</v>
      </c>
      <c r="G1862" s="16" t="s">
        <v>1197</v>
      </c>
      <c r="H1862" s="14" t="str">
        <f>"20250204/216983"</f>
        <v>20250204/216983</v>
      </c>
      <c r="I1862" s="19" t="str">
        <f t="shared" si="134"/>
        <v> </v>
      </c>
      <c r="J1862" s="18">
        <v>356726.95</v>
      </c>
      <c r="K1862" s="18">
        <v>0</v>
      </c>
      <c r="L1862" s="18">
        <v>2073676.16</v>
      </c>
    </row>
    <row r="1863" spans="1:13" ht="15" thickBot="1" x14ac:dyDescent="0.35">
      <c r="A1863" s="14">
        <v>1856</v>
      </c>
      <c r="B1863" s="15">
        <v>45692</v>
      </c>
      <c r="C1863" s="15">
        <v>45692</v>
      </c>
      <c r="D1863" s="16" t="s">
        <v>1192</v>
      </c>
      <c r="E1863" s="16" t="s">
        <v>1193</v>
      </c>
      <c r="F1863" s="16" t="s">
        <v>2428</v>
      </c>
      <c r="G1863" s="16" t="s">
        <v>1197</v>
      </c>
      <c r="H1863" s="14" t="str">
        <f>"20250204/216984"</f>
        <v>20250204/216984</v>
      </c>
      <c r="I1863" s="19" t="str">
        <f t="shared" si="134"/>
        <v> </v>
      </c>
      <c r="J1863" s="18">
        <v>521867.86</v>
      </c>
      <c r="K1863" s="18">
        <v>0</v>
      </c>
      <c r="L1863" s="18">
        <v>2595544.02</v>
      </c>
    </row>
    <row r="1864" spans="1:13" ht="15" thickBot="1" x14ac:dyDescent="0.35">
      <c r="A1864" s="14">
        <v>1857</v>
      </c>
      <c r="B1864" s="15">
        <v>45692</v>
      </c>
      <c r="C1864" s="15">
        <v>45692</v>
      </c>
      <c r="D1864" s="16" t="s">
        <v>1192</v>
      </c>
      <c r="E1864" s="16" t="s">
        <v>1193</v>
      </c>
      <c r="F1864" s="16" t="s">
        <v>2430</v>
      </c>
      <c r="G1864" s="16" t="s">
        <v>1197</v>
      </c>
      <c r="H1864" s="14" t="str">
        <f>"20250204/350093"</f>
        <v>20250204/350093</v>
      </c>
      <c r="I1864" s="19" t="str">
        <f t="shared" si="134"/>
        <v> </v>
      </c>
      <c r="J1864" s="18">
        <v>0</v>
      </c>
      <c r="K1864" s="18">
        <v>3909.09</v>
      </c>
      <c r="L1864" s="18">
        <v>2591634.9300000002</v>
      </c>
    </row>
    <row r="1865" spans="1:13" ht="15" thickBot="1" x14ac:dyDescent="0.35">
      <c r="A1865" s="14">
        <v>1858</v>
      </c>
      <c r="B1865" s="15">
        <v>45692</v>
      </c>
      <c r="C1865" s="15">
        <v>45692</v>
      </c>
      <c r="D1865" s="16" t="s">
        <v>1192</v>
      </c>
      <c r="E1865" s="16" t="s">
        <v>1193</v>
      </c>
      <c r="F1865" s="16" t="s">
        <v>2431</v>
      </c>
      <c r="G1865" s="16" t="s">
        <v>1197</v>
      </c>
      <c r="H1865" s="14" t="str">
        <f>"20250204/350094"</f>
        <v>20250204/350094</v>
      </c>
      <c r="I1865" s="19" t="str">
        <f t="shared" si="134"/>
        <v> </v>
      </c>
      <c r="J1865" s="18">
        <v>0</v>
      </c>
      <c r="K1865" s="18">
        <v>368446.3</v>
      </c>
      <c r="L1865" s="18">
        <v>2223188.63</v>
      </c>
    </row>
    <row r="1866" spans="1:13" ht="15" thickBot="1" x14ac:dyDescent="0.35">
      <c r="A1866" s="14">
        <v>1859</v>
      </c>
      <c r="B1866" s="15">
        <v>45692</v>
      </c>
      <c r="C1866" s="15">
        <v>45692</v>
      </c>
      <c r="D1866" s="16" t="s">
        <v>1192</v>
      </c>
      <c r="E1866" s="16" t="s">
        <v>1193</v>
      </c>
      <c r="F1866" s="16" t="s">
        <v>2430</v>
      </c>
      <c r="G1866" s="16" t="s">
        <v>1197</v>
      </c>
      <c r="H1866" s="14" t="str">
        <f>"20250204/350095"</f>
        <v>20250204/350095</v>
      </c>
      <c r="I1866" s="19" t="str">
        <f t="shared" si="134"/>
        <v> </v>
      </c>
      <c r="J1866" s="18">
        <v>0</v>
      </c>
      <c r="K1866" s="18">
        <v>497283.43</v>
      </c>
      <c r="L1866" s="18">
        <v>1725905.2</v>
      </c>
    </row>
    <row r="1867" spans="1:13" ht="15" thickBot="1" x14ac:dyDescent="0.35">
      <c r="A1867" s="14">
        <v>1860</v>
      </c>
      <c r="B1867" s="15">
        <v>45692</v>
      </c>
      <c r="C1867" s="15">
        <v>45692</v>
      </c>
      <c r="D1867" s="16" t="s">
        <v>1192</v>
      </c>
      <c r="E1867" s="16" t="s">
        <v>1193</v>
      </c>
      <c r="F1867" s="16" t="s">
        <v>2432</v>
      </c>
      <c r="G1867" s="16" t="s">
        <v>1197</v>
      </c>
      <c r="H1867" s="14" t="str">
        <f>"20250204/84579"</f>
        <v>20250204/84579</v>
      </c>
      <c r="I1867" s="19" t="str">
        <f t="shared" si="134"/>
        <v> </v>
      </c>
      <c r="J1867" s="18">
        <v>295.32</v>
      </c>
      <c r="K1867" s="18">
        <v>0</v>
      </c>
      <c r="L1867" s="18">
        <v>1726200.52</v>
      </c>
      <c r="M1867" t="s">
        <v>2658</v>
      </c>
    </row>
    <row r="1868" spans="1:13" ht="15" thickBot="1" x14ac:dyDescent="0.35">
      <c r="A1868" s="14">
        <v>1861</v>
      </c>
      <c r="B1868" s="15">
        <v>45692</v>
      </c>
      <c r="C1868" s="15">
        <v>45693</v>
      </c>
      <c r="D1868" s="16" t="s">
        <v>1192</v>
      </c>
      <c r="E1868" s="16" t="s">
        <v>1193</v>
      </c>
      <c r="F1868" s="16" t="s">
        <v>2433</v>
      </c>
      <c r="G1868" s="16" t="s">
        <v>1197</v>
      </c>
      <c r="H1868" s="14" t="str">
        <f>"20250204/174421"</f>
        <v>20250204/174421</v>
      </c>
      <c r="I1868" s="19" t="str">
        <f>"2502001061597"</f>
        <v>2502001061597</v>
      </c>
      <c r="J1868" s="18">
        <v>51591.91</v>
      </c>
      <c r="K1868" s="18">
        <v>0</v>
      </c>
      <c r="L1868" s="18">
        <v>1777792.43</v>
      </c>
    </row>
    <row r="1869" spans="1:13" ht="15" thickBot="1" x14ac:dyDescent="0.35">
      <c r="A1869" s="14">
        <v>1862</v>
      </c>
      <c r="B1869" s="15">
        <v>45693</v>
      </c>
      <c r="C1869" s="15">
        <v>45693</v>
      </c>
      <c r="D1869" s="16" t="s">
        <v>1192</v>
      </c>
      <c r="E1869" s="16" t="s">
        <v>1193</v>
      </c>
      <c r="F1869" s="16" t="s">
        <v>1194</v>
      </c>
      <c r="G1869" s="16" t="s">
        <v>1195</v>
      </c>
      <c r="H1869" s="14" t="str">
        <f>"20250205/7765"</f>
        <v>20250205/7765</v>
      </c>
      <c r="I1869" s="17" t="str">
        <f t="shared" ref="I1869:I1877" si="135">" "</f>
        <v> </v>
      </c>
      <c r="J1869" s="18">
        <v>0</v>
      </c>
      <c r="K1869" s="18">
        <v>300.49</v>
      </c>
      <c r="L1869" s="18">
        <v>1777491.94</v>
      </c>
      <c r="M1869" t="s">
        <v>2661</v>
      </c>
    </row>
    <row r="1870" spans="1:13" ht="15" thickBot="1" x14ac:dyDescent="0.35">
      <c r="A1870" s="14">
        <v>1863</v>
      </c>
      <c r="B1870" s="15">
        <v>45693</v>
      </c>
      <c r="C1870" s="15">
        <v>45693</v>
      </c>
      <c r="D1870" s="16" t="s">
        <v>1192</v>
      </c>
      <c r="E1870" s="16" t="s">
        <v>1193</v>
      </c>
      <c r="F1870" s="16" t="s">
        <v>1194</v>
      </c>
      <c r="G1870" s="16" t="s">
        <v>1195</v>
      </c>
      <c r="H1870" s="14" t="str">
        <f>"20250205/86113"</f>
        <v>20250205/86113</v>
      </c>
      <c r="I1870" s="17" t="str">
        <f t="shared" si="135"/>
        <v> </v>
      </c>
      <c r="J1870" s="18">
        <v>0</v>
      </c>
      <c r="K1870" s="18">
        <v>50636.33</v>
      </c>
      <c r="L1870" s="18">
        <v>1726855.61</v>
      </c>
      <c r="M1870" t="s">
        <v>2661</v>
      </c>
    </row>
    <row r="1871" spans="1:13" ht="15" thickBot="1" x14ac:dyDescent="0.35">
      <c r="A1871" s="14">
        <v>1864</v>
      </c>
      <c r="B1871" s="15">
        <v>45693</v>
      </c>
      <c r="C1871" s="15">
        <v>45693</v>
      </c>
      <c r="D1871" s="16" t="s">
        <v>1192</v>
      </c>
      <c r="E1871" s="16" t="s">
        <v>1193</v>
      </c>
      <c r="F1871" s="16" t="s">
        <v>2434</v>
      </c>
      <c r="G1871" s="16" t="s">
        <v>1197</v>
      </c>
      <c r="H1871" s="14" t="str">
        <f>"20250205/113428"</f>
        <v>20250205/113428</v>
      </c>
      <c r="I1871" s="19" t="str">
        <f t="shared" si="135"/>
        <v> </v>
      </c>
      <c r="J1871" s="18">
        <v>300.49</v>
      </c>
      <c r="K1871" s="18">
        <v>0</v>
      </c>
      <c r="L1871" s="18">
        <v>1727156.1</v>
      </c>
      <c r="M1871" t="s">
        <v>2658</v>
      </c>
    </row>
    <row r="1872" spans="1:13" ht="15" thickBot="1" x14ac:dyDescent="0.35">
      <c r="A1872" s="14">
        <v>1865</v>
      </c>
      <c r="B1872" s="15">
        <v>45693</v>
      </c>
      <c r="C1872" s="15">
        <v>45693</v>
      </c>
      <c r="D1872" s="16" t="s">
        <v>1192</v>
      </c>
      <c r="E1872" s="16" t="s">
        <v>1193</v>
      </c>
      <c r="F1872" s="16" t="s">
        <v>2435</v>
      </c>
      <c r="G1872" s="16" t="s">
        <v>1197</v>
      </c>
      <c r="H1872" s="14" t="str">
        <f>"20250205/235874"</f>
        <v>20250205/235874</v>
      </c>
      <c r="I1872" s="19" t="str">
        <f t="shared" si="135"/>
        <v> </v>
      </c>
      <c r="J1872" s="18">
        <v>3909.09</v>
      </c>
      <c r="K1872" s="18">
        <v>0</v>
      </c>
      <c r="L1872" s="18">
        <v>1731065.19</v>
      </c>
    </row>
    <row r="1873" spans="1:13" ht="15" thickBot="1" x14ac:dyDescent="0.35">
      <c r="A1873" s="14">
        <v>1866</v>
      </c>
      <c r="B1873" s="15">
        <v>45693</v>
      </c>
      <c r="C1873" s="15">
        <v>45693</v>
      </c>
      <c r="D1873" s="16" t="s">
        <v>1192</v>
      </c>
      <c r="E1873" s="16" t="s">
        <v>1193</v>
      </c>
      <c r="F1873" s="16" t="s">
        <v>2436</v>
      </c>
      <c r="G1873" s="16" t="s">
        <v>1197</v>
      </c>
      <c r="H1873" s="14" t="str">
        <f>"20250205/235875"</f>
        <v>20250205/235875</v>
      </c>
      <c r="I1873" s="19" t="str">
        <f t="shared" si="135"/>
        <v> </v>
      </c>
      <c r="J1873" s="18">
        <v>320485.05</v>
      </c>
      <c r="K1873" s="18">
        <v>0</v>
      </c>
      <c r="L1873" s="18">
        <v>2051550.24</v>
      </c>
    </row>
    <row r="1874" spans="1:13" ht="15" thickBot="1" x14ac:dyDescent="0.35">
      <c r="A1874" s="14">
        <v>1867</v>
      </c>
      <c r="B1874" s="15">
        <v>45693</v>
      </c>
      <c r="C1874" s="15">
        <v>45693</v>
      </c>
      <c r="D1874" s="16" t="s">
        <v>1192</v>
      </c>
      <c r="E1874" s="16" t="s">
        <v>1193</v>
      </c>
      <c r="F1874" s="16" t="s">
        <v>2435</v>
      </c>
      <c r="G1874" s="16" t="s">
        <v>1197</v>
      </c>
      <c r="H1874" s="14" t="str">
        <f>"20250205/235876"</f>
        <v>20250205/235876</v>
      </c>
      <c r="I1874" s="19" t="str">
        <f t="shared" si="135"/>
        <v> </v>
      </c>
      <c r="J1874" s="18">
        <v>520022.92</v>
      </c>
      <c r="K1874" s="18">
        <v>0</v>
      </c>
      <c r="L1874" s="18">
        <v>2571573.16</v>
      </c>
    </row>
    <row r="1875" spans="1:13" ht="15" thickBot="1" x14ac:dyDescent="0.35">
      <c r="A1875" s="14">
        <v>1868</v>
      </c>
      <c r="B1875" s="15">
        <v>45693</v>
      </c>
      <c r="C1875" s="15">
        <v>45693</v>
      </c>
      <c r="D1875" s="16" t="s">
        <v>1192</v>
      </c>
      <c r="E1875" s="16" t="s">
        <v>1193</v>
      </c>
      <c r="F1875" s="16" t="s">
        <v>2437</v>
      </c>
      <c r="G1875" s="16" t="s">
        <v>1197</v>
      </c>
      <c r="H1875" s="14" t="str">
        <f>"20250205/329461"</f>
        <v>20250205/329461</v>
      </c>
      <c r="I1875" s="19" t="str">
        <f t="shared" si="135"/>
        <v> </v>
      </c>
      <c r="J1875" s="18">
        <v>0</v>
      </c>
      <c r="K1875" s="18">
        <v>3909.09</v>
      </c>
      <c r="L1875" s="18">
        <v>2567664.0699999998</v>
      </c>
    </row>
    <row r="1876" spans="1:13" ht="15" thickBot="1" x14ac:dyDescent="0.35">
      <c r="A1876" s="14">
        <v>1869</v>
      </c>
      <c r="B1876" s="15">
        <v>45693</v>
      </c>
      <c r="C1876" s="15">
        <v>45693</v>
      </c>
      <c r="D1876" s="16" t="s">
        <v>1192</v>
      </c>
      <c r="E1876" s="16" t="s">
        <v>1193</v>
      </c>
      <c r="F1876" s="16" t="s">
        <v>2438</v>
      </c>
      <c r="G1876" s="16" t="s">
        <v>1197</v>
      </c>
      <c r="H1876" s="14" t="str">
        <f>"20250205/329462"</f>
        <v>20250205/329462</v>
      </c>
      <c r="I1876" s="19" t="str">
        <f t="shared" si="135"/>
        <v> </v>
      </c>
      <c r="J1876" s="18">
        <v>0</v>
      </c>
      <c r="K1876" s="18">
        <v>356726.95</v>
      </c>
      <c r="L1876" s="18">
        <v>2210937.12</v>
      </c>
    </row>
    <row r="1877" spans="1:13" ht="15" thickBot="1" x14ac:dyDescent="0.35">
      <c r="A1877" s="14">
        <v>1870</v>
      </c>
      <c r="B1877" s="15">
        <v>45693</v>
      </c>
      <c r="C1877" s="15">
        <v>45693</v>
      </c>
      <c r="D1877" s="16" t="s">
        <v>1192</v>
      </c>
      <c r="E1877" s="16" t="s">
        <v>1193</v>
      </c>
      <c r="F1877" s="16" t="s">
        <v>2437</v>
      </c>
      <c r="G1877" s="16" t="s">
        <v>1197</v>
      </c>
      <c r="H1877" s="14" t="str">
        <f>"20250205/329463"</f>
        <v>20250205/329463</v>
      </c>
      <c r="I1877" s="19" t="str">
        <f t="shared" si="135"/>
        <v> </v>
      </c>
      <c r="J1877" s="18">
        <v>0</v>
      </c>
      <c r="K1877" s="18">
        <v>521867.86</v>
      </c>
      <c r="L1877" s="18">
        <v>1689069.26</v>
      </c>
    </row>
    <row r="1878" spans="1:13" ht="15" thickBot="1" x14ac:dyDescent="0.35">
      <c r="A1878" s="14">
        <v>1871</v>
      </c>
      <c r="B1878" s="15">
        <v>45693</v>
      </c>
      <c r="C1878" s="15">
        <v>45694</v>
      </c>
      <c r="D1878" s="16" t="s">
        <v>1192</v>
      </c>
      <c r="E1878" s="16" t="s">
        <v>1193</v>
      </c>
      <c r="F1878" s="16" t="s">
        <v>2439</v>
      </c>
      <c r="G1878" s="16" t="s">
        <v>1197</v>
      </c>
      <c r="H1878" s="14" t="str">
        <f>"20250205/168047"</f>
        <v>20250205/168047</v>
      </c>
      <c r="I1878" s="19" t="str">
        <f>"2502001500177"</f>
        <v>2502001500177</v>
      </c>
      <c r="J1878" s="18">
        <v>0</v>
      </c>
      <c r="K1878" s="18">
        <v>74689.87</v>
      </c>
      <c r="L1878" s="18">
        <v>1614379.39</v>
      </c>
    </row>
    <row r="1879" spans="1:13" ht="15" thickBot="1" x14ac:dyDescent="0.35">
      <c r="A1879" s="14">
        <v>1872</v>
      </c>
      <c r="B1879" s="15">
        <v>45693</v>
      </c>
      <c r="C1879" s="15">
        <v>45694</v>
      </c>
      <c r="D1879" s="16" t="s">
        <v>1192</v>
      </c>
      <c r="E1879" s="16" t="s">
        <v>1193</v>
      </c>
      <c r="F1879" s="16" t="s">
        <v>2440</v>
      </c>
      <c r="G1879" s="16" t="s">
        <v>1197</v>
      </c>
      <c r="H1879" s="14" t="str">
        <f>"20250205/168048"</f>
        <v>20250205/168048</v>
      </c>
      <c r="I1879" s="19" t="str">
        <f>"2502001500177"</f>
        <v>2502001500177</v>
      </c>
      <c r="J1879" s="18">
        <v>49237.74</v>
      </c>
      <c r="K1879" s="18">
        <v>0</v>
      </c>
      <c r="L1879" s="18">
        <v>1663617.13</v>
      </c>
    </row>
    <row r="1880" spans="1:13" ht="15" thickBot="1" x14ac:dyDescent="0.35">
      <c r="A1880" s="14">
        <v>1873</v>
      </c>
      <c r="B1880" s="15">
        <v>45694</v>
      </c>
      <c r="C1880" s="15">
        <v>45694</v>
      </c>
      <c r="D1880" s="16" t="s">
        <v>1192</v>
      </c>
      <c r="E1880" s="16" t="s">
        <v>1193</v>
      </c>
      <c r="F1880" s="16" t="s">
        <v>1204</v>
      </c>
      <c r="G1880" s="16" t="s">
        <v>1203</v>
      </c>
      <c r="H1880" s="14" t="str">
        <f>"20250206/40473"</f>
        <v>20250206/40473</v>
      </c>
      <c r="I1880" s="17" t="str">
        <f t="shared" ref="I1880:I1889" si="136">" "</f>
        <v> </v>
      </c>
      <c r="J1880" s="18">
        <v>74689.87</v>
      </c>
      <c r="K1880" s="18">
        <v>0</v>
      </c>
      <c r="L1880" s="18">
        <v>1738307</v>
      </c>
      <c r="M1880" t="s">
        <v>2661</v>
      </c>
    </row>
    <row r="1881" spans="1:13" ht="15" thickBot="1" x14ac:dyDescent="0.35">
      <c r="A1881" s="14">
        <v>1874</v>
      </c>
      <c r="B1881" s="15">
        <v>45694</v>
      </c>
      <c r="C1881" s="15">
        <v>45694</v>
      </c>
      <c r="D1881" s="16" t="s">
        <v>1192</v>
      </c>
      <c r="E1881" s="16" t="s">
        <v>1193</v>
      </c>
      <c r="F1881" s="16" t="s">
        <v>1194</v>
      </c>
      <c r="G1881" s="16" t="s">
        <v>1195</v>
      </c>
      <c r="H1881" s="14" t="str">
        <f>"20250206/107720"</f>
        <v>20250206/107720</v>
      </c>
      <c r="I1881" s="17" t="str">
        <f t="shared" si="136"/>
        <v> </v>
      </c>
      <c r="J1881" s="18">
        <v>0</v>
      </c>
      <c r="K1881" s="18">
        <v>53403.44</v>
      </c>
      <c r="L1881" s="18">
        <v>1684903.56</v>
      </c>
      <c r="M1881" t="s">
        <v>2661</v>
      </c>
    </row>
    <row r="1882" spans="1:13" ht="15" thickBot="1" x14ac:dyDescent="0.35">
      <c r="A1882" s="14">
        <v>1875</v>
      </c>
      <c r="B1882" s="15">
        <v>45694</v>
      </c>
      <c r="C1882" s="15">
        <v>45694</v>
      </c>
      <c r="D1882" s="16" t="s">
        <v>1192</v>
      </c>
      <c r="E1882" s="16" t="s">
        <v>1193</v>
      </c>
      <c r="F1882" s="16" t="s">
        <v>1194</v>
      </c>
      <c r="G1882" s="16" t="s">
        <v>1195</v>
      </c>
      <c r="H1882" s="14" t="str">
        <f>"20250206/21194"</f>
        <v>20250206/21194</v>
      </c>
      <c r="I1882" s="17" t="str">
        <f t="shared" si="136"/>
        <v> </v>
      </c>
      <c r="J1882" s="18">
        <v>0</v>
      </c>
      <c r="K1882" s="18">
        <v>300.83999999999997</v>
      </c>
      <c r="L1882" s="18">
        <v>1684602.72</v>
      </c>
      <c r="M1882" t="s">
        <v>2661</v>
      </c>
    </row>
    <row r="1883" spans="1:13" ht="15" thickBot="1" x14ac:dyDescent="0.35">
      <c r="A1883" s="14">
        <v>1876</v>
      </c>
      <c r="B1883" s="15">
        <v>45694</v>
      </c>
      <c r="C1883" s="15">
        <v>45694</v>
      </c>
      <c r="D1883" s="16" t="s">
        <v>1192</v>
      </c>
      <c r="E1883" s="16" t="s">
        <v>1193</v>
      </c>
      <c r="F1883" s="16" t="s">
        <v>2441</v>
      </c>
      <c r="G1883" s="16" t="s">
        <v>1197</v>
      </c>
      <c r="H1883" s="14" t="str">
        <f>"20250206/106596"</f>
        <v>20250206/106596</v>
      </c>
      <c r="I1883" s="19" t="str">
        <f t="shared" si="136"/>
        <v> </v>
      </c>
      <c r="J1883" s="18">
        <v>300.83999999999997</v>
      </c>
      <c r="K1883" s="18">
        <v>0</v>
      </c>
      <c r="L1883" s="18">
        <v>1684903.56</v>
      </c>
      <c r="M1883" t="s">
        <v>2658</v>
      </c>
    </row>
    <row r="1884" spans="1:13" ht="15" thickBot="1" x14ac:dyDescent="0.35">
      <c r="A1884" s="14">
        <v>1877</v>
      </c>
      <c r="B1884" s="15">
        <v>45694</v>
      </c>
      <c r="C1884" s="15">
        <v>45694</v>
      </c>
      <c r="D1884" s="16" t="s">
        <v>1192</v>
      </c>
      <c r="E1884" s="16" t="s">
        <v>1193</v>
      </c>
      <c r="F1884" s="16" t="s">
        <v>2442</v>
      </c>
      <c r="G1884" s="16" t="s">
        <v>1197</v>
      </c>
      <c r="H1884" s="14" t="str">
        <f>"20250206/210741"</f>
        <v>20250206/210741</v>
      </c>
      <c r="I1884" s="19" t="str">
        <f t="shared" si="136"/>
        <v> </v>
      </c>
      <c r="J1884" s="18">
        <v>3909.09</v>
      </c>
      <c r="K1884" s="18">
        <v>0</v>
      </c>
      <c r="L1884" s="18">
        <v>1688812.65</v>
      </c>
    </row>
    <row r="1885" spans="1:13" ht="15" thickBot="1" x14ac:dyDescent="0.35">
      <c r="A1885" s="14">
        <v>1878</v>
      </c>
      <c r="B1885" s="15">
        <v>45694</v>
      </c>
      <c r="C1885" s="15">
        <v>45694</v>
      </c>
      <c r="D1885" s="16" t="s">
        <v>1192</v>
      </c>
      <c r="E1885" s="16" t="s">
        <v>1193</v>
      </c>
      <c r="F1885" s="16" t="s">
        <v>2443</v>
      </c>
      <c r="G1885" s="16" t="s">
        <v>1197</v>
      </c>
      <c r="H1885" s="14" t="str">
        <f>"20250206/210742"</f>
        <v>20250206/210742</v>
      </c>
      <c r="I1885" s="19" t="str">
        <f t="shared" si="136"/>
        <v> </v>
      </c>
      <c r="J1885" s="18">
        <v>317527.34999999998</v>
      </c>
      <c r="K1885" s="18">
        <v>0</v>
      </c>
      <c r="L1885" s="18">
        <v>2006340</v>
      </c>
    </row>
    <row r="1886" spans="1:13" ht="15" thickBot="1" x14ac:dyDescent="0.35">
      <c r="A1886" s="14">
        <v>1879</v>
      </c>
      <c r="B1886" s="15">
        <v>45694</v>
      </c>
      <c r="C1886" s="15">
        <v>45694</v>
      </c>
      <c r="D1886" s="16" t="s">
        <v>1192</v>
      </c>
      <c r="E1886" s="16" t="s">
        <v>1193</v>
      </c>
      <c r="F1886" s="16" t="s">
        <v>2442</v>
      </c>
      <c r="G1886" s="16" t="s">
        <v>1197</v>
      </c>
      <c r="H1886" s="14" t="str">
        <f>"20250206/210743"</f>
        <v>20250206/210743</v>
      </c>
      <c r="I1886" s="19" t="str">
        <f t="shared" si="136"/>
        <v> </v>
      </c>
      <c r="J1886" s="18">
        <v>490159.04</v>
      </c>
      <c r="K1886" s="18">
        <v>0</v>
      </c>
      <c r="L1886" s="18">
        <v>2496499.04</v>
      </c>
    </row>
    <row r="1887" spans="1:13" ht="15" thickBot="1" x14ac:dyDescent="0.35">
      <c r="A1887" s="14">
        <v>1880</v>
      </c>
      <c r="B1887" s="15">
        <v>45694</v>
      </c>
      <c r="C1887" s="15">
        <v>45694</v>
      </c>
      <c r="D1887" s="16" t="s">
        <v>1192</v>
      </c>
      <c r="E1887" s="16" t="s">
        <v>1193</v>
      </c>
      <c r="F1887" s="16" t="s">
        <v>2444</v>
      </c>
      <c r="G1887" s="16" t="s">
        <v>1197</v>
      </c>
      <c r="H1887" s="14" t="str">
        <f>"20250206/313779"</f>
        <v>20250206/313779</v>
      </c>
      <c r="I1887" s="19" t="str">
        <f t="shared" si="136"/>
        <v> </v>
      </c>
      <c r="J1887" s="18">
        <v>0</v>
      </c>
      <c r="K1887" s="18">
        <v>3909.09</v>
      </c>
      <c r="L1887" s="18">
        <v>2492589.9500000002</v>
      </c>
    </row>
    <row r="1888" spans="1:13" ht="15" thickBot="1" x14ac:dyDescent="0.35">
      <c r="A1888" s="14">
        <v>1881</v>
      </c>
      <c r="B1888" s="15">
        <v>45694</v>
      </c>
      <c r="C1888" s="15">
        <v>45694</v>
      </c>
      <c r="D1888" s="16" t="s">
        <v>1192</v>
      </c>
      <c r="E1888" s="16" t="s">
        <v>1193</v>
      </c>
      <c r="F1888" s="16" t="s">
        <v>2445</v>
      </c>
      <c r="G1888" s="16" t="s">
        <v>1197</v>
      </c>
      <c r="H1888" s="14" t="str">
        <f>"20250206/313780"</f>
        <v>20250206/313780</v>
      </c>
      <c r="I1888" s="19" t="str">
        <f t="shared" si="136"/>
        <v> </v>
      </c>
      <c r="J1888" s="18">
        <v>0</v>
      </c>
      <c r="K1888" s="18">
        <v>320485.05</v>
      </c>
      <c r="L1888" s="18">
        <v>2172104.9</v>
      </c>
    </row>
    <row r="1889" spans="1:13" ht="15" thickBot="1" x14ac:dyDescent="0.35">
      <c r="A1889" s="14">
        <v>1882</v>
      </c>
      <c r="B1889" s="15">
        <v>45694</v>
      </c>
      <c r="C1889" s="15">
        <v>45694</v>
      </c>
      <c r="D1889" s="16" t="s">
        <v>1192</v>
      </c>
      <c r="E1889" s="16" t="s">
        <v>1193</v>
      </c>
      <c r="F1889" s="16" t="s">
        <v>2444</v>
      </c>
      <c r="G1889" s="16" t="s">
        <v>1197</v>
      </c>
      <c r="H1889" s="14" t="str">
        <f>"20250206/313781"</f>
        <v>20250206/313781</v>
      </c>
      <c r="I1889" s="19" t="str">
        <f t="shared" si="136"/>
        <v> </v>
      </c>
      <c r="J1889" s="18">
        <v>0</v>
      </c>
      <c r="K1889" s="18">
        <v>520022.92</v>
      </c>
      <c r="L1889" s="18">
        <v>1652081.98</v>
      </c>
    </row>
    <row r="1890" spans="1:13" ht="15" thickBot="1" x14ac:dyDescent="0.35">
      <c r="A1890" s="14">
        <v>1883</v>
      </c>
      <c r="B1890" s="15">
        <v>45694</v>
      </c>
      <c r="C1890" s="15">
        <v>45695</v>
      </c>
      <c r="D1890" s="16" t="s">
        <v>1192</v>
      </c>
      <c r="E1890" s="16" t="s">
        <v>1193</v>
      </c>
      <c r="F1890" s="16" t="s">
        <v>2446</v>
      </c>
      <c r="G1890" s="16" t="s">
        <v>1197</v>
      </c>
      <c r="H1890" s="14" t="str">
        <f>"20250206/155589"</f>
        <v>20250206/155589</v>
      </c>
      <c r="I1890" s="19" t="str">
        <f>"2502001894056"</f>
        <v>2502001894056</v>
      </c>
      <c r="J1890" s="18">
        <v>0</v>
      </c>
      <c r="K1890" s="18">
        <v>33629.800000000003</v>
      </c>
      <c r="L1890" s="18">
        <v>1618452.18</v>
      </c>
    </row>
    <row r="1891" spans="1:13" ht="15" thickBot="1" x14ac:dyDescent="0.35">
      <c r="A1891" s="14">
        <v>1884</v>
      </c>
      <c r="B1891" s="15">
        <v>45695</v>
      </c>
      <c r="C1891" s="15">
        <v>45695</v>
      </c>
      <c r="D1891" s="16" t="s">
        <v>1192</v>
      </c>
      <c r="E1891" s="16" t="s">
        <v>1193</v>
      </c>
      <c r="F1891" s="16" t="s">
        <v>1204</v>
      </c>
      <c r="G1891" s="16" t="s">
        <v>1203</v>
      </c>
      <c r="H1891" s="14" t="str">
        <f>"20250207/21539"</f>
        <v>20250207/21539</v>
      </c>
      <c r="I1891" s="17" t="str">
        <f t="shared" ref="I1891:I1900" si="137">" "</f>
        <v> </v>
      </c>
      <c r="J1891" s="18">
        <v>33629.800000000003</v>
      </c>
      <c r="K1891" s="18">
        <v>0</v>
      </c>
      <c r="L1891" s="18">
        <v>1652081.98</v>
      </c>
      <c r="M1891" t="s">
        <v>2661</v>
      </c>
    </row>
    <row r="1892" spans="1:13" ht="15" thickBot="1" x14ac:dyDescent="0.35">
      <c r="A1892" s="14">
        <v>1885</v>
      </c>
      <c r="B1892" s="15">
        <v>45695</v>
      </c>
      <c r="C1892" s="15">
        <v>45695</v>
      </c>
      <c r="D1892" s="16" t="s">
        <v>1192</v>
      </c>
      <c r="E1892" s="16" t="s">
        <v>1193</v>
      </c>
      <c r="F1892" s="16" t="s">
        <v>1194</v>
      </c>
      <c r="G1892" s="16" t="s">
        <v>1195</v>
      </c>
      <c r="H1892" s="14" t="str">
        <f>"20250207/2502"</f>
        <v>20250207/2502</v>
      </c>
      <c r="I1892" s="17" t="str">
        <f t="shared" si="137"/>
        <v> </v>
      </c>
      <c r="J1892" s="18">
        <v>0</v>
      </c>
      <c r="K1892" s="18">
        <v>299.35000000000002</v>
      </c>
      <c r="L1892" s="18">
        <v>1651782.63</v>
      </c>
      <c r="M1892" t="s">
        <v>2661</v>
      </c>
    </row>
    <row r="1893" spans="1:13" ht="15" thickBot="1" x14ac:dyDescent="0.35">
      <c r="A1893" s="14">
        <v>1886</v>
      </c>
      <c r="B1893" s="15">
        <v>45695</v>
      </c>
      <c r="C1893" s="15">
        <v>45695</v>
      </c>
      <c r="D1893" s="16" t="s">
        <v>1192</v>
      </c>
      <c r="E1893" s="16" t="s">
        <v>1193</v>
      </c>
      <c r="F1893" s="16" t="s">
        <v>1194</v>
      </c>
      <c r="G1893" s="16" t="s">
        <v>1195</v>
      </c>
      <c r="H1893" s="14" t="str">
        <f>"20250207/84928"</f>
        <v>20250207/84928</v>
      </c>
      <c r="I1893" s="17" t="str">
        <f t="shared" si="137"/>
        <v> </v>
      </c>
      <c r="J1893" s="18">
        <v>0</v>
      </c>
      <c r="K1893" s="18">
        <v>2444.31</v>
      </c>
      <c r="L1893" s="18">
        <v>1649338.32</v>
      </c>
      <c r="M1893" t="s">
        <v>2661</v>
      </c>
    </row>
    <row r="1894" spans="1:13" ht="15" thickBot="1" x14ac:dyDescent="0.35">
      <c r="A1894" s="14">
        <v>1887</v>
      </c>
      <c r="B1894" s="15">
        <v>45695</v>
      </c>
      <c r="C1894" s="15">
        <v>45695</v>
      </c>
      <c r="D1894" s="16" t="s">
        <v>1192</v>
      </c>
      <c r="E1894" s="16" t="s">
        <v>1193</v>
      </c>
      <c r="F1894" s="16" t="s">
        <v>2447</v>
      </c>
      <c r="G1894" s="16" t="s">
        <v>1197</v>
      </c>
      <c r="H1894" s="14" t="str">
        <f>"20250207/107635"</f>
        <v>20250207/107635</v>
      </c>
      <c r="I1894" s="19" t="str">
        <f t="shared" si="137"/>
        <v> </v>
      </c>
      <c r="J1894" s="18">
        <v>299.35000000000002</v>
      </c>
      <c r="K1894" s="18">
        <v>0</v>
      </c>
      <c r="L1894" s="18">
        <v>1649637.67</v>
      </c>
      <c r="M1894" t="s">
        <v>2658</v>
      </c>
    </row>
    <row r="1895" spans="1:13" ht="15" thickBot="1" x14ac:dyDescent="0.35">
      <c r="A1895" s="14">
        <v>1888</v>
      </c>
      <c r="B1895" s="15">
        <v>45695</v>
      </c>
      <c r="C1895" s="15">
        <v>45695</v>
      </c>
      <c r="D1895" s="16" t="s">
        <v>1192</v>
      </c>
      <c r="E1895" s="16" t="s">
        <v>1193</v>
      </c>
      <c r="F1895" s="16" t="s">
        <v>2448</v>
      </c>
      <c r="G1895" s="16" t="s">
        <v>1197</v>
      </c>
      <c r="H1895" s="14" t="str">
        <f>"20250207/187182"</f>
        <v>20250207/187182</v>
      </c>
      <c r="I1895" s="19" t="str">
        <f t="shared" si="137"/>
        <v> </v>
      </c>
      <c r="J1895" s="18">
        <v>3909.09</v>
      </c>
      <c r="K1895" s="18">
        <v>0</v>
      </c>
      <c r="L1895" s="18">
        <v>1653546.76</v>
      </c>
    </row>
    <row r="1896" spans="1:13" ht="15" thickBot="1" x14ac:dyDescent="0.35">
      <c r="A1896" s="14">
        <v>1889</v>
      </c>
      <c r="B1896" s="15">
        <v>45695</v>
      </c>
      <c r="C1896" s="15">
        <v>45695</v>
      </c>
      <c r="D1896" s="16" t="s">
        <v>1192</v>
      </c>
      <c r="E1896" s="16" t="s">
        <v>1193</v>
      </c>
      <c r="F1896" s="16" t="s">
        <v>2449</v>
      </c>
      <c r="G1896" s="16" t="s">
        <v>1197</v>
      </c>
      <c r="H1896" s="14" t="str">
        <f>"20250207/187183"</f>
        <v>20250207/187183</v>
      </c>
      <c r="I1896" s="19" t="str">
        <f t="shared" si="137"/>
        <v> </v>
      </c>
      <c r="J1896" s="18">
        <v>321682.3</v>
      </c>
      <c r="K1896" s="18">
        <v>0</v>
      </c>
      <c r="L1896" s="18">
        <v>1975229.06</v>
      </c>
    </row>
    <row r="1897" spans="1:13" ht="15" thickBot="1" x14ac:dyDescent="0.35">
      <c r="A1897" s="14">
        <v>1890</v>
      </c>
      <c r="B1897" s="15">
        <v>45695</v>
      </c>
      <c r="C1897" s="15">
        <v>45695</v>
      </c>
      <c r="D1897" s="16" t="s">
        <v>1192</v>
      </c>
      <c r="E1897" s="16" t="s">
        <v>1193</v>
      </c>
      <c r="F1897" s="16" t="s">
        <v>2448</v>
      </c>
      <c r="G1897" s="16" t="s">
        <v>1197</v>
      </c>
      <c r="H1897" s="14" t="str">
        <f>"20250207/187184"</f>
        <v>20250207/187184</v>
      </c>
      <c r="I1897" s="19" t="str">
        <f t="shared" si="137"/>
        <v> </v>
      </c>
      <c r="J1897" s="18">
        <v>488448.4</v>
      </c>
      <c r="K1897" s="18">
        <v>0</v>
      </c>
      <c r="L1897" s="18">
        <v>2463677.46</v>
      </c>
    </row>
    <row r="1898" spans="1:13" ht="15" thickBot="1" x14ac:dyDescent="0.35">
      <c r="A1898" s="14">
        <v>1891</v>
      </c>
      <c r="B1898" s="15">
        <v>45695</v>
      </c>
      <c r="C1898" s="15">
        <v>45695</v>
      </c>
      <c r="D1898" s="16" t="s">
        <v>1192</v>
      </c>
      <c r="E1898" s="16" t="s">
        <v>1193</v>
      </c>
      <c r="F1898" s="16" t="s">
        <v>2450</v>
      </c>
      <c r="G1898" s="16" t="s">
        <v>1197</v>
      </c>
      <c r="H1898" s="14" t="str">
        <f>"20250207/345396"</f>
        <v>20250207/345396</v>
      </c>
      <c r="I1898" s="19" t="str">
        <f t="shared" si="137"/>
        <v> </v>
      </c>
      <c r="J1898" s="18">
        <v>0</v>
      </c>
      <c r="K1898" s="18">
        <v>3909.09</v>
      </c>
      <c r="L1898" s="18">
        <v>2459768.37</v>
      </c>
    </row>
    <row r="1899" spans="1:13" ht="15" thickBot="1" x14ac:dyDescent="0.35">
      <c r="A1899" s="14">
        <v>1892</v>
      </c>
      <c r="B1899" s="15">
        <v>45695</v>
      </c>
      <c r="C1899" s="15">
        <v>45695</v>
      </c>
      <c r="D1899" s="16" t="s">
        <v>1192</v>
      </c>
      <c r="E1899" s="16" t="s">
        <v>1193</v>
      </c>
      <c r="F1899" s="16" t="s">
        <v>2451</v>
      </c>
      <c r="G1899" s="16" t="s">
        <v>1197</v>
      </c>
      <c r="H1899" s="14" t="str">
        <f>"20250207/345397"</f>
        <v>20250207/345397</v>
      </c>
      <c r="I1899" s="19" t="str">
        <f t="shared" si="137"/>
        <v> </v>
      </c>
      <c r="J1899" s="18">
        <v>0</v>
      </c>
      <c r="K1899" s="18">
        <v>317527.34999999998</v>
      </c>
      <c r="L1899" s="18">
        <v>2142241.02</v>
      </c>
    </row>
    <row r="1900" spans="1:13" ht="15" thickBot="1" x14ac:dyDescent="0.35">
      <c r="A1900" s="14">
        <v>1893</v>
      </c>
      <c r="B1900" s="15">
        <v>45695</v>
      </c>
      <c r="C1900" s="15">
        <v>45695</v>
      </c>
      <c r="D1900" s="16" t="s">
        <v>1192</v>
      </c>
      <c r="E1900" s="16" t="s">
        <v>1193</v>
      </c>
      <c r="F1900" s="16" t="s">
        <v>2450</v>
      </c>
      <c r="G1900" s="16" t="s">
        <v>1197</v>
      </c>
      <c r="H1900" s="14" t="str">
        <f>"20250207/345398"</f>
        <v>20250207/345398</v>
      </c>
      <c r="I1900" s="19" t="str">
        <f t="shared" si="137"/>
        <v> </v>
      </c>
      <c r="J1900" s="18">
        <v>0</v>
      </c>
      <c r="K1900" s="18">
        <v>490159.04</v>
      </c>
      <c r="L1900" s="18">
        <v>1652081.98</v>
      </c>
    </row>
    <row r="1901" spans="1:13" ht="15" thickBot="1" x14ac:dyDescent="0.35">
      <c r="A1901" s="14">
        <v>1894</v>
      </c>
      <c r="B1901" s="15">
        <v>45695</v>
      </c>
      <c r="C1901" s="15">
        <v>45698</v>
      </c>
      <c r="D1901" s="16" t="s">
        <v>1192</v>
      </c>
      <c r="E1901" s="16" t="s">
        <v>1193</v>
      </c>
      <c r="F1901" s="16" t="s">
        <v>2452</v>
      </c>
      <c r="G1901" s="16" t="s">
        <v>1197</v>
      </c>
      <c r="H1901" s="14" t="str">
        <f>"20250207/144446"</f>
        <v>20250207/144446</v>
      </c>
      <c r="I1901" s="19" t="str">
        <f>"2502002334816"</f>
        <v>2502002334816</v>
      </c>
      <c r="J1901" s="18">
        <v>0</v>
      </c>
      <c r="K1901" s="18">
        <v>97719.88</v>
      </c>
      <c r="L1901" s="18">
        <v>1554362.1</v>
      </c>
    </row>
    <row r="1902" spans="1:13" ht="15" thickBot="1" x14ac:dyDescent="0.35">
      <c r="A1902" s="14">
        <v>1895</v>
      </c>
      <c r="B1902" s="15">
        <v>45698</v>
      </c>
      <c r="C1902" s="15">
        <v>45698</v>
      </c>
      <c r="D1902" s="16" t="s">
        <v>1192</v>
      </c>
      <c r="E1902" s="16" t="s">
        <v>1193</v>
      </c>
      <c r="F1902" s="16" t="s">
        <v>1204</v>
      </c>
      <c r="G1902" s="16" t="s">
        <v>1203</v>
      </c>
      <c r="H1902" s="14" t="str">
        <f>"20250210/11927"</f>
        <v>20250210/11927</v>
      </c>
      <c r="I1902" s="17" t="str">
        <f t="shared" ref="I1902:I1911" si="138">" "</f>
        <v> </v>
      </c>
      <c r="J1902" s="18">
        <v>97719.88</v>
      </c>
      <c r="K1902" s="18">
        <v>0</v>
      </c>
      <c r="L1902" s="18">
        <v>1652081.98</v>
      </c>
      <c r="M1902" t="s">
        <v>2661</v>
      </c>
    </row>
    <row r="1903" spans="1:13" ht="15" thickBot="1" x14ac:dyDescent="0.35">
      <c r="A1903" s="14">
        <v>1896</v>
      </c>
      <c r="B1903" s="15">
        <v>45698</v>
      </c>
      <c r="C1903" s="15">
        <v>45698</v>
      </c>
      <c r="D1903" s="16" t="s">
        <v>1192</v>
      </c>
      <c r="E1903" s="16" t="s">
        <v>1193</v>
      </c>
      <c r="F1903" s="16" t="s">
        <v>1194</v>
      </c>
      <c r="G1903" s="16" t="s">
        <v>1195</v>
      </c>
      <c r="H1903" s="14" t="str">
        <f>"20250210/123865"</f>
        <v>20250210/123865</v>
      </c>
      <c r="I1903" s="17" t="str">
        <f t="shared" si="138"/>
        <v> </v>
      </c>
      <c r="J1903" s="18">
        <v>0</v>
      </c>
      <c r="K1903" s="18">
        <v>12285.2</v>
      </c>
      <c r="L1903" s="18">
        <v>1639796.78</v>
      </c>
      <c r="M1903" t="s">
        <v>2661</v>
      </c>
    </row>
    <row r="1904" spans="1:13" ht="15" thickBot="1" x14ac:dyDescent="0.35">
      <c r="A1904" s="14">
        <v>1897</v>
      </c>
      <c r="B1904" s="15">
        <v>45698</v>
      </c>
      <c r="C1904" s="15">
        <v>45698</v>
      </c>
      <c r="D1904" s="16" t="s">
        <v>1192</v>
      </c>
      <c r="E1904" s="16" t="s">
        <v>1193</v>
      </c>
      <c r="F1904" s="16" t="s">
        <v>1194</v>
      </c>
      <c r="G1904" s="16" t="s">
        <v>1195</v>
      </c>
      <c r="H1904" s="14" t="str">
        <f>"20250210/6462"</f>
        <v>20250210/6462</v>
      </c>
      <c r="I1904" s="17" t="str">
        <f t="shared" si="138"/>
        <v> </v>
      </c>
      <c r="J1904" s="18">
        <v>0</v>
      </c>
      <c r="K1904" s="18">
        <v>895.44</v>
      </c>
      <c r="L1904" s="18">
        <v>1638901.34</v>
      </c>
      <c r="M1904" t="s">
        <v>2661</v>
      </c>
    </row>
    <row r="1905" spans="1:13" ht="15" thickBot="1" x14ac:dyDescent="0.35">
      <c r="A1905" s="14">
        <v>1898</v>
      </c>
      <c r="B1905" s="15">
        <v>45698</v>
      </c>
      <c r="C1905" s="15">
        <v>45698</v>
      </c>
      <c r="D1905" s="16" t="s">
        <v>1192</v>
      </c>
      <c r="E1905" s="16" t="s">
        <v>1193</v>
      </c>
      <c r="F1905" s="16" t="s">
        <v>2453</v>
      </c>
      <c r="G1905" s="16" t="s">
        <v>1197</v>
      </c>
      <c r="H1905" s="14" t="str">
        <f>"20250210/115092"</f>
        <v>20250210/115092</v>
      </c>
      <c r="I1905" s="19" t="str">
        <f t="shared" si="138"/>
        <v> </v>
      </c>
      <c r="J1905" s="18">
        <v>895.44</v>
      </c>
      <c r="K1905" s="18">
        <v>0</v>
      </c>
      <c r="L1905" s="18">
        <v>1639796.78</v>
      </c>
      <c r="M1905" t="s">
        <v>2658</v>
      </c>
    </row>
    <row r="1906" spans="1:13" ht="15" thickBot="1" x14ac:dyDescent="0.35">
      <c r="A1906" s="14">
        <v>1899</v>
      </c>
      <c r="B1906" s="15">
        <v>45698</v>
      </c>
      <c r="C1906" s="15">
        <v>45698</v>
      </c>
      <c r="D1906" s="16" t="s">
        <v>1192</v>
      </c>
      <c r="E1906" s="16" t="s">
        <v>1193</v>
      </c>
      <c r="F1906" s="16" t="s">
        <v>2454</v>
      </c>
      <c r="G1906" s="16" t="s">
        <v>1197</v>
      </c>
      <c r="H1906" s="14" t="str">
        <f>"20250210/465121"</f>
        <v>20250210/465121</v>
      </c>
      <c r="I1906" s="19" t="str">
        <f t="shared" si="138"/>
        <v> </v>
      </c>
      <c r="J1906" s="18">
        <v>3909.09</v>
      </c>
      <c r="K1906" s="18">
        <v>0</v>
      </c>
      <c r="L1906" s="18">
        <v>1643705.87</v>
      </c>
    </row>
    <row r="1907" spans="1:13" ht="15" thickBot="1" x14ac:dyDescent="0.35">
      <c r="A1907" s="14">
        <v>1900</v>
      </c>
      <c r="B1907" s="15">
        <v>45698</v>
      </c>
      <c r="C1907" s="15">
        <v>45698</v>
      </c>
      <c r="D1907" s="16" t="s">
        <v>1192</v>
      </c>
      <c r="E1907" s="16" t="s">
        <v>1193</v>
      </c>
      <c r="F1907" s="16" t="s">
        <v>2455</v>
      </c>
      <c r="G1907" s="16" t="s">
        <v>1197</v>
      </c>
      <c r="H1907" s="14" t="str">
        <f>"20250210/465122"</f>
        <v>20250210/465122</v>
      </c>
      <c r="I1907" s="19" t="str">
        <f t="shared" si="138"/>
        <v> </v>
      </c>
      <c r="J1907" s="18">
        <v>337121.1</v>
      </c>
      <c r="K1907" s="18">
        <v>0</v>
      </c>
      <c r="L1907" s="18">
        <v>1980826.97</v>
      </c>
    </row>
    <row r="1908" spans="1:13" ht="15" thickBot="1" x14ac:dyDescent="0.35">
      <c r="A1908" s="14">
        <v>1901</v>
      </c>
      <c r="B1908" s="15">
        <v>45698</v>
      </c>
      <c r="C1908" s="15">
        <v>45698</v>
      </c>
      <c r="D1908" s="16" t="s">
        <v>1192</v>
      </c>
      <c r="E1908" s="16" t="s">
        <v>1193</v>
      </c>
      <c r="F1908" s="16" t="s">
        <v>2454</v>
      </c>
      <c r="G1908" s="16" t="s">
        <v>1197</v>
      </c>
      <c r="H1908" s="14" t="str">
        <f>"20250210/465123"</f>
        <v>20250210/465123</v>
      </c>
      <c r="I1908" s="19" t="str">
        <f t="shared" si="138"/>
        <v> </v>
      </c>
      <c r="J1908" s="18">
        <v>485294.8</v>
      </c>
      <c r="K1908" s="18">
        <v>0</v>
      </c>
      <c r="L1908" s="18">
        <v>2466121.77</v>
      </c>
    </row>
    <row r="1909" spans="1:13" ht="15" thickBot="1" x14ac:dyDescent="0.35">
      <c r="A1909" s="14">
        <v>1902</v>
      </c>
      <c r="B1909" s="15">
        <v>45698</v>
      </c>
      <c r="C1909" s="15">
        <v>45698</v>
      </c>
      <c r="D1909" s="16" t="s">
        <v>1192</v>
      </c>
      <c r="E1909" s="16" t="s">
        <v>1193</v>
      </c>
      <c r="F1909" s="16" t="s">
        <v>2456</v>
      </c>
      <c r="G1909" s="16" t="s">
        <v>1197</v>
      </c>
      <c r="H1909" s="14" t="str">
        <f>"20250210/518584"</f>
        <v>20250210/518584</v>
      </c>
      <c r="I1909" s="19" t="str">
        <f t="shared" si="138"/>
        <v> </v>
      </c>
      <c r="J1909" s="18">
        <v>0</v>
      </c>
      <c r="K1909" s="18">
        <v>3909.09</v>
      </c>
      <c r="L1909" s="18">
        <v>2462212.6800000002</v>
      </c>
    </row>
    <row r="1910" spans="1:13" ht="15" thickBot="1" x14ac:dyDescent="0.35">
      <c r="A1910" s="14">
        <v>1903</v>
      </c>
      <c r="B1910" s="15">
        <v>45698</v>
      </c>
      <c r="C1910" s="15">
        <v>45698</v>
      </c>
      <c r="D1910" s="16" t="s">
        <v>1192</v>
      </c>
      <c r="E1910" s="16" t="s">
        <v>1193</v>
      </c>
      <c r="F1910" s="16" t="s">
        <v>2457</v>
      </c>
      <c r="G1910" s="16" t="s">
        <v>1197</v>
      </c>
      <c r="H1910" s="14" t="str">
        <f>"20250210/518585"</f>
        <v>20250210/518585</v>
      </c>
      <c r="I1910" s="19" t="str">
        <f t="shared" si="138"/>
        <v> </v>
      </c>
      <c r="J1910" s="18">
        <v>0</v>
      </c>
      <c r="K1910" s="18">
        <v>321682.3</v>
      </c>
      <c r="L1910" s="18">
        <v>2140530.38</v>
      </c>
    </row>
    <row r="1911" spans="1:13" ht="15" thickBot="1" x14ac:dyDescent="0.35">
      <c r="A1911" s="14">
        <v>1904</v>
      </c>
      <c r="B1911" s="15">
        <v>45698</v>
      </c>
      <c r="C1911" s="15">
        <v>45698</v>
      </c>
      <c r="D1911" s="16" t="s">
        <v>1192</v>
      </c>
      <c r="E1911" s="16" t="s">
        <v>1193</v>
      </c>
      <c r="F1911" s="16" t="s">
        <v>2456</v>
      </c>
      <c r="G1911" s="16" t="s">
        <v>1197</v>
      </c>
      <c r="H1911" s="14" t="str">
        <f>"20250210/518586"</f>
        <v>20250210/518586</v>
      </c>
      <c r="I1911" s="19" t="str">
        <f t="shared" si="138"/>
        <v> </v>
      </c>
      <c r="J1911" s="18">
        <v>0</v>
      </c>
      <c r="K1911" s="18">
        <v>488448.4</v>
      </c>
      <c r="L1911" s="18">
        <v>1652081.98</v>
      </c>
    </row>
    <row r="1912" spans="1:13" ht="15" thickBot="1" x14ac:dyDescent="0.35">
      <c r="A1912" s="14">
        <v>1905</v>
      </c>
      <c r="B1912" s="15">
        <v>45698</v>
      </c>
      <c r="C1912" s="15">
        <v>45699</v>
      </c>
      <c r="D1912" s="16" t="s">
        <v>1192</v>
      </c>
      <c r="E1912" s="16" t="s">
        <v>1193</v>
      </c>
      <c r="F1912" s="16" t="s">
        <v>2458</v>
      </c>
      <c r="G1912" s="16" t="s">
        <v>1197</v>
      </c>
      <c r="H1912" s="14" t="str">
        <f>"20250210/147267"</f>
        <v>20250210/147267</v>
      </c>
      <c r="I1912" s="19" t="str">
        <f>"2502002752907"</f>
        <v>2502002752907</v>
      </c>
      <c r="J1912" s="18">
        <v>9641.86</v>
      </c>
      <c r="K1912" s="18">
        <v>0</v>
      </c>
      <c r="L1912" s="18">
        <v>1661723.84</v>
      </c>
    </row>
    <row r="1913" spans="1:13" ht="15" thickBot="1" x14ac:dyDescent="0.35">
      <c r="A1913" s="14">
        <v>1906</v>
      </c>
      <c r="B1913" s="15">
        <v>45699</v>
      </c>
      <c r="C1913" s="15">
        <v>45699</v>
      </c>
      <c r="D1913" s="16" t="s">
        <v>1192</v>
      </c>
      <c r="E1913" s="16" t="s">
        <v>1193</v>
      </c>
      <c r="F1913" s="16" t="s">
        <v>1194</v>
      </c>
      <c r="G1913" s="16" t="s">
        <v>1195</v>
      </c>
      <c r="H1913" s="14" t="str">
        <f>"20250211/126898"</f>
        <v>20250211/126898</v>
      </c>
      <c r="I1913" s="17" t="str">
        <f t="shared" ref="I1913:I1921" si="139">" "</f>
        <v> </v>
      </c>
      <c r="J1913" s="18">
        <v>0</v>
      </c>
      <c r="K1913" s="18">
        <v>25519.3</v>
      </c>
      <c r="L1913" s="18">
        <v>1636204.54</v>
      </c>
      <c r="M1913" t="s">
        <v>2661</v>
      </c>
    </row>
    <row r="1914" spans="1:13" ht="15" thickBot="1" x14ac:dyDescent="0.35">
      <c r="A1914" s="14">
        <v>1907</v>
      </c>
      <c r="B1914" s="15">
        <v>45699</v>
      </c>
      <c r="C1914" s="15">
        <v>45699</v>
      </c>
      <c r="D1914" s="16" t="s">
        <v>1192</v>
      </c>
      <c r="E1914" s="16" t="s">
        <v>1193</v>
      </c>
      <c r="F1914" s="16" t="s">
        <v>1194</v>
      </c>
      <c r="G1914" s="16" t="s">
        <v>1195</v>
      </c>
      <c r="H1914" s="14" t="str">
        <f>"20250211/39676"</f>
        <v>20250211/39676</v>
      </c>
      <c r="I1914" s="17" t="str">
        <f t="shared" si="139"/>
        <v> </v>
      </c>
      <c r="J1914" s="18">
        <v>0</v>
      </c>
      <c r="K1914" s="18">
        <v>294.11</v>
      </c>
      <c r="L1914" s="18">
        <v>1635910.43</v>
      </c>
      <c r="M1914" t="s">
        <v>2661</v>
      </c>
    </row>
    <row r="1915" spans="1:13" ht="15" thickBot="1" x14ac:dyDescent="0.35">
      <c r="A1915" s="14">
        <v>1908</v>
      </c>
      <c r="B1915" s="15">
        <v>45699</v>
      </c>
      <c r="C1915" s="15">
        <v>45699</v>
      </c>
      <c r="D1915" s="16" t="s">
        <v>1192</v>
      </c>
      <c r="E1915" s="16" t="s">
        <v>1193</v>
      </c>
      <c r="F1915" s="16" t="s">
        <v>2459</v>
      </c>
      <c r="G1915" s="16" t="s">
        <v>1197</v>
      </c>
      <c r="H1915" s="14" t="str">
        <f>"20250211/224191"</f>
        <v>20250211/224191</v>
      </c>
      <c r="I1915" s="19" t="str">
        <f t="shared" si="139"/>
        <v> </v>
      </c>
      <c r="J1915" s="18">
        <v>3909.09</v>
      </c>
      <c r="K1915" s="18">
        <v>0</v>
      </c>
      <c r="L1915" s="18">
        <v>1639819.52</v>
      </c>
    </row>
    <row r="1916" spans="1:13" ht="15" thickBot="1" x14ac:dyDescent="0.35">
      <c r="A1916" s="14">
        <v>1909</v>
      </c>
      <c r="B1916" s="15">
        <v>45699</v>
      </c>
      <c r="C1916" s="15">
        <v>45699</v>
      </c>
      <c r="D1916" s="16" t="s">
        <v>1192</v>
      </c>
      <c r="E1916" s="16" t="s">
        <v>1193</v>
      </c>
      <c r="F1916" s="16" t="s">
        <v>2460</v>
      </c>
      <c r="G1916" s="16" t="s">
        <v>1197</v>
      </c>
      <c r="H1916" s="14" t="str">
        <f>"20250211/224192"</f>
        <v>20250211/224192</v>
      </c>
      <c r="I1916" s="19" t="str">
        <f t="shared" si="139"/>
        <v> </v>
      </c>
      <c r="J1916" s="18">
        <v>375506.45</v>
      </c>
      <c r="K1916" s="18">
        <v>0</v>
      </c>
      <c r="L1916" s="18">
        <v>2015325.97</v>
      </c>
    </row>
    <row r="1917" spans="1:13" ht="15" thickBot="1" x14ac:dyDescent="0.35">
      <c r="A1917" s="14">
        <v>1910</v>
      </c>
      <c r="B1917" s="15">
        <v>45699</v>
      </c>
      <c r="C1917" s="15">
        <v>45699</v>
      </c>
      <c r="D1917" s="16" t="s">
        <v>1192</v>
      </c>
      <c r="E1917" s="16" t="s">
        <v>1193</v>
      </c>
      <c r="F1917" s="16" t="s">
        <v>2459</v>
      </c>
      <c r="G1917" s="16" t="s">
        <v>1197</v>
      </c>
      <c r="H1917" s="14" t="str">
        <f>"20250211/224193"</f>
        <v>20250211/224193</v>
      </c>
      <c r="I1917" s="19" t="str">
        <f t="shared" si="139"/>
        <v> </v>
      </c>
      <c r="J1917" s="18">
        <v>472428.75</v>
      </c>
      <c r="K1917" s="18">
        <v>0</v>
      </c>
      <c r="L1917" s="18">
        <v>2487754.7200000002</v>
      </c>
    </row>
    <row r="1918" spans="1:13" ht="15" thickBot="1" x14ac:dyDescent="0.35">
      <c r="A1918" s="14">
        <v>1911</v>
      </c>
      <c r="B1918" s="15">
        <v>45699</v>
      </c>
      <c r="C1918" s="15">
        <v>45699</v>
      </c>
      <c r="D1918" s="16" t="s">
        <v>1192</v>
      </c>
      <c r="E1918" s="16" t="s">
        <v>1193</v>
      </c>
      <c r="F1918" s="16" t="s">
        <v>2461</v>
      </c>
      <c r="G1918" s="16" t="s">
        <v>1197</v>
      </c>
      <c r="H1918" s="14" t="str">
        <f>"20250211/316793"</f>
        <v>20250211/316793</v>
      </c>
      <c r="I1918" s="19" t="str">
        <f t="shared" si="139"/>
        <v> </v>
      </c>
      <c r="J1918" s="18">
        <v>0</v>
      </c>
      <c r="K1918" s="18">
        <v>3909.09</v>
      </c>
      <c r="L1918" s="18">
        <v>2483845.63</v>
      </c>
    </row>
    <row r="1919" spans="1:13" ht="15" thickBot="1" x14ac:dyDescent="0.35">
      <c r="A1919" s="14">
        <v>1912</v>
      </c>
      <c r="B1919" s="15">
        <v>45699</v>
      </c>
      <c r="C1919" s="15">
        <v>45699</v>
      </c>
      <c r="D1919" s="16" t="s">
        <v>1192</v>
      </c>
      <c r="E1919" s="16" t="s">
        <v>1193</v>
      </c>
      <c r="F1919" s="16" t="s">
        <v>2462</v>
      </c>
      <c r="G1919" s="16" t="s">
        <v>1197</v>
      </c>
      <c r="H1919" s="14" t="str">
        <f>"20250211/316794"</f>
        <v>20250211/316794</v>
      </c>
      <c r="I1919" s="19" t="str">
        <f t="shared" si="139"/>
        <v> </v>
      </c>
      <c r="J1919" s="18">
        <v>0</v>
      </c>
      <c r="K1919" s="18">
        <v>337121.1</v>
      </c>
      <c r="L1919" s="18">
        <v>2146724.5299999998</v>
      </c>
    </row>
    <row r="1920" spans="1:13" ht="15" thickBot="1" x14ac:dyDescent="0.35">
      <c r="A1920" s="14">
        <v>1913</v>
      </c>
      <c r="B1920" s="15">
        <v>45699</v>
      </c>
      <c r="C1920" s="15">
        <v>45699</v>
      </c>
      <c r="D1920" s="16" t="s">
        <v>1192</v>
      </c>
      <c r="E1920" s="16" t="s">
        <v>1193</v>
      </c>
      <c r="F1920" s="16" t="s">
        <v>2461</v>
      </c>
      <c r="G1920" s="16" t="s">
        <v>1197</v>
      </c>
      <c r="H1920" s="14" t="str">
        <f>"20250211/316795"</f>
        <v>20250211/316795</v>
      </c>
      <c r="I1920" s="19" t="str">
        <f t="shared" si="139"/>
        <v> </v>
      </c>
      <c r="J1920" s="18">
        <v>0</v>
      </c>
      <c r="K1920" s="18">
        <v>485294.8</v>
      </c>
      <c r="L1920" s="18">
        <v>1661429.73</v>
      </c>
    </row>
    <row r="1921" spans="1:13" ht="15" thickBot="1" x14ac:dyDescent="0.35">
      <c r="A1921" s="14">
        <v>1914</v>
      </c>
      <c r="B1921" s="15">
        <v>45699</v>
      </c>
      <c r="C1921" s="15">
        <v>45699</v>
      </c>
      <c r="D1921" s="16" t="s">
        <v>1192</v>
      </c>
      <c r="E1921" s="16" t="s">
        <v>1193</v>
      </c>
      <c r="F1921" s="16" t="s">
        <v>2463</v>
      </c>
      <c r="G1921" s="16" t="s">
        <v>1197</v>
      </c>
      <c r="H1921" s="14" t="str">
        <f>"20250211/95473"</f>
        <v>20250211/95473</v>
      </c>
      <c r="I1921" s="19" t="str">
        <f t="shared" si="139"/>
        <v> </v>
      </c>
      <c r="J1921" s="18">
        <v>294.11</v>
      </c>
      <c r="K1921" s="18">
        <v>0</v>
      </c>
      <c r="L1921" s="18">
        <v>1661723.84</v>
      </c>
      <c r="M1921" t="s">
        <v>2658</v>
      </c>
    </row>
    <row r="1922" spans="1:13" ht="15" thickBot="1" x14ac:dyDescent="0.35">
      <c r="A1922" s="14">
        <v>1915</v>
      </c>
      <c r="B1922" s="15">
        <v>45699</v>
      </c>
      <c r="C1922" s="15">
        <v>45700</v>
      </c>
      <c r="D1922" s="16" t="s">
        <v>1192</v>
      </c>
      <c r="E1922" s="16" t="s">
        <v>1193</v>
      </c>
      <c r="F1922" s="16" t="s">
        <v>2464</v>
      </c>
      <c r="G1922" s="16" t="s">
        <v>1197</v>
      </c>
      <c r="H1922" s="14" t="str">
        <f>"20250211/144405"</f>
        <v>20250211/144405</v>
      </c>
      <c r="I1922" s="19" t="str">
        <f>"2502003360160"</f>
        <v>2502003360160</v>
      </c>
      <c r="J1922" s="18">
        <v>5386.7</v>
      </c>
      <c r="K1922" s="18">
        <v>0</v>
      </c>
      <c r="L1922" s="18">
        <v>1667110.54</v>
      </c>
    </row>
    <row r="1923" spans="1:13" ht="15" thickBot="1" x14ac:dyDescent="0.35">
      <c r="A1923" s="14">
        <v>1916</v>
      </c>
      <c r="B1923" s="15">
        <v>45700</v>
      </c>
      <c r="C1923" s="15">
        <v>45700</v>
      </c>
      <c r="D1923" s="16" t="s">
        <v>1192</v>
      </c>
      <c r="E1923" s="16" t="s">
        <v>1193</v>
      </c>
      <c r="F1923" s="16" t="s">
        <v>1194</v>
      </c>
      <c r="G1923" s="16" t="s">
        <v>1195</v>
      </c>
      <c r="H1923" s="14" t="str">
        <f>"20250212/23515"</f>
        <v>20250212/23515</v>
      </c>
      <c r="I1923" s="17" t="str">
        <f t="shared" ref="I1923:I1940" si="140">" "</f>
        <v> </v>
      </c>
      <c r="J1923" s="18">
        <v>0</v>
      </c>
      <c r="K1923" s="18">
        <v>288.45</v>
      </c>
      <c r="L1923" s="18">
        <v>1666822.09</v>
      </c>
      <c r="M1923" t="s">
        <v>2661</v>
      </c>
    </row>
    <row r="1924" spans="1:13" ht="15" thickBot="1" x14ac:dyDescent="0.35">
      <c r="A1924" s="14">
        <v>1917</v>
      </c>
      <c r="B1924" s="15">
        <v>45700</v>
      </c>
      <c r="C1924" s="15">
        <v>45700</v>
      </c>
      <c r="D1924" s="16" t="s">
        <v>1192</v>
      </c>
      <c r="E1924" s="16" t="s">
        <v>1193</v>
      </c>
      <c r="F1924" s="16" t="s">
        <v>1194</v>
      </c>
      <c r="G1924" s="16" t="s">
        <v>1195</v>
      </c>
      <c r="H1924" s="14" t="str">
        <f>"20250212/99159"</f>
        <v>20250212/99159</v>
      </c>
      <c r="I1924" s="17" t="str">
        <f t="shared" si="140"/>
        <v> </v>
      </c>
      <c r="J1924" s="18">
        <v>0</v>
      </c>
      <c r="K1924" s="18">
        <v>1268.8</v>
      </c>
      <c r="L1924" s="18">
        <v>1665553.29</v>
      </c>
      <c r="M1924" t="s">
        <v>2661</v>
      </c>
    </row>
    <row r="1925" spans="1:13" ht="15" thickBot="1" x14ac:dyDescent="0.35">
      <c r="A1925" s="14">
        <v>1918</v>
      </c>
      <c r="B1925" s="15">
        <v>45700</v>
      </c>
      <c r="C1925" s="15">
        <v>45700</v>
      </c>
      <c r="D1925" s="16" t="s">
        <v>1192</v>
      </c>
      <c r="E1925" s="16" t="s">
        <v>1193</v>
      </c>
      <c r="F1925" s="16" t="s">
        <v>2465</v>
      </c>
      <c r="G1925" s="16" t="s">
        <v>1197</v>
      </c>
      <c r="H1925" s="14" t="str">
        <f>"20250212/231619"</f>
        <v>20250212/231619</v>
      </c>
      <c r="I1925" s="19" t="str">
        <f t="shared" si="140"/>
        <v> </v>
      </c>
      <c r="J1925" s="18">
        <v>3909.09</v>
      </c>
      <c r="K1925" s="18">
        <v>0</v>
      </c>
      <c r="L1925" s="18">
        <v>1669462.38</v>
      </c>
    </row>
    <row r="1926" spans="1:13" ht="15" thickBot="1" x14ac:dyDescent="0.35">
      <c r="A1926" s="14">
        <v>1919</v>
      </c>
      <c r="B1926" s="15">
        <v>45700</v>
      </c>
      <c r="C1926" s="15">
        <v>45700</v>
      </c>
      <c r="D1926" s="16" t="s">
        <v>1192</v>
      </c>
      <c r="E1926" s="16" t="s">
        <v>1193</v>
      </c>
      <c r="F1926" s="16" t="s">
        <v>2466</v>
      </c>
      <c r="G1926" s="16" t="s">
        <v>1197</v>
      </c>
      <c r="H1926" s="14" t="str">
        <f>"20250212/231620"</f>
        <v>20250212/231620</v>
      </c>
      <c r="I1926" s="19" t="str">
        <f t="shared" si="140"/>
        <v> </v>
      </c>
      <c r="J1926" s="18">
        <v>377863.9</v>
      </c>
      <c r="K1926" s="18">
        <v>0</v>
      </c>
      <c r="L1926" s="18">
        <v>2047326.28</v>
      </c>
    </row>
    <row r="1927" spans="1:13" ht="15" thickBot="1" x14ac:dyDescent="0.35">
      <c r="A1927" s="14">
        <v>1920</v>
      </c>
      <c r="B1927" s="15">
        <v>45700</v>
      </c>
      <c r="C1927" s="15">
        <v>45700</v>
      </c>
      <c r="D1927" s="16" t="s">
        <v>1192</v>
      </c>
      <c r="E1927" s="16" t="s">
        <v>1193</v>
      </c>
      <c r="F1927" s="16" t="s">
        <v>2465</v>
      </c>
      <c r="G1927" s="16" t="s">
        <v>1197</v>
      </c>
      <c r="H1927" s="14" t="str">
        <f>"20250212/231621"</f>
        <v>20250212/231621</v>
      </c>
      <c r="I1927" s="19" t="str">
        <f t="shared" si="140"/>
        <v> </v>
      </c>
      <c r="J1927" s="18">
        <v>471340.1</v>
      </c>
      <c r="K1927" s="18">
        <v>0</v>
      </c>
      <c r="L1927" s="18">
        <v>2518666.38</v>
      </c>
    </row>
    <row r="1928" spans="1:13" ht="15" thickBot="1" x14ac:dyDescent="0.35">
      <c r="A1928" s="14">
        <v>1921</v>
      </c>
      <c r="B1928" s="15">
        <v>45700</v>
      </c>
      <c r="C1928" s="15">
        <v>45700</v>
      </c>
      <c r="D1928" s="16" t="s">
        <v>1192</v>
      </c>
      <c r="E1928" s="16" t="s">
        <v>1193</v>
      </c>
      <c r="F1928" s="16" t="s">
        <v>2467</v>
      </c>
      <c r="G1928" s="16" t="s">
        <v>1197</v>
      </c>
      <c r="H1928" s="14" t="str">
        <f>"20250212/366342"</f>
        <v>20250212/366342</v>
      </c>
      <c r="I1928" s="19" t="str">
        <f t="shared" si="140"/>
        <v> </v>
      </c>
      <c r="J1928" s="18">
        <v>0</v>
      </c>
      <c r="K1928" s="18">
        <v>3909.09</v>
      </c>
      <c r="L1928" s="18">
        <v>2514757.29</v>
      </c>
    </row>
    <row r="1929" spans="1:13" ht="15" thickBot="1" x14ac:dyDescent="0.35">
      <c r="A1929" s="14">
        <v>1922</v>
      </c>
      <c r="B1929" s="15">
        <v>45700</v>
      </c>
      <c r="C1929" s="15">
        <v>45700</v>
      </c>
      <c r="D1929" s="16" t="s">
        <v>1192</v>
      </c>
      <c r="E1929" s="16" t="s">
        <v>1193</v>
      </c>
      <c r="F1929" s="16" t="s">
        <v>2468</v>
      </c>
      <c r="G1929" s="16" t="s">
        <v>1197</v>
      </c>
      <c r="H1929" s="14" t="str">
        <f>"20250212/366343"</f>
        <v>20250212/366343</v>
      </c>
      <c r="I1929" s="19" t="str">
        <f t="shared" si="140"/>
        <v> </v>
      </c>
      <c r="J1929" s="18">
        <v>0</v>
      </c>
      <c r="K1929" s="18">
        <v>375506.45</v>
      </c>
      <c r="L1929" s="18">
        <v>2139250.84</v>
      </c>
    </row>
    <row r="1930" spans="1:13" ht="15" thickBot="1" x14ac:dyDescent="0.35">
      <c r="A1930" s="14">
        <v>1923</v>
      </c>
      <c r="B1930" s="15">
        <v>45700</v>
      </c>
      <c r="C1930" s="15">
        <v>45700</v>
      </c>
      <c r="D1930" s="16" t="s">
        <v>1192</v>
      </c>
      <c r="E1930" s="16" t="s">
        <v>1193</v>
      </c>
      <c r="F1930" s="16" t="s">
        <v>2467</v>
      </c>
      <c r="G1930" s="16" t="s">
        <v>1197</v>
      </c>
      <c r="H1930" s="14" t="str">
        <f>"20250212/366344"</f>
        <v>20250212/366344</v>
      </c>
      <c r="I1930" s="19" t="str">
        <f t="shared" si="140"/>
        <v> </v>
      </c>
      <c r="J1930" s="18">
        <v>0</v>
      </c>
      <c r="K1930" s="18">
        <v>472428.75</v>
      </c>
      <c r="L1930" s="18">
        <v>1666822.09</v>
      </c>
    </row>
    <row r="1931" spans="1:13" ht="15" thickBot="1" x14ac:dyDescent="0.35">
      <c r="A1931" s="14">
        <v>1924</v>
      </c>
      <c r="B1931" s="15">
        <v>45700</v>
      </c>
      <c r="C1931" s="15">
        <v>45700</v>
      </c>
      <c r="D1931" s="16" t="s">
        <v>1192</v>
      </c>
      <c r="E1931" s="16" t="s">
        <v>1193</v>
      </c>
      <c r="F1931" s="16" t="s">
        <v>2469</v>
      </c>
      <c r="G1931" s="16" t="s">
        <v>1197</v>
      </c>
      <c r="H1931" s="14" t="str">
        <f>"20250212/80217"</f>
        <v>20250212/80217</v>
      </c>
      <c r="I1931" s="19" t="str">
        <f t="shared" si="140"/>
        <v> </v>
      </c>
      <c r="J1931" s="18">
        <v>288.45</v>
      </c>
      <c r="K1931" s="18">
        <v>0</v>
      </c>
      <c r="L1931" s="18">
        <v>1667110.54</v>
      </c>
      <c r="M1931" t="s">
        <v>2658</v>
      </c>
    </row>
    <row r="1932" spans="1:13" ht="15" thickBot="1" x14ac:dyDescent="0.35">
      <c r="A1932" s="14">
        <v>1925</v>
      </c>
      <c r="B1932" s="15">
        <v>45701</v>
      </c>
      <c r="C1932" s="15">
        <v>45701</v>
      </c>
      <c r="D1932" s="16" t="s">
        <v>1192</v>
      </c>
      <c r="E1932" s="16" t="s">
        <v>1193</v>
      </c>
      <c r="F1932" s="16" t="s">
        <v>1194</v>
      </c>
      <c r="G1932" s="16" t="s">
        <v>1195</v>
      </c>
      <c r="H1932" s="14" t="str">
        <f>"20250213/37336"</f>
        <v>20250213/37336</v>
      </c>
      <c r="I1932" s="17" t="str">
        <f t="shared" si="140"/>
        <v> </v>
      </c>
      <c r="J1932" s="18">
        <v>0</v>
      </c>
      <c r="K1932" s="18">
        <v>289.92</v>
      </c>
      <c r="L1932" s="18">
        <v>1666820.62</v>
      </c>
      <c r="M1932" t="s">
        <v>2661</v>
      </c>
    </row>
    <row r="1933" spans="1:13" ht="15" thickBot="1" x14ac:dyDescent="0.35">
      <c r="A1933" s="14">
        <v>1926</v>
      </c>
      <c r="B1933" s="15">
        <v>45701</v>
      </c>
      <c r="C1933" s="15">
        <v>45701</v>
      </c>
      <c r="D1933" s="16" t="s">
        <v>1192</v>
      </c>
      <c r="E1933" s="16" t="s">
        <v>1193</v>
      </c>
      <c r="F1933" s="16" t="s">
        <v>1194</v>
      </c>
      <c r="G1933" s="16" t="s">
        <v>1195</v>
      </c>
      <c r="H1933" s="14" t="str">
        <f>"20250213/97552"</f>
        <v>20250213/97552</v>
      </c>
      <c r="I1933" s="17" t="str">
        <f t="shared" si="140"/>
        <v> </v>
      </c>
      <c r="J1933" s="18">
        <v>0</v>
      </c>
      <c r="K1933" s="18">
        <v>17653.77</v>
      </c>
      <c r="L1933" s="18">
        <v>1649166.85</v>
      </c>
      <c r="M1933" t="s">
        <v>2661</v>
      </c>
    </row>
    <row r="1934" spans="1:13" ht="15" thickBot="1" x14ac:dyDescent="0.35">
      <c r="A1934" s="14">
        <v>1927</v>
      </c>
      <c r="B1934" s="15">
        <v>45701</v>
      </c>
      <c r="C1934" s="15">
        <v>45701</v>
      </c>
      <c r="D1934" s="16" t="s">
        <v>1192</v>
      </c>
      <c r="E1934" s="16" t="s">
        <v>1193</v>
      </c>
      <c r="F1934" s="16" t="s">
        <v>2470</v>
      </c>
      <c r="G1934" s="16" t="s">
        <v>1197</v>
      </c>
      <c r="H1934" s="14" t="str">
        <f>"20250213/227981"</f>
        <v>20250213/227981</v>
      </c>
      <c r="I1934" s="19" t="str">
        <f t="shared" si="140"/>
        <v> </v>
      </c>
      <c r="J1934" s="18">
        <v>3909.09</v>
      </c>
      <c r="K1934" s="18">
        <v>0</v>
      </c>
      <c r="L1934" s="18">
        <v>1653075.94</v>
      </c>
    </row>
    <row r="1935" spans="1:13" ht="15" thickBot="1" x14ac:dyDescent="0.35">
      <c r="A1935" s="14">
        <v>1928</v>
      </c>
      <c r="B1935" s="15">
        <v>45701</v>
      </c>
      <c r="C1935" s="15">
        <v>45701</v>
      </c>
      <c r="D1935" s="16" t="s">
        <v>1192</v>
      </c>
      <c r="E1935" s="16" t="s">
        <v>1193</v>
      </c>
      <c r="F1935" s="16" t="s">
        <v>2471</v>
      </c>
      <c r="G1935" s="16" t="s">
        <v>1197</v>
      </c>
      <c r="H1935" s="14" t="str">
        <f>"20250213/227982"</f>
        <v>20250213/227982</v>
      </c>
      <c r="I1935" s="19" t="str">
        <f t="shared" si="140"/>
        <v> </v>
      </c>
      <c r="J1935" s="18">
        <v>378932.65</v>
      </c>
      <c r="K1935" s="18">
        <v>0</v>
      </c>
      <c r="L1935" s="18">
        <v>2032008.59</v>
      </c>
    </row>
    <row r="1936" spans="1:13" ht="15" thickBot="1" x14ac:dyDescent="0.35">
      <c r="A1936" s="14">
        <v>1929</v>
      </c>
      <c r="B1936" s="15">
        <v>45701</v>
      </c>
      <c r="C1936" s="15">
        <v>45701</v>
      </c>
      <c r="D1936" s="16" t="s">
        <v>1192</v>
      </c>
      <c r="E1936" s="16" t="s">
        <v>1193</v>
      </c>
      <c r="F1936" s="16" t="s">
        <v>2470</v>
      </c>
      <c r="G1936" s="16" t="s">
        <v>1197</v>
      </c>
      <c r="H1936" s="14" t="str">
        <f>"20250213/227983"</f>
        <v>20250213/227983</v>
      </c>
      <c r="I1936" s="19" t="str">
        <f t="shared" si="140"/>
        <v> </v>
      </c>
      <c r="J1936" s="18">
        <v>487925.12</v>
      </c>
      <c r="K1936" s="18">
        <v>0</v>
      </c>
      <c r="L1936" s="18">
        <v>2519933.71</v>
      </c>
    </row>
    <row r="1937" spans="1:13" ht="15" thickBot="1" x14ac:dyDescent="0.35">
      <c r="A1937" s="14">
        <v>1930</v>
      </c>
      <c r="B1937" s="15">
        <v>45701</v>
      </c>
      <c r="C1937" s="15">
        <v>45701</v>
      </c>
      <c r="D1937" s="16" t="s">
        <v>1192</v>
      </c>
      <c r="E1937" s="16" t="s">
        <v>1193</v>
      </c>
      <c r="F1937" s="16" t="s">
        <v>2472</v>
      </c>
      <c r="G1937" s="16" t="s">
        <v>1197</v>
      </c>
      <c r="H1937" s="14" t="str">
        <f>"20250213/331307"</f>
        <v>20250213/331307</v>
      </c>
      <c r="I1937" s="19" t="str">
        <f t="shared" si="140"/>
        <v> </v>
      </c>
      <c r="J1937" s="18">
        <v>0</v>
      </c>
      <c r="K1937" s="18">
        <v>3909.09</v>
      </c>
      <c r="L1937" s="18">
        <v>2516024.62</v>
      </c>
    </row>
    <row r="1938" spans="1:13" ht="15" thickBot="1" x14ac:dyDescent="0.35">
      <c r="A1938" s="14">
        <v>1931</v>
      </c>
      <c r="B1938" s="15">
        <v>45701</v>
      </c>
      <c r="C1938" s="15">
        <v>45701</v>
      </c>
      <c r="D1938" s="16" t="s">
        <v>1192</v>
      </c>
      <c r="E1938" s="16" t="s">
        <v>1193</v>
      </c>
      <c r="F1938" s="16" t="s">
        <v>2473</v>
      </c>
      <c r="G1938" s="16" t="s">
        <v>1197</v>
      </c>
      <c r="H1938" s="14" t="str">
        <f>"20250213/331308"</f>
        <v>20250213/331308</v>
      </c>
      <c r="I1938" s="19" t="str">
        <f t="shared" si="140"/>
        <v> </v>
      </c>
      <c r="J1938" s="18">
        <v>0</v>
      </c>
      <c r="K1938" s="18">
        <v>377863.9</v>
      </c>
      <c r="L1938" s="18">
        <v>2138160.7200000002</v>
      </c>
    </row>
    <row r="1939" spans="1:13" ht="15" thickBot="1" x14ac:dyDescent="0.35">
      <c r="A1939" s="14">
        <v>1932</v>
      </c>
      <c r="B1939" s="15">
        <v>45701</v>
      </c>
      <c r="C1939" s="15">
        <v>45701</v>
      </c>
      <c r="D1939" s="16" t="s">
        <v>1192</v>
      </c>
      <c r="E1939" s="16" t="s">
        <v>1193</v>
      </c>
      <c r="F1939" s="16" t="s">
        <v>2472</v>
      </c>
      <c r="G1939" s="16" t="s">
        <v>1197</v>
      </c>
      <c r="H1939" s="14" t="str">
        <f>"20250213/331309"</f>
        <v>20250213/331309</v>
      </c>
      <c r="I1939" s="19" t="str">
        <f t="shared" si="140"/>
        <v> </v>
      </c>
      <c r="J1939" s="18">
        <v>0</v>
      </c>
      <c r="K1939" s="18">
        <v>471340.1</v>
      </c>
      <c r="L1939" s="18">
        <v>1666820.62</v>
      </c>
    </row>
    <row r="1940" spans="1:13" ht="15" thickBot="1" x14ac:dyDescent="0.35">
      <c r="A1940" s="14">
        <v>1933</v>
      </c>
      <c r="B1940" s="15">
        <v>45701</v>
      </c>
      <c r="C1940" s="15">
        <v>45701</v>
      </c>
      <c r="D1940" s="16" t="s">
        <v>1192</v>
      </c>
      <c r="E1940" s="16" t="s">
        <v>1193</v>
      </c>
      <c r="F1940" s="16" t="s">
        <v>2474</v>
      </c>
      <c r="G1940" s="16" t="s">
        <v>1197</v>
      </c>
      <c r="H1940" s="14" t="str">
        <f>"20250213/90758"</f>
        <v>20250213/90758</v>
      </c>
      <c r="I1940" s="19" t="str">
        <f t="shared" si="140"/>
        <v> </v>
      </c>
      <c r="J1940" s="18">
        <v>289.92</v>
      </c>
      <c r="K1940" s="18">
        <v>0</v>
      </c>
      <c r="L1940" s="18">
        <v>1667110.54</v>
      </c>
      <c r="M1940" t="s">
        <v>2658</v>
      </c>
    </row>
    <row r="1941" spans="1:13" ht="15" thickBot="1" x14ac:dyDescent="0.35">
      <c r="A1941" s="14">
        <v>1934</v>
      </c>
      <c r="B1941" s="15">
        <v>45701</v>
      </c>
      <c r="C1941" s="15">
        <v>45702</v>
      </c>
      <c r="D1941" s="16" t="s">
        <v>1192</v>
      </c>
      <c r="E1941" s="16" t="s">
        <v>1193</v>
      </c>
      <c r="F1941" s="16" t="s">
        <v>2475</v>
      </c>
      <c r="G1941" s="16" t="s">
        <v>1197</v>
      </c>
      <c r="H1941" s="14" t="str">
        <f>"20250213/153905"</f>
        <v>20250213/153905</v>
      </c>
      <c r="I1941" s="19" t="str">
        <f>"2502004224179"</f>
        <v>2502004224179</v>
      </c>
      <c r="J1941" s="18">
        <v>42224.09</v>
      </c>
      <c r="K1941" s="18">
        <v>0</v>
      </c>
      <c r="L1941" s="18">
        <v>1709334.63</v>
      </c>
    </row>
    <row r="1942" spans="1:13" ht="15" thickBot="1" x14ac:dyDescent="0.35">
      <c r="A1942" s="14">
        <v>1935</v>
      </c>
      <c r="B1942" s="15">
        <v>45702</v>
      </c>
      <c r="C1942" s="15">
        <v>45702</v>
      </c>
      <c r="D1942" s="16" t="s">
        <v>1192</v>
      </c>
      <c r="E1942" s="16" t="s">
        <v>1193</v>
      </c>
      <c r="F1942" s="16" t="s">
        <v>1194</v>
      </c>
      <c r="G1942" s="16" t="s">
        <v>1195</v>
      </c>
      <c r="H1942" s="14" t="str">
        <f>"20250214/117703"</f>
        <v>20250214/117703</v>
      </c>
      <c r="I1942" s="17" t="str">
        <f t="shared" ref="I1942:I1958" si="141">" "</f>
        <v> </v>
      </c>
      <c r="J1942" s="18">
        <v>0</v>
      </c>
      <c r="K1942" s="18">
        <v>12389.92</v>
      </c>
      <c r="L1942" s="18">
        <v>1696944.71</v>
      </c>
      <c r="M1942" t="s">
        <v>2661</v>
      </c>
    </row>
    <row r="1943" spans="1:13" ht="15" thickBot="1" x14ac:dyDescent="0.35">
      <c r="A1943" s="14">
        <v>1936</v>
      </c>
      <c r="B1943" s="15">
        <v>45702</v>
      </c>
      <c r="C1943" s="15">
        <v>45702</v>
      </c>
      <c r="D1943" s="16" t="s">
        <v>1192</v>
      </c>
      <c r="E1943" s="16" t="s">
        <v>1193</v>
      </c>
      <c r="F1943" s="16" t="s">
        <v>1194</v>
      </c>
      <c r="G1943" s="16" t="s">
        <v>1195</v>
      </c>
      <c r="H1943" s="14" t="str">
        <f>"20250214/30243"</f>
        <v>20250214/30243</v>
      </c>
      <c r="I1943" s="17" t="str">
        <f t="shared" si="141"/>
        <v> </v>
      </c>
      <c r="J1943" s="18">
        <v>0</v>
      </c>
      <c r="K1943" s="18">
        <v>283.63</v>
      </c>
      <c r="L1943" s="18">
        <v>1696661.08</v>
      </c>
      <c r="M1943" t="s">
        <v>2661</v>
      </c>
    </row>
    <row r="1944" spans="1:13" ht="15" thickBot="1" x14ac:dyDescent="0.35">
      <c r="A1944" s="14">
        <v>1937</v>
      </c>
      <c r="B1944" s="15">
        <v>45702</v>
      </c>
      <c r="C1944" s="15">
        <v>45702</v>
      </c>
      <c r="D1944" s="16" t="s">
        <v>1192</v>
      </c>
      <c r="E1944" s="16" t="s">
        <v>1193</v>
      </c>
      <c r="F1944" s="16" t="s">
        <v>2476</v>
      </c>
      <c r="G1944" s="16" t="s">
        <v>1197</v>
      </c>
      <c r="H1944" s="14" t="str">
        <f>"20250214/217302"</f>
        <v>20250214/217302</v>
      </c>
      <c r="I1944" s="19" t="str">
        <f t="shared" si="141"/>
        <v> </v>
      </c>
      <c r="J1944" s="18">
        <v>3909.09</v>
      </c>
      <c r="K1944" s="18">
        <v>0</v>
      </c>
      <c r="L1944" s="18">
        <v>1700570.17</v>
      </c>
    </row>
    <row r="1945" spans="1:13" ht="15" thickBot="1" x14ac:dyDescent="0.35">
      <c r="A1945" s="14">
        <v>1938</v>
      </c>
      <c r="B1945" s="15">
        <v>45702</v>
      </c>
      <c r="C1945" s="15">
        <v>45702</v>
      </c>
      <c r="D1945" s="16" t="s">
        <v>1192</v>
      </c>
      <c r="E1945" s="16" t="s">
        <v>1193</v>
      </c>
      <c r="F1945" s="16" t="s">
        <v>2477</v>
      </c>
      <c r="G1945" s="16" t="s">
        <v>1197</v>
      </c>
      <c r="H1945" s="14" t="str">
        <f>"20250214/217303"</f>
        <v>20250214/217303</v>
      </c>
      <c r="I1945" s="19" t="str">
        <f t="shared" si="141"/>
        <v> </v>
      </c>
      <c r="J1945" s="18">
        <v>399884.2</v>
      </c>
      <c r="K1945" s="18">
        <v>0</v>
      </c>
      <c r="L1945" s="18">
        <v>2100454.37</v>
      </c>
    </row>
    <row r="1946" spans="1:13" ht="15" thickBot="1" x14ac:dyDescent="0.35">
      <c r="A1946" s="14">
        <v>1939</v>
      </c>
      <c r="B1946" s="15">
        <v>45702</v>
      </c>
      <c r="C1946" s="15">
        <v>45702</v>
      </c>
      <c r="D1946" s="16" t="s">
        <v>1192</v>
      </c>
      <c r="E1946" s="16" t="s">
        <v>1193</v>
      </c>
      <c r="F1946" s="16" t="s">
        <v>2476</v>
      </c>
      <c r="G1946" s="16" t="s">
        <v>1197</v>
      </c>
      <c r="H1946" s="14" t="str">
        <f>"20250214/217304"</f>
        <v>20250214/217304</v>
      </c>
      <c r="I1946" s="19" t="str">
        <f t="shared" si="141"/>
        <v> </v>
      </c>
      <c r="J1946" s="18">
        <v>479363.49</v>
      </c>
      <c r="K1946" s="18">
        <v>0</v>
      </c>
      <c r="L1946" s="18">
        <v>2579817.86</v>
      </c>
    </row>
    <row r="1947" spans="1:13" ht="15" thickBot="1" x14ac:dyDescent="0.35">
      <c r="A1947" s="14">
        <v>1940</v>
      </c>
      <c r="B1947" s="15">
        <v>45702</v>
      </c>
      <c r="C1947" s="15">
        <v>45702</v>
      </c>
      <c r="D1947" s="16" t="s">
        <v>1192</v>
      </c>
      <c r="E1947" s="16" t="s">
        <v>1193</v>
      </c>
      <c r="F1947" s="16" t="s">
        <v>2478</v>
      </c>
      <c r="G1947" s="16" t="s">
        <v>1197</v>
      </c>
      <c r="H1947" s="14" t="str">
        <f>"20250214/334897"</f>
        <v>20250214/334897</v>
      </c>
      <c r="I1947" s="19" t="str">
        <f t="shared" si="141"/>
        <v> </v>
      </c>
      <c r="J1947" s="18">
        <v>0</v>
      </c>
      <c r="K1947" s="18">
        <v>3909.09</v>
      </c>
      <c r="L1947" s="18">
        <v>2575908.77</v>
      </c>
    </row>
    <row r="1948" spans="1:13" ht="15" thickBot="1" x14ac:dyDescent="0.35">
      <c r="A1948" s="14">
        <v>1941</v>
      </c>
      <c r="B1948" s="15">
        <v>45702</v>
      </c>
      <c r="C1948" s="15">
        <v>45702</v>
      </c>
      <c r="D1948" s="16" t="s">
        <v>1192</v>
      </c>
      <c r="E1948" s="16" t="s">
        <v>1193</v>
      </c>
      <c r="F1948" s="16" t="s">
        <v>2479</v>
      </c>
      <c r="G1948" s="16" t="s">
        <v>1197</v>
      </c>
      <c r="H1948" s="14" t="str">
        <f>"20250214/334898"</f>
        <v>20250214/334898</v>
      </c>
      <c r="I1948" s="19" t="str">
        <f t="shared" si="141"/>
        <v> </v>
      </c>
      <c r="J1948" s="18">
        <v>0</v>
      </c>
      <c r="K1948" s="18">
        <v>378932.65</v>
      </c>
      <c r="L1948" s="18">
        <v>2196976.12</v>
      </c>
    </row>
    <row r="1949" spans="1:13" ht="15" thickBot="1" x14ac:dyDescent="0.35">
      <c r="A1949" s="14">
        <v>1942</v>
      </c>
      <c r="B1949" s="15">
        <v>45702</v>
      </c>
      <c r="C1949" s="15">
        <v>45702</v>
      </c>
      <c r="D1949" s="16" t="s">
        <v>1192</v>
      </c>
      <c r="E1949" s="16" t="s">
        <v>1193</v>
      </c>
      <c r="F1949" s="16" t="s">
        <v>2478</v>
      </c>
      <c r="G1949" s="16" t="s">
        <v>1197</v>
      </c>
      <c r="H1949" s="14" t="str">
        <f>"20250214/334899"</f>
        <v>20250214/334899</v>
      </c>
      <c r="I1949" s="19" t="str">
        <f t="shared" si="141"/>
        <v> </v>
      </c>
      <c r="J1949" s="18">
        <v>0</v>
      </c>
      <c r="K1949" s="18">
        <v>487925.12</v>
      </c>
      <c r="L1949" s="18">
        <v>1709051</v>
      </c>
    </row>
    <row r="1950" spans="1:13" ht="15" thickBot="1" x14ac:dyDescent="0.35">
      <c r="A1950" s="14">
        <v>1943</v>
      </c>
      <c r="B1950" s="15">
        <v>45702</v>
      </c>
      <c r="C1950" s="15">
        <v>45702</v>
      </c>
      <c r="D1950" s="16" t="s">
        <v>1192</v>
      </c>
      <c r="E1950" s="16" t="s">
        <v>1193</v>
      </c>
      <c r="F1950" s="16" t="s">
        <v>2480</v>
      </c>
      <c r="G1950" s="16" t="s">
        <v>1197</v>
      </c>
      <c r="H1950" s="14" t="str">
        <f>"20250214/85737"</f>
        <v>20250214/85737</v>
      </c>
      <c r="I1950" s="19" t="str">
        <f t="shared" si="141"/>
        <v> </v>
      </c>
      <c r="J1950" s="18">
        <v>283.63</v>
      </c>
      <c r="K1950" s="18">
        <v>0</v>
      </c>
      <c r="L1950" s="18">
        <v>1709334.63</v>
      </c>
      <c r="M1950" t="s">
        <v>2658</v>
      </c>
    </row>
    <row r="1951" spans="1:13" ht="15" thickBot="1" x14ac:dyDescent="0.35">
      <c r="A1951" s="14">
        <v>1944</v>
      </c>
      <c r="B1951" s="15">
        <v>45705</v>
      </c>
      <c r="C1951" s="15">
        <v>45705</v>
      </c>
      <c r="D1951" s="16" t="s">
        <v>1192</v>
      </c>
      <c r="E1951" s="16" t="s">
        <v>1193</v>
      </c>
      <c r="F1951" s="16" t="s">
        <v>1194</v>
      </c>
      <c r="G1951" s="16" t="s">
        <v>1195</v>
      </c>
      <c r="H1951" s="14" t="str">
        <f>"20250217/26280"</f>
        <v>20250217/26280</v>
      </c>
      <c r="I1951" s="17" t="str">
        <f t="shared" si="141"/>
        <v> </v>
      </c>
      <c r="J1951" s="18">
        <v>0</v>
      </c>
      <c r="K1951" s="18">
        <v>882.78</v>
      </c>
      <c r="L1951" s="18">
        <v>1708451.85</v>
      </c>
      <c r="M1951" t="s">
        <v>2661</v>
      </c>
    </row>
    <row r="1952" spans="1:13" ht="15" thickBot="1" x14ac:dyDescent="0.35">
      <c r="A1952" s="14">
        <v>1945</v>
      </c>
      <c r="B1952" s="15">
        <v>45705</v>
      </c>
      <c r="C1952" s="15">
        <v>45705</v>
      </c>
      <c r="D1952" s="16" t="s">
        <v>1192</v>
      </c>
      <c r="E1952" s="16" t="s">
        <v>1193</v>
      </c>
      <c r="F1952" s="16" t="s">
        <v>2481</v>
      </c>
      <c r="G1952" s="16" t="s">
        <v>1197</v>
      </c>
      <c r="H1952" s="14" t="str">
        <f>"20250217/116797"</f>
        <v>20250217/116797</v>
      </c>
      <c r="I1952" s="19" t="str">
        <f t="shared" si="141"/>
        <v> </v>
      </c>
      <c r="J1952" s="18">
        <v>882.78</v>
      </c>
      <c r="K1952" s="18">
        <v>0</v>
      </c>
      <c r="L1952" s="18">
        <v>1709334.63</v>
      </c>
      <c r="M1952" t="s">
        <v>2658</v>
      </c>
    </row>
    <row r="1953" spans="1:13" ht="15" thickBot="1" x14ac:dyDescent="0.35">
      <c r="A1953" s="14">
        <v>1946</v>
      </c>
      <c r="B1953" s="15">
        <v>45705</v>
      </c>
      <c r="C1953" s="15">
        <v>45705</v>
      </c>
      <c r="D1953" s="16" t="s">
        <v>1192</v>
      </c>
      <c r="E1953" s="16" t="s">
        <v>1193</v>
      </c>
      <c r="F1953" s="16" t="s">
        <v>2482</v>
      </c>
      <c r="G1953" s="16" t="s">
        <v>1197</v>
      </c>
      <c r="H1953" s="14" t="str">
        <f>"20250217/246327"</f>
        <v>20250217/246327</v>
      </c>
      <c r="I1953" s="19" t="str">
        <f t="shared" si="141"/>
        <v> </v>
      </c>
      <c r="J1953" s="18">
        <v>3909.09</v>
      </c>
      <c r="K1953" s="18">
        <v>0</v>
      </c>
      <c r="L1953" s="18">
        <v>1713243.72</v>
      </c>
    </row>
    <row r="1954" spans="1:13" ht="15" thickBot="1" x14ac:dyDescent="0.35">
      <c r="A1954" s="14">
        <v>1947</v>
      </c>
      <c r="B1954" s="15">
        <v>45705</v>
      </c>
      <c r="C1954" s="15">
        <v>45705</v>
      </c>
      <c r="D1954" s="16" t="s">
        <v>1192</v>
      </c>
      <c r="E1954" s="16" t="s">
        <v>1193</v>
      </c>
      <c r="F1954" s="16" t="s">
        <v>2483</v>
      </c>
      <c r="G1954" s="16" t="s">
        <v>1197</v>
      </c>
      <c r="H1954" s="14" t="str">
        <f>"20250217/246328"</f>
        <v>20250217/246328</v>
      </c>
      <c r="I1954" s="19" t="str">
        <f t="shared" si="141"/>
        <v> </v>
      </c>
      <c r="J1954" s="18">
        <v>385721.1</v>
      </c>
      <c r="K1954" s="18">
        <v>0</v>
      </c>
      <c r="L1954" s="18">
        <v>2098964.8199999998</v>
      </c>
    </row>
    <row r="1955" spans="1:13" ht="15" thickBot="1" x14ac:dyDescent="0.35">
      <c r="A1955" s="14">
        <v>1948</v>
      </c>
      <c r="B1955" s="15">
        <v>45705</v>
      </c>
      <c r="C1955" s="15">
        <v>45705</v>
      </c>
      <c r="D1955" s="16" t="s">
        <v>1192</v>
      </c>
      <c r="E1955" s="16" t="s">
        <v>1193</v>
      </c>
      <c r="F1955" s="16" t="s">
        <v>2482</v>
      </c>
      <c r="G1955" s="16" t="s">
        <v>1197</v>
      </c>
      <c r="H1955" s="14" t="str">
        <f>"20250217/246329"</f>
        <v>20250217/246329</v>
      </c>
      <c r="I1955" s="19" t="str">
        <f t="shared" si="141"/>
        <v> </v>
      </c>
      <c r="J1955" s="18">
        <v>463404.19</v>
      </c>
      <c r="K1955" s="18">
        <v>0</v>
      </c>
      <c r="L1955" s="18">
        <v>2562369.0099999998</v>
      </c>
    </row>
    <row r="1956" spans="1:13" ht="15" thickBot="1" x14ac:dyDescent="0.35">
      <c r="A1956" s="14">
        <v>1949</v>
      </c>
      <c r="B1956" s="15">
        <v>45705</v>
      </c>
      <c r="C1956" s="15">
        <v>45705</v>
      </c>
      <c r="D1956" s="16" t="s">
        <v>1192</v>
      </c>
      <c r="E1956" s="16" t="s">
        <v>1193</v>
      </c>
      <c r="F1956" s="16" t="s">
        <v>2484</v>
      </c>
      <c r="G1956" s="16" t="s">
        <v>1197</v>
      </c>
      <c r="H1956" s="14" t="str">
        <f>"20250217/306842"</f>
        <v>20250217/306842</v>
      </c>
      <c r="I1956" s="19" t="str">
        <f t="shared" si="141"/>
        <v> </v>
      </c>
      <c r="J1956" s="18">
        <v>0</v>
      </c>
      <c r="K1956" s="18">
        <v>3909.09</v>
      </c>
      <c r="L1956" s="18">
        <v>2558459.92</v>
      </c>
    </row>
    <row r="1957" spans="1:13" ht="15" thickBot="1" x14ac:dyDescent="0.35">
      <c r="A1957" s="14">
        <v>1950</v>
      </c>
      <c r="B1957" s="15">
        <v>45705</v>
      </c>
      <c r="C1957" s="15">
        <v>45705</v>
      </c>
      <c r="D1957" s="16" t="s">
        <v>1192</v>
      </c>
      <c r="E1957" s="16" t="s">
        <v>1193</v>
      </c>
      <c r="F1957" s="16" t="s">
        <v>2485</v>
      </c>
      <c r="G1957" s="16" t="s">
        <v>1197</v>
      </c>
      <c r="H1957" s="14" t="str">
        <f>"20250217/306843"</f>
        <v>20250217/306843</v>
      </c>
      <c r="I1957" s="19" t="str">
        <f t="shared" si="141"/>
        <v> </v>
      </c>
      <c r="J1957" s="18">
        <v>0</v>
      </c>
      <c r="K1957" s="18">
        <v>399884.2</v>
      </c>
      <c r="L1957" s="18">
        <v>2158575.7200000002</v>
      </c>
    </row>
    <row r="1958" spans="1:13" ht="15" thickBot="1" x14ac:dyDescent="0.35">
      <c r="A1958" s="14">
        <v>1951</v>
      </c>
      <c r="B1958" s="15">
        <v>45705</v>
      </c>
      <c r="C1958" s="15">
        <v>45705</v>
      </c>
      <c r="D1958" s="16" t="s">
        <v>1192</v>
      </c>
      <c r="E1958" s="16" t="s">
        <v>1193</v>
      </c>
      <c r="F1958" s="16" t="s">
        <v>2484</v>
      </c>
      <c r="G1958" s="16" t="s">
        <v>1197</v>
      </c>
      <c r="H1958" s="14" t="str">
        <f>"20250217/306844"</f>
        <v>20250217/306844</v>
      </c>
      <c r="I1958" s="19" t="str">
        <f t="shared" si="141"/>
        <v> </v>
      </c>
      <c r="J1958" s="18">
        <v>0</v>
      </c>
      <c r="K1958" s="18">
        <v>479363.49</v>
      </c>
      <c r="L1958" s="18">
        <v>1679212.23</v>
      </c>
    </row>
    <row r="1959" spans="1:13" ht="15" thickBot="1" x14ac:dyDescent="0.35">
      <c r="A1959" s="14">
        <v>1952</v>
      </c>
      <c r="B1959" s="15">
        <v>45705</v>
      </c>
      <c r="C1959" s="15">
        <v>45706</v>
      </c>
      <c r="D1959" s="16" t="s">
        <v>1192</v>
      </c>
      <c r="E1959" s="16" t="s">
        <v>1193</v>
      </c>
      <c r="F1959" s="16" t="s">
        <v>2486</v>
      </c>
      <c r="G1959" s="16" t="s">
        <v>1197</v>
      </c>
      <c r="H1959" s="14" t="str">
        <f>"20250217/170371"</f>
        <v>20250217/170371</v>
      </c>
      <c r="I1959" s="19" t="str">
        <f>"2502005093830"</f>
        <v>2502005093830</v>
      </c>
      <c r="J1959" s="18">
        <v>0</v>
      </c>
      <c r="K1959" s="18">
        <v>40187.160000000003</v>
      </c>
      <c r="L1959" s="18">
        <v>1639025.07</v>
      </c>
    </row>
    <row r="1960" spans="1:13" ht="15" thickBot="1" x14ac:dyDescent="0.35">
      <c r="A1960" s="14">
        <v>1953</v>
      </c>
      <c r="B1960" s="15">
        <v>45705</v>
      </c>
      <c r="C1960" s="15">
        <v>45706</v>
      </c>
      <c r="D1960" s="16" t="s">
        <v>1192</v>
      </c>
      <c r="E1960" s="16" t="s">
        <v>1193</v>
      </c>
      <c r="F1960" s="16" t="s">
        <v>2487</v>
      </c>
      <c r="G1960" s="16" t="s">
        <v>1197</v>
      </c>
      <c r="H1960" s="14" t="str">
        <f>"20250217/170372"</f>
        <v>20250217/170372</v>
      </c>
      <c r="I1960" s="19" t="str">
        <f>"2502005093830"</f>
        <v>2502005093830</v>
      </c>
      <c r="J1960" s="18">
        <v>0</v>
      </c>
      <c r="K1960" s="18">
        <v>41662.720000000001</v>
      </c>
      <c r="L1960" s="18">
        <v>1597362.35</v>
      </c>
    </row>
    <row r="1961" spans="1:13" ht="15" thickBot="1" x14ac:dyDescent="0.35">
      <c r="A1961" s="14">
        <v>1954</v>
      </c>
      <c r="B1961" s="15">
        <v>45706</v>
      </c>
      <c r="C1961" s="15">
        <v>45706</v>
      </c>
      <c r="D1961" s="16" t="s">
        <v>1192</v>
      </c>
      <c r="E1961" s="16" t="s">
        <v>1193</v>
      </c>
      <c r="F1961" s="16" t="s">
        <v>1204</v>
      </c>
      <c r="G1961" s="16" t="s">
        <v>1203</v>
      </c>
      <c r="H1961" s="14" t="str">
        <f>"20250218/29455"</f>
        <v>20250218/29455</v>
      </c>
      <c r="I1961" s="17" t="str">
        <f t="shared" ref="I1961:I1971" si="142">" "</f>
        <v> </v>
      </c>
      <c r="J1961" s="18">
        <v>40187.160000000003</v>
      </c>
      <c r="K1961" s="18">
        <v>0</v>
      </c>
      <c r="L1961" s="18">
        <v>1637549.51</v>
      </c>
      <c r="M1961" t="s">
        <v>2661</v>
      </c>
    </row>
    <row r="1962" spans="1:13" ht="15" thickBot="1" x14ac:dyDescent="0.35">
      <c r="A1962" s="14">
        <v>1955</v>
      </c>
      <c r="B1962" s="15">
        <v>45706</v>
      </c>
      <c r="C1962" s="15">
        <v>45706</v>
      </c>
      <c r="D1962" s="16" t="s">
        <v>1192</v>
      </c>
      <c r="E1962" s="16" t="s">
        <v>1193</v>
      </c>
      <c r="F1962" s="16" t="s">
        <v>1202</v>
      </c>
      <c r="G1962" s="16" t="s">
        <v>1203</v>
      </c>
      <c r="H1962" s="14" t="str">
        <f>"20250218/6822"</f>
        <v>20250218/6822</v>
      </c>
      <c r="I1962" s="17" t="str">
        <f t="shared" si="142"/>
        <v> </v>
      </c>
      <c r="J1962" s="18">
        <v>12868.69</v>
      </c>
      <c r="K1962" s="18">
        <v>0</v>
      </c>
      <c r="L1962" s="18">
        <v>1650418.2</v>
      </c>
      <c r="M1962" t="s">
        <v>2661</v>
      </c>
    </row>
    <row r="1963" spans="1:13" ht="15" thickBot="1" x14ac:dyDescent="0.35">
      <c r="A1963" s="14">
        <v>1956</v>
      </c>
      <c r="B1963" s="15">
        <v>45706</v>
      </c>
      <c r="C1963" s="15">
        <v>45706</v>
      </c>
      <c r="D1963" s="16" t="s">
        <v>1192</v>
      </c>
      <c r="E1963" s="16" t="s">
        <v>1193</v>
      </c>
      <c r="F1963" s="16" t="s">
        <v>1194</v>
      </c>
      <c r="G1963" s="16" t="s">
        <v>1195</v>
      </c>
      <c r="H1963" s="14" t="str">
        <f>"20250218/137389"</f>
        <v>20250218/137389</v>
      </c>
      <c r="I1963" s="17" t="str">
        <f t="shared" si="142"/>
        <v> </v>
      </c>
      <c r="J1963" s="18">
        <v>0</v>
      </c>
      <c r="K1963" s="18">
        <v>1157.9000000000001</v>
      </c>
      <c r="L1963" s="18">
        <v>1649260.3</v>
      </c>
      <c r="M1963" t="s">
        <v>2661</v>
      </c>
    </row>
    <row r="1964" spans="1:13" ht="15" thickBot="1" x14ac:dyDescent="0.35">
      <c r="A1964" s="14">
        <v>1957</v>
      </c>
      <c r="B1964" s="15">
        <v>45706</v>
      </c>
      <c r="C1964" s="15">
        <v>45706</v>
      </c>
      <c r="D1964" s="16" t="s">
        <v>1192</v>
      </c>
      <c r="E1964" s="16" t="s">
        <v>1193</v>
      </c>
      <c r="F1964" s="16" t="s">
        <v>1194</v>
      </c>
      <c r="G1964" s="16" t="s">
        <v>1195</v>
      </c>
      <c r="H1964" s="14" t="str">
        <f>"20250218/39308"</f>
        <v>20250218/39308</v>
      </c>
      <c r="I1964" s="17" t="str">
        <f t="shared" si="142"/>
        <v> </v>
      </c>
      <c r="J1964" s="18">
        <v>0</v>
      </c>
      <c r="K1964" s="18">
        <v>294.26</v>
      </c>
      <c r="L1964" s="18">
        <v>1648966.04</v>
      </c>
      <c r="M1964" t="s">
        <v>2661</v>
      </c>
    </row>
    <row r="1965" spans="1:13" ht="15" thickBot="1" x14ac:dyDescent="0.35">
      <c r="A1965" s="14">
        <v>1958</v>
      </c>
      <c r="B1965" s="15">
        <v>45706</v>
      </c>
      <c r="C1965" s="15">
        <v>45706</v>
      </c>
      <c r="D1965" s="16" t="s">
        <v>1192</v>
      </c>
      <c r="E1965" s="16" t="s">
        <v>1193</v>
      </c>
      <c r="F1965" s="16" t="s">
        <v>2488</v>
      </c>
      <c r="G1965" s="16" t="s">
        <v>1197</v>
      </c>
      <c r="H1965" s="14" t="str">
        <f>"20250218/104091"</f>
        <v>20250218/104091</v>
      </c>
      <c r="I1965" s="19" t="str">
        <f t="shared" si="142"/>
        <v> </v>
      </c>
      <c r="J1965" s="18">
        <v>294.26</v>
      </c>
      <c r="K1965" s="18">
        <v>0</v>
      </c>
      <c r="L1965" s="18">
        <v>1649260.3</v>
      </c>
      <c r="M1965" t="s">
        <v>2658</v>
      </c>
    </row>
    <row r="1966" spans="1:13" ht="15" thickBot="1" x14ac:dyDescent="0.35">
      <c r="A1966" s="14">
        <v>1959</v>
      </c>
      <c r="B1966" s="15">
        <v>45706</v>
      </c>
      <c r="C1966" s="15">
        <v>45706</v>
      </c>
      <c r="D1966" s="16" t="s">
        <v>1192</v>
      </c>
      <c r="E1966" s="16" t="s">
        <v>1193</v>
      </c>
      <c r="F1966" s="16" t="s">
        <v>2489</v>
      </c>
      <c r="G1966" s="16" t="s">
        <v>1197</v>
      </c>
      <c r="H1966" s="14" t="str">
        <f>"20250218/230520"</f>
        <v>20250218/230520</v>
      </c>
      <c r="I1966" s="19" t="str">
        <f t="shared" si="142"/>
        <v> </v>
      </c>
      <c r="J1966" s="18">
        <v>3909.09</v>
      </c>
      <c r="K1966" s="18">
        <v>0</v>
      </c>
      <c r="L1966" s="18">
        <v>1653169.39</v>
      </c>
    </row>
    <row r="1967" spans="1:13" ht="15" thickBot="1" x14ac:dyDescent="0.35">
      <c r="A1967" s="14">
        <v>1960</v>
      </c>
      <c r="B1967" s="15">
        <v>45706</v>
      </c>
      <c r="C1967" s="15">
        <v>45706</v>
      </c>
      <c r="D1967" s="16" t="s">
        <v>1192</v>
      </c>
      <c r="E1967" s="16" t="s">
        <v>1193</v>
      </c>
      <c r="F1967" s="16" t="s">
        <v>2490</v>
      </c>
      <c r="G1967" s="16" t="s">
        <v>1197</v>
      </c>
      <c r="H1967" s="14" t="str">
        <f>"20250218/230521"</f>
        <v>20250218/230521</v>
      </c>
      <c r="I1967" s="19" t="str">
        <f t="shared" si="142"/>
        <v> </v>
      </c>
      <c r="J1967" s="18">
        <v>387755.8</v>
      </c>
      <c r="K1967" s="18">
        <v>0</v>
      </c>
      <c r="L1967" s="18">
        <v>2040925.19</v>
      </c>
    </row>
    <row r="1968" spans="1:13" ht="15" thickBot="1" x14ac:dyDescent="0.35">
      <c r="A1968" s="14">
        <v>1961</v>
      </c>
      <c r="B1968" s="15">
        <v>45706</v>
      </c>
      <c r="C1968" s="15">
        <v>45706</v>
      </c>
      <c r="D1968" s="16" t="s">
        <v>1192</v>
      </c>
      <c r="E1968" s="16" t="s">
        <v>1193</v>
      </c>
      <c r="F1968" s="16" t="s">
        <v>2489</v>
      </c>
      <c r="G1968" s="16" t="s">
        <v>1197</v>
      </c>
      <c r="H1968" s="14" t="str">
        <f>"20250218/230522"</f>
        <v>20250218/230522</v>
      </c>
      <c r="I1968" s="19" t="str">
        <f t="shared" si="142"/>
        <v> </v>
      </c>
      <c r="J1968" s="18">
        <v>462527.39</v>
      </c>
      <c r="K1968" s="18">
        <v>0</v>
      </c>
      <c r="L1968" s="18">
        <v>2503452.58</v>
      </c>
    </row>
    <row r="1969" spans="1:13" ht="15" thickBot="1" x14ac:dyDescent="0.35">
      <c r="A1969" s="14">
        <v>1962</v>
      </c>
      <c r="B1969" s="15">
        <v>45706</v>
      </c>
      <c r="C1969" s="15">
        <v>45706</v>
      </c>
      <c r="D1969" s="16" t="s">
        <v>1192</v>
      </c>
      <c r="E1969" s="16" t="s">
        <v>1193</v>
      </c>
      <c r="F1969" s="16" t="s">
        <v>2491</v>
      </c>
      <c r="G1969" s="16" t="s">
        <v>1197</v>
      </c>
      <c r="H1969" s="14" t="str">
        <f>"20250218/352466"</f>
        <v>20250218/352466</v>
      </c>
      <c r="I1969" s="19" t="str">
        <f t="shared" si="142"/>
        <v> </v>
      </c>
      <c r="J1969" s="18">
        <v>0</v>
      </c>
      <c r="K1969" s="18">
        <v>3909.09</v>
      </c>
      <c r="L1969" s="18">
        <v>2499543.4900000002</v>
      </c>
    </row>
    <row r="1970" spans="1:13" ht="15" thickBot="1" x14ac:dyDescent="0.35">
      <c r="A1970" s="14">
        <v>1963</v>
      </c>
      <c r="B1970" s="15">
        <v>45706</v>
      </c>
      <c r="C1970" s="15">
        <v>45706</v>
      </c>
      <c r="D1970" s="16" t="s">
        <v>1192</v>
      </c>
      <c r="E1970" s="16" t="s">
        <v>1193</v>
      </c>
      <c r="F1970" s="16" t="s">
        <v>2492</v>
      </c>
      <c r="G1970" s="16" t="s">
        <v>1197</v>
      </c>
      <c r="H1970" s="14" t="str">
        <f>"20250218/352467"</f>
        <v>20250218/352467</v>
      </c>
      <c r="I1970" s="19" t="str">
        <f t="shared" si="142"/>
        <v> </v>
      </c>
      <c r="J1970" s="18">
        <v>0</v>
      </c>
      <c r="K1970" s="18">
        <v>385721.1</v>
      </c>
      <c r="L1970" s="18">
        <v>2113822.39</v>
      </c>
    </row>
    <row r="1971" spans="1:13" ht="15" thickBot="1" x14ac:dyDescent="0.35">
      <c r="A1971" s="14">
        <v>1964</v>
      </c>
      <c r="B1971" s="15">
        <v>45706</v>
      </c>
      <c r="C1971" s="15">
        <v>45706</v>
      </c>
      <c r="D1971" s="16" t="s">
        <v>1192</v>
      </c>
      <c r="E1971" s="16" t="s">
        <v>1193</v>
      </c>
      <c r="F1971" s="16" t="s">
        <v>2491</v>
      </c>
      <c r="G1971" s="16" t="s">
        <v>1197</v>
      </c>
      <c r="H1971" s="14" t="str">
        <f>"20250218/352468"</f>
        <v>20250218/352468</v>
      </c>
      <c r="I1971" s="19" t="str">
        <f t="shared" si="142"/>
        <v> </v>
      </c>
      <c r="J1971" s="18">
        <v>0</v>
      </c>
      <c r="K1971" s="18">
        <v>463404.19</v>
      </c>
      <c r="L1971" s="18">
        <v>1650418.2</v>
      </c>
    </row>
    <row r="1972" spans="1:13" ht="15" thickBot="1" x14ac:dyDescent="0.35">
      <c r="A1972" s="14">
        <v>1965</v>
      </c>
      <c r="B1972" s="15">
        <v>45706</v>
      </c>
      <c r="C1972" s="15">
        <v>45708</v>
      </c>
      <c r="D1972" s="16" t="s">
        <v>1192</v>
      </c>
      <c r="E1972" s="16" t="s">
        <v>1193</v>
      </c>
      <c r="F1972" s="16" t="s">
        <v>2493</v>
      </c>
      <c r="G1972" s="16" t="s">
        <v>1197</v>
      </c>
      <c r="H1972" s="14" t="str">
        <f>"20250218/180098"</f>
        <v>20250218/180098</v>
      </c>
      <c r="I1972" s="19" t="str">
        <f>"2502005547536"</f>
        <v>2502005547536</v>
      </c>
      <c r="J1972" s="18">
        <v>0</v>
      </c>
      <c r="K1972" s="18">
        <v>39010.29</v>
      </c>
      <c r="L1972" s="18">
        <v>1611407.91</v>
      </c>
    </row>
    <row r="1973" spans="1:13" ht="15" thickBot="1" x14ac:dyDescent="0.35">
      <c r="A1973" s="14">
        <v>1966</v>
      </c>
      <c r="B1973" s="15">
        <v>45707</v>
      </c>
      <c r="C1973" s="15">
        <v>45707</v>
      </c>
      <c r="D1973" s="16" t="s">
        <v>1192</v>
      </c>
      <c r="E1973" s="16" t="s">
        <v>1193</v>
      </c>
      <c r="F1973" s="16" t="s">
        <v>1194</v>
      </c>
      <c r="G1973" s="16" t="s">
        <v>1195</v>
      </c>
      <c r="H1973" s="14" t="str">
        <f>"20250219/12224"</f>
        <v>20250219/12224</v>
      </c>
      <c r="I1973" s="17" t="str">
        <f t="shared" ref="I1973:I2018" si="143">" "</f>
        <v> </v>
      </c>
      <c r="J1973" s="18">
        <v>0</v>
      </c>
      <c r="K1973" s="18">
        <v>283.58999999999997</v>
      </c>
      <c r="L1973" s="18">
        <v>1611124.32</v>
      </c>
      <c r="M1973" t="s">
        <v>2661</v>
      </c>
    </row>
    <row r="1974" spans="1:13" ht="15" thickBot="1" x14ac:dyDescent="0.35">
      <c r="A1974" s="14">
        <v>1967</v>
      </c>
      <c r="B1974" s="15">
        <v>45707</v>
      </c>
      <c r="C1974" s="15">
        <v>45707</v>
      </c>
      <c r="D1974" s="16" t="s">
        <v>1192</v>
      </c>
      <c r="E1974" s="16" t="s">
        <v>1193</v>
      </c>
      <c r="F1974" s="16" t="s">
        <v>2494</v>
      </c>
      <c r="G1974" s="16" t="s">
        <v>1197</v>
      </c>
      <c r="H1974" s="14" t="str">
        <f>"20250219/113261"</f>
        <v>20250219/113261</v>
      </c>
      <c r="I1974" s="19" t="str">
        <f t="shared" si="143"/>
        <v> </v>
      </c>
      <c r="J1974" s="18">
        <v>3909.09</v>
      </c>
      <c r="K1974" s="18">
        <v>0</v>
      </c>
      <c r="L1974" s="18">
        <v>1615033.41</v>
      </c>
    </row>
    <row r="1975" spans="1:13" ht="15" thickBot="1" x14ac:dyDescent="0.35">
      <c r="A1975" s="14">
        <v>1968</v>
      </c>
      <c r="B1975" s="15">
        <v>45707</v>
      </c>
      <c r="C1975" s="15">
        <v>45707</v>
      </c>
      <c r="D1975" s="16" t="s">
        <v>1192</v>
      </c>
      <c r="E1975" s="16" t="s">
        <v>1193</v>
      </c>
      <c r="F1975" s="16" t="s">
        <v>2495</v>
      </c>
      <c r="G1975" s="16" t="s">
        <v>1197</v>
      </c>
      <c r="H1975" s="14" t="str">
        <f>"20250219/113262"</f>
        <v>20250219/113262</v>
      </c>
      <c r="I1975" s="19" t="str">
        <f t="shared" si="143"/>
        <v> </v>
      </c>
      <c r="J1975" s="18">
        <v>375634.35</v>
      </c>
      <c r="K1975" s="18">
        <v>0</v>
      </c>
      <c r="L1975" s="18">
        <v>1990667.76</v>
      </c>
    </row>
    <row r="1976" spans="1:13" ht="15" thickBot="1" x14ac:dyDescent="0.35">
      <c r="A1976" s="14">
        <v>1969</v>
      </c>
      <c r="B1976" s="15">
        <v>45707</v>
      </c>
      <c r="C1976" s="15">
        <v>45707</v>
      </c>
      <c r="D1976" s="16" t="s">
        <v>1192</v>
      </c>
      <c r="E1976" s="16" t="s">
        <v>1193</v>
      </c>
      <c r="F1976" s="16" t="s">
        <v>2494</v>
      </c>
      <c r="G1976" s="16" t="s">
        <v>1197</v>
      </c>
      <c r="H1976" s="14" t="str">
        <f>"20250219/113263"</f>
        <v>20250219/113263</v>
      </c>
      <c r="I1976" s="19" t="str">
        <f t="shared" si="143"/>
        <v> </v>
      </c>
      <c r="J1976" s="18">
        <v>467610.87</v>
      </c>
      <c r="K1976" s="18">
        <v>0</v>
      </c>
      <c r="L1976" s="18">
        <v>2458278.63</v>
      </c>
    </row>
    <row r="1977" spans="1:13" ht="15" thickBot="1" x14ac:dyDescent="0.35">
      <c r="A1977" s="14">
        <v>1970</v>
      </c>
      <c r="B1977" s="15">
        <v>45707</v>
      </c>
      <c r="C1977" s="15">
        <v>45707</v>
      </c>
      <c r="D1977" s="16" t="s">
        <v>1192</v>
      </c>
      <c r="E1977" s="16" t="s">
        <v>1193</v>
      </c>
      <c r="F1977" s="16" t="s">
        <v>2496</v>
      </c>
      <c r="G1977" s="16" t="s">
        <v>1197</v>
      </c>
      <c r="H1977" s="14" t="str">
        <f>"20250219/21552"</f>
        <v>20250219/21552</v>
      </c>
      <c r="I1977" s="19" t="str">
        <f t="shared" si="143"/>
        <v> </v>
      </c>
      <c r="J1977" s="18">
        <v>283.58999999999997</v>
      </c>
      <c r="K1977" s="18">
        <v>0</v>
      </c>
      <c r="L1977" s="18">
        <v>2458562.2200000002</v>
      </c>
      <c r="M1977" t="s">
        <v>2658</v>
      </c>
    </row>
    <row r="1978" spans="1:13" ht="15" thickBot="1" x14ac:dyDescent="0.35">
      <c r="A1978" s="14">
        <v>1971</v>
      </c>
      <c r="B1978" s="15">
        <v>45707</v>
      </c>
      <c r="C1978" s="15">
        <v>45707</v>
      </c>
      <c r="D1978" s="16" t="s">
        <v>1192</v>
      </c>
      <c r="E1978" s="16" t="s">
        <v>1193</v>
      </c>
      <c r="F1978" s="16" t="s">
        <v>2497</v>
      </c>
      <c r="G1978" s="16" t="s">
        <v>1197</v>
      </c>
      <c r="H1978" s="14" t="str">
        <f>"20250219/245112"</f>
        <v>20250219/245112</v>
      </c>
      <c r="I1978" s="19" t="str">
        <f t="shared" si="143"/>
        <v> </v>
      </c>
      <c r="J1978" s="18">
        <v>0</v>
      </c>
      <c r="K1978" s="18">
        <v>3909.09</v>
      </c>
      <c r="L1978" s="18">
        <v>2454653.13</v>
      </c>
    </row>
    <row r="1979" spans="1:13" ht="15" thickBot="1" x14ac:dyDescent="0.35">
      <c r="A1979" s="14">
        <v>1972</v>
      </c>
      <c r="B1979" s="15">
        <v>45707</v>
      </c>
      <c r="C1979" s="15">
        <v>45707</v>
      </c>
      <c r="D1979" s="16" t="s">
        <v>1192</v>
      </c>
      <c r="E1979" s="16" t="s">
        <v>1193</v>
      </c>
      <c r="F1979" s="16" t="s">
        <v>2498</v>
      </c>
      <c r="G1979" s="16" t="s">
        <v>1197</v>
      </c>
      <c r="H1979" s="14" t="str">
        <f>"20250219/245113"</f>
        <v>20250219/245113</v>
      </c>
      <c r="I1979" s="19" t="str">
        <f t="shared" si="143"/>
        <v> </v>
      </c>
      <c r="J1979" s="18">
        <v>0</v>
      </c>
      <c r="K1979" s="18">
        <v>387755.8</v>
      </c>
      <c r="L1979" s="18">
        <v>2066897.33</v>
      </c>
    </row>
    <row r="1980" spans="1:13" ht="15" thickBot="1" x14ac:dyDescent="0.35">
      <c r="A1980" s="14">
        <v>1973</v>
      </c>
      <c r="B1980" s="15">
        <v>45707</v>
      </c>
      <c r="C1980" s="15">
        <v>45707</v>
      </c>
      <c r="D1980" s="16" t="s">
        <v>1192</v>
      </c>
      <c r="E1980" s="16" t="s">
        <v>1193</v>
      </c>
      <c r="F1980" s="16" t="s">
        <v>2497</v>
      </c>
      <c r="G1980" s="16" t="s">
        <v>1197</v>
      </c>
      <c r="H1980" s="14" t="str">
        <f>"20250219/245114"</f>
        <v>20250219/245114</v>
      </c>
      <c r="I1980" s="19" t="str">
        <f t="shared" si="143"/>
        <v> </v>
      </c>
      <c r="J1980" s="18">
        <v>0</v>
      </c>
      <c r="K1980" s="18">
        <v>462527.39</v>
      </c>
      <c r="L1980" s="18">
        <v>1604369.94</v>
      </c>
    </row>
    <row r="1981" spans="1:13" ht="15" thickBot="1" x14ac:dyDescent="0.35">
      <c r="A1981" s="14">
        <v>1974</v>
      </c>
      <c r="B1981" s="15">
        <v>45708</v>
      </c>
      <c r="C1981" s="15">
        <v>45708</v>
      </c>
      <c r="D1981" s="16" t="s">
        <v>1192</v>
      </c>
      <c r="E1981" s="16" t="s">
        <v>1193</v>
      </c>
      <c r="F1981" s="16" t="s">
        <v>1202</v>
      </c>
      <c r="G1981" s="16" t="s">
        <v>1203</v>
      </c>
      <c r="H1981" s="14" t="str">
        <f>"20250220/12739"</f>
        <v>20250220/12739</v>
      </c>
      <c r="I1981" s="17" t="str">
        <f t="shared" si="143"/>
        <v> </v>
      </c>
      <c r="J1981" s="18">
        <v>7037.97</v>
      </c>
      <c r="K1981" s="18">
        <v>0</v>
      </c>
      <c r="L1981" s="18">
        <v>1611407.91</v>
      </c>
      <c r="M1981" t="s">
        <v>2661</v>
      </c>
    </row>
    <row r="1982" spans="1:13" ht="15" thickBot="1" x14ac:dyDescent="0.35">
      <c r="A1982" s="14">
        <v>1975</v>
      </c>
      <c r="B1982" s="15">
        <v>45708</v>
      </c>
      <c r="C1982" s="15">
        <v>45708</v>
      </c>
      <c r="D1982" s="16" t="s">
        <v>1192</v>
      </c>
      <c r="E1982" s="16" t="s">
        <v>1193</v>
      </c>
      <c r="F1982" s="16" t="s">
        <v>1204</v>
      </c>
      <c r="G1982" s="16" t="s">
        <v>1203</v>
      </c>
      <c r="H1982" s="14" t="str">
        <f>"20250220/51975"</f>
        <v>20250220/51975</v>
      </c>
      <c r="I1982" s="17" t="str">
        <f t="shared" si="143"/>
        <v> </v>
      </c>
      <c r="J1982" s="18">
        <v>39010.29</v>
      </c>
      <c r="K1982" s="18">
        <v>0</v>
      </c>
      <c r="L1982" s="18">
        <v>1650418.2</v>
      </c>
      <c r="M1982" t="s">
        <v>2661</v>
      </c>
    </row>
    <row r="1983" spans="1:13" ht="15" thickBot="1" x14ac:dyDescent="0.35">
      <c r="A1983" s="14">
        <v>1976</v>
      </c>
      <c r="B1983" s="15">
        <v>45708</v>
      </c>
      <c r="C1983" s="15">
        <v>45708</v>
      </c>
      <c r="D1983" s="16" t="s">
        <v>1192</v>
      </c>
      <c r="E1983" s="16" t="s">
        <v>1193</v>
      </c>
      <c r="F1983" s="16" t="s">
        <v>1194</v>
      </c>
      <c r="G1983" s="16" t="s">
        <v>1195</v>
      </c>
      <c r="H1983" s="14" t="str">
        <f>"20250220/25861"</f>
        <v>20250220/25861</v>
      </c>
      <c r="I1983" s="17" t="str">
        <f t="shared" si="143"/>
        <v> </v>
      </c>
      <c r="J1983" s="18">
        <v>0</v>
      </c>
      <c r="K1983" s="18">
        <v>283.58999999999997</v>
      </c>
      <c r="L1983" s="18">
        <v>1650134.61</v>
      </c>
      <c r="M1983" t="s">
        <v>2661</v>
      </c>
    </row>
    <row r="1984" spans="1:13" ht="15" thickBot="1" x14ac:dyDescent="0.35">
      <c r="A1984" s="14">
        <v>1977</v>
      </c>
      <c r="B1984" s="15">
        <v>45708</v>
      </c>
      <c r="C1984" s="15">
        <v>45708</v>
      </c>
      <c r="D1984" s="16" t="s">
        <v>1192</v>
      </c>
      <c r="E1984" s="16" t="s">
        <v>1193</v>
      </c>
      <c r="F1984" s="16" t="s">
        <v>2499</v>
      </c>
      <c r="G1984" s="16" t="s">
        <v>1197</v>
      </c>
      <c r="H1984" s="14" t="str">
        <f>"20250220/202578"</f>
        <v>20250220/202578</v>
      </c>
      <c r="I1984" s="19" t="str">
        <f t="shared" si="143"/>
        <v> </v>
      </c>
      <c r="J1984" s="18">
        <v>283.58999999999997</v>
      </c>
      <c r="K1984" s="18">
        <v>0</v>
      </c>
      <c r="L1984" s="18">
        <v>1650418.2</v>
      </c>
      <c r="M1984" t="s">
        <v>2658</v>
      </c>
    </row>
    <row r="1985" spans="1:13" ht="15" thickBot="1" x14ac:dyDescent="0.35">
      <c r="A1985" s="14">
        <v>1978</v>
      </c>
      <c r="B1985" s="15">
        <v>45708</v>
      </c>
      <c r="C1985" s="15">
        <v>45708</v>
      </c>
      <c r="D1985" s="16" t="s">
        <v>1192</v>
      </c>
      <c r="E1985" s="16" t="s">
        <v>1193</v>
      </c>
      <c r="F1985" s="16" t="s">
        <v>2500</v>
      </c>
      <c r="G1985" s="16" t="s">
        <v>1197</v>
      </c>
      <c r="H1985" s="14" t="str">
        <f>"20250220/317446"</f>
        <v>20250220/317446</v>
      </c>
      <c r="I1985" s="19" t="str">
        <f t="shared" si="143"/>
        <v> </v>
      </c>
      <c r="J1985" s="18">
        <v>3909.09</v>
      </c>
      <c r="K1985" s="18">
        <v>0</v>
      </c>
      <c r="L1985" s="18">
        <v>1654327.29</v>
      </c>
    </row>
    <row r="1986" spans="1:13" ht="15" thickBot="1" x14ac:dyDescent="0.35">
      <c r="A1986" s="14">
        <v>1979</v>
      </c>
      <c r="B1986" s="15">
        <v>45708</v>
      </c>
      <c r="C1986" s="15">
        <v>45708</v>
      </c>
      <c r="D1986" s="16" t="s">
        <v>1192</v>
      </c>
      <c r="E1986" s="16" t="s">
        <v>1193</v>
      </c>
      <c r="F1986" s="16" t="s">
        <v>2501</v>
      </c>
      <c r="G1986" s="16" t="s">
        <v>1197</v>
      </c>
      <c r="H1986" s="14" t="str">
        <f>"20250220/317447"</f>
        <v>20250220/317447</v>
      </c>
      <c r="I1986" s="19" t="str">
        <f t="shared" si="143"/>
        <v> </v>
      </c>
      <c r="J1986" s="18">
        <v>338391.85</v>
      </c>
      <c r="K1986" s="18">
        <v>0</v>
      </c>
      <c r="L1986" s="18">
        <v>1992719.14</v>
      </c>
    </row>
    <row r="1987" spans="1:13" ht="15" thickBot="1" x14ac:dyDescent="0.35">
      <c r="A1987" s="14">
        <v>1980</v>
      </c>
      <c r="B1987" s="15">
        <v>45708</v>
      </c>
      <c r="C1987" s="15">
        <v>45708</v>
      </c>
      <c r="D1987" s="16" t="s">
        <v>1192</v>
      </c>
      <c r="E1987" s="16" t="s">
        <v>1193</v>
      </c>
      <c r="F1987" s="16" t="s">
        <v>2500</v>
      </c>
      <c r="G1987" s="16" t="s">
        <v>1197</v>
      </c>
      <c r="H1987" s="14" t="str">
        <f>"20250220/317448"</f>
        <v>20250220/317448</v>
      </c>
      <c r="I1987" s="19" t="str">
        <f t="shared" si="143"/>
        <v> </v>
      </c>
      <c r="J1987" s="18">
        <v>479355.48</v>
      </c>
      <c r="K1987" s="18">
        <v>0</v>
      </c>
      <c r="L1987" s="18">
        <v>2472074.62</v>
      </c>
    </row>
    <row r="1988" spans="1:13" ht="15" thickBot="1" x14ac:dyDescent="0.35">
      <c r="A1988" s="14">
        <v>1981</v>
      </c>
      <c r="B1988" s="15">
        <v>45708</v>
      </c>
      <c r="C1988" s="15">
        <v>45708</v>
      </c>
      <c r="D1988" s="16" t="s">
        <v>1192</v>
      </c>
      <c r="E1988" s="16" t="s">
        <v>1193</v>
      </c>
      <c r="F1988" s="16" t="s">
        <v>2502</v>
      </c>
      <c r="G1988" s="16" t="s">
        <v>1197</v>
      </c>
      <c r="H1988" s="14" t="str">
        <f>"20250220/378920"</f>
        <v>20250220/378920</v>
      </c>
      <c r="I1988" s="19" t="str">
        <f t="shared" si="143"/>
        <v> </v>
      </c>
      <c r="J1988" s="18">
        <v>0</v>
      </c>
      <c r="K1988" s="18">
        <v>3909.09</v>
      </c>
      <c r="L1988" s="18">
        <v>2468165.5299999998</v>
      </c>
    </row>
    <row r="1989" spans="1:13" ht="15" thickBot="1" x14ac:dyDescent="0.35">
      <c r="A1989" s="14">
        <v>1982</v>
      </c>
      <c r="B1989" s="15">
        <v>45708</v>
      </c>
      <c r="C1989" s="15">
        <v>45708</v>
      </c>
      <c r="D1989" s="16" t="s">
        <v>1192</v>
      </c>
      <c r="E1989" s="16" t="s">
        <v>1193</v>
      </c>
      <c r="F1989" s="16" t="s">
        <v>2503</v>
      </c>
      <c r="G1989" s="16" t="s">
        <v>1197</v>
      </c>
      <c r="H1989" s="14" t="str">
        <f>"20250220/378921"</f>
        <v>20250220/378921</v>
      </c>
      <c r="I1989" s="19" t="str">
        <f t="shared" si="143"/>
        <v> </v>
      </c>
      <c r="J1989" s="18">
        <v>0</v>
      </c>
      <c r="K1989" s="18">
        <v>375634.35</v>
      </c>
      <c r="L1989" s="18">
        <v>2092531.18</v>
      </c>
    </row>
    <row r="1990" spans="1:13" ht="15" thickBot="1" x14ac:dyDescent="0.35">
      <c r="A1990" s="14">
        <v>1983</v>
      </c>
      <c r="B1990" s="15">
        <v>45708</v>
      </c>
      <c r="C1990" s="15">
        <v>45708</v>
      </c>
      <c r="D1990" s="16" t="s">
        <v>1192</v>
      </c>
      <c r="E1990" s="16" t="s">
        <v>1193</v>
      </c>
      <c r="F1990" s="16" t="s">
        <v>2502</v>
      </c>
      <c r="G1990" s="16" t="s">
        <v>1197</v>
      </c>
      <c r="H1990" s="14" t="str">
        <f>"20250220/378922"</f>
        <v>20250220/378922</v>
      </c>
      <c r="I1990" s="19" t="str">
        <f t="shared" si="143"/>
        <v> </v>
      </c>
      <c r="J1990" s="18">
        <v>0</v>
      </c>
      <c r="K1990" s="18">
        <v>467610.87</v>
      </c>
      <c r="L1990" s="18">
        <v>1624920.31</v>
      </c>
    </row>
    <row r="1991" spans="1:13" ht="15" thickBot="1" x14ac:dyDescent="0.35">
      <c r="A1991" s="14">
        <v>1984</v>
      </c>
      <c r="B1991" s="15">
        <v>45709</v>
      </c>
      <c r="C1991" s="15">
        <v>45709</v>
      </c>
      <c r="D1991" s="16" t="s">
        <v>1192</v>
      </c>
      <c r="E1991" s="16" t="s">
        <v>1193</v>
      </c>
      <c r="F1991" s="16" t="s">
        <v>1202</v>
      </c>
      <c r="G1991" s="16" t="s">
        <v>1203</v>
      </c>
      <c r="H1991" s="14" t="str">
        <f>"20250221/12260"</f>
        <v>20250221/12260</v>
      </c>
      <c r="I1991" s="17" t="str">
        <f t="shared" si="143"/>
        <v> </v>
      </c>
      <c r="J1991" s="18">
        <v>25497.89</v>
      </c>
      <c r="K1991" s="18">
        <v>0</v>
      </c>
      <c r="L1991" s="18">
        <v>1650418.2</v>
      </c>
      <c r="M1991" t="s">
        <v>2661</v>
      </c>
    </row>
    <row r="1992" spans="1:13" ht="15" thickBot="1" x14ac:dyDescent="0.35">
      <c r="A1992" s="14">
        <v>1985</v>
      </c>
      <c r="B1992" s="15">
        <v>45709</v>
      </c>
      <c r="C1992" s="15">
        <v>45709</v>
      </c>
      <c r="D1992" s="16" t="s">
        <v>1192</v>
      </c>
      <c r="E1992" s="16" t="s">
        <v>1193</v>
      </c>
      <c r="F1992" s="16" t="s">
        <v>1194</v>
      </c>
      <c r="G1992" s="16" t="s">
        <v>1195</v>
      </c>
      <c r="H1992" s="14" t="str">
        <f>"20250221/5811"</f>
        <v>20250221/5811</v>
      </c>
      <c r="I1992" s="17" t="str">
        <f t="shared" si="143"/>
        <v> </v>
      </c>
      <c r="J1992" s="18">
        <v>0</v>
      </c>
      <c r="K1992" s="18">
        <v>286.08999999999997</v>
      </c>
      <c r="L1992" s="18">
        <v>1650132.11</v>
      </c>
      <c r="M1992" t="s">
        <v>2661</v>
      </c>
    </row>
    <row r="1993" spans="1:13" ht="15" thickBot="1" x14ac:dyDescent="0.35">
      <c r="A1993" s="14">
        <v>1986</v>
      </c>
      <c r="B1993" s="15">
        <v>45709</v>
      </c>
      <c r="C1993" s="15">
        <v>45709</v>
      </c>
      <c r="D1993" s="16" t="s">
        <v>1192</v>
      </c>
      <c r="E1993" s="16" t="s">
        <v>1193</v>
      </c>
      <c r="F1993" s="16" t="s">
        <v>2504</v>
      </c>
      <c r="G1993" s="16" t="s">
        <v>1197</v>
      </c>
      <c r="H1993" s="14" t="str">
        <f>"20250221/181421"</f>
        <v>20250221/181421</v>
      </c>
      <c r="I1993" s="19" t="str">
        <f t="shared" si="143"/>
        <v> </v>
      </c>
      <c r="J1993" s="18">
        <v>3909.09</v>
      </c>
      <c r="K1993" s="18">
        <v>0</v>
      </c>
      <c r="L1993" s="18">
        <v>1654041.2</v>
      </c>
    </row>
    <row r="1994" spans="1:13" ht="15" thickBot="1" x14ac:dyDescent="0.35">
      <c r="A1994" s="14">
        <v>1987</v>
      </c>
      <c r="B1994" s="15">
        <v>45709</v>
      </c>
      <c r="C1994" s="15">
        <v>45709</v>
      </c>
      <c r="D1994" s="16" t="s">
        <v>1192</v>
      </c>
      <c r="E1994" s="16" t="s">
        <v>1193</v>
      </c>
      <c r="F1994" s="16" t="s">
        <v>2505</v>
      </c>
      <c r="G1994" s="16" t="s">
        <v>1197</v>
      </c>
      <c r="H1994" s="14" t="str">
        <f>"20250221/181422"</f>
        <v>20250221/181422</v>
      </c>
      <c r="I1994" s="19" t="str">
        <f t="shared" si="143"/>
        <v> </v>
      </c>
      <c r="J1994" s="18">
        <v>325547.05</v>
      </c>
      <c r="K1994" s="18">
        <v>0</v>
      </c>
      <c r="L1994" s="18">
        <v>1979588.25</v>
      </c>
    </row>
    <row r="1995" spans="1:13" ht="15" thickBot="1" x14ac:dyDescent="0.35">
      <c r="A1995" s="14">
        <v>1988</v>
      </c>
      <c r="B1995" s="15">
        <v>45709</v>
      </c>
      <c r="C1995" s="15">
        <v>45709</v>
      </c>
      <c r="D1995" s="16" t="s">
        <v>1192</v>
      </c>
      <c r="E1995" s="16" t="s">
        <v>1193</v>
      </c>
      <c r="F1995" s="16" t="s">
        <v>2504</v>
      </c>
      <c r="G1995" s="16" t="s">
        <v>1197</v>
      </c>
      <c r="H1995" s="14" t="str">
        <f>"20250221/181423"</f>
        <v>20250221/181423</v>
      </c>
      <c r="I1995" s="19" t="str">
        <f t="shared" si="143"/>
        <v> </v>
      </c>
      <c r="J1995" s="18">
        <v>483085.86</v>
      </c>
      <c r="K1995" s="18">
        <v>0</v>
      </c>
      <c r="L1995" s="18">
        <v>2462674.11</v>
      </c>
    </row>
    <row r="1996" spans="1:13" ht="15" thickBot="1" x14ac:dyDescent="0.35">
      <c r="A1996" s="14">
        <v>1989</v>
      </c>
      <c r="B1996" s="15">
        <v>45709</v>
      </c>
      <c r="C1996" s="15">
        <v>45709</v>
      </c>
      <c r="D1996" s="16" t="s">
        <v>1192</v>
      </c>
      <c r="E1996" s="16" t="s">
        <v>1193</v>
      </c>
      <c r="F1996" s="16" t="s">
        <v>2506</v>
      </c>
      <c r="G1996" s="16" t="s">
        <v>1197</v>
      </c>
      <c r="H1996" s="14" t="str">
        <f>"20250221/307843"</f>
        <v>20250221/307843</v>
      </c>
      <c r="I1996" s="19" t="str">
        <f t="shared" si="143"/>
        <v> </v>
      </c>
      <c r="J1996" s="18">
        <v>0</v>
      </c>
      <c r="K1996" s="18">
        <v>3909.09</v>
      </c>
      <c r="L1996" s="18">
        <v>2458765.02</v>
      </c>
    </row>
    <row r="1997" spans="1:13" ht="15" thickBot="1" x14ac:dyDescent="0.35">
      <c r="A1997" s="14">
        <v>1990</v>
      </c>
      <c r="B1997" s="15">
        <v>45709</v>
      </c>
      <c r="C1997" s="15">
        <v>45709</v>
      </c>
      <c r="D1997" s="16" t="s">
        <v>1192</v>
      </c>
      <c r="E1997" s="16" t="s">
        <v>1193</v>
      </c>
      <c r="F1997" s="16" t="s">
        <v>2507</v>
      </c>
      <c r="G1997" s="16" t="s">
        <v>1197</v>
      </c>
      <c r="H1997" s="14" t="str">
        <f>"20250221/307844"</f>
        <v>20250221/307844</v>
      </c>
      <c r="I1997" s="19" t="str">
        <f t="shared" si="143"/>
        <v> </v>
      </c>
      <c r="J1997" s="18">
        <v>0</v>
      </c>
      <c r="K1997" s="18">
        <v>338391.85</v>
      </c>
      <c r="L1997" s="18">
        <v>2120373.17</v>
      </c>
    </row>
    <row r="1998" spans="1:13" ht="15" thickBot="1" x14ac:dyDescent="0.35">
      <c r="A1998" s="14">
        <v>1991</v>
      </c>
      <c r="B1998" s="15">
        <v>45709</v>
      </c>
      <c r="C1998" s="15">
        <v>45709</v>
      </c>
      <c r="D1998" s="16" t="s">
        <v>1192</v>
      </c>
      <c r="E1998" s="16" t="s">
        <v>1193</v>
      </c>
      <c r="F1998" s="16" t="s">
        <v>2506</v>
      </c>
      <c r="G1998" s="16" t="s">
        <v>1197</v>
      </c>
      <c r="H1998" s="14" t="str">
        <f>"20250221/307845"</f>
        <v>20250221/307845</v>
      </c>
      <c r="I1998" s="19" t="str">
        <f t="shared" si="143"/>
        <v> </v>
      </c>
      <c r="J1998" s="18">
        <v>0</v>
      </c>
      <c r="K1998" s="18">
        <v>479355.48</v>
      </c>
      <c r="L1998" s="18">
        <v>1641017.69</v>
      </c>
    </row>
    <row r="1999" spans="1:13" ht="15" thickBot="1" x14ac:dyDescent="0.35">
      <c r="A1999" s="14">
        <v>1992</v>
      </c>
      <c r="B1999" s="15">
        <v>45709</v>
      </c>
      <c r="C1999" s="15">
        <v>45709</v>
      </c>
      <c r="D1999" s="16" t="s">
        <v>1192</v>
      </c>
      <c r="E1999" s="16" t="s">
        <v>1193</v>
      </c>
      <c r="F1999" s="16" t="s">
        <v>2508</v>
      </c>
      <c r="G1999" s="16" t="s">
        <v>1197</v>
      </c>
      <c r="H1999" s="14" t="str">
        <f>"20250221/82098"</f>
        <v>20250221/82098</v>
      </c>
      <c r="I1999" s="19" t="str">
        <f t="shared" si="143"/>
        <v> </v>
      </c>
      <c r="J1999" s="18">
        <v>286.08999999999997</v>
      </c>
      <c r="K1999" s="18">
        <v>0</v>
      </c>
      <c r="L1999" s="18">
        <v>1641303.78</v>
      </c>
      <c r="M1999" t="s">
        <v>2658</v>
      </c>
    </row>
    <row r="2000" spans="1:13" ht="15" thickBot="1" x14ac:dyDescent="0.35">
      <c r="A2000" s="14">
        <v>1993</v>
      </c>
      <c r="B2000" s="15">
        <v>45712</v>
      </c>
      <c r="C2000" s="15">
        <v>45712</v>
      </c>
      <c r="D2000" s="16" t="s">
        <v>1192</v>
      </c>
      <c r="E2000" s="16" t="s">
        <v>1193</v>
      </c>
      <c r="F2000" s="16" t="s">
        <v>1202</v>
      </c>
      <c r="G2000" s="16" t="s">
        <v>1203</v>
      </c>
      <c r="H2000" s="14" t="str">
        <f>"20250224/3318"</f>
        <v>20250224/3318</v>
      </c>
      <c r="I2000" s="17" t="str">
        <f t="shared" si="143"/>
        <v> </v>
      </c>
      <c r="J2000" s="18">
        <v>9114.42</v>
      </c>
      <c r="K2000" s="18">
        <v>0</v>
      </c>
      <c r="L2000" s="18">
        <v>1650418.2</v>
      </c>
      <c r="M2000" t="s">
        <v>2661</v>
      </c>
    </row>
    <row r="2001" spans="1:13" ht="15" thickBot="1" x14ac:dyDescent="0.35">
      <c r="A2001" s="14">
        <v>1994</v>
      </c>
      <c r="B2001" s="15">
        <v>45712</v>
      </c>
      <c r="C2001" s="15">
        <v>45712</v>
      </c>
      <c r="D2001" s="16" t="s">
        <v>1192</v>
      </c>
      <c r="E2001" s="16" t="s">
        <v>1193</v>
      </c>
      <c r="F2001" s="16" t="s">
        <v>1194</v>
      </c>
      <c r="G2001" s="16" t="s">
        <v>1195</v>
      </c>
      <c r="H2001" s="14" t="str">
        <f>"20250224/113350"</f>
        <v>20250224/113350</v>
      </c>
      <c r="I2001" s="17" t="str">
        <f t="shared" si="143"/>
        <v> </v>
      </c>
      <c r="J2001" s="18">
        <v>0</v>
      </c>
      <c r="K2001" s="18">
        <v>12915.07</v>
      </c>
      <c r="L2001" s="18">
        <v>1637503.13</v>
      </c>
      <c r="M2001" t="s">
        <v>2661</v>
      </c>
    </row>
    <row r="2002" spans="1:13" ht="15" thickBot="1" x14ac:dyDescent="0.35">
      <c r="A2002" s="14">
        <v>1995</v>
      </c>
      <c r="B2002" s="15">
        <v>45712</v>
      </c>
      <c r="C2002" s="15">
        <v>45712</v>
      </c>
      <c r="D2002" s="16" t="s">
        <v>1192</v>
      </c>
      <c r="E2002" s="16" t="s">
        <v>1193</v>
      </c>
      <c r="F2002" s="16" t="s">
        <v>1194</v>
      </c>
      <c r="G2002" s="16" t="s">
        <v>1195</v>
      </c>
      <c r="H2002" s="14" t="str">
        <f>"20250224/40235"</f>
        <v>20250224/40235</v>
      </c>
      <c r="I2002" s="17" t="str">
        <f t="shared" si="143"/>
        <v> </v>
      </c>
      <c r="J2002" s="18">
        <v>0</v>
      </c>
      <c r="K2002" s="18">
        <v>885.54</v>
      </c>
      <c r="L2002" s="18">
        <v>1636617.59</v>
      </c>
      <c r="M2002" t="s">
        <v>2661</v>
      </c>
    </row>
    <row r="2003" spans="1:13" ht="15" thickBot="1" x14ac:dyDescent="0.35">
      <c r="A2003" s="14">
        <v>1996</v>
      </c>
      <c r="B2003" s="15">
        <v>45712</v>
      </c>
      <c r="C2003" s="15">
        <v>45712</v>
      </c>
      <c r="D2003" s="16" t="s">
        <v>1192</v>
      </c>
      <c r="E2003" s="16" t="s">
        <v>1193</v>
      </c>
      <c r="F2003" s="16" t="s">
        <v>2509</v>
      </c>
      <c r="G2003" s="16" t="s">
        <v>1197</v>
      </c>
      <c r="H2003" s="14" t="str">
        <f>"20250224/230225"</f>
        <v>20250224/230225</v>
      </c>
      <c r="I2003" s="19" t="str">
        <f t="shared" si="143"/>
        <v> </v>
      </c>
      <c r="J2003" s="18">
        <v>3909.09</v>
      </c>
      <c r="K2003" s="18">
        <v>0</v>
      </c>
      <c r="L2003" s="18">
        <v>1640526.68</v>
      </c>
    </row>
    <row r="2004" spans="1:13" ht="15" thickBot="1" x14ac:dyDescent="0.35">
      <c r="A2004" s="14">
        <v>1997</v>
      </c>
      <c r="B2004" s="15">
        <v>45712</v>
      </c>
      <c r="C2004" s="15">
        <v>45712</v>
      </c>
      <c r="D2004" s="16" t="s">
        <v>1192</v>
      </c>
      <c r="E2004" s="16" t="s">
        <v>1193</v>
      </c>
      <c r="F2004" s="16" t="s">
        <v>2510</v>
      </c>
      <c r="G2004" s="16" t="s">
        <v>1197</v>
      </c>
      <c r="H2004" s="14" t="str">
        <f>"20250224/230226"</f>
        <v>20250224/230226</v>
      </c>
      <c r="I2004" s="19" t="str">
        <f t="shared" si="143"/>
        <v> </v>
      </c>
      <c r="J2004" s="18">
        <v>347289.9</v>
      </c>
      <c r="K2004" s="18">
        <v>0</v>
      </c>
      <c r="L2004" s="18">
        <v>1987816.58</v>
      </c>
    </row>
    <row r="2005" spans="1:13" ht="15" thickBot="1" x14ac:dyDescent="0.35">
      <c r="A2005" s="14">
        <v>1998</v>
      </c>
      <c r="B2005" s="15">
        <v>45712</v>
      </c>
      <c r="C2005" s="15">
        <v>45712</v>
      </c>
      <c r="D2005" s="16" t="s">
        <v>1192</v>
      </c>
      <c r="E2005" s="16" t="s">
        <v>1193</v>
      </c>
      <c r="F2005" s="16" t="s">
        <v>2509</v>
      </c>
      <c r="G2005" s="16" t="s">
        <v>1197</v>
      </c>
      <c r="H2005" s="14" t="str">
        <f>"20250224/230227"</f>
        <v>20250224/230227</v>
      </c>
      <c r="I2005" s="19" t="str">
        <f t="shared" si="143"/>
        <v> </v>
      </c>
      <c r="J2005" s="18">
        <v>474258.08</v>
      </c>
      <c r="K2005" s="18">
        <v>0</v>
      </c>
      <c r="L2005" s="18">
        <v>2462074.66</v>
      </c>
    </row>
    <row r="2006" spans="1:13" ht="15" thickBot="1" x14ac:dyDescent="0.35">
      <c r="A2006" s="14">
        <v>1999</v>
      </c>
      <c r="B2006" s="15">
        <v>45712</v>
      </c>
      <c r="C2006" s="15">
        <v>45712</v>
      </c>
      <c r="D2006" s="16" t="s">
        <v>1192</v>
      </c>
      <c r="E2006" s="16" t="s">
        <v>1193</v>
      </c>
      <c r="F2006" s="16" t="s">
        <v>2511</v>
      </c>
      <c r="G2006" s="16" t="s">
        <v>1197</v>
      </c>
      <c r="H2006" s="14" t="str">
        <f>"20250224/290050"</f>
        <v>20250224/290050</v>
      </c>
      <c r="I2006" s="19" t="str">
        <f t="shared" si="143"/>
        <v> </v>
      </c>
      <c r="J2006" s="18">
        <v>0</v>
      </c>
      <c r="K2006" s="18">
        <v>3909.09</v>
      </c>
      <c r="L2006" s="18">
        <v>2458165.5699999998</v>
      </c>
    </row>
    <row r="2007" spans="1:13" ht="15" thickBot="1" x14ac:dyDescent="0.35">
      <c r="A2007" s="14">
        <v>2000</v>
      </c>
      <c r="B2007" s="15">
        <v>45712</v>
      </c>
      <c r="C2007" s="15">
        <v>45712</v>
      </c>
      <c r="D2007" s="16" t="s">
        <v>1192</v>
      </c>
      <c r="E2007" s="16" t="s">
        <v>1193</v>
      </c>
      <c r="F2007" s="16" t="s">
        <v>2512</v>
      </c>
      <c r="G2007" s="16" t="s">
        <v>1197</v>
      </c>
      <c r="H2007" s="14" t="str">
        <f>"20250224/290051"</f>
        <v>20250224/290051</v>
      </c>
      <c r="I2007" s="19" t="str">
        <f t="shared" si="143"/>
        <v> </v>
      </c>
      <c r="J2007" s="18">
        <v>0</v>
      </c>
      <c r="K2007" s="18">
        <v>325547.05</v>
      </c>
      <c r="L2007" s="18">
        <v>2132618.52</v>
      </c>
    </row>
    <row r="2008" spans="1:13" ht="15" thickBot="1" x14ac:dyDescent="0.35">
      <c r="A2008" s="14">
        <v>2001</v>
      </c>
      <c r="B2008" s="15">
        <v>45712</v>
      </c>
      <c r="C2008" s="15">
        <v>45712</v>
      </c>
      <c r="D2008" s="16" t="s">
        <v>1192</v>
      </c>
      <c r="E2008" s="16" t="s">
        <v>1193</v>
      </c>
      <c r="F2008" s="16" t="s">
        <v>2511</v>
      </c>
      <c r="G2008" s="16" t="s">
        <v>1197</v>
      </c>
      <c r="H2008" s="14" t="str">
        <f>"20250224/290052"</f>
        <v>20250224/290052</v>
      </c>
      <c r="I2008" s="19" t="str">
        <f t="shared" si="143"/>
        <v> </v>
      </c>
      <c r="J2008" s="18">
        <v>0</v>
      </c>
      <c r="K2008" s="18">
        <v>483085.86</v>
      </c>
      <c r="L2008" s="18">
        <v>1649532.66</v>
      </c>
    </row>
    <row r="2009" spans="1:13" ht="15" thickBot="1" x14ac:dyDescent="0.35">
      <c r="A2009" s="14">
        <v>2002</v>
      </c>
      <c r="B2009" s="15">
        <v>45712</v>
      </c>
      <c r="C2009" s="15">
        <v>45712</v>
      </c>
      <c r="D2009" s="16" t="s">
        <v>1192</v>
      </c>
      <c r="E2009" s="16" t="s">
        <v>1193</v>
      </c>
      <c r="F2009" s="16" t="s">
        <v>2513</v>
      </c>
      <c r="G2009" s="16" t="s">
        <v>1197</v>
      </c>
      <c r="H2009" s="14" t="str">
        <f>"20250224/84504"</f>
        <v>20250224/84504</v>
      </c>
      <c r="I2009" s="19" t="str">
        <f t="shared" si="143"/>
        <v> </v>
      </c>
      <c r="J2009" s="18">
        <v>885.54</v>
      </c>
      <c r="K2009" s="18">
        <v>0</v>
      </c>
      <c r="L2009" s="18">
        <v>1650418.2</v>
      </c>
      <c r="M2009" t="s">
        <v>2658</v>
      </c>
    </row>
    <row r="2010" spans="1:13" ht="15" thickBot="1" x14ac:dyDescent="0.35">
      <c r="A2010" s="14">
        <v>2003</v>
      </c>
      <c r="B2010" s="15">
        <v>45713</v>
      </c>
      <c r="C2010" s="15">
        <v>45713</v>
      </c>
      <c r="D2010" s="16" t="s">
        <v>1192</v>
      </c>
      <c r="E2010" s="16" t="s">
        <v>1193</v>
      </c>
      <c r="F2010" s="16" t="s">
        <v>1194</v>
      </c>
      <c r="G2010" s="16" t="s">
        <v>1195</v>
      </c>
      <c r="H2010" s="14" t="str">
        <f>"20250225/34720"</f>
        <v>20250225/34720</v>
      </c>
      <c r="I2010" s="17" t="str">
        <f t="shared" si="143"/>
        <v> </v>
      </c>
      <c r="J2010" s="18">
        <v>0</v>
      </c>
      <c r="K2010" s="18">
        <v>293.82</v>
      </c>
      <c r="L2010" s="18">
        <v>1650124.38</v>
      </c>
      <c r="M2010" t="s">
        <v>2661</v>
      </c>
    </row>
    <row r="2011" spans="1:13" ht="15" thickBot="1" x14ac:dyDescent="0.35">
      <c r="A2011" s="14">
        <v>2004</v>
      </c>
      <c r="B2011" s="15">
        <v>45713</v>
      </c>
      <c r="C2011" s="15">
        <v>45713</v>
      </c>
      <c r="D2011" s="16" t="s">
        <v>1192</v>
      </c>
      <c r="E2011" s="16" t="s">
        <v>1193</v>
      </c>
      <c r="F2011" s="16" t="s">
        <v>1194</v>
      </c>
      <c r="G2011" s="16" t="s">
        <v>1195</v>
      </c>
      <c r="H2011" s="14" t="str">
        <f>"20250225/84081"</f>
        <v>20250225/84081</v>
      </c>
      <c r="I2011" s="17" t="str">
        <f t="shared" si="143"/>
        <v> </v>
      </c>
      <c r="J2011" s="18">
        <v>0</v>
      </c>
      <c r="K2011" s="18">
        <v>9616.15</v>
      </c>
      <c r="L2011" s="18">
        <v>1640508.23</v>
      </c>
      <c r="M2011" t="s">
        <v>2661</v>
      </c>
    </row>
    <row r="2012" spans="1:13" ht="15" thickBot="1" x14ac:dyDescent="0.35">
      <c r="A2012" s="14">
        <v>2005</v>
      </c>
      <c r="B2012" s="15">
        <v>45713</v>
      </c>
      <c r="C2012" s="15">
        <v>45713</v>
      </c>
      <c r="D2012" s="16" t="s">
        <v>1192</v>
      </c>
      <c r="E2012" s="16" t="s">
        <v>1193</v>
      </c>
      <c r="F2012" s="16" t="s">
        <v>2514</v>
      </c>
      <c r="G2012" s="16" t="s">
        <v>1197</v>
      </c>
      <c r="H2012" s="14" t="str">
        <f>"20250225/212921"</f>
        <v>20250225/212921</v>
      </c>
      <c r="I2012" s="19" t="str">
        <f t="shared" si="143"/>
        <v> </v>
      </c>
      <c r="J2012" s="18">
        <v>3909.09</v>
      </c>
      <c r="K2012" s="18">
        <v>0</v>
      </c>
      <c r="L2012" s="18">
        <v>1644417.32</v>
      </c>
    </row>
    <row r="2013" spans="1:13" ht="15" thickBot="1" x14ac:dyDescent="0.35">
      <c r="A2013" s="14">
        <v>2006</v>
      </c>
      <c r="B2013" s="15">
        <v>45713</v>
      </c>
      <c r="C2013" s="15">
        <v>45713</v>
      </c>
      <c r="D2013" s="16" t="s">
        <v>1192</v>
      </c>
      <c r="E2013" s="16" t="s">
        <v>1193</v>
      </c>
      <c r="F2013" s="16" t="s">
        <v>2515</v>
      </c>
      <c r="G2013" s="16" t="s">
        <v>1197</v>
      </c>
      <c r="H2013" s="14" t="str">
        <f>"20250225/212922"</f>
        <v>20250225/212922</v>
      </c>
      <c r="I2013" s="19" t="str">
        <f t="shared" si="143"/>
        <v> </v>
      </c>
      <c r="J2013" s="18">
        <v>357527.75</v>
      </c>
      <c r="K2013" s="18">
        <v>0</v>
      </c>
      <c r="L2013" s="18">
        <v>2001945.07</v>
      </c>
    </row>
    <row r="2014" spans="1:13" ht="15" thickBot="1" x14ac:dyDescent="0.35">
      <c r="A2014" s="14">
        <v>2007</v>
      </c>
      <c r="B2014" s="15">
        <v>45713</v>
      </c>
      <c r="C2014" s="15">
        <v>45713</v>
      </c>
      <c r="D2014" s="16" t="s">
        <v>1192</v>
      </c>
      <c r="E2014" s="16" t="s">
        <v>1193</v>
      </c>
      <c r="F2014" s="16" t="s">
        <v>2514</v>
      </c>
      <c r="G2014" s="16" t="s">
        <v>1197</v>
      </c>
      <c r="H2014" s="14" t="str">
        <f>"20250225/212923"</f>
        <v>20250225/212923</v>
      </c>
      <c r="I2014" s="19" t="str">
        <f t="shared" si="143"/>
        <v> </v>
      </c>
      <c r="J2014" s="18">
        <v>473636.38</v>
      </c>
      <c r="K2014" s="18">
        <v>0</v>
      </c>
      <c r="L2014" s="18">
        <v>2475581.4500000002</v>
      </c>
    </row>
    <row r="2015" spans="1:13" ht="15" thickBot="1" x14ac:dyDescent="0.35">
      <c r="A2015" s="14">
        <v>2008</v>
      </c>
      <c r="B2015" s="15">
        <v>45713</v>
      </c>
      <c r="C2015" s="15">
        <v>45713</v>
      </c>
      <c r="D2015" s="16" t="s">
        <v>1192</v>
      </c>
      <c r="E2015" s="16" t="s">
        <v>1193</v>
      </c>
      <c r="F2015" s="16" t="s">
        <v>2516</v>
      </c>
      <c r="G2015" s="16" t="s">
        <v>1197</v>
      </c>
      <c r="H2015" s="14" t="str">
        <f>"20250225/268292"</f>
        <v>20250225/268292</v>
      </c>
      <c r="I2015" s="19" t="str">
        <f t="shared" si="143"/>
        <v> </v>
      </c>
      <c r="J2015" s="18">
        <v>0</v>
      </c>
      <c r="K2015" s="18">
        <v>3909.09</v>
      </c>
      <c r="L2015" s="18">
        <v>2471672.36</v>
      </c>
    </row>
    <row r="2016" spans="1:13" ht="15" thickBot="1" x14ac:dyDescent="0.35">
      <c r="A2016" s="14">
        <v>2009</v>
      </c>
      <c r="B2016" s="15">
        <v>45713</v>
      </c>
      <c r="C2016" s="15">
        <v>45713</v>
      </c>
      <c r="D2016" s="16" t="s">
        <v>1192</v>
      </c>
      <c r="E2016" s="16" t="s">
        <v>1193</v>
      </c>
      <c r="F2016" s="16" t="s">
        <v>2517</v>
      </c>
      <c r="G2016" s="16" t="s">
        <v>1197</v>
      </c>
      <c r="H2016" s="14" t="str">
        <f>"20250225/268293"</f>
        <v>20250225/268293</v>
      </c>
      <c r="I2016" s="19" t="str">
        <f t="shared" si="143"/>
        <v> </v>
      </c>
      <c r="J2016" s="18">
        <v>0</v>
      </c>
      <c r="K2016" s="18">
        <v>347289.9</v>
      </c>
      <c r="L2016" s="18">
        <v>2124382.46</v>
      </c>
    </row>
    <row r="2017" spans="1:13" ht="15" thickBot="1" x14ac:dyDescent="0.35">
      <c r="A2017" s="14">
        <v>2010</v>
      </c>
      <c r="B2017" s="15">
        <v>45713</v>
      </c>
      <c r="C2017" s="15">
        <v>45713</v>
      </c>
      <c r="D2017" s="16" t="s">
        <v>1192</v>
      </c>
      <c r="E2017" s="16" t="s">
        <v>1193</v>
      </c>
      <c r="F2017" s="16" t="s">
        <v>2516</v>
      </c>
      <c r="G2017" s="16" t="s">
        <v>1197</v>
      </c>
      <c r="H2017" s="14" t="str">
        <f>"20250225/268294"</f>
        <v>20250225/268294</v>
      </c>
      <c r="I2017" s="19" t="str">
        <f t="shared" si="143"/>
        <v> </v>
      </c>
      <c r="J2017" s="18">
        <v>0</v>
      </c>
      <c r="K2017" s="18">
        <v>474258.08</v>
      </c>
      <c r="L2017" s="18">
        <v>1650124.38</v>
      </c>
    </row>
    <row r="2018" spans="1:13" ht="15" thickBot="1" x14ac:dyDescent="0.35">
      <c r="A2018" s="14">
        <v>2011</v>
      </c>
      <c r="B2018" s="15">
        <v>45713</v>
      </c>
      <c r="C2018" s="15">
        <v>45713</v>
      </c>
      <c r="D2018" s="16" t="s">
        <v>1192</v>
      </c>
      <c r="E2018" s="16" t="s">
        <v>1193</v>
      </c>
      <c r="F2018" s="16" t="s">
        <v>2518</v>
      </c>
      <c r="G2018" s="16" t="s">
        <v>1197</v>
      </c>
      <c r="H2018" s="14" t="str">
        <f>"20250225/81237"</f>
        <v>20250225/81237</v>
      </c>
      <c r="I2018" s="19" t="str">
        <f t="shared" si="143"/>
        <v> </v>
      </c>
      <c r="J2018" s="18">
        <v>293.82</v>
      </c>
      <c r="K2018" s="18">
        <v>0</v>
      </c>
      <c r="L2018" s="18">
        <v>1650418.2</v>
      </c>
      <c r="M2018" t="s">
        <v>2658</v>
      </c>
    </row>
    <row r="2019" spans="1:13" ht="15" thickBot="1" x14ac:dyDescent="0.35">
      <c r="A2019" s="14">
        <v>2012</v>
      </c>
      <c r="B2019" s="15">
        <v>45713</v>
      </c>
      <c r="C2019" s="15">
        <v>45715</v>
      </c>
      <c r="D2019" s="16" t="s">
        <v>1192</v>
      </c>
      <c r="E2019" s="16" t="s">
        <v>1193</v>
      </c>
      <c r="F2019" s="16" t="s">
        <v>2519</v>
      </c>
      <c r="G2019" s="16" t="s">
        <v>1197</v>
      </c>
      <c r="H2019" s="14" t="str">
        <f>"20250225/130985"</f>
        <v>20250225/130985</v>
      </c>
      <c r="I2019" s="19" t="str">
        <f>"2502007571366"</f>
        <v>2502007571366</v>
      </c>
      <c r="J2019" s="18">
        <v>10893.9</v>
      </c>
      <c r="K2019" s="18">
        <v>0</v>
      </c>
      <c r="L2019" s="18">
        <v>1661312.1</v>
      </c>
    </row>
    <row r="2020" spans="1:13" ht="15" thickBot="1" x14ac:dyDescent="0.35">
      <c r="A2020" s="14">
        <v>2013</v>
      </c>
      <c r="B2020" s="15">
        <v>45715</v>
      </c>
      <c r="C2020" s="15">
        <v>45715</v>
      </c>
      <c r="D2020" s="16" t="s">
        <v>1192</v>
      </c>
      <c r="E2020" s="16" t="s">
        <v>1193</v>
      </c>
      <c r="F2020" s="16" t="s">
        <v>1194</v>
      </c>
      <c r="G2020" s="16" t="s">
        <v>1195</v>
      </c>
      <c r="H2020" s="14" t="str">
        <f>"20250227/39055"</f>
        <v>20250227/39055</v>
      </c>
      <c r="I2020" s="17" t="str">
        <f t="shared" ref="I2020:I2073" si="144">" "</f>
        <v> </v>
      </c>
      <c r="J2020" s="18">
        <v>0</v>
      </c>
      <c r="K2020" s="18">
        <v>580.79999999999995</v>
      </c>
      <c r="L2020" s="18">
        <v>1660731.3</v>
      </c>
      <c r="M2020" t="s">
        <v>2661</v>
      </c>
    </row>
    <row r="2021" spans="1:13" ht="15" thickBot="1" x14ac:dyDescent="0.35">
      <c r="A2021" s="14">
        <v>2014</v>
      </c>
      <c r="B2021" s="15">
        <v>45715</v>
      </c>
      <c r="C2021" s="15">
        <v>45715</v>
      </c>
      <c r="D2021" s="16" t="s">
        <v>1192</v>
      </c>
      <c r="E2021" s="16" t="s">
        <v>1193</v>
      </c>
      <c r="F2021" s="16" t="s">
        <v>1194</v>
      </c>
      <c r="G2021" s="16" t="s">
        <v>1195</v>
      </c>
      <c r="H2021" s="14" t="str">
        <f>"20250227/98763"</f>
        <v>20250227/98763</v>
      </c>
      <c r="I2021" s="17" t="str">
        <f t="shared" si="144"/>
        <v> </v>
      </c>
      <c r="J2021" s="18">
        <v>0</v>
      </c>
      <c r="K2021" s="18">
        <v>35481.760000000002</v>
      </c>
      <c r="L2021" s="18">
        <v>1625249.54</v>
      </c>
      <c r="M2021" t="s">
        <v>2661</v>
      </c>
    </row>
    <row r="2022" spans="1:13" ht="15" thickBot="1" x14ac:dyDescent="0.35">
      <c r="A2022" s="14">
        <v>2015</v>
      </c>
      <c r="B2022" s="15">
        <v>45715</v>
      </c>
      <c r="C2022" s="15">
        <v>45715</v>
      </c>
      <c r="D2022" s="16" t="s">
        <v>1192</v>
      </c>
      <c r="E2022" s="16" t="s">
        <v>1193</v>
      </c>
      <c r="F2022" s="16" t="s">
        <v>2520</v>
      </c>
      <c r="G2022" s="16" t="s">
        <v>1197</v>
      </c>
      <c r="H2022" s="14" t="str">
        <f>"20250227/197877"</f>
        <v>20250227/197877</v>
      </c>
      <c r="I2022" s="19" t="str">
        <f t="shared" si="144"/>
        <v> </v>
      </c>
      <c r="J2022" s="18">
        <v>3909.09</v>
      </c>
      <c r="K2022" s="18">
        <v>0</v>
      </c>
      <c r="L2022" s="18">
        <v>1629158.63</v>
      </c>
    </row>
    <row r="2023" spans="1:13" ht="15" thickBot="1" x14ac:dyDescent="0.35">
      <c r="A2023" s="14">
        <v>2016</v>
      </c>
      <c r="B2023" s="15">
        <v>45715</v>
      </c>
      <c r="C2023" s="15">
        <v>45715</v>
      </c>
      <c r="D2023" s="16" t="s">
        <v>1192</v>
      </c>
      <c r="E2023" s="16" t="s">
        <v>1193</v>
      </c>
      <c r="F2023" s="16" t="s">
        <v>2521</v>
      </c>
      <c r="G2023" s="16" t="s">
        <v>1197</v>
      </c>
      <c r="H2023" s="14" t="str">
        <f>"20250227/197878"</f>
        <v>20250227/197878</v>
      </c>
      <c r="I2023" s="19" t="str">
        <f t="shared" si="144"/>
        <v> </v>
      </c>
      <c r="J2023" s="18">
        <v>377468.15</v>
      </c>
      <c r="K2023" s="18">
        <v>0</v>
      </c>
      <c r="L2023" s="18">
        <v>2006626.78</v>
      </c>
    </row>
    <row r="2024" spans="1:13" ht="15" thickBot="1" x14ac:dyDescent="0.35">
      <c r="A2024" s="14">
        <v>2017</v>
      </c>
      <c r="B2024" s="15">
        <v>45715</v>
      </c>
      <c r="C2024" s="15">
        <v>45715</v>
      </c>
      <c r="D2024" s="16" t="s">
        <v>1192</v>
      </c>
      <c r="E2024" s="16" t="s">
        <v>1193</v>
      </c>
      <c r="F2024" s="16" t="s">
        <v>2520</v>
      </c>
      <c r="G2024" s="16" t="s">
        <v>1197</v>
      </c>
      <c r="H2024" s="14" t="str">
        <f>"20250227/197879"</f>
        <v>20250227/197879</v>
      </c>
      <c r="I2024" s="19" t="str">
        <f t="shared" si="144"/>
        <v> </v>
      </c>
      <c r="J2024" s="18">
        <v>489177.74</v>
      </c>
      <c r="K2024" s="18">
        <v>0</v>
      </c>
      <c r="L2024" s="18">
        <v>2495804.52</v>
      </c>
    </row>
    <row r="2025" spans="1:13" ht="15" thickBot="1" x14ac:dyDescent="0.35">
      <c r="A2025" s="14">
        <v>2018</v>
      </c>
      <c r="B2025" s="15">
        <v>45715</v>
      </c>
      <c r="C2025" s="15">
        <v>45715</v>
      </c>
      <c r="D2025" s="16" t="s">
        <v>1192</v>
      </c>
      <c r="E2025" s="16" t="s">
        <v>1193</v>
      </c>
      <c r="F2025" s="16" t="s">
        <v>2522</v>
      </c>
      <c r="G2025" s="16" t="s">
        <v>1197</v>
      </c>
      <c r="H2025" s="14" t="str">
        <f>"20250227/329508"</f>
        <v>20250227/329508</v>
      </c>
      <c r="I2025" s="19" t="str">
        <f t="shared" si="144"/>
        <v> </v>
      </c>
      <c r="J2025" s="18">
        <v>0</v>
      </c>
      <c r="K2025" s="18">
        <v>3909.09</v>
      </c>
      <c r="L2025" s="18">
        <v>2491895.4300000002</v>
      </c>
    </row>
    <row r="2026" spans="1:13" ht="15" thickBot="1" x14ac:dyDescent="0.35">
      <c r="A2026" s="14">
        <v>2019</v>
      </c>
      <c r="B2026" s="15">
        <v>45715</v>
      </c>
      <c r="C2026" s="15">
        <v>45715</v>
      </c>
      <c r="D2026" s="16" t="s">
        <v>1192</v>
      </c>
      <c r="E2026" s="16" t="s">
        <v>1193</v>
      </c>
      <c r="F2026" s="16" t="s">
        <v>2523</v>
      </c>
      <c r="G2026" s="16" t="s">
        <v>1197</v>
      </c>
      <c r="H2026" s="14" t="str">
        <f>"20250227/329509"</f>
        <v>20250227/329509</v>
      </c>
      <c r="I2026" s="19" t="str">
        <f t="shared" si="144"/>
        <v> </v>
      </c>
      <c r="J2026" s="18">
        <v>0</v>
      </c>
      <c r="K2026" s="18">
        <v>357527.75</v>
      </c>
      <c r="L2026" s="18">
        <v>2134367.6800000002</v>
      </c>
    </row>
    <row r="2027" spans="1:13" ht="15" thickBot="1" x14ac:dyDescent="0.35">
      <c r="A2027" s="14">
        <v>2020</v>
      </c>
      <c r="B2027" s="15">
        <v>45715</v>
      </c>
      <c r="C2027" s="15">
        <v>45715</v>
      </c>
      <c r="D2027" s="16" t="s">
        <v>1192</v>
      </c>
      <c r="E2027" s="16" t="s">
        <v>1193</v>
      </c>
      <c r="F2027" s="16" t="s">
        <v>2522</v>
      </c>
      <c r="G2027" s="16" t="s">
        <v>1197</v>
      </c>
      <c r="H2027" s="14" t="str">
        <f>"20250227/331468"</f>
        <v>20250227/331468</v>
      </c>
      <c r="I2027" s="19" t="str">
        <f t="shared" si="144"/>
        <v> </v>
      </c>
      <c r="J2027" s="18">
        <v>0</v>
      </c>
      <c r="K2027" s="18">
        <v>473636.38</v>
      </c>
      <c r="L2027" s="18">
        <v>1660731.3</v>
      </c>
    </row>
    <row r="2028" spans="1:13" ht="15" thickBot="1" x14ac:dyDescent="0.35">
      <c r="A2028" s="14">
        <v>2021</v>
      </c>
      <c r="B2028" s="15">
        <v>45715</v>
      </c>
      <c r="C2028" s="15">
        <v>45715</v>
      </c>
      <c r="D2028" s="16" t="s">
        <v>1192</v>
      </c>
      <c r="E2028" s="16" t="s">
        <v>1193</v>
      </c>
      <c r="F2028" s="16" t="s">
        <v>2524</v>
      </c>
      <c r="G2028" s="16" t="s">
        <v>1197</v>
      </c>
      <c r="H2028" s="14" t="str">
        <f>"20250227/83462"</f>
        <v>20250227/83462</v>
      </c>
      <c r="I2028" s="19" t="str">
        <f t="shared" si="144"/>
        <v> </v>
      </c>
      <c r="J2028" s="18">
        <v>580.79999999999995</v>
      </c>
      <c r="K2028" s="18">
        <v>0</v>
      </c>
      <c r="L2028" s="18">
        <v>1661312.1</v>
      </c>
      <c r="M2028" t="s">
        <v>2658</v>
      </c>
    </row>
    <row r="2029" spans="1:13" ht="15" thickBot="1" x14ac:dyDescent="0.35">
      <c r="A2029" s="14">
        <v>2022</v>
      </c>
      <c r="B2029" s="15">
        <v>45716</v>
      </c>
      <c r="C2029" s="15">
        <v>45716</v>
      </c>
      <c r="D2029" s="16" t="s">
        <v>1192</v>
      </c>
      <c r="E2029" s="16" t="s">
        <v>1193</v>
      </c>
      <c r="F2029" s="16" t="s">
        <v>1194</v>
      </c>
      <c r="G2029" s="16" t="s">
        <v>1195</v>
      </c>
      <c r="H2029" s="14" t="str">
        <f>"20250228/108508"</f>
        <v>20250228/108508</v>
      </c>
      <c r="I2029" s="17" t="str">
        <f t="shared" si="144"/>
        <v> </v>
      </c>
      <c r="J2029" s="18">
        <v>0</v>
      </c>
      <c r="K2029" s="18">
        <v>18598.099999999999</v>
      </c>
      <c r="L2029" s="18">
        <v>1642714</v>
      </c>
      <c r="M2029" t="s">
        <v>2661</v>
      </c>
    </row>
    <row r="2030" spans="1:13" ht="15" thickBot="1" x14ac:dyDescent="0.35">
      <c r="A2030" s="14">
        <v>2023</v>
      </c>
      <c r="B2030" s="15">
        <v>45716</v>
      </c>
      <c r="C2030" s="15">
        <v>45716</v>
      </c>
      <c r="D2030" s="16" t="s">
        <v>1192</v>
      </c>
      <c r="E2030" s="16" t="s">
        <v>1193</v>
      </c>
      <c r="F2030" s="16" t="s">
        <v>1194</v>
      </c>
      <c r="G2030" s="16" t="s">
        <v>1195</v>
      </c>
      <c r="H2030" s="14" t="str">
        <f>"20250228/36774"</f>
        <v>20250228/36774</v>
      </c>
      <c r="I2030" s="17" t="str">
        <f t="shared" si="144"/>
        <v> </v>
      </c>
      <c r="J2030" s="18">
        <v>0</v>
      </c>
      <c r="K2030" s="18">
        <v>281.64</v>
      </c>
      <c r="L2030" s="18">
        <v>1642432.36</v>
      </c>
      <c r="M2030" t="s">
        <v>2661</v>
      </c>
    </row>
    <row r="2031" spans="1:13" ht="15" thickBot="1" x14ac:dyDescent="0.35">
      <c r="A2031" s="14">
        <v>2024</v>
      </c>
      <c r="B2031" s="15">
        <v>45716</v>
      </c>
      <c r="C2031" s="15">
        <v>45716</v>
      </c>
      <c r="D2031" s="16" t="s">
        <v>1192</v>
      </c>
      <c r="E2031" s="16" t="s">
        <v>1193</v>
      </c>
      <c r="F2031" s="16" t="s">
        <v>2525</v>
      </c>
      <c r="G2031" s="16" t="s">
        <v>1197</v>
      </c>
      <c r="H2031" s="14" t="str">
        <f>"20250228/235423"</f>
        <v>20250228/235423</v>
      </c>
      <c r="I2031" s="19" t="str">
        <f t="shared" si="144"/>
        <v> </v>
      </c>
      <c r="J2031" s="18">
        <v>3909.09</v>
      </c>
      <c r="K2031" s="18">
        <v>0</v>
      </c>
      <c r="L2031" s="18">
        <v>1646341.45</v>
      </c>
    </row>
    <row r="2032" spans="1:13" ht="15" thickBot="1" x14ac:dyDescent="0.35">
      <c r="A2032" s="14">
        <v>2025</v>
      </c>
      <c r="B2032" s="15">
        <v>45716</v>
      </c>
      <c r="C2032" s="15">
        <v>45716</v>
      </c>
      <c r="D2032" s="16" t="s">
        <v>1192</v>
      </c>
      <c r="E2032" s="16" t="s">
        <v>1193</v>
      </c>
      <c r="F2032" s="16" t="s">
        <v>2526</v>
      </c>
      <c r="G2032" s="16" t="s">
        <v>1197</v>
      </c>
      <c r="H2032" s="14" t="str">
        <f>"20250228/235424"</f>
        <v>20250228/235424</v>
      </c>
      <c r="I2032" s="19" t="str">
        <f t="shared" si="144"/>
        <v> </v>
      </c>
      <c r="J2032" s="18">
        <v>408225.1</v>
      </c>
      <c r="K2032" s="18">
        <v>0</v>
      </c>
      <c r="L2032" s="18">
        <v>2054566.55</v>
      </c>
    </row>
    <row r="2033" spans="1:13" ht="15" thickBot="1" x14ac:dyDescent="0.35">
      <c r="A2033" s="14">
        <v>2026</v>
      </c>
      <c r="B2033" s="15">
        <v>45716</v>
      </c>
      <c r="C2033" s="15">
        <v>45716</v>
      </c>
      <c r="D2033" s="16" t="s">
        <v>1192</v>
      </c>
      <c r="E2033" s="16" t="s">
        <v>1193</v>
      </c>
      <c r="F2033" s="16" t="s">
        <v>2525</v>
      </c>
      <c r="G2033" s="16" t="s">
        <v>1197</v>
      </c>
      <c r="H2033" s="14" t="str">
        <f>"20250228/235425"</f>
        <v>20250228/235425</v>
      </c>
      <c r="I2033" s="19" t="str">
        <f t="shared" si="144"/>
        <v> </v>
      </c>
      <c r="J2033" s="18">
        <v>477018.89</v>
      </c>
      <c r="K2033" s="18">
        <v>0</v>
      </c>
      <c r="L2033" s="18">
        <v>2531585.44</v>
      </c>
    </row>
    <row r="2034" spans="1:13" ht="15" thickBot="1" x14ac:dyDescent="0.35">
      <c r="A2034" s="14">
        <v>2027</v>
      </c>
      <c r="B2034" s="15">
        <v>45716</v>
      </c>
      <c r="C2034" s="15">
        <v>45716</v>
      </c>
      <c r="D2034" s="16" t="s">
        <v>1192</v>
      </c>
      <c r="E2034" s="16" t="s">
        <v>1193</v>
      </c>
      <c r="F2034" s="16" t="s">
        <v>2527</v>
      </c>
      <c r="G2034" s="16" t="s">
        <v>1197</v>
      </c>
      <c r="H2034" s="14" t="str">
        <f>"20250228/370415"</f>
        <v>20250228/370415</v>
      </c>
      <c r="I2034" s="19" t="str">
        <f t="shared" si="144"/>
        <v> </v>
      </c>
      <c r="J2034" s="18">
        <v>0</v>
      </c>
      <c r="K2034" s="18">
        <v>3909.09</v>
      </c>
      <c r="L2034" s="18">
        <v>2527676.35</v>
      </c>
    </row>
    <row r="2035" spans="1:13" ht="15" thickBot="1" x14ac:dyDescent="0.35">
      <c r="A2035" s="14">
        <v>2028</v>
      </c>
      <c r="B2035" s="15">
        <v>45716</v>
      </c>
      <c r="C2035" s="15">
        <v>45716</v>
      </c>
      <c r="D2035" s="16" t="s">
        <v>1192</v>
      </c>
      <c r="E2035" s="16" t="s">
        <v>1193</v>
      </c>
      <c r="F2035" s="16" t="s">
        <v>2528</v>
      </c>
      <c r="G2035" s="16" t="s">
        <v>1197</v>
      </c>
      <c r="H2035" s="14" t="str">
        <f>"20250228/370416"</f>
        <v>20250228/370416</v>
      </c>
      <c r="I2035" s="19" t="str">
        <f t="shared" si="144"/>
        <v> </v>
      </c>
      <c r="J2035" s="18">
        <v>0</v>
      </c>
      <c r="K2035" s="18">
        <v>377468.15</v>
      </c>
      <c r="L2035" s="18">
        <v>2150208.2000000002</v>
      </c>
    </row>
    <row r="2036" spans="1:13" ht="15" thickBot="1" x14ac:dyDescent="0.35">
      <c r="A2036" s="14">
        <v>2029</v>
      </c>
      <c r="B2036" s="15">
        <v>45716</v>
      </c>
      <c r="C2036" s="15">
        <v>45716</v>
      </c>
      <c r="D2036" s="16" t="s">
        <v>1192</v>
      </c>
      <c r="E2036" s="16" t="s">
        <v>1193</v>
      </c>
      <c r="F2036" s="16" t="s">
        <v>2527</v>
      </c>
      <c r="G2036" s="16" t="s">
        <v>1197</v>
      </c>
      <c r="H2036" s="14" t="str">
        <f>"20250228/370417"</f>
        <v>20250228/370417</v>
      </c>
      <c r="I2036" s="19" t="str">
        <f t="shared" si="144"/>
        <v> </v>
      </c>
      <c r="J2036" s="18">
        <v>0</v>
      </c>
      <c r="K2036" s="18">
        <v>489177.74</v>
      </c>
      <c r="L2036" s="18">
        <v>1661030.46</v>
      </c>
    </row>
    <row r="2037" spans="1:13" ht="15" thickBot="1" x14ac:dyDescent="0.35">
      <c r="A2037" s="14">
        <v>2030</v>
      </c>
      <c r="B2037" s="15">
        <v>45716</v>
      </c>
      <c r="C2037" s="15">
        <v>45716</v>
      </c>
      <c r="D2037" s="16" t="s">
        <v>1192</v>
      </c>
      <c r="E2037" s="16" t="s">
        <v>1193</v>
      </c>
      <c r="F2037" s="16" t="s">
        <v>2529</v>
      </c>
      <c r="G2037" s="16" t="s">
        <v>1197</v>
      </c>
      <c r="H2037" s="14" t="str">
        <f>"20250228/93814"</f>
        <v>20250228/93814</v>
      </c>
      <c r="I2037" s="19" t="str">
        <f t="shared" si="144"/>
        <v> </v>
      </c>
      <c r="J2037" s="18">
        <v>281.64</v>
      </c>
      <c r="K2037" s="18">
        <v>0</v>
      </c>
      <c r="L2037" s="18">
        <v>1661312.1</v>
      </c>
      <c r="M2037" t="s">
        <v>2658</v>
      </c>
    </row>
    <row r="2038" spans="1:13" ht="15" thickBot="1" x14ac:dyDescent="0.35">
      <c r="A2038" s="14">
        <v>2031</v>
      </c>
      <c r="B2038" s="15">
        <v>45719</v>
      </c>
      <c r="C2038" s="15">
        <v>45719</v>
      </c>
      <c r="D2038" s="16" t="s">
        <v>1192</v>
      </c>
      <c r="E2038" s="16" t="s">
        <v>1193</v>
      </c>
      <c r="F2038" s="16" t="s">
        <v>1194</v>
      </c>
      <c r="G2038" s="16" t="s">
        <v>1195</v>
      </c>
      <c r="H2038" s="14" t="str">
        <f>"20250303/13013"</f>
        <v>20250303/13013</v>
      </c>
      <c r="I2038" s="17" t="str">
        <f t="shared" si="144"/>
        <v> </v>
      </c>
      <c r="J2038" s="18">
        <v>0</v>
      </c>
      <c r="K2038" s="18">
        <v>825.06</v>
      </c>
      <c r="L2038" s="18">
        <v>1660487.04</v>
      </c>
      <c r="M2038" t="s">
        <v>2661</v>
      </c>
    </row>
    <row r="2039" spans="1:13" ht="15" thickBot="1" x14ac:dyDescent="0.35">
      <c r="A2039" s="14">
        <v>2032</v>
      </c>
      <c r="B2039" s="15">
        <v>45719</v>
      </c>
      <c r="C2039" s="15">
        <v>45719</v>
      </c>
      <c r="D2039" s="16" t="s">
        <v>1192</v>
      </c>
      <c r="E2039" s="16" t="s">
        <v>1193</v>
      </c>
      <c r="F2039" s="16" t="s">
        <v>2530</v>
      </c>
      <c r="G2039" s="16" t="s">
        <v>1197</v>
      </c>
      <c r="H2039" s="14" t="str">
        <f>"20250303/121358"</f>
        <v>20250303/121358</v>
      </c>
      <c r="I2039" s="19" t="str">
        <f t="shared" si="144"/>
        <v> </v>
      </c>
      <c r="J2039" s="18">
        <v>825.06</v>
      </c>
      <c r="K2039" s="18">
        <v>0</v>
      </c>
      <c r="L2039" s="18">
        <v>1661312.1</v>
      </c>
      <c r="M2039" t="s">
        <v>2658</v>
      </c>
    </row>
    <row r="2040" spans="1:13" ht="15" thickBot="1" x14ac:dyDescent="0.35">
      <c r="A2040" s="14">
        <v>2033</v>
      </c>
      <c r="B2040" s="15">
        <v>45719</v>
      </c>
      <c r="C2040" s="15">
        <v>45719</v>
      </c>
      <c r="D2040" s="16" t="s">
        <v>1192</v>
      </c>
      <c r="E2040" s="16" t="s">
        <v>1193</v>
      </c>
      <c r="F2040" s="16" t="s">
        <v>2531</v>
      </c>
      <c r="G2040" s="16" t="s">
        <v>1197</v>
      </c>
      <c r="H2040" s="14" t="str">
        <f>"20250303/256949"</f>
        <v>20250303/256949</v>
      </c>
      <c r="I2040" s="19" t="str">
        <f t="shared" si="144"/>
        <v> </v>
      </c>
      <c r="J2040" s="18">
        <v>3909.09</v>
      </c>
      <c r="K2040" s="18">
        <v>0</v>
      </c>
      <c r="L2040" s="18">
        <v>1665221.19</v>
      </c>
    </row>
    <row r="2041" spans="1:13" ht="15" thickBot="1" x14ac:dyDescent="0.35">
      <c r="A2041" s="14">
        <v>2034</v>
      </c>
      <c r="B2041" s="15">
        <v>45719</v>
      </c>
      <c r="C2041" s="15">
        <v>45719</v>
      </c>
      <c r="D2041" s="16" t="s">
        <v>1192</v>
      </c>
      <c r="E2041" s="16" t="s">
        <v>1193</v>
      </c>
      <c r="F2041" s="16" t="s">
        <v>2532</v>
      </c>
      <c r="G2041" s="16" t="s">
        <v>1197</v>
      </c>
      <c r="H2041" s="14" t="str">
        <f>"20250303/256950"</f>
        <v>20250303/256950</v>
      </c>
      <c r="I2041" s="19" t="str">
        <f t="shared" si="144"/>
        <v> </v>
      </c>
      <c r="J2041" s="18">
        <v>408609.6</v>
      </c>
      <c r="K2041" s="18">
        <v>0</v>
      </c>
      <c r="L2041" s="18">
        <v>2073830.79</v>
      </c>
    </row>
    <row r="2042" spans="1:13" ht="15" thickBot="1" x14ac:dyDescent="0.35">
      <c r="A2042" s="14">
        <v>2035</v>
      </c>
      <c r="B2042" s="15">
        <v>45719</v>
      </c>
      <c r="C2042" s="15">
        <v>45719</v>
      </c>
      <c r="D2042" s="16" t="s">
        <v>1192</v>
      </c>
      <c r="E2042" s="16" t="s">
        <v>1193</v>
      </c>
      <c r="F2042" s="16" t="s">
        <v>2531</v>
      </c>
      <c r="G2042" s="16" t="s">
        <v>1197</v>
      </c>
      <c r="H2042" s="14" t="str">
        <f>"20250303/256951"</f>
        <v>20250303/256951</v>
      </c>
      <c r="I2042" s="19" t="str">
        <f t="shared" si="144"/>
        <v> </v>
      </c>
      <c r="J2042" s="18">
        <v>476312.46</v>
      </c>
      <c r="K2042" s="18">
        <v>0</v>
      </c>
      <c r="L2042" s="18">
        <v>2550143.25</v>
      </c>
    </row>
    <row r="2043" spans="1:13" ht="15" thickBot="1" x14ac:dyDescent="0.35">
      <c r="A2043" s="14">
        <v>2036</v>
      </c>
      <c r="B2043" s="15">
        <v>45719</v>
      </c>
      <c r="C2043" s="15">
        <v>45719</v>
      </c>
      <c r="D2043" s="16" t="s">
        <v>1192</v>
      </c>
      <c r="E2043" s="16" t="s">
        <v>1193</v>
      </c>
      <c r="F2043" s="16" t="s">
        <v>2533</v>
      </c>
      <c r="G2043" s="16" t="s">
        <v>1197</v>
      </c>
      <c r="H2043" s="14" t="str">
        <f>"20250303/319219"</f>
        <v>20250303/319219</v>
      </c>
      <c r="I2043" s="19" t="str">
        <f t="shared" si="144"/>
        <v> </v>
      </c>
      <c r="J2043" s="18">
        <v>0</v>
      </c>
      <c r="K2043" s="18">
        <v>3909.09</v>
      </c>
      <c r="L2043" s="18">
        <v>2546234.16</v>
      </c>
    </row>
    <row r="2044" spans="1:13" ht="15" thickBot="1" x14ac:dyDescent="0.35">
      <c r="A2044" s="14">
        <v>2037</v>
      </c>
      <c r="B2044" s="15">
        <v>45719</v>
      </c>
      <c r="C2044" s="15">
        <v>45719</v>
      </c>
      <c r="D2044" s="16" t="s">
        <v>1192</v>
      </c>
      <c r="E2044" s="16" t="s">
        <v>1193</v>
      </c>
      <c r="F2044" s="16" t="s">
        <v>2534</v>
      </c>
      <c r="G2044" s="16" t="s">
        <v>1197</v>
      </c>
      <c r="H2044" s="14" t="str">
        <f>"20250303/319220"</f>
        <v>20250303/319220</v>
      </c>
      <c r="I2044" s="19" t="str">
        <f t="shared" si="144"/>
        <v> </v>
      </c>
      <c r="J2044" s="18">
        <v>0</v>
      </c>
      <c r="K2044" s="18">
        <v>408225.1</v>
      </c>
      <c r="L2044" s="18">
        <v>2138009.06</v>
      </c>
    </row>
    <row r="2045" spans="1:13" ht="15" thickBot="1" x14ac:dyDescent="0.35">
      <c r="A2045" s="14">
        <v>2038</v>
      </c>
      <c r="B2045" s="15">
        <v>45719</v>
      </c>
      <c r="C2045" s="15">
        <v>45719</v>
      </c>
      <c r="D2045" s="16" t="s">
        <v>1192</v>
      </c>
      <c r="E2045" s="16" t="s">
        <v>1193</v>
      </c>
      <c r="F2045" s="16" t="s">
        <v>2533</v>
      </c>
      <c r="G2045" s="16" t="s">
        <v>1197</v>
      </c>
      <c r="H2045" s="14" t="str">
        <f>"20250303/319221"</f>
        <v>20250303/319221</v>
      </c>
      <c r="I2045" s="19" t="str">
        <f t="shared" si="144"/>
        <v> </v>
      </c>
      <c r="J2045" s="18">
        <v>0</v>
      </c>
      <c r="K2045" s="18">
        <v>477018.89</v>
      </c>
      <c r="L2045" s="18">
        <v>1660990.17</v>
      </c>
    </row>
    <row r="2046" spans="1:13" ht="15" thickBot="1" x14ac:dyDescent="0.35">
      <c r="A2046" s="14">
        <v>2039</v>
      </c>
      <c r="B2046" s="15">
        <v>45720</v>
      </c>
      <c r="C2046" s="15">
        <v>45720</v>
      </c>
      <c r="D2046" s="16" t="s">
        <v>1192</v>
      </c>
      <c r="E2046" s="16" t="s">
        <v>1193</v>
      </c>
      <c r="F2046" s="16" t="s">
        <v>1202</v>
      </c>
      <c r="G2046" s="16" t="s">
        <v>1203</v>
      </c>
      <c r="H2046" s="14" t="str">
        <f>"20250304/6038"</f>
        <v>20250304/6038</v>
      </c>
      <c r="I2046" s="17" t="str">
        <f t="shared" si="144"/>
        <v> </v>
      </c>
      <c r="J2046" s="18">
        <v>321.93</v>
      </c>
      <c r="K2046" s="18">
        <v>0</v>
      </c>
      <c r="L2046" s="18">
        <v>1661312.1</v>
      </c>
      <c r="M2046" t="s">
        <v>2661</v>
      </c>
    </row>
    <row r="2047" spans="1:13" ht="15" thickBot="1" x14ac:dyDescent="0.35">
      <c r="A2047" s="14">
        <v>2040</v>
      </c>
      <c r="B2047" s="15">
        <v>45720</v>
      </c>
      <c r="C2047" s="15">
        <v>45720</v>
      </c>
      <c r="D2047" s="16" t="s">
        <v>1192</v>
      </c>
      <c r="E2047" s="16" t="s">
        <v>1193</v>
      </c>
      <c r="F2047" s="16" t="s">
        <v>1194</v>
      </c>
      <c r="G2047" s="16" t="s">
        <v>1195</v>
      </c>
      <c r="H2047" s="14" t="str">
        <f>"20250304/33323"</f>
        <v>20250304/33323</v>
      </c>
      <c r="I2047" s="17" t="str">
        <f t="shared" si="144"/>
        <v> </v>
      </c>
      <c r="J2047" s="18">
        <v>0</v>
      </c>
      <c r="K2047" s="18">
        <v>275.02</v>
      </c>
      <c r="L2047" s="18">
        <v>1661037.08</v>
      </c>
      <c r="M2047" t="s">
        <v>2661</v>
      </c>
    </row>
    <row r="2048" spans="1:13" ht="15" thickBot="1" x14ac:dyDescent="0.35">
      <c r="A2048" s="14">
        <v>2041</v>
      </c>
      <c r="B2048" s="15">
        <v>45720</v>
      </c>
      <c r="C2048" s="15">
        <v>45720</v>
      </c>
      <c r="D2048" s="16" t="s">
        <v>1192</v>
      </c>
      <c r="E2048" s="16" t="s">
        <v>1193</v>
      </c>
      <c r="F2048" s="16" t="s">
        <v>1194</v>
      </c>
      <c r="G2048" s="16" t="s">
        <v>1195</v>
      </c>
      <c r="H2048" s="14" t="str">
        <f>"20250304/85281"</f>
        <v>20250304/85281</v>
      </c>
      <c r="I2048" s="17" t="str">
        <f t="shared" si="144"/>
        <v> </v>
      </c>
      <c r="J2048" s="18">
        <v>0</v>
      </c>
      <c r="K2048" s="18">
        <v>1613.64</v>
      </c>
      <c r="L2048" s="18">
        <v>1659423.44</v>
      </c>
      <c r="M2048" t="s">
        <v>2661</v>
      </c>
    </row>
    <row r="2049" spans="1:13" ht="15" thickBot="1" x14ac:dyDescent="0.35">
      <c r="A2049" s="14">
        <v>2042</v>
      </c>
      <c r="B2049" s="15">
        <v>45720</v>
      </c>
      <c r="C2049" s="15">
        <v>45720</v>
      </c>
      <c r="D2049" s="16" t="s">
        <v>1192</v>
      </c>
      <c r="E2049" s="16" t="s">
        <v>1193</v>
      </c>
      <c r="F2049" s="16" t="s">
        <v>2535</v>
      </c>
      <c r="G2049" s="16" t="s">
        <v>1197</v>
      </c>
      <c r="H2049" s="14" t="str">
        <f>"20250304/105045"</f>
        <v>20250304/105045</v>
      </c>
      <c r="I2049" s="19" t="str">
        <f t="shared" si="144"/>
        <v> </v>
      </c>
      <c r="J2049" s="18">
        <v>275.02</v>
      </c>
      <c r="K2049" s="18">
        <v>0</v>
      </c>
      <c r="L2049" s="18">
        <v>1659698.46</v>
      </c>
      <c r="M2049" t="s">
        <v>2658</v>
      </c>
    </row>
    <row r="2050" spans="1:13" ht="15" thickBot="1" x14ac:dyDescent="0.35">
      <c r="A2050" s="14">
        <v>2043</v>
      </c>
      <c r="B2050" s="15">
        <v>45720</v>
      </c>
      <c r="C2050" s="15">
        <v>45720</v>
      </c>
      <c r="D2050" s="16" t="s">
        <v>1192</v>
      </c>
      <c r="E2050" s="16" t="s">
        <v>1193</v>
      </c>
      <c r="F2050" s="16" t="s">
        <v>2536</v>
      </c>
      <c r="G2050" s="16" t="s">
        <v>1197</v>
      </c>
      <c r="H2050" s="14" t="str">
        <f>"20250304/257057"</f>
        <v>20250304/257057</v>
      </c>
      <c r="I2050" s="19" t="str">
        <f t="shared" si="144"/>
        <v> </v>
      </c>
      <c r="J2050" s="18">
        <v>3909.09</v>
      </c>
      <c r="K2050" s="18">
        <v>0</v>
      </c>
      <c r="L2050" s="18">
        <v>1663607.55</v>
      </c>
    </row>
    <row r="2051" spans="1:13" ht="15" thickBot="1" x14ac:dyDescent="0.35">
      <c r="A2051" s="14">
        <v>2044</v>
      </c>
      <c r="B2051" s="15">
        <v>45720</v>
      </c>
      <c r="C2051" s="15">
        <v>45720</v>
      </c>
      <c r="D2051" s="16" t="s">
        <v>1192</v>
      </c>
      <c r="E2051" s="16" t="s">
        <v>1193</v>
      </c>
      <c r="F2051" s="16" t="s">
        <v>2537</v>
      </c>
      <c r="G2051" s="16" t="s">
        <v>1197</v>
      </c>
      <c r="H2051" s="14" t="str">
        <f>"20250304/257058"</f>
        <v>20250304/257058</v>
      </c>
      <c r="I2051" s="19" t="str">
        <f t="shared" si="144"/>
        <v> </v>
      </c>
      <c r="J2051" s="18">
        <v>410694.75</v>
      </c>
      <c r="K2051" s="18">
        <v>0</v>
      </c>
      <c r="L2051" s="18">
        <v>2074302.3</v>
      </c>
    </row>
    <row r="2052" spans="1:13" ht="15" thickBot="1" x14ac:dyDescent="0.35">
      <c r="A2052" s="14">
        <v>2045</v>
      </c>
      <c r="B2052" s="15">
        <v>45720</v>
      </c>
      <c r="C2052" s="15">
        <v>45720</v>
      </c>
      <c r="D2052" s="16" t="s">
        <v>1192</v>
      </c>
      <c r="E2052" s="16" t="s">
        <v>1193</v>
      </c>
      <c r="F2052" s="16" t="s">
        <v>2536</v>
      </c>
      <c r="G2052" s="16" t="s">
        <v>1197</v>
      </c>
      <c r="H2052" s="14" t="str">
        <f>"20250304/257059"</f>
        <v>20250304/257059</v>
      </c>
      <c r="I2052" s="19" t="str">
        <f t="shared" si="144"/>
        <v> </v>
      </c>
      <c r="J2052" s="18">
        <v>475840.95</v>
      </c>
      <c r="K2052" s="18">
        <v>0</v>
      </c>
      <c r="L2052" s="18">
        <v>2550143.25</v>
      </c>
    </row>
    <row r="2053" spans="1:13" ht="15" thickBot="1" x14ac:dyDescent="0.35">
      <c r="A2053" s="14">
        <v>2046</v>
      </c>
      <c r="B2053" s="15">
        <v>45720</v>
      </c>
      <c r="C2053" s="15">
        <v>45720</v>
      </c>
      <c r="D2053" s="16" t="s">
        <v>1192</v>
      </c>
      <c r="E2053" s="16" t="s">
        <v>1193</v>
      </c>
      <c r="F2053" s="16" t="s">
        <v>2538</v>
      </c>
      <c r="G2053" s="16" t="s">
        <v>1197</v>
      </c>
      <c r="H2053" s="14" t="str">
        <f>"20250304/302990"</f>
        <v>20250304/302990</v>
      </c>
      <c r="I2053" s="19" t="str">
        <f t="shared" si="144"/>
        <v> </v>
      </c>
      <c r="J2053" s="18">
        <v>0</v>
      </c>
      <c r="K2053" s="18">
        <v>3909.09</v>
      </c>
      <c r="L2053" s="18">
        <v>2546234.16</v>
      </c>
    </row>
    <row r="2054" spans="1:13" ht="15" thickBot="1" x14ac:dyDescent="0.35">
      <c r="A2054" s="14">
        <v>2047</v>
      </c>
      <c r="B2054" s="15">
        <v>45720</v>
      </c>
      <c r="C2054" s="15">
        <v>45720</v>
      </c>
      <c r="D2054" s="16" t="s">
        <v>1192</v>
      </c>
      <c r="E2054" s="16" t="s">
        <v>1193</v>
      </c>
      <c r="F2054" s="16" t="s">
        <v>2539</v>
      </c>
      <c r="G2054" s="16" t="s">
        <v>1197</v>
      </c>
      <c r="H2054" s="14" t="str">
        <f>"20250304/302991"</f>
        <v>20250304/302991</v>
      </c>
      <c r="I2054" s="19" t="str">
        <f t="shared" si="144"/>
        <v> </v>
      </c>
      <c r="J2054" s="18">
        <v>0</v>
      </c>
      <c r="K2054" s="18">
        <v>408609.6</v>
      </c>
      <c r="L2054" s="18">
        <v>2137624.56</v>
      </c>
    </row>
    <row r="2055" spans="1:13" ht="15" thickBot="1" x14ac:dyDescent="0.35">
      <c r="A2055" s="14">
        <v>2048</v>
      </c>
      <c r="B2055" s="15">
        <v>45720</v>
      </c>
      <c r="C2055" s="15">
        <v>45720</v>
      </c>
      <c r="D2055" s="16" t="s">
        <v>1192</v>
      </c>
      <c r="E2055" s="16" t="s">
        <v>1193</v>
      </c>
      <c r="F2055" s="16" t="s">
        <v>2538</v>
      </c>
      <c r="G2055" s="16" t="s">
        <v>1197</v>
      </c>
      <c r="H2055" s="14" t="str">
        <f>"20250304/302992"</f>
        <v>20250304/302992</v>
      </c>
      <c r="I2055" s="19" t="str">
        <f t="shared" si="144"/>
        <v> </v>
      </c>
      <c r="J2055" s="18">
        <v>0</v>
      </c>
      <c r="K2055" s="18">
        <v>476312.46</v>
      </c>
      <c r="L2055" s="18">
        <v>1661312.1</v>
      </c>
    </row>
    <row r="2056" spans="1:13" ht="15" thickBot="1" x14ac:dyDescent="0.35">
      <c r="A2056" s="14">
        <v>2049</v>
      </c>
      <c r="B2056" s="15">
        <v>45721</v>
      </c>
      <c r="C2056" s="15">
        <v>45721</v>
      </c>
      <c r="D2056" s="16" t="s">
        <v>1192</v>
      </c>
      <c r="E2056" s="16" t="s">
        <v>1193</v>
      </c>
      <c r="F2056" s="16" t="s">
        <v>1194</v>
      </c>
      <c r="G2056" s="16" t="s">
        <v>1195</v>
      </c>
      <c r="H2056" s="14" t="str">
        <f>"20250305/3271"</f>
        <v>20250305/3271</v>
      </c>
      <c r="I2056" s="17" t="str">
        <f t="shared" si="144"/>
        <v> </v>
      </c>
      <c r="J2056" s="18">
        <v>0</v>
      </c>
      <c r="K2056" s="18">
        <v>274.56</v>
      </c>
      <c r="L2056" s="18">
        <v>1661037.54</v>
      </c>
      <c r="M2056" t="s">
        <v>2661</v>
      </c>
    </row>
    <row r="2057" spans="1:13" ht="15" thickBot="1" x14ac:dyDescent="0.35">
      <c r="A2057" s="14">
        <v>2050</v>
      </c>
      <c r="B2057" s="15">
        <v>45721</v>
      </c>
      <c r="C2057" s="15">
        <v>45721</v>
      </c>
      <c r="D2057" s="16" t="s">
        <v>1192</v>
      </c>
      <c r="E2057" s="16" t="s">
        <v>1193</v>
      </c>
      <c r="F2057" s="16" t="s">
        <v>2540</v>
      </c>
      <c r="G2057" s="16" t="s">
        <v>1197</v>
      </c>
      <c r="H2057" s="14" t="str">
        <f>"20250305/113142"</f>
        <v>20250305/113142</v>
      </c>
      <c r="I2057" s="19" t="str">
        <f t="shared" si="144"/>
        <v> </v>
      </c>
      <c r="J2057" s="18">
        <v>274.56</v>
      </c>
      <c r="K2057" s="18">
        <v>0</v>
      </c>
      <c r="L2057" s="18">
        <v>1661312.1</v>
      </c>
      <c r="M2057" t="s">
        <v>2658</v>
      </c>
    </row>
    <row r="2058" spans="1:13" ht="15" thickBot="1" x14ac:dyDescent="0.35">
      <c r="A2058" s="14">
        <v>2051</v>
      </c>
      <c r="B2058" s="15">
        <v>45721</v>
      </c>
      <c r="C2058" s="15">
        <v>45721</v>
      </c>
      <c r="D2058" s="16" t="s">
        <v>1192</v>
      </c>
      <c r="E2058" s="16" t="s">
        <v>1193</v>
      </c>
      <c r="F2058" s="16" t="s">
        <v>2541</v>
      </c>
      <c r="G2058" s="16" t="s">
        <v>1197</v>
      </c>
      <c r="H2058" s="14" t="str">
        <f>"20250305/254962"</f>
        <v>20250305/254962</v>
      </c>
      <c r="I2058" s="19" t="str">
        <f t="shared" si="144"/>
        <v> </v>
      </c>
      <c r="J2058" s="18">
        <v>3909.09</v>
      </c>
      <c r="K2058" s="18">
        <v>0</v>
      </c>
      <c r="L2058" s="18">
        <v>1665221.19</v>
      </c>
    </row>
    <row r="2059" spans="1:13" ht="15" thickBot="1" x14ac:dyDescent="0.35">
      <c r="A2059" s="14">
        <v>2052</v>
      </c>
      <c r="B2059" s="15">
        <v>45721</v>
      </c>
      <c r="C2059" s="15">
        <v>45721</v>
      </c>
      <c r="D2059" s="16" t="s">
        <v>1192</v>
      </c>
      <c r="E2059" s="16" t="s">
        <v>1193</v>
      </c>
      <c r="F2059" s="16" t="s">
        <v>2542</v>
      </c>
      <c r="G2059" s="16" t="s">
        <v>1197</v>
      </c>
      <c r="H2059" s="14" t="str">
        <f>"20250305/254963"</f>
        <v>20250305/254963</v>
      </c>
      <c r="I2059" s="19" t="str">
        <f t="shared" si="144"/>
        <v> </v>
      </c>
      <c r="J2059" s="18">
        <v>383591.65</v>
      </c>
      <c r="K2059" s="18">
        <v>0</v>
      </c>
      <c r="L2059" s="18">
        <v>2048812.84</v>
      </c>
    </row>
    <row r="2060" spans="1:13" ht="15" thickBot="1" x14ac:dyDescent="0.35">
      <c r="A2060" s="14">
        <v>2053</v>
      </c>
      <c r="B2060" s="15">
        <v>45721</v>
      </c>
      <c r="C2060" s="15">
        <v>45721</v>
      </c>
      <c r="D2060" s="16" t="s">
        <v>1192</v>
      </c>
      <c r="E2060" s="16" t="s">
        <v>1193</v>
      </c>
      <c r="F2060" s="16" t="s">
        <v>2541</v>
      </c>
      <c r="G2060" s="16" t="s">
        <v>1197</v>
      </c>
      <c r="H2060" s="14" t="str">
        <f>"20250305/254964"</f>
        <v>20250305/254964</v>
      </c>
      <c r="I2060" s="19" t="str">
        <f t="shared" si="144"/>
        <v> </v>
      </c>
      <c r="J2060" s="18">
        <v>486663.92</v>
      </c>
      <c r="K2060" s="18">
        <v>0</v>
      </c>
      <c r="L2060" s="18">
        <v>2535476.7599999998</v>
      </c>
    </row>
    <row r="2061" spans="1:13" ht="15" thickBot="1" x14ac:dyDescent="0.35">
      <c r="A2061" s="14">
        <v>2054</v>
      </c>
      <c r="B2061" s="15">
        <v>45721</v>
      </c>
      <c r="C2061" s="15">
        <v>45721</v>
      </c>
      <c r="D2061" s="16" t="s">
        <v>1192</v>
      </c>
      <c r="E2061" s="16" t="s">
        <v>1193</v>
      </c>
      <c r="F2061" s="16" t="s">
        <v>2543</v>
      </c>
      <c r="G2061" s="16" t="s">
        <v>1197</v>
      </c>
      <c r="H2061" s="14" t="str">
        <f>"20250305/327807"</f>
        <v>20250305/327807</v>
      </c>
      <c r="I2061" s="19" t="str">
        <f t="shared" si="144"/>
        <v> </v>
      </c>
      <c r="J2061" s="18">
        <v>0</v>
      </c>
      <c r="K2061" s="18">
        <v>3909.09</v>
      </c>
      <c r="L2061" s="18">
        <v>2531567.67</v>
      </c>
    </row>
    <row r="2062" spans="1:13" ht="15" thickBot="1" x14ac:dyDescent="0.35">
      <c r="A2062" s="14">
        <v>2055</v>
      </c>
      <c r="B2062" s="15">
        <v>45721</v>
      </c>
      <c r="C2062" s="15">
        <v>45721</v>
      </c>
      <c r="D2062" s="16" t="s">
        <v>1192</v>
      </c>
      <c r="E2062" s="16" t="s">
        <v>1193</v>
      </c>
      <c r="F2062" s="16" t="s">
        <v>2544</v>
      </c>
      <c r="G2062" s="16" t="s">
        <v>1197</v>
      </c>
      <c r="H2062" s="14" t="str">
        <f>"20250305/327808"</f>
        <v>20250305/327808</v>
      </c>
      <c r="I2062" s="19" t="str">
        <f t="shared" si="144"/>
        <v> </v>
      </c>
      <c r="J2062" s="18">
        <v>0</v>
      </c>
      <c r="K2062" s="18">
        <v>410694.75</v>
      </c>
      <c r="L2062" s="18">
        <v>2120872.92</v>
      </c>
    </row>
    <row r="2063" spans="1:13" ht="15" thickBot="1" x14ac:dyDescent="0.35">
      <c r="A2063" s="14">
        <v>2056</v>
      </c>
      <c r="B2063" s="15">
        <v>45721</v>
      </c>
      <c r="C2063" s="15">
        <v>45721</v>
      </c>
      <c r="D2063" s="16" t="s">
        <v>1192</v>
      </c>
      <c r="E2063" s="16" t="s">
        <v>1193</v>
      </c>
      <c r="F2063" s="16" t="s">
        <v>2543</v>
      </c>
      <c r="G2063" s="16" t="s">
        <v>1197</v>
      </c>
      <c r="H2063" s="14" t="str">
        <f>"20250305/327809"</f>
        <v>20250305/327809</v>
      </c>
      <c r="I2063" s="19" t="str">
        <f t="shared" si="144"/>
        <v> </v>
      </c>
      <c r="J2063" s="18">
        <v>0</v>
      </c>
      <c r="K2063" s="18">
        <v>475840.95</v>
      </c>
      <c r="L2063" s="18">
        <v>1645031.97</v>
      </c>
    </row>
    <row r="2064" spans="1:13" ht="15" thickBot="1" x14ac:dyDescent="0.35">
      <c r="A2064" s="14">
        <v>2057</v>
      </c>
      <c r="B2064" s="15">
        <v>45722</v>
      </c>
      <c r="C2064" s="15">
        <v>45722</v>
      </c>
      <c r="D2064" s="16" t="s">
        <v>1192</v>
      </c>
      <c r="E2064" s="16" t="s">
        <v>1193</v>
      </c>
      <c r="F2064" s="16" t="s">
        <v>1202</v>
      </c>
      <c r="G2064" s="16" t="s">
        <v>1203</v>
      </c>
      <c r="H2064" s="14" t="str">
        <f>"20250306/13240"</f>
        <v>20250306/13240</v>
      </c>
      <c r="I2064" s="17" t="str">
        <f t="shared" si="144"/>
        <v> </v>
      </c>
      <c r="J2064" s="18">
        <v>16280.13</v>
      </c>
      <c r="K2064" s="18">
        <v>0</v>
      </c>
      <c r="L2064" s="18">
        <v>1661312.1</v>
      </c>
      <c r="M2064" t="s">
        <v>2661</v>
      </c>
    </row>
    <row r="2065" spans="1:13" ht="15" thickBot="1" x14ac:dyDescent="0.35">
      <c r="A2065" s="14">
        <v>2058</v>
      </c>
      <c r="B2065" s="15">
        <v>45722</v>
      </c>
      <c r="C2065" s="15">
        <v>45722</v>
      </c>
      <c r="D2065" s="16" t="s">
        <v>1192</v>
      </c>
      <c r="E2065" s="16" t="s">
        <v>1193</v>
      </c>
      <c r="F2065" s="16" t="s">
        <v>1194</v>
      </c>
      <c r="G2065" s="16" t="s">
        <v>1195</v>
      </c>
      <c r="H2065" s="14" t="str">
        <f>"20250306/14210"</f>
        <v>20250306/14210</v>
      </c>
      <c r="I2065" s="17" t="str">
        <f t="shared" si="144"/>
        <v> </v>
      </c>
      <c r="J2065" s="18">
        <v>0</v>
      </c>
      <c r="K2065" s="18">
        <v>274.56</v>
      </c>
      <c r="L2065" s="18">
        <v>1661037.54</v>
      </c>
      <c r="M2065" t="s">
        <v>2661</v>
      </c>
    </row>
    <row r="2066" spans="1:13" ht="15" thickBot="1" x14ac:dyDescent="0.35">
      <c r="A2066" s="14">
        <v>2059</v>
      </c>
      <c r="B2066" s="15">
        <v>45722</v>
      </c>
      <c r="C2066" s="15">
        <v>45722</v>
      </c>
      <c r="D2066" s="16" t="s">
        <v>1192</v>
      </c>
      <c r="E2066" s="16" t="s">
        <v>1193</v>
      </c>
      <c r="F2066" s="16" t="s">
        <v>1249</v>
      </c>
      <c r="G2066" s="16" t="s">
        <v>1195</v>
      </c>
      <c r="H2066" s="14" t="str">
        <f>"20250306/75481"</f>
        <v>20250306/75481</v>
      </c>
      <c r="I2066" s="17" t="str">
        <f t="shared" si="144"/>
        <v> </v>
      </c>
      <c r="J2066" s="18">
        <v>0</v>
      </c>
      <c r="K2066" s="18">
        <v>8445.89</v>
      </c>
      <c r="L2066" s="18">
        <v>1652591.65</v>
      </c>
      <c r="M2066" t="s">
        <v>2661</v>
      </c>
    </row>
    <row r="2067" spans="1:13" ht="15" thickBot="1" x14ac:dyDescent="0.35">
      <c r="A2067" s="14">
        <v>2060</v>
      </c>
      <c r="B2067" s="15">
        <v>45722</v>
      </c>
      <c r="C2067" s="15">
        <v>45722</v>
      </c>
      <c r="D2067" s="16" t="s">
        <v>1192</v>
      </c>
      <c r="E2067" s="16" t="s">
        <v>1193</v>
      </c>
      <c r="F2067" s="16" t="s">
        <v>2545</v>
      </c>
      <c r="G2067" s="16" t="s">
        <v>1197</v>
      </c>
      <c r="H2067" s="14" t="str">
        <f>"20250306/103577"</f>
        <v>20250306/103577</v>
      </c>
      <c r="I2067" s="19" t="str">
        <f t="shared" si="144"/>
        <v> </v>
      </c>
      <c r="J2067" s="18">
        <v>274.56</v>
      </c>
      <c r="K2067" s="18">
        <v>0</v>
      </c>
      <c r="L2067" s="18">
        <v>1652866.21</v>
      </c>
      <c r="M2067" t="s">
        <v>2658</v>
      </c>
    </row>
    <row r="2068" spans="1:13" ht="15" thickBot="1" x14ac:dyDescent="0.35">
      <c r="A2068" s="14">
        <v>2061</v>
      </c>
      <c r="B2068" s="15">
        <v>45722</v>
      </c>
      <c r="C2068" s="15">
        <v>45722</v>
      </c>
      <c r="D2068" s="16" t="s">
        <v>1192</v>
      </c>
      <c r="E2068" s="16" t="s">
        <v>1193</v>
      </c>
      <c r="F2068" s="16" t="s">
        <v>2546</v>
      </c>
      <c r="G2068" s="16" t="s">
        <v>1197</v>
      </c>
      <c r="H2068" s="14" t="str">
        <f>"20250306/245106"</f>
        <v>20250306/245106</v>
      </c>
      <c r="I2068" s="19" t="str">
        <f t="shared" si="144"/>
        <v> </v>
      </c>
      <c r="J2068" s="18">
        <v>3909.09</v>
      </c>
      <c r="K2068" s="18">
        <v>0</v>
      </c>
      <c r="L2068" s="18">
        <v>1656775.3</v>
      </c>
    </row>
    <row r="2069" spans="1:13" ht="15" thickBot="1" x14ac:dyDescent="0.35">
      <c r="A2069" s="14">
        <v>2062</v>
      </c>
      <c r="B2069" s="15">
        <v>45722</v>
      </c>
      <c r="C2069" s="15">
        <v>45722</v>
      </c>
      <c r="D2069" s="16" t="s">
        <v>1192</v>
      </c>
      <c r="E2069" s="16" t="s">
        <v>1193</v>
      </c>
      <c r="F2069" s="16" t="s">
        <v>2547</v>
      </c>
      <c r="G2069" s="16" t="s">
        <v>1197</v>
      </c>
      <c r="H2069" s="14" t="str">
        <f>"20250306/245107"</f>
        <v>20250306/245107</v>
      </c>
      <c r="I2069" s="19" t="str">
        <f t="shared" si="144"/>
        <v> </v>
      </c>
      <c r="J2069" s="18">
        <v>369044.75</v>
      </c>
      <c r="K2069" s="18">
        <v>0</v>
      </c>
      <c r="L2069" s="18">
        <v>2025820.05</v>
      </c>
    </row>
    <row r="2070" spans="1:13" ht="15" thickBot="1" x14ac:dyDescent="0.35">
      <c r="A2070" s="14">
        <v>2063</v>
      </c>
      <c r="B2070" s="15">
        <v>45722</v>
      </c>
      <c r="C2070" s="15">
        <v>45722</v>
      </c>
      <c r="D2070" s="16" t="s">
        <v>1192</v>
      </c>
      <c r="E2070" s="16" t="s">
        <v>1193</v>
      </c>
      <c r="F2070" s="16" t="s">
        <v>2546</v>
      </c>
      <c r="G2070" s="16" t="s">
        <v>1197</v>
      </c>
      <c r="H2070" s="14" t="str">
        <f>"20250306/245108"</f>
        <v>20250306/245108</v>
      </c>
      <c r="I2070" s="19" t="str">
        <f t="shared" si="144"/>
        <v> </v>
      </c>
      <c r="J2070" s="18">
        <v>464741.84</v>
      </c>
      <c r="K2070" s="18">
        <v>0</v>
      </c>
      <c r="L2070" s="18">
        <v>2490561.89</v>
      </c>
    </row>
    <row r="2071" spans="1:13" ht="15" thickBot="1" x14ac:dyDescent="0.35">
      <c r="A2071" s="14">
        <v>2064</v>
      </c>
      <c r="B2071" s="15">
        <v>45722</v>
      </c>
      <c r="C2071" s="15">
        <v>45722</v>
      </c>
      <c r="D2071" s="16" t="s">
        <v>1192</v>
      </c>
      <c r="E2071" s="16" t="s">
        <v>1193</v>
      </c>
      <c r="F2071" s="16" t="s">
        <v>2548</v>
      </c>
      <c r="G2071" s="16" t="s">
        <v>1197</v>
      </c>
      <c r="H2071" s="14" t="str">
        <f>"20250306/286863"</f>
        <v>20250306/286863</v>
      </c>
      <c r="I2071" s="19" t="str">
        <f t="shared" si="144"/>
        <v> </v>
      </c>
      <c r="J2071" s="18">
        <v>0</v>
      </c>
      <c r="K2071" s="18">
        <v>3909.09</v>
      </c>
      <c r="L2071" s="18">
        <v>2486652.7999999998</v>
      </c>
    </row>
    <row r="2072" spans="1:13" ht="15" thickBot="1" x14ac:dyDescent="0.35">
      <c r="A2072" s="14">
        <v>2065</v>
      </c>
      <c r="B2072" s="15">
        <v>45722</v>
      </c>
      <c r="C2072" s="15">
        <v>45722</v>
      </c>
      <c r="D2072" s="16" t="s">
        <v>1192</v>
      </c>
      <c r="E2072" s="16" t="s">
        <v>1193</v>
      </c>
      <c r="F2072" s="16" t="s">
        <v>2549</v>
      </c>
      <c r="G2072" s="16" t="s">
        <v>1197</v>
      </c>
      <c r="H2072" s="14" t="str">
        <f>"20250306/286864"</f>
        <v>20250306/286864</v>
      </c>
      <c r="I2072" s="19" t="str">
        <f t="shared" si="144"/>
        <v> </v>
      </c>
      <c r="J2072" s="18">
        <v>0</v>
      </c>
      <c r="K2072" s="18">
        <v>383591.65</v>
      </c>
      <c r="L2072" s="18">
        <v>2103061.15</v>
      </c>
    </row>
    <row r="2073" spans="1:13" ht="15" thickBot="1" x14ac:dyDescent="0.35">
      <c r="A2073" s="14">
        <v>2066</v>
      </c>
      <c r="B2073" s="15">
        <v>45722</v>
      </c>
      <c r="C2073" s="15">
        <v>45722</v>
      </c>
      <c r="D2073" s="16" t="s">
        <v>1192</v>
      </c>
      <c r="E2073" s="16" t="s">
        <v>1193</v>
      </c>
      <c r="F2073" s="16" t="s">
        <v>2548</v>
      </c>
      <c r="G2073" s="16" t="s">
        <v>1197</v>
      </c>
      <c r="H2073" s="14" t="str">
        <f>"20250306/286865"</f>
        <v>20250306/286865</v>
      </c>
      <c r="I2073" s="19" t="str">
        <f t="shared" si="144"/>
        <v> </v>
      </c>
      <c r="J2073" s="18">
        <v>0</v>
      </c>
      <c r="K2073" s="18">
        <v>486663.92</v>
      </c>
      <c r="L2073" s="18">
        <v>1616397.23</v>
      </c>
    </row>
    <row r="2074" spans="1:13" ht="15" thickBot="1" x14ac:dyDescent="0.35">
      <c r="A2074" s="14">
        <v>2067</v>
      </c>
      <c r="B2074" s="15">
        <v>45722</v>
      </c>
      <c r="C2074" s="15">
        <v>45723</v>
      </c>
      <c r="D2074" s="16" t="s">
        <v>1192</v>
      </c>
      <c r="E2074" s="16" t="s">
        <v>1193</v>
      </c>
      <c r="F2074" s="16" t="s">
        <v>2550</v>
      </c>
      <c r="G2074" s="16" t="s">
        <v>1197</v>
      </c>
      <c r="H2074" s="14" t="str">
        <f>"20250306/153691"</f>
        <v>20250306/153691</v>
      </c>
      <c r="I2074" s="19" t="str">
        <f>"2503001398020"</f>
        <v>2503001398020</v>
      </c>
      <c r="J2074" s="18">
        <v>8445.89</v>
      </c>
      <c r="K2074" s="18">
        <v>0</v>
      </c>
      <c r="L2074" s="18">
        <v>1624843.12</v>
      </c>
    </row>
    <row r="2075" spans="1:13" ht="15" thickBot="1" x14ac:dyDescent="0.35">
      <c r="A2075" s="14">
        <v>2068</v>
      </c>
      <c r="B2075" s="15">
        <v>45723</v>
      </c>
      <c r="C2075" s="15">
        <v>45723</v>
      </c>
      <c r="D2075" s="16" t="s">
        <v>1192</v>
      </c>
      <c r="E2075" s="16" t="s">
        <v>1193</v>
      </c>
      <c r="F2075" s="16" t="s">
        <v>1202</v>
      </c>
      <c r="G2075" s="16" t="s">
        <v>1203</v>
      </c>
      <c r="H2075" s="14" t="str">
        <f>"20250307/11787"</f>
        <v>20250307/11787</v>
      </c>
      <c r="I2075" s="17" t="str">
        <f t="shared" ref="I2075:I2084" si="145">" "</f>
        <v> </v>
      </c>
      <c r="J2075" s="18">
        <v>24172.52</v>
      </c>
      <c r="K2075" s="18">
        <v>0</v>
      </c>
      <c r="L2075" s="18">
        <v>1649015.64</v>
      </c>
      <c r="M2075" t="s">
        <v>2661</v>
      </c>
    </row>
    <row r="2076" spans="1:13" ht="15" thickBot="1" x14ac:dyDescent="0.35">
      <c r="A2076" s="14">
        <v>2069</v>
      </c>
      <c r="B2076" s="15">
        <v>45723</v>
      </c>
      <c r="C2076" s="15">
        <v>45723</v>
      </c>
      <c r="D2076" s="16" t="s">
        <v>1192</v>
      </c>
      <c r="E2076" s="16" t="s">
        <v>1193</v>
      </c>
      <c r="F2076" s="16" t="s">
        <v>1194</v>
      </c>
      <c r="G2076" s="16" t="s">
        <v>1195</v>
      </c>
      <c r="H2076" s="14" t="str">
        <f>"20250307/13656"</f>
        <v>20250307/13656</v>
      </c>
      <c r="I2076" s="17" t="str">
        <f t="shared" si="145"/>
        <v> </v>
      </c>
      <c r="J2076" s="18">
        <v>0</v>
      </c>
      <c r="K2076" s="18">
        <v>277.35000000000002</v>
      </c>
      <c r="L2076" s="18">
        <v>1648738.29</v>
      </c>
      <c r="M2076" t="s">
        <v>2661</v>
      </c>
    </row>
    <row r="2077" spans="1:13" ht="15" thickBot="1" x14ac:dyDescent="0.35">
      <c r="A2077" s="14">
        <v>2070</v>
      </c>
      <c r="B2077" s="15">
        <v>45723</v>
      </c>
      <c r="C2077" s="15">
        <v>45723</v>
      </c>
      <c r="D2077" s="16" t="s">
        <v>1192</v>
      </c>
      <c r="E2077" s="16" t="s">
        <v>1193</v>
      </c>
      <c r="F2077" s="16" t="s">
        <v>1194</v>
      </c>
      <c r="G2077" s="16" t="s">
        <v>1195</v>
      </c>
      <c r="H2077" s="14" t="str">
        <f>"20250307/90640"</f>
        <v>20250307/90640</v>
      </c>
      <c r="I2077" s="17" t="str">
        <f t="shared" si="145"/>
        <v> </v>
      </c>
      <c r="J2077" s="18">
        <v>0</v>
      </c>
      <c r="K2077" s="18">
        <v>10601.98</v>
      </c>
      <c r="L2077" s="18">
        <v>1638136.31</v>
      </c>
      <c r="M2077" t="s">
        <v>2661</v>
      </c>
    </row>
    <row r="2078" spans="1:13" ht="15" thickBot="1" x14ac:dyDescent="0.35">
      <c r="A2078" s="14">
        <v>2071</v>
      </c>
      <c r="B2078" s="15">
        <v>45723</v>
      </c>
      <c r="C2078" s="15">
        <v>45723</v>
      </c>
      <c r="D2078" s="16" t="s">
        <v>1192</v>
      </c>
      <c r="E2078" s="16" t="s">
        <v>1193</v>
      </c>
      <c r="F2078" s="16" t="s">
        <v>2551</v>
      </c>
      <c r="G2078" s="16" t="s">
        <v>1197</v>
      </c>
      <c r="H2078" s="14" t="str">
        <f>"20250307/111834"</f>
        <v>20250307/111834</v>
      </c>
      <c r="I2078" s="19" t="str">
        <f t="shared" si="145"/>
        <v> </v>
      </c>
      <c r="J2078" s="18">
        <v>277.35000000000002</v>
      </c>
      <c r="K2078" s="18">
        <v>0</v>
      </c>
      <c r="L2078" s="18">
        <v>1638413.66</v>
      </c>
      <c r="M2078" t="s">
        <v>2658</v>
      </c>
    </row>
    <row r="2079" spans="1:13" ht="15" thickBot="1" x14ac:dyDescent="0.35">
      <c r="A2079" s="14">
        <v>2072</v>
      </c>
      <c r="B2079" s="15">
        <v>45723</v>
      </c>
      <c r="C2079" s="15">
        <v>45723</v>
      </c>
      <c r="D2079" s="16" t="s">
        <v>1192</v>
      </c>
      <c r="E2079" s="16" t="s">
        <v>1193</v>
      </c>
      <c r="F2079" s="16" t="s">
        <v>2552</v>
      </c>
      <c r="G2079" s="16" t="s">
        <v>1197</v>
      </c>
      <c r="H2079" s="14" t="str">
        <f>"20250307/211038"</f>
        <v>20250307/211038</v>
      </c>
      <c r="I2079" s="19" t="str">
        <f t="shared" si="145"/>
        <v> </v>
      </c>
      <c r="J2079" s="18">
        <v>3909.09</v>
      </c>
      <c r="K2079" s="18">
        <v>0</v>
      </c>
      <c r="L2079" s="18">
        <v>1642322.75</v>
      </c>
    </row>
    <row r="2080" spans="1:13" ht="15" thickBot="1" x14ac:dyDescent="0.35">
      <c r="A2080" s="14">
        <v>2073</v>
      </c>
      <c r="B2080" s="15">
        <v>45723</v>
      </c>
      <c r="C2080" s="15">
        <v>45723</v>
      </c>
      <c r="D2080" s="16" t="s">
        <v>1192</v>
      </c>
      <c r="E2080" s="16" t="s">
        <v>1193</v>
      </c>
      <c r="F2080" s="16" t="s">
        <v>2553</v>
      </c>
      <c r="G2080" s="16" t="s">
        <v>1197</v>
      </c>
      <c r="H2080" s="14" t="str">
        <f>"20250307/211039"</f>
        <v>20250307/211039</v>
      </c>
      <c r="I2080" s="19" t="str">
        <f t="shared" si="145"/>
        <v> </v>
      </c>
      <c r="J2080" s="18">
        <v>367652.6</v>
      </c>
      <c r="K2080" s="18">
        <v>0</v>
      </c>
      <c r="L2080" s="18">
        <v>2009975.35</v>
      </c>
    </row>
    <row r="2081" spans="1:13" ht="15" thickBot="1" x14ac:dyDescent="0.35">
      <c r="A2081" s="14">
        <v>2074</v>
      </c>
      <c r="B2081" s="15">
        <v>45723</v>
      </c>
      <c r="C2081" s="15">
        <v>45723</v>
      </c>
      <c r="D2081" s="16" t="s">
        <v>1192</v>
      </c>
      <c r="E2081" s="16" t="s">
        <v>1193</v>
      </c>
      <c r="F2081" s="16" t="s">
        <v>2552</v>
      </c>
      <c r="G2081" s="16" t="s">
        <v>1197</v>
      </c>
      <c r="H2081" s="14" t="str">
        <f>"20250307/211040"</f>
        <v>20250307/211040</v>
      </c>
      <c r="I2081" s="19" t="str">
        <f t="shared" si="145"/>
        <v> </v>
      </c>
      <c r="J2081" s="18">
        <v>476736.97</v>
      </c>
      <c r="K2081" s="18">
        <v>0</v>
      </c>
      <c r="L2081" s="18">
        <v>2486712.3199999998</v>
      </c>
    </row>
    <row r="2082" spans="1:13" ht="15" thickBot="1" x14ac:dyDescent="0.35">
      <c r="A2082" s="14">
        <v>2075</v>
      </c>
      <c r="B2082" s="15">
        <v>45723</v>
      </c>
      <c r="C2082" s="15">
        <v>45723</v>
      </c>
      <c r="D2082" s="16" t="s">
        <v>1192</v>
      </c>
      <c r="E2082" s="16" t="s">
        <v>1193</v>
      </c>
      <c r="F2082" s="16" t="s">
        <v>2554</v>
      </c>
      <c r="G2082" s="16" t="s">
        <v>1197</v>
      </c>
      <c r="H2082" s="14" t="str">
        <f>"20250307/301924"</f>
        <v>20250307/301924</v>
      </c>
      <c r="I2082" s="19" t="str">
        <f t="shared" si="145"/>
        <v> </v>
      </c>
      <c r="J2082" s="18">
        <v>0</v>
      </c>
      <c r="K2082" s="18">
        <v>3909.09</v>
      </c>
      <c r="L2082" s="18">
        <v>2482803.23</v>
      </c>
    </row>
    <row r="2083" spans="1:13" ht="15" thickBot="1" x14ac:dyDescent="0.35">
      <c r="A2083" s="14">
        <v>2076</v>
      </c>
      <c r="B2083" s="15">
        <v>45723</v>
      </c>
      <c r="C2083" s="15">
        <v>45723</v>
      </c>
      <c r="D2083" s="16" t="s">
        <v>1192</v>
      </c>
      <c r="E2083" s="16" t="s">
        <v>1193</v>
      </c>
      <c r="F2083" s="16" t="s">
        <v>2555</v>
      </c>
      <c r="G2083" s="16" t="s">
        <v>1197</v>
      </c>
      <c r="H2083" s="14" t="str">
        <f>"20250307/301925"</f>
        <v>20250307/301925</v>
      </c>
      <c r="I2083" s="19" t="str">
        <f t="shared" si="145"/>
        <v> </v>
      </c>
      <c r="J2083" s="18">
        <v>0</v>
      </c>
      <c r="K2083" s="18">
        <v>369044.75</v>
      </c>
      <c r="L2083" s="18">
        <v>2113758.48</v>
      </c>
    </row>
    <row r="2084" spans="1:13" ht="15" thickBot="1" x14ac:dyDescent="0.35">
      <c r="A2084" s="14">
        <v>2077</v>
      </c>
      <c r="B2084" s="15">
        <v>45723</v>
      </c>
      <c r="C2084" s="15">
        <v>45723</v>
      </c>
      <c r="D2084" s="16" t="s">
        <v>1192</v>
      </c>
      <c r="E2084" s="16" t="s">
        <v>1193</v>
      </c>
      <c r="F2084" s="16" t="s">
        <v>2554</v>
      </c>
      <c r="G2084" s="16" t="s">
        <v>1197</v>
      </c>
      <c r="H2084" s="14" t="str">
        <f>"20250307/301926"</f>
        <v>20250307/301926</v>
      </c>
      <c r="I2084" s="19" t="str">
        <f t="shared" si="145"/>
        <v> </v>
      </c>
      <c r="J2084" s="18">
        <v>0</v>
      </c>
      <c r="K2084" s="18">
        <v>464741.84</v>
      </c>
      <c r="L2084" s="18">
        <v>1649016.64</v>
      </c>
    </row>
    <row r="2085" spans="1:13" ht="15" thickBot="1" x14ac:dyDescent="0.35">
      <c r="A2085" s="14">
        <v>2078</v>
      </c>
      <c r="B2085" s="15">
        <v>45723</v>
      </c>
      <c r="C2085" s="15">
        <v>45726</v>
      </c>
      <c r="D2085" s="16" t="s">
        <v>1192</v>
      </c>
      <c r="E2085" s="16" t="s">
        <v>1193</v>
      </c>
      <c r="F2085" s="16" t="s">
        <v>2556</v>
      </c>
      <c r="G2085" s="16" t="s">
        <v>1197</v>
      </c>
      <c r="H2085" s="14" t="str">
        <f>"20250307/151174"</f>
        <v>20250307/151174</v>
      </c>
      <c r="I2085" s="19" t="str">
        <f>"2503001834360"</f>
        <v>2503001834360</v>
      </c>
      <c r="J2085" s="18">
        <v>36675.5</v>
      </c>
      <c r="K2085" s="18">
        <v>0</v>
      </c>
      <c r="L2085" s="18">
        <v>1685692.14</v>
      </c>
    </row>
    <row r="2086" spans="1:13" ht="15" thickBot="1" x14ac:dyDescent="0.35">
      <c r="A2086" s="14">
        <v>2079</v>
      </c>
      <c r="B2086" s="15">
        <v>45726</v>
      </c>
      <c r="C2086" s="15">
        <v>45726</v>
      </c>
      <c r="D2086" s="16" t="s">
        <v>1192</v>
      </c>
      <c r="E2086" s="16" t="s">
        <v>1193</v>
      </c>
      <c r="F2086" s="16" t="s">
        <v>1194</v>
      </c>
      <c r="G2086" s="16" t="s">
        <v>1195</v>
      </c>
      <c r="H2086" s="14" t="str">
        <f>"20250310/10341"</f>
        <v>20250310/10341</v>
      </c>
      <c r="I2086" s="17" t="str">
        <f t="shared" ref="I2086:I2121" si="146">" "</f>
        <v> </v>
      </c>
      <c r="J2086" s="18">
        <v>0</v>
      </c>
      <c r="K2086" s="18">
        <v>855.57</v>
      </c>
      <c r="L2086" s="18">
        <v>1684836.57</v>
      </c>
      <c r="M2086" t="s">
        <v>2661</v>
      </c>
    </row>
    <row r="2087" spans="1:13" ht="15" thickBot="1" x14ac:dyDescent="0.35">
      <c r="A2087" s="14">
        <v>2080</v>
      </c>
      <c r="B2087" s="15">
        <v>45726</v>
      </c>
      <c r="C2087" s="15">
        <v>45726</v>
      </c>
      <c r="D2087" s="16" t="s">
        <v>1192</v>
      </c>
      <c r="E2087" s="16" t="s">
        <v>1193</v>
      </c>
      <c r="F2087" s="16" t="s">
        <v>1194</v>
      </c>
      <c r="G2087" s="16" t="s">
        <v>1195</v>
      </c>
      <c r="H2087" s="14" t="str">
        <f>"20250310/118110"</f>
        <v>20250310/118110</v>
      </c>
      <c r="I2087" s="17" t="str">
        <f t="shared" si="146"/>
        <v> </v>
      </c>
      <c r="J2087" s="18">
        <v>0</v>
      </c>
      <c r="K2087" s="18">
        <v>12828.48</v>
      </c>
      <c r="L2087" s="18">
        <v>1672008.09</v>
      </c>
      <c r="M2087" t="s">
        <v>2661</v>
      </c>
    </row>
    <row r="2088" spans="1:13" ht="15" thickBot="1" x14ac:dyDescent="0.35">
      <c r="A2088" s="14">
        <v>2081</v>
      </c>
      <c r="B2088" s="15">
        <v>45726</v>
      </c>
      <c r="C2088" s="15">
        <v>45726</v>
      </c>
      <c r="D2088" s="16" t="s">
        <v>1192</v>
      </c>
      <c r="E2088" s="16" t="s">
        <v>1193</v>
      </c>
      <c r="F2088" s="16" t="s">
        <v>2557</v>
      </c>
      <c r="G2088" s="16" t="s">
        <v>1197</v>
      </c>
      <c r="H2088" s="14" t="str">
        <f>"20250310/207835"</f>
        <v>20250310/207835</v>
      </c>
      <c r="I2088" s="19" t="str">
        <f t="shared" si="146"/>
        <v> </v>
      </c>
      <c r="J2088" s="18">
        <v>3909.09</v>
      </c>
      <c r="K2088" s="18">
        <v>0</v>
      </c>
      <c r="L2088" s="18">
        <v>1675917.18</v>
      </c>
    </row>
    <row r="2089" spans="1:13" ht="15" thickBot="1" x14ac:dyDescent="0.35">
      <c r="A2089" s="14">
        <v>2082</v>
      </c>
      <c r="B2089" s="15">
        <v>45726</v>
      </c>
      <c r="C2089" s="15">
        <v>45726</v>
      </c>
      <c r="D2089" s="16" t="s">
        <v>1192</v>
      </c>
      <c r="E2089" s="16" t="s">
        <v>1193</v>
      </c>
      <c r="F2089" s="16" t="s">
        <v>2558</v>
      </c>
      <c r="G2089" s="16" t="s">
        <v>1197</v>
      </c>
      <c r="H2089" s="14" t="str">
        <f>"20250310/207836"</f>
        <v>20250310/207836</v>
      </c>
      <c r="I2089" s="19" t="str">
        <f t="shared" si="146"/>
        <v> </v>
      </c>
      <c r="J2089" s="18">
        <v>386710.25</v>
      </c>
      <c r="K2089" s="18">
        <v>0</v>
      </c>
      <c r="L2089" s="18">
        <v>2062627.43</v>
      </c>
    </row>
    <row r="2090" spans="1:13" ht="15" thickBot="1" x14ac:dyDescent="0.35">
      <c r="A2090" s="14">
        <v>2083</v>
      </c>
      <c r="B2090" s="15">
        <v>45726</v>
      </c>
      <c r="C2090" s="15">
        <v>45726</v>
      </c>
      <c r="D2090" s="16" t="s">
        <v>1192</v>
      </c>
      <c r="E2090" s="16" t="s">
        <v>1193</v>
      </c>
      <c r="F2090" s="16" t="s">
        <v>2557</v>
      </c>
      <c r="G2090" s="16" t="s">
        <v>1197</v>
      </c>
      <c r="H2090" s="14" t="str">
        <f>"20250310/207837"</f>
        <v>20250310/207837</v>
      </c>
      <c r="I2090" s="19" t="str">
        <f t="shared" si="146"/>
        <v> </v>
      </c>
      <c r="J2090" s="18">
        <v>470507.8</v>
      </c>
      <c r="K2090" s="18">
        <v>0</v>
      </c>
      <c r="L2090" s="18">
        <v>2533135.23</v>
      </c>
    </row>
    <row r="2091" spans="1:13" ht="15" thickBot="1" x14ac:dyDescent="0.35">
      <c r="A2091" s="14">
        <v>2084</v>
      </c>
      <c r="B2091" s="15">
        <v>45726</v>
      </c>
      <c r="C2091" s="15">
        <v>45726</v>
      </c>
      <c r="D2091" s="16" t="s">
        <v>1192</v>
      </c>
      <c r="E2091" s="16" t="s">
        <v>1193</v>
      </c>
      <c r="F2091" s="16" t="s">
        <v>2559</v>
      </c>
      <c r="G2091" s="16" t="s">
        <v>1197</v>
      </c>
      <c r="H2091" s="14" t="str">
        <f>"20250310/345043"</f>
        <v>20250310/345043</v>
      </c>
      <c r="I2091" s="19" t="str">
        <f t="shared" si="146"/>
        <v> </v>
      </c>
      <c r="J2091" s="18">
        <v>0</v>
      </c>
      <c r="K2091" s="18">
        <v>3909.09</v>
      </c>
      <c r="L2091" s="18">
        <v>2529226.14</v>
      </c>
    </row>
    <row r="2092" spans="1:13" ht="15" thickBot="1" x14ac:dyDescent="0.35">
      <c r="A2092" s="14">
        <v>2085</v>
      </c>
      <c r="B2092" s="15">
        <v>45726</v>
      </c>
      <c r="C2092" s="15">
        <v>45726</v>
      </c>
      <c r="D2092" s="16" t="s">
        <v>1192</v>
      </c>
      <c r="E2092" s="16" t="s">
        <v>1193</v>
      </c>
      <c r="F2092" s="16" t="s">
        <v>2560</v>
      </c>
      <c r="G2092" s="16" t="s">
        <v>1197</v>
      </c>
      <c r="H2092" s="14" t="str">
        <f>"20250310/345044"</f>
        <v>20250310/345044</v>
      </c>
      <c r="I2092" s="19" t="str">
        <f t="shared" si="146"/>
        <v> </v>
      </c>
      <c r="J2092" s="18">
        <v>0</v>
      </c>
      <c r="K2092" s="18">
        <v>367652.6</v>
      </c>
      <c r="L2092" s="18">
        <v>2161573.54</v>
      </c>
    </row>
    <row r="2093" spans="1:13" ht="15" thickBot="1" x14ac:dyDescent="0.35">
      <c r="A2093" s="14">
        <v>2086</v>
      </c>
      <c r="B2093" s="15">
        <v>45726</v>
      </c>
      <c r="C2093" s="15">
        <v>45726</v>
      </c>
      <c r="D2093" s="16" t="s">
        <v>1192</v>
      </c>
      <c r="E2093" s="16" t="s">
        <v>1193</v>
      </c>
      <c r="F2093" s="16" t="s">
        <v>2559</v>
      </c>
      <c r="G2093" s="16" t="s">
        <v>1197</v>
      </c>
      <c r="H2093" s="14" t="str">
        <f>"20250310/345045"</f>
        <v>20250310/345045</v>
      </c>
      <c r="I2093" s="19" t="str">
        <f t="shared" si="146"/>
        <v> </v>
      </c>
      <c r="J2093" s="18">
        <v>0</v>
      </c>
      <c r="K2093" s="18">
        <v>476736.97</v>
      </c>
      <c r="L2093" s="18">
        <v>1684836.57</v>
      </c>
    </row>
    <row r="2094" spans="1:13" ht="15" thickBot="1" x14ac:dyDescent="0.35">
      <c r="A2094" s="14">
        <v>2087</v>
      </c>
      <c r="B2094" s="15">
        <v>45726</v>
      </c>
      <c r="C2094" s="15">
        <v>45726</v>
      </c>
      <c r="D2094" s="16" t="s">
        <v>1192</v>
      </c>
      <c r="E2094" s="16" t="s">
        <v>1193</v>
      </c>
      <c r="F2094" s="16" t="s">
        <v>2561</v>
      </c>
      <c r="G2094" s="16" t="s">
        <v>1197</v>
      </c>
      <c r="H2094" s="14" t="str">
        <f>"20250310/96135"</f>
        <v>20250310/96135</v>
      </c>
      <c r="I2094" s="19" t="str">
        <f t="shared" si="146"/>
        <v> </v>
      </c>
      <c r="J2094" s="18">
        <v>855.57</v>
      </c>
      <c r="K2094" s="18">
        <v>0</v>
      </c>
      <c r="L2094" s="18">
        <v>1685692.14</v>
      </c>
      <c r="M2094" t="s">
        <v>2658</v>
      </c>
    </row>
    <row r="2095" spans="1:13" ht="15" thickBot="1" x14ac:dyDescent="0.35">
      <c r="A2095" s="14">
        <v>2088</v>
      </c>
      <c r="B2095" s="15">
        <v>45727</v>
      </c>
      <c r="C2095" s="15">
        <v>45727</v>
      </c>
      <c r="D2095" s="16" t="s">
        <v>1192</v>
      </c>
      <c r="E2095" s="16" t="s">
        <v>1193</v>
      </c>
      <c r="F2095" s="16" t="s">
        <v>1194</v>
      </c>
      <c r="G2095" s="16" t="s">
        <v>1195</v>
      </c>
      <c r="H2095" s="14" t="str">
        <f>"20250311/36969"</f>
        <v>20250311/36969</v>
      </c>
      <c r="I2095" s="17" t="str">
        <f t="shared" si="146"/>
        <v> </v>
      </c>
      <c r="J2095" s="18">
        <v>0</v>
      </c>
      <c r="K2095" s="18">
        <v>293.68</v>
      </c>
      <c r="L2095" s="18">
        <v>1685398.46</v>
      </c>
      <c r="M2095" t="s">
        <v>2661</v>
      </c>
    </row>
    <row r="2096" spans="1:13" ht="15" thickBot="1" x14ac:dyDescent="0.35">
      <c r="A2096" s="14">
        <v>2089</v>
      </c>
      <c r="B2096" s="15">
        <v>45727</v>
      </c>
      <c r="C2096" s="15">
        <v>45727</v>
      </c>
      <c r="D2096" s="16" t="s">
        <v>1192</v>
      </c>
      <c r="E2096" s="16" t="s">
        <v>1193</v>
      </c>
      <c r="F2096" s="16" t="s">
        <v>1194</v>
      </c>
      <c r="G2096" s="16" t="s">
        <v>1195</v>
      </c>
      <c r="H2096" s="14" t="str">
        <f>"20250311/97702"</f>
        <v>20250311/97702</v>
      </c>
      <c r="I2096" s="17" t="str">
        <f t="shared" si="146"/>
        <v> </v>
      </c>
      <c r="J2096" s="18">
        <v>0</v>
      </c>
      <c r="K2096" s="18">
        <v>5570.88</v>
      </c>
      <c r="L2096" s="18">
        <v>1679827.58</v>
      </c>
      <c r="M2096" t="s">
        <v>2661</v>
      </c>
    </row>
    <row r="2097" spans="1:13" ht="15" thickBot="1" x14ac:dyDescent="0.35">
      <c r="A2097" s="14">
        <v>2090</v>
      </c>
      <c r="B2097" s="15">
        <v>45727</v>
      </c>
      <c r="C2097" s="15">
        <v>45727</v>
      </c>
      <c r="D2097" s="16" t="s">
        <v>1192</v>
      </c>
      <c r="E2097" s="16" t="s">
        <v>1193</v>
      </c>
      <c r="F2097" s="16" t="s">
        <v>2562</v>
      </c>
      <c r="G2097" s="16" t="s">
        <v>1197</v>
      </c>
      <c r="H2097" s="14" t="str">
        <f>"20250311/240404"</f>
        <v>20250311/240404</v>
      </c>
      <c r="I2097" s="19" t="str">
        <f t="shared" si="146"/>
        <v> </v>
      </c>
      <c r="J2097" s="18">
        <v>3909.09</v>
      </c>
      <c r="K2097" s="18">
        <v>0</v>
      </c>
      <c r="L2097" s="18">
        <v>1683736.67</v>
      </c>
    </row>
    <row r="2098" spans="1:13" ht="15" thickBot="1" x14ac:dyDescent="0.35">
      <c r="A2098" s="14">
        <v>2091</v>
      </c>
      <c r="B2098" s="15">
        <v>45727</v>
      </c>
      <c r="C2098" s="15">
        <v>45727</v>
      </c>
      <c r="D2098" s="16" t="s">
        <v>1192</v>
      </c>
      <c r="E2098" s="16" t="s">
        <v>1193</v>
      </c>
      <c r="F2098" s="16" t="s">
        <v>2563</v>
      </c>
      <c r="G2098" s="16" t="s">
        <v>1197</v>
      </c>
      <c r="H2098" s="14" t="str">
        <f>"20250311/240405"</f>
        <v>20250311/240405</v>
      </c>
      <c r="I2098" s="19" t="str">
        <f t="shared" si="146"/>
        <v> </v>
      </c>
      <c r="J2098" s="18">
        <v>396171.95</v>
      </c>
      <c r="K2098" s="18">
        <v>0</v>
      </c>
      <c r="L2098" s="18">
        <v>2079908.62</v>
      </c>
    </row>
    <row r="2099" spans="1:13" ht="15" thickBot="1" x14ac:dyDescent="0.35">
      <c r="A2099" s="14">
        <v>2092</v>
      </c>
      <c r="B2099" s="15">
        <v>45727</v>
      </c>
      <c r="C2099" s="15">
        <v>45727</v>
      </c>
      <c r="D2099" s="16" t="s">
        <v>1192</v>
      </c>
      <c r="E2099" s="16" t="s">
        <v>1193</v>
      </c>
      <c r="F2099" s="16" t="s">
        <v>2562</v>
      </c>
      <c r="G2099" s="16" t="s">
        <v>1197</v>
      </c>
      <c r="H2099" s="14" t="str">
        <f>"20250311/240406"</f>
        <v>20250311/240406</v>
      </c>
      <c r="I2099" s="19" t="str">
        <f t="shared" si="146"/>
        <v> </v>
      </c>
      <c r="J2099" s="18">
        <v>466616.98</v>
      </c>
      <c r="K2099" s="18">
        <v>0</v>
      </c>
      <c r="L2099" s="18">
        <v>2546525.6</v>
      </c>
    </row>
    <row r="2100" spans="1:13" ht="15" thickBot="1" x14ac:dyDescent="0.35">
      <c r="A2100" s="14">
        <v>2093</v>
      </c>
      <c r="B2100" s="15">
        <v>45727</v>
      </c>
      <c r="C2100" s="15">
        <v>45727</v>
      </c>
      <c r="D2100" s="16" t="s">
        <v>1192</v>
      </c>
      <c r="E2100" s="16" t="s">
        <v>1193</v>
      </c>
      <c r="F2100" s="16" t="s">
        <v>2564</v>
      </c>
      <c r="G2100" s="16" t="s">
        <v>1197</v>
      </c>
      <c r="H2100" s="14" t="str">
        <f>"20250311/311740"</f>
        <v>20250311/311740</v>
      </c>
      <c r="I2100" s="19" t="str">
        <f t="shared" si="146"/>
        <v> </v>
      </c>
      <c r="J2100" s="18">
        <v>0</v>
      </c>
      <c r="K2100" s="18">
        <v>3909.09</v>
      </c>
      <c r="L2100" s="18">
        <v>2542616.5099999998</v>
      </c>
    </row>
    <row r="2101" spans="1:13" ht="15" thickBot="1" x14ac:dyDescent="0.35">
      <c r="A2101" s="14">
        <v>2094</v>
      </c>
      <c r="B2101" s="15">
        <v>45727</v>
      </c>
      <c r="C2101" s="15">
        <v>45727</v>
      </c>
      <c r="D2101" s="16" t="s">
        <v>1192</v>
      </c>
      <c r="E2101" s="16" t="s">
        <v>1193</v>
      </c>
      <c r="F2101" s="16" t="s">
        <v>2565</v>
      </c>
      <c r="G2101" s="16" t="s">
        <v>1197</v>
      </c>
      <c r="H2101" s="14" t="str">
        <f>"20250311/311741"</f>
        <v>20250311/311741</v>
      </c>
      <c r="I2101" s="19" t="str">
        <f t="shared" si="146"/>
        <v> </v>
      </c>
      <c r="J2101" s="18">
        <v>0</v>
      </c>
      <c r="K2101" s="18">
        <v>386710.25</v>
      </c>
      <c r="L2101" s="18">
        <v>2155906.2599999998</v>
      </c>
    </row>
    <row r="2102" spans="1:13" ht="15" thickBot="1" x14ac:dyDescent="0.35">
      <c r="A2102" s="14">
        <v>2095</v>
      </c>
      <c r="B2102" s="15">
        <v>45727</v>
      </c>
      <c r="C2102" s="15">
        <v>45727</v>
      </c>
      <c r="D2102" s="16" t="s">
        <v>1192</v>
      </c>
      <c r="E2102" s="16" t="s">
        <v>1193</v>
      </c>
      <c r="F2102" s="16" t="s">
        <v>2564</v>
      </c>
      <c r="G2102" s="16" t="s">
        <v>1197</v>
      </c>
      <c r="H2102" s="14" t="str">
        <f>"20250311/311742"</f>
        <v>20250311/311742</v>
      </c>
      <c r="I2102" s="19" t="str">
        <f t="shared" si="146"/>
        <v> </v>
      </c>
      <c r="J2102" s="18">
        <v>0</v>
      </c>
      <c r="K2102" s="18">
        <v>470507.8</v>
      </c>
      <c r="L2102" s="18">
        <v>1685398.46</v>
      </c>
    </row>
    <row r="2103" spans="1:13" ht="15" thickBot="1" x14ac:dyDescent="0.35">
      <c r="A2103" s="14">
        <v>2096</v>
      </c>
      <c r="B2103" s="15">
        <v>45727</v>
      </c>
      <c r="C2103" s="15">
        <v>45727</v>
      </c>
      <c r="D2103" s="16" t="s">
        <v>1192</v>
      </c>
      <c r="E2103" s="16" t="s">
        <v>1193</v>
      </c>
      <c r="F2103" s="16" t="s">
        <v>2566</v>
      </c>
      <c r="G2103" s="16" t="s">
        <v>1197</v>
      </c>
      <c r="H2103" s="14" t="str">
        <f>"20250311/80927"</f>
        <v>20250311/80927</v>
      </c>
      <c r="I2103" s="19" t="str">
        <f t="shared" si="146"/>
        <v> </v>
      </c>
      <c r="J2103" s="18">
        <v>293.68</v>
      </c>
      <c r="K2103" s="18">
        <v>0</v>
      </c>
      <c r="L2103" s="18">
        <v>1685692.14</v>
      </c>
      <c r="M2103" t="s">
        <v>2658</v>
      </c>
    </row>
    <row r="2104" spans="1:13" ht="15" thickBot="1" x14ac:dyDescent="0.35">
      <c r="A2104" s="14">
        <v>2097</v>
      </c>
      <c r="B2104" s="15">
        <v>45728</v>
      </c>
      <c r="C2104" s="15">
        <v>45728</v>
      </c>
      <c r="D2104" s="16" t="s">
        <v>1192</v>
      </c>
      <c r="E2104" s="16" t="s">
        <v>1193</v>
      </c>
      <c r="F2104" s="16" t="s">
        <v>1194</v>
      </c>
      <c r="G2104" s="16" t="s">
        <v>1195</v>
      </c>
      <c r="H2104" s="14" t="str">
        <f>"20250312/38718"</f>
        <v>20250312/38718</v>
      </c>
      <c r="I2104" s="17" t="str">
        <f t="shared" si="146"/>
        <v> </v>
      </c>
      <c r="J2104" s="18">
        <v>0</v>
      </c>
      <c r="K2104" s="18">
        <v>291.7</v>
      </c>
      <c r="L2104" s="18">
        <v>1685400.44</v>
      </c>
      <c r="M2104" t="s">
        <v>2661</v>
      </c>
    </row>
    <row r="2105" spans="1:13" ht="15" thickBot="1" x14ac:dyDescent="0.35">
      <c r="A2105" s="14">
        <v>2098</v>
      </c>
      <c r="B2105" s="15">
        <v>45728</v>
      </c>
      <c r="C2105" s="15">
        <v>45728</v>
      </c>
      <c r="D2105" s="16" t="s">
        <v>1192</v>
      </c>
      <c r="E2105" s="16" t="s">
        <v>1193</v>
      </c>
      <c r="F2105" s="16" t="s">
        <v>1194</v>
      </c>
      <c r="G2105" s="16" t="s">
        <v>1195</v>
      </c>
      <c r="H2105" s="14" t="str">
        <f>"20250312/83383"</f>
        <v>20250312/83383</v>
      </c>
      <c r="I2105" s="17" t="str">
        <f t="shared" si="146"/>
        <v> </v>
      </c>
      <c r="J2105" s="18">
        <v>0</v>
      </c>
      <c r="K2105" s="18">
        <v>5749.35</v>
      </c>
      <c r="L2105" s="18">
        <v>1679651.09</v>
      </c>
      <c r="M2105" t="s">
        <v>2661</v>
      </c>
    </row>
    <row r="2106" spans="1:13" ht="15" thickBot="1" x14ac:dyDescent="0.35">
      <c r="A2106" s="14">
        <v>2099</v>
      </c>
      <c r="B2106" s="15">
        <v>45728</v>
      </c>
      <c r="C2106" s="15">
        <v>45728</v>
      </c>
      <c r="D2106" s="16" t="s">
        <v>1192</v>
      </c>
      <c r="E2106" s="16" t="s">
        <v>1193</v>
      </c>
      <c r="F2106" s="16" t="s">
        <v>2567</v>
      </c>
      <c r="G2106" s="16" t="s">
        <v>1197</v>
      </c>
      <c r="H2106" s="14" t="str">
        <f>"20250312/112054"</f>
        <v>20250312/112054</v>
      </c>
      <c r="I2106" s="19" t="str">
        <f t="shared" si="146"/>
        <v> </v>
      </c>
      <c r="J2106" s="18">
        <v>291.7</v>
      </c>
      <c r="K2106" s="18">
        <v>0</v>
      </c>
      <c r="L2106" s="18">
        <v>1679942.79</v>
      </c>
      <c r="M2106" t="s">
        <v>2658</v>
      </c>
    </row>
    <row r="2107" spans="1:13" ht="15" thickBot="1" x14ac:dyDescent="0.35">
      <c r="A2107" s="14">
        <v>2100</v>
      </c>
      <c r="B2107" s="15">
        <v>45728</v>
      </c>
      <c r="C2107" s="15">
        <v>45728</v>
      </c>
      <c r="D2107" s="16" t="s">
        <v>1192</v>
      </c>
      <c r="E2107" s="16" t="s">
        <v>1193</v>
      </c>
      <c r="F2107" s="16" t="s">
        <v>2568</v>
      </c>
      <c r="G2107" s="16" t="s">
        <v>1197</v>
      </c>
      <c r="H2107" s="14" t="str">
        <f>"20250312/258198"</f>
        <v>20250312/258198</v>
      </c>
      <c r="I2107" s="19" t="str">
        <f t="shared" si="146"/>
        <v> </v>
      </c>
      <c r="J2107" s="18">
        <v>3909.09</v>
      </c>
      <c r="K2107" s="18">
        <v>0</v>
      </c>
      <c r="L2107" s="18">
        <v>1683851.88</v>
      </c>
    </row>
    <row r="2108" spans="1:13" ht="15" thickBot="1" x14ac:dyDescent="0.35">
      <c r="A2108" s="14">
        <v>2101</v>
      </c>
      <c r="B2108" s="15">
        <v>45728</v>
      </c>
      <c r="C2108" s="15">
        <v>45728</v>
      </c>
      <c r="D2108" s="16" t="s">
        <v>1192</v>
      </c>
      <c r="E2108" s="16" t="s">
        <v>1193</v>
      </c>
      <c r="F2108" s="16" t="s">
        <v>2569</v>
      </c>
      <c r="G2108" s="16" t="s">
        <v>1197</v>
      </c>
      <c r="H2108" s="14" t="str">
        <f>"20250312/258199"</f>
        <v>20250312/258199</v>
      </c>
      <c r="I2108" s="19" t="str">
        <f t="shared" si="146"/>
        <v> </v>
      </c>
      <c r="J2108" s="18">
        <v>405422.45</v>
      </c>
      <c r="K2108" s="18">
        <v>0</v>
      </c>
      <c r="L2108" s="18">
        <v>2089274.33</v>
      </c>
    </row>
    <row r="2109" spans="1:13" ht="15" thickBot="1" x14ac:dyDescent="0.35">
      <c r="A2109" s="14">
        <v>2102</v>
      </c>
      <c r="B2109" s="15">
        <v>45728</v>
      </c>
      <c r="C2109" s="15">
        <v>45728</v>
      </c>
      <c r="D2109" s="16" t="s">
        <v>1192</v>
      </c>
      <c r="E2109" s="16" t="s">
        <v>1193</v>
      </c>
      <c r="F2109" s="16" t="s">
        <v>2568</v>
      </c>
      <c r="G2109" s="16" t="s">
        <v>1197</v>
      </c>
      <c r="H2109" s="14" t="str">
        <f>"20250312/258200"</f>
        <v>20250312/258200</v>
      </c>
      <c r="I2109" s="19" t="str">
        <f t="shared" si="146"/>
        <v> </v>
      </c>
      <c r="J2109" s="18">
        <v>463115.83</v>
      </c>
      <c r="K2109" s="18">
        <v>0</v>
      </c>
      <c r="L2109" s="18">
        <v>2552390.16</v>
      </c>
    </row>
    <row r="2110" spans="1:13" ht="15" thickBot="1" x14ac:dyDescent="0.35">
      <c r="A2110" s="14">
        <v>2103</v>
      </c>
      <c r="B2110" s="15">
        <v>45728</v>
      </c>
      <c r="C2110" s="15">
        <v>45728</v>
      </c>
      <c r="D2110" s="16" t="s">
        <v>1192</v>
      </c>
      <c r="E2110" s="16" t="s">
        <v>1193</v>
      </c>
      <c r="F2110" s="16" t="s">
        <v>2570</v>
      </c>
      <c r="G2110" s="16" t="s">
        <v>1197</v>
      </c>
      <c r="H2110" s="14" t="str">
        <f>"20250312/315938"</f>
        <v>20250312/315938</v>
      </c>
      <c r="I2110" s="19" t="str">
        <f t="shared" si="146"/>
        <v> </v>
      </c>
      <c r="J2110" s="18">
        <v>0</v>
      </c>
      <c r="K2110" s="18">
        <v>3909.09</v>
      </c>
      <c r="L2110" s="18">
        <v>2548481.0699999998</v>
      </c>
    </row>
    <row r="2111" spans="1:13" ht="15" thickBot="1" x14ac:dyDescent="0.35">
      <c r="A2111" s="14">
        <v>2104</v>
      </c>
      <c r="B2111" s="15">
        <v>45728</v>
      </c>
      <c r="C2111" s="15">
        <v>45728</v>
      </c>
      <c r="D2111" s="16" t="s">
        <v>1192</v>
      </c>
      <c r="E2111" s="16" t="s">
        <v>1193</v>
      </c>
      <c r="F2111" s="16" t="s">
        <v>2571</v>
      </c>
      <c r="G2111" s="16" t="s">
        <v>1197</v>
      </c>
      <c r="H2111" s="14" t="str">
        <f>"20250312/315939"</f>
        <v>20250312/315939</v>
      </c>
      <c r="I2111" s="19" t="str">
        <f t="shared" si="146"/>
        <v> </v>
      </c>
      <c r="J2111" s="18">
        <v>0</v>
      </c>
      <c r="K2111" s="18">
        <v>396171.95</v>
      </c>
      <c r="L2111" s="18">
        <v>2152309.12</v>
      </c>
    </row>
    <row r="2112" spans="1:13" ht="15" thickBot="1" x14ac:dyDescent="0.35">
      <c r="A2112" s="14">
        <v>2105</v>
      </c>
      <c r="B2112" s="15">
        <v>45728</v>
      </c>
      <c r="C2112" s="15">
        <v>45728</v>
      </c>
      <c r="D2112" s="16" t="s">
        <v>1192</v>
      </c>
      <c r="E2112" s="16" t="s">
        <v>1193</v>
      </c>
      <c r="F2112" s="16" t="s">
        <v>2570</v>
      </c>
      <c r="G2112" s="16" t="s">
        <v>1197</v>
      </c>
      <c r="H2112" s="14" t="str">
        <f>"20250312/315940"</f>
        <v>20250312/315940</v>
      </c>
      <c r="I2112" s="19" t="str">
        <f t="shared" si="146"/>
        <v> </v>
      </c>
      <c r="J2112" s="18">
        <v>0</v>
      </c>
      <c r="K2112" s="18">
        <v>466616.98</v>
      </c>
      <c r="L2112" s="18">
        <v>1685692.14</v>
      </c>
    </row>
    <row r="2113" spans="1:13" ht="15" thickBot="1" x14ac:dyDescent="0.35">
      <c r="A2113" s="14">
        <v>2106</v>
      </c>
      <c r="B2113" s="15">
        <v>45729</v>
      </c>
      <c r="C2113" s="15">
        <v>45729</v>
      </c>
      <c r="D2113" s="16" t="s">
        <v>1192</v>
      </c>
      <c r="E2113" s="16" t="s">
        <v>1193</v>
      </c>
      <c r="F2113" s="16" t="s">
        <v>1194</v>
      </c>
      <c r="G2113" s="16" t="s">
        <v>1195</v>
      </c>
      <c r="H2113" s="14" t="str">
        <f>"20250313/118764"</f>
        <v>20250313/118764</v>
      </c>
      <c r="I2113" s="17" t="str">
        <f t="shared" si="146"/>
        <v> </v>
      </c>
      <c r="J2113" s="18">
        <v>0</v>
      </c>
      <c r="K2113" s="18">
        <v>20321.11</v>
      </c>
      <c r="L2113" s="18">
        <v>1665371.03</v>
      </c>
      <c r="M2113" t="s">
        <v>2661</v>
      </c>
    </row>
    <row r="2114" spans="1:13" ht="15" thickBot="1" x14ac:dyDescent="0.35">
      <c r="A2114" s="14">
        <v>2107</v>
      </c>
      <c r="B2114" s="15">
        <v>45729</v>
      </c>
      <c r="C2114" s="15">
        <v>45729</v>
      </c>
      <c r="D2114" s="16" t="s">
        <v>1192</v>
      </c>
      <c r="E2114" s="16" t="s">
        <v>1193</v>
      </c>
      <c r="F2114" s="16" t="s">
        <v>1194</v>
      </c>
      <c r="G2114" s="16" t="s">
        <v>1195</v>
      </c>
      <c r="H2114" s="14" t="str">
        <f>"20250313/38439"</f>
        <v>20250313/38439</v>
      </c>
      <c r="I2114" s="17" t="str">
        <f t="shared" si="146"/>
        <v> </v>
      </c>
      <c r="J2114" s="18">
        <v>0</v>
      </c>
      <c r="K2114" s="18">
        <v>289.64999999999998</v>
      </c>
      <c r="L2114" s="18">
        <v>1665081.38</v>
      </c>
      <c r="M2114" t="s">
        <v>2661</v>
      </c>
    </row>
    <row r="2115" spans="1:13" ht="15" thickBot="1" x14ac:dyDescent="0.35">
      <c r="A2115" s="14">
        <v>2108</v>
      </c>
      <c r="B2115" s="15">
        <v>45729</v>
      </c>
      <c r="C2115" s="15">
        <v>45729</v>
      </c>
      <c r="D2115" s="16" t="s">
        <v>1192</v>
      </c>
      <c r="E2115" s="16" t="s">
        <v>1193</v>
      </c>
      <c r="F2115" s="16" t="s">
        <v>2572</v>
      </c>
      <c r="G2115" s="16" t="s">
        <v>1197</v>
      </c>
      <c r="H2115" s="14" t="str">
        <f>"20250313/245215"</f>
        <v>20250313/245215</v>
      </c>
      <c r="I2115" s="19" t="str">
        <f t="shared" si="146"/>
        <v> </v>
      </c>
      <c r="J2115" s="18">
        <v>3909.09</v>
      </c>
      <c r="K2115" s="18">
        <v>0</v>
      </c>
      <c r="L2115" s="18">
        <v>1668990.47</v>
      </c>
    </row>
    <row r="2116" spans="1:13" ht="15" thickBot="1" x14ac:dyDescent="0.35">
      <c r="A2116" s="14">
        <v>2109</v>
      </c>
      <c r="B2116" s="15">
        <v>45729</v>
      </c>
      <c r="C2116" s="15">
        <v>45729</v>
      </c>
      <c r="D2116" s="16" t="s">
        <v>1192</v>
      </c>
      <c r="E2116" s="16" t="s">
        <v>1193</v>
      </c>
      <c r="F2116" s="16" t="s">
        <v>2573</v>
      </c>
      <c r="G2116" s="16" t="s">
        <v>1197</v>
      </c>
      <c r="H2116" s="14" t="str">
        <f>"20250313/245216"</f>
        <v>20250313/245216</v>
      </c>
      <c r="I2116" s="19" t="str">
        <f t="shared" si="146"/>
        <v> </v>
      </c>
      <c r="J2116" s="18">
        <v>413671.65</v>
      </c>
      <c r="K2116" s="18">
        <v>0</v>
      </c>
      <c r="L2116" s="18">
        <v>2082662.12</v>
      </c>
    </row>
    <row r="2117" spans="1:13" ht="15" thickBot="1" x14ac:dyDescent="0.35">
      <c r="A2117" s="14">
        <v>2110</v>
      </c>
      <c r="B2117" s="15">
        <v>45729</v>
      </c>
      <c r="C2117" s="15">
        <v>45729</v>
      </c>
      <c r="D2117" s="16" t="s">
        <v>1192</v>
      </c>
      <c r="E2117" s="16" t="s">
        <v>1193</v>
      </c>
      <c r="F2117" s="16" t="s">
        <v>2572</v>
      </c>
      <c r="G2117" s="16" t="s">
        <v>1197</v>
      </c>
      <c r="H2117" s="14" t="str">
        <f>"20250313/245217"</f>
        <v>20250313/245217</v>
      </c>
      <c r="I2117" s="19" t="str">
        <f t="shared" si="146"/>
        <v> </v>
      </c>
      <c r="J2117" s="18">
        <v>484456.63</v>
      </c>
      <c r="K2117" s="18">
        <v>0</v>
      </c>
      <c r="L2117" s="18">
        <v>2567118.75</v>
      </c>
    </row>
    <row r="2118" spans="1:13" ht="15" thickBot="1" x14ac:dyDescent="0.35">
      <c r="A2118" s="14">
        <v>2111</v>
      </c>
      <c r="B2118" s="15">
        <v>45729</v>
      </c>
      <c r="C2118" s="15">
        <v>45729</v>
      </c>
      <c r="D2118" s="16" t="s">
        <v>1192</v>
      </c>
      <c r="E2118" s="16" t="s">
        <v>1193</v>
      </c>
      <c r="F2118" s="16" t="s">
        <v>2574</v>
      </c>
      <c r="G2118" s="16" t="s">
        <v>1197</v>
      </c>
      <c r="H2118" s="14" t="str">
        <f>"20250313/308817"</f>
        <v>20250313/308817</v>
      </c>
      <c r="I2118" s="19" t="str">
        <f t="shared" si="146"/>
        <v> </v>
      </c>
      <c r="J2118" s="18">
        <v>0</v>
      </c>
      <c r="K2118" s="18">
        <v>3909.09</v>
      </c>
      <c r="L2118" s="18">
        <v>2563209.66</v>
      </c>
    </row>
    <row r="2119" spans="1:13" ht="15" thickBot="1" x14ac:dyDescent="0.35">
      <c r="A2119" s="14">
        <v>2112</v>
      </c>
      <c r="B2119" s="15">
        <v>45729</v>
      </c>
      <c r="C2119" s="15">
        <v>45729</v>
      </c>
      <c r="D2119" s="16" t="s">
        <v>1192</v>
      </c>
      <c r="E2119" s="16" t="s">
        <v>1193</v>
      </c>
      <c r="F2119" s="16" t="s">
        <v>2575</v>
      </c>
      <c r="G2119" s="16" t="s">
        <v>1197</v>
      </c>
      <c r="H2119" s="14" t="str">
        <f>"20250313/308818"</f>
        <v>20250313/308818</v>
      </c>
      <c r="I2119" s="19" t="str">
        <f t="shared" si="146"/>
        <v> </v>
      </c>
      <c r="J2119" s="18">
        <v>0</v>
      </c>
      <c r="K2119" s="18">
        <v>405422.45</v>
      </c>
      <c r="L2119" s="18">
        <v>2157787.21</v>
      </c>
    </row>
    <row r="2120" spans="1:13" ht="15" thickBot="1" x14ac:dyDescent="0.35">
      <c r="A2120" s="14">
        <v>2113</v>
      </c>
      <c r="B2120" s="15">
        <v>45729</v>
      </c>
      <c r="C2120" s="15">
        <v>45729</v>
      </c>
      <c r="D2120" s="16" t="s">
        <v>1192</v>
      </c>
      <c r="E2120" s="16" t="s">
        <v>1193</v>
      </c>
      <c r="F2120" s="16" t="s">
        <v>2574</v>
      </c>
      <c r="G2120" s="16" t="s">
        <v>1197</v>
      </c>
      <c r="H2120" s="14" t="str">
        <f>"20250313/308819"</f>
        <v>20250313/308819</v>
      </c>
      <c r="I2120" s="19" t="str">
        <f t="shared" si="146"/>
        <v> </v>
      </c>
      <c r="J2120" s="18">
        <v>0</v>
      </c>
      <c r="K2120" s="18">
        <v>463115.83</v>
      </c>
      <c r="L2120" s="18">
        <v>1694671.38</v>
      </c>
    </row>
    <row r="2121" spans="1:13" ht="15" thickBot="1" x14ac:dyDescent="0.35">
      <c r="A2121" s="14">
        <v>2114</v>
      </c>
      <c r="B2121" s="15">
        <v>45729</v>
      </c>
      <c r="C2121" s="15">
        <v>45729</v>
      </c>
      <c r="D2121" s="16" t="s">
        <v>1192</v>
      </c>
      <c r="E2121" s="16" t="s">
        <v>1193</v>
      </c>
      <c r="F2121" s="16" t="s">
        <v>2576</v>
      </c>
      <c r="G2121" s="16" t="s">
        <v>1197</v>
      </c>
      <c r="H2121" s="14" t="str">
        <f>"20250313/80485"</f>
        <v>20250313/80485</v>
      </c>
      <c r="I2121" s="19" t="str">
        <f t="shared" si="146"/>
        <v> </v>
      </c>
      <c r="J2121" s="18">
        <v>289.64999999999998</v>
      </c>
      <c r="K2121" s="18">
        <v>0</v>
      </c>
      <c r="L2121" s="18">
        <v>1694961.03</v>
      </c>
      <c r="M2121" t="s">
        <v>2658</v>
      </c>
    </row>
    <row r="2122" spans="1:13" ht="15" thickBot="1" x14ac:dyDescent="0.35">
      <c r="A2122" s="14">
        <v>2115</v>
      </c>
      <c r="B2122" s="15">
        <v>45729</v>
      </c>
      <c r="C2122" s="15">
        <v>45733</v>
      </c>
      <c r="D2122" s="16" t="s">
        <v>1192</v>
      </c>
      <c r="E2122" s="16" t="s">
        <v>1193</v>
      </c>
      <c r="F2122" s="16" t="s">
        <v>2577</v>
      </c>
      <c r="G2122" s="16" t="s">
        <v>1197</v>
      </c>
      <c r="H2122" s="14" t="str">
        <f>"20250313/162616"</f>
        <v>20250313/162616</v>
      </c>
      <c r="I2122" s="19" t="str">
        <f>"2503003448947"</f>
        <v>2503003448947</v>
      </c>
      <c r="J2122" s="18">
        <v>0</v>
      </c>
      <c r="K2122" s="18">
        <v>58342.75</v>
      </c>
      <c r="L2122" s="18">
        <v>1636618.28</v>
      </c>
    </row>
    <row r="2123" spans="1:13" ht="15" thickBot="1" x14ac:dyDescent="0.35">
      <c r="A2123" s="14">
        <v>2116</v>
      </c>
      <c r="B2123" s="15">
        <v>45733</v>
      </c>
      <c r="C2123" s="15">
        <v>45733</v>
      </c>
      <c r="D2123" s="16" t="s">
        <v>1192</v>
      </c>
      <c r="E2123" s="16" t="s">
        <v>1193</v>
      </c>
      <c r="F2123" s="16" t="s">
        <v>1204</v>
      </c>
      <c r="G2123" s="16" t="s">
        <v>1203</v>
      </c>
      <c r="H2123" s="14" t="str">
        <f>"20250317/18308"</f>
        <v>20250317/18308</v>
      </c>
      <c r="I2123" s="17" t="str">
        <f t="shared" ref="I2123:I2132" si="147">" "</f>
        <v> </v>
      </c>
      <c r="J2123" s="18">
        <v>49073.86</v>
      </c>
      <c r="K2123" s="18">
        <v>0</v>
      </c>
      <c r="L2123" s="18">
        <v>1685692.14</v>
      </c>
      <c r="M2123" t="s">
        <v>2661</v>
      </c>
    </row>
    <row r="2124" spans="1:13" ht="15" thickBot="1" x14ac:dyDescent="0.35">
      <c r="A2124" s="14">
        <v>2117</v>
      </c>
      <c r="B2124" s="15">
        <v>45733</v>
      </c>
      <c r="C2124" s="15">
        <v>45733</v>
      </c>
      <c r="D2124" s="16" t="s">
        <v>1192</v>
      </c>
      <c r="E2124" s="16" t="s">
        <v>1193</v>
      </c>
      <c r="F2124" s="16" t="s">
        <v>1194</v>
      </c>
      <c r="G2124" s="16" t="s">
        <v>1195</v>
      </c>
      <c r="H2124" s="14" t="str">
        <f>"20250317/27786"</f>
        <v>20250317/27786</v>
      </c>
      <c r="I2124" s="17" t="str">
        <f t="shared" si="147"/>
        <v> </v>
      </c>
      <c r="J2124" s="18">
        <v>0</v>
      </c>
      <c r="K2124" s="18">
        <v>1129.6400000000001</v>
      </c>
      <c r="L2124" s="18">
        <v>1684562.5</v>
      </c>
      <c r="M2124" t="s">
        <v>2661</v>
      </c>
    </row>
    <row r="2125" spans="1:13" ht="15" thickBot="1" x14ac:dyDescent="0.35">
      <c r="A2125" s="14">
        <v>2118</v>
      </c>
      <c r="B2125" s="15">
        <v>45733</v>
      </c>
      <c r="C2125" s="15">
        <v>45733</v>
      </c>
      <c r="D2125" s="16" t="s">
        <v>1192</v>
      </c>
      <c r="E2125" s="16" t="s">
        <v>1193</v>
      </c>
      <c r="F2125" s="16" t="s">
        <v>1194</v>
      </c>
      <c r="G2125" s="16" t="s">
        <v>1195</v>
      </c>
      <c r="H2125" s="14" t="str">
        <f>"20250317/88789"</f>
        <v>20250317/88789</v>
      </c>
      <c r="I2125" s="17" t="str">
        <f t="shared" si="147"/>
        <v> </v>
      </c>
      <c r="J2125" s="18">
        <v>0</v>
      </c>
      <c r="K2125" s="18">
        <v>44172.98</v>
      </c>
      <c r="L2125" s="18">
        <v>1640389.52</v>
      </c>
      <c r="M2125" t="s">
        <v>2661</v>
      </c>
    </row>
    <row r="2126" spans="1:13" ht="15" thickBot="1" x14ac:dyDescent="0.35">
      <c r="A2126" s="14">
        <v>2119</v>
      </c>
      <c r="B2126" s="15">
        <v>45733</v>
      </c>
      <c r="C2126" s="15">
        <v>45733</v>
      </c>
      <c r="D2126" s="16" t="s">
        <v>1192</v>
      </c>
      <c r="E2126" s="16" t="s">
        <v>1193</v>
      </c>
      <c r="F2126" s="16" t="s">
        <v>2578</v>
      </c>
      <c r="G2126" s="16" t="s">
        <v>1197</v>
      </c>
      <c r="H2126" s="14" t="str">
        <f>"20250317/245338"</f>
        <v>20250317/245338</v>
      </c>
      <c r="I2126" s="19" t="str">
        <f t="shared" si="147"/>
        <v> </v>
      </c>
      <c r="J2126" s="18">
        <v>3909.09</v>
      </c>
      <c r="K2126" s="18">
        <v>0</v>
      </c>
      <c r="L2126" s="18">
        <v>1644298.61</v>
      </c>
    </row>
    <row r="2127" spans="1:13" ht="15" thickBot="1" x14ac:dyDescent="0.35">
      <c r="A2127" s="14">
        <v>2120</v>
      </c>
      <c r="B2127" s="15">
        <v>45733</v>
      </c>
      <c r="C2127" s="15">
        <v>45733</v>
      </c>
      <c r="D2127" s="16" t="s">
        <v>1192</v>
      </c>
      <c r="E2127" s="16" t="s">
        <v>1193</v>
      </c>
      <c r="F2127" s="16" t="s">
        <v>2579</v>
      </c>
      <c r="G2127" s="16" t="s">
        <v>1197</v>
      </c>
      <c r="H2127" s="14" t="str">
        <f>"20250317/245339"</f>
        <v>20250317/245339</v>
      </c>
      <c r="I2127" s="19" t="str">
        <f t="shared" si="147"/>
        <v> </v>
      </c>
      <c r="J2127" s="18">
        <v>409195.6</v>
      </c>
      <c r="K2127" s="18">
        <v>0</v>
      </c>
      <c r="L2127" s="18">
        <v>2053494.21</v>
      </c>
    </row>
    <row r="2128" spans="1:13" ht="15" thickBot="1" x14ac:dyDescent="0.35">
      <c r="A2128" s="14">
        <v>2121</v>
      </c>
      <c r="B2128" s="15">
        <v>45733</v>
      </c>
      <c r="C2128" s="15">
        <v>45733</v>
      </c>
      <c r="D2128" s="16" t="s">
        <v>1192</v>
      </c>
      <c r="E2128" s="16" t="s">
        <v>1193</v>
      </c>
      <c r="F2128" s="16" t="s">
        <v>2578</v>
      </c>
      <c r="G2128" s="16" t="s">
        <v>1197</v>
      </c>
      <c r="H2128" s="14" t="str">
        <f>"20250317/247745"</f>
        <v>20250317/247745</v>
      </c>
      <c r="I2128" s="19" t="str">
        <f t="shared" si="147"/>
        <v> </v>
      </c>
      <c r="J2128" s="18">
        <v>514922.39</v>
      </c>
      <c r="K2128" s="18">
        <v>0</v>
      </c>
      <c r="L2128" s="18">
        <v>2568416.6</v>
      </c>
    </row>
    <row r="2129" spans="1:13" ht="15" thickBot="1" x14ac:dyDescent="0.35">
      <c r="A2129" s="14">
        <v>2122</v>
      </c>
      <c r="B2129" s="15">
        <v>45733</v>
      </c>
      <c r="C2129" s="15">
        <v>45733</v>
      </c>
      <c r="D2129" s="16" t="s">
        <v>1192</v>
      </c>
      <c r="E2129" s="16" t="s">
        <v>1193</v>
      </c>
      <c r="F2129" s="16" t="s">
        <v>2580</v>
      </c>
      <c r="G2129" s="16" t="s">
        <v>1197</v>
      </c>
      <c r="H2129" s="14" t="str">
        <f>"20250317/343258"</f>
        <v>20250317/343258</v>
      </c>
      <c r="I2129" s="19" t="str">
        <f t="shared" si="147"/>
        <v> </v>
      </c>
      <c r="J2129" s="18">
        <v>0</v>
      </c>
      <c r="K2129" s="18">
        <v>3909.09</v>
      </c>
      <c r="L2129" s="18">
        <v>2564507.5099999998</v>
      </c>
    </row>
    <row r="2130" spans="1:13" ht="15" thickBot="1" x14ac:dyDescent="0.35">
      <c r="A2130" s="14">
        <v>2123</v>
      </c>
      <c r="B2130" s="15">
        <v>45733</v>
      </c>
      <c r="C2130" s="15">
        <v>45733</v>
      </c>
      <c r="D2130" s="16" t="s">
        <v>1192</v>
      </c>
      <c r="E2130" s="16" t="s">
        <v>1193</v>
      </c>
      <c r="F2130" s="16" t="s">
        <v>2581</v>
      </c>
      <c r="G2130" s="16" t="s">
        <v>1197</v>
      </c>
      <c r="H2130" s="14" t="str">
        <f>"20250317/343259"</f>
        <v>20250317/343259</v>
      </c>
      <c r="I2130" s="19" t="str">
        <f t="shared" si="147"/>
        <v> </v>
      </c>
      <c r="J2130" s="18">
        <v>0</v>
      </c>
      <c r="K2130" s="18">
        <v>413671.65</v>
      </c>
      <c r="L2130" s="18">
        <v>2150835.86</v>
      </c>
    </row>
    <row r="2131" spans="1:13" ht="15" thickBot="1" x14ac:dyDescent="0.35">
      <c r="A2131" s="14">
        <v>2124</v>
      </c>
      <c r="B2131" s="15">
        <v>45733</v>
      </c>
      <c r="C2131" s="15">
        <v>45733</v>
      </c>
      <c r="D2131" s="16" t="s">
        <v>1192</v>
      </c>
      <c r="E2131" s="16" t="s">
        <v>1193</v>
      </c>
      <c r="F2131" s="16" t="s">
        <v>2580</v>
      </c>
      <c r="G2131" s="16" t="s">
        <v>1197</v>
      </c>
      <c r="H2131" s="14" t="str">
        <f>"20250317/343260"</f>
        <v>20250317/343260</v>
      </c>
      <c r="I2131" s="19" t="str">
        <f t="shared" si="147"/>
        <v> </v>
      </c>
      <c r="J2131" s="18">
        <v>0</v>
      </c>
      <c r="K2131" s="18">
        <v>484456.63</v>
      </c>
      <c r="L2131" s="18">
        <v>1666379.23</v>
      </c>
    </row>
    <row r="2132" spans="1:13" ht="15" thickBot="1" x14ac:dyDescent="0.35">
      <c r="A2132" s="14">
        <v>2125</v>
      </c>
      <c r="B2132" s="15">
        <v>45733</v>
      </c>
      <c r="C2132" s="15">
        <v>45733</v>
      </c>
      <c r="D2132" s="16" t="s">
        <v>1192</v>
      </c>
      <c r="E2132" s="16" t="s">
        <v>1193</v>
      </c>
      <c r="F2132" s="16" t="s">
        <v>2582</v>
      </c>
      <c r="G2132" s="16" t="s">
        <v>1197</v>
      </c>
      <c r="H2132" s="14" t="str">
        <f>"20250317/78502"</f>
        <v>20250317/78502</v>
      </c>
      <c r="I2132" s="19" t="str">
        <f t="shared" si="147"/>
        <v> </v>
      </c>
      <c r="J2132" s="18">
        <v>1129.6400000000001</v>
      </c>
      <c r="K2132" s="18">
        <v>0</v>
      </c>
      <c r="L2132" s="18">
        <v>1667508.87</v>
      </c>
      <c r="M2132" t="s">
        <v>2658</v>
      </c>
    </row>
    <row r="2133" spans="1:13" ht="15" thickBot="1" x14ac:dyDescent="0.35">
      <c r="A2133" s="14">
        <v>2126</v>
      </c>
      <c r="B2133" s="15">
        <v>45733</v>
      </c>
      <c r="C2133" s="15">
        <v>45734</v>
      </c>
      <c r="D2133" s="16" t="s">
        <v>1192</v>
      </c>
      <c r="E2133" s="16" t="s">
        <v>1193</v>
      </c>
      <c r="F2133" s="16" t="s">
        <v>2583</v>
      </c>
      <c r="G2133" s="16" t="s">
        <v>1197</v>
      </c>
      <c r="H2133" s="14" t="str">
        <f>"20250317/139286"</f>
        <v>20250317/139286</v>
      </c>
      <c r="I2133" s="19" t="str">
        <f>"2503003844929"</f>
        <v>2503003844929</v>
      </c>
      <c r="J2133" s="18">
        <v>0</v>
      </c>
      <c r="K2133" s="18">
        <v>69763.539999999994</v>
      </c>
      <c r="L2133" s="18">
        <v>1597745.33</v>
      </c>
    </row>
    <row r="2134" spans="1:13" ht="15" thickBot="1" x14ac:dyDescent="0.35">
      <c r="A2134" s="14">
        <v>2127</v>
      </c>
      <c r="B2134" s="15">
        <v>45733</v>
      </c>
      <c r="C2134" s="15">
        <v>45734</v>
      </c>
      <c r="D2134" s="16" t="s">
        <v>1192</v>
      </c>
      <c r="E2134" s="16" t="s">
        <v>1193</v>
      </c>
      <c r="F2134" s="16" t="s">
        <v>2584</v>
      </c>
      <c r="G2134" s="16" t="s">
        <v>1197</v>
      </c>
      <c r="H2134" s="14" t="str">
        <f>"20250317/139287"</f>
        <v>20250317/139287</v>
      </c>
      <c r="I2134" s="19" t="str">
        <f>"2503003844929"</f>
        <v>2503003844929</v>
      </c>
      <c r="J2134" s="18">
        <v>117029.74</v>
      </c>
      <c r="K2134" s="18">
        <v>0</v>
      </c>
      <c r="L2134" s="18">
        <v>1714775.07</v>
      </c>
    </row>
    <row r="2135" spans="1:13" ht="15" thickBot="1" x14ac:dyDescent="0.35">
      <c r="A2135" s="14">
        <v>2128</v>
      </c>
      <c r="B2135" s="15">
        <v>45734</v>
      </c>
      <c r="C2135" s="15">
        <v>45734</v>
      </c>
      <c r="D2135" s="16" t="s">
        <v>1192</v>
      </c>
      <c r="E2135" s="16" t="s">
        <v>1193</v>
      </c>
      <c r="F2135" s="16" t="s">
        <v>1204</v>
      </c>
      <c r="G2135" s="16" t="s">
        <v>1203</v>
      </c>
      <c r="H2135" s="14" t="str">
        <f>"20250318/29571"</f>
        <v>20250318/29571</v>
      </c>
      <c r="I2135" s="17" t="str">
        <f t="shared" ref="I2135:I2144" si="148">" "</f>
        <v> </v>
      </c>
      <c r="J2135" s="18">
        <v>69763.539999999994</v>
      </c>
      <c r="K2135" s="18">
        <v>0</v>
      </c>
      <c r="L2135" s="18">
        <v>1784538.61</v>
      </c>
      <c r="M2135" t="s">
        <v>2661</v>
      </c>
    </row>
    <row r="2136" spans="1:13" ht="15" thickBot="1" x14ac:dyDescent="0.35">
      <c r="A2136" s="14">
        <v>2129</v>
      </c>
      <c r="B2136" s="15">
        <v>45734</v>
      </c>
      <c r="C2136" s="15">
        <v>45734</v>
      </c>
      <c r="D2136" s="16" t="s">
        <v>1192</v>
      </c>
      <c r="E2136" s="16" t="s">
        <v>1193</v>
      </c>
      <c r="F2136" s="16" t="s">
        <v>1194</v>
      </c>
      <c r="G2136" s="16" t="s">
        <v>1195</v>
      </c>
      <c r="H2136" s="14" t="str">
        <f>"20250318/73929"</f>
        <v>20250318/73929</v>
      </c>
      <c r="I2136" s="17" t="str">
        <f t="shared" si="148"/>
        <v> </v>
      </c>
      <c r="J2136" s="18">
        <v>0</v>
      </c>
      <c r="K2136" s="18">
        <v>101966.79</v>
      </c>
      <c r="L2136" s="18">
        <v>1682571.82</v>
      </c>
      <c r="M2136" t="s">
        <v>2661</v>
      </c>
    </row>
    <row r="2137" spans="1:13" ht="15" thickBot="1" x14ac:dyDescent="0.35">
      <c r="A2137" s="14">
        <v>2130</v>
      </c>
      <c r="B2137" s="15">
        <v>45734</v>
      </c>
      <c r="C2137" s="15">
        <v>45734</v>
      </c>
      <c r="D2137" s="16" t="s">
        <v>1192</v>
      </c>
      <c r="E2137" s="16" t="s">
        <v>1193</v>
      </c>
      <c r="F2137" s="16" t="s">
        <v>1194</v>
      </c>
      <c r="G2137" s="16" t="s">
        <v>1195</v>
      </c>
      <c r="H2137" s="14" t="str">
        <f>"20250318/9894"</f>
        <v>20250318/9894</v>
      </c>
      <c r="I2137" s="17" t="str">
        <f t="shared" si="148"/>
        <v> </v>
      </c>
      <c r="J2137" s="18">
        <v>0</v>
      </c>
      <c r="K2137" s="18">
        <v>263.38</v>
      </c>
      <c r="L2137" s="18">
        <v>1682308.44</v>
      </c>
      <c r="M2137" t="s">
        <v>2661</v>
      </c>
    </row>
    <row r="2138" spans="1:13" ht="15" thickBot="1" x14ac:dyDescent="0.35">
      <c r="A2138" s="14">
        <v>2131</v>
      </c>
      <c r="B2138" s="15">
        <v>45734</v>
      </c>
      <c r="C2138" s="15">
        <v>45734</v>
      </c>
      <c r="D2138" s="16" t="s">
        <v>1192</v>
      </c>
      <c r="E2138" s="16" t="s">
        <v>1193</v>
      </c>
      <c r="F2138" s="16" t="s">
        <v>2585</v>
      </c>
      <c r="G2138" s="16" t="s">
        <v>1197</v>
      </c>
      <c r="H2138" s="14" t="str">
        <f>"20250318/213282"</f>
        <v>20250318/213282</v>
      </c>
      <c r="I2138" s="19" t="str">
        <f t="shared" si="148"/>
        <v> </v>
      </c>
      <c r="J2138" s="18">
        <v>3909.09</v>
      </c>
      <c r="K2138" s="18">
        <v>0</v>
      </c>
      <c r="L2138" s="18">
        <v>1686217.53</v>
      </c>
    </row>
    <row r="2139" spans="1:13" ht="15" thickBot="1" x14ac:dyDescent="0.35">
      <c r="A2139" s="14">
        <v>2132</v>
      </c>
      <c r="B2139" s="15">
        <v>45734</v>
      </c>
      <c r="C2139" s="15">
        <v>45734</v>
      </c>
      <c r="D2139" s="16" t="s">
        <v>1192</v>
      </c>
      <c r="E2139" s="16" t="s">
        <v>1193</v>
      </c>
      <c r="F2139" s="16" t="s">
        <v>2586</v>
      </c>
      <c r="G2139" s="16" t="s">
        <v>1197</v>
      </c>
      <c r="H2139" s="14" t="str">
        <f>"20250318/213283"</f>
        <v>20250318/213283</v>
      </c>
      <c r="I2139" s="19" t="str">
        <f t="shared" si="148"/>
        <v> </v>
      </c>
      <c r="J2139" s="18">
        <v>385164.75</v>
      </c>
      <c r="K2139" s="18">
        <v>0</v>
      </c>
      <c r="L2139" s="18">
        <v>2071382.28</v>
      </c>
    </row>
    <row r="2140" spans="1:13" ht="15" thickBot="1" x14ac:dyDescent="0.35">
      <c r="A2140" s="14">
        <v>2133</v>
      </c>
      <c r="B2140" s="15">
        <v>45734</v>
      </c>
      <c r="C2140" s="15">
        <v>45734</v>
      </c>
      <c r="D2140" s="16" t="s">
        <v>1192</v>
      </c>
      <c r="E2140" s="16" t="s">
        <v>1193</v>
      </c>
      <c r="F2140" s="16" t="s">
        <v>2585</v>
      </c>
      <c r="G2140" s="16" t="s">
        <v>1197</v>
      </c>
      <c r="H2140" s="14" t="str">
        <f>"20250318/213284"</f>
        <v>20250318/213284</v>
      </c>
      <c r="I2140" s="19" t="str">
        <f t="shared" si="148"/>
        <v> </v>
      </c>
      <c r="J2140" s="18">
        <v>618783.22</v>
      </c>
      <c r="K2140" s="18">
        <v>0</v>
      </c>
      <c r="L2140" s="18">
        <v>2690165.5</v>
      </c>
    </row>
    <row r="2141" spans="1:13" ht="15" thickBot="1" x14ac:dyDescent="0.35">
      <c r="A2141" s="14">
        <v>2134</v>
      </c>
      <c r="B2141" s="15">
        <v>45734</v>
      </c>
      <c r="C2141" s="15">
        <v>45734</v>
      </c>
      <c r="D2141" s="16" t="s">
        <v>1192</v>
      </c>
      <c r="E2141" s="16" t="s">
        <v>1193</v>
      </c>
      <c r="F2141" s="16" t="s">
        <v>2587</v>
      </c>
      <c r="G2141" s="16" t="s">
        <v>1197</v>
      </c>
      <c r="H2141" s="14" t="str">
        <f>"20250318/272580"</f>
        <v>20250318/272580</v>
      </c>
      <c r="I2141" s="19" t="str">
        <f t="shared" si="148"/>
        <v> </v>
      </c>
      <c r="J2141" s="18">
        <v>0</v>
      </c>
      <c r="K2141" s="18">
        <v>3909.09</v>
      </c>
      <c r="L2141" s="18">
        <v>2686256.41</v>
      </c>
    </row>
    <row r="2142" spans="1:13" ht="15" thickBot="1" x14ac:dyDescent="0.35">
      <c r="A2142" s="14">
        <v>2135</v>
      </c>
      <c r="B2142" s="15">
        <v>45734</v>
      </c>
      <c r="C2142" s="15">
        <v>45734</v>
      </c>
      <c r="D2142" s="16" t="s">
        <v>1192</v>
      </c>
      <c r="E2142" s="16" t="s">
        <v>1193</v>
      </c>
      <c r="F2142" s="16" t="s">
        <v>2588</v>
      </c>
      <c r="G2142" s="16" t="s">
        <v>1197</v>
      </c>
      <c r="H2142" s="14" t="str">
        <f>"20250318/272581"</f>
        <v>20250318/272581</v>
      </c>
      <c r="I2142" s="19" t="str">
        <f t="shared" si="148"/>
        <v> </v>
      </c>
      <c r="J2142" s="18">
        <v>0</v>
      </c>
      <c r="K2142" s="18">
        <v>409195.6</v>
      </c>
      <c r="L2142" s="18">
        <v>2277060.81</v>
      </c>
    </row>
    <row r="2143" spans="1:13" ht="15" thickBot="1" x14ac:dyDescent="0.35">
      <c r="A2143" s="14">
        <v>2136</v>
      </c>
      <c r="B2143" s="15">
        <v>45734</v>
      </c>
      <c r="C2143" s="15">
        <v>45734</v>
      </c>
      <c r="D2143" s="16" t="s">
        <v>1192</v>
      </c>
      <c r="E2143" s="16" t="s">
        <v>1193</v>
      </c>
      <c r="F2143" s="16" t="s">
        <v>2587</v>
      </c>
      <c r="G2143" s="16" t="s">
        <v>1197</v>
      </c>
      <c r="H2143" s="14" t="str">
        <f>"20250318/272582"</f>
        <v>20250318/272582</v>
      </c>
      <c r="I2143" s="19" t="str">
        <f t="shared" si="148"/>
        <v> </v>
      </c>
      <c r="J2143" s="18">
        <v>0</v>
      </c>
      <c r="K2143" s="18">
        <v>514922.39</v>
      </c>
      <c r="L2143" s="18">
        <v>1762138.42</v>
      </c>
    </row>
    <row r="2144" spans="1:13" ht="15" thickBot="1" x14ac:dyDescent="0.35">
      <c r="A2144" s="14">
        <v>2137</v>
      </c>
      <c r="B2144" s="15">
        <v>45734</v>
      </c>
      <c r="C2144" s="15">
        <v>45734</v>
      </c>
      <c r="D2144" s="16" t="s">
        <v>1192</v>
      </c>
      <c r="E2144" s="16" t="s">
        <v>1193</v>
      </c>
      <c r="F2144" s="16" t="s">
        <v>2589</v>
      </c>
      <c r="G2144" s="16" t="s">
        <v>1197</v>
      </c>
      <c r="H2144" s="14" t="str">
        <f>"20250318/96326"</f>
        <v>20250318/96326</v>
      </c>
      <c r="I2144" s="19" t="str">
        <f t="shared" si="148"/>
        <v> </v>
      </c>
      <c r="J2144" s="18">
        <v>263.38</v>
      </c>
      <c r="K2144" s="18">
        <v>0</v>
      </c>
      <c r="L2144" s="18">
        <v>1762401.8</v>
      </c>
      <c r="M2144" t="s">
        <v>2658</v>
      </c>
    </row>
    <row r="2145" spans="1:13" ht="15" thickBot="1" x14ac:dyDescent="0.35">
      <c r="A2145" s="14">
        <v>2138</v>
      </c>
      <c r="B2145" s="15">
        <v>45734</v>
      </c>
      <c r="C2145" s="15">
        <v>45735</v>
      </c>
      <c r="D2145" s="16" t="s">
        <v>1192</v>
      </c>
      <c r="E2145" s="16" t="s">
        <v>1193</v>
      </c>
      <c r="F2145" s="16" t="s">
        <v>2590</v>
      </c>
      <c r="G2145" s="16" t="s">
        <v>1197</v>
      </c>
      <c r="H2145" s="14" t="str">
        <f>"20250318/148962"</f>
        <v>20250318/148962</v>
      </c>
      <c r="I2145" s="19" t="str">
        <f>"2503004248182"</f>
        <v>2503004248182</v>
      </c>
      <c r="J2145" s="18">
        <v>238494.48</v>
      </c>
      <c r="K2145" s="18">
        <v>0</v>
      </c>
      <c r="L2145" s="18">
        <v>2000896.28</v>
      </c>
    </row>
    <row r="2146" spans="1:13" ht="15" thickBot="1" x14ac:dyDescent="0.35">
      <c r="A2146" s="14">
        <v>2139</v>
      </c>
      <c r="B2146" s="15">
        <v>45735</v>
      </c>
      <c r="C2146" s="15">
        <v>45735</v>
      </c>
      <c r="D2146" s="16" t="s">
        <v>1192</v>
      </c>
      <c r="E2146" s="16" t="s">
        <v>1193</v>
      </c>
      <c r="F2146" s="16" t="s">
        <v>1202</v>
      </c>
      <c r="G2146" s="16" t="s">
        <v>1203</v>
      </c>
      <c r="H2146" s="14" t="str">
        <f>"20250319/12496"</f>
        <v>20250319/12496</v>
      </c>
      <c r="I2146" s="17" t="str">
        <f t="shared" ref="I2146:I2154" si="149">" "</f>
        <v> </v>
      </c>
      <c r="J2146" s="18">
        <v>3306.85</v>
      </c>
      <c r="K2146" s="18">
        <v>0</v>
      </c>
      <c r="L2146" s="18">
        <v>2004203.13</v>
      </c>
      <c r="M2146" t="s">
        <v>2661</v>
      </c>
    </row>
    <row r="2147" spans="1:13" ht="15" thickBot="1" x14ac:dyDescent="0.35">
      <c r="A2147" s="14">
        <v>2140</v>
      </c>
      <c r="B2147" s="15">
        <v>45735</v>
      </c>
      <c r="C2147" s="15">
        <v>45735</v>
      </c>
      <c r="D2147" s="16" t="s">
        <v>1192</v>
      </c>
      <c r="E2147" s="16" t="s">
        <v>1193</v>
      </c>
      <c r="F2147" s="16" t="s">
        <v>1194</v>
      </c>
      <c r="G2147" s="16" t="s">
        <v>1195</v>
      </c>
      <c r="H2147" s="14" t="str">
        <f>"20250319/38000"</f>
        <v>20250319/38000</v>
      </c>
      <c r="I2147" s="17" t="str">
        <f t="shared" si="149"/>
        <v> </v>
      </c>
      <c r="J2147" s="18">
        <v>0</v>
      </c>
      <c r="K2147" s="18">
        <v>268.74</v>
      </c>
      <c r="L2147" s="18">
        <v>2003934.39</v>
      </c>
      <c r="M2147" t="s">
        <v>2661</v>
      </c>
    </row>
    <row r="2148" spans="1:13" ht="15" thickBot="1" x14ac:dyDescent="0.35">
      <c r="A2148" s="14">
        <v>2141</v>
      </c>
      <c r="B2148" s="15">
        <v>45735</v>
      </c>
      <c r="C2148" s="15">
        <v>45735</v>
      </c>
      <c r="D2148" s="16" t="s">
        <v>1192</v>
      </c>
      <c r="E2148" s="16" t="s">
        <v>1193</v>
      </c>
      <c r="F2148" s="16" t="s">
        <v>2591</v>
      </c>
      <c r="G2148" s="16" t="s">
        <v>1197</v>
      </c>
      <c r="H2148" s="14" t="str">
        <f>"20250319/130509"</f>
        <v>20250319/130509</v>
      </c>
      <c r="I2148" s="19" t="str">
        <f t="shared" si="149"/>
        <v> </v>
      </c>
      <c r="J2148" s="18">
        <v>268.74</v>
      </c>
      <c r="K2148" s="18">
        <v>0</v>
      </c>
      <c r="L2148" s="18">
        <v>2004203.13</v>
      </c>
      <c r="M2148" t="s">
        <v>2658</v>
      </c>
    </row>
    <row r="2149" spans="1:13" ht="15" thickBot="1" x14ac:dyDescent="0.35">
      <c r="A2149" s="14">
        <v>2142</v>
      </c>
      <c r="B2149" s="15">
        <v>45735</v>
      </c>
      <c r="C2149" s="15">
        <v>45735</v>
      </c>
      <c r="D2149" s="16" t="s">
        <v>1192</v>
      </c>
      <c r="E2149" s="16" t="s">
        <v>1193</v>
      </c>
      <c r="F2149" s="16" t="s">
        <v>2592</v>
      </c>
      <c r="G2149" s="16" t="s">
        <v>1197</v>
      </c>
      <c r="H2149" s="14" t="str">
        <f>"20250319/273622"</f>
        <v>20250319/273622</v>
      </c>
      <c r="I2149" s="19" t="str">
        <f t="shared" si="149"/>
        <v> </v>
      </c>
      <c r="J2149" s="18">
        <v>3909.09</v>
      </c>
      <c r="K2149" s="18">
        <v>0</v>
      </c>
      <c r="L2149" s="18">
        <v>2008112.22</v>
      </c>
    </row>
    <row r="2150" spans="1:13" ht="15" thickBot="1" x14ac:dyDescent="0.35">
      <c r="A2150" s="14">
        <v>2143</v>
      </c>
      <c r="B2150" s="15">
        <v>45735</v>
      </c>
      <c r="C2150" s="15">
        <v>45735</v>
      </c>
      <c r="D2150" s="16" t="s">
        <v>1192</v>
      </c>
      <c r="E2150" s="16" t="s">
        <v>1193</v>
      </c>
      <c r="F2150" s="16" t="s">
        <v>2593</v>
      </c>
      <c r="G2150" s="16" t="s">
        <v>1197</v>
      </c>
      <c r="H2150" s="14" t="str">
        <f>"20250319/273623"</f>
        <v>20250319/273623</v>
      </c>
      <c r="I2150" s="19" t="str">
        <f t="shared" si="149"/>
        <v> </v>
      </c>
      <c r="J2150" s="18">
        <v>362709.5</v>
      </c>
      <c r="K2150" s="18">
        <v>0</v>
      </c>
      <c r="L2150" s="18">
        <v>2370821.7200000002</v>
      </c>
    </row>
    <row r="2151" spans="1:13" ht="15" thickBot="1" x14ac:dyDescent="0.35">
      <c r="A2151" s="14">
        <v>2144</v>
      </c>
      <c r="B2151" s="15">
        <v>45735</v>
      </c>
      <c r="C2151" s="15">
        <v>45735</v>
      </c>
      <c r="D2151" s="16" t="s">
        <v>1192</v>
      </c>
      <c r="E2151" s="16" t="s">
        <v>1193</v>
      </c>
      <c r="F2151" s="16" t="s">
        <v>2592</v>
      </c>
      <c r="G2151" s="16" t="s">
        <v>1197</v>
      </c>
      <c r="H2151" s="14" t="str">
        <f>"20250319/273624"</f>
        <v>20250319/273624</v>
      </c>
      <c r="I2151" s="19" t="str">
        <f t="shared" si="149"/>
        <v> </v>
      </c>
      <c r="J2151" s="18">
        <v>610329.32999999996</v>
      </c>
      <c r="K2151" s="18">
        <v>0</v>
      </c>
      <c r="L2151" s="18">
        <v>2981151.05</v>
      </c>
    </row>
    <row r="2152" spans="1:13" ht="15" thickBot="1" x14ac:dyDescent="0.35">
      <c r="A2152" s="14">
        <v>2145</v>
      </c>
      <c r="B2152" s="15">
        <v>45735</v>
      </c>
      <c r="C2152" s="15">
        <v>45735</v>
      </c>
      <c r="D2152" s="16" t="s">
        <v>1192</v>
      </c>
      <c r="E2152" s="16" t="s">
        <v>1193</v>
      </c>
      <c r="F2152" s="16" t="s">
        <v>2594</v>
      </c>
      <c r="G2152" s="16" t="s">
        <v>1197</v>
      </c>
      <c r="H2152" s="14" t="str">
        <f>"20250319/350988"</f>
        <v>20250319/350988</v>
      </c>
      <c r="I2152" s="19" t="str">
        <f t="shared" si="149"/>
        <v> </v>
      </c>
      <c r="J2152" s="18">
        <v>0</v>
      </c>
      <c r="K2152" s="18">
        <v>3909.09</v>
      </c>
      <c r="L2152" s="18">
        <v>2977241.96</v>
      </c>
    </row>
    <row r="2153" spans="1:13" ht="15" thickBot="1" x14ac:dyDescent="0.35">
      <c r="A2153" s="14">
        <v>2146</v>
      </c>
      <c r="B2153" s="15">
        <v>45735</v>
      </c>
      <c r="C2153" s="15">
        <v>45735</v>
      </c>
      <c r="D2153" s="16" t="s">
        <v>1192</v>
      </c>
      <c r="E2153" s="16" t="s">
        <v>1193</v>
      </c>
      <c r="F2153" s="16" t="s">
        <v>2595</v>
      </c>
      <c r="G2153" s="16" t="s">
        <v>1197</v>
      </c>
      <c r="H2153" s="14" t="str">
        <f>"20250319/350989"</f>
        <v>20250319/350989</v>
      </c>
      <c r="I2153" s="19" t="str">
        <f t="shared" si="149"/>
        <v> </v>
      </c>
      <c r="J2153" s="18">
        <v>0</v>
      </c>
      <c r="K2153" s="18">
        <v>385164.75</v>
      </c>
      <c r="L2153" s="18">
        <v>2592077.21</v>
      </c>
    </row>
    <row r="2154" spans="1:13" ht="15" thickBot="1" x14ac:dyDescent="0.35">
      <c r="A2154" s="14">
        <v>2147</v>
      </c>
      <c r="B2154" s="15">
        <v>45735</v>
      </c>
      <c r="C2154" s="15">
        <v>45735</v>
      </c>
      <c r="D2154" s="16" t="s">
        <v>1192</v>
      </c>
      <c r="E2154" s="16" t="s">
        <v>1193</v>
      </c>
      <c r="F2154" s="16" t="s">
        <v>2594</v>
      </c>
      <c r="G2154" s="16" t="s">
        <v>1197</v>
      </c>
      <c r="H2154" s="14" t="str">
        <f>"20250319/350990"</f>
        <v>20250319/350990</v>
      </c>
      <c r="I2154" s="19" t="str">
        <f t="shared" si="149"/>
        <v> </v>
      </c>
      <c r="J2154" s="18">
        <v>0</v>
      </c>
      <c r="K2154" s="18">
        <v>618783.22</v>
      </c>
      <c r="L2154" s="18">
        <v>1973293.99</v>
      </c>
    </row>
    <row r="2155" spans="1:13" ht="15" thickBot="1" x14ac:dyDescent="0.35">
      <c r="A2155" s="14">
        <v>2148</v>
      </c>
      <c r="B2155" s="15">
        <v>45735</v>
      </c>
      <c r="C2155" s="15">
        <v>45736</v>
      </c>
      <c r="D2155" s="16" t="s">
        <v>1192</v>
      </c>
      <c r="E2155" s="16" t="s">
        <v>1193</v>
      </c>
      <c r="F2155" s="16" t="s">
        <v>2596</v>
      </c>
      <c r="G2155" s="16" t="s">
        <v>1197</v>
      </c>
      <c r="H2155" s="14" t="str">
        <f>"20250319/162119"</f>
        <v>20250319/162119</v>
      </c>
      <c r="I2155" s="19" t="str">
        <f>"2503004670748"</f>
        <v>2503004670748</v>
      </c>
      <c r="J2155" s="18">
        <v>0</v>
      </c>
      <c r="K2155" s="18">
        <v>71880.27</v>
      </c>
      <c r="L2155" s="18">
        <v>1901413.72</v>
      </c>
    </row>
    <row r="2156" spans="1:13" ht="15" thickBot="1" x14ac:dyDescent="0.35">
      <c r="A2156" s="14">
        <v>2149</v>
      </c>
      <c r="B2156" s="15">
        <v>45735</v>
      </c>
      <c r="C2156" s="15">
        <v>45736</v>
      </c>
      <c r="D2156" s="16" t="s">
        <v>1192</v>
      </c>
      <c r="E2156" s="16" t="s">
        <v>1193</v>
      </c>
      <c r="F2156" s="16" t="s">
        <v>2597</v>
      </c>
      <c r="G2156" s="16" t="s">
        <v>1197</v>
      </c>
      <c r="H2156" s="14" t="str">
        <f>"20250319/162120"</f>
        <v>20250319/162120</v>
      </c>
      <c r="I2156" s="19" t="str">
        <f>"2503004670748"</f>
        <v>2503004670748</v>
      </c>
      <c r="J2156" s="18">
        <v>0</v>
      </c>
      <c r="K2156" s="18">
        <v>24581.56</v>
      </c>
      <c r="L2156" s="18">
        <v>1876832.16</v>
      </c>
    </row>
    <row r="2157" spans="1:13" ht="15" thickBot="1" x14ac:dyDescent="0.35">
      <c r="A2157" s="14">
        <v>2150</v>
      </c>
      <c r="B2157" s="15">
        <v>45736</v>
      </c>
      <c r="C2157" s="15">
        <v>45736</v>
      </c>
      <c r="D2157" s="16" t="s">
        <v>1192</v>
      </c>
      <c r="E2157" s="16" t="s">
        <v>1193</v>
      </c>
      <c r="F2157" s="16" t="s">
        <v>1202</v>
      </c>
      <c r="G2157" s="16" t="s">
        <v>1203</v>
      </c>
      <c r="H2157" s="14" t="str">
        <f>"20250320/11970"</f>
        <v>20250320/11970</v>
      </c>
      <c r="I2157" s="17" t="str">
        <f t="shared" ref="I2157:I2167" si="150">" "</f>
        <v> </v>
      </c>
      <c r="J2157" s="18">
        <v>26459.17</v>
      </c>
      <c r="K2157" s="18">
        <v>0</v>
      </c>
      <c r="L2157" s="18">
        <v>1903291.33</v>
      </c>
      <c r="M2157" t="s">
        <v>2661</v>
      </c>
    </row>
    <row r="2158" spans="1:13" ht="15" thickBot="1" x14ac:dyDescent="0.35">
      <c r="A2158" s="14">
        <v>2151</v>
      </c>
      <c r="B2158" s="15">
        <v>45736</v>
      </c>
      <c r="C2158" s="15">
        <v>45736</v>
      </c>
      <c r="D2158" s="16" t="s">
        <v>1192</v>
      </c>
      <c r="E2158" s="16" t="s">
        <v>1193</v>
      </c>
      <c r="F2158" s="16" t="s">
        <v>1204</v>
      </c>
      <c r="G2158" s="16" t="s">
        <v>1203</v>
      </c>
      <c r="H2158" s="14" t="str">
        <f>"20250320/46057"</f>
        <v>20250320/46057</v>
      </c>
      <c r="I2158" s="17" t="str">
        <f t="shared" si="150"/>
        <v> </v>
      </c>
      <c r="J2158" s="18">
        <v>71880.27</v>
      </c>
      <c r="K2158" s="18">
        <v>0</v>
      </c>
      <c r="L2158" s="18">
        <v>1975171.6</v>
      </c>
      <c r="M2158" t="s">
        <v>2661</v>
      </c>
    </row>
    <row r="2159" spans="1:13" ht="15" thickBot="1" x14ac:dyDescent="0.35">
      <c r="A2159" s="14">
        <v>2152</v>
      </c>
      <c r="B2159" s="15">
        <v>45736</v>
      </c>
      <c r="C2159" s="15">
        <v>45736</v>
      </c>
      <c r="D2159" s="16" t="s">
        <v>1192</v>
      </c>
      <c r="E2159" s="16" t="s">
        <v>1193</v>
      </c>
      <c r="F2159" s="16" t="s">
        <v>1194</v>
      </c>
      <c r="G2159" s="16" t="s">
        <v>1195</v>
      </c>
      <c r="H2159" s="14" t="str">
        <f>"20250320/30564"</f>
        <v>20250320/30564</v>
      </c>
      <c r="I2159" s="17" t="str">
        <f t="shared" si="150"/>
        <v> </v>
      </c>
      <c r="J2159" s="18">
        <v>0</v>
      </c>
      <c r="K2159" s="18">
        <v>354.86</v>
      </c>
      <c r="L2159" s="18">
        <v>1974816.74</v>
      </c>
      <c r="M2159" t="s">
        <v>2661</v>
      </c>
    </row>
    <row r="2160" spans="1:13" ht="15" thickBot="1" x14ac:dyDescent="0.35">
      <c r="A2160" s="14">
        <v>2153</v>
      </c>
      <c r="B2160" s="15">
        <v>45736</v>
      </c>
      <c r="C2160" s="15">
        <v>45736</v>
      </c>
      <c r="D2160" s="16" t="s">
        <v>1192</v>
      </c>
      <c r="E2160" s="16" t="s">
        <v>1193</v>
      </c>
      <c r="F2160" s="16" t="s">
        <v>1194</v>
      </c>
      <c r="G2160" s="16" t="s">
        <v>1195</v>
      </c>
      <c r="H2160" s="14" t="str">
        <f>"20250320/87782"</f>
        <v>20250320/87782</v>
      </c>
      <c r="I2160" s="17" t="str">
        <f t="shared" si="150"/>
        <v> </v>
      </c>
      <c r="J2160" s="18">
        <v>0</v>
      </c>
      <c r="K2160" s="18">
        <v>28781.43</v>
      </c>
      <c r="L2160" s="18">
        <v>1946035.31</v>
      </c>
      <c r="M2160" t="s">
        <v>2661</v>
      </c>
    </row>
    <row r="2161" spans="1:13" ht="15" thickBot="1" x14ac:dyDescent="0.35">
      <c r="A2161" s="14">
        <v>2154</v>
      </c>
      <c r="B2161" s="15">
        <v>45736</v>
      </c>
      <c r="C2161" s="15">
        <v>45736</v>
      </c>
      <c r="D2161" s="16" t="s">
        <v>1192</v>
      </c>
      <c r="E2161" s="16" t="s">
        <v>1193</v>
      </c>
      <c r="F2161" s="16" t="s">
        <v>2598</v>
      </c>
      <c r="G2161" s="16" t="s">
        <v>1197</v>
      </c>
      <c r="H2161" s="14" t="str">
        <f>"20250320/135095"</f>
        <v>20250320/135095</v>
      </c>
      <c r="I2161" s="19" t="str">
        <f t="shared" si="150"/>
        <v> </v>
      </c>
      <c r="J2161" s="18">
        <v>354.86</v>
      </c>
      <c r="K2161" s="18">
        <v>0</v>
      </c>
      <c r="L2161" s="18">
        <v>1946390.17</v>
      </c>
      <c r="M2161" t="s">
        <v>2658</v>
      </c>
    </row>
    <row r="2162" spans="1:13" ht="15" thickBot="1" x14ac:dyDescent="0.35">
      <c r="A2162" s="14">
        <v>2155</v>
      </c>
      <c r="B2162" s="15">
        <v>45736</v>
      </c>
      <c r="C2162" s="15">
        <v>45736</v>
      </c>
      <c r="D2162" s="16" t="s">
        <v>1192</v>
      </c>
      <c r="E2162" s="16" t="s">
        <v>1193</v>
      </c>
      <c r="F2162" s="16" t="s">
        <v>2599</v>
      </c>
      <c r="G2162" s="16" t="s">
        <v>1197</v>
      </c>
      <c r="H2162" s="14" t="str">
        <f>"20250320/213157"</f>
        <v>20250320/213157</v>
      </c>
      <c r="I2162" s="19" t="str">
        <f t="shared" si="150"/>
        <v> </v>
      </c>
      <c r="J2162" s="18">
        <v>3909.09</v>
      </c>
      <c r="K2162" s="18">
        <v>0</v>
      </c>
      <c r="L2162" s="18">
        <v>1950299.26</v>
      </c>
    </row>
    <row r="2163" spans="1:13" ht="15" thickBot="1" x14ac:dyDescent="0.35">
      <c r="A2163" s="14">
        <v>2156</v>
      </c>
      <c r="B2163" s="15">
        <v>45736</v>
      </c>
      <c r="C2163" s="15">
        <v>45736</v>
      </c>
      <c r="D2163" s="16" t="s">
        <v>1192</v>
      </c>
      <c r="E2163" s="16" t="s">
        <v>1193</v>
      </c>
      <c r="F2163" s="16" t="s">
        <v>2600</v>
      </c>
      <c r="G2163" s="16" t="s">
        <v>1197</v>
      </c>
      <c r="H2163" s="14" t="str">
        <f>"20250320/213158"</f>
        <v>20250320/213158</v>
      </c>
      <c r="I2163" s="19" t="str">
        <f t="shared" si="150"/>
        <v> </v>
      </c>
      <c r="J2163" s="18">
        <v>365032.15</v>
      </c>
      <c r="K2163" s="18">
        <v>0</v>
      </c>
      <c r="L2163" s="18">
        <v>2315331.41</v>
      </c>
    </row>
    <row r="2164" spans="1:13" ht="15" thickBot="1" x14ac:dyDescent="0.35">
      <c r="A2164" s="14">
        <v>2157</v>
      </c>
      <c r="B2164" s="15">
        <v>45736</v>
      </c>
      <c r="C2164" s="15">
        <v>45736</v>
      </c>
      <c r="D2164" s="16" t="s">
        <v>1192</v>
      </c>
      <c r="E2164" s="16" t="s">
        <v>1193</v>
      </c>
      <c r="F2164" s="16" t="s">
        <v>2599</v>
      </c>
      <c r="G2164" s="16" t="s">
        <v>1197</v>
      </c>
      <c r="H2164" s="14" t="str">
        <f>"20250320/213159"</f>
        <v>20250320/213159</v>
      </c>
      <c r="I2164" s="19" t="str">
        <f t="shared" si="150"/>
        <v> </v>
      </c>
      <c r="J2164" s="18">
        <v>638176.07999999996</v>
      </c>
      <c r="K2164" s="18">
        <v>0</v>
      </c>
      <c r="L2164" s="18">
        <v>2953507.49</v>
      </c>
    </row>
    <row r="2165" spans="1:13" ht="15" thickBot="1" x14ac:dyDescent="0.35">
      <c r="A2165" s="14">
        <v>2158</v>
      </c>
      <c r="B2165" s="15">
        <v>45736</v>
      </c>
      <c r="C2165" s="15">
        <v>45736</v>
      </c>
      <c r="D2165" s="16" t="s">
        <v>1192</v>
      </c>
      <c r="E2165" s="16" t="s">
        <v>1193</v>
      </c>
      <c r="F2165" s="16" t="s">
        <v>2601</v>
      </c>
      <c r="G2165" s="16" t="s">
        <v>1197</v>
      </c>
      <c r="H2165" s="14" t="str">
        <f>"20250320/302312"</f>
        <v>20250320/302312</v>
      </c>
      <c r="I2165" s="19" t="str">
        <f t="shared" si="150"/>
        <v> </v>
      </c>
      <c r="J2165" s="18">
        <v>0</v>
      </c>
      <c r="K2165" s="18">
        <v>3909.09</v>
      </c>
      <c r="L2165" s="18">
        <v>2949598.4</v>
      </c>
    </row>
    <row r="2166" spans="1:13" ht="15" thickBot="1" x14ac:dyDescent="0.35">
      <c r="A2166" s="14">
        <v>2159</v>
      </c>
      <c r="B2166" s="15">
        <v>45736</v>
      </c>
      <c r="C2166" s="15">
        <v>45736</v>
      </c>
      <c r="D2166" s="16" t="s">
        <v>1192</v>
      </c>
      <c r="E2166" s="16" t="s">
        <v>1193</v>
      </c>
      <c r="F2166" s="16" t="s">
        <v>2602</v>
      </c>
      <c r="G2166" s="16" t="s">
        <v>1197</v>
      </c>
      <c r="H2166" s="14" t="str">
        <f>"20250320/302313"</f>
        <v>20250320/302313</v>
      </c>
      <c r="I2166" s="19" t="str">
        <f t="shared" si="150"/>
        <v> </v>
      </c>
      <c r="J2166" s="18">
        <v>0</v>
      </c>
      <c r="K2166" s="18">
        <v>362709.5</v>
      </c>
      <c r="L2166" s="18">
        <v>2586888.9</v>
      </c>
    </row>
    <row r="2167" spans="1:13" ht="15" thickBot="1" x14ac:dyDescent="0.35">
      <c r="A2167" s="14">
        <v>2160</v>
      </c>
      <c r="B2167" s="15">
        <v>45736</v>
      </c>
      <c r="C2167" s="15">
        <v>45736</v>
      </c>
      <c r="D2167" s="16" t="s">
        <v>1192</v>
      </c>
      <c r="E2167" s="16" t="s">
        <v>1193</v>
      </c>
      <c r="F2167" s="16" t="s">
        <v>2601</v>
      </c>
      <c r="G2167" s="16" t="s">
        <v>1197</v>
      </c>
      <c r="H2167" s="14" t="str">
        <f>"20250320/302314"</f>
        <v>20250320/302314</v>
      </c>
      <c r="I2167" s="19" t="str">
        <f t="shared" si="150"/>
        <v> </v>
      </c>
      <c r="J2167" s="18">
        <v>0</v>
      </c>
      <c r="K2167" s="18">
        <v>610329.32999999996</v>
      </c>
      <c r="L2167" s="18">
        <v>1976559.57</v>
      </c>
    </row>
    <row r="2168" spans="1:13" ht="15" thickBot="1" x14ac:dyDescent="0.35">
      <c r="A2168" s="14">
        <v>2161</v>
      </c>
      <c r="B2168" s="15">
        <v>45736</v>
      </c>
      <c r="C2168" s="15">
        <v>45737</v>
      </c>
      <c r="D2168" s="16" t="s">
        <v>1192</v>
      </c>
      <c r="E2168" s="16" t="s">
        <v>1193</v>
      </c>
      <c r="F2168" s="16" t="s">
        <v>2603</v>
      </c>
      <c r="G2168" s="16" t="s">
        <v>1197</v>
      </c>
      <c r="H2168" s="14" t="str">
        <f>"20250320/164332"</f>
        <v>20250320/164332</v>
      </c>
      <c r="I2168" s="19" t="str">
        <f>"2503005085518"</f>
        <v>2503005085518</v>
      </c>
      <c r="J2168" s="18">
        <v>75304.37</v>
      </c>
      <c r="K2168" s="18">
        <v>0</v>
      </c>
      <c r="L2168" s="18">
        <v>2051863.94</v>
      </c>
    </row>
    <row r="2169" spans="1:13" ht="15" thickBot="1" x14ac:dyDescent="0.35">
      <c r="A2169" s="14">
        <v>2162</v>
      </c>
      <c r="B2169" s="15">
        <v>45737</v>
      </c>
      <c r="C2169" s="15">
        <v>45737</v>
      </c>
      <c r="D2169" s="16" t="s">
        <v>1192</v>
      </c>
      <c r="E2169" s="16" t="s">
        <v>1193</v>
      </c>
      <c r="F2169" s="16" t="s">
        <v>1202</v>
      </c>
      <c r="G2169" s="16" t="s">
        <v>1203</v>
      </c>
      <c r="H2169" s="14" t="str">
        <f>"20250321/64861"</f>
        <v>20250321/64861</v>
      </c>
      <c r="I2169" s="17" t="str">
        <f t="shared" ref="I2169:I2177" si="151">" "</f>
        <v> </v>
      </c>
      <c r="J2169" s="18">
        <v>10537.39</v>
      </c>
      <c r="K2169" s="18">
        <v>0</v>
      </c>
      <c r="L2169" s="18">
        <v>2062401.33</v>
      </c>
      <c r="M2169" t="s">
        <v>2661</v>
      </c>
    </row>
    <row r="2170" spans="1:13" ht="15" thickBot="1" x14ac:dyDescent="0.35">
      <c r="A2170" s="14">
        <v>2163</v>
      </c>
      <c r="B2170" s="15">
        <v>45737</v>
      </c>
      <c r="C2170" s="15">
        <v>45737</v>
      </c>
      <c r="D2170" s="16" t="s">
        <v>1192</v>
      </c>
      <c r="E2170" s="16" t="s">
        <v>1193</v>
      </c>
      <c r="F2170" s="16" t="s">
        <v>1194</v>
      </c>
      <c r="G2170" s="16" t="s">
        <v>1195</v>
      </c>
      <c r="H2170" s="14" t="str">
        <f>"20250321/38130"</f>
        <v>20250321/38130</v>
      </c>
      <c r="I2170" s="17" t="str">
        <f t="shared" si="151"/>
        <v> </v>
      </c>
      <c r="J2170" s="18">
        <v>0</v>
      </c>
      <c r="K2170" s="18">
        <v>20000</v>
      </c>
      <c r="L2170" s="18">
        <v>2042401.33</v>
      </c>
      <c r="M2170" t="s">
        <v>2661</v>
      </c>
    </row>
    <row r="2171" spans="1:13" ht="15" thickBot="1" x14ac:dyDescent="0.35">
      <c r="A2171" s="14">
        <v>2164</v>
      </c>
      <c r="B2171" s="15">
        <v>45737</v>
      </c>
      <c r="C2171" s="15">
        <v>45737</v>
      </c>
      <c r="D2171" s="16" t="s">
        <v>1192</v>
      </c>
      <c r="E2171" s="16" t="s">
        <v>1193</v>
      </c>
      <c r="F2171" s="16" t="s">
        <v>2604</v>
      </c>
      <c r="G2171" s="16" t="s">
        <v>1197</v>
      </c>
      <c r="H2171" s="14" t="str">
        <f>"20250321/111447"</f>
        <v>20250321/111447</v>
      </c>
      <c r="I2171" s="19" t="str">
        <f t="shared" si="151"/>
        <v> </v>
      </c>
      <c r="J2171" s="18">
        <v>345.28</v>
      </c>
      <c r="K2171" s="18">
        <v>0</v>
      </c>
      <c r="L2171" s="18">
        <v>2042746.61</v>
      </c>
      <c r="M2171" t="s">
        <v>2658</v>
      </c>
    </row>
    <row r="2172" spans="1:13" ht="15" thickBot="1" x14ac:dyDescent="0.35">
      <c r="A2172" s="14">
        <v>2165</v>
      </c>
      <c r="B2172" s="15">
        <v>45737</v>
      </c>
      <c r="C2172" s="15">
        <v>45737</v>
      </c>
      <c r="D2172" s="16" t="s">
        <v>1192</v>
      </c>
      <c r="E2172" s="16" t="s">
        <v>1193</v>
      </c>
      <c r="F2172" s="16" t="s">
        <v>2605</v>
      </c>
      <c r="G2172" s="16" t="s">
        <v>1197</v>
      </c>
      <c r="H2172" s="14" t="str">
        <f>"20250321/227243"</f>
        <v>20250321/227243</v>
      </c>
      <c r="I2172" s="19" t="str">
        <f t="shared" si="151"/>
        <v> </v>
      </c>
      <c r="J2172" s="18">
        <v>3909.09</v>
      </c>
      <c r="K2172" s="18">
        <v>0</v>
      </c>
      <c r="L2172" s="18">
        <v>2046655.7</v>
      </c>
    </row>
    <row r="2173" spans="1:13" ht="15" thickBot="1" x14ac:dyDescent="0.35">
      <c r="A2173" s="14">
        <v>2166</v>
      </c>
      <c r="B2173" s="15">
        <v>45737</v>
      </c>
      <c r="C2173" s="15">
        <v>45737</v>
      </c>
      <c r="D2173" s="16" t="s">
        <v>1192</v>
      </c>
      <c r="E2173" s="16" t="s">
        <v>1193</v>
      </c>
      <c r="F2173" s="16" t="s">
        <v>2606</v>
      </c>
      <c r="G2173" s="16" t="s">
        <v>1197</v>
      </c>
      <c r="H2173" s="14" t="str">
        <f>"20250321/227244"</f>
        <v>20250321/227244</v>
      </c>
      <c r="I2173" s="19" t="str">
        <f t="shared" si="151"/>
        <v> </v>
      </c>
      <c r="J2173" s="18">
        <v>346546.95</v>
      </c>
      <c r="K2173" s="18">
        <v>0</v>
      </c>
      <c r="L2173" s="18">
        <v>2393202.65</v>
      </c>
    </row>
    <row r="2174" spans="1:13" ht="15" thickBot="1" x14ac:dyDescent="0.35">
      <c r="A2174" s="14">
        <v>2167</v>
      </c>
      <c r="B2174" s="15">
        <v>45737</v>
      </c>
      <c r="C2174" s="15">
        <v>45737</v>
      </c>
      <c r="D2174" s="16" t="s">
        <v>1192</v>
      </c>
      <c r="E2174" s="16" t="s">
        <v>1193</v>
      </c>
      <c r="F2174" s="16" t="s">
        <v>2605</v>
      </c>
      <c r="G2174" s="16" t="s">
        <v>1197</v>
      </c>
      <c r="H2174" s="14" t="str">
        <f>"20250321/227245"</f>
        <v>20250321/227245</v>
      </c>
      <c r="I2174" s="19" t="str">
        <f t="shared" si="151"/>
        <v> </v>
      </c>
      <c r="J2174" s="18">
        <v>664392.64</v>
      </c>
      <c r="K2174" s="18">
        <v>0</v>
      </c>
      <c r="L2174" s="18">
        <v>3057595.29</v>
      </c>
    </row>
    <row r="2175" spans="1:13" ht="15" thickBot="1" x14ac:dyDescent="0.35">
      <c r="A2175" s="14">
        <v>2168</v>
      </c>
      <c r="B2175" s="15">
        <v>45737</v>
      </c>
      <c r="C2175" s="15">
        <v>45737</v>
      </c>
      <c r="D2175" s="16" t="s">
        <v>1192</v>
      </c>
      <c r="E2175" s="16" t="s">
        <v>1193</v>
      </c>
      <c r="F2175" s="16" t="s">
        <v>2607</v>
      </c>
      <c r="G2175" s="16" t="s">
        <v>1197</v>
      </c>
      <c r="H2175" s="14" t="str">
        <f>"20250321/334257"</f>
        <v>20250321/334257</v>
      </c>
      <c r="I2175" s="19" t="str">
        <f t="shared" si="151"/>
        <v> </v>
      </c>
      <c r="J2175" s="18">
        <v>0</v>
      </c>
      <c r="K2175" s="18">
        <v>3909.09</v>
      </c>
      <c r="L2175" s="18">
        <v>3053686.2</v>
      </c>
    </row>
    <row r="2176" spans="1:13" ht="15" thickBot="1" x14ac:dyDescent="0.35">
      <c r="A2176" s="14">
        <v>2169</v>
      </c>
      <c r="B2176" s="15">
        <v>45737</v>
      </c>
      <c r="C2176" s="15">
        <v>45737</v>
      </c>
      <c r="D2176" s="16" t="s">
        <v>1192</v>
      </c>
      <c r="E2176" s="16" t="s">
        <v>1193</v>
      </c>
      <c r="F2176" s="16" t="s">
        <v>2608</v>
      </c>
      <c r="G2176" s="16" t="s">
        <v>1197</v>
      </c>
      <c r="H2176" s="14" t="str">
        <f>"20250321/334258"</f>
        <v>20250321/334258</v>
      </c>
      <c r="I2176" s="19" t="str">
        <f t="shared" si="151"/>
        <v> </v>
      </c>
      <c r="J2176" s="18">
        <v>0</v>
      </c>
      <c r="K2176" s="18">
        <v>365032.15</v>
      </c>
      <c r="L2176" s="18">
        <v>2688654.05</v>
      </c>
    </row>
    <row r="2177" spans="1:13" ht="15" thickBot="1" x14ac:dyDescent="0.35">
      <c r="A2177" s="14">
        <v>2170</v>
      </c>
      <c r="B2177" s="15">
        <v>45737</v>
      </c>
      <c r="C2177" s="15">
        <v>45737</v>
      </c>
      <c r="D2177" s="16" t="s">
        <v>1192</v>
      </c>
      <c r="E2177" s="16" t="s">
        <v>1193</v>
      </c>
      <c r="F2177" s="16" t="s">
        <v>2607</v>
      </c>
      <c r="G2177" s="16" t="s">
        <v>1197</v>
      </c>
      <c r="H2177" s="14" t="str">
        <f>"20250321/334259"</f>
        <v>20250321/334259</v>
      </c>
      <c r="I2177" s="19" t="str">
        <f t="shared" si="151"/>
        <v> </v>
      </c>
      <c r="J2177" s="18">
        <v>0</v>
      </c>
      <c r="K2177" s="18">
        <v>638176.07999999996</v>
      </c>
      <c r="L2177" s="18">
        <v>2050477.97</v>
      </c>
    </row>
    <row r="2178" spans="1:13" ht="15" thickBot="1" x14ac:dyDescent="0.35">
      <c r="A2178" s="14">
        <v>2171</v>
      </c>
      <c r="B2178" s="15">
        <v>45737</v>
      </c>
      <c r="C2178" s="15">
        <v>45740</v>
      </c>
      <c r="D2178" s="16" t="s">
        <v>1192</v>
      </c>
      <c r="E2178" s="16" t="s">
        <v>1193</v>
      </c>
      <c r="F2178" s="16" t="s">
        <v>2609</v>
      </c>
      <c r="G2178" s="16" t="s">
        <v>1197</v>
      </c>
      <c r="H2178" s="14" t="str">
        <f>"20250321/166185"</f>
        <v>20250321/166185</v>
      </c>
      <c r="I2178" s="19" t="str">
        <f>"2503005507462"</f>
        <v>2503005507462</v>
      </c>
      <c r="J2178" s="18">
        <v>0</v>
      </c>
      <c r="K2178" s="18">
        <v>48764.92</v>
      </c>
      <c r="L2178" s="18">
        <v>2001713.05</v>
      </c>
    </row>
    <row r="2179" spans="1:13" ht="15" thickBot="1" x14ac:dyDescent="0.35">
      <c r="A2179" s="14">
        <v>2172</v>
      </c>
      <c r="B2179" s="15">
        <v>45737</v>
      </c>
      <c r="C2179" s="15">
        <v>45740</v>
      </c>
      <c r="D2179" s="16" t="s">
        <v>1192</v>
      </c>
      <c r="E2179" s="16" t="s">
        <v>1193</v>
      </c>
      <c r="F2179" s="16" t="s">
        <v>2610</v>
      </c>
      <c r="G2179" s="16" t="s">
        <v>1197</v>
      </c>
      <c r="H2179" s="14" t="str">
        <f>"20250321/166186"</f>
        <v>20250321/166186</v>
      </c>
      <c r="I2179" s="19" t="str">
        <f>"2503005507462"</f>
        <v>2503005507462</v>
      </c>
      <c r="J2179" s="18">
        <v>45511.18</v>
      </c>
      <c r="K2179" s="18">
        <v>0</v>
      </c>
      <c r="L2179" s="18">
        <v>2047224.23</v>
      </c>
    </row>
    <row r="2180" spans="1:13" ht="15" thickBot="1" x14ac:dyDescent="0.35">
      <c r="A2180" s="14">
        <v>2173</v>
      </c>
      <c r="B2180" s="15">
        <v>45740</v>
      </c>
      <c r="C2180" s="15">
        <v>45740</v>
      </c>
      <c r="D2180" s="16" t="s">
        <v>1192</v>
      </c>
      <c r="E2180" s="16" t="s">
        <v>1193</v>
      </c>
      <c r="F2180" s="16" t="s">
        <v>1204</v>
      </c>
      <c r="G2180" s="16" t="s">
        <v>1203</v>
      </c>
      <c r="H2180" s="14" t="str">
        <f>"20250324/43586"</f>
        <v>20250324/43586</v>
      </c>
      <c r="I2180" s="17" t="str">
        <f t="shared" ref="I2180:I2188" si="152">" "</f>
        <v> </v>
      </c>
      <c r="J2180" s="18">
        <v>48764.92</v>
      </c>
      <c r="K2180" s="18">
        <v>0</v>
      </c>
      <c r="L2180" s="18">
        <v>2095989.15</v>
      </c>
      <c r="M2180" t="s">
        <v>2661</v>
      </c>
    </row>
    <row r="2181" spans="1:13" ht="15" thickBot="1" x14ac:dyDescent="0.35">
      <c r="A2181" s="14">
        <v>2174</v>
      </c>
      <c r="B2181" s="15">
        <v>45740</v>
      </c>
      <c r="C2181" s="15">
        <v>45740</v>
      </c>
      <c r="D2181" s="16" t="s">
        <v>1192</v>
      </c>
      <c r="E2181" s="16" t="s">
        <v>1193</v>
      </c>
      <c r="F2181" s="16" t="s">
        <v>1194</v>
      </c>
      <c r="G2181" s="16" t="s">
        <v>1195</v>
      </c>
      <c r="H2181" s="14" t="str">
        <f>"20250324/39519"</f>
        <v>20250324/39519</v>
      </c>
      <c r="I2181" s="17" t="str">
        <f t="shared" si="152"/>
        <v> </v>
      </c>
      <c r="J2181" s="18">
        <v>0</v>
      </c>
      <c r="K2181" s="18">
        <v>1106.55</v>
      </c>
      <c r="L2181" s="18">
        <v>2094882.6</v>
      </c>
      <c r="M2181" t="s">
        <v>2661</v>
      </c>
    </row>
    <row r="2182" spans="1:13" ht="15" thickBot="1" x14ac:dyDescent="0.35">
      <c r="A2182" s="14">
        <v>2175</v>
      </c>
      <c r="B2182" s="15">
        <v>45740</v>
      </c>
      <c r="C2182" s="15">
        <v>45740</v>
      </c>
      <c r="D2182" s="16" t="s">
        <v>1192</v>
      </c>
      <c r="E2182" s="16" t="s">
        <v>1193</v>
      </c>
      <c r="F2182" s="16" t="s">
        <v>2611</v>
      </c>
      <c r="G2182" s="16" t="s">
        <v>1197</v>
      </c>
      <c r="H2182" s="14" t="str">
        <f>"20250324/135163"</f>
        <v>20250324/135163</v>
      </c>
      <c r="I2182" s="19" t="str">
        <f t="shared" si="152"/>
        <v> </v>
      </c>
      <c r="J2182" s="18">
        <v>1106.55</v>
      </c>
      <c r="K2182" s="18">
        <v>0</v>
      </c>
      <c r="L2182" s="18">
        <v>2095989.15</v>
      </c>
      <c r="M2182" t="s">
        <v>2658</v>
      </c>
    </row>
    <row r="2183" spans="1:13" ht="15" thickBot="1" x14ac:dyDescent="0.35">
      <c r="A2183" s="14">
        <v>2176</v>
      </c>
      <c r="B2183" s="15">
        <v>45740</v>
      </c>
      <c r="C2183" s="15">
        <v>45740</v>
      </c>
      <c r="D2183" s="16" t="s">
        <v>1192</v>
      </c>
      <c r="E2183" s="16" t="s">
        <v>1193</v>
      </c>
      <c r="F2183" s="16" t="s">
        <v>2612</v>
      </c>
      <c r="G2183" s="16" t="s">
        <v>1197</v>
      </c>
      <c r="H2183" s="14" t="str">
        <f>"20250324/278814"</f>
        <v>20250324/278814</v>
      </c>
      <c r="I2183" s="19" t="str">
        <f t="shared" si="152"/>
        <v> </v>
      </c>
      <c r="J2183" s="18">
        <v>3909.09</v>
      </c>
      <c r="K2183" s="18">
        <v>0</v>
      </c>
      <c r="L2183" s="18">
        <v>2099898.2400000002</v>
      </c>
    </row>
    <row r="2184" spans="1:13" ht="15" thickBot="1" x14ac:dyDescent="0.35">
      <c r="A2184" s="14">
        <v>2177</v>
      </c>
      <c r="B2184" s="15">
        <v>45740</v>
      </c>
      <c r="C2184" s="15">
        <v>45740</v>
      </c>
      <c r="D2184" s="16" t="s">
        <v>1192</v>
      </c>
      <c r="E2184" s="16" t="s">
        <v>1193</v>
      </c>
      <c r="F2184" s="16" t="s">
        <v>2613</v>
      </c>
      <c r="G2184" s="16" t="s">
        <v>1197</v>
      </c>
      <c r="H2184" s="14" t="str">
        <f>"20250324/278815"</f>
        <v>20250324/278815</v>
      </c>
      <c r="I2184" s="19" t="str">
        <f t="shared" si="152"/>
        <v> </v>
      </c>
      <c r="J2184" s="18">
        <v>295769.8</v>
      </c>
      <c r="K2184" s="18">
        <v>0</v>
      </c>
      <c r="L2184" s="18">
        <v>2395668.04</v>
      </c>
    </row>
    <row r="2185" spans="1:13" ht="15" thickBot="1" x14ac:dyDescent="0.35">
      <c r="A2185" s="14">
        <v>2178</v>
      </c>
      <c r="B2185" s="15">
        <v>45740</v>
      </c>
      <c r="C2185" s="15">
        <v>45740</v>
      </c>
      <c r="D2185" s="16" t="s">
        <v>1192</v>
      </c>
      <c r="E2185" s="16" t="s">
        <v>1193</v>
      </c>
      <c r="F2185" s="16" t="s">
        <v>2612</v>
      </c>
      <c r="G2185" s="16" t="s">
        <v>1197</v>
      </c>
      <c r="H2185" s="14" t="str">
        <f>"20250324/278816"</f>
        <v>20250324/278816</v>
      </c>
      <c r="I2185" s="19" t="str">
        <f t="shared" si="152"/>
        <v> </v>
      </c>
      <c r="J2185" s="18">
        <v>665025.63</v>
      </c>
      <c r="K2185" s="18">
        <v>0</v>
      </c>
      <c r="L2185" s="18">
        <v>3060693.67</v>
      </c>
    </row>
    <row r="2186" spans="1:13" ht="15" thickBot="1" x14ac:dyDescent="0.35">
      <c r="A2186" s="14">
        <v>2179</v>
      </c>
      <c r="B2186" s="15">
        <v>45740</v>
      </c>
      <c r="C2186" s="15">
        <v>45740</v>
      </c>
      <c r="D2186" s="16" t="s">
        <v>1192</v>
      </c>
      <c r="E2186" s="16" t="s">
        <v>1193</v>
      </c>
      <c r="F2186" s="16" t="s">
        <v>2614</v>
      </c>
      <c r="G2186" s="16" t="s">
        <v>1197</v>
      </c>
      <c r="H2186" s="14" t="str">
        <f>"20250324/373339"</f>
        <v>20250324/373339</v>
      </c>
      <c r="I2186" s="19" t="str">
        <f t="shared" si="152"/>
        <v> </v>
      </c>
      <c r="J2186" s="18">
        <v>0</v>
      </c>
      <c r="K2186" s="18">
        <v>3909.09</v>
      </c>
      <c r="L2186" s="18">
        <v>3056784.58</v>
      </c>
    </row>
    <row r="2187" spans="1:13" ht="15" thickBot="1" x14ac:dyDescent="0.35">
      <c r="A2187" s="14">
        <v>2180</v>
      </c>
      <c r="B2187" s="15">
        <v>45740</v>
      </c>
      <c r="C2187" s="15">
        <v>45740</v>
      </c>
      <c r="D2187" s="16" t="s">
        <v>1192</v>
      </c>
      <c r="E2187" s="16" t="s">
        <v>1193</v>
      </c>
      <c r="F2187" s="16" t="s">
        <v>2615</v>
      </c>
      <c r="G2187" s="16" t="s">
        <v>1197</v>
      </c>
      <c r="H2187" s="14" t="str">
        <f>"20250324/373340"</f>
        <v>20250324/373340</v>
      </c>
      <c r="I2187" s="19" t="str">
        <f t="shared" si="152"/>
        <v> </v>
      </c>
      <c r="J2187" s="18">
        <v>0</v>
      </c>
      <c r="K2187" s="18">
        <v>346546.95</v>
      </c>
      <c r="L2187" s="18">
        <v>2710237.63</v>
      </c>
    </row>
    <row r="2188" spans="1:13" ht="15" thickBot="1" x14ac:dyDescent="0.35">
      <c r="A2188" s="14">
        <v>2181</v>
      </c>
      <c r="B2188" s="15">
        <v>45740</v>
      </c>
      <c r="C2188" s="15">
        <v>45740</v>
      </c>
      <c r="D2188" s="16" t="s">
        <v>1192</v>
      </c>
      <c r="E2188" s="16" t="s">
        <v>1193</v>
      </c>
      <c r="F2188" s="16" t="s">
        <v>2614</v>
      </c>
      <c r="G2188" s="16" t="s">
        <v>1197</v>
      </c>
      <c r="H2188" s="14" t="str">
        <f>"20250324/373341"</f>
        <v>20250324/373341</v>
      </c>
      <c r="I2188" s="19" t="str">
        <f t="shared" si="152"/>
        <v> </v>
      </c>
      <c r="J2188" s="18">
        <v>0</v>
      </c>
      <c r="K2188" s="18">
        <v>664392.64</v>
      </c>
      <c r="L2188" s="18">
        <v>2045844.99</v>
      </c>
    </row>
    <row r="2189" spans="1:13" ht="15" thickBot="1" x14ac:dyDescent="0.35">
      <c r="A2189" s="14">
        <v>2182</v>
      </c>
      <c r="B2189" s="15">
        <v>45740</v>
      </c>
      <c r="C2189" s="15">
        <v>45741</v>
      </c>
      <c r="D2189" s="16" t="s">
        <v>1192</v>
      </c>
      <c r="E2189" s="16" t="s">
        <v>1193</v>
      </c>
      <c r="F2189" s="16" t="s">
        <v>2616</v>
      </c>
      <c r="G2189" s="16" t="s">
        <v>1197</v>
      </c>
      <c r="H2189" s="14" t="str">
        <f>"20250324/175807"</f>
        <v>20250324/175807</v>
      </c>
      <c r="I2189" s="19" t="str">
        <f>"2503005946161"</f>
        <v>2503005946161</v>
      </c>
      <c r="J2189" s="18">
        <v>0</v>
      </c>
      <c r="K2189" s="18">
        <v>9643.35</v>
      </c>
      <c r="L2189" s="18">
        <v>2036201.64</v>
      </c>
    </row>
    <row r="2190" spans="1:13" ht="15" thickBot="1" x14ac:dyDescent="0.35">
      <c r="A2190" s="14">
        <v>2183</v>
      </c>
      <c r="B2190" s="15">
        <v>45740</v>
      </c>
      <c r="C2190" s="15">
        <v>45741</v>
      </c>
      <c r="D2190" s="16" t="s">
        <v>1192</v>
      </c>
      <c r="E2190" s="16" t="s">
        <v>1193</v>
      </c>
      <c r="F2190" s="16" t="s">
        <v>2617</v>
      </c>
      <c r="G2190" s="16" t="s">
        <v>1197</v>
      </c>
      <c r="H2190" s="14" t="str">
        <f>"20250324/175808"</f>
        <v>20250324/175808</v>
      </c>
      <c r="I2190" s="19" t="str">
        <f>"2503005946161"</f>
        <v>2503005946161</v>
      </c>
      <c r="J2190" s="18">
        <v>4837.18</v>
      </c>
      <c r="K2190" s="18">
        <v>0</v>
      </c>
      <c r="L2190" s="18">
        <v>2041038.82</v>
      </c>
    </row>
    <row r="2191" spans="1:13" ht="15" thickBot="1" x14ac:dyDescent="0.35">
      <c r="A2191" s="14">
        <v>2184</v>
      </c>
      <c r="B2191" s="15">
        <v>45741</v>
      </c>
      <c r="C2191" s="15">
        <v>45741</v>
      </c>
      <c r="D2191" s="16" t="s">
        <v>1192</v>
      </c>
      <c r="E2191" s="16" t="s">
        <v>1193</v>
      </c>
      <c r="F2191" s="16" t="s">
        <v>1202</v>
      </c>
      <c r="G2191" s="16" t="s">
        <v>1203</v>
      </c>
      <c r="H2191" s="14" t="str">
        <f>"20250325/11026"</f>
        <v>20250325/11026</v>
      </c>
      <c r="I2191" s="17" t="str">
        <f t="shared" ref="I2191:I2201" si="153">" "</f>
        <v> </v>
      </c>
      <c r="J2191" s="18">
        <v>17329.54</v>
      </c>
      <c r="K2191" s="18">
        <v>0</v>
      </c>
      <c r="L2191" s="18">
        <v>2058368.36</v>
      </c>
      <c r="M2191" t="s">
        <v>2661</v>
      </c>
    </row>
    <row r="2192" spans="1:13" ht="15" thickBot="1" x14ac:dyDescent="0.35">
      <c r="A2192" s="14">
        <v>2185</v>
      </c>
      <c r="B2192" s="15">
        <v>45741</v>
      </c>
      <c r="C2192" s="15">
        <v>45741</v>
      </c>
      <c r="D2192" s="16" t="s">
        <v>1192</v>
      </c>
      <c r="E2192" s="16" t="s">
        <v>1193</v>
      </c>
      <c r="F2192" s="16" t="s">
        <v>1204</v>
      </c>
      <c r="G2192" s="16" t="s">
        <v>1203</v>
      </c>
      <c r="H2192" s="14" t="str">
        <f>"20250325/45713"</f>
        <v>20250325/45713</v>
      </c>
      <c r="I2192" s="17" t="str">
        <f t="shared" si="153"/>
        <v> </v>
      </c>
      <c r="J2192" s="18">
        <v>9643.35</v>
      </c>
      <c r="K2192" s="18">
        <v>0</v>
      </c>
      <c r="L2192" s="18">
        <v>2068011.71</v>
      </c>
      <c r="M2192" t="s">
        <v>2661</v>
      </c>
    </row>
    <row r="2193" spans="1:13" ht="15" thickBot="1" x14ac:dyDescent="0.35">
      <c r="A2193" s="14">
        <v>2186</v>
      </c>
      <c r="B2193" s="15">
        <v>45741</v>
      </c>
      <c r="C2193" s="15">
        <v>45741</v>
      </c>
      <c r="D2193" s="16" t="s">
        <v>1192</v>
      </c>
      <c r="E2193" s="16" t="s">
        <v>1193</v>
      </c>
      <c r="F2193" s="16" t="s">
        <v>1194</v>
      </c>
      <c r="G2193" s="16" t="s">
        <v>1195</v>
      </c>
      <c r="H2193" s="14" t="str">
        <f>"20250325/101446"</f>
        <v>20250325/101446</v>
      </c>
      <c r="I2193" s="17" t="str">
        <f t="shared" si="153"/>
        <v> </v>
      </c>
      <c r="J2193" s="18">
        <v>0</v>
      </c>
      <c r="K2193" s="18">
        <v>21360.78</v>
      </c>
      <c r="L2193" s="18">
        <v>2046650.93</v>
      </c>
      <c r="M2193" t="s">
        <v>2661</v>
      </c>
    </row>
    <row r="2194" spans="1:13" ht="15" thickBot="1" x14ac:dyDescent="0.35">
      <c r="A2194" s="14">
        <v>2187</v>
      </c>
      <c r="B2194" s="15">
        <v>45741</v>
      </c>
      <c r="C2194" s="15">
        <v>45741</v>
      </c>
      <c r="D2194" s="16" t="s">
        <v>1192</v>
      </c>
      <c r="E2194" s="16" t="s">
        <v>1193</v>
      </c>
      <c r="F2194" s="16" t="s">
        <v>1194</v>
      </c>
      <c r="G2194" s="16" t="s">
        <v>1195</v>
      </c>
      <c r="H2194" s="14" t="str">
        <f>"20250325/39100"</f>
        <v>20250325/39100</v>
      </c>
      <c r="I2194" s="17" t="str">
        <f t="shared" si="153"/>
        <v> </v>
      </c>
      <c r="J2194" s="18">
        <v>0</v>
      </c>
      <c r="K2194" s="18">
        <v>385.06</v>
      </c>
      <c r="L2194" s="18">
        <v>2046265.87</v>
      </c>
      <c r="M2194" t="s">
        <v>2661</v>
      </c>
    </row>
    <row r="2195" spans="1:13" ht="15" thickBot="1" x14ac:dyDescent="0.35">
      <c r="A2195" s="14">
        <v>2188</v>
      </c>
      <c r="B2195" s="15">
        <v>45741</v>
      </c>
      <c r="C2195" s="15">
        <v>45741</v>
      </c>
      <c r="D2195" s="16" t="s">
        <v>1192</v>
      </c>
      <c r="E2195" s="16" t="s">
        <v>1193</v>
      </c>
      <c r="F2195" s="16" t="s">
        <v>2618</v>
      </c>
      <c r="G2195" s="16" t="s">
        <v>1197</v>
      </c>
      <c r="H2195" s="14" t="str">
        <f>"20250325/132890"</f>
        <v>20250325/132890</v>
      </c>
      <c r="I2195" s="19" t="str">
        <f t="shared" si="153"/>
        <v> </v>
      </c>
      <c r="J2195" s="18">
        <v>385.06</v>
      </c>
      <c r="K2195" s="18">
        <v>0</v>
      </c>
      <c r="L2195" s="18">
        <v>2046650.93</v>
      </c>
      <c r="M2195" t="s">
        <v>2658</v>
      </c>
    </row>
    <row r="2196" spans="1:13" ht="15" thickBot="1" x14ac:dyDescent="0.35">
      <c r="A2196" s="14">
        <v>2189</v>
      </c>
      <c r="B2196" s="15">
        <v>45741</v>
      </c>
      <c r="C2196" s="15">
        <v>45741</v>
      </c>
      <c r="D2196" s="16" t="s">
        <v>1192</v>
      </c>
      <c r="E2196" s="16" t="s">
        <v>1193</v>
      </c>
      <c r="F2196" s="16" t="s">
        <v>2619</v>
      </c>
      <c r="G2196" s="16" t="s">
        <v>1197</v>
      </c>
      <c r="H2196" s="14" t="str">
        <f>"20250325/251941"</f>
        <v>20250325/251941</v>
      </c>
      <c r="I2196" s="19" t="str">
        <f t="shared" si="153"/>
        <v> </v>
      </c>
      <c r="J2196" s="18">
        <v>3909.09</v>
      </c>
      <c r="K2196" s="18">
        <v>0</v>
      </c>
      <c r="L2196" s="18">
        <v>2050560.02</v>
      </c>
    </row>
    <row r="2197" spans="1:13" ht="15" thickBot="1" x14ac:dyDescent="0.35">
      <c r="A2197" s="14">
        <v>2190</v>
      </c>
      <c r="B2197" s="15">
        <v>45741</v>
      </c>
      <c r="C2197" s="15">
        <v>45741</v>
      </c>
      <c r="D2197" s="16" t="s">
        <v>1192</v>
      </c>
      <c r="E2197" s="16" t="s">
        <v>1193</v>
      </c>
      <c r="F2197" s="16" t="s">
        <v>2620</v>
      </c>
      <c r="G2197" s="16" t="s">
        <v>1197</v>
      </c>
      <c r="H2197" s="14" t="str">
        <f>"20250325/251942"</f>
        <v>20250325/251942</v>
      </c>
      <c r="I2197" s="19" t="str">
        <f t="shared" si="153"/>
        <v> </v>
      </c>
      <c r="J2197" s="18">
        <v>317986.55</v>
      </c>
      <c r="K2197" s="18">
        <v>0</v>
      </c>
      <c r="L2197" s="18">
        <v>2368546.5699999998</v>
      </c>
    </row>
    <row r="2198" spans="1:13" ht="15" thickBot="1" x14ac:dyDescent="0.35">
      <c r="A2198" s="14">
        <v>2191</v>
      </c>
      <c r="B2198" s="15">
        <v>45741</v>
      </c>
      <c r="C2198" s="15">
        <v>45741</v>
      </c>
      <c r="D2198" s="16" t="s">
        <v>1192</v>
      </c>
      <c r="E2198" s="16" t="s">
        <v>1193</v>
      </c>
      <c r="F2198" s="16" t="s">
        <v>2619</v>
      </c>
      <c r="G2198" s="16" t="s">
        <v>1197</v>
      </c>
      <c r="H2198" s="14" t="str">
        <f>"20250325/251943"</f>
        <v>20250325/251943</v>
      </c>
      <c r="I2198" s="19" t="str">
        <f t="shared" si="153"/>
        <v> </v>
      </c>
      <c r="J2198" s="18">
        <v>664168.66</v>
      </c>
      <c r="K2198" s="18">
        <v>0</v>
      </c>
      <c r="L2198" s="18">
        <v>3032715.23</v>
      </c>
    </row>
    <row r="2199" spans="1:13" ht="15" thickBot="1" x14ac:dyDescent="0.35">
      <c r="A2199" s="14">
        <v>2192</v>
      </c>
      <c r="B2199" s="15">
        <v>45741</v>
      </c>
      <c r="C2199" s="15">
        <v>45741</v>
      </c>
      <c r="D2199" s="16" t="s">
        <v>1192</v>
      </c>
      <c r="E2199" s="16" t="s">
        <v>1193</v>
      </c>
      <c r="F2199" s="16" t="s">
        <v>2621</v>
      </c>
      <c r="G2199" s="16" t="s">
        <v>1197</v>
      </c>
      <c r="H2199" s="14" t="str">
        <f>"20250325/352757"</f>
        <v>20250325/352757</v>
      </c>
      <c r="I2199" s="19" t="str">
        <f t="shared" si="153"/>
        <v> </v>
      </c>
      <c r="J2199" s="18">
        <v>0</v>
      </c>
      <c r="K2199" s="18">
        <v>3909.09</v>
      </c>
      <c r="L2199" s="18">
        <v>3028806.14</v>
      </c>
    </row>
    <row r="2200" spans="1:13" ht="15" thickBot="1" x14ac:dyDescent="0.35">
      <c r="A2200" s="14">
        <v>2193</v>
      </c>
      <c r="B2200" s="15">
        <v>45741</v>
      </c>
      <c r="C2200" s="15">
        <v>45741</v>
      </c>
      <c r="D2200" s="16" t="s">
        <v>1192</v>
      </c>
      <c r="E2200" s="16" t="s">
        <v>1193</v>
      </c>
      <c r="F2200" s="16" t="s">
        <v>2622</v>
      </c>
      <c r="G2200" s="16" t="s">
        <v>1197</v>
      </c>
      <c r="H2200" s="14" t="str">
        <f>"20250325/352758"</f>
        <v>20250325/352758</v>
      </c>
      <c r="I2200" s="19" t="str">
        <f t="shared" si="153"/>
        <v> </v>
      </c>
      <c r="J2200" s="18">
        <v>0</v>
      </c>
      <c r="K2200" s="18">
        <v>295769.8</v>
      </c>
      <c r="L2200" s="18">
        <v>2733036.34</v>
      </c>
    </row>
    <row r="2201" spans="1:13" ht="15" thickBot="1" x14ac:dyDescent="0.35">
      <c r="A2201" s="14">
        <v>2194</v>
      </c>
      <c r="B2201" s="15">
        <v>45741</v>
      </c>
      <c r="C2201" s="15">
        <v>45741</v>
      </c>
      <c r="D2201" s="16" t="s">
        <v>1192</v>
      </c>
      <c r="E2201" s="16" t="s">
        <v>1193</v>
      </c>
      <c r="F2201" s="16" t="s">
        <v>2621</v>
      </c>
      <c r="G2201" s="16" t="s">
        <v>1197</v>
      </c>
      <c r="H2201" s="14" t="str">
        <f>"20250325/352759"</f>
        <v>20250325/352759</v>
      </c>
      <c r="I2201" s="19" t="str">
        <f t="shared" si="153"/>
        <v> </v>
      </c>
      <c r="J2201" s="18">
        <v>0</v>
      </c>
      <c r="K2201" s="18">
        <v>665025.63</v>
      </c>
      <c r="L2201" s="18">
        <v>2068010.71</v>
      </c>
    </row>
    <row r="2202" spans="1:13" ht="15" thickBot="1" x14ac:dyDescent="0.35">
      <c r="A2202" s="14">
        <v>2195</v>
      </c>
      <c r="B2202" s="15">
        <v>45741</v>
      </c>
      <c r="C2202" s="15">
        <v>45742</v>
      </c>
      <c r="D2202" s="16" t="s">
        <v>1192</v>
      </c>
      <c r="E2202" s="16" t="s">
        <v>1193</v>
      </c>
      <c r="F2202" s="16" t="s">
        <v>2623</v>
      </c>
      <c r="G2202" s="16" t="s">
        <v>1197</v>
      </c>
      <c r="H2202" s="14" t="str">
        <f>"20250325/177304"</f>
        <v>20250325/177304</v>
      </c>
      <c r="I2202" s="19" t="str">
        <f>"2503006387612"</f>
        <v>2503006387612</v>
      </c>
      <c r="J2202" s="18">
        <v>28944.720000000001</v>
      </c>
      <c r="K2202" s="18">
        <v>0</v>
      </c>
      <c r="L2202" s="18">
        <v>2096955.43</v>
      </c>
    </row>
    <row r="2203" spans="1:13" ht="15" thickBot="1" x14ac:dyDescent="0.35">
      <c r="A2203" s="14">
        <v>2196</v>
      </c>
      <c r="B2203" s="15">
        <v>45742</v>
      </c>
      <c r="C2203" s="15">
        <v>45742</v>
      </c>
      <c r="D2203" s="16" t="s">
        <v>1346</v>
      </c>
      <c r="E2203" s="16" t="s">
        <v>1347</v>
      </c>
      <c r="F2203" s="16" t="s">
        <v>1249</v>
      </c>
      <c r="G2203" s="16" t="s">
        <v>1195</v>
      </c>
      <c r="H2203" s="14" t="str">
        <f>"20250326/118233"</f>
        <v>20250326/118233</v>
      </c>
      <c r="I2203" s="17" t="str">
        <f t="shared" ref="I2203:I2214" si="154">" "</f>
        <v> </v>
      </c>
      <c r="J2203" s="18">
        <v>0</v>
      </c>
      <c r="K2203" s="18">
        <v>2964.7</v>
      </c>
      <c r="L2203" s="18">
        <v>2093990.73</v>
      </c>
      <c r="M2203" t="s">
        <v>2661</v>
      </c>
    </row>
    <row r="2204" spans="1:13" ht="15" thickBot="1" x14ac:dyDescent="0.35">
      <c r="A2204" s="14">
        <v>2197</v>
      </c>
      <c r="B2204" s="15">
        <v>45742</v>
      </c>
      <c r="C2204" s="15">
        <v>45742</v>
      </c>
      <c r="D2204" s="16" t="s">
        <v>1192</v>
      </c>
      <c r="E2204" s="16" t="s">
        <v>1193</v>
      </c>
      <c r="F2204" s="16" t="s">
        <v>1202</v>
      </c>
      <c r="G2204" s="16" t="s">
        <v>1203</v>
      </c>
      <c r="H2204" s="14" t="str">
        <f>"20250326/1996"</f>
        <v>20250326/1996</v>
      </c>
      <c r="I2204" s="17" t="str">
        <f t="shared" si="154"/>
        <v> </v>
      </c>
      <c r="J2204" s="18">
        <v>895.37</v>
      </c>
      <c r="K2204" s="18">
        <v>0</v>
      </c>
      <c r="L2204" s="18">
        <v>2094886.1</v>
      </c>
      <c r="M2204" t="s">
        <v>2661</v>
      </c>
    </row>
    <row r="2205" spans="1:13" ht="15" thickBot="1" x14ac:dyDescent="0.35">
      <c r="A2205" s="14">
        <v>2198</v>
      </c>
      <c r="B2205" s="15">
        <v>45742</v>
      </c>
      <c r="C2205" s="15">
        <v>45742</v>
      </c>
      <c r="D2205" s="16" t="s">
        <v>1192</v>
      </c>
      <c r="E2205" s="16" t="s">
        <v>1193</v>
      </c>
      <c r="F2205" s="16" t="s">
        <v>1194</v>
      </c>
      <c r="G2205" s="16" t="s">
        <v>1195</v>
      </c>
      <c r="H2205" s="14" t="str">
        <f>"20250326/107348"</f>
        <v>20250326/107348</v>
      </c>
      <c r="I2205" s="17" t="str">
        <f t="shared" si="154"/>
        <v> </v>
      </c>
      <c r="J2205" s="18">
        <v>0</v>
      </c>
      <c r="K2205" s="18">
        <v>33262.089999999997</v>
      </c>
      <c r="L2205" s="18">
        <v>2061624.01</v>
      </c>
      <c r="M2205" t="s">
        <v>2661</v>
      </c>
    </row>
    <row r="2206" spans="1:13" ht="15" thickBot="1" x14ac:dyDescent="0.35">
      <c r="A2206" s="14">
        <v>2199</v>
      </c>
      <c r="B2206" s="15">
        <v>45742</v>
      </c>
      <c r="C2206" s="15">
        <v>45742</v>
      </c>
      <c r="D2206" s="16" t="s">
        <v>1192</v>
      </c>
      <c r="E2206" s="16" t="s">
        <v>1193</v>
      </c>
      <c r="F2206" s="16" t="s">
        <v>1194</v>
      </c>
      <c r="G2206" s="16" t="s">
        <v>1195</v>
      </c>
      <c r="H2206" s="14" t="str">
        <f>"20250326/20345"</f>
        <v>20250326/20345</v>
      </c>
      <c r="I2206" s="17" t="str">
        <f t="shared" si="154"/>
        <v> </v>
      </c>
      <c r="J2206" s="18">
        <v>0</v>
      </c>
      <c r="K2206" s="18">
        <v>385.35</v>
      </c>
      <c r="L2206" s="18">
        <v>2061238.66</v>
      </c>
      <c r="M2206" t="s">
        <v>2661</v>
      </c>
    </row>
    <row r="2207" spans="1:13" ht="15" thickBot="1" x14ac:dyDescent="0.35">
      <c r="A2207" s="14">
        <v>2200</v>
      </c>
      <c r="B2207" s="15">
        <v>45742</v>
      </c>
      <c r="C2207" s="15">
        <v>45742</v>
      </c>
      <c r="D2207" s="16" t="s">
        <v>1192</v>
      </c>
      <c r="E2207" s="16" t="s">
        <v>1193</v>
      </c>
      <c r="F2207" s="16" t="s">
        <v>2624</v>
      </c>
      <c r="G2207" s="16" t="s">
        <v>1197</v>
      </c>
      <c r="H2207" s="14" t="str">
        <f>"20250326/104508"</f>
        <v>20250326/104508</v>
      </c>
      <c r="I2207" s="19" t="str">
        <f t="shared" si="154"/>
        <v> </v>
      </c>
      <c r="J2207" s="18">
        <v>385.35</v>
      </c>
      <c r="K2207" s="18">
        <v>0</v>
      </c>
      <c r="L2207" s="18">
        <v>2061624.01</v>
      </c>
      <c r="M2207" t="s">
        <v>2658</v>
      </c>
    </row>
    <row r="2208" spans="1:13" ht="15" thickBot="1" x14ac:dyDescent="0.35">
      <c r="A2208" s="14">
        <v>2201</v>
      </c>
      <c r="B2208" s="15">
        <v>45742</v>
      </c>
      <c r="C2208" s="15">
        <v>45742</v>
      </c>
      <c r="D2208" s="16" t="s">
        <v>1192</v>
      </c>
      <c r="E2208" s="16" t="s">
        <v>1193</v>
      </c>
      <c r="F2208" s="16" t="s">
        <v>2625</v>
      </c>
      <c r="G2208" s="16" t="s">
        <v>1197</v>
      </c>
      <c r="H2208" s="14" t="str">
        <f>"20250326/213738"</f>
        <v>20250326/213738</v>
      </c>
      <c r="I2208" s="19" t="str">
        <f t="shared" si="154"/>
        <v> </v>
      </c>
      <c r="J2208" s="18">
        <v>3909.09</v>
      </c>
      <c r="K2208" s="18">
        <v>0</v>
      </c>
      <c r="L2208" s="18">
        <v>2065533.1</v>
      </c>
    </row>
    <row r="2209" spans="1:13" ht="15" thickBot="1" x14ac:dyDescent="0.35">
      <c r="A2209" s="14">
        <v>2202</v>
      </c>
      <c r="B2209" s="15">
        <v>45742</v>
      </c>
      <c r="C2209" s="15">
        <v>45742</v>
      </c>
      <c r="D2209" s="16" t="s">
        <v>1192</v>
      </c>
      <c r="E2209" s="16" t="s">
        <v>1193</v>
      </c>
      <c r="F2209" s="16" t="s">
        <v>2626</v>
      </c>
      <c r="G2209" s="16" t="s">
        <v>1197</v>
      </c>
      <c r="H2209" s="14" t="str">
        <f>"20250326/213739"</f>
        <v>20250326/213739</v>
      </c>
      <c r="I2209" s="19" t="str">
        <f t="shared" si="154"/>
        <v> </v>
      </c>
      <c r="J2209" s="18">
        <v>327113.8</v>
      </c>
      <c r="K2209" s="18">
        <v>0</v>
      </c>
      <c r="L2209" s="18">
        <v>2392646.9</v>
      </c>
    </row>
    <row r="2210" spans="1:13" ht="15" thickBot="1" x14ac:dyDescent="0.35">
      <c r="A2210" s="14">
        <v>2203</v>
      </c>
      <c r="B2210" s="15">
        <v>45742</v>
      </c>
      <c r="C2210" s="15">
        <v>45742</v>
      </c>
      <c r="D2210" s="16" t="s">
        <v>1192</v>
      </c>
      <c r="E2210" s="16" t="s">
        <v>1193</v>
      </c>
      <c r="F2210" s="16" t="s">
        <v>2625</v>
      </c>
      <c r="G2210" s="16" t="s">
        <v>1197</v>
      </c>
      <c r="H2210" s="14" t="str">
        <f>"20250326/213740"</f>
        <v>20250326/213740</v>
      </c>
      <c r="I2210" s="19" t="str">
        <f t="shared" si="154"/>
        <v> </v>
      </c>
      <c r="J2210" s="18">
        <v>688303.5</v>
      </c>
      <c r="K2210" s="18">
        <v>0</v>
      </c>
      <c r="L2210" s="18">
        <v>3080950.4</v>
      </c>
    </row>
    <row r="2211" spans="1:13" ht="15" thickBot="1" x14ac:dyDescent="0.35">
      <c r="A2211" s="14">
        <v>2204</v>
      </c>
      <c r="B2211" s="15">
        <v>45742</v>
      </c>
      <c r="C2211" s="15">
        <v>45742</v>
      </c>
      <c r="D2211" s="16" t="s">
        <v>1192</v>
      </c>
      <c r="E2211" s="16" t="s">
        <v>1193</v>
      </c>
      <c r="F2211" s="16" t="s">
        <v>2627</v>
      </c>
      <c r="G2211" s="16" t="s">
        <v>1197</v>
      </c>
      <c r="H2211" s="14" t="str">
        <f>"20250326/345243"</f>
        <v>20250326/345243</v>
      </c>
      <c r="I2211" s="19" t="str">
        <f t="shared" si="154"/>
        <v> </v>
      </c>
      <c r="J2211" s="18">
        <v>0</v>
      </c>
      <c r="K2211" s="18">
        <v>3909.09</v>
      </c>
      <c r="L2211" s="18">
        <v>3077041.31</v>
      </c>
    </row>
    <row r="2212" spans="1:13" ht="15" thickBot="1" x14ac:dyDescent="0.35">
      <c r="A2212" s="14">
        <v>2205</v>
      </c>
      <c r="B2212" s="15">
        <v>45742</v>
      </c>
      <c r="C2212" s="15">
        <v>45742</v>
      </c>
      <c r="D2212" s="16" t="s">
        <v>1192</v>
      </c>
      <c r="E2212" s="16" t="s">
        <v>1193</v>
      </c>
      <c r="F2212" s="16" t="s">
        <v>2628</v>
      </c>
      <c r="G2212" s="16" t="s">
        <v>1197</v>
      </c>
      <c r="H2212" s="14" t="str">
        <f>"20250326/345244"</f>
        <v>20250326/345244</v>
      </c>
      <c r="I2212" s="19" t="str">
        <f t="shared" si="154"/>
        <v> </v>
      </c>
      <c r="J2212" s="18">
        <v>0</v>
      </c>
      <c r="K2212" s="18">
        <v>317986.55</v>
      </c>
      <c r="L2212" s="18">
        <v>2759054.76</v>
      </c>
    </row>
    <row r="2213" spans="1:13" ht="15" thickBot="1" x14ac:dyDescent="0.35">
      <c r="A2213" s="14">
        <v>2206</v>
      </c>
      <c r="B2213" s="15">
        <v>45742</v>
      </c>
      <c r="C2213" s="15">
        <v>45742</v>
      </c>
      <c r="D2213" s="16" t="s">
        <v>1192</v>
      </c>
      <c r="E2213" s="16" t="s">
        <v>1193</v>
      </c>
      <c r="F2213" s="16" t="s">
        <v>2627</v>
      </c>
      <c r="G2213" s="16" t="s">
        <v>1197</v>
      </c>
      <c r="H2213" s="14" t="str">
        <f>"20250326/345245"</f>
        <v>20250326/345245</v>
      </c>
      <c r="I2213" s="19" t="str">
        <f t="shared" si="154"/>
        <v> </v>
      </c>
      <c r="J2213" s="18">
        <v>0</v>
      </c>
      <c r="K2213" s="18">
        <v>664168.66</v>
      </c>
      <c r="L2213" s="18">
        <v>2094886.1</v>
      </c>
    </row>
    <row r="2214" spans="1:13" ht="15" thickBot="1" x14ac:dyDescent="0.35">
      <c r="A2214" s="14">
        <v>2207</v>
      </c>
      <c r="B2214" s="15">
        <v>45742</v>
      </c>
      <c r="C2214" s="15">
        <v>45743</v>
      </c>
      <c r="D2214" s="16" t="s">
        <v>1346</v>
      </c>
      <c r="E2214" s="16" t="s">
        <v>1347</v>
      </c>
      <c r="F2214" s="16" t="s">
        <v>2629</v>
      </c>
      <c r="G2214" s="16" t="s">
        <v>1197</v>
      </c>
      <c r="H2214" s="14" t="str">
        <f>"20250326/359278"</f>
        <v>20250326/359278</v>
      </c>
      <c r="I2214" s="19" t="str">
        <f t="shared" si="154"/>
        <v> </v>
      </c>
      <c r="J2214" s="18">
        <v>2964.7</v>
      </c>
      <c r="K2214" s="18">
        <v>0</v>
      </c>
      <c r="L2214" s="18">
        <v>2097850.7999999998</v>
      </c>
    </row>
    <row r="2215" spans="1:13" ht="15" thickBot="1" x14ac:dyDescent="0.35">
      <c r="A2215" s="14">
        <v>2208</v>
      </c>
      <c r="B2215" s="15">
        <v>45742</v>
      </c>
      <c r="C2215" s="15">
        <v>45743</v>
      </c>
      <c r="D2215" s="16" t="s">
        <v>1192</v>
      </c>
      <c r="E2215" s="16" t="s">
        <v>1193</v>
      </c>
      <c r="F2215" s="16" t="s">
        <v>2630</v>
      </c>
      <c r="G2215" s="16" t="s">
        <v>1197</v>
      </c>
      <c r="H2215" s="14" t="str">
        <f>"20250326/153664"</f>
        <v>20250326/153664</v>
      </c>
      <c r="I2215" s="19" t="str">
        <f>"2503006805985"</f>
        <v>2503006805985</v>
      </c>
      <c r="J2215" s="18">
        <v>83067.179999999993</v>
      </c>
      <c r="K2215" s="18">
        <v>0</v>
      </c>
      <c r="L2215" s="18">
        <v>2180917.98</v>
      </c>
    </row>
    <row r="2216" spans="1:13" ht="15" thickBot="1" x14ac:dyDescent="0.35">
      <c r="A2216" s="14">
        <v>2209</v>
      </c>
      <c r="B2216" s="15">
        <v>45743</v>
      </c>
      <c r="C2216" s="15">
        <v>45743</v>
      </c>
      <c r="D2216" s="16" t="s">
        <v>1192</v>
      </c>
      <c r="E2216" s="16" t="s">
        <v>1193</v>
      </c>
      <c r="F2216" s="16" t="s">
        <v>1194</v>
      </c>
      <c r="G2216" s="16" t="s">
        <v>1195</v>
      </c>
      <c r="H2216" s="14" t="str">
        <f>"20250327/39341"</f>
        <v>20250327/39341</v>
      </c>
      <c r="I2216" s="17" t="str">
        <f t="shared" ref="I2216:I2223" si="155">" "</f>
        <v> </v>
      </c>
      <c r="J2216" s="18">
        <v>0</v>
      </c>
      <c r="K2216" s="18">
        <v>383.08</v>
      </c>
      <c r="L2216" s="18">
        <v>2180534.9</v>
      </c>
      <c r="M2216" t="s">
        <v>2661</v>
      </c>
    </row>
    <row r="2217" spans="1:13" ht="15" thickBot="1" x14ac:dyDescent="0.35">
      <c r="A2217" s="14">
        <v>2210</v>
      </c>
      <c r="B2217" s="15">
        <v>45743</v>
      </c>
      <c r="C2217" s="15">
        <v>45743</v>
      </c>
      <c r="D2217" s="16" t="s">
        <v>1192</v>
      </c>
      <c r="E2217" s="16" t="s">
        <v>1193</v>
      </c>
      <c r="F2217" s="16" t="s">
        <v>2631</v>
      </c>
      <c r="G2217" s="16" t="s">
        <v>1197</v>
      </c>
      <c r="H2217" s="14" t="str">
        <f>"20250327/234647"</f>
        <v>20250327/234647</v>
      </c>
      <c r="I2217" s="19" t="str">
        <f t="shared" si="155"/>
        <v> </v>
      </c>
      <c r="J2217" s="18">
        <v>3909.09</v>
      </c>
      <c r="K2217" s="18">
        <v>0</v>
      </c>
      <c r="L2217" s="18">
        <v>2184443.9900000002</v>
      </c>
    </row>
    <row r="2218" spans="1:13" ht="15" thickBot="1" x14ac:dyDescent="0.35">
      <c r="A2218" s="14">
        <v>2211</v>
      </c>
      <c r="B2218" s="15">
        <v>45743</v>
      </c>
      <c r="C2218" s="15">
        <v>45743</v>
      </c>
      <c r="D2218" s="16" t="s">
        <v>1192</v>
      </c>
      <c r="E2218" s="16" t="s">
        <v>1193</v>
      </c>
      <c r="F2218" s="16" t="s">
        <v>2632</v>
      </c>
      <c r="G2218" s="16" t="s">
        <v>1197</v>
      </c>
      <c r="H2218" s="14" t="str">
        <f>"20250327/234648"</f>
        <v>20250327/234648</v>
      </c>
      <c r="I2218" s="19" t="str">
        <f t="shared" si="155"/>
        <v> </v>
      </c>
      <c r="J2218" s="18">
        <v>332989</v>
      </c>
      <c r="K2218" s="18">
        <v>0</v>
      </c>
      <c r="L2218" s="18">
        <v>2517432.9900000002</v>
      </c>
    </row>
    <row r="2219" spans="1:13" ht="15" thickBot="1" x14ac:dyDescent="0.35">
      <c r="A2219" s="14">
        <v>2212</v>
      </c>
      <c r="B2219" s="15">
        <v>45743</v>
      </c>
      <c r="C2219" s="15">
        <v>45743</v>
      </c>
      <c r="D2219" s="16" t="s">
        <v>1192</v>
      </c>
      <c r="E2219" s="16" t="s">
        <v>1193</v>
      </c>
      <c r="F2219" s="16" t="s">
        <v>2631</v>
      </c>
      <c r="G2219" s="16" t="s">
        <v>1197</v>
      </c>
      <c r="H2219" s="14" t="str">
        <f>"20250327/234649"</f>
        <v>20250327/234649</v>
      </c>
      <c r="I2219" s="19" t="str">
        <f t="shared" si="155"/>
        <v> </v>
      </c>
      <c r="J2219" s="18">
        <v>664269.14</v>
      </c>
      <c r="K2219" s="18">
        <v>0</v>
      </c>
      <c r="L2219" s="18">
        <v>3181702.13</v>
      </c>
    </row>
    <row r="2220" spans="1:13" ht="15" thickBot="1" x14ac:dyDescent="0.35">
      <c r="A2220" s="14">
        <v>2213</v>
      </c>
      <c r="B2220" s="15">
        <v>45743</v>
      </c>
      <c r="C2220" s="15">
        <v>45743</v>
      </c>
      <c r="D2220" s="16" t="s">
        <v>1192</v>
      </c>
      <c r="E2220" s="16" t="s">
        <v>1193</v>
      </c>
      <c r="F2220" s="16" t="s">
        <v>2633</v>
      </c>
      <c r="G2220" s="16" t="s">
        <v>1197</v>
      </c>
      <c r="H2220" s="14" t="str">
        <f>"20250327/292649"</f>
        <v>20250327/292649</v>
      </c>
      <c r="I2220" s="19" t="str">
        <f t="shared" si="155"/>
        <v> </v>
      </c>
      <c r="J2220" s="18">
        <v>0</v>
      </c>
      <c r="K2220" s="18">
        <v>3909.09</v>
      </c>
      <c r="L2220" s="18">
        <v>3177793.04</v>
      </c>
    </row>
    <row r="2221" spans="1:13" ht="15" thickBot="1" x14ac:dyDescent="0.35">
      <c r="A2221" s="14">
        <v>2214</v>
      </c>
      <c r="B2221" s="15">
        <v>45743</v>
      </c>
      <c r="C2221" s="15">
        <v>45743</v>
      </c>
      <c r="D2221" s="16" t="s">
        <v>1192</v>
      </c>
      <c r="E2221" s="16" t="s">
        <v>1193</v>
      </c>
      <c r="F2221" s="16" t="s">
        <v>2634</v>
      </c>
      <c r="G2221" s="16" t="s">
        <v>1197</v>
      </c>
      <c r="H2221" s="14" t="str">
        <f>"20250327/292650"</f>
        <v>20250327/292650</v>
      </c>
      <c r="I2221" s="19" t="str">
        <f t="shared" si="155"/>
        <v> </v>
      </c>
      <c r="J2221" s="18">
        <v>0</v>
      </c>
      <c r="K2221" s="18">
        <v>327113.8</v>
      </c>
      <c r="L2221" s="18">
        <v>2850679.24</v>
      </c>
    </row>
    <row r="2222" spans="1:13" ht="15" thickBot="1" x14ac:dyDescent="0.35">
      <c r="A2222" s="14">
        <v>2215</v>
      </c>
      <c r="B2222" s="15">
        <v>45743</v>
      </c>
      <c r="C2222" s="15">
        <v>45743</v>
      </c>
      <c r="D2222" s="16" t="s">
        <v>1192</v>
      </c>
      <c r="E2222" s="16" t="s">
        <v>1193</v>
      </c>
      <c r="F2222" s="16" t="s">
        <v>2633</v>
      </c>
      <c r="G2222" s="16" t="s">
        <v>1197</v>
      </c>
      <c r="H2222" s="14" t="str">
        <f>"20250327/292651"</f>
        <v>20250327/292651</v>
      </c>
      <c r="I2222" s="19" t="str">
        <f t="shared" si="155"/>
        <v> </v>
      </c>
      <c r="J2222" s="18">
        <v>0</v>
      </c>
      <c r="K2222" s="18">
        <v>688303.5</v>
      </c>
      <c r="L2222" s="18">
        <v>2162375.7400000002</v>
      </c>
    </row>
    <row r="2223" spans="1:13" ht="15" thickBot="1" x14ac:dyDescent="0.35">
      <c r="A2223" s="14">
        <v>2216</v>
      </c>
      <c r="B2223" s="15">
        <v>45743</v>
      </c>
      <c r="C2223" s="15">
        <v>45743</v>
      </c>
      <c r="D2223" s="16" t="s">
        <v>1192</v>
      </c>
      <c r="E2223" s="16" t="s">
        <v>1193</v>
      </c>
      <c r="F2223" s="16" t="s">
        <v>2635</v>
      </c>
      <c r="G2223" s="16" t="s">
        <v>1197</v>
      </c>
      <c r="H2223" s="14" t="str">
        <f>"20250327/99620"</f>
        <v>20250327/99620</v>
      </c>
      <c r="I2223" s="19" t="str">
        <f t="shared" si="155"/>
        <v> </v>
      </c>
      <c r="J2223" s="18">
        <v>383.08</v>
      </c>
      <c r="K2223" s="18">
        <v>0</v>
      </c>
      <c r="L2223" s="18">
        <v>2162758.8199999998</v>
      </c>
      <c r="M2223" t="s">
        <v>2658</v>
      </c>
    </row>
    <row r="2224" spans="1:13" ht="15" thickBot="1" x14ac:dyDescent="0.35">
      <c r="A2224" s="14">
        <v>2217</v>
      </c>
      <c r="B2224" s="15">
        <v>45743</v>
      </c>
      <c r="C2224" s="15">
        <v>45744</v>
      </c>
      <c r="D2224" s="16" t="s">
        <v>1192</v>
      </c>
      <c r="E2224" s="16" t="s">
        <v>1193</v>
      </c>
      <c r="F2224" s="16" t="s">
        <v>2636</v>
      </c>
      <c r="G2224" s="16" t="s">
        <v>1197</v>
      </c>
      <c r="H2224" s="14" t="str">
        <f>"20250327/151886"</f>
        <v>20250327/151886</v>
      </c>
      <c r="I2224" s="19" t="str">
        <f>"2503007218291"</f>
        <v>2503007218291</v>
      </c>
      <c r="J2224" s="18">
        <v>0</v>
      </c>
      <c r="K2224" s="18">
        <v>64381.11</v>
      </c>
      <c r="L2224" s="18">
        <v>2098377.71</v>
      </c>
    </row>
    <row r="2225" spans="1:13" ht="15" thickBot="1" x14ac:dyDescent="0.35">
      <c r="A2225" s="14">
        <v>2218</v>
      </c>
      <c r="B2225" s="15">
        <v>45744</v>
      </c>
      <c r="C2225" s="15">
        <v>45744</v>
      </c>
      <c r="D2225" s="16" t="s">
        <v>1192</v>
      </c>
      <c r="E2225" s="16" t="s">
        <v>1193</v>
      </c>
      <c r="F2225" s="16" t="s">
        <v>1202</v>
      </c>
      <c r="G2225" s="16" t="s">
        <v>1203</v>
      </c>
      <c r="H2225" s="14" t="str">
        <f>"20250328/8920"</f>
        <v>20250328/8920</v>
      </c>
      <c r="I2225" s="17" t="str">
        <f t="shared" ref="I2225:I2234" si="156">" "</f>
        <v> </v>
      </c>
      <c r="J2225" s="18">
        <v>25796.99</v>
      </c>
      <c r="K2225" s="18">
        <v>0</v>
      </c>
      <c r="L2225" s="18">
        <v>2124174.7000000002</v>
      </c>
      <c r="M2225" t="s">
        <v>2661</v>
      </c>
    </row>
    <row r="2226" spans="1:13" ht="15" thickBot="1" x14ac:dyDescent="0.35">
      <c r="A2226" s="14">
        <v>2219</v>
      </c>
      <c r="B2226" s="15">
        <v>45744</v>
      </c>
      <c r="C2226" s="15">
        <v>45744</v>
      </c>
      <c r="D2226" s="16" t="s">
        <v>1192</v>
      </c>
      <c r="E2226" s="16" t="s">
        <v>1193</v>
      </c>
      <c r="F2226" s="16" t="s">
        <v>1194</v>
      </c>
      <c r="G2226" s="16" t="s">
        <v>1195</v>
      </c>
      <c r="H2226" s="14" t="str">
        <f>"20250328/108986"</f>
        <v>20250328/108986</v>
      </c>
      <c r="I2226" s="17" t="str">
        <f t="shared" si="156"/>
        <v> </v>
      </c>
      <c r="J2226" s="18">
        <v>0</v>
      </c>
      <c r="K2226" s="18">
        <v>24553.9</v>
      </c>
      <c r="L2226" s="18">
        <v>2099620.7999999998</v>
      </c>
      <c r="M2226" t="s">
        <v>2661</v>
      </c>
    </row>
    <row r="2227" spans="1:13" ht="15" thickBot="1" x14ac:dyDescent="0.35">
      <c r="A2227" s="14">
        <v>2220</v>
      </c>
      <c r="B2227" s="15">
        <v>45744</v>
      </c>
      <c r="C2227" s="15">
        <v>45744</v>
      </c>
      <c r="D2227" s="16" t="s">
        <v>1192</v>
      </c>
      <c r="E2227" s="16" t="s">
        <v>1193</v>
      </c>
      <c r="F2227" s="16" t="s">
        <v>1194</v>
      </c>
      <c r="G2227" s="16" t="s">
        <v>1195</v>
      </c>
      <c r="H2227" s="14" t="str">
        <f>"20250328/39976"</f>
        <v>20250328/39976</v>
      </c>
      <c r="I2227" s="17" t="str">
        <f t="shared" si="156"/>
        <v> </v>
      </c>
      <c r="J2227" s="18">
        <v>0</v>
      </c>
      <c r="K2227" s="18">
        <v>413.72</v>
      </c>
      <c r="L2227" s="18">
        <v>2099207.08</v>
      </c>
      <c r="M2227" t="s">
        <v>2661</v>
      </c>
    </row>
    <row r="2228" spans="1:13" ht="15" thickBot="1" x14ac:dyDescent="0.35">
      <c r="A2228" s="14">
        <v>2221</v>
      </c>
      <c r="B2228" s="15">
        <v>45744</v>
      </c>
      <c r="C2228" s="15">
        <v>45744</v>
      </c>
      <c r="D2228" s="16" t="s">
        <v>1192</v>
      </c>
      <c r="E2228" s="16" t="s">
        <v>1193</v>
      </c>
      <c r="F2228" s="16" t="s">
        <v>2637</v>
      </c>
      <c r="G2228" s="16" t="s">
        <v>1197</v>
      </c>
      <c r="H2228" s="14" t="str">
        <f>"20250328/133897"</f>
        <v>20250328/133897</v>
      </c>
      <c r="I2228" s="19" t="str">
        <f t="shared" si="156"/>
        <v> </v>
      </c>
      <c r="J2228" s="18">
        <v>413.72</v>
      </c>
      <c r="K2228" s="18">
        <v>0</v>
      </c>
      <c r="L2228" s="18">
        <v>2099620.7999999998</v>
      </c>
      <c r="M2228" t="s">
        <v>2658</v>
      </c>
    </row>
    <row r="2229" spans="1:13" ht="15" thickBot="1" x14ac:dyDescent="0.35">
      <c r="A2229" s="14">
        <v>2222</v>
      </c>
      <c r="B2229" s="15">
        <v>45744</v>
      </c>
      <c r="C2229" s="15">
        <v>45744</v>
      </c>
      <c r="D2229" s="16" t="s">
        <v>1192</v>
      </c>
      <c r="E2229" s="16" t="s">
        <v>1193</v>
      </c>
      <c r="F2229" s="16" t="s">
        <v>2638</v>
      </c>
      <c r="G2229" s="16" t="s">
        <v>1197</v>
      </c>
      <c r="H2229" s="14" t="str">
        <f>"20250328/260286"</f>
        <v>20250328/260286</v>
      </c>
      <c r="I2229" s="19" t="str">
        <f t="shared" si="156"/>
        <v> </v>
      </c>
      <c r="J2229" s="18">
        <v>3909.09</v>
      </c>
      <c r="K2229" s="18">
        <v>0</v>
      </c>
      <c r="L2229" s="18">
        <v>2103529.89</v>
      </c>
    </row>
    <row r="2230" spans="1:13" ht="15" thickBot="1" x14ac:dyDescent="0.35">
      <c r="A2230" s="14">
        <v>2223</v>
      </c>
      <c r="B2230" s="15">
        <v>45744</v>
      </c>
      <c r="C2230" s="15">
        <v>45744</v>
      </c>
      <c r="D2230" s="16" t="s">
        <v>1192</v>
      </c>
      <c r="E2230" s="16" t="s">
        <v>1193</v>
      </c>
      <c r="F2230" s="16" t="s">
        <v>2639</v>
      </c>
      <c r="G2230" s="16" t="s">
        <v>1197</v>
      </c>
      <c r="H2230" s="14" t="str">
        <f>"20250328/260287"</f>
        <v>20250328/260287</v>
      </c>
      <c r="I2230" s="19" t="str">
        <f t="shared" si="156"/>
        <v> </v>
      </c>
      <c r="J2230" s="18">
        <v>351344.15</v>
      </c>
      <c r="K2230" s="18">
        <v>0</v>
      </c>
      <c r="L2230" s="18">
        <v>2454874.04</v>
      </c>
    </row>
    <row r="2231" spans="1:13" ht="15" thickBot="1" x14ac:dyDescent="0.35">
      <c r="A2231" s="14">
        <v>2224</v>
      </c>
      <c r="B2231" s="15">
        <v>45744</v>
      </c>
      <c r="C2231" s="15">
        <v>45744</v>
      </c>
      <c r="D2231" s="16" t="s">
        <v>1192</v>
      </c>
      <c r="E2231" s="16" t="s">
        <v>1193</v>
      </c>
      <c r="F2231" s="16" t="s">
        <v>2638</v>
      </c>
      <c r="G2231" s="16" t="s">
        <v>1197</v>
      </c>
      <c r="H2231" s="14" t="str">
        <f>"20250328/260288"</f>
        <v>20250328/260288</v>
      </c>
      <c r="I2231" s="19" t="str">
        <f t="shared" si="156"/>
        <v> </v>
      </c>
      <c r="J2231" s="18">
        <v>652271.39</v>
      </c>
      <c r="K2231" s="18">
        <v>0</v>
      </c>
      <c r="L2231" s="18">
        <v>3107145.43</v>
      </c>
    </row>
    <row r="2232" spans="1:13" ht="15" thickBot="1" x14ac:dyDescent="0.35">
      <c r="A2232" s="14">
        <v>2225</v>
      </c>
      <c r="B2232" s="15">
        <v>45744</v>
      </c>
      <c r="C2232" s="15">
        <v>45744</v>
      </c>
      <c r="D2232" s="16" t="s">
        <v>1192</v>
      </c>
      <c r="E2232" s="16" t="s">
        <v>1193</v>
      </c>
      <c r="F2232" s="16" t="s">
        <v>2640</v>
      </c>
      <c r="G2232" s="16" t="s">
        <v>1197</v>
      </c>
      <c r="H2232" s="14" t="str">
        <f>"20250328/330644"</f>
        <v>20250328/330644</v>
      </c>
      <c r="I2232" s="19" t="str">
        <f t="shared" si="156"/>
        <v> </v>
      </c>
      <c r="J2232" s="18">
        <v>0</v>
      </c>
      <c r="K2232" s="18">
        <v>3909.09</v>
      </c>
      <c r="L2232" s="18">
        <v>3103236.34</v>
      </c>
    </row>
    <row r="2233" spans="1:13" ht="15" thickBot="1" x14ac:dyDescent="0.35">
      <c r="A2233" s="14">
        <v>2226</v>
      </c>
      <c r="B2233" s="15">
        <v>45744</v>
      </c>
      <c r="C2233" s="15">
        <v>45744</v>
      </c>
      <c r="D2233" s="16" t="s">
        <v>1192</v>
      </c>
      <c r="E2233" s="16" t="s">
        <v>1193</v>
      </c>
      <c r="F2233" s="16" t="s">
        <v>2641</v>
      </c>
      <c r="G2233" s="16" t="s">
        <v>1197</v>
      </c>
      <c r="H2233" s="14" t="str">
        <f>"20250328/330645"</f>
        <v>20250328/330645</v>
      </c>
      <c r="I2233" s="19" t="str">
        <f t="shared" si="156"/>
        <v> </v>
      </c>
      <c r="J2233" s="18">
        <v>0</v>
      </c>
      <c r="K2233" s="18">
        <v>332989</v>
      </c>
      <c r="L2233" s="18">
        <v>2770247.34</v>
      </c>
    </row>
    <row r="2234" spans="1:13" ht="15" thickBot="1" x14ac:dyDescent="0.35">
      <c r="A2234" s="14">
        <v>2227</v>
      </c>
      <c r="B2234" s="15">
        <v>45744</v>
      </c>
      <c r="C2234" s="15">
        <v>45744</v>
      </c>
      <c r="D2234" s="16" t="s">
        <v>1192</v>
      </c>
      <c r="E2234" s="16" t="s">
        <v>1193</v>
      </c>
      <c r="F2234" s="16" t="s">
        <v>2640</v>
      </c>
      <c r="G2234" s="16" t="s">
        <v>1197</v>
      </c>
      <c r="H2234" s="14" t="str">
        <f>"20250328/330646"</f>
        <v>20250328/330646</v>
      </c>
      <c r="I2234" s="19" t="str">
        <f t="shared" si="156"/>
        <v> </v>
      </c>
      <c r="J2234" s="18">
        <v>0</v>
      </c>
      <c r="K2234" s="18">
        <v>664269.14</v>
      </c>
      <c r="L2234" s="18">
        <v>2105978.2000000002</v>
      </c>
    </row>
    <row r="2235" spans="1:13" ht="15" thickBot="1" x14ac:dyDescent="0.35">
      <c r="A2235" s="14">
        <v>2228</v>
      </c>
      <c r="B2235" s="15">
        <v>45744</v>
      </c>
      <c r="C2235" s="15">
        <v>45749</v>
      </c>
      <c r="D2235" s="16" t="s">
        <v>1192</v>
      </c>
      <c r="E2235" s="16" t="s">
        <v>1193</v>
      </c>
      <c r="F2235" s="16" t="s">
        <v>2642</v>
      </c>
      <c r="G2235" s="16" t="s">
        <v>1197</v>
      </c>
      <c r="H2235" s="14" t="str">
        <f>"20250328/175921"</f>
        <v>20250328/175921</v>
      </c>
      <c r="I2235" s="19" t="str">
        <f>"2503007668007"</f>
        <v>2503007668007</v>
      </c>
      <c r="J2235" s="18">
        <v>0</v>
      </c>
      <c r="K2235" s="18">
        <v>14319.82</v>
      </c>
      <c r="L2235" s="18">
        <v>2091658.38</v>
      </c>
    </row>
  </sheetData>
  <autoFilter ref="A7:M2235" xr:uid="{0D0E206A-241C-46FF-8430-4D34C987D64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BD056-D071-422C-99A8-EFE9FF6E5B49}">
  <dimension ref="C1:I26"/>
  <sheetViews>
    <sheetView view="pageBreakPreview" zoomScaleNormal="100" zoomScaleSheetLayoutView="100" workbookViewId="0"/>
  </sheetViews>
  <sheetFormatPr defaultRowHeight="14.4" x14ac:dyDescent="0.3"/>
  <cols>
    <col min="3" max="3" width="19.77734375" bestFit="1" customWidth="1"/>
    <col min="4" max="4" width="12.33203125" bestFit="1" customWidth="1"/>
    <col min="5" max="5" width="17.44140625" bestFit="1" customWidth="1"/>
    <col min="6" max="6" width="12.33203125" bestFit="1" customWidth="1"/>
  </cols>
  <sheetData>
    <row r="1" spans="3:6" ht="15" thickBot="1" x14ac:dyDescent="0.35"/>
    <row r="2" spans="3:6" ht="15" thickBot="1" x14ac:dyDescent="0.35">
      <c r="C2" s="64" t="s">
        <v>0</v>
      </c>
      <c r="D2" s="65"/>
      <c r="E2" s="65"/>
      <c r="F2" s="66"/>
    </row>
    <row r="3" spans="3:6" ht="15" thickBot="1" x14ac:dyDescent="0.35">
      <c r="C3" s="64" t="s">
        <v>2670</v>
      </c>
      <c r="D3" s="65"/>
      <c r="E3" s="65"/>
      <c r="F3" s="66"/>
    </row>
    <row r="4" spans="3:6" x14ac:dyDescent="0.3">
      <c r="C4" s="28" t="s">
        <v>2665</v>
      </c>
      <c r="D4" s="29" t="s">
        <v>2667</v>
      </c>
      <c r="E4" s="29" t="s">
        <v>2666</v>
      </c>
      <c r="F4" s="30" t="s">
        <v>2667</v>
      </c>
    </row>
    <row r="5" spans="3:6" x14ac:dyDescent="0.3">
      <c r="C5" s="31" t="s">
        <v>2695</v>
      </c>
      <c r="D5" s="27">
        <f>'HDFC Bank Statement'!F867</f>
        <v>17092.59</v>
      </c>
      <c r="E5" s="26" t="s">
        <v>2668</v>
      </c>
      <c r="F5" s="32">
        <f>D9-SUM(F6:F8)</f>
        <v>2128750.9699999997</v>
      </c>
    </row>
    <row r="6" spans="3:6" x14ac:dyDescent="0.3">
      <c r="C6" s="31" t="s">
        <v>2696</v>
      </c>
      <c r="D6" s="27">
        <f>'HDFC HSL Ledger'!L2235</f>
        <v>2091658.38</v>
      </c>
      <c r="E6" s="26"/>
      <c r="F6" s="33"/>
    </row>
    <row r="7" spans="3:6" x14ac:dyDescent="0.3">
      <c r="C7" s="31" t="s">
        <v>2694</v>
      </c>
      <c r="D7" s="27">
        <f>F24</f>
        <v>20000</v>
      </c>
      <c r="E7" s="26"/>
      <c r="F7" s="33"/>
    </row>
    <row r="8" spans="3:6" x14ac:dyDescent="0.3">
      <c r="C8" s="31"/>
      <c r="D8" s="26"/>
      <c r="E8" s="26"/>
      <c r="F8" s="33"/>
    </row>
    <row r="9" spans="3:6" ht="15" thickBot="1" x14ac:dyDescent="0.35">
      <c r="C9" s="34" t="s">
        <v>2669</v>
      </c>
      <c r="D9" s="35">
        <f>SUM(D5:D8)</f>
        <v>2128750.9699999997</v>
      </c>
      <c r="E9" s="36" t="s">
        <v>2669</v>
      </c>
      <c r="F9" s="37">
        <f>SUM(F5:F8)</f>
        <v>2128750.9699999997</v>
      </c>
    </row>
    <row r="10" spans="3:6" ht="15" thickBot="1" x14ac:dyDescent="0.35"/>
    <row r="11" spans="3:6" ht="15" thickBot="1" x14ac:dyDescent="0.35">
      <c r="C11" s="64" t="s">
        <v>0</v>
      </c>
      <c r="D11" s="65"/>
      <c r="E11" s="65"/>
      <c r="F11" s="66"/>
    </row>
    <row r="12" spans="3:6" x14ac:dyDescent="0.3">
      <c r="C12" s="64" t="s">
        <v>2671</v>
      </c>
      <c r="D12" s="65"/>
      <c r="E12" s="65"/>
      <c r="F12" s="66"/>
    </row>
    <row r="13" spans="3:6" x14ac:dyDescent="0.3">
      <c r="C13" s="49" t="s">
        <v>3</v>
      </c>
      <c r="D13" s="48" t="s">
        <v>2667</v>
      </c>
      <c r="E13" s="48" t="s">
        <v>3</v>
      </c>
      <c r="F13" s="50" t="s">
        <v>2667</v>
      </c>
    </row>
    <row r="14" spans="3:6" x14ac:dyDescent="0.3">
      <c r="C14" s="31" t="s">
        <v>2673</v>
      </c>
      <c r="D14" s="27">
        <f>CG!K6</f>
        <v>6655.1574999999993</v>
      </c>
      <c r="E14" s="26" t="s">
        <v>2672</v>
      </c>
      <c r="F14" s="32">
        <f>CG!K5</f>
        <v>3327.58</v>
      </c>
    </row>
    <row r="15" spans="3:6" x14ac:dyDescent="0.3">
      <c r="C15" s="31"/>
      <c r="D15" s="27"/>
      <c r="E15" s="26" t="s">
        <v>2693</v>
      </c>
      <c r="F15" s="47">
        <f>D14-F14</f>
        <v>3327.5774999999994</v>
      </c>
    </row>
    <row r="16" spans="3:6" x14ac:dyDescent="0.3">
      <c r="C16" s="31"/>
      <c r="D16" s="26"/>
      <c r="E16" s="26"/>
      <c r="F16" s="33"/>
    </row>
    <row r="17" spans="3:9" ht="15" thickBot="1" x14ac:dyDescent="0.35">
      <c r="C17" s="34" t="s">
        <v>2669</v>
      </c>
      <c r="D17" s="35">
        <f>SUM(D14:D16)</f>
        <v>6655.1574999999993</v>
      </c>
      <c r="E17" s="36" t="s">
        <v>2669</v>
      </c>
      <c r="F17" s="37">
        <f>SUM(F14:F16)</f>
        <v>6655.1574999999993</v>
      </c>
    </row>
    <row r="18" spans="3:9" ht="15" thickBot="1" x14ac:dyDescent="0.35"/>
    <row r="19" spans="3:9" ht="15" thickBot="1" x14ac:dyDescent="0.35">
      <c r="C19" s="64" t="s">
        <v>0</v>
      </c>
      <c r="D19" s="65"/>
      <c r="E19" s="65"/>
      <c r="F19" s="66"/>
    </row>
    <row r="20" spans="3:9" ht="15" thickBot="1" x14ac:dyDescent="0.35">
      <c r="C20" s="64" t="s">
        <v>2702</v>
      </c>
      <c r="D20" s="65"/>
      <c r="E20" s="65"/>
      <c r="F20" s="66"/>
    </row>
    <row r="21" spans="3:9" x14ac:dyDescent="0.3">
      <c r="C21" s="28" t="s">
        <v>3</v>
      </c>
      <c r="D21" s="29" t="s">
        <v>2667</v>
      </c>
      <c r="E21" s="28" t="s">
        <v>3</v>
      </c>
      <c r="F21" s="30" t="s">
        <v>2667</v>
      </c>
    </row>
    <row r="22" spans="3:9" x14ac:dyDescent="0.3">
      <c r="C22" s="31" t="s">
        <v>2698</v>
      </c>
      <c r="D22" s="27">
        <v>60000</v>
      </c>
      <c r="E22" s="26" t="s">
        <v>2699</v>
      </c>
      <c r="F22" s="32">
        <f>SUMIFS('HDFC Bank Statement'!$D:$D,'HDFC Bank Statement'!$G:$G,I24)</f>
        <v>240000</v>
      </c>
      <c r="I22" t="s">
        <v>809</v>
      </c>
    </row>
    <row r="23" spans="3:9" x14ac:dyDescent="0.3">
      <c r="C23" s="31" t="s">
        <v>2701</v>
      </c>
      <c r="D23" s="27">
        <v>180000</v>
      </c>
      <c r="E23" s="26"/>
      <c r="F23" s="32"/>
    </row>
    <row r="24" spans="3:9" x14ac:dyDescent="0.3">
      <c r="C24" s="31" t="s">
        <v>2697</v>
      </c>
      <c r="D24" s="27">
        <f>SUMIFS('HDFC Bank Statement'!$E:$E,'HDFC Bank Statement'!$G:$G,I22)</f>
        <v>20000</v>
      </c>
      <c r="E24" s="26" t="s">
        <v>2700</v>
      </c>
      <c r="F24" s="47">
        <f>D26-F22</f>
        <v>20000</v>
      </c>
      <c r="I24" t="s">
        <v>93</v>
      </c>
    </row>
    <row r="25" spans="3:9" x14ac:dyDescent="0.3">
      <c r="C25" s="31"/>
      <c r="D25" s="26"/>
      <c r="E25" s="26"/>
      <c r="F25" s="33"/>
    </row>
    <row r="26" spans="3:9" ht="15" thickBot="1" x14ac:dyDescent="0.35">
      <c r="C26" s="34" t="s">
        <v>2669</v>
      </c>
      <c r="D26" s="35">
        <f>SUM(D22:D25)</f>
        <v>260000</v>
      </c>
      <c r="E26" s="36" t="s">
        <v>2669</v>
      </c>
      <c r="F26" s="37">
        <f>SUM(F22:F25)</f>
        <v>260000</v>
      </c>
    </row>
  </sheetData>
  <mergeCells count="6">
    <mergeCell ref="C20:F20"/>
    <mergeCell ref="C3:F3"/>
    <mergeCell ref="C2:F2"/>
    <mergeCell ref="C11:F11"/>
    <mergeCell ref="C12:F12"/>
    <mergeCell ref="C19:F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C624F-B599-4FCB-8BDC-ACD506693007}">
  <sheetPr filterMode="1"/>
  <dimension ref="A2:G867"/>
  <sheetViews>
    <sheetView topLeftCell="A2" workbookViewId="0">
      <selection activeCell="G612" sqref="G612:G669"/>
    </sheetView>
  </sheetViews>
  <sheetFormatPr defaultRowHeight="14.4" x14ac:dyDescent="0.3"/>
  <cols>
    <col min="1" max="1" width="10.33203125" bestFit="1" customWidth="1"/>
    <col min="2" max="2" width="47.88671875" bestFit="1" customWidth="1"/>
    <col min="3" max="3" width="12.5546875" bestFit="1" customWidth="1"/>
    <col min="4" max="4" width="12" bestFit="1" customWidth="1"/>
    <col min="5" max="5" width="13.109375" bestFit="1" customWidth="1"/>
    <col min="6" max="6" width="13.77734375" bestFit="1" customWidth="1"/>
    <col min="7" max="7" width="12.5546875" bestFit="1" customWidth="1"/>
  </cols>
  <sheetData>
    <row r="2" spans="1:7" x14ac:dyDescent="0.3">
      <c r="D2">
        <f>D3-D4</f>
        <v>172419183.63000032</v>
      </c>
      <c r="E2">
        <f>E3-E4</f>
        <v>172893407.99000025</v>
      </c>
    </row>
    <row r="3" spans="1:7" x14ac:dyDescent="0.3">
      <c r="A3" s="1" t="s">
        <v>0</v>
      </c>
      <c r="D3">
        <f>'HDFC HSL Ledger'!K6</f>
        <v>172659183.63000032</v>
      </c>
      <c r="E3">
        <f>'HDFC HSL Ledger'!J6</f>
        <v>172913407.99000025</v>
      </c>
    </row>
    <row r="4" spans="1:7" x14ac:dyDescent="0.3">
      <c r="A4" s="1" t="s">
        <v>1</v>
      </c>
      <c r="D4">
        <f>SUBTOTAL(9,D6:D1446)</f>
        <v>240000</v>
      </c>
      <c r="E4">
        <f>SUBTOTAL(9,E6:E1446)</f>
        <v>20000</v>
      </c>
      <c r="F4">
        <v>205</v>
      </c>
      <c r="G4">
        <f>E4-F4</f>
        <v>19795</v>
      </c>
    </row>
    <row r="5" spans="1:7" x14ac:dyDescent="0.3">
      <c r="A5" s="2" t="s">
        <v>2</v>
      </c>
      <c r="B5" s="3" t="s">
        <v>3</v>
      </c>
      <c r="C5" s="2" t="s">
        <v>4</v>
      </c>
      <c r="D5" s="2" t="s">
        <v>5</v>
      </c>
      <c r="E5" s="3" t="s">
        <v>6</v>
      </c>
      <c r="F5" s="2" t="s">
        <v>7</v>
      </c>
      <c r="G5" s="4" t="s">
        <v>8</v>
      </c>
    </row>
    <row r="6" spans="1:7" hidden="1" x14ac:dyDescent="0.3">
      <c r="A6" s="5">
        <v>45383</v>
      </c>
      <c r="B6" t="s">
        <v>9</v>
      </c>
      <c r="C6" t="s">
        <v>10</v>
      </c>
      <c r="D6" s="6">
        <v>1812.32</v>
      </c>
      <c r="E6" s="6">
        <v>0</v>
      </c>
      <c r="F6" s="6">
        <v>36117.29</v>
      </c>
      <c r="G6" t="s">
        <v>2660</v>
      </c>
    </row>
    <row r="7" spans="1:7" hidden="1" x14ac:dyDescent="0.3">
      <c r="A7" s="5">
        <v>45384</v>
      </c>
      <c r="B7" t="s">
        <v>9</v>
      </c>
      <c r="C7" t="s">
        <v>11</v>
      </c>
      <c r="D7" s="6">
        <v>19318.18</v>
      </c>
      <c r="E7" s="6">
        <v>0</v>
      </c>
      <c r="F7" s="6">
        <v>16799.11</v>
      </c>
      <c r="G7" t="s">
        <v>2660</v>
      </c>
    </row>
    <row r="8" spans="1:7" hidden="1" x14ac:dyDescent="0.3">
      <c r="A8" s="5">
        <v>45384</v>
      </c>
      <c r="B8" t="s">
        <v>12</v>
      </c>
      <c r="C8" t="s">
        <v>13</v>
      </c>
      <c r="D8" s="6">
        <v>0</v>
      </c>
      <c r="E8" s="6">
        <v>5099.51</v>
      </c>
      <c r="F8" s="6">
        <v>21898.62</v>
      </c>
      <c r="G8" t="s">
        <v>2660</v>
      </c>
    </row>
    <row r="9" spans="1:7" hidden="1" x14ac:dyDescent="0.3">
      <c r="A9" s="5">
        <v>45384</v>
      </c>
      <c r="B9" t="s">
        <v>12</v>
      </c>
      <c r="C9" t="s">
        <v>14</v>
      </c>
      <c r="D9" s="6">
        <v>0</v>
      </c>
      <c r="E9" s="6">
        <v>20780.759999999998</v>
      </c>
      <c r="F9" s="6">
        <v>42679.38</v>
      </c>
      <c r="G9" t="s">
        <v>2660</v>
      </c>
    </row>
    <row r="10" spans="1:7" hidden="1" x14ac:dyDescent="0.3">
      <c r="A10" s="5">
        <v>45384</v>
      </c>
      <c r="B10" t="s">
        <v>9</v>
      </c>
      <c r="C10" t="s">
        <v>15</v>
      </c>
      <c r="D10" s="6">
        <v>446.2</v>
      </c>
      <c r="E10" s="6">
        <v>0</v>
      </c>
      <c r="F10" s="6">
        <v>42233.18</v>
      </c>
      <c r="G10" t="s">
        <v>2660</v>
      </c>
    </row>
    <row r="11" spans="1:7" hidden="1" x14ac:dyDescent="0.3">
      <c r="A11" s="5">
        <v>45384</v>
      </c>
      <c r="B11" t="s">
        <v>9</v>
      </c>
      <c r="C11" t="s">
        <v>16</v>
      </c>
      <c r="D11" s="6">
        <v>14690.62</v>
      </c>
      <c r="E11" s="6">
        <v>0</v>
      </c>
      <c r="F11" s="6">
        <v>27542.560000000001</v>
      </c>
      <c r="G11" t="s">
        <v>2660</v>
      </c>
    </row>
    <row r="12" spans="1:7" hidden="1" x14ac:dyDescent="0.3">
      <c r="A12" s="5">
        <v>45385</v>
      </c>
      <c r="B12" t="s">
        <v>9</v>
      </c>
      <c r="C12" t="s">
        <v>17</v>
      </c>
      <c r="D12" s="6">
        <v>421.05</v>
      </c>
      <c r="E12" s="6">
        <v>0</v>
      </c>
      <c r="F12" s="6">
        <v>27121.51</v>
      </c>
      <c r="G12" t="s">
        <v>2660</v>
      </c>
    </row>
    <row r="13" spans="1:7" hidden="1" x14ac:dyDescent="0.3">
      <c r="A13" s="5">
        <v>45386</v>
      </c>
      <c r="B13" t="s">
        <v>12</v>
      </c>
      <c r="C13" t="s">
        <v>18</v>
      </c>
      <c r="D13" s="6">
        <v>0</v>
      </c>
      <c r="E13" s="6">
        <v>10225.459999999999</v>
      </c>
      <c r="F13" s="6">
        <v>37346.97</v>
      </c>
      <c r="G13" t="s">
        <v>2660</v>
      </c>
    </row>
    <row r="14" spans="1:7" hidden="1" x14ac:dyDescent="0.3">
      <c r="A14" s="5">
        <v>45386</v>
      </c>
      <c r="B14" t="s">
        <v>9</v>
      </c>
      <c r="C14" t="s">
        <v>19</v>
      </c>
      <c r="D14" s="6">
        <v>437.2</v>
      </c>
      <c r="E14" s="6">
        <v>0</v>
      </c>
      <c r="F14" s="6">
        <v>36909.769999999997</v>
      </c>
      <c r="G14" t="s">
        <v>2660</v>
      </c>
    </row>
    <row r="15" spans="1:7" hidden="1" x14ac:dyDescent="0.3">
      <c r="A15" s="5">
        <v>45386</v>
      </c>
      <c r="B15" t="s">
        <v>9</v>
      </c>
      <c r="C15" t="s">
        <v>20</v>
      </c>
      <c r="D15" s="6">
        <v>1425.24</v>
      </c>
      <c r="E15" s="6">
        <v>0</v>
      </c>
      <c r="F15" s="6">
        <v>35484.53</v>
      </c>
      <c r="G15" t="s">
        <v>2660</v>
      </c>
    </row>
    <row r="16" spans="1:7" hidden="1" x14ac:dyDescent="0.3">
      <c r="A16" s="5">
        <v>45387</v>
      </c>
      <c r="B16" t="s">
        <v>12</v>
      </c>
      <c r="C16" t="s">
        <v>21</v>
      </c>
      <c r="D16" s="6">
        <v>0</v>
      </c>
      <c r="E16" s="6">
        <v>25672.95</v>
      </c>
      <c r="F16" s="6">
        <v>61157.48</v>
      </c>
      <c r="G16" t="s">
        <v>2660</v>
      </c>
    </row>
    <row r="17" spans="1:7" hidden="1" x14ac:dyDescent="0.3">
      <c r="A17" s="5">
        <v>45387</v>
      </c>
      <c r="B17" t="s">
        <v>9</v>
      </c>
      <c r="C17" t="s">
        <v>22</v>
      </c>
      <c r="D17" s="6">
        <v>435.69</v>
      </c>
      <c r="E17" s="6">
        <v>0</v>
      </c>
      <c r="F17" s="6">
        <v>60721.79</v>
      </c>
      <c r="G17" t="s">
        <v>2660</v>
      </c>
    </row>
    <row r="18" spans="1:7" hidden="1" x14ac:dyDescent="0.3">
      <c r="A18" s="5">
        <v>45387</v>
      </c>
      <c r="B18" t="s">
        <v>23</v>
      </c>
      <c r="C18" t="s">
        <v>24</v>
      </c>
      <c r="D18" s="6">
        <v>1652</v>
      </c>
      <c r="E18" s="6">
        <v>0</v>
      </c>
      <c r="F18" s="6">
        <v>59069.79</v>
      </c>
      <c r="G18" t="s">
        <v>25</v>
      </c>
    </row>
    <row r="19" spans="1:7" hidden="1" x14ac:dyDescent="0.3">
      <c r="A19" s="5">
        <v>45387</v>
      </c>
      <c r="B19" t="s">
        <v>9</v>
      </c>
      <c r="C19" t="s">
        <v>26</v>
      </c>
      <c r="D19" s="6">
        <v>1443.03</v>
      </c>
      <c r="E19" s="6">
        <v>0</v>
      </c>
      <c r="F19" s="6">
        <v>57626.76</v>
      </c>
      <c r="G19" t="s">
        <v>2660</v>
      </c>
    </row>
    <row r="20" spans="1:7" hidden="1" x14ac:dyDescent="0.3">
      <c r="A20" s="5">
        <v>45390</v>
      </c>
      <c r="B20" t="s">
        <v>12</v>
      </c>
      <c r="C20" t="s">
        <v>27</v>
      </c>
      <c r="D20" s="6">
        <v>0</v>
      </c>
      <c r="E20" s="6">
        <v>17621.38</v>
      </c>
      <c r="F20" s="6">
        <v>75248.14</v>
      </c>
      <c r="G20" t="s">
        <v>2660</v>
      </c>
    </row>
    <row r="21" spans="1:7" hidden="1" x14ac:dyDescent="0.3">
      <c r="A21" s="5">
        <v>45390</v>
      </c>
      <c r="B21" t="s">
        <v>9</v>
      </c>
      <c r="C21" t="s">
        <v>28</v>
      </c>
      <c r="D21" s="6">
        <v>1316.88</v>
      </c>
      <c r="E21" s="6">
        <v>0</v>
      </c>
      <c r="F21" s="6">
        <v>73931.259999999995</v>
      </c>
      <c r="G21" t="s">
        <v>2660</v>
      </c>
    </row>
    <row r="22" spans="1:7" hidden="1" x14ac:dyDescent="0.3">
      <c r="A22" s="5">
        <v>45390</v>
      </c>
      <c r="B22" t="s">
        <v>9</v>
      </c>
      <c r="C22" t="s">
        <v>29</v>
      </c>
      <c r="D22" s="6">
        <v>7512.35</v>
      </c>
      <c r="E22" s="6">
        <v>0</v>
      </c>
      <c r="F22" s="6">
        <v>66418.91</v>
      </c>
      <c r="G22" t="s">
        <v>2660</v>
      </c>
    </row>
    <row r="23" spans="1:7" hidden="1" x14ac:dyDescent="0.3">
      <c r="A23" s="5">
        <v>45391</v>
      </c>
      <c r="B23" t="s">
        <v>9</v>
      </c>
      <c r="C23" t="s">
        <v>30</v>
      </c>
      <c r="D23" s="6">
        <v>6794.95</v>
      </c>
      <c r="E23" s="6">
        <v>0</v>
      </c>
      <c r="F23" s="6">
        <v>59623.96</v>
      </c>
      <c r="G23" t="s">
        <v>2660</v>
      </c>
    </row>
    <row r="24" spans="1:7" hidden="1" x14ac:dyDescent="0.3">
      <c r="A24" s="5">
        <v>45392</v>
      </c>
      <c r="B24" t="s">
        <v>31</v>
      </c>
      <c r="C24" t="s">
        <v>32</v>
      </c>
      <c r="D24" s="6">
        <v>10000</v>
      </c>
      <c r="E24" s="6">
        <v>0</v>
      </c>
      <c r="F24" s="6">
        <v>49623.96</v>
      </c>
      <c r="G24" t="s">
        <v>33</v>
      </c>
    </row>
    <row r="25" spans="1:7" hidden="1" x14ac:dyDescent="0.3">
      <c r="A25" s="5">
        <v>45392</v>
      </c>
      <c r="B25" t="s">
        <v>9</v>
      </c>
      <c r="C25" t="s">
        <v>34</v>
      </c>
      <c r="D25" s="6">
        <v>434.02</v>
      </c>
      <c r="E25" s="6">
        <v>0</v>
      </c>
      <c r="F25" s="6">
        <v>49189.94</v>
      </c>
      <c r="G25" t="s">
        <v>2660</v>
      </c>
    </row>
    <row r="26" spans="1:7" hidden="1" x14ac:dyDescent="0.3">
      <c r="A26" s="5">
        <v>45392</v>
      </c>
      <c r="B26" t="s">
        <v>9</v>
      </c>
      <c r="C26" t="s">
        <v>35</v>
      </c>
      <c r="D26" s="6">
        <v>2033.3</v>
      </c>
      <c r="E26" s="6">
        <v>0</v>
      </c>
      <c r="F26" s="6">
        <v>47156.639999999999</v>
      </c>
      <c r="G26" t="s">
        <v>2660</v>
      </c>
    </row>
    <row r="27" spans="1:7" hidden="1" x14ac:dyDescent="0.3">
      <c r="A27" s="5">
        <v>45394</v>
      </c>
      <c r="B27" t="s">
        <v>12</v>
      </c>
      <c r="C27" t="s">
        <v>36</v>
      </c>
      <c r="D27" s="6">
        <v>0</v>
      </c>
      <c r="E27" s="6">
        <v>6052.98</v>
      </c>
      <c r="F27" s="6">
        <v>53209.62</v>
      </c>
      <c r="G27" t="s">
        <v>2660</v>
      </c>
    </row>
    <row r="28" spans="1:7" hidden="1" x14ac:dyDescent="0.3">
      <c r="A28" s="5">
        <v>45394</v>
      </c>
      <c r="B28" t="s">
        <v>12</v>
      </c>
      <c r="C28" t="s">
        <v>37</v>
      </c>
      <c r="D28" s="6">
        <v>0</v>
      </c>
      <c r="E28" s="6">
        <v>22935.47</v>
      </c>
      <c r="F28" s="6">
        <v>76145.09</v>
      </c>
      <c r="G28" t="s">
        <v>2660</v>
      </c>
    </row>
    <row r="29" spans="1:7" hidden="1" x14ac:dyDescent="0.3">
      <c r="A29" s="5">
        <v>45394</v>
      </c>
      <c r="B29" t="s">
        <v>9</v>
      </c>
      <c r="C29" t="s">
        <v>38</v>
      </c>
      <c r="D29" s="6">
        <v>879.04</v>
      </c>
      <c r="E29" s="6">
        <v>0</v>
      </c>
      <c r="F29" s="6">
        <v>75266.05</v>
      </c>
      <c r="G29" t="s">
        <v>2660</v>
      </c>
    </row>
    <row r="30" spans="1:7" hidden="1" x14ac:dyDescent="0.3">
      <c r="A30" s="5">
        <v>45394</v>
      </c>
      <c r="B30" t="s">
        <v>9</v>
      </c>
      <c r="C30" t="s">
        <v>39</v>
      </c>
      <c r="D30" s="6">
        <v>23319.29</v>
      </c>
      <c r="E30" s="6">
        <v>0</v>
      </c>
      <c r="F30" s="6">
        <v>51946.76</v>
      </c>
      <c r="G30" t="s">
        <v>2660</v>
      </c>
    </row>
    <row r="31" spans="1:7" hidden="1" x14ac:dyDescent="0.3">
      <c r="A31" s="5">
        <v>45394</v>
      </c>
      <c r="B31" t="s">
        <v>9</v>
      </c>
      <c r="C31" t="s">
        <v>40</v>
      </c>
      <c r="D31" s="6">
        <v>42.91</v>
      </c>
      <c r="E31" s="6">
        <v>0</v>
      </c>
      <c r="F31" s="6">
        <v>51903.85</v>
      </c>
      <c r="G31" t="s">
        <v>2660</v>
      </c>
    </row>
    <row r="32" spans="1:7" hidden="1" x14ac:dyDescent="0.3">
      <c r="A32" s="5">
        <v>45397</v>
      </c>
      <c r="B32" t="s">
        <v>31</v>
      </c>
      <c r="C32" t="s">
        <v>41</v>
      </c>
      <c r="D32" s="6">
        <v>10000</v>
      </c>
      <c r="E32" s="6">
        <v>0</v>
      </c>
      <c r="F32" s="6">
        <v>41903.85</v>
      </c>
      <c r="G32" t="s">
        <v>33</v>
      </c>
    </row>
    <row r="33" spans="1:7" hidden="1" x14ac:dyDescent="0.3">
      <c r="A33" s="5">
        <v>45397</v>
      </c>
      <c r="B33" t="s">
        <v>9</v>
      </c>
      <c r="C33" t="s">
        <v>42</v>
      </c>
      <c r="D33" s="6">
        <v>1251.57</v>
      </c>
      <c r="E33" s="6">
        <v>0</v>
      </c>
      <c r="F33" s="6">
        <v>40652.28</v>
      </c>
      <c r="G33" t="s">
        <v>2660</v>
      </c>
    </row>
    <row r="34" spans="1:7" hidden="1" x14ac:dyDescent="0.3">
      <c r="A34" s="5">
        <v>45397</v>
      </c>
      <c r="B34" t="s">
        <v>43</v>
      </c>
      <c r="C34" t="s">
        <v>44</v>
      </c>
      <c r="D34" s="6">
        <v>0</v>
      </c>
      <c r="E34" s="6">
        <v>11400</v>
      </c>
      <c r="F34" s="6">
        <v>52052.28</v>
      </c>
      <c r="G34" t="s">
        <v>2662</v>
      </c>
    </row>
    <row r="35" spans="1:7" hidden="1" x14ac:dyDescent="0.3">
      <c r="A35" s="5">
        <v>45398</v>
      </c>
      <c r="B35" t="s">
        <v>12</v>
      </c>
      <c r="C35" t="s">
        <v>45</v>
      </c>
      <c r="D35" s="6">
        <v>0</v>
      </c>
      <c r="E35" s="6">
        <v>16741.900000000001</v>
      </c>
      <c r="F35" s="6">
        <v>68794.179999999993</v>
      </c>
      <c r="G35" t="s">
        <v>2660</v>
      </c>
    </row>
    <row r="36" spans="1:7" hidden="1" x14ac:dyDescent="0.3">
      <c r="A36" s="5">
        <v>45398</v>
      </c>
      <c r="B36" t="s">
        <v>12</v>
      </c>
      <c r="C36" t="s">
        <v>46</v>
      </c>
      <c r="D36" s="6">
        <v>0</v>
      </c>
      <c r="E36" s="6">
        <v>29908.32</v>
      </c>
      <c r="F36" s="6">
        <v>98702.5</v>
      </c>
      <c r="G36" t="s">
        <v>2660</v>
      </c>
    </row>
    <row r="37" spans="1:7" hidden="1" x14ac:dyDescent="0.3">
      <c r="A37" s="5">
        <v>45398</v>
      </c>
      <c r="B37" t="s">
        <v>9</v>
      </c>
      <c r="C37" t="s">
        <v>47</v>
      </c>
      <c r="D37" s="6">
        <v>417.19</v>
      </c>
      <c r="E37" s="6">
        <v>0</v>
      </c>
      <c r="F37" s="6">
        <v>98285.31</v>
      </c>
      <c r="G37" t="s">
        <v>2660</v>
      </c>
    </row>
    <row r="38" spans="1:7" hidden="1" x14ac:dyDescent="0.3">
      <c r="A38" s="5">
        <v>45398</v>
      </c>
      <c r="B38" t="s">
        <v>9</v>
      </c>
      <c r="C38" t="s">
        <v>48</v>
      </c>
      <c r="D38" s="6">
        <v>20617.330000000002</v>
      </c>
      <c r="E38" s="6">
        <v>0</v>
      </c>
      <c r="F38" s="6">
        <v>77667.98</v>
      </c>
      <c r="G38" t="s">
        <v>2660</v>
      </c>
    </row>
    <row r="39" spans="1:7" hidden="1" x14ac:dyDescent="0.3">
      <c r="A39" s="5">
        <v>45400</v>
      </c>
      <c r="B39" t="s">
        <v>12</v>
      </c>
      <c r="C39" t="s">
        <v>49</v>
      </c>
      <c r="D39" s="6">
        <v>0</v>
      </c>
      <c r="E39" s="6">
        <v>22103.31</v>
      </c>
      <c r="F39" s="6">
        <v>99771.29</v>
      </c>
      <c r="G39" t="s">
        <v>2660</v>
      </c>
    </row>
    <row r="40" spans="1:7" hidden="1" x14ac:dyDescent="0.3">
      <c r="A40" s="5">
        <v>45400</v>
      </c>
      <c r="B40" t="s">
        <v>9</v>
      </c>
      <c r="C40" t="s">
        <v>50</v>
      </c>
      <c r="D40" s="6">
        <v>791.86</v>
      </c>
      <c r="E40" s="6">
        <v>0</v>
      </c>
      <c r="F40" s="6">
        <v>98979.43</v>
      </c>
      <c r="G40" t="s">
        <v>2660</v>
      </c>
    </row>
    <row r="41" spans="1:7" hidden="1" x14ac:dyDescent="0.3">
      <c r="A41" s="5">
        <v>45400</v>
      </c>
      <c r="B41" t="s">
        <v>9</v>
      </c>
      <c r="C41" t="s">
        <v>51</v>
      </c>
      <c r="D41" s="6">
        <v>7059.16</v>
      </c>
      <c r="E41" s="6">
        <v>0</v>
      </c>
      <c r="F41" s="6">
        <v>91920.27</v>
      </c>
      <c r="G41" t="s">
        <v>2660</v>
      </c>
    </row>
    <row r="42" spans="1:7" hidden="1" x14ac:dyDescent="0.3">
      <c r="A42" s="5">
        <v>45400</v>
      </c>
      <c r="B42" t="s">
        <v>9</v>
      </c>
      <c r="C42" t="s">
        <v>52</v>
      </c>
      <c r="D42" s="6">
        <v>30745.040000000001</v>
      </c>
      <c r="E42" s="6">
        <v>0</v>
      </c>
      <c r="F42" s="6">
        <v>61175.23</v>
      </c>
      <c r="G42" t="s">
        <v>2660</v>
      </c>
    </row>
    <row r="43" spans="1:7" hidden="1" x14ac:dyDescent="0.3">
      <c r="A43" s="5">
        <v>45401</v>
      </c>
      <c r="B43" t="s">
        <v>9</v>
      </c>
      <c r="C43" t="s">
        <v>53</v>
      </c>
      <c r="D43" s="6">
        <v>399.86</v>
      </c>
      <c r="E43" s="6">
        <v>0</v>
      </c>
      <c r="F43" s="6">
        <v>60775.37</v>
      </c>
      <c r="G43" t="s">
        <v>2660</v>
      </c>
    </row>
    <row r="44" spans="1:7" hidden="1" x14ac:dyDescent="0.3">
      <c r="A44" s="5">
        <v>45404</v>
      </c>
      <c r="B44" t="s">
        <v>12</v>
      </c>
      <c r="C44" t="s">
        <v>54</v>
      </c>
      <c r="D44" s="6">
        <v>0</v>
      </c>
      <c r="E44" s="6">
        <v>2528.4899999999998</v>
      </c>
      <c r="F44" s="6">
        <v>63303.86</v>
      </c>
      <c r="G44" t="s">
        <v>2660</v>
      </c>
    </row>
    <row r="45" spans="1:7" hidden="1" x14ac:dyDescent="0.3">
      <c r="A45" s="5">
        <v>45404</v>
      </c>
      <c r="B45" t="s">
        <v>31</v>
      </c>
      <c r="C45" t="s">
        <v>55</v>
      </c>
      <c r="D45" s="6">
        <v>10000</v>
      </c>
      <c r="E45" s="6">
        <v>0</v>
      </c>
      <c r="F45" s="6">
        <v>53303.86</v>
      </c>
      <c r="G45" t="s">
        <v>33</v>
      </c>
    </row>
    <row r="46" spans="1:7" hidden="1" x14ac:dyDescent="0.3">
      <c r="A46" s="5">
        <v>45404</v>
      </c>
      <c r="B46" t="s">
        <v>9</v>
      </c>
      <c r="C46" t="s">
        <v>56</v>
      </c>
      <c r="D46" s="6">
        <v>1260.06</v>
      </c>
      <c r="E46" s="6">
        <v>0</v>
      </c>
      <c r="F46" s="6">
        <v>52043.8</v>
      </c>
      <c r="G46" t="s">
        <v>2660</v>
      </c>
    </row>
    <row r="47" spans="1:7" hidden="1" x14ac:dyDescent="0.3">
      <c r="A47" s="5">
        <v>45404</v>
      </c>
      <c r="B47" t="s">
        <v>9</v>
      </c>
      <c r="C47" t="s">
        <v>57</v>
      </c>
      <c r="D47" s="6">
        <v>6355.73</v>
      </c>
      <c r="E47" s="6">
        <v>0</v>
      </c>
      <c r="F47" s="6">
        <v>45688.07</v>
      </c>
      <c r="G47" t="s">
        <v>2660</v>
      </c>
    </row>
    <row r="48" spans="1:7" hidden="1" x14ac:dyDescent="0.3">
      <c r="A48" s="5">
        <v>45405</v>
      </c>
      <c r="B48" t="s">
        <v>12</v>
      </c>
      <c r="C48" t="s">
        <v>58</v>
      </c>
      <c r="D48" s="6">
        <v>0</v>
      </c>
      <c r="E48" s="6">
        <v>15833.97</v>
      </c>
      <c r="F48" s="6">
        <v>61522.04</v>
      </c>
      <c r="G48" t="s">
        <v>2660</v>
      </c>
    </row>
    <row r="49" spans="1:7" hidden="1" x14ac:dyDescent="0.3">
      <c r="A49" s="5">
        <v>45405</v>
      </c>
      <c r="B49" t="s">
        <v>9</v>
      </c>
      <c r="C49" t="s">
        <v>59</v>
      </c>
      <c r="D49" s="6">
        <v>420.92</v>
      </c>
      <c r="E49" s="6">
        <v>0</v>
      </c>
      <c r="F49" s="6">
        <v>61101.120000000003</v>
      </c>
      <c r="G49" t="s">
        <v>2660</v>
      </c>
    </row>
    <row r="50" spans="1:7" hidden="1" x14ac:dyDescent="0.3">
      <c r="A50" s="5">
        <v>45405</v>
      </c>
      <c r="B50" t="s">
        <v>60</v>
      </c>
      <c r="C50" t="s">
        <v>61</v>
      </c>
      <c r="D50" s="6">
        <v>0</v>
      </c>
      <c r="E50" s="6">
        <v>100000</v>
      </c>
      <c r="F50" s="6">
        <v>161101.12</v>
      </c>
      <c r="G50" t="s">
        <v>62</v>
      </c>
    </row>
    <row r="51" spans="1:7" hidden="1" x14ac:dyDescent="0.3">
      <c r="A51" s="5">
        <v>45405</v>
      </c>
      <c r="B51" t="s">
        <v>9</v>
      </c>
      <c r="C51" t="s">
        <v>63</v>
      </c>
      <c r="D51" s="6">
        <v>75996.600000000006</v>
      </c>
      <c r="E51" s="6">
        <v>0</v>
      </c>
      <c r="F51" s="6">
        <v>85104.52</v>
      </c>
      <c r="G51" t="s">
        <v>2660</v>
      </c>
    </row>
    <row r="52" spans="1:7" hidden="1" x14ac:dyDescent="0.3">
      <c r="A52" s="5">
        <v>45406</v>
      </c>
      <c r="B52" t="s">
        <v>12</v>
      </c>
      <c r="C52" t="s">
        <v>64</v>
      </c>
      <c r="D52" s="6">
        <v>0</v>
      </c>
      <c r="E52" s="6">
        <v>47265.39</v>
      </c>
      <c r="F52" s="6">
        <v>132369.91</v>
      </c>
      <c r="G52" t="s">
        <v>2660</v>
      </c>
    </row>
    <row r="53" spans="1:7" hidden="1" x14ac:dyDescent="0.3">
      <c r="A53" s="5">
        <v>45406</v>
      </c>
      <c r="B53" t="s">
        <v>9</v>
      </c>
      <c r="C53" t="s">
        <v>65</v>
      </c>
      <c r="D53" s="6">
        <v>390.26</v>
      </c>
      <c r="E53" s="6">
        <v>0</v>
      </c>
      <c r="F53" s="6">
        <v>131979.65</v>
      </c>
      <c r="G53" t="s">
        <v>2660</v>
      </c>
    </row>
    <row r="54" spans="1:7" hidden="1" x14ac:dyDescent="0.3">
      <c r="A54" s="5">
        <v>45407</v>
      </c>
      <c r="B54" t="s">
        <v>12</v>
      </c>
      <c r="C54" t="s">
        <v>66</v>
      </c>
      <c r="D54" s="6">
        <v>0</v>
      </c>
      <c r="E54" s="6">
        <v>20947.36</v>
      </c>
      <c r="F54" s="6">
        <v>152927.01</v>
      </c>
      <c r="G54" t="s">
        <v>2660</v>
      </c>
    </row>
    <row r="55" spans="1:7" hidden="1" x14ac:dyDescent="0.3">
      <c r="A55" s="5">
        <v>45407</v>
      </c>
      <c r="B55" t="s">
        <v>9</v>
      </c>
      <c r="C55" t="s">
        <v>67</v>
      </c>
      <c r="D55" s="6">
        <v>390.26</v>
      </c>
      <c r="E55" s="6">
        <v>0</v>
      </c>
      <c r="F55" s="6">
        <v>152536.75</v>
      </c>
      <c r="G55" t="s">
        <v>2660</v>
      </c>
    </row>
    <row r="56" spans="1:7" hidden="1" x14ac:dyDescent="0.3">
      <c r="A56" s="5">
        <v>45407</v>
      </c>
      <c r="B56" t="s">
        <v>9</v>
      </c>
      <c r="C56" t="s">
        <v>68</v>
      </c>
      <c r="D56" s="6">
        <v>50509.81</v>
      </c>
      <c r="E56" s="6">
        <v>0</v>
      </c>
      <c r="F56" s="6">
        <v>102026.94</v>
      </c>
      <c r="G56" t="s">
        <v>2660</v>
      </c>
    </row>
    <row r="57" spans="1:7" hidden="1" x14ac:dyDescent="0.3">
      <c r="A57" s="5">
        <v>45408</v>
      </c>
      <c r="B57" t="s">
        <v>12</v>
      </c>
      <c r="C57" t="s">
        <v>69</v>
      </c>
      <c r="D57" s="6">
        <v>0</v>
      </c>
      <c r="E57" s="6">
        <v>110.36</v>
      </c>
      <c r="F57" s="6">
        <v>102137.3</v>
      </c>
      <c r="G57" t="s">
        <v>2660</v>
      </c>
    </row>
    <row r="58" spans="1:7" hidden="1" x14ac:dyDescent="0.3">
      <c r="A58" s="5">
        <v>45408</v>
      </c>
      <c r="B58" t="s">
        <v>12</v>
      </c>
      <c r="C58" t="s">
        <v>70</v>
      </c>
      <c r="D58" s="6">
        <v>0</v>
      </c>
      <c r="E58" s="6">
        <v>32905.410000000003</v>
      </c>
      <c r="F58" s="6">
        <v>135042.71</v>
      </c>
      <c r="G58" t="s">
        <v>2660</v>
      </c>
    </row>
    <row r="59" spans="1:7" hidden="1" x14ac:dyDescent="0.3">
      <c r="A59" s="5">
        <v>45408</v>
      </c>
      <c r="B59" t="s">
        <v>9</v>
      </c>
      <c r="C59" t="s">
        <v>71</v>
      </c>
      <c r="D59" s="6">
        <v>317.54000000000002</v>
      </c>
      <c r="E59" s="6">
        <v>0</v>
      </c>
      <c r="F59" s="6">
        <v>134725.17000000001</v>
      </c>
      <c r="G59" t="s">
        <v>2660</v>
      </c>
    </row>
    <row r="60" spans="1:7" hidden="1" x14ac:dyDescent="0.3">
      <c r="A60" s="5">
        <v>45408</v>
      </c>
      <c r="B60" t="s">
        <v>9</v>
      </c>
      <c r="C60" t="s">
        <v>72</v>
      </c>
      <c r="D60" s="6">
        <v>76751.16</v>
      </c>
      <c r="E60" s="6">
        <v>0</v>
      </c>
      <c r="F60" s="6">
        <v>57974.01</v>
      </c>
      <c r="G60" t="s">
        <v>2660</v>
      </c>
    </row>
    <row r="61" spans="1:7" hidden="1" x14ac:dyDescent="0.3">
      <c r="A61" s="5">
        <v>45411</v>
      </c>
      <c r="B61" t="s">
        <v>12</v>
      </c>
      <c r="C61" t="s">
        <v>73</v>
      </c>
      <c r="D61" s="6">
        <v>0</v>
      </c>
      <c r="E61" s="6">
        <v>3371.59</v>
      </c>
      <c r="F61" s="6">
        <v>61345.599999999999</v>
      </c>
      <c r="G61" t="s">
        <v>2660</v>
      </c>
    </row>
    <row r="62" spans="1:7" hidden="1" x14ac:dyDescent="0.3">
      <c r="A62" s="5">
        <v>45411</v>
      </c>
      <c r="B62" t="s">
        <v>12</v>
      </c>
      <c r="C62" t="s">
        <v>74</v>
      </c>
      <c r="D62" s="6">
        <v>0</v>
      </c>
      <c r="E62" s="6">
        <v>58146.77</v>
      </c>
      <c r="F62" s="6">
        <v>119492.37</v>
      </c>
      <c r="G62" t="s">
        <v>2660</v>
      </c>
    </row>
    <row r="63" spans="1:7" hidden="1" x14ac:dyDescent="0.3">
      <c r="A63" s="5">
        <v>45411</v>
      </c>
      <c r="B63" t="s">
        <v>9</v>
      </c>
      <c r="C63" t="s">
        <v>75</v>
      </c>
      <c r="D63" s="6">
        <v>891.06</v>
      </c>
      <c r="E63" s="6">
        <v>0</v>
      </c>
      <c r="F63" s="6">
        <v>118601.31</v>
      </c>
      <c r="G63" t="s">
        <v>2660</v>
      </c>
    </row>
    <row r="64" spans="1:7" hidden="1" x14ac:dyDescent="0.3">
      <c r="A64" s="5">
        <v>45411</v>
      </c>
      <c r="B64" t="s">
        <v>9</v>
      </c>
      <c r="C64" t="s">
        <v>76</v>
      </c>
      <c r="D64" s="6">
        <v>6432.16</v>
      </c>
      <c r="E64" s="6">
        <v>0</v>
      </c>
      <c r="F64" s="6">
        <v>112169.15</v>
      </c>
      <c r="G64" t="s">
        <v>2660</v>
      </c>
    </row>
    <row r="65" spans="1:7" hidden="1" x14ac:dyDescent="0.3">
      <c r="A65" s="5">
        <v>45412</v>
      </c>
      <c r="B65" t="s">
        <v>9</v>
      </c>
      <c r="C65" t="s">
        <v>77</v>
      </c>
      <c r="D65" s="6">
        <v>277.14999999999998</v>
      </c>
      <c r="E65" s="6">
        <v>0</v>
      </c>
      <c r="F65" s="6">
        <v>111892</v>
      </c>
      <c r="G65" t="s">
        <v>2660</v>
      </c>
    </row>
    <row r="66" spans="1:7" hidden="1" x14ac:dyDescent="0.3">
      <c r="A66" s="5">
        <v>45412</v>
      </c>
      <c r="B66" t="s">
        <v>9</v>
      </c>
      <c r="C66" t="s">
        <v>78</v>
      </c>
      <c r="D66" s="6">
        <v>43368.94</v>
      </c>
      <c r="E66" s="6">
        <v>0</v>
      </c>
      <c r="F66" s="6">
        <v>68523.06</v>
      </c>
      <c r="G66" t="s">
        <v>2660</v>
      </c>
    </row>
    <row r="67" spans="1:7" hidden="1" x14ac:dyDescent="0.3">
      <c r="A67" s="5">
        <v>45414</v>
      </c>
      <c r="B67" t="s">
        <v>12</v>
      </c>
      <c r="C67" t="s">
        <v>79</v>
      </c>
      <c r="D67" s="6">
        <v>0</v>
      </c>
      <c r="E67" s="6">
        <v>7938.75</v>
      </c>
      <c r="F67" s="6">
        <v>76461.81</v>
      </c>
      <c r="G67" t="s">
        <v>2660</v>
      </c>
    </row>
    <row r="68" spans="1:7" hidden="1" x14ac:dyDescent="0.3">
      <c r="A68" s="5">
        <v>45414</v>
      </c>
      <c r="B68" t="s">
        <v>9</v>
      </c>
      <c r="C68" t="s">
        <v>80</v>
      </c>
      <c r="D68" s="6">
        <v>531.84</v>
      </c>
      <c r="E68" s="6">
        <v>0</v>
      </c>
      <c r="F68" s="6">
        <v>75929.97</v>
      </c>
      <c r="G68" t="s">
        <v>2660</v>
      </c>
    </row>
    <row r="69" spans="1:7" hidden="1" x14ac:dyDescent="0.3">
      <c r="A69" s="5">
        <v>45414</v>
      </c>
      <c r="B69" t="s">
        <v>81</v>
      </c>
      <c r="C69" t="s">
        <v>82</v>
      </c>
      <c r="D69" s="6">
        <v>0</v>
      </c>
      <c r="E69" s="6">
        <v>595.13</v>
      </c>
      <c r="F69" s="6">
        <v>76525.100000000006</v>
      </c>
      <c r="G69" t="s">
        <v>83</v>
      </c>
    </row>
    <row r="70" spans="1:7" hidden="1" x14ac:dyDescent="0.3">
      <c r="A70" s="5">
        <v>45414</v>
      </c>
      <c r="B70" t="s">
        <v>9</v>
      </c>
      <c r="C70" t="s">
        <v>84</v>
      </c>
      <c r="D70" s="6">
        <v>6687.69</v>
      </c>
      <c r="E70" s="6">
        <v>0</v>
      </c>
      <c r="F70" s="6">
        <v>69837.41</v>
      </c>
      <c r="G70" t="s">
        <v>2660</v>
      </c>
    </row>
    <row r="71" spans="1:7" hidden="1" x14ac:dyDescent="0.3">
      <c r="A71" s="5">
        <v>45415</v>
      </c>
      <c r="B71" t="s">
        <v>12</v>
      </c>
      <c r="C71" t="s">
        <v>85</v>
      </c>
      <c r="D71" s="6">
        <v>0</v>
      </c>
      <c r="E71" s="6">
        <v>6018.48</v>
      </c>
      <c r="F71" s="6">
        <v>75855.89</v>
      </c>
      <c r="G71" t="s">
        <v>2660</v>
      </c>
    </row>
    <row r="72" spans="1:7" hidden="1" x14ac:dyDescent="0.3">
      <c r="A72" s="5">
        <v>45415</v>
      </c>
      <c r="B72" t="s">
        <v>12</v>
      </c>
      <c r="C72" t="s">
        <v>86</v>
      </c>
      <c r="D72" s="6">
        <v>0</v>
      </c>
      <c r="E72" s="6">
        <v>24826.97</v>
      </c>
      <c r="F72" s="6">
        <v>100682.86</v>
      </c>
      <c r="G72" t="s">
        <v>2660</v>
      </c>
    </row>
    <row r="73" spans="1:7" hidden="1" x14ac:dyDescent="0.3">
      <c r="A73" s="5">
        <v>45415</v>
      </c>
      <c r="B73" t="s">
        <v>87</v>
      </c>
      <c r="C73" t="s">
        <v>88</v>
      </c>
      <c r="D73" s="6">
        <v>295</v>
      </c>
      <c r="E73" s="6">
        <v>0</v>
      </c>
      <c r="F73" s="6">
        <v>100387.86</v>
      </c>
      <c r="G73" t="s">
        <v>89</v>
      </c>
    </row>
    <row r="74" spans="1:7" hidden="1" x14ac:dyDescent="0.3">
      <c r="A74" s="5">
        <v>45415</v>
      </c>
      <c r="B74" t="s">
        <v>9</v>
      </c>
      <c r="C74" t="s">
        <v>90</v>
      </c>
      <c r="D74" s="6">
        <v>241.28</v>
      </c>
      <c r="E74" s="6">
        <v>0</v>
      </c>
      <c r="F74" s="6">
        <v>100146.58</v>
      </c>
      <c r="G74" t="s">
        <v>2660</v>
      </c>
    </row>
    <row r="75" spans="1:7" x14ac:dyDescent="0.3">
      <c r="A75" s="5">
        <v>45415</v>
      </c>
      <c r="B75" t="s">
        <v>91</v>
      </c>
      <c r="C75" t="s">
        <v>92</v>
      </c>
      <c r="D75" s="6">
        <v>5000</v>
      </c>
      <c r="E75" s="6">
        <v>0</v>
      </c>
      <c r="F75" s="6">
        <v>95146.58</v>
      </c>
      <c r="G75" t="s">
        <v>93</v>
      </c>
    </row>
    <row r="76" spans="1:7" hidden="1" x14ac:dyDescent="0.3">
      <c r="A76" s="5">
        <v>45415</v>
      </c>
      <c r="B76" t="s">
        <v>9</v>
      </c>
      <c r="C76" t="s">
        <v>94</v>
      </c>
      <c r="D76" s="6">
        <v>46062.080000000002</v>
      </c>
      <c r="E76" s="6">
        <v>0</v>
      </c>
      <c r="F76" s="6">
        <v>49084.5</v>
      </c>
      <c r="G76" t="s">
        <v>2660</v>
      </c>
    </row>
    <row r="77" spans="1:7" hidden="1" x14ac:dyDescent="0.3">
      <c r="A77" s="5">
        <v>45418</v>
      </c>
      <c r="B77" t="s">
        <v>9</v>
      </c>
      <c r="C77" t="s">
        <v>95</v>
      </c>
      <c r="D77" s="6">
        <v>649.62</v>
      </c>
      <c r="E77" s="6">
        <v>0</v>
      </c>
      <c r="F77" s="6">
        <v>48434.879999999997</v>
      </c>
      <c r="G77" t="s">
        <v>2660</v>
      </c>
    </row>
    <row r="78" spans="1:7" hidden="1" x14ac:dyDescent="0.3">
      <c r="A78" s="5">
        <v>45418</v>
      </c>
      <c r="B78" t="s">
        <v>9</v>
      </c>
      <c r="C78" t="s">
        <v>96</v>
      </c>
      <c r="D78" s="6">
        <v>7798.44</v>
      </c>
      <c r="E78" s="6">
        <v>0</v>
      </c>
      <c r="F78" s="6">
        <v>40636.44</v>
      </c>
      <c r="G78" t="s">
        <v>2660</v>
      </c>
    </row>
    <row r="79" spans="1:7" hidden="1" x14ac:dyDescent="0.3">
      <c r="A79" s="5">
        <v>45419</v>
      </c>
      <c r="B79" t="s">
        <v>9</v>
      </c>
      <c r="C79" t="s">
        <v>97</v>
      </c>
      <c r="D79" s="6">
        <v>217.47</v>
      </c>
      <c r="E79" s="6">
        <v>0</v>
      </c>
      <c r="F79" s="6">
        <v>40418.97</v>
      </c>
      <c r="G79" t="s">
        <v>2660</v>
      </c>
    </row>
    <row r="80" spans="1:7" hidden="1" x14ac:dyDescent="0.3">
      <c r="A80" s="5">
        <v>45419</v>
      </c>
      <c r="B80" t="s">
        <v>9</v>
      </c>
      <c r="C80" t="s">
        <v>98</v>
      </c>
      <c r="D80" s="6">
        <v>14240.93</v>
      </c>
      <c r="E80" s="6">
        <v>0</v>
      </c>
      <c r="F80" s="6">
        <v>26178.04</v>
      </c>
      <c r="G80" t="s">
        <v>2660</v>
      </c>
    </row>
    <row r="81" spans="1:7" hidden="1" x14ac:dyDescent="0.3">
      <c r="A81" s="5">
        <v>45419</v>
      </c>
      <c r="B81" t="s">
        <v>9</v>
      </c>
      <c r="C81" t="s">
        <v>99</v>
      </c>
      <c r="D81" s="6">
        <v>363.75</v>
      </c>
      <c r="E81" s="6">
        <v>0</v>
      </c>
      <c r="F81" s="6">
        <v>25814.29</v>
      </c>
      <c r="G81" t="s">
        <v>2660</v>
      </c>
    </row>
    <row r="82" spans="1:7" hidden="1" x14ac:dyDescent="0.3">
      <c r="A82" s="5">
        <v>45420</v>
      </c>
      <c r="B82" t="s">
        <v>12</v>
      </c>
      <c r="C82" t="s">
        <v>100</v>
      </c>
      <c r="D82" s="6">
        <v>0</v>
      </c>
      <c r="E82" s="6">
        <v>9709.5300000000007</v>
      </c>
      <c r="F82" s="6">
        <v>35523.82</v>
      </c>
      <c r="G82" t="s">
        <v>2660</v>
      </c>
    </row>
    <row r="83" spans="1:7" hidden="1" x14ac:dyDescent="0.3">
      <c r="A83" s="5">
        <v>45420</v>
      </c>
      <c r="B83" t="s">
        <v>9</v>
      </c>
      <c r="C83" t="s">
        <v>101</v>
      </c>
      <c r="D83" s="6">
        <v>224.84</v>
      </c>
      <c r="E83" s="6">
        <v>0</v>
      </c>
      <c r="F83" s="6">
        <v>35298.980000000003</v>
      </c>
      <c r="G83" t="s">
        <v>2660</v>
      </c>
    </row>
    <row r="84" spans="1:7" hidden="1" x14ac:dyDescent="0.3">
      <c r="A84" s="5">
        <v>45421</v>
      </c>
      <c r="B84" t="s">
        <v>9</v>
      </c>
      <c r="C84" t="s">
        <v>102</v>
      </c>
      <c r="D84" s="6">
        <v>7.69</v>
      </c>
      <c r="E84" s="6">
        <v>0</v>
      </c>
      <c r="F84" s="6">
        <v>35291.29</v>
      </c>
      <c r="G84" t="s">
        <v>2660</v>
      </c>
    </row>
    <row r="85" spans="1:7" hidden="1" x14ac:dyDescent="0.3">
      <c r="A85" s="5">
        <v>45421</v>
      </c>
      <c r="B85" t="s">
        <v>9</v>
      </c>
      <c r="C85" t="s">
        <v>103</v>
      </c>
      <c r="D85" s="6">
        <v>228.38</v>
      </c>
      <c r="E85" s="6">
        <v>0</v>
      </c>
      <c r="F85" s="6">
        <v>35062.910000000003</v>
      </c>
      <c r="G85" t="s">
        <v>2660</v>
      </c>
    </row>
    <row r="86" spans="1:7" hidden="1" x14ac:dyDescent="0.3">
      <c r="A86" s="5">
        <v>45421</v>
      </c>
      <c r="B86" t="s">
        <v>104</v>
      </c>
      <c r="C86" t="s">
        <v>24</v>
      </c>
      <c r="D86" s="6">
        <v>2881.8</v>
      </c>
      <c r="E86" s="6">
        <v>0</v>
      </c>
      <c r="F86" s="6">
        <v>32181.11</v>
      </c>
      <c r="G86" t="s">
        <v>25</v>
      </c>
    </row>
    <row r="87" spans="1:7" hidden="1" x14ac:dyDescent="0.3">
      <c r="A87" s="5">
        <v>45421</v>
      </c>
      <c r="B87" t="s">
        <v>105</v>
      </c>
      <c r="C87" t="s">
        <v>106</v>
      </c>
      <c r="D87" s="6">
        <v>0</v>
      </c>
      <c r="E87" s="6">
        <v>25000</v>
      </c>
      <c r="F87" s="6">
        <v>57181.11</v>
      </c>
      <c r="G87" t="s">
        <v>62</v>
      </c>
    </row>
    <row r="88" spans="1:7" hidden="1" x14ac:dyDescent="0.3">
      <c r="A88" s="5">
        <v>45421</v>
      </c>
      <c r="B88" t="s">
        <v>9</v>
      </c>
      <c r="C88" t="s">
        <v>107</v>
      </c>
      <c r="D88" s="6">
        <v>20481.04</v>
      </c>
      <c r="E88" s="6">
        <v>0</v>
      </c>
      <c r="F88" s="6">
        <v>36700.07</v>
      </c>
      <c r="G88" t="s">
        <v>2660</v>
      </c>
    </row>
    <row r="89" spans="1:7" hidden="1" x14ac:dyDescent="0.3">
      <c r="A89" s="5">
        <v>45422</v>
      </c>
      <c r="B89" t="s">
        <v>31</v>
      </c>
      <c r="C89" t="s">
        <v>108</v>
      </c>
      <c r="D89" s="6">
        <v>10000</v>
      </c>
      <c r="E89" s="6">
        <v>0</v>
      </c>
      <c r="F89" s="6">
        <v>26700.07</v>
      </c>
      <c r="G89" t="s">
        <v>33</v>
      </c>
    </row>
    <row r="90" spans="1:7" hidden="1" x14ac:dyDescent="0.3">
      <c r="A90" s="5">
        <v>45422</v>
      </c>
      <c r="B90" t="s">
        <v>9</v>
      </c>
      <c r="C90" t="s">
        <v>109</v>
      </c>
      <c r="D90" s="6">
        <v>221.09</v>
      </c>
      <c r="E90" s="6">
        <v>0</v>
      </c>
      <c r="F90" s="6">
        <v>26478.98</v>
      </c>
      <c r="G90" t="s">
        <v>2660</v>
      </c>
    </row>
    <row r="91" spans="1:7" hidden="1" x14ac:dyDescent="0.3">
      <c r="A91" s="5">
        <v>45422</v>
      </c>
      <c r="B91" t="s">
        <v>9</v>
      </c>
      <c r="C91" t="s">
        <v>110</v>
      </c>
      <c r="D91" s="6">
        <v>6385.72</v>
      </c>
      <c r="E91" s="6">
        <v>0</v>
      </c>
      <c r="F91" s="6">
        <v>20093.259999999998</v>
      </c>
      <c r="G91" t="s">
        <v>2660</v>
      </c>
    </row>
    <row r="92" spans="1:7" hidden="1" x14ac:dyDescent="0.3">
      <c r="A92" s="5">
        <v>45425</v>
      </c>
      <c r="B92" t="s">
        <v>12</v>
      </c>
      <c r="C92" t="s">
        <v>111</v>
      </c>
      <c r="D92" s="6">
        <v>0</v>
      </c>
      <c r="E92" s="6">
        <v>6536.96</v>
      </c>
      <c r="F92" s="6">
        <v>26630.22</v>
      </c>
      <c r="G92" t="s">
        <v>2660</v>
      </c>
    </row>
    <row r="93" spans="1:7" hidden="1" x14ac:dyDescent="0.3">
      <c r="A93" s="5">
        <v>45425</v>
      </c>
      <c r="B93" t="s">
        <v>9</v>
      </c>
      <c r="C93" t="s">
        <v>112</v>
      </c>
      <c r="D93" s="6">
        <v>676.29</v>
      </c>
      <c r="E93" s="6">
        <v>0</v>
      </c>
      <c r="F93" s="6">
        <v>25953.93</v>
      </c>
      <c r="G93" t="s">
        <v>2660</v>
      </c>
    </row>
    <row r="94" spans="1:7" hidden="1" x14ac:dyDescent="0.3">
      <c r="A94" s="5">
        <v>45425</v>
      </c>
      <c r="B94" t="s">
        <v>9</v>
      </c>
      <c r="C94" t="s">
        <v>113</v>
      </c>
      <c r="D94" s="6">
        <v>9001.43</v>
      </c>
      <c r="E94" s="6">
        <v>0</v>
      </c>
      <c r="F94" s="6">
        <v>16952.5</v>
      </c>
      <c r="G94" t="s">
        <v>2660</v>
      </c>
    </row>
    <row r="95" spans="1:7" hidden="1" x14ac:dyDescent="0.3">
      <c r="A95" s="5">
        <v>45426</v>
      </c>
      <c r="B95" t="s">
        <v>9</v>
      </c>
      <c r="C95" t="s">
        <v>114</v>
      </c>
      <c r="D95" s="6">
        <v>224.56</v>
      </c>
      <c r="E95" s="6">
        <v>0</v>
      </c>
      <c r="F95" s="6">
        <v>16727.939999999999</v>
      </c>
      <c r="G95" t="s">
        <v>2660</v>
      </c>
    </row>
    <row r="96" spans="1:7" hidden="1" x14ac:dyDescent="0.3">
      <c r="A96" s="5">
        <v>45427</v>
      </c>
      <c r="B96" t="s">
        <v>12</v>
      </c>
      <c r="C96" t="s">
        <v>115</v>
      </c>
      <c r="D96" s="6">
        <v>0</v>
      </c>
      <c r="E96" s="6">
        <v>3855.67</v>
      </c>
      <c r="F96" s="6">
        <v>20583.61</v>
      </c>
      <c r="G96" t="s">
        <v>2660</v>
      </c>
    </row>
    <row r="97" spans="1:7" hidden="1" x14ac:dyDescent="0.3">
      <c r="A97" s="5">
        <v>45427</v>
      </c>
      <c r="B97" t="s">
        <v>12</v>
      </c>
      <c r="C97" t="s">
        <v>116</v>
      </c>
      <c r="D97" s="6">
        <v>0</v>
      </c>
      <c r="E97" s="6">
        <v>129918.32</v>
      </c>
      <c r="F97" s="6">
        <v>150501.93</v>
      </c>
      <c r="G97" t="s">
        <v>2660</v>
      </c>
    </row>
    <row r="98" spans="1:7" hidden="1" x14ac:dyDescent="0.3">
      <c r="A98" s="5">
        <v>45427</v>
      </c>
      <c r="B98" t="s">
        <v>31</v>
      </c>
      <c r="C98" t="s">
        <v>117</v>
      </c>
      <c r="D98" s="6">
        <v>10000</v>
      </c>
      <c r="E98" s="6">
        <v>0</v>
      </c>
      <c r="F98" s="6">
        <v>140501.93</v>
      </c>
      <c r="G98" t="s">
        <v>33</v>
      </c>
    </row>
    <row r="99" spans="1:7" hidden="1" x14ac:dyDescent="0.3">
      <c r="A99" s="5">
        <v>45427</v>
      </c>
      <c r="B99" t="s">
        <v>9</v>
      </c>
      <c r="C99" t="s">
        <v>118</v>
      </c>
      <c r="D99" s="6">
        <v>240.49</v>
      </c>
      <c r="E99" s="6">
        <v>0</v>
      </c>
      <c r="F99" s="6">
        <v>140261.44</v>
      </c>
      <c r="G99" t="s">
        <v>2660</v>
      </c>
    </row>
    <row r="100" spans="1:7" hidden="1" x14ac:dyDescent="0.3">
      <c r="A100" s="5">
        <v>45427</v>
      </c>
      <c r="B100" t="s">
        <v>9</v>
      </c>
      <c r="C100" t="s">
        <v>119</v>
      </c>
      <c r="D100" s="6">
        <v>28406.51</v>
      </c>
      <c r="E100" s="6">
        <v>0</v>
      </c>
      <c r="F100" s="6">
        <v>111854.93</v>
      </c>
      <c r="G100" t="s">
        <v>2660</v>
      </c>
    </row>
    <row r="101" spans="1:7" hidden="1" x14ac:dyDescent="0.3">
      <c r="A101" s="5">
        <v>45428</v>
      </c>
      <c r="B101" t="s">
        <v>12</v>
      </c>
      <c r="C101" t="s">
        <v>120</v>
      </c>
      <c r="D101" s="6">
        <v>0</v>
      </c>
      <c r="E101" s="6">
        <v>474.78</v>
      </c>
      <c r="F101" s="6">
        <v>112329.71</v>
      </c>
      <c r="G101" t="s">
        <v>2660</v>
      </c>
    </row>
    <row r="102" spans="1:7" hidden="1" x14ac:dyDescent="0.3">
      <c r="A102" s="5">
        <v>45428</v>
      </c>
      <c r="B102" t="s">
        <v>121</v>
      </c>
      <c r="C102" t="s">
        <v>122</v>
      </c>
      <c r="D102" s="6">
        <v>0</v>
      </c>
      <c r="E102" s="6">
        <v>2000</v>
      </c>
      <c r="F102" s="6">
        <v>114329.71</v>
      </c>
      <c r="G102" t="s">
        <v>123</v>
      </c>
    </row>
    <row r="103" spans="1:7" hidden="1" x14ac:dyDescent="0.3">
      <c r="A103" s="5">
        <v>45428</v>
      </c>
      <c r="B103" t="s">
        <v>9</v>
      </c>
      <c r="C103" t="s">
        <v>124</v>
      </c>
      <c r="D103" s="6">
        <v>241.86</v>
      </c>
      <c r="E103" s="6">
        <v>0</v>
      </c>
      <c r="F103" s="6">
        <v>114087.85</v>
      </c>
      <c r="G103" t="s">
        <v>2660</v>
      </c>
    </row>
    <row r="104" spans="1:7" hidden="1" x14ac:dyDescent="0.3">
      <c r="A104" s="5">
        <v>45428</v>
      </c>
      <c r="B104" t="s">
        <v>9</v>
      </c>
      <c r="C104" t="s">
        <v>125</v>
      </c>
      <c r="D104" s="6">
        <v>89532.81</v>
      </c>
      <c r="E104" s="6">
        <v>0</v>
      </c>
      <c r="F104" s="6">
        <v>24555.040000000001</v>
      </c>
      <c r="G104" t="s">
        <v>2660</v>
      </c>
    </row>
    <row r="105" spans="1:7" hidden="1" x14ac:dyDescent="0.3">
      <c r="A105" s="5">
        <v>45429</v>
      </c>
      <c r="B105" t="s">
        <v>9</v>
      </c>
      <c r="C105" t="s">
        <v>126</v>
      </c>
      <c r="D105" s="6">
        <v>214.59</v>
      </c>
      <c r="E105" s="6">
        <v>0</v>
      </c>
      <c r="F105" s="6">
        <v>24340.45</v>
      </c>
      <c r="G105" t="s">
        <v>2660</v>
      </c>
    </row>
    <row r="106" spans="1:7" hidden="1" x14ac:dyDescent="0.3">
      <c r="A106" s="5">
        <v>45430</v>
      </c>
      <c r="B106" t="s">
        <v>127</v>
      </c>
      <c r="C106" t="s">
        <v>128</v>
      </c>
      <c r="D106" s="6">
        <v>0</v>
      </c>
      <c r="E106" s="6">
        <v>129.43</v>
      </c>
      <c r="F106" s="6">
        <v>24469.88</v>
      </c>
      <c r="G106" t="s">
        <v>83</v>
      </c>
    </row>
    <row r="107" spans="1:7" hidden="1" x14ac:dyDescent="0.3">
      <c r="A107" s="5">
        <v>45430</v>
      </c>
      <c r="B107" t="s">
        <v>9</v>
      </c>
      <c r="C107" t="s">
        <v>129</v>
      </c>
      <c r="D107" s="6">
        <v>1542.46</v>
      </c>
      <c r="E107" s="6">
        <v>0</v>
      </c>
      <c r="F107" s="6">
        <v>22927.42</v>
      </c>
      <c r="G107" t="s">
        <v>2660</v>
      </c>
    </row>
    <row r="108" spans="1:7" hidden="1" x14ac:dyDescent="0.3">
      <c r="A108" s="5">
        <v>45433</v>
      </c>
      <c r="B108" t="s">
        <v>31</v>
      </c>
      <c r="C108" t="s">
        <v>130</v>
      </c>
      <c r="D108" s="6">
        <v>10000</v>
      </c>
      <c r="E108" s="6">
        <v>0</v>
      </c>
      <c r="F108" s="6">
        <v>12927.42</v>
      </c>
      <c r="G108" t="s">
        <v>33</v>
      </c>
    </row>
    <row r="109" spans="1:7" hidden="1" x14ac:dyDescent="0.3">
      <c r="A109" s="5">
        <v>45433</v>
      </c>
      <c r="B109" t="s">
        <v>9</v>
      </c>
      <c r="C109" t="s">
        <v>131</v>
      </c>
      <c r="D109" s="6">
        <v>706.53</v>
      </c>
      <c r="E109" s="6">
        <v>0</v>
      </c>
      <c r="F109" s="6">
        <v>12220.89</v>
      </c>
      <c r="G109" t="s">
        <v>2660</v>
      </c>
    </row>
    <row r="110" spans="1:7" hidden="1" x14ac:dyDescent="0.3">
      <c r="A110" s="5">
        <v>45433</v>
      </c>
      <c r="B110" t="s">
        <v>9</v>
      </c>
      <c r="C110" t="s">
        <v>132</v>
      </c>
      <c r="D110" s="6">
        <v>1271.6099999999999</v>
      </c>
      <c r="E110" s="6">
        <v>0</v>
      </c>
      <c r="F110" s="6">
        <v>10949.28</v>
      </c>
      <c r="G110" t="s">
        <v>2660</v>
      </c>
    </row>
    <row r="111" spans="1:7" hidden="1" x14ac:dyDescent="0.3">
      <c r="A111" s="5">
        <v>45434</v>
      </c>
      <c r="B111" t="s">
        <v>12</v>
      </c>
      <c r="C111" t="s">
        <v>133</v>
      </c>
      <c r="D111" s="6">
        <v>0</v>
      </c>
      <c r="E111" s="6">
        <v>50446.59</v>
      </c>
      <c r="F111" s="6">
        <v>61395.87</v>
      </c>
      <c r="G111" t="s">
        <v>2660</v>
      </c>
    </row>
    <row r="112" spans="1:7" hidden="1" x14ac:dyDescent="0.3">
      <c r="A112" s="5">
        <v>45434</v>
      </c>
      <c r="B112" t="s">
        <v>9</v>
      </c>
      <c r="C112" t="s">
        <v>134</v>
      </c>
      <c r="D112" s="6">
        <v>235.06</v>
      </c>
      <c r="E112" s="6">
        <v>0</v>
      </c>
      <c r="F112" s="6">
        <v>61160.81</v>
      </c>
      <c r="G112" t="s">
        <v>2660</v>
      </c>
    </row>
    <row r="113" spans="1:7" hidden="1" x14ac:dyDescent="0.3">
      <c r="A113" s="5">
        <v>45434</v>
      </c>
      <c r="B113" t="s">
        <v>9</v>
      </c>
      <c r="C113" t="s">
        <v>135</v>
      </c>
      <c r="D113" s="6">
        <v>2387.59</v>
      </c>
      <c r="E113" s="6">
        <v>0</v>
      </c>
      <c r="F113" s="6">
        <v>58773.22</v>
      </c>
      <c r="G113" t="s">
        <v>2660</v>
      </c>
    </row>
    <row r="114" spans="1:7" hidden="1" x14ac:dyDescent="0.3">
      <c r="A114" s="5">
        <v>45435</v>
      </c>
      <c r="B114" t="s">
        <v>136</v>
      </c>
      <c r="C114" t="s">
        <v>137</v>
      </c>
      <c r="D114" s="6">
        <v>16.04</v>
      </c>
      <c r="E114" s="6">
        <v>0</v>
      </c>
      <c r="F114" s="6">
        <v>58757.18</v>
      </c>
      <c r="G114" t="s">
        <v>89</v>
      </c>
    </row>
    <row r="115" spans="1:7" hidden="1" x14ac:dyDescent="0.3">
      <c r="A115" s="5">
        <v>45435</v>
      </c>
      <c r="B115" t="s">
        <v>9</v>
      </c>
      <c r="C115" t="s">
        <v>138</v>
      </c>
      <c r="D115" s="6">
        <v>234.21</v>
      </c>
      <c r="E115" s="6">
        <v>0</v>
      </c>
      <c r="F115" s="6">
        <v>58522.97</v>
      </c>
      <c r="G115" t="s">
        <v>2660</v>
      </c>
    </row>
    <row r="116" spans="1:7" hidden="1" x14ac:dyDescent="0.3">
      <c r="A116" s="5">
        <v>45435</v>
      </c>
      <c r="B116" t="s">
        <v>9</v>
      </c>
      <c r="C116" t="s">
        <v>139</v>
      </c>
      <c r="D116" s="6">
        <v>234.21</v>
      </c>
      <c r="E116" s="6">
        <v>0</v>
      </c>
      <c r="F116" s="6">
        <v>58288.76</v>
      </c>
      <c r="G116" t="s">
        <v>2660</v>
      </c>
    </row>
    <row r="117" spans="1:7" hidden="1" x14ac:dyDescent="0.3">
      <c r="A117" s="5">
        <v>45436</v>
      </c>
      <c r="B117" t="s">
        <v>12</v>
      </c>
      <c r="C117" t="s">
        <v>140</v>
      </c>
      <c r="D117" s="6">
        <v>0</v>
      </c>
      <c r="E117" s="6">
        <v>17480.43</v>
      </c>
      <c r="F117" s="6">
        <v>75769.19</v>
      </c>
      <c r="G117" t="s">
        <v>2660</v>
      </c>
    </row>
    <row r="118" spans="1:7" hidden="1" x14ac:dyDescent="0.3">
      <c r="A118" s="5">
        <v>45436</v>
      </c>
      <c r="B118" t="s">
        <v>12</v>
      </c>
      <c r="C118" t="s">
        <v>141</v>
      </c>
      <c r="D118" s="6">
        <v>0</v>
      </c>
      <c r="E118" s="6">
        <v>76406.78</v>
      </c>
      <c r="F118" s="6">
        <v>152175.97</v>
      </c>
      <c r="G118" t="s">
        <v>2660</v>
      </c>
    </row>
    <row r="119" spans="1:7" hidden="1" x14ac:dyDescent="0.3">
      <c r="A119" s="5">
        <v>45436</v>
      </c>
      <c r="B119" t="s">
        <v>9</v>
      </c>
      <c r="C119" t="s">
        <v>142</v>
      </c>
      <c r="D119" s="6">
        <v>234.21</v>
      </c>
      <c r="E119" s="6">
        <v>0</v>
      </c>
      <c r="F119" s="6">
        <v>151941.76000000001</v>
      </c>
      <c r="G119" t="s">
        <v>2660</v>
      </c>
    </row>
    <row r="120" spans="1:7" hidden="1" x14ac:dyDescent="0.3">
      <c r="A120" s="5">
        <v>45436</v>
      </c>
      <c r="B120" t="s">
        <v>143</v>
      </c>
      <c r="C120" t="s">
        <v>144</v>
      </c>
      <c r="D120" s="6">
        <v>0</v>
      </c>
      <c r="E120" s="6">
        <v>702</v>
      </c>
      <c r="F120" s="6">
        <v>152643.76</v>
      </c>
      <c r="G120" t="s">
        <v>145</v>
      </c>
    </row>
    <row r="121" spans="1:7" hidden="1" x14ac:dyDescent="0.3">
      <c r="A121" s="5">
        <v>45437</v>
      </c>
      <c r="B121" t="s">
        <v>9</v>
      </c>
      <c r="C121" t="s">
        <v>146</v>
      </c>
      <c r="D121" s="6">
        <v>1664.51</v>
      </c>
      <c r="E121" s="6">
        <v>0</v>
      </c>
      <c r="F121" s="6">
        <v>150979.25</v>
      </c>
      <c r="G121" t="s">
        <v>2660</v>
      </c>
    </row>
    <row r="122" spans="1:7" hidden="1" x14ac:dyDescent="0.3">
      <c r="A122" s="5">
        <v>45439</v>
      </c>
      <c r="B122" t="s">
        <v>9</v>
      </c>
      <c r="C122" t="s">
        <v>147</v>
      </c>
      <c r="D122" s="6">
        <v>671.25</v>
      </c>
      <c r="E122" s="6">
        <v>0</v>
      </c>
      <c r="F122" s="6">
        <v>150308</v>
      </c>
      <c r="G122" t="s">
        <v>2660</v>
      </c>
    </row>
    <row r="123" spans="1:7" hidden="1" x14ac:dyDescent="0.3">
      <c r="A123" s="5">
        <v>45440</v>
      </c>
      <c r="B123" t="s">
        <v>12</v>
      </c>
      <c r="C123" t="s">
        <v>148</v>
      </c>
      <c r="D123" s="6">
        <v>0</v>
      </c>
      <c r="E123" s="6">
        <v>20447.52</v>
      </c>
      <c r="F123" s="6">
        <v>170755.52</v>
      </c>
      <c r="G123" t="s">
        <v>2660</v>
      </c>
    </row>
    <row r="124" spans="1:7" hidden="1" x14ac:dyDescent="0.3">
      <c r="A124" s="5">
        <v>45440</v>
      </c>
      <c r="B124" t="s">
        <v>12</v>
      </c>
      <c r="C124" t="s">
        <v>149</v>
      </c>
      <c r="D124" s="6">
        <v>0</v>
      </c>
      <c r="E124" s="6">
        <v>13004.02</v>
      </c>
      <c r="F124" s="6">
        <v>183759.54</v>
      </c>
      <c r="G124" t="s">
        <v>2660</v>
      </c>
    </row>
    <row r="125" spans="1:7" hidden="1" x14ac:dyDescent="0.3">
      <c r="A125" s="5">
        <v>45440</v>
      </c>
      <c r="B125" t="s">
        <v>9</v>
      </c>
      <c r="C125" t="s">
        <v>150</v>
      </c>
      <c r="D125" s="6">
        <v>223.75</v>
      </c>
      <c r="E125" s="6">
        <v>0</v>
      </c>
      <c r="F125" s="6">
        <v>183535.79</v>
      </c>
      <c r="G125" t="s">
        <v>2660</v>
      </c>
    </row>
    <row r="126" spans="1:7" hidden="1" x14ac:dyDescent="0.3">
      <c r="A126" s="5">
        <v>45441</v>
      </c>
      <c r="B126" t="s">
        <v>12</v>
      </c>
      <c r="C126" t="s">
        <v>151</v>
      </c>
      <c r="D126" s="6">
        <v>0</v>
      </c>
      <c r="E126" s="6">
        <v>4447.62</v>
      </c>
      <c r="F126" s="6">
        <v>187983.41</v>
      </c>
      <c r="G126" t="s">
        <v>2660</v>
      </c>
    </row>
    <row r="127" spans="1:7" hidden="1" x14ac:dyDescent="0.3">
      <c r="A127" s="5">
        <v>45441</v>
      </c>
      <c r="B127" t="s">
        <v>9</v>
      </c>
      <c r="C127" t="s">
        <v>152</v>
      </c>
      <c r="D127" s="6">
        <v>212.03</v>
      </c>
      <c r="E127" s="6">
        <v>0</v>
      </c>
      <c r="F127" s="6">
        <v>187771.38</v>
      </c>
      <c r="G127" t="s">
        <v>2660</v>
      </c>
    </row>
    <row r="128" spans="1:7" hidden="1" x14ac:dyDescent="0.3">
      <c r="A128" s="5">
        <v>45441</v>
      </c>
      <c r="B128" t="s">
        <v>9</v>
      </c>
      <c r="C128" t="s">
        <v>153</v>
      </c>
      <c r="D128" s="6">
        <v>8834.81</v>
      </c>
      <c r="E128" s="6">
        <v>0</v>
      </c>
      <c r="F128" s="6">
        <v>178936.57</v>
      </c>
      <c r="G128" t="s">
        <v>2660</v>
      </c>
    </row>
    <row r="129" spans="1:7" hidden="1" x14ac:dyDescent="0.3">
      <c r="A129" s="5">
        <v>45441</v>
      </c>
      <c r="B129" t="s">
        <v>9</v>
      </c>
      <c r="C129" t="s">
        <v>154</v>
      </c>
      <c r="D129" s="6">
        <v>361.65</v>
      </c>
      <c r="E129" s="6">
        <v>0</v>
      </c>
      <c r="F129" s="6">
        <v>178574.92</v>
      </c>
      <c r="G129" t="s">
        <v>2660</v>
      </c>
    </row>
    <row r="130" spans="1:7" hidden="1" x14ac:dyDescent="0.3">
      <c r="A130" s="5">
        <v>45442</v>
      </c>
      <c r="B130" t="s">
        <v>9</v>
      </c>
      <c r="C130" t="s">
        <v>155</v>
      </c>
      <c r="D130" s="6">
        <v>222.53</v>
      </c>
      <c r="E130" s="6">
        <v>0</v>
      </c>
      <c r="F130" s="6">
        <v>178352.39</v>
      </c>
      <c r="G130" t="s">
        <v>2660</v>
      </c>
    </row>
    <row r="131" spans="1:7" hidden="1" x14ac:dyDescent="0.3">
      <c r="A131" s="5">
        <v>45442</v>
      </c>
      <c r="B131" t="s">
        <v>9</v>
      </c>
      <c r="C131" t="s">
        <v>156</v>
      </c>
      <c r="D131" s="6">
        <v>46179.82</v>
      </c>
      <c r="E131" s="6">
        <v>0</v>
      </c>
      <c r="F131" s="6">
        <v>132172.57</v>
      </c>
      <c r="G131" t="s">
        <v>2660</v>
      </c>
    </row>
    <row r="132" spans="1:7" hidden="1" x14ac:dyDescent="0.3">
      <c r="A132" s="5">
        <v>45442</v>
      </c>
      <c r="B132" t="s">
        <v>9</v>
      </c>
      <c r="C132" t="s">
        <v>157</v>
      </c>
      <c r="D132" s="6">
        <v>34142.21</v>
      </c>
      <c r="E132" s="6">
        <v>0</v>
      </c>
      <c r="F132" s="6">
        <v>98030.36</v>
      </c>
      <c r="G132" t="s">
        <v>2660</v>
      </c>
    </row>
    <row r="133" spans="1:7" hidden="1" x14ac:dyDescent="0.3">
      <c r="A133" s="5">
        <v>45443</v>
      </c>
      <c r="B133" t="s">
        <v>9</v>
      </c>
      <c r="C133" t="s">
        <v>158</v>
      </c>
      <c r="D133" s="6">
        <v>210.37</v>
      </c>
      <c r="E133" s="6">
        <v>0</v>
      </c>
      <c r="F133" s="6">
        <v>97819.99</v>
      </c>
      <c r="G133" t="s">
        <v>2660</v>
      </c>
    </row>
    <row r="134" spans="1:7" hidden="1" x14ac:dyDescent="0.3">
      <c r="A134" s="5">
        <v>45443</v>
      </c>
      <c r="B134" t="s">
        <v>9</v>
      </c>
      <c r="C134" t="s">
        <v>159</v>
      </c>
      <c r="D134" s="6">
        <v>47962.91</v>
      </c>
      <c r="E134" s="6">
        <v>0</v>
      </c>
      <c r="F134" s="6">
        <v>49857.08</v>
      </c>
      <c r="G134" t="s">
        <v>2660</v>
      </c>
    </row>
    <row r="135" spans="1:7" hidden="1" x14ac:dyDescent="0.3">
      <c r="A135" s="5">
        <v>45443</v>
      </c>
      <c r="B135" t="s">
        <v>9</v>
      </c>
      <c r="C135" t="s">
        <v>160</v>
      </c>
      <c r="D135" s="6">
        <v>24526.1</v>
      </c>
      <c r="E135" s="6">
        <v>0</v>
      </c>
      <c r="F135" s="6">
        <v>25330.98</v>
      </c>
      <c r="G135" t="s">
        <v>2660</v>
      </c>
    </row>
    <row r="136" spans="1:7" hidden="1" x14ac:dyDescent="0.3">
      <c r="A136" s="5">
        <v>45444</v>
      </c>
      <c r="B136" t="s">
        <v>161</v>
      </c>
      <c r="C136" t="s">
        <v>162</v>
      </c>
      <c r="D136" s="6">
        <v>0</v>
      </c>
      <c r="E136" s="6">
        <v>75000</v>
      </c>
      <c r="F136" s="6">
        <v>100330.98</v>
      </c>
      <c r="G136" t="s">
        <v>163</v>
      </c>
    </row>
    <row r="137" spans="1:7" hidden="1" x14ac:dyDescent="0.3">
      <c r="A137" s="5">
        <v>45445</v>
      </c>
      <c r="B137" t="s">
        <v>164</v>
      </c>
      <c r="C137" t="s">
        <v>165</v>
      </c>
      <c r="D137" s="6">
        <v>500</v>
      </c>
      <c r="E137" s="6">
        <v>0</v>
      </c>
      <c r="F137" s="6">
        <v>99830.98</v>
      </c>
      <c r="G137" t="s">
        <v>123</v>
      </c>
    </row>
    <row r="138" spans="1:7" hidden="1" x14ac:dyDescent="0.3">
      <c r="A138" s="5">
        <v>45446</v>
      </c>
      <c r="B138" t="s">
        <v>9</v>
      </c>
      <c r="C138" t="s">
        <v>166</v>
      </c>
      <c r="D138" s="6">
        <v>695.67</v>
      </c>
      <c r="E138" s="6">
        <v>0</v>
      </c>
      <c r="F138" s="6">
        <v>99135.31</v>
      </c>
      <c r="G138" t="s">
        <v>2660</v>
      </c>
    </row>
    <row r="139" spans="1:7" hidden="1" x14ac:dyDescent="0.3">
      <c r="A139" s="5">
        <v>45447</v>
      </c>
      <c r="B139" t="s">
        <v>12</v>
      </c>
      <c r="C139" t="s">
        <v>167</v>
      </c>
      <c r="D139" s="6">
        <v>0</v>
      </c>
      <c r="E139" s="6">
        <v>8878.06</v>
      </c>
      <c r="F139" s="6">
        <v>108013.37</v>
      </c>
      <c r="G139" t="s">
        <v>2660</v>
      </c>
    </row>
    <row r="140" spans="1:7" hidden="1" x14ac:dyDescent="0.3">
      <c r="A140" s="5">
        <v>45447</v>
      </c>
      <c r="B140" t="s">
        <v>9</v>
      </c>
      <c r="C140" t="s">
        <v>168</v>
      </c>
      <c r="D140" s="6">
        <v>265.14</v>
      </c>
      <c r="E140" s="6">
        <v>0</v>
      </c>
      <c r="F140" s="6">
        <v>107748.23</v>
      </c>
      <c r="G140" t="s">
        <v>2660</v>
      </c>
    </row>
    <row r="141" spans="1:7" hidden="1" x14ac:dyDescent="0.3">
      <c r="A141" s="5">
        <v>45447</v>
      </c>
      <c r="B141" t="s">
        <v>9</v>
      </c>
      <c r="C141" t="s">
        <v>169</v>
      </c>
      <c r="D141" s="6">
        <v>37486.519999999997</v>
      </c>
      <c r="E141" s="6">
        <v>0</v>
      </c>
      <c r="F141" s="6">
        <v>70261.710000000006</v>
      </c>
      <c r="G141" t="s">
        <v>2660</v>
      </c>
    </row>
    <row r="142" spans="1:7" hidden="1" x14ac:dyDescent="0.3">
      <c r="A142" s="5">
        <v>45448</v>
      </c>
      <c r="B142" t="s">
        <v>170</v>
      </c>
      <c r="C142" t="s">
        <v>171</v>
      </c>
      <c r="D142" s="6">
        <v>20000</v>
      </c>
      <c r="E142" s="6">
        <v>0</v>
      </c>
      <c r="F142" s="6">
        <v>50261.71</v>
      </c>
      <c r="G142" t="s">
        <v>172</v>
      </c>
    </row>
    <row r="143" spans="1:7" hidden="1" x14ac:dyDescent="0.3">
      <c r="A143" s="5">
        <v>45448</v>
      </c>
      <c r="B143" t="s">
        <v>9</v>
      </c>
      <c r="C143" t="s">
        <v>173</v>
      </c>
      <c r="D143" s="6">
        <v>254.95</v>
      </c>
      <c r="E143" s="6">
        <v>0</v>
      </c>
      <c r="F143" s="6">
        <v>50006.76</v>
      </c>
      <c r="G143" t="s">
        <v>2660</v>
      </c>
    </row>
    <row r="144" spans="1:7" hidden="1" x14ac:dyDescent="0.3">
      <c r="A144" s="5">
        <v>45449</v>
      </c>
      <c r="B144" t="s">
        <v>12</v>
      </c>
      <c r="C144" t="s">
        <v>174</v>
      </c>
      <c r="D144" s="6">
        <v>0</v>
      </c>
      <c r="E144" s="6">
        <v>23230.15</v>
      </c>
      <c r="F144" s="6">
        <v>73236.91</v>
      </c>
      <c r="G144" t="s">
        <v>2660</v>
      </c>
    </row>
    <row r="145" spans="1:7" hidden="1" x14ac:dyDescent="0.3">
      <c r="A145" s="5">
        <v>45449</v>
      </c>
      <c r="B145" t="s">
        <v>9</v>
      </c>
      <c r="C145" t="s">
        <v>175</v>
      </c>
      <c r="D145" s="6">
        <v>254.95</v>
      </c>
      <c r="E145" s="6">
        <v>0</v>
      </c>
      <c r="F145" s="6">
        <v>72981.960000000006</v>
      </c>
      <c r="G145" t="s">
        <v>2660</v>
      </c>
    </row>
    <row r="146" spans="1:7" hidden="1" x14ac:dyDescent="0.3">
      <c r="A146" s="5">
        <v>45450</v>
      </c>
      <c r="B146" t="s">
        <v>12</v>
      </c>
      <c r="C146" t="s">
        <v>176</v>
      </c>
      <c r="D146" s="6">
        <v>0</v>
      </c>
      <c r="E146" s="6">
        <v>1694.55</v>
      </c>
      <c r="F146" s="6">
        <v>74676.509999999995</v>
      </c>
      <c r="G146" t="s">
        <v>2660</v>
      </c>
    </row>
    <row r="147" spans="1:7" hidden="1" x14ac:dyDescent="0.3">
      <c r="A147" s="5">
        <v>45450</v>
      </c>
      <c r="B147" t="s">
        <v>9</v>
      </c>
      <c r="C147" t="s">
        <v>177</v>
      </c>
      <c r="D147" s="6">
        <v>263.22000000000003</v>
      </c>
      <c r="E147" s="6">
        <v>0</v>
      </c>
      <c r="F147" s="6">
        <v>74413.289999999994</v>
      </c>
      <c r="G147" t="s">
        <v>2660</v>
      </c>
    </row>
    <row r="148" spans="1:7" hidden="1" x14ac:dyDescent="0.3">
      <c r="A148" s="5">
        <v>45450</v>
      </c>
      <c r="B148" t="s">
        <v>9</v>
      </c>
      <c r="C148" t="s">
        <v>178</v>
      </c>
      <c r="D148" s="6">
        <v>15453.51</v>
      </c>
      <c r="E148" s="6">
        <v>0</v>
      </c>
      <c r="F148" s="6">
        <v>58959.78</v>
      </c>
      <c r="G148" t="s">
        <v>2660</v>
      </c>
    </row>
    <row r="149" spans="1:7" hidden="1" x14ac:dyDescent="0.3">
      <c r="A149" s="5">
        <v>45452</v>
      </c>
      <c r="B149" t="s">
        <v>179</v>
      </c>
      <c r="C149" t="s">
        <v>180</v>
      </c>
      <c r="D149" s="6">
        <v>0</v>
      </c>
      <c r="E149" s="6">
        <v>20000</v>
      </c>
      <c r="F149" s="6">
        <v>78959.78</v>
      </c>
      <c r="G149" t="s">
        <v>62</v>
      </c>
    </row>
    <row r="150" spans="1:7" hidden="1" x14ac:dyDescent="0.3">
      <c r="A150" s="5">
        <v>45453</v>
      </c>
      <c r="B150" t="s">
        <v>12</v>
      </c>
      <c r="C150" t="s">
        <v>181</v>
      </c>
      <c r="D150" s="6">
        <v>0</v>
      </c>
      <c r="E150" s="6">
        <v>3864.51</v>
      </c>
      <c r="F150" s="6">
        <v>82824.289999999994</v>
      </c>
      <c r="G150" t="s">
        <v>2660</v>
      </c>
    </row>
    <row r="151" spans="1:7" hidden="1" x14ac:dyDescent="0.3">
      <c r="A151" s="5">
        <v>45453</v>
      </c>
      <c r="B151" t="s">
        <v>31</v>
      </c>
      <c r="C151" t="s">
        <v>182</v>
      </c>
      <c r="D151" s="6">
        <v>10000</v>
      </c>
      <c r="E151" s="6">
        <v>0</v>
      </c>
      <c r="F151" s="6">
        <v>72824.289999999994</v>
      </c>
      <c r="G151" t="s">
        <v>33</v>
      </c>
    </row>
    <row r="152" spans="1:7" hidden="1" x14ac:dyDescent="0.3">
      <c r="A152" s="5">
        <v>45453</v>
      </c>
      <c r="B152" t="s">
        <v>9</v>
      </c>
      <c r="C152" t="s">
        <v>183</v>
      </c>
      <c r="D152" s="6">
        <v>774.96</v>
      </c>
      <c r="E152" s="6">
        <v>0</v>
      </c>
      <c r="F152" s="6">
        <v>72049.33</v>
      </c>
      <c r="G152" t="s">
        <v>2660</v>
      </c>
    </row>
    <row r="153" spans="1:7" hidden="1" x14ac:dyDescent="0.3">
      <c r="A153" s="5">
        <v>45453</v>
      </c>
      <c r="B153" t="s">
        <v>9</v>
      </c>
      <c r="C153" t="s">
        <v>184</v>
      </c>
      <c r="D153" s="6">
        <v>12095.28</v>
      </c>
      <c r="E153" s="6">
        <v>0</v>
      </c>
      <c r="F153" s="6">
        <v>59954.05</v>
      </c>
      <c r="G153" t="s">
        <v>2660</v>
      </c>
    </row>
    <row r="154" spans="1:7" hidden="1" x14ac:dyDescent="0.3">
      <c r="A154" s="5">
        <v>45454</v>
      </c>
      <c r="B154" t="s">
        <v>12</v>
      </c>
      <c r="C154" t="s">
        <v>185</v>
      </c>
      <c r="D154" s="6">
        <v>0</v>
      </c>
      <c r="E154" s="6">
        <v>29881.84</v>
      </c>
      <c r="F154" s="6">
        <v>89835.89</v>
      </c>
      <c r="G154" t="s">
        <v>2660</v>
      </c>
    </row>
    <row r="155" spans="1:7" hidden="1" x14ac:dyDescent="0.3">
      <c r="A155" s="5">
        <v>45454</v>
      </c>
      <c r="B155" t="s">
        <v>9</v>
      </c>
      <c r="C155" t="s">
        <v>186</v>
      </c>
      <c r="D155" s="6">
        <v>238.51</v>
      </c>
      <c r="E155" s="6">
        <v>0</v>
      </c>
      <c r="F155" s="6">
        <v>89597.38</v>
      </c>
      <c r="G155" t="s">
        <v>2660</v>
      </c>
    </row>
    <row r="156" spans="1:7" hidden="1" x14ac:dyDescent="0.3">
      <c r="A156" s="5">
        <v>45454</v>
      </c>
      <c r="B156" t="s">
        <v>9</v>
      </c>
      <c r="C156" t="s">
        <v>187</v>
      </c>
      <c r="D156" s="6">
        <v>55815.37</v>
      </c>
      <c r="E156" s="6">
        <v>0</v>
      </c>
      <c r="F156" s="6">
        <v>33782.01</v>
      </c>
      <c r="G156" t="s">
        <v>2660</v>
      </c>
    </row>
    <row r="157" spans="1:7" hidden="1" x14ac:dyDescent="0.3">
      <c r="A157" s="5">
        <v>45455</v>
      </c>
      <c r="B157" t="s">
        <v>9</v>
      </c>
      <c r="C157" t="s">
        <v>188</v>
      </c>
      <c r="D157" s="6">
        <v>218.63</v>
      </c>
      <c r="E157" s="6">
        <v>0</v>
      </c>
      <c r="F157" s="6">
        <v>33563.379999999997</v>
      </c>
      <c r="G157" t="s">
        <v>2660</v>
      </c>
    </row>
    <row r="158" spans="1:7" hidden="1" x14ac:dyDescent="0.3">
      <c r="A158" s="5">
        <v>45455</v>
      </c>
      <c r="B158" t="s">
        <v>9</v>
      </c>
      <c r="C158" t="s">
        <v>189</v>
      </c>
      <c r="D158" s="6">
        <v>863.32</v>
      </c>
      <c r="E158" s="6">
        <v>0</v>
      </c>
      <c r="F158" s="6">
        <v>32700.06</v>
      </c>
      <c r="G158" t="s">
        <v>2660</v>
      </c>
    </row>
    <row r="159" spans="1:7" hidden="1" x14ac:dyDescent="0.3">
      <c r="A159" s="5">
        <v>45456</v>
      </c>
      <c r="B159" t="s">
        <v>12</v>
      </c>
      <c r="C159" t="s">
        <v>190</v>
      </c>
      <c r="D159" s="6">
        <v>0</v>
      </c>
      <c r="E159" s="6">
        <v>97879.6</v>
      </c>
      <c r="F159" s="6">
        <v>130579.66</v>
      </c>
      <c r="G159" t="s">
        <v>2660</v>
      </c>
    </row>
    <row r="160" spans="1:7" hidden="1" x14ac:dyDescent="0.3">
      <c r="A160" s="5">
        <v>45456</v>
      </c>
      <c r="B160" t="s">
        <v>191</v>
      </c>
      <c r="C160" t="s">
        <v>192</v>
      </c>
      <c r="D160" s="6">
        <v>50000</v>
      </c>
      <c r="E160" s="6">
        <v>0</v>
      </c>
      <c r="F160" s="6">
        <v>80579.66</v>
      </c>
      <c r="G160" t="s">
        <v>193</v>
      </c>
    </row>
    <row r="161" spans="1:7" hidden="1" x14ac:dyDescent="0.3">
      <c r="A161" s="5">
        <v>45456</v>
      </c>
      <c r="B161" t="s">
        <v>9</v>
      </c>
      <c r="C161" t="s">
        <v>194</v>
      </c>
      <c r="D161" s="6">
        <v>262.87</v>
      </c>
      <c r="E161" s="6">
        <v>0</v>
      </c>
      <c r="F161" s="6">
        <v>80316.789999999994</v>
      </c>
      <c r="G161" t="s">
        <v>2660</v>
      </c>
    </row>
    <row r="162" spans="1:7" hidden="1" x14ac:dyDescent="0.3">
      <c r="A162" s="5">
        <v>45457</v>
      </c>
      <c r="B162" t="s">
        <v>12</v>
      </c>
      <c r="C162" t="s">
        <v>195</v>
      </c>
      <c r="D162" s="6">
        <v>0</v>
      </c>
      <c r="E162" s="6">
        <v>12208.08</v>
      </c>
      <c r="F162" s="6">
        <v>92524.87</v>
      </c>
      <c r="G162" t="s">
        <v>2660</v>
      </c>
    </row>
    <row r="163" spans="1:7" hidden="1" x14ac:dyDescent="0.3">
      <c r="A163" s="5">
        <v>45457</v>
      </c>
      <c r="B163" t="s">
        <v>12</v>
      </c>
      <c r="C163" t="s">
        <v>196</v>
      </c>
      <c r="D163" s="6">
        <v>0</v>
      </c>
      <c r="E163" s="6">
        <v>22934.93</v>
      </c>
      <c r="F163" s="6">
        <v>115459.8</v>
      </c>
      <c r="G163" t="s">
        <v>2660</v>
      </c>
    </row>
    <row r="164" spans="1:7" hidden="1" x14ac:dyDescent="0.3">
      <c r="A164" s="5">
        <v>45457</v>
      </c>
      <c r="B164" t="s">
        <v>197</v>
      </c>
      <c r="C164" t="s">
        <v>198</v>
      </c>
      <c r="D164" s="6">
        <v>0</v>
      </c>
      <c r="E164" s="6">
        <v>100</v>
      </c>
      <c r="F164" s="6">
        <v>115559.8</v>
      </c>
      <c r="G164" t="s">
        <v>199</v>
      </c>
    </row>
    <row r="165" spans="1:7" hidden="1" x14ac:dyDescent="0.3">
      <c r="A165" s="5">
        <v>45457</v>
      </c>
      <c r="B165" t="s">
        <v>200</v>
      </c>
      <c r="C165" t="s">
        <v>201</v>
      </c>
      <c r="D165" s="6">
        <v>100</v>
      </c>
      <c r="E165" s="6">
        <v>0</v>
      </c>
      <c r="F165" s="6">
        <v>115459.8</v>
      </c>
      <c r="G165" t="s">
        <v>202</v>
      </c>
    </row>
    <row r="166" spans="1:7" hidden="1" x14ac:dyDescent="0.3">
      <c r="A166" s="5">
        <v>45457</v>
      </c>
      <c r="B166" t="s">
        <v>9</v>
      </c>
      <c r="C166" t="s">
        <v>203</v>
      </c>
      <c r="D166" s="6">
        <v>262.87</v>
      </c>
      <c r="E166" s="6">
        <v>0</v>
      </c>
      <c r="F166" s="6">
        <v>115196.93</v>
      </c>
      <c r="G166" t="s">
        <v>2660</v>
      </c>
    </row>
    <row r="167" spans="1:7" hidden="1" x14ac:dyDescent="0.3">
      <c r="A167" s="5">
        <v>45461</v>
      </c>
      <c r="B167" t="s">
        <v>12</v>
      </c>
      <c r="C167" t="s">
        <v>204</v>
      </c>
      <c r="D167" s="6">
        <v>0</v>
      </c>
      <c r="E167" s="6">
        <v>13720.58</v>
      </c>
      <c r="F167" s="6">
        <v>128917.51</v>
      </c>
      <c r="G167" t="s">
        <v>2660</v>
      </c>
    </row>
    <row r="168" spans="1:7" hidden="1" x14ac:dyDescent="0.3">
      <c r="A168" s="5">
        <v>45461</v>
      </c>
      <c r="B168" t="s">
        <v>12</v>
      </c>
      <c r="C168" t="s">
        <v>205</v>
      </c>
      <c r="D168" s="6">
        <v>0</v>
      </c>
      <c r="E168" s="6">
        <v>92837.35</v>
      </c>
      <c r="F168" s="6">
        <v>221754.86</v>
      </c>
      <c r="G168" t="s">
        <v>2660</v>
      </c>
    </row>
    <row r="169" spans="1:7" hidden="1" x14ac:dyDescent="0.3">
      <c r="A169" s="5">
        <v>45461</v>
      </c>
      <c r="B169" t="s">
        <v>31</v>
      </c>
      <c r="C169" t="s">
        <v>206</v>
      </c>
      <c r="D169" s="6">
        <v>10000</v>
      </c>
      <c r="E169" s="6">
        <v>0</v>
      </c>
      <c r="F169" s="6">
        <v>211754.86</v>
      </c>
      <c r="G169" t="s">
        <v>33</v>
      </c>
    </row>
    <row r="170" spans="1:7" hidden="1" x14ac:dyDescent="0.3">
      <c r="A170" s="5">
        <v>45461</v>
      </c>
      <c r="B170" t="s">
        <v>207</v>
      </c>
      <c r="C170" t="s">
        <v>24</v>
      </c>
      <c r="D170" s="6">
        <v>1463.2</v>
      </c>
      <c r="E170" s="6">
        <v>0</v>
      </c>
      <c r="F170" s="6">
        <v>210291.66</v>
      </c>
      <c r="G170" t="s">
        <v>25</v>
      </c>
    </row>
    <row r="171" spans="1:7" hidden="1" x14ac:dyDescent="0.3">
      <c r="A171" s="5">
        <v>45461</v>
      </c>
      <c r="B171" t="s">
        <v>208</v>
      </c>
      <c r="C171" t="s">
        <v>209</v>
      </c>
      <c r="D171" s="6">
        <v>0</v>
      </c>
      <c r="E171" s="6">
        <v>160</v>
      </c>
      <c r="F171" s="6">
        <v>210451.66</v>
      </c>
      <c r="G171" t="s">
        <v>145</v>
      </c>
    </row>
    <row r="172" spans="1:7" hidden="1" x14ac:dyDescent="0.3">
      <c r="A172" s="5">
        <v>45461</v>
      </c>
      <c r="B172" t="s">
        <v>9</v>
      </c>
      <c r="C172" t="s">
        <v>210</v>
      </c>
      <c r="D172" s="6">
        <v>1028.68</v>
      </c>
      <c r="E172" s="6">
        <v>0</v>
      </c>
      <c r="F172" s="6">
        <v>209422.98</v>
      </c>
      <c r="G172" t="s">
        <v>2660</v>
      </c>
    </row>
    <row r="173" spans="1:7" hidden="1" x14ac:dyDescent="0.3">
      <c r="A173" s="5">
        <v>45462</v>
      </c>
      <c r="B173" t="s">
        <v>12</v>
      </c>
      <c r="C173" t="s">
        <v>211</v>
      </c>
      <c r="D173" s="6">
        <v>0</v>
      </c>
      <c r="E173" s="6">
        <v>1105.77</v>
      </c>
      <c r="F173" s="6">
        <v>210528.75</v>
      </c>
      <c r="G173" t="s">
        <v>2660</v>
      </c>
    </row>
    <row r="174" spans="1:7" hidden="1" x14ac:dyDescent="0.3">
      <c r="A174" s="5">
        <v>45462</v>
      </c>
      <c r="B174" t="s">
        <v>12</v>
      </c>
      <c r="C174" t="s">
        <v>212</v>
      </c>
      <c r="D174" s="6">
        <v>0</v>
      </c>
      <c r="E174" s="6">
        <v>102074.66</v>
      </c>
      <c r="F174" s="6">
        <v>312603.40999999997</v>
      </c>
      <c r="G174" t="s">
        <v>2660</v>
      </c>
    </row>
    <row r="175" spans="1:7" hidden="1" x14ac:dyDescent="0.3">
      <c r="A175" s="5">
        <v>45462</v>
      </c>
      <c r="B175" t="s">
        <v>9</v>
      </c>
      <c r="C175" t="s">
        <v>213</v>
      </c>
      <c r="D175" s="6">
        <v>250.29</v>
      </c>
      <c r="E175" s="6">
        <v>0</v>
      </c>
      <c r="F175" s="6">
        <v>312353.12</v>
      </c>
      <c r="G175" t="s">
        <v>2660</v>
      </c>
    </row>
    <row r="176" spans="1:7" hidden="1" x14ac:dyDescent="0.3">
      <c r="A176" s="5">
        <v>45462</v>
      </c>
      <c r="B176" t="s">
        <v>9</v>
      </c>
      <c r="C176" t="s">
        <v>214</v>
      </c>
      <c r="D176" s="6">
        <v>43889.09</v>
      </c>
      <c r="E176" s="6">
        <v>0</v>
      </c>
      <c r="F176" s="6">
        <v>268464.03000000003</v>
      </c>
      <c r="G176" t="s">
        <v>2660</v>
      </c>
    </row>
    <row r="177" spans="1:7" hidden="1" x14ac:dyDescent="0.3">
      <c r="A177" s="5">
        <v>45462</v>
      </c>
      <c r="B177" t="s">
        <v>9</v>
      </c>
      <c r="C177" t="s">
        <v>215</v>
      </c>
      <c r="D177" s="6">
        <v>48029.17</v>
      </c>
      <c r="E177" s="6">
        <v>0</v>
      </c>
      <c r="F177" s="6">
        <v>220434.86</v>
      </c>
      <c r="G177" t="s">
        <v>2660</v>
      </c>
    </row>
    <row r="178" spans="1:7" hidden="1" x14ac:dyDescent="0.3">
      <c r="A178" s="5">
        <v>45463</v>
      </c>
      <c r="B178" t="s">
        <v>31</v>
      </c>
      <c r="C178" t="s">
        <v>216</v>
      </c>
      <c r="D178" s="6">
        <v>10000</v>
      </c>
      <c r="E178" s="6">
        <v>0</v>
      </c>
      <c r="F178" s="6">
        <v>210434.86</v>
      </c>
      <c r="G178" t="s">
        <v>33</v>
      </c>
    </row>
    <row r="179" spans="1:7" hidden="1" x14ac:dyDescent="0.3">
      <c r="A179" s="5">
        <v>45463</v>
      </c>
      <c r="B179" t="s">
        <v>9</v>
      </c>
      <c r="C179" t="s">
        <v>217</v>
      </c>
      <c r="D179" s="6">
        <v>233.58</v>
      </c>
      <c r="E179" s="6">
        <v>0</v>
      </c>
      <c r="F179" s="6">
        <v>210201.28</v>
      </c>
      <c r="G179" t="s">
        <v>2660</v>
      </c>
    </row>
    <row r="180" spans="1:7" hidden="1" x14ac:dyDescent="0.3">
      <c r="A180" s="5">
        <v>45463</v>
      </c>
      <c r="B180" t="s">
        <v>9</v>
      </c>
      <c r="C180" t="s">
        <v>218</v>
      </c>
      <c r="D180" s="6">
        <v>52768.75</v>
      </c>
      <c r="E180" s="6">
        <v>0</v>
      </c>
      <c r="F180" s="6">
        <v>157432.53</v>
      </c>
      <c r="G180" t="s">
        <v>2660</v>
      </c>
    </row>
    <row r="181" spans="1:7" hidden="1" x14ac:dyDescent="0.3">
      <c r="A181" s="5">
        <v>45464</v>
      </c>
      <c r="B181" t="s">
        <v>9</v>
      </c>
      <c r="C181" t="s">
        <v>219</v>
      </c>
      <c r="D181" s="6">
        <v>259.2</v>
      </c>
      <c r="E181" s="6">
        <v>0</v>
      </c>
      <c r="F181" s="6">
        <v>157173.32999999999</v>
      </c>
      <c r="G181" t="s">
        <v>2660</v>
      </c>
    </row>
    <row r="182" spans="1:7" hidden="1" x14ac:dyDescent="0.3">
      <c r="A182" s="5">
        <v>45464</v>
      </c>
      <c r="B182" t="s">
        <v>220</v>
      </c>
      <c r="C182" t="s">
        <v>221</v>
      </c>
      <c r="D182" s="6">
        <v>75000</v>
      </c>
      <c r="E182" s="6">
        <v>0</v>
      </c>
      <c r="F182" s="6">
        <v>82173.33</v>
      </c>
      <c r="G182" t="s">
        <v>202</v>
      </c>
    </row>
    <row r="183" spans="1:7" hidden="1" x14ac:dyDescent="0.3">
      <c r="A183" s="5">
        <v>45464</v>
      </c>
      <c r="B183" t="s">
        <v>9</v>
      </c>
      <c r="C183" t="s">
        <v>222</v>
      </c>
      <c r="D183" s="6">
        <v>12582.27</v>
      </c>
      <c r="E183" s="6">
        <v>0</v>
      </c>
      <c r="F183" s="6">
        <v>69591.06</v>
      </c>
      <c r="G183" t="s">
        <v>2660</v>
      </c>
    </row>
    <row r="184" spans="1:7" hidden="1" x14ac:dyDescent="0.3">
      <c r="A184" s="5">
        <v>45467</v>
      </c>
      <c r="B184" t="s">
        <v>9</v>
      </c>
      <c r="C184" t="s">
        <v>223</v>
      </c>
      <c r="D184" s="6">
        <v>892.53</v>
      </c>
      <c r="E184" s="6">
        <v>0</v>
      </c>
      <c r="F184" s="6">
        <v>68698.53</v>
      </c>
      <c r="G184" t="s">
        <v>2660</v>
      </c>
    </row>
    <row r="185" spans="1:7" hidden="1" x14ac:dyDescent="0.3">
      <c r="A185" s="5">
        <v>45468</v>
      </c>
      <c r="B185" t="s">
        <v>12</v>
      </c>
      <c r="C185" t="s">
        <v>224</v>
      </c>
      <c r="D185" s="6">
        <v>0</v>
      </c>
      <c r="E185" s="6">
        <v>81652.58</v>
      </c>
      <c r="F185" s="6">
        <v>150351.10999999999</v>
      </c>
      <c r="G185" t="s">
        <v>2660</v>
      </c>
    </row>
    <row r="186" spans="1:7" hidden="1" x14ac:dyDescent="0.3">
      <c r="A186" s="5">
        <v>45468</v>
      </c>
      <c r="B186" t="s">
        <v>12</v>
      </c>
      <c r="C186" t="s">
        <v>225</v>
      </c>
      <c r="D186" s="6">
        <v>0</v>
      </c>
      <c r="E186" s="6">
        <v>125189.11</v>
      </c>
      <c r="F186" s="6">
        <v>275540.21999999997</v>
      </c>
      <c r="G186" t="s">
        <v>2660</v>
      </c>
    </row>
    <row r="187" spans="1:7" hidden="1" x14ac:dyDescent="0.3">
      <c r="A187" s="5">
        <v>45468</v>
      </c>
      <c r="B187" t="s">
        <v>226</v>
      </c>
      <c r="C187" t="s">
        <v>227</v>
      </c>
      <c r="D187" s="6">
        <v>0</v>
      </c>
      <c r="E187" s="6">
        <v>150000</v>
      </c>
      <c r="F187" s="6">
        <v>425540.22</v>
      </c>
      <c r="G187" t="s">
        <v>62</v>
      </c>
    </row>
    <row r="188" spans="1:7" hidden="1" x14ac:dyDescent="0.3">
      <c r="A188" s="5">
        <v>45468</v>
      </c>
      <c r="B188" t="s">
        <v>228</v>
      </c>
      <c r="C188" t="s">
        <v>229</v>
      </c>
      <c r="D188" s="6">
        <v>0</v>
      </c>
      <c r="E188" s="6">
        <v>150000</v>
      </c>
      <c r="F188" s="6">
        <v>575540.22</v>
      </c>
      <c r="G188" t="s">
        <v>163</v>
      </c>
    </row>
    <row r="189" spans="1:7" hidden="1" x14ac:dyDescent="0.3">
      <c r="A189" s="5">
        <v>45468</v>
      </c>
      <c r="B189" t="s">
        <v>9</v>
      </c>
      <c r="C189" t="s">
        <v>230</v>
      </c>
      <c r="D189" s="6">
        <v>307.07</v>
      </c>
      <c r="E189" s="6">
        <v>0</v>
      </c>
      <c r="F189" s="6">
        <v>575233.15</v>
      </c>
      <c r="G189" t="s">
        <v>2660</v>
      </c>
    </row>
    <row r="190" spans="1:7" hidden="1" x14ac:dyDescent="0.3">
      <c r="A190" s="5">
        <v>45468</v>
      </c>
      <c r="B190" t="s">
        <v>231</v>
      </c>
      <c r="C190" t="s">
        <v>232</v>
      </c>
      <c r="D190" s="6">
        <v>0</v>
      </c>
      <c r="E190" s="6">
        <v>1400</v>
      </c>
      <c r="F190" s="6">
        <v>576633.15</v>
      </c>
      <c r="G190" t="s">
        <v>145</v>
      </c>
    </row>
    <row r="191" spans="1:7" hidden="1" x14ac:dyDescent="0.3">
      <c r="A191" s="5">
        <v>45468</v>
      </c>
      <c r="B191" t="s">
        <v>233</v>
      </c>
      <c r="C191" t="s">
        <v>234</v>
      </c>
      <c r="D191" s="6">
        <v>0</v>
      </c>
      <c r="E191" s="6">
        <v>1440</v>
      </c>
      <c r="F191" s="6">
        <v>578073.15</v>
      </c>
      <c r="G191" t="s">
        <v>145</v>
      </c>
    </row>
    <row r="192" spans="1:7" hidden="1" x14ac:dyDescent="0.3">
      <c r="A192" s="5">
        <v>45468</v>
      </c>
      <c r="B192" t="s">
        <v>9</v>
      </c>
      <c r="C192" t="s">
        <v>235</v>
      </c>
      <c r="D192" s="6">
        <v>14096.93</v>
      </c>
      <c r="E192" s="6">
        <v>0</v>
      </c>
      <c r="F192" s="6">
        <v>563976.22</v>
      </c>
      <c r="G192" t="s">
        <v>2660</v>
      </c>
    </row>
    <row r="193" spans="1:7" hidden="1" x14ac:dyDescent="0.3">
      <c r="A193" s="5">
        <v>45469</v>
      </c>
      <c r="B193" t="s">
        <v>12</v>
      </c>
      <c r="C193" t="s">
        <v>236</v>
      </c>
      <c r="D193" s="6">
        <v>0</v>
      </c>
      <c r="E193" s="6">
        <v>141094.92000000001</v>
      </c>
      <c r="F193" s="6">
        <v>705071.14</v>
      </c>
      <c r="G193" t="s">
        <v>2660</v>
      </c>
    </row>
    <row r="194" spans="1:7" hidden="1" x14ac:dyDescent="0.3">
      <c r="A194" s="5">
        <v>45469</v>
      </c>
      <c r="B194" t="s">
        <v>237</v>
      </c>
      <c r="C194" t="s">
        <v>238</v>
      </c>
      <c r="D194" s="6">
        <v>0</v>
      </c>
      <c r="E194" s="6">
        <v>480</v>
      </c>
      <c r="F194" s="6">
        <v>705551.14</v>
      </c>
      <c r="G194" t="s">
        <v>145</v>
      </c>
    </row>
    <row r="195" spans="1:7" hidden="1" x14ac:dyDescent="0.3">
      <c r="A195" s="5">
        <v>45469</v>
      </c>
      <c r="B195" t="s">
        <v>9</v>
      </c>
      <c r="C195" t="s">
        <v>239</v>
      </c>
      <c r="D195" s="6">
        <v>257.64</v>
      </c>
      <c r="E195" s="6">
        <v>0</v>
      </c>
      <c r="F195" s="6">
        <v>705293.5</v>
      </c>
      <c r="G195" t="s">
        <v>2660</v>
      </c>
    </row>
    <row r="196" spans="1:7" hidden="1" x14ac:dyDescent="0.3">
      <c r="A196" s="5">
        <v>45469</v>
      </c>
      <c r="B196" t="s">
        <v>9</v>
      </c>
      <c r="C196" t="s">
        <v>240</v>
      </c>
      <c r="D196" s="6">
        <v>74982.44</v>
      </c>
      <c r="E196" s="6">
        <v>0</v>
      </c>
      <c r="F196" s="6">
        <v>630311.06000000006</v>
      </c>
      <c r="G196" t="s">
        <v>2660</v>
      </c>
    </row>
    <row r="197" spans="1:7" hidden="1" x14ac:dyDescent="0.3">
      <c r="A197" s="5">
        <v>45470</v>
      </c>
      <c r="B197" t="s">
        <v>9</v>
      </c>
      <c r="C197" t="s">
        <v>241</v>
      </c>
      <c r="D197" s="6">
        <v>230.93</v>
      </c>
      <c r="E197" s="6">
        <v>0</v>
      </c>
      <c r="F197" s="6">
        <v>630080.13</v>
      </c>
      <c r="G197" t="s">
        <v>2660</v>
      </c>
    </row>
    <row r="198" spans="1:7" hidden="1" x14ac:dyDescent="0.3">
      <c r="A198" s="5">
        <v>45470</v>
      </c>
      <c r="B198" t="s">
        <v>242</v>
      </c>
      <c r="C198" t="s">
        <v>243</v>
      </c>
      <c r="D198" s="6">
        <v>0</v>
      </c>
      <c r="E198" s="6">
        <v>676.13</v>
      </c>
      <c r="F198" s="6">
        <v>630756.26</v>
      </c>
      <c r="G198" t="s">
        <v>83</v>
      </c>
    </row>
    <row r="199" spans="1:7" hidden="1" x14ac:dyDescent="0.3">
      <c r="A199" s="5">
        <v>45470</v>
      </c>
      <c r="B199" t="s">
        <v>244</v>
      </c>
      <c r="C199" t="s">
        <v>245</v>
      </c>
      <c r="D199" s="6">
        <v>100000</v>
      </c>
      <c r="E199" s="6">
        <v>0</v>
      </c>
      <c r="F199" s="6">
        <v>530756.26</v>
      </c>
      <c r="G199" t="s">
        <v>2659</v>
      </c>
    </row>
    <row r="200" spans="1:7" hidden="1" x14ac:dyDescent="0.3">
      <c r="A200" s="5">
        <v>45470</v>
      </c>
      <c r="B200" t="s">
        <v>9</v>
      </c>
      <c r="C200" t="s">
        <v>246</v>
      </c>
      <c r="D200" s="6">
        <v>6973.91</v>
      </c>
      <c r="E200" s="6">
        <v>0</v>
      </c>
      <c r="F200" s="6">
        <v>523782.35</v>
      </c>
      <c r="G200" t="s">
        <v>2660</v>
      </c>
    </row>
    <row r="201" spans="1:7" hidden="1" x14ac:dyDescent="0.3">
      <c r="A201" s="5">
        <v>45471</v>
      </c>
      <c r="B201" t="s">
        <v>247</v>
      </c>
      <c r="C201" t="s">
        <v>248</v>
      </c>
      <c r="D201" s="6">
        <v>0</v>
      </c>
      <c r="E201" s="6">
        <v>3600</v>
      </c>
      <c r="F201" s="6">
        <v>527382.35</v>
      </c>
      <c r="G201" t="s">
        <v>145</v>
      </c>
    </row>
    <row r="202" spans="1:7" hidden="1" x14ac:dyDescent="0.3">
      <c r="A202" s="5">
        <v>45471</v>
      </c>
      <c r="B202" t="s">
        <v>9</v>
      </c>
      <c r="C202" t="s">
        <v>249</v>
      </c>
      <c r="D202" s="6">
        <v>265.39</v>
      </c>
      <c r="E202" s="6">
        <v>0</v>
      </c>
      <c r="F202" s="6">
        <v>527116.96</v>
      </c>
      <c r="G202" t="s">
        <v>2660</v>
      </c>
    </row>
    <row r="203" spans="1:7" hidden="1" x14ac:dyDescent="0.3">
      <c r="A203" s="5">
        <v>45473</v>
      </c>
      <c r="B203" t="s">
        <v>250</v>
      </c>
      <c r="C203" t="s">
        <v>24</v>
      </c>
      <c r="D203" s="6">
        <v>0</v>
      </c>
      <c r="E203" s="6">
        <v>777</v>
      </c>
      <c r="F203" s="6">
        <v>527893.96</v>
      </c>
      <c r="G203" t="s">
        <v>251</v>
      </c>
    </row>
    <row r="204" spans="1:7" hidden="1" x14ac:dyDescent="0.3">
      <c r="A204" s="5">
        <v>45474</v>
      </c>
      <c r="B204" t="s">
        <v>12</v>
      </c>
      <c r="C204" t="s">
        <v>252</v>
      </c>
      <c r="D204" s="6">
        <v>0</v>
      </c>
      <c r="E204" s="6">
        <v>19928.560000000001</v>
      </c>
      <c r="F204" s="6">
        <v>547822.52</v>
      </c>
      <c r="G204" t="s">
        <v>2660</v>
      </c>
    </row>
    <row r="205" spans="1:7" hidden="1" x14ac:dyDescent="0.3">
      <c r="A205" s="5">
        <v>45474</v>
      </c>
      <c r="B205" t="s">
        <v>12</v>
      </c>
      <c r="C205" t="s">
        <v>253</v>
      </c>
      <c r="D205" s="6">
        <v>0</v>
      </c>
      <c r="E205" s="6">
        <v>198085.37</v>
      </c>
      <c r="F205" s="6">
        <v>745907.89</v>
      </c>
      <c r="G205" t="s">
        <v>2660</v>
      </c>
    </row>
    <row r="206" spans="1:7" hidden="1" x14ac:dyDescent="0.3">
      <c r="A206" s="5">
        <v>45474</v>
      </c>
      <c r="B206" t="s">
        <v>9</v>
      </c>
      <c r="C206" t="s">
        <v>254</v>
      </c>
      <c r="D206" s="6">
        <v>796.17</v>
      </c>
      <c r="E206" s="6">
        <v>0</v>
      </c>
      <c r="F206" s="6">
        <v>745111.72</v>
      </c>
      <c r="G206" t="s">
        <v>2660</v>
      </c>
    </row>
    <row r="207" spans="1:7" hidden="1" x14ac:dyDescent="0.3">
      <c r="A207" s="5">
        <v>45474</v>
      </c>
      <c r="B207" t="s">
        <v>255</v>
      </c>
      <c r="C207" t="s">
        <v>256</v>
      </c>
      <c r="D207" s="6">
        <v>0</v>
      </c>
      <c r="E207" s="6">
        <v>2520</v>
      </c>
      <c r="F207" s="6">
        <v>747631.72</v>
      </c>
      <c r="G207" t="s">
        <v>145</v>
      </c>
    </row>
    <row r="208" spans="1:7" x14ac:dyDescent="0.3">
      <c r="A208" s="5">
        <v>45474</v>
      </c>
      <c r="B208" t="s">
        <v>257</v>
      </c>
      <c r="C208" t="s">
        <v>258</v>
      </c>
      <c r="D208" s="6">
        <v>5000</v>
      </c>
      <c r="E208" s="6">
        <v>0</v>
      </c>
      <c r="F208" s="6">
        <v>742631.72</v>
      </c>
      <c r="G208" t="s">
        <v>93</v>
      </c>
    </row>
    <row r="209" spans="1:7" hidden="1" x14ac:dyDescent="0.3">
      <c r="A209" s="5">
        <v>45474</v>
      </c>
      <c r="B209" t="s">
        <v>259</v>
      </c>
      <c r="C209" t="s">
        <v>260</v>
      </c>
      <c r="D209" s="6">
        <v>150000</v>
      </c>
      <c r="E209" s="6">
        <v>0</v>
      </c>
      <c r="F209" s="6">
        <v>592631.72</v>
      </c>
      <c r="G209" t="s">
        <v>2659</v>
      </c>
    </row>
    <row r="210" spans="1:7" hidden="1" x14ac:dyDescent="0.3">
      <c r="A210" s="5">
        <v>45475</v>
      </c>
      <c r="B210" t="s">
        <v>12</v>
      </c>
      <c r="C210" t="s">
        <v>261</v>
      </c>
      <c r="D210" s="6">
        <v>0</v>
      </c>
      <c r="E210" s="6">
        <v>16450.22</v>
      </c>
      <c r="F210" s="6">
        <v>609081.93999999994</v>
      </c>
      <c r="G210" t="s">
        <v>2660</v>
      </c>
    </row>
    <row r="211" spans="1:7" hidden="1" x14ac:dyDescent="0.3">
      <c r="A211" s="5">
        <v>45475</v>
      </c>
      <c r="B211" t="s">
        <v>12</v>
      </c>
      <c r="C211" t="s">
        <v>262</v>
      </c>
      <c r="D211" s="6">
        <v>0</v>
      </c>
      <c r="E211" s="6">
        <v>77714.92</v>
      </c>
      <c r="F211" s="6">
        <v>686796.86</v>
      </c>
      <c r="G211" t="s">
        <v>2660</v>
      </c>
    </row>
    <row r="212" spans="1:7" hidden="1" x14ac:dyDescent="0.3">
      <c r="A212" s="5">
        <v>45475</v>
      </c>
      <c r="B212" t="s">
        <v>9</v>
      </c>
      <c r="C212" t="s">
        <v>263</v>
      </c>
      <c r="D212" s="6">
        <v>272.48</v>
      </c>
      <c r="E212" s="6">
        <v>0</v>
      </c>
      <c r="F212" s="6">
        <v>686524.38</v>
      </c>
      <c r="G212" t="s">
        <v>2660</v>
      </c>
    </row>
    <row r="213" spans="1:7" hidden="1" x14ac:dyDescent="0.3">
      <c r="A213" s="5">
        <v>45475</v>
      </c>
      <c r="B213" t="s">
        <v>9</v>
      </c>
      <c r="C213" t="s">
        <v>264</v>
      </c>
      <c r="D213" s="6">
        <v>23743.94</v>
      </c>
      <c r="E213" s="6">
        <v>0</v>
      </c>
      <c r="F213" s="6">
        <v>662780.43999999994</v>
      </c>
      <c r="G213" t="s">
        <v>2660</v>
      </c>
    </row>
    <row r="214" spans="1:7" hidden="1" x14ac:dyDescent="0.3">
      <c r="A214" s="5">
        <v>45476</v>
      </c>
      <c r="B214" t="s">
        <v>9</v>
      </c>
      <c r="C214" t="s">
        <v>265</v>
      </c>
      <c r="D214" s="6">
        <v>255.08</v>
      </c>
      <c r="E214" s="6">
        <v>0</v>
      </c>
      <c r="F214" s="6">
        <v>662525.36</v>
      </c>
      <c r="G214" t="s">
        <v>2660</v>
      </c>
    </row>
    <row r="215" spans="1:7" hidden="1" x14ac:dyDescent="0.3">
      <c r="A215" s="5">
        <v>45477</v>
      </c>
      <c r="B215" t="s">
        <v>12</v>
      </c>
      <c r="C215" t="s">
        <v>266</v>
      </c>
      <c r="D215" s="6">
        <v>0</v>
      </c>
      <c r="E215" s="6">
        <v>23623.09</v>
      </c>
      <c r="F215" s="6">
        <v>686148.45</v>
      </c>
      <c r="G215" t="s">
        <v>2660</v>
      </c>
    </row>
    <row r="216" spans="1:7" hidden="1" x14ac:dyDescent="0.3">
      <c r="A216" s="5">
        <v>45477</v>
      </c>
      <c r="B216" t="s">
        <v>12</v>
      </c>
      <c r="C216" t="s">
        <v>267</v>
      </c>
      <c r="D216" s="6">
        <v>0</v>
      </c>
      <c r="E216" s="6">
        <v>106413.03</v>
      </c>
      <c r="F216" s="6">
        <v>792561.48</v>
      </c>
      <c r="G216" t="s">
        <v>2660</v>
      </c>
    </row>
    <row r="217" spans="1:7" hidden="1" x14ac:dyDescent="0.3">
      <c r="A217" s="5">
        <v>45477</v>
      </c>
      <c r="B217" t="s">
        <v>268</v>
      </c>
      <c r="C217" t="s">
        <v>269</v>
      </c>
      <c r="D217" s="6">
        <v>0</v>
      </c>
      <c r="E217" s="6">
        <v>510</v>
      </c>
      <c r="F217" s="6">
        <v>793071.48</v>
      </c>
      <c r="G217" t="s">
        <v>145</v>
      </c>
    </row>
    <row r="218" spans="1:7" hidden="1" x14ac:dyDescent="0.3">
      <c r="A218" s="5">
        <v>45477</v>
      </c>
      <c r="B218" t="s">
        <v>9</v>
      </c>
      <c r="C218" t="s">
        <v>270</v>
      </c>
      <c r="D218" s="6">
        <v>277.89999999999998</v>
      </c>
      <c r="E218" s="6">
        <v>0</v>
      </c>
      <c r="F218" s="6">
        <v>792793.58</v>
      </c>
      <c r="G218" t="s">
        <v>2660</v>
      </c>
    </row>
    <row r="219" spans="1:7" hidden="1" x14ac:dyDescent="0.3">
      <c r="A219" s="5">
        <v>45477</v>
      </c>
      <c r="B219" t="s">
        <v>9</v>
      </c>
      <c r="C219" t="s">
        <v>271</v>
      </c>
      <c r="D219" s="6">
        <v>145668.22</v>
      </c>
      <c r="E219" s="6">
        <v>0</v>
      </c>
      <c r="F219" s="6">
        <v>647125.36</v>
      </c>
      <c r="G219" t="s">
        <v>2660</v>
      </c>
    </row>
    <row r="220" spans="1:7" hidden="1" x14ac:dyDescent="0.3">
      <c r="A220" s="5">
        <v>45478</v>
      </c>
      <c r="B220" t="s">
        <v>12</v>
      </c>
      <c r="C220" t="s">
        <v>272</v>
      </c>
      <c r="D220" s="6">
        <v>0</v>
      </c>
      <c r="E220" s="6">
        <v>6379.07</v>
      </c>
      <c r="F220" s="6">
        <v>653504.43000000005</v>
      </c>
      <c r="G220" t="s">
        <v>2660</v>
      </c>
    </row>
    <row r="221" spans="1:7" hidden="1" x14ac:dyDescent="0.3">
      <c r="A221" s="5">
        <v>45478</v>
      </c>
      <c r="B221" t="s">
        <v>12</v>
      </c>
      <c r="C221" t="s">
        <v>273</v>
      </c>
      <c r="D221" s="6">
        <v>0</v>
      </c>
      <c r="E221" s="6">
        <v>29312.63</v>
      </c>
      <c r="F221" s="6">
        <v>682817.06</v>
      </c>
      <c r="G221" t="s">
        <v>2660</v>
      </c>
    </row>
    <row r="222" spans="1:7" hidden="1" x14ac:dyDescent="0.3">
      <c r="A222" s="5">
        <v>45478</v>
      </c>
      <c r="B222" t="s">
        <v>9</v>
      </c>
      <c r="C222" t="s">
        <v>274</v>
      </c>
      <c r="D222" s="6">
        <v>234.43</v>
      </c>
      <c r="E222" s="6">
        <v>0</v>
      </c>
      <c r="F222" s="6">
        <v>682582.63</v>
      </c>
      <c r="G222" t="s">
        <v>2660</v>
      </c>
    </row>
    <row r="223" spans="1:7" hidden="1" x14ac:dyDescent="0.3">
      <c r="A223" s="5">
        <v>45478</v>
      </c>
      <c r="B223" t="s">
        <v>275</v>
      </c>
      <c r="C223" t="s">
        <v>276</v>
      </c>
      <c r="D223" s="6">
        <v>0</v>
      </c>
      <c r="E223" s="6">
        <v>125</v>
      </c>
      <c r="F223" s="6">
        <v>682707.63</v>
      </c>
      <c r="G223" t="s">
        <v>83</v>
      </c>
    </row>
    <row r="224" spans="1:7" hidden="1" x14ac:dyDescent="0.3">
      <c r="A224" s="5">
        <v>45478</v>
      </c>
      <c r="B224" t="s">
        <v>9</v>
      </c>
      <c r="C224" t="s">
        <v>277</v>
      </c>
      <c r="D224" s="6">
        <v>344465.07</v>
      </c>
      <c r="E224" s="6">
        <v>0</v>
      </c>
      <c r="F224" s="6">
        <v>338242.56</v>
      </c>
      <c r="G224" t="s">
        <v>2660</v>
      </c>
    </row>
    <row r="225" spans="1:7" hidden="1" x14ac:dyDescent="0.3">
      <c r="A225" s="5">
        <v>45481</v>
      </c>
      <c r="B225" t="s">
        <v>9</v>
      </c>
      <c r="C225" t="s">
        <v>278</v>
      </c>
      <c r="D225" s="6">
        <v>470.25</v>
      </c>
      <c r="E225" s="6">
        <v>0</v>
      </c>
      <c r="F225" s="6">
        <v>337772.31</v>
      </c>
      <c r="G225" t="s">
        <v>2660</v>
      </c>
    </row>
    <row r="226" spans="1:7" hidden="1" x14ac:dyDescent="0.3">
      <c r="A226" s="5">
        <v>45482</v>
      </c>
      <c r="B226" t="s">
        <v>12</v>
      </c>
      <c r="C226" t="s">
        <v>279</v>
      </c>
      <c r="D226" s="6">
        <v>0</v>
      </c>
      <c r="E226" s="6">
        <v>262191.28999999998</v>
      </c>
      <c r="F226" s="6">
        <v>599963.6</v>
      </c>
      <c r="G226" t="s">
        <v>2660</v>
      </c>
    </row>
    <row r="227" spans="1:7" hidden="1" x14ac:dyDescent="0.3">
      <c r="A227" s="5">
        <v>45482</v>
      </c>
      <c r="B227" t="s">
        <v>9</v>
      </c>
      <c r="C227" t="s">
        <v>280</v>
      </c>
      <c r="D227" s="6">
        <v>345.12</v>
      </c>
      <c r="E227" s="6">
        <v>0</v>
      </c>
      <c r="F227" s="6">
        <v>599618.48</v>
      </c>
      <c r="G227" t="s">
        <v>2660</v>
      </c>
    </row>
    <row r="228" spans="1:7" hidden="1" x14ac:dyDescent="0.3">
      <c r="A228" s="5">
        <v>45483</v>
      </c>
      <c r="B228" t="s">
        <v>12</v>
      </c>
      <c r="C228" t="s">
        <v>281</v>
      </c>
      <c r="D228" s="6">
        <v>0</v>
      </c>
      <c r="E228" s="6">
        <v>334326.63</v>
      </c>
      <c r="F228" s="6">
        <v>933945.11</v>
      </c>
      <c r="G228" t="s">
        <v>2660</v>
      </c>
    </row>
    <row r="229" spans="1:7" hidden="1" x14ac:dyDescent="0.3">
      <c r="A229" s="5">
        <v>45483</v>
      </c>
      <c r="B229" t="s">
        <v>31</v>
      </c>
      <c r="C229" t="s">
        <v>282</v>
      </c>
      <c r="D229" s="6">
        <v>10000</v>
      </c>
      <c r="E229" s="6">
        <v>0</v>
      </c>
      <c r="F229" s="6">
        <v>923945.11</v>
      </c>
      <c r="G229" t="s">
        <v>33</v>
      </c>
    </row>
    <row r="230" spans="1:7" hidden="1" x14ac:dyDescent="0.3">
      <c r="A230" s="5">
        <v>45483</v>
      </c>
      <c r="B230" t="s">
        <v>9</v>
      </c>
      <c r="C230" t="s">
        <v>283</v>
      </c>
      <c r="D230" s="6">
        <v>396.35</v>
      </c>
      <c r="E230" s="6">
        <v>0</v>
      </c>
      <c r="F230" s="6">
        <v>923548.76</v>
      </c>
      <c r="G230" t="s">
        <v>2660</v>
      </c>
    </row>
    <row r="231" spans="1:7" hidden="1" x14ac:dyDescent="0.3">
      <c r="A231" s="5">
        <v>45483</v>
      </c>
      <c r="B231" t="s">
        <v>9</v>
      </c>
      <c r="C231" t="s">
        <v>284</v>
      </c>
      <c r="D231" s="6">
        <v>323315.25</v>
      </c>
      <c r="E231" s="6">
        <v>0</v>
      </c>
      <c r="F231" s="6">
        <v>600233.51</v>
      </c>
      <c r="G231" t="s">
        <v>2660</v>
      </c>
    </row>
    <row r="232" spans="1:7" hidden="1" x14ac:dyDescent="0.3">
      <c r="A232" s="5">
        <v>45484</v>
      </c>
      <c r="B232" t="s">
        <v>12</v>
      </c>
      <c r="C232" t="s">
        <v>285</v>
      </c>
      <c r="D232" s="6">
        <v>0</v>
      </c>
      <c r="E232" s="6">
        <v>5289.01</v>
      </c>
      <c r="F232" s="6">
        <v>605522.52</v>
      </c>
      <c r="G232" t="s">
        <v>2660</v>
      </c>
    </row>
    <row r="233" spans="1:7" hidden="1" x14ac:dyDescent="0.3">
      <c r="A233" s="5">
        <v>45484</v>
      </c>
      <c r="B233" t="s">
        <v>12</v>
      </c>
      <c r="C233" t="s">
        <v>286</v>
      </c>
      <c r="D233" s="6">
        <v>0</v>
      </c>
      <c r="E233" s="6">
        <v>41595.01</v>
      </c>
      <c r="F233" s="6">
        <v>647117.53</v>
      </c>
      <c r="G233" t="s">
        <v>2660</v>
      </c>
    </row>
    <row r="234" spans="1:7" hidden="1" x14ac:dyDescent="0.3">
      <c r="A234" s="5">
        <v>45484</v>
      </c>
      <c r="B234" t="s">
        <v>9</v>
      </c>
      <c r="C234" t="s">
        <v>287</v>
      </c>
      <c r="D234" s="6">
        <v>463.24</v>
      </c>
      <c r="E234" s="6">
        <v>0</v>
      </c>
      <c r="F234" s="6">
        <v>646654.29</v>
      </c>
      <c r="G234" t="s">
        <v>2660</v>
      </c>
    </row>
    <row r="235" spans="1:7" hidden="1" x14ac:dyDescent="0.3">
      <c r="A235" s="5">
        <v>45485</v>
      </c>
      <c r="B235" t="s">
        <v>12</v>
      </c>
      <c r="C235" t="s">
        <v>288</v>
      </c>
      <c r="D235" s="6">
        <v>0</v>
      </c>
      <c r="E235" s="6">
        <v>21914.16</v>
      </c>
      <c r="F235" s="6">
        <v>668568.44999999995</v>
      </c>
      <c r="G235" t="s">
        <v>2660</v>
      </c>
    </row>
    <row r="236" spans="1:7" hidden="1" x14ac:dyDescent="0.3">
      <c r="A236" s="5">
        <v>45485</v>
      </c>
      <c r="B236" t="s">
        <v>12</v>
      </c>
      <c r="C236" t="s">
        <v>289</v>
      </c>
      <c r="D236" s="6">
        <v>0</v>
      </c>
      <c r="E236" s="6">
        <v>44275.74</v>
      </c>
      <c r="F236" s="6">
        <v>712844.19</v>
      </c>
      <c r="G236" t="s">
        <v>2660</v>
      </c>
    </row>
    <row r="237" spans="1:7" hidden="1" x14ac:dyDescent="0.3">
      <c r="A237" s="5">
        <v>45485</v>
      </c>
      <c r="B237" t="s">
        <v>290</v>
      </c>
      <c r="C237" t="s">
        <v>291</v>
      </c>
      <c r="D237" s="6">
        <v>0</v>
      </c>
      <c r="E237" s="6">
        <v>1800</v>
      </c>
      <c r="F237" s="6">
        <v>714644.19</v>
      </c>
      <c r="G237" t="s">
        <v>145</v>
      </c>
    </row>
    <row r="238" spans="1:7" hidden="1" x14ac:dyDescent="0.3">
      <c r="A238" s="5">
        <v>45485</v>
      </c>
      <c r="B238" t="s">
        <v>9</v>
      </c>
      <c r="C238" t="s">
        <v>292</v>
      </c>
      <c r="D238" s="6">
        <v>486.59</v>
      </c>
      <c r="E238" s="6">
        <v>0</v>
      </c>
      <c r="F238" s="6">
        <v>714157.6</v>
      </c>
      <c r="G238" t="s">
        <v>2660</v>
      </c>
    </row>
    <row r="239" spans="1:7" hidden="1" x14ac:dyDescent="0.3">
      <c r="A239" s="5">
        <v>45485</v>
      </c>
      <c r="B239" t="s">
        <v>293</v>
      </c>
      <c r="C239" t="s">
        <v>294</v>
      </c>
      <c r="D239" s="6">
        <v>0</v>
      </c>
      <c r="E239" s="6">
        <v>1110</v>
      </c>
      <c r="F239" s="6">
        <v>715267.6</v>
      </c>
      <c r="G239" t="s">
        <v>145</v>
      </c>
    </row>
    <row r="240" spans="1:7" hidden="1" x14ac:dyDescent="0.3">
      <c r="A240" s="5">
        <v>45485</v>
      </c>
      <c r="B240" t="s">
        <v>9</v>
      </c>
      <c r="C240" t="s">
        <v>295</v>
      </c>
      <c r="D240" s="6">
        <v>0.06</v>
      </c>
      <c r="E240" s="6">
        <v>0</v>
      </c>
      <c r="F240" s="6">
        <v>715267.54</v>
      </c>
      <c r="G240" t="s">
        <v>2660</v>
      </c>
    </row>
    <row r="241" spans="1:7" x14ac:dyDescent="0.3">
      <c r="A241" s="5">
        <v>45486</v>
      </c>
      <c r="B241" t="s">
        <v>296</v>
      </c>
      <c r="C241" t="s">
        <v>297</v>
      </c>
      <c r="D241" s="6">
        <v>20000</v>
      </c>
      <c r="E241" s="6">
        <v>0</v>
      </c>
      <c r="F241" s="6">
        <v>695267.54</v>
      </c>
      <c r="G241" t="s">
        <v>93</v>
      </c>
    </row>
    <row r="242" spans="1:7" x14ac:dyDescent="0.3">
      <c r="A242" s="5">
        <v>45486</v>
      </c>
      <c r="B242" t="s">
        <v>296</v>
      </c>
      <c r="C242" t="s">
        <v>298</v>
      </c>
      <c r="D242" s="6">
        <v>20000</v>
      </c>
      <c r="E242" s="6">
        <v>0</v>
      </c>
      <c r="F242" s="6">
        <v>675267.54</v>
      </c>
      <c r="G242" t="s">
        <v>93</v>
      </c>
    </row>
    <row r="243" spans="1:7" hidden="1" x14ac:dyDescent="0.3">
      <c r="A243" s="5">
        <v>45488</v>
      </c>
      <c r="B243" t="s">
        <v>12</v>
      </c>
      <c r="C243" t="s">
        <v>299</v>
      </c>
      <c r="D243" s="6">
        <v>0</v>
      </c>
      <c r="E243" s="6">
        <v>9490.65</v>
      </c>
      <c r="F243" s="6">
        <v>684758.19</v>
      </c>
      <c r="G243" t="s">
        <v>2660</v>
      </c>
    </row>
    <row r="244" spans="1:7" hidden="1" x14ac:dyDescent="0.3">
      <c r="A244" s="5">
        <v>45488</v>
      </c>
      <c r="B244" t="s">
        <v>31</v>
      </c>
      <c r="C244" t="s">
        <v>300</v>
      </c>
      <c r="D244" s="6">
        <v>10000</v>
      </c>
      <c r="E244" s="6">
        <v>0</v>
      </c>
      <c r="F244" s="6">
        <v>674758.19</v>
      </c>
      <c r="G244" t="s">
        <v>33</v>
      </c>
    </row>
    <row r="245" spans="1:7" hidden="1" x14ac:dyDescent="0.3">
      <c r="A245" s="5">
        <v>45488</v>
      </c>
      <c r="B245" t="s">
        <v>9</v>
      </c>
      <c r="C245" t="s">
        <v>301</v>
      </c>
      <c r="D245" s="6">
        <v>1483.17</v>
      </c>
      <c r="E245" s="6">
        <v>0</v>
      </c>
      <c r="F245" s="6">
        <v>673275.02</v>
      </c>
      <c r="G245" t="s">
        <v>2660</v>
      </c>
    </row>
    <row r="246" spans="1:7" hidden="1" x14ac:dyDescent="0.3">
      <c r="A246" s="5">
        <v>45489</v>
      </c>
      <c r="B246" t="s">
        <v>9</v>
      </c>
      <c r="C246" t="s">
        <v>302</v>
      </c>
      <c r="D246" s="6">
        <v>449.15</v>
      </c>
      <c r="E246" s="6">
        <v>0</v>
      </c>
      <c r="F246" s="6">
        <v>672825.87</v>
      </c>
      <c r="G246" t="s">
        <v>2660</v>
      </c>
    </row>
    <row r="247" spans="1:7" hidden="1" x14ac:dyDescent="0.3">
      <c r="A247" s="5">
        <v>45489</v>
      </c>
      <c r="B247" t="s">
        <v>303</v>
      </c>
      <c r="C247" t="s">
        <v>24</v>
      </c>
      <c r="D247" s="6">
        <v>1793.6</v>
      </c>
      <c r="E247" s="6">
        <v>0</v>
      </c>
      <c r="F247" s="6">
        <v>671032.27</v>
      </c>
      <c r="G247" t="s">
        <v>25</v>
      </c>
    </row>
    <row r="248" spans="1:7" hidden="1" x14ac:dyDescent="0.3">
      <c r="A248" s="5">
        <v>45489</v>
      </c>
      <c r="B248" t="s">
        <v>304</v>
      </c>
      <c r="C248" t="s">
        <v>305</v>
      </c>
      <c r="D248" s="6">
        <v>0</v>
      </c>
      <c r="E248" s="6">
        <v>308</v>
      </c>
      <c r="F248" s="6">
        <v>671340.27</v>
      </c>
      <c r="G248" t="s">
        <v>145</v>
      </c>
    </row>
    <row r="249" spans="1:7" hidden="1" x14ac:dyDescent="0.3">
      <c r="A249" s="5">
        <v>45489</v>
      </c>
      <c r="B249" t="s">
        <v>9</v>
      </c>
      <c r="C249" t="s">
        <v>306</v>
      </c>
      <c r="D249" s="6">
        <v>152870.93</v>
      </c>
      <c r="E249" s="6">
        <v>0</v>
      </c>
      <c r="F249" s="6">
        <v>518469.34</v>
      </c>
      <c r="G249" t="s">
        <v>2660</v>
      </c>
    </row>
    <row r="250" spans="1:7" hidden="1" x14ac:dyDescent="0.3">
      <c r="A250" s="5">
        <v>45491</v>
      </c>
      <c r="B250" t="s">
        <v>9</v>
      </c>
      <c r="C250" t="s">
        <v>307</v>
      </c>
      <c r="D250" s="6">
        <v>789.4</v>
      </c>
      <c r="E250" s="6">
        <v>0</v>
      </c>
      <c r="F250" s="6">
        <v>517679.94</v>
      </c>
      <c r="G250" t="s">
        <v>2660</v>
      </c>
    </row>
    <row r="251" spans="1:7" hidden="1" x14ac:dyDescent="0.3">
      <c r="A251" s="5">
        <v>45491</v>
      </c>
      <c r="B251" t="s">
        <v>308</v>
      </c>
      <c r="C251" t="s">
        <v>309</v>
      </c>
      <c r="D251" s="6">
        <v>0</v>
      </c>
      <c r="E251" s="6">
        <v>490</v>
      </c>
      <c r="F251" s="6">
        <v>518169.94</v>
      </c>
      <c r="G251" t="s">
        <v>145</v>
      </c>
    </row>
    <row r="252" spans="1:7" hidden="1" x14ac:dyDescent="0.3">
      <c r="A252" s="5">
        <v>45491</v>
      </c>
      <c r="B252" t="s">
        <v>310</v>
      </c>
      <c r="C252" t="s">
        <v>311</v>
      </c>
      <c r="D252" s="6">
        <v>0</v>
      </c>
      <c r="E252" s="6">
        <v>1196.5</v>
      </c>
      <c r="F252" s="6">
        <v>519366.44</v>
      </c>
      <c r="G252" t="s">
        <v>83</v>
      </c>
    </row>
    <row r="253" spans="1:7" hidden="1" x14ac:dyDescent="0.3">
      <c r="A253" s="5">
        <v>45491</v>
      </c>
      <c r="B253" t="s">
        <v>9</v>
      </c>
      <c r="C253" t="s">
        <v>312</v>
      </c>
      <c r="D253" s="6">
        <v>162908.28</v>
      </c>
      <c r="E253" s="6">
        <v>0</v>
      </c>
      <c r="F253" s="6">
        <v>356458.16</v>
      </c>
      <c r="G253" t="s">
        <v>2660</v>
      </c>
    </row>
    <row r="254" spans="1:7" hidden="1" x14ac:dyDescent="0.3">
      <c r="A254" s="5">
        <v>45492</v>
      </c>
      <c r="B254" t="s">
        <v>12</v>
      </c>
      <c r="C254" t="s">
        <v>313</v>
      </c>
      <c r="D254" s="6">
        <v>0</v>
      </c>
      <c r="E254" s="6">
        <v>32906.36</v>
      </c>
      <c r="F254" s="6">
        <v>389364.52</v>
      </c>
      <c r="G254" t="s">
        <v>2660</v>
      </c>
    </row>
    <row r="255" spans="1:7" hidden="1" x14ac:dyDescent="0.3">
      <c r="A255" s="5">
        <v>45492</v>
      </c>
      <c r="B255" t="s">
        <v>9</v>
      </c>
      <c r="C255" t="s">
        <v>314</v>
      </c>
      <c r="D255" s="6">
        <v>336.68</v>
      </c>
      <c r="E255" s="6">
        <v>0</v>
      </c>
      <c r="F255" s="6">
        <v>389027.84000000003</v>
      </c>
      <c r="G255" t="s">
        <v>2660</v>
      </c>
    </row>
    <row r="256" spans="1:7" hidden="1" x14ac:dyDescent="0.3">
      <c r="A256" s="5">
        <v>45493</v>
      </c>
      <c r="B256" t="s">
        <v>9</v>
      </c>
      <c r="C256" t="s">
        <v>315</v>
      </c>
      <c r="D256" s="6">
        <v>77788.75</v>
      </c>
      <c r="E256" s="6">
        <v>0</v>
      </c>
      <c r="F256" s="6">
        <v>311239.09000000003</v>
      </c>
      <c r="G256" t="s">
        <v>2660</v>
      </c>
    </row>
    <row r="257" spans="1:7" hidden="1" x14ac:dyDescent="0.3">
      <c r="A257" s="5">
        <v>45493</v>
      </c>
      <c r="B257" t="s">
        <v>316</v>
      </c>
      <c r="C257" t="s">
        <v>317</v>
      </c>
      <c r="D257" s="6">
        <v>0</v>
      </c>
      <c r="E257" s="6">
        <v>300.44</v>
      </c>
      <c r="F257" s="6">
        <v>311539.53000000003</v>
      </c>
      <c r="G257" t="s">
        <v>83</v>
      </c>
    </row>
    <row r="258" spans="1:7" hidden="1" x14ac:dyDescent="0.3">
      <c r="A258" s="5">
        <v>45495</v>
      </c>
      <c r="B258" t="s">
        <v>31</v>
      </c>
      <c r="C258" t="s">
        <v>318</v>
      </c>
      <c r="D258" s="6">
        <v>10000</v>
      </c>
      <c r="E258" s="6">
        <v>0</v>
      </c>
      <c r="F258" s="6">
        <v>301539.53000000003</v>
      </c>
      <c r="G258" t="s">
        <v>33</v>
      </c>
    </row>
    <row r="259" spans="1:7" hidden="1" x14ac:dyDescent="0.3">
      <c r="A259" s="5">
        <v>45495</v>
      </c>
      <c r="B259" t="s">
        <v>319</v>
      </c>
      <c r="C259" t="s">
        <v>320</v>
      </c>
      <c r="D259" s="6">
        <v>10000</v>
      </c>
      <c r="E259" s="6">
        <v>0</v>
      </c>
      <c r="F259" s="6">
        <v>291539.53000000003</v>
      </c>
      <c r="G259" t="s">
        <v>33</v>
      </c>
    </row>
    <row r="260" spans="1:7" hidden="1" x14ac:dyDescent="0.3">
      <c r="A260" s="5">
        <v>45495</v>
      </c>
      <c r="B260" t="s">
        <v>9</v>
      </c>
      <c r="C260" t="s">
        <v>321</v>
      </c>
      <c r="D260" s="6">
        <v>926.94</v>
      </c>
      <c r="E260" s="6">
        <v>0</v>
      </c>
      <c r="F260" s="6">
        <v>290612.59000000003</v>
      </c>
      <c r="G260" t="s">
        <v>2660</v>
      </c>
    </row>
    <row r="261" spans="1:7" hidden="1" x14ac:dyDescent="0.3">
      <c r="A261" s="5">
        <v>45496</v>
      </c>
      <c r="B261" t="s">
        <v>12</v>
      </c>
      <c r="C261" t="s">
        <v>322</v>
      </c>
      <c r="D261" s="6">
        <v>0</v>
      </c>
      <c r="E261" s="6">
        <v>29469.73</v>
      </c>
      <c r="F261" s="6">
        <v>320082.32</v>
      </c>
      <c r="G261" t="s">
        <v>2660</v>
      </c>
    </row>
    <row r="262" spans="1:7" hidden="1" x14ac:dyDescent="0.3">
      <c r="A262" s="5">
        <v>45496</v>
      </c>
      <c r="B262" t="s">
        <v>9</v>
      </c>
      <c r="C262" t="s">
        <v>323</v>
      </c>
      <c r="D262" s="6">
        <v>372.92</v>
      </c>
      <c r="E262" s="6">
        <v>0</v>
      </c>
      <c r="F262" s="6">
        <v>319709.40000000002</v>
      </c>
      <c r="G262" t="s">
        <v>2660</v>
      </c>
    </row>
    <row r="263" spans="1:7" hidden="1" x14ac:dyDescent="0.3">
      <c r="A263" s="5">
        <v>45496</v>
      </c>
      <c r="B263" t="s">
        <v>9</v>
      </c>
      <c r="C263" t="s">
        <v>324</v>
      </c>
      <c r="D263" s="6">
        <v>60859.85</v>
      </c>
      <c r="E263" s="6">
        <v>0</v>
      </c>
      <c r="F263" s="6">
        <v>258849.55</v>
      </c>
      <c r="G263" t="s">
        <v>2660</v>
      </c>
    </row>
    <row r="264" spans="1:7" hidden="1" x14ac:dyDescent="0.3">
      <c r="A264" s="5">
        <v>45497</v>
      </c>
      <c r="B264" t="s">
        <v>9</v>
      </c>
      <c r="C264" t="s">
        <v>325</v>
      </c>
      <c r="D264" s="6">
        <v>361.74</v>
      </c>
      <c r="E264" s="6">
        <v>0</v>
      </c>
      <c r="F264" s="6">
        <v>258487.81</v>
      </c>
      <c r="G264" t="s">
        <v>2660</v>
      </c>
    </row>
    <row r="265" spans="1:7" hidden="1" x14ac:dyDescent="0.3">
      <c r="A265" s="5">
        <v>45497</v>
      </c>
      <c r="B265" t="s">
        <v>326</v>
      </c>
      <c r="C265" t="s">
        <v>327</v>
      </c>
      <c r="D265" s="6">
        <v>0</v>
      </c>
      <c r="E265" s="6">
        <v>180</v>
      </c>
      <c r="F265" s="6">
        <v>258667.81</v>
      </c>
      <c r="G265" t="s">
        <v>145</v>
      </c>
    </row>
    <row r="266" spans="1:7" hidden="1" x14ac:dyDescent="0.3">
      <c r="A266" s="5">
        <v>45498</v>
      </c>
      <c r="B266" t="s">
        <v>12</v>
      </c>
      <c r="C266" t="s">
        <v>328</v>
      </c>
      <c r="D266" s="6">
        <v>0</v>
      </c>
      <c r="E266" s="6">
        <v>15630.84</v>
      </c>
      <c r="F266" s="6">
        <v>274298.65000000002</v>
      </c>
      <c r="G266" t="s">
        <v>2660</v>
      </c>
    </row>
    <row r="267" spans="1:7" hidden="1" x14ac:dyDescent="0.3">
      <c r="A267" s="5">
        <v>45498</v>
      </c>
      <c r="B267" t="s">
        <v>9</v>
      </c>
      <c r="C267" t="s">
        <v>329</v>
      </c>
      <c r="D267" s="6">
        <v>404.87</v>
      </c>
      <c r="E267" s="6">
        <v>0</v>
      </c>
      <c r="F267" s="6">
        <v>273893.78000000003</v>
      </c>
      <c r="G267" t="s">
        <v>2660</v>
      </c>
    </row>
    <row r="268" spans="1:7" hidden="1" x14ac:dyDescent="0.3">
      <c r="A268" s="5">
        <v>45498</v>
      </c>
      <c r="B268" t="s">
        <v>330</v>
      </c>
      <c r="C268" t="s">
        <v>331</v>
      </c>
      <c r="D268" s="6">
        <v>0</v>
      </c>
      <c r="E268" s="6">
        <v>125</v>
      </c>
      <c r="F268" s="6">
        <v>274018.78000000003</v>
      </c>
      <c r="G268" t="s">
        <v>145</v>
      </c>
    </row>
    <row r="269" spans="1:7" hidden="1" x14ac:dyDescent="0.3">
      <c r="A269" s="5">
        <v>45499</v>
      </c>
      <c r="B269" t="s">
        <v>12</v>
      </c>
      <c r="C269" t="s">
        <v>332</v>
      </c>
      <c r="D269" s="6">
        <v>0</v>
      </c>
      <c r="E269" s="6">
        <v>1304.28</v>
      </c>
      <c r="F269" s="6">
        <v>275323.06</v>
      </c>
      <c r="G269" t="s">
        <v>2660</v>
      </c>
    </row>
    <row r="270" spans="1:7" hidden="1" x14ac:dyDescent="0.3">
      <c r="A270" s="5">
        <v>45499</v>
      </c>
      <c r="B270" t="s">
        <v>9</v>
      </c>
      <c r="C270" t="s">
        <v>333</v>
      </c>
      <c r="D270" s="6">
        <v>410.44</v>
      </c>
      <c r="E270" s="6">
        <v>0</v>
      </c>
      <c r="F270" s="6">
        <v>274912.62</v>
      </c>
      <c r="G270" t="s">
        <v>2660</v>
      </c>
    </row>
    <row r="271" spans="1:7" hidden="1" x14ac:dyDescent="0.3">
      <c r="A271" s="5">
        <v>45501</v>
      </c>
      <c r="B271" t="s">
        <v>334</v>
      </c>
      <c r="C271" t="s">
        <v>335</v>
      </c>
      <c r="D271" s="6">
        <v>0</v>
      </c>
      <c r="E271" s="6">
        <v>30000</v>
      </c>
      <c r="F271" s="6">
        <v>304912.62</v>
      </c>
      <c r="G271" t="s">
        <v>123</v>
      </c>
    </row>
    <row r="272" spans="1:7" hidden="1" x14ac:dyDescent="0.3">
      <c r="A272" s="5">
        <v>45502</v>
      </c>
      <c r="B272" t="s">
        <v>12</v>
      </c>
      <c r="C272" t="s">
        <v>336</v>
      </c>
      <c r="D272" s="6">
        <v>0</v>
      </c>
      <c r="E272" s="6">
        <v>18095.849999999999</v>
      </c>
      <c r="F272" s="6">
        <v>323008.46999999997</v>
      </c>
      <c r="G272" t="s">
        <v>2660</v>
      </c>
    </row>
    <row r="273" spans="1:7" hidden="1" x14ac:dyDescent="0.3">
      <c r="A273" s="5">
        <v>45502</v>
      </c>
      <c r="B273" t="s">
        <v>12</v>
      </c>
      <c r="C273" t="s">
        <v>337</v>
      </c>
      <c r="D273" s="6">
        <v>0</v>
      </c>
      <c r="E273" s="6">
        <v>37892.910000000003</v>
      </c>
      <c r="F273" s="6">
        <v>360901.38</v>
      </c>
      <c r="G273" t="s">
        <v>2660</v>
      </c>
    </row>
    <row r="274" spans="1:7" hidden="1" x14ac:dyDescent="0.3">
      <c r="A274" s="5">
        <v>45502</v>
      </c>
      <c r="B274" t="s">
        <v>9</v>
      </c>
      <c r="C274" t="s">
        <v>338</v>
      </c>
      <c r="D274" s="6">
        <v>1232.7</v>
      </c>
      <c r="E274" s="6">
        <v>0</v>
      </c>
      <c r="F274" s="6">
        <v>359668.68</v>
      </c>
      <c r="G274" t="s">
        <v>2660</v>
      </c>
    </row>
    <row r="275" spans="1:7" hidden="1" x14ac:dyDescent="0.3">
      <c r="A275" s="5">
        <v>45502</v>
      </c>
      <c r="B275" t="s">
        <v>9</v>
      </c>
      <c r="C275" t="s">
        <v>339</v>
      </c>
      <c r="D275" s="6">
        <v>25558.2</v>
      </c>
      <c r="E275" s="6">
        <v>0</v>
      </c>
      <c r="F275" s="6">
        <v>334110.48</v>
      </c>
      <c r="G275" t="s">
        <v>2660</v>
      </c>
    </row>
    <row r="276" spans="1:7" hidden="1" x14ac:dyDescent="0.3">
      <c r="A276" s="5">
        <v>45503</v>
      </c>
      <c r="B276" t="s">
        <v>12</v>
      </c>
      <c r="C276" t="s">
        <v>340</v>
      </c>
      <c r="D276" s="6">
        <v>0</v>
      </c>
      <c r="E276" s="6">
        <v>154.37</v>
      </c>
      <c r="F276" s="6">
        <v>334264.84999999998</v>
      </c>
      <c r="G276" t="s">
        <v>2660</v>
      </c>
    </row>
    <row r="277" spans="1:7" hidden="1" x14ac:dyDescent="0.3">
      <c r="A277" s="5">
        <v>45503</v>
      </c>
      <c r="B277" t="s">
        <v>12</v>
      </c>
      <c r="C277" t="s">
        <v>341</v>
      </c>
      <c r="D277" s="6">
        <v>0</v>
      </c>
      <c r="E277" s="6">
        <v>2398.9899999999998</v>
      </c>
      <c r="F277" s="6">
        <v>336663.84</v>
      </c>
      <c r="G277" t="s">
        <v>2660</v>
      </c>
    </row>
    <row r="278" spans="1:7" hidden="1" x14ac:dyDescent="0.3">
      <c r="A278" s="5">
        <v>45503</v>
      </c>
      <c r="B278" t="s">
        <v>9</v>
      </c>
      <c r="C278" t="s">
        <v>342</v>
      </c>
      <c r="D278" s="6">
        <v>408.24</v>
      </c>
      <c r="E278" s="6">
        <v>0</v>
      </c>
      <c r="F278" s="6">
        <v>336255.6</v>
      </c>
      <c r="G278" t="s">
        <v>2660</v>
      </c>
    </row>
    <row r="279" spans="1:7" hidden="1" x14ac:dyDescent="0.3">
      <c r="A279" s="5">
        <v>45503</v>
      </c>
      <c r="B279" t="s">
        <v>343</v>
      </c>
      <c r="C279" t="s">
        <v>344</v>
      </c>
      <c r="D279" s="6">
        <v>0</v>
      </c>
      <c r="E279" s="6">
        <v>766.5</v>
      </c>
      <c r="F279" s="6">
        <v>337022.1</v>
      </c>
      <c r="G279" t="s">
        <v>145</v>
      </c>
    </row>
    <row r="280" spans="1:7" hidden="1" x14ac:dyDescent="0.3">
      <c r="A280" s="5">
        <v>45503</v>
      </c>
      <c r="B280" t="s">
        <v>9</v>
      </c>
      <c r="C280" t="s">
        <v>345</v>
      </c>
      <c r="D280" s="6">
        <v>206370.02</v>
      </c>
      <c r="E280" s="6">
        <v>0</v>
      </c>
      <c r="F280" s="6">
        <v>130652.08</v>
      </c>
      <c r="G280" t="s">
        <v>2660</v>
      </c>
    </row>
    <row r="281" spans="1:7" hidden="1" x14ac:dyDescent="0.3">
      <c r="A281" s="5">
        <v>45504</v>
      </c>
      <c r="B281" t="s">
        <v>12</v>
      </c>
      <c r="C281" t="s">
        <v>346</v>
      </c>
      <c r="D281" s="6">
        <v>0</v>
      </c>
      <c r="E281" s="6">
        <v>194793.94</v>
      </c>
      <c r="F281" s="6">
        <v>325446.02</v>
      </c>
      <c r="G281" t="s">
        <v>2660</v>
      </c>
    </row>
    <row r="282" spans="1:7" hidden="1" x14ac:dyDescent="0.3">
      <c r="A282" s="5">
        <v>45504</v>
      </c>
      <c r="B282" t="s">
        <v>9</v>
      </c>
      <c r="C282" t="s">
        <v>347</v>
      </c>
      <c r="D282" s="6">
        <v>356.24</v>
      </c>
      <c r="E282" s="6">
        <v>0</v>
      </c>
      <c r="F282" s="6">
        <v>325089.78000000003</v>
      </c>
      <c r="G282" t="s">
        <v>2660</v>
      </c>
    </row>
    <row r="283" spans="1:7" hidden="1" x14ac:dyDescent="0.3">
      <c r="A283" s="5">
        <v>45504</v>
      </c>
      <c r="B283" t="s">
        <v>348</v>
      </c>
      <c r="C283" t="s">
        <v>349</v>
      </c>
      <c r="D283" s="6">
        <v>0</v>
      </c>
      <c r="E283" s="6">
        <v>1060</v>
      </c>
      <c r="F283" s="6">
        <v>326149.78000000003</v>
      </c>
      <c r="G283" t="s">
        <v>145</v>
      </c>
    </row>
    <row r="284" spans="1:7" hidden="1" x14ac:dyDescent="0.3">
      <c r="A284" s="5">
        <v>45504</v>
      </c>
      <c r="B284" t="s">
        <v>350</v>
      </c>
      <c r="C284" t="s">
        <v>351</v>
      </c>
      <c r="D284" s="6">
        <v>8000</v>
      </c>
      <c r="E284" s="6">
        <v>0</v>
      </c>
      <c r="F284" s="6">
        <v>318149.78000000003</v>
      </c>
      <c r="G284" t="s">
        <v>352</v>
      </c>
    </row>
    <row r="285" spans="1:7" hidden="1" x14ac:dyDescent="0.3">
      <c r="A285" s="5">
        <v>45504</v>
      </c>
      <c r="B285" t="s">
        <v>353</v>
      </c>
      <c r="C285" t="s">
        <v>354</v>
      </c>
      <c r="D285" s="6">
        <v>0</v>
      </c>
      <c r="E285" s="6">
        <v>115</v>
      </c>
      <c r="F285" s="6">
        <v>318264.78000000003</v>
      </c>
      <c r="G285" t="s">
        <v>145</v>
      </c>
    </row>
    <row r="286" spans="1:7" hidden="1" x14ac:dyDescent="0.3">
      <c r="A286" s="5">
        <v>45504</v>
      </c>
      <c r="B286" t="s">
        <v>355</v>
      </c>
      <c r="C286" t="s">
        <v>356</v>
      </c>
      <c r="D286" s="6">
        <v>0</v>
      </c>
      <c r="E286" s="6">
        <v>18000</v>
      </c>
      <c r="F286" s="6">
        <v>336264.78</v>
      </c>
      <c r="G286" t="s">
        <v>123</v>
      </c>
    </row>
    <row r="287" spans="1:7" hidden="1" x14ac:dyDescent="0.3">
      <c r="A287" s="5">
        <v>45504</v>
      </c>
      <c r="B287" t="s">
        <v>9</v>
      </c>
      <c r="C287" t="s">
        <v>357</v>
      </c>
      <c r="D287" s="6">
        <v>135587.03</v>
      </c>
      <c r="E287" s="6">
        <v>0</v>
      </c>
      <c r="F287" s="6">
        <v>200677.75</v>
      </c>
      <c r="G287" t="s">
        <v>2660</v>
      </c>
    </row>
    <row r="288" spans="1:7" hidden="1" x14ac:dyDescent="0.3">
      <c r="A288" s="5">
        <v>45505</v>
      </c>
      <c r="B288" t="s">
        <v>12</v>
      </c>
      <c r="C288" t="s">
        <v>358</v>
      </c>
      <c r="D288" s="6">
        <v>0</v>
      </c>
      <c r="E288" s="6">
        <v>16063.34</v>
      </c>
      <c r="F288" s="6">
        <v>216741.09</v>
      </c>
      <c r="G288" t="s">
        <v>2660</v>
      </c>
    </row>
    <row r="289" spans="1:7" hidden="1" x14ac:dyDescent="0.3">
      <c r="A289" s="5">
        <v>45505</v>
      </c>
      <c r="B289" t="s">
        <v>9</v>
      </c>
      <c r="C289" t="s">
        <v>359</v>
      </c>
      <c r="D289" s="6">
        <v>318.98</v>
      </c>
      <c r="E289" s="6">
        <v>0</v>
      </c>
      <c r="F289" s="6">
        <v>216422.11</v>
      </c>
      <c r="G289" t="s">
        <v>2660</v>
      </c>
    </row>
    <row r="290" spans="1:7" hidden="1" x14ac:dyDescent="0.3">
      <c r="A290" s="5">
        <v>45505</v>
      </c>
      <c r="B290" t="s">
        <v>9</v>
      </c>
      <c r="C290" t="s">
        <v>360</v>
      </c>
      <c r="D290" s="6">
        <v>13071.05</v>
      </c>
      <c r="E290" s="6">
        <v>0</v>
      </c>
      <c r="F290" s="6">
        <v>203351.06</v>
      </c>
      <c r="G290" t="s">
        <v>2660</v>
      </c>
    </row>
    <row r="291" spans="1:7" hidden="1" x14ac:dyDescent="0.3">
      <c r="A291" s="5">
        <v>45506</v>
      </c>
      <c r="B291" t="s">
        <v>12</v>
      </c>
      <c r="C291" t="s">
        <v>361</v>
      </c>
      <c r="D291" s="6">
        <v>0</v>
      </c>
      <c r="E291" s="6">
        <v>300.83999999999997</v>
      </c>
      <c r="F291" s="6">
        <v>203651.9</v>
      </c>
      <c r="G291" t="s">
        <v>2660</v>
      </c>
    </row>
    <row r="292" spans="1:7" hidden="1" x14ac:dyDescent="0.3">
      <c r="A292" s="5">
        <v>45506</v>
      </c>
      <c r="B292" t="s">
        <v>12</v>
      </c>
      <c r="C292" t="s">
        <v>362</v>
      </c>
      <c r="D292" s="6">
        <v>0</v>
      </c>
      <c r="E292" s="6">
        <v>42742.64</v>
      </c>
      <c r="F292" s="6">
        <v>246394.54</v>
      </c>
      <c r="G292" t="s">
        <v>2660</v>
      </c>
    </row>
    <row r="293" spans="1:7" hidden="1" x14ac:dyDescent="0.3">
      <c r="A293" s="5">
        <v>45506</v>
      </c>
      <c r="B293" t="s">
        <v>9</v>
      </c>
      <c r="C293" t="s">
        <v>363</v>
      </c>
      <c r="D293" s="6">
        <v>273.89</v>
      </c>
      <c r="E293" s="6">
        <v>0</v>
      </c>
      <c r="F293" s="6">
        <v>246120.65</v>
      </c>
      <c r="G293" t="s">
        <v>2660</v>
      </c>
    </row>
    <row r="294" spans="1:7" hidden="1" x14ac:dyDescent="0.3">
      <c r="A294" s="5">
        <v>45506</v>
      </c>
      <c r="B294" t="s">
        <v>364</v>
      </c>
      <c r="C294" t="s">
        <v>365</v>
      </c>
      <c r="D294" s="6">
        <v>0</v>
      </c>
      <c r="E294" s="6">
        <v>80</v>
      </c>
      <c r="F294" s="6">
        <v>246200.65</v>
      </c>
      <c r="G294" t="s">
        <v>145</v>
      </c>
    </row>
    <row r="295" spans="1:7" hidden="1" x14ac:dyDescent="0.3">
      <c r="A295" s="5">
        <v>45507</v>
      </c>
      <c r="B295" t="s">
        <v>9</v>
      </c>
      <c r="C295" t="s">
        <v>366</v>
      </c>
      <c r="D295" s="6">
        <v>19684.34</v>
      </c>
      <c r="E295" s="6">
        <v>0</v>
      </c>
      <c r="F295" s="6">
        <v>226516.31</v>
      </c>
      <c r="G295" t="s">
        <v>2660</v>
      </c>
    </row>
    <row r="296" spans="1:7" hidden="1" x14ac:dyDescent="0.3">
      <c r="A296" s="5">
        <v>45509</v>
      </c>
      <c r="B296" t="s">
        <v>12</v>
      </c>
      <c r="C296" t="s">
        <v>367</v>
      </c>
      <c r="D296" s="6">
        <v>0</v>
      </c>
      <c r="E296" s="6">
        <v>28798.57</v>
      </c>
      <c r="F296" s="6">
        <v>255314.88</v>
      </c>
      <c r="G296" t="s">
        <v>2660</v>
      </c>
    </row>
    <row r="297" spans="1:7" hidden="1" x14ac:dyDescent="0.3">
      <c r="A297" s="5">
        <v>45509</v>
      </c>
      <c r="B297" t="s">
        <v>9</v>
      </c>
      <c r="C297" t="s">
        <v>368</v>
      </c>
      <c r="D297" s="6">
        <v>773.01</v>
      </c>
      <c r="E297" s="6">
        <v>0</v>
      </c>
      <c r="F297" s="6">
        <v>254541.87</v>
      </c>
      <c r="G297" t="s">
        <v>2660</v>
      </c>
    </row>
    <row r="298" spans="1:7" hidden="1" x14ac:dyDescent="0.3">
      <c r="A298" s="5">
        <v>45509</v>
      </c>
      <c r="B298" t="s">
        <v>369</v>
      </c>
      <c r="C298" t="s">
        <v>370</v>
      </c>
      <c r="D298" s="6">
        <v>10000</v>
      </c>
      <c r="E298" s="6">
        <v>0</v>
      </c>
      <c r="F298" s="6">
        <v>244541.87</v>
      </c>
      <c r="G298" t="s">
        <v>33</v>
      </c>
    </row>
    <row r="299" spans="1:7" hidden="1" x14ac:dyDescent="0.3">
      <c r="A299" s="5">
        <v>45509</v>
      </c>
      <c r="B299" t="s">
        <v>371</v>
      </c>
      <c r="C299" t="s">
        <v>372</v>
      </c>
      <c r="D299" s="6">
        <v>0</v>
      </c>
      <c r="E299" s="6">
        <v>140</v>
      </c>
      <c r="F299" s="6">
        <v>244681.87</v>
      </c>
      <c r="G299" t="s">
        <v>145</v>
      </c>
    </row>
    <row r="300" spans="1:7" hidden="1" x14ac:dyDescent="0.3">
      <c r="A300" s="5">
        <v>45509</v>
      </c>
      <c r="B300" t="s">
        <v>9</v>
      </c>
      <c r="C300" t="s">
        <v>373</v>
      </c>
      <c r="D300" s="6">
        <v>89156.99</v>
      </c>
      <c r="E300" s="6">
        <v>0</v>
      </c>
      <c r="F300" s="6">
        <v>155524.88</v>
      </c>
      <c r="G300" t="s">
        <v>2660</v>
      </c>
    </row>
    <row r="301" spans="1:7" hidden="1" x14ac:dyDescent="0.3">
      <c r="A301" s="5">
        <v>45510</v>
      </c>
      <c r="B301" t="s">
        <v>12</v>
      </c>
      <c r="C301" t="s">
        <v>374</v>
      </c>
      <c r="D301" s="6">
        <v>0</v>
      </c>
      <c r="E301" s="6">
        <v>196424.07</v>
      </c>
      <c r="F301" s="6">
        <v>351948.95</v>
      </c>
      <c r="G301" t="s">
        <v>2660</v>
      </c>
    </row>
    <row r="302" spans="1:7" hidden="1" x14ac:dyDescent="0.3">
      <c r="A302" s="5">
        <v>45510</v>
      </c>
      <c r="B302" t="s">
        <v>9</v>
      </c>
      <c r="C302" t="s">
        <v>375</v>
      </c>
      <c r="D302" s="6">
        <v>237.07</v>
      </c>
      <c r="E302" s="6">
        <v>0</v>
      </c>
      <c r="F302" s="6">
        <v>351711.88</v>
      </c>
      <c r="G302" t="s">
        <v>2660</v>
      </c>
    </row>
    <row r="303" spans="1:7" hidden="1" x14ac:dyDescent="0.3">
      <c r="A303" s="5">
        <v>45510</v>
      </c>
      <c r="B303" t="s">
        <v>9</v>
      </c>
      <c r="C303" t="s">
        <v>376</v>
      </c>
      <c r="D303" s="6">
        <v>83547.61</v>
      </c>
      <c r="E303" s="6">
        <v>0</v>
      </c>
      <c r="F303" s="6">
        <v>268164.27</v>
      </c>
      <c r="G303" t="s">
        <v>2660</v>
      </c>
    </row>
    <row r="304" spans="1:7" hidden="1" x14ac:dyDescent="0.3">
      <c r="A304" s="5">
        <v>45511</v>
      </c>
      <c r="B304" t="s">
        <v>9</v>
      </c>
      <c r="C304" t="s">
        <v>377</v>
      </c>
      <c r="D304" s="6">
        <v>263.57</v>
      </c>
      <c r="E304" s="6">
        <v>0</v>
      </c>
      <c r="F304" s="6">
        <v>267900.7</v>
      </c>
      <c r="G304" t="s">
        <v>2660</v>
      </c>
    </row>
    <row r="305" spans="1:7" hidden="1" x14ac:dyDescent="0.3">
      <c r="A305" s="5">
        <v>45512</v>
      </c>
      <c r="B305" t="s">
        <v>12</v>
      </c>
      <c r="C305" t="s">
        <v>378</v>
      </c>
      <c r="D305" s="6">
        <v>0</v>
      </c>
      <c r="E305" s="6">
        <v>26745.15</v>
      </c>
      <c r="F305" s="6">
        <v>294645.84999999998</v>
      </c>
      <c r="G305" t="s">
        <v>2660</v>
      </c>
    </row>
    <row r="306" spans="1:7" hidden="1" x14ac:dyDescent="0.3">
      <c r="A306" s="5">
        <v>45512</v>
      </c>
      <c r="B306" t="s">
        <v>9</v>
      </c>
      <c r="C306" t="s">
        <v>379</v>
      </c>
      <c r="D306" s="6">
        <v>321.2</v>
      </c>
      <c r="E306" s="6">
        <v>0</v>
      </c>
      <c r="F306" s="6">
        <v>294324.65000000002</v>
      </c>
      <c r="G306" t="s">
        <v>2660</v>
      </c>
    </row>
    <row r="307" spans="1:7" hidden="1" x14ac:dyDescent="0.3">
      <c r="A307" s="5">
        <v>45512</v>
      </c>
      <c r="B307" t="s">
        <v>9</v>
      </c>
      <c r="C307" t="s">
        <v>380</v>
      </c>
      <c r="D307" s="6">
        <v>31608.73</v>
      </c>
      <c r="E307" s="6">
        <v>0</v>
      </c>
      <c r="F307" s="6">
        <v>262715.92</v>
      </c>
      <c r="G307" t="s">
        <v>2660</v>
      </c>
    </row>
    <row r="308" spans="1:7" hidden="1" x14ac:dyDescent="0.3">
      <c r="A308" s="5">
        <v>45513</v>
      </c>
      <c r="B308" t="s">
        <v>9</v>
      </c>
      <c r="C308" t="s">
        <v>381</v>
      </c>
      <c r="D308" s="6">
        <v>317.58999999999997</v>
      </c>
      <c r="E308" s="6">
        <v>0</v>
      </c>
      <c r="F308" s="6">
        <v>262398.33</v>
      </c>
      <c r="G308" t="s">
        <v>2660</v>
      </c>
    </row>
    <row r="309" spans="1:7" hidden="1" x14ac:dyDescent="0.3">
      <c r="A309" s="5">
        <v>45513</v>
      </c>
      <c r="B309" t="s">
        <v>382</v>
      </c>
      <c r="C309" t="s">
        <v>383</v>
      </c>
      <c r="D309" s="6">
        <v>0</v>
      </c>
      <c r="E309" s="6">
        <v>3528</v>
      </c>
      <c r="F309" s="6">
        <v>265926.33</v>
      </c>
      <c r="G309" t="s">
        <v>145</v>
      </c>
    </row>
    <row r="310" spans="1:7" hidden="1" x14ac:dyDescent="0.3">
      <c r="A310" s="5">
        <v>45513</v>
      </c>
      <c r="B310" t="s">
        <v>384</v>
      </c>
      <c r="C310" t="s">
        <v>385</v>
      </c>
      <c r="D310" s="6">
        <v>0</v>
      </c>
      <c r="E310" s="6">
        <v>5</v>
      </c>
      <c r="F310" s="6">
        <v>265931.33</v>
      </c>
      <c r="G310" t="s">
        <v>145</v>
      </c>
    </row>
    <row r="311" spans="1:7" hidden="1" x14ac:dyDescent="0.3">
      <c r="A311" s="5">
        <v>45516</v>
      </c>
      <c r="B311" t="s">
        <v>12</v>
      </c>
      <c r="C311" t="s">
        <v>386</v>
      </c>
      <c r="D311" s="6">
        <v>0</v>
      </c>
      <c r="E311" s="6">
        <v>4570.16</v>
      </c>
      <c r="F311" s="6">
        <v>270501.49</v>
      </c>
      <c r="G311" t="s">
        <v>2660</v>
      </c>
    </row>
    <row r="312" spans="1:7" hidden="1" x14ac:dyDescent="0.3">
      <c r="A312" s="5">
        <v>45516</v>
      </c>
      <c r="B312" t="s">
        <v>387</v>
      </c>
      <c r="C312" t="s">
        <v>388</v>
      </c>
      <c r="D312" s="6">
        <v>0</v>
      </c>
      <c r="E312" s="6">
        <v>2340</v>
      </c>
      <c r="F312" s="6">
        <v>272841.49</v>
      </c>
      <c r="G312" t="s">
        <v>145</v>
      </c>
    </row>
    <row r="313" spans="1:7" hidden="1" x14ac:dyDescent="0.3">
      <c r="A313" s="5">
        <v>45516</v>
      </c>
      <c r="B313" t="s">
        <v>31</v>
      </c>
      <c r="C313" t="s">
        <v>389</v>
      </c>
      <c r="D313" s="6">
        <v>10000</v>
      </c>
      <c r="E313" s="6">
        <v>0</v>
      </c>
      <c r="F313" s="6">
        <v>262841.49</v>
      </c>
      <c r="G313" t="s">
        <v>33</v>
      </c>
    </row>
    <row r="314" spans="1:7" hidden="1" x14ac:dyDescent="0.3">
      <c r="A314" s="5">
        <v>45516</v>
      </c>
      <c r="B314" t="s">
        <v>390</v>
      </c>
      <c r="C314" t="s">
        <v>24</v>
      </c>
      <c r="D314" s="6">
        <v>3074.36</v>
      </c>
      <c r="E314" s="6">
        <v>0</v>
      </c>
      <c r="F314" s="6">
        <v>259767.13</v>
      </c>
      <c r="G314" t="s">
        <v>25</v>
      </c>
    </row>
    <row r="315" spans="1:7" hidden="1" x14ac:dyDescent="0.3">
      <c r="A315" s="5">
        <v>45516</v>
      </c>
      <c r="B315" t="s">
        <v>9</v>
      </c>
      <c r="C315" t="s">
        <v>391</v>
      </c>
      <c r="D315" s="6">
        <v>988.29</v>
      </c>
      <c r="E315" s="6">
        <v>0</v>
      </c>
      <c r="F315" s="6">
        <v>258778.84</v>
      </c>
      <c r="G315" t="s">
        <v>2660</v>
      </c>
    </row>
    <row r="316" spans="1:7" hidden="1" x14ac:dyDescent="0.3">
      <c r="A316" s="5">
        <v>45516</v>
      </c>
      <c r="B316" t="s">
        <v>392</v>
      </c>
      <c r="C316" t="s">
        <v>393</v>
      </c>
      <c r="D316" s="6">
        <v>0</v>
      </c>
      <c r="E316" s="6">
        <v>435</v>
      </c>
      <c r="F316" s="6">
        <v>259213.84</v>
      </c>
      <c r="G316" t="s">
        <v>145</v>
      </c>
    </row>
    <row r="317" spans="1:7" hidden="1" x14ac:dyDescent="0.3">
      <c r="A317" s="5">
        <v>45516</v>
      </c>
      <c r="B317" t="s">
        <v>9</v>
      </c>
      <c r="C317" t="s">
        <v>394</v>
      </c>
      <c r="D317" s="6">
        <v>42123.89</v>
      </c>
      <c r="E317" s="6">
        <v>0</v>
      </c>
      <c r="F317" s="6">
        <v>217089.95</v>
      </c>
      <c r="G317" t="s">
        <v>2660</v>
      </c>
    </row>
    <row r="318" spans="1:7" hidden="1" x14ac:dyDescent="0.3">
      <c r="A318" s="5">
        <v>45517</v>
      </c>
      <c r="B318" t="s">
        <v>12</v>
      </c>
      <c r="C318" t="s">
        <v>395</v>
      </c>
      <c r="D318" s="6">
        <v>0</v>
      </c>
      <c r="E318" s="6">
        <v>3068.94</v>
      </c>
      <c r="F318" s="6">
        <v>220158.89</v>
      </c>
      <c r="G318" t="s">
        <v>2660</v>
      </c>
    </row>
    <row r="319" spans="1:7" hidden="1" x14ac:dyDescent="0.3">
      <c r="A319" s="5">
        <v>45517</v>
      </c>
      <c r="B319" t="s">
        <v>9</v>
      </c>
      <c r="C319" t="s">
        <v>396</v>
      </c>
      <c r="D319" s="6">
        <v>331.06</v>
      </c>
      <c r="E319" s="6">
        <v>0</v>
      </c>
      <c r="F319" s="6">
        <v>219827.83</v>
      </c>
      <c r="G319" t="s">
        <v>2660</v>
      </c>
    </row>
    <row r="320" spans="1:7" hidden="1" x14ac:dyDescent="0.3">
      <c r="A320" s="5">
        <v>45517</v>
      </c>
      <c r="B320" t="s">
        <v>9</v>
      </c>
      <c r="C320" t="s">
        <v>397</v>
      </c>
      <c r="D320" s="6">
        <v>59950.79</v>
      </c>
      <c r="E320" s="6">
        <v>0</v>
      </c>
      <c r="F320" s="6">
        <v>159877.04</v>
      </c>
      <c r="G320" t="s">
        <v>2660</v>
      </c>
    </row>
    <row r="321" spans="1:7" hidden="1" x14ac:dyDescent="0.3">
      <c r="A321" s="5">
        <v>45518</v>
      </c>
      <c r="B321" t="s">
        <v>12</v>
      </c>
      <c r="C321" t="s">
        <v>398</v>
      </c>
      <c r="D321" s="6">
        <v>0</v>
      </c>
      <c r="E321" s="6">
        <v>20839.580000000002</v>
      </c>
      <c r="F321" s="6">
        <v>180716.62</v>
      </c>
      <c r="G321" t="s">
        <v>2660</v>
      </c>
    </row>
    <row r="322" spans="1:7" hidden="1" x14ac:dyDescent="0.3">
      <c r="A322" s="5">
        <v>45518</v>
      </c>
      <c r="B322" t="s">
        <v>9</v>
      </c>
      <c r="C322" t="s">
        <v>399</v>
      </c>
      <c r="D322" s="6">
        <v>310.8</v>
      </c>
      <c r="E322" s="6">
        <v>0</v>
      </c>
      <c r="F322" s="6">
        <v>180405.82</v>
      </c>
      <c r="G322" t="s">
        <v>2660</v>
      </c>
    </row>
    <row r="323" spans="1:7" hidden="1" x14ac:dyDescent="0.3">
      <c r="A323" s="5">
        <v>45518</v>
      </c>
      <c r="B323" t="s">
        <v>9</v>
      </c>
      <c r="C323" t="s">
        <v>400</v>
      </c>
      <c r="D323" s="6">
        <v>48158.64</v>
      </c>
      <c r="E323" s="6">
        <v>0</v>
      </c>
      <c r="F323" s="6">
        <v>132247.18</v>
      </c>
      <c r="G323" t="s">
        <v>2660</v>
      </c>
    </row>
    <row r="324" spans="1:7" hidden="1" x14ac:dyDescent="0.3">
      <c r="A324" s="5">
        <v>45518</v>
      </c>
      <c r="B324" t="s">
        <v>9</v>
      </c>
      <c r="C324" t="s">
        <v>401</v>
      </c>
      <c r="D324" s="6">
        <v>41408.53</v>
      </c>
      <c r="E324" s="6">
        <v>0</v>
      </c>
      <c r="F324" s="6">
        <v>90838.65</v>
      </c>
      <c r="G324" t="s">
        <v>2660</v>
      </c>
    </row>
    <row r="325" spans="1:7" hidden="1" x14ac:dyDescent="0.3">
      <c r="A325" s="5">
        <v>45519</v>
      </c>
      <c r="B325" t="s">
        <v>402</v>
      </c>
      <c r="C325" t="s">
        <v>403</v>
      </c>
      <c r="D325" s="6">
        <v>0</v>
      </c>
      <c r="E325" s="6">
        <v>88.8</v>
      </c>
      <c r="F325" s="6">
        <v>90927.45</v>
      </c>
      <c r="G325" t="s">
        <v>145</v>
      </c>
    </row>
    <row r="326" spans="1:7" hidden="1" x14ac:dyDescent="0.3">
      <c r="A326" s="5">
        <v>45520</v>
      </c>
      <c r="B326" t="s">
        <v>31</v>
      </c>
      <c r="C326" t="s">
        <v>404</v>
      </c>
      <c r="D326" s="6">
        <v>10000</v>
      </c>
      <c r="E326" s="6">
        <v>0</v>
      </c>
      <c r="F326" s="6">
        <v>80927.45</v>
      </c>
      <c r="G326" t="s">
        <v>33</v>
      </c>
    </row>
    <row r="327" spans="1:7" hidden="1" x14ac:dyDescent="0.3">
      <c r="A327" s="5">
        <v>45520</v>
      </c>
      <c r="B327" t="s">
        <v>9</v>
      </c>
      <c r="C327" t="s">
        <v>405</v>
      </c>
      <c r="D327" s="6">
        <v>672.28</v>
      </c>
      <c r="E327" s="6">
        <v>0</v>
      </c>
      <c r="F327" s="6">
        <v>80255.17</v>
      </c>
      <c r="G327" t="s">
        <v>2660</v>
      </c>
    </row>
    <row r="328" spans="1:7" hidden="1" x14ac:dyDescent="0.3">
      <c r="A328" s="5">
        <v>45520</v>
      </c>
      <c r="B328" t="s">
        <v>406</v>
      </c>
      <c r="C328" t="s">
        <v>407</v>
      </c>
      <c r="D328" s="6">
        <v>0</v>
      </c>
      <c r="E328" s="6">
        <v>630</v>
      </c>
      <c r="F328" s="6">
        <v>80885.17</v>
      </c>
      <c r="G328" t="s">
        <v>145</v>
      </c>
    </row>
    <row r="329" spans="1:7" hidden="1" x14ac:dyDescent="0.3">
      <c r="A329" s="5">
        <v>45520</v>
      </c>
      <c r="B329" t="s">
        <v>408</v>
      </c>
      <c r="C329" t="s">
        <v>409</v>
      </c>
      <c r="D329" s="6">
        <v>0</v>
      </c>
      <c r="E329" s="6">
        <v>1080</v>
      </c>
      <c r="F329" s="6">
        <v>81965.17</v>
      </c>
      <c r="G329" t="s">
        <v>145</v>
      </c>
    </row>
    <row r="330" spans="1:7" hidden="1" x14ac:dyDescent="0.3">
      <c r="A330" s="5">
        <v>45521</v>
      </c>
      <c r="B330" t="s">
        <v>410</v>
      </c>
      <c r="C330" t="s">
        <v>411</v>
      </c>
      <c r="D330" s="6">
        <v>295</v>
      </c>
      <c r="E330" s="6">
        <v>0</v>
      </c>
      <c r="F330" s="6">
        <v>81670.17</v>
      </c>
      <c r="G330" t="s">
        <v>89</v>
      </c>
    </row>
    <row r="331" spans="1:7" hidden="1" x14ac:dyDescent="0.3">
      <c r="A331" s="5">
        <v>45522</v>
      </c>
      <c r="B331" t="s">
        <v>412</v>
      </c>
      <c r="C331" t="s">
        <v>413</v>
      </c>
      <c r="D331" s="6">
        <v>0</v>
      </c>
      <c r="E331" s="6">
        <v>100000</v>
      </c>
      <c r="F331" s="6">
        <v>181670.17</v>
      </c>
      <c r="G331" t="s">
        <v>414</v>
      </c>
    </row>
    <row r="332" spans="1:7" hidden="1" x14ac:dyDescent="0.3">
      <c r="A332" s="5">
        <v>45523</v>
      </c>
      <c r="B332" t="s">
        <v>12</v>
      </c>
      <c r="C332" t="s">
        <v>415</v>
      </c>
      <c r="D332" s="6">
        <v>0</v>
      </c>
      <c r="E332" s="6">
        <v>14196.86</v>
      </c>
      <c r="F332" s="6">
        <v>195867.03</v>
      </c>
      <c r="G332" t="s">
        <v>2660</v>
      </c>
    </row>
    <row r="333" spans="1:7" hidden="1" x14ac:dyDescent="0.3">
      <c r="A333" s="5">
        <v>45523</v>
      </c>
      <c r="B333" t="s">
        <v>12</v>
      </c>
      <c r="C333" t="s">
        <v>416</v>
      </c>
      <c r="D333" s="6">
        <v>0</v>
      </c>
      <c r="E333" s="6">
        <v>37084.78</v>
      </c>
      <c r="F333" s="6">
        <v>232951.81</v>
      </c>
      <c r="G333" t="s">
        <v>2660</v>
      </c>
    </row>
    <row r="334" spans="1:7" hidden="1" x14ac:dyDescent="0.3">
      <c r="A334" s="5">
        <v>45523</v>
      </c>
      <c r="B334" t="s">
        <v>9</v>
      </c>
      <c r="C334" t="s">
        <v>417</v>
      </c>
      <c r="D334" s="6">
        <v>1121.76</v>
      </c>
      <c r="E334" s="6">
        <v>0</v>
      </c>
      <c r="F334" s="6">
        <v>231830.05</v>
      </c>
      <c r="G334" t="s">
        <v>2660</v>
      </c>
    </row>
    <row r="335" spans="1:7" hidden="1" x14ac:dyDescent="0.3">
      <c r="A335" s="5">
        <v>45524</v>
      </c>
      <c r="B335" t="s">
        <v>12</v>
      </c>
      <c r="C335" t="s">
        <v>418</v>
      </c>
      <c r="D335" s="6">
        <v>0</v>
      </c>
      <c r="E335" s="6">
        <v>119894.24</v>
      </c>
      <c r="F335" s="6">
        <v>351724.29</v>
      </c>
      <c r="G335" t="s">
        <v>2660</v>
      </c>
    </row>
    <row r="336" spans="1:7" hidden="1" x14ac:dyDescent="0.3">
      <c r="A336" s="5">
        <v>45524</v>
      </c>
      <c r="B336" t="s">
        <v>31</v>
      </c>
      <c r="C336" t="s">
        <v>419</v>
      </c>
      <c r="D336" s="6">
        <v>10000</v>
      </c>
      <c r="E336" s="6">
        <v>0</v>
      </c>
      <c r="F336" s="6">
        <v>341724.29</v>
      </c>
      <c r="G336" t="s">
        <v>33</v>
      </c>
    </row>
    <row r="337" spans="1:7" hidden="1" x14ac:dyDescent="0.3">
      <c r="A337" s="5">
        <v>45524</v>
      </c>
      <c r="B337" t="s">
        <v>9</v>
      </c>
      <c r="C337" t="s">
        <v>420</v>
      </c>
      <c r="D337" s="6">
        <v>379.44</v>
      </c>
      <c r="E337" s="6">
        <v>0</v>
      </c>
      <c r="F337" s="6">
        <v>341344.85</v>
      </c>
      <c r="G337" t="s">
        <v>2660</v>
      </c>
    </row>
    <row r="338" spans="1:7" hidden="1" x14ac:dyDescent="0.3">
      <c r="A338" s="5">
        <v>45524</v>
      </c>
      <c r="B338" t="s">
        <v>9</v>
      </c>
      <c r="C338" t="s">
        <v>421</v>
      </c>
      <c r="D338" s="6">
        <v>22440.959999999999</v>
      </c>
      <c r="E338" s="6">
        <v>0</v>
      </c>
      <c r="F338" s="6">
        <v>318903.89</v>
      </c>
      <c r="G338" t="s">
        <v>2660</v>
      </c>
    </row>
    <row r="339" spans="1:7" hidden="1" x14ac:dyDescent="0.3">
      <c r="A339" s="5">
        <v>45524</v>
      </c>
      <c r="B339" t="s">
        <v>9</v>
      </c>
      <c r="C339" t="s">
        <v>422</v>
      </c>
      <c r="D339" s="6">
        <v>2813.96</v>
      </c>
      <c r="E339" s="6">
        <v>0</v>
      </c>
      <c r="F339" s="6">
        <v>316089.93</v>
      </c>
      <c r="G339" t="s">
        <v>2660</v>
      </c>
    </row>
    <row r="340" spans="1:7" hidden="1" x14ac:dyDescent="0.3">
      <c r="A340" s="5">
        <v>45525</v>
      </c>
      <c r="B340" t="s">
        <v>423</v>
      </c>
      <c r="C340" t="s">
        <v>424</v>
      </c>
      <c r="D340" s="6">
        <v>0</v>
      </c>
      <c r="E340" s="6">
        <v>200000</v>
      </c>
      <c r="F340" s="6">
        <v>516089.93</v>
      </c>
      <c r="G340" t="s">
        <v>62</v>
      </c>
    </row>
    <row r="341" spans="1:7" hidden="1" x14ac:dyDescent="0.3">
      <c r="A341" s="5">
        <v>45525</v>
      </c>
      <c r="B341" t="s">
        <v>9</v>
      </c>
      <c r="C341" t="s">
        <v>425</v>
      </c>
      <c r="D341" s="6">
        <v>250.16</v>
      </c>
      <c r="E341" s="6">
        <v>0</v>
      </c>
      <c r="F341" s="6">
        <v>515839.77</v>
      </c>
      <c r="G341" t="s">
        <v>2660</v>
      </c>
    </row>
    <row r="342" spans="1:7" hidden="1" x14ac:dyDescent="0.3">
      <c r="A342" s="5">
        <v>45525</v>
      </c>
      <c r="B342" t="s">
        <v>426</v>
      </c>
      <c r="C342" t="s">
        <v>427</v>
      </c>
      <c r="D342" s="6">
        <v>0</v>
      </c>
      <c r="E342" s="6">
        <v>1174.31</v>
      </c>
      <c r="F342" s="6">
        <v>517014.08</v>
      </c>
      <c r="G342" t="s">
        <v>83</v>
      </c>
    </row>
    <row r="343" spans="1:7" hidden="1" x14ac:dyDescent="0.3">
      <c r="A343" s="5">
        <v>45526</v>
      </c>
      <c r="B343" t="s">
        <v>12</v>
      </c>
      <c r="C343" t="s">
        <v>428</v>
      </c>
      <c r="D343" s="6">
        <v>0</v>
      </c>
      <c r="E343" s="6">
        <v>9096.3700000000008</v>
      </c>
      <c r="F343" s="6">
        <v>526110.44999999995</v>
      </c>
      <c r="G343" t="s">
        <v>2660</v>
      </c>
    </row>
    <row r="344" spans="1:7" hidden="1" x14ac:dyDescent="0.3">
      <c r="A344" s="5">
        <v>45526</v>
      </c>
      <c r="B344" t="s">
        <v>9</v>
      </c>
      <c r="C344" t="s">
        <v>429</v>
      </c>
      <c r="D344" s="6">
        <v>250.16</v>
      </c>
      <c r="E344" s="6">
        <v>0</v>
      </c>
      <c r="F344" s="6">
        <v>525860.29</v>
      </c>
      <c r="G344" t="s">
        <v>2660</v>
      </c>
    </row>
    <row r="345" spans="1:7" hidden="1" x14ac:dyDescent="0.3">
      <c r="A345" s="5">
        <v>45526</v>
      </c>
      <c r="B345" t="s">
        <v>430</v>
      </c>
      <c r="C345" t="s">
        <v>431</v>
      </c>
      <c r="D345" s="6">
        <v>200000</v>
      </c>
      <c r="E345" s="6">
        <v>0</v>
      </c>
      <c r="F345" s="6">
        <v>325860.28999999998</v>
      </c>
      <c r="G345" t="s">
        <v>172</v>
      </c>
    </row>
    <row r="346" spans="1:7" hidden="1" x14ac:dyDescent="0.3">
      <c r="A346" s="5">
        <v>45526</v>
      </c>
      <c r="B346" t="s">
        <v>9</v>
      </c>
      <c r="C346" t="s">
        <v>432</v>
      </c>
      <c r="D346" s="6">
        <v>35.32</v>
      </c>
      <c r="E346" s="6">
        <v>0</v>
      </c>
      <c r="F346" s="6">
        <v>325824.96999999997</v>
      </c>
      <c r="G346" t="s">
        <v>2660</v>
      </c>
    </row>
    <row r="347" spans="1:7" hidden="1" x14ac:dyDescent="0.3">
      <c r="A347" s="5">
        <v>45527</v>
      </c>
      <c r="B347" t="s">
        <v>9</v>
      </c>
      <c r="C347" t="s">
        <v>433</v>
      </c>
      <c r="D347" s="6">
        <v>244.69</v>
      </c>
      <c r="E347" s="6">
        <v>0</v>
      </c>
      <c r="F347" s="6">
        <v>325580.28000000003</v>
      </c>
      <c r="G347" t="s">
        <v>2660</v>
      </c>
    </row>
    <row r="348" spans="1:7" hidden="1" x14ac:dyDescent="0.3">
      <c r="A348" s="5">
        <v>45527</v>
      </c>
      <c r="B348" t="s">
        <v>434</v>
      </c>
      <c r="C348" t="s">
        <v>435</v>
      </c>
      <c r="D348" s="6">
        <v>0</v>
      </c>
      <c r="E348" s="6">
        <v>450</v>
      </c>
      <c r="F348" s="6">
        <v>326030.28000000003</v>
      </c>
      <c r="G348" t="s">
        <v>145</v>
      </c>
    </row>
    <row r="349" spans="1:7" hidden="1" x14ac:dyDescent="0.3">
      <c r="A349" s="5">
        <v>45527</v>
      </c>
      <c r="B349" t="s">
        <v>9</v>
      </c>
      <c r="C349" t="s">
        <v>436</v>
      </c>
      <c r="D349" s="6">
        <v>32495.56</v>
      </c>
      <c r="E349" s="6">
        <v>0</v>
      </c>
      <c r="F349" s="6">
        <v>293534.71999999997</v>
      </c>
      <c r="G349" t="s">
        <v>2660</v>
      </c>
    </row>
    <row r="350" spans="1:7" hidden="1" x14ac:dyDescent="0.3">
      <c r="A350" s="5">
        <v>45527</v>
      </c>
      <c r="B350" t="s">
        <v>9</v>
      </c>
      <c r="C350" t="s">
        <v>437</v>
      </c>
      <c r="D350" s="6">
        <v>15793.05</v>
      </c>
      <c r="E350" s="6">
        <v>0</v>
      </c>
      <c r="F350" s="6">
        <v>277741.67</v>
      </c>
      <c r="G350" t="s">
        <v>2660</v>
      </c>
    </row>
    <row r="351" spans="1:7" hidden="1" x14ac:dyDescent="0.3">
      <c r="A351" s="5">
        <v>45530</v>
      </c>
      <c r="B351" t="s">
        <v>9</v>
      </c>
      <c r="C351" t="s">
        <v>438</v>
      </c>
      <c r="D351" s="6">
        <v>717.18</v>
      </c>
      <c r="E351" s="6">
        <v>0</v>
      </c>
      <c r="F351" s="6">
        <v>277024.49</v>
      </c>
      <c r="G351" t="s">
        <v>2660</v>
      </c>
    </row>
    <row r="352" spans="1:7" hidden="1" x14ac:dyDescent="0.3">
      <c r="A352" s="5">
        <v>45530</v>
      </c>
      <c r="B352" t="s">
        <v>9</v>
      </c>
      <c r="C352" t="s">
        <v>439</v>
      </c>
      <c r="D352" s="6">
        <v>41276.239999999998</v>
      </c>
      <c r="E352" s="6">
        <v>0</v>
      </c>
      <c r="F352" s="6">
        <v>235748.25</v>
      </c>
      <c r="G352" t="s">
        <v>2660</v>
      </c>
    </row>
    <row r="353" spans="1:7" hidden="1" x14ac:dyDescent="0.3">
      <c r="A353" s="5">
        <v>45531</v>
      </c>
      <c r="B353" t="s">
        <v>12</v>
      </c>
      <c r="C353" t="s">
        <v>440</v>
      </c>
      <c r="D353" s="6">
        <v>0</v>
      </c>
      <c r="E353" s="6">
        <v>232.32</v>
      </c>
      <c r="F353" s="6">
        <v>235980.57</v>
      </c>
      <c r="G353" t="s">
        <v>2660</v>
      </c>
    </row>
    <row r="354" spans="1:7" hidden="1" x14ac:dyDescent="0.3">
      <c r="A354" s="5">
        <v>45531</v>
      </c>
      <c r="B354" t="s">
        <v>12</v>
      </c>
      <c r="C354" t="s">
        <v>441</v>
      </c>
      <c r="D354" s="6">
        <v>0</v>
      </c>
      <c r="E354" s="6">
        <v>57259.22</v>
      </c>
      <c r="F354" s="6">
        <v>293239.78999999998</v>
      </c>
      <c r="G354" t="s">
        <v>2660</v>
      </c>
    </row>
    <row r="355" spans="1:7" hidden="1" x14ac:dyDescent="0.3">
      <c r="A355" s="5">
        <v>45531</v>
      </c>
      <c r="B355" t="s">
        <v>442</v>
      </c>
      <c r="C355" t="s">
        <v>443</v>
      </c>
      <c r="D355" s="6">
        <v>0</v>
      </c>
      <c r="E355" s="6">
        <v>24.5</v>
      </c>
      <c r="F355" s="6">
        <v>293264.28999999998</v>
      </c>
      <c r="G355" t="s">
        <v>145</v>
      </c>
    </row>
    <row r="356" spans="1:7" hidden="1" x14ac:dyDescent="0.3">
      <c r="A356" s="5">
        <v>45531</v>
      </c>
      <c r="B356" t="s">
        <v>9</v>
      </c>
      <c r="C356" t="s">
        <v>444</v>
      </c>
      <c r="D356" s="6">
        <v>235.79</v>
      </c>
      <c r="E356" s="6">
        <v>0</v>
      </c>
      <c r="F356" s="6">
        <v>293028.5</v>
      </c>
      <c r="G356" t="s">
        <v>2660</v>
      </c>
    </row>
    <row r="357" spans="1:7" hidden="1" x14ac:dyDescent="0.3">
      <c r="A357" s="5">
        <v>45531</v>
      </c>
      <c r="B357" t="s">
        <v>445</v>
      </c>
      <c r="C357" t="s">
        <v>446</v>
      </c>
      <c r="D357" s="6">
        <v>0</v>
      </c>
      <c r="E357" s="6">
        <v>402.5</v>
      </c>
      <c r="F357" s="6">
        <v>293431</v>
      </c>
      <c r="G357" t="s">
        <v>145</v>
      </c>
    </row>
    <row r="358" spans="1:7" hidden="1" x14ac:dyDescent="0.3">
      <c r="A358" s="5">
        <v>45531</v>
      </c>
      <c r="B358" t="s">
        <v>9</v>
      </c>
      <c r="C358" t="s">
        <v>447</v>
      </c>
      <c r="D358" s="6">
        <v>33855.01</v>
      </c>
      <c r="E358" s="6">
        <v>0</v>
      </c>
      <c r="F358" s="6">
        <v>259575.99</v>
      </c>
      <c r="G358" t="s">
        <v>2660</v>
      </c>
    </row>
    <row r="359" spans="1:7" hidden="1" x14ac:dyDescent="0.3">
      <c r="A359" s="5">
        <v>45532</v>
      </c>
      <c r="B359" t="s">
        <v>9</v>
      </c>
      <c r="C359" t="s">
        <v>448</v>
      </c>
      <c r="D359" s="6">
        <v>2150.8200000000002</v>
      </c>
      <c r="E359" s="6">
        <v>0</v>
      </c>
      <c r="F359" s="6">
        <v>257425.17</v>
      </c>
      <c r="G359" t="s">
        <v>2660</v>
      </c>
    </row>
    <row r="360" spans="1:7" hidden="1" x14ac:dyDescent="0.3">
      <c r="A360" s="5">
        <v>45532</v>
      </c>
      <c r="B360" t="s">
        <v>9</v>
      </c>
      <c r="C360" t="s">
        <v>449</v>
      </c>
      <c r="D360" s="6">
        <v>172</v>
      </c>
      <c r="E360" s="6">
        <v>0</v>
      </c>
      <c r="F360" s="6">
        <v>257253.17</v>
      </c>
      <c r="G360" t="s">
        <v>2660</v>
      </c>
    </row>
    <row r="361" spans="1:7" hidden="1" x14ac:dyDescent="0.3">
      <c r="A361" s="5">
        <v>45532</v>
      </c>
      <c r="B361" t="s">
        <v>9</v>
      </c>
      <c r="C361" t="s">
        <v>450</v>
      </c>
      <c r="D361" s="6">
        <v>222.78</v>
      </c>
      <c r="E361" s="6">
        <v>0</v>
      </c>
      <c r="F361" s="6">
        <v>257030.39</v>
      </c>
      <c r="G361" t="s">
        <v>2660</v>
      </c>
    </row>
    <row r="362" spans="1:7" hidden="1" x14ac:dyDescent="0.3">
      <c r="A362" s="5">
        <v>45532</v>
      </c>
      <c r="B362" t="s">
        <v>451</v>
      </c>
      <c r="C362" t="s">
        <v>452</v>
      </c>
      <c r="D362" s="6">
        <v>0</v>
      </c>
      <c r="E362" s="6">
        <v>2128.5</v>
      </c>
      <c r="F362" s="6">
        <v>259158.89</v>
      </c>
      <c r="G362" t="s">
        <v>145</v>
      </c>
    </row>
    <row r="363" spans="1:7" hidden="1" x14ac:dyDescent="0.3">
      <c r="A363" s="5">
        <v>45532</v>
      </c>
      <c r="B363" t="s">
        <v>453</v>
      </c>
      <c r="C363" t="s">
        <v>454</v>
      </c>
      <c r="D363" s="6">
        <v>0</v>
      </c>
      <c r="E363" s="6">
        <v>58125</v>
      </c>
      <c r="F363" s="6">
        <v>317283.89</v>
      </c>
      <c r="G363" t="s">
        <v>2663</v>
      </c>
    </row>
    <row r="364" spans="1:7" hidden="1" x14ac:dyDescent="0.3">
      <c r="A364" s="5">
        <v>45533</v>
      </c>
      <c r="B364" t="s">
        <v>12</v>
      </c>
      <c r="C364" t="s">
        <v>455</v>
      </c>
      <c r="D364" s="6">
        <v>0</v>
      </c>
      <c r="E364" s="6">
        <v>4000.51</v>
      </c>
      <c r="F364" s="6">
        <v>321284.40000000002</v>
      </c>
      <c r="G364" t="s">
        <v>2660</v>
      </c>
    </row>
    <row r="365" spans="1:7" hidden="1" x14ac:dyDescent="0.3">
      <c r="A365" s="5">
        <v>45533</v>
      </c>
      <c r="B365" t="s">
        <v>12</v>
      </c>
      <c r="C365" t="s">
        <v>456</v>
      </c>
      <c r="D365" s="6">
        <v>0</v>
      </c>
      <c r="E365" s="6">
        <v>30209.24</v>
      </c>
      <c r="F365" s="6">
        <v>351493.64</v>
      </c>
      <c r="G365" t="s">
        <v>2660</v>
      </c>
    </row>
    <row r="366" spans="1:7" hidden="1" x14ac:dyDescent="0.3">
      <c r="A366" s="5">
        <v>45533</v>
      </c>
      <c r="B366" t="s">
        <v>9</v>
      </c>
      <c r="C366" t="s">
        <v>457</v>
      </c>
      <c r="D366" s="6">
        <v>222.78</v>
      </c>
      <c r="E366" s="6">
        <v>0</v>
      </c>
      <c r="F366" s="6">
        <v>351270.86</v>
      </c>
      <c r="G366" t="s">
        <v>2660</v>
      </c>
    </row>
    <row r="367" spans="1:7" hidden="1" x14ac:dyDescent="0.3">
      <c r="A367" s="5">
        <v>45533</v>
      </c>
      <c r="B367" t="s">
        <v>458</v>
      </c>
      <c r="C367" t="s">
        <v>459</v>
      </c>
      <c r="D367" s="6">
        <v>0</v>
      </c>
      <c r="E367" s="6">
        <v>210</v>
      </c>
      <c r="F367" s="6">
        <v>351480.86</v>
      </c>
      <c r="G367" t="s">
        <v>145</v>
      </c>
    </row>
    <row r="368" spans="1:7" hidden="1" x14ac:dyDescent="0.3">
      <c r="A368" s="5">
        <v>45533</v>
      </c>
      <c r="B368" t="s">
        <v>460</v>
      </c>
      <c r="C368" t="s">
        <v>461</v>
      </c>
      <c r="D368" s="6">
        <v>0</v>
      </c>
      <c r="E368" s="6">
        <v>40</v>
      </c>
      <c r="F368" s="6">
        <v>351520.86</v>
      </c>
      <c r="G368" t="s">
        <v>145</v>
      </c>
    </row>
    <row r="369" spans="1:7" hidden="1" x14ac:dyDescent="0.3">
      <c r="A369" s="5">
        <v>45534</v>
      </c>
      <c r="B369" t="s">
        <v>9</v>
      </c>
      <c r="C369" t="s">
        <v>462</v>
      </c>
      <c r="D369" s="6">
        <v>911.38</v>
      </c>
      <c r="E369" s="6">
        <v>0</v>
      </c>
      <c r="F369" s="6">
        <v>350609.48</v>
      </c>
      <c r="G369" t="s">
        <v>2660</v>
      </c>
    </row>
    <row r="370" spans="1:7" hidden="1" x14ac:dyDescent="0.3">
      <c r="A370" s="5">
        <v>45534</v>
      </c>
      <c r="B370" t="s">
        <v>463</v>
      </c>
      <c r="C370" t="s">
        <v>464</v>
      </c>
      <c r="D370" s="6">
        <v>0</v>
      </c>
      <c r="E370" s="6">
        <v>60439.38</v>
      </c>
      <c r="F370" s="6">
        <v>411048.86</v>
      </c>
      <c r="G370" t="s">
        <v>465</v>
      </c>
    </row>
    <row r="371" spans="1:7" hidden="1" x14ac:dyDescent="0.3">
      <c r="A371" s="5">
        <v>45534</v>
      </c>
      <c r="B371" t="s">
        <v>9</v>
      </c>
      <c r="C371" t="s">
        <v>466</v>
      </c>
      <c r="D371" s="6">
        <v>223.88</v>
      </c>
      <c r="E371" s="6">
        <v>0</v>
      </c>
      <c r="F371" s="6">
        <v>410824.98</v>
      </c>
      <c r="G371" t="s">
        <v>2660</v>
      </c>
    </row>
    <row r="372" spans="1:7" hidden="1" x14ac:dyDescent="0.3">
      <c r="A372" s="5">
        <v>45534</v>
      </c>
      <c r="B372" t="s">
        <v>467</v>
      </c>
      <c r="C372" t="s">
        <v>468</v>
      </c>
      <c r="D372" s="6">
        <v>0</v>
      </c>
      <c r="E372" s="6">
        <v>584.66</v>
      </c>
      <c r="F372" s="6">
        <v>411409.64</v>
      </c>
      <c r="G372" t="s">
        <v>83</v>
      </c>
    </row>
    <row r="373" spans="1:7" hidden="1" x14ac:dyDescent="0.3">
      <c r="A373" s="5">
        <v>45534</v>
      </c>
      <c r="B373" t="s">
        <v>9</v>
      </c>
      <c r="C373" t="s">
        <v>469</v>
      </c>
      <c r="D373" s="6">
        <v>4405.62</v>
      </c>
      <c r="E373" s="6">
        <v>0</v>
      </c>
      <c r="F373" s="6">
        <v>407004.02</v>
      </c>
      <c r="G373" t="s">
        <v>2660</v>
      </c>
    </row>
    <row r="374" spans="1:7" hidden="1" x14ac:dyDescent="0.3">
      <c r="A374" s="5">
        <v>45536</v>
      </c>
      <c r="B374" t="s">
        <v>470</v>
      </c>
      <c r="C374" t="s">
        <v>471</v>
      </c>
      <c r="D374" s="6">
        <v>62456</v>
      </c>
      <c r="E374" s="6">
        <v>0</v>
      </c>
      <c r="F374" s="6">
        <v>344548.02</v>
      </c>
      <c r="G374" t="s">
        <v>472</v>
      </c>
    </row>
    <row r="375" spans="1:7" hidden="1" x14ac:dyDescent="0.3">
      <c r="A375" s="5">
        <v>45537</v>
      </c>
      <c r="B375" t="s">
        <v>9</v>
      </c>
      <c r="C375" t="s">
        <v>473</v>
      </c>
      <c r="D375" s="6">
        <v>666.93</v>
      </c>
      <c r="E375" s="6">
        <v>0</v>
      </c>
      <c r="F375" s="6">
        <v>343881.09</v>
      </c>
      <c r="G375" t="s">
        <v>2660</v>
      </c>
    </row>
    <row r="376" spans="1:7" hidden="1" x14ac:dyDescent="0.3">
      <c r="A376" s="5">
        <v>45537</v>
      </c>
      <c r="B376" t="s">
        <v>474</v>
      </c>
      <c r="C376" t="s">
        <v>475</v>
      </c>
      <c r="D376" s="6">
        <v>0</v>
      </c>
      <c r="E376" s="6">
        <v>1200</v>
      </c>
      <c r="F376" s="6">
        <v>345081.09</v>
      </c>
      <c r="G376" t="s">
        <v>145</v>
      </c>
    </row>
    <row r="377" spans="1:7" hidden="1" x14ac:dyDescent="0.3">
      <c r="A377" s="5">
        <v>45537</v>
      </c>
      <c r="B377" t="s">
        <v>9</v>
      </c>
      <c r="C377" t="s">
        <v>476</v>
      </c>
      <c r="D377" s="6">
        <v>1527.43</v>
      </c>
      <c r="E377" s="6">
        <v>0</v>
      </c>
      <c r="F377" s="6">
        <v>343553.66</v>
      </c>
      <c r="G377" t="s">
        <v>2660</v>
      </c>
    </row>
    <row r="378" spans="1:7" hidden="1" x14ac:dyDescent="0.3">
      <c r="A378" s="5">
        <v>45538</v>
      </c>
      <c r="B378" t="s">
        <v>477</v>
      </c>
      <c r="C378" t="s">
        <v>478</v>
      </c>
      <c r="D378" s="6">
        <v>0</v>
      </c>
      <c r="E378" s="6">
        <v>625</v>
      </c>
      <c r="F378" s="6">
        <v>344178.66</v>
      </c>
      <c r="G378" t="s">
        <v>145</v>
      </c>
    </row>
    <row r="379" spans="1:7" hidden="1" x14ac:dyDescent="0.3">
      <c r="A379" s="5">
        <v>45538</v>
      </c>
      <c r="B379" t="s">
        <v>9</v>
      </c>
      <c r="C379" t="s">
        <v>479</v>
      </c>
      <c r="D379" s="6">
        <v>221.77</v>
      </c>
      <c r="E379" s="6">
        <v>0</v>
      </c>
      <c r="F379" s="6">
        <v>343956.89</v>
      </c>
      <c r="G379" t="s">
        <v>2660</v>
      </c>
    </row>
    <row r="380" spans="1:7" hidden="1" x14ac:dyDescent="0.3">
      <c r="A380" s="5">
        <v>45538</v>
      </c>
      <c r="B380" t="s">
        <v>9</v>
      </c>
      <c r="C380" t="s">
        <v>480</v>
      </c>
      <c r="D380" s="6">
        <v>42861.04</v>
      </c>
      <c r="E380" s="6">
        <v>0</v>
      </c>
      <c r="F380" s="6">
        <v>301095.84999999998</v>
      </c>
      <c r="G380" t="s">
        <v>2660</v>
      </c>
    </row>
    <row r="381" spans="1:7" hidden="1" x14ac:dyDescent="0.3">
      <c r="A381" s="5">
        <v>45539</v>
      </c>
      <c r="B381" t="s">
        <v>9</v>
      </c>
      <c r="C381" t="s">
        <v>481</v>
      </c>
      <c r="D381" s="6">
        <v>206.5</v>
      </c>
      <c r="E381" s="6">
        <v>0</v>
      </c>
      <c r="F381" s="6">
        <v>300889.34999999998</v>
      </c>
      <c r="G381" t="s">
        <v>2660</v>
      </c>
    </row>
    <row r="382" spans="1:7" hidden="1" x14ac:dyDescent="0.3">
      <c r="A382" s="5">
        <v>45539</v>
      </c>
      <c r="B382" t="s">
        <v>9</v>
      </c>
      <c r="C382" t="s">
        <v>482</v>
      </c>
      <c r="D382" s="6">
        <v>455.79</v>
      </c>
      <c r="E382" s="6">
        <v>0</v>
      </c>
      <c r="F382" s="6">
        <v>300433.56</v>
      </c>
      <c r="G382" t="s">
        <v>2660</v>
      </c>
    </row>
    <row r="383" spans="1:7" hidden="1" x14ac:dyDescent="0.3">
      <c r="A383" s="5">
        <v>45540</v>
      </c>
      <c r="B383" t="s">
        <v>483</v>
      </c>
      <c r="C383" t="s">
        <v>484</v>
      </c>
      <c r="D383" s="6">
        <v>10000</v>
      </c>
      <c r="E383" s="6">
        <v>0</v>
      </c>
      <c r="F383" s="6">
        <v>290433.56</v>
      </c>
      <c r="G383" t="s">
        <v>123</v>
      </c>
    </row>
    <row r="384" spans="1:7" hidden="1" x14ac:dyDescent="0.3">
      <c r="A384" s="5">
        <v>45540</v>
      </c>
      <c r="B384" t="s">
        <v>9</v>
      </c>
      <c r="C384" t="s">
        <v>485</v>
      </c>
      <c r="D384" s="6">
        <v>248.16</v>
      </c>
      <c r="E384" s="6">
        <v>0</v>
      </c>
      <c r="F384" s="6">
        <v>290185.40000000002</v>
      </c>
      <c r="G384" t="s">
        <v>2660</v>
      </c>
    </row>
    <row r="385" spans="1:7" hidden="1" x14ac:dyDescent="0.3">
      <c r="A385" s="5">
        <v>45540</v>
      </c>
      <c r="B385" t="s">
        <v>486</v>
      </c>
      <c r="C385" t="s">
        <v>487</v>
      </c>
      <c r="D385" s="6">
        <v>0</v>
      </c>
      <c r="E385" s="6">
        <v>110.5</v>
      </c>
      <c r="F385" s="6">
        <v>290295.90000000002</v>
      </c>
      <c r="G385" t="s">
        <v>145</v>
      </c>
    </row>
    <row r="386" spans="1:7" hidden="1" x14ac:dyDescent="0.3">
      <c r="A386" s="5">
        <v>45540</v>
      </c>
      <c r="B386" t="s">
        <v>9</v>
      </c>
      <c r="C386" t="s">
        <v>488</v>
      </c>
      <c r="D386" s="6">
        <v>2487.92</v>
      </c>
      <c r="E386" s="6">
        <v>0</v>
      </c>
      <c r="F386" s="6">
        <v>287807.98</v>
      </c>
      <c r="G386" t="s">
        <v>2660</v>
      </c>
    </row>
    <row r="387" spans="1:7" hidden="1" x14ac:dyDescent="0.3">
      <c r="A387" s="5">
        <v>45541</v>
      </c>
      <c r="B387" t="s">
        <v>12</v>
      </c>
      <c r="C387" t="s">
        <v>489</v>
      </c>
      <c r="D387" s="6">
        <v>0</v>
      </c>
      <c r="E387" s="6">
        <v>75109.820000000007</v>
      </c>
      <c r="F387" s="6">
        <v>362917.8</v>
      </c>
      <c r="G387" t="s">
        <v>2660</v>
      </c>
    </row>
    <row r="388" spans="1:7" hidden="1" x14ac:dyDescent="0.3">
      <c r="A388" s="5">
        <v>45541</v>
      </c>
      <c r="B388" t="s">
        <v>9</v>
      </c>
      <c r="C388" t="s">
        <v>490</v>
      </c>
      <c r="D388" s="6">
        <v>253.22</v>
      </c>
      <c r="E388" s="6">
        <v>0</v>
      </c>
      <c r="F388" s="6">
        <v>362664.58</v>
      </c>
      <c r="G388" t="s">
        <v>2660</v>
      </c>
    </row>
    <row r="389" spans="1:7" hidden="1" x14ac:dyDescent="0.3">
      <c r="A389" s="5">
        <v>45541</v>
      </c>
      <c r="B389" t="s">
        <v>491</v>
      </c>
      <c r="C389" t="s">
        <v>492</v>
      </c>
      <c r="D389" s="6">
        <v>0</v>
      </c>
      <c r="E389" s="6">
        <v>370</v>
      </c>
      <c r="F389" s="6">
        <v>363034.58</v>
      </c>
      <c r="G389" t="s">
        <v>145</v>
      </c>
    </row>
    <row r="390" spans="1:7" hidden="1" x14ac:dyDescent="0.3">
      <c r="A390" s="5">
        <v>45541</v>
      </c>
      <c r="B390" t="s">
        <v>9</v>
      </c>
      <c r="C390" t="s">
        <v>493</v>
      </c>
      <c r="D390" s="6">
        <v>20314.62</v>
      </c>
      <c r="E390" s="6">
        <v>0</v>
      </c>
      <c r="F390" s="6">
        <v>342719.96</v>
      </c>
      <c r="G390" t="s">
        <v>2660</v>
      </c>
    </row>
    <row r="391" spans="1:7" hidden="1" x14ac:dyDescent="0.3">
      <c r="A391" s="5">
        <v>45541</v>
      </c>
      <c r="B391" t="s">
        <v>9</v>
      </c>
      <c r="C391" t="s">
        <v>494</v>
      </c>
      <c r="D391" s="6">
        <v>85367.92</v>
      </c>
      <c r="E391" s="6">
        <v>0</v>
      </c>
      <c r="F391" s="6">
        <v>257352.04</v>
      </c>
      <c r="G391" t="s">
        <v>2660</v>
      </c>
    </row>
    <row r="392" spans="1:7" hidden="1" x14ac:dyDescent="0.3">
      <c r="A392" s="5">
        <v>45541</v>
      </c>
      <c r="B392" t="s">
        <v>495</v>
      </c>
      <c r="C392" t="s">
        <v>496</v>
      </c>
      <c r="D392" s="6">
        <v>0</v>
      </c>
      <c r="E392" s="6">
        <v>10000</v>
      </c>
      <c r="F392" s="6">
        <v>267352.03999999998</v>
      </c>
      <c r="G392" t="s">
        <v>123</v>
      </c>
    </row>
    <row r="393" spans="1:7" hidden="1" x14ac:dyDescent="0.3">
      <c r="A393" s="5">
        <v>45544</v>
      </c>
      <c r="B393" t="s">
        <v>9</v>
      </c>
      <c r="C393" t="s">
        <v>497</v>
      </c>
      <c r="D393" s="6">
        <v>668.43</v>
      </c>
      <c r="E393" s="6">
        <v>0</v>
      </c>
      <c r="F393" s="6">
        <v>266683.61</v>
      </c>
      <c r="G393" t="s">
        <v>2660</v>
      </c>
    </row>
    <row r="394" spans="1:7" hidden="1" x14ac:dyDescent="0.3">
      <c r="A394" s="5">
        <v>45544</v>
      </c>
      <c r="B394" t="s">
        <v>498</v>
      </c>
      <c r="C394" t="s">
        <v>499</v>
      </c>
      <c r="D394" s="6">
        <v>0</v>
      </c>
      <c r="E394" s="6">
        <v>102</v>
      </c>
      <c r="F394" s="6">
        <v>266785.61</v>
      </c>
      <c r="G394" t="s">
        <v>145</v>
      </c>
    </row>
    <row r="395" spans="1:7" hidden="1" x14ac:dyDescent="0.3">
      <c r="A395" s="5">
        <v>45544</v>
      </c>
      <c r="B395" t="s">
        <v>500</v>
      </c>
      <c r="C395" t="s">
        <v>501</v>
      </c>
      <c r="D395" s="6">
        <v>0</v>
      </c>
      <c r="E395" s="6">
        <v>291.38</v>
      </c>
      <c r="F395" s="6">
        <v>267076.99</v>
      </c>
      <c r="G395" t="s">
        <v>83</v>
      </c>
    </row>
    <row r="396" spans="1:7" hidden="1" x14ac:dyDescent="0.3">
      <c r="A396" s="5">
        <v>45544</v>
      </c>
      <c r="B396" t="s">
        <v>502</v>
      </c>
      <c r="C396" t="s">
        <v>503</v>
      </c>
      <c r="D396" s="6">
        <v>0</v>
      </c>
      <c r="E396" s="6">
        <v>127.93</v>
      </c>
      <c r="F396" s="6">
        <v>267204.92</v>
      </c>
      <c r="G396" t="s">
        <v>83</v>
      </c>
    </row>
    <row r="397" spans="1:7" hidden="1" x14ac:dyDescent="0.3">
      <c r="A397" s="5">
        <v>45544</v>
      </c>
      <c r="B397" t="s">
        <v>504</v>
      </c>
      <c r="C397" t="s">
        <v>505</v>
      </c>
      <c r="D397" s="6">
        <v>0</v>
      </c>
      <c r="E397" s="6">
        <v>591.5</v>
      </c>
      <c r="F397" s="6">
        <v>267796.42</v>
      </c>
      <c r="G397" t="s">
        <v>83</v>
      </c>
    </row>
    <row r="398" spans="1:7" hidden="1" x14ac:dyDescent="0.3">
      <c r="A398" s="5">
        <v>45544</v>
      </c>
      <c r="B398" t="s">
        <v>9</v>
      </c>
      <c r="C398" t="s">
        <v>506</v>
      </c>
      <c r="D398" s="6">
        <v>7435.88</v>
      </c>
      <c r="E398" s="6">
        <v>0</v>
      </c>
      <c r="F398" s="6">
        <v>260360.54</v>
      </c>
      <c r="G398" t="s">
        <v>2660</v>
      </c>
    </row>
    <row r="399" spans="1:7" hidden="1" x14ac:dyDescent="0.3">
      <c r="A399" s="5">
        <v>45545</v>
      </c>
      <c r="B399" t="s">
        <v>31</v>
      </c>
      <c r="C399" t="s">
        <v>507</v>
      </c>
      <c r="D399" s="6">
        <v>10000</v>
      </c>
      <c r="E399" s="6">
        <v>0</v>
      </c>
      <c r="F399" s="6">
        <v>250360.54</v>
      </c>
      <c r="G399" t="s">
        <v>33</v>
      </c>
    </row>
    <row r="400" spans="1:7" hidden="1" x14ac:dyDescent="0.3">
      <c r="A400" s="5">
        <v>45545</v>
      </c>
      <c r="B400" t="s">
        <v>9</v>
      </c>
      <c r="C400" t="s">
        <v>508</v>
      </c>
      <c r="D400" s="6">
        <v>285.83</v>
      </c>
      <c r="E400" s="6">
        <v>0</v>
      </c>
      <c r="F400" s="6">
        <v>250074.71</v>
      </c>
      <c r="G400" t="s">
        <v>2660</v>
      </c>
    </row>
    <row r="401" spans="1:7" hidden="1" x14ac:dyDescent="0.3">
      <c r="A401" s="5">
        <v>45545</v>
      </c>
      <c r="B401" t="s">
        <v>509</v>
      </c>
      <c r="C401" t="s">
        <v>510</v>
      </c>
      <c r="D401" s="6">
        <v>0</v>
      </c>
      <c r="E401" s="6">
        <v>26</v>
      </c>
      <c r="F401" s="6">
        <v>250100.71</v>
      </c>
      <c r="G401" t="s">
        <v>145</v>
      </c>
    </row>
    <row r="402" spans="1:7" hidden="1" x14ac:dyDescent="0.3">
      <c r="A402" s="5">
        <v>45546</v>
      </c>
      <c r="B402" t="s">
        <v>12</v>
      </c>
      <c r="C402" t="s">
        <v>511</v>
      </c>
      <c r="D402" s="6">
        <v>0</v>
      </c>
      <c r="E402" s="6">
        <v>26919.200000000001</v>
      </c>
      <c r="F402" s="6">
        <v>277019.90999999997</v>
      </c>
      <c r="G402" t="s">
        <v>2660</v>
      </c>
    </row>
    <row r="403" spans="1:7" hidden="1" x14ac:dyDescent="0.3">
      <c r="A403" s="5">
        <v>45546</v>
      </c>
      <c r="B403" t="s">
        <v>512</v>
      </c>
      <c r="C403" t="s">
        <v>513</v>
      </c>
      <c r="D403" s="6">
        <v>0</v>
      </c>
      <c r="E403" s="6">
        <v>5195.45</v>
      </c>
      <c r="F403" s="6">
        <v>282215.36</v>
      </c>
      <c r="G403" t="s">
        <v>2660</v>
      </c>
    </row>
    <row r="404" spans="1:7" hidden="1" x14ac:dyDescent="0.3">
      <c r="A404" s="5">
        <v>45546</v>
      </c>
      <c r="B404" t="s">
        <v>514</v>
      </c>
      <c r="C404" t="s">
        <v>515</v>
      </c>
      <c r="D404" s="6">
        <v>0</v>
      </c>
      <c r="E404" s="6">
        <v>182779.74</v>
      </c>
      <c r="F404" s="6">
        <v>464995.1</v>
      </c>
      <c r="G404" t="s">
        <v>516</v>
      </c>
    </row>
    <row r="405" spans="1:7" hidden="1" x14ac:dyDescent="0.3">
      <c r="A405" s="5">
        <v>45546</v>
      </c>
      <c r="B405" t="s">
        <v>517</v>
      </c>
      <c r="C405" t="s">
        <v>518</v>
      </c>
      <c r="D405" s="6">
        <v>75000</v>
      </c>
      <c r="E405" s="6">
        <v>0</v>
      </c>
      <c r="F405" s="6">
        <v>389995.1</v>
      </c>
      <c r="G405" t="s">
        <v>2659</v>
      </c>
    </row>
    <row r="406" spans="1:7" hidden="1" x14ac:dyDescent="0.3">
      <c r="A406" s="5">
        <v>45546</v>
      </c>
      <c r="B406" t="s">
        <v>519</v>
      </c>
      <c r="C406" t="s">
        <v>520</v>
      </c>
      <c r="D406" s="6">
        <v>100000</v>
      </c>
      <c r="E406" s="6">
        <v>0</v>
      </c>
      <c r="F406" s="6">
        <v>289995.09999999998</v>
      </c>
      <c r="G406" t="s">
        <v>2659</v>
      </c>
    </row>
    <row r="407" spans="1:7" hidden="1" x14ac:dyDescent="0.3">
      <c r="A407" s="5">
        <v>45546</v>
      </c>
      <c r="B407" t="s">
        <v>521</v>
      </c>
      <c r="C407" t="s">
        <v>522</v>
      </c>
      <c r="D407" s="6">
        <v>0</v>
      </c>
      <c r="E407" s="6">
        <v>68.25</v>
      </c>
      <c r="F407" s="6">
        <v>290063.34999999998</v>
      </c>
      <c r="G407" t="s">
        <v>145</v>
      </c>
    </row>
    <row r="408" spans="1:7" hidden="1" x14ac:dyDescent="0.3">
      <c r="A408" s="5">
        <v>45546</v>
      </c>
      <c r="B408" t="s">
        <v>9</v>
      </c>
      <c r="C408" t="s">
        <v>523</v>
      </c>
      <c r="D408" s="6">
        <v>285.83</v>
      </c>
      <c r="E408" s="6">
        <v>0</v>
      </c>
      <c r="F408" s="6">
        <v>289777.52</v>
      </c>
      <c r="G408" t="s">
        <v>2660</v>
      </c>
    </row>
    <row r="409" spans="1:7" hidden="1" x14ac:dyDescent="0.3">
      <c r="A409" s="5">
        <v>45546</v>
      </c>
      <c r="B409" t="s">
        <v>524</v>
      </c>
      <c r="C409" t="s">
        <v>525</v>
      </c>
      <c r="D409" s="6">
        <v>0</v>
      </c>
      <c r="E409" s="6">
        <v>20</v>
      </c>
      <c r="F409" s="6">
        <v>289797.52</v>
      </c>
      <c r="G409" t="s">
        <v>145</v>
      </c>
    </row>
    <row r="410" spans="1:7" hidden="1" x14ac:dyDescent="0.3">
      <c r="A410" s="5">
        <v>45546</v>
      </c>
      <c r="B410" t="s">
        <v>9</v>
      </c>
      <c r="C410" t="s">
        <v>526</v>
      </c>
      <c r="D410" s="6">
        <v>13000.47</v>
      </c>
      <c r="E410" s="6">
        <v>0</v>
      </c>
      <c r="F410" s="6">
        <v>276797.05</v>
      </c>
      <c r="G410" t="s">
        <v>2660</v>
      </c>
    </row>
    <row r="411" spans="1:7" hidden="1" x14ac:dyDescent="0.3">
      <c r="A411" s="5">
        <v>45547</v>
      </c>
      <c r="B411" t="s">
        <v>9</v>
      </c>
      <c r="C411" t="s">
        <v>527</v>
      </c>
      <c r="D411" s="6">
        <v>283.05</v>
      </c>
      <c r="E411" s="6">
        <v>0</v>
      </c>
      <c r="F411" s="6">
        <v>276514</v>
      </c>
      <c r="G411" t="s">
        <v>2660</v>
      </c>
    </row>
    <row r="412" spans="1:7" hidden="1" x14ac:dyDescent="0.3">
      <c r="A412" s="5">
        <v>45547</v>
      </c>
      <c r="B412" t="s">
        <v>528</v>
      </c>
      <c r="C412" t="s">
        <v>529</v>
      </c>
      <c r="D412" s="6">
        <v>0</v>
      </c>
      <c r="E412" s="6">
        <v>200</v>
      </c>
      <c r="F412" s="6">
        <v>276714</v>
      </c>
      <c r="G412" t="s">
        <v>145</v>
      </c>
    </row>
    <row r="413" spans="1:7" hidden="1" x14ac:dyDescent="0.3">
      <c r="A413" s="5">
        <v>45547</v>
      </c>
      <c r="B413" t="s">
        <v>9</v>
      </c>
      <c r="C413" t="s">
        <v>530</v>
      </c>
      <c r="D413" s="6">
        <v>25768.44</v>
      </c>
      <c r="E413" s="6">
        <v>0</v>
      </c>
      <c r="F413" s="6">
        <v>250945.56</v>
      </c>
      <c r="G413" t="s">
        <v>2660</v>
      </c>
    </row>
    <row r="414" spans="1:7" hidden="1" x14ac:dyDescent="0.3">
      <c r="A414" s="5">
        <v>45548</v>
      </c>
      <c r="B414" t="s">
        <v>9</v>
      </c>
      <c r="C414" t="s">
        <v>531</v>
      </c>
      <c r="D414" s="6">
        <v>282.08</v>
      </c>
      <c r="E414" s="6">
        <v>0</v>
      </c>
      <c r="F414" s="6">
        <v>250663.48</v>
      </c>
      <c r="G414" t="s">
        <v>2660</v>
      </c>
    </row>
    <row r="415" spans="1:7" hidden="1" x14ac:dyDescent="0.3">
      <c r="A415" s="5">
        <v>45548</v>
      </c>
      <c r="B415" t="s">
        <v>532</v>
      </c>
      <c r="C415" t="s">
        <v>533</v>
      </c>
      <c r="D415" s="6">
        <v>0</v>
      </c>
      <c r="E415" s="6">
        <v>45</v>
      </c>
      <c r="F415" s="6">
        <v>250708.48000000001</v>
      </c>
      <c r="G415" t="s">
        <v>145</v>
      </c>
    </row>
    <row r="416" spans="1:7" hidden="1" x14ac:dyDescent="0.3">
      <c r="A416" s="5">
        <v>45548</v>
      </c>
      <c r="B416" t="s">
        <v>9</v>
      </c>
      <c r="C416" t="s">
        <v>534</v>
      </c>
      <c r="D416" s="6">
        <v>1276.76</v>
      </c>
      <c r="E416" s="6">
        <v>0</v>
      </c>
      <c r="F416" s="6">
        <v>249431.72</v>
      </c>
      <c r="G416" t="s">
        <v>2660</v>
      </c>
    </row>
    <row r="417" spans="1:7" hidden="1" x14ac:dyDescent="0.3">
      <c r="A417" s="5">
        <v>45551</v>
      </c>
      <c r="B417" t="s">
        <v>31</v>
      </c>
      <c r="C417" t="s">
        <v>535</v>
      </c>
      <c r="D417" s="6">
        <v>10000</v>
      </c>
      <c r="E417" s="6">
        <v>0</v>
      </c>
      <c r="F417" s="6">
        <v>239431.72</v>
      </c>
      <c r="G417" t="s">
        <v>33</v>
      </c>
    </row>
    <row r="418" spans="1:7" hidden="1" x14ac:dyDescent="0.3">
      <c r="A418" s="5">
        <v>45551</v>
      </c>
      <c r="B418" t="s">
        <v>9</v>
      </c>
      <c r="C418" t="s">
        <v>536</v>
      </c>
      <c r="D418" s="6">
        <v>918.84</v>
      </c>
      <c r="E418" s="6">
        <v>0</v>
      </c>
      <c r="F418" s="6">
        <v>238512.88</v>
      </c>
      <c r="G418" t="s">
        <v>2660</v>
      </c>
    </row>
    <row r="419" spans="1:7" hidden="1" x14ac:dyDescent="0.3">
      <c r="A419" s="5">
        <v>45551</v>
      </c>
      <c r="B419" t="s">
        <v>537</v>
      </c>
      <c r="C419" t="s">
        <v>538</v>
      </c>
      <c r="D419" s="6">
        <v>17000</v>
      </c>
      <c r="E419" s="6">
        <v>0</v>
      </c>
      <c r="F419" s="6">
        <v>221512.88</v>
      </c>
      <c r="G419" t="s">
        <v>123</v>
      </c>
    </row>
    <row r="420" spans="1:7" hidden="1" x14ac:dyDescent="0.3">
      <c r="A420" s="5">
        <v>45552</v>
      </c>
      <c r="B420" t="s">
        <v>539</v>
      </c>
      <c r="C420" t="s">
        <v>540</v>
      </c>
      <c r="D420" s="6">
        <v>0</v>
      </c>
      <c r="E420" s="6">
        <v>46741.69</v>
      </c>
      <c r="F420" s="6">
        <v>268254.57</v>
      </c>
      <c r="G420" t="s">
        <v>2660</v>
      </c>
    </row>
    <row r="421" spans="1:7" hidden="1" x14ac:dyDescent="0.3">
      <c r="A421" s="5">
        <v>45552</v>
      </c>
      <c r="B421" t="s">
        <v>9</v>
      </c>
      <c r="C421" t="s">
        <v>541</v>
      </c>
      <c r="D421" s="6">
        <v>306.27999999999997</v>
      </c>
      <c r="E421" s="6">
        <v>0</v>
      </c>
      <c r="F421" s="6">
        <v>267948.28999999998</v>
      </c>
      <c r="G421" t="s">
        <v>2660</v>
      </c>
    </row>
    <row r="422" spans="1:7" hidden="1" x14ac:dyDescent="0.3">
      <c r="A422" s="5">
        <v>45552</v>
      </c>
      <c r="B422" t="s">
        <v>542</v>
      </c>
      <c r="C422" t="s">
        <v>24</v>
      </c>
      <c r="D422" s="6">
        <v>1705.21</v>
      </c>
      <c r="E422" s="6">
        <v>0</v>
      </c>
      <c r="F422" s="6">
        <v>266243.08</v>
      </c>
      <c r="G422" t="s">
        <v>25</v>
      </c>
    </row>
    <row r="423" spans="1:7" hidden="1" x14ac:dyDescent="0.3">
      <c r="A423" s="5">
        <v>45554</v>
      </c>
      <c r="B423" t="s">
        <v>12</v>
      </c>
      <c r="C423" t="s">
        <v>543</v>
      </c>
      <c r="D423" s="6">
        <v>0</v>
      </c>
      <c r="E423" s="6">
        <v>5118.5</v>
      </c>
      <c r="F423" s="6">
        <v>271361.58</v>
      </c>
      <c r="G423" t="s">
        <v>2660</v>
      </c>
    </row>
    <row r="424" spans="1:7" hidden="1" x14ac:dyDescent="0.3">
      <c r="A424" s="5">
        <v>45554</v>
      </c>
      <c r="B424" t="s">
        <v>544</v>
      </c>
      <c r="C424" t="s">
        <v>545</v>
      </c>
      <c r="D424" s="6">
        <v>0</v>
      </c>
      <c r="E424" s="6">
        <v>30965.93</v>
      </c>
      <c r="F424" s="6">
        <v>302327.51</v>
      </c>
      <c r="G424" t="s">
        <v>2660</v>
      </c>
    </row>
    <row r="425" spans="1:7" hidden="1" x14ac:dyDescent="0.3">
      <c r="A425" s="5">
        <v>45554</v>
      </c>
      <c r="B425" t="s">
        <v>9</v>
      </c>
      <c r="C425" t="s">
        <v>546</v>
      </c>
      <c r="D425" s="6">
        <v>288.14</v>
      </c>
      <c r="E425" s="6">
        <v>0</v>
      </c>
      <c r="F425" s="6">
        <v>302039.37</v>
      </c>
      <c r="G425" t="s">
        <v>2660</v>
      </c>
    </row>
    <row r="426" spans="1:7" hidden="1" x14ac:dyDescent="0.3">
      <c r="A426" s="5">
        <v>45555</v>
      </c>
      <c r="B426" t="s">
        <v>547</v>
      </c>
      <c r="C426" t="s">
        <v>548</v>
      </c>
      <c r="D426" s="6">
        <v>0</v>
      </c>
      <c r="E426" s="6">
        <v>23522.52</v>
      </c>
      <c r="F426" s="6">
        <v>325561.89</v>
      </c>
      <c r="G426" t="s">
        <v>2660</v>
      </c>
    </row>
    <row r="427" spans="1:7" hidden="1" x14ac:dyDescent="0.3">
      <c r="A427" s="5">
        <v>45555</v>
      </c>
      <c r="B427" t="s">
        <v>31</v>
      </c>
      <c r="C427" t="s">
        <v>549</v>
      </c>
      <c r="D427" s="6">
        <v>10000</v>
      </c>
      <c r="E427" s="6">
        <v>0</v>
      </c>
      <c r="F427" s="6">
        <v>315561.89</v>
      </c>
      <c r="G427" t="s">
        <v>33</v>
      </c>
    </row>
    <row r="428" spans="1:7" hidden="1" x14ac:dyDescent="0.3">
      <c r="A428" s="5">
        <v>45555</v>
      </c>
      <c r="B428" t="s">
        <v>9</v>
      </c>
      <c r="C428" t="s">
        <v>550</v>
      </c>
      <c r="D428" s="6">
        <v>269.64999999999998</v>
      </c>
      <c r="E428" s="6">
        <v>0</v>
      </c>
      <c r="F428" s="6">
        <v>315292.24</v>
      </c>
      <c r="G428" t="s">
        <v>2660</v>
      </c>
    </row>
    <row r="429" spans="1:7" hidden="1" x14ac:dyDescent="0.3">
      <c r="A429" s="5">
        <v>45555</v>
      </c>
      <c r="B429" t="s">
        <v>551</v>
      </c>
      <c r="C429" t="s">
        <v>552</v>
      </c>
      <c r="D429" s="6">
        <v>0</v>
      </c>
      <c r="E429" s="6">
        <v>2221.13</v>
      </c>
      <c r="F429" s="6">
        <v>317513.37</v>
      </c>
      <c r="G429" t="s">
        <v>83</v>
      </c>
    </row>
    <row r="430" spans="1:7" hidden="1" x14ac:dyDescent="0.3">
      <c r="A430" s="5">
        <v>45555</v>
      </c>
      <c r="B430" t="s">
        <v>9</v>
      </c>
      <c r="C430" t="s">
        <v>553</v>
      </c>
      <c r="D430" s="6">
        <v>18936.12</v>
      </c>
      <c r="E430" s="6">
        <v>0</v>
      </c>
      <c r="F430" s="6">
        <v>298577.25</v>
      </c>
      <c r="G430" t="s">
        <v>2660</v>
      </c>
    </row>
    <row r="431" spans="1:7" hidden="1" x14ac:dyDescent="0.3">
      <c r="A431" s="5">
        <v>45556</v>
      </c>
      <c r="B431" t="s">
        <v>554</v>
      </c>
      <c r="C431" t="s">
        <v>555</v>
      </c>
      <c r="D431" s="6">
        <v>0</v>
      </c>
      <c r="E431" s="6">
        <v>600</v>
      </c>
      <c r="F431" s="6">
        <v>299177.25</v>
      </c>
      <c r="G431" t="s">
        <v>145</v>
      </c>
    </row>
    <row r="432" spans="1:7" hidden="1" x14ac:dyDescent="0.3">
      <c r="A432" s="5">
        <v>45558</v>
      </c>
      <c r="B432" t="s">
        <v>556</v>
      </c>
      <c r="C432" t="s">
        <v>557</v>
      </c>
      <c r="D432" s="6">
        <v>0</v>
      </c>
      <c r="E432" s="6">
        <v>41984.93</v>
      </c>
      <c r="F432" s="6">
        <v>341162.18</v>
      </c>
      <c r="G432" t="s">
        <v>2660</v>
      </c>
    </row>
    <row r="433" spans="1:7" hidden="1" x14ac:dyDescent="0.3">
      <c r="A433" s="5">
        <v>45558</v>
      </c>
      <c r="B433" t="s">
        <v>9</v>
      </c>
      <c r="C433" t="s">
        <v>558</v>
      </c>
      <c r="D433" s="6">
        <v>758.46</v>
      </c>
      <c r="E433" s="6">
        <v>0</v>
      </c>
      <c r="F433" s="6">
        <v>340403.72</v>
      </c>
      <c r="G433" t="s">
        <v>2660</v>
      </c>
    </row>
    <row r="434" spans="1:7" hidden="1" x14ac:dyDescent="0.3">
      <c r="A434" s="5">
        <v>45559</v>
      </c>
      <c r="B434" t="s">
        <v>559</v>
      </c>
      <c r="C434" t="s">
        <v>560</v>
      </c>
      <c r="D434" s="6">
        <v>0</v>
      </c>
      <c r="E434" s="6">
        <v>2872.07</v>
      </c>
      <c r="F434" s="6">
        <v>343275.79</v>
      </c>
      <c r="G434" t="s">
        <v>2660</v>
      </c>
    </row>
    <row r="435" spans="1:7" hidden="1" x14ac:dyDescent="0.3">
      <c r="A435" s="5">
        <v>45559</v>
      </c>
      <c r="B435" t="s">
        <v>9</v>
      </c>
      <c r="C435" t="s">
        <v>561</v>
      </c>
      <c r="D435" s="6">
        <v>242.52</v>
      </c>
      <c r="E435" s="6">
        <v>0</v>
      </c>
      <c r="F435" s="6">
        <v>343033.27</v>
      </c>
      <c r="G435" t="s">
        <v>2660</v>
      </c>
    </row>
    <row r="436" spans="1:7" hidden="1" x14ac:dyDescent="0.3">
      <c r="A436" s="5">
        <v>45559</v>
      </c>
      <c r="B436" t="s">
        <v>562</v>
      </c>
      <c r="C436" t="s">
        <v>563</v>
      </c>
      <c r="D436" s="6">
        <v>0</v>
      </c>
      <c r="E436" s="6">
        <v>65</v>
      </c>
      <c r="F436" s="6">
        <v>343098.27</v>
      </c>
      <c r="G436" t="s">
        <v>145</v>
      </c>
    </row>
    <row r="437" spans="1:7" hidden="1" x14ac:dyDescent="0.3">
      <c r="A437" s="5">
        <v>45559</v>
      </c>
      <c r="B437" t="s">
        <v>564</v>
      </c>
      <c r="C437" t="s">
        <v>565</v>
      </c>
      <c r="D437" s="6">
        <v>0</v>
      </c>
      <c r="E437" s="6">
        <v>332</v>
      </c>
      <c r="F437" s="6">
        <v>343430.27</v>
      </c>
      <c r="G437" t="s">
        <v>145</v>
      </c>
    </row>
    <row r="438" spans="1:7" hidden="1" x14ac:dyDescent="0.3">
      <c r="A438" s="5">
        <v>45560</v>
      </c>
      <c r="B438" t="s">
        <v>566</v>
      </c>
      <c r="C438" t="s">
        <v>567</v>
      </c>
      <c r="D438" s="6">
        <v>0</v>
      </c>
      <c r="E438" s="6">
        <v>38830.97</v>
      </c>
      <c r="F438" s="6">
        <v>382261.24</v>
      </c>
      <c r="G438" t="s">
        <v>2660</v>
      </c>
    </row>
    <row r="439" spans="1:7" hidden="1" x14ac:dyDescent="0.3">
      <c r="A439" s="5">
        <v>45560</v>
      </c>
      <c r="B439" t="s">
        <v>568</v>
      </c>
      <c r="C439" t="s">
        <v>569</v>
      </c>
      <c r="D439" s="6">
        <v>0</v>
      </c>
      <c r="E439" s="6">
        <v>26171.55</v>
      </c>
      <c r="F439" s="6">
        <v>408432.79</v>
      </c>
      <c r="G439" t="s">
        <v>2660</v>
      </c>
    </row>
    <row r="440" spans="1:7" hidden="1" x14ac:dyDescent="0.3">
      <c r="A440" s="5">
        <v>45560</v>
      </c>
      <c r="B440" t="s">
        <v>9</v>
      </c>
      <c r="C440" t="s">
        <v>570</v>
      </c>
      <c r="D440" s="6">
        <v>244.17</v>
      </c>
      <c r="E440" s="6">
        <v>0</v>
      </c>
      <c r="F440" s="6">
        <v>408188.62</v>
      </c>
      <c r="G440" t="s">
        <v>2660</v>
      </c>
    </row>
    <row r="441" spans="1:7" hidden="1" x14ac:dyDescent="0.3">
      <c r="A441" s="5">
        <v>45560</v>
      </c>
      <c r="B441" t="s">
        <v>571</v>
      </c>
      <c r="C441" t="s">
        <v>572</v>
      </c>
      <c r="D441" s="6">
        <v>0</v>
      </c>
      <c r="E441" s="6">
        <v>100</v>
      </c>
      <c r="F441" s="6">
        <v>408288.62</v>
      </c>
      <c r="G441" t="s">
        <v>145</v>
      </c>
    </row>
    <row r="442" spans="1:7" hidden="1" x14ac:dyDescent="0.3">
      <c r="A442" s="5">
        <v>45560</v>
      </c>
      <c r="B442" t="s">
        <v>9</v>
      </c>
      <c r="C442" t="s">
        <v>573</v>
      </c>
      <c r="D442" s="6">
        <v>50496.5</v>
      </c>
      <c r="E442" s="6">
        <v>0</v>
      </c>
      <c r="F442" s="6">
        <v>357792.12</v>
      </c>
      <c r="G442" t="s">
        <v>2660</v>
      </c>
    </row>
    <row r="443" spans="1:7" hidden="1" x14ac:dyDescent="0.3">
      <c r="A443" s="5">
        <v>45561</v>
      </c>
      <c r="B443" t="s">
        <v>9</v>
      </c>
      <c r="C443" t="s">
        <v>574</v>
      </c>
      <c r="D443" s="6">
        <v>207.48</v>
      </c>
      <c r="E443" s="6">
        <v>0</v>
      </c>
      <c r="F443" s="6">
        <v>357584.64000000001</v>
      </c>
      <c r="G443" t="s">
        <v>2660</v>
      </c>
    </row>
    <row r="444" spans="1:7" hidden="1" x14ac:dyDescent="0.3">
      <c r="A444" s="5">
        <v>45562</v>
      </c>
      <c r="B444" t="s">
        <v>575</v>
      </c>
      <c r="C444" t="s">
        <v>576</v>
      </c>
      <c r="D444" s="6">
        <v>0</v>
      </c>
      <c r="E444" s="6">
        <v>18445.45</v>
      </c>
      <c r="F444" s="6">
        <v>376030.09</v>
      </c>
      <c r="G444" t="s">
        <v>2660</v>
      </c>
    </row>
    <row r="445" spans="1:7" hidden="1" x14ac:dyDescent="0.3">
      <c r="A445" s="5">
        <v>45562</v>
      </c>
      <c r="B445" t="s">
        <v>9</v>
      </c>
      <c r="C445" t="s">
        <v>577</v>
      </c>
      <c r="D445" s="6">
        <v>207.48</v>
      </c>
      <c r="E445" s="6">
        <v>0</v>
      </c>
      <c r="F445" s="6">
        <v>375822.61</v>
      </c>
      <c r="G445" t="s">
        <v>2660</v>
      </c>
    </row>
    <row r="446" spans="1:7" hidden="1" x14ac:dyDescent="0.3">
      <c r="A446" s="5">
        <v>45565</v>
      </c>
      <c r="B446" t="s">
        <v>578</v>
      </c>
      <c r="C446" t="s">
        <v>579</v>
      </c>
      <c r="D446" s="6">
        <v>0</v>
      </c>
      <c r="E446" s="6">
        <v>5853.15</v>
      </c>
      <c r="F446" s="6">
        <v>381675.76</v>
      </c>
      <c r="G446" t="s">
        <v>2660</v>
      </c>
    </row>
    <row r="447" spans="1:7" hidden="1" x14ac:dyDescent="0.3">
      <c r="A447" s="5">
        <v>45565</v>
      </c>
      <c r="B447" t="s">
        <v>9</v>
      </c>
      <c r="C447" t="s">
        <v>580</v>
      </c>
      <c r="D447" s="6">
        <v>589.35</v>
      </c>
      <c r="E447" s="6">
        <v>0</v>
      </c>
      <c r="F447" s="6">
        <v>381086.41</v>
      </c>
      <c r="G447" t="s">
        <v>2660</v>
      </c>
    </row>
    <row r="448" spans="1:7" hidden="1" x14ac:dyDescent="0.3">
      <c r="A448" s="5">
        <v>45565</v>
      </c>
      <c r="B448" t="s">
        <v>9</v>
      </c>
      <c r="C448" t="s">
        <v>581</v>
      </c>
      <c r="D448" s="6">
        <v>3694.98</v>
      </c>
      <c r="E448" s="6">
        <v>0</v>
      </c>
      <c r="F448" s="6">
        <v>377391.43</v>
      </c>
      <c r="G448" t="s">
        <v>2660</v>
      </c>
    </row>
    <row r="449" spans="1:7" hidden="1" x14ac:dyDescent="0.3">
      <c r="A449" s="5">
        <v>45565</v>
      </c>
      <c r="B449" t="s">
        <v>582</v>
      </c>
      <c r="C449" t="s">
        <v>24</v>
      </c>
      <c r="D449" s="6">
        <v>0</v>
      </c>
      <c r="E449" s="6">
        <v>2488</v>
      </c>
      <c r="F449" s="6">
        <v>379879.43</v>
      </c>
      <c r="G449" t="s">
        <v>251</v>
      </c>
    </row>
    <row r="450" spans="1:7" hidden="1" x14ac:dyDescent="0.3">
      <c r="A450" s="5">
        <v>45566</v>
      </c>
      <c r="B450" t="s">
        <v>9</v>
      </c>
      <c r="C450" t="s">
        <v>583</v>
      </c>
      <c r="D450" s="6">
        <v>197.22</v>
      </c>
      <c r="E450" s="6">
        <v>0</v>
      </c>
      <c r="F450" s="6">
        <v>379682.21</v>
      </c>
      <c r="G450" t="s">
        <v>2660</v>
      </c>
    </row>
    <row r="451" spans="1:7" hidden="1" x14ac:dyDescent="0.3">
      <c r="A451" s="5">
        <v>45566</v>
      </c>
      <c r="B451" t="s">
        <v>584</v>
      </c>
      <c r="C451" t="s">
        <v>585</v>
      </c>
      <c r="D451" s="6">
        <v>0</v>
      </c>
      <c r="E451" s="6">
        <v>150000</v>
      </c>
      <c r="F451" s="6">
        <v>529682.21</v>
      </c>
      <c r="G451" t="s">
        <v>62</v>
      </c>
    </row>
    <row r="452" spans="1:7" hidden="1" x14ac:dyDescent="0.3">
      <c r="A452" s="5">
        <v>45566</v>
      </c>
      <c r="B452" t="s">
        <v>9</v>
      </c>
      <c r="C452" t="s">
        <v>586</v>
      </c>
      <c r="D452" s="6">
        <v>3100.59</v>
      </c>
      <c r="E452" s="6">
        <v>0</v>
      </c>
      <c r="F452" s="6">
        <v>526581.62</v>
      </c>
      <c r="G452" t="s">
        <v>2660</v>
      </c>
    </row>
    <row r="453" spans="1:7" hidden="1" x14ac:dyDescent="0.3">
      <c r="A453" s="5">
        <v>45567</v>
      </c>
      <c r="B453" t="s">
        <v>470</v>
      </c>
      <c r="C453" t="s">
        <v>587</v>
      </c>
      <c r="D453" s="6">
        <v>380434</v>
      </c>
      <c r="E453" s="6">
        <v>0</v>
      </c>
      <c r="F453" s="6">
        <v>146147.62</v>
      </c>
      <c r="G453" t="s">
        <v>472</v>
      </c>
    </row>
    <row r="454" spans="1:7" hidden="1" x14ac:dyDescent="0.3">
      <c r="A454" s="5">
        <v>45568</v>
      </c>
      <c r="B454" t="s">
        <v>588</v>
      </c>
      <c r="C454" t="s">
        <v>589</v>
      </c>
      <c r="D454" s="6">
        <v>0</v>
      </c>
      <c r="E454" s="6">
        <v>59921.39</v>
      </c>
      <c r="F454" s="6">
        <v>206069.01</v>
      </c>
      <c r="G454" t="s">
        <v>2660</v>
      </c>
    </row>
    <row r="455" spans="1:7" hidden="1" x14ac:dyDescent="0.3">
      <c r="A455" s="5">
        <v>45568</v>
      </c>
      <c r="B455" t="s">
        <v>9</v>
      </c>
      <c r="C455" t="s">
        <v>590</v>
      </c>
      <c r="D455" s="6">
        <v>392.24</v>
      </c>
      <c r="E455" s="6">
        <v>0</v>
      </c>
      <c r="F455" s="6">
        <v>205676.77</v>
      </c>
      <c r="G455" t="s">
        <v>2660</v>
      </c>
    </row>
    <row r="456" spans="1:7" hidden="1" x14ac:dyDescent="0.3">
      <c r="A456" s="5">
        <v>45569</v>
      </c>
      <c r="B456" t="s">
        <v>9</v>
      </c>
      <c r="C456" t="s">
        <v>591</v>
      </c>
      <c r="D456" s="6">
        <v>16929.2</v>
      </c>
      <c r="E456" s="6">
        <v>0</v>
      </c>
      <c r="F456" s="6">
        <v>188747.57</v>
      </c>
      <c r="G456" t="s">
        <v>2660</v>
      </c>
    </row>
    <row r="457" spans="1:7" hidden="1" x14ac:dyDescent="0.3">
      <c r="A457" s="5">
        <v>45569</v>
      </c>
      <c r="B457" t="s">
        <v>9</v>
      </c>
      <c r="C457" t="s">
        <v>592</v>
      </c>
      <c r="D457" s="6">
        <v>190.09</v>
      </c>
      <c r="E457" s="6">
        <v>0</v>
      </c>
      <c r="F457" s="6">
        <v>188557.48</v>
      </c>
      <c r="G457" t="s">
        <v>2660</v>
      </c>
    </row>
    <row r="458" spans="1:7" hidden="1" x14ac:dyDescent="0.3">
      <c r="A458" s="5">
        <v>45569</v>
      </c>
      <c r="B458" t="s">
        <v>9</v>
      </c>
      <c r="C458" t="s">
        <v>593</v>
      </c>
      <c r="D458" s="6">
        <v>7248.29</v>
      </c>
      <c r="E458" s="6">
        <v>0</v>
      </c>
      <c r="F458" s="6">
        <v>181309.19</v>
      </c>
      <c r="G458" t="s">
        <v>2660</v>
      </c>
    </row>
    <row r="459" spans="1:7" hidden="1" x14ac:dyDescent="0.3">
      <c r="A459" s="5">
        <v>45570</v>
      </c>
      <c r="B459" t="s">
        <v>594</v>
      </c>
      <c r="C459" t="s">
        <v>595</v>
      </c>
      <c r="D459" s="6">
        <v>25000</v>
      </c>
      <c r="E459" s="6">
        <v>0</v>
      </c>
      <c r="F459" s="6">
        <v>156309.19</v>
      </c>
      <c r="G459" t="s">
        <v>596</v>
      </c>
    </row>
    <row r="460" spans="1:7" hidden="1" x14ac:dyDescent="0.3">
      <c r="A460" s="5">
        <v>45572</v>
      </c>
      <c r="B460" t="s">
        <v>9</v>
      </c>
      <c r="C460" t="s">
        <v>597</v>
      </c>
      <c r="D460" s="6">
        <v>580.44000000000005</v>
      </c>
      <c r="E460" s="6">
        <v>0</v>
      </c>
      <c r="F460" s="6">
        <v>155728.75</v>
      </c>
      <c r="G460" t="s">
        <v>2660</v>
      </c>
    </row>
    <row r="461" spans="1:7" hidden="1" x14ac:dyDescent="0.3">
      <c r="A461" s="5">
        <v>45572</v>
      </c>
      <c r="B461" t="s">
        <v>598</v>
      </c>
      <c r="C461" t="s">
        <v>599</v>
      </c>
      <c r="D461" s="6">
        <v>0</v>
      </c>
      <c r="E461" s="6">
        <v>1060</v>
      </c>
      <c r="F461" s="6">
        <v>156788.75</v>
      </c>
      <c r="G461" t="s">
        <v>145</v>
      </c>
    </row>
    <row r="462" spans="1:7" hidden="1" x14ac:dyDescent="0.3">
      <c r="A462" s="5">
        <v>45572</v>
      </c>
      <c r="B462" t="s">
        <v>9</v>
      </c>
      <c r="C462" t="s">
        <v>600</v>
      </c>
      <c r="D462" s="6">
        <v>14701.51</v>
      </c>
      <c r="E462" s="6">
        <v>0</v>
      </c>
      <c r="F462" s="6">
        <v>142087.24</v>
      </c>
      <c r="G462" t="s">
        <v>2660</v>
      </c>
    </row>
    <row r="463" spans="1:7" hidden="1" x14ac:dyDescent="0.3">
      <c r="A463" s="5">
        <v>45573</v>
      </c>
      <c r="B463" t="s">
        <v>9</v>
      </c>
      <c r="C463" t="s">
        <v>601</v>
      </c>
      <c r="D463" s="6">
        <v>193.1</v>
      </c>
      <c r="E463" s="6">
        <v>0</v>
      </c>
      <c r="F463" s="6">
        <v>141894.14000000001</v>
      </c>
      <c r="G463" t="s">
        <v>2660</v>
      </c>
    </row>
    <row r="464" spans="1:7" hidden="1" x14ac:dyDescent="0.3">
      <c r="A464" s="5">
        <v>45574</v>
      </c>
      <c r="B464" t="s">
        <v>602</v>
      </c>
      <c r="C464" t="s">
        <v>603</v>
      </c>
      <c r="D464" s="6">
        <v>0</v>
      </c>
      <c r="E464" s="6">
        <v>5715.63</v>
      </c>
      <c r="F464" s="6">
        <v>147609.76999999999</v>
      </c>
      <c r="G464" t="s">
        <v>2660</v>
      </c>
    </row>
    <row r="465" spans="1:7" hidden="1" x14ac:dyDescent="0.3">
      <c r="A465" s="5">
        <v>45574</v>
      </c>
      <c r="B465" t="s">
        <v>604</v>
      </c>
      <c r="C465" t="s">
        <v>605</v>
      </c>
      <c r="D465" s="6">
        <v>0</v>
      </c>
      <c r="E465" s="6">
        <v>27666.85</v>
      </c>
      <c r="F465" s="6">
        <v>175276.62</v>
      </c>
      <c r="G465" t="s">
        <v>2660</v>
      </c>
    </row>
    <row r="466" spans="1:7" hidden="1" x14ac:dyDescent="0.3">
      <c r="A466" s="5">
        <v>45574</v>
      </c>
      <c r="B466" t="s">
        <v>9</v>
      </c>
      <c r="C466" t="s">
        <v>606</v>
      </c>
      <c r="D466" s="6">
        <v>197.11</v>
      </c>
      <c r="E466" s="6">
        <v>0</v>
      </c>
      <c r="F466" s="6">
        <v>175079.51</v>
      </c>
      <c r="G466" t="s">
        <v>2660</v>
      </c>
    </row>
    <row r="467" spans="1:7" hidden="1" x14ac:dyDescent="0.3">
      <c r="A467" s="5">
        <v>45575</v>
      </c>
      <c r="B467" t="s">
        <v>607</v>
      </c>
      <c r="C467" t="s">
        <v>608</v>
      </c>
      <c r="D467" s="6">
        <v>0</v>
      </c>
      <c r="E467" s="6">
        <v>58201.51</v>
      </c>
      <c r="F467" s="6">
        <v>233281.02</v>
      </c>
      <c r="G467" t="s">
        <v>2660</v>
      </c>
    </row>
    <row r="468" spans="1:7" hidden="1" x14ac:dyDescent="0.3">
      <c r="A468" s="5">
        <v>45575</v>
      </c>
      <c r="B468" t="s">
        <v>609</v>
      </c>
      <c r="C468" t="s">
        <v>610</v>
      </c>
      <c r="D468" s="6">
        <v>0</v>
      </c>
      <c r="E468" s="6">
        <v>1668.69</v>
      </c>
      <c r="F468" s="6">
        <v>234949.71</v>
      </c>
      <c r="G468" t="s">
        <v>2660</v>
      </c>
    </row>
    <row r="469" spans="1:7" hidden="1" x14ac:dyDescent="0.3">
      <c r="A469" s="5">
        <v>45575</v>
      </c>
      <c r="B469" t="s">
        <v>31</v>
      </c>
      <c r="C469" t="s">
        <v>611</v>
      </c>
      <c r="D469" s="6">
        <v>10000</v>
      </c>
      <c r="E469" s="6">
        <v>0</v>
      </c>
      <c r="F469" s="6">
        <v>224949.71</v>
      </c>
      <c r="G469" t="s">
        <v>33</v>
      </c>
    </row>
    <row r="470" spans="1:7" hidden="1" x14ac:dyDescent="0.3">
      <c r="A470" s="5">
        <v>45575</v>
      </c>
      <c r="B470" t="s">
        <v>9</v>
      </c>
      <c r="C470" t="s">
        <v>612</v>
      </c>
      <c r="D470" s="6">
        <v>199.14</v>
      </c>
      <c r="E470" s="6">
        <v>0</v>
      </c>
      <c r="F470" s="6">
        <v>224750.57</v>
      </c>
      <c r="G470" t="s">
        <v>2660</v>
      </c>
    </row>
    <row r="471" spans="1:7" hidden="1" x14ac:dyDescent="0.3">
      <c r="A471" s="5">
        <v>45575</v>
      </c>
      <c r="B471" t="s">
        <v>613</v>
      </c>
      <c r="C471" t="s">
        <v>614</v>
      </c>
      <c r="D471" s="6">
        <v>0</v>
      </c>
      <c r="E471" s="6">
        <v>387.5</v>
      </c>
      <c r="F471" s="6">
        <v>225138.07</v>
      </c>
      <c r="G471" t="s">
        <v>145</v>
      </c>
    </row>
    <row r="472" spans="1:7" hidden="1" x14ac:dyDescent="0.3">
      <c r="A472" s="5">
        <v>45575</v>
      </c>
      <c r="B472" t="s">
        <v>615</v>
      </c>
      <c r="C472" t="s">
        <v>616</v>
      </c>
      <c r="D472" s="6">
        <v>0</v>
      </c>
      <c r="E472" s="6">
        <v>64</v>
      </c>
      <c r="F472" s="6">
        <v>225202.07</v>
      </c>
      <c r="G472" t="s">
        <v>145</v>
      </c>
    </row>
    <row r="473" spans="1:7" hidden="1" x14ac:dyDescent="0.3">
      <c r="A473" s="5">
        <v>45575</v>
      </c>
      <c r="B473" t="s">
        <v>9</v>
      </c>
      <c r="C473" t="s">
        <v>617</v>
      </c>
      <c r="D473" s="6">
        <v>997.95</v>
      </c>
      <c r="E473" s="6">
        <v>0</v>
      </c>
      <c r="F473" s="6">
        <v>224204.12</v>
      </c>
      <c r="G473" t="s">
        <v>2660</v>
      </c>
    </row>
    <row r="474" spans="1:7" hidden="1" x14ac:dyDescent="0.3">
      <c r="A474" s="5">
        <v>45576</v>
      </c>
      <c r="B474" t="s">
        <v>618</v>
      </c>
      <c r="C474" t="s">
        <v>619</v>
      </c>
      <c r="D474" s="6">
        <v>0</v>
      </c>
      <c r="E474" s="6">
        <v>129129.96</v>
      </c>
      <c r="F474" s="6">
        <v>353334.08</v>
      </c>
      <c r="G474" t="s">
        <v>2660</v>
      </c>
    </row>
    <row r="475" spans="1:7" hidden="1" x14ac:dyDescent="0.3">
      <c r="A475" s="5">
        <v>45576</v>
      </c>
      <c r="B475" t="s">
        <v>9</v>
      </c>
      <c r="C475" t="s">
        <v>620</v>
      </c>
      <c r="D475" s="6">
        <v>199.38</v>
      </c>
      <c r="E475" s="6">
        <v>0</v>
      </c>
      <c r="F475" s="6">
        <v>353134.7</v>
      </c>
      <c r="G475" t="s">
        <v>2660</v>
      </c>
    </row>
    <row r="476" spans="1:7" hidden="1" x14ac:dyDescent="0.3">
      <c r="A476" s="5">
        <v>45576</v>
      </c>
      <c r="B476" t="s">
        <v>9</v>
      </c>
      <c r="C476" t="s">
        <v>621</v>
      </c>
      <c r="D476" s="6">
        <v>191262.21</v>
      </c>
      <c r="E476" s="6">
        <v>0</v>
      </c>
      <c r="F476" s="6">
        <v>161872.49</v>
      </c>
      <c r="G476" t="s">
        <v>2660</v>
      </c>
    </row>
    <row r="477" spans="1:7" hidden="1" x14ac:dyDescent="0.3">
      <c r="A477" s="5">
        <v>45579</v>
      </c>
      <c r="B477" t="s">
        <v>622</v>
      </c>
      <c r="C477" t="s">
        <v>623</v>
      </c>
      <c r="D477" s="6">
        <v>0</v>
      </c>
      <c r="E477" s="6">
        <v>3285</v>
      </c>
      <c r="F477" s="6">
        <v>165157.49</v>
      </c>
      <c r="G477" t="s">
        <v>145</v>
      </c>
    </row>
    <row r="478" spans="1:7" hidden="1" x14ac:dyDescent="0.3">
      <c r="A478" s="5">
        <v>45579</v>
      </c>
      <c r="B478" t="s">
        <v>624</v>
      </c>
      <c r="C478" t="s">
        <v>625</v>
      </c>
      <c r="D478" s="6">
        <v>0</v>
      </c>
      <c r="E478" s="6">
        <v>68644.479999999996</v>
      </c>
      <c r="F478" s="6">
        <v>233801.97</v>
      </c>
      <c r="G478" t="s">
        <v>2660</v>
      </c>
    </row>
    <row r="479" spans="1:7" hidden="1" x14ac:dyDescent="0.3">
      <c r="A479" s="5">
        <v>45579</v>
      </c>
      <c r="B479" t="s">
        <v>626</v>
      </c>
      <c r="C479" t="s">
        <v>627</v>
      </c>
      <c r="D479" s="6">
        <v>0</v>
      </c>
      <c r="E479" s="6">
        <v>375</v>
      </c>
      <c r="F479" s="6">
        <v>234176.97</v>
      </c>
      <c r="G479" t="s">
        <v>145</v>
      </c>
    </row>
    <row r="480" spans="1:7" hidden="1" x14ac:dyDescent="0.3">
      <c r="A480" s="5">
        <v>45580</v>
      </c>
      <c r="B480" t="s">
        <v>628</v>
      </c>
      <c r="C480" t="s">
        <v>629</v>
      </c>
      <c r="D480" s="6">
        <v>0</v>
      </c>
      <c r="E480" s="6">
        <v>44330.25</v>
      </c>
      <c r="F480" s="6">
        <v>278507.21999999997</v>
      </c>
      <c r="G480" t="s">
        <v>2660</v>
      </c>
    </row>
    <row r="481" spans="1:7" hidden="1" x14ac:dyDescent="0.3">
      <c r="A481" s="5">
        <v>45580</v>
      </c>
      <c r="B481" t="s">
        <v>630</v>
      </c>
      <c r="C481" t="s">
        <v>631</v>
      </c>
      <c r="D481" s="6">
        <v>0</v>
      </c>
      <c r="E481" s="6">
        <v>97423.91</v>
      </c>
      <c r="F481" s="6">
        <v>375931.13</v>
      </c>
      <c r="G481" t="s">
        <v>2660</v>
      </c>
    </row>
    <row r="482" spans="1:7" hidden="1" x14ac:dyDescent="0.3">
      <c r="A482" s="5">
        <v>45580</v>
      </c>
      <c r="B482" t="s">
        <v>31</v>
      </c>
      <c r="C482" t="s">
        <v>632</v>
      </c>
      <c r="D482" s="6">
        <v>10000</v>
      </c>
      <c r="E482" s="6">
        <v>0</v>
      </c>
      <c r="F482" s="6">
        <v>365931.13</v>
      </c>
      <c r="G482" t="s">
        <v>33</v>
      </c>
    </row>
    <row r="483" spans="1:7" hidden="1" x14ac:dyDescent="0.3">
      <c r="A483" s="5">
        <v>45580</v>
      </c>
      <c r="B483" t="s">
        <v>633</v>
      </c>
      <c r="C483" t="s">
        <v>24</v>
      </c>
      <c r="D483" s="6">
        <v>979.4</v>
      </c>
      <c r="E483" s="6">
        <v>0</v>
      </c>
      <c r="F483" s="6">
        <v>364951.73</v>
      </c>
      <c r="G483" t="s">
        <v>25</v>
      </c>
    </row>
    <row r="484" spans="1:7" hidden="1" x14ac:dyDescent="0.3">
      <c r="A484" s="5">
        <v>45580</v>
      </c>
      <c r="B484" t="s">
        <v>9</v>
      </c>
      <c r="C484" t="s">
        <v>634</v>
      </c>
      <c r="D484" s="6">
        <v>323.43</v>
      </c>
      <c r="E484" s="6">
        <v>0</v>
      </c>
      <c r="F484" s="6">
        <v>364628.3</v>
      </c>
      <c r="G484" t="s">
        <v>2660</v>
      </c>
    </row>
    <row r="485" spans="1:7" hidden="1" x14ac:dyDescent="0.3">
      <c r="A485" s="5">
        <v>45580</v>
      </c>
      <c r="B485" t="s">
        <v>635</v>
      </c>
      <c r="C485" t="s">
        <v>636</v>
      </c>
      <c r="D485" s="6">
        <v>0</v>
      </c>
      <c r="E485" s="6">
        <v>325</v>
      </c>
      <c r="F485" s="6">
        <v>364953.3</v>
      </c>
      <c r="G485" t="s">
        <v>145</v>
      </c>
    </row>
    <row r="486" spans="1:7" hidden="1" x14ac:dyDescent="0.3">
      <c r="A486" s="5">
        <v>45580</v>
      </c>
      <c r="B486" t="s">
        <v>637</v>
      </c>
      <c r="C486" t="s">
        <v>638</v>
      </c>
      <c r="D486" s="6">
        <v>0</v>
      </c>
      <c r="E486" s="6">
        <v>6</v>
      </c>
      <c r="F486" s="6">
        <v>364959.3</v>
      </c>
      <c r="G486" t="s">
        <v>145</v>
      </c>
    </row>
    <row r="487" spans="1:7" hidden="1" x14ac:dyDescent="0.3">
      <c r="A487" s="5">
        <v>45580</v>
      </c>
      <c r="B487" t="s">
        <v>9</v>
      </c>
      <c r="C487" t="s">
        <v>639</v>
      </c>
      <c r="D487" s="6">
        <v>7107.15</v>
      </c>
      <c r="E487" s="6">
        <v>0</v>
      </c>
      <c r="F487" s="6">
        <v>357852.15</v>
      </c>
      <c r="G487" t="s">
        <v>2660</v>
      </c>
    </row>
    <row r="488" spans="1:7" hidden="1" x14ac:dyDescent="0.3">
      <c r="A488" s="5">
        <v>45581</v>
      </c>
      <c r="B488" t="s">
        <v>640</v>
      </c>
      <c r="C488" t="s">
        <v>641</v>
      </c>
      <c r="D488" s="6">
        <v>0</v>
      </c>
      <c r="E488" s="6">
        <v>33057.08</v>
      </c>
      <c r="F488" s="6">
        <v>390909.23</v>
      </c>
      <c r="G488" t="s">
        <v>2660</v>
      </c>
    </row>
    <row r="489" spans="1:7" hidden="1" x14ac:dyDescent="0.3">
      <c r="A489" s="5">
        <v>45581</v>
      </c>
      <c r="B489" t="s">
        <v>9</v>
      </c>
      <c r="C489" t="s">
        <v>642</v>
      </c>
      <c r="D489" s="6">
        <v>284.3</v>
      </c>
      <c r="E489" s="6">
        <v>0</v>
      </c>
      <c r="F489" s="6">
        <v>390624.93</v>
      </c>
      <c r="G489" t="s">
        <v>2660</v>
      </c>
    </row>
    <row r="490" spans="1:7" hidden="1" x14ac:dyDescent="0.3">
      <c r="A490" s="5">
        <v>45581</v>
      </c>
      <c r="B490" t="s">
        <v>9</v>
      </c>
      <c r="C490" t="s">
        <v>643</v>
      </c>
      <c r="D490" s="6">
        <v>2510.0300000000002</v>
      </c>
      <c r="E490" s="6">
        <v>0</v>
      </c>
      <c r="F490" s="6">
        <v>388114.9</v>
      </c>
      <c r="G490" t="s">
        <v>2660</v>
      </c>
    </row>
    <row r="491" spans="1:7" hidden="1" x14ac:dyDescent="0.3">
      <c r="A491" s="5">
        <v>45582</v>
      </c>
      <c r="B491" t="s">
        <v>644</v>
      </c>
      <c r="C491" t="s">
        <v>645</v>
      </c>
      <c r="D491" s="6">
        <v>0</v>
      </c>
      <c r="E491" s="6">
        <v>87315.85</v>
      </c>
      <c r="F491" s="6">
        <v>475430.75</v>
      </c>
      <c r="G491" t="s">
        <v>2660</v>
      </c>
    </row>
    <row r="492" spans="1:7" hidden="1" x14ac:dyDescent="0.3">
      <c r="A492" s="5">
        <v>45582</v>
      </c>
      <c r="B492" t="s">
        <v>9</v>
      </c>
      <c r="C492" t="s">
        <v>646</v>
      </c>
      <c r="D492" s="6">
        <v>283.39999999999998</v>
      </c>
      <c r="E492" s="6">
        <v>0</v>
      </c>
      <c r="F492" s="6">
        <v>475147.35</v>
      </c>
      <c r="G492" t="s">
        <v>2660</v>
      </c>
    </row>
    <row r="493" spans="1:7" hidden="1" x14ac:dyDescent="0.3">
      <c r="A493" s="5">
        <v>45582</v>
      </c>
      <c r="B493" t="s">
        <v>9</v>
      </c>
      <c r="C493" t="s">
        <v>647</v>
      </c>
      <c r="D493" s="6">
        <v>5319.59</v>
      </c>
      <c r="E493" s="6">
        <v>0</v>
      </c>
      <c r="F493" s="6">
        <v>469827.76</v>
      </c>
      <c r="G493" t="s">
        <v>2660</v>
      </c>
    </row>
    <row r="494" spans="1:7" hidden="1" x14ac:dyDescent="0.3">
      <c r="A494" s="5">
        <v>45583</v>
      </c>
      <c r="B494" t="s">
        <v>9</v>
      </c>
      <c r="C494" t="s">
        <v>648</v>
      </c>
      <c r="D494" s="6">
        <v>281.51</v>
      </c>
      <c r="E494" s="6">
        <v>0</v>
      </c>
      <c r="F494" s="6">
        <v>469546.25</v>
      </c>
      <c r="G494" t="s">
        <v>2660</v>
      </c>
    </row>
    <row r="495" spans="1:7" hidden="1" x14ac:dyDescent="0.3">
      <c r="A495" s="5">
        <v>45583</v>
      </c>
      <c r="B495" t="s">
        <v>9</v>
      </c>
      <c r="C495" t="s">
        <v>649</v>
      </c>
      <c r="D495" s="6">
        <v>585.75</v>
      </c>
      <c r="E495" s="6">
        <v>0</v>
      </c>
      <c r="F495" s="6">
        <v>468960.5</v>
      </c>
      <c r="G495" t="s">
        <v>2660</v>
      </c>
    </row>
    <row r="496" spans="1:7" hidden="1" x14ac:dyDescent="0.3">
      <c r="A496" s="5">
        <v>45586</v>
      </c>
      <c r="B496" t="s">
        <v>31</v>
      </c>
      <c r="C496" t="s">
        <v>650</v>
      </c>
      <c r="D496" s="6">
        <v>10000</v>
      </c>
      <c r="E496" s="6">
        <v>0</v>
      </c>
      <c r="F496" s="6">
        <v>458960.5</v>
      </c>
      <c r="G496" t="s">
        <v>33</v>
      </c>
    </row>
    <row r="497" spans="1:7" hidden="1" x14ac:dyDescent="0.3">
      <c r="A497" s="5">
        <v>45586</v>
      </c>
      <c r="B497" t="s">
        <v>9</v>
      </c>
      <c r="C497" t="s">
        <v>651</v>
      </c>
      <c r="D497" s="6">
        <v>843.9</v>
      </c>
      <c r="E497" s="6">
        <v>0</v>
      </c>
      <c r="F497" s="6">
        <v>458116.6</v>
      </c>
      <c r="G497" t="s">
        <v>2660</v>
      </c>
    </row>
    <row r="498" spans="1:7" hidden="1" x14ac:dyDescent="0.3">
      <c r="A498" s="5">
        <v>45586</v>
      </c>
      <c r="B498" t="s">
        <v>9</v>
      </c>
      <c r="C498" t="s">
        <v>652</v>
      </c>
      <c r="D498" s="6">
        <v>9525.09</v>
      </c>
      <c r="E498" s="6">
        <v>0</v>
      </c>
      <c r="F498" s="6">
        <v>448591.51</v>
      </c>
      <c r="G498" t="s">
        <v>2660</v>
      </c>
    </row>
    <row r="499" spans="1:7" hidden="1" x14ac:dyDescent="0.3">
      <c r="A499" s="5">
        <v>45587</v>
      </c>
      <c r="B499" t="s">
        <v>9</v>
      </c>
      <c r="C499" t="s">
        <v>653</v>
      </c>
      <c r="D499" s="6">
        <v>277.91000000000003</v>
      </c>
      <c r="E499" s="6">
        <v>0</v>
      </c>
      <c r="F499" s="6">
        <v>448313.59999999998</v>
      </c>
      <c r="G499" t="s">
        <v>2660</v>
      </c>
    </row>
    <row r="500" spans="1:7" hidden="1" x14ac:dyDescent="0.3">
      <c r="A500" s="5">
        <v>45587</v>
      </c>
      <c r="B500" t="s">
        <v>9</v>
      </c>
      <c r="C500" t="s">
        <v>654</v>
      </c>
      <c r="D500" s="6">
        <v>30176.87</v>
      </c>
      <c r="E500" s="6">
        <v>0</v>
      </c>
      <c r="F500" s="6">
        <v>418136.73</v>
      </c>
      <c r="G500" t="s">
        <v>2660</v>
      </c>
    </row>
    <row r="501" spans="1:7" hidden="1" x14ac:dyDescent="0.3">
      <c r="A501" s="5">
        <v>45588</v>
      </c>
      <c r="B501" t="s">
        <v>9</v>
      </c>
      <c r="C501" t="s">
        <v>655</v>
      </c>
      <c r="D501" s="6">
        <v>273.54000000000002</v>
      </c>
      <c r="E501" s="6">
        <v>0</v>
      </c>
      <c r="F501" s="6">
        <v>417863.19</v>
      </c>
      <c r="G501" t="s">
        <v>2660</v>
      </c>
    </row>
    <row r="502" spans="1:7" hidden="1" x14ac:dyDescent="0.3">
      <c r="A502" s="5">
        <v>45589</v>
      </c>
      <c r="B502" t="s">
        <v>656</v>
      </c>
      <c r="C502" t="s">
        <v>657</v>
      </c>
      <c r="D502" s="6">
        <v>0</v>
      </c>
      <c r="E502" s="6">
        <v>5723.01</v>
      </c>
      <c r="F502" s="6">
        <v>423586.2</v>
      </c>
      <c r="G502" t="s">
        <v>2660</v>
      </c>
    </row>
    <row r="503" spans="1:7" hidden="1" x14ac:dyDescent="0.3">
      <c r="A503" s="5">
        <v>45589</v>
      </c>
      <c r="B503" t="s">
        <v>658</v>
      </c>
      <c r="C503" t="s">
        <v>659</v>
      </c>
      <c r="D503" s="6">
        <v>0</v>
      </c>
      <c r="E503" s="6">
        <v>126563.11</v>
      </c>
      <c r="F503" s="6">
        <v>550149.31000000006</v>
      </c>
      <c r="G503" t="s">
        <v>516</v>
      </c>
    </row>
    <row r="504" spans="1:7" hidden="1" x14ac:dyDescent="0.3">
      <c r="A504" s="5">
        <v>45589</v>
      </c>
      <c r="B504" t="s">
        <v>9</v>
      </c>
      <c r="C504" t="s">
        <v>660</v>
      </c>
      <c r="D504" s="6">
        <v>281.08</v>
      </c>
      <c r="E504" s="6">
        <v>0</v>
      </c>
      <c r="F504" s="6">
        <v>549868.23</v>
      </c>
      <c r="G504" t="s">
        <v>2660</v>
      </c>
    </row>
    <row r="505" spans="1:7" hidden="1" x14ac:dyDescent="0.3">
      <c r="A505" s="5">
        <v>45589</v>
      </c>
      <c r="B505" t="s">
        <v>9</v>
      </c>
      <c r="C505" t="s">
        <v>661</v>
      </c>
      <c r="D505" s="6">
        <v>7547.43</v>
      </c>
      <c r="E505" s="6">
        <v>0</v>
      </c>
      <c r="F505" s="6">
        <v>542320.80000000005</v>
      </c>
      <c r="G505" t="s">
        <v>2660</v>
      </c>
    </row>
    <row r="506" spans="1:7" hidden="1" x14ac:dyDescent="0.3">
      <c r="A506" s="5">
        <v>45590</v>
      </c>
      <c r="B506" t="s">
        <v>9</v>
      </c>
      <c r="C506" t="s">
        <v>662</v>
      </c>
      <c r="D506" s="6">
        <v>280.43</v>
      </c>
      <c r="E506" s="6">
        <v>0</v>
      </c>
      <c r="F506" s="6">
        <v>542040.37</v>
      </c>
      <c r="G506" t="s">
        <v>2660</v>
      </c>
    </row>
    <row r="507" spans="1:7" x14ac:dyDescent="0.3">
      <c r="A507" s="5">
        <v>45590</v>
      </c>
      <c r="B507" t="s">
        <v>663</v>
      </c>
      <c r="C507" t="s">
        <v>664</v>
      </c>
      <c r="D507" s="6">
        <v>20000</v>
      </c>
      <c r="E507" s="6">
        <v>0</v>
      </c>
      <c r="F507" s="6">
        <v>522040.37</v>
      </c>
      <c r="G507" t="s">
        <v>93</v>
      </c>
    </row>
    <row r="508" spans="1:7" hidden="1" x14ac:dyDescent="0.3">
      <c r="A508" s="5">
        <v>45590</v>
      </c>
      <c r="B508" t="s">
        <v>665</v>
      </c>
      <c r="C508" t="s">
        <v>666</v>
      </c>
      <c r="D508" s="6">
        <v>0</v>
      </c>
      <c r="E508" s="6">
        <v>1</v>
      </c>
      <c r="F508" s="6">
        <v>522041.37</v>
      </c>
      <c r="G508" t="s">
        <v>667</v>
      </c>
    </row>
    <row r="509" spans="1:7" hidden="1" x14ac:dyDescent="0.3">
      <c r="A509" s="5">
        <v>45591</v>
      </c>
      <c r="B509" t="s">
        <v>9</v>
      </c>
      <c r="C509" t="s">
        <v>668</v>
      </c>
      <c r="D509" s="6">
        <v>9252.59</v>
      </c>
      <c r="E509" s="6">
        <v>0</v>
      </c>
      <c r="F509" s="6">
        <v>512788.78</v>
      </c>
      <c r="G509" t="s">
        <v>2660</v>
      </c>
    </row>
    <row r="510" spans="1:7" hidden="1" x14ac:dyDescent="0.3">
      <c r="A510" s="5">
        <v>45592</v>
      </c>
      <c r="B510" t="s">
        <v>669</v>
      </c>
      <c r="C510" t="s">
        <v>670</v>
      </c>
      <c r="D510" s="6">
        <v>511250</v>
      </c>
      <c r="E510" s="6">
        <v>0</v>
      </c>
      <c r="F510" s="6">
        <v>1538.78</v>
      </c>
      <c r="G510" t="s">
        <v>671</v>
      </c>
    </row>
    <row r="511" spans="1:7" hidden="1" x14ac:dyDescent="0.3">
      <c r="A511" s="5">
        <v>45592</v>
      </c>
      <c r="B511" t="s">
        <v>672</v>
      </c>
      <c r="C511" t="s">
        <v>673</v>
      </c>
      <c r="D511" s="6">
        <v>0</v>
      </c>
      <c r="E511" s="6">
        <v>100000</v>
      </c>
      <c r="F511" s="6">
        <v>101538.78</v>
      </c>
      <c r="G511" t="s">
        <v>163</v>
      </c>
    </row>
    <row r="512" spans="1:7" hidden="1" x14ac:dyDescent="0.3">
      <c r="A512" s="5">
        <v>45593</v>
      </c>
      <c r="B512" t="s">
        <v>9</v>
      </c>
      <c r="C512" t="s">
        <v>674</v>
      </c>
      <c r="D512" s="6">
        <v>831.39</v>
      </c>
      <c r="E512" s="6">
        <v>0</v>
      </c>
      <c r="F512" s="6">
        <v>100707.39</v>
      </c>
      <c r="G512" t="s">
        <v>2660</v>
      </c>
    </row>
    <row r="513" spans="1:7" hidden="1" x14ac:dyDescent="0.3">
      <c r="A513" s="5">
        <v>45594</v>
      </c>
      <c r="B513" t="s">
        <v>675</v>
      </c>
      <c r="C513" t="s">
        <v>676</v>
      </c>
      <c r="D513" s="6">
        <v>0</v>
      </c>
      <c r="E513" s="6">
        <v>5448.03</v>
      </c>
      <c r="F513" s="6">
        <v>106155.42</v>
      </c>
      <c r="G513" t="s">
        <v>2660</v>
      </c>
    </row>
    <row r="514" spans="1:7" hidden="1" x14ac:dyDescent="0.3">
      <c r="A514" s="5">
        <v>45594</v>
      </c>
      <c r="B514" t="s">
        <v>9</v>
      </c>
      <c r="C514" t="s">
        <v>677</v>
      </c>
      <c r="D514" s="6">
        <v>277.13</v>
      </c>
      <c r="E514" s="6">
        <v>0</v>
      </c>
      <c r="F514" s="6">
        <v>105878.29</v>
      </c>
      <c r="G514" t="s">
        <v>2660</v>
      </c>
    </row>
    <row r="515" spans="1:7" hidden="1" x14ac:dyDescent="0.3">
      <c r="A515" s="5">
        <v>45594</v>
      </c>
      <c r="B515" t="s">
        <v>9</v>
      </c>
      <c r="C515" t="s">
        <v>678</v>
      </c>
      <c r="D515" s="6">
        <v>7965.64</v>
      </c>
      <c r="E515" s="6">
        <v>0</v>
      </c>
      <c r="F515" s="6">
        <v>97912.65</v>
      </c>
      <c r="G515" t="s">
        <v>2660</v>
      </c>
    </row>
    <row r="516" spans="1:7" hidden="1" x14ac:dyDescent="0.3">
      <c r="A516" s="5">
        <v>45595</v>
      </c>
      <c r="B516" t="s">
        <v>9</v>
      </c>
      <c r="C516" t="s">
        <v>679</v>
      </c>
      <c r="D516" s="6">
        <v>276.24</v>
      </c>
      <c r="E516" s="6">
        <v>0</v>
      </c>
      <c r="F516" s="6">
        <v>97636.41</v>
      </c>
      <c r="G516" t="s">
        <v>2660</v>
      </c>
    </row>
    <row r="517" spans="1:7" hidden="1" x14ac:dyDescent="0.3">
      <c r="A517" s="5">
        <v>45596</v>
      </c>
      <c r="B517" t="s">
        <v>680</v>
      </c>
      <c r="C517" t="s">
        <v>681</v>
      </c>
      <c r="D517" s="6">
        <v>0</v>
      </c>
      <c r="E517" s="6">
        <v>29814.720000000001</v>
      </c>
      <c r="F517" s="6">
        <v>127451.13</v>
      </c>
      <c r="G517" t="s">
        <v>2660</v>
      </c>
    </row>
    <row r="518" spans="1:7" hidden="1" x14ac:dyDescent="0.3">
      <c r="A518" s="5">
        <v>45596</v>
      </c>
      <c r="B518" t="s">
        <v>682</v>
      </c>
      <c r="C518" t="s">
        <v>683</v>
      </c>
      <c r="D518" s="6">
        <v>0</v>
      </c>
      <c r="E518" s="6">
        <v>6867.42</v>
      </c>
      <c r="F518" s="6">
        <v>134318.54999999999</v>
      </c>
      <c r="G518" t="s">
        <v>2660</v>
      </c>
    </row>
    <row r="519" spans="1:7" hidden="1" x14ac:dyDescent="0.3">
      <c r="A519" s="5">
        <v>45596</v>
      </c>
      <c r="B519" t="s">
        <v>684</v>
      </c>
      <c r="C519" t="s">
        <v>685</v>
      </c>
      <c r="D519" s="6">
        <v>0</v>
      </c>
      <c r="E519" s="6">
        <v>51273.2</v>
      </c>
      <c r="F519" s="6">
        <v>185591.75</v>
      </c>
      <c r="G519" t="s">
        <v>516</v>
      </c>
    </row>
    <row r="520" spans="1:7" hidden="1" x14ac:dyDescent="0.3">
      <c r="A520" s="5">
        <v>45596</v>
      </c>
      <c r="B520" t="s">
        <v>9</v>
      </c>
      <c r="C520" t="s">
        <v>686</v>
      </c>
      <c r="D520" s="6">
        <v>287.10000000000002</v>
      </c>
      <c r="E520" s="6">
        <v>0</v>
      </c>
      <c r="F520" s="6">
        <v>185304.65</v>
      </c>
      <c r="G520" t="s">
        <v>2660</v>
      </c>
    </row>
    <row r="521" spans="1:7" hidden="1" x14ac:dyDescent="0.3">
      <c r="A521" s="5">
        <v>45596</v>
      </c>
      <c r="B521" t="s">
        <v>9</v>
      </c>
      <c r="C521" t="s">
        <v>687</v>
      </c>
      <c r="D521" s="6">
        <v>6914.76</v>
      </c>
      <c r="E521" s="6">
        <v>0</v>
      </c>
      <c r="F521" s="6">
        <v>178389.89</v>
      </c>
      <c r="G521" t="s">
        <v>2660</v>
      </c>
    </row>
    <row r="522" spans="1:7" hidden="1" x14ac:dyDescent="0.3">
      <c r="A522" s="5">
        <v>45600</v>
      </c>
      <c r="B522" t="s">
        <v>688</v>
      </c>
      <c r="C522" t="s">
        <v>689</v>
      </c>
      <c r="D522" s="6">
        <v>0</v>
      </c>
      <c r="E522" s="6">
        <v>8573.4599999999991</v>
      </c>
      <c r="F522" s="6">
        <v>186963.35</v>
      </c>
      <c r="G522" t="s">
        <v>2660</v>
      </c>
    </row>
    <row r="523" spans="1:7" hidden="1" x14ac:dyDescent="0.3">
      <c r="A523" s="5">
        <v>45600</v>
      </c>
      <c r="B523" t="s">
        <v>690</v>
      </c>
      <c r="C523" t="s">
        <v>691</v>
      </c>
      <c r="D523" s="6">
        <v>0</v>
      </c>
      <c r="E523" s="6">
        <v>9376.1200000000008</v>
      </c>
      <c r="F523" s="6">
        <v>196339.47</v>
      </c>
      <c r="G523" t="s">
        <v>2660</v>
      </c>
    </row>
    <row r="524" spans="1:7" hidden="1" x14ac:dyDescent="0.3">
      <c r="A524" s="5">
        <v>45600</v>
      </c>
      <c r="B524" t="s">
        <v>9</v>
      </c>
      <c r="C524" t="s">
        <v>692</v>
      </c>
      <c r="D524" s="6">
        <v>1158.2</v>
      </c>
      <c r="E524" s="6">
        <v>0</v>
      </c>
      <c r="F524" s="6">
        <v>195181.27</v>
      </c>
      <c r="G524" t="s">
        <v>2660</v>
      </c>
    </row>
    <row r="525" spans="1:7" x14ac:dyDescent="0.3">
      <c r="A525" s="5">
        <v>45600</v>
      </c>
      <c r="B525" t="s">
        <v>693</v>
      </c>
      <c r="C525" t="s">
        <v>694</v>
      </c>
      <c r="D525" s="6">
        <v>20000</v>
      </c>
      <c r="E525" s="6">
        <v>0</v>
      </c>
      <c r="F525" s="6">
        <v>175181.27</v>
      </c>
      <c r="G525" t="s">
        <v>93</v>
      </c>
    </row>
    <row r="526" spans="1:7" hidden="1" x14ac:dyDescent="0.3">
      <c r="A526" s="5">
        <v>45600</v>
      </c>
      <c r="B526" t="s">
        <v>81</v>
      </c>
      <c r="C526" t="s">
        <v>695</v>
      </c>
      <c r="D526" s="6">
        <v>0</v>
      </c>
      <c r="E526" s="6">
        <v>595.13</v>
      </c>
      <c r="F526" s="6">
        <v>175776.4</v>
      </c>
      <c r="G526" t="s">
        <v>83</v>
      </c>
    </row>
    <row r="527" spans="1:7" hidden="1" x14ac:dyDescent="0.3">
      <c r="A527" s="5">
        <v>45600</v>
      </c>
      <c r="B527" t="s">
        <v>9</v>
      </c>
      <c r="C527" t="s">
        <v>696</v>
      </c>
      <c r="D527" s="6">
        <v>22990.26</v>
      </c>
      <c r="E527" s="6">
        <v>0</v>
      </c>
      <c r="F527" s="6">
        <v>152786.14000000001</v>
      </c>
      <c r="G527" t="s">
        <v>2660</v>
      </c>
    </row>
    <row r="528" spans="1:7" hidden="1" x14ac:dyDescent="0.3">
      <c r="A528" s="5">
        <v>45601</v>
      </c>
      <c r="B528" t="s">
        <v>9</v>
      </c>
      <c r="C528" t="s">
        <v>697</v>
      </c>
      <c r="D528" s="6">
        <v>284.41000000000003</v>
      </c>
      <c r="E528" s="6">
        <v>0</v>
      </c>
      <c r="F528" s="6">
        <v>152501.73000000001</v>
      </c>
      <c r="G528" t="s">
        <v>2660</v>
      </c>
    </row>
    <row r="529" spans="1:7" hidden="1" x14ac:dyDescent="0.3">
      <c r="A529" s="5">
        <v>45601</v>
      </c>
      <c r="B529" t="s">
        <v>9</v>
      </c>
      <c r="C529" t="s">
        <v>698</v>
      </c>
      <c r="D529" s="6">
        <v>1694.83</v>
      </c>
      <c r="E529" s="6">
        <v>0</v>
      </c>
      <c r="F529" s="6">
        <v>150806.9</v>
      </c>
      <c r="G529" t="s">
        <v>2660</v>
      </c>
    </row>
    <row r="530" spans="1:7" hidden="1" x14ac:dyDescent="0.3">
      <c r="A530" s="5">
        <v>45602</v>
      </c>
      <c r="B530" t="s">
        <v>9</v>
      </c>
      <c r="C530" t="s">
        <v>699</v>
      </c>
      <c r="D530" s="6">
        <v>286.27999999999997</v>
      </c>
      <c r="E530" s="6">
        <v>0</v>
      </c>
      <c r="F530" s="6">
        <v>150520.62</v>
      </c>
      <c r="G530" t="s">
        <v>2660</v>
      </c>
    </row>
    <row r="531" spans="1:7" hidden="1" x14ac:dyDescent="0.3">
      <c r="A531" s="5">
        <v>45603</v>
      </c>
      <c r="B531" t="s">
        <v>700</v>
      </c>
      <c r="C531" t="s">
        <v>701</v>
      </c>
      <c r="D531" s="6">
        <v>0</v>
      </c>
      <c r="E531" s="6">
        <v>15125.84</v>
      </c>
      <c r="F531" s="6">
        <v>165646.46</v>
      </c>
      <c r="G531" t="s">
        <v>2660</v>
      </c>
    </row>
    <row r="532" spans="1:7" hidden="1" x14ac:dyDescent="0.3">
      <c r="A532" s="5">
        <v>45603</v>
      </c>
      <c r="B532" t="s">
        <v>9</v>
      </c>
      <c r="C532" t="s">
        <v>702</v>
      </c>
      <c r="D532" s="6">
        <v>290.33999999999997</v>
      </c>
      <c r="E532" s="6">
        <v>0</v>
      </c>
      <c r="F532" s="6">
        <v>165356.12</v>
      </c>
      <c r="G532" t="s">
        <v>2660</v>
      </c>
    </row>
    <row r="533" spans="1:7" hidden="1" x14ac:dyDescent="0.3">
      <c r="A533" s="5">
        <v>45603</v>
      </c>
      <c r="B533" t="s">
        <v>703</v>
      </c>
      <c r="C533" t="s">
        <v>704</v>
      </c>
      <c r="D533" s="6">
        <v>0</v>
      </c>
      <c r="E533" s="6">
        <v>1280</v>
      </c>
      <c r="F533" s="6">
        <v>166636.12</v>
      </c>
      <c r="G533" t="s">
        <v>145</v>
      </c>
    </row>
    <row r="534" spans="1:7" hidden="1" x14ac:dyDescent="0.3">
      <c r="A534" s="5">
        <v>45603</v>
      </c>
      <c r="B534" t="s">
        <v>9</v>
      </c>
      <c r="C534" t="s">
        <v>705</v>
      </c>
      <c r="D534" s="6">
        <v>9762.7199999999993</v>
      </c>
      <c r="E534" s="6">
        <v>0</v>
      </c>
      <c r="F534" s="6">
        <v>156873.4</v>
      </c>
      <c r="G534" t="s">
        <v>2660</v>
      </c>
    </row>
    <row r="535" spans="1:7" hidden="1" x14ac:dyDescent="0.3">
      <c r="A535" s="5">
        <v>45604</v>
      </c>
      <c r="B535" t="s">
        <v>706</v>
      </c>
      <c r="C535" t="s">
        <v>707</v>
      </c>
      <c r="D535" s="6">
        <v>0</v>
      </c>
      <c r="E535" s="6">
        <v>40137.24</v>
      </c>
      <c r="F535" s="6">
        <v>197010.64</v>
      </c>
      <c r="G535" t="s">
        <v>2660</v>
      </c>
    </row>
    <row r="536" spans="1:7" hidden="1" x14ac:dyDescent="0.3">
      <c r="A536" s="5">
        <v>45604</v>
      </c>
      <c r="B536" t="s">
        <v>708</v>
      </c>
      <c r="C536" t="s">
        <v>709</v>
      </c>
      <c r="D536" s="6">
        <v>0</v>
      </c>
      <c r="E536" s="6">
        <v>1260</v>
      </c>
      <c r="F536" s="6">
        <v>198270.64</v>
      </c>
      <c r="G536" t="s">
        <v>145</v>
      </c>
    </row>
    <row r="537" spans="1:7" hidden="1" x14ac:dyDescent="0.3">
      <c r="A537" s="5">
        <v>45604</v>
      </c>
      <c r="B537" t="s">
        <v>9</v>
      </c>
      <c r="C537" t="s">
        <v>710</v>
      </c>
      <c r="D537" s="6">
        <v>292.25</v>
      </c>
      <c r="E537" s="6">
        <v>0</v>
      </c>
      <c r="F537" s="6">
        <v>197978.39</v>
      </c>
      <c r="G537" t="s">
        <v>2660</v>
      </c>
    </row>
    <row r="538" spans="1:7" hidden="1" x14ac:dyDescent="0.3">
      <c r="A538" s="5">
        <v>45604</v>
      </c>
      <c r="B538" t="s">
        <v>9</v>
      </c>
      <c r="C538" t="s">
        <v>711</v>
      </c>
      <c r="D538" s="6">
        <v>15168.44</v>
      </c>
      <c r="E538" s="6">
        <v>0</v>
      </c>
      <c r="F538" s="6">
        <v>182809.95</v>
      </c>
      <c r="G538" t="s">
        <v>2660</v>
      </c>
    </row>
    <row r="539" spans="1:7" x14ac:dyDescent="0.3">
      <c r="A539" s="5">
        <v>45605</v>
      </c>
      <c r="B539" t="s">
        <v>693</v>
      </c>
      <c r="C539" t="s">
        <v>712</v>
      </c>
      <c r="D539" s="6">
        <v>20000</v>
      </c>
      <c r="E539" s="6">
        <v>0</v>
      </c>
      <c r="F539" s="6">
        <v>162809.95000000001</v>
      </c>
      <c r="G539" t="s">
        <v>93</v>
      </c>
    </row>
    <row r="540" spans="1:7" hidden="1" x14ac:dyDescent="0.3">
      <c r="A540" s="5">
        <v>45607</v>
      </c>
      <c r="B540" t="s">
        <v>713</v>
      </c>
      <c r="C540" t="s">
        <v>714</v>
      </c>
      <c r="D540" s="6">
        <v>0</v>
      </c>
      <c r="E540" s="6">
        <v>28183.96</v>
      </c>
      <c r="F540" s="6">
        <v>190993.91</v>
      </c>
      <c r="G540" t="s">
        <v>2660</v>
      </c>
    </row>
    <row r="541" spans="1:7" hidden="1" x14ac:dyDescent="0.3">
      <c r="A541" s="5">
        <v>45607</v>
      </c>
      <c r="B541" t="s">
        <v>31</v>
      </c>
      <c r="C541" t="s">
        <v>715</v>
      </c>
      <c r="D541" s="6">
        <v>10000</v>
      </c>
      <c r="E541" s="6">
        <v>0</v>
      </c>
      <c r="F541" s="6">
        <v>180993.91</v>
      </c>
      <c r="G541" t="s">
        <v>33</v>
      </c>
    </row>
    <row r="542" spans="1:7" hidden="1" x14ac:dyDescent="0.3">
      <c r="A542" s="5">
        <v>45607</v>
      </c>
      <c r="B542" t="s">
        <v>9</v>
      </c>
      <c r="C542" t="s">
        <v>716</v>
      </c>
      <c r="D542" s="6">
        <v>883.83</v>
      </c>
      <c r="E542" s="6">
        <v>0</v>
      </c>
      <c r="F542" s="6">
        <v>180110.07999999999</v>
      </c>
      <c r="G542" t="s">
        <v>2660</v>
      </c>
    </row>
    <row r="543" spans="1:7" hidden="1" x14ac:dyDescent="0.3">
      <c r="A543" s="5">
        <v>45608</v>
      </c>
      <c r="B543" t="s">
        <v>9</v>
      </c>
      <c r="C543" t="s">
        <v>717</v>
      </c>
      <c r="D543" s="6">
        <v>17702.580000000002</v>
      </c>
      <c r="E543" s="6">
        <v>0</v>
      </c>
      <c r="F543" s="6">
        <v>162407.5</v>
      </c>
      <c r="G543" t="s">
        <v>2660</v>
      </c>
    </row>
    <row r="544" spans="1:7" hidden="1" x14ac:dyDescent="0.3">
      <c r="A544" s="5">
        <v>45608</v>
      </c>
      <c r="B544" t="s">
        <v>9</v>
      </c>
      <c r="C544" t="s">
        <v>718</v>
      </c>
      <c r="D544" s="6">
        <v>37.770000000000003</v>
      </c>
      <c r="E544" s="6">
        <v>0</v>
      </c>
      <c r="F544" s="6">
        <v>162369.73000000001</v>
      </c>
      <c r="G544" t="s">
        <v>2660</v>
      </c>
    </row>
    <row r="545" spans="1:7" hidden="1" x14ac:dyDescent="0.3">
      <c r="A545" s="5">
        <v>45608</v>
      </c>
      <c r="B545" t="s">
        <v>9</v>
      </c>
      <c r="C545" t="s">
        <v>719</v>
      </c>
      <c r="D545" s="6">
        <v>288.3</v>
      </c>
      <c r="E545" s="6">
        <v>0</v>
      </c>
      <c r="F545" s="6">
        <v>162081.43</v>
      </c>
      <c r="G545" t="s">
        <v>2660</v>
      </c>
    </row>
    <row r="546" spans="1:7" hidden="1" x14ac:dyDescent="0.3">
      <c r="A546" s="5">
        <v>45608</v>
      </c>
      <c r="B546" t="s">
        <v>720</v>
      </c>
      <c r="C546" t="s">
        <v>721</v>
      </c>
      <c r="D546" s="6">
        <v>0</v>
      </c>
      <c r="E546" s="6">
        <v>6457</v>
      </c>
      <c r="F546" s="6">
        <v>168538.43</v>
      </c>
      <c r="G546" t="s">
        <v>2664</v>
      </c>
    </row>
    <row r="547" spans="1:7" hidden="1" x14ac:dyDescent="0.3">
      <c r="A547" s="5">
        <v>45608</v>
      </c>
      <c r="B547" t="s">
        <v>9</v>
      </c>
      <c r="C547" t="s">
        <v>722</v>
      </c>
      <c r="D547" s="6">
        <v>4269.63</v>
      </c>
      <c r="E547" s="6">
        <v>0</v>
      </c>
      <c r="F547" s="6">
        <v>164268.79999999999</v>
      </c>
      <c r="G547" t="s">
        <v>2660</v>
      </c>
    </row>
    <row r="548" spans="1:7" hidden="1" x14ac:dyDescent="0.3">
      <c r="A548" s="5">
        <v>45609</v>
      </c>
      <c r="B548" t="s">
        <v>723</v>
      </c>
      <c r="C548" t="s">
        <v>24</v>
      </c>
      <c r="D548" s="6">
        <v>700.31</v>
      </c>
      <c r="E548" s="6">
        <v>0</v>
      </c>
      <c r="F548" s="6">
        <v>163568.49</v>
      </c>
      <c r="G548" t="s">
        <v>25</v>
      </c>
    </row>
    <row r="549" spans="1:7" hidden="1" x14ac:dyDescent="0.3">
      <c r="A549" s="5">
        <v>45609</v>
      </c>
      <c r="B549" t="s">
        <v>9</v>
      </c>
      <c r="C549" t="s">
        <v>724</v>
      </c>
      <c r="D549" s="6">
        <v>289.45</v>
      </c>
      <c r="E549" s="6">
        <v>0</v>
      </c>
      <c r="F549" s="6">
        <v>163279.04000000001</v>
      </c>
      <c r="G549" t="s">
        <v>2660</v>
      </c>
    </row>
    <row r="550" spans="1:7" hidden="1" x14ac:dyDescent="0.3">
      <c r="A550" s="5">
        <v>45609</v>
      </c>
      <c r="B550" t="s">
        <v>9</v>
      </c>
      <c r="C550" t="s">
        <v>725</v>
      </c>
      <c r="D550" s="6">
        <v>22366.67</v>
      </c>
      <c r="E550" s="6">
        <v>0</v>
      </c>
      <c r="F550" s="6">
        <v>140912.37</v>
      </c>
      <c r="G550" t="s">
        <v>2660</v>
      </c>
    </row>
    <row r="551" spans="1:7" hidden="1" x14ac:dyDescent="0.3">
      <c r="A551" s="5">
        <v>45610</v>
      </c>
      <c r="B551" t="s">
        <v>9</v>
      </c>
      <c r="C551" t="s">
        <v>726</v>
      </c>
      <c r="D551" s="6">
        <v>281.49</v>
      </c>
      <c r="E551" s="6">
        <v>0</v>
      </c>
      <c r="F551" s="6">
        <v>140630.88</v>
      </c>
      <c r="G551" t="s">
        <v>2660</v>
      </c>
    </row>
    <row r="552" spans="1:7" hidden="1" x14ac:dyDescent="0.3">
      <c r="A552" s="5">
        <v>45610</v>
      </c>
      <c r="B552" t="s">
        <v>9</v>
      </c>
      <c r="C552" t="s">
        <v>727</v>
      </c>
      <c r="D552" s="6">
        <v>5258.97</v>
      </c>
      <c r="E552" s="6">
        <v>0</v>
      </c>
      <c r="F552" s="6">
        <v>135371.91</v>
      </c>
      <c r="G552" t="s">
        <v>2660</v>
      </c>
    </row>
    <row r="553" spans="1:7" hidden="1" x14ac:dyDescent="0.3">
      <c r="A553" s="5">
        <v>45611</v>
      </c>
      <c r="B553" t="s">
        <v>728</v>
      </c>
      <c r="C553" t="s">
        <v>729</v>
      </c>
      <c r="D553" s="6">
        <v>25000</v>
      </c>
      <c r="E553" s="6">
        <v>0</v>
      </c>
      <c r="F553" s="6">
        <v>110371.91</v>
      </c>
      <c r="G553" t="s">
        <v>172</v>
      </c>
    </row>
    <row r="554" spans="1:7" hidden="1" x14ac:dyDescent="0.3">
      <c r="A554" s="5">
        <v>45612</v>
      </c>
      <c r="B554" t="s">
        <v>730</v>
      </c>
      <c r="C554" t="s">
        <v>731</v>
      </c>
      <c r="D554" s="6">
        <v>0</v>
      </c>
      <c r="E554" s="6">
        <v>210</v>
      </c>
      <c r="F554" s="6">
        <v>110581.91</v>
      </c>
      <c r="G554" t="s">
        <v>145</v>
      </c>
    </row>
    <row r="555" spans="1:7" hidden="1" x14ac:dyDescent="0.3">
      <c r="A555" s="5">
        <v>45614</v>
      </c>
      <c r="B555" t="s">
        <v>31</v>
      </c>
      <c r="C555" t="s">
        <v>732</v>
      </c>
      <c r="D555" s="6">
        <v>10000</v>
      </c>
      <c r="E555" s="6">
        <v>0</v>
      </c>
      <c r="F555" s="6">
        <v>100581.91</v>
      </c>
      <c r="G555" t="s">
        <v>33</v>
      </c>
    </row>
    <row r="556" spans="1:7" hidden="1" x14ac:dyDescent="0.3">
      <c r="A556" s="5">
        <v>45614</v>
      </c>
      <c r="B556" t="s">
        <v>9</v>
      </c>
      <c r="C556" t="s">
        <v>733</v>
      </c>
      <c r="D556" s="6">
        <v>1118.48</v>
      </c>
      <c r="E556" s="6">
        <v>0</v>
      </c>
      <c r="F556" s="6">
        <v>99463.43</v>
      </c>
      <c r="G556" t="s">
        <v>2660</v>
      </c>
    </row>
    <row r="557" spans="1:7" hidden="1" x14ac:dyDescent="0.3">
      <c r="A557" s="5">
        <v>45614</v>
      </c>
      <c r="B557" t="s">
        <v>734</v>
      </c>
      <c r="C557" t="s">
        <v>735</v>
      </c>
      <c r="D557" s="6">
        <v>0</v>
      </c>
      <c r="E557" s="6">
        <v>52.5</v>
      </c>
      <c r="F557" s="6">
        <v>99515.93</v>
      </c>
      <c r="G557" t="s">
        <v>145</v>
      </c>
    </row>
    <row r="558" spans="1:7" hidden="1" x14ac:dyDescent="0.3">
      <c r="A558" s="5">
        <v>45614</v>
      </c>
      <c r="B558" t="s">
        <v>127</v>
      </c>
      <c r="C558" t="s">
        <v>736</v>
      </c>
      <c r="D558" s="6">
        <v>0</v>
      </c>
      <c r="E558" s="6">
        <v>129.43</v>
      </c>
      <c r="F558" s="6">
        <v>99645.36</v>
      </c>
      <c r="G558" t="s">
        <v>83</v>
      </c>
    </row>
    <row r="559" spans="1:7" x14ac:dyDescent="0.3">
      <c r="A559" s="5">
        <v>45614</v>
      </c>
      <c r="B559" t="s">
        <v>693</v>
      </c>
      <c r="C559" t="s">
        <v>737</v>
      </c>
      <c r="D559" s="6">
        <v>20000</v>
      </c>
      <c r="E559" s="6">
        <v>0</v>
      </c>
      <c r="F559" s="6">
        <v>79645.36</v>
      </c>
      <c r="G559" t="s">
        <v>93</v>
      </c>
    </row>
    <row r="560" spans="1:7" hidden="1" x14ac:dyDescent="0.3">
      <c r="A560" s="5">
        <v>45615</v>
      </c>
      <c r="B560" t="s">
        <v>738</v>
      </c>
      <c r="C560" t="s">
        <v>739</v>
      </c>
      <c r="D560" s="6">
        <v>0</v>
      </c>
      <c r="E560" s="6">
        <v>9615.64</v>
      </c>
      <c r="F560" s="6">
        <v>89261</v>
      </c>
      <c r="G560" t="s">
        <v>2660</v>
      </c>
    </row>
    <row r="561" spans="1:7" hidden="1" x14ac:dyDescent="0.3">
      <c r="A561" s="5">
        <v>45615</v>
      </c>
      <c r="B561" t="s">
        <v>9</v>
      </c>
      <c r="C561" t="s">
        <v>740</v>
      </c>
      <c r="D561" s="6">
        <v>281.95999999999998</v>
      </c>
      <c r="E561" s="6">
        <v>0</v>
      </c>
      <c r="F561" s="6">
        <v>88979.04</v>
      </c>
      <c r="G561" t="s">
        <v>2660</v>
      </c>
    </row>
    <row r="562" spans="1:7" hidden="1" x14ac:dyDescent="0.3">
      <c r="A562" s="5">
        <v>45615</v>
      </c>
      <c r="B562" t="s">
        <v>741</v>
      </c>
      <c r="C562" t="s">
        <v>742</v>
      </c>
      <c r="D562" s="6">
        <v>0</v>
      </c>
      <c r="E562" s="6">
        <v>770</v>
      </c>
      <c r="F562" s="6">
        <v>89749.04</v>
      </c>
      <c r="G562" t="s">
        <v>145</v>
      </c>
    </row>
    <row r="563" spans="1:7" hidden="1" x14ac:dyDescent="0.3">
      <c r="A563" s="5">
        <v>45617</v>
      </c>
      <c r="B563" t="s">
        <v>743</v>
      </c>
      <c r="C563" t="s">
        <v>744</v>
      </c>
      <c r="D563" s="6">
        <v>0</v>
      </c>
      <c r="E563" s="6">
        <v>4426.17</v>
      </c>
      <c r="F563" s="6">
        <v>94175.21</v>
      </c>
      <c r="G563" t="s">
        <v>2660</v>
      </c>
    </row>
    <row r="564" spans="1:7" hidden="1" x14ac:dyDescent="0.3">
      <c r="A564" s="5">
        <v>45617</v>
      </c>
      <c r="B564" t="s">
        <v>31</v>
      </c>
      <c r="C564" t="s">
        <v>745</v>
      </c>
      <c r="D564" s="6">
        <v>10000</v>
      </c>
      <c r="E564" s="6">
        <v>0</v>
      </c>
      <c r="F564" s="6">
        <v>84175.21</v>
      </c>
      <c r="G564" t="s">
        <v>33</v>
      </c>
    </row>
    <row r="565" spans="1:7" hidden="1" x14ac:dyDescent="0.3">
      <c r="A565" s="5">
        <v>45617</v>
      </c>
      <c r="B565" t="s">
        <v>9</v>
      </c>
      <c r="C565" t="s">
        <v>746</v>
      </c>
      <c r="D565" s="6">
        <v>570.78</v>
      </c>
      <c r="E565" s="6">
        <v>0</v>
      </c>
      <c r="F565" s="6">
        <v>83604.429999999993</v>
      </c>
      <c r="G565" t="s">
        <v>2660</v>
      </c>
    </row>
    <row r="566" spans="1:7" hidden="1" x14ac:dyDescent="0.3">
      <c r="A566" s="5">
        <v>45617</v>
      </c>
      <c r="B566" t="s">
        <v>9</v>
      </c>
      <c r="C566" t="s">
        <v>747</v>
      </c>
      <c r="D566" s="6">
        <v>11700.27</v>
      </c>
      <c r="E566" s="6">
        <v>0</v>
      </c>
      <c r="F566" s="6">
        <v>71904.160000000003</v>
      </c>
      <c r="G566" t="s">
        <v>2660</v>
      </c>
    </row>
    <row r="567" spans="1:7" hidden="1" x14ac:dyDescent="0.3">
      <c r="A567" s="5">
        <v>45618</v>
      </c>
      <c r="B567" t="s">
        <v>9</v>
      </c>
      <c r="C567" t="s">
        <v>748</v>
      </c>
      <c r="D567" s="6">
        <v>282.8</v>
      </c>
      <c r="E567" s="6">
        <v>0</v>
      </c>
      <c r="F567" s="6">
        <v>71621.36</v>
      </c>
      <c r="G567" t="s">
        <v>2660</v>
      </c>
    </row>
    <row r="568" spans="1:7" hidden="1" x14ac:dyDescent="0.3">
      <c r="A568" s="5">
        <v>45621</v>
      </c>
      <c r="B568" t="s">
        <v>749</v>
      </c>
      <c r="C568" t="s">
        <v>750</v>
      </c>
      <c r="D568" s="6">
        <v>0</v>
      </c>
      <c r="E568" s="6">
        <v>11980.5</v>
      </c>
      <c r="F568" s="6">
        <v>83601.86</v>
      </c>
      <c r="G568" t="s">
        <v>2660</v>
      </c>
    </row>
    <row r="569" spans="1:7" hidden="1" x14ac:dyDescent="0.3">
      <c r="A569" s="5">
        <v>45621</v>
      </c>
      <c r="B569" t="s">
        <v>751</v>
      </c>
      <c r="C569" t="s">
        <v>752</v>
      </c>
      <c r="D569" s="6">
        <v>0</v>
      </c>
      <c r="E569" s="6">
        <v>37262.67</v>
      </c>
      <c r="F569" s="6">
        <v>120864.53</v>
      </c>
      <c r="G569" t="s">
        <v>2660</v>
      </c>
    </row>
    <row r="570" spans="1:7" hidden="1" x14ac:dyDescent="0.3">
      <c r="A570" s="5">
        <v>45621</v>
      </c>
      <c r="B570" t="s">
        <v>9</v>
      </c>
      <c r="C570" t="s">
        <v>753</v>
      </c>
      <c r="D570" s="6">
        <v>861.36</v>
      </c>
      <c r="E570" s="6">
        <v>0</v>
      </c>
      <c r="F570" s="6">
        <v>120003.17</v>
      </c>
      <c r="G570" t="s">
        <v>2660</v>
      </c>
    </row>
    <row r="571" spans="1:7" x14ac:dyDescent="0.3">
      <c r="A571" s="5">
        <v>45621</v>
      </c>
      <c r="B571" t="s">
        <v>754</v>
      </c>
      <c r="C571" t="s">
        <v>755</v>
      </c>
      <c r="D571" s="6">
        <v>20000</v>
      </c>
      <c r="E571" s="6">
        <v>0</v>
      </c>
      <c r="F571" s="6">
        <v>100003.17</v>
      </c>
      <c r="G571" t="s">
        <v>93</v>
      </c>
    </row>
    <row r="572" spans="1:7" hidden="1" x14ac:dyDescent="0.3">
      <c r="A572" s="5">
        <v>45622</v>
      </c>
      <c r="B572" t="s">
        <v>756</v>
      </c>
      <c r="C572" t="s">
        <v>757</v>
      </c>
      <c r="D572" s="6">
        <v>0</v>
      </c>
      <c r="E572" s="6">
        <v>13114.06</v>
      </c>
      <c r="F572" s="6">
        <v>113117.23</v>
      </c>
      <c r="G572" t="s">
        <v>2660</v>
      </c>
    </row>
    <row r="573" spans="1:7" hidden="1" x14ac:dyDescent="0.3">
      <c r="A573" s="5">
        <v>45622</v>
      </c>
      <c r="B573" t="s">
        <v>9</v>
      </c>
      <c r="C573" t="s">
        <v>758</v>
      </c>
      <c r="D573" s="6">
        <v>291.38</v>
      </c>
      <c r="E573" s="6">
        <v>0</v>
      </c>
      <c r="F573" s="6">
        <v>112825.85</v>
      </c>
      <c r="G573" t="s">
        <v>2660</v>
      </c>
    </row>
    <row r="574" spans="1:7" hidden="1" x14ac:dyDescent="0.3">
      <c r="A574" s="5">
        <v>45622</v>
      </c>
      <c r="B574" t="s">
        <v>9</v>
      </c>
      <c r="C574" t="s">
        <v>759</v>
      </c>
      <c r="D574" s="6">
        <v>1975.62</v>
      </c>
      <c r="E574" s="6">
        <v>0</v>
      </c>
      <c r="F574" s="6">
        <v>110850.23</v>
      </c>
      <c r="G574" t="s">
        <v>2660</v>
      </c>
    </row>
    <row r="575" spans="1:7" hidden="1" x14ac:dyDescent="0.3">
      <c r="A575" s="5">
        <v>45623</v>
      </c>
      <c r="B575" t="s">
        <v>760</v>
      </c>
      <c r="C575" t="s">
        <v>761</v>
      </c>
      <c r="D575" s="6">
        <v>0</v>
      </c>
      <c r="E575" s="6">
        <v>74886.78</v>
      </c>
      <c r="F575" s="6">
        <v>185737.01</v>
      </c>
      <c r="G575" t="s">
        <v>2660</v>
      </c>
    </row>
    <row r="576" spans="1:7" hidden="1" x14ac:dyDescent="0.3">
      <c r="A576" s="5">
        <v>45623</v>
      </c>
      <c r="B576" t="s">
        <v>9</v>
      </c>
      <c r="C576" t="s">
        <v>762</v>
      </c>
      <c r="D576" s="6">
        <v>295.35000000000002</v>
      </c>
      <c r="E576" s="6">
        <v>0</v>
      </c>
      <c r="F576" s="6">
        <v>185441.66</v>
      </c>
      <c r="G576" t="s">
        <v>2660</v>
      </c>
    </row>
    <row r="577" spans="1:7" hidden="1" x14ac:dyDescent="0.3">
      <c r="A577" s="5">
        <v>45624</v>
      </c>
      <c r="B577" t="s">
        <v>763</v>
      </c>
      <c r="C577" t="s">
        <v>764</v>
      </c>
      <c r="D577" s="6">
        <v>0</v>
      </c>
      <c r="E577" s="6">
        <v>10071</v>
      </c>
      <c r="F577" s="6">
        <v>195512.66</v>
      </c>
      <c r="G577" t="s">
        <v>2660</v>
      </c>
    </row>
    <row r="578" spans="1:7" hidden="1" x14ac:dyDescent="0.3">
      <c r="A578" s="5">
        <v>45624</v>
      </c>
      <c r="B578" t="s">
        <v>9</v>
      </c>
      <c r="C578" t="s">
        <v>765</v>
      </c>
      <c r="D578" s="6">
        <v>295.35000000000002</v>
      </c>
      <c r="E578" s="6">
        <v>0</v>
      </c>
      <c r="F578" s="6">
        <v>195217.31</v>
      </c>
      <c r="G578" t="s">
        <v>2660</v>
      </c>
    </row>
    <row r="579" spans="1:7" hidden="1" x14ac:dyDescent="0.3">
      <c r="A579" s="5">
        <v>45625</v>
      </c>
      <c r="B579" t="s">
        <v>9</v>
      </c>
      <c r="C579" t="s">
        <v>766</v>
      </c>
      <c r="D579" s="6">
        <v>2763.87</v>
      </c>
      <c r="E579" s="6">
        <v>0</v>
      </c>
      <c r="F579" s="6">
        <v>192453.44</v>
      </c>
      <c r="G579" t="s">
        <v>2660</v>
      </c>
    </row>
    <row r="580" spans="1:7" hidden="1" x14ac:dyDescent="0.3">
      <c r="A580" s="5">
        <v>45625</v>
      </c>
      <c r="B580" t="s">
        <v>9</v>
      </c>
      <c r="C580" t="s">
        <v>767</v>
      </c>
      <c r="D580" s="6">
        <v>297.95</v>
      </c>
      <c r="E580" s="6">
        <v>0</v>
      </c>
      <c r="F580" s="6">
        <v>192155.49</v>
      </c>
      <c r="G580" t="s">
        <v>2660</v>
      </c>
    </row>
    <row r="581" spans="1:7" hidden="1" x14ac:dyDescent="0.3">
      <c r="A581" s="5">
        <v>45625</v>
      </c>
      <c r="B581" t="s">
        <v>9</v>
      </c>
      <c r="C581" t="s">
        <v>768</v>
      </c>
      <c r="D581" s="6">
        <v>28084.84</v>
      </c>
      <c r="E581" s="6">
        <v>0</v>
      </c>
      <c r="F581" s="6">
        <v>164070.65</v>
      </c>
      <c r="G581" t="s">
        <v>2660</v>
      </c>
    </row>
    <row r="582" spans="1:7" hidden="1" x14ac:dyDescent="0.3">
      <c r="A582" s="5">
        <v>45625</v>
      </c>
      <c r="B582" t="s">
        <v>769</v>
      </c>
      <c r="C582" t="s">
        <v>770</v>
      </c>
      <c r="D582" s="6">
        <v>0</v>
      </c>
      <c r="E582" s="6">
        <v>200000</v>
      </c>
      <c r="F582" s="6">
        <v>364070.65</v>
      </c>
      <c r="G582" t="s">
        <v>2659</v>
      </c>
    </row>
    <row r="583" spans="1:7" hidden="1" x14ac:dyDescent="0.3">
      <c r="A583" s="5">
        <v>45628</v>
      </c>
      <c r="B583" t="s">
        <v>771</v>
      </c>
      <c r="C583" t="s">
        <v>772</v>
      </c>
      <c r="D583" s="6">
        <v>0</v>
      </c>
      <c r="E583" s="6">
        <v>886.28</v>
      </c>
      <c r="F583" s="6">
        <v>364956.93</v>
      </c>
      <c r="G583" t="s">
        <v>2660</v>
      </c>
    </row>
    <row r="584" spans="1:7" hidden="1" x14ac:dyDescent="0.3">
      <c r="A584" s="5">
        <v>45628</v>
      </c>
      <c r="B584" t="s">
        <v>470</v>
      </c>
      <c r="C584" t="s">
        <v>773</v>
      </c>
      <c r="D584" s="6">
        <v>356770</v>
      </c>
      <c r="E584" s="6">
        <v>0</v>
      </c>
      <c r="F584" s="6">
        <v>8186.93</v>
      </c>
      <c r="G584" t="s">
        <v>472</v>
      </c>
    </row>
    <row r="585" spans="1:7" hidden="1" x14ac:dyDescent="0.3">
      <c r="A585" s="5">
        <v>45628</v>
      </c>
      <c r="B585" t="s">
        <v>9</v>
      </c>
      <c r="C585" t="s">
        <v>774</v>
      </c>
      <c r="D585" s="6">
        <v>893.85</v>
      </c>
      <c r="E585" s="6">
        <v>0</v>
      </c>
      <c r="F585" s="6">
        <v>7293.08</v>
      </c>
      <c r="G585" t="s">
        <v>2660</v>
      </c>
    </row>
    <row r="586" spans="1:7" hidden="1" x14ac:dyDescent="0.3">
      <c r="A586" s="5">
        <v>45628</v>
      </c>
      <c r="B586" t="s">
        <v>775</v>
      </c>
      <c r="C586" t="s">
        <v>776</v>
      </c>
      <c r="D586" s="6">
        <v>0</v>
      </c>
      <c r="E586" s="6">
        <v>200000</v>
      </c>
      <c r="F586" s="6">
        <v>207293.08</v>
      </c>
      <c r="G586" t="s">
        <v>2659</v>
      </c>
    </row>
    <row r="587" spans="1:7" hidden="1" x14ac:dyDescent="0.3">
      <c r="A587" s="5">
        <v>45628</v>
      </c>
      <c r="B587" t="s">
        <v>9</v>
      </c>
      <c r="C587" t="s">
        <v>777</v>
      </c>
      <c r="D587" s="6">
        <v>227.14</v>
      </c>
      <c r="E587" s="6">
        <v>0</v>
      </c>
      <c r="F587" s="6">
        <v>207065.94</v>
      </c>
      <c r="G587" t="s">
        <v>2660</v>
      </c>
    </row>
    <row r="588" spans="1:7" hidden="1" x14ac:dyDescent="0.3">
      <c r="A588" s="5">
        <v>45629</v>
      </c>
      <c r="B588" t="s">
        <v>9</v>
      </c>
      <c r="C588" t="s">
        <v>778</v>
      </c>
      <c r="D588" s="6">
        <v>298.19</v>
      </c>
      <c r="E588" s="6">
        <v>0</v>
      </c>
      <c r="F588" s="6">
        <v>206767.75</v>
      </c>
      <c r="G588" t="s">
        <v>2660</v>
      </c>
    </row>
    <row r="589" spans="1:7" hidden="1" x14ac:dyDescent="0.3">
      <c r="A589" s="5">
        <v>45630</v>
      </c>
      <c r="B589" t="s">
        <v>779</v>
      </c>
      <c r="C589" t="s">
        <v>780</v>
      </c>
      <c r="D589" s="6">
        <v>0</v>
      </c>
      <c r="E589" s="6">
        <v>14372.85</v>
      </c>
      <c r="F589" s="6">
        <v>221140.6</v>
      </c>
      <c r="G589" t="s">
        <v>2660</v>
      </c>
    </row>
    <row r="590" spans="1:7" hidden="1" x14ac:dyDescent="0.3">
      <c r="A590" s="5">
        <v>45630</v>
      </c>
      <c r="B590" t="s">
        <v>9</v>
      </c>
      <c r="C590" t="s">
        <v>781</v>
      </c>
      <c r="D590" s="6">
        <v>298.19</v>
      </c>
      <c r="E590" s="6">
        <v>0</v>
      </c>
      <c r="F590" s="6">
        <v>220842.41</v>
      </c>
      <c r="G590" t="s">
        <v>2660</v>
      </c>
    </row>
    <row r="591" spans="1:7" hidden="1" x14ac:dyDescent="0.3">
      <c r="A591" s="5">
        <v>45630</v>
      </c>
      <c r="B591" t="s">
        <v>9</v>
      </c>
      <c r="C591" t="s">
        <v>782</v>
      </c>
      <c r="D591" s="6">
        <v>13048.44</v>
      </c>
      <c r="E591" s="6">
        <v>0</v>
      </c>
      <c r="F591" s="6">
        <v>207793.97</v>
      </c>
      <c r="G591" t="s">
        <v>2660</v>
      </c>
    </row>
    <row r="592" spans="1:7" hidden="1" x14ac:dyDescent="0.3">
      <c r="A592" s="5">
        <v>45631</v>
      </c>
      <c r="B592" t="s">
        <v>9</v>
      </c>
      <c r="C592" t="s">
        <v>783</v>
      </c>
      <c r="D592" s="6">
        <v>298.66000000000003</v>
      </c>
      <c r="E592" s="6">
        <v>0</v>
      </c>
      <c r="F592" s="6">
        <v>207495.31</v>
      </c>
      <c r="G592" t="s">
        <v>2660</v>
      </c>
    </row>
    <row r="593" spans="1:7" hidden="1" x14ac:dyDescent="0.3">
      <c r="A593" s="5">
        <v>45631</v>
      </c>
      <c r="B593" t="s">
        <v>784</v>
      </c>
      <c r="C593" t="s">
        <v>785</v>
      </c>
      <c r="D593" s="6">
        <v>0</v>
      </c>
      <c r="E593" s="6">
        <v>68</v>
      </c>
      <c r="F593" s="6">
        <v>207563.31</v>
      </c>
      <c r="G593" t="s">
        <v>145</v>
      </c>
    </row>
    <row r="594" spans="1:7" hidden="1" x14ac:dyDescent="0.3">
      <c r="A594" s="5">
        <v>45631</v>
      </c>
      <c r="B594" t="s">
        <v>786</v>
      </c>
      <c r="C594" t="s">
        <v>787</v>
      </c>
      <c r="D594" s="6">
        <v>0</v>
      </c>
      <c r="E594" s="6">
        <v>102</v>
      </c>
      <c r="F594" s="6">
        <v>207665.31</v>
      </c>
      <c r="G594" t="s">
        <v>145</v>
      </c>
    </row>
    <row r="595" spans="1:7" hidden="1" x14ac:dyDescent="0.3">
      <c r="A595" s="5">
        <v>45631</v>
      </c>
      <c r="B595" t="s">
        <v>9</v>
      </c>
      <c r="C595" t="s">
        <v>788</v>
      </c>
      <c r="D595" s="6">
        <v>13648.11</v>
      </c>
      <c r="E595" s="6">
        <v>0</v>
      </c>
      <c r="F595" s="6">
        <v>194017.2</v>
      </c>
      <c r="G595" t="s">
        <v>2660</v>
      </c>
    </row>
    <row r="596" spans="1:7" hidden="1" x14ac:dyDescent="0.3">
      <c r="A596" s="5">
        <v>45632</v>
      </c>
      <c r="B596" t="s">
        <v>789</v>
      </c>
      <c r="C596" t="s">
        <v>790</v>
      </c>
      <c r="D596" s="6">
        <v>0</v>
      </c>
      <c r="E596" s="6">
        <v>5912.62</v>
      </c>
      <c r="F596" s="6">
        <v>199929.82</v>
      </c>
      <c r="G596" t="s">
        <v>2660</v>
      </c>
    </row>
    <row r="597" spans="1:7" hidden="1" x14ac:dyDescent="0.3">
      <c r="A597" s="5">
        <v>45632</v>
      </c>
      <c r="B597" t="s">
        <v>9</v>
      </c>
      <c r="C597" t="s">
        <v>791</v>
      </c>
      <c r="D597" s="6">
        <v>314.94</v>
      </c>
      <c r="E597" s="6">
        <v>0</v>
      </c>
      <c r="F597" s="6">
        <v>199614.88</v>
      </c>
      <c r="G597" t="s">
        <v>2660</v>
      </c>
    </row>
    <row r="598" spans="1:7" hidden="1" x14ac:dyDescent="0.3">
      <c r="A598" s="5">
        <v>45632</v>
      </c>
      <c r="B598" t="s">
        <v>792</v>
      </c>
      <c r="C598" t="s">
        <v>793</v>
      </c>
      <c r="D598" s="6">
        <v>0</v>
      </c>
      <c r="E598" s="6">
        <v>119</v>
      </c>
      <c r="F598" s="6">
        <v>199733.88</v>
      </c>
      <c r="G598" t="s">
        <v>145</v>
      </c>
    </row>
    <row r="599" spans="1:7" hidden="1" x14ac:dyDescent="0.3">
      <c r="A599" s="5">
        <v>45632</v>
      </c>
      <c r="B599" t="s">
        <v>12</v>
      </c>
      <c r="C599" t="s">
        <v>794</v>
      </c>
      <c r="D599" s="6">
        <v>0</v>
      </c>
      <c r="E599" s="6">
        <v>1579.51</v>
      </c>
      <c r="F599" s="6">
        <v>201313.39</v>
      </c>
      <c r="G599" t="s">
        <v>2660</v>
      </c>
    </row>
    <row r="600" spans="1:7" hidden="1" x14ac:dyDescent="0.3">
      <c r="A600" s="5">
        <v>45635</v>
      </c>
      <c r="B600" t="s">
        <v>9</v>
      </c>
      <c r="C600" t="s">
        <v>795</v>
      </c>
      <c r="D600" s="6">
        <v>965.67</v>
      </c>
      <c r="E600" s="6">
        <v>0</v>
      </c>
      <c r="F600" s="6">
        <v>200347.72</v>
      </c>
      <c r="G600" t="s">
        <v>2660</v>
      </c>
    </row>
    <row r="601" spans="1:7" x14ac:dyDescent="0.3">
      <c r="A601" s="5">
        <v>45635</v>
      </c>
      <c r="B601" t="s">
        <v>693</v>
      </c>
      <c r="C601" t="s">
        <v>796</v>
      </c>
      <c r="D601" s="6">
        <v>20000</v>
      </c>
      <c r="E601" s="6">
        <v>0</v>
      </c>
      <c r="F601" s="6">
        <v>180347.72</v>
      </c>
      <c r="G601" t="s">
        <v>93</v>
      </c>
    </row>
    <row r="602" spans="1:7" hidden="1" x14ac:dyDescent="0.3">
      <c r="A602" s="5">
        <v>45635</v>
      </c>
      <c r="B602" t="s">
        <v>9</v>
      </c>
      <c r="C602" t="s">
        <v>797</v>
      </c>
      <c r="D602" s="6">
        <v>925.98</v>
      </c>
      <c r="E602" s="6">
        <v>0</v>
      </c>
      <c r="F602" s="6">
        <v>179421.74</v>
      </c>
      <c r="G602" t="s">
        <v>2660</v>
      </c>
    </row>
    <row r="603" spans="1:7" hidden="1" x14ac:dyDescent="0.3">
      <c r="A603" s="5">
        <v>45636</v>
      </c>
      <c r="B603" t="s">
        <v>31</v>
      </c>
      <c r="C603" t="s">
        <v>798</v>
      </c>
      <c r="D603" s="6">
        <v>10000</v>
      </c>
      <c r="E603" s="6">
        <v>0</v>
      </c>
      <c r="F603" s="6">
        <v>169421.74</v>
      </c>
      <c r="G603" t="s">
        <v>33</v>
      </c>
    </row>
    <row r="604" spans="1:7" hidden="1" x14ac:dyDescent="0.3">
      <c r="A604" s="5">
        <v>45636</v>
      </c>
      <c r="B604" t="s">
        <v>9</v>
      </c>
      <c r="C604" t="s">
        <v>799</v>
      </c>
      <c r="D604" s="6">
        <v>321.56</v>
      </c>
      <c r="E604" s="6">
        <v>0</v>
      </c>
      <c r="F604" s="6">
        <v>169100.18</v>
      </c>
      <c r="G604" t="s">
        <v>2660</v>
      </c>
    </row>
    <row r="605" spans="1:7" hidden="1" x14ac:dyDescent="0.3">
      <c r="A605" s="5">
        <v>45636</v>
      </c>
      <c r="B605" t="s">
        <v>9</v>
      </c>
      <c r="C605" t="s">
        <v>800</v>
      </c>
      <c r="D605" s="6">
        <v>4116.51</v>
      </c>
      <c r="E605" s="6">
        <v>0</v>
      </c>
      <c r="F605" s="6">
        <v>164983.67000000001</v>
      </c>
      <c r="G605" t="s">
        <v>2660</v>
      </c>
    </row>
    <row r="606" spans="1:7" hidden="1" x14ac:dyDescent="0.3">
      <c r="A606" s="5">
        <v>45637</v>
      </c>
      <c r="B606" t="s">
        <v>801</v>
      </c>
      <c r="C606" t="s">
        <v>802</v>
      </c>
      <c r="D606" s="6">
        <v>0</v>
      </c>
      <c r="E606" s="6">
        <v>32653.81</v>
      </c>
      <c r="F606" s="6">
        <v>197637.48</v>
      </c>
      <c r="G606" t="s">
        <v>2660</v>
      </c>
    </row>
    <row r="607" spans="1:7" hidden="1" x14ac:dyDescent="0.3">
      <c r="A607" s="5">
        <v>45637</v>
      </c>
      <c r="B607" t="s">
        <v>9</v>
      </c>
      <c r="C607" t="s">
        <v>803</v>
      </c>
      <c r="D607" s="6">
        <v>320.08999999999997</v>
      </c>
      <c r="E607" s="6">
        <v>0</v>
      </c>
      <c r="F607" s="6">
        <v>197317.39</v>
      </c>
      <c r="G607" t="s">
        <v>2660</v>
      </c>
    </row>
    <row r="608" spans="1:7" hidden="1" x14ac:dyDescent="0.3">
      <c r="A608" s="5">
        <v>45637</v>
      </c>
      <c r="B608" t="s">
        <v>9</v>
      </c>
      <c r="C608" t="s">
        <v>804</v>
      </c>
      <c r="D608" s="6">
        <v>45070.71</v>
      </c>
      <c r="E608" s="6">
        <v>0</v>
      </c>
      <c r="F608" s="6">
        <v>152246.68</v>
      </c>
      <c r="G608" t="s">
        <v>2660</v>
      </c>
    </row>
    <row r="609" spans="1:7" hidden="1" x14ac:dyDescent="0.3">
      <c r="A609" s="5">
        <v>45638</v>
      </c>
      <c r="B609" t="s">
        <v>9</v>
      </c>
      <c r="C609" t="s">
        <v>805</v>
      </c>
      <c r="D609" s="6">
        <v>307.8</v>
      </c>
      <c r="E609" s="6">
        <v>0</v>
      </c>
      <c r="F609" s="6">
        <v>151938.88</v>
      </c>
      <c r="G609" t="s">
        <v>2660</v>
      </c>
    </row>
    <row r="610" spans="1:7" hidden="1" x14ac:dyDescent="0.3">
      <c r="A610" s="5">
        <v>45638</v>
      </c>
      <c r="B610" t="s">
        <v>9</v>
      </c>
      <c r="C610" t="s">
        <v>806</v>
      </c>
      <c r="D610" s="6">
        <v>15229.75</v>
      </c>
      <c r="E610" s="6">
        <v>0</v>
      </c>
      <c r="F610" s="6">
        <v>136709.13</v>
      </c>
      <c r="G610" t="s">
        <v>2660</v>
      </c>
    </row>
    <row r="611" spans="1:7" hidden="1" x14ac:dyDescent="0.3">
      <c r="A611" s="5">
        <v>45639</v>
      </c>
      <c r="B611" t="s">
        <v>9</v>
      </c>
      <c r="C611" t="s">
        <v>807</v>
      </c>
      <c r="D611" s="6">
        <v>336.07</v>
      </c>
      <c r="E611" s="6">
        <v>0</v>
      </c>
      <c r="F611" s="6">
        <v>136373.06</v>
      </c>
      <c r="G611" t="s">
        <v>2660</v>
      </c>
    </row>
    <row r="612" spans="1:7" x14ac:dyDescent="0.3">
      <c r="A612" s="5">
        <v>45639</v>
      </c>
      <c r="B612" t="s">
        <v>808</v>
      </c>
      <c r="C612" t="s">
        <v>24</v>
      </c>
      <c r="D612" s="6">
        <v>0</v>
      </c>
      <c r="E612" s="6">
        <v>20000</v>
      </c>
      <c r="F612" s="6">
        <v>156373.06</v>
      </c>
      <c r="G612" t="s">
        <v>809</v>
      </c>
    </row>
    <row r="613" spans="1:7" hidden="1" x14ac:dyDescent="0.3">
      <c r="A613" s="5">
        <v>45639</v>
      </c>
      <c r="B613" t="s">
        <v>9</v>
      </c>
      <c r="C613" t="s">
        <v>810</v>
      </c>
      <c r="D613" s="6">
        <v>27834.66</v>
      </c>
      <c r="E613" s="6">
        <v>0</v>
      </c>
      <c r="F613" s="6">
        <v>128538.4</v>
      </c>
      <c r="G613" t="s">
        <v>2660</v>
      </c>
    </row>
    <row r="614" spans="1:7" hidden="1" x14ac:dyDescent="0.3">
      <c r="A614" s="5">
        <v>45639</v>
      </c>
      <c r="B614" t="s">
        <v>9</v>
      </c>
      <c r="C614" t="s">
        <v>811</v>
      </c>
      <c r="D614" s="6">
        <v>1197.8699999999999</v>
      </c>
      <c r="E614" s="6">
        <v>0</v>
      </c>
      <c r="F614" s="6">
        <v>127340.53</v>
      </c>
      <c r="G614" t="s">
        <v>2660</v>
      </c>
    </row>
    <row r="615" spans="1:7" hidden="1" x14ac:dyDescent="0.3">
      <c r="A615" s="5">
        <v>45642</v>
      </c>
      <c r="B615" t="s">
        <v>31</v>
      </c>
      <c r="C615" t="s">
        <v>812</v>
      </c>
      <c r="D615" s="6">
        <v>10000</v>
      </c>
      <c r="E615" s="6">
        <v>0</v>
      </c>
      <c r="F615" s="6">
        <v>117340.53</v>
      </c>
      <c r="G615" t="s">
        <v>33</v>
      </c>
    </row>
    <row r="616" spans="1:7" hidden="1" x14ac:dyDescent="0.3">
      <c r="A616" s="5">
        <v>45642</v>
      </c>
      <c r="B616" t="s">
        <v>9</v>
      </c>
      <c r="C616" t="s">
        <v>813</v>
      </c>
      <c r="D616" s="6">
        <v>1006.95</v>
      </c>
      <c r="E616" s="6">
        <v>0</v>
      </c>
      <c r="F616" s="6">
        <v>116333.58</v>
      </c>
      <c r="G616" t="s">
        <v>2660</v>
      </c>
    </row>
    <row r="617" spans="1:7" hidden="1" x14ac:dyDescent="0.3">
      <c r="A617" s="5">
        <v>45642</v>
      </c>
      <c r="B617" t="s">
        <v>9</v>
      </c>
      <c r="C617" t="s">
        <v>814</v>
      </c>
      <c r="D617" s="6">
        <v>55.1</v>
      </c>
      <c r="E617" s="6">
        <v>0</v>
      </c>
      <c r="F617" s="6">
        <v>116278.48</v>
      </c>
      <c r="G617" t="s">
        <v>2660</v>
      </c>
    </row>
    <row r="618" spans="1:7" hidden="1" x14ac:dyDescent="0.3">
      <c r="A618" s="5">
        <v>45643</v>
      </c>
      <c r="B618" t="s">
        <v>9</v>
      </c>
      <c r="C618" t="s">
        <v>815</v>
      </c>
      <c r="D618" s="6">
        <v>335.63</v>
      </c>
      <c r="E618" s="6">
        <v>0</v>
      </c>
      <c r="F618" s="6">
        <v>115942.85</v>
      </c>
      <c r="G618" t="s">
        <v>2660</v>
      </c>
    </row>
    <row r="619" spans="1:7" hidden="1" x14ac:dyDescent="0.3">
      <c r="A619" s="5">
        <v>45643</v>
      </c>
      <c r="B619" t="s">
        <v>816</v>
      </c>
      <c r="C619" t="s">
        <v>24</v>
      </c>
      <c r="D619" s="6">
        <v>460.2</v>
      </c>
      <c r="E619" s="6">
        <v>0</v>
      </c>
      <c r="F619" s="6">
        <v>115482.65</v>
      </c>
      <c r="G619" t="s">
        <v>25</v>
      </c>
    </row>
    <row r="620" spans="1:7" hidden="1" x14ac:dyDescent="0.3">
      <c r="A620" s="5">
        <v>45644</v>
      </c>
      <c r="B620" t="s">
        <v>817</v>
      </c>
      <c r="C620" t="s">
        <v>818</v>
      </c>
      <c r="D620" s="6">
        <v>0</v>
      </c>
      <c r="E620" s="6">
        <v>29870.53</v>
      </c>
      <c r="F620" s="6">
        <v>145353.18</v>
      </c>
      <c r="G620" t="s">
        <v>2660</v>
      </c>
    </row>
    <row r="621" spans="1:7" hidden="1" x14ac:dyDescent="0.3">
      <c r="A621" s="5">
        <v>45644</v>
      </c>
      <c r="B621" t="s">
        <v>9</v>
      </c>
      <c r="C621" t="s">
        <v>819</v>
      </c>
      <c r="D621" s="6">
        <v>335.63</v>
      </c>
      <c r="E621" s="6">
        <v>0</v>
      </c>
      <c r="F621" s="6">
        <v>145017.54999999999</v>
      </c>
      <c r="G621" t="s">
        <v>2660</v>
      </c>
    </row>
    <row r="622" spans="1:7" hidden="1" x14ac:dyDescent="0.3">
      <c r="A622" s="5">
        <v>45644</v>
      </c>
      <c r="B622" t="s">
        <v>9</v>
      </c>
      <c r="C622" t="s">
        <v>820</v>
      </c>
      <c r="D622" s="6">
        <v>17310.400000000001</v>
      </c>
      <c r="E622" s="6">
        <v>0</v>
      </c>
      <c r="F622" s="6">
        <v>127707.15</v>
      </c>
      <c r="G622" t="s">
        <v>2660</v>
      </c>
    </row>
    <row r="623" spans="1:7" hidden="1" x14ac:dyDescent="0.3">
      <c r="A623" s="5">
        <v>45645</v>
      </c>
      <c r="B623" t="s">
        <v>9</v>
      </c>
      <c r="C623" t="s">
        <v>821</v>
      </c>
      <c r="D623" s="6">
        <v>318.44</v>
      </c>
      <c r="E623" s="6">
        <v>0</v>
      </c>
      <c r="F623" s="6">
        <v>127388.71</v>
      </c>
      <c r="G623" t="s">
        <v>2660</v>
      </c>
    </row>
    <row r="624" spans="1:7" hidden="1" x14ac:dyDescent="0.3">
      <c r="A624" s="5">
        <v>45645</v>
      </c>
      <c r="B624" t="s">
        <v>9</v>
      </c>
      <c r="C624" t="s">
        <v>822</v>
      </c>
      <c r="D624" s="6">
        <v>12702.77</v>
      </c>
      <c r="E624" s="6">
        <v>0</v>
      </c>
      <c r="F624" s="6">
        <v>114685.94</v>
      </c>
      <c r="G624" t="s">
        <v>2660</v>
      </c>
    </row>
    <row r="625" spans="1:7" hidden="1" x14ac:dyDescent="0.3">
      <c r="A625" s="5">
        <v>45645</v>
      </c>
      <c r="B625" t="s">
        <v>9</v>
      </c>
      <c r="C625" t="s">
        <v>823</v>
      </c>
      <c r="D625" s="6">
        <v>10870.99</v>
      </c>
      <c r="E625" s="6">
        <v>0</v>
      </c>
      <c r="F625" s="6">
        <v>103814.95</v>
      </c>
      <c r="G625" t="s">
        <v>2660</v>
      </c>
    </row>
    <row r="626" spans="1:7" hidden="1" x14ac:dyDescent="0.3">
      <c r="A626" s="5">
        <v>45646</v>
      </c>
      <c r="B626" t="s">
        <v>824</v>
      </c>
      <c r="C626" t="s">
        <v>825</v>
      </c>
      <c r="D626" s="6">
        <v>10000</v>
      </c>
      <c r="E626" s="6">
        <v>0</v>
      </c>
      <c r="F626" s="6">
        <v>93814.95</v>
      </c>
      <c r="G626" t="s">
        <v>33</v>
      </c>
    </row>
    <row r="627" spans="1:7" hidden="1" x14ac:dyDescent="0.3">
      <c r="A627" s="5">
        <v>45646</v>
      </c>
      <c r="B627" t="s">
        <v>826</v>
      </c>
      <c r="C627" t="s">
        <v>827</v>
      </c>
      <c r="D627" s="6">
        <v>0</v>
      </c>
      <c r="E627" s="6">
        <v>200000</v>
      </c>
      <c r="F627" s="6">
        <v>293814.95</v>
      </c>
      <c r="G627" t="s">
        <v>2659</v>
      </c>
    </row>
    <row r="628" spans="1:7" hidden="1" x14ac:dyDescent="0.3">
      <c r="A628" s="5">
        <v>45646</v>
      </c>
      <c r="B628" t="s">
        <v>828</v>
      </c>
      <c r="C628" t="s">
        <v>829</v>
      </c>
      <c r="D628" s="6">
        <v>0</v>
      </c>
      <c r="E628" s="6">
        <v>200000</v>
      </c>
      <c r="F628" s="6">
        <v>493814.95</v>
      </c>
      <c r="G628" t="s">
        <v>163</v>
      </c>
    </row>
    <row r="629" spans="1:7" hidden="1" x14ac:dyDescent="0.3">
      <c r="A629" s="5">
        <v>45646</v>
      </c>
      <c r="B629" t="s">
        <v>9</v>
      </c>
      <c r="C629" t="s">
        <v>830</v>
      </c>
      <c r="D629" s="6">
        <v>330.39</v>
      </c>
      <c r="E629" s="6">
        <v>0</v>
      </c>
      <c r="F629" s="6">
        <v>493484.56</v>
      </c>
      <c r="G629" t="s">
        <v>2660</v>
      </c>
    </row>
    <row r="630" spans="1:7" hidden="1" x14ac:dyDescent="0.3">
      <c r="A630" s="5">
        <v>45646</v>
      </c>
      <c r="B630" t="s">
        <v>9</v>
      </c>
      <c r="C630" t="s">
        <v>831</v>
      </c>
      <c r="D630" s="6">
        <v>21424.53</v>
      </c>
      <c r="E630" s="6">
        <v>0</v>
      </c>
      <c r="F630" s="6">
        <v>472060.03</v>
      </c>
      <c r="G630" t="s">
        <v>2660</v>
      </c>
    </row>
    <row r="631" spans="1:7" hidden="1" x14ac:dyDescent="0.3">
      <c r="A631" s="5">
        <v>45649</v>
      </c>
      <c r="B631" t="s">
        <v>832</v>
      </c>
      <c r="C631" t="s">
        <v>833</v>
      </c>
      <c r="D631" s="6">
        <v>350000</v>
      </c>
      <c r="E631" s="6">
        <v>0</v>
      </c>
      <c r="F631" s="6">
        <v>122060.03</v>
      </c>
      <c r="G631" t="s">
        <v>834</v>
      </c>
    </row>
    <row r="632" spans="1:7" hidden="1" x14ac:dyDescent="0.3">
      <c r="A632" s="5">
        <v>45649</v>
      </c>
      <c r="B632" t="s">
        <v>9</v>
      </c>
      <c r="C632" t="s">
        <v>835</v>
      </c>
      <c r="D632" s="6">
        <v>995.01</v>
      </c>
      <c r="E632" s="6">
        <v>0</v>
      </c>
      <c r="F632" s="6">
        <v>121065.02</v>
      </c>
      <c r="G632" t="s">
        <v>2660</v>
      </c>
    </row>
    <row r="633" spans="1:7" hidden="1" x14ac:dyDescent="0.3">
      <c r="A633" s="5">
        <v>45650</v>
      </c>
      <c r="B633" t="s">
        <v>836</v>
      </c>
      <c r="C633" t="s">
        <v>837</v>
      </c>
      <c r="D633" s="6">
        <v>0</v>
      </c>
      <c r="E633" s="6">
        <v>4488.34</v>
      </c>
      <c r="F633" s="6">
        <v>125553.36</v>
      </c>
      <c r="G633" t="s">
        <v>2660</v>
      </c>
    </row>
    <row r="634" spans="1:7" hidden="1" x14ac:dyDescent="0.3">
      <c r="A634" s="5">
        <v>45650</v>
      </c>
      <c r="B634" t="s">
        <v>9</v>
      </c>
      <c r="C634" t="s">
        <v>838</v>
      </c>
      <c r="D634" s="6">
        <v>331.67</v>
      </c>
      <c r="E634" s="6">
        <v>0</v>
      </c>
      <c r="F634" s="6">
        <v>125221.69</v>
      </c>
      <c r="G634" t="s">
        <v>2660</v>
      </c>
    </row>
    <row r="635" spans="1:7" hidden="1" x14ac:dyDescent="0.3">
      <c r="A635" s="5">
        <v>45650</v>
      </c>
      <c r="B635" t="s">
        <v>9</v>
      </c>
      <c r="C635" t="s">
        <v>839</v>
      </c>
      <c r="D635" s="6">
        <v>1.08</v>
      </c>
      <c r="E635" s="6">
        <v>0</v>
      </c>
      <c r="F635" s="6">
        <v>125220.61</v>
      </c>
      <c r="G635" t="s">
        <v>2660</v>
      </c>
    </row>
    <row r="636" spans="1:7" hidden="1" x14ac:dyDescent="0.3">
      <c r="A636" s="5">
        <v>45651</v>
      </c>
      <c r="B636" t="s">
        <v>840</v>
      </c>
      <c r="C636" t="s">
        <v>841</v>
      </c>
      <c r="D636" s="6">
        <v>20000</v>
      </c>
      <c r="E636" s="6">
        <v>0</v>
      </c>
      <c r="F636" s="6">
        <v>105220.61</v>
      </c>
      <c r="G636" t="s">
        <v>172</v>
      </c>
    </row>
    <row r="637" spans="1:7" hidden="1" x14ac:dyDescent="0.3">
      <c r="A637" s="5">
        <v>45652</v>
      </c>
      <c r="B637" t="s">
        <v>9</v>
      </c>
      <c r="C637" t="s">
        <v>842</v>
      </c>
      <c r="D637" s="6">
        <v>666.54</v>
      </c>
      <c r="E637" s="6">
        <v>0</v>
      </c>
      <c r="F637" s="6">
        <v>104554.07</v>
      </c>
      <c r="G637" t="s">
        <v>2660</v>
      </c>
    </row>
    <row r="638" spans="1:7" hidden="1" x14ac:dyDescent="0.3">
      <c r="A638" s="5">
        <v>45652</v>
      </c>
      <c r="B638" t="s">
        <v>9</v>
      </c>
      <c r="C638" t="s">
        <v>843</v>
      </c>
      <c r="D638" s="6">
        <v>1637.2</v>
      </c>
      <c r="E638" s="6">
        <v>0</v>
      </c>
      <c r="F638" s="6">
        <v>102916.87</v>
      </c>
      <c r="G638" t="s">
        <v>2660</v>
      </c>
    </row>
    <row r="639" spans="1:7" hidden="1" x14ac:dyDescent="0.3">
      <c r="A639" s="5">
        <v>45653</v>
      </c>
      <c r="B639" t="s">
        <v>9</v>
      </c>
      <c r="C639" t="s">
        <v>844</v>
      </c>
      <c r="D639" s="6">
        <v>332.69</v>
      </c>
      <c r="E639" s="6">
        <v>0</v>
      </c>
      <c r="F639" s="6">
        <v>102584.18</v>
      </c>
      <c r="G639" t="s">
        <v>2660</v>
      </c>
    </row>
    <row r="640" spans="1:7" hidden="1" x14ac:dyDescent="0.3">
      <c r="A640" s="5">
        <v>45653</v>
      </c>
      <c r="B640" t="s">
        <v>242</v>
      </c>
      <c r="C640" t="s">
        <v>845</v>
      </c>
      <c r="D640" s="6">
        <v>0</v>
      </c>
      <c r="E640" s="6">
        <v>676.13</v>
      </c>
      <c r="F640" s="6">
        <v>103260.31</v>
      </c>
      <c r="G640" t="s">
        <v>83</v>
      </c>
    </row>
    <row r="641" spans="1:7" hidden="1" x14ac:dyDescent="0.3">
      <c r="A641" s="5">
        <v>45653</v>
      </c>
      <c r="B641" t="s">
        <v>9</v>
      </c>
      <c r="C641" t="s">
        <v>846</v>
      </c>
      <c r="D641" s="6">
        <v>4089.87</v>
      </c>
      <c r="E641" s="6">
        <v>0</v>
      </c>
      <c r="F641" s="6">
        <v>99170.44</v>
      </c>
      <c r="G641" t="s">
        <v>2660</v>
      </c>
    </row>
    <row r="642" spans="1:7" hidden="1" x14ac:dyDescent="0.3">
      <c r="A642" s="5">
        <v>45656</v>
      </c>
      <c r="B642" t="s">
        <v>9</v>
      </c>
      <c r="C642" t="s">
        <v>847</v>
      </c>
      <c r="D642" s="6">
        <v>993.69</v>
      </c>
      <c r="E642" s="6">
        <v>0</v>
      </c>
      <c r="F642" s="6">
        <v>98176.75</v>
      </c>
      <c r="G642" t="s">
        <v>2660</v>
      </c>
    </row>
    <row r="643" spans="1:7" hidden="1" x14ac:dyDescent="0.3">
      <c r="A643" s="5">
        <v>45657</v>
      </c>
      <c r="B643" t="s">
        <v>848</v>
      </c>
      <c r="C643" t="s">
        <v>849</v>
      </c>
      <c r="D643" s="6">
        <v>0</v>
      </c>
      <c r="E643" s="6">
        <v>47253.9</v>
      </c>
      <c r="F643" s="6">
        <v>145430.65</v>
      </c>
      <c r="G643" t="s">
        <v>2660</v>
      </c>
    </row>
    <row r="644" spans="1:7" hidden="1" x14ac:dyDescent="0.3">
      <c r="A644" s="5">
        <v>45657</v>
      </c>
      <c r="B644" t="s">
        <v>9</v>
      </c>
      <c r="C644" t="s">
        <v>850</v>
      </c>
      <c r="D644" s="6">
        <v>331.23</v>
      </c>
      <c r="E644" s="6">
        <v>0</v>
      </c>
      <c r="F644" s="6">
        <v>145099.42000000001</v>
      </c>
      <c r="G644" t="s">
        <v>2660</v>
      </c>
    </row>
    <row r="645" spans="1:7" hidden="1" x14ac:dyDescent="0.3">
      <c r="A645" s="5">
        <v>45657</v>
      </c>
      <c r="B645" t="s">
        <v>9</v>
      </c>
      <c r="C645" t="s">
        <v>851</v>
      </c>
      <c r="D645" s="6">
        <v>3827.24</v>
      </c>
      <c r="E645" s="6">
        <v>0</v>
      </c>
      <c r="F645" s="6">
        <v>141272.18</v>
      </c>
      <c r="G645" t="s">
        <v>2660</v>
      </c>
    </row>
    <row r="646" spans="1:7" hidden="1" x14ac:dyDescent="0.3">
      <c r="A646" s="5">
        <v>45657</v>
      </c>
      <c r="B646" t="s">
        <v>852</v>
      </c>
      <c r="C646" t="s">
        <v>24</v>
      </c>
      <c r="D646" s="6">
        <v>0</v>
      </c>
      <c r="E646" s="6">
        <v>1556</v>
      </c>
      <c r="F646" s="6">
        <v>142828.18</v>
      </c>
      <c r="G646" t="s">
        <v>251</v>
      </c>
    </row>
    <row r="647" spans="1:7" hidden="1" x14ac:dyDescent="0.3">
      <c r="A647" s="5">
        <v>45658</v>
      </c>
      <c r="B647" t="s">
        <v>9</v>
      </c>
      <c r="C647" t="s">
        <v>853</v>
      </c>
      <c r="D647" s="6">
        <v>346.7</v>
      </c>
      <c r="E647" s="6">
        <v>0</v>
      </c>
      <c r="F647" s="6">
        <v>142481.48000000001</v>
      </c>
      <c r="G647" t="s">
        <v>2660</v>
      </c>
    </row>
    <row r="648" spans="1:7" hidden="1" x14ac:dyDescent="0.3">
      <c r="A648" s="5">
        <v>45658</v>
      </c>
      <c r="B648" t="s">
        <v>854</v>
      </c>
      <c r="C648" t="s">
        <v>855</v>
      </c>
      <c r="D648" s="6">
        <v>0</v>
      </c>
      <c r="E648" s="6">
        <v>1668472</v>
      </c>
      <c r="F648" s="6">
        <v>1810953.48</v>
      </c>
      <c r="G648" t="s">
        <v>856</v>
      </c>
    </row>
    <row r="649" spans="1:7" hidden="1" x14ac:dyDescent="0.3">
      <c r="A649" s="5">
        <v>45659</v>
      </c>
      <c r="B649" t="s">
        <v>857</v>
      </c>
      <c r="C649" t="s">
        <v>858</v>
      </c>
      <c r="D649" s="6">
        <v>0</v>
      </c>
      <c r="E649" s="6">
        <v>5359.07</v>
      </c>
      <c r="F649" s="6">
        <v>1816312.55</v>
      </c>
      <c r="G649" t="s">
        <v>2660</v>
      </c>
    </row>
    <row r="650" spans="1:7" hidden="1" x14ac:dyDescent="0.3">
      <c r="A650" s="5">
        <v>45659</v>
      </c>
      <c r="B650" t="s">
        <v>859</v>
      </c>
      <c r="C650" t="s">
        <v>860</v>
      </c>
      <c r="D650" s="6">
        <v>100000</v>
      </c>
      <c r="E650" s="6">
        <v>0</v>
      </c>
      <c r="F650" s="6">
        <v>1716312.55</v>
      </c>
      <c r="G650" t="s">
        <v>861</v>
      </c>
    </row>
    <row r="651" spans="1:7" hidden="1" x14ac:dyDescent="0.3">
      <c r="A651" s="5">
        <v>45659</v>
      </c>
      <c r="B651" t="s">
        <v>862</v>
      </c>
      <c r="C651" t="s">
        <v>863</v>
      </c>
      <c r="D651" s="6">
        <v>225000</v>
      </c>
      <c r="E651" s="6">
        <v>0</v>
      </c>
      <c r="F651" s="6">
        <v>1491312.55</v>
      </c>
      <c r="G651" t="s">
        <v>163</v>
      </c>
    </row>
    <row r="652" spans="1:7" hidden="1" x14ac:dyDescent="0.3">
      <c r="A652" s="5">
        <v>45659</v>
      </c>
      <c r="B652" t="s">
        <v>9</v>
      </c>
      <c r="C652" t="s">
        <v>864</v>
      </c>
      <c r="D652" s="6">
        <v>346.7</v>
      </c>
      <c r="E652" s="6">
        <v>0</v>
      </c>
      <c r="F652" s="6">
        <v>1490965.85</v>
      </c>
      <c r="G652" t="s">
        <v>2660</v>
      </c>
    </row>
    <row r="653" spans="1:7" hidden="1" x14ac:dyDescent="0.3">
      <c r="A653" s="5">
        <v>45659</v>
      </c>
      <c r="B653" t="s">
        <v>865</v>
      </c>
      <c r="C653" t="s">
        <v>866</v>
      </c>
      <c r="D653" s="6">
        <v>750</v>
      </c>
      <c r="E653" s="6">
        <v>0</v>
      </c>
      <c r="F653" s="6">
        <v>1490215.85</v>
      </c>
      <c r="G653" t="s">
        <v>89</v>
      </c>
    </row>
    <row r="654" spans="1:7" hidden="1" x14ac:dyDescent="0.3">
      <c r="A654" s="5">
        <v>45659</v>
      </c>
      <c r="B654" t="s">
        <v>867</v>
      </c>
      <c r="C654" t="s">
        <v>866</v>
      </c>
      <c r="D654" s="6">
        <v>67.5</v>
      </c>
      <c r="E654" s="6">
        <v>0</v>
      </c>
      <c r="F654" s="6">
        <v>1490148.35</v>
      </c>
      <c r="G654" t="s">
        <v>868</v>
      </c>
    </row>
    <row r="655" spans="1:7" hidden="1" x14ac:dyDescent="0.3">
      <c r="A655" s="5">
        <v>45659</v>
      </c>
      <c r="B655" t="s">
        <v>869</v>
      </c>
      <c r="C655" t="s">
        <v>866</v>
      </c>
      <c r="D655" s="6">
        <v>67.5</v>
      </c>
      <c r="E655" s="6">
        <v>0</v>
      </c>
      <c r="F655" s="6">
        <v>1490080.85</v>
      </c>
      <c r="G655" t="s">
        <v>89</v>
      </c>
    </row>
    <row r="656" spans="1:7" hidden="1" x14ac:dyDescent="0.3">
      <c r="A656" s="5">
        <v>45659</v>
      </c>
      <c r="B656" t="s">
        <v>870</v>
      </c>
      <c r="C656" t="s">
        <v>871</v>
      </c>
      <c r="D656" s="6">
        <v>100000</v>
      </c>
      <c r="E656" s="6">
        <v>0</v>
      </c>
      <c r="F656" s="6">
        <v>1390080.85</v>
      </c>
      <c r="G656" t="s">
        <v>202</v>
      </c>
    </row>
    <row r="657" spans="1:7" hidden="1" x14ac:dyDescent="0.3">
      <c r="A657" s="5">
        <v>45659</v>
      </c>
      <c r="B657" t="s">
        <v>872</v>
      </c>
      <c r="C657" t="s">
        <v>873</v>
      </c>
      <c r="D657" s="6">
        <v>100000</v>
      </c>
      <c r="E657" s="6">
        <v>0</v>
      </c>
      <c r="F657" s="6">
        <v>1290080.8500000001</v>
      </c>
      <c r="G657" t="s">
        <v>172</v>
      </c>
    </row>
    <row r="658" spans="1:7" hidden="1" x14ac:dyDescent="0.3">
      <c r="A658" s="5">
        <v>45659</v>
      </c>
      <c r="B658" t="s">
        <v>9</v>
      </c>
      <c r="C658" t="s">
        <v>874</v>
      </c>
      <c r="D658" s="6">
        <v>63492.639999999999</v>
      </c>
      <c r="E658" s="6">
        <v>0</v>
      </c>
      <c r="F658" s="6">
        <v>1226588.21</v>
      </c>
      <c r="G658" t="s">
        <v>2660</v>
      </c>
    </row>
    <row r="659" spans="1:7" hidden="1" x14ac:dyDescent="0.3">
      <c r="A659" s="5">
        <v>45660</v>
      </c>
      <c r="B659" t="s">
        <v>9</v>
      </c>
      <c r="C659" t="s">
        <v>875</v>
      </c>
      <c r="D659" s="6">
        <v>325.99</v>
      </c>
      <c r="E659" s="6">
        <v>0</v>
      </c>
      <c r="F659" s="6">
        <v>1226262.22</v>
      </c>
      <c r="G659" t="s">
        <v>2660</v>
      </c>
    </row>
    <row r="660" spans="1:7" hidden="1" x14ac:dyDescent="0.3">
      <c r="A660" s="5">
        <v>45660</v>
      </c>
      <c r="B660" t="s">
        <v>9</v>
      </c>
      <c r="C660" t="s">
        <v>876</v>
      </c>
      <c r="D660" s="6">
        <v>3304.04</v>
      </c>
      <c r="E660" s="6">
        <v>0</v>
      </c>
      <c r="F660" s="6">
        <v>1222958.18</v>
      </c>
      <c r="G660" t="s">
        <v>2660</v>
      </c>
    </row>
    <row r="661" spans="1:7" hidden="1" x14ac:dyDescent="0.3">
      <c r="A661" s="5">
        <v>45663</v>
      </c>
      <c r="B661" t="s">
        <v>9</v>
      </c>
      <c r="C661" t="s">
        <v>877</v>
      </c>
      <c r="D661" s="6">
        <v>988.56</v>
      </c>
      <c r="E661" s="6">
        <v>0</v>
      </c>
      <c r="F661" s="6">
        <v>1221969.6200000001</v>
      </c>
      <c r="G661" t="s">
        <v>2660</v>
      </c>
    </row>
    <row r="662" spans="1:7" hidden="1" x14ac:dyDescent="0.3">
      <c r="A662" s="5">
        <v>45663</v>
      </c>
      <c r="B662" t="s">
        <v>275</v>
      </c>
      <c r="C662" t="s">
        <v>878</v>
      </c>
      <c r="D662" s="6">
        <v>0</v>
      </c>
      <c r="E662" s="6">
        <v>125</v>
      </c>
      <c r="F662" s="6">
        <v>1222094.6200000001</v>
      </c>
      <c r="G662" t="s">
        <v>83</v>
      </c>
    </row>
    <row r="663" spans="1:7" hidden="1" x14ac:dyDescent="0.3">
      <c r="A663" s="5">
        <v>45663</v>
      </c>
      <c r="B663" t="s">
        <v>879</v>
      </c>
      <c r="C663" t="s">
        <v>880</v>
      </c>
      <c r="D663" s="6">
        <v>50000</v>
      </c>
      <c r="E663" s="6">
        <v>0</v>
      </c>
      <c r="F663" s="6">
        <v>1172094.6200000001</v>
      </c>
      <c r="G663" t="s">
        <v>881</v>
      </c>
    </row>
    <row r="664" spans="1:7" hidden="1" x14ac:dyDescent="0.3">
      <c r="A664" s="5">
        <v>45663</v>
      </c>
      <c r="B664" t="s">
        <v>9</v>
      </c>
      <c r="C664" t="s">
        <v>882</v>
      </c>
      <c r="D664" s="6">
        <v>34319.339999999997</v>
      </c>
      <c r="E664" s="6">
        <v>0</v>
      </c>
      <c r="F664" s="6">
        <v>1137775.28</v>
      </c>
      <c r="G664" t="s">
        <v>2660</v>
      </c>
    </row>
    <row r="665" spans="1:7" hidden="1" x14ac:dyDescent="0.3">
      <c r="A665" s="5">
        <v>45664</v>
      </c>
      <c r="B665" t="s">
        <v>9</v>
      </c>
      <c r="C665" t="s">
        <v>883</v>
      </c>
      <c r="D665" s="6">
        <v>317.29000000000002</v>
      </c>
      <c r="E665" s="6">
        <v>0</v>
      </c>
      <c r="F665" s="6">
        <v>1137457.99</v>
      </c>
      <c r="G665" t="s">
        <v>2660</v>
      </c>
    </row>
    <row r="666" spans="1:7" hidden="1" x14ac:dyDescent="0.3">
      <c r="A666" s="5">
        <v>45665</v>
      </c>
      <c r="B666" t="s">
        <v>884</v>
      </c>
      <c r="C666" t="s">
        <v>885</v>
      </c>
      <c r="D666" s="6">
        <v>0</v>
      </c>
      <c r="E666" s="6">
        <v>5465.93</v>
      </c>
      <c r="F666" s="6">
        <v>1142923.92</v>
      </c>
      <c r="G666" t="s">
        <v>2660</v>
      </c>
    </row>
    <row r="667" spans="1:7" hidden="1" x14ac:dyDescent="0.3">
      <c r="A667" s="5">
        <v>45665</v>
      </c>
      <c r="B667" t="s">
        <v>9</v>
      </c>
      <c r="C667" t="s">
        <v>886</v>
      </c>
      <c r="D667" s="6">
        <v>331.3</v>
      </c>
      <c r="E667" s="6">
        <v>0</v>
      </c>
      <c r="F667" s="6">
        <v>1142592.6200000001</v>
      </c>
      <c r="G667" t="s">
        <v>2660</v>
      </c>
    </row>
    <row r="668" spans="1:7" hidden="1" x14ac:dyDescent="0.3">
      <c r="A668" s="5">
        <v>45665</v>
      </c>
      <c r="B668" t="s">
        <v>9</v>
      </c>
      <c r="C668" t="s">
        <v>887</v>
      </c>
      <c r="D668" s="6">
        <v>10229.68</v>
      </c>
      <c r="E668" s="6">
        <v>0</v>
      </c>
      <c r="F668" s="6">
        <v>1132362.94</v>
      </c>
      <c r="G668" t="s">
        <v>2660</v>
      </c>
    </row>
    <row r="669" spans="1:7" x14ac:dyDescent="0.3">
      <c r="A669" s="5">
        <v>45666</v>
      </c>
      <c r="B669" t="s">
        <v>693</v>
      </c>
      <c r="C669" t="s">
        <v>888</v>
      </c>
      <c r="D669" s="6">
        <v>20000</v>
      </c>
      <c r="E669" s="6">
        <v>0</v>
      </c>
      <c r="F669" s="6">
        <v>1112362.94</v>
      </c>
      <c r="G669" t="s">
        <v>93</v>
      </c>
    </row>
    <row r="670" spans="1:7" hidden="1" x14ac:dyDescent="0.3">
      <c r="A670" s="5">
        <v>45666</v>
      </c>
      <c r="B670" t="s">
        <v>9</v>
      </c>
      <c r="C670" t="s">
        <v>889</v>
      </c>
      <c r="D670" s="6">
        <v>329.6</v>
      </c>
      <c r="E670" s="6">
        <v>0</v>
      </c>
      <c r="F670" s="6">
        <v>1112033.3400000001</v>
      </c>
      <c r="G670" t="s">
        <v>2660</v>
      </c>
    </row>
    <row r="671" spans="1:7" hidden="1" x14ac:dyDescent="0.3">
      <c r="A671" s="5">
        <v>45666</v>
      </c>
      <c r="B671" t="s">
        <v>9</v>
      </c>
      <c r="C671" t="s">
        <v>890</v>
      </c>
      <c r="D671" s="6">
        <v>13033.56</v>
      </c>
      <c r="E671" s="6">
        <v>0</v>
      </c>
      <c r="F671" s="6">
        <v>1098999.78</v>
      </c>
      <c r="G671" t="s">
        <v>2660</v>
      </c>
    </row>
    <row r="672" spans="1:7" hidden="1" x14ac:dyDescent="0.3">
      <c r="A672" s="5">
        <v>45667</v>
      </c>
      <c r="B672" t="s">
        <v>891</v>
      </c>
      <c r="C672" t="s">
        <v>892</v>
      </c>
      <c r="D672" s="6">
        <v>10000</v>
      </c>
      <c r="E672" s="6">
        <v>0</v>
      </c>
      <c r="F672" s="6">
        <v>1088999.78</v>
      </c>
      <c r="G672" t="s">
        <v>33</v>
      </c>
    </row>
    <row r="673" spans="1:7" hidden="1" x14ac:dyDescent="0.3">
      <c r="A673" s="5">
        <v>45667</v>
      </c>
      <c r="B673" t="s">
        <v>9</v>
      </c>
      <c r="C673" t="s">
        <v>893</v>
      </c>
      <c r="D673" s="6">
        <v>324.95999999999998</v>
      </c>
      <c r="E673" s="6">
        <v>0</v>
      </c>
      <c r="F673" s="6">
        <v>1088674.82</v>
      </c>
      <c r="G673" t="s">
        <v>2660</v>
      </c>
    </row>
    <row r="674" spans="1:7" hidden="1" x14ac:dyDescent="0.3">
      <c r="A674" s="5">
        <v>45667</v>
      </c>
      <c r="B674" t="s">
        <v>9</v>
      </c>
      <c r="C674" t="s">
        <v>894</v>
      </c>
      <c r="D674" s="6">
        <v>25075.26</v>
      </c>
      <c r="E674" s="6">
        <v>0</v>
      </c>
      <c r="F674" s="6">
        <v>1063599.56</v>
      </c>
      <c r="G674" t="s">
        <v>2660</v>
      </c>
    </row>
    <row r="675" spans="1:7" hidden="1" x14ac:dyDescent="0.3">
      <c r="A675" s="5">
        <v>45670</v>
      </c>
      <c r="B675" t="s">
        <v>895</v>
      </c>
      <c r="C675" t="s">
        <v>896</v>
      </c>
      <c r="D675" s="6">
        <v>30000</v>
      </c>
      <c r="E675" s="6">
        <v>0</v>
      </c>
      <c r="F675" s="6">
        <v>1033599.56</v>
      </c>
      <c r="G675" t="s">
        <v>834</v>
      </c>
    </row>
    <row r="676" spans="1:7" hidden="1" x14ac:dyDescent="0.3">
      <c r="A676" s="5">
        <v>45670</v>
      </c>
      <c r="B676" t="s">
        <v>9</v>
      </c>
      <c r="C676" t="s">
        <v>897</v>
      </c>
      <c r="D676" s="6">
        <v>948.09</v>
      </c>
      <c r="E676" s="6">
        <v>0</v>
      </c>
      <c r="F676" s="6">
        <v>1032651.47</v>
      </c>
      <c r="G676" t="s">
        <v>2660</v>
      </c>
    </row>
    <row r="677" spans="1:7" hidden="1" x14ac:dyDescent="0.3">
      <c r="A677" s="5">
        <v>45670</v>
      </c>
      <c r="B677" t="s">
        <v>898</v>
      </c>
      <c r="C677" t="s">
        <v>24</v>
      </c>
      <c r="D677" s="6">
        <v>330.4</v>
      </c>
      <c r="E677" s="6">
        <v>0</v>
      </c>
      <c r="F677" s="6">
        <v>1032321.07</v>
      </c>
      <c r="G677" t="s">
        <v>25</v>
      </c>
    </row>
    <row r="678" spans="1:7" hidden="1" x14ac:dyDescent="0.3">
      <c r="A678" s="5">
        <v>45670</v>
      </c>
      <c r="B678" t="s">
        <v>9</v>
      </c>
      <c r="C678" t="s">
        <v>899</v>
      </c>
      <c r="D678" s="6">
        <v>28859.26</v>
      </c>
      <c r="E678" s="6">
        <v>0</v>
      </c>
      <c r="F678" s="6">
        <v>1003461.81</v>
      </c>
      <c r="G678" t="s">
        <v>2660</v>
      </c>
    </row>
    <row r="679" spans="1:7" hidden="1" x14ac:dyDescent="0.3">
      <c r="A679" s="5">
        <v>45671</v>
      </c>
      <c r="B679" t="s">
        <v>9</v>
      </c>
      <c r="C679" t="s">
        <v>900</v>
      </c>
      <c r="D679" s="6">
        <v>305.75</v>
      </c>
      <c r="E679" s="6">
        <v>0</v>
      </c>
      <c r="F679" s="6">
        <v>1003156.06</v>
      </c>
      <c r="G679" t="s">
        <v>2660</v>
      </c>
    </row>
    <row r="680" spans="1:7" x14ac:dyDescent="0.3">
      <c r="A680" s="5">
        <v>45672</v>
      </c>
      <c r="B680" t="s">
        <v>693</v>
      </c>
      <c r="C680" t="s">
        <v>901</v>
      </c>
      <c r="D680" s="6">
        <v>20000</v>
      </c>
      <c r="E680" s="6">
        <v>0</v>
      </c>
      <c r="F680" s="6">
        <v>983156.06</v>
      </c>
      <c r="G680" t="s">
        <v>93</v>
      </c>
    </row>
    <row r="681" spans="1:7" hidden="1" x14ac:dyDescent="0.3">
      <c r="A681" s="5">
        <v>45672</v>
      </c>
      <c r="B681" t="s">
        <v>902</v>
      </c>
      <c r="C681" t="s">
        <v>903</v>
      </c>
      <c r="D681" s="6">
        <v>0</v>
      </c>
      <c r="E681" s="6">
        <v>19544.7</v>
      </c>
      <c r="F681" s="6">
        <v>1002700.76</v>
      </c>
      <c r="G681" t="s">
        <v>2660</v>
      </c>
    </row>
    <row r="682" spans="1:7" hidden="1" x14ac:dyDescent="0.3">
      <c r="A682" s="5">
        <v>45672</v>
      </c>
      <c r="B682" t="s">
        <v>904</v>
      </c>
      <c r="C682" t="s">
        <v>905</v>
      </c>
      <c r="D682" s="6">
        <v>10000</v>
      </c>
      <c r="E682" s="6">
        <v>0</v>
      </c>
      <c r="F682" s="6">
        <v>992700.76</v>
      </c>
      <c r="G682" t="s">
        <v>33</v>
      </c>
    </row>
    <row r="683" spans="1:7" hidden="1" x14ac:dyDescent="0.3">
      <c r="A683" s="5">
        <v>45672</v>
      </c>
      <c r="B683" t="s">
        <v>9</v>
      </c>
      <c r="C683" t="s">
        <v>906</v>
      </c>
      <c r="D683" s="6">
        <v>305.75</v>
      </c>
      <c r="E683" s="6">
        <v>0</v>
      </c>
      <c r="F683" s="6">
        <v>992395.01</v>
      </c>
      <c r="G683" t="s">
        <v>2660</v>
      </c>
    </row>
    <row r="684" spans="1:7" hidden="1" x14ac:dyDescent="0.3">
      <c r="A684" s="5">
        <v>45673</v>
      </c>
      <c r="B684" t="s">
        <v>907</v>
      </c>
      <c r="C684" t="s">
        <v>908</v>
      </c>
      <c r="D684" s="6">
        <v>0</v>
      </c>
      <c r="E684" s="6">
        <v>6281.73</v>
      </c>
      <c r="F684" s="6">
        <v>998676.74</v>
      </c>
      <c r="G684" t="s">
        <v>2660</v>
      </c>
    </row>
    <row r="685" spans="1:7" hidden="1" x14ac:dyDescent="0.3">
      <c r="A685" s="5">
        <v>45673</v>
      </c>
      <c r="B685" t="s">
        <v>9</v>
      </c>
      <c r="C685" t="s">
        <v>909</v>
      </c>
      <c r="D685" s="6">
        <v>312.70999999999998</v>
      </c>
      <c r="E685" s="6">
        <v>0</v>
      </c>
      <c r="F685" s="6">
        <v>998364.03</v>
      </c>
      <c r="G685" t="s">
        <v>2660</v>
      </c>
    </row>
    <row r="686" spans="1:7" hidden="1" x14ac:dyDescent="0.3">
      <c r="A686" s="5">
        <v>45674</v>
      </c>
      <c r="B686" t="s">
        <v>910</v>
      </c>
      <c r="C686" t="s">
        <v>911</v>
      </c>
      <c r="D686" s="6">
        <v>0</v>
      </c>
      <c r="E686" s="6">
        <v>8816.65</v>
      </c>
      <c r="F686" s="6">
        <v>1007180.68</v>
      </c>
      <c r="G686" t="s">
        <v>2660</v>
      </c>
    </row>
    <row r="687" spans="1:7" hidden="1" x14ac:dyDescent="0.3">
      <c r="A687" s="5">
        <v>45674</v>
      </c>
      <c r="B687" t="s">
        <v>9</v>
      </c>
      <c r="C687" t="s">
        <v>912</v>
      </c>
      <c r="D687" s="6">
        <v>314.95</v>
      </c>
      <c r="E687" s="6">
        <v>0</v>
      </c>
      <c r="F687" s="6">
        <v>1006865.73</v>
      </c>
      <c r="G687" t="s">
        <v>2660</v>
      </c>
    </row>
    <row r="688" spans="1:7" x14ac:dyDescent="0.3">
      <c r="A688" s="5">
        <v>45674</v>
      </c>
      <c r="B688" t="s">
        <v>693</v>
      </c>
      <c r="C688" t="s">
        <v>913</v>
      </c>
      <c r="D688" s="6">
        <v>20000</v>
      </c>
      <c r="E688" s="6">
        <v>0</v>
      </c>
      <c r="F688" s="6">
        <v>986865.73</v>
      </c>
      <c r="G688" t="s">
        <v>93</v>
      </c>
    </row>
    <row r="689" spans="1:7" hidden="1" x14ac:dyDescent="0.3">
      <c r="A689" s="5">
        <v>45674</v>
      </c>
      <c r="B689" t="s">
        <v>9</v>
      </c>
      <c r="C689" t="s">
        <v>914</v>
      </c>
      <c r="D689" s="6">
        <v>1135</v>
      </c>
      <c r="E689" s="6">
        <v>0</v>
      </c>
      <c r="F689" s="6">
        <v>985730.73</v>
      </c>
      <c r="G689" t="s">
        <v>2660</v>
      </c>
    </row>
    <row r="690" spans="1:7" hidden="1" x14ac:dyDescent="0.3">
      <c r="A690" s="5">
        <v>45675</v>
      </c>
      <c r="B690" t="s">
        <v>310</v>
      </c>
      <c r="C690" t="s">
        <v>915</v>
      </c>
      <c r="D690" s="6">
        <v>0</v>
      </c>
      <c r="E690" s="6">
        <v>1196.5</v>
      </c>
      <c r="F690" s="6">
        <v>986927.23</v>
      </c>
      <c r="G690" t="s">
        <v>83</v>
      </c>
    </row>
    <row r="691" spans="1:7" hidden="1" x14ac:dyDescent="0.3">
      <c r="A691" s="5">
        <v>45677</v>
      </c>
      <c r="B691" t="s">
        <v>916</v>
      </c>
      <c r="C691" t="s">
        <v>917</v>
      </c>
      <c r="D691" s="6">
        <v>200000</v>
      </c>
      <c r="E691" s="6">
        <v>0</v>
      </c>
      <c r="F691" s="6">
        <v>786927.23</v>
      </c>
      <c r="G691" t="s">
        <v>834</v>
      </c>
    </row>
    <row r="692" spans="1:7" hidden="1" x14ac:dyDescent="0.3">
      <c r="A692" s="5">
        <v>45677</v>
      </c>
      <c r="B692" t="s">
        <v>918</v>
      </c>
      <c r="C692" t="s">
        <v>919</v>
      </c>
      <c r="D692" s="6">
        <v>10000</v>
      </c>
      <c r="E692" s="6">
        <v>0</v>
      </c>
      <c r="F692" s="6">
        <v>776927.23</v>
      </c>
      <c r="G692" t="s">
        <v>33</v>
      </c>
    </row>
    <row r="693" spans="1:7" hidden="1" x14ac:dyDescent="0.3">
      <c r="A693" s="5">
        <v>45677</v>
      </c>
      <c r="B693" t="s">
        <v>920</v>
      </c>
      <c r="C693" t="s">
        <v>917</v>
      </c>
      <c r="D693" s="6">
        <v>0</v>
      </c>
      <c r="E693" s="6">
        <v>200000</v>
      </c>
      <c r="F693" s="6">
        <v>976927.23</v>
      </c>
      <c r="G693" t="s">
        <v>921</v>
      </c>
    </row>
    <row r="694" spans="1:7" hidden="1" x14ac:dyDescent="0.3">
      <c r="A694" s="5">
        <v>45677</v>
      </c>
      <c r="B694" t="s">
        <v>9</v>
      </c>
      <c r="C694" t="s">
        <v>922</v>
      </c>
      <c r="D694" s="6">
        <v>953.04</v>
      </c>
      <c r="E694" s="6">
        <v>0</v>
      </c>
      <c r="F694" s="6">
        <v>975974.19</v>
      </c>
      <c r="G694" t="s">
        <v>2660</v>
      </c>
    </row>
    <row r="695" spans="1:7" hidden="1" x14ac:dyDescent="0.3">
      <c r="A695" s="5">
        <v>45677</v>
      </c>
      <c r="B695" t="s">
        <v>316</v>
      </c>
      <c r="C695" t="s">
        <v>923</v>
      </c>
      <c r="D695" s="6">
        <v>0</v>
      </c>
      <c r="E695" s="6">
        <v>300.44</v>
      </c>
      <c r="F695" s="6">
        <v>976274.63</v>
      </c>
      <c r="G695" t="s">
        <v>83</v>
      </c>
    </row>
    <row r="696" spans="1:7" hidden="1" x14ac:dyDescent="0.3">
      <c r="A696" s="5">
        <v>45678</v>
      </c>
      <c r="B696" t="s">
        <v>924</v>
      </c>
      <c r="C696" t="s">
        <v>925</v>
      </c>
      <c r="D696" s="6">
        <v>0</v>
      </c>
      <c r="E696" s="6">
        <v>1047.2</v>
      </c>
      <c r="F696" s="6">
        <v>977321.83</v>
      </c>
      <c r="G696" t="s">
        <v>2660</v>
      </c>
    </row>
    <row r="697" spans="1:7" hidden="1" x14ac:dyDescent="0.3">
      <c r="A697" s="5">
        <v>45678</v>
      </c>
      <c r="B697" t="s">
        <v>9</v>
      </c>
      <c r="C697" t="s">
        <v>926</v>
      </c>
      <c r="D697" s="6">
        <v>317.68</v>
      </c>
      <c r="E697" s="6">
        <v>0</v>
      </c>
      <c r="F697" s="6">
        <v>977004.15</v>
      </c>
      <c r="G697" t="s">
        <v>2660</v>
      </c>
    </row>
    <row r="698" spans="1:7" hidden="1" x14ac:dyDescent="0.3">
      <c r="A698" s="5">
        <v>45678</v>
      </c>
      <c r="B698" t="s">
        <v>9</v>
      </c>
      <c r="C698" t="s">
        <v>927</v>
      </c>
      <c r="D698" s="6">
        <v>7915.59</v>
      </c>
      <c r="E698" s="6">
        <v>0</v>
      </c>
      <c r="F698" s="6">
        <v>969088.56</v>
      </c>
      <c r="G698" t="s">
        <v>2660</v>
      </c>
    </row>
    <row r="699" spans="1:7" hidden="1" x14ac:dyDescent="0.3">
      <c r="A699" s="5">
        <v>45679</v>
      </c>
      <c r="B699" t="s">
        <v>9</v>
      </c>
      <c r="C699" t="s">
        <v>928</v>
      </c>
      <c r="D699" s="6">
        <v>315.24</v>
      </c>
      <c r="E699" s="6">
        <v>0</v>
      </c>
      <c r="F699" s="6">
        <v>968773.32</v>
      </c>
      <c r="G699" t="s">
        <v>2660</v>
      </c>
    </row>
    <row r="700" spans="1:7" hidden="1" x14ac:dyDescent="0.3">
      <c r="A700" s="5">
        <v>45679</v>
      </c>
      <c r="B700" t="s">
        <v>929</v>
      </c>
      <c r="C700" t="s">
        <v>930</v>
      </c>
      <c r="D700" s="6">
        <v>67000</v>
      </c>
      <c r="E700" s="6">
        <v>0</v>
      </c>
      <c r="F700" s="6">
        <v>901773.32</v>
      </c>
      <c r="G700" t="s">
        <v>881</v>
      </c>
    </row>
    <row r="701" spans="1:7" hidden="1" x14ac:dyDescent="0.3">
      <c r="A701" s="5">
        <v>45679</v>
      </c>
      <c r="B701" t="s">
        <v>9</v>
      </c>
      <c r="C701" t="s">
        <v>931</v>
      </c>
      <c r="D701" s="6">
        <v>7000.88</v>
      </c>
      <c r="E701" s="6">
        <v>0</v>
      </c>
      <c r="F701" s="6">
        <v>894772.44</v>
      </c>
      <c r="G701" t="s">
        <v>2660</v>
      </c>
    </row>
    <row r="702" spans="1:7" hidden="1" x14ac:dyDescent="0.3">
      <c r="A702" s="5">
        <v>45680</v>
      </c>
      <c r="B702" t="s">
        <v>9</v>
      </c>
      <c r="C702" t="s">
        <v>932</v>
      </c>
      <c r="D702" s="6">
        <v>312.74</v>
      </c>
      <c r="E702" s="6">
        <v>0</v>
      </c>
      <c r="F702" s="6">
        <v>894459.7</v>
      </c>
      <c r="G702" t="s">
        <v>2660</v>
      </c>
    </row>
    <row r="703" spans="1:7" hidden="1" x14ac:dyDescent="0.3">
      <c r="A703" s="5">
        <v>45680</v>
      </c>
      <c r="B703" t="s">
        <v>933</v>
      </c>
      <c r="C703" t="s">
        <v>934</v>
      </c>
      <c r="D703" s="6">
        <v>200000</v>
      </c>
      <c r="E703" s="6">
        <v>0</v>
      </c>
      <c r="F703" s="6">
        <v>694459.7</v>
      </c>
      <c r="G703" t="s">
        <v>935</v>
      </c>
    </row>
    <row r="704" spans="1:7" hidden="1" x14ac:dyDescent="0.3">
      <c r="A704" s="5">
        <v>45681</v>
      </c>
      <c r="B704" t="s">
        <v>936</v>
      </c>
      <c r="C704" t="s">
        <v>937</v>
      </c>
      <c r="D704" s="6">
        <v>0</v>
      </c>
      <c r="E704" s="6">
        <v>9546.35</v>
      </c>
      <c r="F704" s="6">
        <v>704006.05</v>
      </c>
      <c r="G704" t="s">
        <v>2660</v>
      </c>
    </row>
    <row r="705" spans="1:7" hidden="1" x14ac:dyDescent="0.3">
      <c r="A705" s="5">
        <v>45681</v>
      </c>
      <c r="B705" t="s">
        <v>9</v>
      </c>
      <c r="C705" t="s">
        <v>938</v>
      </c>
      <c r="D705" s="6">
        <v>312.74</v>
      </c>
      <c r="E705" s="6">
        <v>0</v>
      </c>
      <c r="F705" s="6">
        <v>703693.31</v>
      </c>
      <c r="G705" t="s">
        <v>2660</v>
      </c>
    </row>
    <row r="706" spans="1:7" hidden="1" x14ac:dyDescent="0.3">
      <c r="A706" s="5">
        <v>45681</v>
      </c>
      <c r="B706" t="s">
        <v>939</v>
      </c>
      <c r="C706" t="s">
        <v>940</v>
      </c>
      <c r="D706" s="6">
        <v>100000</v>
      </c>
      <c r="E706" s="6">
        <v>0</v>
      </c>
      <c r="F706" s="6">
        <v>603693.31000000006</v>
      </c>
      <c r="G706" t="s">
        <v>123</v>
      </c>
    </row>
    <row r="707" spans="1:7" hidden="1" x14ac:dyDescent="0.3">
      <c r="A707" s="5">
        <v>45681</v>
      </c>
      <c r="B707" t="s">
        <v>941</v>
      </c>
      <c r="C707" t="s">
        <v>942</v>
      </c>
      <c r="D707" s="6">
        <v>75000</v>
      </c>
      <c r="E707" s="6">
        <v>0</v>
      </c>
      <c r="F707" s="6">
        <v>528693.31000000006</v>
      </c>
      <c r="G707" t="s">
        <v>943</v>
      </c>
    </row>
    <row r="708" spans="1:7" hidden="1" x14ac:dyDescent="0.3">
      <c r="A708" s="5">
        <v>45683</v>
      </c>
      <c r="B708" t="s">
        <v>944</v>
      </c>
      <c r="C708" t="s">
        <v>945</v>
      </c>
      <c r="D708" s="6">
        <v>200000</v>
      </c>
      <c r="E708" s="6">
        <v>0</v>
      </c>
      <c r="F708" s="6">
        <v>328693.31</v>
      </c>
      <c r="G708" t="s">
        <v>946</v>
      </c>
    </row>
    <row r="709" spans="1:7" hidden="1" x14ac:dyDescent="0.3">
      <c r="A709" s="5">
        <v>45684</v>
      </c>
      <c r="B709" t="s">
        <v>947</v>
      </c>
      <c r="C709" t="s">
        <v>948</v>
      </c>
      <c r="D709" s="6">
        <v>0</v>
      </c>
      <c r="E709" s="6">
        <v>25473.59</v>
      </c>
      <c r="F709" s="6">
        <v>354166.9</v>
      </c>
      <c r="G709" t="s">
        <v>2660</v>
      </c>
    </row>
    <row r="710" spans="1:7" hidden="1" x14ac:dyDescent="0.3">
      <c r="A710" s="5">
        <v>45684</v>
      </c>
      <c r="B710" t="s">
        <v>9</v>
      </c>
      <c r="C710" t="s">
        <v>949</v>
      </c>
      <c r="D710" s="6">
        <v>948.42</v>
      </c>
      <c r="E710" s="6">
        <v>0</v>
      </c>
      <c r="F710" s="6">
        <v>353218.48</v>
      </c>
      <c r="G710" t="s">
        <v>2660</v>
      </c>
    </row>
    <row r="711" spans="1:7" hidden="1" x14ac:dyDescent="0.3">
      <c r="A711" s="5">
        <v>45684</v>
      </c>
      <c r="B711" t="s">
        <v>9</v>
      </c>
      <c r="C711" t="s">
        <v>950</v>
      </c>
      <c r="D711" s="6">
        <v>25750.79</v>
      </c>
      <c r="E711" s="6">
        <v>0</v>
      </c>
      <c r="F711" s="6">
        <v>380637.69</v>
      </c>
      <c r="G711" t="s">
        <v>2660</v>
      </c>
    </row>
    <row r="712" spans="1:7" hidden="1" x14ac:dyDescent="0.3">
      <c r="A712" s="5">
        <v>45685</v>
      </c>
      <c r="B712" t="s">
        <v>951</v>
      </c>
      <c r="C712" t="s">
        <v>952</v>
      </c>
      <c r="D712" s="6">
        <v>0</v>
      </c>
      <c r="E712" s="6">
        <v>26440</v>
      </c>
      <c r="F712" s="6">
        <v>379658.48</v>
      </c>
      <c r="G712" t="s">
        <v>935</v>
      </c>
    </row>
    <row r="713" spans="1:7" hidden="1" x14ac:dyDescent="0.3">
      <c r="A713" s="5">
        <v>45685</v>
      </c>
      <c r="B713" t="s">
        <v>951</v>
      </c>
      <c r="C713" t="s">
        <v>953</v>
      </c>
      <c r="D713" s="6">
        <v>0</v>
      </c>
      <c r="E713" s="6">
        <v>26730</v>
      </c>
      <c r="F713" s="6">
        <v>406388.47999999998</v>
      </c>
      <c r="G713" t="s">
        <v>935</v>
      </c>
    </row>
    <row r="714" spans="1:7" hidden="1" x14ac:dyDescent="0.3">
      <c r="A714" s="5">
        <v>45685</v>
      </c>
      <c r="B714" t="s">
        <v>9</v>
      </c>
      <c r="C714" t="s">
        <v>954</v>
      </c>
      <c r="D714" s="6">
        <v>293.85000000000002</v>
      </c>
      <c r="E714" s="6">
        <v>0</v>
      </c>
      <c r="F714" s="6">
        <v>380343.84</v>
      </c>
      <c r="G714" t="s">
        <v>2660</v>
      </c>
    </row>
    <row r="715" spans="1:7" hidden="1" x14ac:dyDescent="0.3">
      <c r="A715" s="5">
        <v>45685</v>
      </c>
      <c r="B715" t="s">
        <v>9</v>
      </c>
      <c r="C715" t="s">
        <v>955</v>
      </c>
      <c r="D715" s="6">
        <v>3016.36</v>
      </c>
      <c r="E715" s="6">
        <v>0</v>
      </c>
      <c r="F715" s="6">
        <v>377327.48</v>
      </c>
      <c r="G715" t="s">
        <v>2660</v>
      </c>
    </row>
    <row r="716" spans="1:7" hidden="1" x14ac:dyDescent="0.3">
      <c r="A716" s="5">
        <v>45686</v>
      </c>
      <c r="B716" t="s">
        <v>9</v>
      </c>
      <c r="C716" t="s">
        <v>956</v>
      </c>
      <c r="D716" s="6">
        <v>292.77999999999997</v>
      </c>
      <c r="E716" s="6">
        <v>0</v>
      </c>
      <c r="F716" s="6">
        <v>377034.7</v>
      </c>
      <c r="G716" t="s">
        <v>2660</v>
      </c>
    </row>
    <row r="717" spans="1:7" hidden="1" x14ac:dyDescent="0.3">
      <c r="A717" s="5">
        <v>45687</v>
      </c>
      <c r="B717" t="s">
        <v>957</v>
      </c>
      <c r="C717" t="s">
        <v>958</v>
      </c>
      <c r="D717" s="6">
        <v>0</v>
      </c>
      <c r="E717" s="6">
        <v>21983.31</v>
      </c>
      <c r="F717" s="6">
        <v>399018.01</v>
      </c>
      <c r="G717" t="s">
        <v>2660</v>
      </c>
    </row>
    <row r="718" spans="1:7" hidden="1" x14ac:dyDescent="0.3">
      <c r="A718" s="5">
        <v>45687</v>
      </c>
      <c r="B718" t="s">
        <v>959</v>
      </c>
      <c r="C718" t="s">
        <v>960</v>
      </c>
      <c r="D718" s="6">
        <v>20000</v>
      </c>
      <c r="E718" s="6">
        <v>0</v>
      </c>
      <c r="F718" s="6">
        <v>379018.01</v>
      </c>
      <c r="G718" t="s">
        <v>123</v>
      </c>
    </row>
    <row r="719" spans="1:7" hidden="1" x14ac:dyDescent="0.3">
      <c r="A719" s="5">
        <v>45687</v>
      </c>
      <c r="B719" t="s">
        <v>9</v>
      </c>
      <c r="C719" t="s">
        <v>961</v>
      </c>
      <c r="D719" s="6">
        <v>292.77999999999997</v>
      </c>
      <c r="E719" s="6">
        <v>0</v>
      </c>
      <c r="F719" s="6">
        <v>378725.23</v>
      </c>
      <c r="G719" t="s">
        <v>2660</v>
      </c>
    </row>
    <row r="720" spans="1:7" hidden="1" x14ac:dyDescent="0.3">
      <c r="A720" s="5">
        <v>45687</v>
      </c>
      <c r="B720" t="s">
        <v>962</v>
      </c>
      <c r="C720" t="s">
        <v>917</v>
      </c>
      <c r="D720" s="6">
        <v>59</v>
      </c>
      <c r="E720" s="6">
        <v>0</v>
      </c>
      <c r="F720" s="6">
        <v>378666.23</v>
      </c>
      <c r="G720" t="s">
        <v>89</v>
      </c>
    </row>
    <row r="721" spans="1:7" hidden="1" x14ac:dyDescent="0.3">
      <c r="A721" s="5">
        <v>45687</v>
      </c>
      <c r="B721" t="s">
        <v>9</v>
      </c>
      <c r="C721" t="s">
        <v>963</v>
      </c>
      <c r="D721" s="6">
        <v>4485.84</v>
      </c>
      <c r="E721" s="6">
        <v>0</v>
      </c>
      <c r="F721" s="6">
        <v>374180.39</v>
      </c>
      <c r="G721" t="s">
        <v>2660</v>
      </c>
    </row>
    <row r="722" spans="1:7" hidden="1" x14ac:dyDescent="0.3">
      <c r="A722" s="5">
        <v>45688</v>
      </c>
      <c r="B722" t="s">
        <v>9</v>
      </c>
      <c r="C722" t="s">
        <v>964</v>
      </c>
      <c r="D722" s="6">
        <v>299.01</v>
      </c>
      <c r="E722" s="6">
        <v>0</v>
      </c>
      <c r="F722" s="6">
        <v>373881.38</v>
      </c>
      <c r="G722" t="s">
        <v>2660</v>
      </c>
    </row>
    <row r="723" spans="1:7" hidden="1" x14ac:dyDescent="0.3">
      <c r="A723" s="5">
        <v>45691</v>
      </c>
      <c r="B723" t="s">
        <v>965</v>
      </c>
      <c r="C723" t="s">
        <v>966</v>
      </c>
      <c r="D723" s="6">
        <v>0</v>
      </c>
      <c r="E723" s="6">
        <v>12694.3</v>
      </c>
      <c r="F723" s="6">
        <v>386575.68</v>
      </c>
      <c r="G723" t="s">
        <v>2660</v>
      </c>
    </row>
    <row r="724" spans="1:7" hidden="1" x14ac:dyDescent="0.3">
      <c r="A724" s="5">
        <v>45691</v>
      </c>
      <c r="B724" t="s">
        <v>967</v>
      </c>
      <c r="C724" t="s">
        <v>968</v>
      </c>
      <c r="D724" s="6">
        <v>1</v>
      </c>
      <c r="E724" s="6">
        <v>0</v>
      </c>
      <c r="F724" s="6">
        <v>386574.68</v>
      </c>
      <c r="G724" t="s">
        <v>123</v>
      </c>
    </row>
    <row r="725" spans="1:7" hidden="1" x14ac:dyDescent="0.3">
      <c r="A725" s="5">
        <v>45691</v>
      </c>
      <c r="B725" t="s">
        <v>969</v>
      </c>
      <c r="C725" t="s">
        <v>970</v>
      </c>
      <c r="D725" s="6">
        <v>100000</v>
      </c>
      <c r="E725" s="6">
        <v>0</v>
      </c>
      <c r="F725" s="6">
        <v>286574.68</v>
      </c>
      <c r="G725" t="s">
        <v>2659</v>
      </c>
    </row>
    <row r="726" spans="1:7" hidden="1" x14ac:dyDescent="0.3">
      <c r="A726" s="5">
        <v>45691</v>
      </c>
      <c r="B726" t="s">
        <v>9</v>
      </c>
      <c r="C726" t="s">
        <v>971</v>
      </c>
      <c r="D726" s="6">
        <v>6162.28</v>
      </c>
      <c r="E726" s="6">
        <v>0</v>
      </c>
      <c r="F726" s="6">
        <v>280412.40000000002</v>
      </c>
      <c r="G726" t="s">
        <v>2660</v>
      </c>
    </row>
    <row r="727" spans="1:7" hidden="1" x14ac:dyDescent="0.3">
      <c r="A727" s="5">
        <v>45691</v>
      </c>
      <c r="B727" t="s">
        <v>9</v>
      </c>
      <c r="C727" t="s">
        <v>972</v>
      </c>
      <c r="D727" s="6">
        <v>17788.16</v>
      </c>
      <c r="E727" s="6">
        <v>0</v>
      </c>
      <c r="F727" s="6">
        <v>262624.24</v>
      </c>
      <c r="G727" t="s">
        <v>2660</v>
      </c>
    </row>
    <row r="728" spans="1:7" hidden="1" x14ac:dyDescent="0.3">
      <c r="A728" s="5">
        <v>45692</v>
      </c>
      <c r="B728" t="s">
        <v>9</v>
      </c>
      <c r="C728" t="s">
        <v>973</v>
      </c>
      <c r="D728" s="6">
        <v>295.32</v>
      </c>
      <c r="E728" s="6">
        <v>0</v>
      </c>
      <c r="F728" s="6">
        <v>262328.92</v>
      </c>
      <c r="G728" t="s">
        <v>2660</v>
      </c>
    </row>
    <row r="729" spans="1:7" hidden="1" x14ac:dyDescent="0.3">
      <c r="A729" s="5">
        <v>45692</v>
      </c>
      <c r="B729" t="s">
        <v>9</v>
      </c>
      <c r="C729" t="s">
        <v>974</v>
      </c>
      <c r="D729" s="6">
        <v>12866.08</v>
      </c>
      <c r="E729" s="6">
        <v>0</v>
      </c>
      <c r="F729" s="6">
        <v>249462.84</v>
      </c>
      <c r="G729" t="s">
        <v>2660</v>
      </c>
    </row>
    <row r="730" spans="1:7" hidden="1" x14ac:dyDescent="0.3">
      <c r="A730" s="5">
        <v>45692</v>
      </c>
      <c r="B730" t="s">
        <v>975</v>
      </c>
      <c r="C730" t="s">
        <v>976</v>
      </c>
      <c r="D730" s="6">
        <v>50000</v>
      </c>
      <c r="E730" s="6">
        <v>0</v>
      </c>
      <c r="F730" s="6">
        <v>199462.84</v>
      </c>
      <c r="G730" t="s">
        <v>123</v>
      </c>
    </row>
    <row r="731" spans="1:7" hidden="1" x14ac:dyDescent="0.3">
      <c r="A731" s="5">
        <v>45693</v>
      </c>
      <c r="B731" t="s">
        <v>9</v>
      </c>
      <c r="C731" t="s">
        <v>977</v>
      </c>
      <c r="D731" s="6">
        <v>300.49</v>
      </c>
      <c r="E731" s="6">
        <v>0</v>
      </c>
      <c r="F731" s="6">
        <v>199162.35</v>
      </c>
      <c r="G731" t="s">
        <v>2660</v>
      </c>
    </row>
    <row r="732" spans="1:7" hidden="1" x14ac:dyDescent="0.3">
      <c r="A732" s="5">
        <v>45693</v>
      </c>
      <c r="B732" t="s">
        <v>9</v>
      </c>
      <c r="C732" t="s">
        <v>978</v>
      </c>
      <c r="D732" s="6">
        <v>50636.33</v>
      </c>
      <c r="E732" s="6">
        <v>0</v>
      </c>
      <c r="F732" s="6">
        <v>148526.01999999999</v>
      </c>
      <c r="G732" t="s">
        <v>2660</v>
      </c>
    </row>
    <row r="733" spans="1:7" hidden="1" x14ac:dyDescent="0.3">
      <c r="A733" s="5">
        <v>45694</v>
      </c>
      <c r="B733" t="s">
        <v>979</v>
      </c>
      <c r="C733" t="s">
        <v>980</v>
      </c>
      <c r="D733" s="6">
        <v>0</v>
      </c>
      <c r="E733" s="6">
        <v>74689.87</v>
      </c>
      <c r="F733" s="6">
        <v>223215.89</v>
      </c>
      <c r="G733" t="s">
        <v>2660</v>
      </c>
    </row>
    <row r="734" spans="1:7" hidden="1" x14ac:dyDescent="0.3">
      <c r="A734" s="5">
        <v>45694</v>
      </c>
      <c r="B734" t="s">
        <v>9</v>
      </c>
      <c r="C734" t="s">
        <v>981</v>
      </c>
      <c r="D734" s="6">
        <v>300.83999999999997</v>
      </c>
      <c r="E734" s="6">
        <v>0</v>
      </c>
      <c r="F734" s="6">
        <v>222915.05</v>
      </c>
      <c r="G734" t="s">
        <v>2660</v>
      </c>
    </row>
    <row r="735" spans="1:7" hidden="1" x14ac:dyDescent="0.3">
      <c r="A735" s="5">
        <v>45694</v>
      </c>
      <c r="B735" t="s">
        <v>982</v>
      </c>
      <c r="C735" t="s">
        <v>983</v>
      </c>
      <c r="D735" s="6">
        <v>3150</v>
      </c>
      <c r="E735" s="6">
        <v>0</v>
      </c>
      <c r="F735" s="6">
        <v>219765.05</v>
      </c>
      <c r="G735" t="s">
        <v>123</v>
      </c>
    </row>
    <row r="736" spans="1:7" hidden="1" x14ac:dyDescent="0.3">
      <c r="A736" s="5">
        <v>45694</v>
      </c>
      <c r="B736" t="s">
        <v>9</v>
      </c>
      <c r="C736" t="s">
        <v>984</v>
      </c>
      <c r="D736" s="6">
        <v>53403.44</v>
      </c>
      <c r="E736" s="6">
        <v>0</v>
      </c>
      <c r="F736" s="6">
        <v>166361.60999999999</v>
      </c>
      <c r="G736" t="s">
        <v>2660</v>
      </c>
    </row>
    <row r="737" spans="1:7" hidden="1" x14ac:dyDescent="0.3">
      <c r="A737" s="5">
        <v>45695</v>
      </c>
      <c r="B737" t="s">
        <v>985</v>
      </c>
      <c r="C737" t="s">
        <v>986</v>
      </c>
      <c r="D737" s="6">
        <v>0</v>
      </c>
      <c r="E737" s="6">
        <v>33629.800000000003</v>
      </c>
      <c r="F737" s="6">
        <v>199991.41</v>
      </c>
      <c r="G737" t="s">
        <v>2660</v>
      </c>
    </row>
    <row r="738" spans="1:7" hidden="1" x14ac:dyDescent="0.3">
      <c r="A738" s="5">
        <v>45695</v>
      </c>
      <c r="B738" t="s">
        <v>9</v>
      </c>
      <c r="C738" t="s">
        <v>987</v>
      </c>
      <c r="D738" s="6">
        <v>299.35000000000002</v>
      </c>
      <c r="E738" s="6">
        <v>0</v>
      </c>
      <c r="F738" s="6">
        <v>199692.06</v>
      </c>
      <c r="G738" t="s">
        <v>2660</v>
      </c>
    </row>
    <row r="739" spans="1:7" hidden="1" x14ac:dyDescent="0.3">
      <c r="A739" s="5">
        <v>45695</v>
      </c>
      <c r="B739" t="s">
        <v>9</v>
      </c>
      <c r="C739" t="s">
        <v>988</v>
      </c>
      <c r="D739" s="6">
        <v>2444.31</v>
      </c>
      <c r="E739" s="6">
        <v>0</v>
      </c>
      <c r="F739" s="6">
        <v>197247.75</v>
      </c>
      <c r="G739" t="s">
        <v>2660</v>
      </c>
    </row>
    <row r="740" spans="1:7" hidden="1" x14ac:dyDescent="0.3">
      <c r="A740" s="5">
        <v>45698</v>
      </c>
      <c r="B740" t="s">
        <v>989</v>
      </c>
      <c r="C740" t="s">
        <v>990</v>
      </c>
      <c r="D740" s="6">
        <v>0</v>
      </c>
      <c r="E740" s="6">
        <v>97719.88</v>
      </c>
      <c r="F740" s="6">
        <v>294967.63</v>
      </c>
      <c r="G740" t="s">
        <v>2660</v>
      </c>
    </row>
    <row r="741" spans="1:7" hidden="1" x14ac:dyDescent="0.3">
      <c r="A741" s="5">
        <v>45698</v>
      </c>
      <c r="B741" t="s">
        <v>991</v>
      </c>
      <c r="C741" t="s">
        <v>992</v>
      </c>
      <c r="D741" s="6">
        <v>10000</v>
      </c>
      <c r="E741" s="6">
        <v>0</v>
      </c>
      <c r="F741" s="6">
        <v>284967.63</v>
      </c>
      <c r="G741" t="s">
        <v>33</v>
      </c>
    </row>
    <row r="742" spans="1:7" hidden="1" x14ac:dyDescent="0.3">
      <c r="A742" s="5">
        <v>45698</v>
      </c>
      <c r="B742" t="s">
        <v>9</v>
      </c>
      <c r="C742" t="s">
        <v>993</v>
      </c>
      <c r="D742" s="6">
        <v>895.44</v>
      </c>
      <c r="E742" s="6">
        <v>0</v>
      </c>
      <c r="F742" s="6">
        <v>284072.19</v>
      </c>
      <c r="G742" t="s">
        <v>2660</v>
      </c>
    </row>
    <row r="743" spans="1:7" hidden="1" x14ac:dyDescent="0.3">
      <c r="A743" s="5">
        <v>45698</v>
      </c>
      <c r="B743" t="s">
        <v>994</v>
      </c>
      <c r="C743" t="s">
        <v>995</v>
      </c>
      <c r="D743" s="6">
        <v>0</v>
      </c>
      <c r="E743" s="6">
        <v>10.5</v>
      </c>
      <c r="F743" s="6">
        <v>284082.69</v>
      </c>
      <c r="G743" t="s">
        <v>145</v>
      </c>
    </row>
    <row r="744" spans="1:7" hidden="1" x14ac:dyDescent="0.3">
      <c r="A744" s="5">
        <v>45699</v>
      </c>
      <c r="B744" t="s">
        <v>9</v>
      </c>
      <c r="C744" t="s">
        <v>996</v>
      </c>
      <c r="D744" s="6">
        <v>12285.2</v>
      </c>
      <c r="E744" s="6">
        <v>0</v>
      </c>
      <c r="F744" s="6">
        <v>271797.49</v>
      </c>
      <c r="G744" t="s">
        <v>2660</v>
      </c>
    </row>
    <row r="745" spans="1:7" hidden="1" x14ac:dyDescent="0.3">
      <c r="A745" s="5">
        <v>45699</v>
      </c>
      <c r="B745" t="s">
        <v>9</v>
      </c>
      <c r="C745" t="s">
        <v>997</v>
      </c>
      <c r="D745" s="6">
        <v>294.11</v>
      </c>
      <c r="E745" s="6">
        <v>0</v>
      </c>
      <c r="F745" s="6">
        <v>271503.38</v>
      </c>
      <c r="G745" t="s">
        <v>2660</v>
      </c>
    </row>
    <row r="746" spans="1:7" hidden="1" x14ac:dyDescent="0.3">
      <c r="A746" s="5">
        <v>45699</v>
      </c>
      <c r="B746" t="s">
        <v>9</v>
      </c>
      <c r="C746" t="s">
        <v>998</v>
      </c>
      <c r="D746" s="6">
        <v>25519.3</v>
      </c>
      <c r="E746" s="6">
        <v>0</v>
      </c>
      <c r="F746" s="6">
        <v>245984.08</v>
      </c>
      <c r="G746" t="s">
        <v>2660</v>
      </c>
    </row>
    <row r="747" spans="1:7" hidden="1" x14ac:dyDescent="0.3">
      <c r="A747" s="5">
        <v>45700</v>
      </c>
      <c r="B747" t="s">
        <v>9</v>
      </c>
      <c r="C747" t="s">
        <v>999</v>
      </c>
      <c r="D747" s="6">
        <v>288.45</v>
      </c>
      <c r="E747" s="6">
        <v>0</v>
      </c>
      <c r="F747" s="6">
        <v>245695.63</v>
      </c>
      <c r="G747" t="s">
        <v>2660</v>
      </c>
    </row>
    <row r="748" spans="1:7" hidden="1" x14ac:dyDescent="0.3">
      <c r="A748" s="5">
        <v>45700</v>
      </c>
      <c r="B748" t="s">
        <v>1000</v>
      </c>
      <c r="C748" t="s">
        <v>1001</v>
      </c>
      <c r="D748" s="6">
        <v>0</v>
      </c>
      <c r="E748" s="6">
        <v>820</v>
      </c>
      <c r="F748" s="6">
        <v>246515.63</v>
      </c>
      <c r="G748" t="s">
        <v>145</v>
      </c>
    </row>
    <row r="749" spans="1:7" hidden="1" x14ac:dyDescent="0.3">
      <c r="A749" s="5">
        <v>45700</v>
      </c>
      <c r="B749" t="s">
        <v>9</v>
      </c>
      <c r="C749" t="s">
        <v>1002</v>
      </c>
      <c r="D749" s="6">
        <v>1268.8</v>
      </c>
      <c r="E749" s="6">
        <v>0</v>
      </c>
      <c r="F749" s="6">
        <v>245246.83</v>
      </c>
      <c r="G749" t="s">
        <v>2660</v>
      </c>
    </row>
    <row r="750" spans="1:7" hidden="1" x14ac:dyDescent="0.3">
      <c r="A750" s="5">
        <v>45701</v>
      </c>
      <c r="B750" t="s">
        <v>1003</v>
      </c>
      <c r="C750" t="s">
        <v>1004</v>
      </c>
      <c r="D750" s="6">
        <v>200000</v>
      </c>
      <c r="E750" s="6">
        <v>0</v>
      </c>
      <c r="F750" s="6">
        <v>45246.83</v>
      </c>
      <c r="G750" t="s">
        <v>946</v>
      </c>
    </row>
    <row r="751" spans="1:7" hidden="1" x14ac:dyDescent="0.3">
      <c r="A751" s="5">
        <v>45701</v>
      </c>
      <c r="B751" t="s">
        <v>9</v>
      </c>
      <c r="C751" t="s">
        <v>1005</v>
      </c>
      <c r="D751" s="6">
        <v>289.92</v>
      </c>
      <c r="E751" s="6">
        <v>0</v>
      </c>
      <c r="F751" s="6">
        <v>44956.91</v>
      </c>
      <c r="G751" t="s">
        <v>2660</v>
      </c>
    </row>
    <row r="752" spans="1:7" hidden="1" x14ac:dyDescent="0.3">
      <c r="A752" s="5">
        <v>45701</v>
      </c>
      <c r="B752" t="s">
        <v>9</v>
      </c>
      <c r="C752" t="s">
        <v>1006</v>
      </c>
      <c r="D752" s="6">
        <v>17653.77</v>
      </c>
      <c r="E752" s="6">
        <v>0</v>
      </c>
      <c r="F752" s="6">
        <v>27303.14</v>
      </c>
      <c r="G752" t="s">
        <v>2660</v>
      </c>
    </row>
    <row r="753" spans="1:7" hidden="1" x14ac:dyDescent="0.3">
      <c r="A753" s="5">
        <v>45701</v>
      </c>
      <c r="B753" t="s">
        <v>1007</v>
      </c>
      <c r="C753" t="s">
        <v>1008</v>
      </c>
      <c r="D753" s="6">
        <v>0</v>
      </c>
      <c r="E753" s="6">
        <v>100000</v>
      </c>
      <c r="F753" s="6">
        <v>127303.14</v>
      </c>
      <c r="G753" t="s">
        <v>2659</v>
      </c>
    </row>
    <row r="754" spans="1:7" hidden="1" x14ac:dyDescent="0.3">
      <c r="A754" s="5">
        <v>45702</v>
      </c>
      <c r="B754" t="s">
        <v>1009</v>
      </c>
      <c r="C754" t="s">
        <v>1010</v>
      </c>
      <c r="D754" s="6">
        <v>0</v>
      </c>
      <c r="E754" s="6">
        <v>210</v>
      </c>
      <c r="F754" s="6">
        <v>127513.14</v>
      </c>
      <c r="G754" t="s">
        <v>145</v>
      </c>
    </row>
    <row r="755" spans="1:7" hidden="1" x14ac:dyDescent="0.3">
      <c r="A755" s="5">
        <v>45702</v>
      </c>
      <c r="B755" t="s">
        <v>1011</v>
      </c>
      <c r="C755" t="s">
        <v>1012</v>
      </c>
      <c r="D755" s="6">
        <v>0</v>
      </c>
      <c r="E755" s="6">
        <v>75</v>
      </c>
      <c r="F755" s="6">
        <v>127588.14</v>
      </c>
      <c r="G755" t="s">
        <v>145</v>
      </c>
    </row>
    <row r="756" spans="1:7" hidden="1" x14ac:dyDescent="0.3">
      <c r="A756" s="5">
        <v>45702</v>
      </c>
      <c r="B756" t="s">
        <v>9</v>
      </c>
      <c r="C756" t="s">
        <v>1013</v>
      </c>
      <c r="D756" s="6">
        <v>283.63</v>
      </c>
      <c r="E756" s="6">
        <v>0</v>
      </c>
      <c r="F756" s="6">
        <v>127304.51</v>
      </c>
      <c r="G756" t="s">
        <v>2660</v>
      </c>
    </row>
    <row r="757" spans="1:7" hidden="1" x14ac:dyDescent="0.3">
      <c r="A757" s="5">
        <v>45702</v>
      </c>
      <c r="B757" t="s">
        <v>1014</v>
      </c>
      <c r="C757" t="s">
        <v>24</v>
      </c>
      <c r="D757" s="6">
        <v>365.8</v>
      </c>
      <c r="E757" s="6">
        <v>0</v>
      </c>
      <c r="F757" s="6">
        <v>126938.71</v>
      </c>
      <c r="G757" t="s">
        <v>25</v>
      </c>
    </row>
    <row r="758" spans="1:7" hidden="1" x14ac:dyDescent="0.3">
      <c r="A758" s="5">
        <v>45702</v>
      </c>
      <c r="B758" t="s">
        <v>1015</v>
      </c>
      <c r="C758" t="s">
        <v>1016</v>
      </c>
      <c r="D758" s="6">
        <v>100000</v>
      </c>
      <c r="E758" s="6">
        <v>0</v>
      </c>
      <c r="F758" s="6">
        <v>26938.71</v>
      </c>
      <c r="G758" t="s">
        <v>946</v>
      </c>
    </row>
    <row r="759" spans="1:7" hidden="1" x14ac:dyDescent="0.3">
      <c r="A759" s="5">
        <v>45702</v>
      </c>
      <c r="B759" t="s">
        <v>9</v>
      </c>
      <c r="C759" t="s">
        <v>1017</v>
      </c>
      <c r="D759" s="6">
        <v>12389.92</v>
      </c>
      <c r="E759" s="6">
        <v>0</v>
      </c>
      <c r="F759" s="6">
        <v>14548.79</v>
      </c>
      <c r="G759" t="s">
        <v>2660</v>
      </c>
    </row>
    <row r="760" spans="1:7" hidden="1" x14ac:dyDescent="0.3">
      <c r="A760" s="5">
        <v>45705</v>
      </c>
      <c r="B760" t="s">
        <v>1018</v>
      </c>
      <c r="C760" t="s">
        <v>1019</v>
      </c>
      <c r="D760" s="6">
        <v>10000</v>
      </c>
      <c r="E760" s="6">
        <v>0</v>
      </c>
      <c r="F760" s="6">
        <v>4548.79</v>
      </c>
      <c r="G760" t="s">
        <v>33</v>
      </c>
    </row>
    <row r="761" spans="1:7" hidden="1" x14ac:dyDescent="0.3">
      <c r="A761" s="5">
        <v>45705</v>
      </c>
      <c r="B761" t="s">
        <v>9</v>
      </c>
      <c r="C761" t="s">
        <v>1020</v>
      </c>
      <c r="D761" s="6">
        <v>882.78</v>
      </c>
      <c r="E761" s="6">
        <v>0</v>
      </c>
      <c r="F761" s="6">
        <v>3666.01</v>
      </c>
      <c r="G761" t="s">
        <v>2660</v>
      </c>
    </row>
    <row r="762" spans="1:7" hidden="1" x14ac:dyDescent="0.3">
      <c r="A762" s="5">
        <v>45705</v>
      </c>
      <c r="B762" t="s">
        <v>1021</v>
      </c>
      <c r="C762" t="s">
        <v>1022</v>
      </c>
      <c r="D762" s="6">
        <v>0</v>
      </c>
      <c r="E762" s="6">
        <v>462.5</v>
      </c>
      <c r="F762" s="6">
        <v>4128.51</v>
      </c>
      <c r="G762" t="s">
        <v>145</v>
      </c>
    </row>
    <row r="763" spans="1:7" hidden="1" x14ac:dyDescent="0.3">
      <c r="A763" s="5">
        <v>45706</v>
      </c>
      <c r="B763" t="s">
        <v>1023</v>
      </c>
      <c r="C763" t="s">
        <v>1024</v>
      </c>
      <c r="D763" s="6">
        <v>0</v>
      </c>
      <c r="E763" s="6">
        <v>40187.160000000003</v>
      </c>
      <c r="F763" s="6">
        <v>44315.67</v>
      </c>
      <c r="G763" t="s">
        <v>2660</v>
      </c>
    </row>
    <row r="764" spans="1:7" hidden="1" x14ac:dyDescent="0.3">
      <c r="A764" s="5">
        <v>45706</v>
      </c>
      <c r="B764" t="s">
        <v>1025</v>
      </c>
      <c r="C764" t="s">
        <v>1026</v>
      </c>
      <c r="D764" s="6">
        <v>0</v>
      </c>
      <c r="E764" s="6">
        <v>12868.69</v>
      </c>
      <c r="F764" s="6">
        <v>57184.36</v>
      </c>
      <c r="G764" t="s">
        <v>2660</v>
      </c>
    </row>
    <row r="765" spans="1:7" hidden="1" x14ac:dyDescent="0.3">
      <c r="A765" s="5">
        <v>45706</v>
      </c>
      <c r="B765" t="s">
        <v>1027</v>
      </c>
      <c r="C765" t="s">
        <v>1028</v>
      </c>
      <c r="D765" s="6">
        <v>0</v>
      </c>
      <c r="E765" s="6">
        <v>52.5</v>
      </c>
      <c r="F765" s="6">
        <v>57236.86</v>
      </c>
      <c r="G765" t="s">
        <v>145</v>
      </c>
    </row>
    <row r="766" spans="1:7" hidden="1" x14ac:dyDescent="0.3">
      <c r="A766" s="5">
        <v>45706</v>
      </c>
      <c r="B766" t="s">
        <v>9</v>
      </c>
      <c r="C766" t="s">
        <v>1029</v>
      </c>
      <c r="D766" s="6">
        <v>294.26</v>
      </c>
      <c r="E766" s="6">
        <v>0</v>
      </c>
      <c r="F766" s="6">
        <v>56942.6</v>
      </c>
      <c r="G766" t="s">
        <v>2660</v>
      </c>
    </row>
    <row r="767" spans="1:7" hidden="1" x14ac:dyDescent="0.3">
      <c r="A767" s="5">
        <v>45706</v>
      </c>
      <c r="B767" t="s">
        <v>9</v>
      </c>
      <c r="C767" t="s">
        <v>1030</v>
      </c>
      <c r="D767" s="6">
        <v>1157.9000000000001</v>
      </c>
      <c r="E767" s="6">
        <v>0</v>
      </c>
      <c r="F767" s="6">
        <v>55784.7</v>
      </c>
      <c r="G767" t="s">
        <v>2660</v>
      </c>
    </row>
    <row r="768" spans="1:7" hidden="1" x14ac:dyDescent="0.3">
      <c r="A768" s="5">
        <v>45707</v>
      </c>
      <c r="B768" t="s">
        <v>9</v>
      </c>
      <c r="C768" t="s">
        <v>1031</v>
      </c>
      <c r="D768" s="6">
        <v>283.58999999999997</v>
      </c>
      <c r="E768" s="6">
        <v>0</v>
      </c>
      <c r="F768" s="6">
        <v>55501.11</v>
      </c>
      <c r="G768" t="s">
        <v>2660</v>
      </c>
    </row>
    <row r="769" spans="1:7" hidden="1" x14ac:dyDescent="0.3">
      <c r="A769" s="5">
        <v>45708</v>
      </c>
      <c r="B769" t="s">
        <v>1032</v>
      </c>
      <c r="C769" t="s">
        <v>1033</v>
      </c>
      <c r="D769" s="6">
        <v>0</v>
      </c>
      <c r="E769" s="6">
        <v>39010.29</v>
      </c>
      <c r="F769" s="6">
        <v>94511.4</v>
      </c>
      <c r="G769" t="s">
        <v>2660</v>
      </c>
    </row>
    <row r="770" spans="1:7" hidden="1" x14ac:dyDescent="0.3">
      <c r="A770" s="5">
        <v>45708</v>
      </c>
      <c r="B770" t="s">
        <v>1034</v>
      </c>
      <c r="C770" t="s">
        <v>1035</v>
      </c>
      <c r="D770" s="6">
        <v>0</v>
      </c>
      <c r="E770" s="6">
        <v>7037.97</v>
      </c>
      <c r="F770" s="6">
        <v>101549.37</v>
      </c>
      <c r="G770" t="s">
        <v>2660</v>
      </c>
    </row>
    <row r="771" spans="1:7" hidden="1" x14ac:dyDescent="0.3">
      <c r="A771" s="5">
        <v>45708</v>
      </c>
      <c r="B771" t="s">
        <v>1036</v>
      </c>
      <c r="C771" t="s">
        <v>1037</v>
      </c>
      <c r="D771" s="6">
        <v>10000</v>
      </c>
      <c r="E771" s="6">
        <v>0</v>
      </c>
      <c r="F771" s="6">
        <v>91549.37</v>
      </c>
      <c r="G771" t="s">
        <v>33</v>
      </c>
    </row>
    <row r="772" spans="1:7" hidden="1" x14ac:dyDescent="0.3">
      <c r="A772" s="5">
        <v>45708</v>
      </c>
      <c r="B772" t="s">
        <v>9</v>
      </c>
      <c r="C772" t="s">
        <v>1038</v>
      </c>
      <c r="D772" s="6">
        <v>283.58999999999997</v>
      </c>
      <c r="E772" s="6">
        <v>0</v>
      </c>
      <c r="F772" s="6">
        <v>91265.78</v>
      </c>
      <c r="G772" t="s">
        <v>2660</v>
      </c>
    </row>
    <row r="773" spans="1:7" hidden="1" x14ac:dyDescent="0.3">
      <c r="A773" s="5">
        <v>45709</v>
      </c>
      <c r="B773" t="s">
        <v>1039</v>
      </c>
      <c r="C773" t="s">
        <v>1040</v>
      </c>
      <c r="D773" s="6">
        <v>0</v>
      </c>
      <c r="E773" s="6">
        <v>25497.89</v>
      </c>
      <c r="F773" s="6">
        <v>116763.67</v>
      </c>
      <c r="G773" t="s">
        <v>2660</v>
      </c>
    </row>
    <row r="774" spans="1:7" hidden="1" x14ac:dyDescent="0.3">
      <c r="A774" s="5">
        <v>45709</v>
      </c>
      <c r="B774" t="s">
        <v>9</v>
      </c>
      <c r="C774" t="s">
        <v>1041</v>
      </c>
      <c r="D774" s="6">
        <v>286.08999999999997</v>
      </c>
      <c r="E774" s="6">
        <v>0</v>
      </c>
      <c r="F774" s="6">
        <v>116477.58</v>
      </c>
      <c r="G774" t="s">
        <v>2660</v>
      </c>
    </row>
    <row r="775" spans="1:7" hidden="1" x14ac:dyDescent="0.3">
      <c r="A775" s="5">
        <v>45709</v>
      </c>
      <c r="B775" t="s">
        <v>426</v>
      </c>
      <c r="C775" t="s">
        <v>1042</v>
      </c>
      <c r="D775" s="6">
        <v>0</v>
      </c>
      <c r="E775" s="6">
        <v>1174.31</v>
      </c>
      <c r="F775" s="6">
        <v>117651.89</v>
      </c>
      <c r="G775" t="s">
        <v>83</v>
      </c>
    </row>
    <row r="776" spans="1:7" hidden="1" x14ac:dyDescent="0.3">
      <c r="A776" s="5">
        <v>45712</v>
      </c>
      <c r="B776" t="s">
        <v>1043</v>
      </c>
      <c r="C776" t="s">
        <v>1044</v>
      </c>
      <c r="D776" s="6">
        <v>0</v>
      </c>
      <c r="E776" s="6">
        <v>9114.42</v>
      </c>
      <c r="F776" s="6">
        <v>126766.31</v>
      </c>
      <c r="G776" t="s">
        <v>2660</v>
      </c>
    </row>
    <row r="777" spans="1:7" hidden="1" x14ac:dyDescent="0.3">
      <c r="A777" s="5">
        <v>45712</v>
      </c>
      <c r="B777" t="s">
        <v>9</v>
      </c>
      <c r="C777" t="s">
        <v>1045</v>
      </c>
      <c r="D777" s="6">
        <v>885.54</v>
      </c>
      <c r="E777" s="6">
        <v>0</v>
      </c>
      <c r="F777" s="6">
        <v>125880.77</v>
      </c>
      <c r="G777" t="s">
        <v>2660</v>
      </c>
    </row>
    <row r="778" spans="1:7" hidden="1" x14ac:dyDescent="0.3">
      <c r="A778" s="5">
        <v>45712</v>
      </c>
      <c r="B778" t="s">
        <v>9</v>
      </c>
      <c r="C778" t="s">
        <v>1046</v>
      </c>
      <c r="D778" s="6">
        <v>12915.07</v>
      </c>
      <c r="E778" s="6">
        <v>0</v>
      </c>
      <c r="F778" s="6">
        <v>112965.7</v>
      </c>
      <c r="G778" t="s">
        <v>2660</v>
      </c>
    </row>
    <row r="779" spans="1:7" hidden="1" x14ac:dyDescent="0.3">
      <c r="A779" s="5">
        <v>45713</v>
      </c>
      <c r="B779" t="s">
        <v>9</v>
      </c>
      <c r="C779" t="s">
        <v>1047</v>
      </c>
      <c r="D779" s="6">
        <v>293.82</v>
      </c>
      <c r="E779" s="6">
        <v>0</v>
      </c>
      <c r="F779" s="6">
        <v>112671.88</v>
      </c>
      <c r="G779" t="s">
        <v>2660</v>
      </c>
    </row>
    <row r="780" spans="1:7" hidden="1" x14ac:dyDescent="0.3">
      <c r="A780" s="5">
        <v>45714</v>
      </c>
      <c r="B780" t="s">
        <v>9</v>
      </c>
      <c r="C780" t="s">
        <v>1048</v>
      </c>
      <c r="D780" s="6">
        <v>9616.15</v>
      </c>
      <c r="E780" s="6">
        <v>0</v>
      </c>
      <c r="F780" s="6">
        <v>103055.73</v>
      </c>
      <c r="G780" t="s">
        <v>2660</v>
      </c>
    </row>
    <row r="781" spans="1:7" hidden="1" x14ac:dyDescent="0.3">
      <c r="A781" s="5">
        <v>45715</v>
      </c>
      <c r="B781" t="s">
        <v>9</v>
      </c>
      <c r="C781" t="s">
        <v>1049</v>
      </c>
      <c r="D781" s="6">
        <v>580.79999999999995</v>
      </c>
      <c r="E781" s="6">
        <v>0</v>
      </c>
      <c r="F781" s="6">
        <v>102474.93</v>
      </c>
      <c r="G781" t="s">
        <v>2660</v>
      </c>
    </row>
    <row r="782" spans="1:7" hidden="1" x14ac:dyDescent="0.3">
      <c r="A782" s="5">
        <v>45715</v>
      </c>
      <c r="B782" t="s">
        <v>9</v>
      </c>
      <c r="C782" t="s">
        <v>1050</v>
      </c>
      <c r="D782" s="6">
        <v>35481.760000000002</v>
      </c>
      <c r="E782" s="6">
        <v>0</v>
      </c>
      <c r="F782" s="6">
        <v>66993.17</v>
      </c>
      <c r="G782" t="s">
        <v>2660</v>
      </c>
    </row>
    <row r="783" spans="1:7" hidden="1" x14ac:dyDescent="0.3">
      <c r="A783" s="5">
        <v>45716</v>
      </c>
      <c r="B783" t="s">
        <v>1051</v>
      </c>
      <c r="C783" t="s">
        <v>1052</v>
      </c>
      <c r="D783" s="6">
        <v>20000</v>
      </c>
      <c r="E783" s="6">
        <v>0</v>
      </c>
      <c r="F783" s="6">
        <v>46993.17</v>
      </c>
      <c r="G783" t="s">
        <v>202</v>
      </c>
    </row>
    <row r="784" spans="1:7" hidden="1" x14ac:dyDescent="0.3">
      <c r="A784" s="5">
        <v>45716</v>
      </c>
      <c r="B784" t="s">
        <v>9</v>
      </c>
      <c r="C784" t="s">
        <v>1053</v>
      </c>
      <c r="D784" s="6">
        <v>281.64</v>
      </c>
      <c r="E784" s="6">
        <v>0</v>
      </c>
      <c r="F784" s="6">
        <v>46711.53</v>
      </c>
      <c r="G784" t="s">
        <v>2660</v>
      </c>
    </row>
    <row r="785" spans="1:7" hidden="1" x14ac:dyDescent="0.3">
      <c r="A785" s="5">
        <v>45716</v>
      </c>
      <c r="B785" t="s">
        <v>1054</v>
      </c>
      <c r="C785" t="s">
        <v>1055</v>
      </c>
      <c r="D785" s="6">
        <v>0</v>
      </c>
      <c r="E785" s="6">
        <v>360</v>
      </c>
      <c r="F785" s="6">
        <v>47071.53</v>
      </c>
      <c r="G785" t="s">
        <v>145</v>
      </c>
    </row>
    <row r="786" spans="1:7" hidden="1" x14ac:dyDescent="0.3">
      <c r="A786" s="5">
        <v>45716</v>
      </c>
      <c r="B786" t="s">
        <v>467</v>
      </c>
      <c r="C786" t="s">
        <v>1056</v>
      </c>
      <c r="D786" s="6">
        <v>0</v>
      </c>
      <c r="E786" s="6">
        <v>584.66</v>
      </c>
      <c r="F786" s="6">
        <v>47656.19</v>
      </c>
      <c r="G786" t="s">
        <v>83</v>
      </c>
    </row>
    <row r="787" spans="1:7" hidden="1" x14ac:dyDescent="0.3">
      <c r="A787" s="5">
        <v>45717</v>
      </c>
      <c r="B787" t="s">
        <v>9</v>
      </c>
      <c r="C787" t="s">
        <v>1057</v>
      </c>
      <c r="D787" s="6">
        <v>18598.099999999999</v>
      </c>
      <c r="E787" s="6">
        <v>0</v>
      </c>
      <c r="F787" s="6">
        <v>29058.09</v>
      </c>
      <c r="G787" t="s">
        <v>2660</v>
      </c>
    </row>
    <row r="788" spans="1:7" hidden="1" x14ac:dyDescent="0.3">
      <c r="A788" s="5">
        <v>45717</v>
      </c>
      <c r="B788" t="s">
        <v>1058</v>
      </c>
      <c r="C788" t="s">
        <v>1059</v>
      </c>
      <c r="D788" s="6">
        <v>5000</v>
      </c>
      <c r="E788" s="6">
        <v>0</v>
      </c>
      <c r="F788" s="6">
        <v>24058.09</v>
      </c>
      <c r="G788" t="s">
        <v>123</v>
      </c>
    </row>
    <row r="789" spans="1:7" hidden="1" x14ac:dyDescent="0.3">
      <c r="A789" s="5">
        <v>45717</v>
      </c>
      <c r="B789" t="s">
        <v>1060</v>
      </c>
      <c r="C789" t="s">
        <v>1061</v>
      </c>
      <c r="D789" s="6">
        <v>0</v>
      </c>
      <c r="E789" s="6">
        <v>1700</v>
      </c>
      <c r="F789" s="6">
        <v>25758.09</v>
      </c>
      <c r="G789" t="s">
        <v>123</v>
      </c>
    </row>
    <row r="790" spans="1:7" hidden="1" x14ac:dyDescent="0.3">
      <c r="A790" s="5">
        <v>45718</v>
      </c>
      <c r="B790" t="s">
        <v>1062</v>
      </c>
      <c r="C790" t="s">
        <v>1063</v>
      </c>
      <c r="D790" s="6">
        <v>0</v>
      </c>
      <c r="E790" s="6">
        <v>100000</v>
      </c>
      <c r="F790" s="6">
        <v>125758.09</v>
      </c>
      <c r="G790" t="s">
        <v>2659</v>
      </c>
    </row>
    <row r="791" spans="1:7" hidden="1" x14ac:dyDescent="0.3">
      <c r="A791" s="5">
        <v>45718</v>
      </c>
      <c r="B791" t="s">
        <v>423</v>
      </c>
      <c r="C791" t="s">
        <v>1064</v>
      </c>
      <c r="D791" s="6">
        <v>25000</v>
      </c>
      <c r="E791" s="6">
        <v>0</v>
      </c>
      <c r="F791" s="6">
        <v>100758.09</v>
      </c>
      <c r="G791" t="s">
        <v>172</v>
      </c>
    </row>
    <row r="792" spans="1:7" hidden="1" x14ac:dyDescent="0.3">
      <c r="A792" s="5">
        <v>45718</v>
      </c>
      <c r="B792" t="s">
        <v>1065</v>
      </c>
      <c r="C792" t="s">
        <v>1066</v>
      </c>
      <c r="D792" s="6">
        <v>25000</v>
      </c>
      <c r="E792" s="6">
        <v>0</v>
      </c>
      <c r="F792" s="6">
        <v>75758.09</v>
      </c>
      <c r="G792" t="s">
        <v>861</v>
      </c>
    </row>
    <row r="793" spans="1:7" hidden="1" x14ac:dyDescent="0.3">
      <c r="A793" s="5">
        <v>45718</v>
      </c>
      <c r="B793" t="s">
        <v>1067</v>
      </c>
      <c r="C793" t="s">
        <v>1068</v>
      </c>
      <c r="D793" s="6">
        <v>25000</v>
      </c>
      <c r="E793" s="6">
        <v>0</v>
      </c>
      <c r="F793" s="6">
        <v>50758.09</v>
      </c>
      <c r="G793" t="s">
        <v>202</v>
      </c>
    </row>
    <row r="794" spans="1:7" hidden="1" x14ac:dyDescent="0.3">
      <c r="A794" s="5">
        <v>45719</v>
      </c>
      <c r="B794" t="s">
        <v>1069</v>
      </c>
      <c r="C794" t="s">
        <v>1070</v>
      </c>
      <c r="D794" s="6">
        <v>0</v>
      </c>
      <c r="E794" s="6">
        <v>600</v>
      </c>
      <c r="F794" s="6">
        <v>51358.09</v>
      </c>
      <c r="G794" t="s">
        <v>145</v>
      </c>
    </row>
    <row r="795" spans="1:7" hidden="1" x14ac:dyDescent="0.3">
      <c r="A795" s="5">
        <v>45719</v>
      </c>
      <c r="B795" t="s">
        <v>9</v>
      </c>
      <c r="C795" t="s">
        <v>1071</v>
      </c>
      <c r="D795" s="6">
        <v>825.06</v>
      </c>
      <c r="E795" s="6">
        <v>0</v>
      </c>
      <c r="F795" s="6">
        <v>50533.03</v>
      </c>
      <c r="G795" t="s">
        <v>2660</v>
      </c>
    </row>
    <row r="796" spans="1:7" hidden="1" x14ac:dyDescent="0.3">
      <c r="A796" s="5">
        <v>45720</v>
      </c>
      <c r="B796" t="s">
        <v>1072</v>
      </c>
      <c r="C796" t="s">
        <v>1073</v>
      </c>
      <c r="D796" s="6">
        <v>0</v>
      </c>
      <c r="E796" s="6">
        <v>321.93</v>
      </c>
      <c r="F796" s="6">
        <v>50854.96</v>
      </c>
      <c r="G796" t="s">
        <v>2660</v>
      </c>
    </row>
    <row r="797" spans="1:7" hidden="1" x14ac:dyDescent="0.3">
      <c r="A797" s="5">
        <v>45720</v>
      </c>
      <c r="B797" t="s">
        <v>9</v>
      </c>
      <c r="C797" t="s">
        <v>1074</v>
      </c>
      <c r="D797" s="6">
        <v>275.02</v>
      </c>
      <c r="E797" s="6">
        <v>0</v>
      </c>
      <c r="F797" s="6">
        <v>50579.94</v>
      </c>
      <c r="G797" t="s">
        <v>2660</v>
      </c>
    </row>
    <row r="798" spans="1:7" hidden="1" x14ac:dyDescent="0.3">
      <c r="A798" s="5">
        <v>45720</v>
      </c>
      <c r="B798" t="s">
        <v>9</v>
      </c>
      <c r="C798" t="s">
        <v>1075</v>
      </c>
      <c r="D798" s="6">
        <v>1613.64</v>
      </c>
      <c r="E798" s="6">
        <v>0</v>
      </c>
      <c r="F798" s="6">
        <v>48966.3</v>
      </c>
      <c r="G798" t="s">
        <v>2660</v>
      </c>
    </row>
    <row r="799" spans="1:7" hidden="1" x14ac:dyDescent="0.3">
      <c r="A799" s="5">
        <v>45721</v>
      </c>
      <c r="B799" t="s">
        <v>9</v>
      </c>
      <c r="C799" t="s">
        <v>1076</v>
      </c>
      <c r="D799" s="6">
        <v>274.56</v>
      </c>
      <c r="E799" s="6">
        <v>0</v>
      </c>
      <c r="F799" s="6">
        <v>48691.74</v>
      </c>
      <c r="G799" t="s">
        <v>2660</v>
      </c>
    </row>
    <row r="800" spans="1:7" hidden="1" x14ac:dyDescent="0.3">
      <c r="A800" s="5">
        <v>45721</v>
      </c>
      <c r="B800" t="s">
        <v>1077</v>
      </c>
      <c r="C800" t="s">
        <v>1078</v>
      </c>
      <c r="D800" s="6">
        <v>0</v>
      </c>
      <c r="E800" s="6">
        <v>150000</v>
      </c>
      <c r="F800" s="6">
        <v>198691.74</v>
      </c>
      <c r="G800" t="s">
        <v>2659</v>
      </c>
    </row>
    <row r="801" spans="1:7" hidden="1" x14ac:dyDescent="0.3">
      <c r="A801" s="5">
        <v>45721</v>
      </c>
      <c r="B801" t="s">
        <v>1079</v>
      </c>
      <c r="C801" t="s">
        <v>1080</v>
      </c>
      <c r="D801" s="6">
        <v>150000</v>
      </c>
      <c r="E801" s="6">
        <v>0</v>
      </c>
      <c r="F801" s="6">
        <v>48691.74</v>
      </c>
      <c r="G801" t="s">
        <v>861</v>
      </c>
    </row>
    <row r="802" spans="1:7" hidden="1" x14ac:dyDescent="0.3">
      <c r="A802" s="5">
        <v>45722</v>
      </c>
      <c r="B802" t="s">
        <v>1081</v>
      </c>
      <c r="C802" t="s">
        <v>1082</v>
      </c>
      <c r="D802" s="6">
        <v>0</v>
      </c>
      <c r="E802" s="6">
        <v>16280.13</v>
      </c>
      <c r="F802" s="6">
        <v>64971.87</v>
      </c>
      <c r="G802" t="s">
        <v>2660</v>
      </c>
    </row>
    <row r="803" spans="1:7" hidden="1" x14ac:dyDescent="0.3">
      <c r="A803" s="5">
        <v>45722</v>
      </c>
      <c r="B803" t="s">
        <v>1083</v>
      </c>
      <c r="C803" t="s">
        <v>1084</v>
      </c>
      <c r="D803" s="6">
        <v>0</v>
      </c>
      <c r="E803" s="6">
        <v>575</v>
      </c>
      <c r="F803" s="6">
        <v>65546.87</v>
      </c>
      <c r="G803" t="s">
        <v>145</v>
      </c>
    </row>
    <row r="804" spans="1:7" hidden="1" x14ac:dyDescent="0.3">
      <c r="A804" s="5">
        <v>45722</v>
      </c>
      <c r="B804" t="s">
        <v>9</v>
      </c>
      <c r="C804" t="s">
        <v>1085</v>
      </c>
      <c r="D804" s="6">
        <v>274.56</v>
      </c>
      <c r="E804" s="6">
        <v>0</v>
      </c>
      <c r="F804" s="6">
        <v>65272.31</v>
      </c>
      <c r="G804" t="s">
        <v>2660</v>
      </c>
    </row>
    <row r="805" spans="1:7" x14ac:dyDescent="0.3">
      <c r="A805" s="5">
        <v>45722</v>
      </c>
      <c r="B805" t="s">
        <v>1086</v>
      </c>
      <c r="C805" t="s">
        <v>1087</v>
      </c>
      <c r="D805" s="6">
        <v>10000</v>
      </c>
      <c r="E805" s="6">
        <v>0</v>
      </c>
      <c r="F805" s="6">
        <v>55272.31</v>
      </c>
      <c r="G805" t="s">
        <v>93</v>
      </c>
    </row>
    <row r="806" spans="1:7" hidden="1" x14ac:dyDescent="0.3">
      <c r="A806" s="5">
        <v>45722</v>
      </c>
      <c r="B806" t="s">
        <v>1088</v>
      </c>
      <c r="C806" t="s">
        <v>1089</v>
      </c>
      <c r="D806" s="6">
        <v>0</v>
      </c>
      <c r="E806" s="6">
        <v>200</v>
      </c>
      <c r="F806" s="6">
        <v>55472.31</v>
      </c>
      <c r="G806" t="s">
        <v>145</v>
      </c>
    </row>
    <row r="807" spans="1:7" hidden="1" x14ac:dyDescent="0.3">
      <c r="A807" s="5">
        <v>45722</v>
      </c>
      <c r="B807" t="s">
        <v>9</v>
      </c>
      <c r="C807" t="s">
        <v>1090</v>
      </c>
      <c r="D807" s="6">
        <v>8445.89</v>
      </c>
      <c r="E807" s="6">
        <v>0</v>
      </c>
      <c r="F807" s="6">
        <v>47026.42</v>
      </c>
      <c r="G807" t="s">
        <v>2660</v>
      </c>
    </row>
    <row r="808" spans="1:7" hidden="1" x14ac:dyDescent="0.3">
      <c r="A808" s="5">
        <v>45723</v>
      </c>
      <c r="B808" t="s">
        <v>1091</v>
      </c>
      <c r="C808" t="s">
        <v>1092</v>
      </c>
      <c r="D808" s="6">
        <v>0</v>
      </c>
      <c r="E808" s="6">
        <v>24172.52</v>
      </c>
      <c r="F808" s="6">
        <v>71198.94</v>
      </c>
      <c r="G808" t="s">
        <v>2660</v>
      </c>
    </row>
    <row r="809" spans="1:7" hidden="1" x14ac:dyDescent="0.3">
      <c r="A809" s="5">
        <v>45723</v>
      </c>
      <c r="B809" t="s">
        <v>9</v>
      </c>
      <c r="C809" t="s">
        <v>1093</v>
      </c>
      <c r="D809" s="6">
        <v>277.35000000000002</v>
      </c>
      <c r="E809" s="6">
        <v>0</v>
      </c>
      <c r="F809" s="6">
        <v>70921.59</v>
      </c>
      <c r="G809" t="s">
        <v>2660</v>
      </c>
    </row>
    <row r="810" spans="1:7" hidden="1" x14ac:dyDescent="0.3">
      <c r="A810" s="5">
        <v>45723</v>
      </c>
      <c r="B810" t="s">
        <v>1094</v>
      </c>
      <c r="C810" t="s">
        <v>1095</v>
      </c>
      <c r="D810" s="6">
        <v>0</v>
      </c>
      <c r="E810" s="6">
        <v>17.5</v>
      </c>
      <c r="F810" s="6">
        <v>70939.09</v>
      </c>
      <c r="G810" t="s">
        <v>145</v>
      </c>
    </row>
    <row r="811" spans="1:7" hidden="1" x14ac:dyDescent="0.3">
      <c r="A811" s="5">
        <v>45723</v>
      </c>
      <c r="B811" t="s">
        <v>504</v>
      </c>
      <c r="C811" t="s">
        <v>1096</v>
      </c>
      <c r="D811" s="6">
        <v>0</v>
      </c>
      <c r="E811" s="6">
        <v>591.5</v>
      </c>
      <c r="F811" s="6">
        <v>71530.59</v>
      </c>
      <c r="G811" t="s">
        <v>83</v>
      </c>
    </row>
    <row r="812" spans="1:7" hidden="1" x14ac:dyDescent="0.3">
      <c r="A812" s="5">
        <v>45723</v>
      </c>
      <c r="B812" t="s">
        <v>9</v>
      </c>
      <c r="C812" t="s">
        <v>1097</v>
      </c>
      <c r="D812" s="6">
        <v>10601.98</v>
      </c>
      <c r="E812" s="6">
        <v>0</v>
      </c>
      <c r="F812" s="6">
        <v>60928.61</v>
      </c>
      <c r="G812" t="s">
        <v>2660</v>
      </c>
    </row>
    <row r="813" spans="1:7" hidden="1" x14ac:dyDescent="0.3">
      <c r="A813" s="5">
        <v>45724</v>
      </c>
      <c r="B813" t="s">
        <v>1098</v>
      </c>
      <c r="C813" t="s">
        <v>1099</v>
      </c>
      <c r="D813" s="6">
        <v>0</v>
      </c>
      <c r="E813" s="6">
        <v>45000</v>
      </c>
      <c r="F813" s="6">
        <v>105928.61</v>
      </c>
      <c r="G813" t="s">
        <v>414</v>
      </c>
    </row>
    <row r="814" spans="1:7" hidden="1" x14ac:dyDescent="0.3">
      <c r="A814" s="5">
        <v>45726</v>
      </c>
      <c r="B814" t="s">
        <v>1100</v>
      </c>
      <c r="C814" t="s">
        <v>1101</v>
      </c>
      <c r="D814" s="6">
        <v>10000</v>
      </c>
      <c r="E814" s="6">
        <v>0</v>
      </c>
      <c r="F814" s="6">
        <v>95928.61</v>
      </c>
      <c r="G814" t="s">
        <v>33</v>
      </c>
    </row>
    <row r="815" spans="1:7" hidden="1" x14ac:dyDescent="0.3">
      <c r="A815" s="5">
        <v>45726</v>
      </c>
      <c r="B815" t="s">
        <v>1102</v>
      </c>
      <c r="C815" t="s">
        <v>1103</v>
      </c>
      <c r="D815" s="6">
        <v>50000</v>
      </c>
      <c r="E815" s="6">
        <v>0</v>
      </c>
      <c r="F815" s="6">
        <v>45928.61</v>
      </c>
      <c r="G815" t="s">
        <v>2659</v>
      </c>
    </row>
    <row r="816" spans="1:7" hidden="1" x14ac:dyDescent="0.3">
      <c r="A816" s="5">
        <v>45726</v>
      </c>
      <c r="B816" t="s">
        <v>9</v>
      </c>
      <c r="C816" t="s">
        <v>1104</v>
      </c>
      <c r="D816" s="6">
        <v>855.57</v>
      </c>
      <c r="E816" s="6">
        <v>0</v>
      </c>
      <c r="F816" s="6">
        <v>45073.04</v>
      </c>
      <c r="G816" t="s">
        <v>2660</v>
      </c>
    </row>
    <row r="817" spans="1:7" hidden="1" x14ac:dyDescent="0.3">
      <c r="A817" s="5">
        <v>45726</v>
      </c>
      <c r="B817" t="s">
        <v>502</v>
      </c>
      <c r="C817" t="s">
        <v>1105</v>
      </c>
      <c r="D817" s="6">
        <v>0</v>
      </c>
      <c r="E817" s="6">
        <v>127.93</v>
      </c>
      <c r="F817" s="6">
        <v>45200.97</v>
      </c>
      <c r="G817" t="s">
        <v>83</v>
      </c>
    </row>
    <row r="818" spans="1:7" hidden="1" x14ac:dyDescent="0.3">
      <c r="A818" s="5">
        <v>45726</v>
      </c>
      <c r="B818" t="s">
        <v>500</v>
      </c>
      <c r="C818" t="s">
        <v>1106</v>
      </c>
      <c r="D818" s="6">
        <v>0</v>
      </c>
      <c r="E818" s="6">
        <v>291.38</v>
      </c>
      <c r="F818" s="6">
        <v>45492.35</v>
      </c>
      <c r="G818" t="s">
        <v>83</v>
      </c>
    </row>
    <row r="819" spans="1:7" hidden="1" x14ac:dyDescent="0.3">
      <c r="A819" s="5">
        <v>45726</v>
      </c>
      <c r="B819" t="s">
        <v>9</v>
      </c>
      <c r="C819" t="s">
        <v>1107</v>
      </c>
      <c r="D819" s="6">
        <v>12828.48</v>
      </c>
      <c r="E819" s="6">
        <v>0</v>
      </c>
      <c r="F819" s="6">
        <v>32663.87</v>
      </c>
      <c r="G819" t="s">
        <v>2660</v>
      </c>
    </row>
    <row r="820" spans="1:7" hidden="1" x14ac:dyDescent="0.3">
      <c r="A820" s="5">
        <v>45727</v>
      </c>
      <c r="B820" t="s">
        <v>9</v>
      </c>
      <c r="C820" t="s">
        <v>1108</v>
      </c>
      <c r="D820" s="6">
        <v>293.68</v>
      </c>
      <c r="E820" s="6">
        <v>0</v>
      </c>
      <c r="F820" s="6">
        <v>32370.19</v>
      </c>
      <c r="G820" t="s">
        <v>2660</v>
      </c>
    </row>
    <row r="821" spans="1:7" hidden="1" x14ac:dyDescent="0.3">
      <c r="A821" s="5">
        <v>45727</v>
      </c>
      <c r="B821" t="s">
        <v>1109</v>
      </c>
      <c r="C821" t="s">
        <v>1110</v>
      </c>
      <c r="D821" s="6">
        <v>0</v>
      </c>
      <c r="E821" s="6">
        <v>206.5</v>
      </c>
      <c r="F821" s="6">
        <v>32576.69</v>
      </c>
      <c r="G821" t="s">
        <v>145</v>
      </c>
    </row>
    <row r="822" spans="1:7" hidden="1" x14ac:dyDescent="0.3">
      <c r="A822" s="5">
        <v>45727</v>
      </c>
      <c r="B822" t="s">
        <v>9</v>
      </c>
      <c r="C822" t="s">
        <v>1111</v>
      </c>
      <c r="D822" s="6">
        <v>5570.88</v>
      </c>
      <c r="E822" s="6">
        <v>0</v>
      </c>
      <c r="F822" s="6">
        <v>27005.81</v>
      </c>
      <c r="G822" t="s">
        <v>2660</v>
      </c>
    </row>
    <row r="823" spans="1:7" hidden="1" x14ac:dyDescent="0.3">
      <c r="A823" s="5">
        <v>45728</v>
      </c>
      <c r="B823" t="s">
        <v>9</v>
      </c>
      <c r="C823" t="s">
        <v>1112</v>
      </c>
      <c r="D823" s="6">
        <v>291.7</v>
      </c>
      <c r="E823" s="6">
        <v>0</v>
      </c>
      <c r="F823" s="6">
        <v>26714.11</v>
      </c>
      <c r="G823" t="s">
        <v>2660</v>
      </c>
    </row>
    <row r="824" spans="1:7" hidden="1" x14ac:dyDescent="0.3">
      <c r="A824" s="5">
        <v>45728</v>
      </c>
      <c r="B824" t="s">
        <v>9</v>
      </c>
      <c r="C824" t="s">
        <v>1113</v>
      </c>
      <c r="D824" s="6">
        <v>5749.35</v>
      </c>
      <c r="E824" s="6">
        <v>0</v>
      </c>
      <c r="F824" s="6">
        <v>20964.759999999998</v>
      </c>
      <c r="G824" t="s">
        <v>2660</v>
      </c>
    </row>
    <row r="825" spans="1:7" hidden="1" x14ac:dyDescent="0.3">
      <c r="A825" s="5">
        <v>45729</v>
      </c>
      <c r="B825" t="s">
        <v>9</v>
      </c>
      <c r="C825" t="s">
        <v>1114</v>
      </c>
      <c r="D825" s="6">
        <v>289.64999999999998</v>
      </c>
      <c r="E825" s="6">
        <v>0</v>
      </c>
      <c r="F825" s="6">
        <v>20675.11</v>
      </c>
      <c r="G825" t="s">
        <v>2660</v>
      </c>
    </row>
    <row r="826" spans="1:7" hidden="1" x14ac:dyDescent="0.3">
      <c r="A826" s="5">
        <v>45729</v>
      </c>
      <c r="B826" t="s">
        <v>9</v>
      </c>
      <c r="C826" t="s">
        <v>1115</v>
      </c>
      <c r="D826" s="6">
        <v>20321.11</v>
      </c>
      <c r="E826" s="6">
        <v>0</v>
      </c>
      <c r="F826" s="6">
        <v>354</v>
      </c>
      <c r="G826" t="s">
        <v>2660</v>
      </c>
    </row>
    <row r="827" spans="1:7" hidden="1" x14ac:dyDescent="0.3">
      <c r="A827" s="5">
        <v>45731</v>
      </c>
      <c r="B827" t="s">
        <v>1116</v>
      </c>
      <c r="C827" t="s">
        <v>1117</v>
      </c>
      <c r="D827" s="6">
        <v>0</v>
      </c>
      <c r="E827" s="6">
        <v>50000</v>
      </c>
      <c r="F827" s="6">
        <v>50354</v>
      </c>
      <c r="G827" t="s">
        <v>2659</v>
      </c>
    </row>
    <row r="828" spans="1:7" hidden="1" x14ac:dyDescent="0.3">
      <c r="A828" s="5">
        <v>45731</v>
      </c>
      <c r="B828" t="s">
        <v>1118</v>
      </c>
      <c r="C828" t="s">
        <v>24</v>
      </c>
      <c r="D828" s="6">
        <v>767</v>
      </c>
      <c r="E828" s="6">
        <v>0</v>
      </c>
      <c r="F828" s="6">
        <v>49587</v>
      </c>
      <c r="G828" t="s">
        <v>25</v>
      </c>
    </row>
    <row r="829" spans="1:7" hidden="1" x14ac:dyDescent="0.3">
      <c r="A829" s="5">
        <v>45733</v>
      </c>
      <c r="B829" t="s">
        <v>1119</v>
      </c>
      <c r="C829" t="s">
        <v>1120</v>
      </c>
      <c r="D829" s="6">
        <v>0</v>
      </c>
      <c r="E829" s="6">
        <v>49073.86</v>
      </c>
      <c r="F829" s="6">
        <v>98660.86</v>
      </c>
      <c r="G829" t="s">
        <v>2660</v>
      </c>
    </row>
    <row r="830" spans="1:7" hidden="1" x14ac:dyDescent="0.3">
      <c r="A830" s="5">
        <v>45733</v>
      </c>
      <c r="B830" t="s">
        <v>1121</v>
      </c>
      <c r="C830" t="s">
        <v>1122</v>
      </c>
      <c r="D830" s="6">
        <v>10000</v>
      </c>
      <c r="E830" s="6">
        <v>0</v>
      </c>
      <c r="F830" s="6">
        <v>88660.86</v>
      </c>
      <c r="G830" t="s">
        <v>33</v>
      </c>
    </row>
    <row r="831" spans="1:7" hidden="1" x14ac:dyDescent="0.3">
      <c r="A831" s="5">
        <v>45733</v>
      </c>
      <c r="B831" t="s">
        <v>9</v>
      </c>
      <c r="C831" t="s">
        <v>1123</v>
      </c>
      <c r="D831" s="6">
        <v>1129.6400000000001</v>
      </c>
      <c r="E831" s="6">
        <v>0</v>
      </c>
      <c r="F831" s="6">
        <v>87531.22</v>
      </c>
      <c r="G831" t="s">
        <v>2660</v>
      </c>
    </row>
    <row r="832" spans="1:7" hidden="1" x14ac:dyDescent="0.3">
      <c r="A832" s="5">
        <v>45733</v>
      </c>
      <c r="B832" t="s">
        <v>9</v>
      </c>
      <c r="C832" t="s">
        <v>1124</v>
      </c>
      <c r="D832" s="6">
        <v>44172.98</v>
      </c>
      <c r="E832" s="6">
        <v>0</v>
      </c>
      <c r="F832" s="6">
        <v>43358.239999999998</v>
      </c>
      <c r="G832" t="s">
        <v>2660</v>
      </c>
    </row>
    <row r="833" spans="1:7" hidden="1" x14ac:dyDescent="0.3">
      <c r="A833" s="5">
        <v>45734</v>
      </c>
      <c r="B833" t="s">
        <v>1125</v>
      </c>
      <c r="C833" t="s">
        <v>1126</v>
      </c>
      <c r="D833" s="6">
        <v>0</v>
      </c>
      <c r="E833" s="6">
        <v>69763.539999999994</v>
      </c>
      <c r="F833" s="6">
        <v>113121.78</v>
      </c>
      <c r="G833" t="s">
        <v>2660</v>
      </c>
    </row>
    <row r="834" spans="1:7" hidden="1" x14ac:dyDescent="0.3">
      <c r="A834" s="5">
        <v>45734</v>
      </c>
      <c r="B834" t="s">
        <v>9</v>
      </c>
      <c r="C834" t="s">
        <v>1127</v>
      </c>
      <c r="D834" s="6">
        <v>263.38</v>
      </c>
      <c r="E834" s="6">
        <v>0</v>
      </c>
      <c r="F834" s="6">
        <v>112858.4</v>
      </c>
      <c r="G834" t="s">
        <v>2660</v>
      </c>
    </row>
    <row r="835" spans="1:7" hidden="1" x14ac:dyDescent="0.3">
      <c r="A835" s="5">
        <v>45734</v>
      </c>
      <c r="B835" t="s">
        <v>9</v>
      </c>
      <c r="C835" t="s">
        <v>1128</v>
      </c>
      <c r="D835" s="6">
        <v>101966.79</v>
      </c>
      <c r="E835" s="6">
        <v>0</v>
      </c>
      <c r="F835" s="6">
        <v>10891.61</v>
      </c>
      <c r="G835" t="s">
        <v>2660</v>
      </c>
    </row>
    <row r="836" spans="1:7" hidden="1" x14ac:dyDescent="0.3">
      <c r="A836" s="5">
        <v>45735</v>
      </c>
      <c r="B836" t="s">
        <v>1129</v>
      </c>
      <c r="C836" t="s">
        <v>1130</v>
      </c>
      <c r="D836" s="6">
        <v>0</v>
      </c>
      <c r="E836" s="6">
        <v>3306.85</v>
      </c>
      <c r="F836" s="6">
        <v>14198.46</v>
      </c>
      <c r="G836" t="s">
        <v>2660</v>
      </c>
    </row>
    <row r="837" spans="1:7" hidden="1" x14ac:dyDescent="0.3">
      <c r="A837" s="5">
        <v>45735</v>
      </c>
      <c r="B837" t="s">
        <v>9</v>
      </c>
      <c r="C837" t="s">
        <v>1131</v>
      </c>
      <c r="D837" s="6">
        <v>268.74</v>
      </c>
      <c r="E837" s="6">
        <v>0</v>
      </c>
      <c r="F837" s="6">
        <v>13929.72</v>
      </c>
      <c r="G837" t="s">
        <v>2660</v>
      </c>
    </row>
    <row r="838" spans="1:7" hidden="1" x14ac:dyDescent="0.3">
      <c r="A838" s="5">
        <v>45736</v>
      </c>
      <c r="B838" t="s">
        <v>1132</v>
      </c>
      <c r="C838" t="s">
        <v>1133</v>
      </c>
      <c r="D838" s="6">
        <v>0</v>
      </c>
      <c r="E838" s="6">
        <v>26459.17</v>
      </c>
      <c r="F838" s="6">
        <v>40388.89</v>
      </c>
      <c r="G838" t="s">
        <v>2660</v>
      </c>
    </row>
    <row r="839" spans="1:7" hidden="1" x14ac:dyDescent="0.3">
      <c r="A839" s="5">
        <v>45736</v>
      </c>
      <c r="B839" t="s">
        <v>1134</v>
      </c>
      <c r="C839" t="s">
        <v>1135</v>
      </c>
      <c r="D839" s="6">
        <v>0</v>
      </c>
      <c r="E839" s="6">
        <v>71880.27</v>
      </c>
      <c r="F839" s="6">
        <v>112269.16</v>
      </c>
      <c r="G839" t="s">
        <v>2660</v>
      </c>
    </row>
    <row r="840" spans="1:7" hidden="1" x14ac:dyDescent="0.3">
      <c r="A840" s="5">
        <v>45736</v>
      </c>
      <c r="B840" t="s">
        <v>1136</v>
      </c>
      <c r="C840" t="s">
        <v>1137</v>
      </c>
      <c r="D840" s="6">
        <v>10000</v>
      </c>
      <c r="E840" s="6">
        <v>0</v>
      </c>
      <c r="F840" s="6">
        <v>102269.16</v>
      </c>
      <c r="G840" t="s">
        <v>33</v>
      </c>
    </row>
    <row r="841" spans="1:7" hidden="1" x14ac:dyDescent="0.3">
      <c r="A841" s="5">
        <v>45736</v>
      </c>
      <c r="B841" t="s">
        <v>423</v>
      </c>
      <c r="C841" t="s">
        <v>1138</v>
      </c>
      <c r="D841" s="6">
        <v>75000</v>
      </c>
      <c r="E841" s="6">
        <v>0</v>
      </c>
      <c r="F841" s="6">
        <v>27269.16</v>
      </c>
      <c r="G841" t="s">
        <v>172</v>
      </c>
    </row>
    <row r="842" spans="1:7" hidden="1" x14ac:dyDescent="0.3">
      <c r="A842" s="5">
        <v>45736</v>
      </c>
      <c r="B842" t="s">
        <v>9</v>
      </c>
      <c r="C842" t="s">
        <v>1139</v>
      </c>
      <c r="D842" s="6">
        <v>354.86</v>
      </c>
      <c r="E842" s="6">
        <v>0</v>
      </c>
      <c r="F842" s="6">
        <v>26914.3</v>
      </c>
      <c r="G842" t="s">
        <v>2660</v>
      </c>
    </row>
    <row r="843" spans="1:7" hidden="1" x14ac:dyDescent="0.3">
      <c r="A843" s="5">
        <v>45736</v>
      </c>
      <c r="B843" t="s">
        <v>551</v>
      </c>
      <c r="C843" t="s">
        <v>1140</v>
      </c>
      <c r="D843" s="6">
        <v>0</v>
      </c>
      <c r="E843" s="6">
        <v>2221.13</v>
      </c>
      <c r="F843" s="6">
        <v>29135.43</v>
      </c>
      <c r="G843" t="s">
        <v>83</v>
      </c>
    </row>
    <row r="844" spans="1:7" hidden="1" x14ac:dyDescent="0.3">
      <c r="A844" s="5">
        <v>45737</v>
      </c>
      <c r="B844" t="s">
        <v>9</v>
      </c>
      <c r="C844" t="s">
        <v>1141</v>
      </c>
      <c r="D844" s="6">
        <v>28781.43</v>
      </c>
      <c r="E844" s="6">
        <v>0</v>
      </c>
      <c r="F844" s="6">
        <v>354</v>
      </c>
      <c r="G844" t="s">
        <v>2660</v>
      </c>
    </row>
    <row r="845" spans="1:7" hidden="1" x14ac:dyDescent="0.3">
      <c r="A845" s="5">
        <v>45737</v>
      </c>
      <c r="B845" t="s">
        <v>1142</v>
      </c>
      <c r="C845" t="s">
        <v>1143</v>
      </c>
      <c r="D845" s="6">
        <v>0</v>
      </c>
      <c r="E845" s="6">
        <v>20000</v>
      </c>
      <c r="F845" s="6">
        <v>20354</v>
      </c>
      <c r="G845" t="s">
        <v>414</v>
      </c>
    </row>
    <row r="846" spans="1:7" hidden="1" x14ac:dyDescent="0.3">
      <c r="A846" s="5">
        <v>45737</v>
      </c>
      <c r="B846" t="s">
        <v>9</v>
      </c>
      <c r="C846" t="s">
        <v>1144</v>
      </c>
      <c r="D846" s="6">
        <v>20000</v>
      </c>
      <c r="E846" s="6">
        <v>0</v>
      </c>
      <c r="F846" s="6">
        <v>354</v>
      </c>
      <c r="G846" t="s">
        <v>2660</v>
      </c>
    </row>
    <row r="847" spans="1:7" hidden="1" x14ac:dyDescent="0.3">
      <c r="A847" s="5">
        <v>45737</v>
      </c>
      <c r="B847" t="s">
        <v>12</v>
      </c>
      <c r="C847" t="s">
        <v>1145</v>
      </c>
      <c r="D847" s="6">
        <v>0</v>
      </c>
      <c r="E847" s="6">
        <v>10537.39</v>
      </c>
      <c r="F847" s="6">
        <v>10891.39</v>
      </c>
      <c r="G847" t="s">
        <v>2660</v>
      </c>
    </row>
    <row r="848" spans="1:7" hidden="1" x14ac:dyDescent="0.3">
      <c r="A848" s="5">
        <v>45740</v>
      </c>
      <c r="B848" t="s">
        <v>1146</v>
      </c>
      <c r="C848" t="s">
        <v>1147</v>
      </c>
      <c r="D848" s="6">
        <v>0</v>
      </c>
      <c r="E848" s="6">
        <v>48764.92</v>
      </c>
      <c r="F848" s="6">
        <v>59656.31</v>
      </c>
      <c r="G848" t="s">
        <v>2660</v>
      </c>
    </row>
    <row r="849" spans="1:7" hidden="1" x14ac:dyDescent="0.3">
      <c r="A849" s="5">
        <v>45740</v>
      </c>
      <c r="B849" t="s">
        <v>9</v>
      </c>
      <c r="C849" t="s">
        <v>1148</v>
      </c>
      <c r="D849" s="6">
        <v>1106.55</v>
      </c>
      <c r="E849" s="6">
        <v>0</v>
      </c>
      <c r="F849" s="6">
        <v>58549.760000000002</v>
      </c>
      <c r="G849" t="s">
        <v>2660</v>
      </c>
    </row>
    <row r="850" spans="1:7" hidden="1" x14ac:dyDescent="0.3">
      <c r="A850" s="5">
        <v>45741</v>
      </c>
      <c r="B850" t="s">
        <v>1149</v>
      </c>
      <c r="C850" t="s">
        <v>1150</v>
      </c>
      <c r="D850" s="6">
        <v>0</v>
      </c>
      <c r="E850" s="6">
        <v>9643.35</v>
      </c>
      <c r="F850" s="6">
        <v>68193.11</v>
      </c>
      <c r="G850" t="s">
        <v>2660</v>
      </c>
    </row>
    <row r="851" spans="1:7" hidden="1" x14ac:dyDescent="0.3">
      <c r="A851" s="5">
        <v>45741</v>
      </c>
      <c r="B851" t="s">
        <v>1151</v>
      </c>
      <c r="C851" t="s">
        <v>1152</v>
      </c>
      <c r="D851" s="6">
        <v>0</v>
      </c>
      <c r="E851" s="6">
        <v>17329.54</v>
      </c>
      <c r="F851" s="6">
        <v>85522.65</v>
      </c>
      <c r="G851" t="s">
        <v>2660</v>
      </c>
    </row>
    <row r="852" spans="1:7" hidden="1" x14ac:dyDescent="0.3">
      <c r="A852" s="5">
        <v>45741</v>
      </c>
      <c r="B852" t="s">
        <v>9</v>
      </c>
      <c r="C852" t="s">
        <v>1153</v>
      </c>
      <c r="D852" s="6">
        <v>385.06</v>
      </c>
      <c r="E852" s="6">
        <v>0</v>
      </c>
      <c r="F852" s="6">
        <v>85137.59</v>
      </c>
      <c r="G852" t="s">
        <v>2660</v>
      </c>
    </row>
    <row r="853" spans="1:7" hidden="1" x14ac:dyDescent="0.3">
      <c r="A853" s="5">
        <v>45741</v>
      </c>
      <c r="B853" t="s">
        <v>9</v>
      </c>
      <c r="C853" t="s">
        <v>1154</v>
      </c>
      <c r="D853" s="6">
        <v>21360.78</v>
      </c>
      <c r="E853" s="6">
        <v>0</v>
      </c>
      <c r="F853" s="6">
        <v>63776.81</v>
      </c>
      <c r="G853" t="s">
        <v>2660</v>
      </c>
    </row>
    <row r="854" spans="1:7" hidden="1" x14ac:dyDescent="0.3">
      <c r="A854" s="5">
        <v>45742</v>
      </c>
      <c r="B854" t="s">
        <v>1155</v>
      </c>
      <c r="C854" t="s">
        <v>1156</v>
      </c>
      <c r="D854" s="6">
        <v>0</v>
      </c>
      <c r="E854" s="6">
        <v>895.37</v>
      </c>
      <c r="F854" s="6">
        <v>64672.18</v>
      </c>
      <c r="G854" t="s">
        <v>2660</v>
      </c>
    </row>
    <row r="855" spans="1:7" hidden="1" x14ac:dyDescent="0.3">
      <c r="A855" s="5">
        <v>45742</v>
      </c>
      <c r="B855" t="s">
        <v>9</v>
      </c>
      <c r="C855" t="s">
        <v>1157</v>
      </c>
      <c r="D855" s="6">
        <v>385.35</v>
      </c>
      <c r="E855" s="6">
        <v>0</v>
      </c>
      <c r="F855" s="6">
        <v>64286.83</v>
      </c>
      <c r="G855" t="s">
        <v>2660</v>
      </c>
    </row>
    <row r="856" spans="1:7" hidden="1" x14ac:dyDescent="0.3">
      <c r="A856" s="5">
        <v>45742</v>
      </c>
      <c r="B856" t="s">
        <v>9</v>
      </c>
      <c r="C856" t="s">
        <v>1158</v>
      </c>
      <c r="D856" s="6">
        <v>33262.089999999997</v>
      </c>
      <c r="E856" s="6">
        <v>0</v>
      </c>
      <c r="F856" s="6">
        <v>31024.74</v>
      </c>
      <c r="G856" t="s">
        <v>2660</v>
      </c>
    </row>
    <row r="857" spans="1:7" hidden="1" x14ac:dyDescent="0.3">
      <c r="A857" s="5">
        <v>45742</v>
      </c>
      <c r="B857" t="s">
        <v>9</v>
      </c>
      <c r="C857" t="s">
        <v>1159</v>
      </c>
      <c r="D857" s="6">
        <v>2964.7</v>
      </c>
      <c r="E857" s="6">
        <v>0</v>
      </c>
      <c r="F857" s="6">
        <v>28060.04</v>
      </c>
      <c r="G857" t="s">
        <v>2660</v>
      </c>
    </row>
    <row r="858" spans="1:7" hidden="1" x14ac:dyDescent="0.3">
      <c r="A858" s="5">
        <v>45743</v>
      </c>
      <c r="B858" t="s">
        <v>9</v>
      </c>
      <c r="C858" t="s">
        <v>1160</v>
      </c>
      <c r="D858" s="6">
        <v>383.08</v>
      </c>
      <c r="E858" s="6">
        <v>0</v>
      </c>
      <c r="F858" s="6">
        <v>27676.959999999999</v>
      </c>
      <c r="G858" t="s">
        <v>2660</v>
      </c>
    </row>
    <row r="859" spans="1:7" hidden="1" x14ac:dyDescent="0.3">
      <c r="A859" s="5">
        <v>45743</v>
      </c>
      <c r="B859" t="s">
        <v>1161</v>
      </c>
      <c r="C859" t="s">
        <v>1162</v>
      </c>
      <c r="D859" s="6">
        <v>0</v>
      </c>
      <c r="E859" s="6">
        <v>512.76</v>
      </c>
      <c r="F859" s="6">
        <v>28189.72</v>
      </c>
      <c r="G859" t="s">
        <v>516</v>
      </c>
    </row>
    <row r="860" spans="1:7" hidden="1" x14ac:dyDescent="0.3">
      <c r="A860" s="5">
        <v>45744</v>
      </c>
      <c r="B860" t="s">
        <v>1163</v>
      </c>
      <c r="C860" t="s">
        <v>1164</v>
      </c>
      <c r="D860" s="6">
        <v>0</v>
      </c>
      <c r="E860" s="6">
        <v>25796.99</v>
      </c>
      <c r="F860" s="6">
        <v>53986.71</v>
      </c>
      <c r="G860" t="s">
        <v>2660</v>
      </c>
    </row>
    <row r="861" spans="1:7" hidden="1" x14ac:dyDescent="0.3">
      <c r="A861" s="5">
        <v>45744</v>
      </c>
      <c r="B861" t="s">
        <v>1165</v>
      </c>
      <c r="C861" t="s">
        <v>1166</v>
      </c>
      <c r="D861" s="6">
        <v>0</v>
      </c>
      <c r="E861" s="6">
        <v>420</v>
      </c>
      <c r="F861" s="6">
        <v>54406.71</v>
      </c>
      <c r="G861" t="s">
        <v>145</v>
      </c>
    </row>
    <row r="862" spans="1:7" hidden="1" x14ac:dyDescent="0.3">
      <c r="A862" s="5">
        <v>45744</v>
      </c>
      <c r="B862" t="s">
        <v>9</v>
      </c>
      <c r="C862" t="s">
        <v>1167</v>
      </c>
      <c r="D862" s="6">
        <v>413.72</v>
      </c>
      <c r="E862" s="6">
        <v>0</v>
      </c>
      <c r="F862" s="6">
        <v>53992.99</v>
      </c>
      <c r="G862" t="s">
        <v>2660</v>
      </c>
    </row>
    <row r="863" spans="1:7" hidden="1" x14ac:dyDescent="0.3">
      <c r="A863" s="5">
        <v>45744</v>
      </c>
      <c r="B863" t="s">
        <v>9</v>
      </c>
      <c r="C863" t="s">
        <v>1168</v>
      </c>
      <c r="D863" s="6">
        <v>24553.9</v>
      </c>
      <c r="E863" s="6">
        <v>0</v>
      </c>
      <c r="F863" s="6">
        <v>29439.09</v>
      </c>
      <c r="G863" t="s">
        <v>2660</v>
      </c>
    </row>
    <row r="864" spans="1:7" hidden="1" x14ac:dyDescent="0.3">
      <c r="A864" s="5">
        <v>45745</v>
      </c>
      <c r="B864" t="s">
        <v>1169</v>
      </c>
      <c r="C864" t="s">
        <v>1170</v>
      </c>
      <c r="D864" s="6">
        <v>0</v>
      </c>
      <c r="E864" s="6">
        <v>206.5</v>
      </c>
      <c r="F864" s="6">
        <v>29645.59</v>
      </c>
      <c r="G864" t="s">
        <v>145</v>
      </c>
    </row>
    <row r="865" spans="1:7" hidden="1" x14ac:dyDescent="0.3">
      <c r="A865" s="5">
        <v>45745</v>
      </c>
      <c r="B865" t="s">
        <v>1171</v>
      </c>
      <c r="C865" t="s">
        <v>1172</v>
      </c>
      <c r="D865" s="6">
        <v>295</v>
      </c>
      <c r="E865" s="6">
        <v>0</v>
      </c>
      <c r="F865" s="6">
        <v>29350.59</v>
      </c>
      <c r="G865" t="s">
        <v>89</v>
      </c>
    </row>
    <row r="866" spans="1:7" hidden="1" x14ac:dyDescent="0.3">
      <c r="A866" s="5">
        <v>45746</v>
      </c>
      <c r="B866" t="s">
        <v>1173</v>
      </c>
      <c r="C866" t="s">
        <v>1174</v>
      </c>
      <c r="D866" s="6">
        <v>15000</v>
      </c>
      <c r="E866" s="6">
        <v>0</v>
      </c>
      <c r="F866" s="6">
        <v>14350.59</v>
      </c>
      <c r="G866" t="s">
        <v>1175</v>
      </c>
    </row>
    <row r="867" spans="1:7" hidden="1" x14ac:dyDescent="0.3">
      <c r="A867" s="5">
        <v>45747</v>
      </c>
      <c r="B867" t="s">
        <v>1176</v>
      </c>
      <c r="C867" t="s">
        <v>24</v>
      </c>
      <c r="D867" s="6">
        <v>0</v>
      </c>
      <c r="E867">
        <v>2742</v>
      </c>
      <c r="F867" s="7">
        <v>17092.59</v>
      </c>
      <c r="G867" t="s">
        <v>251</v>
      </c>
    </row>
  </sheetData>
  <autoFilter ref="A5:G867" xr:uid="{F96C624F-B599-4FCB-8BDC-ACD506693007}">
    <filterColumn colId="6">
      <filters>
        <filter val="ATM Withdrawal"/>
        <filter val="Cash Deposi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CG</vt:lpstr>
      <vt:lpstr>Interest Charged Report</vt:lpstr>
      <vt:lpstr>HDFC HSL Ledger</vt:lpstr>
      <vt:lpstr>BSPL</vt:lpstr>
      <vt:lpstr>HDFC Bank Statement</vt:lpstr>
      <vt:lpstr>BSPL!Print_Area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Archit Gupta</dc:creator>
  <cp:lastModifiedBy>Archit Gupta</cp:lastModifiedBy>
  <cp:lastPrinted>2025-07-02T15:27:11Z</cp:lastPrinted>
  <dcterms:created xsi:type="dcterms:W3CDTF">2025-07-02T14:35:00Z</dcterms:created>
  <dcterms:modified xsi:type="dcterms:W3CDTF">2025-08-13T02:07:08Z</dcterms:modified>
</cp:coreProperties>
</file>