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Archit\Returns\Ajay Gupta\31.03.2025\Bank Statements\"/>
    </mc:Choice>
  </mc:AlternateContent>
  <xr:revisionPtr revIDLastSave="0" documentId="13_ncr:1_{64A8CDAB-C8E3-47C3-9D98-439E7C5C6F0A}" xr6:coauthVersionLast="47" xr6:coauthVersionMax="47" xr10:uidLastSave="{00000000-0000-0000-0000-000000000000}"/>
  <bookViews>
    <workbookView xWindow="-108" yWindow="-108" windowWidth="23256" windowHeight="13896" activeTab="6" xr2:uid="{32AD5053-58DD-4184-8181-2F17A4C401CC}"/>
  </bookViews>
  <sheets>
    <sheet name="AXIS" sheetId="1" r:id="rId1"/>
    <sheet name="HDFC" sheetId="2" r:id="rId2"/>
    <sheet name="SBI CA" sheetId="4" r:id="rId3"/>
    <sheet name="BOI" sheetId="3" r:id="rId4"/>
    <sheet name="SBI SB Nsk" sheetId="6" r:id="rId5"/>
    <sheet name="Contra Summary" sheetId="8" r:id="rId6"/>
    <sheet name="Conso" sheetId="7" r:id="rId7"/>
    <sheet name="SBI SB Kota" sheetId="5" r:id="rId8"/>
  </sheets>
  <definedNames>
    <definedName name="_xlnm._FilterDatabase" localSheetId="0" hidden="1">AXIS!$A$17:$H$416</definedName>
    <definedName name="_xlnm._FilterDatabase" localSheetId="6" hidden="1">Conso!$A$4:$N$1444</definedName>
    <definedName name="_xlnm._FilterDatabase" localSheetId="1" hidden="1">HDFC!$A$20:$H$881</definedName>
    <definedName name="_xlnm._FilterDatabase" localSheetId="2" hidden="1">'SBI CA'!$A$19:$H$79</definedName>
    <definedName name="_xlnm._FilterDatabase" localSheetId="7" hidden="1">'SBI SB Kota'!$A$21:$H$26</definedName>
    <definedName name="_xlnm._FilterDatabase" localSheetId="4" hidden="1">'SBI SB Nsk'!$A$21:$H$122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7" l="1"/>
  <c r="E1" i="7" s="1"/>
  <c r="D3" i="7"/>
  <c r="D1" i="7" s="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20" i="1"/>
  <c r="M3" i="7"/>
  <c r="L2" i="7"/>
  <c r="F3" i="7" l="1"/>
  <c r="F2" i="7"/>
  <c r="G2" i="7"/>
  <c r="G309" i="7"/>
  <c r="M543" i="7" l="1"/>
  <c r="L5" i="8"/>
  <c r="L6" i="8"/>
  <c r="L7" i="8"/>
  <c r="L8" i="8"/>
  <c r="L9" i="8"/>
  <c r="L10" i="8"/>
  <c r="L11" i="8"/>
  <c r="L4" i="8"/>
  <c r="C13" i="8"/>
  <c r="H11" i="8"/>
  <c r="H13" i="8" s="1"/>
  <c r="G11" i="8"/>
  <c r="G13" i="8" s="1"/>
  <c r="F11" i="8"/>
  <c r="F13" i="8" s="1"/>
  <c r="E11" i="8"/>
  <c r="E13" i="8" s="1"/>
  <c r="D11" i="8"/>
  <c r="D13" i="8" s="1"/>
  <c r="C11" i="8"/>
  <c r="I11" i="8"/>
  <c r="I13" i="8" s="1"/>
  <c r="J5" i="8"/>
  <c r="J6" i="8"/>
  <c r="J7" i="8"/>
  <c r="J8" i="8"/>
  <c r="J9" i="8"/>
  <c r="J10" i="8"/>
  <c r="J4" i="8"/>
  <c r="L289" i="7"/>
  <c r="J22" i="6"/>
  <c r="J21" i="2"/>
  <c r="J23" i="5" l="1"/>
  <c r="G1444" i="7"/>
  <c r="G1443" i="7"/>
  <c r="G1442" i="7"/>
  <c r="G1441" i="7"/>
  <c r="G1440" i="7"/>
  <c r="G1439" i="7"/>
  <c r="G1438" i="7"/>
  <c r="G1437" i="7"/>
  <c r="G1436" i="7"/>
  <c r="G1435" i="7"/>
  <c r="G1434" i="7"/>
  <c r="G1433" i="7"/>
  <c r="G1432" i="7"/>
  <c r="G1431" i="7"/>
  <c r="G1430" i="7"/>
  <c r="G1429" i="7"/>
  <c r="G1428" i="7"/>
  <c r="G1427" i="7"/>
  <c r="G1426" i="7"/>
  <c r="G1425" i="7"/>
  <c r="G1424" i="7"/>
  <c r="G1423" i="7"/>
  <c r="G1422" i="7"/>
  <c r="G1421" i="7"/>
  <c r="G1420" i="7"/>
  <c r="G1419" i="7"/>
  <c r="G1418" i="7"/>
  <c r="G1417" i="7"/>
  <c r="G1416" i="7"/>
  <c r="G1415" i="7"/>
  <c r="G1414" i="7"/>
  <c r="G1413" i="7"/>
  <c r="G1412" i="7"/>
  <c r="G1411" i="7"/>
  <c r="G1410" i="7"/>
  <c r="G1409" i="7"/>
  <c r="G1408" i="7"/>
  <c r="G1407" i="7"/>
  <c r="G1406" i="7"/>
  <c r="G1405" i="7"/>
  <c r="G1404" i="7"/>
  <c r="G1403" i="7"/>
  <c r="G1402" i="7"/>
  <c r="G1401" i="7"/>
  <c r="G1400" i="7"/>
  <c r="G1399" i="7"/>
  <c r="G1398" i="7"/>
  <c r="G1397" i="7"/>
  <c r="G1396" i="7"/>
  <c r="G1395" i="7"/>
  <c r="G1394" i="7"/>
  <c r="G1393" i="7"/>
  <c r="G1392" i="7"/>
  <c r="G1391" i="7"/>
  <c r="G1390" i="7"/>
  <c r="G1389" i="7"/>
  <c r="G1388" i="7"/>
  <c r="G1387" i="7"/>
  <c r="G1386" i="7"/>
  <c r="G1385" i="7"/>
  <c r="G1384" i="7"/>
  <c r="G1383" i="7"/>
  <c r="G1382" i="7"/>
  <c r="G1381" i="7"/>
  <c r="G1380" i="7"/>
  <c r="G1379" i="7"/>
  <c r="G1378" i="7"/>
  <c r="G1377" i="7"/>
  <c r="G1376" i="7"/>
  <c r="G1375" i="7"/>
  <c r="G1374" i="7"/>
  <c r="G1373" i="7"/>
  <c r="G1372" i="7"/>
  <c r="G1371" i="7"/>
  <c r="G1370" i="7"/>
  <c r="G1369" i="7"/>
  <c r="G1368" i="7"/>
  <c r="G1367" i="7"/>
  <c r="G1366" i="7"/>
  <c r="G1365" i="7"/>
  <c r="G1364" i="7"/>
  <c r="G1363" i="7"/>
  <c r="G1362" i="7"/>
  <c r="G1361" i="7"/>
  <c r="G1360" i="7"/>
  <c r="G1359" i="7"/>
  <c r="G1358" i="7"/>
  <c r="G1357" i="7"/>
  <c r="G1356" i="7"/>
  <c r="G1355" i="7"/>
  <c r="G1354" i="7"/>
  <c r="G1353" i="7"/>
  <c r="G1352" i="7"/>
  <c r="G1351" i="7"/>
  <c r="G1350" i="7"/>
  <c r="G1349" i="7"/>
  <c r="G1348" i="7"/>
  <c r="G1347" i="7"/>
  <c r="G1346" i="7"/>
  <c r="G1345" i="7"/>
  <c r="G1344" i="7"/>
  <c r="G1343" i="7"/>
  <c r="G1342" i="7"/>
  <c r="G1341" i="7"/>
  <c r="G1340" i="7"/>
  <c r="G1339" i="7"/>
  <c r="G1338" i="7"/>
  <c r="G1337" i="7"/>
  <c r="G1336" i="7"/>
  <c r="G1335" i="7"/>
  <c r="G1334" i="7"/>
  <c r="G1333" i="7"/>
  <c r="G1332" i="7"/>
  <c r="G1331" i="7"/>
  <c r="G1330" i="7"/>
  <c r="G1329" i="7"/>
  <c r="G1328" i="7"/>
  <c r="G1327" i="7"/>
  <c r="G1326" i="7"/>
  <c r="G1325" i="7"/>
  <c r="G1324" i="7"/>
  <c r="G1323" i="7"/>
  <c r="G1322" i="7"/>
  <c r="G1321" i="7"/>
  <c r="G1320" i="7"/>
  <c r="G1319" i="7"/>
  <c r="G1318" i="7"/>
  <c r="G1317" i="7"/>
  <c r="G1316" i="7"/>
  <c r="G1315" i="7"/>
  <c r="G1314" i="7"/>
  <c r="G1313" i="7"/>
  <c r="G1312" i="7"/>
  <c r="G1311" i="7"/>
  <c r="G1310" i="7"/>
  <c r="G1309" i="7"/>
  <c r="G1308" i="7"/>
  <c r="G1307" i="7"/>
  <c r="G1306" i="7"/>
  <c r="G1305" i="7"/>
  <c r="G1304" i="7"/>
  <c r="G1303" i="7"/>
  <c r="G1302" i="7"/>
  <c r="G1301" i="7"/>
  <c r="G1300" i="7"/>
  <c r="G1299" i="7"/>
  <c r="G1298" i="7"/>
  <c r="G1297" i="7"/>
  <c r="G1296" i="7"/>
  <c r="G1295" i="7"/>
  <c r="G1294" i="7"/>
  <c r="G1293" i="7"/>
  <c r="G1292" i="7"/>
  <c r="G1291" i="7"/>
  <c r="G1290" i="7"/>
  <c r="G1289" i="7"/>
  <c r="G1288" i="7"/>
  <c r="G1287" i="7"/>
  <c r="G1286" i="7"/>
  <c r="G1285" i="7"/>
  <c r="G1284" i="7"/>
  <c r="G1283" i="7"/>
  <c r="G1282" i="7"/>
  <c r="G1281" i="7"/>
  <c r="G1280" i="7"/>
  <c r="G1279" i="7"/>
  <c r="G1278" i="7"/>
  <c r="G1277" i="7"/>
  <c r="G1276" i="7"/>
  <c r="G1275" i="7"/>
  <c r="G1274" i="7"/>
  <c r="G1273" i="7"/>
  <c r="G1272" i="7"/>
  <c r="G1271" i="7"/>
  <c r="G1270" i="7"/>
  <c r="G1269" i="7"/>
  <c r="G1268" i="7"/>
  <c r="G1267" i="7"/>
  <c r="G1266" i="7"/>
  <c r="G1265" i="7"/>
  <c r="G1264" i="7"/>
  <c r="G1263" i="7"/>
  <c r="G1262" i="7"/>
  <c r="G1261" i="7"/>
  <c r="G1260" i="7"/>
  <c r="G1259" i="7"/>
  <c r="G1258" i="7"/>
  <c r="G1257" i="7"/>
  <c r="G1256" i="7"/>
  <c r="G1255" i="7"/>
  <c r="G1254" i="7"/>
  <c r="G1253" i="7"/>
  <c r="G1252" i="7"/>
  <c r="G1251" i="7"/>
  <c r="G1250" i="7"/>
  <c r="G1249" i="7"/>
  <c r="G1248" i="7"/>
  <c r="G1247" i="7"/>
  <c r="G1246" i="7"/>
  <c r="G1245" i="7"/>
  <c r="G1244" i="7"/>
  <c r="G1243" i="7"/>
  <c r="G1242" i="7"/>
  <c r="G1241" i="7"/>
  <c r="G1240" i="7"/>
  <c r="G1239" i="7"/>
  <c r="G1238" i="7"/>
  <c r="G1237" i="7"/>
  <c r="G1236" i="7"/>
  <c r="G1235" i="7"/>
  <c r="G1234" i="7"/>
  <c r="G1233" i="7"/>
  <c r="G1232" i="7"/>
  <c r="G1231" i="7"/>
  <c r="G1230" i="7"/>
  <c r="G1229" i="7"/>
  <c r="G1228" i="7"/>
  <c r="G1227" i="7"/>
  <c r="G1226" i="7"/>
  <c r="G1225" i="7"/>
  <c r="G1224" i="7"/>
  <c r="G1223" i="7"/>
  <c r="G1222" i="7"/>
  <c r="G1221" i="7"/>
  <c r="G1220" i="7"/>
  <c r="G1219" i="7"/>
  <c r="G1218" i="7"/>
  <c r="G1217" i="7"/>
  <c r="G1216" i="7"/>
  <c r="G1215" i="7"/>
  <c r="G1214" i="7"/>
  <c r="G1213" i="7"/>
  <c r="G1212" i="7"/>
  <c r="G1211" i="7"/>
  <c r="G1210" i="7"/>
  <c r="G1209" i="7"/>
  <c r="G1208" i="7"/>
  <c r="G1207" i="7"/>
  <c r="G1206" i="7"/>
  <c r="G1205" i="7"/>
  <c r="G1204" i="7"/>
  <c r="G1203" i="7"/>
  <c r="G1202" i="7"/>
  <c r="G1201" i="7"/>
  <c r="G1200" i="7"/>
  <c r="G1199" i="7"/>
  <c r="G1198" i="7"/>
  <c r="G1197" i="7"/>
  <c r="G1196" i="7"/>
  <c r="G1195" i="7"/>
  <c r="G1194" i="7"/>
  <c r="G1193" i="7"/>
  <c r="G1192" i="7"/>
  <c r="G1191" i="7"/>
  <c r="G1190" i="7"/>
  <c r="G1189" i="7"/>
  <c r="G1188" i="7"/>
  <c r="G1187" i="7"/>
  <c r="G1186" i="7"/>
  <c r="G1185" i="7"/>
  <c r="G1184" i="7"/>
  <c r="G1183" i="7"/>
  <c r="G1182" i="7"/>
  <c r="G1181" i="7"/>
  <c r="G1180" i="7"/>
  <c r="G1179" i="7"/>
  <c r="G1178" i="7"/>
  <c r="G1177" i="7"/>
  <c r="G1176" i="7"/>
  <c r="G1175" i="7"/>
  <c r="G1174" i="7"/>
  <c r="G1173" i="7"/>
  <c r="G1172" i="7"/>
  <c r="G1171" i="7"/>
  <c r="G1170" i="7"/>
  <c r="G1169" i="7"/>
  <c r="G1168" i="7"/>
  <c r="G1167" i="7"/>
  <c r="G1166" i="7"/>
  <c r="G1165" i="7"/>
  <c r="G1164" i="7"/>
  <c r="G1163" i="7"/>
  <c r="G1162" i="7"/>
  <c r="G1161" i="7"/>
  <c r="G1160" i="7"/>
  <c r="G1159" i="7"/>
  <c r="G1158" i="7"/>
  <c r="G1157" i="7"/>
  <c r="G1156" i="7"/>
  <c r="G1155" i="7"/>
  <c r="G1154" i="7"/>
  <c r="G1153" i="7"/>
  <c r="G1152" i="7"/>
  <c r="G1151" i="7"/>
  <c r="G1150" i="7"/>
  <c r="G1149" i="7"/>
  <c r="G1148" i="7"/>
  <c r="G1147" i="7"/>
  <c r="G1146" i="7"/>
  <c r="G1145" i="7"/>
  <c r="G1144" i="7"/>
  <c r="G1143" i="7"/>
  <c r="G1142" i="7"/>
  <c r="G1141" i="7"/>
  <c r="G1140" i="7"/>
  <c r="G1139" i="7"/>
  <c r="G1138" i="7"/>
  <c r="G1137" i="7"/>
  <c r="G1136" i="7"/>
  <c r="G1135" i="7"/>
  <c r="G1134" i="7"/>
  <c r="G1133" i="7"/>
  <c r="G1132" i="7"/>
  <c r="G1131" i="7"/>
  <c r="G1130" i="7"/>
  <c r="G1129" i="7"/>
  <c r="G1128" i="7"/>
  <c r="G1127" i="7"/>
  <c r="G1126" i="7"/>
  <c r="G1125" i="7"/>
  <c r="G1124" i="7"/>
  <c r="G1123" i="7"/>
  <c r="G1122" i="7"/>
  <c r="G1121" i="7"/>
  <c r="G1120" i="7"/>
  <c r="G1119" i="7"/>
  <c r="G1118" i="7"/>
  <c r="G1117" i="7"/>
  <c r="G1116" i="7"/>
  <c r="G1115" i="7"/>
  <c r="G1114" i="7"/>
  <c r="G1113" i="7"/>
  <c r="G1112" i="7"/>
  <c r="G1111" i="7"/>
  <c r="G1110" i="7"/>
  <c r="G1109" i="7"/>
  <c r="G1108" i="7"/>
  <c r="G1107" i="7"/>
  <c r="G1106" i="7"/>
  <c r="G1105" i="7"/>
  <c r="G1104" i="7"/>
  <c r="G1103" i="7"/>
  <c r="G1102" i="7"/>
  <c r="G1101" i="7"/>
  <c r="G1100" i="7"/>
  <c r="G1099" i="7"/>
  <c r="G1098" i="7"/>
  <c r="G1097" i="7"/>
  <c r="G1096" i="7"/>
  <c r="G1095" i="7"/>
  <c r="G1094" i="7"/>
  <c r="G1093" i="7"/>
  <c r="G1092" i="7"/>
  <c r="G1091" i="7"/>
  <c r="G1090" i="7"/>
  <c r="G1089" i="7"/>
  <c r="G1088" i="7"/>
  <c r="G1087" i="7"/>
  <c r="G1086" i="7"/>
  <c r="G1085" i="7"/>
  <c r="G1084" i="7"/>
  <c r="G1083" i="7"/>
  <c r="G1082" i="7"/>
  <c r="G1081" i="7"/>
  <c r="G1080" i="7"/>
  <c r="G1079" i="7"/>
  <c r="G1078" i="7"/>
  <c r="G1077" i="7"/>
  <c r="G1076" i="7"/>
  <c r="G1075" i="7"/>
  <c r="G1074" i="7"/>
  <c r="G1073" i="7"/>
  <c r="G1072" i="7"/>
  <c r="G1071" i="7"/>
  <c r="G1070" i="7"/>
  <c r="G1069" i="7"/>
  <c r="G1068" i="7"/>
  <c r="G1067" i="7"/>
  <c r="G1066" i="7"/>
  <c r="G1065" i="7"/>
  <c r="G1064" i="7"/>
  <c r="G1063" i="7"/>
  <c r="G1062" i="7"/>
  <c r="G1061" i="7"/>
  <c r="G1060" i="7"/>
  <c r="G1059" i="7"/>
  <c r="G1058" i="7"/>
  <c r="G1057" i="7"/>
  <c r="G1056" i="7"/>
  <c r="G1055" i="7"/>
  <c r="G1054" i="7"/>
  <c r="G1053" i="7"/>
  <c r="G1052" i="7"/>
  <c r="G1051" i="7"/>
  <c r="G1050" i="7"/>
  <c r="G1049" i="7"/>
  <c r="G1048" i="7"/>
  <c r="G1047" i="7"/>
  <c r="G1046" i="7"/>
  <c r="G1045" i="7"/>
  <c r="G1044" i="7"/>
  <c r="G1043" i="7"/>
  <c r="G1042" i="7"/>
  <c r="G1041" i="7"/>
  <c r="G1040" i="7"/>
  <c r="G1039" i="7"/>
  <c r="G1038" i="7"/>
  <c r="G1037" i="7"/>
  <c r="G1036" i="7"/>
  <c r="G1035" i="7"/>
  <c r="G1034" i="7"/>
  <c r="G1033" i="7"/>
  <c r="G1032" i="7"/>
  <c r="G1031" i="7"/>
  <c r="G1030" i="7"/>
  <c r="G1029" i="7"/>
  <c r="G1028" i="7"/>
  <c r="G1027" i="7"/>
  <c r="G1026" i="7"/>
  <c r="G1025" i="7"/>
  <c r="G1024" i="7"/>
  <c r="G1023" i="7"/>
  <c r="G1022" i="7"/>
  <c r="G1021" i="7"/>
  <c r="G1020" i="7"/>
  <c r="G1019" i="7"/>
  <c r="G1018" i="7"/>
  <c r="G1017" i="7"/>
  <c r="G1016" i="7"/>
  <c r="G1015" i="7"/>
  <c r="G1014" i="7"/>
  <c r="G1013" i="7"/>
  <c r="G1012" i="7"/>
  <c r="G1011" i="7"/>
  <c r="G1010" i="7"/>
  <c r="G1009" i="7"/>
  <c r="G1008" i="7"/>
  <c r="G1007" i="7"/>
  <c r="G1006" i="7"/>
  <c r="G1005" i="7"/>
  <c r="G1004" i="7"/>
  <c r="G1003" i="7"/>
  <c r="G1002" i="7"/>
  <c r="G1001" i="7"/>
  <c r="G1000" i="7"/>
  <c r="G999" i="7"/>
  <c r="G998" i="7"/>
  <c r="G997" i="7"/>
  <c r="G996" i="7"/>
  <c r="G995" i="7"/>
  <c r="G994" i="7"/>
  <c r="G993" i="7"/>
  <c r="G992" i="7"/>
  <c r="G991" i="7"/>
  <c r="G990" i="7"/>
  <c r="G989" i="7"/>
  <c r="G988" i="7"/>
  <c r="G987" i="7"/>
  <c r="G986" i="7"/>
  <c r="G985" i="7"/>
  <c r="G984" i="7"/>
  <c r="G983" i="7"/>
  <c r="G982" i="7"/>
  <c r="G981" i="7"/>
  <c r="G980" i="7"/>
  <c r="G979" i="7"/>
  <c r="G978" i="7"/>
  <c r="G977" i="7"/>
  <c r="G976" i="7"/>
  <c r="G975" i="7"/>
  <c r="G974" i="7"/>
  <c r="G973" i="7"/>
  <c r="G972" i="7"/>
  <c r="G971" i="7"/>
  <c r="G970" i="7"/>
  <c r="G969" i="7"/>
  <c r="G968" i="7"/>
  <c r="G967" i="7"/>
  <c r="G966" i="7"/>
  <c r="G965" i="7"/>
  <c r="G964" i="7"/>
  <c r="G963" i="7"/>
  <c r="G962" i="7"/>
  <c r="G961" i="7"/>
  <c r="G960" i="7"/>
  <c r="G959" i="7"/>
  <c r="G958" i="7"/>
  <c r="G957" i="7"/>
  <c r="G956" i="7"/>
  <c r="G955" i="7"/>
  <c r="G954" i="7"/>
  <c r="G953" i="7"/>
  <c r="G952" i="7"/>
  <c r="G951" i="7"/>
  <c r="G950" i="7"/>
  <c r="G949" i="7"/>
  <c r="G948" i="7"/>
  <c r="G947" i="7"/>
  <c r="G946" i="7"/>
  <c r="G945" i="7"/>
  <c r="G944" i="7"/>
  <c r="G943" i="7"/>
  <c r="G942" i="7"/>
  <c r="G941" i="7"/>
  <c r="G940" i="7"/>
  <c r="G939" i="7"/>
  <c r="G938" i="7"/>
  <c r="G937" i="7"/>
  <c r="G936" i="7"/>
  <c r="G935" i="7"/>
  <c r="G934" i="7"/>
  <c r="G933" i="7"/>
  <c r="G932" i="7"/>
  <c r="G931" i="7"/>
  <c r="G930" i="7"/>
  <c r="G929" i="7"/>
  <c r="G928" i="7"/>
  <c r="G927" i="7"/>
  <c r="G926" i="7"/>
  <c r="G925" i="7"/>
  <c r="G924" i="7"/>
  <c r="G923" i="7"/>
  <c r="G922" i="7"/>
  <c r="G921" i="7"/>
  <c r="G920" i="7"/>
  <c r="G919" i="7"/>
  <c r="G918" i="7"/>
  <c r="G917" i="7"/>
  <c r="G916" i="7"/>
  <c r="G915" i="7"/>
  <c r="G914" i="7"/>
  <c r="G913" i="7"/>
  <c r="G912" i="7"/>
  <c r="G911" i="7"/>
  <c r="G910" i="7"/>
  <c r="G909" i="7"/>
  <c r="G908" i="7"/>
  <c r="G907" i="7"/>
  <c r="G906" i="7"/>
  <c r="G905" i="7"/>
  <c r="G904" i="7"/>
  <c r="G903" i="7"/>
  <c r="G902" i="7"/>
  <c r="G901" i="7"/>
  <c r="G900" i="7"/>
  <c r="G899" i="7"/>
  <c r="G898" i="7"/>
  <c r="G897" i="7"/>
  <c r="G896" i="7"/>
  <c r="G895" i="7"/>
  <c r="G894" i="7"/>
  <c r="G893" i="7"/>
  <c r="G892" i="7"/>
  <c r="G891" i="7"/>
  <c r="G890" i="7"/>
  <c r="G889" i="7"/>
  <c r="G888" i="7"/>
  <c r="G887" i="7"/>
  <c r="G886" i="7"/>
  <c r="G885" i="7"/>
  <c r="G884" i="7"/>
  <c r="G883" i="7"/>
  <c r="G882" i="7"/>
  <c r="G881" i="7"/>
  <c r="G880" i="7"/>
  <c r="G879" i="7"/>
  <c r="G878" i="7"/>
  <c r="G877" i="7"/>
  <c r="G876" i="7"/>
  <c r="G875" i="7"/>
  <c r="G874" i="7"/>
  <c r="G873" i="7"/>
  <c r="G872" i="7"/>
  <c r="G871" i="7"/>
  <c r="G870" i="7"/>
  <c r="G869" i="7"/>
  <c r="G868" i="7"/>
  <c r="G867" i="7"/>
  <c r="G866" i="7"/>
  <c r="G865" i="7"/>
  <c r="G864" i="7"/>
  <c r="G863" i="7"/>
  <c r="G862" i="7"/>
  <c r="G861" i="7"/>
  <c r="G860" i="7"/>
  <c r="G859" i="7"/>
  <c r="G858" i="7"/>
  <c r="G857" i="7"/>
  <c r="G856" i="7"/>
  <c r="G855" i="7"/>
  <c r="G854" i="7"/>
  <c r="G853" i="7"/>
  <c r="G852" i="7"/>
  <c r="G851" i="7"/>
  <c r="G850" i="7"/>
  <c r="G849" i="7"/>
  <c r="G848" i="7"/>
  <c r="G847" i="7"/>
  <c r="G846" i="7"/>
  <c r="G845" i="7"/>
  <c r="G844" i="7"/>
  <c r="G843" i="7"/>
  <c r="G842" i="7"/>
  <c r="G841" i="7"/>
  <c r="G840" i="7"/>
  <c r="G839" i="7"/>
  <c r="G838" i="7"/>
  <c r="G837" i="7"/>
  <c r="G836" i="7"/>
  <c r="G835" i="7"/>
  <c r="G834" i="7"/>
  <c r="G833" i="7"/>
  <c r="G832" i="7"/>
  <c r="G831" i="7"/>
  <c r="G830" i="7"/>
  <c r="G829" i="7"/>
  <c r="G828" i="7"/>
  <c r="G827" i="7"/>
  <c r="G826" i="7"/>
  <c r="G825" i="7"/>
  <c r="G824" i="7"/>
  <c r="G823" i="7"/>
  <c r="G822" i="7"/>
  <c r="G821" i="7"/>
  <c r="G820" i="7"/>
  <c r="G819" i="7"/>
  <c r="G818" i="7"/>
  <c r="G817" i="7"/>
  <c r="G816" i="7"/>
  <c r="G815" i="7"/>
  <c r="G814" i="7"/>
  <c r="G813" i="7"/>
  <c r="G812" i="7"/>
  <c r="G811" i="7"/>
  <c r="G810" i="7"/>
  <c r="G809" i="7"/>
  <c r="G808" i="7"/>
  <c r="G807" i="7"/>
  <c r="G806" i="7"/>
  <c r="G805" i="7"/>
  <c r="G804" i="7"/>
  <c r="G803" i="7"/>
  <c r="G802" i="7"/>
  <c r="G801" i="7"/>
  <c r="G800" i="7"/>
  <c r="G799" i="7"/>
  <c r="G798" i="7"/>
  <c r="G797" i="7"/>
  <c r="G796" i="7"/>
  <c r="G795" i="7"/>
  <c r="G794" i="7"/>
  <c r="G793" i="7"/>
  <c r="G792" i="7"/>
  <c r="G791" i="7"/>
  <c r="G790" i="7"/>
  <c r="G789" i="7"/>
  <c r="G788" i="7"/>
  <c r="G787" i="7"/>
  <c r="G786" i="7"/>
  <c r="G785" i="7"/>
  <c r="G784" i="7"/>
  <c r="G783" i="7"/>
  <c r="G782" i="7"/>
  <c r="G781" i="7"/>
  <c r="G780" i="7"/>
  <c r="G779" i="7"/>
  <c r="G778" i="7"/>
  <c r="G777" i="7"/>
  <c r="G776" i="7"/>
  <c r="G775" i="7"/>
  <c r="G774" i="7"/>
  <c r="G773" i="7"/>
  <c r="G772" i="7"/>
  <c r="G771" i="7"/>
  <c r="G770" i="7"/>
  <c r="G769" i="7"/>
  <c r="G768" i="7"/>
  <c r="G767" i="7"/>
  <c r="G766" i="7"/>
  <c r="G765" i="7"/>
  <c r="G764" i="7"/>
  <c r="G763" i="7"/>
  <c r="G762" i="7"/>
  <c r="G761" i="7"/>
  <c r="G760" i="7"/>
  <c r="G759" i="7"/>
  <c r="G758" i="7"/>
  <c r="G757" i="7"/>
  <c r="G756" i="7"/>
  <c r="G755" i="7"/>
  <c r="G754" i="7"/>
  <c r="G753" i="7"/>
  <c r="G752" i="7"/>
  <c r="G751" i="7"/>
  <c r="G750" i="7"/>
  <c r="G749" i="7"/>
  <c r="G748" i="7"/>
  <c r="G747" i="7"/>
  <c r="G746" i="7"/>
  <c r="G745" i="7"/>
  <c r="G744" i="7"/>
  <c r="G743" i="7"/>
  <c r="G742" i="7"/>
  <c r="G741" i="7"/>
  <c r="G740" i="7"/>
  <c r="G739" i="7"/>
  <c r="G738" i="7"/>
  <c r="G737" i="7"/>
  <c r="G736" i="7"/>
  <c r="G735" i="7"/>
  <c r="G734" i="7"/>
  <c r="G733" i="7"/>
  <c r="G732" i="7"/>
  <c r="G731" i="7"/>
  <c r="G730" i="7"/>
  <c r="G729" i="7"/>
  <c r="G728" i="7"/>
  <c r="G727" i="7"/>
  <c r="G726" i="7"/>
  <c r="G725" i="7"/>
  <c r="G724" i="7"/>
  <c r="G723" i="7"/>
  <c r="G722" i="7"/>
  <c r="G721" i="7"/>
  <c r="G720" i="7"/>
  <c r="G719" i="7"/>
  <c r="G718" i="7"/>
  <c r="G717" i="7"/>
  <c r="G716" i="7"/>
  <c r="G715" i="7"/>
  <c r="G714" i="7"/>
  <c r="G713" i="7"/>
  <c r="G712" i="7"/>
  <c r="G711" i="7"/>
  <c r="G710" i="7"/>
  <c r="G709" i="7"/>
  <c r="G708" i="7"/>
  <c r="G707" i="7"/>
  <c r="G706" i="7"/>
  <c r="G705" i="7"/>
  <c r="G704" i="7"/>
  <c r="G703" i="7"/>
  <c r="G702" i="7"/>
  <c r="G701" i="7"/>
  <c r="G700" i="7"/>
  <c r="G699" i="7"/>
  <c r="G698" i="7"/>
  <c r="G697" i="7"/>
  <c r="G696" i="7"/>
  <c r="G695" i="7"/>
  <c r="G694" i="7"/>
  <c r="G693" i="7"/>
  <c r="G692" i="7"/>
  <c r="G691" i="7"/>
  <c r="G690" i="7"/>
  <c r="G689" i="7"/>
  <c r="G688" i="7"/>
  <c r="G687" i="7"/>
  <c r="G686" i="7"/>
  <c r="G685" i="7"/>
  <c r="G684" i="7"/>
  <c r="G683" i="7"/>
  <c r="G682" i="7"/>
  <c r="G681" i="7"/>
  <c r="G680" i="7"/>
  <c r="G679" i="7"/>
  <c r="G678" i="7"/>
  <c r="G677" i="7"/>
  <c r="G676" i="7"/>
  <c r="G675" i="7"/>
  <c r="G674" i="7"/>
  <c r="G673" i="7"/>
  <c r="G672" i="7"/>
  <c r="G671" i="7"/>
  <c r="G670" i="7"/>
  <c r="G669" i="7"/>
  <c r="G668" i="7"/>
  <c r="G667" i="7"/>
  <c r="G666" i="7"/>
  <c r="G665" i="7"/>
  <c r="G664" i="7"/>
  <c r="G663" i="7"/>
  <c r="G662" i="7"/>
  <c r="G661" i="7"/>
  <c r="G660" i="7"/>
  <c r="G659" i="7"/>
  <c r="G658" i="7"/>
  <c r="G657" i="7"/>
  <c r="G656" i="7"/>
  <c r="G655" i="7"/>
  <c r="G654" i="7"/>
  <c r="G653" i="7"/>
  <c r="G652" i="7"/>
  <c r="G651" i="7"/>
  <c r="G650" i="7"/>
  <c r="G649" i="7"/>
  <c r="G648" i="7"/>
  <c r="G647" i="7"/>
  <c r="G646" i="7"/>
  <c r="G645" i="7"/>
  <c r="G644" i="7"/>
  <c r="G643" i="7"/>
  <c r="G642" i="7"/>
  <c r="G641" i="7"/>
  <c r="G640" i="7"/>
  <c r="G639" i="7"/>
  <c r="G638" i="7"/>
  <c r="G637" i="7"/>
  <c r="G636" i="7"/>
  <c r="G635" i="7"/>
  <c r="G634" i="7"/>
  <c r="G633" i="7"/>
  <c r="G632" i="7"/>
  <c r="G631" i="7"/>
  <c r="G630" i="7"/>
  <c r="G629" i="7"/>
  <c r="G628" i="7"/>
  <c r="G627" i="7"/>
  <c r="G626" i="7"/>
  <c r="G625" i="7"/>
  <c r="G624" i="7"/>
  <c r="G623" i="7"/>
  <c r="G622" i="7"/>
  <c r="G621" i="7"/>
  <c r="G620" i="7"/>
  <c r="G619" i="7"/>
  <c r="G618" i="7"/>
  <c r="G617" i="7"/>
  <c r="G616" i="7"/>
  <c r="G615" i="7"/>
  <c r="G614" i="7"/>
  <c r="G613" i="7"/>
  <c r="G612" i="7"/>
  <c r="G611" i="7"/>
  <c r="G610" i="7"/>
  <c r="G609" i="7"/>
  <c r="G608" i="7"/>
  <c r="G607" i="7"/>
  <c r="G606" i="7"/>
  <c r="G605" i="7"/>
  <c r="G604" i="7"/>
  <c r="G603" i="7"/>
  <c r="G602" i="7"/>
  <c r="G601" i="7"/>
  <c r="G600" i="7"/>
  <c r="G599" i="7"/>
  <c r="G598" i="7"/>
  <c r="G597" i="7"/>
  <c r="G596" i="7"/>
  <c r="G595" i="7"/>
  <c r="G594" i="7"/>
  <c r="G593" i="7"/>
  <c r="G592" i="7"/>
  <c r="G591" i="7"/>
  <c r="G590" i="7"/>
  <c r="G589" i="7"/>
  <c r="G588" i="7"/>
  <c r="G587" i="7"/>
  <c r="G586" i="7"/>
  <c r="G585" i="7"/>
  <c r="G584" i="7"/>
  <c r="G583" i="7"/>
  <c r="G582" i="7"/>
  <c r="G581" i="7"/>
  <c r="G580" i="7"/>
  <c r="G579" i="7"/>
  <c r="G578" i="7"/>
  <c r="G577" i="7"/>
  <c r="G576" i="7"/>
  <c r="G575" i="7"/>
  <c r="G574" i="7"/>
  <c r="G573" i="7"/>
  <c r="G572" i="7"/>
  <c r="G571" i="7"/>
  <c r="G570" i="7"/>
  <c r="G569" i="7"/>
  <c r="G568" i="7"/>
  <c r="G567" i="7"/>
  <c r="G566" i="7"/>
  <c r="G565" i="7"/>
  <c r="G564" i="7"/>
  <c r="G563" i="7"/>
  <c r="G562" i="7"/>
  <c r="G561" i="7"/>
  <c r="G560" i="7"/>
  <c r="G559" i="7"/>
  <c r="G558" i="7"/>
  <c r="G557" i="7"/>
  <c r="G556" i="7"/>
  <c r="G555" i="7"/>
  <c r="G554" i="7"/>
  <c r="G553" i="7"/>
  <c r="G552" i="7"/>
  <c r="G551" i="7"/>
  <c r="G550" i="7"/>
  <c r="G549" i="7"/>
  <c r="G548" i="7"/>
  <c r="G547" i="7"/>
  <c r="G546" i="7"/>
  <c r="G545" i="7"/>
  <c r="G544" i="7"/>
  <c r="G543" i="7"/>
  <c r="G542" i="7"/>
  <c r="G541" i="7"/>
  <c r="G540" i="7"/>
  <c r="G539" i="7"/>
  <c r="G538" i="7"/>
  <c r="G537" i="7"/>
  <c r="G536" i="7"/>
  <c r="G535" i="7"/>
  <c r="G534" i="7"/>
  <c r="G533" i="7"/>
  <c r="G532" i="7"/>
  <c r="G531" i="7"/>
  <c r="G530" i="7"/>
  <c r="G529" i="7"/>
  <c r="G528" i="7"/>
  <c r="G527" i="7"/>
  <c r="G526" i="7"/>
  <c r="G525" i="7"/>
  <c r="G524" i="7"/>
  <c r="G523" i="7"/>
  <c r="G522" i="7"/>
  <c r="G521" i="7"/>
  <c r="G520" i="7"/>
  <c r="G519" i="7"/>
  <c r="G518" i="7"/>
  <c r="G517" i="7"/>
  <c r="G516" i="7"/>
  <c r="G515" i="7"/>
  <c r="G514" i="7"/>
  <c r="G513" i="7"/>
  <c r="G512" i="7"/>
  <c r="G511" i="7"/>
  <c r="G510" i="7"/>
  <c r="G509" i="7"/>
  <c r="G508" i="7"/>
  <c r="G507" i="7"/>
  <c r="G506" i="7"/>
  <c r="G505" i="7"/>
  <c r="G504" i="7"/>
  <c r="G503" i="7"/>
  <c r="G502" i="7"/>
  <c r="G501" i="7"/>
  <c r="G500" i="7"/>
  <c r="G499" i="7"/>
  <c r="G498" i="7"/>
  <c r="G497" i="7"/>
  <c r="G496" i="7"/>
  <c r="G495" i="7"/>
  <c r="G494" i="7"/>
  <c r="G493" i="7"/>
  <c r="G492" i="7"/>
  <c r="G491" i="7"/>
  <c r="G490" i="7"/>
  <c r="G489" i="7"/>
  <c r="G488" i="7"/>
  <c r="G487" i="7"/>
  <c r="G486" i="7"/>
  <c r="G485" i="7"/>
  <c r="G484" i="7"/>
  <c r="G483" i="7"/>
  <c r="G482" i="7"/>
  <c r="G481" i="7"/>
  <c r="G480" i="7"/>
  <c r="G479" i="7"/>
  <c r="G478" i="7"/>
  <c r="G477" i="7"/>
  <c r="G476" i="7"/>
  <c r="G475" i="7"/>
  <c r="G474" i="7"/>
  <c r="G473" i="7"/>
  <c r="G472" i="7"/>
  <c r="G471" i="7"/>
  <c r="G470" i="7"/>
  <c r="G469" i="7"/>
  <c r="G468" i="7"/>
  <c r="G467" i="7"/>
  <c r="G466" i="7"/>
  <c r="G465" i="7"/>
  <c r="G464" i="7"/>
  <c r="G463" i="7"/>
  <c r="G462" i="7"/>
  <c r="G461" i="7"/>
  <c r="G460" i="7"/>
  <c r="G459" i="7"/>
  <c r="G458" i="7"/>
  <c r="G457" i="7"/>
  <c r="G456" i="7"/>
  <c r="G455" i="7"/>
  <c r="G454" i="7"/>
  <c r="G453" i="7"/>
  <c r="G452" i="7"/>
  <c r="G451" i="7"/>
  <c r="G450" i="7"/>
  <c r="G449" i="7"/>
  <c r="G448" i="7"/>
  <c r="G447" i="7"/>
  <c r="G446" i="7"/>
  <c r="G445" i="7"/>
  <c r="G444" i="7"/>
  <c r="G443" i="7"/>
  <c r="G442" i="7"/>
  <c r="G441" i="7"/>
  <c r="G440" i="7"/>
  <c r="G439" i="7"/>
  <c r="G438" i="7"/>
  <c r="G437" i="7"/>
  <c r="G436" i="7"/>
  <c r="G435" i="7"/>
  <c r="G434" i="7"/>
  <c r="G433" i="7"/>
  <c r="G432" i="7"/>
  <c r="G431" i="7"/>
  <c r="G430" i="7"/>
  <c r="G429" i="7"/>
  <c r="G428" i="7"/>
  <c r="G427" i="7"/>
  <c r="G426" i="7"/>
  <c r="G425" i="7"/>
  <c r="G424" i="7"/>
  <c r="G423" i="7"/>
  <c r="G422" i="7"/>
  <c r="G421" i="7"/>
  <c r="G420" i="7"/>
  <c r="G419" i="7"/>
  <c r="G418" i="7"/>
  <c r="G417" i="7"/>
  <c r="G416" i="7"/>
  <c r="G415" i="7"/>
  <c r="G414" i="7"/>
  <c r="G413" i="7"/>
  <c r="G412" i="7"/>
  <c r="G411" i="7"/>
  <c r="G410" i="7"/>
  <c r="G409" i="7"/>
  <c r="G408" i="7"/>
  <c r="G407" i="7"/>
  <c r="G406" i="7"/>
  <c r="G405" i="7"/>
  <c r="G404" i="7"/>
  <c r="G403" i="7"/>
  <c r="G402" i="7"/>
  <c r="G401" i="7"/>
  <c r="G400" i="7"/>
  <c r="G399" i="7"/>
  <c r="G398" i="7"/>
  <c r="G397" i="7"/>
  <c r="G396" i="7"/>
  <c r="G395" i="7"/>
  <c r="G394" i="7"/>
  <c r="G393" i="7"/>
  <c r="G392" i="7"/>
  <c r="G391" i="7"/>
  <c r="G390" i="7"/>
  <c r="G389" i="7"/>
  <c r="G388" i="7"/>
  <c r="G387" i="7"/>
  <c r="G386" i="7"/>
  <c r="G385" i="7"/>
  <c r="G384" i="7"/>
  <c r="G383" i="7"/>
  <c r="G382" i="7"/>
  <c r="G381" i="7"/>
  <c r="G380" i="7"/>
  <c r="G379" i="7"/>
  <c r="G378" i="7"/>
  <c r="G377" i="7"/>
  <c r="G376" i="7"/>
  <c r="G375" i="7"/>
  <c r="G374" i="7"/>
  <c r="G373" i="7"/>
  <c r="G372" i="7"/>
  <c r="G371" i="7"/>
  <c r="G370" i="7"/>
  <c r="G369" i="7"/>
  <c r="G368" i="7"/>
  <c r="G367" i="7"/>
  <c r="G366" i="7"/>
  <c r="G365" i="7"/>
  <c r="G364" i="7"/>
  <c r="G363" i="7"/>
  <c r="G362" i="7"/>
  <c r="G361" i="7"/>
  <c r="G360" i="7"/>
  <c r="G359" i="7"/>
  <c r="G358" i="7"/>
  <c r="G357" i="7"/>
  <c r="G356" i="7"/>
  <c r="G355" i="7"/>
  <c r="G354" i="7"/>
  <c r="G353" i="7"/>
  <c r="G352" i="7"/>
  <c r="G351" i="7"/>
  <c r="G350" i="7"/>
  <c r="G349" i="7"/>
  <c r="G348" i="7"/>
  <c r="G347" i="7"/>
  <c r="G346" i="7"/>
  <c r="G345" i="7"/>
  <c r="G344" i="7"/>
  <c r="G343" i="7"/>
  <c r="G342" i="7"/>
  <c r="G341" i="7"/>
  <c r="G340" i="7"/>
  <c r="G339" i="7"/>
  <c r="G338" i="7"/>
  <c r="G337" i="7"/>
  <c r="G336" i="7"/>
  <c r="G335" i="7"/>
  <c r="G334" i="7"/>
  <c r="G333" i="7"/>
  <c r="G332" i="7"/>
  <c r="G331" i="7"/>
  <c r="G330" i="7"/>
  <c r="G329" i="7"/>
  <c r="G328" i="7"/>
  <c r="G327" i="7"/>
  <c r="G326" i="7"/>
  <c r="G325" i="7"/>
  <c r="G324" i="7"/>
  <c r="G323" i="7"/>
  <c r="G322" i="7"/>
  <c r="G321" i="7"/>
  <c r="G320" i="7"/>
  <c r="G319" i="7"/>
  <c r="G318" i="7"/>
  <c r="G317" i="7"/>
  <c r="G316" i="7"/>
  <c r="G315" i="7"/>
  <c r="G314" i="7"/>
  <c r="G313" i="7"/>
  <c r="G312" i="7"/>
  <c r="G311" i="7"/>
  <c r="G310" i="7"/>
  <c r="G308" i="7"/>
  <c r="G307" i="7"/>
  <c r="G306" i="7"/>
  <c r="G305" i="7"/>
  <c r="G304" i="7"/>
  <c r="G303" i="7"/>
  <c r="G302" i="7"/>
  <c r="G301" i="7"/>
  <c r="G300" i="7"/>
  <c r="G299" i="7"/>
  <c r="G298" i="7"/>
  <c r="G297" i="7"/>
  <c r="G296" i="7"/>
  <c r="G295" i="7"/>
  <c r="G294" i="7"/>
  <c r="G293" i="7"/>
  <c r="G292" i="7"/>
  <c r="G291" i="7"/>
  <c r="G290" i="7"/>
  <c r="G289" i="7"/>
  <c r="G288" i="7"/>
  <c r="G287" i="7"/>
  <c r="G286" i="7"/>
  <c r="G285" i="7"/>
  <c r="G284" i="7"/>
  <c r="G283" i="7"/>
  <c r="G282" i="7"/>
  <c r="G281" i="7"/>
  <c r="G280" i="7"/>
  <c r="G279" i="7"/>
  <c r="G278" i="7"/>
  <c r="G277" i="7"/>
  <c r="G276" i="7"/>
  <c r="G275" i="7"/>
  <c r="G274" i="7"/>
  <c r="G273" i="7"/>
  <c r="G272" i="7"/>
  <c r="G271" i="7"/>
  <c r="G270" i="7"/>
  <c r="G269" i="7"/>
  <c r="G268" i="7"/>
  <c r="G267" i="7"/>
  <c r="G266" i="7"/>
  <c r="G265"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118" i="7"/>
  <c r="F1177" i="7" l="1"/>
  <c r="F19" i="2"/>
  <c r="E19" i="2"/>
</calcChain>
</file>

<file path=xl/sharedStrings.xml><?xml version="1.0" encoding="utf-8"?>
<sst xmlns="http://schemas.openxmlformats.org/spreadsheetml/2006/main" count="11781" uniqueCount="1945">
  <si>
    <t>SRL NO</t>
  </si>
  <si>
    <t>Tran Date</t>
  </si>
  <si>
    <t>CHQNO</t>
  </si>
  <si>
    <t>PARTICULARS</t>
  </si>
  <si>
    <t>DR</t>
  </si>
  <si>
    <t>CR</t>
  </si>
  <si>
    <t>BAL</t>
  </si>
  <si>
    <t>-</t>
  </si>
  <si>
    <t>BRN-PYMT-CARD-4111460000883615</t>
  </si>
  <si>
    <t>UPI/P2M/446744091172/BHAUSAHEB MOTIRAM GAR/Vegita/Yes Bank Ltd</t>
  </si>
  <si>
    <t>ATM-CASH/SBI SHIVAJI NAGAR/NASHIK/130424</t>
  </si>
  <si>
    <t>UPI/P2M/410541862822/Indian Railways Ticke/Train/Yes Bank Ltd</t>
  </si>
  <si>
    <t>UPI/P2M/411095712497/GUPTA E MITRA AND ZER/Photoc/Yes Bank Ltd</t>
  </si>
  <si>
    <t>UPI/P2M/411459686670/Fatema Trading Compan/Tower/Axis Bank Ltd.</t>
  </si>
  <si>
    <t>UPI/P2M/411449842717/BharatPe Merchant    /Pipe/YesBank_Yespay</t>
  </si>
  <si>
    <t>UPI/P2A/448007256487/KAPDO KA KHAJANA     /Carpet/Yes Bank Ltd</t>
  </si>
  <si>
    <t>UPI/P2A/448007256487/910010047943167/230424/Yes Bank Ltd</t>
  </si>
  <si>
    <t>UPI/P2A/448054080770/ANJUM KHAN SATTAR KHA/Paymen/Union Bank of India</t>
  </si>
  <si>
    <t>ATM-CASH-AXIS/BPRH265601/9469/240424/NASHIK</t>
  </si>
  <si>
    <t>UPI/P2M/448174004942/SUSHIL GHUSALE SO BHA/Zarda/Yes Bank Ltd</t>
  </si>
  <si>
    <t>NBSM/57244624/Maha Electricity(BILLDESK)/</t>
  </si>
  <si>
    <t>NBSM/57245185/Nashik Municipal Corporation/</t>
  </si>
  <si>
    <t>INB/IFT/KJSS COSMOS PRIVATE LIMITED/TPARTY TRANSF</t>
  </si>
  <si>
    <t>UPI/P2M/411805104447/NashikNSK            /Shoe/Amazon Private Limit</t>
  </si>
  <si>
    <t>UPI/P2M/411921369959/SARTHAK PETROLEUM    /Disesa/Yes Bank Ltd</t>
  </si>
  <si>
    <t>NEFT/SBIN324121083902/Mr  AJAY KUMAR GUPTA/STATE BANK OF INDIA//ATTN//INB//Monthly Expenses</t>
  </si>
  <si>
    <t>UPI/P2M/448970608822/BHARAT SHIVAJI SALVE /Fruits/Yes Bank Ltd</t>
  </si>
  <si>
    <t>UPI/P2M/448911266700/Mr AJAY VASANT RAUT  /Dry cl/Yes Bank Ltd</t>
  </si>
  <si>
    <t>UPI/P2M/448932832970/PRATIBHA SUDHAKAR MO /Pratib/Yes Bank Ltd</t>
  </si>
  <si>
    <t>AXISDIRECT/R692391/06-05-2024/10:05</t>
  </si>
  <si>
    <t>UPI/P2A/449389099908/Mr MANOJ GUPTA       /Paymen/Indian Bank</t>
  </si>
  <si>
    <t>UPI/P2A/449302486607/Mr MANOJ GUPTA       /Paymen/Indian Bank</t>
  </si>
  <si>
    <t>UPI/P2A/449569224809/Sachin Kanoba Bokepho/Paymen/State Bank Of India</t>
  </si>
  <si>
    <t>UPI/P2A/449509556327/Sachin Kanoba Bokepho/Paymen/State Bank Of India</t>
  </si>
  <si>
    <t>UPI/P2M/413163677520/SWIGGY               /Paymen/ICICI Bank</t>
  </si>
  <si>
    <t>UPI/P2A/450233004031/VIMAL  KUMAR SO BHOLA/Paymen/State Bank Of India</t>
  </si>
  <si>
    <t>INB/IFT/SUNITA GUPTA/TPARTY TRANSFER</t>
  </si>
  <si>
    <t>UPI/P2A/450320991800/ASHOK KUMAR GUPTA    /Paymen/Punjab National Bank</t>
  </si>
  <si>
    <t>UPI/P2M/413874012282/JEET PHARMACY AND MIN/Ice ct/Axis Bank Ltd.</t>
  </si>
  <si>
    <t>UPI/P2A/450680702213/ASHOK KUMAR GUPTA    /Paymen/Punjab National Bank</t>
  </si>
  <si>
    <t>UPI/P2M/414146719059/JEET PHARMACY AND MIN/Kayam/Axis Bank Ltd.</t>
  </si>
  <si>
    <t>UPI/P2A/451162913988/Muhammed Muzammil K V/Paymen/State Bank Of India</t>
  </si>
  <si>
    <t>UPI/P2M/414517447738/APOLLO HOSPITALS ENTE/Apollo/HDFC BANK LTD</t>
  </si>
  <si>
    <t>UPI/P2M/414593538669/APOLLO HOSPITALS ENTE/Medica/HDFC BANK LTD</t>
  </si>
  <si>
    <t>NBSM/60583178/Maha Electricity(BILLDESK)/</t>
  </si>
  <si>
    <t>UPI/P2A/451177826369/Muhammed Muzammil K V/Paymen/State Bank Of India</t>
  </si>
  <si>
    <t>BY CASH DEPOSIT-BNA/BPRH265601/5124/240524/NASHIK</t>
  </si>
  <si>
    <t>ECS/UTIBDE04677421202405/PMSBY RENEWAL TAGIC</t>
  </si>
  <si>
    <t>UPI/P2A/451439281154/ASHOK KUMAR GUPTA    /Paymen/Punjab National Bank</t>
  </si>
  <si>
    <t>UPI/P2A/414907590151/Shabnam  Begum       /Zarda/State Bank Of India</t>
  </si>
  <si>
    <t>UPI/P2M/415066759547/Rajal Computer       /Printi/Axis Bank Ltd.</t>
  </si>
  <si>
    <t>UPI/P2M/451690800787/HITESHKUMAR PRANLAL T/Medice/Punjab National Bank</t>
  </si>
  <si>
    <t>UPI/P2M/415164383951/HOTEL SURBHI         /Food b/HDFC BANK LTD</t>
  </si>
  <si>
    <t>UPI/P2M/415116663344/Rajal Computer       /Statio/Axis Bank Ltd.</t>
  </si>
  <si>
    <t>UPI/P2M/451947447708/BHARAT SHIVAJI SALVE /Mango/Yes Bank Ltd</t>
  </si>
  <si>
    <t>UPI/P2M/452074453823/BHARAT SHIVAJI SALVE /Fruits/Yes Bank Ltd</t>
  </si>
  <si>
    <t>UPI/P2M/452087253167/PhonePe              /Paymen/Yes Bank Ltd</t>
  </si>
  <si>
    <t>UPI/P2M/452037312896/KHUSHI PETROLEUM     /Paymen/Yes Bank Ltd</t>
  </si>
  <si>
    <t>UPI/P2A/452131999086/Muhammed Muzammil K V/Paymen/State Bank Of India</t>
  </si>
  <si>
    <t>UPI/P2A/452253485222/VIMAL  KUMAR SO BHOLA/Paymen/State Bank Of India</t>
  </si>
  <si>
    <t>UPI/P2A/452323002890/NITIN  VERMA         /Diesal/Kotak Mahindra Bank</t>
  </si>
  <si>
    <t>UPI/P2M/415845829650/Patidar Fules HPCL   /Diesal/Yes Bank Ltd</t>
  </si>
  <si>
    <t>UPI/P2A/452520975801/LAXMI KANAKRAJ PILLAI/Paymen/ICICI Bank</t>
  </si>
  <si>
    <t>UPI/P2M/452614430065/PhonePe              /Paymen/Yes Bank Ltd</t>
  </si>
  <si>
    <t>UPI/P2M/452624640519/KUNDAN FUEL PLAZA    /Diesal/Yes Bank Ltd</t>
  </si>
  <si>
    <t>UPI/P2M/416125120760/SSSA                 /Paymen/Axis Bank Ltd.</t>
  </si>
  <si>
    <t>UPI/P2M/452844082535/VAIBHAV VASANTRAO MOR/Zarda/Yes Bank Ltd</t>
  </si>
  <si>
    <t>UPI/P2M/453783985236/KUNAL EAKNATH MAKUNE /Milk/Yes Bank Ltd</t>
  </si>
  <si>
    <t>UPI/P2M/417146888867/JEET PHARMACY AND MIN/Medice/Axis Bank Ltd.</t>
  </si>
  <si>
    <t>UPI/P2A/454060110117/ASHOK KUMAR GUPTA    /Paymen/Punjab National Bank</t>
  </si>
  <si>
    <t>NBSM/63927314/Maha Electricity(BILLDESK)/</t>
  </si>
  <si>
    <t>UPI/P2M/417623153565/Mr Asaram Narayan Dol/Vegita/Yes Bank Ltd</t>
  </si>
  <si>
    <t>UPI/P2A/454261245339/PRAMOD SHARMA SO S N /Paymen/Axis Bank Ltd.</t>
  </si>
  <si>
    <t>UPI/P2M/454485617031/MANGAL MAHESH R      /Jamun/Yes Bank Ltd</t>
  </si>
  <si>
    <t>UPI/P2M/454488613118/PROP KALPESH KANAIYA /Photoc/Yes Bank Ltd</t>
  </si>
  <si>
    <t>UPI/P2M/454421645183/BHARAT SHIVAJI SALVE /Fruits/Yes Bank Ltd</t>
  </si>
  <si>
    <t>UPI/P2M/454431082373/KRUSHIKESH P BHADANE /Zardha/Yes Bank Ltd</t>
  </si>
  <si>
    <t>UPI/P2M/454493070930/AMOL SANTU DHONN     /Bsnans/Yes Bank Ltd</t>
  </si>
  <si>
    <t>UPI/P2M/454557981675/KUNAL EAKNATH MAKUNE /Milk/Yes Bank Ltd</t>
  </si>
  <si>
    <t>NEFT/N179243115850062/AJAY KUMAR GUPTA/HDFC BANK/Transfer from HDFC</t>
  </si>
  <si>
    <t>Name :- AJAY KUMAR GUPTA</t>
  </si>
  <si>
    <t>Joint Holder :- -</t>
  </si>
  <si>
    <t>FLAT NO D-07 ISHWAR PARADISE ASHOKA MARG</t>
  </si>
  <si>
    <t>NASHIK BEHIND INOX THEATRE</t>
  </si>
  <si>
    <t>NASHIK-422011</t>
  </si>
  <si>
    <t>MAHARASHTRA-INDIA</t>
  </si>
  <si>
    <t>Customer ID :- 837058342</t>
  </si>
  <si>
    <t>IFSC Code :- UTIB0000115</t>
  </si>
  <si>
    <t>MICR Code :- 422211002</t>
  </si>
  <si>
    <t xml:space="preserve">Nominee Registered :- Y                                                                                                   </t>
  </si>
  <si>
    <t>Registered Mobile No :- XXXXXX4014</t>
  </si>
  <si>
    <t>Registered Email ID :- g.XXXXay@yahoo.com</t>
  </si>
  <si>
    <t>PAN :- ACLPG1926E</t>
  </si>
  <si>
    <t>CKYC NUMBER :- NA</t>
  </si>
  <si>
    <t>Statement of Account No - 910010047943167 for the period (From : 01-04-2024 To : 30-06-2024)</t>
  </si>
  <si>
    <t>HDFC BANK Ltd.                                      Page No .:   1                                          Statement of accounts</t>
  </si>
  <si>
    <t>Account Branch :KOTA - RAJASTHAN</t>
  </si>
  <si>
    <t>MR.     AJAY KUMAR GUPTA</t>
  </si>
  <si>
    <t>Address :SHOWROOM NO. 13-14</t>
  </si>
  <si>
    <t>11 NEW MARKET</t>
  </si>
  <si>
    <t>MAIN JHALAWAR ROAD</t>
  </si>
  <si>
    <t>ABHINANDAN NEW MARKET</t>
  </si>
  <si>
    <t>.</t>
  </si>
  <si>
    <t>RAWATBHATA</t>
  </si>
  <si>
    <t>City :KOTA</t>
  </si>
  <si>
    <t>RAWATBHATTA BAZAR 323307</t>
  </si>
  <si>
    <t>State :RAJASTHAN</t>
  </si>
  <si>
    <t>Phone no. :18002026161</t>
  </si>
  <si>
    <t>Email :</t>
  </si>
  <si>
    <t>JOINT HOLDERS :</t>
  </si>
  <si>
    <t>OD Limit :0   Currency :INR</t>
  </si>
  <si>
    <t>Cust ID :2600484</t>
  </si>
  <si>
    <t>Nomination  :  Registered</t>
  </si>
  <si>
    <t>Account No :01671000085930   VIRTUAL PREFERRED</t>
  </si>
  <si>
    <t>Statement From  :  01/04/2024         To  :  30/06/2024</t>
  </si>
  <si>
    <t>A/C Open Date :01/06/2005</t>
  </si>
  <si>
    <t>Account Status :Regular</t>
  </si>
  <si>
    <t>RTGS/NEFT IFSC :HDFC0000167   MICR :324240002</t>
  </si>
  <si>
    <t>Date</t>
  </si>
  <si>
    <t>Narration</t>
  </si>
  <si>
    <t>Chq./Ref.No.</t>
  </si>
  <si>
    <t>Value Dt</t>
  </si>
  <si>
    <t>Withdrawal Amt.</t>
  </si>
  <si>
    <t>Deposit Amt.</t>
  </si>
  <si>
    <t>Closing Balance</t>
  </si>
  <si>
    <t>NET PI TO HSL SEC A/C 347707-00602340029392</t>
  </si>
  <si>
    <t>0000000508947795</t>
  </si>
  <si>
    <t>0000000509074379</t>
  </si>
  <si>
    <t>NET PO FROM HSL A/C 347707-50200085415108</t>
  </si>
  <si>
    <t>0000000509179804</t>
  </si>
  <si>
    <t>0000000509225366</t>
  </si>
  <si>
    <t>0000000509405924</t>
  </si>
  <si>
    <t>0000000509532842</t>
  </si>
  <si>
    <t>0000000509799278</t>
  </si>
  <si>
    <t>0000000510051241</t>
  </si>
  <si>
    <t>0000000510203032</t>
  </si>
  <si>
    <t>0000000510341877</t>
  </si>
  <si>
    <t>0000000510485360</t>
  </si>
  <si>
    <t>0000000510621583</t>
  </si>
  <si>
    <t>DEPOSITORY CHARGES MAR24 - 40227714</t>
  </si>
  <si>
    <t>000000000000000</t>
  </si>
  <si>
    <t>0000000510779582</t>
  </si>
  <si>
    <t>0000000510985284</t>
  </si>
  <si>
    <t>0000000511165682</t>
  </si>
  <si>
    <t>0000000511330777</t>
  </si>
  <si>
    <t>0000000511654461</t>
  </si>
  <si>
    <t>ACH D- INDIAN CLEARING CORP-P25847605X05</t>
  </si>
  <si>
    <t>0000002752130850</t>
  </si>
  <si>
    <t>0000000511958482</t>
  </si>
  <si>
    <t>0000000512088001</t>
  </si>
  <si>
    <t>0000000512207565</t>
  </si>
  <si>
    <t>0000000512237238</t>
  </si>
  <si>
    <t>0000000512389010</t>
  </si>
  <si>
    <t>0000000512545048</t>
  </si>
  <si>
    <t>0000000512591630</t>
  </si>
  <si>
    <t>0000002864370493</t>
  </si>
  <si>
    <t>0000000512957805</t>
  </si>
  <si>
    <t>NEFT CR-YESB0000001-INDIAN CLEARING CORP-AJAYKUMARGUPTA-YESIG41060059863</t>
  </si>
  <si>
    <t>YESIG41060059863</t>
  </si>
  <si>
    <t>0000000513276622</t>
  </si>
  <si>
    <t>0000000513297155</t>
  </si>
  <si>
    <t>0000000513418077</t>
  </si>
  <si>
    <t>0000000513560095</t>
  </si>
  <si>
    <t>0000000513710773</t>
  </si>
  <si>
    <t>0000000513848712</t>
  </si>
  <si>
    <t>0000000513971209</t>
  </si>
  <si>
    <t>0000000514018187</t>
  </si>
  <si>
    <t>0000000514278610</t>
  </si>
  <si>
    <t>0000000514551326</t>
  </si>
  <si>
    <t>0000003106454888</t>
  </si>
  <si>
    <t>0000000514745193</t>
  </si>
  <si>
    <t>0000000514852243</t>
  </si>
  <si>
    <t>0000000514994272</t>
  </si>
  <si>
    <t>0000000515134597</t>
  </si>
  <si>
    <t>01671000060094-TPT-MONEY RETURNED FROM SUNITA TO AKG-SUNITA GUPTA</t>
  </si>
  <si>
    <t>0000000111887665</t>
  </si>
  <si>
    <t>0000000515287529</t>
  </si>
  <si>
    <t>0000000515432083</t>
  </si>
  <si>
    <t>0000000515526474</t>
  </si>
  <si>
    <t>0000000515802365</t>
  </si>
  <si>
    <t>0000000515976668</t>
  </si>
  <si>
    <t>0000000516122816</t>
  </si>
  <si>
    <t>0000000516239136</t>
  </si>
  <si>
    <t>0000000516273957</t>
  </si>
  <si>
    <t>0000000516399667</t>
  </si>
  <si>
    <t>0000000516552302</t>
  </si>
  <si>
    <t>0000000516671473</t>
  </si>
  <si>
    <t>0000000516700595</t>
  </si>
  <si>
    <t>0000000516844460</t>
  </si>
  <si>
    <t>0000000517008885</t>
  </si>
  <si>
    <t>0000000517272110</t>
  </si>
  <si>
    <t>0000000517430468</t>
  </si>
  <si>
    <t>0000000517565970</t>
  </si>
  <si>
    <t>0000000517787586</t>
  </si>
  <si>
    <t>00012050001396HLY INT-IN0020210178</t>
  </si>
  <si>
    <t>0000405023155228</t>
  </si>
  <si>
    <t>0000000517954762</t>
  </si>
  <si>
    <t>0000000518079050</t>
  </si>
  <si>
    <t>0000000518107939</t>
  </si>
  <si>
    <t>ISAQMC-JAN-MAR24-101236 260424-MIR2512491298592</t>
  </si>
  <si>
    <t>MIR2512491298592</t>
  </si>
  <si>
    <t>0000000518219628</t>
  </si>
  <si>
    <t>ATW-512967XXXXXX1000-S1ANMN04-NASHIK</t>
  </si>
  <si>
    <t>0000000000008403</t>
  </si>
  <si>
    <t>0000000518406417</t>
  </si>
  <si>
    <t>0000000518805491</t>
  </si>
  <si>
    <t>0000000519004360</t>
  </si>
  <si>
    <t>0000000519285252</t>
  </si>
  <si>
    <t>0000000519457190</t>
  </si>
  <si>
    <t>0000000519504613</t>
  </si>
  <si>
    <t>0000000519616723</t>
  </si>
  <si>
    <t>0000000519745614</t>
  </si>
  <si>
    <t>0000000519886867</t>
  </si>
  <si>
    <t>0000000520119092</t>
  </si>
  <si>
    <t>DEPOSITORY CHARGES APR24 - 40227714</t>
  </si>
  <si>
    <t>01671000060094-TPT-MNY RETURNED FROM SUNITA TO AKG-SUNITA GUPTA</t>
  </si>
  <si>
    <t>0000000689770386</t>
  </si>
  <si>
    <t>0000000520334243</t>
  </si>
  <si>
    <t>0000003895847005</t>
  </si>
  <si>
    <t>0000000520634478</t>
  </si>
  <si>
    <t>0000000520782167</t>
  </si>
  <si>
    <t>0000000520921199</t>
  </si>
  <si>
    <t>0000000521117595</t>
  </si>
  <si>
    <t>0000000521275901</t>
  </si>
  <si>
    <t>0000000521528661</t>
  </si>
  <si>
    <t>0000000521782110</t>
  </si>
  <si>
    <t>0000000521813102</t>
  </si>
  <si>
    <t>0000004003827113</t>
  </si>
  <si>
    <t>0000000521951662</t>
  </si>
  <si>
    <t>0000000522072046</t>
  </si>
  <si>
    <t>0000000522214917</t>
  </si>
  <si>
    <t>UPI-VIMAL  KUMAR SO BHOL-9988590043@YBL-SBIN0050393-450319659260-PAYMENT FROM PHONE</t>
  </si>
  <si>
    <t>0000450319659260</t>
  </si>
  <si>
    <t>0000000522343383</t>
  </si>
  <si>
    <t>0000000522488032</t>
  </si>
  <si>
    <t>0000000522749771</t>
  </si>
  <si>
    <t>00012050001396HLY INT-IN0020200286</t>
  </si>
  <si>
    <t>0000405188701169</t>
  </si>
  <si>
    <t>0000000523034675</t>
  </si>
  <si>
    <t>0000004099013012</t>
  </si>
  <si>
    <t>0000000523324125</t>
  </si>
  <si>
    <t>0000000523573920</t>
  </si>
  <si>
    <t>0000000523733561</t>
  </si>
  <si>
    <t>0000000523867241</t>
  </si>
  <si>
    <t>0000000524019623</t>
  </si>
  <si>
    <t>JANMAR24 INSTAALERTCHG 68 SMS 140524-MIR2514339194211</t>
  </si>
  <si>
    <t>MIR2514339194211</t>
  </si>
  <si>
    <t>0000000524195613</t>
  </si>
  <si>
    <t>0000000524321857</t>
  </si>
  <si>
    <t>0000000524469572</t>
  </si>
  <si>
    <t>0000000524522879</t>
  </si>
  <si>
    <t>0000000524652424</t>
  </si>
  <si>
    <t>ACH C- SANOFI INDIA DIV PMT-71PR24051801</t>
  </si>
  <si>
    <t>0000004251939467</t>
  </si>
  <si>
    <t>0000000524835819</t>
  </si>
  <si>
    <t>0000000525167498</t>
  </si>
  <si>
    <t>0000000525459668</t>
  </si>
  <si>
    <t>0000000525488272</t>
  </si>
  <si>
    <t>0000000525607295</t>
  </si>
  <si>
    <t>0000000525901408</t>
  </si>
  <si>
    <t>0000000526004925</t>
  </si>
  <si>
    <t>0000000526150464</t>
  </si>
  <si>
    <t>0000000526177640</t>
  </si>
  <si>
    <t>0000000526418982</t>
  </si>
  <si>
    <t>0000000526579901</t>
  </si>
  <si>
    <t>0000000526615409</t>
  </si>
  <si>
    <t>0000000526851695</t>
  </si>
  <si>
    <t>0000000526986285</t>
  </si>
  <si>
    <t>0000000527041391</t>
  </si>
  <si>
    <t>NEFT CR-SBIN0011669-MR  AJAY KUMAR GUPTA-AJAY KUMAR GUPTA-SBIN324153115929</t>
  </si>
  <si>
    <t>SBIN324153115929</t>
  </si>
  <si>
    <t>UPI-PHONEPE-BBPSBP@YBL-YESB0YBLUPI-452016677258-PAYMENT FROM PHONE</t>
  </si>
  <si>
    <t>0000452016677258</t>
  </si>
  <si>
    <t>0000000527397864</t>
  </si>
  <si>
    <t>0000000527731122</t>
  </si>
  <si>
    <t>0000000527930654</t>
  </si>
  <si>
    <t>0000000528305525</t>
  </si>
  <si>
    <t>UPI-XXXXXX0094-HDFC0000001-415752435538-PAYMENT FROM PHONE</t>
  </si>
  <si>
    <t>0000415752435538</t>
  </si>
  <si>
    <t>0000000528701968</t>
  </si>
  <si>
    <t>0000000529071795</t>
  </si>
  <si>
    <t>0000000529245064</t>
  </si>
  <si>
    <t>0000000529515107</t>
  </si>
  <si>
    <t>0000000529676801</t>
  </si>
  <si>
    <t>0000000529819516</t>
  </si>
  <si>
    <t>01671000060094-TPT-MNY RTRN FROM SUNITA TO AKG-SUNITA GUPTA</t>
  </si>
  <si>
    <t>0000000335441226</t>
  </si>
  <si>
    <t>0000000530028903</t>
  </si>
  <si>
    <t>0000004806034340</t>
  </si>
  <si>
    <t>0000000530279602</t>
  </si>
  <si>
    <t>0000000530427349</t>
  </si>
  <si>
    <t>0000000530590183</t>
  </si>
  <si>
    <t>0000000530711119</t>
  </si>
  <si>
    <t>0000000530864703</t>
  </si>
  <si>
    <t>0000000531136794</t>
  </si>
  <si>
    <t>0000000531289294</t>
  </si>
  <si>
    <t>0000000531451123</t>
  </si>
  <si>
    <t>YHDF2352288572/BILLDKINDIANCLEARING</t>
  </si>
  <si>
    <t>0002416553263041</t>
  </si>
  <si>
    <t>0000000531587247</t>
  </si>
  <si>
    <t>0000000531840013</t>
  </si>
  <si>
    <t>0000000531871407</t>
  </si>
  <si>
    <t>UPI-ARCHIT GUPTA-8668331033@HDFCBANK-HDFC0004690-416673138820-TEST</t>
  </si>
  <si>
    <t>0000416673138820</t>
  </si>
  <si>
    <t>UPI-ARCHIT GUPTA-8668331033@HDFCBANK-HDFC0004690-416641481959-PAYMENT FROM PHONE</t>
  </si>
  <si>
    <t>0000416641481959</t>
  </si>
  <si>
    <t>0000000531975560</t>
  </si>
  <si>
    <t>0000000532264223</t>
  </si>
  <si>
    <t>0000000532298597</t>
  </si>
  <si>
    <t>0000004980000211</t>
  </si>
  <si>
    <t>DEPOSITORY CHARGES MAY24 - 40227714</t>
  </si>
  <si>
    <t>ACH C- ADVANI HOTELS AND RE-065233300021</t>
  </si>
  <si>
    <t>0000005177416654</t>
  </si>
  <si>
    <t>0000000532535481</t>
  </si>
  <si>
    <t>0000000532814042</t>
  </si>
  <si>
    <t>0000000532849604</t>
  </si>
  <si>
    <t>0000000532984869</t>
  </si>
  <si>
    <t>0000000533075328</t>
  </si>
  <si>
    <t>0000000533160729</t>
  </si>
  <si>
    <t>0000005280256978</t>
  </si>
  <si>
    <t>0000000533454440</t>
  </si>
  <si>
    <t>0000000533660771</t>
  </si>
  <si>
    <t>0000000533935977</t>
  </si>
  <si>
    <t>50100542230922-TPT-TRANSFER FROM AKG TO ARCHIT-ARCHIT GUPTA</t>
  </si>
  <si>
    <t>0000000591315232</t>
  </si>
  <si>
    <t>0000000534119446</t>
  </si>
  <si>
    <t>0000000534444748</t>
  </si>
  <si>
    <t>0000000534735236</t>
  </si>
  <si>
    <t>0000000534762095</t>
  </si>
  <si>
    <t>01671000060094-TPT-MARRIAGE EXPENSES FROM SUNITA-SUNITA GUPTA</t>
  </si>
  <si>
    <t>0000000507065624</t>
  </si>
  <si>
    <t>NEFT CR-SBIN0011669-MR  AJAY KUMAR GUPTA-AJAY KUMAR GUPTA-SBIN424177238479</t>
  </si>
  <si>
    <t>SBIN424177238479</t>
  </si>
  <si>
    <t>0000000534876114</t>
  </si>
  <si>
    <t>ACH C- BOM DIV 2023-2024-43140</t>
  </si>
  <si>
    <t>0000005460799875</t>
  </si>
  <si>
    <t>2506003750 TATA MOTORS LTD ORD DIV 23 24</t>
  </si>
  <si>
    <t>0000250624130746</t>
  </si>
  <si>
    <t>0000000535066815</t>
  </si>
  <si>
    <t>0000000535208384</t>
  </si>
  <si>
    <t>ACH C- IIL FINAL 2023 24-67124</t>
  </si>
  <si>
    <t>0000005472863319</t>
  </si>
  <si>
    <t>0000000535344670</t>
  </si>
  <si>
    <t>0000000535495545</t>
  </si>
  <si>
    <t>0000000535768714</t>
  </si>
  <si>
    <t>00012050001396HLY INT-IN0020220110</t>
  </si>
  <si>
    <t>0000406275113575</t>
  </si>
  <si>
    <t>NEFT DR-UTIB0000115-AJAY KUMAR GUPTA-NETBANK, MUM-N179243115850062-TRANSFER FROM HDFC</t>
  </si>
  <si>
    <t>N179243115850062</t>
  </si>
  <si>
    <t>0000000535935400</t>
  </si>
  <si>
    <t>ACH C- LTIMIN FINAL 2023 24-214032</t>
  </si>
  <si>
    <t>0000005527258532</t>
  </si>
  <si>
    <t>0000000536194763</t>
  </si>
  <si>
    <t>INTEREST PAID TILL 30-JUN-2024</t>
  </si>
  <si>
    <t>ATM Cash Withdrawal</t>
  </si>
  <si>
    <t>Cash Deposit</t>
  </si>
  <si>
    <t>UPI</t>
  </si>
  <si>
    <t>Electricity Bill</t>
  </si>
  <si>
    <t>NMC Property Tax</t>
  </si>
  <si>
    <t>KJSS</t>
  </si>
  <si>
    <t>Transfer to Sunita Gupta</t>
  </si>
  <si>
    <t>HSL</t>
  </si>
  <si>
    <t>Depository Charges</t>
  </si>
  <si>
    <t>Which Buyback??</t>
  </si>
  <si>
    <t>Transfer from Sunita</t>
  </si>
  <si>
    <t>Bank Charges</t>
  </si>
  <si>
    <t>ATM Withdrawal</t>
  </si>
  <si>
    <t>Dividend Income</t>
  </si>
  <si>
    <t>Transfer to Archit</t>
  </si>
  <si>
    <t>Which Interest??</t>
  </si>
  <si>
    <t>Bank Interest</t>
  </si>
  <si>
    <t>Transfer from Archit</t>
  </si>
  <si>
    <t>Contra</t>
  </si>
  <si>
    <t>NBSM/64773635/EASEBUZZ PVT LIMITED/</t>
  </si>
  <si>
    <t>SB:910010047943167:Int.Pd:01-04-2024 to 30-06-2024</t>
  </si>
  <si>
    <t>UPI/P2M/418440738337/APSARA COLLECTION    /Suit/Yes Bank Ltd</t>
  </si>
  <si>
    <t>UPI/P2M/418623694684/Mr Asaram Narayan Dol/Vegita/Yes Bank Ltd</t>
  </si>
  <si>
    <t>UPI/P2M/418654005321/M/S.ADGAONKAR AND SON/Adgaon/ICICI Bank</t>
  </si>
  <si>
    <t>UPI/P2M/418740746646/RAMDAYAL HANUMANDAS S/Saree/ICICI Bank</t>
  </si>
  <si>
    <t>UPI/P2M/418963823971/S UYIKKATTAN         /Bada/Yes Bank Ltd</t>
  </si>
  <si>
    <t>UPI/P2A/455618510656/SONAWANE ANAND PARASH/Paymen/Bank of Baroda</t>
  </si>
  <si>
    <t>UPI/P2M/419329306796/GHEE STORES DAIRY AND/Ghee/Yes Bank Ltd</t>
  </si>
  <si>
    <t>UPI/P2M/419550283771/MS.KEDAWAT SILK AND S/Saree/ICICI Bank</t>
  </si>
  <si>
    <t>UPI/P2A/456478844787/AMIT KAMALKISHOR CHAN/Paymen/Axis Bank Ltd.</t>
  </si>
  <si>
    <t>LIC  have been provided with Annuity</t>
  </si>
  <si>
    <t>NEFT/SBIN524200756925/Mr AJAY KUMAR GUPTA/STATE BANK OF INDIA//ATTN//INB//monthly expenses</t>
  </si>
  <si>
    <t xml:space="preserve">          659663</t>
  </si>
  <si>
    <t>SAK/CASH WDL/SAK403190824/2656/BODHALE N/SELF</t>
  </si>
  <si>
    <t>INB/67125425/INTERNET TAX PAYMENT/</t>
  </si>
  <si>
    <t>UPI/P2M/420031768194/JEET PHARMACY AND MIN/Medice/Axis Bank Ltd.</t>
  </si>
  <si>
    <t>UPI/P2M/456753903284/NEW NILESH MEDICAL AN/Medice/Yes Bank Ltd</t>
  </si>
  <si>
    <t>UPI/P2M/420138720217/M/S.ADGAONKAR AND SON/Gold r/ICICI Bank</t>
  </si>
  <si>
    <t>UPI/P2M/456887681961/PROP KALPESH KANAIYA /Photoc/Yes Bank Ltd</t>
  </si>
  <si>
    <t>UPI/P2M/420293650707/M/S.ADGAONKAR AND SON/Gold r/ICICI Bank</t>
  </si>
  <si>
    <t>UPI/P2A/457163317766/ASHA  KAMLE          /Paymen/State Bank Of India</t>
  </si>
  <si>
    <t>UPI/P2M/420573772013/ARUN KUMAR JAIN      /Photo/Karnataka Bank</t>
  </si>
  <si>
    <t>UPI/P2M/420616707831/GIRDHAR GOPAL GUPTA S/Pay to/Federal Bank</t>
  </si>
  <si>
    <t>NBSM/67984092/Maha Electricity(BILLDESK)/</t>
  </si>
  <si>
    <t>UPI/P2M/457372059976/SHAKIR SO NASIR HUSAI/Talor/Yes Bank Ltd</t>
  </si>
  <si>
    <t>UPI/P2A/420777807900/VIRENDRA SINGH SOLANK/Auto/AU small Finance Ban</t>
  </si>
  <si>
    <t>UPI/P2M/420884821865/Vijaybhai Vedprakash /Cold d/Yes Bank Ltd</t>
  </si>
  <si>
    <t>NEFT/SBIN124210459866/Mr AJAY KUMAR GUPTA/STATE BANK OF INDIA//ATTN//INB//monthly expenses</t>
  </si>
  <si>
    <t>UPI/P2A/421325682040/MEGHA GUPTA          /Paymen/HDFC BANK LTD</t>
  </si>
  <si>
    <t>UPI/P2M/458073450011/PROP KALPESH KANAIYA /Photoc/Yes Bank Ltd</t>
  </si>
  <si>
    <t>UPI/P2M/421501552214/JEET PHARMACY AND MIN/Eye dr/Axis Bank Ltd.</t>
  </si>
  <si>
    <t>UPI/P2M/458275248313/Mr VILAS RAMKRUSHNA J/Photo/Yes Bank Ltd</t>
  </si>
  <si>
    <t>UPI/P2M/458248660406/AANCHAL ENTERPRISES  /Statio/Yes Bank Ltd</t>
  </si>
  <si>
    <t>UPI/P2M/458220030334/BHAUSAHEB MOTIRAM GAR/Vegita/Yes Bank Ltd</t>
  </si>
  <si>
    <t>UPI/P2M/458450745037/K MUHURAT RETAIL IND /Jeans/Yes Bank Ltd</t>
  </si>
  <si>
    <t>UPI/P2M/458459190215/K MUHURAT RETAIL IND /T shir/Yes Bank Ltd</t>
  </si>
  <si>
    <t>UPI/P2M/458641113189/LAKHAN PARAJI KALE   /Vegita/Yes Bank Ltd</t>
  </si>
  <si>
    <t>AXIS SECURITIES/</t>
  </si>
  <si>
    <t>UPI/P2M/458780235371/RAVI VASANTA MORKHADE/Prasad/HDFC BANK LTD</t>
  </si>
  <si>
    <t>UPI/P2M/422158034964/PAWAN VERAYTI        /Dupoat/Axis Bank Ltd.</t>
  </si>
  <si>
    <t>ATM-CASH-AXIS/BPRH265601/8362/100824/NASHIK</t>
  </si>
  <si>
    <t>UPI/P2M/422474136065/MEDPLUS ASHOKAMARG   /Medice/HDFC BANK LTD</t>
  </si>
  <si>
    <t>ATM-CASH-AXIS/BPRH265601/9107/140824/NASHIK</t>
  </si>
  <si>
    <t>UPI/P2M/459468183790/SHIVBHOLA VEGETABLE E/Vegita/Yes Bank Ltd</t>
  </si>
  <si>
    <t>UPI/P2M/459498775410/KUNAL EAKNATH MAKUNE /Milk/Yes Bank Ltd</t>
  </si>
  <si>
    <t>UPI/P2M/459509634657/KARTIKI PARCEL POINT /Food/Yes Bank Ltd</t>
  </si>
  <si>
    <t>Ac xfr from Sol 115 to 2656</t>
  </si>
  <si>
    <t>NEFT/SBIN124234705808/Mr AJAY KUMAR GUPTA/STATE BANK OF INDIA//ATTN//INB//Expenses</t>
  </si>
  <si>
    <t>UPI/P2A/460006680054/Master VISHAL WALMIK /Diesal/Bank of Maharashtra</t>
  </si>
  <si>
    <t>UPI/P2M/423592372084/JEET PHARMACY AND MIN/Medice/Axis Bank Ltd.</t>
  </si>
  <si>
    <t>UPI/P2M/423514139134/Mrs JYOTSNA SWAPNIL P/Pay to/Federal Bank</t>
  </si>
  <si>
    <t>UPI/P2M/423598476545/One97 Communications /Sweet/Yes Bank Ltd</t>
  </si>
  <si>
    <t>UPI/P2A/423630458419/ALKESH  SAUDHARIYA   /Taxi/State Bank Of India</t>
  </si>
  <si>
    <t>UPI/P2M/423674986589/RAGHUVANSHI THAL     /Food/Yes Bank Ltd</t>
  </si>
  <si>
    <t>UPI/P2M/423680372643/M/S.SHREE RAMDEV EVEN/Room r/ICICI Bank</t>
  </si>
  <si>
    <t>UPI/P2M/460392564660/THAKOR NITABEN PRAHLA/Tea/Yes Bank Ltd</t>
  </si>
  <si>
    <t>UPI/P2M/423838076496/M/S.SHREE RAMDEV EVEN/Room r/ICICI Bank</t>
  </si>
  <si>
    <t>UPI/P2M/423864622656/Shalby Limited       /Food/Yes Bank Ltd</t>
  </si>
  <si>
    <t>UPI/P2M/423835781392/Shalby Limited       /Tea/Yes Bank Ltd</t>
  </si>
  <si>
    <t>UPI/P2A/258371211871/DHARMENDRA C CHUDASAM/Paymen/ICICI Bank</t>
  </si>
  <si>
    <t>UPI/P2M/423884762183/One97 Communications /Soap/Yes Bank Ltd</t>
  </si>
  <si>
    <t>UPI/P2M/460424660734/THAKOR NITABEN PRAHLA/Tea/Yes Bank Ltd</t>
  </si>
  <si>
    <t>NBSM/72023697/Maha Electricity(BILLDESK)/</t>
  </si>
  <si>
    <t>UPI/P2M/460471897865/THAKOR NITABEN PRAHLA/Snax/Yes Bank Ltd</t>
  </si>
  <si>
    <t>UPI/P2M/460581117845/THAKOR NITABEN PRAHLA/Tea/Yes Bank Ltd</t>
  </si>
  <si>
    <t>UPI/P2M/423955439115/Shalby Limited       /Breakf/Yes Bank Ltd</t>
  </si>
  <si>
    <t>UPI/P2M/423979608902/Shalby Limited       /Lumch/Yes Bank Ltd</t>
  </si>
  <si>
    <t>UPI/P2A/928834172173/DHARMENDRA C CHUDASAM/Paymen/ICICI Bank</t>
  </si>
  <si>
    <t>UPI/P2M/423926994611/Shalby Limited       /Good/Yes Bank Ltd</t>
  </si>
  <si>
    <t>UPI/P2M/424011006346/Shalby Limited       /Food/Yes Bank Ltd</t>
  </si>
  <si>
    <t>UPI/P2M/460659249504/THAKOR NITABEN PRAHLA/Tea/Yes Bank Ltd</t>
  </si>
  <si>
    <t>UPI/P2M/424115666001/Shalby Limited       /Food/Yes Bank Ltd</t>
  </si>
  <si>
    <t>UPI/P2M/424195117137/Shalby Limited       /Food/Yes Bank Ltd</t>
  </si>
  <si>
    <t>UPI/P2M/424289917998/Shalby Limited       /Breakf/Yes Bank Ltd</t>
  </si>
  <si>
    <t>UPI/P2M/424245945327/DASHARATHJI JUHAJI TH/Tea/Yes Bank Ltd</t>
  </si>
  <si>
    <t>UPI/P2M/424291609306/UDAYASIH             /Food/Yes Bank Ltd</t>
  </si>
  <si>
    <t>UPI/P2A/462248502550/DHARMENDRA C CHUDASAM/Paymen/ICICI Bank</t>
  </si>
  <si>
    <t>UPI/P2M/424240039965/Shalby Limited       /Food/Yes Bank Ltd</t>
  </si>
  <si>
    <t>UPI/P2M/424329249748/DASHARATHJI JUHAJI TH/Tea/Yes Bank Ltd</t>
  </si>
  <si>
    <t>UPI/P2M/424393841020/Shalby Limited       /Food/Yes Bank Ltd</t>
  </si>
  <si>
    <t>UPI/P2M/424317902977/Shalby Limited       /Food/Yes Bank Ltd</t>
  </si>
  <si>
    <t>UPI/P2A/784706392751/DHARMENDRA C CHUDASAM/Paymen/ICICI Bank</t>
  </si>
  <si>
    <t>UPI/P2M/424582563377/BharatPe Merchant    /Pay to/YesBank_Yespay</t>
  </si>
  <si>
    <t>UPI/P2A/429126819132/VINEET AGARWAL SO SH /Paymen/Bank of India</t>
  </si>
  <si>
    <t>UPI/P2M/424649785650/BharatPe Merchant    /Pay to/YesBank_Yespay</t>
  </si>
  <si>
    <t>ATM-CASH-AXIS/APRH22806/3161/030924/KOTA</t>
  </si>
  <si>
    <t>ATM-CASH-AXIS/APRH22806/3162/030924/KOTA</t>
  </si>
  <si>
    <t>UPI/P2M/425498677564/MEDPLUS ASHOKAMARG   /Medice/HDFC BANK LTD</t>
  </si>
  <si>
    <t>INB/74092980/INTERNET TAX PAYMENT/</t>
  </si>
  <si>
    <t>NEFT/N255243261149985/AJAY KUMAR GUPTA/HDFC BANK/Monthly expenses</t>
  </si>
  <si>
    <t>UPI/P2M/425519158862/Smart Point Nashik U3/Juuces/ICICI Bank</t>
  </si>
  <si>
    <t>UPI/P2M/462150986711/ASHISH  KUMAR        /Coconu/Yes Bank Ltd</t>
  </si>
  <si>
    <t>UPI/P2M/462773074824/KUNAL EAKNATH MAKUNE /Milk/Yes Bank Ltd</t>
  </si>
  <si>
    <t xml:space="preserve">          659664</t>
  </si>
  <si>
    <t>SAK/CASH WDL/SAK410506359/2656/BODHALE N/SELF</t>
  </si>
  <si>
    <t>UPI/P2M/462955847110/KUNAL EAKNATH MAKUNE /Milk/Yes Bank Ltd</t>
  </si>
  <si>
    <t>UPI/P2M/426333897625/SOMANI HOSPITAL      /Medica/Yes Bank Ltd</t>
  </si>
  <si>
    <t>UPI/P2M/462953274594/SOMANI MEDICAL STORE /Medice/Yes Bank Ltd</t>
  </si>
  <si>
    <t>UPI/P2M/462962461431/SOMANI MEDICAL STORE /Medice/Yes Bank Ltd</t>
  </si>
  <si>
    <t>UPI/P2M/463367188441/SANGITA RAJENDRA MUTH/Teeth/Yes Bank Ltd</t>
  </si>
  <si>
    <t>UPI/P2M/463483897651/KUNAL EAKNATH MAKUNE /Milk/Yes Bank Ltd</t>
  </si>
  <si>
    <t>UPI/P2M/426889218779/BharatPe Merchant    /Pay to/YesBank_Yespay</t>
  </si>
  <si>
    <t>NBSM/75671758/Maha Electricity(BILLDESK)/</t>
  </si>
  <si>
    <t>UPI/P2M/427157262667/CHOPDA AUTO WHEELS   /Pay to/Federal Bank</t>
  </si>
  <si>
    <t>UPI/P2A/427164041191/SANDEEP HARI WAGHMARE/Paymen/GS Mahanagar Coop ba</t>
  </si>
  <si>
    <t>UPI/P2M/463941893924/PROP KALPESH KANAIYA /Photo/Yes Bank Ltd</t>
  </si>
  <si>
    <t>UPI/P2M/463976309946/PROP KALPESH KANAIYA /Print/Yes Bank Ltd</t>
  </si>
  <si>
    <t>SB:910010047943167:Int.Pd:01-07-2024 to 30-09-2024</t>
  </si>
  <si>
    <t>UPI/P2M/427660048927/Mr Asaram Narayan Dol/Fruits/Yes Bank Ltd</t>
  </si>
  <si>
    <t>UPI/P2M/427669189327/Safexpress           /Paymen/Yes Bank Ltd</t>
  </si>
  <si>
    <t>UPI/P2M/427605584938/One97 Communications /Sweet/Yes Bank Ltd</t>
  </si>
  <si>
    <t>UPI/P2M/464267266588/KUNAL EAKNATH MAKUNE /Milk/Yes Bank Ltd</t>
  </si>
  <si>
    <t>UPI/P2M/427749545064/BHARAT SHIVAJI SALVE /Fruits/INDUSIND BANK</t>
  </si>
  <si>
    <t>ATM-CASH-AXIS/BPRH265601/6054/031024/NASHIK</t>
  </si>
  <si>
    <t>UPI/P2M/427848249476/MUKESH GOYAL         /Kirana/ICICI Bank</t>
  </si>
  <si>
    <t>UPI/P2M/613757813786/Deepak Rathor        /Gas re/Yes Bank Ltd</t>
  </si>
  <si>
    <t>UPI/P2M/705614390890/Guru Dashmesh Dudh Da/Milk/Yes Bank Ltd</t>
  </si>
  <si>
    <t>UPI/P2M/836248291661/TATA 1MG HEALTHCARE S/UPI In/Yes Bank Ltd</t>
  </si>
  <si>
    <t>UPI/P2A/429018146361/TATA 1MG /Yes Bank /express/</t>
  </si>
  <si>
    <t>UPI/P2M/760146789351/SHRI HARISH CASH COU /Cloth/Yes Bank Ltd</t>
  </si>
  <si>
    <t>UPI/P2A/750004587056/ABDUL RAHIM GAURI    /Bedshe/State Bank Of India</t>
  </si>
  <si>
    <t>UPI/P2A/892269882263/ABDUL RAHIM GAURI    /Bedshe/State Bank Of India</t>
  </si>
  <si>
    <t>UPI/P2M/219866848371/RAMPAL SINGH         /Achar/Yes Bank Ltd</t>
  </si>
  <si>
    <t>UPI/P2M/953794500612/Dinesh Kumar Gupta   /Lock/Yes Bank Ltd</t>
  </si>
  <si>
    <t>UPI/P2M/706810020502/MATRIX M MART        /Kirana/Yes Bank Ltd</t>
  </si>
  <si>
    <t>UPI/P2M/687300008689/VAIBHAV  SHARMA      /Print/Yes Bank Ltd</t>
  </si>
  <si>
    <t>UPI/P2M/900992335135/Krishna electricals  /Lamp/Axis Bank Ltd.</t>
  </si>
  <si>
    <t>UPI/P2M/137955533049/Shri Ram Traders Kota/Cloth/Axis Bank Ltd.</t>
  </si>
  <si>
    <t>UPI/P2M/642067144287/NAGAR EMPORIYAM      /Glass/Yes Bank Ltd</t>
  </si>
  <si>
    <t>UPI/P2M/536955972688/Deepak Rathor        /Gas/Yes Bank Ltd</t>
  </si>
  <si>
    <t>NBSM/79752565/Maha Electricity(BILLDESK)/</t>
  </si>
  <si>
    <t>UPI/P2M/897244482001/JAI AMBE NAMKEENS    /Namkin/Yes Bank Ltd</t>
  </si>
  <si>
    <t>UPI/P2M/632369149202/KAMAL SWEETS         /Sweet/HDFC BANK LTD</t>
  </si>
  <si>
    <t>UPI/P2M/748380975517/MUKESH GOYAL         /Ghee/ICICI Bank</t>
  </si>
  <si>
    <t>UPI/P2M/135017662551/Shubham Filling Stati/Petrol/Yes Bank Ltd</t>
  </si>
  <si>
    <t>UPI/P2M/484759338158/Mrs Savitri Savitri  /Switch/Yes Bank Ltd</t>
  </si>
  <si>
    <t>UPI/P2M/788472690614/MUKESH GOYAL         /Kirana/ICICI Bank</t>
  </si>
  <si>
    <t>UPI/P2M/017140672462/VIJAY DEEP           /Fruit/Yes Bank Ltd</t>
  </si>
  <si>
    <t>UPI/P2M/147097979203/ANKIT JAIN           /Silver/Yes Bank Ltd</t>
  </si>
  <si>
    <t>UPI/P2A/124701591313/LAXMI KANAKRAJ PILLAI/Paymen/ICICI Bank</t>
  </si>
  <si>
    <t>UPI/P2M/192361402974/MUKESH GOYAL         /Kirana/ICICI Bank</t>
  </si>
  <si>
    <t>UPI/P2M/147343603603/ZOMATO               /Paymen/HDFC BANK LTD</t>
  </si>
  <si>
    <t>UPI/P2M/712883305569/VINKESH KUMAR JAIN   /Mehend/Yes Bank Ltd</t>
  </si>
  <si>
    <t>UPI/P2A/571283612682/PUSHPENDRA  PSHARMA  /Intern/State Bank Of India</t>
  </si>
  <si>
    <t>UPI/P2M/817548779369/Jitu Gurjar          /Car wa/Bank of Baroda</t>
  </si>
  <si>
    <t>UPI/P2A/185422508428/ASHOK KUMAR GAUTAM   /Paymen/State Bank Of India</t>
  </si>
  <si>
    <t>NBSM/80649707/CARE HEALTH INSURANCE LIMITED/</t>
  </si>
  <si>
    <t>UPI/P2A/061604313983/KOTA ENTERPRISES     /Gift n/AU small Finance Ban</t>
  </si>
  <si>
    <t>UPI/P2M/063765980391/Aman Filling Station /Paymen/Yes Bank Ltd</t>
  </si>
  <si>
    <t>UPI/P2M/485720242600/Bombay wala Textiles /Kurta/Yes Bank Ltd</t>
  </si>
  <si>
    <t>UPI/P2M/596835016835/DHAN RAJ SAHU        /Helmet/Yes Bank Ltd</t>
  </si>
  <si>
    <t>UPI/P2M/032581440613/M S SHREE RAM TRADERS/Paymen/Yes Bank Ltd</t>
  </si>
  <si>
    <t>UPI/P2M/202231578800/PhonePe              /Paymen/Axis Bank Ltd.</t>
  </si>
  <si>
    <t>UPI/P2A/305517973734/Mr SURENDRA  JANGID  /Paymen/Central Bank Of Indi</t>
  </si>
  <si>
    <t>UPI/P2M/913144197727/One97 Communications /Diseal/Yes Bank Ltd</t>
  </si>
  <si>
    <t>ATM-CASH-AXIS/BPRH269801/860/101124/JAIPUR</t>
  </si>
  <si>
    <t>UPI/P2A/783930662478/PRAMOD SHARMA S/O S N/Paymen/Axis Bank Ltd.</t>
  </si>
  <si>
    <t>UPI/P2A/687769167607/PRAMOD SHARMA S/O S N/Paymen/Axis Bank Ltd.</t>
  </si>
  <si>
    <t>UPI/P2M/472515527171/PhonePe              /Paymen/Axis Bank Ltd.</t>
  </si>
  <si>
    <t>UPI/P2M/492235370156/M S SHREE RAM TRADERS/Cloth/Yes Bank Ltd</t>
  </si>
  <si>
    <t>UPI/P2M/788569025264/AJANTA ART TAILOR AND/Cloth/Yes Bank Ltd</t>
  </si>
  <si>
    <t>UPI/P2M/032327422731/NAZRA PARVEEN        /Jodhpu/Yes Bank Ltd</t>
  </si>
  <si>
    <t>UPI/P2M/699008389556/UDIT MEDICOS         /Medice/HDFC BANK LTD</t>
  </si>
  <si>
    <t>NEFT/SBIN524320884728/Mr AJAY KUMAR GUPTA/STATE BANK OF INDIA//ATTN//INB//Marriage expenses</t>
  </si>
  <si>
    <t>NBSM/82248593/CALCUTTA ELECTRIC SUPPLY CORPO(BILL</t>
  </si>
  <si>
    <t>UPI/P2M/054320438959/ABHINDANCLOTHMERCHANT/Manoha/Yes Bank Ltd</t>
  </si>
  <si>
    <t>UPI/P2M/271749319653/MUKESH GOYAL         /Kirana/ICICI Bank</t>
  </si>
  <si>
    <t>UPI/P2M/071495627161/GIRDHAR GOPAL GUPTA S/Pay to/Federal Bank</t>
  </si>
  <si>
    <t>UPI/P2M/482406651300/RISHABH JAIN AND SON /Mosqui/Yes Bank Ltd</t>
  </si>
  <si>
    <t>UPI/P2M/694649127014/MUKESH GOYAL         /Kirana/ICICI Bank</t>
  </si>
  <si>
    <t>UPI/P2M/368938077496/Shubham Filling Stati/Petrol/Yes Bank Ltd</t>
  </si>
  <si>
    <t>UPI/P2A/818948410828/Dhanraj Prajapati    /Diesal/BANK OF BARODA</t>
  </si>
  <si>
    <t>UPI/P2M/506450097062/VAIBHAV  SHARMA      /Print/Yes Bank Ltd</t>
  </si>
  <si>
    <t>UPI/P2M/377358112890/Hariom Modi          /Zarda/Yes Bank Ltd</t>
  </si>
  <si>
    <t>UPI/P2M/618671705124/ABHINDANCLOTHMERCHANT/Dipika/Yes Bank Ltd</t>
  </si>
  <si>
    <t>NBSM/83292619/Maha Electricity(BILLDESK)/</t>
  </si>
  <si>
    <t>UPI/P2M/613675509047/YASHENTERPRISES      /Weddin/Yes Bank Ltd</t>
  </si>
  <si>
    <t>UPI/P2A/507578278410/ROHIT  PRAJAPAT      /Juuxe/Kotak Mahindra Bank</t>
  </si>
  <si>
    <t>NEFT/SBIN524334927193/EMPLOYEE PROVIDENT FUND ORGA/STATE BANK OF INDIA//URGENT/RS0000100000000//BUL</t>
  </si>
  <si>
    <t>NEFT/IR/AXOIR33458045816/Ajay Gupta/HDFC BANK/Transfer from Axis Bank</t>
  </si>
  <si>
    <t>NEFT/IR/AXOIR33458061413/Ajay Kumar Gupta/STATE BANK OF INDIA/Transfer from Axis</t>
  </si>
  <si>
    <t>UPI/P2A/556949972600/ASHOK KUMAR GAUTAM   /Paymen/State Bank Of India</t>
  </si>
  <si>
    <t>UPI/P2A/122180325103/Mr SURENDRA  JANGID  /Paymen/CENTRAL BANK OF INDI</t>
  </si>
  <si>
    <t>UPI/P2M/753152528824/ABHINDANCLOTHMERCHANT/Saree/Yes Bank Ltd</t>
  </si>
  <si>
    <t>UPI/P2A/590172913891/EXCELLENT SALES PROPA/Paymen/State Bank Of India</t>
  </si>
  <si>
    <t>UPI/P2M/607802970281/MALIK COLLECTION     /Ajanta/Yes Bank Ltd</t>
  </si>
  <si>
    <t>UPI/P2M/826474936083/UDIT MEDICOS         /Medice/HDFC BANK LTD</t>
  </si>
  <si>
    <t>NEFT/IR/AXOIR33777892965/Ajay Gupta/HDFC BANK/Transfer from Axis Bank</t>
  </si>
  <si>
    <t>UPI/P2M/806864112044/NEW PRAKASH SUPARIWAL/Tobvac/Yes Bank Ltd</t>
  </si>
  <si>
    <t>UPI/P2M/529916102899/SANDEEP BHALCHANDRA L/Chunni/Yes Bank Ltd</t>
  </si>
  <si>
    <t>UPI/P2M/537639333895/YOJANA SUNIL CHAVAN  /Blouse/Yes Bank Ltd</t>
  </si>
  <si>
    <t>UPI/P2M/215842364542/NEW NILESH MEDICAL AN/Medice/Yes Bank Ltd</t>
  </si>
  <si>
    <t>UPI/P2M/067098404212/H L DHATRAK AND SON  /Petrol/Yes Bank Ltd</t>
  </si>
  <si>
    <t>NBSM/84701389/NIVA BUPA HEALTH INSURANCE COMPANY</t>
  </si>
  <si>
    <t>UPI/P2M/182300635569/SANGITA RAJENDRA MUTH/Teeth/Yes Bank Ltd</t>
  </si>
  <si>
    <t>UPI/P2M/889812720453/BPCL Ufill 2         /Diesal/Yes Bank Ltd</t>
  </si>
  <si>
    <t>UPI/P2M/924924576624/PhonePe              /Paymen/AXIS BANK</t>
  </si>
  <si>
    <t>NBSM/85989775/CALCUTTA ELECTRIC SUPPLY CORPO(BILL</t>
  </si>
  <si>
    <t>UPI/P2M/501455550022/MUKESH GOYAL         /Kirana/ICICI Bank</t>
  </si>
  <si>
    <t>NEFT/IR/AXOIR35504678280/Ajay Gupta/HDFC BANK/Transfer from Axis Bank</t>
  </si>
  <si>
    <t>UPI/P2A/823552035835/SHAM JAGDISHRAM VISHN/Paymen/State Bank Of India</t>
  </si>
  <si>
    <t>UPI/P2A/707518459880/SHAM JAGDISHRAM VISHN/Paymen/State Bank Of India</t>
  </si>
  <si>
    <t>UPI/P2A/890549885068/Archit  Gupta        /Paymen/State Bank Of India</t>
  </si>
  <si>
    <t>NBSM/86977017/Maha Electricity(BILLDESK)/</t>
  </si>
  <si>
    <t>UPI/P2M/495993933753/ABHINDANCLOTHMERCHANT/Saree/YES BANK LIMITED YBS</t>
  </si>
  <si>
    <t>SB:910010047943167:Int.Pd:01-10-2024 to 31-12-2024</t>
  </si>
  <si>
    <t>UPI/P2A/739639307503/ASHOK KUMAR GAUTAM   /Paymen/State Bank Of India</t>
  </si>
  <si>
    <t>UPI/P2M/486948949155/HEMANT GUPTA         /Minera/ICICI Bank</t>
  </si>
  <si>
    <t>UPI/P2M/100845864825/THE CAKE WALK        /Cold c/HDFC BANK LTD</t>
  </si>
  <si>
    <t>UPI/P2M/447597180051/SIMLA BAKERY         /Cokkie/HDFC BANK LTD</t>
  </si>
  <si>
    <t>UPI/P2M/397116112633/FARUKH BHAI PATASE   /Patash/YES BANK LIMITED YBS</t>
  </si>
  <si>
    <t>UPI/P2M/023550415752/Muralidhar           /Pan/Yes Bank Ltd</t>
  </si>
  <si>
    <t>UPI/P2M/888618426191/SAGAR TRADERS        /238462/Kotak Mahindra Bank</t>
  </si>
  <si>
    <t>UPI/P2A/810503628810/MEENA  RATHOR        /Paymen/State Bank Of India</t>
  </si>
  <si>
    <t>UPI/P2A/475758229856/GITA  DEVI           /Sherwa/YES BANK LIMITED YBS</t>
  </si>
  <si>
    <t>UPI/P2A/121238278306/MOHIT AGARWAL        /Paymen/ICICI Bank</t>
  </si>
  <si>
    <t>UPI/P2A/884426499709/MOHIT AGARWAL        /Paymen/ICICI Bank</t>
  </si>
  <si>
    <t>UPI/P2M/381499265841/HARSH  SAMSUKHA      /Dispos/Yes Bank Ltd</t>
  </si>
  <si>
    <t>UPI/P2M/831492851749/SHRI MAHAVEER JAIN KI/215226/Kotak Mahindra Bank</t>
  </si>
  <si>
    <t>UPI/P2A/450212461136/MEENA  RATHOR        /Paymen/State Bank Of India</t>
  </si>
  <si>
    <t>UPI/P2M/374116497912/HOTEL SQUARE 36      /Square/YES BANK LIMITED YBS</t>
  </si>
  <si>
    <t>NEFT/SBIN525019049622/Mr  AJAY KUMAR GUPTA/STATE BANK OF INDIA//ATTN//INB//EXPENSES</t>
  </si>
  <si>
    <t>UPI/P2M/822148393854/MANOJ  DADICH        /Car wa/YES BANK LIMITED YBS</t>
  </si>
  <si>
    <t>UPI/P2A/453478894324/Miss. MEGHA  GUPTA   /Makeup/CENTRAL BANK OF INDI</t>
  </si>
  <si>
    <t>UPI/P2A/147274521379/Akash Bhartiya       /Displa/BANK OF BARODA</t>
  </si>
  <si>
    <t>NEFT/SBIN325022604106/Mr  AJAY KUMAR GUPTA/STATE BANK OF INDIA//ATTN//INB//MARRIAGE EXPENSES</t>
  </si>
  <si>
    <t>UPI/P2A/725580195673/MOHIT AGARWAL        /Paymen/ICICI Bank</t>
  </si>
  <si>
    <t>UPI/P2A/905754606394/SANTOSH KUMAR        /Paymen/Punjab National Bank</t>
  </si>
  <si>
    <t>Rent for 2024-25:-Locker No:47</t>
  </si>
  <si>
    <t>ATM-CASH-AXIS/APRH22806/353/240125/KOTA</t>
  </si>
  <si>
    <t>NBSM/90785776/Maha Electricity(BILLDESK)/</t>
  </si>
  <si>
    <t>UPI/P2A/549721815858/CHETAN GUPTA         /Tant H/BANK OF INDIA</t>
  </si>
  <si>
    <t>UPI/P2A/855116648767/ALOK KUMAR GUPTA     /Paymen/HDFC BANK LTD</t>
  </si>
  <si>
    <t>UPI/P2M/538625339934/HARSH  SAMSUKHA      /Dispos/YES BANK LIMITED YBS</t>
  </si>
  <si>
    <t>UPI/P2M/298648752047/Guru Dashmesh Dudh Da/Milk/YES BANK LIMITED YBS</t>
  </si>
  <si>
    <t>NEFT/SBIN125026569973/Mr  AJAY KUMAR GUPTA/STATE BANK OF INDIA//ATTN//INB//EXPENSES</t>
  </si>
  <si>
    <t>UPI/P2M/696274900422/Hemant Prajapati     /Vegita/YES BANK LIMITED YBS</t>
  </si>
  <si>
    <t>UPI/P2A/210811652427/RAMBILAS  MEENA      /Diesal/State Bank Of India</t>
  </si>
  <si>
    <t>UPI/P2M/479813190657/Shubham Filling Stati/Patrol/YES BANK LIMITED YBS</t>
  </si>
  <si>
    <t>UPI/P2M/768768289981/Safexpress           /Paymen/YES BANK LIMITED YBS</t>
  </si>
  <si>
    <t>UPI/P2M/791517319758/ABHINDANCLOTHMERCHANT/Cloth/YES BANK LIMITED YBS</t>
  </si>
  <si>
    <t>UPI/P2M/142375254738/Reliance BP Mobility /Paymen/YES BANK LIMITED YBS</t>
  </si>
  <si>
    <t>NEFT/HDFCH00039019500/AJAY KUMAR GUPTA/HDFC BANK/0001Transfer from Axis</t>
  </si>
  <si>
    <t>UPI/P2A/988445570201/ANITA PRAVIN ASWALE  /Paymen/Punjab National Bank</t>
  </si>
  <si>
    <t>UPI/P2A/208644801626/SHAM JAGDISHRAM VISHN/Paymen/State Bank Of India</t>
  </si>
  <si>
    <t>UPI/P2M/316768219267/Mr Asaram Narayan Dol/Vegita/YES BANK LIMITED YBS</t>
  </si>
  <si>
    <t>UPI/P2M/010237370524/Krishna Sagar        /Dahi/YES BANK LIMITED YBS</t>
  </si>
  <si>
    <t>UPI/P2M/403345810267/SHIVBHOLA VEGETABLE E/Viguta/YES BANK LIMITED YBS</t>
  </si>
  <si>
    <t>UPI/P2M/805752692115/VISHWANATH NIVRUTI VA/Fruits/YES BANK LIMITED YBS</t>
  </si>
  <si>
    <t>UPI/P2A/660082192758/KIRTI ANIL NANDODE   /Paymen/State Bank Of India</t>
  </si>
  <si>
    <t>UPI/P2A/167436098133/ARBAJ  SHAIKH        /Paymen/Kotak Mahindra Bank</t>
  </si>
  <si>
    <t>UPI/P2A/409533532892/TEJU BAI BADOLIYA    /Car/INDIAN OVERSEAS BANK</t>
  </si>
  <si>
    <t>UPI/P2A/182422888841/SANTOSH KUMAR        /Paymen/Punjab National Bank</t>
  </si>
  <si>
    <t>UPI/P2M/232961964074/S UYIKKATTAN         /Idli/YES BANK LIMITED YBS</t>
  </si>
  <si>
    <t>UPI/P2M/310540453643/KUNAL EAKNATH MAKUNE /Milk/YES BANK LIMITED YBS</t>
  </si>
  <si>
    <t>UPI/P2M/942850828473/SARITA AJAY GUPTA    /Water/YES BANK LIMITED YBS</t>
  </si>
  <si>
    <t>NBSM/94289804/Maha Electricity(BILLDESK)/</t>
  </si>
  <si>
    <t>UPI/P2M/261391481618/AMUL FRESH MART AND  /Atta/YES BANK LIMITED YBS</t>
  </si>
  <si>
    <t>UPI/P2M/616140693008/APOLLO HOSPITALS ENTE/Dr vis/HDFC BANK LTD</t>
  </si>
  <si>
    <t>UPI/P2M/157189543512/APOLLO PHARMACIES LIM/Paymen/YES BANK LIMITED YBS</t>
  </si>
  <si>
    <t>UPI/P2M/518859246573/NEW NILESH MEDICAL AN/Dr bhi/YES BANK LIMITED YBS</t>
  </si>
  <si>
    <t>UPI/P2M/432597447159/SAJID NABIYAR KHAN   /Photoc/YES BANK LIMITED YBS</t>
  </si>
  <si>
    <t>UPI/P2M/095557910791/SAJID NABIYAR KHAN   /Photoc/YES BANK LIMITED YBS</t>
  </si>
  <si>
    <t>UPI/P2A/963095578840/DINESH KUMAR J       /Harwar/BANK OF BARODA</t>
  </si>
  <si>
    <t>UPI/P2M/834643330451/New Prakash Home appl/Gas ch/YES BANK LIMITED YBS</t>
  </si>
  <si>
    <t>UPI/P2M/885276156241/SRI KRISHNA ENTERPRIS/Vada/YES BANK LIMITED YBS</t>
  </si>
  <si>
    <t>UPI/P2M/214106742165/VINAYAKA VEGETABLES  /Vegita/AXIS BANK</t>
  </si>
  <si>
    <t>UPI/P2A/600339130234/ANITA PRAVIN ASWALE  /Paymen/Punjab National Bank</t>
  </si>
  <si>
    <t>UPI/P2M/873830070242/VISHWANATH SHETTY    /Coffe/YES BANK LIMITED YBS</t>
  </si>
  <si>
    <t>UPI/P2M/162753754107/Mr. MUTHAIYA S       /Biscui/YES BANK LIMITED YBS</t>
  </si>
  <si>
    <t>UPI/P2M/458624394329/Mr. RAMESH PUNDLIK CH/Hair c/YES BANK LIMITED YBS</t>
  </si>
  <si>
    <t>UPI/P2M/207360387247/SURAJ MUNILAL YADAV  /Pay to/FEDERAL BANK</t>
  </si>
  <si>
    <t>UPI/P2M/635964367029/MANISH HEMANT AMLE   /Kirana/YES BANK LIMITED YBS</t>
  </si>
  <si>
    <t>UPI/P2M/313330957300/MR DIY               /Comb/HDFC BANK LTD</t>
  </si>
  <si>
    <t>UPI/P2M/262418949124/SAVITA MANIK BHALERAO/Fruits/YES BANK LIMITED YBS</t>
  </si>
  <si>
    <t>UPI/P2M/249761583182/FTA HSRP Solutions Pr/Pay/HDFC BANK LTD</t>
  </si>
  <si>
    <t>UPI/P2M/300099497535/FTA HSRP Solutions Pr/Pay/HDFC BANK LTD</t>
  </si>
  <si>
    <t>UPI/P2M/859073118065/KUNAL EAKNATH MAKUNE /Milk/YES BANK LIMITED YBS</t>
  </si>
  <si>
    <t>NEFT/HDFCH00110998774/AJAY KUMAR GUPTA/HDFC BANK/0001Expences</t>
  </si>
  <si>
    <t>UPI/P2M/707367681017/APOLLO PHARMACY      /Paymen/YES BANK LIMITED YBS</t>
  </si>
  <si>
    <t>UPI/P2M/583524342737/Jayram P phad        /Mixer/YES BANK LIMITED YBS</t>
  </si>
  <si>
    <t>UPI/P2M/467049009580/Sachin Verma         /Water/YES BANK LIMITED YBS</t>
  </si>
  <si>
    <t>UPI/P2M/067588575275/UMESH TELHI GUPTA    /Vegita/YES BANK LIMITED YBS</t>
  </si>
  <si>
    <t>UPI/P2M/131436771812/MANISH HEMANT AMLE   /Archit/YES BANK LIMITED YBS</t>
  </si>
  <si>
    <t>INB/96661049/INTERNET TAX PAYMENT/</t>
  </si>
  <si>
    <t>UPI/P2M/881983905907/MEDPLUS ASHOKAMARG   /Medice/HDFC BANK LTD</t>
  </si>
  <si>
    <t>UPI/P2M/322332023866/JEET PHARMACY AND MIN/Medice/AXIS BANK</t>
  </si>
  <si>
    <t>UPI/P2M/620519360109/APOLLO PHARMACY      /Paymen/YES BANK LIMITED YBS</t>
  </si>
  <si>
    <t>UPI/P2M/412081039348/KUNAL EAKNATH MAKUNE /Milk/YES BANK LIMITED YBS</t>
  </si>
  <si>
    <t>NEFT/HDFCH00127971025/CARE HEALTH INS LTD DISBURS/HDFC BANK/0001A0946202</t>
  </si>
  <si>
    <t>UPI/P2A/301497761896/Nan Babu             /Tea/AIRTEL PAYMENTS BANK</t>
  </si>
  <si>
    <t>UPI/P2A/455869680512/BHAUSAHEB MOTIRAM GAR/Vegita/BANK OF INDIA</t>
  </si>
  <si>
    <t>UPI/P2M/066260560812/SHIVBHOLA VEGETABLE E/Fruit/YES BANK LIMITED YBS</t>
  </si>
  <si>
    <t>UPI/P2M/733721579147/SURAJ MUNILAL YADAV  /Pay to/FEDERAL BANK</t>
  </si>
  <si>
    <t>UPI/P2A/743191786294/BHAUSAHEB MOTIRAM GAR/Vegita/BANK OF INDIA</t>
  </si>
  <si>
    <t>UPI/P2M/523023347162/AANCHAL ENTERPRISES  /Printo/YES BANK LIMITED YBS</t>
  </si>
  <si>
    <t>UPI/P2M/975404230489/Krishna Sagar        /Bread/YES BANK LIMITED YBS</t>
  </si>
  <si>
    <t>ATM-CASH-AXIS/BPRH265601/7571/220325/NASHIK</t>
  </si>
  <si>
    <t>NBSM/97812265/MAHARASHTRA STATE ELECTRICITY DISTR</t>
  </si>
  <si>
    <t>UPI/P2M/465258362030/KUNAL EAKNATH MAKUNE /Milk/YES BANK LIMITED YBS</t>
  </si>
  <si>
    <t>UPI/P2A/080889426369/HARSHA DEEPAK BALWANI/Cake/AXIS BANK</t>
  </si>
  <si>
    <t>UPI/P2M/508965712118/JEET PHARMACY AND MIN/Medice/AXIS BANK</t>
  </si>
  <si>
    <t>UPI/P2A/017859867839/ARCHIT GUPTA         /Paymen/AXIS BANK</t>
  </si>
  <si>
    <t>UPI/P2M/116157079650/VISHWANATH NIVRUTI VA/Fruits/YES BANK LIMITED YBS</t>
  </si>
  <si>
    <t>UPI/P2M/286782331644/WELLNESS FOREVER MEDI/Paymen/YES BANK LIMITED YBS</t>
  </si>
  <si>
    <t>UPI/P2M/408910321377/BHARAT SHIVAJI SALVE /Veguta/INDUSIND BANK LIMITE</t>
  </si>
  <si>
    <t>UPI/P2M/705945865829/SURAJ MUNILAL YADAV  /Pay to/FEDERAL BANK</t>
  </si>
  <si>
    <t>UPI/P2M/394962992891/AMOL SANTU DHONN     /Fruit/YES BANK LIMITED YBS</t>
  </si>
  <si>
    <t>UPI/P2M/069282805330/KUNAL EAKNATH MAKUNE /Milk/YES BANK LIMITED YBS</t>
  </si>
  <si>
    <t>UPI/P2M/941423325380/JEET PHARMACY AND MIN/Medice/AXIS BANK</t>
  </si>
  <si>
    <t>UPI/P2M/894384860287/AMOL SANTU DHONN     /Fruits/YES BANK LIMITED YBS</t>
  </si>
  <si>
    <t>UPI/P2M/144613817533/BHARAT SHIVAJI SALVE /Fruits/INDUSIND BANK LIMITE</t>
  </si>
  <si>
    <t>UPI/P2M/645912733108/KRUSHIKESH P BHADANE /Zaeda/YES BANK LIMITED YBS</t>
  </si>
  <si>
    <t>--&gt;</t>
  </si>
  <si>
    <t>Bank of India</t>
  </si>
  <si>
    <t>INDUSTRIAL AREA KOTA Branch</t>
  </si>
  <si>
    <t>Account statement</t>
  </si>
  <si>
    <t>Name                AJAY KUMAR GUPTA</t>
  </si>
  <si>
    <t>Account No.      662113100016699</t>
  </si>
  <si>
    <t>Account Type   Savings Account</t>
  </si>
  <si>
    <t>Customer Id      007154451</t>
  </si>
  <si>
    <t>Statement of Account for the period 01/04/2024 to 31/03/2025</t>
  </si>
  <si>
    <t>All Amounts in INR</t>
  </si>
  <si>
    <t>No.</t>
  </si>
  <si>
    <t>Txn Date</t>
  </si>
  <si>
    <t>Description</t>
  </si>
  <si>
    <t>ChequeNo.</t>
  </si>
  <si>
    <t>Cr/Dr</t>
  </si>
  <si>
    <t>Amount(INR)</t>
  </si>
  <si>
    <t>Balance(INR)</t>
  </si>
  <si>
    <t>662113100016699:SBInt.Pd:01-02-2024 to 30-04-2024</t>
  </si>
  <si>
    <t>662113100016699:SBInt.Pd:01-05-2024 to 03-08-2024</t>
  </si>
  <si>
    <t>NEFT/SBIN124249087443/SBIN/Mr AJAY KUMAR GUPTA</t>
  </si>
  <si>
    <t>662113100016699:SBInt.Pd:04-08-2024 to 31-10-2024</t>
  </si>
  <si>
    <t>662113100016699:SBInt.Pd:01-11-2024 to 31-01-2025</t>
  </si>
  <si>
    <t>NEFT/SBIN225082665764/SBIN/Mr AJAY KUMAR GUPTA</t>
  </si>
  <si>
    <t>Any discrepancy in this document of accounts should be notified to the bank within a period of 30 days of receipt</t>
  </si>
  <si>
    <t>of this statement. It will be treated that the entries/contents of this statement are checked and found correct by</t>
  </si>
  <si>
    <t>you, if no such complaint is made within the period stated above.</t>
  </si>
  <si>
    <r>
      <t>Beware of fictitious offers, messages/SMS about lottery winnings, cheap fund offers, employment offers, scholarship offers, offer of emigration visas, offer of admission to reputed universities abroad and similar such offers from fraudsters either within the country or from abroad.</t>
    </r>
    <r>
      <rPr>
        <sz val="11"/>
        <color rgb="FFFF0000"/>
        <rFont val="Calibri"/>
        <family val="2"/>
        <scheme val="minor"/>
      </rPr>
      <t xml:space="preserve"> </t>
    </r>
  </si>
  <si>
    <r>
      <t>For any support or clarification please contact Call Centre No.1800 220 229, 1800 103 1906 , 022 40919191.</t>
    </r>
    <r>
      <rPr>
        <sz val="11"/>
        <color rgb="FF0000FF"/>
        <rFont val="Calibri"/>
        <family val="2"/>
        <scheme val="minor"/>
      </rPr>
      <t xml:space="preserve"> </t>
    </r>
  </si>
  <si>
    <t xml:space="preserve">Account Name       :                </t>
  </si>
  <si>
    <t>Mr. AJAY  KUMAR  GUPTA</t>
  </si>
  <si>
    <t>Address            :</t>
  </si>
  <si>
    <t>FLAT NO D-07 ISHWAR PARADISE</t>
  </si>
  <si>
    <t xml:space="preserve">                                    </t>
  </si>
  <si>
    <t>ASHOKA MARG NASIK ROAD</t>
  </si>
  <si>
    <t>NASIK-422101</t>
  </si>
  <si>
    <t>Nashik</t>
  </si>
  <si>
    <t xml:space="preserve">Date               :                </t>
  </si>
  <si>
    <t>Account Number     :</t>
  </si>
  <si>
    <t>_00000032718635441</t>
  </si>
  <si>
    <t>Account Description:</t>
  </si>
  <si>
    <t>SBI SURAKSHIT HL MAXGN AUG 12</t>
  </si>
  <si>
    <t>Branch             :</t>
  </si>
  <si>
    <t>SHIVAJI NAGAR, NASIK</t>
  </si>
  <si>
    <t>Drawing Power      :</t>
  </si>
  <si>
    <t>Interest Rate(% p.a.):</t>
  </si>
  <si>
    <t>CIF No.          :</t>
  </si>
  <si>
    <t>_85190853479</t>
  </si>
  <si>
    <t>IFS (Indian Financial System) Code         :</t>
  </si>
  <si>
    <t>SBIN0011669</t>
  </si>
  <si>
    <t>MICR (Magnetic Ink Character Recognition)  Code        :</t>
  </si>
  <si>
    <t>_422002020</t>
  </si>
  <si>
    <t>Nomination Registered    :</t>
  </si>
  <si>
    <t xml:space="preserve">No </t>
  </si>
  <si>
    <t>Balance on 1 Apr 2024        :</t>
  </si>
  <si>
    <t>Start Date          :</t>
  </si>
  <si>
    <t>End Date            :</t>
  </si>
  <si>
    <t>Value Date</t>
  </si>
  <si>
    <t>Ref No./Cheque No.</t>
  </si>
  <si>
    <t xml:space="preserve">        Debit</t>
  </si>
  <si>
    <t>Credit</t>
  </si>
  <si>
    <t>Balance</t>
  </si>
  <si>
    <t xml:space="preserve">   TO TRANSFER-INB Deposit / Investment--</t>
  </si>
  <si>
    <t xml:space="preserve">IIC6358431               TRANSFER TO 20010697703  </t>
  </si>
  <si>
    <t xml:space="preserve">   DEPOSIT TRANSFER---</t>
  </si>
  <si>
    <t xml:space="preserve">TRANSFER FROM 20010697703                         </t>
  </si>
  <si>
    <t xml:space="preserve">   TO TRANSFER-INB Payment towards loan repayment--</t>
  </si>
  <si>
    <t xml:space="preserve">IIC7134822               TRANSFER TO 20010697703  </t>
  </si>
  <si>
    <t xml:space="preserve">   DEBIT INTEREST---</t>
  </si>
  <si>
    <t xml:space="preserve">IIC7965442               TRANSFER TO 20010697703  </t>
  </si>
  <si>
    <t xml:space="preserve">   TO TRANSFER-INB NEFT UTR NO: SBIN424177238479--Ajay Kumar Gupta</t>
  </si>
  <si>
    <t>NEFT INB: IRY7905755                               / Ajay Kumar Gupta</t>
  </si>
  <si>
    <t xml:space="preserve">   BY TRANSFER-INB Payment towards loan repayment--</t>
  </si>
  <si>
    <t>IIC8599214               TRANSFER FROM 20010697703</t>
  </si>
  <si>
    <t>IIC8605867               TRANSFER FROM 20010697703</t>
  </si>
  <si>
    <t xml:space="preserve">IIC8774556               TRANSFER TO 20010697703  </t>
  </si>
  <si>
    <t xml:space="preserve">   BY TRANSFER-NEFT*HDFC0000001*N183243124296502*AJAY KUMAR GUPTA--</t>
  </si>
  <si>
    <t>TRANSFER FROM 4697182044307</t>
  </si>
  <si>
    <t xml:space="preserve">IIC9588610               TRANSFER TO 20010697703  </t>
  </si>
  <si>
    <t xml:space="preserve">   TO TRANSFER-INB NEFT UTR NO: SBIN124234705808--AJAY KUMAR GUPTA</t>
  </si>
  <si>
    <t>NEFT INB: IRZ1535100                               / AJAY KUMAR GUPTA</t>
  </si>
  <si>
    <t>IID0091311               TRANSFER FROM 20010697703</t>
  </si>
  <si>
    <t xml:space="preserve">IID0702525               TRANSFER TO 20010697703  </t>
  </si>
  <si>
    <t xml:space="preserve">   BY TRANSFER-NEFT*HDFC0000001*N255243261140183*AJAY KUMAR GUPTA--</t>
  </si>
  <si>
    <t>TRANSFER FROM 3199675044306</t>
  </si>
  <si>
    <t xml:space="preserve">IID1098903               TRANSFER TO 20010697703  </t>
  </si>
  <si>
    <t xml:space="preserve">   TO TRANSFER-INB NEFT UTR NO: SBIN224301107261--U2FsdGVkX18QsJtfLr0P3VRLQAgJM2gMOJL</t>
  </si>
  <si>
    <t>NEFT INB: IR000IPCJ6                               / U2FsdGVkX18QsJtfLr0P3VRLQAgJM2gMOJL</t>
  </si>
  <si>
    <t xml:space="preserve">   TO TRANSFER-INB NEFT UTR NO: SBIN524320884728--AJAY KUMAR GUPTA</t>
  </si>
  <si>
    <t>NEFT INB: IR000SXKM3                               / AJAY KUMAR GUPTA</t>
  </si>
  <si>
    <t xml:space="preserve">   BY TRANSFER-NEFT*UTIB0002656*AXOIR33458061413*AJAY KUMAR GUPTA--</t>
  </si>
  <si>
    <t>TRANSFER FROM 4697201044308</t>
  </si>
  <si>
    <t>IID2969659               TRANSFER FROM 20010697703</t>
  </si>
  <si>
    <t xml:space="preserve">   TO TRANSFER-INB NEFT UTR NO: SBIN224355793030--Ajay Kumar Gupta</t>
  </si>
  <si>
    <t>NEFT INB: IR00ALAJN1                               / Ajay Kumar Gupta</t>
  </si>
  <si>
    <t xml:space="preserve">   BY TRANSFER-RTGS UTR NO: HDFCR52025010276679796--AJAY KUMAR GUPTA</t>
  </si>
  <si>
    <t>TRANSFER FROM 99826044309 / AJAY KUMAR GUPTA</t>
  </si>
  <si>
    <t xml:space="preserve">   TO TRANSFER-INB NEFT UTR NO: SBIN525019049622--AJAY KUMAR GUPTA</t>
  </si>
  <si>
    <t>NEFT INB: IR00AWDEN2                               / AJAY KUMAR GUPTA</t>
  </si>
  <si>
    <t>IID4102702               TRANSFER FROM 20010697703</t>
  </si>
  <si>
    <t xml:space="preserve">   TO TRANSFER-INB Krisna Lawns payment--</t>
  </si>
  <si>
    <t xml:space="preserve">IT00YOUVD1               TRANSFER TO 51113575326  </t>
  </si>
  <si>
    <t xml:space="preserve">IID4119815               TRANSFER TO 20010697703  </t>
  </si>
  <si>
    <t xml:space="preserve">   TO TRANSFER-INB NEFT UTR NO: SBIN125026569973--AJAY KUMAR GUPTA</t>
  </si>
  <si>
    <t>NEFT INB: IR00AYDQI6                               / AJAY KUMAR GUPTA</t>
  </si>
  <si>
    <t xml:space="preserve">IID4719380               TRANSFER TO 20010697703  </t>
  </si>
  <si>
    <t xml:space="preserve">   TO TRANSFER-INB NEFT UTR NO: SBIN125044291463--Ajay Kumar Gupta</t>
  </si>
  <si>
    <t>NEFT INB: IR00BFGCW7                               / Ajay Kumar Gupta</t>
  </si>
  <si>
    <t>IID4729219               TRANSFER FROM 20010697703</t>
  </si>
  <si>
    <t xml:space="preserve">   TO TRANSFER-INB borrow--</t>
  </si>
  <si>
    <t xml:space="preserve">IID4853269               TRANSFER TO 32679487685  </t>
  </si>
  <si>
    <t xml:space="preserve">   TO TRANSFER-INB Expenses--</t>
  </si>
  <si>
    <t xml:space="preserve">IID4900551               TRANSFER TO 20010697703  </t>
  </si>
  <si>
    <t xml:space="preserve">   TO TRANSFER-INB NEFT UTR NO: SBIN325061523432--Ajay Kumar Gupta</t>
  </si>
  <si>
    <t>NEFT INB: IR00BKFYQ3                               / Ajay Kumar Gupta</t>
  </si>
  <si>
    <t xml:space="preserve">   TO TRANSFER-INB NEFT UTR NO: SBIN225064656380--Ajay Kumar Gupta</t>
  </si>
  <si>
    <t>NEFT INB: IR00BLYSY6                               / Ajay Kumar Gupta</t>
  </si>
  <si>
    <t xml:space="preserve">   TO TRANSFER-INB borrow from Sunita--</t>
  </si>
  <si>
    <t xml:space="preserve">IID5359354               TRANSFER TO 32679487685  </t>
  </si>
  <si>
    <t xml:space="preserve">   TO TRANSFER-INB NEFT UTR NO: SBIN425074407492--Ajay Kumar Gupta</t>
  </si>
  <si>
    <t>NEFT INB: IR00BPKDY6                               / Ajay Kumar Gupta</t>
  </si>
  <si>
    <t xml:space="preserve">IID5587464               TRANSFER TO 20010697703  </t>
  </si>
  <si>
    <t>IID5721575               TRANSFER FROM 20010697703</t>
  </si>
  <si>
    <t xml:space="preserve">IID5910768               TRANSFER TO 20010697703  </t>
  </si>
  <si>
    <t>0000000536477385</t>
  </si>
  <si>
    <t>0000000536508606</t>
  </si>
  <si>
    <t>0000000536692196</t>
  </si>
  <si>
    <t>ACH C- INFOSYS LIMITED-40612264</t>
  </si>
  <si>
    <t>0000005607467291</t>
  </si>
  <si>
    <t>ATW-512967XXXXXX1000-CHBDL001-NASHIK</t>
  </si>
  <si>
    <t>0000000000007692</t>
  </si>
  <si>
    <t>NEFT DR-SBIN0011669-AJAY KUMAR GUPTA-NETBANK, MUM-N183243124296502-TRANSFER BACK TO A</t>
  </si>
  <si>
    <t>N183243124296502</t>
  </si>
  <si>
    <t>0000000536998052</t>
  </si>
  <si>
    <t>0000000537030816</t>
  </si>
  <si>
    <t>0000000537169063</t>
  </si>
  <si>
    <t>0000000537354414</t>
  </si>
  <si>
    <t>0000000537624938</t>
  </si>
  <si>
    <t>0000000537917714</t>
  </si>
  <si>
    <t>0000000537955514</t>
  </si>
  <si>
    <t>DR LAL PATH DIV23 2400000000000000009173</t>
  </si>
  <si>
    <t>0000241853654756</t>
  </si>
  <si>
    <t>0000000538074804</t>
  </si>
  <si>
    <t>0000000538244225</t>
  </si>
  <si>
    <t>0000000538377155</t>
  </si>
  <si>
    <t>0000000538411118</t>
  </si>
  <si>
    <t>0000000538557990</t>
  </si>
  <si>
    <t>00012050001396HLY INT-IN0020200377</t>
  </si>
  <si>
    <t>0000407050364493</t>
  </si>
  <si>
    <t>0000000538741962</t>
  </si>
  <si>
    <t>0000000539205021</t>
  </si>
  <si>
    <t>0000000539613027</t>
  </si>
  <si>
    <t>0000000539765353</t>
  </si>
  <si>
    <t>0000000540079675</t>
  </si>
  <si>
    <t>0000006042750906</t>
  </si>
  <si>
    <t>0000000540284076</t>
  </si>
  <si>
    <t>0000000540484118</t>
  </si>
  <si>
    <t>0000000540623687</t>
  </si>
  <si>
    <t>0000000540650811</t>
  </si>
  <si>
    <t>0000000540767051</t>
  </si>
  <si>
    <t>0000000541071251</t>
  </si>
  <si>
    <t>0000000541104735</t>
  </si>
  <si>
    <t>ACH C- PUNJAB NATIONAL BANK-PN2206240114</t>
  </si>
  <si>
    <t>0000006171046654</t>
  </si>
  <si>
    <t>0000000541229542</t>
  </si>
  <si>
    <t>ACH C- ALKYL FINDIV 2023 24-87331</t>
  </si>
  <si>
    <t>0000006195133349</t>
  </si>
  <si>
    <t>0000000541421133</t>
  </si>
  <si>
    <t>ATW-512967XXXXXX1000-S1ANRS03-KOTA</t>
  </si>
  <si>
    <t>0000000000000273</t>
  </si>
  <si>
    <t>0000000000000274</t>
  </si>
  <si>
    <t>0000000541547579</t>
  </si>
  <si>
    <t>0000006191588337</t>
  </si>
  <si>
    <t>0000000541747076</t>
  </si>
  <si>
    <t>0000000542210275</t>
  </si>
  <si>
    <t>DEPOSITORY CHARGES JUN24 - 40227714</t>
  </si>
  <si>
    <t>ACH C- TITANFINDIV160724-371967</t>
  </si>
  <si>
    <t>0000006298536580</t>
  </si>
  <si>
    <t>0000000542415196</t>
  </si>
  <si>
    <t>0000000542691829</t>
  </si>
  <si>
    <t>1707048547 HDFCLIFE FNLDIV2024 5849355</t>
  </si>
  <si>
    <t>0000170724131427</t>
  </si>
  <si>
    <t>00012050001396HLY INT-IN0020210236</t>
  </si>
  <si>
    <t>0000407189812128</t>
  </si>
  <si>
    <t>0000000542897677</t>
  </si>
  <si>
    <t>0000000543078332</t>
  </si>
  <si>
    <t>0000000543213082</t>
  </si>
  <si>
    <t>0000000543434031</t>
  </si>
  <si>
    <t>00012050001396HLY INT-IN0020210111</t>
  </si>
  <si>
    <t>0000407202770330</t>
  </si>
  <si>
    <t>0000006413259929</t>
  </si>
  <si>
    <t>YHDF2391641686/BILLDKINDIANCLEARING</t>
  </si>
  <si>
    <t>0002420456746347</t>
  </si>
  <si>
    <t>0000000543779007</t>
  </si>
  <si>
    <t>0000000544105457</t>
  </si>
  <si>
    <t>0000000544265672</t>
  </si>
  <si>
    <t>0000000544466409</t>
  </si>
  <si>
    <t>0000000544766098</t>
  </si>
  <si>
    <t>ACH C- BAJAJ FINANCE LIMITE-5697499</t>
  </si>
  <si>
    <t>0000006533137295</t>
  </si>
  <si>
    <t>0000000545091305</t>
  </si>
  <si>
    <t>0000000545240737</t>
  </si>
  <si>
    <t>ACH C- BAJAJ FINSERV LIMITE-5166456</t>
  </si>
  <si>
    <t>0000006541185936</t>
  </si>
  <si>
    <t>0000000545829497</t>
  </si>
  <si>
    <t>0000000545993168</t>
  </si>
  <si>
    <t>UPI-AMIT KAMALKISHOR CHA-9922956991@AXL-UTIB0000115-457610772104-PAYMENT FROM PHONE</t>
  </si>
  <si>
    <t>0000457610772104</t>
  </si>
  <si>
    <t>0000000546261424</t>
  </si>
  <si>
    <t>0000000546299233</t>
  </si>
  <si>
    <t>0000000546475684</t>
  </si>
  <si>
    <t>0000000546621406</t>
  </si>
  <si>
    <t>0000000546748727</t>
  </si>
  <si>
    <t>0000000546785045</t>
  </si>
  <si>
    <t>0000000546913968</t>
  </si>
  <si>
    <t>ACH C- JSW STEEL LIMITED-21931616</t>
  </si>
  <si>
    <t>0000006680265130</t>
  </si>
  <si>
    <t>0000000547052777</t>
  </si>
  <si>
    <t>0000000547207422</t>
  </si>
  <si>
    <t>0000000547293987</t>
  </si>
  <si>
    <t>ACH C- ATUL LTDFNLDIV 23 24-19450</t>
  </si>
  <si>
    <t>0000006685376975</t>
  </si>
  <si>
    <t>ACH D- SMALLCASE-TF55PFSY9O4E</t>
  </si>
  <si>
    <t>0000008014706213</t>
  </si>
  <si>
    <t>ACH C- AXIS BANK LIMITED-7152531</t>
  </si>
  <si>
    <t>0000006719763553</t>
  </si>
  <si>
    <t>UPI-PRAMOD SHARMA SO S N-9822767780@YBL-UTIB0000629-457969846703-PAYMENT FROM PHONE</t>
  </si>
  <si>
    <t>0000457969846703</t>
  </si>
  <si>
    <t>0000000547475762</t>
  </si>
  <si>
    <t>0000000547598099</t>
  </si>
  <si>
    <t>0000000547792719</t>
  </si>
  <si>
    <t>0000000547985978</t>
  </si>
  <si>
    <t>0000000548113932</t>
  </si>
  <si>
    <t>0000000548137987</t>
  </si>
  <si>
    <t>0000000548280575</t>
  </si>
  <si>
    <t>ACH C- NEWGEN SOFTWARE TECH-826467</t>
  </si>
  <si>
    <t>0000006805665674</t>
  </si>
  <si>
    <t>0000000548458306</t>
  </si>
  <si>
    <t>0000000548672907</t>
  </si>
  <si>
    <t>0000000548885109</t>
  </si>
  <si>
    <t>YHDF2404048603/BILLDKINDIANCLEARING</t>
  </si>
  <si>
    <t>0002421858223116</t>
  </si>
  <si>
    <t>ACH C- KOTAK MAHINDRA BANK-5688821</t>
  </si>
  <si>
    <t>0000006951178023</t>
  </si>
  <si>
    <t>0000000549176820</t>
  </si>
  <si>
    <t>0000000549361528</t>
  </si>
  <si>
    <t>0000000549501607</t>
  </si>
  <si>
    <t>0000000549702747</t>
  </si>
  <si>
    <t>0000000550078161</t>
  </si>
  <si>
    <t>0000000550332101</t>
  </si>
  <si>
    <t>0000000550474905</t>
  </si>
  <si>
    <t>0000000550708377</t>
  </si>
  <si>
    <t>0000000550933591</t>
  </si>
  <si>
    <t>ACH C- TML FNL 2023 2024-229010</t>
  </si>
  <si>
    <t>0000007149007454</t>
  </si>
  <si>
    <t>ACH C- SUN PHARMACEUTICAL I-162313</t>
  </si>
  <si>
    <t>0000007158202132</t>
  </si>
  <si>
    <t>0000000551223704</t>
  </si>
  <si>
    <t>0708387574 HDFC BANK DIV 23 24 00848673</t>
  </si>
  <si>
    <t>0000070824132071</t>
  </si>
  <si>
    <t>0000007168438404</t>
  </si>
  <si>
    <t>DEPOSITORY CHARGES JUL24 - 40227714</t>
  </si>
  <si>
    <t>0000000551467530</t>
  </si>
  <si>
    <t>ACH C- DEEPAKNITRITEDIV2324-140198</t>
  </si>
  <si>
    <t>0000007319464604</t>
  </si>
  <si>
    <t>0000000551597524</t>
  </si>
  <si>
    <t>0000000551787285</t>
  </si>
  <si>
    <t>0000000551938812</t>
  </si>
  <si>
    <t>0000000552161167</t>
  </si>
  <si>
    <t>0000000552310470</t>
  </si>
  <si>
    <t>0000000552443078</t>
  </si>
  <si>
    <t>0000000552529574</t>
  </si>
  <si>
    <t>0000000552612600</t>
  </si>
  <si>
    <t>ACH C- KVB DIV 2023 2024-241000072576</t>
  </si>
  <si>
    <t>0000007483697205</t>
  </si>
  <si>
    <t>0000007436583793</t>
  </si>
  <si>
    <t>0000000552943040</t>
  </si>
  <si>
    <t>ACH C- ULTRATECHCEMENTLTD-00000000000004</t>
  </si>
  <si>
    <t>0000007046736229</t>
  </si>
  <si>
    <t>ACH C- DIVISLABORATORIES-000000000000033</t>
  </si>
  <si>
    <t>0000007121404229</t>
  </si>
  <si>
    <t>ISAQMC-APR-JUN24-101236 230724-MIR2522958891156</t>
  </si>
  <si>
    <t>MIR2522958891156</t>
  </si>
  <si>
    <t>50100128155413-TPT-BORROW BY AKG-AAYUSH KUMAR GUPTA</t>
  </si>
  <si>
    <t>0000000299806852</t>
  </si>
  <si>
    <t>0000000553194915</t>
  </si>
  <si>
    <t>0000000553231324</t>
  </si>
  <si>
    <t>0000000553413787</t>
  </si>
  <si>
    <t>0000000553672301</t>
  </si>
  <si>
    <t>0000007627544423</t>
  </si>
  <si>
    <t>0000000553858910</t>
  </si>
  <si>
    <t>0000000553972849</t>
  </si>
  <si>
    <t>0000000553998426</t>
  </si>
  <si>
    <t>01671000060094-TPT-BORROW FROM SUNITA-SUNITA GUPTA</t>
  </si>
  <si>
    <t>0000000311404451</t>
  </si>
  <si>
    <t>0000000554268886</t>
  </si>
  <si>
    <t>00012050001396HLY INT-IN0020230184</t>
  </si>
  <si>
    <t>0000408217449047</t>
  </si>
  <si>
    <t>0000000554534005</t>
  </si>
  <si>
    <t>0000000554673954</t>
  </si>
  <si>
    <t>01671000060094-TPT-MONEY RETURNED-SUNITA GUPTA</t>
  </si>
  <si>
    <t>0000000317317050</t>
  </si>
  <si>
    <t>0000000554842755</t>
  </si>
  <si>
    <t>0000000555107807</t>
  </si>
  <si>
    <t>ACH C- BANDHAN BANK LIMITED-2897066</t>
  </si>
  <si>
    <t>0000007771532450</t>
  </si>
  <si>
    <t>0000000555220660</t>
  </si>
  <si>
    <t>0000000555289578</t>
  </si>
  <si>
    <t>0000000555631661</t>
  </si>
  <si>
    <t>0000000555787214</t>
  </si>
  <si>
    <t>0000000555911970</t>
  </si>
  <si>
    <t>0000000555947014</t>
  </si>
  <si>
    <t>ACH C- KOIL FIN DIV 2023 24-49941</t>
  </si>
  <si>
    <t>0000007814816710</t>
  </si>
  <si>
    <t>0000000556079216</t>
  </si>
  <si>
    <t>ACH C- HINDALCO FIN DIV 24-288134</t>
  </si>
  <si>
    <t>0000007820819510</t>
  </si>
  <si>
    <t>0000000556209413</t>
  </si>
  <si>
    <t>0000000556241915</t>
  </si>
  <si>
    <t>0000000556273001</t>
  </si>
  <si>
    <t>0000000556500755</t>
  </si>
  <si>
    <t>ACH C- IBL FINL DIV 2023 24-114476</t>
  </si>
  <si>
    <t>0000007842158674</t>
  </si>
  <si>
    <t>NEFT CR-YESB0000001-INDIAN CLEARING CORP-AJAYKUMARGUPTA-YESIG42410164563</t>
  </si>
  <si>
    <t>YESIG42410164563</t>
  </si>
  <si>
    <t>0000000556806277</t>
  </si>
  <si>
    <t>0000000556833885</t>
  </si>
  <si>
    <t>0000000556936257</t>
  </si>
  <si>
    <t>DR LAL PATH DIV24 2500000000000000008452</t>
  </si>
  <si>
    <t>0000242423755030</t>
  </si>
  <si>
    <t>ACH C- RELIANCE INDUSTRIES-241361703</t>
  </si>
  <si>
    <t>0000007891638108</t>
  </si>
  <si>
    <t>0000000557124674</t>
  </si>
  <si>
    <t>57500000389159-1336864813</t>
  </si>
  <si>
    <t>0000408309164285</t>
  </si>
  <si>
    <t>0000000557399905</t>
  </si>
  <si>
    <t>00012050001396HLY INT-IN0020220078</t>
  </si>
  <si>
    <t>0000408309391374</t>
  </si>
  <si>
    <t>0000000557553459</t>
  </si>
  <si>
    <t>CC 000552260XXXXXX5783 AUTOPAY SI-TAD</t>
  </si>
  <si>
    <t>0000000607607120</t>
  </si>
  <si>
    <t>0000000557888074</t>
  </si>
  <si>
    <t>ACH C- ICICI BANK LTD.-7312424</t>
  </si>
  <si>
    <t>0000007945707780</t>
  </si>
  <si>
    <t>0000000558090191</t>
  </si>
  <si>
    <t>ACH C- MARUTI SUZUKI INDIA-0000000000000</t>
  </si>
  <si>
    <t>0000007020668247</t>
  </si>
  <si>
    <t>0000000558372091</t>
  </si>
  <si>
    <t>0000000558541750</t>
  </si>
  <si>
    <t>0000000558824789</t>
  </si>
  <si>
    <t>0000000559000783</t>
  </si>
  <si>
    <t>UPI-XXXXXX0094-HDFC0000001-424930662852-PAYMENT FROM PHONE</t>
  </si>
  <si>
    <t>0000424930662852</t>
  </si>
  <si>
    <t>0000000559325891</t>
  </si>
  <si>
    <t>ACH C- POWER FINANCE CORPOR-14784314</t>
  </si>
  <si>
    <t>0000008081524088</t>
  </si>
  <si>
    <t>0000000559481742</t>
  </si>
  <si>
    <t>0000000559639562</t>
  </si>
  <si>
    <t>0000000559784492</t>
  </si>
  <si>
    <t>ACH C- APOLLO HOS FDIV2024-AHLIN30047640</t>
  </si>
  <si>
    <t>0000008221962350</t>
  </si>
  <si>
    <t>0000000559941126</t>
  </si>
  <si>
    <t>0000000560001481</t>
  </si>
  <si>
    <t>UPI-SUNITA GUPTA-AJAYGUPTANEL1@AXL-HDFC0000167-074263747998-MONEY RETURNED FRO</t>
  </si>
  <si>
    <t>0000074263747998</t>
  </si>
  <si>
    <t>0000000560359958</t>
  </si>
  <si>
    <t>ACH C- APAR DIVIDEND2023 24-28983</t>
  </si>
  <si>
    <t>0000008189706369</t>
  </si>
  <si>
    <t>00012050001396HLY INT-IN0020200427</t>
  </si>
  <si>
    <t>0000409097175681</t>
  </si>
  <si>
    <t>00012050001396HLY INT-IN0020200195</t>
  </si>
  <si>
    <t>0000409097334004</t>
  </si>
  <si>
    <t>00012050001396HLY INT-IN0020210145</t>
  </si>
  <si>
    <t>0000409097078760</t>
  </si>
  <si>
    <t>0000000560559213</t>
  </si>
  <si>
    <t>0000008362725529</t>
  </si>
  <si>
    <t>0000000560944438</t>
  </si>
  <si>
    <t>ACH C- HINDUSTANAERONAUTICS-4568895</t>
  </si>
  <si>
    <t>0000008454747105</t>
  </si>
  <si>
    <t>0000000561220132</t>
  </si>
  <si>
    <t>FT- 561185768-50200085415108 - HDFC SECURITIES LTD-CLIENT DSCNB A/C -</t>
  </si>
  <si>
    <t>0000000769392430</t>
  </si>
  <si>
    <t>FT- KMMF REDEMPTIONS - KMMF RED   337512486</t>
  </si>
  <si>
    <t>0000000769312712</t>
  </si>
  <si>
    <t>NEFT DR-SBIN0011669-AJAY KUMAR GUPTA-NETBANK, MUM-N255243261140183-TRANSFER FROM AJAY</t>
  </si>
  <si>
    <t>N255243261140183</t>
  </si>
  <si>
    <t>NEFT DR-UTIB0001538-AJAY KUMAR GUPTA-NETBANK, MUM-N255243261149985-MONTHLY EXPENSES</t>
  </si>
  <si>
    <t>N255243261149985</t>
  </si>
  <si>
    <t>ACH C- NTPC- FINAL DIV 23-2-NT0708240357</t>
  </si>
  <si>
    <t>0000008487135869</t>
  </si>
  <si>
    <t>0000000561341316</t>
  </si>
  <si>
    <t>ACH C- MANORAMA FNLDIV2324-4220</t>
  </si>
  <si>
    <t>0000008545572487</t>
  </si>
  <si>
    <t>0000000561540086</t>
  </si>
  <si>
    <t>0000000561804044</t>
  </si>
  <si>
    <t>ACH C- ASAHI FNLDIV 2023 24-31009</t>
  </si>
  <si>
    <t>0000008567506979</t>
  </si>
  <si>
    <t>0000000561940756</t>
  </si>
  <si>
    <t>0000000562240673</t>
  </si>
  <si>
    <t>ACH C- POWER FINANCE CORPOR-16284467</t>
  </si>
  <si>
    <t>0000008630129534</t>
  </si>
  <si>
    <t>0000000562366534</t>
  </si>
  <si>
    <t>0000008615725782</t>
  </si>
  <si>
    <t>0000000562612048</t>
  </si>
  <si>
    <t>UPI-BHANDARI JEWELS-VYAPAR.167960027305@HDFCBANK-HDFC0000001-426068109706-MANGLE SUTRA</t>
  </si>
  <si>
    <t>0000426068109706</t>
  </si>
  <si>
    <t>FT- 562922072-50200085415108 - HDFC SECURITIES LTD-CLIENT DSCNB A/C -</t>
  </si>
  <si>
    <t>0000000774502652</t>
  </si>
  <si>
    <t>0000000563099848</t>
  </si>
  <si>
    <t>DEPOSITORY CHARGES AUG24 - 40227714</t>
  </si>
  <si>
    <t>0000000563871004</t>
  </si>
  <si>
    <t>FT- 563832006-50200085415108 - HDFC SECURITIES LTD-CLIENT DSCNB A/C -</t>
  </si>
  <si>
    <t>0000000776454093</t>
  </si>
  <si>
    <t>0000000564003123</t>
  </si>
  <si>
    <t>FT- 564393129-50200085415108 - HDFC SECURITIES LTD-CLIENT DSCNB A/C -</t>
  </si>
  <si>
    <t>0000000777645592</t>
  </si>
  <si>
    <t>0000008835087395</t>
  </si>
  <si>
    <t>0000000564566062</t>
  </si>
  <si>
    <t>00012050001396HLY INT-IN0020230093</t>
  </si>
  <si>
    <t>0000409201927665</t>
  </si>
  <si>
    <t>0000000564677590</t>
  </si>
  <si>
    <t>ACH C- AFL DIVIDEND FY2324-IN30047640227</t>
  </si>
  <si>
    <t>0000008854676028</t>
  </si>
  <si>
    <t>FT- 564848434-50200085415108 - HDFC SECURITIES LTD-CLIENT DSCNB A/C -</t>
  </si>
  <si>
    <t>0000000779577054</t>
  </si>
  <si>
    <t>0000000565067174</t>
  </si>
  <si>
    <t>FT- 565377911-50200085415108 - HDFC SECURITIES LTD-CLIENT DSCNB A/C -</t>
  </si>
  <si>
    <t>0000000780759070</t>
  </si>
  <si>
    <t>0000000565551842</t>
  </si>
  <si>
    <t>ACH C- TRIVENI TURBINE LTD-101598</t>
  </si>
  <si>
    <t>0000008938447580</t>
  </si>
  <si>
    <t>ACH C- ENGINEERS INDIA LIMI-335143</t>
  </si>
  <si>
    <t>0000008963377158</t>
  </si>
  <si>
    <t>FT- 565842598-50200085415108 - HDFC SECURITIES LTD-CLIENT DSCNB A/C -</t>
  </si>
  <si>
    <t>0000000781984642</t>
  </si>
  <si>
    <t>FT- 565870832-50200085415108 - HDFC SECURITIES LTD-CLIENT DSCNB A/C -</t>
  </si>
  <si>
    <t>0000000782039040</t>
  </si>
  <si>
    <t>0000000565990648</t>
  </si>
  <si>
    <t>ACH C- SANDUR DIV 23 24-00037789</t>
  </si>
  <si>
    <t>0000008975280802</t>
  </si>
  <si>
    <t>0000000566208071</t>
  </si>
  <si>
    <t>0000000566468298</t>
  </si>
  <si>
    <t>FT- 566776806-50200085415108 - HDFC SECURITIES LTD-CLIENT DSCNB A/C -</t>
  </si>
  <si>
    <t>0000000784633174</t>
  </si>
  <si>
    <t>0000000566947239</t>
  </si>
  <si>
    <t>FT- 567219302-50200085415108 - HDFC SECURITIES LTD-CLIENT DSCNB A/C -</t>
  </si>
  <si>
    <t>0000000786719128</t>
  </si>
  <si>
    <t>0000000567401729</t>
  </si>
  <si>
    <t>0000000567610501</t>
  </si>
  <si>
    <t>INTEREST PAID TILL 30-SEP-2024</t>
  </si>
  <si>
    <t>0000000567945359</t>
  </si>
  <si>
    <t>01671000060094-TPT-MONEY RETURNED FROM SUNITA TO AJAY-SUNITA GUPTA</t>
  </si>
  <si>
    <t>0000000229921584</t>
  </si>
  <si>
    <t>0000000568126137</t>
  </si>
  <si>
    <t>0000000614090424</t>
  </si>
  <si>
    <t>FT- 568278067-50200085415108 - HDFC SECURITIES LTD-CLIENT DSCNB A/C -</t>
  </si>
  <si>
    <t>0000000790822685</t>
  </si>
  <si>
    <t>0000000568451928</t>
  </si>
  <si>
    <t>0000000568662343</t>
  </si>
  <si>
    <t>0000000568965232</t>
  </si>
  <si>
    <t>0000000569192517</t>
  </si>
  <si>
    <t>FD BOOKED - 50301048327955 : AJAY KUMAR GUPTA</t>
  </si>
  <si>
    <t>4010392024100547746001</t>
  </si>
  <si>
    <t>0000000569607437</t>
  </si>
  <si>
    <t>ACH C- HOUSING AND URBAN DE-753360</t>
  </si>
  <si>
    <t>0000009595639848</t>
  </si>
  <si>
    <t>0000000569882447</t>
  </si>
  <si>
    <t>0000000570156432</t>
  </si>
  <si>
    <t>FT- 570454959-50200085415108 - HDFC SECURITIES LTD-CLIENT DSCNB A/C -</t>
  </si>
  <si>
    <t>0000000800356154</t>
  </si>
  <si>
    <t>FT- 570486480-50200085415108 - HDFC SECURITIES LTD-CLIENT DSCNB A/C -</t>
  </si>
  <si>
    <t>0000000800372123</t>
  </si>
  <si>
    <t>0000000570587778</t>
  </si>
  <si>
    <t>FT- 570905628-50200085415108 - HDFC SECURITIES LTD-CLIENT DSCNB A/C -</t>
  </si>
  <si>
    <t>0000000801930546</t>
  </si>
  <si>
    <t>FT- 570879155-50200085415108 - HDFC SECURITIES LTD-CLIENT DSCNB A/C -</t>
  </si>
  <si>
    <t>0000000801906044</t>
  </si>
  <si>
    <t>0000009918464785</t>
  </si>
  <si>
    <t>0000000571076558</t>
  </si>
  <si>
    <t>ACH C- BEML LIMITED-4147937</t>
  </si>
  <si>
    <t>0000009994518858</t>
  </si>
  <si>
    <t>ACH C- POWER MECH PROJECTS-809990</t>
  </si>
  <si>
    <t>0000000008613228</t>
  </si>
  <si>
    <t>0000000571209803</t>
  </si>
  <si>
    <t>FT- 571353580-50200085415108 - HDFC SECURITIES LTD-CLIENT DSCNB A/C -</t>
  </si>
  <si>
    <t>0000000803560648</t>
  </si>
  <si>
    <t>0000000571486402</t>
  </si>
  <si>
    <t>0000000571613830</t>
  </si>
  <si>
    <t>NEFT CR-YESB0000001-JYOTI RESINS AND ADHESIVES LIMITED-AJAY KUMAR GUPTA-YESIG42880018723</t>
  </si>
  <si>
    <t>YESIG42880018723</t>
  </si>
  <si>
    <t>FT- 571744712-50200085415108 - HDFC SECURITIES LTD-CLIENT DSCNB A/C -</t>
  </si>
  <si>
    <t>0000000805274000</t>
  </si>
  <si>
    <t>NEFT CR-UTIB0000003-PRIME FRESH LIMITED FINAL DIVIDEND-AJAY KUMAR GUPTA-AXISP00553242300</t>
  </si>
  <si>
    <t>AXISP00553242300</t>
  </si>
  <si>
    <t>FT- 572127245-50200085415108 - HDFC SECURITIES LTD-CLIENT DSCNB A/C -</t>
  </si>
  <si>
    <t>0000000806373698</t>
  </si>
  <si>
    <t>FT- 572149666-50200085415108 - HDFC SECURITIES LTD-CLIENT DSCNB A/C -</t>
  </si>
  <si>
    <t>0000000806398184</t>
  </si>
  <si>
    <t>0000000087889788</t>
  </si>
  <si>
    <t>DEPOSITORY CHARGES SEP24 - 40227714</t>
  </si>
  <si>
    <t>0000000572290008</t>
  </si>
  <si>
    <t>ACH C- SJVN LTD-1156131</t>
  </si>
  <si>
    <t>0000000148298553</t>
  </si>
  <si>
    <t>ACH C- KNR CONST FINDIV 24-84288</t>
  </si>
  <si>
    <t>0000000152331119</t>
  </si>
  <si>
    <t>0000000572449573</t>
  </si>
  <si>
    <t>FT- 572596207-50200085415108 - HDFC SECURITIES LTD-CLIENT DSCNB A/C -</t>
  </si>
  <si>
    <t>0000000807570373</t>
  </si>
  <si>
    <t>0000000572698058</t>
  </si>
  <si>
    <t>0000000572866475</t>
  </si>
  <si>
    <t>FT- 573006578-50200085415108 - HDFC SECURITIES LTD-CLIENT DSCNB A/C -</t>
  </si>
  <si>
    <t>0000000808750858</t>
  </si>
  <si>
    <t>0000000573135575</t>
  </si>
  <si>
    <t>0000000573317345</t>
  </si>
  <si>
    <t>0000000573562364</t>
  </si>
  <si>
    <t>0000000573741201</t>
  </si>
  <si>
    <t>0000000260930234</t>
  </si>
  <si>
    <t>0000000574063612</t>
  </si>
  <si>
    <t>0000000574235770</t>
  </si>
  <si>
    <t>0000000574525224</t>
  </si>
  <si>
    <t>0000000574741277</t>
  </si>
  <si>
    <t>0000000575011500</t>
  </si>
  <si>
    <t>FT- 575326715-50200085415108 - HDFC SECURITIES LTD-CLIENT DSCNB A/C -</t>
  </si>
  <si>
    <t>0000000815414847</t>
  </si>
  <si>
    <t>FT- KMMF REDEMPTIONS - KMMF RED   348503765</t>
  </si>
  <si>
    <t>0000000815328097</t>
  </si>
  <si>
    <t>0000000575449730</t>
  </si>
  <si>
    <t>0000000575633987</t>
  </si>
  <si>
    <t>0000000575895505</t>
  </si>
  <si>
    <t>ATW-512967XXXXXX1000-S1AWKT20-KOTA</t>
  </si>
  <si>
    <t>0000000000006376</t>
  </si>
  <si>
    <t>IMPS-429916082357-CAMS-HSBC-XXXXXXXX5001-8697002157670</t>
  </si>
  <si>
    <t>0000429916082357</t>
  </si>
  <si>
    <t>0000000576151881</t>
  </si>
  <si>
    <t>41027702955087451153/PAYTMHDFCSTANDARDLIF</t>
  </si>
  <si>
    <t>0002430165736052</t>
  </si>
  <si>
    <t>NEFT CR-SBIN0011669-MR AJAY KUMAR GUPTA-U2FSDGVKX18QSJTFLR0P3VRLQAGJM2GMOJL-SBIN224301107261</t>
  </si>
  <si>
    <t>SBIN224301107261</t>
  </si>
  <si>
    <t>0000000576472543</t>
  </si>
  <si>
    <t>FT- 576762552-50200085415108 - HDFC SECURITIES LTD-CLIENT DSCNB A/C -</t>
  </si>
  <si>
    <t>0000000821153688</t>
  </si>
  <si>
    <t>0000000576919923</t>
  </si>
  <si>
    <t>0000000577074979</t>
  </si>
  <si>
    <t>0000000577348408</t>
  </si>
  <si>
    <t>FT- 577628303-50200085415108 - HDFC SECURITIES LTD-CLIENT DSCNB A/C -</t>
  </si>
  <si>
    <t>0000000826176639</t>
  </si>
  <si>
    <t>FT- 577600550-50200085415108 - HDFC SECURITIES LTD-CLIENT DSCNB A/C -</t>
  </si>
  <si>
    <t>0000000826135055</t>
  </si>
  <si>
    <t>FT- INVESCO MF A/C - BS77 11104569 31020891576 45871269</t>
  </si>
  <si>
    <t>0000001826217237</t>
  </si>
  <si>
    <t>0000000577738115</t>
  </si>
  <si>
    <t>0000000577849612</t>
  </si>
  <si>
    <t>FT- 578240113-50200085415108 - HDFC SECURITIES LTD-CLIENT DSCNB A/C -</t>
  </si>
  <si>
    <t>0000000827829206</t>
  </si>
  <si>
    <t>FT- 578275001-50200085415108 - HDFC SECURITIES LTD-CLIENT DSCNB A/C -</t>
  </si>
  <si>
    <t>0000000827867014</t>
  </si>
  <si>
    <t>0000000578530870</t>
  </si>
  <si>
    <t>ATW-512967XXXXXX1000-S1ANRS37-KOTA</t>
  </si>
  <si>
    <t>0000000000003221</t>
  </si>
  <si>
    <t>0000411049002704</t>
  </si>
  <si>
    <t>0000000578774651</t>
  </si>
  <si>
    <t>0000000579074569</t>
  </si>
  <si>
    <t>0000000579232950</t>
  </si>
  <si>
    <t>0000000579521265</t>
  </si>
  <si>
    <t>FT- 579783157-50200085415108 - HDFC SECURITIES LTD-CLIENT DSCNB A/C -</t>
  </si>
  <si>
    <t>0000000832003806</t>
  </si>
  <si>
    <t>0000000579946429</t>
  </si>
  <si>
    <t>ACH C- LTIMIN INT 2024 25-184440</t>
  </si>
  <si>
    <t>0000000844690706</t>
  </si>
  <si>
    <t>0000000580130146</t>
  </si>
  <si>
    <t>FT- 580292267-50200085415108 - HDFC SECURITIES LTD-CLIENT DSCNB A/C -</t>
  </si>
  <si>
    <t>0000000833817681</t>
  </si>
  <si>
    <t>0611208971 INFY INTDIV2024-25 45328821</t>
  </si>
  <si>
    <t>0000061124134567</t>
  </si>
  <si>
    <t>0000000580402937</t>
  </si>
  <si>
    <t>0000000580616061</t>
  </si>
  <si>
    <t>0000000000004116</t>
  </si>
  <si>
    <t>FT- 580762037-50200085415108 - HDFC SECURITIES LTD-CLIENT DSCNB A/C -</t>
  </si>
  <si>
    <t>0000000837010945</t>
  </si>
  <si>
    <t>0000000969085379</t>
  </si>
  <si>
    <t>0000000580938343</t>
  </si>
  <si>
    <t>0000000581151091</t>
  </si>
  <si>
    <t>0000000581185928</t>
  </si>
  <si>
    <t>0000000581429067</t>
  </si>
  <si>
    <t>NEFT CR-YESB0000001-INDIAN CLEARING CORP-AJAYKUMARGUPTA-YESIG43170099112</t>
  </si>
  <si>
    <t>YESIG43170099112</t>
  </si>
  <si>
    <t>0000000581599023</t>
  </si>
  <si>
    <t>DEPOSITORY CHARGES OCT24 - 40227714</t>
  </si>
  <si>
    <t>0000000581865173</t>
  </si>
  <si>
    <t>0000000582100768</t>
  </si>
  <si>
    <t>0000000582352744</t>
  </si>
  <si>
    <t>0000000582536532</t>
  </si>
  <si>
    <t>01671000060094-TPT-BORROW FROM AJAY HDFC-SUNITA GUPTA</t>
  </si>
  <si>
    <t>0000000178961580</t>
  </si>
  <si>
    <t>DR LAL PATH DIV24 2500000000000000008240</t>
  </si>
  <si>
    <t>0000243218238389</t>
  </si>
  <si>
    <t>0000001211095079</t>
  </si>
  <si>
    <t>0000000582861385</t>
  </si>
  <si>
    <t>ACH C- NTPC-INT DIV 24-25-NT021124016971</t>
  </si>
  <si>
    <t>0000001313117393</t>
  </si>
  <si>
    <t>0000411188876991</t>
  </si>
  <si>
    <t>0000000000005362</t>
  </si>
  <si>
    <t>FT- 583182408-50200085415108 - HDFC SECURITIES LTD-CLIENT DSCNB A/C -</t>
  </si>
  <si>
    <t>0000000844911864</t>
  </si>
  <si>
    <t>0000000583328667</t>
  </si>
  <si>
    <t>ACH C- SHRIRAM.FINLTD IDV25-STFCIN300476</t>
  </si>
  <si>
    <t>0000001382701647</t>
  </si>
  <si>
    <t>FT- 583578543-50200085415108 - HDFC SECURITIES LTD-CLIENT DSCNB A/C -</t>
  </si>
  <si>
    <t>0000000846860586</t>
  </si>
  <si>
    <t>0000001378129639</t>
  </si>
  <si>
    <t>0000000583742821</t>
  </si>
  <si>
    <t>0000000583977296</t>
  </si>
  <si>
    <t>0000000584232697</t>
  </si>
  <si>
    <t>FT- 584495346-50200085415108 - HDFC SECURITIES LTD-CLIENT DSCNB A/C -</t>
  </si>
  <si>
    <t>0000000849735341</t>
  </si>
  <si>
    <t>FT- 584529315-50200085415108 - HDFC SECURITIES LTD-CLIENT DSCNB A/C -</t>
  </si>
  <si>
    <t>0000000849769841</t>
  </si>
  <si>
    <t>0000000584700424</t>
  </si>
  <si>
    <t>ATW-512967XXXXXX1000-S1ANRS40-KOTA</t>
  </si>
  <si>
    <t>0000000000008646</t>
  </si>
  <si>
    <t>FT- 584932405-50200085415108 - HDFC SECURITIES LTD-CLIENT DSCNB A/C -</t>
  </si>
  <si>
    <t>0000000850827697</t>
  </si>
  <si>
    <t>0000000585073875</t>
  </si>
  <si>
    <t>0000000585233670</t>
  </si>
  <si>
    <t>FT- 585371650-50200085415108 - HDFC SECURITIES LTD-CLIENT DSCNB A/C -</t>
  </si>
  <si>
    <t>0000000852447396</t>
  </si>
  <si>
    <t>0000000585489000</t>
  </si>
  <si>
    <t>FT- 585742996-50200085415108 - HDFC SECURITIES LTD-CLIENT DSCNB A/C -</t>
  </si>
  <si>
    <t>0000000853407815</t>
  </si>
  <si>
    <t>0000000585909021</t>
  </si>
  <si>
    <t>0000000586101256</t>
  </si>
  <si>
    <t>0000000586352692</t>
  </si>
  <si>
    <t>0000000586476450</t>
  </si>
  <si>
    <t>NEFT CR-UTIB0002656-AJAY KUMAR GUPTA-AJAY GUPTA-AXOIR33458045816</t>
  </si>
  <si>
    <t>AXOIR33458045816</t>
  </si>
  <si>
    <t>FT- 586612656-50200085415108 - HDFC SECURITIES LTD-CLIENT DSCNB A/C -</t>
  </si>
  <si>
    <t>0000000857716273</t>
  </si>
  <si>
    <t>0000000628419683</t>
  </si>
  <si>
    <t>0000000586846815</t>
  </si>
  <si>
    <t>NEFT CR-UTIB0002656-AJAY KUMAR GUPTA-AJAY GUPTA-AXOIR33777892965</t>
  </si>
  <si>
    <t>AXOIR33777892965</t>
  </si>
  <si>
    <t>0000000586991382</t>
  </si>
  <si>
    <t>0000000587252691</t>
  </si>
  <si>
    <t>FT- 587522978-50200085415108 - HDFC SECURITIES LTD-CLIENT DSCNB A/C -</t>
  </si>
  <si>
    <t>0000000860870391</t>
  </si>
  <si>
    <t>0000000587671757</t>
  </si>
  <si>
    <t>0000000587822673</t>
  </si>
  <si>
    <t>0000000588115772</t>
  </si>
  <si>
    <t>ACH C- ASHOK.LEYLTD IDV25-ALLIN300476402</t>
  </si>
  <si>
    <t>0000001887468324</t>
  </si>
  <si>
    <t>BALRAMPUR DIV 24 2500000000000002274884</t>
  </si>
  <si>
    <t>0000243403196981</t>
  </si>
  <si>
    <t>0000000588236993</t>
  </si>
  <si>
    <t>FT- 588386762-50200085415108 - HDFC SECURITIES LTD-CLIENT DSCNB A/C -</t>
  </si>
  <si>
    <t>0000000863883800</t>
  </si>
  <si>
    <t>0000000588541010</t>
  </si>
  <si>
    <t>ACH C- POWER FINANCE CORPOR-18313486</t>
  </si>
  <si>
    <t>0000001818012619</t>
  </si>
  <si>
    <t>0000000588699678</t>
  </si>
  <si>
    <t>0000000589058717</t>
  </si>
  <si>
    <t>0000000000008316</t>
  </si>
  <si>
    <t>0000000589210255</t>
  </si>
  <si>
    <t>0000002104511925</t>
  </si>
  <si>
    <t>0000000589533291</t>
  </si>
  <si>
    <t>0000000589677492</t>
  </si>
  <si>
    <t>FT- 589820264-50200085415108 - HDFC SECURITIES LTD-CLIENT DSCNB A/C -</t>
  </si>
  <si>
    <t>0000000871316742</t>
  </si>
  <si>
    <t>0000000589954564</t>
  </si>
  <si>
    <t>0000000590080478</t>
  </si>
  <si>
    <t>0000000590341716</t>
  </si>
  <si>
    <t>0000000590524034</t>
  </si>
  <si>
    <t>0000000590763076</t>
  </si>
  <si>
    <t>CASH DEPOSIT BY - SEFL - VISHWAKARMA CIRCLE</t>
  </si>
  <si>
    <t>0000000590895833</t>
  </si>
  <si>
    <t>0000000590942157</t>
  </si>
  <si>
    <t>0000002312979946</t>
  </si>
  <si>
    <t>0000000591260967</t>
  </si>
  <si>
    <t>0000000591401381</t>
  </si>
  <si>
    <t>0000000591661316</t>
  </si>
  <si>
    <t>DEPOSITORY CHARGES NOV24 - 40227714</t>
  </si>
  <si>
    <t>FT- 591975268-50200085415108 - HDFC SECURITIES LTD-CLIENT DSCNB A/C -</t>
  </si>
  <si>
    <t>0000000878536591</t>
  </si>
  <si>
    <t>0000000592112278</t>
  </si>
  <si>
    <t>0000000592289670</t>
  </si>
  <si>
    <t>0000000592605451</t>
  </si>
  <si>
    <t>0000000592735773</t>
  </si>
  <si>
    <t>0000000592789289</t>
  </si>
  <si>
    <t>ACH D- TP ACH INDIANESIGN-1658585245</t>
  </si>
  <si>
    <t>0000002518344287</t>
  </si>
  <si>
    <t>NEFT CR-UTIB0002656-AJAY KUMAR GUPTA-AJAY GUPTA-AXOIR35504678280</t>
  </si>
  <si>
    <t>AXOIR35504678280</t>
  </si>
  <si>
    <t>NEFT CR-SBIN0011669-MR AJAY KUMAR GUPTA-AJAY KUMAR GUPTA-SBIN224355793030</t>
  </si>
  <si>
    <t>SBIN224355793030</t>
  </si>
  <si>
    <t>0000000593089170</t>
  </si>
  <si>
    <t>0000000593291626</t>
  </si>
  <si>
    <t>CHQ PAID-MICR CTS-RK-SHRI DHA</t>
  </si>
  <si>
    <t>0000000000000026</t>
  </si>
  <si>
    <t>0000000593613422</t>
  </si>
  <si>
    <t>FT- 593876868-50200085415108 - HDFC SECURITIES LTD-CLIENT DSCNB A/C -</t>
  </si>
  <si>
    <t>0000000884552809</t>
  </si>
  <si>
    <t>0000000594033492</t>
  </si>
  <si>
    <t>0000000594169067</t>
  </si>
  <si>
    <t>01671000060094-TPT-BORROW FROM AKG-SUNITA GUPTA</t>
  </si>
  <si>
    <t>0000000503524290</t>
  </si>
  <si>
    <t>0000000594451620</t>
  </si>
  <si>
    <t>0000000594645258</t>
  </si>
  <si>
    <t>0000000594880483</t>
  </si>
  <si>
    <t>0000412271680190</t>
  </si>
  <si>
    <t>0000000595075500</t>
  </si>
  <si>
    <t>0000000595350010</t>
  </si>
  <si>
    <t>FT- 595651309-50200085415108 - HDFC SECURITIES LTD-CLIENT DSCNB A/C -</t>
  </si>
  <si>
    <t>0000000891436894</t>
  </si>
  <si>
    <t>0000000595769790</t>
  </si>
  <si>
    <t>0000000595929119</t>
  </si>
  <si>
    <t>INTEREST PAID TILL 31-DEC-2024</t>
  </si>
  <si>
    <t>0000000596242103</t>
  </si>
  <si>
    <t>NEFT CR-SBIN0000539-SBI LIFE INSURANCE CO LTD-AJAY GUPTA-SBIN225001763168</t>
  </si>
  <si>
    <t>SBIN225001763168</t>
  </si>
  <si>
    <t>FT- 596468384-50200085415108 - HDFC SECURITIES LTD-CLIENT DSCNB A/C -</t>
  </si>
  <si>
    <t>0000000894541015</t>
  </si>
  <si>
    <t>50100128155413-TPT-TRANSFER FROM AJAY-AAYUSH KUMAR GUPTA</t>
  </si>
  <si>
    <t>0000000250012767</t>
  </si>
  <si>
    <t>RTGS DR-SBIN0011669-AJAY KUMAR GUPTA-NETBANK, MUM-HDFCR52025010276679796-TRF FRM AJAY HDFC</t>
  </si>
  <si>
    <t>HDFCR52025010276679796</t>
  </si>
  <si>
    <t>0000000596632692</t>
  </si>
  <si>
    <t>SC BILLING WITH GST : LOCKER CASA ACCOUNT LEVEL SC CHARGE 775</t>
  </si>
  <si>
    <t>NCB2500254959919</t>
  </si>
  <si>
    <t>CGST-LOCKER CASA ACCOUNT LEVEL SC CHARGE 775-NCB2500254959919</t>
  </si>
  <si>
    <t>SGST-LOCKER CASA ACCOUNT LEVEL SC CHARGE 775-NCB2500254959919</t>
  </si>
  <si>
    <t>50100542230922-TPT-TRANSFER FROM AJAY-ARCHIT GUPTA</t>
  </si>
  <si>
    <t>0000000255269657</t>
  </si>
  <si>
    <t>01671000060094-TPT-TRANSFER FROM AJAY-SUNITA GUPTA</t>
  </si>
  <si>
    <t>0000000255304792</t>
  </si>
  <si>
    <t>0000000596760236</t>
  </si>
  <si>
    <t>0000000597051786</t>
  </si>
  <si>
    <t>0000000597256390</t>
  </si>
  <si>
    <t>0000000597654383</t>
  </si>
  <si>
    <t>0000501068482348</t>
  </si>
  <si>
    <t>NEFT DR-CBIN0281641-MEGHA GUPTA-NETBANK, MUM-N006253497214304-EVENT DECORATION</t>
  </si>
  <si>
    <t>N006253497214304</t>
  </si>
  <si>
    <t>0000000597893573</t>
  </si>
  <si>
    <t>0000000598207649</t>
  </si>
  <si>
    <t>FT- 598456188-50200085415108 - HDFC SECURITIES LTD-CLIENT DSCNB A/C -</t>
  </si>
  <si>
    <t>0000000903560245</t>
  </si>
  <si>
    <t>0000000598622667</t>
  </si>
  <si>
    <t>0000000598784101</t>
  </si>
  <si>
    <t>0000000000003218</t>
  </si>
  <si>
    <t>0000000599039881</t>
  </si>
  <si>
    <t>0000000599239032</t>
  </si>
  <si>
    <t>ACH D- TP ACH INDIANESIGN-1684745949</t>
  </si>
  <si>
    <t>0000003286374597</t>
  </si>
  <si>
    <t>0000000599522239</t>
  </si>
  <si>
    <t>0000000599717975</t>
  </si>
  <si>
    <t>CHQ PAID-MICR CTS-RK-SHRI KHANDELWAL VES</t>
  </si>
  <si>
    <t>0000000000000027</t>
  </si>
  <si>
    <t>0000000600020075</t>
  </si>
  <si>
    <t>DEPOSITORY CHARGES DEC24 - 40227714</t>
  </si>
  <si>
    <t>0000000600266724</t>
  </si>
  <si>
    <t>0000000600563229</t>
  </si>
  <si>
    <t>0000000000004125</t>
  </si>
  <si>
    <t>FT- 600816172-50200085415108 - HDFC SECURITIES LTD-CLIENT DSCNB A/C -</t>
  </si>
  <si>
    <t>0000000912357964</t>
  </si>
  <si>
    <t>ACH D- TP ACH INDIANESIGN-1689190105</t>
  </si>
  <si>
    <t>0000003459845697</t>
  </si>
  <si>
    <t>0000000600977163</t>
  </si>
  <si>
    <t>FT- 601267109-50200085415108 - HDFC SECURITIES LTD-CLIENT DSCNB A/C -</t>
  </si>
  <si>
    <t>0000000913396578</t>
  </si>
  <si>
    <t>0000000601423713</t>
  </si>
  <si>
    <t>FT- 601643152-50200085415108 - HDFC SECURITIES LTD-CLIENT DSCNB A/C -</t>
  </si>
  <si>
    <t>0000000914527234</t>
  </si>
  <si>
    <t>0000000601812970</t>
  </si>
  <si>
    <t>0000000000004492</t>
  </si>
  <si>
    <t>0000000601935415</t>
  </si>
  <si>
    <t>0000501182900818</t>
  </si>
  <si>
    <t>CHQ PAID-MICR CTS-RK SALAI BRA</t>
  </si>
  <si>
    <t>0000000000000028</t>
  </si>
  <si>
    <t>ACH D- TP ACH INDIANESIGN-1690565591</t>
  </si>
  <si>
    <t>0000003590358985</t>
  </si>
  <si>
    <t>I/W CHQ RET-DRAWER SIGNATURE DIFFERS</t>
  </si>
  <si>
    <t>0000000602230964</t>
  </si>
  <si>
    <t>0000501204136982</t>
  </si>
  <si>
    <t>FT- 602471279-50200085415108 - HDFC SECURITIES LTD-CLIENT DSCNB A/C -</t>
  </si>
  <si>
    <t>0000000917771504</t>
  </si>
  <si>
    <t>0000000602605197</t>
  </si>
  <si>
    <t>0000000602790328</t>
  </si>
  <si>
    <t>0000000603049628</t>
  </si>
  <si>
    <t>NEFT DR-CBIN0281641-MEGHA GUPTA-NETBANK, MUM-HDFCN52025012216906963-EXPENSES RETURNED</t>
  </si>
  <si>
    <t>HDFCN52025012216906963</t>
  </si>
  <si>
    <t>0000000603238104</t>
  </si>
  <si>
    <t>0000000603458092</t>
  </si>
  <si>
    <t>RTGS DR-BARB0BRGBXX-MEDATWAL VESHNEY SAMAJ SEWA SAMITI-NETBANK, MUM-HDFCR52025012383393527-PACHOTRA METADWAL</t>
  </si>
  <si>
    <t>HDFCR52025012383393527</t>
  </si>
  <si>
    <t>FT- 603761570-50200085415108 - HDFC SECURITIES LTD-CLIENT DSCNB A/C -</t>
  </si>
  <si>
    <t>0000000921341585</t>
  </si>
  <si>
    <t>0000000603906433</t>
  </si>
  <si>
    <t>UPI-SAGAR TRADERS-0793731A0167326.BQR@KOTAK-KKBK0003731-293492852550-2384624A</t>
  </si>
  <si>
    <t>0000293492852550</t>
  </si>
  <si>
    <t>NEFT DR-COSB0000909-RAMCHANDANI UMESH SUNDARDAS-NETBANK, MUM-HDFCN52025012421830104-KRISHNA LAWN PAYME</t>
  </si>
  <si>
    <t>HDFCN52025012421830104</t>
  </si>
  <si>
    <t>NEFT DR-ICIC0006879-PRABHULAL SHARMA HALWAI AND CATERS-NETBANK, MUM-HDFCN52025012622856942-HALWAI JI</t>
  </si>
  <si>
    <t>HDFCN52025012622856942</t>
  </si>
  <si>
    <t>FT- 604200359-50200085415108 - HDFC SECURITIES LTD-CLIENT DSCNB A/C -</t>
  </si>
  <si>
    <t>0000000923248123</t>
  </si>
  <si>
    <t>0000000604414577</t>
  </si>
  <si>
    <t>CHQ DEP - MICR 8 CLEARING - TALWANDI - K: MEDATWAL VESHEY SAMAJ SEWA SAMITI :BARODA RAJ GRAMIN BANK</t>
  </si>
  <si>
    <t>0000000000000397</t>
  </si>
  <si>
    <t>0000000000000398</t>
  </si>
  <si>
    <t>0000000604618105</t>
  </si>
  <si>
    <t>0000000604905753</t>
  </si>
  <si>
    <t>0000000605060493</t>
  </si>
  <si>
    <t>0000000605301359</t>
  </si>
  <si>
    <t>FT- 605547892-50200085415108 - HDFC SECURITIES LTD-CLIENT DSCNB A/C -</t>
  </si>
  <si>
    <t>0000000927205134</t>
  </si>
  <si>
    <t>UPI-XXXXXX0094-HDFC0000001-810561957614-PAYMENT FROM PHONE</t>
  </si>
  <si>
    <t>0000810561957614</t>
  </si>
  <si>
    <t>0000000605692660</t>
  </si>
  <si>
    <t>CHQ RETURN CHGS INCL GST 200125-MIR2503033654855</t>
  </si>
  <si>
    <t>0000000605905597</t>
  </si>
  <si>
    <t>0000000606130870</t>
  </si>
  <si>
    <t>FT- 606594741-50200085415108 - HDFC SECURITIES LTD-CLIENT DSCNB A/C -</t>
  </si>
  <si>
    <t>0000000932266240</t>
  </si>
  <si>
    <t>UPI-ARCHIT  GUPTA-8668331033@YBL-SBIN0011669-755080999685-PAYMENT FROM PHONE</t>
  </si>
  <si>
    <t>0000755080999685</t>
  </si>
  <si>
    <t>NEFT DR-UTIB0001538-AJAY KUMAR GUPTA-NETBANK, MUM-HDFCN52025020337913160-TRANSFER FROM AXIS</t>
  </si>
  <si>
    <t>HDFCN52025020337913160</t>
  </si>
  <si>
    <t>0000000606907743</t>
  </si>
  <si>
    <t>0000000606974530</t>
  </si>
  <si>
    <t>0000000607243895</t>
  </si>
  <si>
    <t>0000000607401938</t>
  </si>
  <si>
    <t>UPI-ABHINDANCLOTHMERCHAN-Q071476561@YBL-YESB0YBLUPI-333619442621-CLOTH PURCHASED</t>
  </si>
  <si>
    <t>0000333619442621</t>
  </si>
  <si>
    <t>0000000607666973</t>
  </si>
  <si>
    <t>0000000607816072</t>
  </si>
  <si>
    <t>FT- 607948138-50200085415108 - HDFC SECURITIES LTD-CLIENT DSCNB A/C -</t>
  </si>
  <si>
    <t>0000000937401378</t>
  </si>
  <si>
    <t>0000000608068308</t>
  </si>
  <si>
    <t>UPI-SURAJ DILIP KATKADE-8805393241@AXL-SBIN0011669-555655207214-DIESAL</t>
  </si>
  <si>
    <t>0000555655207214</t>
  </si>
  <si>
    <t>0000000608237840</t>
  </si>
  <si>
    <t>FT- 608352094-50200085415108 - HDFC SECURITIES LTD-CLIENT DSCNB A/C -</t>
  </si>
  <si>
    <t>0000000939159594</t>
  </si>
  <si>
    <t>0000000608457777</t>
  </si>
  <si>
    <t>0000000608627069</t>
  </si>
  <si>
    <t>FT- 608789986-50200085415108 - HDFC SECURITIES LTD-CLIENT DSCNB A/C -</t>
  </si>
  <si>
    <t>0000000942953159</t>
  </si>
  <si>
    <t>ACH D- TP ACH INDIANESIGN-1715026141</t>
  </si>
  <si>
    <t>0000004288503157</t>
  </si>
  <si>
    <t>0000000608981655</t>
  </si>
  <si>
    <t>ACH C- SPIL  INT 2024 25-168045</t>
  </si>
  <si>
    <t>0000004329088779</t>
  </si>
  <si>
    <t>0000000609209291</t>
  </si>
  <si>
    <t>0000000609467687</t>
  </si>
  <si>
    <t>0000000609665697</t>
  </si>
  <si>
    <t>0000000609916334</t>
  </si>
  <si>
    <t>ACH C- HOUSING AND URBAN DE-760694</t>
  </si>
  <si>
    <t>0000004441696911</t>
  </si>
  <si>
    <t>0000000610093443</t>
  </si>
  <si>
    <t>NEFT DR-ICIC0006879-PRABHULAL SHARMA HALWAI AND CATERS-NETBANK, MUM-HDFCN52025021360441967-FOOD PAYMENT</t>
  </si>
  <si>
    <t>HDFCN52025021360441967</t>
  </si>
  <si>
    <t>0000000610374035</t>
  </si>
  <si>
    <t>0000000610520487</t>
  </si>
  <si>
    <t>NEFT CR-SBIN0011669-MR  AJAY  KUMAR  GUPTA-AJAY KUMAR GUPTA-SBINN52025021308456920</t>
  </si>
  <si>
    <t>SBINN52025021308456920</t>
  </si>
  <si>
    <t>DR LAL PATHLDIV24 2500000000000000008370</t>
  </si>
  <si>
    <t>0000250449784925</t>
  </si>
  <si>
    <t>1402017408 MOTILAL OSWAL FIN INT DIV2425</t>
  </si>
  <si>
    <t>0000140225137084</t>
  </si>
  <si>
    <t>0000000610762432</t>
  </si>
  <si>
    <t>DEPOSITORY CHARGES JAN25 - 40227714</t>
  </si>
  <si>
    <t>NEFT DR-ICIC0006879-PRABHULAL SHARMA HALWAI AND CATERS-NETBANK, MUM-HDFCN52025021463104183-FOOD EXP MARRIAGE</t>
  </si>
  <si>
    <t>HDFCN52025021463104183</t>
  </si>
  <si>
    <t>0000000610961462</t>
  </si>
  <si>
    <t>ACH D- TP ACH INDIANESIGN-1720685375</t>
  </si>
  <si>
    <t>0000004616498409</t>
  </si>
  <si>
    <t>0000000611273650</t>
  </si>
  <si>
    <t>ACH C- SHRIRAM.FINLTD I2DV2-STFIN3004764</t>
  </si>
  <si>
    <t>0000004642446447</t>
  </si>
  <si>
    <t>FT- 611615340-50200085415108 - HDFC SECURITIES LTD-CLIENT DSCNB A/C -</t>
  </si>
  <si>
    <t>0000000953045082</t>
  </si>
  <si>
    <t>FT- 611592707-50200085415108 - HDFC SECURITIES LTD-CLIENT DSCNB A/C -</t>
  </si>
  <si>
    <t>0000000953071632</t>
  </si>
  <si>
    <t>ACH C- NTPC-2-INT DIV 24-25-NT3101250171</t>
  </si>
  <si>
    <t>0000004641312320</t>
  </si>
  <si>
    <t>0000000611757145</t>
  </si>
  <si>
    <t>0000000611980326</t>
  </si>
  <si>
    <t>0000000612161730</t>
  </si>
  <si>
    <t>FT- 612419130-50200085415108 - HDFC SECURITIES LTD-CLIENT DSCNB A/C -</t>
  </si>
  <si>
    <t>0000000954997872</t>
  </si>
  <si>
    <t>FT- 612379894-50200085415108 - HDFC SECURITIES LTD-CLIENT DSCNB A/C -</t>
  </si>
  <si>
    <t>0000000955047789</t>
  </si>
  <si>
    <t>ACH D- TP ACH INDIANESIGN-1722902216</t>
  </si>
  <si>
    <t>0000004722669496</t>
  </si>
  <si>
    <t>0000000612560461</t>
  </si>
  <si>
    <t>FT- 612779762-50200085415108 - HDFC SECURITIES LTD-CLIENT DSCNB A/C -</t>
  </si>
  <si>
    <t>0000000956332634</t>
  </si>
  <si>
    <t>0000000612907085</t>
  </si>
  <si>
    <t>0000502214720007</t>
  </si>
  <si>
    <t>FT- 613199172-50200085415108 - HDFC SECURITIES LTD-CLIENT DSCNB A/C -</t>
  </si>
  <si>
    <t>0000000958449988</t>
  </si>
  <si>
    <t>0000000613368594</t>
  </si>
  <si>
    <t>0000000613544895</t>
  </si>
  <si>
    <t>0000000613795364</t>
  </si>
  <si>
    <t>0000000613939960</t>
  </si>
  <si>
    <t>0000000614214342</t>
  </si>
  <si>
    <t>0000000614377629</t>
  </si>
  <si>
    <t>50100542230922-TPT-BORROW BY ARCHIT-ARCHIT GUPTA</t>
  </si>
  <si>
    <t>0000000477538526</t>
  </si>
  <si>
    <t>0000000614649645</t>
  </si>
  <si>
    <t>ACH C- APOLLO HOS IDIV2025-AHLIN30047640</t>
  </si>
  <si>
    <t>0000005178099672</t>
  </si>
  <si>
    <t>0000502284826251</t>
  </si>
  <si>
    <t>0000000614848992</t>
  </si>
  <si>
    <t>UPI-ARCHIT GUPTA-ARCHIT4801-1@OKAXIS-UTIB0000115-567135260142-ARCHIT EXPENSES</t>
  </si>
  <si>
    <t>0000567135260142</t>
  </si>
  <si>
    <t>UPI-ARCHIT GUPTA-ARCHIT4801-1@OKAXIS-UTIB0000115-506076580209-UPI</t>
  </si>
  <si>
    <t>0000506076580209</t>
  </si>
  <si>
    <t>NEFT CR-SBIN0011669-MR  AJAY  KUMAR  GUPTA-AJAY KUMAR GUPTA-SBINN52025030238227988</t>
  </si>
  <si>
    <t>SBINN52025030238227988</t>
  </si>
  <si>
    <t>0000000494386268</t>
  </si>
  <si>
    <t>50100128155413-TPT-BORROW FROM AAYUSH-AAYUSH KUMAR GUPTA</t>
  </si>
  <si>
    <t>0000000494371619</t>
  </si>
  <si>
    <t>50100542230922-TPT-BORROW FROM ARCHIT-ARCHIT GUPTA</t>
  </si>
  <si>
    <t>0000000494372092</t>
  </si>
  <si>
    <t>ACH C- ENGINEERS INDIA LIMI-353220</t>
  </si>
  <si>
    <t>0000005307072178</t>
  </si>
  <si>
    <t>0000000615219862</t>
  </si>
  <si>
    <t>FT- 615553647-50200085415108 - HDFC SECURITIES LTD-CLIENT DSCNB A/C -</t>
  </si>
  <si>
    <t>0000000969573242</t>
  </si>
  <si>
    <t>0000000615709178</t>
  </si>
  <si>
    <t>0000000615840347</t>
  </si>
  <si>
    <t>0000000616094535</t>
  </si>
  <si>
    <t>NEFT CR-SBIN0011669-MR  AJAY  KUMAR  GUPTA-AJAY KUMAR GUPTA-SBINN52025030544527008</t>
  </si>
  <si>
    <t>SBINN52025030544527008</t>
  </si>
  <si>
    <t>50100128155413-TPT-BORROW BY AAYUSH-AAYUSH KUMAR GUPTA</t>
  </si>
  <si>
    <t>0000000119739921</t>
  </si>
  <si>
    <t>FT- 616343159-50200085415108 - HDFC SECURITIES LTD-CLIENT DSCNB A/C -</t>
  </si>
  <si>
    <t>0000000973364946</t>
  </si>
  <si>
    <t>ACH C- SJVN LTD-1354068</t>
  </si>
  <si>
    <t>0000005513841790</t>
  </si>
  <si>
    <t>0000000616487001</t>
  </si>
  <si>
    <t>ATW-512967XXXXXX1000-S1AWBL29-BANGALORE</t>
  </si>
  <si>
    <t>0000000000001021</t>
  </si>
  <si>
    <t>ACH C- ADVANI HOTELS AND RE-065233300025</t>
  </si>
  <si>
    <t>0000005547920912</t>
  </si>
  <si>
    <t>0000000616606350</t>
  </si>
  <si>
    <t>FT- 616728150-50200085415108 - HDFC SECURITIES LTD-CLIENT DSCNB A/C -</t>
  </si>
  <si>
    <t>0000000975498933</t>
  </si>
  <si>
    <t>0000000616875559</t>
  </si>
  <si>
    <t>ACH C- KOEL INT DIV 2024 25-44679</t>
  </si>
  <si>
    <t>0000005574314884</t>
  </si>
  <si>
    <t>0000503070476521</t>
  </si>
  <si>
    <t>0000000617028417</t>
  </si>
  <si>
    <t>50100128155413-TPT-MNY RTN TO AKG-AAYUSH KUMAR GUPTA</t>
  </si>
  <si>
    <t>0000000239863883</t>
  </si>
  <si>
    <t>ACH D- TP ACH INDIANESIGN-1746642266</t>
  </si>
  <si>
    <t>0000005810144324</t>
  </si>
  <si>
    <t>NEFT DR-UTIB0001538-AJAY KUMAR GUPTA-NETBANK, MUM-HDFCN52025031008116303-EXPENCES</t>
  </si>
  <si>
    <t>HDFCN52025031008116303</t>
  </si>
  <si>
    <t>0000000617417938</t>
  </si>
  <si>
    <t>0000503104945848</t>
  </si>
  <si>
    <t>0000503104953608</t>
  </si>
  <si>
    <t>0000000617611309</t>
  </si>
  <si>
    <t>0000000617850533</t>
  </si>
  <si>
    <t>ACH C- POWER FINANCE CORPOR-19527881</t>
  </si>
  <si>
    <t>0000005862460651</t>
  </si>
  <si>
    <t>0000000617993628</t>
  </si>
  <si>
    <t>0000000618245093</t>
  </si>
  <si>
    <t>0000000618374805</t>
  </si>
  <si>
    <t>0000000618637728</t>
  </si>
  <si>
    <t>0000000618829122</t>
  </si>
  <si>
    <t>NEFT CR-SBIN0011669-MR  AJAY  KUMAR  GUPTA-AJAY KUMAR GUPTA-SBINN52025031564007830</t>
  </si>
  <si>
    <t>SBINN52025031564007830</t>
  </si>
  <si>
    <t>DEPOSITORY CHARGES FEB25 - 40227714</t>
  </si>
  <si>
    <t>FT- 618942481-50200085415108 - HDFC SECURITIES LTD-CLIENT DSCNB A/C -</t>
  </si>
  <si>
    <t>0000000988641104</t>
  </si>
  <si>
    <t>ACH D- TP ACH INDIANESIGN-1752680360</t>
  </si>
  <si>
    <t>0000006164653278</t>
  </si>
  <si>
    <t>0000000619122069</t>
  </si>
  <si>
    <t>0000000619279759</t>
  </si>
  <si>
    <t>FT- 619408708-50200085415108 - HDFC SECURITIES LTD-CLIENT DSCNB A/C -</t>
  </si>
  <si>
    <t>0000000989868615</t>
  </si>
  <si>
    <t>0000000619517590</t>
  </si>
  <si>
    <t>0000000619644626</t>
  </si>
  <si>
    <t>FT- 619738780-50200085415108 - HDFC SECURITIES LTD-CLIENT DSCNB A/C -</t>
  </si>
  <si>
    <t>0000000991311790</t>
  </si>
  <si>
    <t>0000000619902924</t>
  </si>
  <si>
    <t>FT- 620112545-50200085415108 - HDFC SECURITIES LTD-CLIENT DSCNB A/C -</t>
  </si>
  <si>
    <t>0000000992638359</t>
  </si>
  <si>
    <t>FT- 620146632-50200085415108 - HDFC SECURITIES LTD-CLIENT DSCNB A/C -</t>
  </si>
  <si>
    <t>0000000992637738</t>
  </si>
  <si>
    <t>ACH D- TP ACH INDIANESIGN-1754493794</t>
  </si>
  <si>
    <t>0000006255460614</t>
  </si>
  <si>
    <t>0000000200154523</t>
  </si>
  <si>
    <t>0000000620282584</t>
  </si>
  <si>
    <t>0000503200271982</t>
  </si>
  <si>
    <t>0000000620411253</t>
  </si>
  <si>
    <t>50100128155413-TPT-MNY RETURN BY AAYUSH TO AJAY-AAYUSH KUMAR GUPTA</t>
  </si>
  <si>
    <t>0000000707177950</t>
  </si>
  <si>
    <t>0000000620687596</t>
  </si>
  <si>
    <t>0000000620785034</t>
  </si>
  <si>
    <t>FT- 620918034-50200085415108 - HDFC SECURITIES LTD-CLIENT DSCNB A/C -</t>
  </si>
  <si>
    <t>0000000996708366</t>
  </si>
  <si>
    <t>0000000621098416</t>
  </si>
  <si>
    <t>FT- 621374011-50200085415108 - HDFC SECURITIES LTD-CLIENT DSCNB A/C -</t>
  </si>
  <si>
    <t>0000000998139440</t>
  </si>
  <si>
    <t>FT- 621339324-50200085415108 - HDFC SECURITIES LTD-CLIENT DSCNB A/C -</t>
  </si>
  <si>
    <t>0000000998152090</t>
  </si>
  <si>
    <t>0000000621530478</t>
  </si>
  <si>
    <t>0000000621690152</t>
  </si>
  <si>
    <t>FT- 621797766-50200085415108 - HDFC SECURITIES LTD-CLIENT DSCNB A/C -</t>
  </si>
  <si>
    <t>0000000999437124</t>
  </si>
  <si>
    <t>0000000621935768</t>
  </si>
  <si>
    <t>0000000622116896</t>
  </si>
  <si>
    <t>0000000622145916</t>
  </si>
  <si>
    <t>0000000622371297</t>
  </si>
  <si>
    <t>FT- NI EQUITY HYBRID FUND SEG 1 RED AC - HD99 129572496 41196088676 40092989</t>
  </si>
  <si>
    <t>0000011001930615</t>
  </si>
  <si>
    <t>FT- 622602920-50200085415108 - HDFC SECURITIES LTD-CLIENT DSCNB A/C -</t>
  </si>
  <si>
    <t>0000001003015199</t>
  </si>
  <si>
    <t>ACH C- HUDCO LTD-HD1403250116228</t>
  </si>
  <si>
    <t>0000006515993399</t>
  </si>
  <si>
    <t>0000000622790284</t>
  </si>
  <si>
    <t>0000000622951808</t>
  </si>
  <si>
    <t>ACH C- POWER FINANCE CORPOR-20826452</t>
  </si>
  <si>
    <t>0000006479359613</t>
  </si>
  <si>
    <t>ISAQMC-JUL-SEP24-101236 070325-MIR2508870990132</t>
  </si>
  <si>
    <t>MIR2508870990132</t>
  </si>
  <si>
    <t>50200107580335-TPT-SOCIETY MAINTENANCE CHARGE-ISHWAR PARADISE CO OP HSG SOCIETY LTD</t>
  </si>
  <si>
    <t>0000000763261191</t>
  </si>
  <si>
    <t>_00000010927273960</t>
  </si>
  <si>
    <t>SIMPLE SAVINGS BANK ACCOUNT</t>
  </si>
  <si>
    <t>KOTA MAIN</t>
  </si>
  <si>
    <t>MOD Balance      :</t>
  </si>
  <si>
    <t>SBIN0001534</t>
  </si>
  <si>
    <t>CKYCR Number          :</t>
  </si>
  <si>
    <t>_324002002</t>
  </si>
  <si>
    <t xml:space="preserve">   TO TRANSFER-TRANSFER TO--</t>
  </si>
  <si>
    <t>TRANSFER TO 3199916015341</t>
  </si>
  <si>
    <t xml:space="preserve">   BY TRANSFER-TRANSFER FROM--</t>
  </si>
  <si>
    <t>TRANSFER FROM 3199910015346</t>
  </si>
  <si>
    <t xml:space="preserve">   CASH WITHDRAWAL-CASH WITHDRAWAL SELF--</t>
  </si>
  <si>
    <t xml:space="preserve">   BY TRANSFER-INB Deposit / Investment--</t>
  </si>
  <si>
    <t>IID5716810               TRANSFER FROM 20010697703</t>
  </si>
  <si>
    <t xml:space="preserve">   CREDIT INTEREST---</t>
  </si>
  <si>
    <t>_00000020010697703</t>
  </si>
  <si>
    <t>SBCHQ-SBP-GEN-PUB-IND-ALL-INR</t>
  </si>
  <si>
    <t xml:space="preserve">Yes </t>
  </si>
  <si>
    <t>IIC6358431               TRANSFER FROM 32718635441</t>
  </si>
  <si>
    <t xml:space="preserve">   WITHDRAWAL TRANSFER---</t>
  </si>
  <si>
    <t xml:space="preserve">TRANSFER TO 32718635441                           </t>
  </si>
  <si>
    <t xml:space="preserve">   TO TRANSFER-ForTrading--</t>
  </si>
  <si>
    <t xml:space="preserve">TRANSFER TO 41128839515                           </t>
  </si>
  <si>
    <t xml:space="preserve">   TO TRANSFER-CMP SBI CAPS--</t>
  </si>
  <si>
    <t>CMP00000000836189515AONQ165682               TRANS</t>
  </si>
  <si>
    <t xml:space="preserve">   BY TRANSFER-INB -For 19260165--</t>
  </si>
  <si>
    <t>6603846877CT00DADQN7               TRANSFER FROM 4</t>
  </si>
  <si>
    <t>6604305146CT00DGHUV2               TRANSFER FROM 4</t>
  </si>
  <si>
    <t>6604660164CT00DKDEE2               TRANSFER FROM 4</t>
  </si>
  <si>
    <t xml:space="preserve">   TO TRANSFER-INB SBICARD FOR BILLDESK      SBICARD Payments--</t>
  </si>
  <si>
    <t>YSBI2309196696IGAREEFED6               TRANSFER TO</t>
  </si>
  <si>
    <t>6604768217CT00DKYXP5               TRANSFER FROM 4</t>
  </si>
  <si>
    <t xml:space="preserve">IIC7064643               TRANSFER TO 32718709979  </t>
  </si>
  <si>
    <t>IIC7134822               TRANSFER FROM 32718635441</t>
  </si>
  <si>
    <t xml:space="preserve">   TO TRANSFER-INB NEFT UTR NO: SBIN324121083902--AJAY KUMAR GUPTA</t>
  </si>
  <si>
    <t>NEFT INB: IRY4483545                               / AJAY KUMAR GUPTA</t>
  </si>
  <si>
    <t>6605171932CT00DPQMU9               TRANSFER FROM 4</t>
  </si>
  <si>
    <t xml:space="preserve">   ATM WDL-ATM CASH 468   SBI SHIVAJI NAGAR ATM NASHIK--</t>
  </si>
  <si>
    <t xml:space="preserve">   TO TRANSFER-INB CRIS RAIL CONNECT         Railway Ticket Booki--</t>
  </si>
  <si>
    <t>100004997816635IGARHDTKI2               TRANSFER T</t>
  </si>
  <si>
    <t>6607371352CT00ENZTP8               TRANSFER FROM 4</t>
  </si>
  <si>
    <t>6607509028CT00EOXSW4               TRANSFER FROM 4</t>
  </si>
  <si>
    <t>IIC7965442               TRANSFER FROM 32718635441</t>
  </si>
  <si>
    <t xml:space="preserve">   TO TRANSFER-INB NEFT UTR NO: SBIN324153115929--Ajay Kumar Gupta</t>
  </si>
  <si>
    <t>NEFT INB: IRY6457243                               / Ajay Kumar Gupta</t>
  </si>
  <si>
    <t>YSBI2349027152IGARJGGHA8               TRANSFER TO</t>
  </si>
  <si>
    <t>6608823713CT00FDHSM0               TRANSFER FROM 4</t>
  </si>
  <si>
    <t>6609061671CT00FHALZ5               TRANSFER FROM 4</t>
  </si>
  <si>
    <t>6609292046CT00FJAEM0               TRANSFER FROM 4</t>
  </si>
  <si>
    <t>6609661000CT00FMTMR8               TRANSFER FROM 4</t>
  </si>
  <si>
    <t xml:space="preserve">   BULK POSTING-ACHCr NACH00000000004278 IIL FINAL 2023--</t>
  </si>
  <si>
    <t xml:space="preserve">IIC8599214               TRANSFER TO 32718635441  </t>
  </si>
  <si>
    <t>6609791558CT00FNQDL6               TRANSFER FROM 4</t>
  </si>
  <si>
    <t xml:space="preserve">IIC8605867               TRANSFER TO 32718635441  </t>
  </si>
  <si>
    <t>6609911038CT00FOQAS7               TRANSFER FROM 4</t>
  </si>
  <si>
    <t xml:space="preserve">   BULK POSTING-ACHCr UTIB01988000029402 INFOSYS LIMITE--</t>
  </si>
  <si>
    <t xml:space="preserve">   ATM WDL-ATM CASH 2735  SBI SHIVAJI NAGAR ATM NASHIK--</t>
  </si>
  <si>
    <t>IIC8774556               TRANSFER FROM 32718635441</t>
  </si>
  <si>
    <t>6610181369CT00FRXIW2               TRANSFER FROM 4</t>
  </si>
  <si>
    <t>6610255734CT00FSYRT3               TRANSFER FROM 4</t>
  </si>
  <si>
    <t>6610410910CT00FTYFO9               TRANSFER FROM 4</t>
  </si>
  <si>
    <t>6610673514CT00FWDKL3               TRANSFER FROM 4</t>
  </si>
  <si>
    <t>6610760512CT00FWQWB1               TRANSFER FROM 4</t>
  </si>
  <si>
    <t>YSBI2376199945IGARNGMWS7               TRANSFER TO</t>
  </si>
  <si>
    <t>6611662925CT00GGCIT7               TRANSFER FROM 4</t>
  </si>
  <si>
    <t xml:space="preserve">   TO TRANSFER-INB NEFT UTR NO: SBIN524200756925--AJAY KUMAR GUPTA</t>
  </si>
  <si>
    <t>NEFT INB: IRY9441264                               / AJAY KUMAR GUPTA</t>
  </si>
  <si>
    <t xml:space="preserve">   TO TRANSFER-INB NEFT UTR NO: SBIN124210459866--AJAY KUMAR GUPTA</t>
  </si>
  <si>
    <t>NEFT INB: IRY9956314                               / AJAY KUMAR GUPTA</t>
  </si>
  <si>
    <t xml:space="preserve">   by debit card-OTHPOS421019779047P N GADGIL AND SONS   NASHIK--</t>
  </si>
  <si>
    <t>6613179299CT00GRQPO4               TRANSFER FROM 4</t>
  </si>
  <si>
    <t>IIC9588610               TRANSFER FROM 32718635441</t>
  </si>
  <si>
    <t>6613317641CT00GSQQJ2               TRANSFER FROM 4</t>
  </si>
  <si>
    <t xml:space="preserve">   BULK POSTING-ACHCr HDFC01160000010513 PAUSHAKLTDDIV2--</t>
  </si>
  <si>
    <t>YSBI2409689534IGARREKFN7               TRANSFER TO</t>
  </si>
  <si>
    <t>6614471358CT00HDHYC0               TRANSFER FROM 4</t>
  </si>
  <si>
    <t xml:space="preserve">IID0091311               TRANSFER TO 32718635441  </t>
  </si>
  <si>
    <t xml:space="preserve">   TO TRANSFER-INB NEFT UTR NO: SBIN124249087443--NRI Ajay</t>
  </si>
  <si>
    <t>NEFT INB: IRZ3071073                               / NRI Ajay</t>
  </si>
  <si>
    <t>IID0702525               TRANSFER FROM 32718635441</t>
  </si>
  <si>
    <t xml:space="preserve">   BULK POSTING-ACHCr NACH00000000061871 MANORAMA FNLDI--</t>
  </si>
  <si>
    <t xml:space="preserve">   ATM WDL-ATM CASH 6617  SBI SHIVAJI NAGAR ATM NASHIK--</t>
  </si>
  <si>
    <t>YSBI2437030550IGARVEHUS4               TRANSFER TO</t>
  </si>
  <si>
    <t xml:space="preserve">   DEBIT-ATMCard AMC  652294*6987--</t>
  </si>
  <si>
    <t>IID1098903               TRANSFER FROM 32718635441</t>
  </si>
  <si>
    <t>YSBI2455710948IGARYEKOY3               TRANSFER TO</t>
  </si>
  <si>
    <t>6619683216CT00JBAMX4               TRANSFER FROM 4</t>
  </si>
  <si>
    <t xml:space="preserve">   BY TRANSFER-NEFT*YESB0000001*YESIG42880017503*JYOTI RESINS AND--</t>
  </si>
  <si>
    <t>TRANSFER FROM 4697204044305</t>
  </si>
  <si>
    <t xml:space="preserve">   TO TRANSFER-INB Mandir Donation--</t>
  </si>
  <si>
    <t xml:space="preserve">IT00XSANL2               TRANSFER TO 51036404764  </t>
  </si>
  <si>
    <t xml:space="preserve">   TO TRANSFER-INB SBI Life Insurance Co Ltd--</t>
  </si>
  <si>
    <t xml:space="preserve">1291201790525IGASBEFWQ3               TRANSFER TO </t>
  </si>
  <si>
    <t>6622106165CT00JYQVS0               TRANSFER FROM 4</t>
  </si>
  <si>
    <t>YSBI2475782875IGASBPNMY5               TRANSFER TO</t>
  </si>
  <si>
    <t>YSBI2491376596IGASEJHJL5               TRANSFER TO</t>
  </si>
  <si>
    <t xml:space="preserve">IID2969659               TRANSFER TO 32718635441  </t>
  </si>
  <si>
    <t xml:space="preserve">   TO TRANSFER-INB DOITC--</t>
  </si>
  <si>
    <t>125930175IGASFFOLI5               TRANSFER TO 6120</t>
  </si>
  <si>
    <t xml:space="preserve">   BY TRANSFER-NEFT*UBIN0905666*001855406547*AJAY KUMAR GUPTA HUF--</t>
  </si>
  <si>
    <t>TRANSFER FROM 4697203044306</t>
  </si>
  <si>
    <t xml:space="preserve">   TO TRANSFER-INB NEFT UTR NO: SBIN325022604106--AJAY KUMAR GUPTA</t>
  </si>
  <si>
    <t>NEFT INB: IR00AXEEH7                               / AJAY KUMAR GUPTA</t>
  </si>
  <si>
    <t xml:space="preserve">IID4102702               TRANSFER TO 32718635441  </t>
  </si>
  <si>
    <t>IID4119815               TRANSFER FROM 32718635441</t>
  </si>
  <si>
    <t xml:space="preserve">   ATM WDL-ATM CASH 390   +SBI ATM              KOTA--</t>
  </si>
  <si>
    <t>IID4719380               TRANSFER FROM 32718635441</t>
  </si>
  <si>
    <t xml:space="preserve">   BY TRANSFER-NEFT*UBIN0905666*001897480327*AJAY KUMAR GUPTA HUF--</t>
  </si>
  <si>
    <t>TRANSFER FROM 3199961044301</t>
  </si>
  <si>
    <t xml:space="preserve">IID4729219               TRANSFER TO 32718635441  </t>
  </si>
  <si>
    <t xml:space="preserve">   BY TRANSFER-INB Expenses--</t>
  </si>
  <si>
    <t>IID4900551               TRANSFER FROM 32718635441</t>
  </si>
  <si>
    <t>YSBI2533860361IGASMNHXU1               TRANSFER TO</t>
  </si>
  <si>
    <t>IID5587464               TRANSFER FROM 32718635441</t>
  </si>
  <si>
    <t xml:space="preserve">IID5716810               TRANSFER TO 10927273960  </t>
  </si>
  <si>
    <t xml:space="preserve">   TO TRANSFER-INB NEFT UTR NO: SBIN225082665764--NRI Ajay</t>
  </si>
  <si>
    <t>NEFT INB: IR00BRXTU4                               / NRI Ajay</t>
  </si>
  <si>
    <t>6506114828CT00OMQGT2               TRANSFER FROM 4</t>
  </si>
  <si>
    <t xml:space="preserve">IID5721575               TRANSFER TO 32718635441  </t>
  </si>
  <si>
    <t>YSBI2548718268IGASPQKPN7               TRANSFER TO</t>
  </si>
  <si>
    <t>IID5910768               TRANSFER FROM 32718635441</t>
  </si>
  <si>
    <t>Cash Withdrawal</t>
  </si>
  <si>
    <t>Jewellery Purchase</t>
  </si>
  <si>
    <t>Credit Card</t>
  </si>
  <si>
    <t>Personal</t>
  </si>
  <si>
    <t>Transfer from AKG HUF</t>
  </si>
  <si>
    <t>Contra - Axis</t>
  </si>
  <si>
    <t>Contra SBI SB Nsk</t>
  </si>
  <si>
    <t>Contra - SBI</t>
  </si>
  <si>
    <t>IDK??</t>
  </si>
  <si>
    <t>Contra - SBI NSK SB</t>
  </si>
  <si>
    <t>Contra - BOI</t>
  </si>
  <si>
    <t>SBI Trading</t>
  </si>
  <si>
    <t>Contra - AXIS</t>
  </si>
  <si>
    <t>Contra - SBI SB</t>
  </si>
  <si>
    <t>Contra - HDFC</t>
  </si>
  <si>
    <t>Marriage Exp</t>
  </si>
  <si>
    <t>Transfer to Sunita</t>
  </si>
  <si>
    <t>Medatwal donation?</t>
  </si>
  <si>
    <t>SIP - 10000</t>
  </si>
  <si>
    <t>SIP - 8000</t>
  </si>
  <si>
    <t>Transfer from Aayush</t>
  </si>
  <si>
    <t>Transfer to Aayush</t>
  </si>
  <si>
    <t>Ishwar Paradise</t>
  </si>
  <si>
    <t>Which Receipt?</t>
  </si>
  <si>
    <t>Locker Charges</t>
  </si>
  <si>
    <t>Khandelwal Marriage expense</t>
  </si>
  <si>
    <t>FD</t>
  </si>
  <si>
    <t>MF Redemption</t>
  </si>
  <si>
    <t>Misc Income</t>
  </si>
  <si>
    <t>LIC Policy Redemption</t>
  </si>
  <si>
    <t>CARE HEALTH INSURANCE LIMITED - 80D</t>
  </si>
  <si>
    <t>NIVA BUPA HEALTH INSURANCE COMPANY - 80D</t>
  </si>
  <si>
    <t>IPO??</t>
  </si>
  <si>
    <t>Advance Tax</t>
  </si>
  <si>
    <t>EPFO Withdrawal</t>
  </si>
  <si>
    <t>Transfer from Sunita Gupta</t>
  </si>
  <si>
    <t>Prabhu Lal ji Marriage</t>
  </si>
  <si>
    <t>Transfer to Megha</t>
  </si>
  <si>
    <t>Reception</t>
  </si>
  <si>
    <t>Marriage</t>
  </si>
  <si>
    <t>HDFC Sec</t>
  </si>
  <si>
    <t>Credit card</t>
  </si>
  <si>
    <t>LIC Annuity</t>
  </si>
  <si>
    <t>SA Tax</t>
  </si>
  <si>
    <t>Axis Security</t>
  </si>
  <si>
    <t>Nil</t>
  </si>
  <si>
    <t>Insurance</t>
  </si>
  <si>
    <t>MF</t>
  </si>
  <si>
    <t>Redemption of MF</t>
  </si>
  <si>
    <t>HDFC STANDARD LIFE</t>
  </si>
  <si>
    <t>Insurance 80C</t>
  </si>
  <si>
    <t>Shares Sale</t>
  </si>
  <si>
    <t>TX Date</t>
  </si>
  <si>
    <t>Particulars</t>
  </si>
  <si>
    <t>Ref</t>
  </si>
  <si>
    <t>Kya hai?</t>
  </si>
  <si>
    <t>Account of Statements from 01-04-2024 to 31-03-2025</t>
  </si>
  <si>
    <t>Ajay Kumar Gupta</t>
  </si>
  <si>
    <t>Account No</t>
  </si>
  <si>
    <t>AXIS</t>
  </si>
  <si>
    <t>HDFC</t>
  </si>
  <si>
    <t>SBI  - CA</t>
  </si>
  <si>
    <t>BOI</t>
  </si>
  <si>
    <t>SBI SB Nsk</t>
  </si>
  <si>
    <t>SBI SB Kota</t>
  </si>
  <si>
    <t>With</t>
  </si>
  <si>
    <t>SBI SB RBT</t>
  </si>
  <si>
    <t>TRANSFER TO 35725329806 SBI GENERAL INSURANCE  SBIYA24235064400254258195 PAIRenewal</t>
  </si>
  <si>
    <t>SB:910010047943167:Int.Pd:01-01-2025 to 31-03-2025</t>
  </si>
  <si>
    <t>INTEREST PAID TILL 31-MAR-2025</t>
  </si>
  <si>
    <t>Contra SBI  - CA</t>
  </si>
  <si>
    <t>Contra AXIS</t>
  </si>
  <si>
    <t>Contra HDFC</t>
  </si>
  <si>
    <t>Contra BOI</t>
  </si>
  <si>
    <t>Contra SBI SB Kota</t>
  </si>
  <si>
    <t>Entry done</t>
  </si>
  <si>
    <t>Entry?</t>
  </si>
  <si>
    <t>Done</t>
  </si>
  <si>
    <t xml:space="preserve"> NA </t>
  </si>
  <si>
    <t xml:space="preserve">Loan Interest </t>
  </si>
  <si>
    <t>Laptop Purchased</t>
  </si>
  <si>
    <t>Loan Given to Pramod Sharma</t>
  </si>
  <si>
    <t>UPI - Personal</t>
  </si>
  <si>
    <t>Cash Withdrawan</t>
  </si>
  <si>
    <t>Loan Given to Amit Chandak</t>
  </si>
  <si>
    <t>Shaadi Kharcha - Display</t>
  </si>
  <si>
    <t>Shaadi Kharcha - Food</t>
  </si>
  <si>
    <t>Shaadi Kharcha - Tent</t>
  </si>
  <si>
    <t>Shaadi Kharcha - Kirana</t>
  </si>
  <si>
    <t>Shaadi Kharcha - Cloth Purchased</t>
  </si>
  <si>
    <t>NIL</t>
  </si>
  <si>
    <t>Shaadi Kharcha - Makeup</t>
  </si>
  <si>
    <t>Shaadi Kharcha - Transport</t>
  </si>
  <si>
    <t>Shaadi Kharcha - Disposal</t>
  </si>
  <si>
    <t>Shaadi Kharcha</t>
  </si>
  <si>
    <t>CAR</t>
  </si>
  <si>
    <t>Bata - Advocate</t>
  </si>
  <si>
    <t>Shaadi Kharcha : Cloth Purchased</t>
  </si>
  <si>
    <t>Nashik Reception - Krishna Lawns</t>
  </si>
  <si>
    <t>Shaadi Kharcha - Hotel</t>
  </si>
  <si>
    <t>Shaadi Kharcha - Mineral Water</t>
  </si>
  <si>
    <t>Shaadi Kharcha - Wedding Card</t>
  </si>
  <si>
    <t>Shaadi Kharcha : Khandelwal</t>
  </si>
  <si>
    <t>Shaadi Kharcha : Prabhu Lal ji Marriage</t>
  </si>
  <si>
    <t>Nashik Reception</t>
  </si>
  <si>
    <t>Not to do</t>
  </si>
  <si>
    <t>Shaadi Kharcha Rent</t>
  </si>
  <si>
    <t>Shaadi Kharcha : Rent</t>
  </si>
  <si>
    <t>Buyback of Indus Towers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</si>
</sst>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5"/>
      <color rgb="FFFFFFFF"/>
      <name val="Arial"/>
      <family val="2"/>
    </font>
    <font>
      <b/>
      <sz val="11"/>
      <color rgb="FFFF0000"/>
      <name val="Calibri"/>
      <family val="2"/>
      <scheme val="minor"/>
    </font>
    <font>
      <sz val="11"/>
      <color rgb="FF0000FF"/>
      <name val="Calibri"/>
      <family val="2"/>
      <scheme val="minor"/>
    </font>
    <font>
      <b/>
      <sz val="11"/>
      <color rgb="FF0000FF"/>
      <name val="Calibri"/>
      <family val="2"/>
      <scheme val="minor"/>
    </font>
    <font>
      <b/>
      <sz val="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80"/>
        <bgColor indexed="64"/>
      </patternFill>
    </fill>
    <fill>
      <patternFill patternType="solid">
        <fgColor rgb="FFC0C0C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
      <left/>
      <right style="thin">
        <color rgb="FFCCCCCC"/>
      </right>
      <top/>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41">
    <xf numFmtId="0" fontId="0" fillId="0" borderId="0" xfId="0"/>
    <xf numFmtId="14" fontId="0" fillId="0" borderId="0" xfId="0" applyNumberFormat="1"/>
    <xf numFmtId="164" fontId="0" fillId="0" borderId="0" xfId="1" applyNumberFormat="1" applyFont="1"/>
    <xf numFmtId="14" fontId="18" fillId="0" borderId="0" xfId="43" applyNumberFormat="1"/>
    <xf numFmtId="0" fontId="18" fillId="0" borderId="0" xfId="43"/>
    <xf numFmtId="4" fontId="0" fillId="0" borderId="0" xfId="0" applyNumberFormat="1"/>
    <xf numFmtId="0" fontId="0" fillId="0" borderId="10" xfId="0" applyBorder="1"/>
    <xf numFmtId="15" fontId="0" fillId="0" borderId="0" xfId="0" applyNumberFormat="1"/>
    <xf numFmtId="164" fontId="0" fillId="0" borderId="0" xfId="0" applyNumberFormat="1"/>
    <xf numFmtId="0" fontId="0" fillId="0" borderId="14" xfId="0" applyBorder="1"/>
    <xf numFmtId="0" fontId="0" fillId="0" borderId="15" xfId="0" applyBorder="1"/>
    <xf numFmtId="0" fontId="0" fillId="0" borderId="16" xfId="0" applyBorder="1"/>
    <xf numFmtId="0" fontId="0" fillId="0" borderId="20" xfId="0" applyBorder="1"/>
    <xf numFmtId="0" fontId="0" fillId="0" borderId="21" xfId="0" applyBorder="1"/>
    <xf numFmtId="0" fontId="16" fillId="0" borderId="10" xfId="0" applyFont="1" applyBorder="1" applyAlignment="1">
      <alignment horizontal="center" vertical="center" wrapText="1"/>
    </xf>
    <xf numFmtId="0" fontId="0" fillId="0" borderId="10" xfId="0" applyBorder="1" applyAlignment="1">
      <alignment wrapText="1"/>
    </xf>
    <xf numFmtId="22" fontId="0" fillId="0" borderId="10" xfId="0" applyNumberFormat="1" applyBorder="1" applyAlignment="1">
      <alignment horizontal="left" wrapText="1"/>
    </xf>
    <xf numFmtId="4" fontId="0" fillId="0" borderId="10" xfId="0" applyNumberFormat="1" applyBorder="1" applyAlignment="1">
      <alignment wrapText="1"/>
    </xf>
    <xf numFmtId="0" fontId="0" fillId="0" borderId="0" xfId="0" applyAlignment="1">
      <alignment wrapText="1"/>
    </xf>
    <xf numFmtId="0" fontId="16" fillId="0" borderId="0" xfId="43" applyFont="1"/>
    <xf numFmtId="0" fontId="16" fillId="0" borderId="0" xfId="0" applyFont="1"/>
    <xf numFmtId="0" fontId="16" fillId="0" borderId="0" xfId="0" applyFont="1" applyAlignment="1">
      <alignment horizontal="left"/>
    </xf>
    <xf numFmtId="0" fontId="23" fillId="0" borderId="0" xfId="0" applyFont="1"/>
    <xf numFmtId="43" fontId="0" fillId="0" borderId="0" xfId="1" applyFont="1"/>
    <xf numFmtId="43" fontId="0" fillId="0" borderId="0" xfId="0" applyNumberFormat="1"/>
    <xf numFmtId="0" fontId="0" fillId="0" borderId="0" xfId="0"/>
    <xf numFmtId="0" fontId="0" fillId="34" borderId="0" xfId="0" applyFill="1" applyAlignment="1">
      <alignment vertical="top" wrapText="1"/>
    </xf>
    <xf numFmtId="0" fontId="19" fillId="33" borderId="11" xfId="0" applyFont="1" applyFill="1" applyBorder="1" applyAlignment="1">
      <alignment horizontal="center" vertical="center" wrapText="1"/>
    </xf>
    <xf numFmtId="0" fontId="19" fillId="33" borderId="12" xfId="0" applyFont="1" applyFill="1" applyBorder="1" applyAlignment="1">
      <alignment horizontal="center" vertical="center" wrapText="1"/>
    </xf>
    <xf numFmtId="0" fontId="19" fillId="33" borderId="13" xfId="0" applyFont="1" applyFill="1" applyBorder="1" applyAlignment="1">
      <alignment horizontal="center" vertical="center" wrapText="1"/>
    </xf>
    <xf numFmtId="0" fontId="19" fillId="33" borderId="14" xfId="0" applyFont="1" applyFill="1" applyBorder="1" applyAlignment="1">
      <alignment horizontal="center" vertical="center" wrapText="1"/>
    </xf>
    <xf numFmtId="0" fontId="19" fillId="33" borderId="15" xfId="0" applyFont="1" applyFill="1" applyBorder="1" applyAlignment="1">
      <alignment horizontal="center" vertical="center" wrapText="1"/>
    </xf>
    <xf numFmtId="0" fontId="19" fillId="33" borderId="16" xfId="0" applyFont="1" applyFill="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9" xfId="0" applyFont="1" applyBorder="1" applyAlignment="1">
      <alignment horizontal="left" vertical="center" wrapText="1"/>
    </xf>
    <xf numFmtId="0" fontId="20" fillId="0" borderId="0" xfId="0" applyFont="1" applyAlignment="1">
      <alignment wrapText="1"/>
    </xf>
    <xf numFmtId="0" fontId="22" fillId="0" borderId="0" xfId="0" applyFont="1" applyAlignment="1">
      <alignment horizont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903AE688-1C0B-46DE-848C-C83BA76DE457}"/>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E192-337F-41F2-87F3-B173931D93D4}">
  <dimension ref="A1:K417"/>
  <sheetViews>
    <sheetView topLeftCell="A67" workbookViewId="0">
      <selection activeCell="E94" sqref="E94"/>
    </sheetView>
  </sheetViews>
  <sheetFormatPr defaultRowHeight="14.4" x14ac:dyDescent="0.3"/>
  <cols>
    <col min="2" max="2" width="10.33203125" bestFit="1" customWidth="1"/>
    <col min="4" max="4" width="90.109375" bestFit="1" customWidth="1"/>
    <col min="5" max="5" width="9.88671875" bestFit="1" customWidth="1"/>
    <col min="6" max="7" width="11.33203125" bestFit="1" customWidth="1"/>
    <col min="10" max="10" width="9.88671875" bestFit="1" customWidth="1"/>
  </cols>
  <sheetData>
    <row r="1" spans="1:11" x14ac:dyDescent="0.3">
      <c r="A1" s="25" t="s">
        <v>80</v>
      </c>
      <c r="B1" s="25"/>
      <c r="C1" s="25"/>
      <c r="D1" s="25"/>
      <c r="E1" s="25"/>
      <c r="F1" s="25"/>
      <c r="G1" s="25"/>
      <c r="H1" s="25"/>
      <c r="I1" s="25"/>
      <c r="J1" s="25"/>
      <c r="K1" s="25"/>
    </row>
    <row r="2" spans="1:11" x14ac:dyDescent="0.3">
      <c r="A2" s="25" t="s">
        <v>81</v>
      </c>
      <c r="B2" s="25"/>
      <c r="C2" s="25"/>
      <c r="D2" s="25"/>
      <c r="E2" s="25"/>
      <c r="F2" s="25"/>
      <c r="G2" s="25"/>
      <c r="H2" s="25"/>
      <c r="I2" s="25"/>
      <c r="J2" s="25"/>
      <c r="K2" s="25"/>
    </row>
    <row r="3" spans="1:11" x14ac:dyDescent="0.3">
      <c r="A3" s="25" t="s">
        <v>82</v>
      </c>
      <c r="B3" s="25"/>
      <c r="C3" s="25"/>
      <c r="D3" s="25"/>
      <c r="E3" s="25"/>
      <c r="F3" s="25"/>
      <c r="G3" s="25"/>
      <c r="H3" s="25"/>
      <c r="I3" s="25"/>
      <c r="J3" s="25"/>
      <c r="K3" s="25"/>
    </row>
    <row r="4" spans="1:11" x14ac:dyDescent="0.3">
      <c r="A4" s="25" t="s">
        <v>83</v>
      </c>
      <c r="B4" s="25"/>
      <c r="C4" s="25"/>
      <c r="D4" s="25"/>
      <c r="E4" s="25"/>
      <c r="F4" s="25"/>
      <c r="G4" s="25"/>
      <c r="H4" s="25"/>
      <c r="I4" s="25"/>
      <c r="J4" s="25"/>
      <c r="K4" s="25"/>
    </row>
    <row r="5" spans="1:11" x14ac:dyDescent="0.3">
      <c r="A5" s="25" t="s">
        <v>84</v>
      </c>
      <c r="B5" s="25"/>
      <c r="C5" s="25"/>
      <c r="D5" s="25"/>
      <c r="E5" s="25"/>
      <c r="F5" s="25"/>
      <c r="G5" s="25"/>
      <c r="H5" s="25"/>
      <c r="I5" s="25"/>
      <c r="J5" s="25"/>
      <c r="K5" s="25"/>
    </row>
    <row r="6" spans="1:11" x14ac:dyDescent="0.3">
      <c r="A6" s="25" t="s">
        <v>85</v>
      </c>
      <c r="B6" s="25"/>
      <c r="C6" s="25"/>
      <c r="D6" s="25"/>
      <c r="E6" s="25"/>
      <c r="F6" s="25"/>
      <c r="G6" s="25"/>
      <c r="H6" s="25"/>
      <c r="I6" s="25"/>
      <c r="J6" s="25"/>
      <c r="K6" s="25"/>
    </row>
    <row r="7" spans="1:11" x14ac:dyDescent="0.3">
      <c r="A7" t="s">
        <v>86</v>
      </c>
    </row>
    <row r="8" spans="1:11" x14ac:dyDescent="0.3">
      <c r="A8" t="s">
        <v>87</v>
      </c>
    </row>
    <row r="9" spans="1:11" x14ac:dyDescent="0.3">
      <c r="A9" t="s">
        <v>88</v>
      </c>
    </row>
    <row r="10" spans="1:11" x14ac:dyDescent="0.3">
      <c r="A10" t="s">
        <v>89</v>
      </c>
    </row>
    <row r="11" spans="1:11" x14ac:dyDescent="0.3">
      <c r="A11" t="s">
        <v>90</v>
      </c>
    </row>
    <row r="12" spans="1:11" x14ac:dyDescent="0.3">
      <c r="A12" t="s">
        <v>91</v>
      </c>
    </row>
    <row r="13" spans="1:11" x14ac:dyDescent="0.3">
      <c r="A13" t="s">
        <v>92</v>
      </c>
    </row>
    <row r="14" spans="1:11" x14ac:dyDescent="0.3">
      <c r="A14" t="s">
        <v>93</v>
      </c>
    </row>
    <row r="15" spans="1:11" x14ac:dyDescent="0.3">
      <c r="A15" t="s">
        <v>94</v>
      </c>
    </row>
    <row r="17" spans="1:10" x14ac:dyDescent="0.3">
      <c r="A17" t="s">
        <v>0</v>
      </c>
      <c r="B17" t="s">
        <v>1</v>
      </c>
      <c r="C17" t="s">
        <v>2</v>
      </c>
      <c r="D17" t="s">
        <v>3</v>
      </c>
      <c r="E17" t="s">
        <v>4</v>
      </c>
      <c r="F17" t="s">
        <v>5</v>
      </c>
      <c r="G17" t="s">
        <v>6</v>
      </c>
      <c r="H17" t="s">
        <v>119</v>
      </c>
    </row>
    <row r="18" spans="1:10" x14ac:dyDescent="0.3">
      <c r="A18">
        <v>1</v>
      </c>
      <c r="B18" s="1">
        <v>45390</v>
      </c>
      <c r="C18" t="s">
        <v>7</v>
      </c>
      <c r="D18" t="s">
        <v>8</v>
      </c>
      <c r="E18" s="2">
        <v>18264.43</v>
      </c>
      <c r="F18" s="2">
        <v>0</v>
      </c>
      <c r="G18" s="2">
        <v>72351.429999999993</v>
      </c>
      <c r="H18" s="4" t="s">
        <v>1877</v>
      </c>
      <c r="J18" s="23"/>
    </row>
    <row r="19" spans="1:10" x14ac:dyDescent="0.3">
      <c r="A19">
        <v>2</v>
      </c>
      <c r="B19" s="1">
        <v>45392</v>
      </c>
      <c r="C19" t="s">
        <v>7</v>
      </c>
      <c r="D19" t="s">
        <v>9</v>
      </c>
      <c r="E19" s="2">
        <v>30</v>
      </c>
      <c r="F19" s="2">
        <v>0</v>
      </c>
      <c r="G19" s="2">
        <v>72321.429999999993</v>
      </c>
      <c r="H19" t="s">
        <v>356</v>
      </c>
    </row>
    <row r="20" spans="1:10" x14ac:dyDescent="0.3">
      <c r="A20">
        <v>3</v>
      </c>
      <c r="B20" s="1">
        <v>45395</v>
      </c>
      <c r="C20" t="s">
        <v>7</v>
      </c>
      <c r="D20" t="s">
        <v>10</v>
      </c>
      <c r="E20" s="2">
        <v>10000</v>
      </c>
      <c r="F20" s="2">
        <v>0</v>
      </c>
      <c r="G20" s="2">
        <v>62321.43</v>
      </c>
      <c r="H20" t="s">
        <v>354</v>
      </c>
      <c r="J20" s="8">
        <f>G19-E20+F20-G20</f>
        <v>0</v>
      </c>
    </row>
    <row r="21" spans="1:10" x14ac:dyDescent="0.3">
      <c r="A21">
        <v>4</v>
      </c>
      <c r="B21" s="1">
        <v>45396</v>
      </c>
      <c r="C21" t="s">
        <v>7</v>
      </c>
      <c r="D21" t="s">
        <v>11</v>
      </c>
      <c r="E21" s="2">
        <v>15</v>
      </c>
      <c r="F21" s="2">
        <v>0</v>
      </c>
      <c r="G21" s="2">
        <v>62306.43</v>
      </c>
      <c r="H21" t="s">
        <v>356</v>
      </c>
      <c r="J21" s="8">
        <f t="shared" ref="J21:J84" si="0">G20-E21+F21-G21</f>
        <v>0</v>
      </c>
    </row>
    <row r="22" spans="1:10" x14ac:dyDescent="0.3">
      <c r="A22">
        <v>5</v>
      </c>
      <c r="B22" s="1">
        <v>45401</v>
      </c>
      <c r="C22" t="s">
        <v>7</v>
      </c>
      <c r="D22" t="s">
        <v>12</v>
      </c>
      <c r="E22" s="2">
        <v>60</v>
      </c>
      <c r="F22" s="2">
        <v>0</v>
      </c>
      <c r="G22" s="2">
        <v>62246.43</v>
      </c>
      <c r="H22" t="s">
        <v>356</v>
      </c>
      <c r="J22" s="8">
        <f t="shared" si="0"/>
        <v>0</v>
      </c>
    </row>
    <row r="23" spans="1:10" x14ac:dyDescent="0.3">
      <c r="A23">
        <v>6</v>
      </c>
      <c r="B23" s="1">
        <v>45405</v>
      </c>
      <c r="C23" t="s">
        <v>7</v>
      </c>
      <c r="D23" t="s">
        <v>13</v>
      </c>
      <c r="E23" s="2">
        <v>1700</v>
      </c>
      <c r="F23" s="2">
        <v>0</v>
      </c>
      <c r="G23" s="2">
        <v>60546.43</v>
      </c>
      <c r="H23" t="s">
        <v>356</v>
      </c>
      <c r="J23" s="8">
        <f t="shared" si="0"/>
        <v>0</v>
      </c>
    </row>
    <row r="24" spans="1:10" x14ac:dyDescent="0.3">
      <c r="A24">
        <v>7</v>
      </c>
      <c r="B24" s="1">
        <v>45405</v>
      </c>
      <c r="C24" t="s">
        <v>7</v>
      </c>
      <c r="D24" t="s">
        <v>14</v>
      </c>
      <c r="E24" s="2">
        <v>230</v>
      </c>
      <c r="F24" s="2">
        <v>0</v>
      </c>
      <c r="G24" s="2">
        <v>60316.43</v>
      </c>
      <c r="H24" t="s">
        <v>356</v>
      </c>
      <c r="J24" s="8">
        <f t="shared" si="0"/>
        <v>0</v>
      </c>
    </row>
    <row r="25" spans="1:10" x14ac:dyDescent="0.3">
      <c r="A25">
        <v>8</v>
      </c>
      <c r="B25" s="1">
        <v>45405</v>
      </c>
      <c r="C25" t="s">
        <v>7</v>
      </c>
      <c r="D25" t="s">
        <v>15</v>
      </c>
      <c r="E25" s="2">
        <v>6400</v>
      </c>
      <c r="F25" s="2">
        <v>0</v>
      </c>
      <c r="G25" s="2">
        <v>53916.43</v>
      </c>
      <c r="H25" t="s">
        <v>356</v>
      </c>
      <c r="J25" s="8">
        <f t="shared" si="0"/>
        <v>0</v>
      </c>
    </row>
    <row r="26" spans="1:10" x14ac:dyDescent="0.3">
      <c r="A26">
        <v>9</v>
      </c>
      <c r="B26" s="1">
        <v>45405</v>
      </c>
      <c r="C26" t="s">
        <v>7</v>
      </c>
      <c r="D26" t="s">
        <v>16</v>
      </c>
      <c r="E26" s="2">
        <v>0</v>
      </c>
      <c r="F26" s="2">
        <v>6400</v>
      </c>
      <c r="G26" s="2">
        <v>60316.43</v>
      </c>
      <c r="H26" t="s">
        <v>356</v>
      </c>
      <c r="J26" s="8">
        <f t="shared" si="0"/>
        <v>0</v>
      </c>
    </row>
    <row r="27" spans="1:10" x14ac:dyDescent="0.3">
      <c r="A27">
        <v>10</v>
      </c>
      <c r="B27" s="1">
        <v>45405</v>
      </c>
      <c r="C27" t="s">
        <v>7</v>
      </c>
      <c r="D27" t="s">
        <v>17</v>
      </c>
      <c r="E27" s="2">
        <v>6400</v>
      </c>
      <c r="F27" s="2">
        <v>0</v>
      </c>
      <c r="G27" s="2">
        <v>53916.43</v>
      </c>
      <c r="H27" t="s">
        <v>356</v>
      </c>
      <c r="J27" s="8">
        <f t="shared" si="0"/>
        <v>0</v>
      </c>
    </row>
    <row r="28" spans="1:10" x14ac:dyDescent="0.3">
      <c r="A28">
        <v>11</v>
      </c>
      <c r="B28" s="1">
        <v>45406</v>
      </c>
      <c r="C28" t="s">
        <v>7</v>
      </c>
      <c r="D28" t="s">
        <v>18</v>
      </c>
      <c r="E28" s="2">
        <v>10000</v>
      </c>
      <c r="F28" s="2">
        <v>0</v>
      </c>
      <c r="G28" s="2">
        <v>43916.43</v>
      </c>
      <c r="H28" t="s">
        <v>354</v>
      </c>
      <c r="J28" s="8">
        <f t="shared" si="0"/>
        <v>0</v>
      </c>
    </row>
    <row r="29" spans="1:10" x14ac:dyDescent="0.3">
      <c r="A29">
        <v>12</v>
      </c>
      <c r="B29" s="1">
        <v>45406</v>
      </c>
      <c r="C29" t="s">
        <v>7</v>
      </c>
      <c r="D29" t="s">
        <v>19</v>
      </c>
      <c r="E29" s="2">
        <v>70</v>
      </c>
      <c r="F29" s="2">
        <v>0</v>
      </c>
      <c r="G29" s="2">
        <v>43846.43</v>
      </c>
      <c r="H29" t="s">
        <v>356</v>
      </c>
      <c r="J29" s="8">
        <f t="shared" si="0"/>
        <v>0</v>
      </c>
    </row>
    <row r="30" spans="1:10" x14ac:dyDescent="0.3">
      <c r="A30">
        <v>13</v>
      </c>
      <c r="B30" s="1">
        <v>45406</v>
      </c>
      <c r="C30" t="s">
        <v>7</v>
      </c>
      <c r="D30" t="s">
        <v>20</v>
      </c>
      <c r="E30" s="2">
        <v>2810</v>
      </c>
      <c r="F30" s="2">
        <v>0</v>
      </c>
      <c r="G30" s="2">
        <v>41036.43</v>
      </c>
      <c r="H30" t="s">
        <v>357</v>
      </c>
      <c r="J30" s="8">
        <f t="shared" si="0"/>
        <v>0</v>
      </c>
    </row>
    <row r="31" spans="1:10" x14ac:dyDescent="0.3">
      <c r="A31">
        <v>14</v>
      </c>
      <c r="B31" s="1">
        <v>45406</v>
      </c>
      <c r="C31" t="s">
        <v>7</v>
      </c>
      <c r="D31" t="s">
        <v>21</v>
      </c>
      <c r="E31" s="2">
        <v>2825</v>
      </c>
      <c r="F31" s="2">
        <v>0</v>
      </c>
      <c r="G31" s="2">
        <v>38211.43</v>
      </c>
      <c r="H31" t="s">
        <v>358</v>
      </c>
      <c r="J31" s="8">
        <f t="shared" si="0"/>
        <v>0</v>
      </c>
    </row>
    <row r="32" spans="1:10" x14ac:dyDescent="0.3">
      <c r="A32">
        <v>15</v>
      </c>
      <c r="B32" s="1">
        <v>45408</v>
      </c>
      <c r="C32" t="s">
        <v>7</v>
      </c>
      <c r="D32" t="s">
        <v>22</v>
      </c>
      <c r="E32" s="2">
        <v>0</v>
      </c>
      <c r="F32" s="2">
        <v>5842</v>
      </c>
      <c r="G32" s="2">
        <v>44053.43</v>
      </c>
      <c r="H32" t="s">
        <v>359</v>
      </c>
      <c r="J32" s="8">
        <f t="shared" si="0"/>
        <v>0</v>
      </c>
    </row>
    <row r="33" spans="1:10" x14ac:dyDescent="0.3">
      <c r="A33">
        <v>16</v>
      </c>
      <c r="B33" s="1">
        <v>45409</v>
      </c>
      <c r="C33" t="s">
        <v>7</v>
      </c>
      <c r="D33" t="s">
        <v>23</v>
      </c>
      <c r="E33" s="2">
        <v>2792</v>
      </c>
      <c r="F33" s="2">
        <v>0</v>
      </c>
      <c r="G33" s="2">
        <v>41261.43</v>
      </c>
      <c r="H33" t="s">
        <v>356</v>
      </c>
      <c r="J33" s="8">
        <f t="shared" si="0"/>
        <v>0</v>
      </c>
    </row>
    <row r="34" spans="1:10" x14ac:dyDescent="0.3">
      <c r="A34">
        <v>17</v>
      </c>
      <c r="B34" s="1">
        <v>45410</v>
      </c>
      <c r="C34" t="s">
        <v>7</v>
      </c>
      <c r="D34" t="s">
        <v>24</v>
      </c>
      <c r="E34" s="2">
        <v>3140</v>
      </c>
      <c r="F34" s="2">
        <v>0</v>
      </c>
      <c r="G34" s="2">
        <v>38121.43</v>
      </c>
      <c r="H34" t="s">
        <v>356</v>
      </c>
      <c r="J34" s="8">
        <f t="shared" si="0"/>
        <v>0</v>
      </c>
    </row>
    <row r="35" spans="1:10" x14ac:dyDescent="0.3">
      <c r="A35">
        <v>18</v>
      </c>
      <c r="B35" s="1">
        <v>45412</v>
      </c>
      <c r="C35" t="s">
        <v>7</v>
      </c>
      <c r="D35" t="s">
        <v>25</v>
      </c>
      <c r="E35" s="2">
        <v>0</v>
      </c>
      <c r="F35" s="2">
        <v>50000</v>
      </c>
      <c r="G35" s="2">
        <v>88121.43</v>
      </c>
      <c r="H35" t="s">
        <v>1843</v>
      </c>
      <c r="J35" s="8">
        <f t="shared" si="0"/>
        <v>0</v>
      </c>
    </row>
    <row r="36" spans="1:10" x14ac:dyDescent="0.3">
      <c r="A36">
        <v>19</v>
      </c>
      <c r="B36" s="1">
        <v>45414</v>
      </c>
      <c r="C36" t="s">
        <v>7</v>
      </c>
      <c r="D36" t="s">
        <v>26</v>
      </c>
      <c r="E36" s="2">
        <v>420</v>
      </c>
      <c r="F36" s="2">
        <v>0</v>
      </c>
      <c r="G36" s="2">
        <v>87701.43</v>
      </c>
      <c r="H36" t="s">
        <v>356</v>
      </c>
      <c r="J36" s="8">
        <f t="shared" si="0"/>
        <v>0</v>
      </c>
    </row>
    <row r="37" spans="1:10" x14ac:dyDescent="0.3">
      <c r="A37">
        <v>20</v>
      </c>
      <c r="B37" s="1">
        <v>45414</v>
      </c>
      <c r="C37" t="s">
        <v>7</v>
      </c>
      <c r="D37" t="s">
        <v>27</v>
      </c>
      <c r="E37" s="2">
        <v>550</v>
      </c>
      <c r="F37" s="2">
        <v>0</v>
      </c>
      <c r="G37" s="2">
        <v>87151.43</v>
      </c>
      <c r="H37" t="s">
        <v>356</v>
      </c>
      <c r="J37" s="8">
        <f t="shared" si="0"/>
        <v>0</v>
      </c>
    </row>
    <row r="38" spans="1:10" x14ac:dyDescent="0.3">
      <c r="A38">
        <v>21</v>
      </c>
      <c r="B38" s="1">
        <v>45414</v>
      </c>
      <c r="C38" t="s">
        <v>7</v>
      </c>
      <c r="D38" t="s">
        <v>28</v>
      </c>
      <c r="E38" s="2">
        <v>150</v>
      </c>
      <c r="F38" s="2">
        <v>0</v>
      </c>
      <c r="G38" s="2">
        <v>87001.43</v>
      </c>
      <c r="H38" t="s">
        <v>356</v>
      </c>
      <c r="J38" s="8">
        <f t="shared" si="0"/>
        <v>0</v>
      </c>
    </row>
    <row r="39" spans="1:10" x14ac:dyDescent="0.3">
      <c r="A39">
        <v>22</v>
      </c>
      <c r="B39" s="1">
        <v>45418</v>
      </c>
      <c r="C39" t="s">
        <v>7</v>
      </c>
      <c r="D39" t="s">
        <v>29</v>
      </c>
      <c r="E39" s="2">
        <v>663.76</v>
      </c>
      <c r="F39" s="2">
        <v>0</v>
      </c>
      <c r="G39" s="2">
        <v>86337.67</v>
      </c>
      <c r="H39" t="s">
        <v>1880</v>
      </c>
      <c r="J39" s="8">
        <f t="shared" si="0"/>
        <v>0</v>
      </c>
    </row>
    <row r="40" spans="1:10" x14ac:dyDescent="0.3">
      <c r="A40">
        <v>23</v>
      </c>
      <c r="B40" s="1">
        <v>45418</v>
      </c>
      <c r="C40" t="s">
        <v>7</v>
      </c>
      <c r="D40" t="s">
        <v>30</v>
      </c>
      <c r="E40" s="2">
        <v>1</v>
      </c>
      <c r="F40" s="2">
        <v>0</v>
      </c>
      <c r="G40" s="2">
        <v>86336.67</v>
      </c>
      <c r="H40" t="s">
        <v>356</v>
      </c>
      <c r="J40" s="8">
        <f t="shared" si="0"/>
        <v>0</v>
      </c>
    </row>
    <row r="41" spans="1:10" x14ac:dyDescent="0.3">
      <c r="A41">
        <v>24</v>
      </c>
      <c r="B41" s="1">
        <v>45418</v>
      </c>
      <c r="C41" t="s">
        <v>7</v>
      </c>
      <c r="D41" t="s">
        <v>31</v>
      </c>
      <c r="E41" s="2">
        <v>36635</v>
      </c>
      <c r="F41" s="2">
        <v>0</v>
      </c>
      <c r="G41" s="2">
        <v>49701.67</v>
      </c>
      <c r="H41" t="s">
        <v>356</v>
      </c>
      <c r="J41" s="8">
        <f t="shared" si="0"/>
        <v>0</v>
      </c>
    </row>
    <row r="42" spans="1:10" x14ac:dyDescent="0.3">
      <c r="A42">
        <v>25</v>
      </c>
      <c r="B42" s="1">
        <v>45420</v>
      </c>
      <c r="C42" t="s">
        <v>7</v>
      </c>
      <c r="D42" t="s">
        <v>8</v>
      </c>
      <c r="E42" s="2">
        <v>12539.04</v>
      </c>
      <c r="F42" s="2">
        <v>0</v>
      </c>
      <c r="G42" s="2">
        <v>37162.629999999997</v>
      </c>
      <c r="H42" s="4" t="s">
        <v>1877</v>
      </c>
      <c r="J42" s="8">
        <f t="shared" si="0"/>
        <v>0</v>
      </c>
    </row>
    <row r="43" spans="1:10" x14ac:dyDescent="0.3">
      <c r="A43">
        <v>26</v>
      </c>
      <c r="B43" s="1">
        <v>45420</v>
      </c>
      <c r="C43" t="s">
        <v>7</v>
      </c>
      <c r="D43" t="s">
        <v>32</v>
      </c>
      <c r="E43" s="2">
        <v>1</v>
      </c>
      <c r="F43" s="2">
        <v>0</v>
      </c>
      <c r="G43" s="2">
        <v>37161.629999999997</v>
      </c>
      <c r="H43" t="s">
        <v>356</v>
      </c>
      <c r="J43" s="8">
        <f t="shared" si="0"/>
        <v>0</v>
      </c>
    </row>
    <row r="44" spans="1:10" x14ac:dyDescent="0.3">
      <c r="A44">
        <v>27</v>
      </c>
      <c r="B44" s="1">
        <v>45420</v>
      </c>
      <c r="C44" t="s">
        <v>7</v>
      </c>
      <c r="D44" t="s">
        <v>33</v>
      </c>
      <c r="E44" s="2">
        <v>30000</v>
      </c>
      <c r="F44" s="2">
        <v>0</v>
      </c>
      <c r="G44" s="2">
        <v>7161.63</v>
      </c>
      <c r="H44" t="s">
        <v>356</v>
      </c>
      <c r="J44" s="8">
        <f t="shared" si="0"/>
        <v>0</v>
      </c>
    </row>
    <row r="45" spans="1:10" x14ac:dyDescent="0.3">
      <c r="A45">
        <v>28</v>
      </c>
      <c r="B45" s="1">
        <v>45422</v>
      </c>
      <c r="C45" t="s">
        <v>7</v>
      </c>
      <c r="D45" t="s">
        <v>34</v>
      </c>
      <c r="E45" s="2">
        <v>186</v>
      </c>
      <c r="F45" s="2">
        <v>0</v>
      </c>
      <c r="G45" s="2">
        <v>6975.63</v>
      </c>
      <c r="H45" t="s">
        <v>356</v>
      </c>
      <c r="J45" s="8">
        <f t="shared" si="0"/>
        <v>0</v>
      </c>
    </row>
    <row r="46" spans="1:10" x14ac:dyDescent="0.3">
      <c r="A46">
        <v>29</v>
      </c>
      <c r="B46" s="1">
        <v>45427</v>
      </c>
      <c r="C46" t="s">
        <v>7</v>
      </c>
      <c r="D46" t="s">
        <v>35</v>
      </c>
      <c r="E46" s="2">
        <v>2000</v>
      </c>
      <c r="F46" s="2">
        <v>0</v>
      </c>
      <c r="G46" s="2">
        <v>4975.63</v>
      </c>
      <c r="H46" t="s">
        <v>356</v>
      </c>
      <c r="J46" s="8">
        <f t="shared" si="0"/>
        <v>0</v>
      </c>
    </row>
    <row r="47" spans="1:10" x14ac:dyDescent="0.3">
      <c r="A47">
        <v>30</v>
      </c>
      <c r="B47" s="1">
        <v>45427</v>
      </c>
      <c r="C47" t="s">
        <v>7</v>
      </c>
      <c r="D47" t="s">
        <v>36</v>
      </c>
      <c r="E47" s="2">
        <v>0</v>
      </c>
      <c r="F47" s="2">
        <v>40000</v>
      </c>
      <c r="G47" s="2">
        <v>44975.63</v>
      </c>
      <c r="H47" t="s">
        <v>360</v>
      </c>
      <c r="J47" s="8">
        <f t="shared" si="0"/>
        <v>0</v>
      </c>
    </row>
    <row r="48" spans="1:10" x14ac:dyDescent="0.3">
      <c r="A48">
        <v>31</v>
      </c>
      <c r="B48" s="1">
        <v>45428</v>
      </c>
      <c r="C48" t="s">
        <v>7</v>
      </c>
      <c r="D48" t="s">
        <v>37</v>
      </c>
      <c r="E48" s="2">
        <v>1000</v>
      </c>
      <c r="F48" s="2">
        <v>0</v>
      </c>
      <c r="G48" s="2">
        <v>43975.63</v>
      </c>
      <c r="H48" t="s">
        <v>356</v>
      </c>
      <c r="J48" s="8">
        <f t="shared" si="0"/>
        <v>0</v>
      </c>
    </row>
    <row r="49" spans="1:10" x14ac:dyDescent="0.3">
      <c r="A49">
        <v>32</v>
      </c>
      <c r="B49" s="1">
        <v>45429</v>
      </c>
      <c r="C49" t="s">
        <v>7</v>
      </c>
      <c r="D49" t="s">
        <v>38</v>
      </c>
      <c r="E49" s="2">
        <v>90</v>
      </c>
      <c r="F49" s="2">
        <v>0</v>
      </c>
      <c r="G49" s="2">
        <v>43885.63</v>
      </c>
      <c r="H49" t="s">
        <v>356</v>
      </c>
      <c r="J49" s="8">
        <f t="shared" si="0"/>
        <v>0</v>
      </c>
    </row>
    <row r="50" spans="1:10" x14ac:dyDescent="0.3">
      <c r="A50">
        <v>33</v>
      </c>
      <c r="B50" s="1">
        <v>45431</v>
      </c>
      <c r="C50" t="s">
        <v>7</v>
      </c>
      <c r="D50" t="s">
        <v>39</v>
      </c>
      <c r="E50" s="2">
        <v>500</v>
      </c>
      <c r="F50" s="2">
        <v>0</v>
      </c>
      <c r="G50" s="2">
        <v>43385.63</v>
      </c>
      <c r="H50" t="s">
        <v>356</v>
      </c>
      <c r="J50" s="8">
        <f t="shared" si="0"/>
        <v>0</v>
      </c>
    </row>
    <row r="51" spans="1:10" x14ac:dyDescent="0.3">
      <c r="A51">
        <v>34</v>
      </c>
      <c r="B51" s="1">
        <v>45432</v>
      </c>
      <c r="C51" t="s">
        <v>7</v>
      </c>
      <c r="D51" t="s">
        <v>40</v>
      </c>
      <c r="E51" s="2">
        <v>115</v>
      </c>
      <c r="F51" s="2">
        <v>0</v>
      </c>
      <c r="G51" s="2">
        <v>43270.63</v>
      </c>
      <c r="H51" t="s">
        <v>356</v>
      </c>
      <c r="J51" s="8">
        <f t="shared" si="0"/>
        <v>0</v>
      </c>
    </row>
    <row r="52" spans="1:10" x14ac:dyDescent="0.3">
      <c r="A52">
        <v>35</v>
      </c>
      <c r="B52" s="1">
        <v>45436</v>
      </c>
      <c r="C52" t="s">
        <v>7</v>
      </c>
      <c r="D52" t="s">
        <v>41</v>
      </c>
      <c r="E52" s="2">
        <v>1000</v>
      </c>
      <c r="F52" s="2">
        <v>0</v>
      </c>
      <c r="G52" s="2">
        <v>42270.63</v>
      </c>
      <c r="H52" t="s">
        <v>356</v>
      </c>
      <c r="J52" s="8">
        <f t="shared" si="0"/>
        <v>0</v>
      </c>
    </row>
    <row r="53" spans="1:10" x14ac:dyDescent="0.3">
      <c r="A53">
        <v>36</v>
      </c>
      <c r="B53" s="1">
        <v>45436</v>
      </c>
      <c r="C53" t="s">
        <v>7</v>
      </c>
      <c r="D53" t="s">
        <v>42</v>
      </c>
      <c r="E53" s="2">
        <v>4400</v>
      </c>
      <c r="F53" s="2">
        <v>0</v>
      </c>
      <c r="G53" s="2">
        <v>37870.629999999997</v>
      </c>
      <c r="H53" t="s">
        <v>356</v>
      </c>
      <c r="J53" s="8">
        <f t="shared" si="0"/>
        <v>0</v>
      </c>
    </row>
    <row r="54" spans="1:10" x14ac:dyDescent="0.3">
      <c r="A54">
        <v>37</v>
      </c>
      <c r="B54" s="1">
        <v>45436</v>
      </c>
      <c r="C54" t="s">
        <v>7</v>
      </c>
      <c r="D54" t="s">
        <v>43</v>
      </c>
      <c r="E54" s="2">
        <v>500</v>
      </c>
      <c r="F54" s="2">
        <v>0</v>
      </c>
      <c r="G54" s="2">
        <v>37370.629999999997</v>
      </c>
      <c r="H54" t="s">
        <v>356</v>
      </c>
      <c r="J54" s="8">
        <f t="shared" si="0"/>
        <v>0</v>
      </c>
    </row>
    <row r="55" spans="1:10" x14ac:dyDescent="0.3">
      <c r="A55">
        <v>38</v>
      </c>
      <c r="B55" s="1">
        <v>45436</v>
      </c>
      <c r="C55" t="s">
        <v>7</v>
      </c>
      <c r="D55" t="s">
        <v>44</v>
      </c>
      <c r="E55" s="2">
        <v>3240</v>
      </c>
      <c r="F55" s="2">
        <v>0</v>
      </c>
      <c r="G55" s="2">
        <v>34130.629999999997</v>
      </c>
      <c r="H55" t="s">
        <v>357</v>
      </c>
      <c r="J55" s="8">
        <f t="shared" si="0"/>
        <v>0</v>
      </c>
    </row>
    <row r="56" spans="1:10" x14ac:dyDescent="0.3">
      <c r="A56">
        <v>39</v>
      </c>
      <c r="B56" s="1">
        <v>45436</v>
      </c>
      <c r="C56" t="s">
        <v>7</v>
      </c>
      <c r="D56" t="s">
        <v>36</v>
      </c>
      <c r="E56" s="2">
        <v>0</v>
      </c>
      <c r="F56" s="2">
        <v>30000</v>
      </c>
      <c r="G56" s="2">
        <v>64130.63</v>
      </c>
      <c r="H56" t="s">
        <v>360</v>
      </c>
      <c r="J56" s="8">
        <f t="shared" si="0"/>
        <v>0</v>
      </c>
    </row>
    <row r="57" spans="1:10" x14ac:dyDescent="0.3">
      <c r="A57">
        <v>40</v>
      </c>
      <c r="B57" s="1">
        <v>45436</v>
      </c>
      <c r="C57" t="s">
        <v>7</v>
      </c>
      <c r="D57" t="s">
        <v>45</v>
      </c>
      <c r="E57" s="2">
        <v>20000</v>
      </c>
      <c r="F57" s="2">
        <v>0</v>
      </c>
      <c r="G57" s="2">
        <v>44130.63</v>
      </c>
      <c r="H57" t="s">
        <v>356</v>
      </c>
      <c r="J57" s="8">
        <f t="shared" si="0"/>
        <v>0</v>
      </c>
    </row>
    <row r="58" spans="1:10" x14ac:dyDescent="0.3">
      <c r="A58">
        <v>41</v>
      </c>
      <c r="B58" s="1">
        <v>45436</v>
      </c>
      <c r="C58" t="s">
        <v>7</v>
      </c>
      <c r="D58" t="s">
        <v>46</v>
      </c>
      <c r="E58" s="2">
        <v>0</v>
      </c>
      <c r="F58" s="2">
        <v>30000</v>
      </c>
      <c r="G58" s="2">
        <v>74130.63</v>
      </c>
      <c r="H58" t="s">
        <v>355</v>
      </c>
      <c r="J58" s="8">
        <f t="shared" si="0"/>
        <v>0</v>
      </c>
    </row>
    <row r="59" spans="1:10" x14ac:dyDescent="0.3">
      <c r="A59">
        <v>42</v>
      </c>
      <c r="B59" s="1">
        <v>45439</v>
      </c>
      <c r="C59" t="s">
        <v>7</v>
      </c>
      <c r="D59" t="s">
        <v>47</v>
      </c>
      <c r="E59" s="2">
        <v>20</v>
      </c>
      <c r="F59" s="2">
        <v>0</v>
      </c>
      <c r="G59" s="2">
        <v>74110.63</v>
      </c>
      <c r="H59" t="s">
        <v>1882</v>
      </c>
      <c r="J59" s="8">
        <f t="shared" si="0"/>
        <v>0</v>
      </c>
    </row>
    <row r="60" spans="1:10" x14ac:dyDescent="0.3">
      <c r="A60">
        <v>43</v>
      </c>
      <c r="B60" s="1">
        <v>45439</v>
      </c>
      <c r="C60" t="s">
        <v>7</v>
      </c>
      <c r="D60" t="s">
        <v>48</v>
      </c>
      <c r="E60" s="2">
        <v>500</v>
      </c>
      <c r="F60" s="2">
        <v>0</v>
      </c>
      <c r="G60" s="2">
        <v>73610.63</v>
      </c>
      <c r="H60" t="s">
        <v>356</v>
      </c>
      <c r="J60" s="8">
        <f t="shared" si="0"/>
        <v>0</v>
      </c>
    </row>
    <row r="61" spans="1:10" x14ac:dyDescent="0.3">
      <c r="A61">
        <v>44</v>
      </c>
      <c r="B61" s="1">
        <v>45440</v>
      </c>
      <c r="C61" t="s">
        <v>7</v>
      </c>
      <c r="D61" t="s">
        <v>49</v>
      </c>
      <c r="E61" s="2">
        <v>6</v>
      </c>
      <c r="F61" s="2">
        <v>0</v>
      </c>
      <c r="G61" s="2">
        <v>73604.63</v>
      </c>
      <c r="H61" t="s">
        <v>356</v>
      </c>
      <c r="J61" s="8">
        <f t="shared" si="0"/>
        <v>0</v>
      </c>
    </row>
    <row r="62" spans="1:10" x14ac:dyDescent="0.3">
      <c r="A62">
        <v>45</v>
      </c>
      <c r="B62" s="1">
        <v>45441</v>
      </c>
      <c r="C62" t="s">
        <v>7</v>
      </c>
      <c r="D62" t="s">
        <v>50</v>
      </c>
      <c r="E62" s="2">
        <v>5</v>
      </c>
      <c r="F62" s="2">
        <v>0</v>
      </c>
      <c r="G62" s="2">
        <v>73599.63</v>
      </c>
      <c r="H62" t="s">
        <v>356</v>
      </c>
      <c r="J62" s="8">
        <f t="shared" si="0"/>
        <v>0</v>
      </c>
    </row>
    <row r="63" spans="1:10" x14ac:dyDescent="0.3">
      <c r="A63">
        <v>46</v>
      </c>
      <c r="B63" s="1">
        <v>45441</v>
      </c>
      <c r="C63" t="s">
        <v>7</v>
      </c>
      <c r="D63" t="s">
        <v>51</v>
      </c>
      <c r="E63" s="2">
        <v>5</v>
      </c>
      <c r="F63" s="2">
        <v>0</v>
      </c>
      <c r="G63" s="2">
        <v>73594.63</v>
      </c>
      <c r="H63" t="s">
        <v>356</v>
      </c>
      <c r="J63" s="8">
        <f t="shared" si="0"/>
        <v>0</v>
      </c>
    </row>
    <row r="64" spans="1:10" x14ac:dyDescent="0.3">
      <c r="A64">
        <v>47</v>
      </c>
      <c r="B64" s="1">
        <v>45442</v>
      </c>
      <c r="C64" t="s">
        <v>7</v>
      </c>
      <c r="D64" t="s">
        <v>52</v>
      </c>
      <c r="E64" s="2">
        <v>179</v>
      </c>
      <c r="F64" s="2">
        <v>0</v>
      </c>
      <c r="G64" s="2">
        <v>73415.63</v>
      </c>
      <c r="H64" t="s">
        <v>356</v>
      </c>
      <c r="J64" s="8">
        <f t="shared" si="0"/>
        <v>0</v>
      </c>
    </row>
    <row r="65" spans="1:10" x14ac:dyDescent="0.3">
      <c r="A65">
        <v>48</v>
      </c>
      <c r="B65" s="1">
        <v>45442</v>
      </c>
      <c r="C65" t="s">
        <v>7</v>
      </c>
      <c r="D65" t="s">
        <v>53</v>
      </c>
      <c r="E65" s="2">
        <v>220</v>
      </c>
      <c r="F65" s="2">
        <v>0</v>
      </c>
      <c r="G65" s="2">
        <v>73195.63</v>
      </c>
      <c r="H65" t="s">
        <v>356</v>
      </c>
      <c r="J65" s="8">
        <f t="shared" si="0"/>
        <v>0</v>
      </c>
    </row>
    <row r="66" spans="1:10" x14ac:dyDescent="0.3">
      <c r="A66">
        <v>49</v>
      </c>
      <c r="B66" s="1">
        <v>45444</v>
      </c>
      <c r="C66" t="s">
        <v>7</v>
      </c>
      <c r="D66" t="s">
        <v>54</v>
      </c>
      <c r="E66" s="2">
        <v>950</v>
      </c>
      <c r="F66" s="2">
        <v>0</v>
      </c>
      <c r="G66" s="2">
        <v>72245.63</v>
      </c>
      <c r="H66" t="s">
        <v>356</v>
      </c>
      <c r="J66" s="8">
        <f t="shared" si="0"/>
        <v>0</v>
      </c>
    </row>
    <row r="67" spans="1:10" x14ac:dyDescent="0.3">
      <c r="A67">
        <v>50</v>
      </c>
      <c r="B67" s="1">
        <v>45445</v>
      </c>
      <c r="C67" t="s">
        <v>7</v>
      </c>
      <c r="D67" t="s">
        <v>55</v>
      </c>
      <c r="E67" s="2">
        <v>390</v>
      </c>
      <c r="F67" s="2">
        <v>0</v>
      </c>
      <c r="G67" s="2">
        <v>71855.63</v>
      </c>
      <c r="H67" t="s">
        <v>356</v>
      </c>
      <c r="J67" s="8">
        <f t="shared" si="0"/>
        <v>0</v>
      </c>
    </row>
    <row r="68" spans="1:10" x14ac:dyDescent="0.3">
      <c r="A68">
        <v>51</v>
      </c>
      <c r="B68" s="1">
        <v>45445</v>
      </c>
      <c r="C68" t="s">
        <v>7</v>
      </c>
      <c r="D68" t="s">
        <v>56</v>
      </c>
      <c r="E68" s="2">
        <v>1000</v>
      </c>
      <c r="F68" s="2">
        <v>0</v>
      </c>
      <c r="G68" s="2">
        <v>70855.63</v>
      </c>
      <c r="H68" t="s">
        <v>356</v>
      </c>
      <c r="J68" s="8">
        <f t="shared" si="0"/>
        <v>0</v>
      </c>
    </row>
    <row r="69" spans="1:10" x14ac:dyDescent="0.3">
      <c r="A69">
        <v>52</v>
      </c>
      <c r="B69" s="1">
        <v>45445</v>
      </c>
      <c r="C69" t="s">
        <v>7</v>
      </c>
      <c r="D69" t="s">
        <v>57</v>
      </c>
      <c r="E69" s="2">
        <v>2460.21</v>
      </c>
      <c r="F69" s="2">
        <v>0</v>
      </c>
      <c r="G69" s="2">
        <v>68395.42</v>
      </c>
      <c r="H69" t="s">
        <v>356</v>
      </c>
      <c r="J69" s="8">
        <f t="shared" si="0"/>
        <v>0</v>
      </c>
    </row>
    <row r="70" spans="1:10" x14ac:dyDescent="0.3">
      <c r="A70">
        <v>53</v>
      </c>
      <c r="B70" s="1">
        <v>45446</v>
      </c>
      <c r="C70" t="s">
        <v>7</v>
      </c>
      <c r="D70" t="s">
        <v>58</v>
      </c>
      <c r="E70" s="2">
        <v>4000</v>
      </c>
      <c r="F70" s="2">
        <v>0</v>
      </c>
      <c r="G70" s="2">
        <v>64395.42</v>
      </c>
      <c r="H70" t="s">
        <v>356</v>
      </c>
      <c r="J70" s="8">
        <f t="shared" si="0"/>
        <v>0</v>
      </c>
    </row>
    <row r="71" spans="1:10" x14ac:dyDescent="0.3">
      <c r="A71">
        <v>54</v>
      </c>
      <c r="B71" s="1">
        <v>45447</v>
      </c>
      <c r="C71" t="s">
        <v>7</v>
      </c>
      <c r="D71" t="s">
        <v>59</v>
      </c>
      <c r="E71" s="2">
        <v>5000</v>
      </c>
      <c r="F71" s="2">
        <v>0</v>
      </c>
      <c r="G71" s="2">
        <v>59395.42</v>
      </c>
      <c r="H71" t="s">
        <v>356</v>
      </c>
      <c r="J71" s="8">
        <f t="shared" si="0"/>
        <v>0</v>
      </c>
    </row>
    <row r="72" spans="1:10" x14ac:dyDescent="0.3">
      <c r="A72">
        <v>55</v>
      </c>
      <c r="B72" s="1">
        <v>45448</v>
      </c>
      <c r="C72" t="s">
        <v>7</v>
      </c>
      <c r="D72" t="s">
        <v>60</v>
      </c>
      <c r="E72" s="2">
        <v>2650.24</v>
      </c>
      <c r="F72" s="2">
        <v>0</v>
      </c>
      <c r="G72" s="2">
        <v>56745.18</v>
      </c>
      <c r="H72" t="s">
        <v>356</v>
      </c>
      <c r="J72" s="8">
        <f t="shared" si="0"/>
        <v>0</v>
      </c>
    </row>
    <row r="73" spans="1:10" x14ac:dyDescent="0.3">
      <c r="A73">
        <v>56</v>
      </c>
      <c r="B73" s="1">
        <v>45449</v>
      </c>
      <c r="C73" t="s">
        <v>7</v>
      </c>
      <c r="D73" t="s">
        <v>61</v>
      </c>
      <c r="E73" s="2">
        <v>1300</v>
      </c>
      <c r="F73" s="2">
        <v>0</v>
      </c>
      <c r="G73" s="2">
        <v>55445.18</v>
      </c>
      <c r="H73" t="s">
        <v>356</v>
      </c>
      <c r="J73" s="8">
        <f t="shared" si="0"/>
        <v>0</v>
      </c>
    </row>
    <row r="74" spans="1:10" x14ac:dyDescent="0.3">
      <c r="A74">
        <v>57</v>
      </c>
      <c r="B74" s="1">
        <v>45450</v>
      </c>
      <c r="C74" t="s">
        <v>7</v>
      </c>
      <c r="D74" t="s">
        <v>8</v>
      </c>
      <c r="E74" s="2">
        <v>14882.93</v>
      </c>
      <c r="F74" s="2">
        <v>0</v>
      </c>
      <c r="G74" s="2">
        <v>40562.25</v>
      </c>
      <c r="H74" s="4" t="s">
        <v>1877</v>
      </c>
      <c r="J74" s="8">
        <f t="shared" si="0"/>
        <v>0</v>
      </c>
    </row>
    <row r="75" spans="1:10" x14ac:dyDescent="0.3">
      <c r="A75">
        <v>58</v>
      </c>
      <c r="B75" s="1">
        <v>45450</v>
      </c>
      <c r="C75" t="s">
        <v>7</v>
      </c>
      <c r="D75" t="s">
        <v>62</v>
      </c>
      <c r="E75" s="2">
        <v>1600</v>
      </c>
      <c r="F75" s="2">
        <v>0</v>
      </c>
      <c r="G75" s="2">
        <v>38962.25</v>
      </c>
      <c r="H75" t="s">
        <v>356</v>
      </c>
      <c r="J75" s="8">
        <f t="shared" si="0"/>
        <v>0</v>
      </c>
    </row>
    <row r="76" spans="1:10" x14ac:dyDescent="0.3">
      <c r="A76">
        <v>59</v>
      </c>
      <c r="B76" s="1">
        <v>45451</v>
      </c>
      <c r="C76" t="s">
        <v>7</v>
      </c>
      <c r="D76" t="s">
        <v>63</v>
      </c>
      <c r="E76" s="2">
        <v>1000</v>
      </c>
      <c r="F76" s="2">
        <v>0</v>
      </c>
      <c r="G76" s="2">
        <v>37962.25</v>
      </c>
      <c r="H76" t="s">
        <v>356</v>
      </c>
      <c r="J76" s="8">
        <f t="shared" si="0"/>
        <v>0</v>
      </c>
    </row>
    <row r="77" spans="1:10" x14ac:dyDescent="0.3">
      <c r="A77">
        <v>60</v>
      </c>
      <c r="B77" s="1">
        <v>45451</v>
      </c>
      <c r="C77" t="s">
        <v>7</v>
      </c>
      <c r="D77" t="s">
        <v>64</v>
      </c>
      <c r="E77" s="2">
        <v>3299.3</v>
      </c>
      <c r="F77" s="2">
        <v>0</v>
      </c>
      <c r="G77" s="2">
        <v>34662.949999999997</v>
      </c>
      <c r="H77" t="s">
        <v>356</v>
      </c>
      <c r="J77" s="8">
        <f t="shared" si="0"/>
        <v>0</v>
      </c>
    </row>
    <row r="78" spans="1:10" x14ac:dyDescent="0.3">
      <c r="A78">
        <v>61</v>
      </c>
      <c r="B78" s="1">
        <v>45452</v>
      </c>
      <c r="C78" t="s">
        <v>7</v>
      </c>
      <c r="D78" t="s">
        <v>65</v>
      </c>
      <c r="E78" s="2">
        <v>100</v>
      </c>
      <c r="F78" s="2">
        <v>0</v>
      </c>
      <c r="G78" s="2">
        <v>34562.949999999997</v>
      </c>
      <c r="H78" t="s">
        <v>356</v>
      </c>
      <c r="J78" s="8">
        <f t="shared" si="0"/>
        <v>0</v>
      </c>
    </row>
    <row r="79" spans="1:10" x14ac:dyDescent="0.3">
      <c r="A79">
        <v>62</v>
      </c>
      <c r="B79" s="1">
        <v>45453</v>
      </c>
      <c r="C79" t="s">
        <v>7</v>
      </c>
      <c r="D79" t="s">
        <v>66</v>
      </c>
      <c r="E79" s="2">
        <v>50</v>
      </c>
      <c r="F79" s="2">
        <v>0</v>
      </c>
      <c r="G79" s="2">
        <v>34512.949999999997</v>
      </c>
      <c r="H79" t="s">
        <v>356</v>
      </c>
      <c r="J79" s="8">
        <f t="shared" si="0"/>
        <v>0</v>
      </c>
    </row>
    <row r="80" spans="1:10" x14ac:dyDescent="0.3">
      <c r="A80">
        <v>63</v>
      </c>
      <c r="B80" s="1">
        <v>45462</v>
      </c>
      <c r="C80" t="s">
        <v>7</v>
      </c>
      <c r="D80" t="s">
        <v>67</v>
      </c>
      <c r="E80" s="2">
        <v>75</v>
      </c>
      <c r="F80" s="2">
        <v>0</v>
      </c>
      <c r="G80" s="2">
        <v>34437.949999999997</v>
      </c>
      <c r="H80" t="s">
        <v>356</v>
      </c>
      <c r="J80" s="8">
        <f t="shared" si="0"/>
        <v>0</v>
      </c>
    </row>
    <row r="81" spans="1:10" x14ac:dyDescent="0.3">
      <c r="A81">
        <v>64</v>
      </c>
      <c r="B81" s="1">
        <v>45462</v>
      </c>
      <c r="C81" t="s">
        <v>7</v>
      </c>
      <c r="D81" t="s">
        <v>68</v>
      </c>
      <c r="E81" s="2">
        <v>22</v>
      </c>
      <c r="F81" s="2">
        <v>0</v>
      </c>
      <c r="G81" s="2">
        <v>34415.949999999997</v>
      </c>
      <c r="H81" t="s">
        <v>356</v>
      </c>
      <c r="J81" s="8">
        <f t="shared" si="0"/>
        <v>0</v>
      </c>
    </row>
    <row r="82" spans="1:10" x14ac:dyDescent="0.3">
      <c r="A82">
        <v>65</v>
      </c>
      <c r="B82" s="1">
        <v>45465</v>
      </c>
      <c r="C82" t="s">
        <v>7</v>
      </c>
      <c r="D82" t="s">
        <v>69</v>
      </c>
      <c r="E82" s="2">
        <v>500</v>
      </c>
      <c r="F82" s="2">
        <v>0</v>
      </c>
      <c r="G82" s="2">
        <v>33915.949999999997</v>
      </c>
      <c r="H82" t="s">
        <v>356</v>
      </c>
      <c r="J82" s="8">
        <f t="shared" si="0"/>
        <v>0</v>
      </c>
    </row>
    <row r="83" spans="1:10" x14ac:dyDescent="0.3">
      <c r="A83">
        <v>66</v>
      </c>
      <c r="B83" s="1">
        <v>45466</v>
      </c>
      <c r="C83" t="s">
        <v>7</v>
      </c>
      <c r="D83" t="s">
        <v>70</v>
      </c>
      <c r="E83" s="2">
        <v>2180</v>
      </c>
      <c r="F83" s="2">
        <v>0</v>
      </c>
      <c r="G83" s="2">
        <v>31735.95</v>
      </c>
      <c r="H83" t="s">
        <v>357</v>
      </c>
      <c r="J83" s="8">
        <f t="shared" si="0"/>
        <v>0</v>
      </c>
    </row>
    <row r="84" spans="1:10" x14ac:dyDescent="0.3">
      <c r="A84">
        <v>67</v>
      </c>
      <c r="B84" s="1">
        <v>45467</v>
      </c>
      <c r="C84" t="s">
        <v>7</v>
      </c>
      <c r="D84" t="s">
        <v>71</v>
      </c>
      <c r="E84" s="2">
        <v>50</v>
      </c>
      <c r="F84" s="2">
        <v>0</v>
      </c>
      <c r="G84" s="2">
        <v>31685.95</v>
      </c>
      <c r="H84" t="s">
        <v>356</v>
      </c>
      <c r="J84" s="8">
        <f t="shared" si="0"/>
        <v>0</v>
      </c>
    </row>
    <row r="85" spans="1:10" x14ac:dyDescent="0.3">
      <c r="A85">
        <v>68</v>
      </c>
      <c r="B85" s="1">
        <v>45467</v>
      </c>
      <c r="C85" t="s">
        <v>7</v>
      </c>
      <c r="D85" t="s">
        <v>72</v>
      </c>
      <c r="E85" s="2">
        <v>18000</v>
      </c>
      <c r="F85" s="2">
        <v>0</v>
      </c>
      <c r="G85" s="2">
        <v>13685.95</v>
      </c>
      <c r="H85" t="s">
        <v>356</v>
      </c>
      <c r="J85" s="8">
        <f t="shared" ref="J85:J148" si="1">G84-E85+F85-G85</f>
        <v>0</v>
      </c>
    </row>
    <row r="86" spans="1:10" x14ac:dyDescent="0.3">
      <c r="A86">
        <v>69</v>
      </c>
      <c r="B86" s="1">
        <v>45469</v>
      </c>
      <c r="C86" t="s">
        <v>7</v>
      </c>
      <c r="D86" t="s">
        <v>73</v>
      </c>
      <c r="E86" s="2">
        <v>40</v>
      </c>
      <c r="F86" s="2">
        <v>0</v>
      </c>
      <c r="G86" s="2">
        <v>13645.95</v>
      </c>
      <c r="H86" t="s">
        <v>356</v>
      </c>
      <c r="J86" s="8">
        <f t="shared" si="1"/>
        <v>0</v>
      </c>
    </row>
    <row r="87" spans="1:10" x14ac:dyDescent="0.3">
      <c r="A87">
        <v>70</v>
      </c>
      <c r="B87" s="1">
        <v>45469</v>
      </c>
      <c r="C87" t="s">
        <v>7</v>
      </c>
      <c r="D87" t="s">
        <v>74</v>
      </c>
      <c r="E87" s="2">
        <v>46</v>
      </c>
      <c r="F87" s="2">
        <v>0</v>
      </c>
      <c r="G87" s="2">
        <v>13599.95</v>
      </c>
      <c r="H87" t="s">
        <v>356</v>
      </c>
      <c r="J87" s="8">
        <f t="shared" si="1"/>
        <v>0</v>
      </c>
    </row>
    <row r="88" spans="1:10" x14ac:dyDescent="0.3">
      <c r="A88">
        <v>71</v>
      </c>
      <c r="B88" s="1">
        <v>45469</v>
      </c>
      <c r="C88" t="s">
        <v>7</v>
      </c>
      <c r="D88" t="s">
        <v>75</v>
      </c>
      <c r="E88" s="2">
        <v>260</v>
      </c>
      <c r="F88" s="2">
        <v>0</v>
      </c>
      <c r="G88" s="2">
        <v>13339.95</v>
      </c>
      <c r="H88" t="s">
        <v>356</v>
      </c>
      <c r="J88" s="8">
        <f t="shared" si="1"/>
        <v>0</v>
      </c>
    </row>
    <row r="89" spans="1:10" x14ac:dyDescent="0.3">
      <c r="A89">
        <v>72</v>
      </c>
      <c r="B89" s="1">
        <v>45469</v>
      </c>
      <c r="C89" t="s">
        <v>7</v>
      </c>
      <c r="D89" t="s">
        <v>76</v>
      </c>
      <c r="E89" s="2">
        <v>50</v>
      </c>
      <c r="F89" s="2">
        <v>0</v>
      </c>
      <c r="G89" s="2">
        <v>13289.95</v>
      </c>
      <c r="H89" t="s">
        <v>356</v>
      </c>
      <c r="J89" s="8">
        <f t="shared" si="1"/>
        <v>0</v>
      </c>
    </row>
    <row r="90" spans="1:10" x14ac:dyDescent="0.3">
      <c r="A90">
        <v>73</v>
      </c>
      <c r="B90" s="1">
        <v>45469</v>
      </c>
      <c r="C90" t="s">
        <v>7</v>
      </c>
      <c r="D90" t="s">
        <v>77</v>
      </c>
      <c r="E90" s="2">
        <v>20</v>
      </c>
      <c r="F90" s="2">
        <v>0</v>
      </c>
      <c r="G90" s="2">
        <v>13269.95</v>
      </c>
      <c r="H90" t="s">
        <v>356</v>
      </c>
      <c r="J90" s="8">
        <f t="shared" si="1"/>
        <v>0</v>
      </c>
    </row>
    <row r="91" spans="1:10" x14ac:dyDescent="0.3">
      <c r="A91">
        <v>74</v>
      </c>
      <c r="B91" s="1">
        <v>45470</v>
      </c>
      <c r="C91" t="s">
        <v>7</v>
      </c>
      <c r="D91" t="s">
        <v>78</v>
      </c>
      <c r="E91" s="2">
        <v>25</v>
      </c>
      <c r="F91" s="2">
        <v>0</v>
      </c>
      <c r="G91" s="2">
        <v>13244.95</v>
      </c>
      <c r="H91" t="s">
        <v>356</v>
      </c>
      <c r="J91" s="8">
        <f t="shared" si="1"/>
        <v>0</v>
      </c>
    </row>
    <row r="92" spans="1:10" x14ac:dyDescent="0.3">
      <c r="A92">
        <v>75</v>
      </c>
      <c r="B92" s="1">
        <v>45470</v>
      </c>
      <c r="C92" t="s">
        <v>7</v>
      </c>
      <c r="D92" t="s">
        <v>79</v>
      </c>
      <c r="E92" s="2">
        <v>0</v>
      </c>
      <c r="F92" s="2">
        <v>100000</v>
      </c>
      <c r="G92" s="2">
        <v>113244.95</v>
      </c>
      <c r="H92" t="s">
        <v>372</v>
      </c>
      <c r="J92" s="8">
        <f t="shared" si="1"/>
        <v>0</v>
      </c>
    </row>
    <row r="93" spans="1:10" x14ac:dyDescent="0.3">
      <c r="A93">
        <v>76</v>
      </c>
      <c r="B93" s="1">
        <v>45471</v>
      </c>
      <c r="C93" t="s">
        <v>7</v>
      </c>
      <c r="D93" t="s">
        <v>22</v>
      </c>
      <c r="E93" s="2">
        <v>0</v>
      </c>
      <c r="F93" s="2">
        <v>11000</v>
      </c>
      <c r="G93" s="2">
        <v>124244.95</v>
      </c>
      <c r="H93" t="s">
        <v>359</v>
      </c>
      <c r="J93" s="8">
        <f t="shared" si="1"/>
        <v>0</v>
      </c>
    </row>
    <row r="94" spans="1:10" x14ac:dyDescent="0.3">
      <c r="A94" s="4">
        <v>77</v>
      </c>
      <c r="B94" s="3">
        <v>45474</v>
      </c>
      <c r="C94" s="4" t="s">
        <v>7</v>
      </c>
      <c r="D94" s="4" t="s">
        <v>373</v>
      </c>
      <c r="E94" s="2">
        <v>14000</v>
      </c>
      <c r="F94" s="2">
        <v>0</v>
      </c>
      <c r="G94" s="4">
        <v>110244.95</v>
      </c>
      <c r="H94" s="4" t="s">
        <v>1868</v>
      </c>
      <c r="J94" s="8">
        <f t="shared" si="1"/>
        <v>0</v>
      </c>
    </row>
    <row r="95" spans="1:10" x14ac:dyDescent="0.3">
      <c r="A95" s="4">
        <v>78</v>
      </c>
      <c r="B95" s="3">
        <v>45474</v>
      </c>
      <c r="C95" s="4" t="s">
        <v>7</v>
      </c>
      <c r="D95" s="4" t="s">
        <v>374</v>
      </c>
      <c r="E95" s="2">
        <v>0</v>
      </c>
      <c r="F95" s="2">
        <v>415</v>
      </c>
      <c r="G95" s="4">
        <v>110659.95</v>
      </c>
      <c r="H95" s="4" t="s">
        <v>370</v>
      </c>
      <c r="J95" s="8">
        <f t="shared" si="1"/>
        <v>0</v>
      </c>
    </row>
    <row r="96" spans="1:10" x14ac:dyDescent="0.3">
      <c r="A96" s="4">
        <v>79</v>
      </c>
      <c r="B96" s="3">
        <v>45475</v>
      </c>
      <c r="C96" s="4" t="s">
        <v>7</v>
      </c>
      <c r="D96" s="4" t="s">
        <v>375</v>
      </c>
      <c r="E96" s="2">
        <v>1800</v>
      </c>
      <c r="F96" s="2">
        <v>0</v>
      </c>
      <c r="G96" s="4">
        <v>108859.95</v>
      </c>
      <c r="H96" s="4" t="s">
        <v>356</v>
      </c>
      <c r="J96" s="8">
        <f t="shared" si="1"/>
        <v>0</v>
      </c>
    </row>
    <row r="97" spans="1:10" x14ac:dyDescent="0.3">
      <c r="A97" s="4">
        <v>80</v>
      </c>
      <c r="B97" s="3">
        <v>45477</v>
      </c>
      <c r="C97" s="4" t="s">
        <v>7</v>
      </c>
      <c r="D97" s="4" t="s">
        <v>376</v>
      </c>
      <c r="E97" s="2">
        <v>100</v>
      </c>
      <c r="F97" s="2">
        <v>0</v>
      </c>
      <c r="G97" s="4">
        <v>108759.95</v>
      </c>
      <c r="H97" s="4" t="s">
        <v>356</v>
      </c>
      <c r="J97" s="8">
        <f t="shared" si="1"/>
        <v>0</v>
      </c>
    </row>
    <row r="98" spans="1:10" x14ac:dyDescent="0.3">
      <c r="A98" s="4">
        <v>81</v>
      </c>
      <c r="B98" s="3">
        <v>45477</v>
      </c>
      <c r="C98" s="4" t="s">
        <v>7</v>
      </c>
      <c r="D98" s="4" t="s">
        <v>377</v>
      </c>
      <c r="E98" s="2">
        <v>19180</v>
      </c>
      <c r="F98" s="2">
        <v>0</v>
      </c>
      <c r="G98" s="4">
        <v>89579.95</v>
      </c>
      <c r="H98" s="4" t="s">
        <v>356</v>
      </c>
      <c r="J98" s="8">
        <f t="shared" si="1"/>
        <v>0</v>
      </c>
    </row>
    <row r="99" spans="1:10" x14ac:dyDescent="0.3">
      <c r="A99" s="4">
        <v>82</v>
      </c>
      <c r="B99" s="3">
        <v>45478</v>
      </c>
      <c r="C99" s="4" t="s">
        <v>7</v>
      </c>
      <c r="D99" s="4" t="s">
        <v>378</v>
      </c>
      <c r="E99" s="2">
        <v>4645</v>
      </c>
      <c r="F99" s="2">
        <v>0</v>
      </c>
      <c r="G99" s="4">
        <v>84934.95</v>
      </c>
      <c r="H99" s="4" t="s">
        <v>356</v>
      </c>
      <c r="J99" s="8">
        <f t="shared" si="1"/>
        <v>0</v>
      </c>
    </row>
    <row r="100" spans="1:10" x14ac:dyDescent="0.3">
      <c r="A100" s="4">
        <v>83</v>
      </c>
      <c r="B100" s="3">
        <v>45480</v>
      </c>
      <c r="C100" s="4" t="s">
        <v>7</v>
      </c>
      <c r="D100" s="4" t="s">
        <v>379</v>
      </c>
      <c r="E100" s="2">
        <v>100</v>
      </c>
      <c r="F100" s="2">
        <v>0</v>
      </c>
      <c r="G100" s="4">
        <v>84834.95</v>
      </c>
      <c r="H100" s="4" t="s">
        <v>356</v>
      </c>
      <c r="J100" s="8">
        <f t="shared" si="1"/>
        <v>0</v>
      </c>
    </row>
    <row r="101" spans="1:10" x14ac:dyDescent="0.3">
      <c r="A101" s="4">
        <v>84</v>
      </c>
      <c r="B101" s="3">
        <v>45481</v>
      </c>
      <c r="C101" s="4" t="s">
        <v>7</v>
      </c>
      <c r="D101" s="4" t="s">
        <v>8</v>
      </c>
      <c r="E101" s="2">
        <v>11799.95</v>
      </c>
      <c r="F101" s="2">
        <v>0</v>
      </c>
      <c r="G101" s="4">
        <v>73035</v>
      </c>
      <c r="H101" s="4" t="s">
        <v>1877</v>
      </c>
      <c r="J101" s="8">
        <f t="shared" si="1"/>
        <v>0</v>
      </c>
    </row>
    <row r="102" spans="1:10" x14ac:dyDescent="0.3">
      <c r="A102" s="4">
        <v>85</v>
      </c>
      <c r="B102" s="3">
        <v>45481</v>
      </c>
      <c r="C102" s="4" t="s">
        <v>7</v>
      </c>
      <c r="D102" s="4" t="s">
        <v>380</v>
      </c>
      <c r="E102" s="2">
        <v>6500</v>
      </c>
      <c r="F102" s="2">
        <v>0</v>
      </c>
      <c r="G102" s="4">
        <v>66535</v>
      </c>
      <c r="H102" s="4" t="s">
        <v>356</v>
      </c>
      <c r="J102" s="8">
        <f t="shared" si="1"/>
        <v>0</v>
      </c>
    </row>
    <row r="103" spans="1:10" x14ac:dyDescent="0.3">
      <c r="A103" s="4">
        <v>86</v>
      </c>
      <c r="B103" s="3">
        <v>45484</v>
      </c>
      <c r="C103" s="4" t="s">
        <v>7</v>
      </c>
      <c r="D103" s="4" t="s">
        <v>381</v>
      </c>
      <c r="E103" s="2">
        <v>1360</v>
      </c>
      <c r="F103" s="2">
        <v>0</v>
      </c>
      <c r="G103" s="4">
        <v>65175</v>
      </c>
      <c r="H103" s="4" t="s">
        <v>356</v>
      </c>
      <c r="J103" s="8">
        <f t="shared" si="1"/>
        <v>0</v>
      </c>
    </row>
    <row r="104" spans="1:10" x14ac:dyDescent="0.3">
      <c r="A104" s="4">
        <v>87</v>
      </c>
      <c r="B104" s="3">
        <v>45486</v>
      </c>
      <c r="C104" s="4" t="s">
        <v>7</v>
      </c>
      <c r="D104" s="4" t="s">
        <v>382</v>
      </c>
      <c r="E104" s="2">
        <v>6100</v>
      </c>
      <c r="F104" s="2">
        <v>0</v>
      </c>
      <c r="G104" s="4">
        <v>59075</v>
      </c>
      <c r="H104" s="4" t="s">
        <v>356</v>
      </c>
      <c r="J104" s="8">
        <f t="shared" si="1"/>
        <v>0</v>
      </c>
    </row>
    <row r="105" spans="1:10" x14ac:dyDescent="0.3">
      <c r="A105" s="4">
        <v>88</v>
      </c>
      <c r="B105" s="3">
        <v>45489</v>
      </c>
      <c r="C105" s="4" t="s">
        <v>7</v>
      </c>
      <c r="D105" s="4" t="s">
        <v>383</v>
      </c>
      <c r="E105" s="2">
        <v>30000</v>
      </c>
      <c r="F105" s="2">
        <v>0</v>
      </c>
      <c r="G105" s="4">
        <v>29075</v>
      </c>
      <c r="H105" s="4" t="s">
        <v>356</v>
      </c>
      <c r="J105" s="8">
        <f t="shared" si="1"/>
        <v>0</v>
      </c>
    </row>
    <row r="106" spans="1:10" x14ac:dyDescent="0.3">
      <c r="A106" s="4">
        <v>89</v>
      </c>
      <c r="B106" s="3">
        <v>45489</v>
      </c>
      <c r="C106" s="4" t="s">
        <v>7</v>
      </c>
      <c r="D106" s="4" t="s">
        <v>384</v>
      </c>
      <c r="E106" s="2">
        <v>0</v>
      </c>
      <c r="F106" s="2">
        <v>7229</v>
      </c>
      <c r="G106" s="4">
        <v>36304</v>
      </c>
      <c r="H106" s="4" t="s">
        <v>1878</v>
      </c>
      <c r="J106" s="8">
        <f t="shared" si="1"/>
        <v>0</v>
      </c>
    </row>
    <row r="107" spans="1:10" x14ac:dyDescent="0.3">
      <c r="A107" s="4">
        <v>90</v>
      </c>
      <c r="B107" s="3">
        <v>45491</v>
      </c>
      <c r="C107" s="4" t="s">
        <v>7</v>
      </c>
      <c r="D107" s="4" t="s">
        <v>385</v>
      </c>
      <c r="E107" s="2">
        <v>0</v>
      </c>
      <c r="F107" s="2">
        <v>100000</v>
      </c>
      <c r="G107" s="4">
        <v>136304</v>
      </c>
      <c r="H107" s="4" t="s">
        <v>1843</v>
      </c>
      <c r="J107" s="8">
        <f t="shared" si="1"/>
        <v>0</v>
      </c>
    </row>
    <row r="108" spans="1:10" x14ac:dyDescent="0.3">
      <c r="A108" s="4">
        <v>91</v>
      </c>
      <c r="B108" s="3">
        <v>45491</v>
      </c>
      <c r="C108" s="4" t="s">
        <v>386</v>
      </c>
      <c r="D108" s="4" t="s">
        <v>387</v>
      </c>
      <c r="E108" s="2">
        <v>32000</v>
      </c>
      <c r="F108" s="2">
        <v>0</v>
      </c>
      <c r="G108" s="4">
        <v>104304</v>
      </c>
      <c r="H108" s="4" t="s">
        <v>354</v>
      </c>
      <c r="J108" s="8">
        <f t="shared" si="1"/>
        <v>0</v>
      </c>
    </row>
    <row r="109" spans="1:10" x14ac:dyDescent="0.3">
      <c r="A109" s="4">
        <v>92</v>
      </c>
      <c r="B109" s="3">
        <v>45491</v>
      </c>
      <c r="C109" s="4" t="s">
        <v>7</v>
      </c>
      <c r="D109" s="4" t="s">
        <v>388</v>
      </c>
      <c r="E109" s="2">
        <v>7680</v>
      </c>
      <c r="F109" s="2">
        <v>0</v>
      </c>
      <c r="G109" s="4">
        <v>96624</v>
      </c>
      <c r="H109" s="4" t="s">
        <v>1879</v>
      </c>
      <c r="J109" s="8">
        <f t="shared" si="1"/>
        <v>0</v>
      </c>
    </row>
    <row r="110" spans="1:10" x14ac:dyDescent="0.3">
      <c r="A110" s="4">
        <v>93</v>
      </c>
      <c r="B110" s="3">
        <v>45491</v>
      </c>
      <c r="C110" s="4" t="s">
        <v>7</v>
      </c>
      <c r="D110" s="4" t="s">
        <v>389</v>
      </c>
      <c r="E110" s="2">
        <v>115</v>
      </c>
      <c r="F110" s="2">
        <v>0</v>
      </c>
      <c r="G110" s="4">
        <v>96509</v>
      </c>
      <c r="H110" s="4" t="s">
        <v>356</v>
      </c>
      <c r="J110" s="8">
        <f t="shared" si="1"/>
        <v>0</v>
      </c>
    </row>
    <row r="111" spans="1:10" x14ac:dyDescent="0.3">
      <c r="A111" s="4">
        <v>94</v>
      </c>
      <c r="B111" s="3">
        <v>45492</v>
      </c>
      <c r="C111" s="4" t="s">
        <v>7</v>
      </c>
      <c r="D111" s="4" t="s">
        <v>390</v>
      </c>
      <c r="E111" s="2">
        <v>1500</v>
      </c>
      <c r="F111" s="2">
        <v>0</v>
      </c>
      <c r="G111" s="4">
        <v>95009</v>
      </c>
      <c r="H111" s="4" t="s">
        <v>356</v>
      </c>
      <c r="J111" s="8">
        <f t="shared" si="1"/>
        <v>0</v>
      </c>
    </row>
    <row r="112" spans="1:10" x14ac:dyDescent="0.3">
      <c r="A112" s="4">
        <v>95</v>
      </c>
      <c r="B112" s="3">
        <v>45492</v>
      </c>
      <c r="C112" s="4" t="s">
        <v>7</v>
      </c>
      <c r="D112" s="4" t="s">
        <v>391</v>
      </c>
      <c r="E112" s="2">
        <v>10000</v>
      </c>
      <c r="F112" s="2">
        <v>0</v>
      </c>
      <c r="G112" s="4">
        <v>85009</v>
      </c>
      <c r="H112" s="4" t="s">
        <v>356</v>
      </c>
      <c r="J112" s="8">
        <f t="shared" si="1"/>
        <v>0</v>
      </c>
    </row>
    <row r="113" spans="1:10" x14ac:dyDescent="0.3">
      <c r="A113" s="4">
        <v>96</v>
      </c>
      <c r="B113" s="3">
        <v>45493</v>
      </c>
      <c r="C113" s="4" t="s">
        <v>7</v>
      </c>
      <c r="D113" s="4" t="s">
        <v>392</v>
      </c>
      <c r="E113" s="2">
        <v>38</v>
      </c>
      <c r="F113" s="2">
        <v>0</v>
      </c>
      <c r="G113" s="4">
        <v>84971</v>
      </c>
      <c r="H113" s="4" t="s">
        <v>356</v>
      </c>
      <c r="J113" s="8">
        <f t="shared" si="1"/>
        <v>0</v>
      </c>
    </row>
    <row r="114" spans="1:10" x14ac:dyDescent="0.3">
      <c r="A114" s="4">
        <v>97</v>
      </c>
      <c r="B114" s="3">
        <v>45493</v>
      </c>
      <c r="C114" s="4" t="s">
        <v>7</v>
      </c>
      <c r="D114" s="4" t="s">
        <v>393</v>
      </c>
      <c r="E114" s="2">
        <v>6970</v>
      </c>
      <c r="F114" s="2">
        <v>0</v>
      </c>
      <c r="G114" s="4">
        <v>78001</v>
      </c>
      <c r="H114" s="4" t="s">
        <v>356</v>
      </c>
      <c r="J114" s="8">
        <f t="shared" si="1"/>
        <v>0</v>
      </c>
    </row>
    <row r="115" spans="1:10" x14ac:dyDescent="0.3">
      <c r="A115" s="4">
        <v>98</v>
      </c>
      <c r="B115" s="3">
        <v>45496</v>
      </c>
      <c r="C115" s="4" t="s">
        <v>7</v>
      </c>
      <c r="D115" s="4" t="s">
        <v>394</v>
      </c>
      <c r="E115" s="2">
        <v>50</v>
      </c>
      <c r="F115" s="2">
        <v>0</v>
      </c>
      <c r="G115" s="4">
        <v>77951</v>
      </c>
      <c r="H115" s="4" t="s">
        <v>356</v>
      </c>
      <c r="J115" s="8">
        <f t="shared" si="1"/>
        <v>0</v>
      </c>
    </row>
    <row r="116" spans="1:10" x14ac:dyDescent="0.3">
      <c r="A116" s="4">
        <v>99</v>
      </c>
      <c r="B116" s="3">
        <v>45496</v>
      </c>
      <c r="C116" s="4" t="s">
        <v>7</v>
      </c>
      <c r="D116" s="4" t="s">
        <v>395</v>
      </c>
      <c r="E116" s="2">
        <v>40</v>
      </c>
      <c r="F116" s="2">
        <v>0</v>
      </c>
      <c r="G116" s="4">
        <v>77911</v>
      </c>
      <c r="H116" s="4" t="s">
        <v>356</v>
      </c>
      <c r="J116" s="8">
        <f t="shared" si="1"/>
        <v>0</v>
      </c>
    </row>
    <row r="117" spans="1:10" x14ac:dyDescent="0.3">
      <c r="A117" s="4">
        <v>100</v>
      </c>
      <c r="B117" s="3">
        <v>45497</v>
      </c>
      <c r="C117" s="4" t="s">
        <v>7</v>
      </c>
      <c r="D117" s="4" t="s">
        <v>396</v>
      </c>
      <c r="E117" s="2">
        <v>10</v>
      </c>
      <c r="F117" s="2">
        <v>0</v>
      </c>
      <c r="G117" s="4">
        <v>77901</v>
      </c>
      <c r="H117" s="4" t="s">
        <v>356</v>
      </c>
      <c r="J117" s="8">
        <f t="shared" si="1"/>
        <v>0</v>
      </c>
    </row>
    <row r="118" spans="1:10" x14ac:dyDescent="0.3">
      <c r="A118" s="4">
        <v>101</v>
      </c>
      <c r="B118" s="3">
        <v>45497</v>
      </c>
      <c r="C118" s="4" t="s">
        <v>7</v>
      </c>
      <c r="D118" s="4" t="s">
        <v>397</v>
      </c>
      <c r="E118" s="2">
        <v>1740</v>
      </c>
      <c r="F118" s="2">
        <v>0</v>
      </c>
      <c r="G118" s="4">
        <v>76161</v>
      </c>
      <c r="H118" s="4" t="s">
        <v>357</v>
      </c>
      <c r="J118" s="8">
        <f t="shared" si="1"/>
        <v>0</v>
      </c>
    </row>
    <row r="119" spans="1:10" x14ac:dyDescent="0.3">
      <c r="A119" s="4">
        <v>102</v>
      </c>
      <c r="B119" s="3">
        <v>45498</v>
      </c>
      <c r="C119" s="4" t="s">
        <v>7</v>
      </c>
      <c r="D119" s="4" t="s">
        <v>398</v>
      </c>
      <c r="E119" s="2">
        <v>50</v>
      </c>
      <c r="F119" s="2">
        <v>0</v>
      </c>
      <c r="G119" s="4">
        <v>76111</v>
      </c>
      <c r="H119" s="4" t="s">
        <v>356</v>
      </c>
      <c r="J119" s="8">
        <f t="shared" si="1"/>
        <v>0</v>
      </c>
    </row>
    <row r="120" spans="1:10" x14ac:dyDescent="0.3">
      <c r="A120" s="4">
        <v>103</v>
      </c>
      <c r="B120" s="3">
        <v>45498</v>
      </c>
      <c r="C120" s="4" t="s">
        <v>7</v>
      </c>
      <c r="D120" s="4" t="s">
        <v>399</v>
      </c>
      <c r="E120" s="2">
        <v>150</v>
      </c>
      <c r="F120" s="2">
        <v>0</v>
      </c>
      <c r="G120" s="4">
        <v>75961</v>
      </c>
      <c r="H120" s="4" t="s">
        <v>356</v>
      </c>
      <c r="J120" s="8">
        <f t="shared" si="1"/>
        <v>0</v>
      </c>
    </row>
    <row r="121" spans="1:10" x14ac:dyDescent="0.3">
      <c r="A121" s="4">
        <v>104</v>
      </c>
      <c r="B121" s="3">
        <v>45499</v>
      </c>
      <c r="C121" s="4" t="s">
        <v>7</v>
      </c>
      <c r="D121" s="4" t="s">
        <v>400</v>
      </c>
      <c r="E121" s="2">
        <v>20</v>
      </c>
      <c r="F121" s="2">
        <v>0</v>
      </c>
      <c r="G121" s="4">
        <v>75941</v>
      </c>
      <c r="H121" s="4" t="s">
        <v>356</v>
      </c>
      <c r="J121" s="8">
        <f t="shared" si="1"/>
        <v>0</v>
      </c>
    </row>
    <row r="122" spans="1:10" x14ac:dyDescent="0.3">
      <c r="A122" s="4">
        <v>105</v>
      </c>
      <c r="B122" s="3">
        <v>45501</v>
      </c>
      <c r="C122" s="4" t="s">
        <v>7</v>
      </c>
      <c r="D122" s="4" t="s">
        <v>401</v>
      </c>
      <c r="E122" s="2">
        <v>0</v>
      </c>
      <c r="F122" s="2">
        <v>100000</v>
      </c>
      <c r="G122" s="4">
        <v>175941</v>
      </c>
      <c r="H122" s="4" t="s">
        <v>1843</v>
      </c>
      <c r="J122" s="8">
        <f t="shared" si="1"/>
        <v>0</v>
      </c>
    </row>
    <row r="123" spans="1:10" x14ac:dyDescent="0.3">
      <c r="A123" s="4">
        <v>106</v>
      </c>
      <c r="B123" s="3">
        <v>45504</v>
      </c>
      <c r="C123" s="4" t="s">
        <v>7</v>
      </c>
      <c r="D123" s="4" t="s">
        <v>402</v>
      </c>
      <c r="E123" s="2">
        <v>1</v>
      </c>
      <c r="F123" s="2">
        <v>0</v>
      </c>
      <c r="G123" s="4">
        <v>175940</v>
      </c>
      <c r="H123" s="4" t="s">
        <v>356</v>
      </c>
      <c r="J123" s="8">
        <f t="shared" si="1"/>
        <v>0</v>
      </c>
    </row>
    <row r="124" spans="1:10" x14ac:dyDescent="0.3">
      <c r="A124" s="4">
        <v>107</v>
      </c>
      <c r="B124" s="3">
        <v>45505</v>
      </c>
      <c r="C124" s="4" t="s">
        <v>7</v>
      </c>
      <c r="D124" s="4" t="s">
        <v>403</v>
      </c>
      <c r="E124" s="2">
        <v>27</v>
      </c>
      <c r="F124" s="2">
        <v>0</v>
      </c>
      <c r="G124" s="4">
        <v>175913</v>
      </c>
      <c r="H124" s="4" t="s">
        <v>356</v>
      </c>
      <c r="J124" s="8">
        <f t="shared" si="1"/>
        <v>0</v>
      </c>
    </row>
    <row r="125" spans="1:10" x14ac:dyDescent="0.3">
      <c r="A125" s="4">
        <v>108</v>
      </c>
      <c r="B125" s="3">
        <v>45506</v>
      </c>
      <c r="C125" s="4" t="s">
        <v>7</v>
      </c>
      <c r="D125" s="4" t="s">
        <v>404</v>
      </c>
      <c r="E125" s="2">
        <v>63</v>
      </c>
      <c r="F125" s="2">
        <v>0</v>
      </c>
      <c r="G125" s="4">
        <v>175850</v>
      </c>
      <c r="H125" s="4" t="s">
        <v>356</v>
      </c>
      <c r="J125" s="8">
        <f t="shared" si="1"/>
        <v>0</v>
      </c>
    </row>
    <row r="126" spans="1:10" x14ac:dyDescent="0.3">
      <c r="A126" s="4">
        <v>109</v>
      </c>
      <c r="B126" s="3">
        <v>45507</v>
      </c>
      <c r="C126" s="4" t="s">
        <v>7</v>
      </c>
      <c r="D126" s="4" t="s">
        <v>405</v>
      </c>
      <c r="E126" s="2">
        <v>70</v>
      </c>
      <c r="F126" s="2">
        <v>0</v>
      </c>
      <c r="G126" s="4">
        <v>175780</v>
      </c>
      <c r="H126" s="4" t="s">
        <v>356</v>
      </c>
      <c r="J126" s="8">
        <f t="shared" si="1"/>
        <v>0</v>
      </c>
    </row>
    <row r="127" spans="1:10" x14ac:dyDescent="0.3">
      <c r="A127" s="4">
        <v>110</v>
      </c>
      <c r="B127" s="3">
        <v>45507</v>
      </c>
      <c r="C127" s="4" t="s">
        <v>7</v>
      </c>
      <c r="D127" s="4" t="s">
        <v>406</v>
      </c>
      <c r="E127" s="2">
        <v>55</v>
      </c>
      <c r="F127" s="2">
        <v>0</v>
      </c>
      <c r="G127" s="4">
        <v>175725</v>
      </c>
      <c r="H127" s="4" t="s">
        <v>356</v>
      </c>
      <c r="J127" s="8">
        <f t="shared" si="1"/>
        <v>0</v>
      </c>
    </row>
    <row r="128" spans="1:10" x14ac:dyDescent="0.3">
      <c r="A128" s="4">
        <v>111</v>
      </c>
      <c r="B128" s="3">
        <v>45507</v>
      </c>
      <c r="C128" s="4" t="s">
        <v>7</v>
      </c>
      <c r="D128" s="4" t="s">
        <v>407</v>
      </c>
      <c r="E128" s="2">
        <v>100</v>
      </c>
      <c r="F128" s="2">
        <v>0</v>
      </c>
      <c r="G128" s="4">
        <v>175625</v>
      </c>
      <c r="H128" s="4" t="s">
        <v>356</v>
      </c>
      <c r="J128" s="8">
        <f t="shared" si="1"/>
        <v>0</v>
      </c>
    </row>
    <row r="129" spans="1:10" x14ac:dyDescent="0.3">
      <c r="A129" s="4">
        <v>112</v>
      </c>
      <c r="B129" s="3">
        <v>45509</v>
      </c>
      <c r="C129" s="4" t="s">
        <v>7</v>
      </c>
      <c r="D129" s="4" t="s">
        <v>408</v>
      </c>
      <c r="E129" s="2">
        <v>2695</v>
      </c>
      <c r="F129" s="2">
        <v>0</v>
      </c>
      <c r="G129" s="4">
        <v>172930</v>
      </c>
      <c r="H129" s="4" t="s">
        <v>356</v>
      </c>
      <c r="J129" s="8">
        <f t="shared" si="1"/>
        <v>0</v>
      </c>
    </row>
    <row r="130" spans="1:10" x14ac:dyDescent="0.3">
      <c r="A130" s="4">
        <v>113</v>
      </c>
      <c r="B130" s="3">
        <v>45509</v>
      </c>
      <c r="C130" s="4" t="s">
        <v>7</v>
      </c>
      <c r="D130" s="4" t="s">
        <v>409</v>
      </c>
      <c r="E130" s="2">
        <v>3115</v>
      </c>
      <c r="F130" s="2">
        <v>0</v>
      </c>
      <c r="G130" s="4">
        <v>169815</v>
      </c>
      <c r="H130" s="4" t="s">
        <v>356</v>
      </c>
      <c r="J130" s="8">
        <f t="shared" si="1"/>
        <v>0</v>
      </c>
    </row>
    <row r="131" spans="1:10" x14ac:dyDescent="0.3">
      <c r="A131" s="4">
        <v>114</v>
      </c>
      <c r="B131" s="3">
        <v>45511</v>
      </c>
      <c r="C131" s="4" t="s">
        <v>7</v>
      </c>
      <c r="D131" s="4" t="s">
        <v>8</v>
      </c>
      <c r="E131" s="2">
        <v>20978.76</v>
      </c>
      <c r="F131" s="2">
        <v>0</v>
      </c>
      <c r="G131" s="4">
        <v>148836.24</v>
      </c>
      <c r="H131" s="4" t="s">
        <v>1877</v>
      </c>
      <c r="J131" s="8">
        <f t="shared" si="1"/>
        <v>0</v>
      </c>
    </row>
    <row r="132" spans="1:10" x14ac:dyDescent="0.3">
      <c r="A132" s="4">
        <v>115</v>
      </c>
      <c r="B132" s="3">
        <v>45511</v>
      </c>
      <c r="C132" s="4" t="s">
        <v>7</v>
      </c>
      <c r="D132" s="4" t="s">
        <v>410</v>
      </c>
      <c r="E132" s="2">
        <v>15</v>
      </c>
      <c r="F132" s="2">
        <v>0</v>
      </c>
      <c r="G132" s="4">
        <v>148821.24</v>
      </c>
      <c r="H132" s="4" t="s">
        <v>356</v>
      </c>
      <c r="J132" s="8">
        <f t="shared" si="1"/>
        <v>0</v>
      </c>
    </row>
    <row r="133" spans="1:10" x14ac:dyDescent="0.3">
      <c r="A133" s="4">
        <v>116</v>
      </c>
      <c r="B133" s="3">
        <v>45512</v>
      </c>
      <c r="C133" s="4" t="s">
        <v>7</v>
      </c>
      <c r="D133" s="4" t="s">
        <v>411</v>
      </c>
      <c r="E133" s="2">
        <v>0</v>
      </c>
      <c r="F133" s="2">
        <v>498</v>
      </c>
      <c r="G133" s="4">
        <v>149319.24</v>
      </c>
      <c r="H133" s="4" t="s">
        <v>1880</v>
      </c>
      <c r="J133" s="8">
        <f t="shared" si="1"/>
        <v>0</v>
      </c>
    </row>
    <row r="134" spans="1:10" x14ac:dyDescent="0.3">
      <c r="A134" s="4">
        <v>117</v>
      </c>
      <c r="B134" s="3">
        <v>45512</v>
      </c>
      <c r="C134" s="4" t="s">
        <v>7</v>
      </c>
      <c r="D134" s="4" t="s">
        <v>412</v>
      </c>
      <c r="E134" s="2">
        <v>145</v>
      </c>
      <c r="F134" s="2">
        <v>0</v>
      </c>
      <c r="G134" s="4">
        <v>149174.24</v>
      </c>
      <c r="H134" s="4" t="s">
        <v>356</v>
      </c>
      <c r="J134" s="8">
        <f t="shared" si="1"/>
        <v>0</v>
      </c>
    </row>
    <row r="135" spans="1:10" x14ac:dyDescent="0.3">
      <c r="A135" s="4">
        <v>118</v>
      </c>
      <c r="B135" s="3">
        <v>45512</v>
      </c>
      <c r="C135" s="4" t="s">
        <v>7</v>
      </c>
      <c r="D135" s="4" t="s">
        <v>413</v>
      </c>
      <c r="E135" s="2">
        <v>150</v>
      </c>
      <c r="F135" s="2">
        <v>0</v>
      </c>
      <c r="G135" s="4">
        <v>149024.24</v>
      </c>
      <c r="H135" s="4" t="s">
        <v>356</v>
      </c>
      <c r="J135" s="8">
        <f t="shared" si="1"/>
        <v>0</v>
      </c>
    </row>
    <row r="136" spans="1:10" x14ac:dyDescent="0.3">
      <c r="A136" s="4">
        <v>119</v>
      </c>
      <c r="B136" s="3">
        <v>45514</v>
      </c>
      <c r="C136" s="4" t="s">
        <v>7</v>
      </c>
      <c r="D136" s="4" t="s">
        <v>414</v>
      </c>
      <c r="E136" s="2">
        <v>10000</v>
      </c>
      <c r="F136" s="2">
        <v>0</v>
      </c>
      <c r="G136" s="4">
        <v>139024.24</v>
      </c>
      <c r="H136" s="4" t="s">
        <v>354</v>
      </c>
      <c r="J136" s="8">
        <f t="shared" si="1"/>
        <v>0</v>
      </c>
    </row>
    <row r="137" spans="1:10" x14ac:dyDescent="0.3">
      <c r="A137" s="4">
        <v>120</v>
      </c>
      <c r="B137" s="3">
        <v>45515</v>
      </c>
      <c r="C137" s="4" t="s">
        <v>7</v>
      </c>
      <c r="D137" s="4" t="s">
        <v>415</v>
      </c>
      <c r="E137" s="2">
        <v>985.98</v>
      </c>
      <c r="F137" s="2">
        <v>0</v>
      </c>
      <c r="G137" s="4">
        <v>138038.26</v>
      </c>
      <c r="H137" s="4" t="s">
        <v>356</v>
      </c>
      <c r="J137" s="8">
        <f t="shared" si="1"/>
        <v>0</v>
      </c>
    </row>
    <row r="138" spans="1:10" x14ac:dyDescent="0.3">
      <c r="A138" s="4">
        <v>121</v>
      </c>
      <c r="B138" s="3">
        <v>45518</v>
      </c>
      <c r="C138" s="4" t="s">
        <v>7</v>
      </c>
      <c r="D138" s="4" t="s">
        <v>416</v>
      </c>
      <c r="E138" s="2">
        <v>10000</v>
      </c>
      <c r="F138" s="2">
        <v>0</v>
      </c>
      <c r="G138" s="4">
        <v>128038.26</v>
      </c>
      <c r="H138" s="4" t="s">
        <v>354</v>
      </c>
      <c r="J138" s="8">
        <f t="shared" si="1"/>
        <v>0</v>
      </c>
    </row>
    <row r="139" spans="1:10" x14ac:dyDescent="0.3">
      <c r="A139" s="4">
        <v>122</v>
      </c>
      <c r="B139" s="3">
        <v>45519</v>
      </c>
      <c r="C139" s="4" t="s">
        <v>7</v>
      </c>
      <c r="D139" s="4" t="s">
        <v>417</v>
      </c>
      <c r="E139" s="2">
        <v>60</v>
      </c>
      <c r="F139" s="2">
        <v>0</v>
      </c>
      <c r="G139" s="4">
        <v>127978.26</v>
      </c>
      <c r="H139" s="4" t="s">
        <v>356</v>
      </c>
      <c r="J139" s="8">
        <f t="shared" si="1"/>
        <v>0</v>
      </c>
    </row>
    <row r="140" spans="1:10" x14ac:dyDescent="0.3">
      <c r="A140" s="4">
        <v>123</v>
      </c>
      <c r="B140" s="3">
        <v>45519</v>
      </c>
      <c r="C140" s="4" t="s">
        <v>7</v>
      </c>
      <c r="D140" s="4" t="s">
        <v>418</v>
      </c>
      <c r="E140" s="2">
        <v>160</v>
      </c>
      <c r="F140" s="2">
        <v>0</v>
      </c>
      <c r="G140" s="4">
        <v>127818.26</v>
      </c>
      <c r="H140" s="4" t="s">
        <v>356</v>
      </c>
      <c r="J140" s="8">
        <f t="shared" si="1"/>
        <v>0</v>
      </c>
    </row>
    <row r="141" spans="1:10" x14ac:dyDescent="0.3">
      <c r="A141" s="4">
        <v>124</v>
      </c>
      <c r="B141" s="3">
        <v>45520</v>
      </c>
      <c r="C141" s="4" t="s">
        <v>7</v>
      </c>
      <c r="D141" s="4" t="s">
        <v>419</v>
      </c>
      <c r="E141" s="2">
        <v>90</v>
      </c>
      <c r="F141" s="2">
        <v>0</v>
      </c>
      <c r="G141" s="4">
        <v>127728.26</v>
      </c>
      <c r="H141" s="4" t="s">
        <v>356</v>
      </c>
      <c r="J141" s="8">
        <f t="shared" si="1"/>
        <v>0</v>
      </c>
    </row>
    <row r="142" spans="1:10" x14ac:dyDescent="0.3">
      <c r="A142" s="4">
        <v>125</v>
      </c>
      <c r="B142" s="3">
        <v>45523</v>
      </c>
      <c r="C142" s="4" t="s">
        <v>7</v>
      </c>
      <c r="D142" s="4" t="s">
        <v>420</v>
      </c>
      <c r="E142" s="2">
        <v>127728.26</v>
      </c>
      <c r="F142" s="2">
        <v>0</v>
      </c>
      <c r="G142" s="4">
        <v>0</v>
      </c>
      <c r="H142" s="4" t="s">
        <v>1881</v>
      </c>
      <c r="J142" s="8">
        <f t="shared" si="1"/>
        <v>0</v>
      </c>
    </row>
    <row r="143" spans="1:10" x14ac:dyDescent="0.3">
      <c r="A143" s="4">
        <v>126</v>
      </c>
      <c r="B143" s="3">
        <v>45523</v>
      </c>
      <c r="C143" s="4" t="s">
        <v>7</v>
      </c>
      <c r="D143" s="4" t="s">
        <v>420</v>
      </c>
      <c r="E143" s="2">
        <v>0</v>
      </c>
      <c r="F143" s="2">
        <v>127728.26</v>
      </c>
      <c r="G143" s="4">
        <v>127728.26</v>
      </c>
      <c r="H143" s="4" t="s">
        <v>1881</v>
      </c>
      <c r="J143" s="8">
        <f t="shared" si="1"/>
        <v>0</v>
      </c>
    </row>
    <row r="144" spans="1:10" x14ac:dyDescent="0.3">
      <c r="A144" s="4">
        <v>127</v>
      </c>
      <c r="B144" s="3">
        <v>45525</v>
      </c>
      <c r="C144" s="4" t="s">
        <v>7</v>
      </c>
      <c r="D144" s="4" t="s">
        <v>421</v>
      </c>
      <c r="E144" s="2">
        <v>0</v>
      </c>
      <c r="F144" s="2">
        <v>150000</v>
      </c>
      <c r="G144" s="4">
        <v>277728.26</v>
      </c>
      <c r="H144" s="4" t="s">
        <v>1843</v>
      </c>
      <c r="J144" s="8">
        <f t="shared" si="1"/>
        <v>0</v>
      </c>
    </row>
    <row r="145" spans="1:10" x14ac:dyDescent="0.3">
      <c r="A145" s="4">
        <v>128</v>
      </c>
      <c r="B145" s="3">
        <v>45525</v>
      </c>
      <c r="C145" s="4" t="s">
        <v>7</v>
      </c>
      <c r="D145" s="4" t="s">
        <v>422</v>
      </c>
      <c r="E145" s="2">
        <v>3200</v>
      </c>
      <c r="F145" s="2">
        <v>0</v>
      </c>
      <c r="G145" s="4">
        <v>274528.26</v>
      </c>
      <c r="H145" s="4" t="s">
        <v>356</v>
      </c>
      <c r="J145" s="8">
        <f t="shared" si="1"/>
        <v>0</v>
      </c>
    </row>
    <row r="146" spans="1:10" x14ac:dyDescent="0.3">
      <c r="A146" s="4">
        <v>129</v>
      </c>
      <c r="B146" s="3">
        <v>45526</v>
      </c>
      <c r="C146" s="4" t="s">
        <v>7</v>
      </c>
      <c r="D146" s="4" t="s">
        <v>423</v>
      </c>
      <c r="E146" s="2">
        <v>53</v>
      </c>
      <c r="F146" s="2">
        <v>0</v>
      </c>
      <c r="G146" s="4">
        <v>274475.26</v>
      </c>
      <c r="H146" s="4" t="s">
        <v>356</v>
      </c>
      <c r="J146" s="8">
        <f t="shared" si="1"/>
        <v>0</v>
      </c>
    </row>
    <row r="147" spans="1:10" x14ac:dyDescent="0.3">
      <c r="A147" s="4">
        <v>130</v>
      </c>
      <c r="B147" s="3">
        <v>45526</v>
      </c>
      <c r="C147" s="4" t="s">
        <v>7</v>
      </c>
      <c r="D147" s="4" t="s">
        <v>424</v>
      </c>
      <c r="E147" s="2">
        <v>50</v>
      </c>
      <c r="F147" s="2">
        <v>0</v>
      </c>
      <c r="G147" s="4">
        <v>274425.26</v>
      </c>
      <c r="H147" s="4" t="s">
        <v>356</v>
      </c>
      <c r="J147" s="8">
        <f t="shared" si="1"/>
        <v>0</v>
      </c>
    </row>
    <row r="148" spans="1:10" x14ac:dyDescent="0.3">
      <c r="A148" s="4">
        <v>131</v>
      </c>
      <c r="B148" s="3">
        <v>45526</v>
      </c>
      <c r="C148" s="4" t="s">
        <v>7</v>
      </c>
      <c r="D148" s="4" t="s">
        <v>425</v>
      </c>
      <c r="E148" s="2">
        <v>400</v>
      </c>
      <c r="F148" s="2">
        <v>0</v>
      </c>
      <c r="G148" s="4">
        <v>274025.26</v>
      </c>
      <c r="H148" s="4" t="s">
        <v>356</v>
      </c>
      <c r="J148" s="8">
        <f t="shared" si="1"/>
        <v>0</v>
      </c>
    </row>
    <row r="149" spans="1:10" x14ac:dyDescent="0.3">
      <c r="A149" s="4">
        <v>132</v>
      </c>
      <c r="B149" s="3">
        <v>45527</v>
      </c>
      <c r="C149" s="4" t="s">
        <v>7</v>
      </c>
      <c r="D149" s="4" t="s">
        <v>426</v>
      </c>
      <c r="E149" s="2">
        <v>221</v>
      </c>
      <c r="F149" s="2">
        <v>0</v>
      </c>
      <c r="G149" s="4">
        <v>273804.26</v>
      </c>
      <c r="H149" s="4" t="s">
        <v>356</v>
      </c>
      <c r="J149" s="8">
        <f t="shared" ref="J149:J212" si="2">G148-E149+F149-G149</f>
        <v>0</v>
      </c>
    </row>
    <row r="150" spans="1:10" x14ac:dyDescent="0.3">
      <c r="A150" s="4">
        <v>133</v>
      </c>
      <c r="B150" s="3">
        <v>45527</v>
      </c>
      <c r="C150" s="4" t="s">
        <v>7</v>
      </c>
      <c r="D150" s="4" t="s">
        <v>427</v>
      </c>
      <c r="E150" s="2">
        <v>690</v>
      </c>
      <c r="F150" s="2">
        <v>0</v>
      </c>
      <c r="G150" s="4">
        <v>273114.26</v>
      </c>
      <c r="H150" s="4" t="s">
        <v>356</v>
      </c>
      <c r="J150" s="8">
        <f t="shared" si="2"/>
        <v>0</v>
      </c>
    </row>
    <row r="151" spans="1:10" x14ac:dyDescent="0.3">
      <c r="A151" s="4">
        <v>134</v>
      </c>
      <c r="B151" s="3">
        <v>45527</v>
      </c>
      <c r="C151" s="4" t="s">
        <v>7</v>
      </c>
      <c r="D151" s="4" t="s">
        <v>428</v>
      </c>
      <c r="E151" s="2">
        <v>2000</v>
      </c>
      <c r="F151" s="2">
        <v>0</v>
      </c>
      <c r="G151" s="4">
        <v>271114.26</v>
      </c>
      <c r="H151" s="4" t="s">
        <v>356</v>
      </c>
      <c r="J151" s="8">
        <f t="shared" si="2"/>
        <v>0</v>
      </c>
    </row>
    <row r="152" spans="1:10" x14ac:dyDescent="0.3">
      <c r="A152" s="4">
        <v>135</v>
      </c>
      <c r="B152" s="3">
        <v>45528</v>
      </c>
      <c r="C152" s="4" t="s">
        <v>7</v>
      </c>
      <c r="D152" s="4" t="s">
        <v>429</v>
      </c>
      <c r="E152" s="2">
        <v>15</v>
      </c>
      <c r="F152" s="2">
        <v>0</v>
      </c>
      <c r="G152" s="4">
        <v>271099.26</v>
      </c>
      <c r="H152" s="4" t="s">
        <v>356</v>
      </c>
      <c r="J152" s="8">
        <f t="shared" si="2"/>
        <v>0</v>
      </c>
    </row>
    <row r="153" spans="1:10" x14ac:dyDescent="0.3">
      <c r="A153" s="4">
        <v>136</v>
      </c>
      <c r="B153" s="3">
        <v>45529</v>
      </c>
      <c r="C153" s="4" t="s">
        <v>7</v>
      </c>
      <c r="D153" s="4" t="s">
        <v>430</v>
      </c>
      <c r="E153" s="2">
        <v>1280</v>
      </c>
      <c r="F153" s="2">
        <v>0</v>
      </c>
      <c r="G153" s="4">
        <v>269819.26</v>
      </c>
      <c r="H153" s="4" t="s">
        <v>356</v>
      </c>
      <c r="J153" s="8">
        <f t="shared" si="2"/>
        <v>0</v>
      </c>
    </row>
    <row r="154" spans="1:10" x14ac:dyDescent="0.3">
      <c r="A154" s="4">
        <v>137</v>
      </c>
      <c r="B154" s="3">
        <v>45529</v>
      </c>
      <c r="C154" s="4" t="s">
        <v>7</v>
      </c>
      <c r="D154" s="4" t="s">
        <v>431</v>
      </c>
      <c r="E154" s="2">
        <v>310</v>
      </c>
      <c r="F154" s="2">
        <v>0</v>
      </c>
      <c r="G154" s="4">
        <v>269509.26</v>
      </c>
      <c r="H154" s="4" t="s">
        <v>356</v>
      </c>
      <c r="J154" s="8">
        <f t="shared" si="2"/>
        <v>0</v>
      </c>
    </row>
    <row r="155" spans="1:10" x14ac:dyDescent="0.3">
      <c r="A155" s="4">
        <v>138</v>
      </c>
      <c r="B155" s="3">
        <v>45529</v>
      </c>
      <c r="C155" s="4" t="s">
        <v>7</v>
      </c>
      <c r="D155" s="4" t="s">
        <v>432</v>
      </c>
      <c r="E155" s="2">
        <v>40</v>
      </c>
      <c r="F155" s="2">
        <v>0</v>
      </c>
      <c r="G155" s="4">
        <v>269469.26</v>
      </c>
      <c r="H155" s="4" t="s">
        <v>356</v>
      </c>
      <c r="J155" s="8">
        <f t="shared" si="2"/>
        <v>0</v>
      </c>
    </row>
    <row r="156" spans="1:10" x14ac:dyDescent="0.3">
      <c r="A156" s="4">
        <v>139</v>
      </c>
      <c r="B156" s="3">
        <v>45529</v>
      </c>
      <c r="C156" s="4" t="s">
        <v>7</v>
      </c>
      <c r="D156" s="4" t="s">
        <v>433</v>
      </c>
      <c r="E156" s="2">
        <v>950</v>
      </c>
      <c r="F156" s="2">
        <v>0</v>
      </c>
      <c r="G156" s="4">
        <v>268519.26</v>
      </c>
      <c r="H156" s="4" t="s">
        <v>356</v>
      </c>
      <c r="J156" s="8">
        <f t="shared" si="2"/>
        <v>0</v>
      </c>
    </row>
    <row r="157" spans="1:10" x14ac:dyDescent="0.3">
      <c r="A157" s="4">
        <v>140</v>
      </c>
      <c r="B157" s="3">
        <v>45529</v>
      </c>
      <c r="C157" s="4" t="s">
        <v>7</v>
      </c>
      <c r="D157" s="4" t="s">
        <v>434</v>
      </c>
      <c r="E157" s="2">
        <v>10</v>
      </c>
      <c r="F157" s="2">
        <v>0</v>
      </c>
      <c r="G157" s="4">
        <v>268509.26</v>
      </c>
      <c r="H157" s="4" t="s">
        <v>356</v>
      </c>
      <c r="J157" s="8">
        <f t="shared" si="2"/>
        <v>0</v>
      </c>
    </row>
    <row r="158" spans="1:10" x14ac:dyDescent="0.3">
      <c r="A158" s="4">
        <v>141</v>
      </c>
      <c r="B158" s="3">
        <v>45529</v>
      </c>
      <c r="C158" s="4" t="s">
        <v>7</v>
      </c>
      <c r="D158" s="4" t="s">
        <v>435</v>
      </c>
      <c r="E158" s="2">
        <v>10</v>
      </c>
      <c r="F158" s="2">
        <v>0</v>
      </c>
      <c r="G158" s="4">
        <v>268499.26</v>
      </c>
      <c r="H158" s="4" t="s">
        <v>356</v>
      </c>
      <c r="J158" s="8">
        <f t="shared" si="2"/>
        <v>0</v>
      </c>
    </row>
    <row r="159" spans="1:10" x14ac:dyDescent="0.3">
      <c r="A159" s="4">
        <v>142</v>
      </c>
      <c r="B159" s="3">
        <v>45529</v>
      </c>
      <c r="C159" s="4" t="s">
        <v>7</v>
      </c>
      <c r="D159" s="4" t="s">
        <v>436</v>
      </c>
      <c r="E159" s="2">
        <v>1680</v>
      </c>
      <c r="F159" s="2">
        <v>0</v>
      </c>
      <c r="G159" s="4">
        <v>266819.26</v>
      </c>
      <c r="H159" s="4" t="s">
        <v>357</v>
      </c>
      <c r="J159" s="8">
        <f t="shared" si="2"/>
        <v>0</v>
      </c>
    </row>
    <row r="160" spans="1:10" x14ac:dyDescent="0.3">
      <c r="A160" s="4">
        <v>143</v>
      </c>
      <c r="B160" s="3">
        <v>45529</v>
      </c>
      <c r="C160" s="4" t="s">
        <v>7</v>
      </c>
      <c r="D160" s="4" t="s">
        <v>437</v>
      </c>
      <c r="E160" s="2">
        <v>20</v>
      </c>
      <c r="F160" s="2">
        <v>0</v>
      </c>
      <c r="G160" s="4">
        <v>266799.26</v>
      </c>
      <c r="H160" s="4" t="s">
        <v>356</v>
      </c>
      <c r="J160" s="8">
        <f t="shared" si="2"/>
        <v>0</v>
      </c>
    </row>
    <row r="161" spans="1:10" x14ac:dyDescent="0.3">
      <c r="A161" s="4">
        <v>144</v>
      </c>
      <c r="B161" s="3">
        <v>45530</v>
      </c>
      <c r="C161" s="4" t="s">
        <v>7</v>
      </c>
      <c r="D161" s="4" t="s">
        <v>438</v>
      </c>
      <c r="E161" s="2">
        <v>10</v>
      </c>
      <c r="F161" s="2">
        <v>0</v>
      </c>
      <c r="G161" s="4">
        <v>266789.26</v>
      </c>
      <c r="H161" s="4" t="s">
        <v>356</v>
      </c>
      <c r="J161" s="8">
        <f t="shared" si="2"/>
        <v>0</v>
      </c>
    </row>
    <row r="162" spans="1:10" x14ac:dyDescent="0.3">
      <c r="A162" s="4">
        <v>145</v>
      </c>
      <c r="B162" s="3">
        <v>45530</v>
      </c>
      <c r="C162" s="4" t="s">
        <v>7</v>
      </c>
      <c r="D162" s="4" t="s">
        <v>439</v>
      </c>
      <c r="E162" s="2">
        <v>80</v>
      </c>
      <c r="F162" s="2">
        <v>0</v>
      </c>
      <c r="G162" s="4">
        <v>266709.26</v>
      </c>
      <c r="H162" s="4" t="s">
        <v>356</v>
      </c>
      <c r="J162" s="8">
        <f t="shared" si="2"/>
        <v>0</v>
      </c>
    </row>
    <row r="163" spans="1:10" x14ac:dyDescent="0.3">
      <c r="A163" s="4">
        <v>146</v>
      </c>
      <c r="B163" s="3">
        <v>45530</v>
      </c>
      <c r="C163" s="4" t="s">
        <v>7</v>
      </c>
      <c r="D163" s="4" t="s">
        <v>440</v>
      </c>
      <c r="E163" s="2">
        <v>140</v>
      </c>
      <c r="F163" s="2">
        <v>0</v>
      </c>
      <c r="G163" s="4">
        <v>266569.26</v>
      </c>
      <c r="H163" s="4" t="s">
        <v>356</v>
      </c>
      <c r="J163" s="8">
        <f t="shared" si="2"/>
        <v>0</v>
      </c>
    </row>
    <row r="164" spans="1:10" x14ac:dyDescent="0.3">
      <c r="A164" s="4">
        <v>147</v>
      </c>
      <c r="B164" s="3">
        <v>45530</v>
      </c>
      <c r="C164" s="4" t="s">
        <v>7</v>
      </c>
      <c r="D164" s="4" t="s">
        <v>441</v>
      </c>
      <c r="E164" s="2">
        <v>2850</v>
      </c>
      <c r="F164" s="2">
        <v>0</v>
      </c>
      <c r="G164" s="4">
        <v>263719.26</v>
      </c>
      <c r="H164" s="4" t="s">
        <v>356</v>
      </c>
      <c r="J164" s="8">
        <f t="shared" si="2"/>
        <v>0</v>
      </c>
    </row>
    <row r="165" spans="1:10" x14ac:dyDescent="0.3">
      <c r="A165" s="4">
        <v>148</v>
      </c>
      <c r="B165" s="3">
        <v>45530</v>
      </c>
      <c r="C165" s="4" t="s">
        <v>7</v>
      </c>
      <c r="D165" s="4" t="s">
        <v>442</v>
      </c>
      <c r="E165" s="2">
        <v>170</v>
      </c>
      <c r="F165" s="2">
        <v>0</v>
      </c>
      <c r="G165" s="4">
        <v>263549.26</v>
      </c>
      <c r="H165" s="4" t="s">
        <v>356</v>
      </c>
      <c r="J165" s="8">
        <f t="shared" si="2"/>
        <v>0</v>
      </c>
    </row>
    <row r="166" spans="1:10" x14ac:dyDescent="0.3">
      <c r="A166" s="4">
        <v>149</v>
      </c>
      <c r="B166" s="3">
        <v>45531</v>
      </c>
      <c r="C166" s="4" t="s">
        <v>7</v>
      </c>
      <c r="D166" s="4" t="s">
        <v>443</v>
      </c>
      <c r="E166" s="2">
        <v>170</v>
      </c>
      <c r="F166" s="2">
        <v>0</v>
      </c>
      <c r="G166" s="4">
        <v>263379.26</v>
      </c>
      <c r="H166" s="4" t="s">
        <v>356</v>
      </c>
      <c r="J166" s="8">
        <f t="shared" si="2"/>
        <v>0</v>
      </c>
    </row>
    <row r="167" spans="1:10" x14ac:dyDescent="0.3">
      <c r="A167" s="4">
        <v>150</v>
      </c>
      <c r="B167" s="3">
        <v>45531</v>
      </c>
      <c r="C167" s="4" t="s">
        <v>7</v>
      </c>
      <c r="D167" s="4" t="s">
        <v>444</v>
      </c>
      <c r="E167" s="2">
        <v>30</v>
      </c>
      <c r="F167" s="2">
        <v>0</v>
      </c>
      <c r="G167" s="4">
        <v>263349.26</v>
      </c>
      <c r="H167" s="4" t="s">
        <v>356</v>
      </c>
      <c r="J167" s="8">
        <f t="shared" si="2"/>
        <v>0</v>
      </c>
    </row>
    <row r="168" spans="1:10" x14ac:dyDescent="0.3">
      <c r="A168" s="4">
        <v>151</v>
      </c>
      <c r="B168" s="3">
        <v>45532</v>
      </c>
      <c r="C168" s="4" t="s">
        <v>7</v>
      </c>
      <c r="D168" s="4" t="s">
        <v>445</v>
      </c>
      <c r="E168" s="2">
        <v>170</v>
      </c>
      <c r="F168" s="2">
        <v>0</v>
      </c>
      <c r="G168" s="4">
        <v>263179.26</v>
      </c>
      <c r="H168" s="4" t="s">
        <v>356</v>
      </c>
      <c r="J168" s="8">
        <f t="shared" si="2"/>
        <v>0</v>
      </c>
    </row>
    <row r="169" spans="1:10" x14ac:dyDescent="0.3">
      <c r="A169" s="4">
        <v>152</v>
      </c>
      <c r="B169" s="3">
        <v>45532</v>
      </c>
      <c r="C169" s="4" t="s">
        <v>7</v>
      </c>
      <c r="D169" s="4" t="s">
        <v>446</v>
      </c>
      <c r="E169" s="2">
        <v>250</v>
      </c>
      <c r="F169" s="2">
        <v>0</v>
      </c>
      <c r="G169" s="4">
        <v>262929.26</v>
      </c>
      <c r="H169" s="4" t="s">
        <v>356</v>
      </c>
      <c r="J169" s="8">
        <f t="shared" si="2"/>
        <v>0</v>
      </c>
    </row>
    <row r="170" spans="1:10" x14ac:dyDescent="0.3">
      <c r="A170" s="4">
        <v>153</v>
      </c>
      <c r="B170" s="3">
        <v>45533</v>
      </c>
      <c r="C170" s="4" t="s">
        <v>7</v>
      </c>
      <c r="D170" s="4" t="s">
        <v>447</v>
      </c>
      <c r="E170" s="2">
        <v>50</v>
      </c>
      <c r="F170" s="2">
        <v>0</v>
      </c>
      <c r="G170" s="4">
        <v>262879.26</v>
      </c>
      <c r="H170" s="4" t="s">
        <v>356</v>
      </c>
      <c r="J170" s="8">
        <f t="shared" si="2"/>
        <v>0</v>
      </c>
    </row>
    <row r="171" spans="1:10" x14ac:dyDescent="0.3">
      <c r="A171" s="4">
        <v>154</v>
      </c>
      <c r="B171" s="3">
        <v>45533</v>
      </c>
      <c r="C171" s="4" t="s">
        <v>7</v>
      </c>
      <c r="D171" s="4" t="s">
        <v>448</v>
      </c>
      <c r="E171" s="2">
        <v>10</v>
      </c>
      <c r="F171" s="2">
        <v>0</v>
      </c>
      <c r="G171" s="4">
        <v>262869.26</v>
      </c>
      <c r="H171" s="4" t="s">
        <v>356</v>
      </c>
      <c r="J171" s="8">
        <f t="shared" si="2"/>
        <v>0</v>
      </c>
    </row>
    <row r="172" spans="1:10" x14ac:dyDescent="0.3">
      <c r="A172" s="4">
        <v>155</v>
      </c>
      <c r="B172" s="3">
        <v>45533</v>
      </c>
      <c r="C172" s="4" t="s">
        <v>7</v>
      </c>
      <c r="D172" s="4" t="s">
        <v>449</v>
      </c>
      <c r="E172" s="2">
        <v>80</v>
      </c>
      <c r="F172" s="2">
        <v>0</v>
      </c>
      <c r="G172" s="4">
        <v>262789.26</v>
      </c>
      <c r="H172" s="4" t="s">
        <v>356</v>
      </c>
      <c r="J172" s="8">
        <f t="shared" si="2"/>
        <v>0</v>
      </c>
    </row>
    <row r="173" spans="1:10" x14ac:dyDescent="0.3">
      <c r="A173" s="4">
        <v>156</v>
      </c>
      <c r="B173" s="3">
        <v>45533</v>
      </c>
      <c r="C173" s="4" t="s">
        <v>7</v>
      </c>
      <c r="D173" s="4" t="s">
        <v>450</v>
      </c>
      <c r="E173" s="2">
        <v>950</v>
      </c>
      <c r="F173" s="2">
        <v>0</v>
      </c>
      <c r="G173" s="4">
        <v>261839.26</v>
      </c>
      <c r="H173" s="4" t="s">
        <v>356</v>
      </c>
      <c r="J173" s="8">
        <f t="shared" si="2"/>
        <v>0</v>
      </c>
    </row>
    <row r="174" spans="1:10" x14ac:dyDescent="0.3">
      <c r="A174" s="4">
        <v>157</v>
      </c>
      <c r="B174" s="3">
        <v>45533</v>
      </c>
      <c r="C174" s="4" t="s">
        <v>7</v>
      </c>
      <c r="D174" s="4" t="s">
        <v>451</v>
      </c>
      <c r="E174" s="2">
        <v>155</v>
      </c>
      <c r="F174" s="2">
        <v>0</v>
      </c>
      <c r="G174" s="4">
        <v>261684.26</v>
      </c>
      <c r="H174" s="4" t="s">
        <v>356</v>
      </c>
      <c r="J174" s="8">
        <f t="shared" si="2"/>
        <v>0</v>
      </c>
    </row>
    <row r="175" spans="1:10" x14ac:dyDescent="0.3">
      <c r="A175" s="4">
        <v>158</v>
      </c>
      <c r="B175" s="3">
        <v>45534</v>
      </c>
      <c r="C175" s="4" t="s">
        <v>7</v>
      </c>
      <c r="D175" s="4" t="s">
        <v>452</v>
      </c>
      <c r="E175" s="2">
        <v>35</v>
      </c>
      <c r="F175" s="2">
        <v>0</v>
      </c>
      <c r="G175" s="4">
        <v>261649.26</v>
      </c>
      <c r="H175" s="4" t="s">
        <v>356</v>
      </c>
      <c r="J175" s="8">
        <f t="shared" si="2"/>
        <v>0</v>
      </c>
    </row>
    <row r="176" spans="1:10" x14ac:dyDescent="0.3">
      <c r="A176" s="4">
        <v>159</v>
      </c>
      <c r="B176" s="3">
        <v>45534</v>
      </c>
      <c r="C176" s="4" t="s">
        <v>7</v>
      </c>
      <c r="D176" s="4" t="s">
        <v>453</v>
      </c>
      <c r="E176" s="2">
        <v>310</v>
      </c>
      <c r="F176" s="2">
        <v>0</v>
      </c>
      <c r="G176" s="4">
        <v>261339.26</v>
      </c>
      <c r="H176" s="4" t="s">
        <v>356</v>
      </c>
      <c r="J176" s="8">
        <f t="shared" si="2"/>
        <v>0</v>
      </c>
    </row>
    <row r="177" spans="1:10" x14ac:dyDescent="0.3">
      <c r="A177" s="4">
        <v>160</v>
      </c>
      <c r="B177" s="3">
        <v>45534</v>
      </c>
      <c r="C177" s="4" t="s">
        <v>7</v>
      </c>
      <c r="D177" s="4" t="s">
        <v>454</v>
      </c>
      <c r="E177" s="2">
        <v>170</v>
      </c>
      <c r="F177" s="2">
        <v>0</v>
      </c>
      <c r="G177" s="4">
        <v>261169.26</v>
      </c>
      <c r="H177" s="4" t="s">
        <v>356</v>
      </c>
      <c r="J177" s="8">
        <f t="shared" si="2"/>
        <v>0</v>
      </c>
    </row>
    <row r="178" spans="1:10" x14ac:dyDescent="0.3">
      <c r="A178" s="4">
        <v>161</v>
      </c>
      <c r="B178" s="3">
        <v>45535</v>
      </c>
      <c r="C178" s="4" t="s">
        <v>7</v>
      </c>
      <c r="D178" s="4" t="s">
        <v>455</v>
      </c>
      <c r="E178" s="2">
        <v>400</v>
      </c>
      <c r="F178" s="2">
        <v>0</v>
      </c>
      <c r="G178" s="4">
        <v>260769.26</v>
      </c>
      <c r="H178" s="4" t="s">
        <v>356</v>
      </c>
      <c r="J178" s="8">
        <f t="shared" si="2"/>
        <v>0</v>
      </c>
    </row>
    <row r="179" spans="1:10" x14ac:dyDescent="0.3">
      <c r="A179" s="4">
        <v>162</v>
      </c>
      <c r="B179" s="3">
        <v>45536</v>
      </c>
      <c r="C179" s="4" t="s">
        <v>7</v>
      </c>
      <c r="D179" s="4" t="s">
        <v>456</v>
      </c>
      <c r="E179" s="2">
        <v>48</v>
      </c>
      <c r="F179" s="2">
        <v>0</v>
      </c>
      <c r="G179" s="4">
        <v>260721.26</v>
      </c>
      <c r="H179" s="4" t="s">
        <v>356</v>
      </c>
      <c r="J179" s="8">
        <f t="shared" si="2"/>
        <v>0</v>
      </c>
    </row>
    <row r="180" spans="1:10" x14ac:dyDescent="0.3">
      <c r="A180" s="4">
        <v>163</v>
      </c>
      <c r="B180" s="3">
        <v>45536</v>
      </c>
      <c r="C180" s="4" t="s">
        <v>7</v>
      </c>
      <c r="D180" s="4" t="s">
        <v>457</v>
      </c>
      <c r="E180" s="2">
        <v>6000</v>
      </c>
      <c r="F180" s="2">
        <v>0</v>
      </c>
      <c r="G180" s="4">
        <v>254721.26</v>
      </c>
      <c r="H180" s="4" t="s">
        <v>356</v>
      </c>
      <c r="J180" s="8">
        <f t="shared" si="2"/>
        <v>0</v>
      </c>
    </row>
    <row r="181" spans="1:10" x14ac:dyDescent="0.3">
      <c r="A181" s="4">
        <v>164</v>
      </c>
      <c r="B181" s="3">
        <v>45537</v>
      </c>
      <c r="C181" s="4" t="s">
        <v>7</v>
      </c>
      <c r="D181" s="4" t="s">
        <v>458</v>
      </c>
      <c r="E181" s="2">
        <v>44</v>
      </c>
      <c r="F181" s="2">
        <v>0</v>
      </c>
      <c r="G181" s="4">
        <v>254677.26</v>
      </c>
      <c r="H181" s="4" t="s">
        <v>356</v>
      </c>
      <c r="J181" s="8">
        <f t="shared" si="2"/>
        <v>0</v>
      </c>
    </row>
    <row r="182" spans="1:10" x14ac:dyDescent="0.3">
      <c r="A182" s="4">
        <v>165</v>
      </c>
      <c r="B182" s="3">
        <v>45538</v>
      </c>
      <c r="C182" s="4" t="s">
        <v>7</v>
      </c>
      <c r="D182" s="4" t="s">
        <v>459</v>
      </c>
      <c r="E182" s="2">
        <v>10000</v>
      </c>
      <c r="F182" s="2">
        <v>0</v>
      </c>
      <c r="G182" s="4">
        <v>244677.26</v>
      </c>
      <c r="H182" s="4" t="s">
        <v>354</v>
      </c>
      <c r="J182" s="8">
        <f t="shared" si="2"/>
        <v>0</v>
      </c>
    </row>
    <row r="183" spans="1:10" x14ac:dyDescent="0.3">
      <c r="A183" s="4">
        <v>166</v>
      </c>
      <c r="B183" s="3">
        <v>45538</v>
      </c>
      <c r="C183" s="4" t="s">
        <v>7</v>
      </c>
      <c r="D183" s="4" t="s">
        <v>460</v>
      </c>
      <c r="E183" s="2">
        <v>5000</v>
      </c>
      <c r="F183" s="2">
        <v>0</v>
      </c>
      <c r="G183" s="4">
        <v>239677.26</v>
      </c>
      <c r="H183" s="4" t="s">
        <v>354</v>
      </c>
      <c r="J183" s="8">
        <f t="shared" si="2"/>
        <v>0</v>
      </c>
    </row>
    <row r="184" spans="1:10" x14ac:dyDescent="0.3">
      <c r="A184" s="4">
        <v>167</v>
      </c>
      <c r="B184" s="3">
        <v>45542</v>
      </c>
      <c r="C184" s="4" t="s">
        <v>7</v>
      </c>
      <c r="D184" s="4" t="s">
        <v>8</v>
      </c>
      <c r="E184" s="2">
        <v>171169.02</v>
      </c>
      <c r="F184" s="2">
        <v>0</v>
      </c>
      <c r="G184" s="4">
        <v>68508.240000000005</v>
      </c>
      <c r="H184" s="4" t="s">
        <v>1877</v>
      </c>
      <c r="J184" s="8">
        <f t="shared" si="2"/>
        <v>0</v>
      </c>
    </row>
    <row r="185" spans="1:10" x14ac:dyDescent="0.3">
      <c r="A185" s="4">
        <v>168</v>
      </c>
      <c r="B185" s="3">
        <v>45545</v>
      </c>
      <c r="C185" s="4" t="s">
        <v>7</v>
      </c>
      <c r="D185" s="4" t="s">
        <v>461</v>
      </c>
      <c r="E185" s="2">
        <v>889.72</v>
      </c>
      <c r="F185" s="2">
        <v>0</v>
      </c>
      <c r="G185" s="4">
        <v>67618.52</v>
      </c>
      <c r="H185" s="4" t="s">
        <v>356</v>
      </c>
      <c r="J185" s="8">
        <f t="shared" si="2"/>
        <v>0</v>
      </c>
    </row>
    <row r="186" spans="1:10" x14ac:dyDescent="0.3">
      <c r="A186" s="4">
        <v>169</v>
      </c>
      <c r="B186" s="3">
        <v>45546</v>
      </c>
      <c r="C186" s="4" t="s">
        <v>7</v>
      </c>
      <c r="D186" s="4" t="s">
        <v>462</v>
      </c>
      <c r="E186" s="2">
        <v>15000</v>
      </c>
      <c r="F186" s="2">
        <v>0</v>
      </c>
      <c r="G186" s="4">
        <v>52618.52</v>
      </c>
      <c r="H186" s="4" t="s">
        <v>1869</v>
      </c>
      <c r="J186" s="8">
        <f t="shared" si="2"/>
        <v>0</v>
      </c>
    </row>
    <row r="187" spans="1:10" x14ac:dyDescent="0.3">
      <c r="A187" s="4">
        <v>170</v>
      </c>
      <c r="B187" s="3">
        <v>45546</v>
      </c>
      <c r="C187" s="4" t="s">
        <v>7</v>
      </c>
      <c r="D187" s="4" t="s">
        <v>463</v>
      </c>
      <c r="E187" s="2">
        <v>0</v>
      </c>
      <c r="F187" s="2">
        <v>100000</v>
      </c>
      <c r="G187" s="4">
        <v>152618.51999999999</v>
      </c>
      <c r="H187" s="4" t="s">
        <v>372</v>
      </c>
      <c r="J187" s="8">
        <f t="shared" si="2"/>
        <v>0</v>
      </c>
    </row>
    <row r="188" spans="1:10" x14ac:dyDescent="0.3">
      <c r="A188" s="4">
        <v>171</v>
      </c>
      <c r="B188" s="3">
        <v>45546</v>
      </c>
      <c r="C188" s="4" t="s">
        <v>7</v>
      </c>
      <c r="D188" s="4" t="s">
        <v>464</v>
      </c>
      <c r="E188" s="2">
        <v>262.92</v>
      </c>
      <c r="F188" s="2">
        <v>0</v>
      </c>
      <c r="G188" s="4">
        <v>152355.6</v>
      </c>
      <c r="H188" s="4" t="s">
        <v>356</v>
      </c>
      <c r="J188" s="8">
        <f t="shared" si="2"/>
        <v>0</v>
      </c>
    </row>
    <row r="189" spans="1:10" x14ac:dyDescent="0.3">
      <c r="A189" s="4">
        <v>172</v>
      </c>
      <c r="B189" s="3">
        <v>45546</v>
      </c>
      <c r="C189" s="4" t="s">
        <v>7</v>
      </c>
      <c r="D189" s="4" t="s">
        <v>465</v>
      </c>
      <c r="E189" s="2">
        <v>140</v>
      </c>
      <c r="F189" s="2">
        <v>0</v>
      </c>
      <c r="G189" s="4">
        <v>152215.6</v>
      </c>
      <c r="H189" s="4" t="s">
        <v>356</v>
      </c>
      <c r="J189" s="8">
        <f t="shared" si="2"/>
        <v>0</v>
      </c>
    </row>
    <row r="190" spans="1:10" x14ac:dyDescent="0.3">
      <c r="A190" s="4">
        <v>173</v>
      </c>
      <c r="B190" s="3">
        <v>45552</v>
      </c>
      <c r="C190" s="4" t="s">
        <v>7</v>
      </c>
      <c r="D190" s="4" t="s">
        <v>466</v>
      </c>
      <c r="E190" s="2">
        <v>120</v>
      </c>
      <c r="F190" s="2">
        <v>0</v>
      </c>
      <c r="G190" s="4">
        <v>152095.6</v>
      </c>
      <c r="H190" s="4" t="s">
        <v>356</v>
      </c>
      <c r="J190" s="8">
        <f t="shared" si="2"/>
        <v>0</v>
      </c>
    </row>
    <row r="191" spans="1:10" x14ac:dyDescent="0.3">
      <c r="A191" s="4">
        <v>174</v>
      </c>
      <c r="B191" s="3">
        <v>45552</v>
      </c>
      <c r="C191" s="4" t="s">
        <v>467</v>
      </c>
      <c r="D191" s="4" t="s">
        <v>468</v>
      </c>
      <c r="E191" s="2">
        <v>50000</v>
      </c>
      <c r="F191" s="2">
        <v>0</v>
      </c>
      <c r="G191" s="4">
        <v>102095.6</v>
      </c>
      <c r="H191" s="4" t="s">
        <v>354</v>
      </c>
      <c r="J191" s="8">
        <f t="shared" si="2"/>
        <v>0</v>
      </c>
    </row>
    <row r="192" spans="1:10" x14ac:dyDescent="0.3">
      <c r="A192" s="4">
        <v>175</v>
      </c>
      <c r="B192" s="3">
        <v>45554</v>
      </c>
      <c r="C192" s="4" t="s">
        <v>7</v>
      </c>
      <c r="D192" s="4" t="s">
        <v>469</v>
      </c>
      <c r="E192" s="2">
        <v>160</v>
      </c>
      <c r="F192" s="2">
        <v>0</v>
      </c>
      <c r="G192" s="4">
        <v>101935.6</v>
      </c>
      <c r="H192" s="4" t="s">
        <v>356</v>
      </c>
      <c r="J192" s="8">
        <f t="shared" si="2"/>
        <v>0</v>
      </c>
    </row>
    <row r="193" spans="1:10" x14ac:dyDescent="0.3">
      <c r="A193" s="4">
        <v>176</v>
      </c>
      <c r="B193" s="3">
        <v>45554</v>
      </c>
      <c r="C193" s="4" t="s">
        <v>7</v>
      </c>
      <c r="D193" s="4" t="s">
        <v>470</v>
      </c>
      <c r="E193" s="2">
        <v>1700</v>
      </c>
      <c r="F193" s="2">
        <v>0</v>
      </c>
      <c r="G193" s="4">
        <v>100235.6</v>
      </c>
      <c r="H193" s="4" t="s">
        <v>356</v>
      </c>
      <c r="J193" s="8">
        <f t="shared" si="2"/>
        <v>0</v>
      </c>
    </row>
    <row r="194" spans="1:10" x14ac:dyDescent="0.3">
      <c r="A194" s="4">
        <v>177</v>
      </c>
      <c r="B194" s="3">
        <v>45554</v>
      </c>
      <c r="C194" s="4" t="s">
        <v>7</v>
      </c>
      <c r="D194" s="4" t="s">
        <v>471</v>
      </c>
      <c r="E194" s="2">
        <v>400</v>
      </c>
      <c r="F194" s="2">
        <v>0</v>
      </c>
      <c r="G194" s="4">
        <v>99835.6</v>
      </c>
      <c r="H194" s="4" t="s">
        <v>356</v>
      </c>
      <c r="J194" s="8">
        <f t="shared" si="2"/>
        <v>0</v>
      </c>
    </row>
    <row r="195" spans="1:10" x14ac:dyDescent="0.3">
      <c r="A195" s="4">
        <v>178</v>
      </c>
      <c r="B195" s="3">
        <v>45554</v>
      </c>
      <c r="C195" s="4" t="s">
        <v>7</v>
      </c>
      <c r="D195" s="4" t="s">
        <v>472</v>
      </c>
      <c r="E195" s="2">
        <v>394</v>
      </c>
      <c r="F195" s="2">
        <v>0</v>
      </c>
      <c r="G195" s="4">
        <v>99441.600000000006</v>
      </c>
      <c r="H195" s="4" t="s">
        <v>356</v>
      </c>
      <c r="J195" s="8">
        <f t="shared" si="2"/>
        <v>0</v>
      </c>
    </row>
    <row r="196" spans="1:10" x14ac:dyDescent="0.3">
      <c r="A196" s="4">
        <v>179</v>
      </c>
      <c r="B196" s="3">
        <v>45558</v>
      </c>
      <c r="C196" s="4" t="s">
        <v>7</v>
      </c>
      <c r="D196" s="4" t="s">
        <v>473</v>
      </c>
      <c r="E196" s="2">
        <v>1500</v>
      </c>
      <c r="F196" s="2">
        <v>0</v>
      </c>
      <c r="G196" s="4">
        <v>97941.6</v>
      </c>
      <c r="H196" s="4" t="s">
        <v>356</v>
      </c>
      <c r="J196" s="8">
        <f t="shared" si="2"/>
        <v>0</v>
      </c>
    </row>
    <row r="197" spans="1:10" x14ac:dyDescent="0.3">
      <c r="A197" s="4">
        <v>180</v>
      </c>
      <c r="B197" s="3">
        <v>45559</v>
      </c>
      <c r="C197" s="4" t="s">
        <v>7</v>
      </c>
      <c r="D197" s="4" t="s">
        <v>474</v>
      </c>
      <c r="E197" s="2">
        <v>160</v>
      </c>
      <c r="F197" s="2">
        <v>0</v>
      </c>
      <c r="G197" s="4">
        <v>97781.6</v>
      </c>
      <c r="H197" s="4" t="s">
        <v>356</v>
      </c>
      <c r="J197" s="8">
        <f t="shared" si="2"/>
        <v>0</v>
      </c>
    </row>
    <row r="198" spans="1:10" x14ac:dyDescent="0.3">
      <c r="A198" s="4">
        <v>181</v>
      </c>
      <c r="B198" s="3">
        <v>45559</v>
      </c>
      <c r="C198" s="4" t="s">
        <v>7</v>
      </c>
      <c r="D198" s="4" t="s">
        <v>475</v>
      </c>
      <c r="E198" s="2">
        <v>10</v>
      </c>
      <c r="F198" s="2">
        <v>0</v>
      </c>
      <c r="G198" s="4">
        <v>97771.6</v>
      </c>
      <c r="H198" s="4" t="s">
        <v>356</v>
      </c>
      <c r="J198" s="8">
        <f t="shared" si="2"/>
        <v>0</v>
      </c>
    </row>
    <row r="199" spans="1:10" x14ac:dyDescent="0.3">
      <c r="A199" s="4">
        <v>182</v>
      </c>
      <c r="B199" s="3">
        <v>45559</v>
      </c>
      <c r="C199" s="4" t="s">
        <v>7</v>
      </c>
      <c r="D199" s="4" t="s">
        <v>476</v>
      </c>
      <c r="E199" s="2">
        <v>1680</v>
      </c>
      <c r="F199" s="2">
        <v>0</v>
      </c>
      <c r="G199" s="4">
        <v>96091.6</v>
      </c>
      <c r="H199" s="4" t="s">
        <v>357</v>
      </c>
      <c r="J199" s="8">
        <f t="shared" si="2"/>
        <v>0</v>
      </c>
    </row>
    <row r="200" spans="1:10" x14ac:dyDescent="0.3">
      <c r="A200" s="4">
        <v>183</v>
      </c>
      <c r="B200" s="3">
        <v>45562</v>
      </c>
      <c r="C200" s="4" t="s">
        <v>7</v>
      </c>
      <c r="D200" s="4" t="s">
        <v>477</v>
      </c>
      <c r="E200" s="2">
        <v>670</v>
      </c>
      <c r="F200" s="2">
        <v>0</v>
      </c>
      <c r="G200" s="4">
        <v>95421.6</v>
      </c>
      <c r="H200" s="4" t="s">
        <v>356</v>
      </c>
      <c r="J200" s="8">
        <f t="shared" si="2"/>
        <v>0</v>
      </c>
    </row>
    <row r="201" spans="1:10" x14ac:dyDescent="0.3">
      <c r="A201" s="4">
        <v>184</v>
      </c>
      <c r="B201" s="3">
        <v>45562</v>
      </c>
      <c r="C201" s="4" t="s">
        <v>7</v>
      </c>
      <c r="D201" s="4" t="s">
        <v>478</v>
      </c>
      <c r="E201" s="2">
        <v>2500</v>
      </c>
      <c r="F201" s="2">
        <v>0</v>
      </c>
      <c r="G201" s="4">
        <v>92921.600000000006</v>
      </c>
      <c r="H201" s="4" t="s">
        <v>356</v>
      </c>
      <c r="J201" s="8">
        <f t="shared" si="2"/>
        <v>0</v>
      </c>
    </row>
    <row r="202" spans="1:10" x14ac:dyDescent="0.3">
      <c r="A202" s="4">
        <v>185</v>
      </c>
      <c r="B202" s="3">
        <v>45564</v>
      </c>
      <c r="C202" s="4" t="s">
        <v>7</v>
      </c>
      <c r="D202" s="4" t="s">
        <v>479</v>
      </c>
      <c r="E202" s="2">
        <v>6</v>
      </c>
      <c r="F202" s="2">
        <v>0</v>
      </c>
      <c r="G202" s="4">
        <v>92915.6</v>
      </c>
      <c r="H202" s="4" t="s">
        <v>356</v>
      </c>
      <c r="J202" s="8">
        <f t="shared" si="2"/>
        <v>0</v>
      </c>
    </row>
    <row r="203" spans="1:10" x14ac:dyDescent="0.3">
      <c r="A203" s="4">
        <v>186</v>
      </c>
      <c r="B203" s="3">
        <v>45564</v>
      </c>
      <c r="C203" s="4" t="s">
        <v>7</v>
      </c>
      <c r="D203" s="4" t="s">
        <v>480</v>
      </c>
      <c r="E203" s="2">
        <v>4</v>
      </c>
      <c r="F203" s="2">
        <v>0</v>
      </c>
      <c r="G203" s="4">
        <v>92911.6</v>
      </c>
      <c r="H203" s="4" t="s">
        <v>356</v>
      </c>
      <c r="J203" s="8">
        <f t="shared" si="2"/>
        <v>0</v>
      </c>
    </row>
    <row r="204" spans="1:10" x14ac:dyDescent="0.3">
      <c r="A204" s="4">
        <v>187</v>
      </c>
      <c r="B204" s="3">
        <v>45566</v>
      </c>
      <c r="C204" s="4" t="s">
        <v>7</v>
      </c>
      <c r="D204" s="4" t="s">
        <v>481</v>
      </c>
      <c r="E204" s="2">
        <v>0</v>
      </c>
      <c r="F204" s="2">
        <v>1039</v>
      </c>
      <c r="G204" s="4">
        <v>93950.6</v>
      </c>
      <c r="H204" s="4" t="s">
        <v>370</v>
      </c>
      <c r="J204" s="8">
        <f t="shared" si="2"/>
        <v>0</v>
      </c>
    </row>
    <row r="205" spans="1:10" x14ac:dyDescent="0.3">
      <c r="A205" s="4">
        <v>188</v>
      </c>
      <c r="B205" s="3">
        <v>45567</v>
      </c>
      <c r="C205" s="4" t="s">
        <v>7</v>
      </c>
      <c r="D205" s="4" t="s">
        <v>482</v>
      </c>
      <c r="E205" s="2">
        <v>115</v>
      </c>
      <c r="F205" s="2">
        <v>0</v>
      </c>
      <c r="G205" s="4">
        <v>93835.6</v>
      </c>
      <c r="H205" s="4" t="s">
        <v>356</v>
      </c>
      <c r="J205" s="8">
        <f t="shared" si="2"/>
        <v>0</v>
      </c>
    </row>
    <row r="206" spans="1:10" x14ac:dyDescent="0.3">
      <c r="A206" s="4">
        <v>189</v>
      </c>
      <c r="B206" s="3">
        <v>45567</v>
      </c>
      <c r="C206" s="4" t="s">
        <v>7</v>
      </c>
      <c r="D206" s="4" t="s">
        <v>483</v>
      </c>
      <c r="E206" s="2">
        <v>2796.6</v>
      </c>
      <c r="F206" s="2">
        <v>0</v>
      </c>
      <c r="G206" s="4">
        <v>91039</v>
      </c>
      <c r="H206" s="4" t="s">
        <v>356</v>
      </c>
      <c r="J206" s="8">
        <f t="shared" si="2"/>
        <v>0</v>
      </c>
    </row>
    <row r="207" spans="1:10" x14ac:dyDescent="0.3">
      <c r="A207" s="4">
        <v>190</v>
      </c>
      <c r="B207" s="3">
        <v>45567</v>
      </c>
      <c r="C207" s="4" t="s">
        <v>7</v>
      </c>
      <c r="D207" s="4" t="s">
        <v>484</v>
      </c>
      <c r="E207" s="2">
        <v>110</v>
      </c>
      <c r="F207" s="2">
        <v>0</v>
      </c>
      <c r="G207" s="4">
        <v>90929</v>
      </c>
      <c r="H207" s="4" t="s">
        <v>356</v>
      </c>
      <c r="J207" s="8">
        <f t="shared" si="2"/>
        <v>0</v>
      </c>
    </row>
    <row r="208" spans="1:10" x14ac:dyDescent="0.3">
      <c r="A208" s="4">
        <v>191</v>
      </c>
      <c r="B208" s="3">
        <v>45567</v>
      </c>
      <c r="C208" s="4" t="s">
        <v>7</v>
      </c>
      <c r="D208" s="4" t="s">
        <v>485</v>
      </c>
      <c r="E208" s="2">
        <v>50</v>
      </c>
      <c r="F208" s="2">
        <v>0</v>
      </c>
      <c r="G208" s="4">
        <v>90879</v>
      </c>
      <c r="H208" s="4" t="s">
        <v>356</v>
      </c>
      <c r="J208" s="8">
        <f t="shared" si="2"/>
        <v>0</v>
      </c>
    </row>
    <row r="209" spans="1:10" x14ac:dyDescent="0.3">
      <c r="A209" s="4">
        <v>192</v>
      </c>
      <c r="B209" s="3">
        <v>45568</v>
      </c>
      <c r="C209" s="4" t="s">
        <v>7</v>
      </c>
      <c r="D209" s="4" t="s">
        <v>486</v>
      </c>
      <c r="E209" s="2">
        <v>500</v>
      </c>
      <c r="F209" s="2">
        <v>0</v>
      </c>
      <c r="G209" s="4">
        <v>90379</v>
      </c>
      <c r="H209" s="4" t="s">
        <v>356</v>
      </c>
      <c r="J209" s="8">
        <f t="shared" si="2"/>
        <v>0</v>
      </c>
    </row>
    <row r="210" spans="1:10" x14ac:dyDescent="0.3">
      <c r="A210" s="4">
        <v>193</v>
      </c>
      <c r="B210" s="3">
        <v>45568</v>
      </c>
      <c r="C210" s="4" t="s">
        <v>7</v>
      </c>
      <c r="D210" s="4" t="s">
        <v>487</v>
      </c>
      <c r="E210" s="2">
        <v>10000</v>
      </c>
      <c r="F210" s="2">
        <v>0</v>
      </c>
      <c r="G210" s="4">
        <v>80379</v>
      </c>
      <c r="H210" s="4" t="s">
        <v>354</v>
      </c>
      <c r="J210" s="8">
        <f t="shared" si="2"/>
        <v>0</v>
      </c>
    </row>
    <row r="211" spans="1:10" x14ac:dyDescent="0.3">
      <c r="A211" s="4">
        <v>194</v>
      </c>
      <c r="B211" s="3">
        <v>45569</v>
      </c>
      <c r="C211" s="4" t="s">
        <v>7</v>
      </c>
      <c r="D211" s="4" t="s">
        <v>488</v>
      </c>
      <c r="E211" s="2">
        <v>2000</v>
      </c>
      <c r="F211" s="2">
        <v>0</v>
      </c>
      <c r="G211" s="4">
        <v>78379</v>
      </c>
      <c r="H211" s="4" t="s">
        <v>356</v>
      </c>
      <c r="J211" s="8">
        <f t="shared" si="2"/>
        <v>0</v>
      </c>
    </row>
    <row r="212" spans="1:10" x14ac:dyDescent="0.3">
      <c r="A212" s="4">
        <v>195</v>
      </c>
      <c r="B212" s="3">
        <v>45573</v>
      </c>
      <c r="C212" s="4" t="s">
        <v>7</v>
      </c>
      <c r="D212" s="4" t="s">
        <v>8</v>
      </c>
      <c r="E212" s="2">
        <v>9531.84</v>
      </c>
      <c r="F212" s="2">
        <v>0</v>
      </c>
      <c r="G212" s="4">
        <v>68847.16</v>
      </c>
      <c r="H212" s="4" t="s">
        <v>1877</v>
      </c>
      <c r="J212" s="8">
        <f t="shared" si="2"/>
        <v>0</v>
      </c>
    </row>
    <row r="213" spans="1:10" x14ac:dyDescent="0.3">
      <c r="A213" s="4">
        <v>196</v>
      </c>
      <c r="B213" s="3">
        <v>45578</v>
      </c>
      <c r="C213" s="4" t="s">
        <v>7</v>
      </c>
      <c r="D213" s="4" t="s">
        <v>489</v>
      </c>
      <c r="E213" s="2">
        <v>400</v>
      </c>
      <c r="F213" s="2">
        <v>0</v>
      </c>
      <c r="G213" s="4">
        <v>68447.16</v>
      </c>
      <c r="H213" s="4" t="s">
        <v>356</v>
      </c>
      <c r="J213" s="8">
        <f t="shared" ref="J213:J276" si="3">G212-E213+F213-G213</f>
        <v>0</v>
      </c>
    </row>
    <row r="214" spans="1:10" x14ac:dyDescent="0.3">
      <c r="A214" s="4">
        <v>197</v>
      </c>
      <c r="B214" s="3">
        <v>45579</v>
      </c>
      <c r="C214" s="4" t="s">
        <v>7</v>
      </c>
      <c r="D214" s="4" t="s">
        <v>490</v>
      </c>
      <c r="E214" s="2">
        <v>30</v>
      </c>
      <c r="F214" s="2">
        <v>0</v>
      </c>
      <c r="G214" s="4">
        <v>68417.16</v>
      </c>
      <c r="H214" s="4" t="s">
        <v>356</v>
      </c>
      <c r="J214" s="8">
        <f t="shared" si="3"/>
        <v>0</v>
      </c>
    </row>
    <row r="215" spans="1:10" x14ac:dyDescent="0.3">
      <c r="A215" s="4">
        <v>198</v>
      </c>
      <c r="B215" s="3">
        <v>45580</v>
      </c>
      <c r="C215" s="4" t="s">
        <v>7</v>
      </c>
      <c r="D215" s="4" t="s">
        <v>491</v>
      </c>
      <c r="E215" s="2">
        <v>1998.64</v>
      </c>
      <c r="F215" s="2">
        <v>0</v>
      </c>
      <c r="G215" s="4">
        <v>66418.52</v>
      </c>
      <c r="H215" s="4" t="s">
        <v>356</v>
      </c>
      <c r="J215" s="8">
        <f t="shared" si="3"/>
        <v>0</v>
      </c>
    </row>
    <row r="216" spans="1:10" x14ac:dyDescent="0.3">
      <c r="A216" s="4">
        <v>199</v>
      </c>
      <c r="B216" s="3">
        <v>45581</v>
      </c>
      <c r="C216" s="4" t="s">
        <v>7</v>
      </c>
      <c r="D216" s="4" t="s">
        <v>492</v>
      </c>
      <c r="E216" s="2">
        <v>0</v>
      </c>
      <c r="F216" s="2">
        <v>70.12</v>
      </c>
      <c r="G216" s="4">
        <v>66488.639999999999</v>
      </c>
      <c r="H216" s="4" t="s">
        <v>356</v>
      </c>
      <c r="J216" s="8">
        <f t="shared" si="3"/>
        <v>0</v>
      </c>
    </row>
    <row r="217" spans="1:10" x14ac:dyDescent="0.3">
      <c r="A217" s="4">
        <v>200</v>
      </c>
      <c r="B217" s="3">
        <v>45581</v>
      </c>
      <c r="C217" s="4" t="s">
        <v>7</v>
      </c>
      <c r="D217" s="4" t="s">
        <v>493</v>
      </c>
      <c r="E217" s="2">
        <v>20</v>
      </c>
      <c r="F217" s="2">
        <v>0</v>
      </c>
      <c r="G217" s="4">
        <v>66468.639999999999</v>
      </c>
      <c r="H217" s="4" t="s">
        <v>356</v>
      </c>
      <c r="J217" s="8">
        <f t="shared" si="3"/>
        <v>0</v>
      </c>
    </row>
    <row r="218" spans="1:10" x14ac:dyDescent="0.3">
      <c r="A218" s="4">
        <v>201</v>
      </c>
      <c r="B218" s="3">
        <v>45582</v>
      </c>
      <c r="C218" s="4" t="s">
        <v>7</v>
      </c>
      <c r="D218" s="4" t="s">
        <v>494</v>
      </c>
      <c r="E218" s="2">
        <v>700</v>
      </c>
      <c r="F218" s="2">
        <v>0</v>
      </c>
      <c r="G218" s="4">
        <v>65768.639999999999</v>
      </c>
      <c r="H218" s="4" t="s">
        <v>356</v>
      </c>
      <c r="J218" s="8">
        <f t="shared" si="3"/>
        <v>0</v>
      </c>
    </row>
    <row r="219" spans="1:10" x14ac:dyDescent="0.3">
      <c r="A219" s="4">
        <v>202</v>
      </c>
      <c r="B219" s="3">
        <v>45582</v>
      </c>
      <c r="C219" s="4" t="s">
        <v>7</v>
      </c>
      <c r="D219" s="4" t="s">
        <v>495</v>
      </c>
      <c r="E219" s="2">
        <v>1300</v>
      </c>
      <c r="F219" s="2">
        <v>0</v>
      </c>
      <c r="G219" s="4">
        <v>64468.639999999999</v>
      </c>
      <c r="H219" s="4" t="s">
        <v>356</v>
      </c>
      <c r="J219" s="8">
        <f t="shared" si="3"/>
        <v>0</v>
      </c>
    </row>
    <row r="220" spans="1:10" x14ac:dyDescent="0.3">
      <c r="A220" s="4">
        <v>203</v>
      </c>
      <c r="B220" s="3">
        <v>45582</v>
      </c>
      <c r="C220" s="4" t="s">
        <v>7</v>
      </c>
      <c r="D220" s="4" t="s">
        <v>496</v>
      </c>
      <c r="E220" s="2">
        <v>60</v>
      </c>
      <c r="F220" s="2">
        <v>0</v>
      </c>
      <c r="G220" s="4">
        <v>64408.639999999999</v>
      </c>
      <c r="H220" s="4" t="s">
        <v>356</v>
      </c>
      <c r="J220" s="8">
        <f t="shared" si="3"/>
        <v>0</v>
      </c>
    </row>
    <row r="221" spans="1:10" x14ac:dyDescent="0.3">
      <c r="A221" s="4">
        <v>204</v>
      </c>
      <c r="B221" s="3">
        <v>45583</v>
      </c>
      <c r="C221" s="4" t="s">
        <v>7</v>
      </c>
      <c r="D221" s="4" t="s">
        <v>497</v>
      </c>
      <c r="E221" s="2">
        <v>280</v>
      </c>
      <c r="F221" s="2">
        <v>0</v>
      </c>
      <c r="G221" s="4">
        <v>64128.639999999999</v>
      </c>
      <c r="H221" s="4" t="s">
        <v>356</v>
      </c>
      <c r="J221" s="8">
        <f t="shared" si="3"/>
        <v>0</v>
      </c>
    </row>
    <row r="222" spans="1:10" x14ac:dyDescent="0.3">
      <c r="A222" s="4">
        <v>205</v>
      </c>
      <c r="B222" s="3">
        <v>45584</v>
      </c>
      <c r="C222" s="4" t="s">
        <v>7</v>
      </c>
      <c r="D222" s="4" t="s">
        <v>498</v>
      </c>
      <c r="E222" s="2">
        <v>1007</v>
      </c>
      <c r="F222" s="2">
        <v>0</v>
      </c>
      <c r="G222" s="4">
        <v>63121.64</v>
      </c>
      <c r="H222" s="4" t="s">
        <v>356</v>
      </c>
      <c r="J222" s="8">
        <f t="shared" si="3"/>
        <v>0</v>
      </c>
    </row>
    <row r="223" spans="1:10" x14ac:dyDescent="0.3">
      <c r="A223" s="4">
        <v>206</v>
      </c>
      <c r="B223" s="3">
        <v>45585</v>
      </c>
      <c r="C223" s="4" t="s">
        <v>7</v>
      </c>
      <c r="D223" s="4" t="s">
        <v>499</v>
      </c>
      <c r="E223" s="2">
        <v>20</v>
      </c>
      <c r="F223" s="2">
        <v>0</v>
      </c>
      <c r="G223" s="4">
        <v>63101.64</v>
      </c>
      <c r="H223" s="4" t="s">
        <v>356</v>
      </c>
      <c r="J223" s="8">
        <f t="shared" si="3"/>
        <v>0</v>
      </c>
    </row>
    <row r="224" spans="1:10" x14ac:dyDescent="0.3">
      <c r="A224" s="4">
        <v>207</v>
      </c>
      <c r="B224" s="3">
        <v>45586</v>
      </c>
      <c r="C224" s="4" t="s">
        <v>7</v>
      </c>
      <c r="D224" s="4" t="s">
        <v>500</v>
      </c>
      <c r="E224" s="2">
        <v>200</v>
      </c>
      <c r="F224" s="2">
        <v>0</v>
      </c>
      <c r="G224" s="4">
        <v>62901.64</v>
      </c>
      <c r="H224" s="4" t="s">
        <v>356</v>
      </c>
      <c r="J224" s="8">
        <f t="shared" si="3"/>
        <v>0</v>
      </c>
    </row>
    <row r="225" spans="1:10" x14ac:dyDescent="0.3">
      <c r="A225" s="4">
        <v>208</v>
      </c>
      <c r="B225" s="3">
        <v>45586</v>
      </c>
      <c r="C225" s="4" t="s">
        <v>7</v>
      </c>
      <c r="D225" s="4" t="s">
        <v>501</v>
      </c>
      <c r="E225" s="2">
        <v>10000</v>
      </c>
      <c r="F225" s="2">
        <v>0</v>
      </c>
      <c r="G225" s="4">
        <v>52901.64</v>
      </c>
      <c r="H225" s="4" t="s">
        <v>356</v>
      </c>
      <c r="J225" s="8">
        <f t="shared" si="3"/>
        <v>0</v>
      </c>
    </row>
    <row r="226" spans="1:10" x14ac:dyDescent="0.3">
      <c r="A226" s="4">
        <v>209</v>
      </c>
      <c r="B226" s="3">
        <v>45588</v>
      </c>
      <c r="C226" s="4" t="s">
        <v>7</v>
      </c>
      <c r="D226" s="4" t="s">
        <v>502</v>
      </c>
      <c r="E226" s="2">
        <v>170</v>
      </c>
      <c r="F226" s="2">
        <v>0</v>
      </c>
      <c r="G226" s="4">
        <v>52731.64</v>
      </c>
      <c r="H226" s="4" t="s">
        <v>356</v>
      </c>
      <c r="J226" s="8">
        <f t="shared" si="3"/>
        <v>0</v>
      </c>
    </row>
    <row r="227" spans="1:10" x14ac:dyDescent="0.3">
      <c r="A227" s="4">
        <v>210</v>
      </c>
      <c r="B227" s="3">
        <v>45590</v>
      </c>
      <c r="C227" s="4" t="s">
        <v>7</v>
      </c>
      <c r="D227" s="4" t="s">
        <v>503</v>
      </c>
      <c r="E227" s="2">
        <v>40</v>
      </c>
      <c r="F227" s="2">
        <v>0</v>
      </c>
      <c r="G227" s="4">
        <v>52691.64</v>
      </c>
      <c r="H227" s="4" t="s">
        <v>356</v>
      </c>
      <c r="J227" s="8">
        <f t="shared" si="3"/>
        <v>0</v>
      </c>
    </row>
    <row r="228" spans="1:10" x14ac:dyDescent="0.3">
      <c r="A228" s="4">
        <v>211</v>
      </c>
      <c r="B228" s="3">
        <v>45590</v>
      </c>
      <c r="C228" s="4" t="s">
        <v>7</v>
      </c>
      <c r="D228" s="4" t="s">
        <v>504</v>
      </c>
      <c r="E228" s="2">
        <v>2420</v>
      </c>
      <c r="F228" s="2">
        <v>0</v>
      </c>
      <c r="G228" s="4">
        <v>50271.64</v>
      </c>
      <c r="H228" s="4" t="s">
        <v>357</v>
      </c>
      <c r="J228" s="8">
        <f t="shared" si="3"/>
        <v>0</v>
      </c>
    </row>
    <row r="229" spans="1:10" x14ac:dyDescent="0.3">
      <c r="A229" s="4">
        <v>212</v>
      </c>
      <c r="B229" s="3">
        <v>45591</v>
      </c>
      <c r="C229" s="4" t="s">
        <v>7</v>
      </c>
      <c r="D229" s="4" t="s">
        <v>505</v>
      </c>
      <c r="E229" s="2">
        <v>120</v>
      </c>
      <c r="F229" s="2">
        <v>0</v>
      </c>
      <c r="G229" s="4">
        <v>50151.64</v>
      </c>
      <c r="H229" s="4" t="s">
        <v>356</v>
      </c>
      <c r="J229" s="8">
        <f t="shared" si="3"/>
        <v>0</v>
      </c>
    </row>
    <row r="230" spans="1:10" x14ac:dyDescent="0.3">
      <c r="A230" s="4">
        <v>213</v>
      </c>
      <c r="B230" s="3">
        <v>45591</v>
      </c>
      <c r="C230" s="4" t="s">
        <v>7</v>
      </c>
      <c r="D230" s="4" t="s">
        <v>506</v>
      </c>
      <c r="E230" s="2">
        <v>100</v>
      </c>
      <c r="F230" s="2">
        <v>0</v>
      </c>
      <c r="G230" s="4">
        <v>50051.64</v>
      </c>
      <c r="H230" s="4" t="s">
        <v>356</v>
      </c>
      <c r="J230" s="8">
        <f t="shared" si="3"/>
        <v>0</v>
      </c>
    </row>
    <row r="231" spans="1:10" x14ac:dyDescent="0.3">
      <c r="A231" s="4">
        <v>214</v>
      </c>
      <c r="B231" s="3">
        <v>45592</v>
      </c>
      <c r="C231" s="4" t="s">
        <v>7</v>
      </c>
      <c r="D231" s="4" t="s">
        <v>36</v>
      </c>
      <c r="E231" s="2">
        <v>0</v>
      </c>
      <c r="F231" s="2">
        <v>100000</v>
      </c>
      <c r="G231" s="4">
        <v>150051.64000000001</v>
      </c>
      <c r="H231" s="4" t="s">
        <v>1871</v>
      </c>
      <c r="J231" s="8">
        <f t="shared" si="3"/>
        <v>0</v>
      </c>
    </row>
    <row r="232" spans="1:10" x14ac:dyDescent="0.3">
      <c r="A232" s="4">
        <v>215</v>
      </c>
      <c r="B232" s="3">
        <v>45592</v>
      </c>
      <c r="C232" s="4" t="s">
        <v>7</v>
      </c>
      <c r="D232" s="4" t="s">
        <v>507</v>
      </c>
      <c r="E232" s="2">
        <v>615</v>
      </c>
      <c r="F232" s="2">
        <v>0</v>
      </c>
      <c r="G232" s="4">
        <v>149436.64000000001</v>
      </c>
      <c r="H232" s="4" t="s">
        <v>356</v>
      </c>
      <c r="J232" s="8">
        <f t="shared" si="3"/>
        <v>0</v>
      </c>
    </row>
    <row r="233" spans="1:10" x14ac:dyDescent="0.3">
      <c r="A233" s="4">
        <v>216</v>
      </c>
      <c r="B233" s="3">
        <v>45592</v>
      </c>
      <c r="C233" s="4" t="s">
        <v>7</v>
      </c>
      <c r="D233" s="4" t="s">
        <v>508</v>
      </c>
      <c r="E233" s="2">
        <v>459.44</v>
      </c>
      <c r="F233" s="2">
        <v>0</v>
      </c>
      <c r="G233" s="4">
        <v>148977.20000000001</v>
      </c>
      <c r="H233" s="4" t="s">
        <v>356</v>
      </c>
      <c r="J233" s="8">
        <f t="shared" si="3"/>
        <v>0</v>
      </c>
    </row>
    <row r="234" spans="1:10" x14ac:dyDescent="0.3">
      <c r="A234" s="4">
        <v>217</v>
      </c>
      <c r="B234" s="3">
        <v>45593</v>
      </c>
      <c r="C234" s="4" t="s">
        <v>7</v>
      </c>
      <c r="D234" s="4" t="s">
        <v>509</v>
      </c>
      <c r="E234" s="2">
        <v>160</v>
      </c>
      <c r="F234" s="2">
        <v>0</v>
      </c>
      <c r="G234" s="4">
        <v>148817.20000000001</v>
      </c>
      <c r="H234" s="4" t="s">
        <v>356</v>
      </c>
      <c r="J234" s="8">
        <f t="shared" si="3"/>
        <v>0</v>
      </c>
    </row>
    <row r="235" spans="1:10" x14ac:dyDescent="0.3">
      <c r="A235" s="4">
        <v>218</v>
      </c>
      <c r="B235" s="3">
        <v>45593</v>
      </c>
      <c r="C235" s="4" t="s">
        <v>7</v>
      </c>
      <c r="D235" s="4" t="s">
        <v>510</v>
      </c>
      <c r="E235" s="2">
        <v>1035</v>
      </c>
      <c r="F235" s="2">
        <v>0</v>
      </c>
      <c r="G235" s="4">
        <v>147782.20000000001</v>
      </c>
      <c r="H235" s="4" t="s">
        <v>356</v>
      </c>
      <c r="J235" s="8">
        <f t="shared" si="3"/>
        <v>0</v>
      </c>
    </row>
    <row r="236" spans="1:10" x14ac:dyDescent="0.3">
      <c r="A236" s="4">
        <v>219</v>
      </c>
      <c r="B236" s="3">
        <v>45594</v>
      </c>
      <c r="C236" s="4" t="s">
        <v>7</v>
      </c>
      <c r="D236" s="4" t="s">
        <v>511</v>
      </c>
      <c r="E236" s="2">
        <v>120</v>
      </c>
      <c r="F236" s="2">
        <v>0</v>
      </c>
      <c r="G236" s="4">
        <v>147662.20000000001</v>
      </c>
      <c r="H236" s="4" t="s">
        <v>356</v>
      </c>
      <c r="J236" s="8">
        <f t="shared" si="3"/>
        <v>0</v>
      </c>
    </row>
    <row r="237" spans="1:10" x14ac:dyDescent="0.3">
      <c r="A237" s="4">
        <v>220</v>
      </c>
      <c r="B237" s="3">
        <v>45594</v>
      </c>
      <c r="C237" s="4" t="s">
        <v>7</v>
      </c>
      <c r="D237" s="4" t="s">
        <v>512</v>
      </c>
      <c r="E237" s="2">
        <v>2140</v>
      </c>
      <c r="F237" s="2">
        <v>0</v>
      </c>
      <c r="G237" s="4">
        <v>145522.20000000001</v>
      </c>
      <c r="H237" s="4" t="s">
        <v>356</v>
      </c>
      <c r="J237" s="8">
        <f t="shared" si="3"/>
        <v>0</v>
      </c>
    </row>
    <row r="238" spans="1:10" x14ac:dyDescent="0.3">
      <c r="A238" s="4">
        <v>221</v>
      </c>
      <c r="B238" s="3">
        <v>45595</v>
      </c>
      <c r="C238" s="4" t="s">
        <v>7</v>
      </c>
      <c r="D238" s="4" t="s">
        <v>513</v>
      </c>
      <c r="E238" s="2">
        <v>800</v>
      </c>
      <c r="F238" s="2">
        <v>0</v>
      </c>
      <c r="G238" s="4">
        <v>144722.20000000001</v>
      </c>
      <c r="H238" s="4" t="s">
        <v>356</v>
      </c>
      <c r="J238" s="8">
        <f t="shared" si="3"/>
        <v>0</v>
      </c>
    </row>
    <row r="239" spans="1:10" x14ac:dyDescent="0.3">
      <c r="A239" s="4">
        <v>222</v>
      </c>
      <c r="B239" s="3">
        <v>45595</v>
      </c>
      <c r="C239" s="4" t="s">
        <v>7</v>
      </c>
      <c r="D239" s="4" t="s">
        <v>514</v>
      </c>
      <c r="E239" s="2">
        <v>820</v>
      </c>
      <c r="F239" s="2">
        <v>0</v>
      </c>
      <c r="G239" s="4">
        <v>143902.20000000001</v>
      </c>
      <c r="H239" s="4" t="s">
        <v>356</v>
      </c>
      <c r="J239" s="8">
        <f t="shared" si="3"/>
        <v>0</v>
      </c>
    </row>
    <row r="240" spans="1:10" x14ac:dyDescent="0.3">
      <c r="A240" s="4">
        <v>223</v>
      </c>
      <c r="B240" s="3">
        <v>45595</v>
      </c>
      <c r="C240" s="4" t="s">
        <v>7</v>
      </c>
      <c r="D240" s="4" t="s">
        <v>515</v>
      </c>
      <c r="E240" s="2">
        <v>429.94</v>
      </c>
      <c r="F240" s="2">
        <v>0</v>
      </c>
      <c r="G240" s="4">
        <v>143472.26</v>
      </c>
      <c r="H240" s="4" t="s">
        <v>356</v>
      </c>
      <c r="J240" s="8">
        <f t="shared" si="3"/>
        <v>0</v>
      </c>
    </row>
    <row r="241" spans="1:10" x14ac:dyDescent="0.3">
      <c r="A241" s="4">
        <v>224</v>
      </c>
      <c r="B241" s="3">
        <v>45595</v>
      </c>
      <c r="C241" s="4" t="s">
        <v>7</v>
      </c>
      <c r="D241" s="4" t="s">
        <v>516</v>
      </c>
      <c r="E241" s="2">
        <v>5</v>
      </c>
      <c r="F241" s="2">
        <v>0</v>
      </c>
      <c r="G241" s="4">
        <v>143467.26</v>
      </c>
      <c r="H241" s="4" t="s">
        <v>356</v>
      </c>
      <c r="J241" s="8">
        <f t="shared" si="3"/>
        <v>0</v>
      </c>
    </row>
    <row r="242" spans="1:10" x14ac:dyDescent="0.3">
      <c r="A242" s="4">
        <v>225</v>
      </c>
      <c r="B242" s="3">
        <v>45596</v>
      </c>
      <c r="C242" s="4" t="s">
        <v>7</v>
      </c>
      <c r="D242" s="4" t="s">
        <v>517</v>
      </c>
      <c r="E242" s="2">
        <v>2528</v>
      </c>
      <c r="F242" s="2">
        <v>0</v>
      </c>
      <c r="G242" s="4">
        <v>140939.26</v>
      </c>
      <c r="H242" s="4" t="s">
        <v>356</v>
      </c>
      <c r="J242" s="8">
        <f t="shared" si="3"/>
        <v>0</v>
      </c>
    </row>
    <row r="243" spans="1:10" x14ac:dyDescent="0.3">
      <c r="A243" s="4">
        <v>226</v>
      </c>
      <c r="B243" s="3">
        <v>45596</v>
      </c>
      <c r="C243" s="4" t="s">
        <v>7</v>
      </c>
      <c r="D243" s="4" t="s">
        <v>518</v>
      </c>
      <c r="E243" s="2">
        <v>200</v>
      </c>
      <c r="F243" s="2">
        <v>0</v>
      </c>
      <c r="G243" s="4">
        <v>140739.26</v>
      </c>
      <c r="H243" s="4" t="s">
        <v>356</v>
      </c>
      <c r="J243" s="8">
        <f t="shared" si="3"/>
        <v>0</v>
      </c>
    </row>
    <row r="244" spans="1:10" x14ac:dyDescent="0.3">
      <c r="A244" s="4">
        <v>227</v>
      </c>
      <c r="B244" s="3">
        <v>45598</v>
      </c>
      <c r="C244" s="4" t="s">
        <v>7</v>
      </c>
      <c r="D244" s="4" t="s">
        <v>519</v>
      </c>
      <c r="E244" s="2">
        <v>10000</v>
      </c>
      <c r="F244" s="2">
        <v>0</v>
      </c>
      <c r="G244" s="4">
        <v>130739.26</v>
      </c>
      <c r="H244" s="4" t="s">
        <v>356</v>
      </c>
      <c r="J244" s="8">
        <f t="shared" si="3"/>
        <v>0</v>
      </c>
    </row>
    <row r="245" spans="1:10" x14ac:dyDescent="0.3">
      <c r="A245" s="4">
        <v>228</v>
      </c>
      <c r="B245" s="3">
        <v>45598</v>
      </c>
      <c r="C245" s="4" t="s">
        <v>7</v>
      </c>
      <c r="D245" s="4" t="s">
        <v>520</v>
      </c>
      <c r="E245" s="2">
        <v>36323</v>
      </c>
      <c r="F245" s="2">
        <v>0</v>
      </c>
      <c r="G245" s="4">
        <v>94416.26</v>
      </c>
      <c r="H245" s="4" t="s">
        <v>1866</v>
      </c>
      <c r="J245" s="8">
        <f t="shared" si="3"/>
        <v>0</v>
      </c>
    </row>
    <row r="246" spans="1:10" x14ac:dyDescent="0.3">
      <c r="A246" s="4">
        <v>229</v>
      </c>
      <c r="B246" s="3">
        <v>45598</v>
      </c>
      <c r="C246" s="4" t="s">
        <v>7</v>
      </c>
      <c r="D246" s="4" t="s">
        <v>521</v>
      </c>
      <c r="E246" s="2">
        <v>7000</v>
      </c>
      <c r="F246" s="2">
        <v>0</v>
      </c>
      <c r="G246" s="4">
        <v>87416.26</v>
      </c>
      <c r="H246" s="4" t="s">
        <v>356</v>
      </c>
      <c r="J246" s="8">
        <f t="shared" si="3"/>
        <v>0</v>
      </c>
    </row>
    <row r="247" spans="1:10" x14ac:dyDescent="0.3">
      <c r="A247" s="4">
        <v>230</v>
      </c>
      <c r="B247" s="3">
        <v>45599</v>
      </c>
      <c r="C247" s="4" t="s">
        <v>7</v>
      </c>
      <c r="D247" s="4" t="s">
        <v>522</v>
      </c>
      <c r="E247" s="2">
        <v>2375</v>
      </c>
      <c r="F247" s="2">
        <v>0</v>
      </c>
      <c r="G247" s="4">
        <v>85041.26</v>
      </c>
      <c r="H247" s="4" t="s">
        <v>356</v>
      </c>
      <c r="J247" s="8">
        <f t="shared" si="3"/>
        <v>0</v>
      </c>
    </row>
    <row r="248" spans="1:10" x14ac:dyDescent="0.3">
      <c r="A248" s="4">
        <v>231</v>
      </c>
      <c r="B248" s="3">
        <v>45602</v>
      </c>
      <c r="C248" s="4" t="s">
        <v>7</v>
      </c>
      <c r="D248" s="4" t="s">
        <v>523</v>
      </c>
      <c r="E248" s="2">
        <v>4000</v>
      </c>
      <c r="F248" s="2">
        <v>0</v>
      </c>
      <c r="G248" s="4">
        <v>81041.259999999995</v>
      </c>
      <c r="H248" s="4" t="s">
        <v>356</v>
      </c>
      <c r="J248" s="8">
        <f t="shared" si="3"/>
        <v>0</v>
      </c>
    </row>
    <row r="249" spans="1:10" x14ac:dyDescent="0.3">
      <c r="A249" s="4">
        <v>232</v>
      </c>
      <c r="B249" s="3">
        <v>45603</v>
      </c>
      <c r="C249" s="4" t="s">
        <v>7</v>
      </c>
      <c r="D249" s="4" t="s">
        <v>8</v>
      </c>
      <c r="E249" s="2">
        <v>5326.96</v>
      </c>
      <c r="F249" s="2">
        <v>0</v>
      </c>
      <c r="G249" s="4">
        <v>75714.3</v>
      </c>
      <c r="H249" s="4" t="s">
        <v>1877</v>
      </c>
      <c r="J249" s="8">
        <f t="shared" si="3"/>
        <v>0</v>
      </c>
    </row>
    <row r="250" spans="1:10" x14ac:dyDescent="0.3">
      <c r="A250" s="4">
        <v>233</v>
      </c>
      <c r="B250" s="3">
        <v>45603</v>
      </c>
      <c r="C250" s="4" t="s">
        <v>7</v>
      </c>
      <c r="D250" s="4" t="s">
        <v>524</v>
      </c>
      <c r="E250" s="2">
        <v>50</v>
      </c>
      <c r="F250" s="2">
        <v>0</v>
      </c>
      <c r="G250" s="4">
        <v>75664.3</v>
      </c>
      <c r="H250" s="4" t="s">
        <v>356</v>
      </c>
      <c r="J250" s="8">
        <f t="shared" si="3"/>
        <v>0</v>
      </c>
    </row>
    <row r="251" spans="1:10" x14ac:dyDescent="0.3">
      <c r="A251" s="4">
        <v>234</v>
      </c>
      <c r="B251" s="3">
        <v>45603</v>
      </c>
      <c r="C251" s="4" t="s">
        <v>7</v>
      </c>
      <c r="D251" s="4" t="s">
        <v>525</v>
      </c>
      <c r="E251" s="2">
        <v>3600</v>
      </c>
      <c r="F251" s="2">
        <v>0</v>
      </c>
      <c r="G251" s="4">
        <v>72064.3</v>
      </c>
      <c r="H251" s="4" t="s">
        <v>356</v>
      </c>
      <c r="J251" s="8">
        <f t="shared" si="3"/>
        <v>0</v>
      </c>
    </row>
    <row r="252" spans="1:10" x14ac:dyDescent="0.3">
      <c r="A252" s="4">
        <v>235</v>
      </c>
      <c r="B252" s="3">
        <v>45604</v>
      </c>
      <c r="C252" s="4" t="s">
        <v>7</v>
      </c>
      <c r="D252" s="4" t="s">
        <v>526</v>
      </c>
      <c r="E252" s="2">
        <v>500</v>
      </c>
      <c r="F252" s="2">
        <v>0</v>
      </c>
      <c r="G252" s="4">
        <v>71564.3</v>
      </c>
      <c r="H252" s="4" t="s">
        <v>356</v>
      </c>
      <c r="J252" s="8">
        <f t="shared" si="3"/>
        <v>0</v>
      </c>
    </row>
    <row r="253" spans="1:10" x14ac:dyDescent="0.3">
      <c r="A253" s="4">
        <v>236</v>
      </c>
      <c r="B253" s="3">
        <v>45605</v>
      </c>
      <c r="C253" s="4" t="s">
        <v>7</v>
      </c>
      <c r="D253" s="4" t="s">
        <v>527</v>
      </c>
      <c r="E253" s="2">
        <v>14500</v>
      </c>
      <c r="F253" s="2">
        <v>0</v>
      </c>
      <c r="G253" s="4">
        <v>57064.3</v>
      </c>
      <c r="H253" s="4" t="s">
        <v>356</v>
      </c>
      <c r="J253" s="8">
        <f t="shared" si="3"/>
        <v>0</v>
      </c>
    </row>
    <row r="254" spans="1:10" x14ac:dyDescent="0.3">
      <c r="A254" s="4">
        <v>237</v>
      </c>
      <c r="B254" s="3">
        <v>45606</v>
      </c>
      <c r="C254" s="4" t="s">
        <v>7</v>
      </c>
      <c r="D254" s="4" t="s">
        <v>528</v>
      </c>
      <c r="E254" s="2">
        <v>2610</v>
      </c>
      <c r="F254" s="2">
        <v>0</v>
      </c>
      <c r="G254" s="4">
        <v>54454.3</v>
      </c>
      <c r="H254" s="4" t="s">
        <v>356</v>
      </c>
      <c r="J254" s="8">
        <f t="shared" si="3"/>
        <v>0</v>
      </c>
    </row>
    <row r="255" spans="1:10" x14ac:dyDescent="0.3">
      <c r="A255" s="4">
        <v>238</v>
      </c>
      <c r="B255" s="3">
        <v>45606</v>
      </c>
      <c r="C255" s="4" t="s">
        <v>7</v>
      </c>
      <c r="D255" s="4" t="s">
        <v>529</v>
      </c>
      <c r="E255" s="2">
        <v>20000</v>
      </c>
      <c r="F255" s="2">
        <v>0</v>
      </c>
      <c r="G255" s="4">
        <v>34454.300000000003</v>
      </c>
      <c r="H255" s="4" t="s">
        <v>354</v>
      </c>
      <c r="J255" s="8">
        <f t="shared" si="3"/>
        <v>0</v>
      </c>
    </row>
    <row r="256" spans="1:10" x14ac:dyDescent="0.3">
      <c r="A256" s="4">
        <v>239</v>
      </c>
      <c r="B256" s="3">
        <v>45606</v>
      </c>
      <c r="C256" s="4" t="s">
        <v>7</v>
      </c>
      <c r="D256" s="4" t="s">
        <v>530</v>
      </c>
      <c r="E256" s="2">
        <v>1</v>
      </c>
      <c r="F256" s="2">
        <v>0</v>
      </c>
      <c r="G256" s="4">
        <v>34453.300000000003</v>
      </c>
      <c r="H256" s="4" t="s">
        <v>356</v>
      </c>
      <c r="J256" s="8">
        <f t="shared" si="3"/>
        <v>0</v>
      </c>
    </row>
    <row r="257" spans="1:10" x14ac:dyDescent="0.3">
      <c r="A257" s="4">
        <v>240</v>
      </c>
      <c r="B257" s="3">
        <v>45606</v>
      </c>
      <c r="C257" s="4" t="s">
        <v>7</v>
      </c>
      <c r="D257" s="4" t="s">
        <v>531</v>
      </c>
      <c r="E257" s="2">
        <v>5000</v>
      </c>
      <c r="F257" s="2">
        <v>0</v>
      </c>
      <c r="G257" s="4">
        <v>29453.3</v>
      </c>
      <c r="H257" s="4" t="s">
        <v>356</v>
      </c>
      <c r="J257" s="8">
        <f t="shared" si="3"/>
        <v>0</v>
      </c>
    </row>
    <row r="258" spans="1:10" x14ac:dyDescent="0.3">
      <c r="A258" s="4">
        <v>241</v>
      </c>
      <c r="B258" s="3">
        <v>45606</v>
      </c>
      <c r="C258" s="4" t="s">
        <v>7</v>
      </c>
      <c r="D258" s="4" t="s">
        <v>532</v>
      </c>
      <c r="E258" s="2">
        <v>500</v>
      </c>
      <c r="F258" s="2">
        <v>0</v>
      </c>
      <c r="G258" s="4">
        <v>28953.3</v>
      </c>
      <c r="H258" s="4" t="s">
        <v>356</v>
      </c>
      <c r="J258" s="8">
        <f t="shared" si="3"/>
        <v>0</v>
      </c>
    </row>
    <row r="259" spans="1:10" x14ac:dyDescent="0.3">
      <c r="A259" s="4">
        <v>242</v>
      </c>
      <c r="B259" s="3">
        <v>45609</v>
      </c>
      <c r="C259" s="4" t="s">
        <v>7</v>
      </c>
      <c r="D259" s="4" t="s">
        <v>533</v>
      </c>
      <c r="E259" s="2">
        <v>7600</v>
      </c>
      <c r="F259" s="2">
        <v>0</v>
      </c>
      <c r="G259" s="4">
        <v>21353.3</v>
      </c>
      <c r="H259" s="4" t="s">
        <v>356</v>
      </c>
      <c r="J259" s="8">
        <f t="shared" si="3"/>
        <v>0</v>
      </c>
    </row>
    <row r="260" spans="1:10" x14ac:dyDescent="0.3">
      <c r="A260" s="4">
        <v>243</v>
      </c>
      <c r="B260" s="3">
        <v>45609</v>
      </c>
      <c r="C260" s="4" t="s">
        <v>7</v>
      </c>
      <c r="D260" s="4" t="s">
        <v>534</v>
      </c>
      <c r="E260" s="2">
        <v>2800</v>
      </c>
      <c r="F260" s="2">
        <v>0</v>
      </c>
      <c r="G260" s="4">
        <v>18553.3</v>
      </c>
      <c r="H260" s="4" t="s">
        <v>356</v>
      </c>
      <c r="J260" s="8">
        <f t="shared" si="3"/>
        <v>0</v>
      </c>
    </row>
    <row r="261" spans="1:10" x14ac:dyDescent="0.3">
      <c r="A261" s="4">
        <v>244</v>
      </c>
      <c r="B261" s="3">
        <v>45610</v>
      </c>
      <c r="C261" s="4" t="s">
        <v>7</v>
      </c>
      <c r="D261" s="4" t="s">
        <v>535</v>
      </c>
      <c r="E261" s="2">
        <v>3500</v>
      </c>
      <c r="F261" s="2">
        <v>0</v>
      </c>
      <c r="G261" s="4">
        <v>15053.3</v>
      </c>
      <c r="H261" s="4" t="s">
        <v>356</v>
      </c>
      <c r="J261" s="8">
        <f t="shared" si="3"/>
        <v>0</v>
      </c>
    </row>
    <row r="262" spans="1:10" x14ac:dyDescent="0.3">
      <c r="A262" s="4">
        <v>245</v>
      </c>
      <c r="B262" s="3">
        <v>45610</v>
      </c>
      <c r="C262" s="4" t="s">
        <v>7</v>
      </c>
      <c r="D262" s="4" t="s">
        <v>536</v>
      </c>
      <c r="E262" s="2">
        <v>144</v>
      </c>
      <c r="F262" s="2">
        <v>0</v>
      </c>
      <c r="G262" s="4">
        <v>14909.3</v>
      </c>
      <c r="H262" s="4" t="s">
        <v>356</v>
      </c>
      <c r="J262" s="8">
        <f t="shared" si="3"/>
        <v>0</v>
      </c>
    </row>
    <row r="263" spans="1:10" x14ac:dyDescent="0.3">
      <c r="A263" s="4">
        <v>246</v>
      </c>
      <c r="B263" s="3">
        <v>45611</v>
      </c>
      <c r="C263" s="4" t="s">
        <v>7</v>
      </c>
      <c r="D263" s="4" t="s">
        <v>537</v>
      </c>
      <c r="E263" s="2">
        <v>0</v>
      </c>
      <c r="F263" s="2">
        <v>100000</v>
      </c>
      <c r="G263" s="4">
        <v>114909.3</v>
      </c>
      <c r="H263" s="4" t="s">
        <v>1843</v>
      </c>
      <c r="J263" s="8">
        <f t="shared" si="3"/>
        <v>0</v>
      </c>
    </row>
    <row r="264" spans="1:10" x14ac:dyDescent="0.3">
      <c r="A264" s="4">
        <v>247</v>
      </c>
      <c r="B264" s="3">
        <v>45611</v>
      </c>
      <c r="C264" s="4" t="s">
        <v>7</v>
      </c>
      <c r="D264" s="4" t="s">
        <v>538</v>
      </c>
      <c r="E264" s="2">
        <v>883</v>
      </c>
      <c r="F264" s="2">
        <v>0</v>
      </c>
      <c r="G264" s="4">
        <v>114026.3</v>
      </c>
      <c r="H264" s="4" t="s">
        <v>357</v>
      </c>
      <c r="J264" s="8">
        <f t="shared" si="3"/>
        <v>0</v>
      </c>
    </row>
    <row r="265" spans="1:10" x14ac:dyDescent="0.3">
      <c r="A265" s="4">
        <v>248</v>
      </c>
      <c r="B265" s="3">
        <v>45611</v>
      </c>
      <c r="C265" s="4" t="s">
        <v>7</v>
      </c>
      <c r="D265" s="4" t="s">
        <v>539</v>
      </c>
      <c r="E265" s="2">
        <v>28810</v>
      </c>
      <c r="F265" s="2">
        <v>0</v>
      </c>
      <c r="G265" s="4">
        <v>85216.3</v>
      </c>
      <c r="H265" s="4" t="s">
        <v>356</v>
      </c>
      <c r="J265" s="8">
        <f t="shared" si="3"/>
        <v>0</v>
      </c>
    </row>
    <row r="266" spans="1:10" x14ac:dyDescent="0.3">
      <c r="A266" s="4">
        <v>249</v>
      </c>
      <c r="B266" s="3">
        <v>45612</v>
      </c>
      <c r="C266" s="4" t="s">
        <v>7</v>
      </c>
      <c r="D266" s="4" t="s">
        <v>540</v>
      </c>
      <c r="E266" s="2">
        <v>170</v>
      </c>
      <c r="F266" s="2">
        <v>0</v>
      </c>
      <c r="G266" s="4">
        <v>85046.3</v>
      </c>
      <c r="H266" s="4" t="s">
        <v>356</v>
      </c>
      <c r="J266" s="8">
        <f t="shared" si="3"/>
        <v>0</v>
      </c>
    </row>
    <row r="267" spans="1:10" x14ac:dyDescent="0.3">
      <c r="A267" s="4">
        <v>250</v>
      </c>
      <c r="B267" s="3">
        <v>45613</v>
      </c>
      <c r="C267" s="4" t="s">
        <v>7</v>
      </c>
      <c r="D267" s="4" t="s">
        <v>541</v>
      </c>
      <c r="E267" s="2">
        <v>10</v>
      </c>
      <c r="F267" s="2">
        <v>0</v>
      </c>
      <c r="G267" s="4">
        <v>85036.3</v>
      </c>
      <c r="H267" s="4" t="s">
        <v>356</v>
      </c>
      <c r="J267" s="8">
        <f t="shared" si="3"/>
        <v>0</v>
      </c>
    </row>
    <row r="268" spans="1:10" x14ac:dyDescent="0.3">
      <c r="A268" s="4">
        <v>251</v>
      </c>
      <c r="B268" s="3">
        <v>45613</v>
      </c>
      <c r="C268" s="4" t="s">
        <v>7</v>
      </c>
      <c r="D268" s="4" t="s">
        <v>542</v>
      </c>
      <c r="E268" s="2">
        <v>400</v>
      </c>
      <c r="F268" s="2">
        <v>0</v>
      </c>
      <c r="G268" s="4">
        <v>84636.3</v>
      </c>
      <c r="H268" s="4" t="s">
        <v>356</v>
      </c>
      <c r="J268" s="8">
        <f t="shared" si="3"/>
        <v>0</v>
      </c>
    </row>
    <row r="269" spans="1:10" x14ac:dyDescent="0.3">
      <c r="A269" s="4">
        <v>252</v>
      </c>
      <c r="B269" s="3">
        <v>45613</v>
      </c>
      <c r="C269" s="4" t="s">
        <v>7</v>
      </c>
      <c r="D269" s="4" t="s">
        <v>543</v>
      </c>
      <c r="E269" s="2">
        <v>2407</v>
      </c>
      <c r="F269" s="2">
        <v>0</v>
      </c>
      <c r="G269" s="4">
        <v>82229.3</v>
      </c>
      <c r="H269" s="4" t="s">
        <v>356</v>
      </c>
      <c r="J269" s="8">
        <f t="shared" si="3"/>
        <v>0</v>
      </c>
    </row>
    <row r="270" spans="1:10" x14ac:dyDescent="0.3">
      <c r="A270" s="4">
        <v>253</v>
      </c>
      <c r="B270" s="3">
        <v>45614</v>
      </c>
      <c r="C270" s="4" t="s">
        <v>7</v>
      </c>
      <c r="D270" s="4" t="s">
        <v>544</v>
      </c>
      <c r="E270" s="2">
        <v>430</v>
      </c>
      <c r="F270" s="2">
        <v>0</v>
      </c>
      <c r="G270" s="4">
        <v>81799.3</v>
      </c>
      <c r="H270" s="4" t="s">
        <v>356</v>
      </c>
      <c r="J270" s="8">
        <f t="shared" si="3"/>
        <v>0</v>
      </c>
    </row>
    <row r="271" spans="1:10" x14ac:dyDescent="0.3">
      <c r="A271" s="4">
        <v>254</v>
      </c>
      <c r="B271" s="3">
        <v>45615</v>
      </c>
      <c r="C271" s="4" t="s">
        <v>7</v>
      </c>
      <c r="D271" s="4" t="s">
        <v>545</v>
      </c>
      <c r="E271" s="2">
        <v>2951</v>
      </c>
      <c r="F271" s="2">
        <v>0</v>
      </c>
      <c r="G271" s="4">
        <v>78848.3</v>
      </c>
      <c r="H271" s="4" t="s">
        <v>356</v>
      </c>
      <c r="J271" s="8">
        <f t="shared" si="3"/>
        <v>0</v>
      </c>
    </row>
    <row r="272" spans="1:10" x14ac:dyDescent="0.3">
      <c r="A272" s="4">
        <v>255</v>
      </c>
      <c r="B272" s="3">
        <v>45616</v>
      </c>
      <c r="C272" s="4" t="s">
        <v>7</v>
      </c>
      <c r="D272" s="4" t="s">
        <v>546</v>
      </c>
      <c r="E272" s="2">
        <v>30</v>
      </c>
      <c r="F272" s="2">
        <v>0</v>
      </c>
      <c r="G272" s="4">
        <v>78818.3</v>
      </c>
      <c r="H272" s="4" t="s">
        <v>356</v>
      </c>
      <c r="J272" s="8">
        <f t="shared" si="3"/>
        <v>0</v>
      </c>
    </row>
    <row r="273" spans="1:10" x14ac:dyDescent="0.3">
      <c r="A273" s="4">
        <v>256</v>
      </c>
      <c r="B273" s="3">
        <v>45616</v>
      </c>
      <c r="C273" s="4" t="s">
        <v>7</v>
      </c>
      <c r="D273" s="4" t="s">
        <v>547</v>
      </c>
      <c r="E273" s="2">
        <v>7</v>
      </c>
      <c r="F273" s="2">
        <v>0</v>
      </c>
      <c r="G273" s="4">
        <v>78811.3</v>
      </c>
      <c r="H273" s="4" t="s">
        <v>356</v>
      </c>
      <c r="J273" s="8">
        <f t="shared" si="3"/>
        <v>0</v>
      </c>
    </row>
    <row r="274" spans="1:10" x14ac:dyDescent="0.3">
      <c r="A274" s="4">
        <v>257</v>
      </c>
      <c r="B274" s="3">
        <v>45619</v>
      </c>
      <c r="C274" s="4" t="s">
        <v>7</v>
      </c>
      <c r="D274" s="4" t="s">
        <v>548</v>
      </c>
      <c r="E274" s="2">
        <v>12215</v>
      </c>
      <c r="F274" s="2">
        <v>0</v>
      </c>
      <c r="G274" s="4">
        <v>66596.3</v>
      </c>
      <c r="H274" s="4" t="s">
        <v>356</v>
      </c>
      <c r="J274" s="8">
        <f t="shared" si="3"/>
        <v>0</v>
      </c>
    </row>
    <row r="275" spans="1:10" x14ac:dyDescent="0.3">
      <c r="A275" s="4">
        <v>258</v>
      </c>
      <c r="B275" s="3">
        <v>45620</v>
      </c>
      <c r="C275" s="4" t="s">
        <v>7</v>
      </c>
      <c r="D275" s="4" t="s">
        <v>549</v>
      </c>
      <c r="E275" s="2">
        <v>2170</v>
      </c>
      <c r="F275" s="2">
        <v>0</v>
      </c>
      <c r="G275" s="4">
        <v>64426.3</v>
      </c>
      <c r="H275" s="4" t="s">
        <v>357</v>
      </c>
      <c r="J275" s="8">
        <f t="shared" si="3"/>
        <v>0</v>
      </c>
    </row>
    <row r="276" spans="1:10" x14ac:dyDescent="0.3">
      <c r="A276" s="4">
        <v>259</v>
      </c>
      <c r="B276" s="3">
        <v>45621</v>
      </c>
      <c r="C276" s="4" t="s">
        <v>7</v>
      </c>
      <c r="D276" s="4" t="s">
        <v>550</v>
      </c>
      <c r="E276" s="2">
        <v>7350</v>
      </c>
      <c r="F276" s="2">
        <v>0</v>
      </c>
      <c r="G276" s="4">
        <v>57076.3</v>
      </c>
      <c r="H276" s="4" t="s">
        <v>356</v>
      </c>
      <c r="J276" s="8">
        <f t="shared" si="3"/>
        <v>0</v>
      </c>
    </row>
    <row r="277" spans="1:10" x14ac:dyDescent="0.3">
      <c r="A277" s="4">
        <v>260</v>
      </c>
      <c r="B277" s="3">
        <v>45621</v>
      </c>
      <c r="C277" s="4" t="s">
        <v>7</v>
      </c>
      <c r="D277" s="4" t="s">
        <v>551</v>
      </c>
      <c r="E277" s="2">
        <v>90</v>
      </c>
      <c r="F277" s="2">
        <v>0</v>
      </c>
      <c r="G277" s="4">
        <v>56986.3</v>
      </c>
      <c r="H277" s="4" t="s">
        <v>356</v>
      </c>
      <c r="J277" s="8">
        <f t="shared" ref="J277:J340" si="4">G276-E277+F277-G277</f>
        <v>0</v>
      </c>
    </row>
    <row r="278" spans="1:10" x14ac:dyDescent="0.3">
      <c r="A278" s="4">
        <v>261</v>
      </c>
      <c r="B278" s="3">
        <v>45625</v>
      </c>
      <c r="C278" s="4" t="s">
        <v>7</v>
      </c>
      <c r="D278" s="4" t="s">
        <v>552</v>
      </c>
      <c r="E278" s="2">
        <v>0</v>
      </c>
      <c r="F278" s="2">
        <v>1000000</v>
      </c>
      <c r="G278" s="4">
        <v>1056986.3</v>
      </c>
      <c r="H278" s="4" t="s">
        <v>1870</v>
      </c>
      <c r="J278" s="8">
        <f t="shared" si="4"/>
        <v>0</v>
      </c>
    </row>
    <row r="279" spans="1:10" x14ac:dyDescent="0.3">
      <c r="A279" s="4">
        <v>262</v>
      </c>
      <c r="B279" s="3">
        <v>45625</v>
      </c>
      <c r="C279" s="4" t="s">
        <v>7</v>
      </c>
      <c r="D279" s="4" t="s">
        <v>553</v>
      </c>
      <c r="E279" s="2">
        <v>200000</v>
      </c>
      <c r="F279" s="2">
        <v>0</v>
      </c>
      <c r="G279" s="4">
        <v>856986.3</v>
      </c>
      <c r="H279" s="4" t="s">
        <v>372</v>
      </c>
      <c r="J279" s="8">
        <f t="shared" si="4"/>
        <v>0</v>
      </c>
    </row>
    <row r="280" spans="1:10" x14ac:dyDescent="0.3">
      <c r="A280" s="4">
        <v>263</v>
      </c>
      <c r="B280" s="3">
        <v>45625</v>
      </c>
      <c r="C280" s="4" t="s">
        <v>7</v>
      </c>
      <c r="D280" s="4" t="s">
        <v>554</v>
      </c>
      <c r="E280" s="2">
        <v>100000</v>
      </c>
      <c r="F280" s="2">
        <v>0</v>
      </c>
      <c r="G280" s="4">
        <v>756986.3</v>
      </c>
      <c r="H280" s="4" t="s">
        <v>372</v>
      </c>
      <c r="J280" s="8">
        <f t="shared" si="4"/>
        <v>0</v>
      </c>
    </row>
    <row r="281" spans="1:10" x14ac:dyDescent="0.3">
      <c r="A281" s="4">
        <v>264</v>
      </c>
      <c r="B281" s="3">
        <v>45626</v>
      </c>
      <c r="C281" s="4" t="s">
        <v>7</v>
      </c>
      <c r="D281" s="4" t="s">
        <v>555</v>
      </c>
      <c r="E281" s="2">
        <v>10000</v>
      </c>
      <c r="F281" s="2">
        <v>0</v>
      </c>
      <c r="G281" s="4">
        <v>746986.3</v>
      </c>
      <c r="H281" s="4" t="s">
        <v>356</v>
      </c>
      <c r="J281" s="8">
        <f t="shared" si="4"/>
        <v>0</v>
      </c>
    </row>
    <row r="282" spans="1:10" x14ac:dyDescent="0.3">
      <c r="A282" s="4">
        <v>265</v>
      </c>
      <c r="B282" s="3">
        <v>45626</v>
      </c>
      <c r="C282" s="4" t="s">
        <v>7</v>
      </c>
      <c r="D282" s="4" t="s">
        <v>556</v>
      </c>
      <c r="E282" s="2">
        <v>6000</v>
      </c>
      <c r="F282" s="2">
        <v>0</v>
      </c>
      <c r="G282" s="4">
        <v>740986.3</v>
      </c>
      <c r="H282" s="4" t="s">
        <v>356</v>
      </c>
      <c r="J282" s="8">
        <f t="shared" si="4"/>
        <v>0</v>
      </c>
    </row>
    <row r="283" spans="1:10" x14ac:dyDescent="0.3">
      <c r="A283" s="4">
        <v>266</v>
      </c>
      <c r="B283" s="3">
        <v>45626</v>
      </c>
      <c r="C283" s="4" t="s">
        <v>7</v>
      </c>
      <c r="D283" s="4" t="s">
        <v>557</v>
      </c>
      <c r="E283" s="2">
        <v>6638</v>
      </c>
      <c r="F283" s="2">
        <v>0</v>
      </c>
      <c r="G283" s="4">
        <v>734348.3</v>
      </c>
      <c r="H283" s="4" t="s">
        <v>356</v>
      </c>
      <c r="J283" s="8">
        <f t="shared" si="4"/>
        <v>0</v>
      </c>
    </row>
    <row r="284" spans="1:10" x14ac:dyDescent="0.3">
      <c r="A284" s="4">
        <v>267</v>
      </c>
      <c r="B284" s="3">
        <v>45627</v>
      </c>
      <c r="C284" s="4" t="s">
        <v>7</v>
      </c>
      <c r="D284" s="4" t="s">
        <v>558</v>
      </c>
      <c r="E284" s="2">
        <v>5000</v>
      </c>
      <c r="F284" s="2">
        <v>0</v>
      </c>
      <c r="G284" s="4">
        <v>729348.3</v>
      </c>
      <c r="H284" s="4" t="s">
        <v>356</v>
      </c>
      <c r="J284" s="8">
        <f t="shared" si="4"/>
        <v>0</v>
      </c>
    </row>
    <row r="285" spans="1:10" x14ac:dyDescent="0.3">
      <c r="A285" s="4">
        <v>268</v>
      </c>
      <c r="B285" s="3">
        <v>45627</v>
      </c>
      <c r="C285" s="4" t="s">
        <v>7</v>
      </c>
      <c r="D285" s="4" t="s">
        <v>559</v>
      </c>
      <c r="E285" s="2">
        <v>5000</v>
      </c>
      <c r="F285" s="2">
        <v>0</v>
      </c>
      <c r="G285" s="4">
        <v>724348.3</v>
      </c>
      <c r="H285" s="4" t="s">
        <v>356</v>
      </c>
      <c r="J285" s="8">
        <f t="shared" si="4"/>
        <v>0</v>
      </c>
    </row>
    <row r="286" spans="1:10" x14ac:dyDescent="0.3">
      <c r="A286" s="4">
        <v>269</v>
      </c>
      <c r="B286" s="3">
        <v>45627</v>
      </c>
      <c r="C286" s="4" t="s">
        <v>7</v>
      </c>
      <c r="D286" s="4" t="s">
        <v>560</v>
      </c>
      <c r="E286" s="2">
        <v>133</v>
      </c>
      <c r="F286" s="2">
        <v>0</v>
      </c>
      <c r="G286" s="4">
        <v>724215.3</v>
      </c>
      <c r="H286" s="4" t="s">
        <v>356</v>
      </c>
      <c r="J286" s="8">
        <f t="shared" si="4"/>
        <v>0</v>
      </c>
    </row>
    <row r="287" spans="1:10" x14ac:dyDescent="0.3">
      <c r="A287" s="4">
        <v>270</v>
      </c>
      <c r="B287" s="3">
        <v>45628</v>
      </c>
      <c r="C287" s="4" t="s">
        <v>7</v>
      </c>
      <c r="D287" s="4" t="s">
        <v>561</v>
      </c>
      <c r="E287" s="2">
        <v>200000</v>
      </c>
      <c r="F287" s="2">
        <v>0</v>
      </c>
      <c r="G287" s="4">
        <v>524215.3</v>
      </c>
      <c r="H287" s="4" t="s">
        <v>372</v>
      </c>
      <c r="J287" s="8">
        <f t="shared" si="4"/>
        <v>0</v>
      </c>
    </row>
    <row r="288" spans="1:10" x14ac:dyDescent="0.3">
      <c r="A288" s="4">
        <v>271</v>
      </c>
      <c r="B288" s="3">
        <v>45630</v>
      </c>
      <c r="C288" s="4" t="s">
        <v>7</v>
      </c>
      <c r="D288" s="4" t="s">
        <v>562</v>
      </c>
      <c r="E288" s="2">
        <v>850</v>
      </c>
      <c r="F288" s="2">
        <v>0</v>
      </c>
      <c r="G288" s="4">
        <v>523365.3</v>
      </c>
      <c r="H288" s="4" t="s">
        <v>356</v>
      </c>
      <c r="J288" s="8">
        <f t="shared" si="4"/>
        <v>0</v>
      </c>
    </row>
    <row r="289" spans="1:10" x14ac:dyDescent="0.3">
      <c r="A289" s="4">
        <v>272</v>
      </c>
      <c r="B289" s="3">
        <v>45630</v>
      </c>
      <c r="C289" s="4" t="s">
        <v>7</v>
      </c>
      <c r="D289" s="4" t="s">
        <v>563</v>
      </c>
      <c r="E289" s="2">
        <v>800</v>
      </c>
      <c r="F289" s="2">
        <v>0</v>
      </c>
      <c r="G289" s="4">
        <v>522565.3</v>
      </c>
      <c r="H289" s="4" t="s">
        <v>356</v>
      </c>
      <c r="J289" s="8">
        <f t="shared" si="4"/>
        <v>0</v>
      </c>
    </row>
    <row r="290" spans="1:10" x14ac:dyDescent="0.3">
      <c r="A290" s="4">
        <v>273</v>
      </c>
      <c r="B290" s="3">
        <v>45630</v>
      </c>
      <c r="C290" s="4" t="s">
        <v>7</v>
      </c>
      <c r="D290" s="4" t="s">
        <v>564</v>
      </c>
      <c r="E290" s="2">
        <v>1980</v>
      </c>
      <c r="F290" s="2">
        <v>0</v>
      </c>
      <c r="G290" s="4">
        <v>520585.3</v>
      </c>
      <c r="H290" s="4" t="s">
        <v>356</v>
      </c>
      <c r="J290" s="8">
        <f t="shared" si="4"/>
        <v>0</v>
      </c>
    </row>
    <row r="291" spans="1:10" x14ac:dyDescent="0.3">
      <c r="A291" s="4">
        <v>274</v>
      </c>
      <c r="B291" s="3">
        <v>45630</v>
      </c>
      <c r="C291" s="4" t="s">
        <v>7</v>
      </c>
      <c r="D291" s="4" t="s">
        <v>565</v>
      </c>
      <c r="E291" s="2">
        <v>1169</v>
      </c>
      <c r="F291" s="2">
        <v>0</v>
      </c>
      <c r="G291" s="4">
        <v>519416.3</v>
      </c>
      <c r="H291" s="4" t="s">
        <v>356</v>
      </c>
      <c r="J291" s="8">
        <f t="shared" si="4"/>
        <v>0</v>
      </c>
    </row>
    <row r="292" spans="1:10" x14ac:dyDescent="0.3">
      <c r="A292" s="4">
        <v>275</v>
      </c>
      <c r="B292" s="3">
        <v>45631</v>
      </c>
      <c r="C292" s="4" t="s">
        <v>7</v>
      </c>
      <c r="D292" s="4" t="s">
        <v>566</v>
      </c>
      <c r="E292" s="2">
        <v>200</v>
      </c>
      <c r="F292" s="2">
        <v>0</v>
      </c>
      <c r="G292" s="4">
        <v>519216.3</v>
      </c>
      <c r="H292" s="4" t="s">
        <v>356</v>
      </c>
      <c r="J292" s="8">
        <f t="shared" si="4"/>
        <v>0</v>
      </c>
    </row>
    <row r="293" spans="1:10" x14ac:dyDescent="0.3">
      <c r="A293" s="4">
        <v>276</v>
      </c>
      <c r="B293" s="3">
        <v>45632</v>
      </c>
      <c r="C293" s="4" t="s">
        <v>7</v>
      </c>
      <c r="D293" s="4" t="s">
        <v>567</v>
      </c>
      <c r="E293" s="2">
        <v>26643</v>
      </c>
      <c r="F293" s="2">
        <v>0</v>
      </c>
      <c r="G293" s="4">
        <v>492573.3</v>
      </c>
      <c r="H293" s="4" t="s">
        <v>1867</v>
      </c>
      <c r="J293" s="8">
        <f t="shared" si="4"/>
        <v>0</v>
      </c>
    </row>
    <row r="294" spans="1:10" x14ac:dyDescent="0.3">
      <c r="A294" s="4">
        <v>277</v>
      </c>
      <c r="B294" s="3">
        <v>45632</v>
      </c>
      <c r="C294" s="4" t="s">
        <v>7</v>
      </c>
      <c r="D294" s="4" t="s">
        <v>568</v>
      </c>
      <c r="E294" s="2">
        <v>400</v>
      </c>
      <c r="F294" s="2">
        <v>0</v>
      </c>
      <c r="G294" s="4">
        <v>492173.3</v>
      </c>
      <c r="H294" s="4" t="s">
        <v>356</v>
      </c>
      <c r="J294" s="8">
        <f t="shared" si="4"/>
        <v>0</v>
      </c>
    </row>
    <row r="295" spans="1:10" x14ac:dyDescent="0.3">
      <c r="A295" s="4">
        <v>278</v>
      </c>
      <c r="B295" s="3">
        <v>45635</v>
      </c>
      <c r="C295" s="4" t="s">
        <v>7</v>
      </c>
      <c r="D295" s="4" t="s">
        <v>8</v>
      </c>
      <c r="E295" s="2">
        <v>704.46</v>
      </c>
      <c r="F295" s="2">
        <v>0</v>
      </c>
      <c r="G295" s="4">
        <v>491468.84</v>
      </c>
      <c r="H295" s="4" t="s">
        <v>1877</v>
      </c>
      <c r="J295" s="8">
        <f t="shared" si="4"/>
        <v>0</v>
      </c>
    </row>
    <row r="296" spans="1:10" x14ac:dyDescent="0.3">
      <c r="A296" s="4">
        <v>279</v>
      </c>
      <c r="B296" s="3">
        <v>45636</v>
      </c>
      <c r="C296" s="4" t="s">
        <v>7</v>
      </c>
      <c r="D296" s="4" t="s">
        <v>569</v>
      </c>
      <c r="E296" s="2">
        <v>3000</v>
      </c>
      <c r="F296" s="2">
        <v>0</v>
      </c>
      <c r="G296" s="4">
        <v>488468.84</v>
      </c>
      <c r="H296" s="4" t="s">
        <v>356</v>
      </c>
      <c r="J296" s="8">
        <f t="shared" si="4"/>
        <v>0</v>
      </c>
    </row>
    <row r="297" spans="1:10" x14ac:dyDescent="0.3">
      <c r="A297" s="4">
        <v>280</v>
      </c>
      <c r="B297" s="3">
        <v>45640</v>
      </c>
      <c r="C297" s="4" t="s">
        <v>7</v>
      </c>
      <c r="D297" s="4" t="s">
        <v>570</v>
      </c>
      <c r="E297" s="2">
        <v>1000</v>
      </c>
      <c r="F297" s="2">
        <v>0</v>
      </c>
      <c r="G297" s="4">
        <v>487468.84</v>
      </c>
      <c r="H297" s="4" t="s">
        <v>356</v>
      </c>
      <c r="J297" s="8">
        <f t="shared" si="4"/>
        <v>0</v>
      </c>
    </row>
    <row r="298" spans="1:10" x14ac:dyDescent="0.3">
      <c r="A298" s="4">
        <v>281</v>
      </c>
      <c r="B298" s="3">
        <v>45643</v>
      </c>
      <c r="C298" s="4" t="s">
        <v>7</v>
      </c>
      <c r="D298" s="4" t="s">
        <v>571</v>
      </c>
      <c r="E298" s="2">
        <v>990</v>
      </c>
      <c r="F298" s="2">
        <v>0</v>
      </c>
      <c r="G298" s="4">
        <v>486478.84</v>
      </c>
      <c r="H298" s="4" t="s">
        <v>357</v>
      </c>
      <c r="J298" s="8">
        <f t="shared" si="4"/>
        <v>0</v>
      </c>
    </row>
    <row r="299" spans="1:10" x14ac:dyDescent="0.3">
      <c r="A299" s="4">
        <v>282</v>
      </c>
      <c r="B299" s="3">
        <v>45645</v>
      </c>
      <c r="C299" s="4" t="s">
        <v>7</v>
      </c>
      <c r="D299" s="4" t="s">
        <v>572</v>
      </c>
      <c r="E299" s="2">
        <v>100</v>
      </c>
      <c r="F299" s="2">
        <v>0</v>
      </c>
      <c r="G299" s="4">
        <v>486378.84</v>
      </c>
      <c r="H299" s="4" t="s">
        <v>356</v>
      </c>
      <c r="J299" s="8">
        <f t="shared" si="4"/>
        <v>0</v>
      </c>
    </row>
    <row r="300" spans="1:10" x14ac:dyDescent="0.3">
      <c r="A300" s="4">
        <v>283</v>
      </c>
      <c r="B300" s="3">
        <v>45646</v>
      </c>
      <c r="C300" s="4" t="s">
        <v>7</v>
      </c>
      <c r="D300" s="4" t="s">
        <v>573</v>
      </c>
      <c r="E300" s="2">
        <v>200000</v>
      </c>
      <c r="F300" s="2">
        <v>0</v>
      </c>
      <c r="G300" s="4">
        <v>286378.84000000003</v>
      </c>
      <c r="H300" s="4" t="s">
        <v>372</v>
      </c>
      <c r="J300" s="8">
        <f t="shared" si="4"/>
        <v>0</v>
      </c>
    </row>
    <row r="301" spans="1:10" x14ac:dyDescent="0.3">
      <c r="A301" s="4">
        <v>284</v>
      </c>
      <c r="B301" s="3">
        <v>45647</v>
      </c>
      <c r="C301" s="4" t="s">
        <v>7</v>
      </c>
      <c r="D301" s="4" t="s">
        <v>574</v>
      </c>
      <c r="E301" s="2">
        <v>1</v>
      </c>
      <c r="F301" s="2">
        <v>0</v>
      </c>
      <c r="G301" s="4">
        <v>286377.84000000003</v>
      </c>
      <c r="H301" s="4" t="s">
        <v>356</v>
      </c>
      <c r="J301" s="8">
        <f t="shared" si="4"/>
        <v>0</v>
      </c>
    </row>
    <row r="302" spans="1:10" x14ac:dyDescent="0.3">
      <c r="A302" s="4">
        <v>285</v>
      </c>
      <c r="B302" s="3">
        <v>45648</v>
      </c>
      <c r="C302" s="4" t="s">
        <v>7</v>
      </c>
      <c r="D302" s="4" t="s">
        <v>575</v>
      </c>
      <c r="E302" s="2">
        <v>21000</v>
      </c>
      <c r="F302" s="2">
        <v>0</v>
      </c>
      <c r="G302" s="4">
        <v>265377.84000000003</v>
      </c>
      <c r="H302" s="4" t="s">
        <v>356</v>
      </c>
      <c r="J302" s="8">
        <f t="shared" si="4"/>
        <v>0</v>
      </c>
    </row>
    <row r="303" spans="1:10" x14ac:dyDescent="0.3">
      <c r="A303" s="4">
        <v>286</v>
      </c>
      <c r="B303" s="3">
        <v>45649</v>
      </c>
      <c r="C303" s="4" t="s">
        <v>7</v>
      </c>
      <c r="D303" s="4" t="s">
        <v>576</v>
      </c>
      <c r="E303" s="2">
        <v>1</v>
      </c>
      <c r="F303" s="2">
        <v>0</v>
      </c>
      <c r="G303" s="4">
        <v>265376.84000000003</v>
      </c>
      <c r="H303" s="4" t="s">
        <v>356</v>
      </c>
      <c r="J303" s="8">
        <f t="shared" si="4"/>
        <v>0</v>
      </c>
    </row>
    <row r="304" spans="1:10" x14ac:dyDescent="0.3">
      <c r="A304" s="4">
        <v>287</v>
      </c>
      <c r="B304" s="3">
        <v>45651</v>
      </c>
      <c r="C304" s="4" t="s">
        <v>7</v>
      </c>
      <c r="D304" s="4" t="s">
        <v>577</v>
      </c>
      <c r="E304" s="2">
        <v>220</v>
      </c>
      <c r="F304" s="2">
        <v>0</v>
      </c>
      <c r="G304" s="4">
        <v>265156.84000000003</v>
      </c>
      <c r="H304" s="4" t="s">
        <v>357</v>
      </c>
      <c r="J304" s="8">
        <f t="shared" si="4"/>
        <v>0</v>
      </c>
    </row>
    <row r="305" spans="1:10" x14ac:dyDescent="0.3">
      <c r="A305" s="4">
        <v>288</v>
      </c>
      <c r="B305" s="3">
        <v>45652</v>
      </c>
      <c r="C305" s="4" t="s">
        <v>7</v>
      </c>
      <c r="D305" s="4" t="s">
        <v>578</v>
      </c>
      <c r="E305" s="2">
        <v>18896</v>
      </c>
      <c r="F305" s="2">
        <v>0</v>
      </c>
      <c r="G305" s="4">
        <v>246260.84</v>
      </c>
      <c r="H305" s="4" t="s">
        <v>356</v>
      </c>
      <c r="J305" s="8">
        <f t="shared" si="4"/>
        <v>0</v>
      </c>
    </row>
    <row r="306" spans="1:10" x14ac:dyDescent="0.3">
      <c r="A306" s="4">
        <v>289</v>
      </c>
      <c r="B306" s="3">
        <v>45658</v>
      </c>
      <c r="C306" s="4" t="s">
        <v>7</v>
      </c>
      <c r="D306" s="4" t="s">
        <v>579</v>
      </c>
      <c r="E306" s="2">
        <v>0</v>
      </c>
      <c r="F306" s="2">
        <v>1532</v>
      </c>
      <c r="G306" s="4">
        <v>247792.84</v>
      </c>
      <c r="H306" s="4" t="s">
        <v>370</v>
      </c>
      <c r="J306" s="8">
        <f t="shared" si="4"/>
        <v>0</v>
      </c>
    </row>
    <row r="307" spans="1:10" x14ac:dyDescent="0.3">
      <c r="A307" s="4">
        <v>290</v>
      </c>
      <c r="B307" s="3">
        <v>45663</v>
      </c>
      <c r="C307" s="4" t="s">
        <v>7</v>
      </c>
      <c r="D307" s="4" t="s">
        <v>580</v>
      </c>
      <c r="E307" s="2">
        <v>10000</v>
      </c>
      <c r="F307" s="2">
        <v>0</v>
      </c>
      <c r="G307" s="4">
        <v>237792.84</v>
      </c>
      <c r="H307" s="4" t="s">
        <v>356</v>
      </c>
      <c r="J307" s="8">
        <f t="shared" si="4"/>
        <v>0</v>
      </c>
    </row>
    <row r="308" spans="1:10" x14ac:dyDescent="0.3">
      <c r="A308" s="4">
        <v>291</v>
      </c>
      <c r="B308" s="3">
        <v>45664</v>
      </c>
      <c r="C308" s="4" t="s">
        <v>7</v>
      </c>
      <c r="D308" s="4" t="s">
        <v>8</v>
      </c>
      <c r="E308" s="2">
        <v>65557.460000000006</v>
      </c>
      <c r="F308" s="2">
        <v>0</v>
      </c>
      <c r="G308" s="4">
        <v>172235.38</v>
      </c>
      <c r="H308" s="4" t="s">
        <v>1877</v>
      </c>
      <c r="J308" s="8">
        <f t="shared" si="4"/>
        <v>0</v>
      </c>
    </row>
    <row r="309" spans="1:10" x14ac:dyDescent="0.3">
      <c r="A309" s="4">
        <v>292</v>
      </c>
      <c r="B309" s="3">
        <v>45666</v>
      </c>
      <c r="C309" s="4" t="s">
        <v>7</v>
      </c>
      <c r="D309" s="4" t="s">
        <v>581</v>
      </c>
      <c r="E309" s="2">
        <v>22550</v>
      </c>
      <c r="F309" s="2">
        <v>0</v>
      </c>
      <c r="G309" s="4">
        <v>149685.38</v>
      </c>
      <c r="H309" s="4" t="s">
        <v>356</v>
      </c>
      <c r="J309" s="8">
        <f t="shared" si="4"/>
        <v>0</v>
      </c>
    </row>
    <row r="310" spans="1:10" x14ac:dyDescent="0.3">
      <c r="A310" s="4">
        <v>293</v>
      </c>
      <c r="B310" s="3">
        <v>45666</v>
      </c>
      <c r="C310" s="4" t="s">
        <v>7</v>
      </c>
      <c r="D310" s="4" t="s">
        <v>582</v>
      </c>
      <c r="E310" s="2">
        <v>2118</v>
      </c>
      <c r="F310" s="2">
        <v>0</v>
      </c>
      <c r="G310" s="4">
        <v>147567.38</v>
      </c>
      <c r="H310" s="4" t="s">
        <v>356</v>
      </c>
      <c r="J310" s="8">
        <f t="shared" si="4"/>
        <v>0</v>
      </c>
    </row>
    <row r="311" spans="1:10" x14ac:dyDescent="0.3">
      <c r="A311" s="4">
        <v>294</v>
      </c>
      <c r="B311" s="3">
        <v>45666</v>
      </c>
      <c r="C311" s="4" t="s">
        <v>7</v>
      </c>
      <c r="D311" s="4" t="s">
        <v>583</v>
      </c>
      <c r="E311" s="2">
        <v>2800</v>
      </c>
      <c r="F311" s="2">
        <v>0</v>
      </c>
      <c r="G311" s="4">
        <v>144767.38</v>
      </c>
      <c r="H311" s="4" t="s">
        <v>356</v>
      </c>
      <c r="J311" s="8">
        <f t="shared" si="4"/>
        <v>0</v>
      </c>
    </row>
    <row r="312" spans="1:10" x14ac:dyDescent="0.3">
      <c r="A312" s="4">
        <v>295</v>
      </c>
      <c r="B312" s="3">
        <v>45666</v>
      </c>
      <c r="C312" s="4" t="s">
        <v>7</v>
      </c>
      <c r="D312" s="4" t="s">
        <v>584</v>
      </c>
      <c r="E312" s="2">
        <v>260</v>
      </c>
      <c r="F312" s="2">
        <v>0</v>
      </c>
      <c r="G312" s="4">
        <v>144507.38</v>
      </c>
      <c r="H312" s="4" t="s">
        <v>356</v>
      </c>
      <c r="J312" s="8">
        <f t="shared" si="4"/>
        <v>0</v>
      </c>
    </row>
    <row r="313" spans="1:10" x14ac:dyDescent="0.3">
      <c r="A313" s="4">
        <v>296</v>
      </c>
      <c r="B313" s="3">
        <v>45666</v>
      </c>
      <c r="C313" s="4" t="s">
        <v>7</v>
      </c>
      <c r="D313" s="4" t="s">
        <v>585</v>
      </c>
      <c r="E313" s="2">
        <v>22</v>
      </c>
      <c r="F313" s="2">
        <v>0</v>
      </c>
      <c r="G313" s="4">
        <v>144485.38</v>
      </c>
      <c r="H313" s="4" t="s">
        <v>356</v>
      </c>
      <c r="J313" s="8">
        <f t="shared" si="4"/>
        <v>0</v>
      </c>
    </row>
    <row r="314" spans="1:10" x14ac:dyDescent="0.3">
      <c r="A314" s="4">
        <v>297</v>
      </c>
      <c r="B314" s="3">
        <v>45666</v>
      </c>
      <c r="C314" s="4" t="s">
        <v>7</v>
      </c>
      <c r="D314" s="4" t="s">
        <v>586</v>
      </c>
      <c r="E314" s="2">
        <v>1480</v>
      </c>
      <c r="F314" s="2">
        <v>0</v>
      </c>
      <c r="G314" s="4">
        <v>143005.38</v>
      </c>
      <c r="H314" s="4" t="s">
        <v>356</v>
      </c>
      <c r="J314" s="8">
        <f t="shared" si="4"/>
        <v>0</v>
      </c>
    </row>
    <row r="315" spans="1:10" x14ac:dyDescent="0.3">
      <c r="A315" s="4">
        <v>298</v>
      </c>
      <c r="B315" s="3">
        <v>45666</v>
      </c>
      <c r="C315" s="4" t="s">
        <v>7</v>
      </c>
      <c r="D315" s="4" t="s">
        <v>587</v>
      </c>
      <c r="E315" s="2">
        <v>1000</v>
      </c>
      <c r="F315" s="2">
        <v>0</v>
      </c>
      <c r="G315" s="4">
        <v>142005.38</v>
      </c>
      <c r="H315" s="4" t="s">
        <v>356</v>
      </c>
      <c r="J315" s="8">
        <f t="shared" si="4"/>
        <v>0</v>
      </c>
    </row>
    <row r="316" spans="1:10" x14ac:dyDescent="0.3">
      <c r="A316" s="4">
        <v>299</v>
      </c>
      <c r="B316" s="3">
        <v>45667</v>
      </c>
      <c r="C316" s="4" t="s">
        <v>7</v>
      </c>
      <c r="D316" s="4" t="s">
        <v>588</v>
      </c>
      <c r="E316" s="2">
        <v>3000</v>
      </c>
      <c r="F316" s="2">
        <v>0</v>
      </c>
      <c r="G316" s="4">
        <v>139005.38</v>
      </c>
      <c r="H316" s="4" t="s">
        <v>356</v>
      </c>
      <c r="J316" s="8">
        <f t="shared" si="4"/>
        <v>0</v>
      </c>
    </row>
    <row r="317" spans="1:10" x14ac:dyDescent="0.3">
      <c r="A317" s="4">
        <v>300</v>
      </c>
      <c r="B317" s="3">
        <v>45668</v>
      </c>
      <c r="C317" s="4" t="s">
        <v>7</v>
      </c>
      <c r="D317" s="4" t="s">
        <v>589</v>
      </c>
      <c r="E317" s="2">
        <v>1</v>
      </c>
      <c r="F317" s="2">
        <v>0</v>
      </c>
      <c r="G317" s="4">
        <v>139004.38</v>
      </c>
      <c r="H317" s="4" t="s">
        <v>356</v>
      </c>
      <c r="J317" s="8">
        <f t="shared" si="4"/>
        <v>0</v>
      </c>
    </row>
    <row r="318" spans="1:10" x14ac:dyDescent="0.3">
      <c r="A318" s="4">
        <v>301</v>
      </c>
      <c r="B318" s="3">
        <v>45668</v>
      </c>
      <c r="C318" s="4" t="s">
        <v>7</v>
      </c>
      <c r="D318" s="4" t="s">
        <v>590</v>
      </c>
      <c r="E318" s="2">
        <v>50000</v>
      </c>
      <c r="F318" s="2">
        <v>0</v>
      </c>
      <c r="G318" s="4">
        <v>89004.38</v>
      </c>
      <c r="H318" s="4" t="s">
        <v>356</v>
      </c>
      <c r="J318" s="8">
        <f t="shared" si="4"/>
        <v>0</v>
      </c>
    </row>
    <row r="319" spans="1:10" x14ac:dyDescent="0.3">
      <c r="A319" s="4">
        <v>302</v>
      </c>
      <c r="B319" s="3">
        <v>45668</v>
      </c>
      <c r="C319" s="4" t="s">
        <v>7</v>
      </c>
      <c r="D319" s="4" t="s">
        <v>591</v>
      </c>
      <c r="E319" s="2">
        <v>20000</v>
      </c>
      <c r="F319" s="2">
        <v>0</v>
      </c>
      <c r="G319" s="4">
        <v>69004.38</v>
      </c>
      <c r="H319" s="4" t="s">
        <v>356</v>
      </c>
      <c r="J319" s="8">
        <f t="shared" si="4"/>
        <v>0</v>
      </c>
    </row>
    <row r="320" spans="1:10" x14ac:dyDescent="0.3">
      <c r="A320" s="4">
        <v>303</v>
      </c>
      <c r="B320" s="3">
        <v>45668</v>
      </c>
      <c r="C320" s="4" t="s">
        <v>7</v>
      </c>
      <c r="D320" s="4" t="s">
        <v>592</v>
      </c>
      <c r="E320" s="2">
        <v>3190</v>
      </c>
      <c r="F320" s="2">
        <v>0</v>
      </c>
      <c r="G320" s="4">
        <v>65814.38</v>
      </c>
      <c r="H320" s="4" t="s">
        <v>356</v>
      </c>
      <c r="J320" s="8">
        <f t="shared" si="4"/>
        <v>0</v>
      </c>
    </row>
    <row r="321" spans="1:10" x14ac:dyDescent="0.3">
      <c r="A321" s="4">
        <v>304</v>
      </c>
      <c r="B321" s="3">
        <v>45668</v>
      </c>
      <c r="C321" s="4" t="s">
        <v>7</v>
      </c>
      <c r="D321" s="4" t="s">
        <v>593</v>
      </c>
      <c r="E321" s="2">
        <v>1660</v>
      </c>
      <c r="F321" s="2">
        <v>0</v>
      </c>
      <c r="G321" s="4">
        <v>64154.38</v>
      </c>
      <c r="H321" s="4" t="s">
        <v>356</v>
      </c>
      <c r="J321" s="8">
        <f t="shared" si="4"/>
        <v>0</v>
      </c>
    </row>
    <row r="322" spans="1:10" x14ac:dyDescent="0.3">
      <c r="A322" s="4">
        <v>305</v>
      </c>
      <c r="B322" s="3">
        <v>45675</v>
      </c>
      <c r="C322" s="4" t="s">
        <v>7</v>
      </c>
      <c r="D322" s="4" t="s">
        <v>594</v>
      </c>
      <c r="E322" s="2">
        <v>24600</v>
      </c>
      <c r="F322" s="2">
        <v>0</v>
      </c>
      <c r="G322" s="4">
        <v>39554.379999999997</v>
      </c>
      <c r="H322" s="4" t="s">
        <v>356</v>
      </c>
      <c r="J322" s="8">
        <f t="shared" si="4"/>
        <v>0</v>
      </c>
    </row>
    <row r="323" spans="1:10" x14ac:dyDescent="0.3">
      <c r="A323" s="4">
        <v>306</v>
      </c>
      <c r="B323" s="3">
        <v>45676</v>
      </c>
      <c r="C323" s="4" t="s">
        <v>7</v>
      </c>
      <c r="D323" s="4" t="s">
        <v>595</v>
      </c>
      <c r="E323" s="2">
        <v>0</v>
      </c>
      <c r="F323" s="2">
        <v>100000</v>
      </c>
      <c r="G323" s="4">
        <v>139554.38</v>
      </c>
      <c r="H323" s="4" t="s">
        <v>1842</v>
      </c>
      <c r="J323" s="8">
        <f t="shared" si="4"/>
        <v>0</v>
      </c>
    </row>
    <row r="324" spans="1:10" x14ac:dyDescent="0.3">
      <c r="A324" s="4">
        <v>307</v>
      </c>
      <c r="B324" s="3">
        <v>45676</v>
      </c>
      <c r="C324" s="4" t="s">
        <v>7</v>
      </c>
      <c r="D324" s="4" t="s">
        <v>596</v>
      </c>
      <c r="E324" s="2">
        <v>250</v>
      </c>
      <c r="F324" s="2">
        <v>0</v>
      </c>
      <c r="G324" s="4">
        <v>139304.38</v>
      </c>
      <c r="H324" s="4" t="s">
        <v>356</v>
      </c>
      <c r="J324" s="8">
        <f t="shared" si="4"/>
        <v>0</v>
      </c>
    </row>
    <row r="325" spans="1:10" x14ac:dyDescent="0.3">
      <c r="A325" s="4">
        <v>308</v>
      </c>
      <c r="B325" s="3">
        <v>45679</v>
      </c>
      <c r="C325" s="4" t="s">
        <v>7</v>
      </c>
      <c r="D325" s="4" t="s">
        <v>597</v>
      </c>
      <c r="E325" s="2">
        <v>10000</v>
      </c>
      <c r="F325" s="2">
        <v>0</v>
      </c>
      <c r="G325" s="4">
        <v>129304.38</v>
      </c>
      <c r="H325" s="4" t="s">
        <v>356</v>
      </c>
      <c r="J325" s="8">
        <f t="shared" si="4"/>
        <v>0</v>
      </c>
    </row>
    <row r="326" spans="1:10" x14ac:dyDescent="0.3">
      <c r="A326" s="4">
        <v>309</v>
      </c>
      <c r="B326" s="3">
        <v>45679</v>
      </c>
      <c r="C326" s="4" t="s">
        <v>7</v>
      </c>
      <c r="D326" s="4" t="s">
        <v>598</v>
      </c>
      <c r="E326" s="2">
        <v>65000</v>
      </c>
      <c r="F326" s="2">
        <v>0</v>
      </c>
      <c r="G326" s="4">
        <v>64304.38</v>
      </c>
      <c r="H326" s="4" t="s">
        <v>356</v>
      </c>
      <c r="J326" s="8">
        <f t="shared" si="4"/>
        <v>0</v>
      </c>
    </row>
    <row r="327" spans="1:10" x14ac:dyDescent="0.3">
      <c r="A327" s="4">
        <v>310</v>
      </c>
      <c r="B327" s="3">
        <v>45679</v>
      </c>
      <c r="C327" s="4" t="s">
        <v>7</v>
      </c>
      <c r="D327" s="4" t="s">
        <v>599</v>
      </c>
      <c r="E327" s="2">
        <v>0</v>
      </c>
      <c r="F327" s="2">
        <v>100000</v>
      </c>
      <c r="G327" s="4">
        <v>164304.38</v>
      </c>
      <c r="H327" s="4" t="s">
        <v>1842</v>
      </c>
      <c r="J327" s="8">
        <f t="shared" si="4"/>
        <v>0</v>
      </c>
    </row>
    <row r="328" spans="1:10" x14ac:dyDescent="0.3">
      <c r="A328" s="4">
        <v>311</v>
      </c>
      <c r="B328" s="3">
        <v>45680</v>
      </c>
      <c r="C328" s="4" t="s">
        <v>7</v>
      </c>
      <c r="D328" s="4" t="s">
        <v>600</v>
      </c>
      <c r="E328" s="2">
        <v>50000</v>
      </c>
      <c r="F328" s="2">
        <v>0</v>
      </c>
      <c r="G328" s="4">
        <v>114304.38</v>
      </c>
      <c r="H328" s="4" t="s">
        <v>356</v>
      </c>
      <c r="J328" s="8">
        <f t="shared" si="4"/>
        <v>0</v>
      </c>
    </row>
    <row r="329" spans="1:10" x14ac:dyDescent="0.3">
      <c r="A329" s="4">
        <v>312</v>
      </c>
      <c r="B329" s="3">
        <v>45680</v>
      </c>
      <c r="C329" s="4" t="s">
        <v>7</v>
      </c>
      <c r="D329" s="4" t="s">
        <v>601</v>
      </c>
      <c r="E329" s="2">
        <v>45000</v>
      </c>
      <c r="F329" s="2">
        <v>0</v>
      </c>
      <c r="G329" s="4">
        <v>69304.38</v>
      </c>
      <c r="H329" s="4" t="s">
        <v>356</v>
      </c>
      <c r="J329" s="8">
        <f t="shared" si="4"/>
        <v>0</v>
      </c>
    </row>
    <row r="330" spans="1:10" x14ac:dyDescent="0.3">
      <c r="A330" s="4">
        <v>313</v>
      </c>
      <c r="B330" s="3">
        <v>45681</v>
      </c>
      <c r="C330" s="4" t="s">
        <v>7</v>
      </c>
      <c r="D330" s="4" t="s">
        <v>602</v>
      </c>
      <c r="E330" s="2">
        <v>4172.78</v>
      </c>
      <c r="F330" s="2">
        <v>0</v>
      </c>
      <c r="G330" s="4">
        <v>65131.6</v>
      </c>
      <c r="H330" s="4" t="s">
        <v>365</v>
      </c>
      <c r="J330" s="8">
        <f t="shared" si="4"/>
        <v>0</v>
      </c>
    </row>
    <row r="331" spans="1:10" x14ac:dyDescent="0.3">
      <c r="A331" s="4">
        <v>314</v>
      </c>
      <c r="B331" s="3">
        <v>45681</v>
      </c>
      <c r="C331" s="4" t="s">
        <v>7</v>
      </c>
      <c r="D331" s="4" t="s">
        <v>603</v>
      </c>
      <c r="E331" s="2">
        <v>20000</v>
      </c>
      <c r="F331" s="2">
        <v>0</v>
      </c>
      <c r="G331" s="4">
        <v>45131.6</v>
      </c>
      <c r="H331" s="4" t="s">
        <v>354</v>
      </c>
      <c r="J331" s="8">
        <f t="shared" si="4"/>
        <v>0</v>
      </c>
    </row>
    <row r="332" spans="1:10" x14ac:dyDescent="0.3">
      <c r="A332" s="4">
        <v>315</v>
      </c>
      <c r="B332" s="3">
        <v>45681</v>
      </c>
      <c r="C332" s="4" t="s">
        <v>7</v>
      </c>
      <c r="D332" s="4" t="s">
        <v>604</v>
      </c>
      <c r="E332" s="2">
        <v>140</v>
      </c>
      <c r="F332" s="2">
        <v>0</v>
      </c>
      <c r="G332" s="4">
        <v>44991.6</v>
      </c>
      <c r="H332" s="4" t="s">
        <v>357</v>
      </c>
      <c r="J332" s="8">
        <f t="shared" si="4"/>
        <v>0</v>
      </c>
    </row>
    <row r="333" spans="1:10" x14ac:dyDescent="0.3">
      <c r="A333" s="4">
        <v>316</v>
      </c>
      <c r="B333" s="3">
        <v>45682</v>
      </c>
      <c r="C333" s="4" t="s">
        <v>7</v>
      </c>
      <c r="D333" s="4" t="s">
        <v>605</v>
      </c>
      <c r="E333" s="2">
        <v>20000</v>
      </c>
      <c r="F333" s="2">
        <v>0</v>
      </c>
      <c r="G333" s="4">
        <v>24991.599999999999</v>
      </c>
      <c r="H333" s="4" t="s">
        <v>356</v>
      </c>
      <c r="J333" s="8">
        <f t="shared" si="4"/>
        <v>0</v>
      </c>
    </row>
    <row r="334" spans="1:10" x14ac:dyDescent="0.3">
      <c r="A334" s="4">
        <v>317</v>
      </c>
      <c r="B334" s="3">
        <v>45682</v>
      </c>
      <c r="C334" s="4" t="s">
        <v>7</v>
      </c>
      <c r="D334" s="4" t="s">
        <v>606</v>
      </c>
      <c r="E334" s="2">
        <v>7000</v>
      </c>
      <c r="F334" s="2">
        <v>0</v>
      </c>
      <c r="G334" s="4">
        <v>17991.599999999999</v>
      </c>
      <c r="H334" s="4" t="s">
        <v>356</v>
      </c>
      <c r="J334" s="8">
        <f t="shared" si="4"/>
        <v>0</v>
      </c>
    </row>
    <row r="335" spans="1:10" x14ac:dyDescent="0.3">
      <c r="A335" s="4">
        <v>318</v>
      </c>
      <c r="B335" s="3">
        <v>45683</v>
      </c>
      <c r="C335" s="4" t="s">
        <v>7</v>
      </c>
      <c r="D335" s="4" t="s">
        <v>607</v>
      </c>
      <c r="E335" s="2">
        <v>7678</v>
      </c>
      <c r="F335" s="2">
        <v>0</v>
      </c>
      <c r="G335" s="4">
        <v>10313.6</v>
      </c>
      <c r="H335" s="4" t="s">
        <v>356</v>
      </c>
      <c r="J335" s="8">
        <f t="shared" si="4"/>
        <v>0</v>
      </c>
    </row>
    <row r="336" spans="1:10" x14ac:dyDescent="0.3">
      <c r="A336" s="4">
        <v>319</v>
      </c>
      <c r="B336" s="3">
        <v>45683</v>
      </c>
      <c r="C336" s="4" t="s">
        <v>7</v>
      </c>
      <c r="D336" s="4" t="s">
        <v>608</v>
      </c>
      <c r="E336" s="2">
        <v>30</v>
      </c>
      <c r="F336" s="2">
        <v>0</v>
      </c>
      <c r="G336" s="4">
        <v>10283.6</v>
      </c>
      <c r="H336" s="4" t="s">
        <v>356</v>
      </c>
      <c r="J336" s="8">
        <f t="shared" si="4"/>
        <v>0</v>
      </c>
    </row>
    <row r="337" spans="1:10" x14ac:dyDescent="0.3">
      <c r="A337" s="4">
        <v>320</v>
      </c>
      <c r="B337" s="3">
        <v>45683</v>
      </c>
      <c r="C337" s="4" t="s">
        <v>7</v>
      </c>
      <c r="D337" s="4" t="s">
        <v>609</v>
      </c>
      <c r="E337" s="2">
        <v>0</v>
      </c>
      <c r="F337" s="2">
        <v>100000</v>
      </c>
      <c r="G337" s="4">
        <v>110283.6</v>
      </c>
      <c r="H337" s="4" t="s">
        <v>1842</v>
      </c>
      <c r="J337" s="8">
        <f t="shared" si="4"/>
        <v>0</v>
      </c>
    </row>
    <row r="338" spans="1:10" x14ac:dyDescent="0.3">
      <c r="A338" s="4">
        <v>321</v>
      </c>
      <c r="B338" s="3">
        <v>45685</v>
      </c>
      <c r="C338" s="4" t="s">
        <v>7</v>
      </c>
      <c r="D338" s="4" t="s">
        <v>610</v>
      </c>
      <c r="E338" s="2">
        <v>70</v>
      </c>
      <c r="F338" s="2">
        <v>0</v>
      </c>
      <c r="G338" s="4">
        <v>110213.6</v>
      </c>
      <c r="H338" s="4" t="s">
        <v>356</v>
      </c>
      <c r="J338" s="8">
        <f t="shared" si="4"/>
        <v>0</v>
      </c>
    </row>
    <row r="339" spans="1:10" x14ac:dyDescent="0.3">
      <c r="A339" s="4">
        <v>322</v>
      </c>
      <c r="B339" s="3">
        <v>45687</v>
      </c>
      <c r="C339" s="4" t="s">
        <v>7</v>
      </c>
      <c r="D339" s="4" t="s">
        <v>611</v>
      </c>
      <c r="E339" s="2">
        <v>2600</v>
      </c>
      <c r="F339" s="2">
        <v>0</v>
      </c>
      <c r="G339" s="4">
        <v>107613.6</v>
      </c>
      <c r="H339" s="4" t="s">
        <v>356</v>
      </c>
      <c r="J339" s="8">
        <f t="shared" si="4"/>
        <v>0</v>
      </c>
    </row>
    <row r="340" spans="1:10" x14ac:dyDescent="0.3">
      <c r="A340" s="4">
        <v>323</v>
      </c>
      <c r="B340" s="3">
        <v>45689</v>
      </c>
      <c r="C340" s="4" t="s">
        <v>7</v>
      </c>
      <c r="D340" s="4" t="s">
        <v>612</v>
      </c>
      <c r="E340" s="2">
        <v>390</v>
      </c>
      <c r="F340" s="2">
        <v>0</v>
      </c>
      <c r="G340" s="4">
        <v>107223.6</v>
      </c>
      <c r="H340" s="4" t="s">
        <v>356</v>
      </c>
      <c r="J340" s="8">
        <f t="shared" si="4"/>
        <v>0</v>
      </c>
    </row>
    <row r="341" spans="1:10" x14ac:dyDescent="0.3">
      <c r="A341" s="4">
        <v>324</v>
      </c>
      <c r="B341" s="3">
        <v>45689</v>
      </c>
      <c r="C341" s="4" t="s">
        <v>7</v>
      </c>
      <c r="D341" s="4" t="s">
        <v>613</v>
      </c>
      <c r="E341" s="2">
        <v>9971</v>
      </c>
      <c r="F341" s="2">
        <v>0</v>
      </c>
      <c r="G341" s="4">
        <v>97252.6</v>
      </c>
      <c r="H341" s="4" t="s">
        <v>356</v>
      </c>
      <c r="J341" s="8">
        <f t="shared" ref="J341:J404" si="5">G340-E341+F341-G341</f>
        <v>0</v>
      </c>
    </row>
    <row r="342" spans="1:10" x14ac:dyDescent="0.3">
      <c r="A342" s="4">
        <v>325</v>
      </c>
      <c r="B342" s="3">
        <v>45689</v>
      </c>
      <c r="C342" s="4" t="s">
        <v>7</v>
      </c>
      <c r="D342" s="4" t="s">
        <v>614</v>
      </c>
      <c r="E342" s="2">
        <v>53000</v>
      </c>
      <c r="F342" s="2">
        <v>0</v>
      </c>
      <c r="G342" s="4">
        <v>44252.6</v>
      </c>
      <c r="H342" s="4" t="s">
        <v>356</v>
      </c>
      <c r="J342" s="8">
        <f t="shared" si="5"/>
        <v>0</v>
      </c>
    </row>
    <row r="343" spans="1:10" x14ac:dyDescent="0.3">
      <c r="A343" s="4">
        <v>326</v>
      </c>
      <c r="B343" s="3">
        <v>45690</v>
      </c>
      <c r="C343" s="4" t="s">
        <v>7</v>
      </c>
      <c r="D343" s="4" t="s">
        <v>615</v>
      </c>
      <c r="E343" s="2">
        <v>1145.2</v>
      </c>
      <c r="F343" s="2">
        <v>0</v>
      </c>
      <c r="G343" s="4">
        <v>43107.4</v>
      </c>
      <c r="H343" s="4" t="s">
        <v>356</v>
      </c>
      <c r="J343" s="8">
        <f t="shared" si="5"/>
        <v>0</v>
      </c>
    </row>
    <row r="344" spans="1:10" x14ac:dyDescent="0.3">
      <c r="A344" s="4">
        <v>327</v>
      </c>
      <c r="B344" s="3">
        <v>45691</v>
      </c>
      <c r="C344" s="4" t="s">
        <v>7</v>
      </c>
      <c r="D344" s="4" t="s">
        <v>616</v>
      </c>
      <c r="E344" s="2">
        <v>0</v>
      </c>
      <c r="F344" s="2">
        <v>100000</v>
      </c>
      <c r="G344" s="4">
        <v>143107.4</v>
      </c>
      <c r="H344" s="4" t="s">
        <v>372</v>
      </c>
      <c r="J344" s="8">
        <f t="shared" si="5"/>
        <v>0</v>
      </c>
    </row>
    <row r="345" spans="1:10" x14ac:dyDescent="0.3">
      <c r="A345" s="4">
        <v>328</v>
      </c>
      <c r="B345" s="3">
        <v>45693</v>
      </c>
      <c r="C345" s="4" t="s">
        <v>7</v>
      </c>
      <c r="D345" s="4" t="s">
        <v>617</v>
      </c>
      <c r="E345" s="2">
        <v>475</v>
      </c>
      <c r="F345" s="2">
        <v>0</v>
      </c>
      <c r="G345" s="4">
        <v>142632.4</v>
      </c>
      <c r="H345" s="4" t="s">
        <v>356</v>
      </c>
      <c r="J345" s="8">
        <f t="shared" si="5"/>
        <v>0</v>
      </c>
    </row>
    <row r="346" spans="1:10" x14ac:dyDescent="0.3">
      <c r="A346" s="4">
        <v>329</v>
      </c>
      <c r="B346" s="3">
        <v>45694</v>
      </c>
      <c r="C346" s="4" t="s">
        <v>7</v>
      </c>
      <c r="D346" s="4" t="s">
        <v>618</v>
      </c>
      <c r="E346" s="2">
        <v>39000</v>
      </c>
      <c r="F346" s="2">
        <v>0</v>
      </c>
      <c r="G346" s="4">
        <v>103632.4</v>
      </c>
      <c r="H346" s="4" t="s">
        <v>356</v>
      </c>
      <c r="J346" s="8">
        <f t="shared" si="5"/>
        <v>0</v>
      </c>
    </row>
    <row r="347" spans="1:10" x14ac:dyDescent="0.3">
      <c r="A347" s="4">
        <v>330</v>
      </c>
      <c r="B347" s="3">
        <v>45695</v>
      </c>
      <c r="C347" s="4" t="s">
        <v>7</v>
      </c>
      <c r="D347" s="4" t="s">
        <v>8</v>
      </c>
      <c r="E347" s="2">
        <v>59521.82</v>
      </c>
      <c r="F347" s="2">
        <v>0</v>
      </c>
      <c r="G347" s="4">
        <v>44110.58</v>
      </c>
      <c r="H347" s="4" t="s">
        <v>1877</v>
      </c>
      <c r="J347" s="8">
        <f t="shared" si="5"/>
        <v>0</v>
      </c>
    </row>
    <row r="348" spans="1:10" x14ac:dyDescent="0.3">
      <c r="A348" s="4">
        <v>331</v>
      </c>
      <c r="B348" s="3">
        <v>45697</v>
      </c>
      <c r="C348" s="4" t="s">
        <v>7</v>
      </c>
      <c r="D348" s="4" t="s">
        <v>619</v>
      </c>
      <c r="E348" s="2">
        <v>260</v>
      </c>
      <c r="F348" s="2">
        <v>0</v>
      </c>
      <c r="G348" s="4">
        <v>43850.58</v>
      </c>
      <c r="H348" s="4" t="s">
        <v>356</v>
      </c>
      <c r="J348" s="8">
        <f t="shared" si="5"/>
        <v>0</v>
      </c>
    </row>
    <row r="349" spans="1:10" x14ac:dyDescent="0.3">
      <c r="A349" s="4">
        <v>332</v>
      </c>
      <c r="B349" s="3">
        <v>45697</v>
      </c>
      <c r="C349" s="4" t="s">
        <v>7</v>
      </c>
      <c r="D349" s="4" t="s">
        <v>620</v>
      </c>
      <c r="E349" s="2">
        <v>160</v>
      </c>
      <c r="F349" s="2">
        <v>0</v>
      </c>
      <c r="G349" s="4">
        <v>43690.58</v>
      </c>
      <c r="H349" s="4" t="s">
        <v>356</v>
      </c>
      <c r="J349" s="8">
        <f t="shared" si="5"/>
        <v>0</v>
      </c>
    </row>
    <row r="350" spans="1:10" x14ac:dyDescent="0.3">
      <c r="A350" s="4">
        <v>333</v>
      </c>
      <c r="B350" s="3">
        <v>45697</v>
      </c>
      <c r="C350" s="4" t="s">
        <v>7</v>
      </c>
      <c r="D350" s="4" t="s">
        <v>621</v>
      </c>
      <c r="E350" s="2">
        <v>80</v>
      </c>
      <c r="F350" s="2">
        <v>0</v>
      </c>
      <c r="G350" s="4">
        <v>43610.58</v>
      </c>
      <c r="H350" s="4" t="s">
        <v>356</v>
      </c>
      <c r="J350" s="8">
        <f t="shared" si="5"/>
        <v>0</v>
      </c>
    </row>
    <row r="351" spans="1:10" x14ac:dyDescent="0.3">
      <c r="A351" s="4">
        <v>334</v>
      </c>
      <c r="B351" s="3">
        <v>45697</v>
      </c>
      <c r="C351" s="4" t="s">
        <v>7</v>
      </c>
      <c r="D351" s="4" t="s">
        <v>622</v>
      </c>
      <c r="E351" s="2">
        <v>480</v>
      </c>
      <c r="F351" s="2">
        <v>0</v>
      </c>
      <c r="G351" s="4">
        <v>43130.58</v>
      </c>
      <c r="H351" s="4" t="s">
        <v>356</v>
      </c>
      <c r="J351" s="8">
        <f t="shared" si="5"/>
        <v>0</v>
      </c>
    </row>
    <row r="352" spans="1:10" x14ac:dyDescent="0.3">
      <c r="A352" s="4">
        <v>335</v>
      </c>
      <c r="B352" s="3">
        <v>45698</v>
      </c>
      <c r="C352" s="4" t="s">
        <v>7</v>
      </c>
      <c r="D352" s="4" t="s">
        <v>623</v>
      </c>
      <c r="E352" s="2">
        <v>7000</v>
      </c>
      <c r="F352" s="2">
        <v>0</v>
      </c>
      <c r="G352" s="4">
        <v>36130.58</v>
      </c>
      <c r="H352" s="4" t="s">
        <v>356</v>
      </c>
      <c r="J352" s="8">
        <f t="shared" si="5"/>
        <v>0</v>
      </c>
    </row>
    <row r="353" spans="1:10" x14ac:dyDescent="0.3">
      <c r="A353" s="4">
        <v>336</v>
      </c>
      <c r="B353" s="3">
        <v>45699</v>
      </c>
      <c r="C353" s="4" t="s">
        <v>7</v>
      </c>
      <c r="D353" s="4" t="s">
        <v>624</v>
      </c>
      <c r="E353" s="2">
        <v>1500</v>
      </c>
      <c r="F353" s="2">
        <v>0</v>
      </c>
      <c r="G353" s="4">
        <v>34630.58</v>
      </c>
      <c r="H353" s="4" t="s">
        <v>356</v>
      </c>
      <c r="J353" s="8">
        <f t="shared" si="5"/>
        <v>0</v>
      </c>
    </row>
    <row r="354" spans="1:10" x14ac:dyDescent="0.3">
      <c r="A354" s="4">
        <v>337</v>
      </c>
      <c r="B354" s="3">
        <v>45699</v>
      </c>
      <c r="C354" s="4" t="s">
        <v>7</v>
      </c>
      <c r="D354" s="4" t="s">
        <v>625</v>
      </c>
      <c r="E354" s="2">
        <v>2120</v>
      </c>
      <c r="F354" s="2">
        <v>0</v>
      </c>
      <c r="G354" s="4">
        <v>32510.58</v>
      </c>
      <c r="H354" s="4" t="s">
        <v>356</v>
      </c>
      <c r="J354" s="8">
        <f t="shared" si="5"/>
        <v>0</v>
      </c>
    </row>
    <row r="355" spans="1:10" x14ac:dyDescent="0.3">
      <c r="A355" s="4">
        <v>338</v>
      </c>
      <c r="B355" s="3">
        <v>45700</v>
      </c>
      <c r="C355" s="4" t="s">
        <v>7</v>
      </c>
      <c r="D355" s="4" t="s">
        <v>626</v>
      </c>
      <c r="E355" s="2">
        <v>5000</v>
      </c>
      <c r="F355" s="2">
        <v>0</v>
      </c>
      <c r="G355" s="4">
        <v>27510.58</v>
      </c>
      <c r="H355" s="4" t="s">
        <v>356</v>
      </c>
      <c r="J355" s="8">
        <f t="shared" si="5"/>
        <v>0</v>
      </c>
    </row>
    <row r="356" spans="1:10" x14ac:dyDescent="0.3">
      <c r="A356" s="4">
        <v>339</v>
      </c>
      <c r="B356" s="3">
        <v>45705</v>
      </c>
      <c r="C356" s="4" t="s">
        <v>7</v>
      </c>
      <c r="D356" s="4" t="s">
        <v>627</v>
      </c>
      <c r="E356" s="2">
        <v>30</v>
      </c>
      <c r="F356" s="2">
        <v>0</v>
      </c>
      <c r="G356" s="4">
        <v>27480.58</v>
      </c>
      <c r="H356" s="4" t="s">
        <v>356</v>
      </c>
      <c r="J356" s="8">
        <f t="shared" si="5"/>
        <v>0</v>
      </c>
    </row>
    <row r="357" spans="1:10" x14ac:dyDescent="0.3">
      <c r="A357" s="4">
        <v>340</v>
      </c>
      <c r="B357" s="3">
        <v>45707</v>
      </c>
      <c r="C357" s="4" t="s">
        <v>7</v>
      </c>
      <c r="D357" s="4" t="s">
        <v>628</v>
      </c>
      <c r="E357" s="2">
        <v>160</v>
      </c>
      <c r="F357" s="2">
        <v>0</v>
      </c>
      <c r="G357" s="4">
        <v>27320.58</v>
      </c>
      <c r="H357" s="4" t="s">
        <v>356</v>
      </c>
      <c r="J357" s="8">
        <f t="shared" si="5"/>
        <v>0</v>
      </c>
    </row>
    <row r="358" spans="1:10" x14ac:dyDescent="0.3">
      <c r="A358" s="4">
        <v>341</v>
      </c>
      <c r="B358" s="3">
        <v>45711</v>
      </c>
      <c r="C358" s="4" t="s">
        <v>7</v>
      </c>
      <c r="D358" s="4" t="s">
        <v>629</v>
      </c>
      <c r="E358" s="2">
        <v>20</v>
      </c>
      <c r="F358" s="2">
        <v>0</v>
      </c>
      <c r="G358" s="4">
        <v>27300.58</v>
      </c>
      <c r="H358" s="4" t="s">
        <v>356</v>
      </c>
      <c r="J358" s="8">
        <f t="shared" si="5"/>
        <v>0</v>
      </c>
    </row>
    <row r="359" spans="1:10" x14ac:dyDescent="0.3">
      <c r="A359" s="4">
        <v>342</v>
      </c>
      <c r="B359" s="3">
        <v>45711</v>
      </c>
      <c r="C359" s="4" t="s">
        <v>7</v>
      </c>
      <c r="D359" s="4" t="s">
        <v>630</v>
      </c>
      <c r="E359" s="2">
        <v>1440</v>
      </c>
      <c r="F359" s="2">
        <v>0</v>
      </c>
      <c r="G359" s="4">
        <v>25860.58</v>
      </c>
      <c r="H359" s="4" t="s">
        <v>357</v>
      </c>
      <c r="J359" s="8">
        <f t="shared" si="5"/>
        <v>0</v>
      </c>
    </row>
    <row r="360" spans="1:10" x14ac:dyDescent="0.3">
      <c r="A360" s="4">
        <v>343</v>
      </c>
      <c r="B360" s="3">
        <v>45712</v>
      </c>
      <c r="C360" s="4" t="s">
        <v>7</v>
      </c>
      <c r="D360" s="4" t="s">
        <v>631</v>
      </c>
      <c r="E360" s="2">
        <v>105</v>
      </c>
      <c r="F360" s="2">
        <v>0</v>
      </c>
      <c r="G360" s="4">
        <v>25755.58</v>
      </c>
      <c r="H360" s="4" t="s">
        <v>356</v>
      </c>
      <c r="J360" s="8">
        <f t="shared" si="5"/>
        <v>0</v>
      </c>
    </row>
    <row r="361" spans="1:10" x14ac:dyDescent="0.3">
      <c r="A361" s="4">
        <v>344</v>
      </c>
      <c r="B361" s="3">
        <v>45712</v>
      </c>
      <c r="C361" s="4" t="s">
        <v>7</v>
      </c>
      <c r="D361" s="4" t="s">
        <v>632</v>
      </c>
      <c r="E361" s="2">
        <v>1000</v>
      </c>
      <c r="F361" s="2">
        <v>0</v>
      </c>
      <c r="G361" s="4">
        <v>24755.58</v>
      </c>
      <c r="H361" s="4" t="s">
        <v>356</v>
      </c>
      <c r="J361" s="8">
        <f t="shared" si="5"/>
        <v>0</v>
      </c>
    </row>
    <row r="362" spans="1:10" x14ac:dyDescent="0.3">
      <c r="A362" s="4">
        <v>345</v>
      </c>
      <c r="B362" s="3">
        <v>45712</v>
      </c>
      <c r="C362" s="4" t="s">
        <v>7</v>
      </c>
      <c r="D362" s="4" t="s">
        <v>633</v>
      </c>
      <c r="E362" s="2">
        <v>1154.55</v>
      </c>
      <c r="F362" s="2">
        <v>0</v>
      </c>
      <c r="G362" s="4">
        <v>23601.03</v>
      </c>
      <c r="H362" s="4" t="s">
        <v>356</v>
      </c>
      <c r="J362" s="8">
        <f t="shared" si="5"/>
        <v>0</v>
      </c>
    </row>
    <row r="363" spans="1:10" x14ac:dyDescent="0.3">
      <c r="A363" s="4">
        <v>346</v>
      </c>
      <c r="B363" s="3">
        <v>45712</v>
      </c>
      <c r="C363" s="4" t="s">
        <v>7</v>
      </c>
      <c r="D363" s="4" t="s">
        <v>634</v>
      </c>
      <c r="E363" s="2">
        <v>1550</v>
      </c>
      <c r="F363" s="2">
        <v>0</v>
      </c>
      <c r="G363" s="4">
        <v>22051.03</v>
      </c>
      <c r="H363" s="4" t="s">
        <v>356</v>
      </c>
      <c r="J363" s="8">
        <f t="shared" si="5"/>
        <v>0</v>
      </c>
    </row>
    <row r="364" spans="1:10" x14ac:dyDescent="0.3">
      <c r="A364" s="4">
        <v>347</v>
      </c>
      <c r="B364" s="3">
        <v>45713</v>
      </c>
      <c r="C364" s="4" t="s">
        <v>7</v>
      </c>
      <c r="D364" s="4" t="s">
        <v>635</v>
      </c>
      <c r="E364" s="2">
        <v>5</v>
      </c>
      <c r="F364" s="2">
        <v>0</v>
      </c>
      <c r="G364" s="4">
        <v>22046.03</v>
      </c>
      <c r="H364" s="4" t="s">
        <v>356</v>
      </c>
      <c r="J364" s="8">
        <f t="shared" si="5"/>
        <v>0</v>
      </c>
    </row>
    <row r="365" spans="1:10" x14ac:dyDescent="0.3">
      <c r="A365" s="4">
        <v>348</v>
      </c>
      <c r="B365" s="3">
        <v>45713</v>
      </c>
      <c r="C365" s="4" t="s">
        <v>7</v>
      </c>
      <c r="D365" s="4" t="s">
        <v>636</v>
      </c>
      <c r="E365" s="2">
        <v>7</v>
      </c>
      <c r="F365" s="2">
        <v>0</v>
      </c>
      <c r="G365" s="4">
        <v>22039.03</v>
      </c>
      <c r="H365" s="4" t="s">
        <v>356</v>
      </c>
      <c r="J365" s="8">
        <f t="shared" si="5"/>
        <v>0</v>
      </c>
    </row>
    <row r="366" spans="1:10" x14ac:dyDescent="0.3">
      <c r="A366" s="4">
        <v>349</v>
      </c>
      <c r="B366" s="3">
        <v>45715</v>
      </c>
      <c r="C366" s="4" t="s">
        <v>7</v>
      </c>
      <c r="D366" s="4" t="s">
        <v>637</v>
      </c>
      <c r="E366" s="2">
        <v>155</v>
      </c>
      <c r="F366" s="2">
        <v>0</v>
      </c>
      <c r="G366" s="4">
        <v>21884.03</v>
      </c>
      <c r="H366" s="4" t="s">
        <v>356</v>
      </c>
      <c r="J366" s="8">
        <f t="shared" si="5"/>
        <v>0</v>
      </c>
    </row>
    <row r="367" spans="1:10" x14ac:dyDescent="0.3">
      <c r="A367" s="4">
        <v>350</v>
      </c>
      <c r="B367" s="3">
        <v>45715</v>
      </c>
      <c r="C367" s="4" t="s">
        <v>7</v>
      </c>
      <c r="D367" s="4" t="s">
        <v>638</v>
      </c>
      <c r="E367" s="2">
        <v>2650</v>
      </c>
      <c r="F367" s="2">
        <v>0</v>
      </c>
      <c r="G367" s="4">
        <v>19234.03</v>
      </c>
      <c r="H367" s="4" t="s">
        <v>356</v>
      </c>
      <c r="J367" s="8">
        <f t="shared" si="5"/>
        <v>0</v>
      </c>
    </row>
    <row r="368" spans="1:10" x14ac:dyDescent="0.3">
      <c r="A368" s="4">
        <v>351</v>
      </c>
      <c r="B368" s="3">
        <v>45717</v>
      </c>
      <c r="C368" s="4" t="s">
        <v>7</v>
      </c>
      <c r="D368" s="4" t="s">
        <v>639</v>
      </c>
      <c r="E368" s="2">
        <v>70</v>
      </c>
      <c r="F368" s="2">
        <v>0</v>
      </c>
      <c r="G368" s="4">
        <v>19164.03</v>
      </c>
      <c r="H368" s="4" t="s">
        <v>356</v>
      </c>
      <c r="J368" s="8">
        <f t="shared" si="5"/>
        <v>0</v>
      </c>
    </row>
    <row r="369" spans="1:10" x14ac:dyDescent="0.3">
      <c r="A369" s="4">
        <v>352</v>
      </c>
      <c r="B369" s="3">
        <v>45719</v>
      </c>
      <c r="C369" s="4" t="s">
        <v>7</v>
      </c>
      <c r="D369" s="4" t="s">
        <v>640</v>
      </c>
      <c r="E369" s="2">
        <v>366</v>
      </c>
      <c r="F369" s="2">
        <v>0</v>
      </c>
      <c r="G369" s="4">
        <v>18798.03</v>
      </c>
      <c r="H369" s="4" t="s">
        <v>356</v>
      </c>
      <c r="J369" s="8">
        <f t="shared" si="5"/>
        <v>0</v>
      </c>
    </row>
    <row r="370" spans="1:10" x14ac:dyDescent="0.3">
      <c r="A370" s="4">
        <v>353</v>
      </c>
      <c r="B370" s="3">
        <v>45719</v>
      </c>
      <c r="C370" s="4" t="s">
        <v>7</v>
      </c>
      <c r="D370" s="4" t="s">
        <v>641</v>
      </c>
      <c r="E370" s="2">
        <v>300</v>
      </c>
      <c r="F370" s="2">
        <v>0</v>
      </c>
      <c r="G370" s="4">
        <v>18498.03</v>
      </c>
      <c r="H370" s="4" t="s">
        <v>356</v>
      </c>
      <c r="J370" s="8">
        <f t="shared" si="5"/>
        <v>0</v>
      </c>
    </row>
    <row r="371" spans="1:10" x14ac:dyDescent="0.3">
      <c r="A371" s="4">
        <v>354</v>
      </c>
      <c r="B371" s="3">
        <v>45721</v>
      </c>
      <c r="C371" s="4" t="s">
        <v>7</v>
      </c>
      <c r="D371" s="4" t="s">
        <v>642</v>
      </c>
      <c r="E371" s="2">
        <v>60</v>
      </c>
      <c r="F371" s="2">
        <v>0</v>
      </c>
      <c r="G371" s="4">
        <v>18438.03</v>
      </c>
      <c r="H371" s="4" t="s">
        <v>356</v>
      </c>
      <c r="J371" s="8">
        <f t="shared" si="5"/>
        <v>0</v>
      </c>
    </row>
    <row r="372" spans="1:10" x14ac:dyDescent="0.3">
      <c r="A372" s="4">
        <v>355</v>
      </c>
      <c r="B372" s="3">
        <v>45721</v>
      </c>
      <c r="C372" s="4" t="s">
        <v>7</v>
      </c>
      <c r="D372" s="4" t="s">
        <v>643</v>
      </c>
      <c r="E372" s="2">
        <v>650</v>
      </c>
      <c r="F372" s="2">
        <v>0</v>
      </c>
      <c r="G372" s="4">
        <v>17788.03</v>
      </c>
      <c r="H372" s="4" t="s">
        <v>356</v>
      </c>
      <c r="J372" s="8">
        <f t="shared" si="5"/>
        <v>0</v>
      </c>
    </row>
    <row r="373" spans="1:10" x14ac:dyDescent="0.3">
      <c r="A373" s="4">
        <v>356</v>
      </c>
      <c r="B373" s="3">
        <v>45724</v>
      </c>
      <c r="C373" s="4" t="s">
        <v>7</v>
      </c>
      <c r="D373" s="4" t="s">
        <v>644</v>
      </c>
      <c r="E373" s="2">
        <v>100</v>
      </c>
      <c r="F373" s="2">
        <v>0</v>
      </c>
      <c r="G373" s="4">
        <v>17688.03</v>
      </c>
      <c r="H373" s="4" t="s">
        <v>356</v>
      </c>
      <c r="J373" s="8">
        <f t="shared" si="5"/>
        <v>0</v>
      </c>
    </row>
    <row r="374" spans="1:10" x14ac:dyDescent="0.3">
      <c r="A374" s="4">
        <v>357</v>
      </c>
      <c r="B374" s="3">
        <v>45724</v>
      </c>
      <c r="C374" s="4" t="s">
        <v>7</v>
      </c>
      <c r="D374" s="4" t="s">
        <v>645</v>
      </c>
      <c r="E374" s="2">
        <v>240</v>
      </c>
      <c r="F374" s="2">
        <v>0</v>
      </c>
      <c r="G374" s="4">
        <v>17448.03</v>
      </c>
      <c r="H374" s="4" t="s">
        <v>356</v>
      </c>
      <c r="J374" s="8">
        <f t="shared" si="5"/>
        <v>0</v>
      </c>
    </row>
    <row r="375" spans="1:10" x14ac:dyDescent="0.3">
      <c r="A375" s="4">
        <v>358</v>
      </c>
      <c r="B375" s="3">
        <v>45724</v>
      </c>
      <c r="C375" s="4" t="s">
        <v>7</v>
      </c>
      <c r="D375" s="4" t="s">
        <v>646</v>
      </c>
      <c r="E375" s="2">
        <v>50</v>
      </c>
      <c r="F375" s="2">
        <v>0</v>
      </c>
      <c r="G375" s="4">
        <v>17398.03</v>
      </c>
      <c r="H375" s="4" t="s">
        <v>356</v>
      </c>
      <c r="J375" s="8">
        <f t="shared" si="5"/>
        <v>0</v>
      </c>
    </row>
    <row r="376" spans="1:10" x14ac:dyDescent="0.3">
      <c r="A376" s="4">
        <v>359</v>
      </c>
      <c r="B376" s="3">
        <v>45724</v>
      </c>
      <c r="C376" s="4" t="s">
        <v>7</v>
      </c>
      <c r="D376" s="4" t="s">
        <v>647</v>
      </c>
      <c r="E376" s="2">
        <v>41</v>
      </c>
      <c r="F376" s="2">
        <v>0</v>
      </c>
      <c r="G376" s="4">
        <v>17357.03</v>
      </c>
      <c r="H376" s="4" t="s">
        <v>356</v>
      </c>
      <c r="J376" s="8">
        <f t="shared" si="5"/>
        <v>0</v>
      </c>
    </row>
    <row r="377" spans="1:10" x14ac:dyDescent="0.3">
      <c r="A377" s="4">
        <v>360</v>
      </c>
      <c r="B377" s="3">
        <v>45725</v>
      </c>
      <c r="C377" s="4" t="s">
        <v>7</v>
      </c>
      <c r="D377" s="4" t="s">
        <v>648</v>
      </c>
      <c r="E377" s="2">
        <v>140</v>
      </c>
      <c r="F377" s="2">
        <v>0</v>
      </c>
      <c r="G377" s="4">
        <v>17217.03</v>
      </c>
      <c r="H377" s="4" t="s">
        <v>356</v>
      </c>
      <c r="J377" s="8">
        <f t="shared" si="5"/>
        <v>0</v>
      </c>
    </row>
    <row r="378" spans="1:10" x14ac:dyDescent="0.3">
      <c r="A378" s="4">
        <v>361</v>
      </c>
      <c r="B378" s="3">
        <v>45725</v>
      </c>
      <c r="C378" s="4" t="s">
        <v>7</v>
      </c>
      <c r="D378" s="4" t="s">
        <v>649</v>
      </c>
      <c r="E378" s="2">
        <v>531</v>
      </c>
      <c r="F378" s="2">
        <v>0</v>
      </c>
      <c r="G378" s="4">
        <v>16686.03</v>
      </c>
      <c r="H378" s="4" t="s">
        <v>356</v>
      </c>
      <c r="J378" s="8">
        <f t="shared" si="5"/>
        <v>0</v>
      </c>
    </row>
    <row r="379" spans="1:10" x14ac:dyDescent="0.3">
      <c r="A379" s="4">
        <v>362</v>
      </c>
      <c r="B379" s="3">
        <v>45725</v>
      </c>
      <c r="C379" s="4" t="s">
        <v>7</v>
      </c>
      <c r="D379" s="4" t="s">
        <v>650</v>
      </c>
      <c r="E379" s="2">
        <v>879.1</v>
      </c>
      <c r="F379" s="2">
        <v>0</v>
      </c>
      <c r="G379" s="4">
        <v>15806.93</v>
      </c>
      <c r="H379" s="4" t="s">
        <v>356</v>
      </c>
      <c r="J379" s="8">
        <f t="shared" si="5"/>
        <v>0</v>
      </c>
    </row>
    <row r="380" spans="1:10" x14ac:dyDescent="0.3">
      <c r="A380" s="4">
        <v>363</v>
      </c>
      <c r="B380" s="3">
        <v>45726</v>
      </c>
      <c r="C380" s="4" t="s">
        <v>7</v>
      </c>
      <c r="D380" s="4" t="s">
        <v>651</v>
      </c>
      <c r="E380" s="2">
        <v>80</v>
      </c>
      <c r="F380" s="2">
        <v>0</v>
      </c>
      <c r="G380" s="4">
        <v>15726.93</v>
      </c>
      <c r="H380" s="4" t="s">
        <v>356</v>
      </c>
      <c r="J380" s="8">
        <f t="shared" si="5"/>
        <v>0</v>
      </c>
    </row>
    <row r="381" spans="1:10" x14ac:dyDescent="0.3">
      <c r="A381" s="4">
        <v>364</v>
      </c>
      <c r="B381" s="3">
        <v>45726</v>
      </c>
      <c r="C381" s="4" t="s">
        <v>7</v>
      </c>
      <c r="D381" s="4" t="s">
        <v>8</v>
      </c>
      <c r="E381" s="2">
        <v>10669.06</v>
      </c>
      <c r="F381" s="2">
        <v>0</v>
      </c>
      <c r="G381" s="4">
        <v>5057.87</v>
      </c>
      <c r="H381" s="4" t="s">
        <v>1877</v>
      </c>
      <c r="J381" s="8">
        <f t="shared" si="5"/>
        <v>0</v>
      </c>
    </row>
    <row r="382" spans="1:10" x14ac:dyDescent="0.3">
      <c r="A382" s="4">
        <v>365</v>
      </c>
      <c r="B382" s="3">
        <v>45726</v>
      </c>
      <c r="C382" s="4" t="s">
        <v>7</v>
      </c>
      <c r="D382" s="4" t="s">
        <v>652</v>
      </c>
      <c r="E382" s="2">
        <v>0</v>
      </c>
      <c r="F382" s="2">
        <v>50000</v>
      </c>
      <c r="G382" s="4">
        <v>55057.87</v>
      </c>
      <c r="H382" s="4" t="s">
        <v>372</v>
      </c>
      <c r="J382" s="8">
        <f t="shared" si="5"/>
        <v>0</v>
      </c>
    </row>
    <row r="383" spans="1:10" x14ac:dyDescent="0.3">
      <c r="A383" s="4">
        <v>366</v>
      </c>
      <c r="B383" s="3">
        <v>45728</v>
      </c>
      <c r="C383" s="4" t="s">
        <v>7</v>
      </c>
      <c r="D383" s="4" t="s">
        <v>653</v>
      </c>
      <c r="E383" s="2">
        <v>1646.52</v>
      </c>
      <c r="F383" s="2">
        <v>0</v>
      </c>
      <c r="G383" s="4">
        <v>53411.35</v>
      </c>
      <c r="H383" s="4" t="s">
        <v>356</v>
      </c>
      <c r="J383" s="8">
        <f t="shared" si="5"/>
        <v>0</v>
      </c>
    </row>
    <row r="384" spans="1:10" x14ac:dyDescent="0.3">
      <c r="A384" s="4">
        <v>367</v>
      </c>
      <c r="B384" s="3">
        <v>45730</v>
      </c>
      <c r="C384" s="4" t="s">
        <v>7</v>
      </c>
      <c r="D384" s="4" t="s">
        <v>654</v>
      </c>
      <c r="E384" s="2">
        <v>30</v>
      </c>
      <c r="F384" s="2">
        <v>0</v>
      </c>
      <c r="G384" s="4">
        <v>53381.35</v>
      </c>
      <c r="H384" s="4" t="s">
        <v>356</v>
      </c>
      <c r="J384" s="8">
        <f t="shared" si="5"/>
        <v>0</v>
      </c>
    </row>
    <row r="385" spans="1:10" x14ac:dyDescent="0.3">
      <c r="A385" s="4">
        <v>368</v>
      </c>
      <c r="B385" s="3">
        <v>45730</v>
      </c>
      <c r="C385" s="4" t="s">
        <v>7</v>
      </c>
      <c r="D385" s="4" t="s">
        <v>655</v>
      </c>
      <c r="E385" s="2">
        <v>40</v>
      </c>
      <c r="F385" s="2">
        <v>0</v>
      </c>
      <c r="G385" s="4">
        <v>53341.35</v>
      </c>
      <c r="H385" s="4" t="s">
        <v>356</v>
      </c>
      <c r="J385" s="8">
        <f t="shared" si="5"/>
        <v>0</v>
      </c>
    </row>
    <row r="386" spans="1:10" x14ac:dyDescent="0.3">
      <c r="A386" s="4">
        <v>369</v>
      </c>
      <c r="B386" s="3">
        <v>45730</v>
      </c>
      <c r="C386" s="4" t="s">
        <v>7</v>
      </c>
      <c r="D386" s="4" t="s">
        <v>656</v>
      </c>
      <c r="E386" s="2">
        <v>70</v>
      </c>
      <c r="F386" s="2">
        <v>0</v>
      </c>
      <c r="G386" s="4">
        <v>53271.35</v>
      </c>
      <c r="H386" s="4" t="s">
        <v>356</v>
      </c>
      <c r="J386" s="8">
        <f t="shared" si="5"/>
        <v>0</v>
      </c>
    </row>
    <row r="387" spans="1:10" x14ac:dyDescent="0.3">
      <c r="A387" s="4">
        <v>370</v>
      </c>
      <c r="B387" s="3">
        <v>45730</v>
      </c>
      <c r="C387" s="4" t="s">
        <v>7</v>
      </c>
      <c r="D387" s="4" t="s">
        <v>657</v>
      </c>
      <c r="E387" s="2">
        <v>9</v>
      </c>
      <c r="F387" s="2">
        <v>0</v>
      </c>
      <c r="G387" s="4">
        <v>53262.35</v>
      </c>
      <c r="H387" s="4" t="s">
        <v>356</v>
      </c>
      <c r="J387" s="8">
        <f t="shared" si="5"/>
        <v>0</v>
      </c>
    </row>
    <row r="388" spans="1:10" x14ac:dyDescent="0.3">
      <c r="A388" s="4">
        <v>371</v>
      </c>
      <c r="B388" s="3">
        <v>45731</v>
      </c>
      <c r="C388" s="4" t="s">
        <v>7</v>
      </c>
      <c r="D388" s="4" t="s">
        <v>658</v>
      </c>
      <c r="E388" s="2">
        <v>21000</v>
      </c>
      <c r="F388" s="2">
        <v>0</v>
      </c>
      <c r="G388" s="4">
        <v>32262.35</v>
      </c>
      <c r="H388" s="4" t="s">
        <v>1869</v>
      </c>
      <c r="J388" s="8">
        <f t="shared" si="5"/>
        <v>0</v>
      </c>
    </row>
    <row r="389" spans="1:10" x14ac:dyDescent="0.3">
      <c r="A389" s="4">
        <v>372</v>
      </c>
      <c r="B389" s="3">
        <v>45731</v>
      </c>
      <c r="C389" s="4" t="s">
        <v>7</v>
      </c>
      <c r="D389" s="4" t="s">
        <v>659</v>
      </c>
      <c r="E389" s="2">
        <v>33</v>
      </c>
      <c r="F389" s="2">
        <v>0</v>
      </c>
      <c r="G389" s="4">
        <v>32229.35</v>
      </c>
      <c r="H389" s="4" t="s">
        <v>356</v>
      </c>
      <c r="J389" s="8">
        <f t="shared" si="5"/>
        <v>0</v>
      </c>
    </row>
    <row r="390" spans="1:10" x14ac:dyDescent="0.3">
      <c r="A390" s="4">
        <v>373</v>
      </c>
      <c r="B390" s="3">
        <v>45731</v>
      </c>
      <c r="C390" s="4" t="s">
        <v>7</v>
      </c>
      <c r="D390" s="4" t="s">
        <v>660</v>
      </c>
      <c r="E390" s="2">
        <v>20</v>
      </c>
      <c r="F390" s="2">
        <v>0</v>
      </c>
      <c r="G390" s="4">
        <v>32209.35</v>
      </c>
      <c r="H390" s="4" t="s">
        <v>356</v>
      </c>
      <c r="J390" s="8">
        <f t="shared" si="5"/>
        <v>0</v>
      </c>
    </row>
    <row r="391" spans="1:10" x14ac:dyDescent="0.3">
      <c r="A391" s="4">
        <v>374</v>
      </c>
      <c r="B391" s="3">
        <v>45733</v>
      </c>
      <c r="C391" s="4" t="s">
        <v>7</v>
      </c>
      <c r="D391" s="4" t="s">
        <v>661</v>
      </c>
      <c r="E391" s="2">
        <v>709.3</v>
      </c>
      <c r="F391" s="2">
        <v>0</v>
      </c>
      <c r="G391" s="4">
        <v>31500.05</v>
      </c>
      <c r="H391" s="4" t="s">
        <v>356</v>
      </c>
      <c r="J391" s="8">
        <f t="shared" si="5"/>
        <v>0</v>
      </c>
    </row>
    <row r="392" spans="1:10" x14ac:dyDescent="0.3">
      <c r="A392" s="4">
        <v>375</v>
      </c>
      <c r="B392" s="3">
        <v>45734</v>
      </c>
      <c r="C392" s="4" t="s">
        <v>7</v>
      </c>
      <c r="D392" s="4" t="s">
        <v>662</v>
      </c>
      <c r="E392" s="2">
        <v>80</v>
      </c>
      <c r="F392" s="2">
        <v>0</v>
      </c>
      <c r="G392" s="4">
        <v>31420.05</v>
      </c>
      <c r="H392" s="4" t="s">
        <v>356</v>
      </c>
      <c r="J392" s="8">
        <f t="shared" si="5"/>
        <v>0</v>
      </c>
    </row>
    <row r="393" spans="1:10" x14ac:dyDescent="0.3">
      <c r="A393" s="4">
        <v>376</v>
      </c>
      <c r="B393" s="3">
        <v>45734</v>
      </c>
      <c r="C393" s="4" t="s">
        <v>7</v>
      </c>
      <c r="D393" s="4" t="s">
        <v>663</v>
      </c>
      <c r="E393" s="2">
        <v>0</v>
      </c>
      <c r="F393" s="2">
        <v>500</v>
      </c>
      <c r="G393" s="4">
        <v>31920.05</v>
      </c>
      <c r="H393" s="4" t="s">
        <v>1866</v>
      </c>
      <c r="J393" s="8">
        <f t="shared" si="5"/>
        <v>0</v>
      </c>
    </row>
    <row r="394" spans="1:10" x14ac:dyDescent="0.3">
      <c r="A394" s="4">
        <v>377</v>
      </c>
      <c r="B394" s="3">
        <v>45735</v>
      </c>
      <c r="C394" s="4" t="s">
        <v>7</v>
      </c>
      <c r="D394" s="4" t="s">
        <v>664</v>
      </c>
      <c r="E394" s="2">
        <v>50</v>
      </c>
      <c r="F394" s="2">
        <v>0</v>
      </c>
      <c r="G394" s="4">
        <v>31870.05</v>
      </c>
      <c r="H394" s="4" t="s">
        <v>356</v>
      </c>
      <c r="J394" s="8">
        <f t="shared" si="5"/>
        <v>0</v>
      </c>
    </row>
    <row r="395" spans="1:10" x14ac:dyDescent="0.3">
      <c r="A395" s="4">
        <v>378</v>
      </c>
      <c r="B395" s="3">
        <v>45735</v>
      </c>
      <c r="C395" s="4" t="s">
        <v>7</v>
      </c>
      <c r="D395" s="4" t="s">
        <v>665</v>
      </c>
      <c r="E395" s="2">
        <v>160</v>
      </c>
      <c r="F395" s="2">
        <v>0</v>
      </c>
      <c r="G395" s="4">
        <v>31710.05</v>
      </c>
      <c r="H395" s="4" t="s">
        <v>356</v>
      </c>
      <c r="J395" s="8">
        <f t="shared" si="5"/>
        <v>0</v>
      </c>
    </row>
    <row r="396" spans="1:10" x14ac:dyDescent="0.3">
      <c r="A396" s="4">
        <v>379</v>
      </c>
      <c r="B396" s="3">
        <v>45736</v>
      </c>
      <c r="C396" s="4" t="s">
        <v>7</v>
      </c>
      <c r="D396" s="4" t="s">
        <v>666</v>
      </c>
      <c r="E396" s="2">
        <v>50</v>
      </c>
      <c r="F396" s="2">
        <v>0</v>
      </c>
      <c r="G396" s="4">
        <v>31660.05</v>
      </c>
      <c r="H396" s="4" t="s">
        <v>356</v>
      </c>
      <c r="J396" s="8">
        <f t="shared" si="5"/>
        <v>0</v>
      </c>
    </row>
    <row r="397" spans="1:10" x14ac:dyDescent="0.3">
      <c r="A397" s="4">
        <v>380</v>
      </c>
      <c r="B397" s="3">
        <v>45736</v>
      </c>
      <c r="C397" s="4" t="s">
        <v>7</v>
      </c>
      <c r="D397" s="4" t="s">
        <v>667</v>
      </c>
      <c r="E397" s="2">
        <v>110</v>
      </c>
      <c r="F397" s="2">
        <v>0</v>
      </c>
      <c r="G397" s="4">
        <v>31550.05</v>
      </c>
      <c r="H397" s="4" t="s">
        <v>356</v>
      </c>
      <c r="J397" s="8">
        <f t="shared" si="5"/>
        <v>0</v>
      </c>
    </row>
    <row r="398" spans="1:10" x14ac:dyDescent="0.3">
      <c r="A398" s="4">
        <v>381</v>
      </c>
      <c r="B398" s="3">
        <v>45736</v>
      </c>
      <c r="C398" s="4" t="s">
        <v>7</v>
      </c>
      <c r="D398" s="4" t="s">
        <v>668</v>
      </c>
      <c r="E398" s="2">
        <v>160</v>
      </c>
      <c r="F398" s="2">
        <v>0</v>
      </c>
      <c r="G398" s="4">
        <v>31390.05</v>
      </c>
      <c r="H398" s="4" t="s">
        <v>356</v>
      </c>
      <c r="J398" s="8">
        <f t="shared" si="5"/>
        <v>0</v>
      </c>
    </row>
    <row r="399" spans="1:10" x14ac:dyDescent="0.3">
      <c r="A399" s="4">
        <v>382</v>
      </c>
      <c r="B399" s="3">
        <v>45737</v>
      </c>
      <c r="C399" s="4" t="s">
        <v>7</v>
      </c>
      <c r="D399" s="4" t="s">
        <v>669</v>
      </c>
      <c r="E399" s="2">
        <v>1224</v>
      </c>
      <c r="F399" s="2">
        <v>0</v>
      </c>
      <c r="G399" s="4">
        <v>30166.05</v>
      </c>
      <c r="H399" s="4" t="s">
        <v>356</v>
      </c>
      <c r="J399" s="8">
        <f t="shared" si="5"/>
        <v>0</v>
      </c>
    </row>
    <row r="400" spans="1:10" x14ac:dyDescent="0.3">
      <c r="A400" s="4">
        <v>383</v>
      </c>
      <c r="B400" s="3">
        <v>45737</v>
      </c>
      <c r="C400" s="4" t="s">
        <v>7</v>
      </c>
      <c r="D400" s="4" t="s">
        <v>670</v>
      </c>
      <c r="E400" s="2">
        <v>50</v>
      </c>
      <c r="F400" s="2">
        <v>0</v>
      </c>
      <c r="G400" s="4">
        <v>30116.05</v>
      </c>
      <c r="H400" s="4" t="s">
        <v>356</v>
      </c>
      <c r="J400" s="8">
        <f t="shared" si="5"/>
        <v>0</v>
      </c>
    </row>
    <row r="401" spans="1:10" x14ac:dyDescent="0.3">
      <c r="A401" s="4">
        <v>384</v>
      </c>
      <c r="B401" s="3">
        <v>45738</v>
      </c>
      <c r="C401" s="4" t="s">
        <v>7</v>
      </c>
      <c r="D401" s="4" t="s">
        <v>671</v>
      </c>
      <c r="E401" s="2">
        <v>10000</v>
      </c>
      <c r="F401" s="2">
        <v>0</v>
      </c>
      <c r="G401" s="4">
        <v>20116.05</v>
      </c>
      <c r="H401" s="4" t="s">
        <v>354</v>
      </c>
      <c r="J401" s="8">
        <f t="shared" si="5"/>
        <v>0</v>
      </c>
    </row>
    <row r="402" spans="1:10" x14ac:dyDescent="0.3">
      <c r="A402" s="4">
        <v>385</v>
      </c>
      <c r="B402" s="3">
        <v>45740</v>
      </c>
      <c r="C402" s="4" t="s">
        <v>7</v>
      </c>
      <c r="D402" s="4" t="s">
        <v>672</v>
      </c>
      <c r="E402" s="2">
        <v>2040</v>
      </c>
      <c r="F402" s="2">
        <v>0</v>
      </c>
      <c r="G402" s="4">
        <v>18076.05</v>
      </c>
      <c r="H402" s="4" t="s">
        <v>357</v>
      </c>
      <c r="J402" s="8">
        <f t="shared" si="5"/>
        <v>0</v>
      </c>
    </row>
    <row r="403" spans="1:10" x14ac:dyDescent="0.3">
      <c r="A403" s="4">
        <v>386</v>
      </c>
      <c r="B403" s="3">
        <v>45740</v>
      </c>
      <c r="C403" s="4" t="s">
        <v>7</v>
      </c>
      <c r="D403" s="4" t="s">
        <v>673</v>
      </c>
      <c r="E403" s="2">
        <v>50</v>
      </c>
      <c r="F403" s="2">
        <v>0</v>
      </c>
      <c r="G403" s="4">
        <v>18026.05</v>
      </c>
      <c r="H403" s="4" t="s">
        <v>356</v>
      </c>
      <c r="J403" s="8">
        <f t="shared" si="5"/>
        <v>0</v>
      </c>
    </row>
    <row r="404" spans="1:10" x14ac:dyDescent="0.3">
      <c r="A404" s="4">
        <v>387</v>
      </c>
      <c r="B404" s="3">
        <v>45741</v>
      </c>
      <c r="C404" s="4" t="s">
        <v>7</v>
      </c>
      <c r="D404" s="4" t="s">
        <v>674</v>
      </c>
      <c r="E404" s="2">
        <v>800</v>
      </c>
      <c r="F404" s="2">
        <v>0</v>
      </c>
      <c r="G404" s="4">
        <v>17226.05</v>
      </c>
      <c r="H404" s="4" t="s">
        <v>356</v>
      </c>
      <c r="J404" s="8">
        <f t="shared" si="5"/>
        <v>0</v>
      </c>
    </row>
    <row r="405" spans="1:10" x14ac:dyDescent="0.3">
      <c r="A405" s="4">
        <v>388</v>
      </c>
      <c r="B405" s="3">
        <v>45741</v>
      </c>
      <c r="C405" s="4" t="s">
        <v>7</v>
      </c>
      <c r="D405" s="4" t="s">
        <v>675</v>
      </c>
      <c r="E405" s="2">
        <v>358</v>
      </c>
      <c r="F405" s="2">
        <v>0</v>
      </c>
      <c r="G405" s="4">
        <v>16868.05</v>
      </c>
      <c r="H405" s="4" t="s">
        <v>356</v>
      </c>
      <c r="J405" s="8">
        <f t="shared" ref="J405:J416" si="6">G404-E405+F405-G405</f>
        <v>0</v>
      </c>
    </row>
    <row r="406" spans="1:10" x14ac:dyDescent="0.3">
      <c r="A406" s="4">
        <v>389</v>
      </c>
      <c r="B406" s="3">
        <v>45742</v>
      </c>
      <c r="C406" s="4" t="s">
        <v>7</v>
      </c>
      <c r="D406" s="4" t="s">
        <v>676</v>
      </c>
      <c r="E406" s="2">
        <v>5000</v>
      </c>
      <c r="F406" s="2">
        <v>0</v>
      </c>
      <c r="G406" s="4">
        <v>11868.05</v>
      </c>
      <c r="H406" s="4" t="s">
        <v>356</v>
      </c>
      <c r="J406" s="8">
        <f t="shared" si="6"/>
        <v>0</v>
      </c>
    </row>
    <row r="407" spans="1:10" x14ac:dyDescent="0.3">
      <c r="A407" s="4">
        <v>390</v>
      </c>
      <c r="B407" s="3">
        <v>45742</v>
      </c>
      <c r="C407" s="4" t="s">
        <v>7</v>
      </c>
      <c r="D407" s="4" t="s">
        <v>677</v>
      </c>
      <c r="E407" s="2">
        <v>105</v>
      </c>
      <c r="F407" s="2">
        <v>0</v>
      </c>
      <c r="G407" s="4">
        <v>11763.05</v>
      </c>
      <c r="H407" s="4" t="s">
        <v>356</v>
      </c>
      <c r="J407" s="8">
        <f t="shared" si="6"/>
        <v>0</v>
      </c>
    </row>
    <row r="408" spans="1:10" x14ac:dyDescent="0.3">
      <c r="A408" s="4">
        <v>391</v>
      </c>
      <c r="B408" s="3">
        <v>45743</v>
      </c>
      <c r="C408" s="4" t="s">
        <v>7</v>
      </c>
      <c r="D408" s="4" t="s">
        <v>678</v>
      </c>
      <c r="E408" s="2">
        <v>94.98</v>
      </c>
      <c r="F408" s="2">
        <v>0</v>
      </c>
      <c r="G408" s="4">
        <v>11668.07</v>
      </c>
      <c r="H408" s="4" t="s">
        <v>356</v>
      </c>
      <c r="J408" s="8">
        <f t="shared" si="6"/>
        <v>0</v>
      </c>
    </row>
    <row r="409" spans="1:10" x14ac:dyDescent="0.3">
      <c r="A409" s="4">
        <v>392</v>
      </c>
      <c r="B409" s="3">
        <v>45744</v>
      </c>
      <c r="C409" s="4" t="s">
        <v>7</v>
      </c>
      <c r="D409" s="4" t="s">
        <v>679</v>
      </c>
      <c r="E409" s="2">
        <v>60</v>
      </c>
      <c r="F409" s="2">
        <v>0</v>
      </c>
      <c r="G409" s="4">
        <v>11608.07</v>
      </c>
      <c r="H409" s="4" t="s">
        <v>356</v>
      </c>
      <c r="J409" s="8">
        <f t="shared" si="6"/>
        <v>0</v>
      </c>
    </row>
    <row r="410" spans="1:10" x14ac:dyDescent="0.3">
      <c r="A410" s="4">
        <v>393</v>
      </c>
      <c r="B410" s="3">
        <v>45744</v>
      </c>
      <c r="C410" s="4" t="s">
        <v>7</v>
      </c>
      <c r="D410" s="4" t="s">
        <v>680</v>
      </c>
      <c r="E410" s="2">
        <v>40</v>
      </c>
      <c r="F410" s="2">
        <v>0</v>
      </c>
      <c r="G410" s="4">
        <v>11568.07</v>
      </c>
      <c r="H410" s="4" t="s">
        <v>356</v>
      </c>
      <c r="J410" s="8">
        <f t="shared" si="6"/>
        <v>0</v>
      </c>
    </row>
    <row r="411" spans="1:10" x14ac:dyDescent="0.3">
      <c r="A411" s="4">
        <v>394</v>
      </c>
      <c r="B411" s="3">
        <v>45744</v>
      </c>
      <c r="C411" s="4" t="s">
        <v>7</v>
      </c>
      <c r="D411" s="4" t="s">
        <v>681</v>
      </c>
      <c r="E411" s="2">
        <v>15</v>
      </c>
      <c r="F411" s="2">
        <v>0</v>
      </c>
      <c r="G411" s="4">
        <v>11553.07</v>
      </c>
      <c r="H411" s="4" t="s">
        <v>356</v>
      </c>
      <c r="J411" s="8">
        <f t="shared" si="6"/>
        <v>0</v>
      </c>
    </row>
    <row r="412" spans="1:10" x14ac:dyDescent="0.3">
      <c r="A412" s="4">
        <v>395</v>
      </c>
      <c r="B412" s="3">
        <v>45744</v>
      </c>
      <c r="C412" s="4" t="s">
        <v>7</v>
      </c>
      <c r="D412" s="4" t="s">
        <v>682</v>
      </c>
      <c r="E412" s="2">
        <v>50</v>
      </c>
      <c r="F412" s="2">
        <v>0</v>
      </c>
      <c r="G412" s="4">
        <v>11503.07</v>
      </c>
      <c r="H412" s="4" t="s">
        <v>356</v>
      </c>
      <c r="J412" s="8">
        <f t="shared" si="6"/>
        <v>0</v>
      </c>
    </row>
    <row r="413" spans="1:10" x14ac:dyDescent="0.3">
      <c r="A413" s="4">
        <v>396</v>
      </c>
      <c r="B413" s="3">
        <v>45744</v>
      </c>
      <c r="C413" s="4" t="s">
        <v>7</v>
      </c>
      <c r="D413" s="4" t="s">
        <v>683</v>
      </c>
      <c r="E413" s="2">
        <v>175</v>
      </c>
      <c r="F413" s="2">
        <v>0</v>
      </c>
      <c r="G413" s="4">
        <v>11328.07</v>
      </c>
      <c r="H413" s="4" t="s">
        <v>356</v>
      </c>
      <c r="J413" s="8">
        <f t="shared" si="6"/>
        <v>0</v>
      </c>
    </row>
    <row r="414" spans="1:10" x14ac:dyDescent="0.3">
      <c r="A414" s="4">
        <v>397</v>
      </c>
      <c r="B414" s="3">
        <v>45746</v>
      </c>
      <c r="C414" s="4" t="s">
        <v>7</v>
      </c>
      <c r="D414" s="4" t="s">
        <v>684</v>
      </c>
      <c r="E414" s="2">
        <v>30</v>
      </c>
      <c r="F414" s="2">
        <v>0</v>
      </c>
      <c r="G414" s="4">
        <v>11298.07</v>
      </c>
      <c r="H414" s="4" t="s">
        <v>356</v>
      </c>
      <c r="J414" s="8">
        <f t="shared" si="6"/>
        <v>0</v>
      </c>
    </row>
    <row r="415" spans="1:10" x14ac:dyDescent="0.3">
      <c r="A415" s="4">
        <v>398</v>
      </c>
      <c r="B415" s="3">
        <v>45747</v>
      </c>
      <c r="C415" s="4" t="s">
        <v>7</v>
      </c>
      <c r="D415" s="4" t="s">
        <v>685</v>
      </c>
      <c r="E415" s="2">
        <v>50</v>
      </c>
      <c r="F415" s="2">
        <v>0</v>
      </c>
      <c r="G415" s="4">
        <v>11248.07</v>
      </c>
      <c r="H415" s="4" t="s">
        <v>356</v>
      </c>
      <c r="J415" s="8">
        <f t="shared" si="6"/>
        <v>0</v>
      </c>
    </row>
    <row r="416" spans="1:10" x14ac:dyDescent="0.3">
      <c r="A416" s="4">
        <v>399</v>
      </c>
      <c r="B416" s="3">
        <v>45747</v>
      </c>
      <c r="C416" s="4" t="s">
        <v>7</v>
      </c>
      <c r="D416" s="4" t="s">
        <v>686</v>
      </c>
      <c r="E416" s="2">
        <v>50</v>
      </c>
      <c r="F416" s="2">
        <v>0</v>
      </c>
      <c r="G416" s="4">
        <v>11198.07</v>
      </c>
      <c r="H416" s="4" t="s">
        <v>356</v>
      </c>
      <c r="J416" s="8">
        <f t="shared" si="6"/>
        <v>0</v>
      </c>
    </row>
    <row r="417" spans="5:5" x14ac:dyDescent="0.3">
      <c r="E417" s="8"/>
    </row>
  </sheetData>
  <autoFilter ref="A17:H416" xr:uid="{A939E192-337F-41F2-87F3-B173931D93D4}"/>
  <mergeCells count="6">
    <mergeCell ref="A6:K6"/>
    <mergeCell ref="A1:K1"/>
    <mergeCell ref="A2:K2"/>
    <mergeCell ref="A3:K3"/>
    <mergeCell ref="A4:K4"/>
    <mergeCell ref="A5:K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7120-BE7D-41A9-A2E0-F4BBAB054B26}">
  <dimension ref="A1:J882"/>
  <sheetViews>
    <sheetView topLeftCell="A852" workbookViewId="0">
      <selection activeCell="G882" sqref="G882"/>
    </sheetView>
  </sheetViews>
  <sheetFormatPr defaultRowHeight="14.4" x14ac:dyDescent="0.3"/>
  <cols>
    <col min="1" max="1" width="10.33203125" bestFit="1" customWidth="1"/>
    <col min="2" max="2" width="45" customWidth="1"/>
    <col min="3" max="3" width="18.77734375" customWidth="1"/>
    <col min="4" max="4" width="10.33203125" bestFit="1" customWidth="1"/>
    <col min="5" max="7" width="18.77734375" customWidth="1"/>
    <col min="8" max="256" width="11.5546875" customWidth="1"/>
    <col min="257" max="257" width="8.44140625" customWidth="1"/>
    <col min="258" max="258" width="45" customWidth="1"/>
    <col min="259" max="259" width="18.77734375" customWidth="1"/>
    <col min="260" max="260" width="8.44140625" customWidth="1"/>
    <col min="261" max="263" width="18.77734375" customWidth="1"/>
    <col min="264" max="512" width="11.5546875" customWidth="1"/>
    <col min="513" max="513" width="8.44140625" customWidth="1"/>
    <col min="514" max="514" width="45" customWidth="1"/>
    <col min="515" max="515" width="18.77734375" customWidth="1"/>
    <col min="516" max="516" width="8.44140625" customWidth="1"/>
    <col min="517" max="519" width="18.77734375" customWidth="1"/>
    <col min="520" max="768" width="11.5546875" customWidth="1"/>
    <col min="769" max="769" width="8.44140625" customWidth="1"/>
    <col min="770" max="770" width="45" customWidth="1"/>
    <col min="771" max="771" width="18.77734375" customWidth="1"/>
    <col min="772" max="772" width="8.44140625" customWidth="1"/>
    <col min="773" max="775" width="18.77734375" customWidth="1"/>
    <col min="776" max="1024" width="11.5546875" customWidth="1"/>
    <col min="1025" max="1025" width="8.44140625" customWidth="1"/>
    <col min="1026" max="1026" width="45" customWidth="1"/>
    <col min="1027" max="1027" width="18.77734375" customWidth="1"/>
    <col min="1028" max="1028" width="8.44140625" customWidth="1"/>
    <col min="1029" max="1031" width="18.77734375" customWidth="1"/>
    <col min="1032" max="1280" width="11.5546875" customWidth="1"/>
    <col min="1281" max="1281" width="8.44140625" customWidth="1"/>
    <col min="1282" max="1282" width="45" customWidth="1"/>
    <col min="1283" max="1283" width="18.77734375" customWidth="1"/>
    <col min="1284" max="1284" width="8.44140625" customWidth="1"/>
    <col min="1285" max="1287" width="18.77734375" customWidth="1"/>
    <col min="1288" max="1536" width="11.5546875" customWidth="1"/>
    <col min="1537" max="1537" width="8.44140625" customWidth="1"/>
    <col min="1538" max="1538" width="45" customWidth="1"/>
    <col min="1539" max="1539" width="18.77734375" customWidth="1"/>
    <col min="1540" max="1540" width="8.44140625" customWidth="1"/>
    <col min="1541" max="1543" width="18.77734375" customWidth="1"/>
    <col min="1544" max="1792" width="11.5546875" customWidth="1"/>
    <col min="1793" max="1793" width="8.44140625" customWidth="1"/>
    <col min="1794" max="1794" width="45" customWidth="1"/>
    <col min="1795" max="1795" width="18.77734375" customWidth="1"/>
    <col min="1796" max="1796" width="8.44140625" customWidth="1"/>
    <col min="1797" max="1799" width="18.77734375" customWidth="1"/>
    <col min="1800" max="2048" width="11.5546875" customWidth="1"/>
    <col min="2049" max="2049" width="8.44140625" customWidth="1"/>
    <col min="2050" max="2050" width="45" customWidth="1"/>
    <col min="2051" max="2051" width="18.77734375" customWidth="1"/>
    <col min="2052" max="2052" width="8.44140625" customWidth="1"/>
    <col min="2053" max="2055" width="18.77734375" customWidth="1"/>
    <col min="2056" max="2304" width="11.5546875" customWidth="1"/>
    <col min="2305" max="2305" width="8.44140625" customWidth="1"/>
    <col min="2306" max="2306" width="45" customWidth="1"/>
    <col min="2307" max="2307" width="18.77734375" customWidth="1"/>
    <col min="2308" max="2308" width="8.44140625" customWidth="1"/>
    <col min="2309" max="2311" width="18.77734375" customWidth="1"/>
    <col min="2312" max="2560" width="11.5546875" customWidth="1"/>
    <col min="2561" max="2561" width="8.44140625" customWidth="1"/>
    <col min="2562" max="2562" width="45" customWidth="1"/>
    <col min="2563" max="2563" width="18.77734375" customWidth="1"/>
    <col min="2564" max="2564" width="8.44140625" customWidth="1"/>
    <col min="2565" max="2567" width="18.77734375" customWidth="1"/>
    <col min="2568" max="2816" width="11.5546875" customWidth="1"/>
    <col min="2817" max="2817" width="8.44140625" customWidth="1"/>
    <col min="2818" max="2818" width="45" customWidth="1"/>
    <col min="2819" max="2819" width="18.77734375" customWidth="1"/>
    <col min="2820" max="2820" width="8.44140625" customWidth="1"/>
    <col min="2821" max="2823" width="18.77734375" customWidth="1"/>
    <col min="2824" max="3072" width="11.5546875" customWidth="1"/>
    <col min="3073" max="3073" width="8.44140625" customWidth="1"/>
    <col min="3074" max="3074" width="45" customWidth="1"/>
    <col min="3075" max="3075" width="18.77734375" customWidth="1"/>
    <col min="3076" max="3076" width="8.44140625" customWidth="1"/>
    <col min="3077" max="3079" width="18.77734375" customWidth="1"/>
    <col min="3080" max="3328" width="11.5546875" customWidth="1"/>
    <col min="3329" max="3329" width="8.44140625" customWidth="1"/>
    <col min="3330" max="3330" width="45" customWidth="1"/>
    <col min="3331" max="3331" width="18.77734375" customWidth="1"/>
    <col min="3332" max="3332" width="8.44140625" customWidth="1"/>
    <col min="3333" max="3335" width="18.77734375" customWidth="1"/>
    <col min="3336" max="3584" width="11.5546875" customWidth="1"/>
    <col min="3585" max="3585" width="8.44140625" customWidth="1"/>
    <col min="3586" max="3586" width="45" customWidth="1"/>
    <col min="3587" max="3587" width="18.77734375" customWidth="1"/>
    <col min="3588" max="3588" width="8.44140625" customWidth="1"/>
    <col min="3589" max="3591" width="18.77734375" customWidth="1"/>
    <col min="3592" max="3840" width="11.5546875" customWidth="1"/>
    <col min="3841" max="3841" width="8.44140625" customWidth="1"/>
    <col min="3842" max="3842" width="45" customWidth="1"/>
    <col min="3843" max="3843" width="18.77734375" customWidth="1"/>
    <col min="3844" max="3844" width="8.44140625" customWidth="1"/>
    <col min="3845" max="3847" width="18.77734375" customWidth="1"/>
    <col min="3848" max="4096" width="11.5546875" customWidth="1"/>
    <col min="4097" max="4097" width="8.44140625" customWidth="1"/>
    <col min="4098" max="4098" width="45" customWidth="1"/>
    <col min="4099" max="4099" width="18.77734375" customWidth="1"/>
    <col min="4100" max="4100" width="8.44140625" customWidth="1"/>
    <col min="4101" max="4103" width="18.77734375" customWidth="1"/>
    <col min="4104" max="4352" width="11.5546875" customWidth="1"/>
    <col min="4353" max="4353" width="8.44140625" customWidth="1"/>
    <col min="4354" max="4354" width="45" customWidth="1"/>
    <col min="4355" max="4355" width="18.77734375" customWidth="1"/>
    <col min="4356" max="4356" width="8.44140625" customWidth="1"/>
    <col min="4357" max="4359" width="18.77734375" customWidth="1"/>
    <col min="4360" max="4608" width="11.5546875" customWidth="1"/>
    <col min="4609" max="4609" width="8.44140625" customWidth="1"/>
    <col min="4610" max="4610" width="45" customWidth="1"/>
    <col min="4611" max="4611" width="18.77734375" customWidth="1"/>
    <col min="4612" max="4612" width="8.44140625" customWidth="1"/>
    <col min="4613" max="4615" width="18.77734375" customWidth="1"/>
    <col min="4616" max="4864" width="11.5546875" customWidth="1"/>
    <col min="4865" max="4865" width="8.44140625" customWidth="1"/>
    <col min="4866" max="4866" width="45" customWidth="1"/>
    <col min="4867" max="4867" width="18.77734375" customWidth="1"/>
    <col min="4868" max="4868" width="8.44140625" customWidth="1"/>
    <col min="4869" max="4871" width="18.77734375" customWidth="1"/>
    <col min="4872" max="5120" width="11.5546875" customWidth="1"/>
    <col min="5121" max="5121" width="8.44140625" customWidth="1"/>
    <col min="5122" max="5122" width="45" customWidth="1"/>
    <col min="5123" max="5123" width="18.77734375" customWidth="1"/>
    <col min="5124" max="5124" width="8.44140625" customWidth="1"/>
    <col min="5125" max="5127" width="18.77734375" customWidth="1"/>
    <col min="5128" max="5376" width="11.5546875" customWidth="1"/>
    <col min="5377" max="5377" width="8.44140625" customWidth="1"/>
    <col min="5378" max="5378" width="45" customWidth="1"/>
    <col min="5379" max="5379" width="18.77734375" customWidth="1"/>
    <col min="5380" max="5380" width="8.44140625" customWidth="1"/>
    <col min="5381" max="5383" width="18.77734375" customWidth="1"/>
    <col min="5384" max="5632" width="11.5546875" customWidth="1"/>
    <col min="5633" max="5633" width="8.44140625" customWidth="1"/>
    <col min="5634" max="5634" width="45" customWidth="1"/>
    <col min="5635" max="5635" width="18.77734375" customWidth="1"/>
    <col min="5636" max="5636" width="8.44140625" customWidth="1"/>
    <col min="5637" max="5639" width="18.77734375" customWidth="1"/>
    <col min="5640" max="5888" width="11.5546875" customWidth="1"/>
    <col min="5889" max="5889" width="8.44140625" customWidth="1"/>
    <col min="5890" max="5890" width="45" customWidth="1"/>
    <col min="5891" max="5891" width="18.77734375" customWidth="1"/>
    <col min="5892" max="5892" width="8.44140625" customWidth="1"/>
    <col min="5893" max="5895" width="18.77734375" customWidth="1"/>
    <col min="5896" max="6144" width="11.5546875" customWidth="1"/>
    <col min="6145" max="6145" width="8.44140625" customWidth="1"/>
    <col min="6146" max="6146" width="45" customWidth="1"/>
    <col min="6147" max="6147" width="18.77734375" customWidth="1"/>
    <col min="6148" max="6148" width="8.44140625" customWidth="1"/>
    <col min="6149" max="6151" width="18.77734375" customWidth="1"/>
    <col min="6152" max="6400" width="11.5546875" customWidth="1"/>
    <col min="6401" max="6401" width="8.44140625" customWidth="1"/>
    <col min="6402" max="6402" width="45" customWidth="1"/>
    <col min="6403" max="6403" width="18.77734375" customWidth="1"/>
    <col min="6404" max="6404" width="8.44140625" customWidth="1"/>
    <col min="6405" max="6407" width="18.77734375" customWidth="1"/>
    <col min="6408" max="6656" width="11.5546875" customWidth="1"/>
    <col min="6657" max="6657" width="8.44140625" customWidth="1"/>
    <col min="6658" max="6658" width="45" customWidth="1"/>
    <col min="6659" max="6659" width="18.77734375" customWidth="1"/>
    <col min="6660" max="6660" width="8.44140625" customWidth="1"/>
    <col min="6661" max="6663" width="18.77734375" customWidth="1"/>
    <col min="6664" max="6912" width="11.5546875" customWidth="1"/>
    <col min="6913" max="6913" width="8.44140625" customWidth="1"/>
    <col min="6914" max="6914" width="45" customWidth="1"/>
    <col min="6915" max="6915" width="18.77734375" customWidth="1"/>
    <col min="6916" max="6916" width="8.44140625" customWidth="1"/>
    <col min="6917" max="6919" width="18.77734375" customWidth="1"/>
    <col min="6920" max="7168" width="11.5546875" customWidth="1"/>
    <col min="7169" max="7169" width="8.44140625" customWidth="1"/>
    <col min="7170" max="7170" width="45" customWidth="1"/>
    <col min="7171" max="7171" width="18.77734375" customWidth="1"/>
    <col min="7172" max="7172" width="8.44140625" customWidth="1"/>
    <col min="7173" max="7175" width="18.77734375" customWidth="1"/>
    <col min="7176" max="7424" width="11.5546875" customWidth="1"/>
    <col min="7425" max="7425" width="8.44140625" customWidth="1"/>
    <col min="7426" max="7426" width="45" customWidth="1"/>
    <col min="7427" max="7427" width="18.77734375" customWidth="1"/>
    <col min="7428" max="7428" width="8.44140625" customWidth="1"/>
    <col min="7429" max="7431" width="18.77734375" customWidth="1"/>
    <col min="7432" max="7680" width="11.5546875" customWidth="1"/>
    <col min="7681" max="7681" width="8.44140625" customWidth="1"/>
    <col min="7682" max="7682" width="45" customWidth="1"/>
    <col min="7683" max="7683" width="18.77734375" customWidth="1"/>
    <col min="7684" max="7684" width="8.44140625" customWidth="1"/>
    <col min="7685" max="7687" width="18.77734375" customWidth="1"/>
    <col min="7688" max="7936" width="11.5546875" customWidth="1"/>
    <col min="7937" max="7937" width="8.44140625" customWidth="1"/>
    <col min="7938" max="7938" width="45" customWidth="1"/>
    <col min="7939" max="7939" width="18.77734375" customWidth="1"/>
    <col min="7940" max="7940" width="8.44140625" customWidth="1"/>
    <col min="7941" max="7943" width="18.77734375" customWidth="1"/>
    <col min="7944" max="8192" width="11.5546875" customWidth="1"/>
    <col min="8193" max="8193" width="8.44140625" customWidth="1"/>
    <col min="8194" max="8194" width="45" customWidth="1"/>
    <col min="8195" max="8195" width="18.77734375" customWidth="1"/>
    <col min="8196" max="8196" width="8.44140625" customWidth="1"/>
    <col min="8197" max="8199" width="18.77734375" customWidth="1"/>
    <col min="8200" max="8448" width="11.5546875" customWidth="1"/>
    <col min="8449" max="8449" width="8.44140625" customWidth="1"/>
    <col min="8450" max="8450" width="45" customWidth="1"/>
    <col min="8451" max="8451" width="18.77734375" customWidth="1"/>
    <col min="8452" max="8452" width="8.44140625" customWidth="1"/>
    <col min="8453" max="8455" width="18.77734375" customWidth="1"/>
    <col min="8456" max="8704" width="11.5546875" customWidth="1"/>
    <col min="8705" max="8705" width="8.44140625" customWidth="1"/>
    <col min="8706" max="8706" width="45" customWidth="1"/>
    <col min="8707" max="8707" width="18.77734375" customWidth="1"/>
    <col min="8708" max="8708" width="8.44140625" customWidth="1"/>
    <col min="8709" max="8711" width="18.77734375" customWidth="1"/>
    <col min="8712" max="8960" width="11.5546875" customWidth="1"/>
    <col min="8961" max="8961" width="8.44140625" customWidth="1"/>
    <col min="8962" max="8962" width="45" customWidth="1"/>
    <col min="8963" max="8963" width="18.77734375" customWidth="1"/>
    <col min="8964" max="8964" width="8.44140625" customWidth="1"/>
    <col min="8965" max="8967" width="18.77734375" customWidth="1"/>
    <col min="8968" max="9216" width="11.5546875" customWidth="1"/>
    <col min="9217" max="9217" width="8.44140625" customWidth="1"/>
    <col min="9218" max="9218" width="45" customWidth="1"/>
    <col min="9219" max="9219" width="18.77734375" customWidth="1"/>
    <col min="9220" max="9220" width="8.44140625" customWidth="1"/>
    <col min="9221" max="9223" width="18.77734375" customWidth="1"/>
    <col min="9224" max="9472" width="11.5546875" customWidth="1"/>
    <col min="9473" max="9473" width="8.44140625" customWidth="1"/>
    <col min="9474" max="9474" width="45" customWidth="1"/>
    <col min="9475" max="9475" width="18.77734375" customWidth="1"/>
    <col min="9476" max="9476" width="8.44140625" customWidth="1"/>
    <col min="9477" max="9479" width="18.77734375" customWidth="1"/>
    <col min="9480" max="9728" width="11.5546875" customWidth="1"/>
    <col min="9729" max="9729" width="8.44140625" customWidth="1"/>
    <col min="9730" max="9730" width="45" customWidth="1"/>
    <col min="9731" max="9731" width="18.77734375" customWidth="1"/>
    <col min="9732" max="9732" width="8.44140625" customWidth="1"/>
    <col min="9733" max="9735" width="18.77734375" customWidth="1"/>
    <col min="9736" max="9984" width="11.5546875" customWidth="1"/>
    <col min="9985" max="9985" width="8.44140625" customWidth="1"/>
    <col min="9986" max="9986" width="45" customWidth="1"/>
    <col min="9987" max="9987" width="18.77734375" customWidth="1"/>
    <col min="9988" max="9988" width="8.44140625" customWidth="1"/>
    <col min="9989" max="9991" width="18.77734375" customWidth="1"/>
    <col min="9992" max="10240" width="11.5546875" customWidth="1"/>
    <col min="10241" max="10241" width="8.44140625" customWidth="1"/>
    <col min="10242" max="10242" width="45" customWidth="1"/>
    <col min="10243" max="10243" width="18.77734375" customWidth="1"/>
    <col min="10244" max="10244" width="8.44140625" customWidth="1"/>
    <col min="10245" max="10247" width="18.77734375" customWidth="1"/>
    <col min="10248" max="10496" width="11.5546875" customWidth="1"/>
    <col min="10497" max="10497" width="8.44140625" customWidth="1"/>
    <col min="10498" max="10498" width="45" customWidth="1"/>
    <col min="10499" max="10499" width="18.77734375" customWidth="1"/>
    <col min="10500" max="10500" width="8.44140625" customWidth="1"/>
    <col min="10501" max="10503" width="18.77734375" customWidth="1"/>
    <col min="10504" max="10752" width="11.5546875" customWidth="1"/>
    <col min="10753" max="10753" width="8.44140625" customWidth="1"/>
    <col min="10754" max="10754" width="45" customWidth="1"/>
    <col min="10755" max="10755" width="18.77734375" customWidth="1"/>
    <col min="10756" max="10756" width="8.44140625" customWidth="1"/>
    <col min="10757" max="10759" width="18.77734375" customWidth="1"/>
    <col min="10760" max="11008" width="11.5546875" customWidth="1"/>
    <col min="11009" max="11009" width="8.44140625" customWidth="1"/>
    <col min="11010" max="11010" width="45" customWidth="1"/>
    <col min="11011" max="11011" width="18.77734375" customWidth="1"/>
    <col min="11012" max="11012" width="8.44140625" customWidth="1"/>
    <col min="11013" max="11015" width="18.77734375" customWidth="1"/>
    <col min="11016" max="11264" width="11.5546875" customWidth="1"/>
    <col min="11265" max="11265" width="8.44140625" customWidth="1"/>
    <col min="11266" max="11266" width="45" customWidth="1"/>
    <col min="11267" max="11267" width="18.77734375" customWidth="1"/>
    <col min="11268" max="11268" width="8.44140625" customWidth="1"/>
    <col min="11269" max="11271" width="18.77734375" customWidth="1"/>
    <col min="11272" max="11520" width="11.5546875" customWidth="1"/>
    <col min="11521" max="11521" width="8.44140625" customWidth="1"/>
    <col min="11522" max="11522" width="45" customWidth="1"/>
    <col min="11523" max="11523" width="18.77734375" customWidth="1"/>
    <col min="11524" max="11524" width="8.44140625" customWidth="1"/>
    <col min="11525" max="11527" width="18.77734375" customWidth="1"/>
    <col min="11528" max="11776" width="11.5546875" customWidth="1"/>
    <col min="11777" max="11777" width="8.44140625" customWidth="1"/>
    <col min="11778" max="11778" width="45" customWidth="1"/>
    <col min="11779" max="11779" width="18.77734375" customWidth="1"/>
    <col min="11780" max="11780" width="8.44140625" customWidth="1"/>
    <col min="11781" max="11783" width="18.77734375" customWidth="1"/>
    <col min="11784" max="12032" width="11.5546875" customWidth="1"/>
    <col min="12033" max="12033" width="8.44140625" customWidth="1"/>
    <col min="12034" max="12034" width="45" customWidth="1"/>
    <col min="12035" max="12035" width="18.77734375" customWidth="1"/>
    <col min="12036" max="12036" width="8.44140625" customWidth="1"/>
    <col min="12037" max="12039" width="18.77734375" customWidth="1"/>
    <col min="12040" max="12288" width="11.5546875" customWidth="1"/>
    <col min="12289" max="12289" width="8.44140625" customWidth="1"/>
    <col min="12290" max="12290" width="45" customWidth="1"/>
    <col min="12291" max="12291" width="18.77734375" customWidth="1"/>
    <col min="12292" max="12292" width="8.44140625" customWidth="1"/>
    <col min="12293" max="12295" width="18.77734375" customWidth="1"/>
    <col min="12296" max="12544" width="11.5546875" customWidth="1"/>
    <col min="12545" max="12545" width="8.44140625" customWidth="1"/>
    <col min="12546" max="12546" width="45" customWidth="1"/>
    <col min="12547" max="12547" width="18.77734375" customWidth="1"/>
    <col min="12548" max="12548" width="8.44140625" customWidth="1"/>
    <col min="12549" max="12551" width="18.77734375" customWidth="1"/>
    <col min="12552" max="12800" width="11.5546875" customWidth="1"/>
    <col min="12801" max="12801" width="8.44140625" customWidth="1"/>
    <col min="12802" max="12802" width="45" customWidth="1"/>
    <col min="12803" max="12803" width="18.77734375" customWidth="1"/>
    <col min="12804" max="12804" width="8.44140625" customWidth="1"/>
    <col min="12805" max="12807" width="18.77734375" customWidth="1"/>
    <col min="12808" max="13056" width="11.5546875" customWidth="1"/>
    <col min="13057" max="13057" width="8.44140625" customWidth="1"/>
    <col min="13058" max="13058" width="45" customWidth="1"/>
    <col min="13059" max="13059" width="18.77734375" customWidth="1"/>
    <col min="13060" max="13060" width="8.44140625" customWidth="1"/>
    <col min="13061" max="13063" width="18.77734375" customWidth="1"/>
    <col min="13064" max="13312" width="11.5546875" customWidth="1"/>
    <col min="13313" max="13313" width="8.44140625" customWidth="1"/>
    <col min="13314" max="13314" width="45" customWidth="1"/>
    <col min="13315" max="13315" width="18.77734375" customWidth="1"/>
    <col min="13316" max="13316" width="8.44140625" customWidth="1"/>
    <col min="13317" max="13319" width="18.77734375" customWidth="1"/>
    <col min="13320" max="13568" width="11.5546875" customWidth="1"/>
    <col min="13569" max="13569" width="8.44140625" customWidth="1"/>
    <col min="13570" max="13570" width="45" customWidth="1"/>
    <col min="13571" max="13571" width="18.77734375" customWidth="1"/>
    <col min="13572" max="13572" width="8.44140625" customWidth="1"/>
    <col min="13573" max="13575" width="18.77734375" customWidth="1"/>
    <col min="13576" max="13824" width="11.5546875" customWidth="1"/>
    <col min="13825" max="13825" width="8.44140625" customWidth="1"/>
    <col min="13826" max="13826" width="45" customWidth="1"/>
    <col min="13827" max="13827" width="18.77734375" customWidth="1"/>
    <col min="13828" max="13828" width="8.44140625" customWidth="1"/>
    <col min="13829" max="13831" width="18.77734375" customWidth="1"/>
    <col min="13832" max="14080" width="11.5546875" customWidth="1"/>
    <col min="14081" max="14081" width="8.44140625" customWidth="1"/>
    <col min="14082" max="14082" width="45" customWidth="1"/>
    <col min="14083" max="14083" width="18.77734375" customWidth="1"/>
    <col min="14084" max="14084" width="8.44140625" customWidth="1"/>
    <col min="14085" max="14087" width="18.77734375" customWidth="1"/>
    <col min="14088" max="14336" width="11.5546875" customWidth="1"/>
    <col min="14337" max="14337" width="8.44140625" customWidth="1"/>
    <col min="14338" max="14338" width="45" customWidth="1"/>
    <col min="14339" max="14339" width="18.77734375" customWidth="1"/>
    <col min="14340" max="14340" width="8.44140625" customWidth="1"/>
    <col min="14341" max="14343" width="18.77734375" customWidth="1"/>
    <col min="14344" max="14592" width="11.5546875" customWidth="1"/>
    <col min="14593" max="14593" width="8.44140625" customWidth="1"/>
    <col min="14594" max="14594" width="45" customWidth="1"/>
    <col min="14595" max="14595" width="18.77734375" customWidth="1"/>
    <col min="14596" max="14596" width="8.44140625" customWidth="1"/>
    <col min="14597" max="14599" width="18.77734375" customWidth="1"/>
    <col min="14600" max="14848" width="11.5546875" customWidth="1"/>
    <col min="14849" max="14849" width="8.44140625" customWidth="1"/>
    <col min="14850" max="14850" width="45" customWidth="1"/>
    <col min="14851" max="14851" width="18.77734375" customWidth="1"/>
    <col min="14852" max="14852" width="8.44140625" customWidth="1"/>
    <col min="14853" max="14855" width="18.77734375" customWidth="1"/>
    <col min="14856" max="15104" width="11.5546875" customWidth="1"/>
    <col min="15105" max="15105" width="8.44140625" customWidth="1"/>
    <col min="15106" max="15106" width="45" customWidth="1"/>
    <col min="15107" max="15107" width="18.77734375" customWidth="1"/>
    <col min="15108" max="15108" width="8.44140625" customWidth="1"/>
    <col min="15109" max="15111" width="18.77734375" customWidth="1"/>
    <col min="15112" max="15360" width="11.5546875" customWidth="1"/>
    <col min="15361" max="15361" width="8.44140625" customWidth="1"/>
    <col min="15362" max="15362" width="45" customWidth="1"/>
    <col min="15363" max="15363" width="18.77734375" customWidth="1"/>
    <col min="15364" max="15364" width="8.44140625" customWidth="1"/>
    <col min="15365" max="15367" width="18.77734375" customWidth="1"/>
    <col min="15368" max="15616" width="11.5546875" customWidth="1"/>
    <col min="15617" max="15617" width="8.44140625" customWidth="1"/>
    <col min="15618" max="15618" width="45" customWidth="1"/>
    <col min="15619" max="15619" width="18.77734375" customWidth="1"/>
    <col min="15620" max="15620" width="8.44140625" customWidth="1"/>
    <col min="15621" max="15623" width="18.77734375" customWidth="1"/>
    <col min="15624" max="15872" width="11.5546875" customWidth="1"/>
    <col min="15873" max="15873" width="8.44140625" customWidth="1"/>
    <col min="15874" max="15874" width="45" customWidth="1"/>
    <col min="15875" max="15875" width="18.77734375" customWidth="1"/>
    <col min="15876" max="15876" width="8.44140625" customWidth="1"/>
    <col min="15877" max="15879" width="18.77734375" customWidth="1"/>
    <col min="15880" max="16128" width="11.5546875" customWidth="1"/>
    <col min="16129" max="16129" width="8.44140625" customWidth="1"/>
    <col min="16130" max="16130" width="45" customWidth="1"/>
    <col min="16131" max="16131" width="18.77734375" customWidth="1"/>
    <col min="16132" max="16132" width="8.44140625" customWidth="1"/>
    <col min="16133" max="16135" width="18.77734375" customWidth="1"/>
    <col min="16136" max="16384" width="11.5546875" customWidth="1"/>
  </cols>
  <sheetData>
    <row r="1" spans="1:5" x14ac:dyDescent="0.3">
      <c r="A1" t="s">
        <v>95</v>
      </c>
    </row>
    <row r="5" spans="1:5" x14ac:dyDescent="0.3">
      <c r="E5" t="s">
        <v>96</v>
      </c>
    </row>
    <row r="6" spans="1:5" x14ac:dyDescent="0.3">
      <c r="A6" t="s">
        <v>97</v>
      </c>
      <c r="E6" t="s">
        <v>98</v>
      </c>
    </row>
    <row r="7" spans="1:5" x14ac:dyDescent="0.3">
      <c r="A7" t="s">
        <v>99</v>
      </c>
      <c r="E7" t="s">
        <v>100</v>
      </c>
    </row>
    <row r="8" spans="1:5" x14ac:dyDescent="0.3">
      <c r="A8" t="s">
        <v>101</v>
      </c>
      <c r="E8" t="s">
        <v>102</v>
      </c>
    </row>
    <row r="9" spans="1:5" x14ac:dyDescent="0.3">
      <c r="A9" t="s">
        <v>103</v>
      </c>
      <c r="E9" t="s">
        <v>104</v>
      </c>
    </row>
    <row r="10" spans="1:5" x14ac:dyDescent="0.3">
      <c r="A10" t="s">
        <v>105</v>
      </c>
      <c r="E10" t="s">
        <v>106</v>
      </c>
    </row>
    <row r="11" spans="1:5" x14ac:dyDescent="0.3">
      <c r="E11" t="s">
        <v>107</v>
      </c>
    </row>
    <row r="12" spans="1:5" x14ac:dyDescent="0.3">
      <c r="E12" t="s">
        <v>108</v>
      </c>
    </row>
    <row r="13" spans="1:5" x14ac:dyDescent="0.3">
      <c r="A13" t="s">
        <v>109</v>
      </c>
      <c r="E13" t="s">
        <v>110</v>
      </c>
    </row>
    <row r="14" spans="1:5" x14ac:dyDescent="0.3">
      <c r="E14" t="s">
        <v>111</v>
      </c>
    </row>
    <row r="15" spans="1:5" x14ac:dyDescent="0.3">
      <c r="A15" t="s">
        <v>112</v>
      </c>
      <c r="E15" t="s">
        <v>113</v>
      </c>
    </row>
    <row r="16" spans="1:5" x14ac:dyDescent="0.3">
      <c r="A16" t="s">
        <v>114</v>
      </c>
      <c r="E16" t="s">
        <v>115</v>
      </c>
    </row>
    <row r="17" spans="1:10" x14ac:dyDescent="0.3">
      <c r="E17" t="s">
        <v>116</v>
      </c>
    </row>
    <row r="18" spans="1:10" x14ac:dyDescent="0.3">
      <c r="E18" t="s">
        <v>117</v>
      </c>
    </row>
    <row r="19" spans="1:10" x14ac:dyDescent="0.3">
      <c r="E19">
        <f>SUBTOTAL(9,E20:E882)</f>
        <v>10794012.729999999</v>
      </c>
      <c r="F19">
        <f>SUBTOTAL(9,F20:F882)</f>
        <v>10773175.709999997</v>
      </c>
    </row>
    <row r="20" spans="1:10" x14ac:dyDescent="0.3">
      <c r="A20" t="s">
        <v>118</v>
      </c>
      <c r="B20" t="s">
        <v>119</v>
      </c>
      <c r="C20" t="s">
        <v>120</v>
      </c>
      <c r="D20" t="s">
        <v>121</v>
      </c>
      <c r="E20" t="s">
        <v>122</v>
      </c>
      <c r="F20" t="s">
        <v>123</v>
      </c>
      <c r="G20" t="s">
        <v>124</v>
      </c>
      <c r="H20" t="s">
        <v>119</v>
      </c>
    </row>
    <row r="21" spans="1:10" x14ac:dyDescent="0.3">
      <c r="A21" s="1">
        <v>45383</v>
      </c>
      <c r="B21" t="s">
        <v>125</v>
      </c>
      <c r="C21" t="s">
        <v>126</v>
      </c>
      <c r="D21" s="1">
        <v>45383</v>
      </c>
      <c r="E21" s="2">
        <v>1812.32</v>
      </c>
      <c r="F21" s="2">
        <v>0</v>
      </c>
      <c r="G21" s="2">
        <v>36117.29</v>
      </c>
      <c r="H21" t="s">
        <v>361</v>
      </c>
      <c r="J21" s="23">
        <f>G21+E21</f>
        <v>37929.61</v>
      </c>
    </row>
    <row r="22" spans="1:10" x14ac:dyDescent="0.3">
      <c r="A22" s="1">
        <v>45384</v>
      </c>
      <c r="B22" t="s">
        <v>125</v>
      </c>
      <c r="C22" t="s">
        <v>127</v>
      </c>
      <c r="D22" s="1">
        <v>45384</v>
      </c>
      <c r="E22" s="2">
        <v>19318.18</v>
      </c>
      <c r="F22" s="2">
        <v>0</v>
      </c>
      <c r="G22" s="2">
        <v>16799.11</v>
      </c>
      <c r="H22" t="s">
        <v>361</v>
      </c>
    </row>
    <row r="23" spans="1:10" x14ac:dyDescent="0.3">
      <c r="A23" s="1">
        <v>45384</v>
      </c>
      <c r="B23" t="s">
        <v>128</v>
      </c>
      <c r="C23" t="s">
        <v>129</v>
      </c>
      <c r="D23" s="1">
        <v>45384</v>
      </c>
      <c r="E23" s="2">
        <v>0</v>
      </c>
      <c r="F23" s="2">
        <v>5099.51</v>
      </c>
      <c r="G23" s="2">
        <v>21898.62</v>
      </c>
      <c r="H23" t="s">
        <v>361</v>
      </c>
    </row>
    <row r="24" spans="1:10" x14ac:dyDescent="0.3">
      <c r="A24" s="1">
        <v>45384</v>
      </c>
      <c r="B24" t="s">
        <v>128</v>
      </c>
      <c r="C24" t="s">
        <v>130</v>
      </c>
      <c r="D24" s="1">
        <v>45384</v>
      </c>
      <c r="E24" s="2">
        <v>0</v>
      </c>
      <c r="F24" s="2">
        <v>20780.759999999998</v>
      </c>
      <c r="G24" s="2">
        <v>42679.38</v>
      </c>
      <c r="H24" t="s">
        <v>361</v>
      </c>
    </row>
    <row r="25" spans="1:10" x14ac:dyDescent="0.3">
      <c r="A25" s="1">
        <v>45384</v>
      </c>
      <c r="B25" t="s">
        <v>125</v>
      </c>
      <c r="C25" t="s">
        <v>131</v>
      </c>
      <c r="D25" s="1">
        <v>45384</v>
      </c>
      <c r="E25" s="2">
        <v>446.2</v>
      </c>
      <c r="F25" s="2">
        <v>0</v>
      </c>
      <c r="G25" s="2">
        <v>42233.18</v>
      </c>
      <c r="H25" t="s">
        <v>361</v>
      </c>
    </row>
    <row r="26" spans="1:10" x14ac:dyDescent="0.3">
      <c r="A26" s="1">
        <v>45384</v>
      </c>
      <c r="B26" t="s">
        <v>125</v>
      </c>
      <c r="C26" t="s">
        <v>132</v>
      </c>
      <c r="D26" s="1">
        <v>45384</v>
      </c>
      <c r="E26" s="2">
        <v>14690.62</v>
      </c>
      <c r="F26" s="2">
        <v>0</v>
      </c>
      <c r="G26" s="2">
        <v>27542.560000000001</v>
      </c>
      <c r="H26" t="s">
        <v>361</v>
      </c>
    </row>
    <row r="27" spans="1:10" x14ac:dyDescent="0.3">
      <c r="A27" s="1">
        <v>45385</v>
      </c>
      <c r="B27" t="s">
        <v>125</v>
      </c>
      <c r="C27" t="s">
        <v>133</v>
      </c>
      <c r="D27" s="1">
        <v>45385</v>
      </c>
      <c r="E27" s="2">
        <v>421.05</v>
      </c>
      <c r="F27" s="2">
        <v>0</v>
      </c>
      <c r="G27" s="2">
        <v>27121.51</v>
      </c>
      <c r="H27" t="s">
        <v>361</v>
      </c>
    </row>
    <row r="28" spans="1:10" x14ac:dyDescent="0.3">
      <c r="A28" s="1">
        <v>45386</v>
      </c>
      <c r="B28" t="s">
        <v>128</v>
      </c>
      <c r="C28" t="s">
        <v>134</v>
      </c>
      <c r="D28" s="1">
        <v>45386</v>
      </c>
      <c r="E28" s="2">
        <v>0</v>
      </c>
      <c r="F28" s="2">
        <v>10225.459999999999</v>
      </c>
      <c r="G28" s="2">
        <v>37346.97</v>
      </c>
      <c r="H28" t="s">
        <v>361</v>
      </c>
    </row>
    <row r="29" spans="1:10" x14ac:dyDescent="0.3">
      <c r="A29" s="1">
        <v>45386</v>
      </c>
      <c r="B29" t="s">
        <v>125</v>
      </c>
      <c r="C29" t="s">
        <v>135</v>
      </c>
      <c r="D29" s="1">
        <v>45386</v>
      </c>
      <c r="E29" s="2">
        <v>437.2</v>
      </c>
      <c r="F29" s="2">
        <v>0</v>
      </c>
      <c r="G29" s="2">
        <v>36909.769999999997</v>
      </c>
      <c r="H29" t="s">
        <v>361</v>
      </c>
    </row>
    <row r="30" spans="1:10" x14ac:dyDescent="0.3">
      <c r="A30" s="1">
        <v>45386</v>
      </c>
      <c r="B30" t="s">
        <v>125</v>
      </c>
      <c r="C30" t="s">
        <v>136</v>
      </c>
      <c r="D30" s="1">
        <v>45386</v>
      </c>
      <c r="E30" s="2">
        <v>1425.24</v>
      </c>
      <c r="F30" s="2">
        <v>0</v>
      </c>
      <c r="G30" s="2">
        <v>35484.53</v>
      </c>
      <c r="H30" t="s">
        <v>361</v>
      </c>
    </row>
    <row r="31" spans="1:10" x14ac:dyDescent="0.3">
      <c r="A31" s="1">
        <v>45387</v>
      </c>
      <c r="B31" t="s">
        <v>128</v>
      </c>
      <c r="C31" t="s">
        <v>137</v>
      </c>
      <c r="D31" s="1">
        <v>45387</v>
      </c>
      <c r="E31" s="2">
        <v>0</v>
      </c>
      <c r="F31" s="2">
        <v>25672.95</v>
      </c>
      <c r="G31" s="2">
        <v>61157.48</v>
      </c>
      <c r="H31" t="s">
        <v>361</v>
      </c>
    </row>
    <row r="32" spans="1:10" x14ac:dyDescent="0.3">
      <c r="A32" s="1">
        <v>45387</v>
      </c>
      <c r="B32" t="s">
        <v>125</v>
      </c>
      <c r="C32" t="s">
        <v>138</v>
      </c>
      <c r="D32" s="1">
        <v>45387</v>
      </c>
      <c r="E32" s="2">
        <v>435.69</v>
      </c>
      <c r="F32" s="2">
        <v>0</v>
      </c>
      <c r="G32" s="2">
        <v>60721.79</v>
      </c>
      <c r="H32" t="s">
        <v>361</v>
      </c>
    </row>
    <row r="33" spans="1:8" x14ac:dyDescent="0.3">
      <c r="A33" s="1">
        <v>45387</v>
      </c>
      <c r="B33" t="s">
        <v>139</v>
      </c>
      <c r="C33" t="s">
        <v>140</v>
      </c>
      <c r="D33" s="1">
        <v>45387</v>
      </c>
      <c r="E33" s="2">
        <v>1652</v>
      </c>
      <c r="F33" s="2">
        <v>0</v>
      </c>
      <c r="G33" s="2">
        <v>59069.79</v>
      </c>
      <c r="H33" t="s">
        <v>362</v>
      </c>
    </row>
    <row r="34" spans="1:8" x14ac:dyDescent="0.3">
      <c r="A34" s="1">
        <v>45387</v>
      </c>
      <c r="B34" t="s">
        <v>125</v>
      </c>
      <c r="C34" t="s">
        <v>141</v>
      </c>
      <c r="D34" s="1">
        <v>45387</v>
      </c>
      <c r="E34" s="2">
        <v>1443.03</v>
      </c>
      <c r="F34" s="2">
        <v>0</v>
      </c>
      <c r="G34" s="2">
        <v>57626.76</v>
      </c>
      <c r="H34" t="s">
        <v>361</v>
      </c>
    </row>
    <row r="35" spans="1:8" x14ac:dyDescent="0.3">
      <c r="A35" s="1">
        <v>45390</v>
      </c>
      <c r="B35" t="s">
        <v>128</v>
      </c>
      <c r="C35" t="s">
        <v>142</v>
      </c>
      <c r="D35" s="1">
        <v>45390</v>
      </c>
      <c r="E35" s="2">
        <v>0</v>
      </c>
      <c r="F35" s="2">
        <v>17621.38</v>
      </c>
      <c r="G35" s="2">
        <v>75248.14</v>
      </c>
      <c r="H35" t="s">
        <v>361</v>
      </c>
    </row>
    <row r="36" spans="1:8" x14ac:dyDescent="0.3">
      <c r="A36" s="1">
        <v>45390</v>
      </c>
      <c r="B36" t="s">
        <v>125</v>
      </c>
      <c r="C36" t="s">
        <v>143</v>
      </c>
      <c r="D36" s="1">
        <v>45390</v>
      </c>
      <c r="E36" s="2">
        <v>1316.88</v>
      </c>
      <c r="F36" s="2">
        <v>0</v>
      </c>
      <c r="G36" s="2">
        <v>73931.259999999995</v>
      </c>
      <c r="H36" t="s">
        <v>361</v>
      </c>
    </row>
    <row r="37" spans="1:8" x14ac:dyDescent="0.3">
      <c r="A37" s="1">
        <v>45390</v>
      </c>
      <c r="B37" t="s">
        <v>125</v>
      </c>
      <c r="C37" t="s">
        <v>144</v>
      </c>
      <c r="D37" s="1">
        <v>45390</v>
      </c>
      <c r="E37" s="2">
        <v>7512.35</v>
      </c>
      <c r="F37" s="2">
        <v>0</v>
      </c>
      <c r="G37" s="2">
        <v>66418.91</v>
      </c>
      <c r="H37" t="s">
        <v>361</v>
      </c>
    </row>
    <row r="38" spans="1:8" x14ac:dyDescent="0.3">
      <c r="A38" s="1">
        <v>45391</v>
      </c>
      <c r="B38" t="s">
        <v>125</v>
      </c>
      <c r="C38" t="s">
        <v>145</v>
      </c>
      <c r="D38" s="1">
        <v>45391</v>
      </c>
      <c r="E38" s="2">
        <v>6794.95</v>
      </c>
      <c r="F38" s="2">
        <v>0</v>
      </c>
      <c r="G38" s="2">
        <v>59623.96</v>
      </c>
      <c r="H38" t="s">
        <v>361</v>
      </c>
    </row>
    <row r="39" spans="1:8" x14ac:dyDescent="0.3">
      <c r="A39" s="1">
        <v>45392</v>
      </c>
      <c r="B39" t="s">
        <v>146</v>
      </c>
      <c r="C39" t="s">
        <v>147</v>
      </c>
      <c r="D39" s="1">
        <v>45392</v>
      </c>
      <c r="E39" s="2">
        <v>10000</v>
      </c>
      <c r="F39" s="2">
        <v>0</v>
      </c>
      <c r="G39" s="2">
        <v>49623.96</v>
      </c>
      <c r="H39" t="s">
        <v>1854</v>
      </c>
    </row>
    <row r="40" spans="1:8" x14ac:dyDescent="0.3">
      <c r="A40" s="1">
        <v>45392</v>
      </c>
      <c r="B40" t="s">
        <v>125</v>
      </c>
      <c r="C40" t="s">
        <v>148</v>
      </c>
      <c r="D40" s="1">
        <v>45392</v>
      </c>
      <c r="E40" s="2">
        <v>434.02</v>
      </c>
      <c r="F40" s="2">
        <v>0</v>
      </c>
      <c r="G40" s="2">
        <v>49189.94</v>
      </c>
      <c r="H40" t="s">
        <v>361</v>
      </c>
    </row>
    <row r="41" spans="1:8" x14ac:dyDescent="0.3">
      <c r="A41" s="1">
        <v>45392</v>
      </c>
      <c r="B41" t="s">
        <v>125</v>
      </c>
      <c r="C41" t="s">
        <v>149</v>
      </c>
      <c r="D41" s="1">
        <v>45392</v>
      </c>
      <c r="E41" s="2">
        <v>2033.3</v>
      </c>
      <c r="F41" s="2">
        <v>0</v>
      </c>
      <c r="G41" s="2">
        <v>47156.639999999999</v>
      </c>
      <c r="H41" t="s">
        <v>361</v>
      </c>
    </row>
    <row r="42" spans="1:8" x14ac:dyDescent="0.3">
      <c r="A42" s="1">
        <v>45394</v>
      </c>
      <c r="B42" t="s">
        <v>128</v>
      </c>
      <c r="C42" t="s">
        <v>150</v>
      </c>
      <c r="D42" s="1">
        <v>45394</v>
      </c>
      <c r="E42" s="2">
        <v>0</v>
      </c>
      <c r="F42" s="2">
        <v>6052.98</v>
      </c>
      <c r="G42" s="2">
        <v>53209.62</v>
      </c>
      <c r="H42" t="s">
        <v>361</v>
      </c>
    </row>
    <row r="43" spans="1:8" x14ac:dyDescent="0.3">
      <c r="A43" s="1">
        <v>45394</v>
      </c>
      <c r="B43" t="s">
        <v>128</v>
      </c>
      <c r="C43" t="s">
        <v>151</v>
      </c>
      <c r="D43" s="1">
        <v>45394</v>
      </c>
      <c r="E43" s="2">
        <v>0</v>
      </c>
      <c r="F43" s="2">
        <v>22935.47</v>
      </c>
      <c r="G43" s="2">
        <v>76145.09</v>
      </c>
      <c r="H43" t="s">
        <v>361</v>
      </c>
    </row>
    <row r="44" spans="1:8" x14ac:dyDescent="0.3">
      <c r="A44" s="1">
        <v>45394</v>
      </c>
      <c r="B44" t="s">
        <v>125</v>
      </c>
      <c r="C44" t="s">
        <v>152</v>
      </c>
      <c r="D44" s="1">
        <v>45394</v>
      </c>
      <c r="E44" s="2">
        <v>879.04</v>
      </c>
      <c r="F44" s="2">
        <v>0</v>
      </c>
      <c r="G44" s="2">
        <v>75266.05</v>
      </c>
      <c r="H44" t="s">
        <v>361</v>
      </c>
    </row>
    <row r="45" spans="1:8" x14ac:dyDescent="0.3">
      <c r="A45" s="1">
        <v>45394</v>
      </c>
      <c r="B45" t="s">
        <v>125</v>
      </c>
      <c r="C45" t="s">
        <v>153</v>
      </c>
      <c r="D45" s="1">
        <v>45394</v>
      </c>
      <c r="E45" s="2">
        <v>23319.29</v>
      </c>
      <c r="F45" s="2">
        <v>0</v>
      </c>
      <c r="G45" s="2">
        <v>51946.76</v>
      </c>
      <c r="H45" t="s">
        <v>361</v>
      </c>
    </row>
    <row r="46" spans="1:8" x14ac:dyDescent="0.3">
      <c r="A46" s="1">
        <v>45394</v>
      </c>
      <c r="B46" t="s">
        <v>125</v>
      </c>
      <c r="C46" t="s">
        <v>154</v>
      </c>
      <c r="D46" s="1">
        <v>45394</v>
      </c>
      <c r="E46" s="2">
        <v>42.91</v>
      </c>
      <c r="F46" s="2">
        <v>0</v>
      </c>
      <c r="G46" s="2">
        <v>51903.85</v>
      </c>
      <c r="H46" t="s">
        <v>361</v>
      </c>
    </row>
    <row r="47" spans="1:8" x14ac:dyDescent="0.3">
      <c r="A47" s="1">
        <v>45397</v>
      </c>
      <c r="B47" t="s">
        <v>146</v>
      </c>
      <c r="C47" t="s">
        <v>155</v>
      </c>
      <c r="D47" s="1">
        <v>45397</v>
      </c>
      <c r="E47" s="2">
        <v>10000</v>
      </c>
      <c r="F47" s="2">
        <v>0</v>
      </c>
      <c r="G47" s="2">
        <v>41903.85</v>
      </c>
      <c r="H47" t="s">
        <v>1854</v>
      </c>
    </row>
    <row r="48" spans="1:8" x14ac:dyDescent="0.3">
      <c r="A48" s="1">
        <v>45397</v>
      </c>
      <c r="B48" t="s">
        <v>125</v>
      </c>
      <c r="C48" t="s">
        <v>156</v>
      </c>
      <c r="D48" s="1">
        <v>45397</v>
      </c>
      <c r="E48" s="2">
        <v>1251.57</v>
      </c>
      <c r="F48" s="2">
        <v>0</v>
      </c>
      <c r="G48" s="2">
        <v>40652.28</v>
      </c>
      <c r="H48" t="s">
        <v>361</v>
      </c>
    </row>
    <row r="49" spans="1:8" x14ac:dyDescent="0.3">
      <c r="A49" s="1">
        <v>45397</v>
      </c>
      <c r="B49" t="s">
        <v>157</v>
      </c>
      <c r="C49" t="s">
        <v>158</v>
      </c>
      <c r="D49" s="1">
        <v>45397</v>
      </c>
      <c r="E49" s="2">
        <v>0</v>
      </c>
      <c r="F49" s="2">
        <v>11400</v>
      </c>
      <c r="G49" s="2">
        <v>52052.28</v>
      </c>
      <c r="H49" t="s">
        <v>363</v>
      </c>
    </row>
    <row r="50" spans="1:8" x14ac:dyDescent="0.3">
      <c r="A50" s="1">
        <v>45398</v>
      </c>
      <c r="B50" t="s">
        <v>128</v>
      </c>
      <c r="C50" t="s">
        <v>159</v>
      </c>
      <c r="D50" s="1">
        <v>45398</v>
      </c>
      <c r="E50" s="2">
        <v>0</v>
      </c>
      <c r="F50" s="2">
        <v>16741.900000000001</v>
      </c>
      <c r="G50" s="2">
        <v>68794.179999999993</v>
      </c>
      <c r="H50" t="s">
        <v>361</v>
      </c>
    </row>
    <row r="51" spans="1:8" x14ac:dyDescent="0.3">
      <c r="A51" s="1">
        <v>45398</v>
      </c>
      <c r="B51" t="s">
        <v>128</v>
      </c>
      <c r="C51" t="s">
        <v>160</v>
      </c>
      <c r="D51" s="1">
        <v>45398</v>
      </c>
      <c r="E51" s="2">
        <v>0</v>
      </c>
      <c r="F51" s="2">
        <v>29908.32</v>
      </c>
      <c r="G51" s="2">
        <v>98702.5</v>
      </c>
      <c r="H51" t="s">
        <v>361</v>
      </c>
    </row>
    <row r="52" spans="1:8" x14ac:dyDescent="0.3">
      <c r="A52" s="1">
        <v>45398</v>
      </c>
      <c r="B52" t="s">
        <v>125</v>
      </c>
      <c r="C52" t="s">
        <v>161</v>
      </c>
      <c r="D52" s="1">
        <v>45398</v>
      </c>
      <c r="E52" s="2">
        <v>417.19</v>
      </c>
      <c r="F52" s="2">
        <v>0</v>
      </c>
      <c r="G52" s="2">
        <v>98285.31</v>
      </c>
      <c r="H52" t="s">
        <v>361</v>
      </c>
    </row>
    <row r="53" spans="1:8" x14ac:dyDescent="0.3">
      <c r="A53" s="1">
        <v>45398</v>
      </c>
      <c r="B53" t="s">
        <v>125</v>
      </c>
      <c r="C53" t="s">
        <v>162</v>
      </c>
      <c r="D53" s="1">
        <v>45398</v>
      </c>
      <c r="E53" s="2">
        <v>20617.330000000002</v>
      </c>
      <c r="F53" s="2">
        <v>0</v>
      </c>
      <c r="G53" s="2">
        <v>77667.98</v>
      </c>
      <c r="H53" t="s">
        <v>361</v>
      </c>
    </row>
    <row r="54" spans="1:8" x14ac:dyDescent="0.3">
      <c r="A54" s="1">
        <v>45400</v>
      </c>
      <c r="B54" t="s">
        <v>128</v>
      </c>
      <c r="C54" t="s">
        <v>163</v>
      </c>
      <c r="D54" s="1">
        <v>45400</v>
      </c>
      <c r="E54" s="2">
        <v>0</v>
      </c>
      <c r="F54" s="2">
        <v>22103.31</v>
      </c>
      <c r="G54" s="2">
        <v>99771.29</v>
      </c>
      <c r="H54" t="s">
        <v>361</v>
      </c>
    </row>
    <row r="55" spans="1:8" x14ac:dyDescent="0.3">
      <c r="A55" s="1">
        <v>45400</v>
      </c>
      <c r="B55" t="s">
        <v>125</v>
      </c>
      <c r="C55" t="s">
        <v>164</v>
      </c>
      <c r="D55" s="1">
        <v>45400</v>
      </c>
      <c r="E55" s="2">
        <v>791.86</v>
      </c>
      <c r="F55" s="2">
        <v>0</v>
      </c>
      <c r="G55" s="2">
        <v>98979.43</v>
      </c>
      <c r="H55" t="s">
        <v>361</v>
      </c>
    </row>
    <row r="56" spans="1:8" x14ac:dyDescent="0.3">
      <c r="A56" s="1">
        <v>45400</v>
      </c>
      <c r="B56" t="s">
        <v>125</v>
      </c>
      <c r="C56" t="s">
        <v>165</v>
      </c>
      <c r="D56" s="1">
        <v>45400</v>
      </c>
      <c r="E56" s="2">
        <v>7059.16</v>
      </c>
      <c r="F56" s="2">
        <v>0</v>
      </c>
      <c r="G56" s="2">
        <v>91920.27</v>
      </c>
      <c r="H56" t="s">
        <v>361</v>
      </c>
    </row>
    <row r="57" spans="1:8" x14ac:dyDescent="0.3">
      <c r="A57" s="1">
        <v>45400</v>
      </c>
      <c r="B57" t="s">
        <v>125</v>
      </c>
      <c r="C57" t="s">
        <v>166</v>
      </c>
      <c r="D57" s="1">
        <v>45400</v>
      </c>
      <c r="E57" s="2">
        <v>30745.040000000001</v>
      </c>
      <c r="F57" s="2">
        <v>0</v>
      </c>
      <c r="G57" s="2">
        <v>61175.23</v>
      </c>
      <c r="H57" t="s">
        <v>361</v>
      </c>
    </row>
    <row r="58" spans="1:8" x14ac:dyDescent="0.3">
      <c r="A58" s="1">
        <v>45401</v>
      </c>
      <c r="B58" t="s">
        <v>125</v>
      </c>
      <c r="C58" t="s">
        <v>167</v>
      </c>
      <c r="D58" s="1">
        <v>45401</v>
      </c>
      <c r="E58" s="2">
        <v>399.86</v>
      </c>
      <c r="F58" s="2">
        <v>0</v>
      </c>
      <c r="G58" s="2">
        <v>60775.37</v>
      </c>
      <c r="H58" t="s">
        <v>361</v>
      </c>
    </row>
    <row r="59" spans="1:8" x14ac:dyDescent="0.3">
      <c r="A59" s="1">
        <v>45404</v>
      </c>
      <c r="B59" t="s">
        <v>128</v>
      </c>
      <c r="C59" t="s">
        <v>168</v>
      </c>
      <c r="D59" s="1">
        <v>45404</v>
      </c>
      <c r="E59" s="2">
        <v>0</v>
      </c>
      <c r="F59" s="2">
        <v>2528.4899999999998</v>
      </c>
      <c r="G59" s="2">
        <v>63303.86</v>
      </c>
      <c r="H59" t="s">
        <v>361</v>
      </c>
    </row>
    <row r="60" spans="1:8" x14ac:dyDescent="0.3">
      <c r="A60" s="1">
        <v>45404</v>
      </c>
      <c r="B60" t="s">
        <v>146</v>
      </c>
      <c r="C60" t="s">
        <v>169</v>
      </c>
      <c r="D60" s="1">
        <v>45404</v>
      </c>
      <c r="E60" s="2">
        <v>10000</v>
      </c>
      <c r="F60" s="2">
        <v>0</v>
      </c>
      <c r="G60" s="2">
        <v>53303.86</v>
      </c>
      <c r="H60" t="s">
        <v>1854</v>
      </c>
    </row>
    <row r="61" spans="1:8" x14ac:dyDescent="0.3">
      <c r="A61" s="1">
        <v>45404</v>
      </c>
      <c r="B61" t="s">
        <v>125</v>
      </c>
      <c r="C61" t="s">
        <v>170</v>
      </c>
      <c r="D61" s="1">
        <v>45404</v>
      </c>
      <c r="E61" s="2">
        <v>1260.06</v>
      </c>
      <c r="F61" s="2">
        <v>0</v>
      </c>
      <c r="G61" s="2">
        <v>52043.8</v>
      </c>
      <c r="H61" t="s">
        <v>361</v>
      </c>
    </row>
    <row r="62" spans="1:8" x14ac:dyDescent="0.3">
      <c r="A62" s="1">
        <v>45404</v>
      </c>
      <c r="B62" t="s">
        <v>125</v>
      </c>
      <c r="C62" t="s">
        <v>171</v>
      </c>
      <c r="D62" s="1">
        <v>45404</v>
      </c>
      <c r="E62" s="2">
        <v>6355.73</v>
      </c>
      <c r="F62" s="2">
        <v>0</v>
      </c>
      <c r="G62" s="2">
        <v>45688.07</v>
      </c>
      <c r="H62" t="s">
        <v>361</v>
      </c>
    </row>
    <row r="63" spans="1:8" x14ac:dyDescent="0.3">
      <c r="A63" s="1">
        <v>45405</v>
      </c>
      <c r="B63" t="s">
        <v>128</v>
      </c>
      <c r="C63" t="s">
        <v>172</v>
      </c>
      <c r="D63" s="1">
        <v>45405</v>
      </c>
      <c r="E63" s="2">
        <v>0</v>
      </c>
      <c r="F63" s="2">
        <v>15833.97</v>
      </c>
      <c r="G63" s="2">
        <v>61522.04</v>
      </c>
      <c r="H63" t="s">
        <v>361</v>
      </c>
    </row>
    <row r="64" spans="1:8" x14ac:dyDescent="0.3">
      <c r="A64" s="1">
        <v>45405</v>
      </c>
      <c r="B64" t="s">
        <v>125</v>
      </c>
      <c r="C64" t="s">
        <v>173</v>
      </c>
      <c r="D64" s="1">
        <v>45405</v>
      </c>
      <c r="E64" s="2">
        <v>420.92</v>
      </c>
      <c r="F64" s="2">
        <v>0</v>
      </c>
      <c r="G64" s="2">
        <v>61101.120000000003</v>
      </c>
      <c r="H64" t="s">
        <v>361</v>
      </c>
    </row>
    <row r="65" spans="1:8" x14ac:dyDescent="0.3">
      <c r="A65" s="1">
        <v>45405</v>
      </c>
      <c r="B65" t="s">
        <v>174</v>
      </c>
      <c r="C65" t="s">
        <v>175</v>
      </c>
      <c r="D65" s="1">
        <v>45405</v>
      </c>
      <c r="E65" s="2">
        <v>0</v>
      </c>
      <c r="F65" s="2">
        <v>100000</v>
      </c>
      <c r="G65" s="2">
        <v>161101.12</v>
      </c>
      <c r="H65" t="s">
        <v>364</v>
      </c>
    </row>
    <row r="66" spans="1:8" x14ac:dyDescent="0.3">
      <c r="A66" s="1">
        <v>45405</v>
      </c>
      <c r="B66" t="s">
        <v>125</v>
      </c>
      <c r="C66" t="s">
        <v>176</v>
      </c>
      <c r="D66" s="1">
        <v>45405</v>
      </c>
      <c r="E66" s="2">
        <v>75996.600000000006</v>
      </c>
      <c r="F66" s="2">
        <v>0</v>
      </c>
      <c r="G66" s="2">
        <v>85104.52</v>
      </c>
      <c r="H66" t="s">
        <v>361</v>
      </c>
    </row>
    <row r="67" spans="1:8" x14ac:dyDescent="0.3">
      <c r="A67" s="1">
        <v>45406</v>
      </c>
      <c r="B67" t="s">
        <v>128</v>
      </c>
      <c r="C67" t="s">
        <v>177</v>
      </c>
      <c r="D67" s="1">
        <v>45406</v>
      </c>
      <c r="E67" s="2">
        <v>0</v>
      </c>
      <c r="F67" s="2">
        <v>47265.39</v>
      </c>
      <c r="G67" s="2">
        <v>132369.91</v>
      </c>
      <c r="H67" t="s">
        <v>361</v>
      </c>
    </row>
    <row r="68" spans="1:8" x14ac:dyDescent="0.3">
      <c r="A68" s="1">
        <v>45406</v>
      </c>
      <c r="B68" t="s">
        <v>125</v>
      </c>
      <c r="C68" t="s">
        <v>178</v>
      </c>
      <c r="D68" s="1">
        <v>45406</v>
      </c>
      <c r="E68" s="2">
        <v>390.26</v>
      </c>
      <c r="F68" s="2">
        <v>0</v>
      </c>
      <c r="G68" s="2">
        <v>131979.65</v>
      </c>
      <c r="H68" t="s">
        <v>361</v>
      </c>
    </row>
    <row r="69" spans="1:8" x14ac:dyDescent="0.3">
      <c r="A69" s="1">
        <v>45407</v>
      </c>
      <c r="B69" t="s">
        <v>128</v>
      </c>
      <c r="C69" t="s">
        <v>179</v>
      </c>
      <c r="D69" s="1">
        <v>45407</v>
      </c>
      <c r="E69" s="2">
        <v>0</v>
      </c>
      <c r="F69" s="2">
        <v>20947.36</v>
      </c>
      <c r="G69" s="2">
        <v>152927.01</v>
      </c>
      <c r="H69" t="s">
        <v>361</v>
      </c>
    </row>
    <row r="70" spans="1:8" x14ac:dyDescent="0.3">
      <c r="A70" s="1">
        <v>45407</v>
      </c>
      <c r="B70" t="s">
        <v>125</v>
      </c>
      <c r="C70" t="s">
        <v>180</v>
      </c>
      <c r="D70" s="1">
        <v>45407</v>
      </c>
      <c r="E70" s="2">
        <v>390.26</v>
      </c>
      <c r="F70" s="2">
        <v>0</v>
      </c>
      <c r="G70" s="2">
        <v>152536.75</v>
      </c>
      <c r="H70" t="s">
        <v>361</v>
      </c>
    </row>
    <row r="71" spans="1:8" x14ac:dyDescent="0.3">
      <c r="A71" s="1">
        <v>45407</v>
      </c>
      <c r="B71" t="s">
        <v>125</v>
      </c>
      <c r="C71" t="s">
        <v>181</v>
      </c>
      <c r="D71" s="1">
        <v>45407</v>
      </c>
      <c r="E71" s="2">
        <v>50509.81</v>
      </c>
      <c r="F71" s="2">
        <v>0</v>
      </c>
      <c r="G71" s="2">
        <v>102026.94</v>
      </c>
      <c r="H71" t="s">
        <v>361</v>
      </c>
    </row>
    <row r="72" spans="1:8" x14ac:dyDescent="0.3">
      <c r="A72" s="1">
        <v>45408</v>
      </c>
      <c r="B72" t="s">
        <v>128</v>
      </c>
      <c r="C72" t="s">
        <v>182</v>
      </c>
      <c r="D72" s="1">
        <v>45408</v>
      </c>
      <c r="E72" s="2">
        <v>0</v>
      </c>
      <c r="F72" s="2">
        <v>110.36</v>
      </c>
      <c r="G72" s="2">
        <v>102137.3</v>
      </c>
      <c r="H72" t="s">
        <v>361</v>
      </c>
    </row>
    <row r="73" spans="1:8" x14ac:dyDescent="0.3">
      <c r="A73" s="1">
        <v>45408</v>
      </c>
      <c r="B73" t="s">
        <v>128</v>
      </c>
      <c r="C73" t="s">
        <v>183</v>
      </c>
      <c r="D73" s="1">
        <v>45408</v>
      </c>
      <c r="E73" s="2">
        <v>0</v>
      </c>
      <c r="F73" s="2">
        <v>32905.410000000003</v>
      </c>
      <c r="G73" s="2">
        <v>135042.71</v>
      </c>
      <c r="H73" t="s">
        <v>361</v>
      </c>
    </row>
    <row r="74" spans="1:8" x14ac:dyDescent="0.3">
      <c r="A74" s="1">
        <v>45408</v>
      </c>
      <c r="B74" t="s">
        <v>125</v>
      </c>
      <c r="C74" t="s">
        <v>184</v>
      </c>
      <c r="D74" s="1">
        <v>45408</v>
      </c>
      <c r="E74" s="2">
        <v>317.54000000000002</v>
      </c>
      <c r="F74" s="2">
        <v>0</v>
      </c>
      <c r="G74" s="2">
        <v>134725.17000000001</v>
      </c>
      <c r="H74" t="s">
        <v>361</v>
      </c>
    </row>
    <row r="75" spans="1:8" x14ac:dyDescent="0.3">
      <c r="A75" s="1">
        <v>45408</v>
      </c>
      <c r="B75" t="s">
        <v>125</v>
      </c>
      <c r="C75" t="s">
        <v>185</v>
      </c>
      <c r="D75" s="1">
        <v>45408</v>
      </c>
      <c r="E75" s="2">
        <v>76751.16</v>
      </c>
      <c r="F75" s="2">
        <v>0</v>
      </c>
      <c r="G75" s="2">
        <v>57974.01</v>
      </c>
      <c r="H75" t="s">
        <v>361</v>
      </c>
    </row>
    <row r="76" spans="1:8" x14ac:dyDescent="0.3">
      <c r="A76" s="1">
        <v>45411</v>
      </c>
      <c r="B76" t="s">
        <v>128</v>
      </c>
      <c r="C76" t="s">
        <v>186</v>
      </c>
      <c r="D76" s="1">
        <v>45411</v>
      </c>
      <c r="E76" s="2">
        <v>0</v>
      </c>
      <c r="F76" s="2">
        <v>3371.59</v>
      </c>
      <c r="G76" s="2">
        <v>61345.599999999999</v>
      </c>
      <c r="H76" t="s">
        <v>361</v>
      </c>
    </row>
    <row r="77" spans="1:8" x14ac:dyDescent="0.3">
      <c r="A77" s="1">
        <v>45411</v>
      </c>
      <c r="B77" t="s">
        <v>128</v>
      </c>
      <c r="C77" t="s">
        <v>187</v>
      </c>
      <c r="D77" s="1">
        <v>45411</v>
      </c>
      <c r="E77" s="2">
        <v>0</v>
      </c>
      <c r="F77" s="2">
        <v>58146.77</v>
      </c>
      <c r="G77" s="2">
        <v>119492.37</v>
      </c>
      <c r="H77" t="s">
        <v>361</v>
      </c>
    </row>
    <row r="78" spans="1:8" x14ac:dyDescent="0.3">
      <c r="A78" s="1">
        <v>45411</v>
      </c>
      <c r="B78" t="s">
        <v>125</v>
      </c>
      <c r="C78" t="s">
        <v>188</v>
      </c>
      <c r="D78" s="1">
        <v>45411</v>
      </c>
      <c r="E78" s="2">
        <v>891.06</v>
      </c>
      <c r="F78" s="2">
        <v>0</v>
      </c>
      <c r="G78" s="2">
        <v>118601.31</v>
      </c>
      <c r="H78" t="s">
        <v>361</v>
      </c>
    </row>
    <row r="79" spans="1:8" x14ac:dyDescent="0.3">
      <c r="A79" s="1">
        <v>45411</v>
      </c>
      <c r="B79" t="s">
        <v>125</v>
      </c>
      <c r="C79" t="s">
        <v>189</v>
      </c>
      <c r="D79" s="1">
        <v>45411</v>
      </c>
      <c r="E79" s="2">
        <v>6432.16</v>
      </c>
      <c r="F79" s="2">
        <v>0</v>
      </c>
      <c r="G79" s="2">
        <v>112169.15</v>
      </c>
      <c r="H79" t="s">
        <v>361</v>
      </c>
    </row>
    <row r="80" spans="1:8" x14ac:dyDescent="0.3">
      <c r="A80" s="1">
        <v>45412</v>
      </c>
      <c r="B80" t="s">
        <v>125</v>
      </c>
      <c r="C80" t="s">
        <v>190</v>
      </c>
      <c r="D80" s="1">
        <v>45412</v>
      </c>
      <c r="E80" s="2">
        <v>277.14999999999998</v>
      </c>
      <c r="F80" s="2">
        <v>0</v>
      </c>
      <c r="G80" s="2">
        <v>111892</v>
      </c>
      <c r="H80" t="s">
        <v>361</v>
      </c>
    </row>
    <row r="81" spans="1:8" x14ac:dyDescent="0.3">
      <c r="A81" s="1">
        <v>45412</v>
      </c>
      <c r="B81" t="s">
        <v>125</v>
      </c>
      <c r="C81" t="s">
        <v>191</v>
      </c>
      <c r="D81" s="1">
        <v>45412</v>
      </c>
      <c r="E81" s="2">
        <v>43368.94</v>
      </c>
      <c r="F81" s="2">
        <v>0</v>
      </c>
      <c r="G81" s="2">
        <v>68523.06</v>
      </c>
      <c r="H81" t="s">
        <v>361</v>
      </c>
    </row>
    <row r="82" spans="1:8" x14ac:dyDescent="0.3">
      <c r="A82" s="1">
        <v>45414</v>
      </c>
      <c r="B82" t="s">
        <v>128</v>
      </c>
      <c r="C82" t="s">
        <v>192</v>
      </c>
      <c r="D82" s="1">
        <v>45414</v>
      </c>
      <c r="E82" s="2">
        <v>0</v>
      </c>
      <c r="F82" s="2">
        <v>7938.75</v>
      </c>
      <c r="G82" s="2">
        <v>76461.81</v>
      </c>
      <c r="H82" t="s">
        <v>361</v>
      </c>
    </row>
    <row r="83" spans="1:8" x14ac:dyDescent="0.3">
      <c r="A83" s="1">
        <v>45414</v>
      </c>
      <c r="B83" t="s">
        <v>125</v>
      </c>
      <c r="C83" t="s">
        <v>193</v>
      </c>
      <c r="D83" s="1">
        <v>45414</v>
      </c>
      <c r="E83" s="2">
        <v>531.84</v>
      </c>
      <c r="F83" s="2">
        <v>0</v>
      </c>
      <c r="G83" s="2">
        <v>75929.97</v>
      </c>
      <c r="H83" t="s">
        <v>361</v>
      </c>
    </row>
    <row r="84" spans="1:8" x14ac:dyDescent="0.3">
      <c r="A84" s="1">
        <v>45414</v>
      </c>
      <c r="B84" t="s">
        <v>194</v>
      </c>
      <c r="C84" t="s">
        <v>195</v>
      </c>
      <c r="D84" s="1">
        <v>45414</v>
      </c>
      <c r="E84" s="2">
        <v>0</v>
      </c>
      <c r="F84" s="2">
        <v>595.13</v>
      </c>
      <c r="G84" s="2">
        <v>76525.100000000006</v>
      </c>
      <c r="H84" t="s">
        <v>369</v>
      </c>
    </row>
    <row r="85" spans="1:8" x14ac:dyDescent="0.3">
      <c r="A85" s="1">
        <v>45414</v>
      </c>
      <c r="B85" t="s">
        <v>125</v>
      </c>
      <c r="C85" t="s">
        <v>196</v>
      </c>
      <c r="D85" s="1">
        <v>45414</v>
      </c>
      <c r="E85" s="2">
        <v>6687.69</v>
      </c>
      <c r="F85" s="2">
        <v>0</v>
      </c>
      <c r="G85" s="2">
        <v>69837.41</v>
      </c>
      <c r="H85" t="s">
        <v>361</v>
      </c>
    </row>
    <row r="86" spans="1:8" x14ac:dyDescent="0.3">
      <c r="A86" s="1">
        <v>45415</v>
      </c>
      <c r="B86" t="s">
        <v>128</v>
      </c>
      <c r="C86" t="s">
        <v>197</v>
      </c>
      <c r="D86" s="1">
        <v>45415</v>
      </c>
      <c r="E86" s="2">
        <v>0</v>
      </c>
      <c r="F86" s="2">
        <v>6018.48</v>
      </c>
      <c r="G86" s="2">
        <v>75855.89</v>
      </c>
      <c r="H86" t="s">
        <v>361</v>
      </c>
    </row>
    <row r="87" spans="1:8" x14ac:dyDescent="0.3">
      <c r="A87" s="1">
        <v>45415</v>
      </c>
      <c r="B87" t="s">
        <v>128</v>
      </c>
      <c r="C87" t="s">
        <v>198</v>
      </c>
      <c r="D87" s="1">
        <v>45415</v>
      </c>
      <c r="E87" s="2">
        <v>0</v>
      </c>
      <c r="F87" s="2">
        <v>24826.97</v>
      </c>
      <c r="G87" s="2">
        <v>100682.86</v>
      </c>
      <c r="H87" t="s">
        <v>361</v>
      </c>
    </row>
    <row r="88" spans="1:8" x14ac:dyDescent="0.3">
      <c r="A88" s="1">
        <v>45415</v>
      </c>
      <c r="B88" t="s">
        <v>199</v>
      </c>
      <c r="C88" t="s">
        <v>200</v>
      </c>
      <c r="D88" s="1">
        <v>45415</v>
      </c>
      <c r="E88" s="2">
        <v>295</v>
      </c>
      <c r="F88" s="2">
        <v>0</v>
      </c>
      <c r="G88" s="2">
        <v>100387.86</v>
      </c>
      <c r="H88" t="s">
        <v>365</v>
      </c>
    </row>
    <row r="89" spans="1:8" x14ac:dyDescent="0.3">
      <c r="A89" s="1">
        <v>45415</v>
      </c>
      <c r="B89" t="s">
        <v>125</v>
      </c>
      <c r="C89" t="s">
        <v>201</v>
      </c>
      <c r="D89" s="1">
        <v>45415</v>
      </c>
      <c r="E89" s="2">
        <v>241.28</v>
      </c>
      <c r="F89" s="2">
        <v>0</v>
      </c>
      <c r="G89" s="2">
        <v>100146.58</v>
      </c>
      <c r="H89" t="s">
        <v>361</v>
      </c>
    </row>
    <row r="90" spans="1:8" x14ac:dyDescent="0.3">
      <c r="A90" s="1">
        <v>45415</v>
      </c>
      <c r="B90" t="s">
        <v>202</v>
      </c>
      <c r="C90" t="s">
        <v>203</v>
      </c>
      <c r="D90" s="1">
        <v>45415</v>
      </c>
      <c r="E90" s="2">
        <v>5000</v>
      </c>
      <c r="F90" s="2">
        <v>0</v>
      </c>
      <c r="G90" s="2">
        <v>95146.58</v>
      </c>
      <c r="H90" t="s">
        <v>366</v>
      </c>
    </row>
    <row r="91" spans="1:8" x14ac:dyDescent="0.3">
      <c r="A91" s="1">
        <v>45415</v>
      </c>
      <c r="B91" t="s">
        <v>125</v>
      </c>
      <c r="C91" t="s">
        <v>204</v>
      </c>
      <c r="D91" s="1">
        <v>45415</v>
      </c>
      <c r="E91" s="2">
        <v>46062.080000000002</v>
      </c>
      <c r="F91" s="2">
        <v>0</v>
      </c>
      <c r="G91" s="2">
        <v>49084.5</v>
      </c>
      <c r="H91" t="s">
        <v>361</v>
      </c>
    </row>
    <row r="92" spans="1:8" x14ac:dyDescent="0.3">
      <c r="A92" s="1">
        <v>45418</v>
      </c>
      <c r="B92" t="s">
        <v>125</v>
      </c>
      <c r="C92" t="s">
        <v>205</v>
      </c>
      <c r="D92" s="1">
        <v>45418</v>
      </c>
      <c r="E92" s="2">
        <v>649.62</v>
      </c>
      <c r="F92" s="2">
        <v>0</v>
      </c>
      <c r="G92" s="2">
        <v>48434.879999999997</v>
      </c>
      <c r="H92" t="s">
        <v>361</v>
      </c>
    </row>
    <row r="93" spans="1:8" x14ac:dyDescent="0.3">
      <c r="A93" s="1">
        <v>45418</v>
      </c>
      <c r="B93" t="s">
        <v>125</v>
      </c>
      <c r="C93" t="s">
        <v>206</v>
      </c>
      <c r="D93" s="1">
        <v>45418</v>
      </c>
      <c r="E93" s="2">
        <v>7798.44</v>
      </c>
      <c r="F93" s="2">
        <v>0</v>
      </c>
      <c r="G93" s="2">
        <v>40636.44</v>
      </c>
      <c r="H93" t="s">
        <v>361</v>
      </c>
    </row>
    <row r="94" spans="1:8" x14ac:dyDescent="0.3">
      <c r="A94" s="1">
        <v>45419</v>
      </c>
      <c r="B94" t="s">
        <v>125</v>
      </c>
      <c r="C94" t="s">
        <v>207</v>
      </c>
      <c r="D94" s="1">
        <v>45419</v>
      </c>
      <c r="E94" s="2">
        <v>217.47</v>
      </c>
      <c r="F94" s="2">
        <v>0</v>
      </c>
      <c r="G94" s="2">
        <v>40418.97</v>
      </c>
      <c r="H94" t="s">
        <v>361</v>
      </c>
    </row>
    <row r="95" spans="1:8" x14ac:dyDescent="0.3">
      <c r="A95" s="1">
        <v>45419</v>
      </c>
      <c r="B95" t="s">
        <v>125</v>
      </c>
      <c r="C95" t="s">
        <v>208</v>
      </c>
      <c r="D95" s="1">
        <v>45419</v>
      </c>
      <c r="E95" s="2">
        <v>14240.93</v>
      </c>
      <c r="F95" s="2">
        <v>0</v>
      </c>
      <c r="G95" s="2">
        <v>26178.04</v>
      </c>
      <c r="H95" t="s">
        <v>361</v>
      </c>
    </row>
    <row r="96" spans="1:8" x14ac:dyDescent="0.3">
      <c r="A96" s="1">
        <v>45419</v>
      </c>
      <c r="B96" t="s">
        <v>125</v>
      </c>
      <c r="C96" t="s">
        <v>209</v>
      </c>
      <c r="D96" s="1">
        <v>45419</v>
      </c>
      <c r="E96" s="2">
        <v>363.75</v>
      </c>
      <c r="F96" s="2">
        <v>0</v>
      </c>
      <c r="G96" s="2">
        <v>25814.29</v>
      </c>
      <c r="H96" t="s">
        <v>361</v>
      </c>
    </row>
    <row r="97" spans="1:8" x14ac:dyDescent="0.3">
      <c r="A97" s="1">
        <v>45420</v>
      </c>
      <c r="B97" t="s">
        <v>128</v>
      </c>
      <c r="C97" t="s">
        <v>210</v>
      </c>
      <c r="D97" s="1">
        <v>45420</v>
      </c>
      <c r="E97" s="2">
        <v>0</v>
      </c>
      <c r="F97" s="2">
        <v>9709.5300000000007</v>
      </c>
      <c r="G97" s="2">
        <v>35523.82</v>
      </c>
      <c r="H97" t="s">
        <v>361</v>
      </c>
    </row>
    <row r="98" spans="1:8" x14ac:dyDescent="0.3">
      <c r="A98" s="1">
        <v>45420</v>
      </c>
      <c r="B98" t="s">
        <v>125</v>
      </c>
      <c r="C98" t="s">
        <v>211</v>
      </c>
      <c r="D98" s="1">
        <v>45420</v>
      </c>
      <c r="E98" s="2">
        <v>224.84</v>
      </c>
      <c r="F98" s="2">
        <v>0</v>
      </c>
      <c r="G98" s="2">
        <v>35298.980000000003</v>
      </c>
      <c r="H98" t="s">
        <v>361</v>
      </c>
    </row>
    <row r="99" spans="1:8" x14ac:dyDescent="0.3">
      <c r="A99" s="1">
        <v>45421</v>
      </c>
      <c r="B99" t="s">
        <v>125</v>
      </c>
      <c r="C99" t="s">
        <v>212</v>
      </c>
      <c r="D99" s="1">
        <v>45421</v>
      </c>
      <c r="E99" s="2">
        <v>7.69</v>
      </c>
      <c r="F99" s="2">
        <v>0</v>
      </c>
      <c r="G99" s="2">
        <v>35291.29</v>
      </c>
      <c r="H99" t="s">
        <v>361</v>
      </c>
    </row>
    <row r="100" spans="1:8" x14ac:dyDescent="0.3">
      <c r="A100" s="1">
        <v>45421</v>
      </c>
      <c r="B100" t="s">
        <v>125</v>
      </c>
      <c r="C100" t="s">
        <v>213</v>
      </c>
      <c r="D100" s="1">
        <v>45421</v>
      </c>
      <c r="E100" s="2">
        <v>228.38</v>
      </c>
      <c r="F100" s="2">
        <v>0</v>
      </c>
      <c r="G100" s="2">
        <v>35062.910000000003</v>
      </c>
      <c r="H100" t="s">
        <v>361</v>
      </c>
    </row>
    <row r="101" spans="1:8" x14ac:dyDescent="0.3">
      <c r="A101" s="1">
        <v>45421</v>
      </c>
      <c r="B101" t="s">
        <v>214</v>
      </c>
      <c r="C101" t="s">
        <v>140</v>
      </c>
      <c r="D101" s="1">
        <v>45421</v>
      </c>
      <c r="E101" s="2">
        <v>2881.8</v>
      </c>
      <c r="F101" s="2">
        <v>0</v>
      </c>
      <c r="G101" s="2">
        <v>32181.11</v>
      </c>
      <c r="H101" t="s">
        <v>362</v>
      </c>
    </row>
    <row r="102" spans="1:8" x14ac:dyDescent="0.3">
      <c r="A102" s="1">
        <v>45421</v>
      </c>
      <c r="B102" t="s">
        <v>215</v>
      </c>
      <c r="C102" t="s">
        <v>216</v>
      </c>
      <c r="D102" s="1">
        <v>45421</v>
      </c>
      <c r="E102" s="2">
        <v>0</v>
      </c>
      <c r="F102" s="2">
        <v>25000</v>
      </c>
      <c r="G102" s="2">
        <v>57181.11</v>
      </c>
      <c r="H102" t="s">
        <v>364</v>
      </c>
    </row>
    <row r="103" spans="1:8" x14ac:dyDescent="0.3">
      <c r="A103" s="1">
        <v>45421</v>
      </c>
      <c r="B103" t="s">
        <v>125</v>
      </c>
      <c r="C103" t="s">
        <v>217</v>
      </c>
      <c r="D103" s="1">
        <v>45421</v>
      </c>
      <c r="E103" s="2">
        <v>20481.04</v>
      </c>
      <c r="F103" s="2">
        <v>0</v>
      </c>
      <c r="G103" s="2">
        <v>36700.07</v>
      </c>
      <c r="H103" t="s">
        <v>361</v>
      </c>
    </row>
    <row r="104" spans="1:8" x14ac:dyDescent="0.3">
      <c r="A104" s="1">
        <v>45422</v>
      </c>
      <c r="B104" t="s">
        <v>146</v>
      </c>
      <c r="C104" t="s">
        <v>218</v>
      </c>
      <c r="D104" s="1">
        <v>45422</v>
      </c>
      <c r="E104" s="2">
        <v>10000</v>
      </c>
      <c r="F104" s="2">
        <v>0</v>
      </c>
      <c r="G104" s="2">
        <v>26700.07</v>
      </c>
      <c r="H104" t="s">
        <v>1854</v>
      </c>
    </row>
    <row r="105" spans="1:8" x14ac:dyDescent="0.3">
      <c r="A105" s="1">
        <v>45422</v>
      </c>
      <c r="B105" t="s">
        <v>125</v>
      </c>
      <c r="C105" t="s">
        <v>219</v>
      </c>
      <c r="D105" s="1">
        <v>45422</v>
      </c>
      <c r="E105" s="2">
        <v>221.09</v>
      </c>
      <c r="F105" s="2">
        <v>0</v>
      </c>
      <c r="G105" s="2">
        <v>26478.98</v>
      </c>
      <c r="H105" t="s">
        <v>361</v>
      </c>
    </row>
    <row r="106" spans="1:8" x14ac:dyDescent="0.3">
      <c r="A106" s="1">
        <v>45422</v>
      </c>
      <c r="B106" t="s">
        <v>125</v>
      </c>
      <c r="C106" t="s">
        <v>220</v>
      </c>
      <c r="D106" s="1">
        <v>45422</v>
      </c>
      <c r="E106" s="2">
        <v>6385.72</v>
      </c>
      <c r="F106" s="2">
        <v>0</v>
      </c>
      <c r="G106" s="2">
        <v>20093.259999999998</v>
      </c>
      <c r="H106" t="s">
        <v>361</v>
      </c>
    </row>
    <row r="107" spans="1:8" x14ac:dyDescent="0.3">
      <c r="A107" s="1">
        <v>45425</v>
      </c>
      <c r="B107" t="s">
        <v>128</v>
      </c>
      <c r="C107" t="s">
        <v>221</v>
      </c>
      <c r="D107" s="1">
        <v>45425</v>
      </c>
      <c r="E107" s="2">
        <v>0</v>
      </c>
      <c r="F107" s="2">
        <v>6536.96</v>
      </c>
      <c r="G107" s="2">
        <v>26630.22</v>
      </c>
      <c r="H107" t="s">
        <v>361</v>
      </c>
    </row>
    <row r="108" spans="1:8" x14ac:dyDescent="0.3">
      <c r="A108" s="1">
        <v>45425</v>
      </c>
      <c r="B108" t="s">
        <v>125</v>
      </c>
      <c r="C108" t="s">
        <v>222</v>
      </c>
      <c r="D108" s="1">
        <v>45425</v>
      </c>
      <c r="E108" s="2">
        <v>676.29</v>
      </c>
      <c r="F108" s="2">
        <v>0</v>
      </c>
      <c r="G108" s="2">
        <v>25953.93</v>
      </c>
      <c r="H108" t="s">
        <v>361</v>
      </c>
    </row>
    <row r="109" spans="1:8" x14ac:dyDescent="0.3">
      <c r="A109" s="1">
        <v>45425</v>
      </c>
      <c r="B109" t="s">
        <v>125</v>
      </c>
      <c r="C109" t="s">
        <v>223</v>
      </c>
      <c r="D109" s="1">
        <v>45425</v>
      </c>
      <c r="E109" s="2">
        <v>9001.43</v>
      </c>
      <c r="F109" s="2">
        <v>0</v>
      </c>
      <c r="G109" s="2">
        <v>16952.5</v>
      </c>
      <c r="H109" t="s">
        <v>361</v>
      </c>
    </row>
    <row r="110" spans="1:8" x14ac:dyDescent="0.3">
      <c r="A110" s="1">
        <v>45426</v>
      </c>
      <c r="B110" t="s">
        <v>125</v>
      </c>
      <c r="C110" t="s">
        <v>224</v>
      </c>
      <c r="D110" s="1">
        <v>45426</v>
      </c>
      <c r="E110" s="2">
        <v>224.56</v>
      </c>
      <c r="F110" s="2">
        <v>0</v>
      </c>
      <c r="G110" s="2">
        <v>16727.939999999999</v>
      </c>
      <c r="H110" t="s">
        <v>361</v>
      </c>
    </row>
    <row r="111" spans="1:8" x14ac:dyDescent="0.3">
      <c r="A111" s="1">
        <v>45427</v>
      </c>
      <c r="B111" t="s">
        <v>128</v>
      </c>
      <c r="C111" t="s">
        <v>225</v>
      </c>
      <c r="D111" s="1">
        <v>45427</v>
      </c>
      <c r="E111" s="2">
        <v>0</v>
      </c>
      <c r="F111" s="2">
        <v>3855.67</v>
      </c>
      <c r="G111" s="2">
        <v>20583.61</v>
      </c>
      <c r="H111" t="s">
        <v>361</v>
      </c>
    </row>
    <row r="112" spans="1:8" x14ac:dyDescent="0.3">
      <c r="A112" s="1">
        <v>45427</v>
      </c>
      <c r="B112" t="s">
        <v>128</v>
      </c>
      <c r="C112" t="s">
        <v>226</v>
      </c>
      <c r="D112" s="1">
        <v>45427</v>
      </c>
      <c r="E112" s="2">
        <v>0</v>
      </c>
      <c r="F112" s="2">
        <v>129918.32</v>
      </c>
      <c r="G112" s="2">
        <v>150501.93</v>
      </c>
      <c r="H112" t="s">
        <v>361</v>
      </c>
    </row>
    <row r="113" spans="1:8" x14ac:dyDescent="0.3">
      <c r="A113" s="1">
        <v>45427</v>
      </c>
      <c r="B113" t="s">
        <v>146</v>
      </c>
      <c r="C113" t="s">
        <v>227</v>
      </c>
      <c r="D113" s="1">
        <v>45427</v>
      </c>
      <c r="E113" s="2">
        <v>10000</v>
      </c>
      <c r="F113" s="2">
        <v>0</v>
      </c>
      <c r="G113" s="2">
        <v>140501.93</v>
      </c>
      <c r="H113" t="s">
        <v>1854</v>
      </c>
    </row>
    <row r="114" spans="1:8" x14ac:dyDescent="0.3">
      <c r="A114" s="1">
        <v>45427</v>
      </c>
      <c r="B114" t="s">
        <v>125</v>
      </c>
      <c r="C114" t="s">
        <v>228</v>
      </c>
      <c r="D114" s="1">
        <v>45427</v>
      </c>
      <c r="E114" s="2">
        <v>240.49</v>
      </c>
      <c r="F114" s="2">
        <v>0</v>
      </c>
      <c r="G114" s="2">
        <v>140261.44</v>
      </c>
      <c r="H114" t="s">
        <v>361</v>
      </c>
    </row>
    <row r="115" spans="1:8" x14ac:dyDescent="0.3">
      <c r="A115" s="1">
        <v>45427</v>
      </c>
      <c r="B115" t="s">
        <v>125</v>
      </c>
      <c r="C115" t="s">
        <v>229</v>
      </c>
      <c r="D115" s="1">
        <v>45427</v>
      </c>
      <c r="E115" s="2">
        <v>28406.51</v>
      </c>
      <c r="F115" s="2">
        <v>0</v>
      </c>
      <c r="G115" s="2">
        <v>111854.93</v>
      </c>
      <c r="H115" t="s">
        <v>361</v>
      </c>
    </row>
    <row r="116" spans="1:8" x14ac:dyDescent="0.3">
      <c r="A116" s="1">
        <v>45428</v>
      </c>
      <c r="B116" t="s">
        <v>128</v>
      </c>
      <c r="C116" t="s">
        <v>230</v>
      </c>
      <c r="D116" s="1">
        <v>45428</v>
      </c>
      <c r="E116" s="2">
        <v>0</v>
      </c>
      <c r="F116" s="2">
        <v>474.78</v>
      </c>
      <c r="G116" s="2">
        <v>112329.71</v>
      </c>
      <c r="H116" t="s">
        <v>361</v>
      </c>
    </row>
    <row r="117" spans="1:8" x14ac:dyDescent="0.3">
      <c r="A117" s="1">
        <v>45428</v>
      </c>
      <c r="B117" t="s">
        <v>231</v>
      </c>
      <c r="C117" t="s">
        <v>232</v>
      </c>
      <c r="D117" s="1">
        <v>45428</v>
      </c>
      <c r="E117" s="2">
        <v>0</v>
      </c>
      <c r="F117" s="2">
        <v>2000</v>
      </c>
      <c r="G117" s="2">
        <v>114329.71</v>
      </c>
      <c r="H117" t="s">
        <v>356</v>
      </c>
    </row>
    <row r="118" spans="1:8" x14ac:dyDescent="0.3">
      <c r="A118" s="1">
        <v>45428</v>
      </c>
      <c r="B118" t="s">
        <v>125</v>
      </c>
      <c r="C118" t="s">
        <v>233</v>
      </c>
      <c r="D118" s="1">
        <v>45428</v>
      </c>
      <c r="E118" s="2">
        <v>241.86</v>
      </c>
      <c r="F118" s="2">
        <v>0</v>
      </c>
      <c r="G118" s="2">
        <v>114087.85</v>
      </c>
      <c r="H118" t="s">
        <v>361</v>
      </c>
    </row>
    <row r="119" spans="1:8" x14ac:dyDescent="0.3">
      <c r="A119" s="1">
        <v>45428</v>
      </c>
      <c r="B119" t="s">
        <v>125</v>
      </c>
      <c r="C119" t="s">
        <v>234</v>
      </c>
      <c r="D119" s="1">
        <v>45428</v>
      </c>
      <c r="E119" s="2">
        <v>89532.81</v>
      </c>
      <c r="F119" s="2">
        <v>0</v>
      </c>
      <c r="G119" s="2">
        <v>24555.040000000001</v>
      </c>
      <c r="H119" t="s">
        <v>361</v>
      </c>
    </row>
    <row r="120" spans="1:8" x14ac:dyDescent="0.3">
      <c r="A120" s="1">
        <v>45429</v>
      </c>
      <c r="B120" t="s">
        <v>125</v>
      </c>
      <c r="C120" t="s">
        <v>235</v>
      </c>
      <c r="D120" s="1">
        <v>45429</v>
      </c>
      <c r="E120" s="2">
        <v>214.59</v>
      </c>
      <c r="F120" s="2">
        <v>0</v>
      </c>
      <c r="G120" s="2">
        <v>24340.45</v>
      </c>
      <c r="H120" t="s">
        <v>361</v>
      </c>
    </row>
    <row r="121" spans="1:8" x14ac:dyDescent="0.3">
      <c r="A121" s="1">
        <v>45430</v>
      </c>
      <c r="B121" t="s">
        <v>236</v>
      </c>
      <c r="C121" t="s">
        <v>237</v>
      </c>
      <c r="D121" s="1">
        <v>45430</v>
      </c>
      <c r="E121" s="2">
        <v>0</v>
      </c>
      <c r="F121" s="2">
        <v>129.43</v>
      </c>
      <c r="G121" s="2">
        <v>24469.88</v>
      </c>
      <c r="H121" t="s">
        <v>369</v>
      </c>
    </row>
    <row r="122" spans="1:8" x14ac:dyDescent="0.3">
      <c r="A122" s="1">
        <v>45430</v>
      </c>
      <c r="B122" t="s">
        <v>125</v>
      </c>
      <c r="C122" t="s">
        <v>238</v>
      </c>
      <c r="D122" s="1">
        <v>45430</v>
      </c>
      <c r="E122" s="2">
        <v>1542.46</v>
      </c>
      <c r="F122" s="2">
        <v>0</v>
      </c>
      <c r="G122" s="2">
        <v>22927.42</v>
      </c>
      <c r="H122" t="s">
        <v>361</v>
      </c>
    </row>
    <row r="123" spans="1:8" x14ac:dyDescent="0.3">
      <c r="A123" s="1">
        <v>45433</v>
      </c>
      <c r="B123" t="s">
        <v>146</v>
      </c>
      <c r="C123" t="s">
        <v>239</v>
      </c>
      <c r="D123" s="1">
        <v>45433</v>
      </c>
      <c r="E123" s="2">
        <v>10000</v>
      </c>
      <c r="F123" s="2">
        <v>0</v>
      </c>
      <c r="G123" s="2">
        <v>12927.42</v>
      </c>
      <c r="H123" t="s">
        <v>1854</v>
      </c>
    </row>
    <row r="124" spans="1:8" x14ac:dyDescent="0.3">
      <c r="A124" s="1">
        <v>45433</v>
      </c>
      <c r="B124" t="s">
        <v>125</v>
      </c>
      <c r="C124" t="s">
        <v>240</v>
      </c>
      <c r="D124" s="1">
        <v>45433</v>
      </c>
      <c r="E124" s="2">
        <v>706.53</v>
      </c>
      <c r="F124" s="2">
        <v>0</v>
      </c>
      <c r="G124" s="2">
        <v>12220.89</v>
      </c>
      <c r="H124" t="s">
        <v>361</v>
      </c>
    </row>
    <row r="125" spans="1:8" x14ac:dyDescent="0.3">
      <c r="A125" s="1">
        <v>45433</v>
      </c>
      <c r="B125" t="s">
        <v>125</v>
      </c>
      <c r="C125" t="s">
        <v>241</v>
      </c>
      <c r="D125" s="1">
        <v>45433</v>
      </c>
      <c r="E125" s="2">
        <v>1271.6099999999999</v>
      </c>
      <c r="F125" s="2">
        <v>0</v>
      </c>
      <c r="G125" s="2">
        <v>10949.28</v>
      </c>
      <c r="H125" t="s">
        <v>361</v>
      </c>
    </row>
    <row r="126" spans="1:8" x14ac:dyDescent="0.3">
      <c r="A126" s="1">
        <v>45434</v>
      </c>
      <c r="B126" t="s">
        <v>128</v>
      </c>
      <c r="C126" t="s">
        <v>242</v>
      </c>
      <c r="D126" s="1">
        <v>45434</v>
      </c>
      <c r="E126" s="2">
        <v>0</v>
      </c>
      <c r="F126" s="2">
        <v>50446.59</v>
      </c>
      <c r="G126" s="2">
        <v>61395.87</v>
      </c>
      <c r="H126" t="s">
        <v>361</v>
      </c>
    </row>
    <row r="127" spans="1:8" x14ac:dyDescent="0.3">
      <c r="A127" s="1">
        <v>45434</v>
      </c>
      <c r="B127" t="s">
        <v>125</v>
      </c>
      <c r="C127" t="s">
        <v>243</v>
      </c>
      <c r="D127" s="1">
        <v>45434</v>
      </c>
      <c r="E127" s="2">
        <v>235.06</v>
      </c>
      <c r="F127" s="2">
        <v>0</v>
      </c>
      <c r="G127" s="2">
        <v>61160.81</v>
      </c>
      <c r="H127" t="s">
        <v>361</v>
      </c>
    </row>
    <row r="128" spans="1:8" x14ac:dyDescent="0.3">
      <c r="A128" s="1">
        <v>45434</v>
      </c>
      <c r="B128" t="s">
        <v>125</v>
      </c>
      <c r="C128" t="s">
        <v>244</v>
      </c>
      <c r="D128" s="1">
        <v>45434</v>
      </c>
      <c r="E128" s="2">
        <v>2387.59</v>
      </c>
      <c r="F128" s="2">
        <v>0</v>
      </c>
      <c r="G128" s="2">
        <v>58773.22</v>
      </c>
      <c r="H128" t="s">
        <v>361</v>
      </c>
    </row>
    <row r="129" spans="1:8" x14ac:dyDescent="0.3">
      <c r="A129" s="1">
        <v>45435</v>
      </c>
      <c r="B129" t="s">
        <v>245</v>
      </c>
      <c r="C129" t="s">
        <v>246</v>
      </c>
      <c r="D129" s="1">
        <v>45435</v>
      </c>
      <c r="E129" s="2">
        <v>16.04</v>
      </c>
      <c r="F129" s="2">
        <v>0</v>
      </c>
      <c r="G129" s="2">
        <v>58757.18</v>
      </c>
      <c r="H129" t="s">
        <v>365</v>
      </c>
    </row>
    <row r="130" spans="1:8" x14ac:dyDescent="0.3">
      <c r="A130" s="1">
        <v>45435</v>
      </c>
      <c r="B130" t="s">
        <v>125</v>
      </c>
      <c r="C130" t="s">
        <v>247</v>
      </c>
      <c r="D130" s="1">
        <v>45435</v>
      </c>
      <c r="E130" s="2">
        <v>234.21</v>
      </c>
      <c r="F130" s="2">
        <v>0</v>
      </c>
      <c r="G130" s="2">
        <v>58522.97</v>
      </c>
      <c r="H130" t="s">
        <v>361</v>
      </c>
    </row>
    <row r="131" spans="1:8" x14ac:dyDescent="0.3">
      <c r="A131" s="1">
        <v>45435</v>
      </c>
      <c r="B131" t="s">
        <v>125</v>
      </c>
      <c r="C131" t="s">
        <v>248</v>
      </c>
      <c r="D131" s="1">
        <v>45435</v>
      </c>
      <c r="E131" s="2">
        <v>234.21</v>
      </c>
      <c r="F131" s="2">
        <v>0</v>
      </c>
      <c r="G131" s="2">
        <v>58288.76</v>
      </c>
      <c r="H131" t="s">
        <v>361</v>
      </c>
    </row>
    <row r="132" spans="1:8" x14ac:dyDescent="0.3">
      <c r="A132" s="1">
        <v>45436</v>
      </c>
      <c r="B132" t="s">
        <v>128</v>
      </c>
      <c r="C132" t="s">
        <v>249</v>
      </c>
      <c r="D132" s="1">
        <v>45436</v>
      </c>
      <c r="E132" s="2">
        <v>0</v>
      </c>
      <c r="F132" s="2">
        <v>17480.43</v>
      </c>
      <c r="G132" s="2">
        <v>75769.19</v>
      </c>
      <c r="H132" t="s">
        <v>361</v>
      </c>
    </row>
    <row r="133" spans="1:8" x14ac:dyDescent="0.3">
      <c r="A133" s="1">
        <v>45436</v>
      </c>
      <c r="B133" t="s">
        <v>128</v>
      </c>
      <c r="C133" t="s">
        <v>250</v>
      </c>
      <c r="D133" s="1">
        <v>45436</v>
      </c>
      <c r="E133" s="2">
        <v>0</v>
      </c>
      <c r="F133" s="2">
        <v>76406.78</v>
      </c>
      <c r="G133" s="2">
        <v>152175.97</v>
      </c>
      <c r="H133" t="s">
        <v>361</v>
      </c>
    </row>
    <row r="134" spans="1:8" x14ac:dyDescent="0.3">
      <c r="A134" s="1">
        <v>45436</v>
      </c>
      <c r="B134" t="s">
        <v>125</v>
      </c>
      <c r="C134" t="s">
        <v>251</v>
      </c>
      <c r="D134" s="1">
        <v>45436</v>
      </c>
      <c r="E134" s="2">
        <v>234.21</v>
      </c>
      <c r="F134" s="2">
        <v>0</v>
      </c>
      <c r="G134" s="2">
        <v>151941.76000000001</v>
      </c>
      <c r="H134" t="s">
        <v>361</v>
      </c>
    </row>
    <row r="135" spans="1:8" x14ac:dyDescent="0.3">
      <c r="A135" s="1">
        <v>45436</v>
      </c>
      <c r="B135" t="s">
        <v>252</v>
      </c>
      <c r="C135" t="s">
        <v>253</v>
      </c>
      <c r="D135" s="1">
        <v>45436</v>
      </c>
      <c r="E135" s="2">
        <v>0</v>
      </c>
      <c r="F135" s="2">
        <v>702</v>
      </c>
      <c r="G135" s="2">
        <v>152643.76</v>
      </c>
      <c r="H135" t="s">
        <v>367</v>
      </c>
    </row>
    <row r="136" spans="1:8" x14ac:dyDescent="0.3">
      <c r="A136" s="1">
        <v>45437</v>
      </c>
      <c r="B136" t="s">
        <v>125</v>
      </c>
      <c r="C136" t="s">
        <v>254</v>
      </c>
      <c r="D136" s="1">
        <v>45437</v>
      </c>
      <c r="E136" s="2">
        <v>1664.51</v>
      </c>
      <c r="F136" s="2">
        <v>0</v>
      </c>
      <c r="G136" s="2">
        <v>150979.25</v>
      </c>
      <c r="H136" t="s">
        <v>361</v>
      </c>
    </row>
    <row r="137" spans="1:8" x14ac:dyDescent="0.3">
      <c r="A137" s="1">
        <v>45439</v>
      </c>
      <c r="B137" t="s">
        <v>125</v>
      </c>
      <c r="C137" t="s">
        <v>255</v>
      </c>
      <c r="D137" s="1">
        <v>45439</v>
      </c>
      <c r="E137" s="2">
        <v>671.25</v>
      </c>
      <c r="F137" s="2">
        <v>0</v>
      </c>
      <c r="G137" s="2">
        <v>150308</v>
      </c>
      <c r="H137" t="s">
        <v>361</v>
      </c>
    </row>
    <row r="138" spans="1:8" x14ac:dyDescent="0.3">
      <c r="A138" s="1">
        <v>45440</v>
      </c>
      <c r="B138" t="s">
        <v>128</v>
      </c>
      <c r="C138" t="s">
        <v>256</v>
      </c>
      <c r="D138" s="1">
        <v>45440</v>
      </c>
      <c r="E138" s="2">
        <v>0</v>
      </c>
      <c r="F138" s="2">
        <v>20447.52</v>
      </c>
      <c r="G138" s="2">
        <v>170755.52</v>
      </c>
      <c r="H138" t="s">
        <v>361</v>
      </c>
    </row>
    <row r="139" spans="1:8" x14ac:dyDescent="0.3">
      <c r="A139" s="1">
        <v>45440</v>
      </c>
      <c r="B139" t="s">
        <v>128</v>
      </c>
      <c r="C139" t="s">
        <v>257</v>
      </c>
      <c r="D139" s="1">
        <v>45440</v>
      </c>
      <c r="E139" s="2">
        <v>0</v>
      </c>
      <c r="F139" s="2">
        <v>13004.02</v>
      </c>
      <c r="G139" s="2">
        <v>183759.54</v>
      </c>
      <c r="H139" t="s">
        <v>361</v>
      </c>
    </row>
    <row r="140" spans="1:8" x14ac:dyDescent="0.3">
      <c r="A140" s="1">
        <v>45440</v>
      </c>
      <c r="B140" t="s">
        <v>125</v>
      </c>
      <c r="C140" t="s">
        <v>258</v>
      </c>
      <c r="D140" s="1">
        <v>45440</v>
      </c>
      <c r="E140" s="2">
        <v>223.75</v>
      </c>
      <c r="F140" s="2">
        <v>0</v>
      </c>
      <c r="G140" s="2">
        <v>183535.79</v>
      </c>
      <c r="H140" t="s">
        <v>361</v>
      </c>
    </row>
    <row r="141" spans="1:8" x14ac:dyDescent="0.3">
      <c r="A141" s="1">
        <v>45441</v>
      </c>
      <c r="B141" t="s">
        <v>128</v>
      </c>
      <c r="C141" t="s">
        <v>259</v>
      </c>
      <c r="D141" s="1">
        <v>45441</v>
      </c>
      <c r="E141" s="2">
        <v>0</v>
      </c>
      <c r="F141" s="2">
        <v>4447.62</v>
      </c>
      <c r="G141" s="2">
        <v>187983.41</v>
      </c>
      <c r="H141" t="s">
        <v>361</v>
      </c>
    </row>
    <row r="142" spans="1:8" x14ac:dyDescent="0.3">
      <c r="A142" s="1">
        <v>45441</v>
      </c>
      <c r="B142" t="s">
        <v>125</v>
      </c>
      <c r="C142" t="s">
        <v>260</v>
      </c>
      <c r="D142" s="1">
        <v>45441</v>
      </c>
      <c r="E142" s="2">
        <v>212.03</v>
      </c>
      <c r="F142" s="2">
        <v>0</v>
      </c>
      <c r="G142" s="2">
        <v>187771.38</v>
      </c>
      <c r="H142" t="s">
        <v>361</v>
      </c>
    </row>
    <row r="143" spans="1:8" x14ac:dyDescent="0.3">
      <c r="A143" s="1">
        <v>45441</v>
      </c>
      <c r="B143" t="s">
        <v>125</v>
      </c>
      <c r="C143" t="s">
        <v>261</v>
      </c>
      <c r="D143" s="1">
        <v>45441</v>
      </c>
      <c r="E143" s="2">
        <v>8834.81</v>
      </c>
      <c r="F143" s="2">
        <v>0</v>
      </c>
      <c r="G143" s="2">
        <v>178936.57</v>
      </c>
      <c r="H143" t="s">
        <v>361</v>
      </c>
    </row>
    <row r="144" spans="1:8" x14ac:dyDescent="0.3">
      <c r="A144" s="1">
        <v>45441</v>
      </c>
      <c r="B144" t="s">
        <v>125</v>
      </c>
      <c r="C144" t="s">
        <v>262</v>
      </c>
      <c r="D144" s="1">
        <v>45441</v>
      </c>
      <c r="E144" s="2">
        <v>361.65</v>
      </c>
      <c r="F144" s="2">
        <v>0</v>
      </c>
      <c r="G144" s="2">
        <v>178574.92</v>
      </c>
      <c r="H144" t="s">
        <v>361</v>
      </c>
    </row>
    <row r="145" spans="1:8" x14ac:dyDescent="0.3">
      <c r="A145" s="1">
        <v>45442</v>
      </c>
      <c r="B145" t="s">
        <v>125</v>
      </c>
      <c r="C145" t="s">
        <v>263</v>
      </c>
      <c r="D145" s="1">
        <v>45442</v>
      </c>
      <c r="E145" s="2">
        <v>222.53</v>
      </c>
      <c r="F145" s="2">
        <v>0</v>
      </c>
      <c r="G145" s="2">
        <v>178352.39</v>
      </c>
      <c r="H145" t="s">
        <v>361</v>
      </c>
    </row>
    <row r="146" spans="1:8" x14ac:dyDescent="0.3">
      <c r="A146" s="1">
        <v>45442</v>
      </c>
      <c r="B146" t="s">
        <v>125</v>
      </c>
      <c r="C146" t="s">
        <v>264</v>
      </c>
      <c r="D146" s="1">
        <v>45442</v>
      </c>
      <c r="E146" s="2">
        <v>46179.82</v>
      </c>
      <c r="F146" s="2">
        <v>0</v>
      </c>
      <c r="G146" s="2">
        <v>132172.57</v>
      </c>
      <c r="H146" t="s">
        <v>361</v>
      </c>
    </row>
    <row r="147" spans="1:8" x14ac:dyDescent="0.3">
      <c r="A147" s="1">
        <v>45442</v>
      </c>
      <c r="B147" t="s">
        <v>125</v>
      </c>
      <c r="C147" t="s">
        <v>265</v>
      </c>
      <c r="D147" s="1">
        <v>45442</v>
      </c>
      <c r="E147" s="2">
        <v>34142.21</v>
      </c>
      <c r="F147" s="2">
        <v>0</v>
      </c>
      <c r="G147" s="2">
        <v>98030.36</v>
      </c>
      <c r="H147" t="s">
        <v>361</v>
      </c>
    </row>
    <row r="148" spans="1:8" x14ac:dyDescent="0.3">
      <c r="A148" s="1">
        <v>45443</v>
      </c>
      <c r="B148" t="s">
        <v>125</v>
      </c>
      <c r="C148" t="s">
        <v>266</v>
      </c>
      <c r="D148" s="1">
        <v>45443</v>
      </c>
      <c r="E148" s="2">
        <v>210.37</v>
      </c>
      <c r="F148" s="2">
        <v>0</v>
      </c>
      <c r="G148" s="2">
        <v>97819.99</v>
      </c>
      <c r="H148" t="s">
        <v>361</v>
      </c>
    </row>
    <row r="149" spans="1:8" x14ac:dyDescent="0.3">
      <c r="A149" s="1">
        <v>45443</v>
      </c>
      <c r="B149" t="s">
        <v>125</v>
      </c>
      <c r="C149" t="s">
        <v>267</v>
      </c>
      <c r="D149" s="1">
        <v>45443</v>
      </c>
      <c r="E149" s="2">
        <v>47962.91</v>
      </c>
      <c r="F149" s="2">
        <v>0</v>
      </c>
      <c r="G149" s="2">
        <v>49857.08</v>
      </c>
      <c r="H149" t="s">
        <v>361</v>
      </c>
    </row>
    <row r="150" spans="1:8" x14ac:dyDescent="0.3">
      <c r="A150" s="1">
        <v>45443</v>
      </c>
      <c r="B150" t="s">
        <v>125</v>
      </c>
      <c r="C150" t="s">
        <v>268</v>
      </c>
      <c r="D150" s="1">
        <v>45443</v>
      </c>
      <c r="E150" s="2">
        <v>24526.1</v>
      </c>
      <c r="F150" s="2">
        <v>0</v>
      </c>
      <c r="G150" s="2">
        <v>25330.98</v>
      </c>
      <c r="H150" t="s">
        <v>361</v>
      </c>
    </row>
    <row r="151" spans="1:8" x14ac:dyDescent="0.3">
      <c r="A151" s="1">
        <v>45444</v>
      </c>
      <c r="B151" t="s">
        <v>269</v>
      </c>
      <c r="C151" t="s">
        <v>270</v>
      </c>
      <c r="D151" s="1">
        <v>45444</v>
      </c>
      <c r="E151" s="2">
        <v>0</v>
      </c>
      <c r="F151" s="2">
        <v>75000</v>
      </c>
      <c r="G151" s="2">
        <v>100330.98</v>
      </c>
      <c r="H151" t="s">
        <v>1849</v>
      </c>
    </row>
    <row r="152" spans="1:8" x14ac:dyDescent="0.3">
      <c r="A152" s="1">
        <v>45445</v>
      </c>
      <c r="B152" t="s">
        <v>271</v>
      </c>
      <c r="C152" t="s">
        <v>272</v>
      </c>
      <c r="D152" s="1">
        <v>45445</v>
      </c>
      <c r="E152" s="2">
        <v>500</v>
      </c>
      <c r="F152" s="2">
        <v>0</v>
      </c>
      <c r="G152" s="2">
        <v>99830.98</v>
      </c>
      <c r="H152" t="s">
        <v>356</v>
      </c>
    </row>
    <row r="153" spans="1:8" x14ac:dyDescent="0.3">
      <c r="A153" s="1">
        <v>45446</v>
      </c>
      <c r="B153" t="s">
        <v>125</v>
      </c>
      <c r="C153" t="s">
        <v>273</v>
      </c>
      <c r="D153" s="1">
        <v>45446</v>
      </c>
      <c r="E153" s="2">
        <v>695.67</v>
      </c>
      <c r="F153" s="2">
        <v>0</v>
      </c>
      <c r="G153" s="2">
        <v>99135.31</v>
      </c>
      <c r="H153" t="s">
        <v>361</v>
      </c>
    </row>
    <row r="154" spans="1:8" x14ac:dyDescent="0.3">
      <c r="A154" s="1">
        <v>45447</v>
      </c>
      <c r="B154" t="s">
        <v>128</v>
      </c>
      <c r="C154" t="s">
        <v>274</v>
      </c>
      <c r="D154" s="1">
        <v>45447</v>
      </c>
      <c r="E154" s="2">
        <v>0</v>
      </c>
      <c r="F154" s="2">
        <v>8878.06</v>
      </c>
      <c r="G154" s="2">
        <v>108013.37</v>
      </c>
      <c r="H154" t="s">
        <v>361</v>
      </c>
    </row>
    <row r="155" spans="1:8" x14ac:dyDescent="0.3">
      <c r="A155" s="1">
        <v>45447</v>
      </c>
      <c r="B155" t="s">
        <v>125</v>
      </c>
      <c r="C155" t="s">
        <v>275</v>
      </c>
      <c r="D155" s="1">
        <v>45447</v>
      </c>
      <c r="E155" s="2">
        <v>265.14</v>
      </c>
      <c r="F155" s="2">
        <v>0</v>
      </c>
      <c r="G155" s="2">
        <v>107748.23</v>
      </c>
      <c r="H155" t="s">
        <v>361</v>
      </c>
    </row>
    <row r="156" spans="1:8" x14ac:dyDescent="0.3">
      <c r="A156" s="1">
        <v>45447</v>
      </c>
      <c r="B156" t="s">
        <v>125</v>
      </c>
      <c r="C156" t="s">
        <v>276</v>
      </c>
      <c r="D156" s="1">
        <v>45447</v>
      </c>
      <c r="E156" s="2">
        <v>37486.519999999997</v>
      </c>
      <c r="F156" s="2">
        <v>0</v>
      </c>
      <c r="G156" s="2">
        <v>70261.710000000006</v>
      </c>
      <c r="H156" t="s">
        <v>361</v>
      </c>
    </row>
    <row r="157" spans="1:8" x14ac:dyDescent="0.3">
      <c r="A157" s="1">
        <v>45448</v>
      </c>
      <c r="B157" t="s">
        <v>277</v>
      </c>
      <c r="C157" t="s">
        <v>278</v>
      </c>
      <c r="D157" s="1">
        <v>45448</v>
      </c>
      <c r="E157" s="2">
        <v>20000</v>
      </c>
      <c r="F157" s="2">
        <v>0</v>
      </c>
      <c r="G157" s="2">
        <v>50261.71</v>
      </c>
      <c r="H157" t="s">
        <v>1852</v>
      </c>
    </row>
    <row r="158" spans="1:8" x14ac:dyDescent="0.3">
      <c r="A158" s="1">
        <v>45448</v>
      </c>
      <c r="B158" t="s">
        <v>125</v>
      </c>
      <c r="C158" t="s">
        <v>279</v>
      </c>
      <c r="D158" s="1">
        <v>45448</v>
      </c>
      <c r="E158" s="2">
        <v>254.95</v>
      </c>
      <c r="F158" s="2">
        <v>0</v>
      </c>
      <c r="G158" s="2">
        <v>50006.76</v>
      </c>
      <c r="H158" t="s">
        <v>361</v>
      </c>
    </row>
    <row r="159" spans="1:8" x14ac:dyDescent="0.3">
      <c r="A159" s="1">
        <v>45449</v>
      </c>
      <c r="B159" t="s">
        <v>128</v>
      </c>
      <c r="C159" t="s">
        <v>280</v>
      </c>
      <c r="D159" s="1">
        <v>45449</v>
      </c>
      <c r="E159" s="2">
        <v>0</v>
      </c>
      <c r="F159" s="2">
        <v>23230.15</v>
      </c>
      <c r="G159" s="2">
        <v>73236.91</v>
      </c>
      <c r="H159" t="s">
        <v>361</v>
      </c>
    </row>
    <row r="160" spans="1:8" x14ac:dyDescent="0.3">
      <c r="A160" s="1">
        <v>45449</v>
      </c>
      <c r="B160" t="s">
        <v>125</v>
      </c>
      <c r="C160" t="s">
        <v>281</v>
      </c>
      <c r="D160" s="1">
        <v>45449</v>
      </c>
      <c r="E160" s="2">
        <v>254.95</v>
      </c>
      <c r="F160" s="2">
        <v>0</v>
      </c>
      <c r="G160" s="2">
        <v>72981.960000000006</v>
      </c>
      <c r="H160" t="s">
        <v>361</v>
      </c>
    </row>
    <row r="161" spans="1:8" x14ac:dyDescent="0.3">
      <c r="A161" s="1">
        <v>45450</v>
      </c>
      <c r="B161" t="s">
        <v>128</v>
      </c>
      <c r="C161" t="s">
        <v>282</v>
      </c>
      <c r="D161" s="1">
        <v>45450</v>
      </c>
      <c r="E161" s="2">
        <v>0</v>
      </c>
      <c r="F161" s="2">
        <v>1694.55</v>
      </c>
      <c r="G161" s="2">
        <v>74676.509999999995</v>
      </c>
      <c r="H161" t="s">
        <v>361</v>
      </c>
    </row>
    <row r="162" spans="1:8" x14ac:dyDescent="0.3">
      <c r="A162" s="1">
        <v>45450</v>
      </c>
      <c r="B162" t="s">
        <v>125</v>
      </c>
      <c r="C162" t="s">
        <v>283</v>
      </c>
      <c r="D162" s="1">
        <v>45450</v>
      </c>
      <c r="E162" s="2">
        <v>263.22000000000003</v>
      </c>
      <c r="F162" s="2">
        <v>0</v>
      </c>
      <c r="G162" s="2">
        <v>74413.289999999994</v>
      </c>
      <c r="H162" t="s">
        <v>361</v>
      </c>
    </row>
    <row r="163" spans="1:8" x14ac:dyDescent="0.3">
      <c r="A163" s="1">
        <v>45450</v>
      </c>
      <c r="B163" t="s">
        <v>125</v>
      </c>
      <c r="C163" t="s">
        <v>284</v>
      </c>
      <c r="D163" s="1">
        <v>45450</v>
      </c>
      <c r="E163" s="2">
        <v>15453.51</v>
      </c>
      <c r="F163" s="2">
        <v>0</v>
      </c>
      <c r="G163" s="2">
        <v>58959.78</v>
      </c>
      <c r="H163" t="s">
        <v>361</v>
      </c>
    </row>
    <row r="164" spans="1:8" x14ac:dyDescent="0.3">
      <c r="A164" s="1">
        <v>45452</v>
      </c>
      <c r="B164" t="s">
        <v>285</v>
      </c>
      <c r="C164" t="s">
        <v>286</v>
      </c>
      <c r="D164" s="1">
        <v>45452</v>
      </c>
      <c r="E164" s="2">
        <v>0</v>
      </c>
      <c r="F164" s="2">
        <v>20000</v>
      </c>
      <c r="G164" s="2">
        <v>78959.78</v>
      </c>
      <c r="H164" t="s">
        <v>364</v>
      </c>
    </row>
    <row r="165" spans="1:8" x14ac:dyDescent="0.3">
      <c r="A165" s="1">
        <v>45453</v>
      </c>
      <c r="B165" t="s">
        <v>128</v>
      </c>
      <c r="C165" t="s">
        <v>287</v>
      </c>
      <c r="D165" s="1">
        <v>45453</v>
      </c>
      <c r="E165" s="2">
        <v>0</v>
      </c>
      <c r="F165" s="2">
        <v>3864.51</v>
      </c>
      <c r="G165" s="2">
        <v>82824.289999999994</v>
      </c>
      <c r="H165" t="s">
        <v>361</v>
      </c>
    </row>
    <row r="166" spans="1:8" x14ac:dyDescent="0.3">
      <c r="A166" s="1">
        <v>45453</v>
      </c>
      <c r="B166" t="s">
        <v>146</v>
      </c>
      <c r="C166" t="s">
        <v>288</v>
      </c>
      <c r="D166" s="1">
        <v>45453</v>
      </c>
      <c r="E166" s="2">
        <v>10000</v>
      </c>
      <c r="F166" s="2">
        <v>0</v>
      </c>
      <c r="G166" s="2">
        <v>72824.289999999994</v>
      </c>
      <c r="H166" t="s">
        <v>1854</v>
      </c>
    </row>
    <row r="167" spans="1:8" x14ac:dyDescent="0.3">
      <c r="A167" s="1">
        <v>45453</v>
      </c>
      <c r="B167" t="s">
        <v>125</v>
      </c>
      <c r="C167" t="s">
        <v>289</v>
      </c>
      <c r="D167" s="1">
        <v>45453</v>
      </c>
      <c r="E167" s="2">
        <v>774.96</v>
      </c>
      <c r="F167" s="2">
        <v>0</v>
      </c>
      <c r="G167" s="2">
        <v>72049.33</v>
      </c>
      <c r="H167" t="s">
        <v>361</v>
      </c>
    </row>
    <row r="168" spans="1:8" x14ac:dyDescent="0.3">
      <c r="A168" s="1">
        <v>45453</v>
      </c>
      <c r="B168" t="s">
        <v>125</v>
      </c>
      <c r="C168" t="s">
        <v>290</v>
      </c>
      <c r="D168" s="1">
        <v>45453</v>
      </c>
      <c r="E168" s="2">
        <v>12095.28</v>
      </c>
      <c r="F168" s="2">
        <v>0</v>
      </c>
      <c r="G168" s="2">
        <v>59954.05</v>
      </c>
      <c r="H168" t="s">
        <v>361</v>
      </c>
    </row>
    <row r="169" spans="1:8" x14ac:dyDescent="0.3">
      <c r="A169" s="1">
        <v>45454</v>
      </c>
      <c r="B169" t="s">
        <v>128</v>
      </c>
      <c r="C169" t="s">
        <v>291</v>
      </c>
      <c r="D169" s="1">
        <v>45454</v>
      </c>
      <c r="E169" s="2">
        <v>0</v>
      </c>
      <c r="F169" s="2">
        <v>29881.84</v>
      </c>
      <c r="G169" s="2">
        <v>89835.89</v>
      </c>
      <c r="H169" t="s">
        <v>361</v>
      </c>
    </row>
    <row r="170" spans="1:8" x14ac:dyDescent="0.3">
      <c r="A170" s="1">
        <v>45454</v>
      </c>
      <c r="B170" t="s">
        <v>125</v>
      </c>
      <c r="C170" t="s">
        <v>292</v>
      </c>
      <c r="D170" s="1">
        <v>45454</v>
      </c>
      <c r="E170" s="2">
        <v>238.51</v>
      </c>
      <c r="F170" s="2">
        <v>0</v>
      </c>
      <c r="G170" s="2">
        <v>89597.38</v>
      </c>
      <c r="H170" t="s">
        <v>361</v>
      </c>
    </row>
    <row r="171" spans="1:8" x14ac:dyDescent="0.3">
      <c r="A171" s="1">
        <v>45454</v>
      </c>
      <c r="B171" t="s">
        <v>125</v>
      </c>
      <c r="C171" t="s">
        <v>293</v>
      </c>
      <c r="D171" s="1">
        <v>45454</v>
      </c>
      <c r="E171" s="2">
        <v>55815.37</v>
      </c>
      <c r="F171" s="2">
        <v>0</v>
      </c>
      <c r="G171" s="2">
        <v>33782.01</v>
      </c>
      <c r="H171" t="s">
        <v>361</v>
      </c>
    </row>
    <row r="172" spans="1:8" x14ac:dyDescent="0.3">
      <c r="A172" s="1">
        <v>45455</v>
      </c>
      <c r="B172" t="s">
        <v>125</v>
      </c>
      <c r="C172" t="s">
        <v>294</v>
      </c>
      <c r="D172" s="1">
        <v>45455</v>
      </c>
      <c r="E172" s="2">
        <v>218.63</v>
      </c>
      <c r="F172" s="2">
        <v>0</v>
      </c>
      <c r="G172" s="2">
        <v>33563.379999999997</v>
      </c>
      <c r="H172" t="s">
        <v>361</v>
      </c>
    </row>
    <row r="173" spans="1:8" x14ac:dyDescent="0.3">
      <c r="A173" s="1">
        <v>45455</v>
      </c>
      <c r="B173" t="s">
        <v>125</v>
      </c>
      <c r="C173" t="s">
        <v>295</v>
      </c>
      <c r="D173" s="1">
        <v>45455</v>
      </c>
      <c r="E173" s="2">
        <v>863.32</v>
      </c>
      <c r="F173" s="2">
        <v>0</v>
      </c>
      <c r="G173" s="2">
        <v>32700.06</v>
      </c>
      <c r="H173" t="s">
        <v>361</v>
      </c>
    </row>
    <row r="174" spans="1:8" x14ac:dyDescent="0.3">
      <c r="A174" s="1">
        <v>45456</v>
      </c>
      <c r="B174" t="s">
        <v>128</v>
      </c>
      <c r="C174" t="s">
        <v>296</v>
      </c>
      <c r="D174" s="1">
        <v>45456</v>
      </c>
      <c r="E174" s="2">
        <v>0</v>
      </c>
      <c r="F174" s="2">
        <v>97879.6</v>
      </c>
      <c r="G174" s="2">
        <v>130579.66</v>
      </c>
      <c r="H174" t="s">
        <v>361</v>
      </c>
    </row>
    <row r="175" spans="1:8" x14ac:dyDescent="0.3">
      <c r="A175" s="1">
        <v>45456</v>
      </c>
      <c r="B175" t="s">
        <v>297</v>
      </c>
      <c r="C175" t="s">
        <v>298</v>
      </c>
      <c r="D175" s="1">
        <v>45456</v>
      </c>
      <c r="E175" s="2">
        <v>50000</v>
      </c>
      <c r="F175" s="2">
        <v>0</v>
      </c>
      <c r="G175" s="2">
        <v>80579.66</v>
      </c>
      <c r="H175" t="s">
        <v>1883</v>
      </c>
    </row>
    <row r="176" spans="1:8" x14ac:dyDescent="0.3">
      <c r="A176" s="1">
        <v>45456</v>
      </c>
      <c r="B176" t="s">
        <v>125</v>
      </c>
      <c r="C176" t="s">
        <v>299</v>
      </c>
      <c r="D176" s="1">
        <v>45456</v>
      </c>
      <c r="E176" s="2">
        <v>262.87</v>
      </c>
      <c r="F176" s="2">
        <v>0</v>
      </c>
      <c r="G176" s="2">
        <v>80316.789999999994</v>
      </c>
      <c r="H176" t="s">
        <v>361</v>
      </c>
    </row>
    <row r="177" spans="1:8" x14ac:dyDescent="0.3">
      <c r="A177" s="1">
        <v>45457</v>
      </c>
      <c r="B177" t="s">
        <v>128</v>
      </c>
      <c r="C177" t="s">
        <v>300</v>
      </c>
      <c r="D177" s="1">
        <v>45457</v>
      </c>
      <c r="E177" s="2">
        <v>0</v>
      </c>
      <c r="F177" s="2">
        <v>12208.08</v>
      </c>
      <c r="G177" s="2">
        <v>92524.87</v>
      </c>
      <c r="H177" t="s">
        <v>361</v>
      </c>
    </row>
    <row r="178" spans="1:8" x14ac:dyDescent="0.3">
      <c r="A178" s="1">
        <v>45457</v>
      </c>
      <c r="B178" t="s">
        <v>128</v>
      </c>
      <c r="C178" t="s">
        <v>301</v>
      </c>
      <c r="D178" s="1">
        <v>45457</v>
      </c>
      <c r="E178" s="2">
        <v>0</v>
      </c>
      <c r="F178" s="2">
        <v>22934.93</v>
      </c>
      <c r="G178" s="2">
        <v>115459.8</v>
      </c>
      <c r="H178" t="s">
        <v>361</v>
      </c>
    </row>
    <row r="179" spans="1:8" x14ac:dyDescent="0.3">
      <c r="A179" s="1">
        <v>45457</v>
      </c>
      <c r="B179" t="s">
        <v>302</v>
      </c>
      <c r="C179" t="s">
        <v>303</v>
      </c>
      <c r="D179" s="1">
        <v>45457</v>
      </c>
      <c r="E179" s="2">
        <v>0</v>
      </c>
      <c r="F179" s="2">
        <v>100</v>
      </c>
      <c r="G179" s="2">
        <v>115559.8</v>
      </c>
      <c r="H179" t="s">
        <v>371</v>
      </c>
    </row>
    <row r="180" spans="1:8" x14ac:dyDescent="0.3">
      <c r="A180" s="1">
        <v>45457</v>
      </c>
      <c r="B180" t="s">
        <v>304</v>
      </c>
      <c r="C180" t="s">
        <v>305</v>
      </c>
      <c r="D180" s="1">
        <v>45457</v>
      </c>
      <c r="E180" s="2">
        <v>100</v>
      </c>
      <c r="F180" s="2">
        <v>0</v>
      </c>
      <c r="G180" s="2">
        <v>115459.8</v>
      </c>
      <c r="H180" t="s">
        <v>368</v>
      </c>
    </row>
    <row r="181" spans="1:8" x14ac:dyDescent="0.3">
      <c r="A181" s="1">
        <v>45457</v>
      </c>
      <c r="B181" t="s">
        <v>125</v>
      </c>
      <c r="C181" t="s">
        <v>306</v>
      </c>
      <c r="D181" s="1">
        <v>45457</v>
      </c>
      <c r="E181" s="2">
        <v>262.87</v>
      </c>
      <c r="F181" s="2">
        <v>0</v>
      </c>
      <c r="G181" s="2">
        <v>115196.93</v>
      </c>
      <c r="H181" t="s">
        <v>361</v>
      </c>
    </row>
    <row r="182" spans="1:8" x14ac:dyDescent="0.3">
      <c r="A182" s="1">
        <v>45461</v>
      </c>
      <c r="B182" t="s">
        <v>128</v>
      </c>
      <c r="C182" t="s">
        <v>307</v>
      </c>
      <c r="D182" s="1">
        <v>45461</v>
      </c>
      <c r="E182" s="2">
        <v>0</v>
      </c>
      <c r="F182" s="2">
        <v>13720.58</v>
      </c>
      <c r="G182" s="2">
        <v>128917.51</v>
      </c>
      <c r="H182" t="s">
        <v>361</v>
      </c>
    </row>
    <row r="183" spans="1:8" x14ac:dyDescent="0.3">
      <c r="A183" s="1">
        <v>45461</v>
      </c>
      <c r="B183" t="s">
        <v>128</v>
      </c>
      <c r="C183" t="s">
        <v>308</v>
      </c>
      <c r="D183" s="1">
        <v>45461</v>
      </c>
      <c r="E183" s="2">
        <v>0</v>
      </c>
      <c r="F183" s="2">
        <v>92837.35</v>
      </c>
      <c r="G183" s="2">
        <v>221754.86</v>
      </c>
      <c r="H183" t="s">
        <v>361</v>
      </c>
    </row>
    <row r="184" spans="1:8" x14ac:dyDescent="0.3">
      <c r="A184" s="1">
        <v>45461</v>
      </c>
      <c r="B184" t="s">
        <v>146</v>
      </c>
      <c r="C184" t="s">
        <v>309</v>
      </c>
      <c r="D184" s="1">
        <v>45461</v>
      </c>
      <c r="E184" s="2">
        <v>10000</v>
      </c>
      <c r="F184" s="2">
        <v>0</v>
      </c>
      <c r="G184" s="2">
        <v>211754.86</v>
      </c>
      <c r="H184" t="s">
        <v>1854</v>
      </c>
    </row>
    <row r="185" spans="1:8" x14ac:dyDescent="0.3">
      <c r="A185" s="1">
        <v>45461</v>
      </c>
      <c r="B185" t="s">
        <v>310</v>
      </c>
      <c r="C185" t="s">
        <v>140</v>
      </c>
      <c r="D185" s="1">
        <v>45461</v>
      </c>
      <c r="E185" s="2">
        <v>1463.2</v>
      </c>
      <c r="F185" s="2">
        <v>0</v>
      </c>
      <c r="G185" s="2">
        <v>210291.66</v>
      </c>
      <c r="H185" t="s">
        <v>362</v>
      </c>
    </row>
    <row r="186" spans="1:8" x14ac:dyDescent="0.3">
      <c r="A186" s="1">
        <v>45461</v>
      </c>
      <c r="B186" t="s">
        <v>311</v>
      </c>
      <c r="C186" t="s">
        <v>312</v>
      </c>
      <c r="D186" s="1">
        <v>45461</v>
      </c>
      <c r="E186" s="2">
        <v>0</v>
      </c>
      <c r="F186" s="2">
        <v>160</v>
      </c>
      <c r="G186" s="2">
        <v>210451.66</v>
      </c>
      <c r="H186" t="s">
        <v>367</v>
      </c>
    </row>
    <row r="187" spans="1:8" x14ac:dyDescent="0.3">
      <c r="A187" s="1">
        <v>45461</v>
      </c>
      <c r="B187" t="s">
        <v>125</v>
      </c>
      <c r="C187" t="s">
        <v>313</v>
      </c>
      <c r="D187" s="1">
        <v>45461</v>
      </c>
      <c r="E187" s="2">
        <v>1028.68</v>
      </c>
      <c r="F187" s="2">
        <v>0</v>
      </c>
      <c r="G187" s="2">
        <v>209422.98</v>
      </c>
      <c r="H187" t="s">
        <v>361</v>
      </c>
    </row>
    <row r="188" spans="1:8" x14ac:dyDescent="0.3">
      <c r="A188" s="1">
        <v>45462</v>
      </c>
      <c r="B188" t="s">
        <v>128</v>
      </c>
      <c r="C188" t="s">
        <v>314</v>
      </c>
      <c r="D188" s="1">
        <v>45462</v>
      </c>
      <c r="E188" s="2">
        <v>0</v>
      </c>
      <c r="F188" s="2">
        <v>1105.77</v>
      </c>
      <c r="G188" s="2">
        <v>210528.75</v>
      </c>
      <c r="H188" t="s">
        <v>361</v>
      </c>
    </row>
    <row r="189" spans="1:8" x14ac:dyDescent="0.3">
      <c r="A189" s="1">
        <v>45462</v>
      </c>
      <c r="B189" t="s">
        <v>128</v>
      </c>
      <c r="C189" t="s">
        <v>315</v>
      </c>
      <c r="D189" s="1">
        <v>45462</v>
      </c>
      <c r="E189" s="2">
        <v>0</v>
      </c>
      <c r="F189" s="2">
        <v>102074.66</v>
      </c>
      <c r="G189" s="2">
        <v>312603.40999999997</v>
      </c>
      <c r="H189" t="s">
        <v>361</v>
      </c>
    </row>
    <row r="190" spans="1:8" x14ac:dyDescent="0.3">
      <c r="A190" s="1">
        <v>45462</v>
      </c>
      <c r="B190" t="s">
        <v>125</v>
      </c>
      <c r="C190" t="s">
        <v>316</v>
      </c>
      <c r="D190" s="1">
        <v>45462</v>
      </c>
      <c r="E190" s="2">
        <v>250.29</v>
      </c>
      <c r="F190" s="2">
        <v>0</v>
      </c>
      <c r="G190" s="2">
        <v>312353.12</v>
      </c>
      <c r="H190" t="s">
        <v>361</v>
      </c>
    </row>
    <row r="191" spans="1:8" x14ac:dyDescent="0.3">
      <c r="A191" s="1">
        <v>45462</v>
      </c>
      <c r="B191" t="s">
        <v>125</v>
      </c>
      <c r="C191" t="s">
        <v>317</v>
      </c>
      <c r="D191" s="1">
        <v>45462</v>
      </c>
      <c r="E191" s="2">
        <v>43889.09</v>
      </c>
      <c r="F191" s="2">
        <v>0</v>
      </c>
      <c r="G191" s="2">
        <v>268464.03000000003</v>
      </c>
      <c r="H191" t="s">
        <v>361</v>
      </c>
    </row>
    <row r="192" spans="1:8" x14ac:dyDescent="0.3">
      <c r="A192" s="1">
        <v>45462</v>
      </c>
      <c r="B192" t="s">
        <v>125</v>
      </c>
      <c r="C192" t="s">
        <v>318</v>
      </c>
      <c r="D192" s="1">
        <v>45462</v>
      </c>
      <c r="E192" s="2">
        <v>48029.17</v>
      </c>
      <c r="F192" s="2">
        <v>0</v>
      </c>
      <c r="G192" s="2">
        <v>220434.86</v>
      </c>
      <c r="H192" t="s">
        <v>361</v>
      </c>
    </row>
    <row r="193" spans="1:8" x14ac:dyDescent="0.3">
      <c r="A193" s="1">
        <v>45463</v>
      </c>
      <c r="B193" t="s">
        <v>146</v>
      </c>
      <c r="C193" t="s">
        <v>319</v>
      </c>
      <c r="D193" s="1">
        <v>45463</v>
      </c>
      <c r="E193" s="2">
        <v>10000</v>
      </c>
      <c r="F193" s="2">
        <v>0</v>
      </c>
      <c r="G193" s="2">
        <v>210434.86</v>
      </c>
      <c r="H193" t="s">
        <v>1854</v>
      </c>
    </row>
    <row r="194" spans="1:8" x14ac:dyDescent="0.3">
      <c r="A194" s="1">
        <v>45463</v>
      </c>
      <c r="B194" t="s">
        <v>125</v>
      </c>
      <c r="C194" t="s">
        <v>320</v>
      </c>
      <c r="D194" s="1">
        <v>45463</v>
      </c>
      <c r="E194" s="2">
        <v>233.58</v>
      </c>
      <c r="F194" s="2">
        <v>0</v>
      </c>
      <c r="G194" s="2">
        <v>210201.28</v>
      </c>
      <c r="H194" t="s">
        <v>361</v>
      </c>
    </row>
    <row r="195" spans="1:8" x14ac:dyDescent="0.3">
      <c r="A195" s="1">
        <v>45463</v>
      </c>
      <c r="B195" t="s">
        <v>125</v>
      </c>
      <c r="C195" t="s">
        <v>321</v>
      </c>
      <c r="D195" s="1">
        <v>45463</v>
      </c>
      <c r="E195" s="2">
        <v>52768.75</v>
      </c>
      <c r="F195" s="2">
        <v>0</v>
      </c>
      <c r="G195" s="2">
        <v>157432.53</v>
      </c>
      <c r="H195" t="s">
        <v>361</v>
      </c>
    </row>
    <row r="196" spans="1:8" x14ac:dyDescent="0.3">
      <c r="A196" s="1">
        <v>45464</v>
      </c>
      <c r="B196" t="s">
        <v>125</v>
      </c>
      <c r="C196" t="s">
        <v>322</v>
      </c>
      <c r="D196" s="1">
        <v>45464</v>
      </c>
      <c r="E196" s="2">
        <v>259.2</v>
      </c>
      <c r="F196" s="2">
        <v>0</v>
      </c>
      <c r="G196" s="2">
        <v>157173.32999999999</v>
      </c>
      <c r="H196" t="s">
        <v>361</v>
      </c>
    </row>
    <row r="197" spans="1:8" x14ac:dyDescent="0.3">
      <c r="A197" s="1">
        <v>45464</v>
      </c>
      <c r="B197" t="s">
        <v>323</v>
      </c>
      <c r="C197" t="s">
        <v>324</v>
      </c>
      <c r="D197" s="1">
        <v>45464</v>
      </c>
      <c r="E197" s="2">
        <v>75000</v>
      </c>
      <c r="F197" s="2">
        <v>0</v>
      </c>
      <c r="G197" s="2">
        <v>82173.33</v>
      </c>
      <c r="H197" t="s">
        <v>368</v>
      </c>
    </row>
    <row r="198" spans="1:8" x14ac:dyDescent="0.3">
      <c r="A198" s="1">
        <v>45464</v>
      </c>
      <c r="B198" t="s">
        <v>125</v>
      </c>
      <c r="C198" t="s">
        <v>325</v>
      </c>
      <c r="D198" s="1">
        <v>45464</v>
      </c>
      <c r="E198" s="2">
        <v>12582.27</v>
      </c>
      <c r="F198" s="2">
        <v>0</v>
      </c>
      <c r="G198" s="2">
        <v>69591.06</v>
      </c>
      <c r="H198" t="s">
        <v>361</v>
      </c>
    </row>
    <row r="199" spans="1:8" x14ac:dyDescent="0.3">
      <c r="A199" s="1">
        <v>45467</v>
      </c>
      <c r="B199" t="s">
        <v>125</v>
      </c>
      <c r="C199" t="s">
        <v>326</v>
      </c>
      <c r="D199" s="1">
        <v>45467</v>
      </c>
      <c r="E199" s="2">
        <v>892.53</v>
      </c>
      <c r="F199" s="2">
        <v>0</v>
      </c>
      <c r="G199" s="2">
        <v>68698.53</v>
      </c>
      <c r="H199" t="s">
        <v>361</v>
      </c>
    </row>
    <row r="200" spans="1:8" x14ac:dyDescent="0.3">
      <c r="A200" s="1">
        <v>45468</v>
      </c>
      <c r="B200" t="s">
        <v>128</v>
      </c>
      <c r="C200" t="s">
        <v>327</v>
      </c>
      <c r="D200" s="1">
        <v>45468</v>
      </c>
      <c r="E200" s="2">
        <v>0</v>
      </c>
      <c r="F200" s="2">
        <v>81652.58</v>
      </c>
      <c r="G200" s="2">
        <v>150351.10999999999</v>
      </c>
      <c r="H200" t="s">
        <v>361</v>
      </c>
    </row>
    <row r="201" spans="1:8" x14ac:dyDescent="0.3">
      <c r="A201" s="1">
        <v>45468</v>
      </c>
      <c r="B201" t="s">
        <v>128</v>
      </c>
      <c r="C201" t="s">
        <v>328</v>
      </c>
      <c r="D201" s="1">
        <v>45468</v>
      </c>
      <c r="E201" s="2">
        <v>0</v>
      </c>
      <c r="F201" s="2">
        <v>125189.11</v>
      </c>
      <c r="G201" s="2">
        <v>275540.21999999997</v>
      </c>
      <c r="H201" t="s">
        <v>361</v>
      </c>
    </row>
    <row r="202" spans="1:8" x14ac:dyDescent="0.3">
      <c r="A202" s="1">
        <v>45468</v>
      </c>
      <c r="B202" t="s">
        <v>329</v>
      </c>
      <c r="C202" t="s">
        <v>330</v>
      </c>
      <c r="D202" s="1">
        <v>45468</v>
      </c>
      <c r="E202" s="2">
        <v>0</v>
      </c>
      <c r="F202" s="2">
        <v>150000</v>
      </c>
      <c r="G202" s="2">
        <v>425540.22</v>
      </c>
      <c r="H202" t="s">
        <v>364</v>
      </c>
    </row>
    <row r="203" spans="1:8" x14ac:dyDescent="0.3">
      <c r="A203" s="1">
        <v>45468</v>
      </c>
      <c r="B203" t="s">
        <v>331</v>
      </c>
      <c r="C203" t="s">
        <v>332</v>
      </c>
      <c r="D203" s="1">
        <v>45468</v>
      </c>
      <c r="E203" s="2">
        <v>0</v>
      </c>
      <c r="F203" s="2">
        <v>150000</v>
      </c>
      <c r="G203" s="2">
        <v>575540.22</v>
      </c>
      <c r="H203" t="s">
        <v>1849</v>
      </c>
    </row>
    <row r="204" spans="1:8" x14ac:dyDescent="0.3">
      <c r="A204" s="1">
        <v>45468</v>
      </c>
      <c r="B204" t="s">
        <v>125</v>
      </c>
      <c r="C204" t="s">
        <v>333</v>
      </c>
      <c r="D204" s="1">
        <v>45468</v>
      </c>
      <c r="E204" s="2">
        <v>307.07</v>
      </c>
      <c r="F204" s="2">
        <v>0</v>
      </c>
      <c r="G204" s="2">
        <v>575233.15</v>
      </c>
      <c r="H204" t="s">
        <v>361</v>
      </c>
    </row>
    <row r="205" spans="1:8" x14ac:dyDescent="0.3">
      <c r="A205" s="1">
        <v>45468</v>
      </c>
      <c r="B205" t="s">
        <v>334</v>
      </c>
      <c r="C205" t="s">
        <v>335</v>
      </c>
      <c r="D205" s="1">
        <v>45468</v>
      </c>
      <c r="E205" s="2">
        <v>0</v>
      </c>
      <c r="F205" s="2">
        <v>1400</v>
      </c>
      <c r="G205" s="2">
        <v>576633.15</v>
      </c>
      <c r="H205" t="s">
        <v>367</v>
      </c>
    </row>
    <row r="206" spans="1:8" x14ac:dyDescent="0.3">
      <c r="A206" s="1">
        <v>45468</v>
      </c>
      <c r="B206" t="s">
        <v>336</v>
      </c>
      <c r="C206" t="s">
        <v>337</v>
      </c>
      <c r="D206" s="1">
        <v>45468</v>
      </c>
      <c r="E206" s="2">
        <v>0</v>
      </c>
      <c r="F206" s="2">
        <v>1440</v>
      </c>
      <c r="G206" s="2">
        <v>578073.15</v>
      </c>
      <c r="H206" t="s">
        <v>367</v>
      </c>
    </row>
    <row r="207" spans="1:8" x14ac:dyDescent="0.3">
      <c r="A207" s="1">
        <v>45468</v>
      </c>
      <c r="B207" t="s">
        <v>125</v>
      </c>
      <c r="C207" t="s">
        <v>338</v>
      </c>
      <c r="D207" s="1">
        <v>45468</v>
      </c>
      <c r="E207" s="2">
        <v>14096.93</v>
      </c>
      <c r="F207" s="2">
        <v>0</v>
      </c>
      <c r="G207" s="2">
        <v>563976.22</v>
      </c>
      <c r="H207" t="s">
        <v>361</v>
      </c>
    </row>
    <row r="208" spans="1:8" x14ac:dyDescent="0.3">
      <c r="A208" s="1">
        <v>45469</v>
      </c>
      <c r="B208" t="s">
        <v>128</v>
      </c>
      <c r="C208" t="s">
        <v>339</v>
      </c>
      <c r="D208" s="1">
        <v>45469</v>
      </c>
      <c r="E208" s="2">
        <v>0</v>
      </c>
      <c r="F208" s="2">
        <v>141094.92000000001</v>
      </c>
      <c r="G208" s="2">
        <v>705071.14</v>
      </c>
      <c r="H208" t="s">
        <v>361</v>
      </c>
    </row>
    <row r="209" spans="1:9" x14ac:dyDescent="0.3">
      <c r="A209" s="1">
        <v>45469</v>
      </c>
      <c r="B209" t="s">
        <v>340</v>
      </c>
      <c r="C209" t="s">
        <v>341</v>
      </c>
      <c r="D209" s="1">
        <v>45469</v>
      </c>
      <c r="E209" s="2">
        <v>0</v>
      </c>
      <c r="F209" s="2">
        <v>480</v>
      </c>
      <c r="G209" s="2">
        <v>705551.14</v>
      </c>
      <c r="H209" t="s">
        <v>367</v>
      </c>
    </row>
    <row r="210" spans="1:9" x14ac:dyDescent="0.3">
      <c r="A210" s="1">
        <v>45469</v>
      </c>
      <c r="B210" t="s">
        <v>125</v>
      </c>
      <c r="C210" t="s">
        <v>342</v>
      </c>
      <c r="D210" s="1">
        <v>45469</v>
      </c>
      <c r="E210" s="2">
        <v>257.64</v>
      </c>
      <c r="F210" s="2">
        <v>0</v>
      </c>
      <c r="G210" s="2">
        <v>705293.5</v>
      </c>
      <c r="H210" t="s">
        <v>361</v>
      </c>
    </row>
    <row r="211" spans="1:9" x14ac:dyDescent="0.3">
      <c r="A211" s="1">
        <v>45469</v>
      </c>
      <c r="B211" t="s">
        <v>125</v>
      </c>
      <c r="C211" t="s">
        <v>343</v>
      </c>
      <c r="D211" s="1">
        <v>45469</v>
      </c>
      <c r="E211" s="2">
        <v>74982.44</v>
      </c>
      <c r="F211" s="2">
        <v>0</v>
      </c>
      <c r="G211" s="2">
        <v>630311.06000000006</v>
      </c>
      <c r="H211" t="s">
        <v>361</v>
      </c>
    </row>
    <row r="212" spans="1:9" x14ac:dyDescent="0.3">
      <c r="A212" s="1">
        <v>45470</v>
      </c>
      <c r="B212" t="s">
        <v>125</v>
      </c>
      <c r="C212" t="s">
        <v>344</v>
      </c>
      <c r="D212" s="1">
        <v>45470</v>
      </c>
      <c r="E212" s="2">
        <v>230.93</v>
      </c>
      <c r="F212" s="2">
        <v>0</v>
      </c>
      <c r="G212" s="2">
        <v>630080.13</v>
      </c>
      <c r="H212" t="s">
        <v>361</v>
      </c>
    </row>
    <row r="213" spans="1:9" x14ac:dyDescent="0.3">
      <c r="A213" s="1">
        <v>45470</v>
      </c>
      <c r="B213" t="s">
        <v>345</v>
      </c>
      <c r="C213" t="s">
        <v>346</v>
      </c>
      <c r="D213" s="1">
        <v>45470</v>
      </c>
      <c r="E213" s="2">
        <v>0</v>
      </c>
      <c r="F213" s="2">
        <v>676.13</v>
      </c>
      <c r="G213" s="2">
        <v>630756.26</v>
      </c>
      <c r="H213" t="s">
        <v>369</v>
      </c>
    </row>
    <row r="214" spans="1:9" x14ac:dyDescent="0.3">
      <c r="A214" s="1">
        <v>45470</v>
      </c>
      <c r="B214" t="s">
        <v>347</v>
      </c>
      <c r="C214" t="s">
        <v>348</v>
      </c>
      <c r="D214" s="1">
        <v>45470</v>
      </c>
      <c r="E214" s="2">
        <v>100000</v>
      </c>
      <c r="F214" s="2">
        <v>0</v>
      </c>
      <c r="G214" s="2">
        <v>530756.26</v>
      </c>
      <c r="H214" t="s">
        <v>372</v>
      </c>
    </row>
    <row r="215" spans="1:9" x14ac:dyDescent="0.3">
      <c r="A215" s="1">
        <v>45470</v>
      </c>
      <c r="B215" t="s">
        <v>125</v>
      </c>
      <c r="C215" t="s">
        <v>349</v>
      </c>
      <c r="D215" s="1">
        <v>45470</v>
      </c>
      <c r="E215" s="2">
        <v>6973.91</v>
      </c>
      <c r="F215" s="2">
        <v>0</v>
      </c>
      <c r="G215" s="2">
        <v>523782.35</v>
      </c>
      <c r="H215" t="s">
        <v>361</v>
      </c>
    </row>
    <row r="216" spans="1:9" x14ac:dyDescent="0.3">
      <c r="A216" s="1">
        <v>45471</v>
      </c>
      <c r="B216" t="s">
        <v>350</v>
      </c>
      <c r="C216" t="s">
        <v>351</v>
      </c>
      <c r="D216" s="1">
        <v>45471</v>
      </c>
      <c r="E216" s="2">
        <v>0</v>
      </c>
      <c r="F216" s="2">
        <v>3600</v>
      </c>
      <c r="G216" s="2">
        <v>527382.35</v>
      </c>
      <c r="H216" t="s">
        <v>367</v>
      </c>
    </row>
    <row r="217" spans="1:9" x14ac:dyDescent="0.3">
      <c r="A217" s="1">
        <v>45471</v>
      </c>
      <c r="B217" t="s">
        <v>125</v>
      </c>
      <c r="C217" t="s">
        <v>352</v>
      </c>
      <c r="D217" s="1">
        <v>45471</v>
      </c>
      <c r="E217" s="2">
        <v>265.39</v>
      </c>
      <c r="F217" s="2">
        <v>0</v>
      </c>
      <c r="G217" s="2">
        <v>527116.96</v>
      </c>
      <c r="H217" t="s">
        <v>361</v>
      </c>
    </row>
    <row r="218" spans="1:9" x14ac:dyDescent="0.3">
      <c r="A218" s="1">
        <v>45474</v>
      </c>
      <c r="B218" t="s">
        <v>353</v>
      </c>
      <c r="C218" t="s">
        <v>140</v>
      </c>
      <c r="D218" s="1">
        <v>45473</v>
      </c>
      <c r="E218" s="2">
        <v>0</v>
      </c>
      <c r="F218" s="2">
        <v>777</v>
      </c>
      <c r="G218" s="2">
        <v>527893.96</v>
      </c>
      <c r="H218" t="s">
        <v>370</v>
      </c>
    </row>
    <row r="219" spans="1:9" x14ac:dyDescent="0.3">
      <c r="A219" s="3">
        <v>45474</v>
      </c>
      <c r="B219" s="4" t="s">
        <v>128</v>
      </c>
      <c r="C219" s="4" t="s">
        <v>810</v>
      </c>
      <c r="D219" s="3">
        <v>45474</v>
      </c>
      <c r="E219" s="2">
        <v>0</v>
      </c>
      <c r="F219" s="2">
        <v>19928.560000000001</v>
      </c>
      <c r="G219" s="2">
        <v>547822.52</v>
      </c>
      <c r="H219" t="s">
        <v>361</v>
      </c>
      <c r="I219" s="8"/>
    </row>
    <row r="220" spans="1:9" x14ac:dyDescent="0.3">
      <c r="A220" s="3">
        <v>45474</v>
      </c>
      <c r="B220" s="4" t="s">
        <v>128</v>
      </c>
      <c r="C220" s="4" t="s">
        <v>811</v>
      </c>
      <c r="D220" s="3">
        <v>45474</v>
      </c>
      <c r="E220" s="2">
        <v>0</v>
      </c>
      <c r="F220" s="2">
        <v>198085.37</v>
      </c>
      <c r="G220" s="2">
        <v>745907.89</v>
      </c>
      <c r="H220" t="s">
        <v>361</v>
      </c>
    </row>
    <row r="221" spans="1:9" x14ac:dyDescent="0.3">
      <c r="A221" s="3">
        <v>45474</v>
      </c>
      <c r="B221" s="4" t="s">
        <v>125</v>
      </c>
      <c r="C221" s="4" t="s">
        <v>812</v>
      </c>
      <c r="D221" s="3">
        <v>45474</v>
      </c>
      <c r="E221" s="2">
        <v>796.17</v>
      </c>
      <c r="F221" s="2">
        <v>0</v>
      </c>
      <c r="G221" s="2">
        <v>745111.72</v>
      </c>
      <c r="H221" t="s">
        <v>361</v>
      </c>
    </row>
    <row r="222" spans="1:9" x14ac:dyDescent="0.3">
      <c r="A222" s="3">
        <v>45474</v>
      </c>
      <c r="B222" s="4" t="s">
        <v>813</v>
      </c>
      <c r="C222" s="4" t="s">
        <v>814</v>
      </c>
      <c r="D222" s="3">
        <v>45474</v>
      </c>
      <c r="E222" s="2">
        <v>0</v>
      </c>
      <c r="F222" s="2">
        <v>2520</v>
      </c>
      <c r="G222" s="2">
        <v>747631.72</v>
      </c>
      <c r="H222" t="s">
        <v>367</v>
      </c>
    </row>
    <row r="223" spans="1:9" x14ac:dyDescent="0.3">
      <c r="A223" s="3">
        <v>45474</v>
      </c>
      <c r="B223" s="4" t="s">
        <v>815</v>
      </c>
      <c r="C223" s="4" t="s">
        <v>816</v>
      </c>
      <c r="D223" s="3">
        <v>45474</v>
      </c>
      <c r="E223" s="2">
        <v>5000</v>
      </c>
      <c r="F223" s="2">
        <v>0</v>
      </c>
      <c r="G223" s="2">
        <v>742631.72</v>
      </c>
      <c r="H223" t="s">
        <v>366</v>
      </c>
    </row>
    <row r="224" spans="1:9" x14ac:dyDescent="0.3">
      <c r="A224" s="3">
        <v>45474</v>
      </c>
      <c r="B224" s="4" t="s">
        <v>817</v>
      </c>
      <c r="C224" s="4" t="s">
        <v>818</v>
      </c>
      <c r="D224" s="3">
        <v>45474</v>
      </c>
      <c r="E224" s="2">
        <v>150000</v>
      </c>
      <c r="F224" s="2">
        <v>0</v>
      </c>
      <c r="G224" s="2">
        <v>592631.72</v>
      </c>
      <c r="H224" t="s">
        <v>372</v>
      </c>
    </row>
    <row r="225" spans="1:8" x14ac:dyDescent="0.3">
      <c r="A225" s="3">
        <v>45475</v>
      </c>
      <c r="B225" s="4" t="s">
        <v>128</v>
      </c>
      <c r="C225" s="4" t="s">
        <v>819</v>
      </c>
      <c r="D225" s="3">
        <v>45475</v>
      </c>
      <c r="E225" s="2">
        <v>0</v>
      </c>
      <c r="F225" s="2">
        <v>16450.22</v>
      </c>
      <c r="G225" s="2">
        <v>609081.93999999994</v>
      </c>
      <c r="H225" t="s">
        <v>361</v>
      </c>
    </row>
    <row r="226" spans="1:8" x14ac:dyDescent="0.3">
      <c r="A226" s="3">
        <v>45475</v>
      </c>
      <c r="B226" s="4" t="s">
        <v>128</v>
      </c>
      <c r="C226" s="4" t="s">
        <v>820</v>
      </c>
      <c r="D226" s="3">
        <v>45475</v>
      </c>
      <c r="E226" s="2">
        <v>0</v>
      </c>
      <c r="F226" s="2">
        <v>77714.92</v>
      </c>
      <c r="G226" s="2">
        <v>686796.86</v>
      </c>
      <c r="H226" t="s">
        <v>361</v>
      </c>
    </row>
    <row r="227" spans="1:8" x14ac:dyDescent="0.3">
      <c r="A227" s="3">
        <v>45475</v>
      </c>
      <c r="B227" s="4" t="s">
        <v>125</v>
      </c>
      <c r="C227" s="4" t="s">
        <v>821</v>
      </c>
      <c r="D227" s="3">
        <v>45475</v>
      </c>
      <c r="E227" s="2">
        <v>272.48</v>
      </c>
      <c r="F227" s="2">
        <v>0</v>
      </c>
      <c r="G227" s="2">
        <v>686524.38</v>
      </c>
      <c r="H227" t="s">
        <v>361</v>
      </c>
    </row>
    <row r="228" spans="1:8" x14ac:dyDescent="0.3">
      <c r="A228" s="3">
        <v>45475</v>
      </c>
      <c r="B228" s="4" t="s">
        <v>125</v>
      </c>
      <c r="C228" s="4" t="s">
        <v>822</v>
      </c>
      <c r="D228" s="3">
        <v>45475</v>
      </c>
      <c r="E228" s="2">
        <v>23743.94</v>
      </c>
      <c r="F228" s="2">
        <v>0</v>
      </c>
      <c r="G228" s="2">
        <v>662780.43999999994</v>
      </c>
      <c r="H228" t="s">
        <v>361</v>
      </c>
    </row>
    <row r="229" spans="1:8" x14ac:dyDescent="0.3">
      <c r="A229" s="3">
        <v>45476</v>
      </c>
      <c r="B229" s="4" t="s">
        <v>125</v>
      </c>
      <c r="C229" s="4" t="s">
        <v>823</v>
      </c>
      <c r="D229" s="3">
        <v>45476</v>
      </c>
      <c r="E229" s="2">
        <v>255.08</v>
      </c>
      <c r="F229" s="2">
        <v>0</v>
      </c>
      <c r="G229" s="2">
        <v>662525.36</v>
      </c>
      <c r="H229" t="s">
        <v>361</v>
      </c>
    </row>
    <row r="230" spans="1:8" x14ac:dyDescent="0.3">
      <c r="A230" s="3">
        <v>45477</v>
      </c>
      <c r="B230" s="4" t="s">
        <v>128</v>
      </c>
      <c r="C230" s="4" t="s">
        <v>824</v>
      </c>
      <c r="D230" s="3">
        <v>45477</v>
      </c>
      <c r="E230" s="2">
        <v>0</v>
      </c>
      <c r="F230" s="2">
        <v>23623.09</v>
      </c>
      <c r="G230" s="2">
        <v>686148.45</v>
      </c>
      <c r="H230" t="s">
        <v>361</v>
      </c>
    </row>
    <row r="231" spans="1:8" x14ac:dyDescent="0.3">
      <c r="A231" s="3">
        <v>45477</v>
      </c>
      <c r="B231" s="4" t="s">
        <v>128</v>
      </c>
      <c r="C231" s="4" t="s">
        <v>825</v>
      </c>
      <c r="D231" s="3">
        <v>45477</v>
      </c>
      <c r="E231" s="2">
        <v>0</v>
      </c>
      <c r="F231" s="2">
        <v>106413.03</v>
      </c>
      <c r="G231" s="2">
        <v>792561.48</v>
      </c>
      <c r="H231" t="s">
        <v>361</v>
      </c>
    </row>
    <row r="232" spans="1:8" x14ac:dyDescent="0.3">
      <c r="A232" s="3">
        <v>45477</v>
      </c>
      <c r="B232" s="4" t="s">
        <v>826</v>
      </c>
      <c r="C232" s="4" t="s">
        <v>827</v>
      </c>
      <c r="D232" s="3">
        <v>45477</v>
      </c>
      <c r="E232" s="2">
        <v>0</v>
      </c>
      <c r="F232" s="2">
        <v>510</v>
      </c>
      <c r="G232" s="2">
        <v>793071.48</v>
      </c>
      <c r="H232" t="s">
        <v>367</v>
      </c>
    </row>
    <row r="233" spans="1:8" x14ac:dyDescent="0.3">
      <c r="A233" s="3">
        <v>45477</v>
      </c>
      <c r="B233" s="4" t="s">
        <v>125</v>
      </c>
      <c r="C233" s="4" t="s">
        <v>828</v>
      </c>
      <c r="D233" s="3">
        <v>45477</v>
      </c>
      <c r="E233" s="2">
        <v>277.89999999999998</v>
      </c>
      <c r="F233" s="2">
        <v>0</v>
      </c>
      <c r="G233" s="2">
        <v>792793.58</v>
      </c>
      <c r="H233" t="s">
        <v>361</v>
      </c>
    </row>
    <row r="234" spans="1:8" x14ac:dyDescent="0.3">
      <c r="A234" s="3">
        <v>45477</v>
      </c>
      <c r="B234" s="4" t="s">
        <v>125</v>
      </c>
      <c r="C234" s="4" t="s">
        <v>829</v>
      </c>
      <c r="D234" s="3">
        <v>45477</v>
      </c>
      <c r="E234" s="2">
        <v>145668.22</v>
      </c>
      <c r="F234" s="2">
        <v>0</v>
      </c>
      <c r="G234" s="2">
        <v>647125.36</v>
      </c>
      <c r="H234" t="s">
        <v>361</v>
      </c>
    </row>
    <row r="235" spans="1:8" x14ac:dyDescent="0.3">
      <c r="A235" s="3">
        <v>45478</v>
      </c>
      <c r="B235" s="4" t="s">
        <v>128</v>
      </c>
      <c r="C235" s="4" t="s">
        <v>830</v>
      </c>
      <c r="D235" s="3">
        <v>45478</v>
      </c>
      <c r="E235" s="2">
        <v>0</v>
      </c>
      <c r="F235" s="2">
        <v>6379.07</v>
      </c>
      <c r="G235" s="2">
        <v>653504.43000000005</v>
      </c>
      <c r="H235" t="s">
        <v>361</v>
      </c>
    </row>
    <row r="236" spans="1:8" x14ac:dyDescent="0.3">
      <c r="A236" s="3">
        <v>45478</v>
      </c>
      <c r="B236" s="4" t="s">
        <v>128</v>
      </c>
      <c r="C236" s="4" t="s">
        <v>831</v>
      </c>
      <c r="D236" s="3">
        <v>45478</v>
      </c>
      <c r="E236" s="2">
        <v>0</v>
      </c>
      <c r="F236" s="2">
        <v>29312.63</v>
      </c>
      <c r="G236" s="2">
        <v>682817.06</v>
      </c>
      <c r="H236" t="s">
        <v>361</v>
      </c>
    </row>
    <row r="237" spans="1:8" x14ac:dyDescent="0.3">
      <c r="A237" s="3">
        <v>45478</v>
      </c>
      <c r="B237" s="4" t="s">
        <v>125</v>
      </c>
      <c r="C237" s="4" t="s">
        <v>832</v>
      </c>
      <c r="D237" s="3">
        <v>45478</v>
      </c>
      <c r="E237" s="2">
        <v>234.43</v>
      </c>
      <c r="F237" s="2">
        <v>0</v>
      </c>
      <c r="G237" s="2">
        <v>682582.63</v>
      </c>
      <c r="H237" t="s">
        <v>361</v>
      </c>
    </row>
    <row r="238" spans="1:8" x14ac:dyDescent="0.3">
      <c r="A238" s="3">
        <v>45478</v>
      </c>
      <c r="B238" s="4" t="s">
        <v>833</v>
      </c>
      <c r="C238" s="4" t="s">
        <v>834</v>
      </c>
      <c r="D238" s="3">
        <v>45478</v>
      </c>
      <c r="E238" s="2">
        <v>0</v>
      </c>
      <c r="F238" s="2">
        <v>125</v>
      </c>
      <c r="G238" s="2">
        <v>682707.63</v>
      </c>
      <c r="H238" t="s">
        <v>369</v>
      </c>
    </row>
    <row r="239" spans="1:8" x14ac:dyDescent="0.3">
      <c r="A239" s="3">
        <v>45478</v>
      </c>
      <c r="B239" s="4" t="s">
        <v>125</v>
      </c>
      <c r="C239" s="4" t="s">
        <v>835</v>
      </c>
      <c r="D239" s="3">
        <v>45478</v>
      </c>
      <c r="E239" s="2">
        <v>344465.07</v>
      </c>
      <c r="F239" s="2">
        <v>0</v>
      </c>
      <c r="G239" s="2">
        <v>338242.56</v>
      </c>
      <c r="H239" t="s">
        <v>361</v>
      </c>
    </row>
    <row r="240" spans="1:8" x14ac:dyDescent="0.3">
      <c r="A240" s="3">
        <v>45481</v>
      </c>
      <c r="B240" s="4" t="s">
        <v>125</v>
      </c>
      <c r="C240" s="4" t="s">
        <v>836</v>
      </c>
      <c r="D240" s="3">
        <v>45481</v>
      </c>
      <c r="E240" s="2">
        <v>470.25</v>
      </c>
      <c r="F240" s="2">
        <v>0</v>
      </c>
      <c r="G240" s="2">
        <v>337772.31</v>
      </c>
      <c r="H240" t="s">
        <v>361</v>
      </c>
    </row>
    <row r="241" spans="1:8" x14ac:dyDescent="0.3">
      <c r="A241" s="3">
        <v>45482</v>
      </c>
      <c r="B241" s="4" t="s">
        <v>128</v>
      </c>
      <c r="C241" s="4" t="s">
        <v>837</v>
      </c>
      <c r="D241" s="3">
        <v>45482</v>
      </c>
      <c r="E241" s="2">
        <v>0</v>
      </c>
      <c r="F241" s="2">
        <v>262191.28999999998</v>
      </c>
      <c r="G241" s="2">
        <v>599963.6</v>
      </c>
      <c r="H241" t="s">
        <v>361</v>
      </c>
    </row>
    <row r="242" spans="1:8" x14ac:dyDescent="0.3">
      <c r="A242" s="3">
        <v>45482</v>
      </c>
      <c r="B242" s="4" t="s">
        <v>125</v>
      </c>
      <c r="C242" s="4" t="s">
        <v>838</v>
      </c>
      <c r="D242" s="3">
        <v>45482</v>
      </c>
      <c r="E242" s="2">
        <v>345.12</v>
      </c>
      <c r="F242" s="2">
        <v>0</v>
      </c>
      <c r="G242" s="2">
        <v>599618.48</v>
      </c>
      <c r="H242" t="s">
        <v>361</v>
      </c>
    </row>
    <row r="243" spans="1:8" x14ac:dyDescent="0.3">
      <c r="A243" s="3">
        <v>45483</v>
      </c>
      <c r="B243" s="4" t="s">
        <v>128</v>
      </c>
      <c r="C243" s="4" t="s">
        <v>839</v>
      </c>
      <c r="D243" s="3">
        <v>45483</v>
      </c>
      <c r="E243" s="2">
        <v>0</v>
      </c>
      <c r="F243" s="2">
        <v>334326.63</v>
      </c>
      <c r="G243" s="2">
        <v>933945.11</v>
      </c>
      <c r="H243" t="s">
        <v>361</v>
      </c>
    </row>
    <row r="244" spans="1:8" x14ac:dyDescent="0.3">
      <c r="A244" s="3">
        <v>45483</v>
      </c>
      <c r="B244" s="4" t="s">
        <v>146</v>
      </c>
      <c r="C244" s="4" t="s">
        <v>840</v>
      </c>
      <c r="D244" s="3">
        <v>45483</v>
      </c>
      <c r="E244" s="2">
        <v>10000</v>
      </c>
      <c r="F244" s="2">
        <v>0</v>
      </c>
      <c r="G244" s="2">
        <v>923945.11</v>
      </c>
      <c r="H244" t="s">
        <v>1854</v>
      </c>
    </row>
    <row r="245" spans="1:8" x14ac:dyDescent="0.3">
      <c r="A245" s="3">
        <v>45483</v>
      </c>
      <c r="B245" s="4" t="s">
        <v>125</v>
      </c>
      <c r="C245" s="4" t="s">
        <v>841</v>
      </c>
      <c r="D245" s="3">
        <v>45483</v>
      </c>
      <c r="E245" s="2">
        <v>396.35</v>
      </c>
      <c r="F245" s="2">
        <v>0</v>
      </c>
      <c r="G245" s="2">
        <v>923548.76</v>
      </c>
      <c r="H245" t="s">
        <v>361</v>
      </c>
    </row>
    <row r="246" spans="1:8" x14ac:dyDescent="0.3">
      <c r="A246" s="3">
        <v>45483</v>
      </c>
      <c r="B246" s="4" t="s">
        <v>125</v>
      </c>
      <c r="C246" s="4" t="s">
        <v>842</v>
      </c>
      <c r="D246" s="3">
        <v>45483</v>
      </c>
      <c r="E246" s="2">
        <v>323315.25</v>
      </c>
      <c r="F246" s="2">
        <v>0</v>
      </c>
      <c r="G246" s="2">
        <v>600233.51</v>
      </c>
      <c r="H246" t="s">
        <v>361</v>
      </c>
    </row>
    <row r="247" spans="1:8" x14ac:dyDescent="0.3">
      <c r="A247" s="3">
        <v>45484</v>
      </c>
      <c r="B247" s="4" t="s">
        <v>128</v>
      </c>
      <c r="C247" s="4" t="s">
        <v>843</v>
      </c>
      <c r="D247" s="3">
        <v>45484</v>
      </c>
      <c r="E247" s="2">
        <v>0</v>
      </c>
      <c r="F247" s="2">
        <v>5289.01</v>
      </c>
      <c r="G247" s="2">
        <v>605522.52</v>
      </c>
      <c r="H247" t="s">
        <v>361</v>
      </c>
    </row>
    <row r="248" spans="1:8" x14ac:dyDescent="0.3">
      <c r="A248" s="3">
        <v>45484</v>
      </c>
      <c r="B248" s="4" t="s">
        <v>128</v>
      </c>
      <c r="C248" s="4" t="s">
        <v>844</v>
      </c>
      <c r="D248" s="3">
        <v>45484</v>
      </c>
      <c r="E248" s="2">
        <v>0</v>
      </c>
      <c r="F248" s="2">
        <v>41595.01</v>
      </c>
      <c r="G248" s="2">
        <v>647117.53</v>
      </c>
      <c r="H248" t="s">
        <v>361</v>
      </c>
    </row>
    <row r="249" spans="1:8" x14ac:dyDescent="0.3">
      <c r="A249" s="3">
        <v>45484</v>
      </c>
      <c r="B249" s="4" t="s">
        <v>125</v>
      </c>
      <c r="C249" s="4" t="s">
        <v>845</v>
      </c>
      <c r="D249" s="3">
        <v>45484</v>
      </c>
      <c r="E249" s="2">
        <v>463.24</v>
      </c>
      <c r="F249" s="2">
        <v>0</v>
      </c>
      <c r="G249" s="2">
        <v>646654.29</v>
      </c>
      <c r="H249" t="s">
        <v>361</v>
      </c>
    </row>
    <row r="250" spans="1:8" x14ac:dyDescent="0.3">
      <c r="A250" s="3">
        <v>45485</v>
      </c>
      <c r="B250" s="4" t="s">
        <v>128</v>
      </c>
      <c r="C250" s="4" t="s">
        <v>846</v>
      </c>
      <c r="D250" s="3">
        <v>45485</v>
      </c>
      <c r="E250" s="2">
        <v>0</v>
      </c>
      <c r="F250" s="2">
        <v>21914.16</v>
      </c>
      <c r="G250" s="2">
        <v>668568.44999999995</v>
      </c>
      <c r="H250" t="s">
        <v>361</v>
      </c>
    </row>
    <row r="251" spans="1:8" x14ac:dyDescent="0.3">
      <c r="A251" s="3">
        <v>45485</v>
      </c>
      <c r="B251" s="4" t="s">
        <v>128</v>
      </c>
      <c r="C251" s="4" t="s">
        <v>847</v>
      </c>
      <c r="D251" s="3">
        <v>45485</v>
      </c>
      <c r="E251" s="2">
        <v>0</v>
      </c>
      <c r="F251" s="2">
        <v>44275.74</v>
      </c>
      <c r="G251" s="2">
        <v>712844.19</v>
      </c>
      <c r="H251" t="s">
        <v>361</v>
      </c>
    </row>
    <row r="252" spans="1:8" x14ac:dyDescent="0.3">
      <c r="A252" s="3">
        <v>45485</v>
      </c>
      <c r="B252" s="4" t="s">
        <v>848</v>
      </c>
      <c r="C252" s="4" t="s">
        <v>849</v>
      </c>
      <c r="D252" s="3">
        <v>45485</v>
      </c>
      <c r="E252" s="2">
        <v>0</v>
      </c>
      <c r="F252" s="2">
        <v>1800</v>
      </c>
      <c r="G252" s="2">
        <v>714644.19</v>
      </c>
      <c r="H252" t="s">
        <v>367</v>
      </c>
    </row>
    <row r="253" spans="1:8" x14ac:dyDescent="0.3">
      <c r="A253" s="3">
        <v>45485</v>
      </c>
      <c r="B253" s="4" t="s">
        <v>125</v>
      </c>
      <c r="C253" s="4" t="s">
        <v>850</v>
      </c>
      <c r="D253" s="3">
        <v>45485</v>
      </c>
      <c r="E253" s="2">
        <v>486.59</v>
      </c>
      <c r="F253" s="2">
        <v>0</v>
      </c>
      <c r="G253" s="2">
        <v>714157.6</v>
      </c>
      <c r="H253" t="s">
        <v>361</v>
      </c>
    </row>
    <row r="254" spans="1:8" x14ac:dyDescent="0.3">
      <c r="A254" s="3">
        <v>45485</v>
      </c>
      <c r="B254" s="4" t="s">
        <v>851</v>
      </c>
      <c r="C254" s="4" t="s">
        <v>852</v>
      </c>
      <c r="D254" s="3">
        <v>45485</v>
      </c>
      <c r="E254" s="2">
        <v>0</v>
      </c>
      <c r="F254" s="2">
        <v>1110</v>
      </c>
      <c r="G254" s="2">
        <v>715267.6</v>
      </c>
      <c r="H254" t="s">
        <v>367</v>
      </c>
    </row>
    <row r="255" spans="1:8" x14ac:dyDescent="0.3">
      <c r="A255" s="3">
        <v>45485</v>
      </c>
      <c r="B255" s="4" t="s">
        <v>125</v>
      </c>
      <c r="C255" s="4" t="s">
        <v>853</v>
      </c>
      <c r="D255" s="3">
        <v>45485</v>
      </c>
      <c r="E255" s="2">
        <v>0.06</v>
      </c>
      <c r="F255" s="2">
        <v>0</v>
      </c>
      <c r="G255" s="2">
        <v>715267.54</v>
      </c>
      <c r="H255" t="s">
        <v>361</v>
      </c>
    </row>
    <row r="256" spans="1:8" x14ac:dyDescent="0.3">
      <c r="A256" s="3">
        <v>45486</v>
      </c>
      <c r="B256" s="4" t="s">
        <v>854</v>
      </c>
      <c r="C256" s="4" t="s">
        <v>855</v>
      </c>
      <c r="D256" s="3">
        <v>45486</v>
      </c>
      <c r="E256" s="2">
        <v>20000</v>
      </c>
      <c r="F256" s="2">
        <v>0</v>
      </c>
      <c r="G256" s="2">
        <v>695267.54</v>
      </c>
      <c r="H256" t="s">
        <v>366</v>
      </c>
    </row>
    <row r="257" spans="1:8" x14ac:dyDescent="0.3">
      <c r="A257" s="3">
        <v>45486</v>
      </c>
      <c r="B257" s="4" t="s">
        <v>854</v>
      </c>
      <c r="C257" s="4" t="s">
        <v>856</v>
      </c>
      <c r="D257" s="3">
        <v>45486</v>
      </c>
      <c r="E257" s="2">
        <v>20000</v>
      </c>
      <c r="F257" s="2">
        <v>0</v>
      </c>
      <c r="G257" s="2">
        <v>675267.54</v>
      </c>
      <c r="H257" t="s">
        <v>366</v>
      </c>
    </row>
    <row r="258" spans="1:8" x14ac:dyDescent="0.3">
      <c r="A258" s="3">
        <v>45488</v>
      </c>
      <c r="B258" s="4" t="s">
        <v>128</v>
      </c>
      <c r="C258" s="4" t="s">
        <v>857</v>
      </c>
      <c r="D258" s="3">
        <v>45488</v>
      </c>
      <c r="E258" s="2">
        <v>0</v>
      </c>
      <c r="F258" s="2">
        <v>9490.65</v>
      </c>
      <c r="G258" s="2">
        <v>684758.19</v>
      </c>
      <c r="H258" t="s">
        <v>361</v>
      </c>
    </row>
    <row r="259" spans="1:8" x14ac:dyDescent="0.3">
      <c r="A259" s="3">
        <v>45488</v>
      </c>
      <c r="B259" s="4" t="s">
        <v>146</v>
      </c>
      <c r="C259" s="4" t="s">
        <v>858</v>
      </c>
      <c r="D259" s="3">
        <v>45488</v>
      </c>
      <c r="E259" s="2">
        <v>10000</v>
      </c>
      <c r="F259" s="2">
        <v>0</v>
      </c>
      <c r="G259" s="2">
        <v>674758.19</v>
      </c>
      <c r="H259" t="s">
        <v>1854</v>
      </c>
    </row>
    <row r="260" spans="1:8" x14ac:dyDescent="0.3">
      <c r="A260" s="3">
        <v>45488</v>
      </c>
      <c r="B260" s="4" t="s">
        <v>125</v>
      </c>
      <c r="C260" s="4" t="s">
        <v>859</v>
      </c>
      <c r="D260" s="3">
        <v>45488</v>
      </c>
      <c r="E260" s="2">
        <v>1483.17</v>
      </c>
      <c r="F260" s="2">
        <v>0</v>
      </c>
      <c r="G260" s="2">
        <v>673275.02</v>
      </c>
      <c r="H260" t="s">
        <v>361</v>
      </c>
    </row>
    <row r="261" spans="1:8" x14ac:dyDescent="0.3">
      <c r="A261" s="3">
        <v>45489</v>
      </c>
      <c r="B261" s="4" t="s">
        <v>125</v>
      </c>
      <c r="C261" s="4" t="s">
        <v>860</v>
      </c>
      <c r="D261" s="3">
        <v>45489</v>
      </c>
      <c r="E261" s="2">
        <v>449.15</v>
      </c>
      <c r="F261" s="2">
        <v>0</v>
      </c>
      <c r="G261" s="2">
        <v>672825.87</v>
      </c>
      <c r="H261" t="s">
        <v>361</v>
      </c>
    </row>
    <row r="262" spans="1:8" x14ac:dyDescent="0.3">
      <c r="A262" s="3">
        <v>45489</v>
      </c>
      <c r="B262" s="4" t="s">
        <v>861</v>
      </c>
      <c r="C262" s="4" t="s">
        <v>140</v>
      </c>
      <c r="D262" s="3">
        <v>45489</v>
      </c>
      <c r="E262" s="2">
        <v>1793.6</v>
      </c>
      <c r="F262" s="2">
        <v>0</v>
      </c>
      <c r="G262" s="2">
        <v>671032.27</v>
      </c>
      <c r="H262" t="s">
        <v>362</v>
      </c>
    </row>
    <row r="263" spans="1:8" x14ac:dyDescent="0.3">
      <c r="A263" s="3">
        <v>45489</v>
      </c>
      <c r="B263" s="4" t="s">
        <v>862</v>
      </c>
      <c r="C263" s="4" t="s">
        <v>863</v>
      </c>
      <c r="D263" s="3">
        <v>45489</v>
      </c>
      <c r="E263" s="2">
        <v>0</v>
      </c>
      <c r="F263" s="2">
        <v>308</v>
      </c>
      <c r="G263" s="2">
        <v>671340.27</v>
      </c>
      <c r="H263" t="s">
        <v>367</v>
      </c>
    </row>
    <row r="264" spans="1:8" x14ac:dyDescent="0.3">
      <c r="A264" s="3">
        <v>45489</v>
      </c>
      <c r="B264" s="4" t="s">
        <v>125</v>
      </c>
      <c r="C264" s="4" t="s">
        <v>864</v>
      </c>
      <c r="D264" s="3">
        <v>45489</v>
      </c>
      <c r="E264" s="2">
        <v>152870.93</v>
      </c>
      <c r="F264" s="2">
        <v>0</v>
      </c>
      <c r="G264" s="2">
        <v>518469.34</v>
      </c>
      <c r="H264" t="s">
        <v>361</v>
      </c>
    </row>
    <row r="265" spans="1:8" x14ac:dyDescent="0.3">
      <c r="A265" s="3">
        <v>45491</v>
      </c>
      <c r="B265" s="4" t="s">
        <v>125</v>
      </c>
      <c r="C265" s="4" t="s">
        <v>865</v>
      </c>
      <c r="D265" s="3">
        <v>45491</v>
      </c>
      <c r="E265" s="2">
        <v>789.4</v>
      </c>
      <c r="F265" s="2">
        <v>0</v>
      </c>
      <c r="G265" s="2">
        <v>517679.94</v>
      </c>
      <c r="H265" t="s">
        <v>361</v>
      </c>
    </row>
    <row r="266" spans="1:8" x14ac:dyDescent="0.3">
      <c r="A266" s="3">
        <v>45491</v>
      </c>
      <c r="B266" s="4" t="s">
        <v>866</v>
      </c>
      <c r="C266" s="4" t="s">
        <v>867</v>
      </c>
      <c r="D266" s="3">
        <v>45491</v>
      </c>
      <c r="E266" s="2">
        <v>0</v>
      </c>
      <c r="F266" s="2">
        <v>490</v>
      </c>
      <c r="G266" s="2">
        <v>518169.94</v>
      </c>
      <c r="H266" t="s">
        <v>367</v>
      </c>
    </row>
    <row r="267" spans="1:8" x14ac:dyDescent="0.3">
      <c r="A267" s="3">
        <v>45491</v>
      </c>
      <c r="B267" s="4" t="s">
        <v>868</v>
      </c>
      <c r="C267" s="4" t="s">
        <v>869</v>
      </c>
      <c r="D267" s="3">
        <v>45491</v>
      </c>
      <c r="E267" s="2">
        <v>0</v>
      </c>
      <c r="F267" s="2">
        <v>1196.5</v>
      </c>
      <c r="G267" s="2">
        <v>519366.44</v>
      </c>
      <c r="H267" t="s">
        <v>369</v>
      </c>
    </row>
    <row r="268" spans="1:8" x14ac:dyDescent="0.3">
      <c r="A268" s="3">
        <v>45491</v>
      </c>
      <c r="B268" s="4" t="s">
        <v>125</v>
      </c>
      <c r="C268" s="4" t="s">
        <v>870</v>
      </c>
      <c r="D268" s="3">
        <v>45491</v>
      </c>
      <c r="E268" s="2">
        <v>162908.28</v>
      </c>
      <c r="F268" s="2">
        <v>0</v>
      </c>
      <c r="G268" s="2">
        <v>356458.16</v>
      </c>
      <c r="H268" t="s">
        <v>361</v>
      </c>
    </row>
    <row r="269" spans="1:8" x14ac:dyDescent="0.3">
      <c r="A269" s="3">
        <v>45492</v>
      </c>
      <c r="B269" s="4" t="s">
        <v>128</v>
      </c>
      <c r="C269" s="4" t="s">
        <v>871</v>
      </c>
      <c r="D269" s="3">
        <v>45492</v>
      </c>
      <c r="E269" s="2">
        <v>0</v>
      </c>
      <c r="F269" s="2">
        <v>32906.36</v>
      </c>
      <c r="G269" s="2">
        <v>389364.52</v>
      </c>
      <c r="H269" t="s">
        <v>361</v>
      </c>
    </row>
    <row r="270" spans="1:8" x14ac:dyDescent="0.3">
      <c r="A270" s="3">
        <v>45492</v>
      </c>
      <c r="B270" s="4" t="s">
        <v>125</v>
      </c>
      <c r="C270" s="4" t="s">
        <v>872</v>
      </c>
      <c r="D270" s="3">
        <v>45492</v>
      </c>
      <c r="E270" s="2">
        <v>336.68</v>
      </c>
      <c r="F270" s="2">
        <v>0</v>
      </c>
      <c r="G270" s="2">
        <v>389027.84000000003</v>
      </c>
      <c r="H270" t="s">
        <v>361</v>
      </c>
    </row>
    <row r="271" spans="1:8" x14ac:dyDescent="0.3">
      <c r="A271" s="3">
        <v>45493</v>
      </c>
      <c r="B271" s="4" t="s">
        <v>125</v>
      </c>
      <c r="C271" s="4" t="s">
        <v>873</v>
      </c>
      <c r="D271" s="3">
        <v>45493</v>
      </c>
      <c r="E271" s="2">
        <v>77788.75</v>
      </c>
      <c r="F271" s="2">
        <v>0</v>
      </c>
      <c r="G271" s="2">
        <v>311239.09000000003</v>
      </c>
      <c r="H271" t="s">
        <v>361</v>
      </c>
    </row>
    <row r="272" spans="1:8" x14ac:dyDescent="0.3">
      <c r="A272" s="3">
        <v>45493</v>
      </c>
      <c r="B272" s="4" t="s">
        <v>874</v>
      </c>
      <c r="C272" s="4" t="s">
        <v>875</v>
      </c>
      <c r="D272" s="3">
        <v>45493</v>
      </c>
      <c r="E272" s="2">
        <v>0</v>
      </c>
      <c r="F272" s="2">
        <v>300.44</v>
      </c>
      <c r="G272" s="2">
        <v>311539.53000000003</v>
      </c>
      <c r="H272" t="s">
        <v>369</v>
      </c>
    </row>
    <row r="273" spans="1:8" x14ac:dyDescent="0.3">
      <c r="A273" s="3">
        <v>45495</v>
      </c>
      <c r="B273" s="4" t="s">
        <v>146</v>
      </c>
      <c r="C273" s="4" t="s">
        <v>876</v>
      </c>
      <c r="D273" s="3">
        <v>45495</v>
      </c>
      <c r="E273" s="2">
        <v>10000</v>
      </c>
      <c r="F273" s="2">
        <v>0</v>
      </c>
      <c r="G273" s="2">
        <v>301539.53000000003</v>
      </c>
      <c r="H273" t="s">
        <v>1854</v>
      </c>
    </row>
    <row r="274" spans="1:8" x14ac:dyDescent="0.3">
      <c r="A274" s="3">
        <v>45495</v>
      </c>
      <c r="B274" s="4" t="s">
        <v>877</v>
      </c>
      <c r="C274" s="4" t="s">
        <v>878</v>
      </c>
      <c r="D274" s="3">
        <v>45495</v>
      </c>
      <c r="E274" s="2">
        <v>10000</v>
      </c>
      <c r="F274" s="2">
        <v>0</v>
      </c>
      <c r="G274" s="2">
        <v>291539.53000000003</v>
      </c>
      <c r="H274" t="s">
        <v>1854</v>
      </c>
    </row>
    <row r="275" spans="1:8" x14ac:dyDescent="0.3">
      <c r="A275" s="3">
        <v>45495</v>
      </c>
      <c r="B275" s="4" t="s">
        <v>125</v>
      </c>
      <c r="C275" s="4" t="s">
        <v>879</v>
      </c>
      <c r="D275" s="3">
        <v>45495</v>
      </c>
      <c r="E275" s="2">
        <v>926.94</v>
      </c>
      <c r="F275" s="2">
        <v>0</v>
      </c>
      <c r="G275" s="2">
        <v>290612.59000000003</v>
      </c>
      <c r="H275" t="s">
        <v>361</v>
      </c>
    </row>
    <row r="276" spans="1:8" x14ac:dyDescent="0.3">
      <c r="A276" s="3">
        <v>45496</v>
      </c>
      <c r="B276" s="4" t="s">
        <v>128</v>
      </c>
      <c r="C276" s="4" t="s">
        <v>880</v>
      </c>
      <c r="D276" s="3">
        <v>45496</v>
      </c>
      <c r="E276" s="2">
        <v>0</v>
      </c>
      <c r="F276" s="2">
        <v>29469.73</v>
      </c>
      <c r="G276" s="2">
        <v>320082.32</v>
      </c>
      <c r="H276" t="s">
        <v>361</v>
      </c>
    </row>
    <row r="277" spans="1:8" x14ac:dyDescent="0.3">
      <c r="A277" s="3">
        <v>45496</v>
      </c>
      <c r="B277" s="4" t="s">
        <v>125</v>
      </c>
      <c r="C277" s="4" t="s">
        <v>881</v>
      </c>
      <c r="D277" s="3">
        <v>45496</v>
      </c>
      <c r="E277" s="2">
        <v>372.92</v>
      </c>
      <c r="F277" s="2">
        <v>0</v>
      </c>
      <c r="G277" s="2">
        <v>319709.40000000002</v>
      </c>
      <c r="H277" t="s">
        <v>361</v>
      </c>
    </row>
    <row r="278" spans="1:8" x14ac:dyDescent="0.3">
      <c r="A278" s="3">
        <v>45496</v>
      </c>
      <c r="B278" s="4" t="s">
        <v>125</v>
      </c>
      <c r="C278" s="4" t="s">
        <v>882</v>
      </c>
      <c r="D278" s="3">
        <v>45496</v>
      </c>
      <c r="E278" s="2">
        <v>60859.85</v>
      </c>
      <c r="F278" s="2">
        <v>0</v>
      </c>
      <c r="G278" s="2">
        <v>258849.55</v>
      </c>
      <c r="H278" t="s">
        <v>361</v>
      </c>
    </row>
    <row r="279" spans="1:8" x14ac:dyDescent="0.3">
      <c r="A279" s="3">
        <v>45497</v>
      </c>
      <c r="B279" s="4" t="s">
        <v>125</v>
      </c>
      <c r="C279" s="4" t="s">
        <v>883</v>
      </c>
      <c r="D279" s="3">
        <v>45497</v>
      </c>
      <c r="E279" s="2">
        <v>361.74</v>
      </c>
      <c r="F279" s="2">
        <v>0</v>
      </c>
      <c r="G279" s="2">
        <v>258487.81</v>
      </c>
      <c r="H279" t="s">
        <v>361</v>
      </c>
    </row>
    <row r="280" spans="1:8" x14ac:dyDescent="0.3">
      <c r="A280" s="3">
        <v>45497</v>
      </c>
      <c r="B280" s="4" t="s">
        <v>884</v>
      </c>
      <c r="C280" s="4" t="s">
        <v>885</v>
      </c>
      <c r="D280" s="3">
        <v>45497</v>
      </c>
      <c r="E280" s="2">
        <v>0</v>
      </c>
      <c r="F280" s="2">
        <v>180</v>
      </c>
      <c r="G280" s="2">
        <v>258667.81</v>
      </c>
      <c r="H280" t="s">
        <v>367</v>
      </c>
    </row>
    <row r="281" spans="1:8" x14ac:dyDescent="0.3">
      <c r="A281" s="3">
        <v>45498</v>
      </c>
      <c r="B281" s="4" t="s">
        <v>128</v>
      </c>
      <c r="C281" s="4" t="s">
        <v>886</v>
      </c>
      <c r="D281" s="3">
        <v>45498</v>
      </c>
      <c r="E281" s="2">
        <v>0</v>
      </c>
      <c r="F281" s="2">
        <v>15630.84</v>
      </c>
      <c r="G281" s="2">
        <v>274298.65000000002</v>
      </c>
      <c r="H281" t="s">
        <v>361</v>
      </c>
    </row>
    <row r="282" spans="1:8" x14ac:dyDescent="0.3">
      <c r="A282" s="3">
        <v>45498</v>
      </c>
      <c r="B282" s="4" t="s">
        <v>125</v>
      </c>
      <c r="C282" s="4" t="s">
        <v>887</v>
      </c>
      <c r="D282" s="3">
        <v>45498</v>
      </c>
      <c r="E282" s="2">
        <v>404.87</v>
      </c>
      <c r="F282" s="2">
        <v>0</v>
      </c>
      <c r="G282" s="2">
        <v>273893.78000000003</v>
      </c>
      <c r="H282" t="s">
        <v>361</v>
      </c>
    </row>
    <row r="283" spans="1:8" x14ac:dyDescent="0.3">
      <c r="A283" s="3">
        <v>45498</v>
      </c>
      <c r="B283" s="4" t="s">
        <v>888</v>
      </c>
      <c r="C283" s="4" t="s">
        <v>889</v>
      </c>
      <c r="D283" s="3">
        <v>45498</v>
      </c>
      <c r="E283" s="2">
        <v>0</v>
      </c>
      <c r="F283" s="2">
        <v>125</v>
      </c>
      <c r="G283" s="2">
        <v>274018.78000000003</v>
      </c>
      <c r="H283" t="s">
        <v>367</v>
      </c>
    </row>
    <row r="284" spans="1:8" x14ac:dyDescent="0.3">
      <c r="A284" s="3">
        <v>45499</v>
      </c>
      <c r="B284" s="4" t="s">
        <v>128</v>
      </c>
      <c r="C284" s="4" t="s">
        <v>890</v>
      </c>
      <c r="D284" s="3">
        <v>45499</v>
      </c>
      <c r="E284" s="2">
        <v>0</v>
      </c>
      <c r="F284" s="2">
        <v>1304.28</v>
      </c>
      <c r="G284" s="2">
        <v>275323.06</v>
      </c>
      <c r="H284" t="s">
        <v>361</v>
      </c>
    </row>
    <row r="285" spans="1:8" x14ac:dyDescent="0.3">
      <c r="A285" s="3">
        <v>45499</v>
      </c>
      <c r="B285" s="4" t="s">
        <v>125</v>
      </c>
      <c r="C285" s="4" t="s">
        <v>891</v>
      </c>
      <c r="D285" s="3">
        <v>45499</v>
      </c>
      <c r="E285" s="2">
        <v>410.44</v>
      </c>
      <c r="F285" s="2">
        <v>0</v>
      </c>
      <c r="G285" s="2">
        <v>274912.62</v>
      </c>
      <c r="H285" t="s">
        <v>361</v>
      </c>
    </row>
    <row r="286" spans="1:8" x14ac:dyDescent="0.3">
      <c r="A286" s="3">
        <v>45501</v>
      </c>
      <c r="B286" s="4" t="s">
        <v>892</v>
      </c>
      <c r="C286" s="4" t="s">
        <v>893</v>
      </c>
      <c r="D286" s="3">
        <v>45501</v>
      </c>
      <c r="E286" s="2">
        <v>0</v>
      </c>
      <c r="F286" s="2">
        <v>30000</v>
      </c>
      <c r="G286" s="2">
        <v>304912.62</v>
      </c>
      <c r="H286" t="s">
        <v>356</v>
      </c>
    </row>
    <row r="287" spans="1:8" x14ac:dyDescent="0.3">
      <c r="A287" s="3">
        <v>45502</v>
      </c>
      <c r="B287" s="4" t="s">
        <v>128</v>
      </c>
      <c r="C287" s="4" t="s">
        <v>894</v>
      </c>
      <c r="D287" s="3">
        <v>45502</v>
      </c>
      <c r="E287" s="2">
        <v>0</v>
      </c>
      <c r="F287" s="2">
        <v>18095.849999999999</v>
      </c>
      <c r="G287" s="2">
        <v>323008.46999999997</v>
      </c>
      <c r="H287" t="s">
        <v>361</v>
      </c>
    </row>
    <row r="288" spans="1:8" x14ac:dyDescent="0.3">
      <c r="A288" s="3">
        <v>45502</v>
      </c>
      <c r="B288" s="4" t="s">
        <v>128</v>
      </c>
      <c r="C288" s="4" t="s">
        <v>895</v>
      </c>
      <c r="D288" s="3">
        <v>45502</v>
      </c>
      <c r="E288" s="2">
        <v>0</v>
      </c>
      <c r="F288" s="2">
        <v>37892.910000000003</v>
      </c>
      <c r="G288" s="2">
        <v>360901.38</v>
      </c>
      <c r="H288" t="s">
        <v>361</v>
      </c>
    </row>
    <row r="289" spans="1:8" x14ac:dyDescent="0.3">
      <c r="A289" s="3">
        <v>45502</v>
      </c>
      <c r="B289" s="4" t="s">
        <v>125</v>
      </c>
      <c r="C289" s="4" t="s">
        <v>896</v>
      </c>
      <c r="D289" s="3">
        <v>45502</v>
      </c>
      <c r="E289" s="2">
        <v>1232.7</v>
      </c>
      <c r="F289" s="2">
        <v>0</v>
      </c>
      <c r="G289" s="2">
        <v>359668.68</v>
      </c>
      <c r="H289" t="s">
        <v>361</v>
      </c>
    </row>
    <row r="290" spans="1:8" x14ac:dyDescent="0.3">
      <c r="A290" s="3">
        <v>45502</v>
      </c>
      <c r="B290" s="4" t="s">
        <v>125</v>
      </c>
      <c r="C290" s="4" t="s">
        <v>897</v>
      </c>
      <c r="D290" s="3">
        <v>45502</v>
      </c>
      <c r="E290" s="2">
        <v>25558.2</v>
      </c>
      <c r="F290" s="2">
        <v>0</v>
      </c>
      <c r="G290" s="2">
        <v>334110.48</v>
      </c>
      <c r="H290" t="s">
        <v>361</v>
      </c>
    </row>
    <row r="291" spans="1:8" x14ac:dyDescent="0.3">
      <c r="A291" s="3">
        <v>45503</v>
      </c>
      <c r="B291" s="4" t="s">
        <v>128</v>
      </c>
      <c r="C291" s="4" t="s">
        <v>898</v>
      </c>
      <c r="D291" s="3">
        <v>45503</v>
      </c>
      <c r="E291" s="2">
        <v>0</v>
      </c>
      <c r="F291" s="2">
        <v>154.37</v>
      </c>
      <c r="G291" s="2">
        <v>334264.84999999998</v>
      </c>
      <c r="H291" t="s">
        <v>361</v>
      </c>
    </row>
    <row r="292" spans="1:8" x14ac:dyDescent="0.3">
      <c r="A292" s="3">
        <v>45503</v>
      </c>
      <c r="B292" s="4" t="s">
        <v>128</v>
      </c>
      <c r="C292" s="4" t="s">
        <v>899</v>
      </c>
      <c r="D292" s="3">
        <v>45503</v>
      </c>
      <c r="E292" s="2">
        <v>0</v>
      </c>
      <c r="F292" s="2">
        <v>2398.9899999999998</v>
      </c>
      <c r="G292" s="2">
        <v>336663.84</v>
      </c>
      <c r="H292" t="s">
        <v>361</v>
      </c>
    </row>
    <row r="293" spans="1:8" x14ac:dyDescent="0.3">
      <c r="A293" s="3">
        <v>45503</v>
      </c>
      <c r="B293" s="4" t="s">
        <v>125</v>
      </c>
      <c r="C293" s="4" t="s">
        <v>900</v>
      </c>
      <c r="D293" s="3">
        <v>45503</v>
      </c>
      <c r="E293" s="2">
        <v>408.24</v>
      </c>
      <c r="F293" s="2">
        <v>0</v>
      </c>
      <c r="G293" s="2">
        <v>336255.6</v>
      </c>
      <c r="H293" t="s">
        <v>361</v>
      </c>
    </row>
    <row r="294" spans="1:8" x14ac:dyDescent="0.3">
      <c r="A294" s="3">
        <v>45503</v>
      </c>
      <c r="B294" s="4" t="s">
        <v>901</v>
      </c>
      <c r="C294" s="4" t="s">
        <v>902</v>
      </c>
      <c r="D294" s="3">
        <v>45503</v>
      </c>
      <c r="E294" s="2">
        <v>0</v>
      </c>
      <c r="F294" s="2">
        <v>766.5</v>
      </c>
      <c r="G294" s="2">
        <v>337022.1</v>
      </c>
      <c r="H294" t="s">
        <v>367</v>
      </c>
    </row>
    <row r="295" spans="1:8" x14ac:dyDescent="0.3">
      <c r="A295" s="3">
        <v>45503</v>
      </c>
      <c r="B295" s="4" t="s">
        <v>125</v>
      </c>
      <c r="C295" s="4" t="s">
        <v>903</v>
      </c>
      <c r="D295" s="3">
        <v>45503</v>
      </c>
      <c r="E295" s="2">
        <v>206370.02</v>
      </c>
      <c r="F295" s="2">
        <v>0</v>
      </c>
      <c r="G295" s="2">
        <v>130652.08</v>
      </c>
      <c r="H295" t="s">
        <v>361</v>
      </c>
    </row>
    <row r="296" spans="1:8" x14ac:dyDescent="0.3">
      <c r="A296" s="3">
        <v>45504</v>
      </c>
      <c r="B296" s="4" t="s">
        <v>128</v>
      </c>
      <c r="C296" s="4" t="s">
        <v>904</v>
      </c>
      <c r="D296" s="3">
        <v>45504</v>
      </c>
      <c r="E296" s="2">
        <v>0</v>
      </c>
      <c r="F296" s="2">
        <v>194793.94</v>
      </c>
      <c r="G296" s="2">
        <v>325446.02</v>
      </c>
      <c r="H296" t="s">
        <v>361</v>
      </c>
    </row>
    <row r="297" spans="1:8" x14ac:dyDescent="0.3">
      <c r="A297" s="3">
        <v>45504</v>
      </c>
      <c r="B297" s="4" t="s">
        <v>125</v>
      </c>
      <c r="C297" s="4" t="s">
        <v>905</v>
      </c>
      <c r="D297" s="3">
        <v>45504</v>
      </c>
      <c r="E297" s="2">
        <v>356.24</v>
      </c>
      <c r="F297" s="2">
        <v>0</v>
      </c>
      <c r="G297" s="2">
        <v>325089.78000000003</v>
      </c>
      <c r="H297" t="s">
        <v>361</v>
      </c>
    </row>
    <row r="298" spans="1:8" x14ac:dyDescent="0.3">
      <c r="A298" s="3">
        <v>45504</v>
      </c>
      <c r="B298" s="4" t="s">
        <v>906</v>
      </c>
      <c r="C298" s="4" t="s">
        <v>907</v>
      </c>
      <c r="D298" s="3">
        <v>45504</v>
      </c>
      <c r="E298" s="2">
        <v>0</v>
      </c>
      <c r="F298" s="2">
        <v>1060</v>
      </c>
      <c r="G298" s="2">
        <v>326149.78000000003</v>
      </c>
      <c r="H298" t="s">
        <v>367</v>
      </c>
    </row>
    <row r="299" spans="1:8" x14ac:dyDescent="0.3">
      <c r="A299" s="3">
        <v>45504</v>
      </c>
      <c r="B299" s="4" t="s">
        <v>908</v>
      </c>
      <c r="C299" s="4" t="s">
        <v>909</v>
      </c>
      <c r="D299" s="3">
        <v>45504</v>
      </c>
      <c r="E299" s="2">
        <v>8000</v>
      </c>
      <c r="F299" s="2">
        <v>0</v>
      </c>
      <c r="G299" s="2">
        <v>318149.78000000003</v>
      </c>
      <c r="H299" t="s">
        <v>1855</v>
      </c>
    </row>
    <row r="300" spans="1:8" x14ac:dyDescent="0.3">
      <c r="A300" s="3">
        <v>45504</v>
      </c>
      <c r="B300" s="4" t="s">
        <v>910</v>
      </c>
      <c r="C300" s="4" t="s">
        <v>911</v>
      </c>
      <c r="D300" s="3">
        <v>45504</v>
      </c>
      <c r="E300" s="2">
        <v>0</v>
      </c>
      <c r="F300" s="2">
        <v>115</v>
      </c>
      <c r="G300" s="2">
        <v>318264.78000000003</v>
      </c>
      <c r="H300" t="s">
        <v>367</v>
      </c>
    </row>
    <row r="301" spans="1:8" x14ac:dyDescent="0.3">
      <c r="A301" s="3">
        <v>45504</v>
      </c>
      <c r="B301" s="4" t="s">
        <v>912</v>
      </c>
      <c r="C301" s="4" t="s">
        <v>913</v>
      </c>
      <c r="D301" s="3">
        <v>45504</v>
      </c>
      <c r="E301" s="2">
        <v>0</v>
      </c>
      <c r="F301" s="2">
        <v>18000</v>
      </c>
      <c r="G301" s="2">
        <v>336264.78</v>
      </c>
      <c r="H301" t="s">
        <v>356</v>
      </c>
    </row>
    <row r="302" spans="1:8" x14ac:dyDescent="0.3">
      <c r="A302" s="3">
        <v>45504</v>
      </c>
      <c r="B302" s="4" t="s">
        <v>125</v>
      </c>
      <c r="C302" s="4" t="s">
        <v>914</v>
      </c>
      <c r="D302" s="3">
        <v>45504</v>
      </c>
      <c r="E302" s="2">
        <v>135587.03</v>
      </c>
      <c r="F302" s="2">
        <v>0</v>
      </c>
      <c r="G302" s="2">
        <v>200677.75</v>
      </c>
      <c r="H302" t="s">
        <v>361</v>
      </c>
    </row>
    <row r="303" spans="1:8" x14ac:dyDescent="0.3">
      <c r="A303" s="3">
        <v>45505</v>
      </c>
      <c r="B303" s="4" t="s">
        <v>128</v>
      </c>
      <c r="C303" s="4" t="s">
        <v>915</v>
      </c>
      <c r="D303" s="3">
        <v>45505</v>
      </c>
      <c r="E303" s="2">
        <v>0</v>
      </c>
      <c r="F303" s="2">
        <v>16063.34</v>
      </c>
      <c r="G303" s="2">
        <v>216741.09</v>
      </c>
      <c r="H303" t="s">
        <v>361</v>
      </c>
    </row>
    <row r="304" spans="1:8" x14ac:dyDescent="0.3">
      <c r="A304" s="3">
        <v>45505</v>
      </c>
      <c r="B304" s="4" t="s">
        <v>125</v>
      </c>
      <c r="C304" s="4" t="s">
        <v>916</v>
      </c>
      <c r="D304" s="3">
        <v>45505</v>
      </c>
      <c r="E304" s="2">
        <v>318.98</v>
      </c>
      <c r="F304" s="2">
        <v>0</v>
      </c>
      <c r="G304" s="2">
        <v>216422.11</v>
      </c>
      <c r="H304" t="s">
        <v>361</v>
      </c>
    </row>
    <row r="305" spans="1:8" x14ac:dyDescent="0.3">
      <c r="A305" s="3">
        <v>45505</v>
      </c>
      <c r="B305" s="4" t="s">
        <v>125</v>
      </c>
      <c r="C305" s="4" t="s">
        <v>917</v>
      </c>
      <c r="D305" s="3">
        <v>45505</v>
      </c>
      <c r="E305" s="2">
        <v>13071.05</v>
      </c>
      <c r="F305" s="2">
        <v>0</v>
      </c>
      <c r="G305" s="2">
        <v>203351.06</v>
      </c>
      <c r="H305" t="s">
        <v>361</v>
      </c>
    </row>
    <row r="306" spans="1:8" x14ac:dyDescent="0.3">
      <c r="A306" s="3">
        <v>45506</v>
      </c>
      <c r="B306" s="4" t="s">
        <v>128</v>
      </c>
      <c r="C306" s="4" t="s">
        <v>918</v>
      </c>
      <c r="D306" s="3">
        <v>45506</v>
      </c>
      <c r="E306" s="2">
        <v>0</v>
      </c>
      <c r="F306" s="2">
        <v>300.83999999999997</v>
      </c>
      <c r="G306" s="2">
        <v>203651.9</v>
      </c>
      <c r="H306" t="s">
        <v>361</v>
      </c>
    </row>
    <row r="307" spans="1:8" x14ac:dyDescent="0.3">
      <c r="A307" s="3">
        <v>45506</v>
      </c>
      <c r="B307" s="4" t="s">
        <v>128</v>
      </c>
      <c r="C307" s="4" t="s">
        <v>919</v>
      </c>
      <c r="D307" s="3">
        <v>45506</v>
      </c>
      <c r="E307" s="2">
        <v>0</v>
      </c>
      <c r="F307" s="2">
        <v>42742.64</v>
      </c>
      <c r="G307" s="2">
        <v>246394.54</v>
      </c>
      <c r="H307" t="s">
        <v>361</v>
      </c>
    </row>
    <row r="308" spans="1:8" x14ac:dyDescent="0.3">
      <c r="A308" s="3">
        <v>45506</v>
      </c>
      <c r="B308" s="4" t="s">
        <v>125</v>
      </c>
      <c r="C308" s="4" t="s">
        <v>920</v>
      </c>
      <c r="D308" s="3">
        <v>45506</v>
      </c>
      <c r="E308" s="2">
        <v>273.89</v>
      </c>
      <c r="F308" s="2">
        <v>0</v>
      </c>
      <c r="G308" s="2">
        <v>246120.65</v>
      </c>
      <c r="H308" t="s">
        <v>361</v>
      </c>
    </row>
    <row r="309" spans="1:8" x14ac:dyDescent="0.3">
      <c r="A309" s="3">
        <v>45506</v>
      </c>
      <c r="B309" s="4" t="s">
        <v>921</v>
      </c>
      <c r="C309" s="4" t="s">
        <v>922</v>
      </c>
      <c r="D309" s="3">
        <v>45506</v>
      </c>
      <c r="E309" s="2">
        <v>0</v>
      </c>
      <c r="F309" s="2">
        <v>80</v>
      </c>
      <c r="G309" s="2">
        <v>246200.65</v>
      </c>
      <c r="H309" t="s">
        <v>367</v>
      </c>
    </row>
    <row r="310" spans="1:8" x14ac:dyDescent="0.3">
      <c r="A310" s="3">
        <v>45507</v>
      </c>
      <c r="B310" s="4" t="s">
        <v>125</v>
      </c>
      <c r="C310" s="4" t="s">
        <v>923</v>
      </c>
      <c r="D310" s="3">
        <v>45507</v>
      </c>
      <c r="E310" s="2">
        <v>19684.34</v>
      </c>
      <c r="F310" s="2">
        <v>0</v>
      </c>
      <c r="G310" s="2">
        <v>226516.31</v>
      </c>
      <c r="H310" t="s">
        <v>361</v>
      </c>
    </row>
    <row r="311" spans="1:8" x14ac:dyDescent="0.3">
      <c r="A311" s="3">
        <v>45509</v>
      </c>
      <c r="B311" s="4" t="s">
        <v>128</v>
      </c>
      <c r="C311" s="4" t="s">
        <v>924</v>
      </c>
      <c r="D311" s="3">
        <v>45509</v>
      </c>
      <c r="E311" s="2">
        <v>0</v>
      </c>
      <c r="F311" s="2">
        <v>28798.57</v>
      </c>
      <c r="G311" s="2">
        <v>255314.88</v>
      </c>
      <c r="H311" t="s">
        <v>361</v>
      </c>
    </row>
    <row r="312" spans="1:8" x14ac:dyDescent="0.3">
      <c r="A312" s="3">
        <v>45509</v>
      </c>
      <c r="B312" s="4" t="s">
        <v>125</v>
      </c>
      <c r="C312" s="4" t="s">
        <v>925</v>
      </c>
      <c r="D312" s="3">
        <v>45509</v>
      </c>
      <c r="E312" s="2">
        <v>773.01</v>
      </c>
      <c r="F312" s="2">
        <v>0</v>
      </c>
      <c r="G312" s="2">
        <v>254541.87</v>
      </c>
      <c r="H312" t="s">
        <v>361</v>
      </c>
    </row>
    <row r="313" spans="1:8" x14ac:dyDescent="0.3">
      <c r="A313" s="3">
        <v>45509</v>
      </c>
      <c r="B313" s="4" t="s">
        <v>926</v>
      </c>
      <c r="C313" s="4" t="s">
        <v>927</v>
      </c>
      <c r="D313" s="3">
        <v>45509</v>
      </c>
      <c r="E313" s="2">
        <v>10000</v>
      </c>
      <c r="F313" s="2">
        <v>0</v>
      </c>
      <c r="G313" s="2">
        <v>244541.87</v>
      </c>
      <c r="H313" t="s">
        <v>1854</v>
      </c>
    </row>
    <row r="314" spans="1:8" x14ac:dyDescent="0.3">
      <c r="A314" s="3">
        <v>45509</v>
      </c>
      <c r="B314" s="4" t="s">
        <v>928</v>
      </c>
      <c r="C314" s="4" t="s">
        <v>929</v>
      </c>
      <c r="D314" s="3">
        <v>45509</v>
      </c>
      <c r="E314" s="2">
        <v>0</v>
      </c>
      <c r="F314" s="2">
        <v>140</v>
      </c>
      <c r="G314" s="2">
        <v>244681.87</v>
      </c>
      <c r="H314" t="s">
        <v>367</v>
      </c>
    </row>
    <row r="315" spans="1:8" x14ac:dyDescent="0.3">
      <c r="A315" s="3">
        <v>45509</v>
      </c>
      <c r="B315" s="4" t="s">
        <v>125</v>
      </c>
      <c r="C315" s="4" t="s">
        <v>930</v>
      </c>
      <c r="D315" s="3">
        <v>45509</v>
      </c>
      <c r="E315" s="2">
        <v>89156.99</v>
      </c>
      <c r="F315" s="2">
        <v>0</v>
      </c>
      <c r="G315" s="2">
        <v>155524.88</v>
      </c>
      <c r="H315" t="s">
        <v>361</v>
      </c>
    </row>
    <row r="316" spans="1:8" x14ac:dyDescent="0.3">
      <c r="A316" s="3">
        <v>45510</v>
      </c>
      <c r="B316" s="4" t="s">
        <v>128</v>
      </c>
      <c r="C316" s="4" t="s">
        <v>931</v>
      </c>
      <c r="D316" s="3">
        <v>45510</v>
      </c>
      <c r="E316" s="2">
        <v>0</v>
      </c>
      <c r="F316" s="2">
        <v>196424.07</v>
      </c>
      <c r="G316" s="2">
        <v>351948.95</v>
      </c>
      <c r="H316" t="s">
        <v>361</v>
      </c>
    </row>
    <row r="317" spans="1:8" x14ac:dyDescent="0.3">
      <c r="A317" s="3">
        <v>45510</v>
      </c>
      <c r="B317" s="4" t="s">
        <v>125</v>
      </c>
      <c r="C317" s="4" t="s">
        <v>932</v>
      </c>
      <c r="D317" s="3">
        <v>45510</v>
      </c>
      <c r="E317" s="2">
        <v>237.07</v>
      </c>
      <c r="F317" s="2">
        <v>0</v>
      </c>
      <c r="G317" s="2">
        <v>351711.88</v>
      </c>
      <c r="H317" t="s">
        <v>361</v>
      </c>
    </row>
    <row r="318" spans="1:8" x14ac:dyDescent="0.3">
      <c r="A318" s="3">
        <v>45510</v>
      </c>
      <c r="B318" s="4" t="s">
        <v>125</v>
      </c>
      <c r="C318" s="4" t="s">
        <v>933</v>
      </c>
      <c r="D318" s="3">
        <v>45510</v>
      </c>
      <c r="E318" s="2">
        <v>83547.61</v>
      </c>
      <c r="F318" s="2">
        <v>0</v>
      </c>
      <c r="G318" s="2">
        <v>268164.27</v>
      </c>
      <c r="H318" t="s">
        <v>361</v>
      </c>
    </row>
    <row r="319" spans="1:8" x14ac:dyDescent="0.3">
      <c r="A319" s="3">
        <v>45511</v>
      </c>
      <c r="B319" s="4" t="s">
        <v>125</v>
      </c>
      <c r="C319" s="4" t="s">
        <v>934</v>
      </c>
      <c r="D319" s="3">
        <v>45511</v>
      </c>
      <c r="E319" s="2">
        <v>263.57</v>
      </c>
      <c r="F319" s="2">
        <v>0</v>
      </c>
      <c r="G319" s="2">
        <v>267900.7</v>
      </c>
      <c r="H319" t="s">
        <v>361</v>
      </c>
    </row>
    <row r="320" spans="1:8" x14ac:dyDescent="0.3">
      <c r="A320" s="3">
        <v>45512</v>
      </c>
      <c r="B320" s="4" t="s">
        <v>128</v>
      </c>
      <c r="C320" s="4" t="s">
        <v>935</v>
      </c>
      <c r="D320" s="3">
        <v>45512</v>
      </c>
      <c r="E320" s="2">
        <v>0</v>
      </c>
      <c r="F320" s="2">
        <v>26745.15</v>
      </c>
      <c r="G320" s="2">
        <v>294645.84999999998</v>
      </c>
      <c r="H320" t="s">
        <v>361</v>
      </c>
    </row>
    <row r="321" spans="1:8" x14ac:dyDescent="0.3">
      <c r="A321" s="3">
        <v>45512</v>
      </c>
      <c r="B321" s="4" t="s">
        <v>125</v>
      </c>
      <c r="C321" s="4" t="s">
        <v>936</v>
      </c>
      <c r="D321" s="3">
        <v>45512</v>
      </c>
      <c r="E321" s="2">
        <v>321.2</v>
      </c>
      <c r="F321" s="2">
        <v>0</v>
      </c>
      <c r="G321" s="2">
        <v>294324.65000000002</v>
      </c>
      <c r="H321" t="s">
        <v>361</v>
      </c>
    </row>
    <row r="322" spans="1:8" x14ac:dyDescent="0.3">
      <c r="A322" s="3">
        <v>45512</v>
      </c>
      <c r="B322" s="4" t="s">
        <v>125</v>
      </c>
      <c r="C322" s="4" t="s">
        <v>937</v>
      </c>
      <c r="D322" s="3">
        <v>45512</v>
      </c>
      <c r="E322" s="2">
        <v>31608.73</v>
      </c>
      <c r="F322" s="2">
        <v>0</v>
      </c>
      <c r="G322" s="2">
        <v>262715.92</v>
      </c>
      <c r="H322" t="s">
        <v>361</v>
      </c>
    </row>
    <row r="323" spans="1:8" x14ac:dyDescent="0.3">
      <c r="A323" s="3">
        <v>45513</v>
      </c>
      <c r="B323" s="4" t="s">
        <v>125</v>
      </c>
      <c r="C323" s="4" t="s">
        <v>938</v>
      </c>
      <c r="D323" s="3">
        <v>45513</v>
      </c>
      <c r="E323" s="2">
        <v>317.58999999999997</v>
      </c>
      <c r="F323" s="2">
        <v>0</v>
      </c>
      <c r="G323" s="2">
        <v>262398.33</v>
      </c>
      <c r="H323" t="s">
        <v>361</v>
      </c>
    </row>
    <row r="324" spans="1:8" x14ac:dyDescent="0.3">
      <c r="A324" s="3">
        <v>45513</v>
      </c>
      <c r="B324" s="4" t="s">
        <v>939</v>
      </c>
      <c r="C324" s="4" t="s">
        <v>940</v>
      </c>
      <c r="D324" s="3">
        <v>45513</v>
      </c>
      <c r="E324" s="2">
        <v>0</v>
      </c>
      <c r="F324" s="2">
        <v>3528</v>
      </c>
      <c r="G324" s="2">
        <v>265926.33</v>
      </c>
      <c r="H324" t="s">
        <v>367</v>
      </c>
    </row>
    <row r="325" spans="1:8" x14ac:dyDescent="0.3">
      <c r="A325" s="3">
        <v>45513</v>
      </c>
      <c r="B325" s="4" t="s">
        <v>941</v>
      </c>
      <c r="C325" s="4" t="s">
        <v>942</v>
      </c>
      <c r="D325" s="3">
        <v>45513</v>
      </c>
      <c r="E325" s="2">
        <v>0</v>
      </c>
      <c r="F325" s="2">
        <v>5</v>
      </c>
      <c r="G325" s="2">
        <v>265931.33</v>
      </c>
      <c r="H325" t="s">
        <v>367</v>
      </c>
    </row>
    <row r="326" spans="1:8" x14ac:dyDescent="0.3">
      <c r="A326" s="3">
        <v>45516</v>
      </c>
      <c r="B326" s="4" t="s">
        <v>128</v>
      </c>
      <c r="C326" s="4" t="s">
        <v>943</v>
      </c>
      <c r="D326" s="3">
        <v>45516</v>
      </c>
      <c r="E326" s="2">
        <v>0</v>
      </c>
      <c r="F326" s="2">
        <v>4570.16</v>
      </c>
      <c r="G326" s="2">
        <v>270501.49</v>
      </c>
      <c r="H326" t="s">
        <v>361</v>
      </c>
    </row>
    <row r="327" spans="1:8" x14ac:dyDescent="0.3">
      <c r="A327" s="3">
        <v>45516</v>
      </c>
      <c r="B327" s="4" t="s">
        <v>944</v>
      </c>
      <c r="C327" s="4" t="s">
        <v>945</v>
      </c>
      <c r="D327" s="3">
        <v>45516</v>
      </c>
      <c r="E327" s="2">
        <v>0</v>
      </c>
      <c r="F327" s="2">
        <v>2340</v>
      </c>
      <c r="G327" s="2">
        <v>272841.49</v>
      </c>
      <c r="H327" t="s">
        <v>367</v>
      </c>
    </row>
    <row r="328" spans="1:8" x14ac:dyDescent="0.3">
      <c r="A328" s="3">
        <v>45516</v>
      </c>
      <c r="B328" s="4" t="s">
        <v>146</v>
      </c>
      <c r="C328" s="4" t="s">
        <v>946</v>
      </c>
      <c r="D328" s="3">
        <v>45516</v>
      </c>
      <c r="E328" s="2">
        <v>10000</v>
      </c>
      <c r="F328" s="2">
        <v>0</v>
      </c>
      <c r="G328" s="2">
        <v>262841.49</v>
      </c>
      <c r="H328" t="s">
        <v>1854</v>
      </c>
    </row>
    <row r="329" spans="1:8" x14ac:dyDescent="0.3">
      <c r="A329" s="3">
        <v>45516</v>
      </c>
      <c r="B329" s="4" t="s">
        <v>947</v>
      </c>
      <c r="C329" s="4" t="s">
        <v>140</v>
      </c>
      <c r="D329" s="3">
        <v>45516</v>
      </c>
      <c r="E329" s="2">
        <v>3074.36</v>
      </c>
      <c r="F329" s="2">
        <v>0</v>
      </c>
      <c r="G329" s="2">
        <v>259767.13</v>
      </c>
      <c r="H329" t="s">
        <v>362</v>
      </c>
    </row>
    <row r="330" spans="1:8" x14ac:dyDescent="0.3">
      <c r="A330" s="3">
        <v>45516</v>
      </c>
      <c r="B330" s="4" t="s">
        <v>125</v>
      </c>
      <c r="C330" s="4" t="s">
        <v>948</v>
      </c>
      <c r="D330" s="3">
        <v>45516</v>
      </c>
      <c r="E330" s="2">
        <v>988.29</v>
      </c>
      <c r="F330" s="2">
        <v>0</v>
      </c>
      <c r="G330" s="2">
        <v>258778.84</v>
      </c>
      <c r="H330" t="s">
        <v>361</v>
      </c>
    </row>
    <row r="331" spans="1:8" x14ac:dyDescent="0.3">
      <c r="A331" s="3">
        <v>45516</v>
      </c>
      <c r="B331" s="4" t="s">
        <v>949</v>
      </c>
      <c r="C331" s="4" t="s">
        <v>950</v>
      </c>
      <c r="D331" s="3">
        <v>45516</v>
      </c>
      <c r="E331" s="2">
        <v>0</v>
      </c>
      <c r="F331" s="2">
        <v>435</v>
      </c>
      <c r="G331" s="2">
        <v>259213.84</v>
      </c>
      <c r="H331" t="s">
        <v>367</v>
      </c>
    </row>
    <row r="332" spans="1:8" x14ac:dyDescent="0.3">
      <c r="A332" s="3">
        <v>45516</v>
      </c>
      <c r="B332" s="4" t="s">
        <v>125</v>
      </c>
      <c r="C332" s="4" t="s">
        <v>951</v>
      </c>
      <c r="D332" s="3">
        <v>45516</v>
      </c>
      <c r="E332" s="2">
        <v>42123.89</v>
      </c>
      <c r="F332" s="2">
        <v>0</v>
      </c>
      <c r="G332" s="2">
        <v>217089.95</v>
      </c>
      <c r="H332" t="s">
        <v>361</v>
      </c>
    </row>
    <row r="333" spans="1:8" x14ac:dyDescent="0.3">
      <c r="A333" s="3">
        <v>45517</v>
      </c>
      <c r="B333" s="4" t="s">
        <v>128</v>
      </c>
      <c r="C333" s="4" t="s">
        <v>952</v>
      </c>
      <c r="D333" s="3">
        <v>45517</v>
      </c>
      <c r="E333" s="2">
        <v>0</v>
      </c>
      <c r="F333" s="2">
        <v>3068.94</v>
      </c>
      <c r="G333" s="2">
        <v>220158.89</v>
      </c>
      <c r="H333" t="s">
        <v>361</v>
      </c>
    </row>
    <row r="334" spans="1:8" x14ac:dyDescent="0.3">
      <c r="A334" s="3">
        <v>45517</v>
      </c>
      <c r="B334" s="4" t="s">
        <v>125</v>
      </c>
      <c r="C334" s="4" t="s">
        <v>953</v>
      </c>
      <c r="D334" s="3">
        <v>45517</v>
      </c>
      <c r="E334" s="2">
        <v>331.06</v>
      </c>
      <c r="F334" s="2">
        <v>0</v>
      </c>
      <c r="G334" s="2">
        <v>219827.83</v>
      </c>
      <c r="H334" t="s">
        <v>361</v>
      </c>
    </row>
    <row r="335" spans="1:8" x14ac:dyDescent="0.3">
      <c r="A335" s="3">
        <v>45517</v>
      </c>
      <c r="B335" s="4" t="s">
        <v>125</v>
      </c>
      <c r="C335" s="4" t="s">
        <v>954</v>
      </c>
      <c r="D335" s="3">
        <v>45517</v>
      </c>
      <c r="E335" s="2">
        <v>59950.79</v>
      </c>
      <c r="F335" s="2">
        <v>0</v>
      </c>
      <c r="G335" s="2">
        <v>159877.04</v>
      </c>
      <c r="H335" t="s">
        <v>361</v>
      </c>
    </row>
    <row r="336" spans="1:8" x14ac:dyDescent="0.3">
      <c r="A336" s="3">
        <v>45518</v>
      </c>
      <c r="B336" s="4" t="s">
        <v>128</v>
      </c>
      <c r="C336" s="4" t="s">
        <v>955</v>
      </c>
      <c r="D336" s="3">
        <v>45518</v>
      </c>
      <c r="E336" s="2">
        <v>0</v>
      </c>
      <c r="F336" s="2">
        <v>20839.580000000002</v>
      </c>
      <c r="G336" s="2">
        <v>180716.62</v>
      </c>
      <c r="H336" t="s">
        <v>361</v>
      </c>
    </row>
    <row r="337" spans="1:8" x14ac:dyDescent="0.3">
      <c r="A337" s="3">
        <v>45518</v>
      </c>
      <c r="B337" s="4" t="s">
        <v>125</v>
      </c>
      <c r="C337" s="4" t="s">
        <v>956</v>
      </c>
      <c r="D337" s="3">
        <v>45518</v>
      </c>
      <c r="E337" s="2">
        <v>310.8</v>
      </c>
      <c r="F337" s="2">
        <v>0</v>
      </c>
      <c r="G337" s="2">
        <v>180405.82</v>
      </c>
      <c r="H337" t="s">
        <v>361</v>
      </c>
    </row>
    <row r="338" spans="1:8" x14ac:dyDescent="0.3">
      <c r="A338" s="3">
        <v>45518</v>
      </c>
      <c r="B338" s="4" t="s">
        <v>125</v>
      </c>
      <c r="C338" s="4" t="s">
        <v>957</v>
      </c>
      <c r="D338" s="3">
        <v>45518</v>
      </c>
      <c r="E338" s="2">
        <v>48158.64</v>
      </c>
      <c r="F338" s="2">
        <v>0</v>
      </c>
      <c r="G338" s="2">
        <v>132247.18</v>
      </c>
      <c r="H338" t="s">
        <v>361</v>
      </c>
    </row>
    <row r="339" spans="1:8" x14ac:dyDescent="0.3">
      <c r="A339" s="3">
        <v>45518</v>
      </c>
      <c r="B339" s="4" t="s">
        <v>125</v>
      </c>
      <c r="C339" s="4" t="s">
        <v>958</v>
      </c>
      <c r="D339" s="3">
        <v>45518</v>
      </c>
      <c r="E339" s="2">
        <v>41408.53</v>
      </c>
      <c r="F339" s="2">
        <v>0</v>
      </c>
      <c r="G339" s="2">
        <v>90838.65</v>
      </c>
      <c r="H339" t="s">
        <v>361</v>
      </c>
    </row>
    <row r="340" spans="1:8" x14ac:dyDescent="0.3">
      <c r="A340" s="3">
        <v>45519</v>
      </c>
      <c r="B340" s="4" t="s">
        <v>959</v>
      </c>
      <c r="C340" s="4" t="s">
        <v>960</v>
      </c>
      <c r="D340" s="3">
        <v>45519</v>
      </c>
      <c r="E340" s="2">
        <v>0</v>
      </c>
      <c r="F340" s="2">
        <v>88.8</v>
      </c>
      <c r="G340" s="2">
        <v>90927.45</v>
      </c>
      <c r="H340" t="s">
        <v>367</v>
      </c>
    </row>
    <row r="341" spans="1:8" x14ac:dyDescent="0.3">
      <c r="A341" s="3">
        <v>45520</v>
      </c>
      <c r="B341" s="4" t="s">
        <v>146</v>
      </c>
      <c r="C341" s="4" t="s">
        <v>961</v>
      </c>
      <c r="D341" s="3">
        <v>45520</v>
      </c>
      <c r="E341" s="2">
        <v>10000</v>
      </c>
      <c r="F341" s="2">
        <v>0</v>
      </c>
      <c r="G341" s="2">
        <v>80927.45</v>
      </c>
      <c r="H341" t="s">
        <v>1854</v>
      </c>
    </row>
    <row r="342" spans="1:8" x14ac:dyDescent="0.3">
      <c r="A342" s="3">
        <v>45520</v>
      </c>
      <c r="B342" s="4" t="s">
        <v>125</v>
      </c>
      <c r="C342" s="4" t="s">
        <v>962</v>
      </c>
      <c r="D342" s="3">
        <v>45520</v>
      </c>
      <c r="E342" s="2">
        <v>672.28</v>
      </c>
      <c r="F342" s="2">
        <v>0</v>
      </c>
      <c r="G342" s="2">
        <v>80255.17</v>
      </c>
      <c r="H342" t="s">
        <v>361</v>
      </c>
    </row>
    <row r="343" spans="1:8" x14ac:dyDescent="0.3">
      <c r="A343" s="3">
        <v>45520</v>
      </c>
      <c r="B343" s="4" t="s">
        <v>963</v>
      </c>
      <c r="C343" s="4" t="s">
        <v>964</v>
      </c>
      <c r="D343" s="3">
        <v>45520</v>
      </c>
      <c r="E343" s="2">
        <v>0</v>
      </c>
      <c r="F343" s="2">
        <v>630</v>
      </c>
      <c r="G343" s="2">
        <v>80885.17</v>
      </c>
      <c r="H343" t="s">
        <v>367</v>
      </c>
    </row>
    <row r="344" spans="1:8" x14ac:dyDescent="0.3">
      <c r="A344" s="3">
        <v>45520</v>
      </c>
      <c r="B344" s="4" t="s">
        <v>965</v>
      </c>
      <c r="C344" s="4" t="s">
        <v>966</v>
      </c>
      <c r="D344" s="3">
        <v>45520</v>
      </c>
      <c r="E344" s="2">
        <v>0</v>
      </c>
      <c r="F344" s="2">
        <v>1080</v>
      </c>
      <c r="G344" s="2">
        <v>81965.17</v>
      </c>
      <c r="H344" t="s">
        <v>367</v>
      </c>
    </row>
    <row r="345" spans="1:8" x14ac:dyDescent="0.3">
      <c r="A345" s="3">
        <v>45521</v>
      </c>
      <c r="B345" s="4" t="s">
        <v>967</v>
      </c>
      <c r="C345" s="4" t="s">
        <v>968</v>
      </c>
      <c r="D345" s="3">
        <v>45521</v>
      </c>
      <c r="E345" s="2">
        <v>295</v>
      </c>
      <c r="F345" s="2">
        <v>0</v>
      </c>
      <c r="G345" s="2">
        <v>81670.17</v>
      </c>
      <c r="H345" t="s">
        <v>365</v>
      </c>
    </row>
    <row r="346" spans="1:8" x14ac:dyDescent="0.3">
      <c r="A346" s="3">
        <v>45522</v>
      </c>
      <c r="B346" s="4" t="s">
        <v>969</v>
      </c>
      <c r="C346" s="4" t="s">
        <v>970</v>
      </c>
      <c r="D346" s="3">
        <v>45522</v>
      </c>
      <c r="E346" s="2">
        <v>0</v>
      </c>
      <c r="F346" s="2">
        <v>100000</v>
      </c>
      <c r="G346" s="2">
        <v>181670.17</v>
      </c>
      <c r="H346" t="s">
        <v>1856</v>
      </c>
    </row>
    <row r="347" spans="1:8" x14ac:dyDescent="0.3">
      <c r="A347" s="3">
        <v>45523</v>
      </c>
      <c r="B347" s="4" t="s">
        <v>128</v>
      </c>
      <c r="C347" s="4" t="s">
        <v>971</v>
      </c>
      <c r="D347" s="3">
        <v>45523</v>
      </c>
      <c r="E347" s="2">
        <v>0</v>
      </c>
      <c r="F347" s="2">
        <v>14196.86</v>
      </c>
      <c r="G347" s="2">
        <v>195867.03</v>
      </c>
      <c r="H347" t="s">
        <v>361</v>
      </c>
    </row>
    <row r="348" spans="1:8" x14ac:dyDescent="0.3">
      <c r="A348" s="3">
        <v>45523</v>
      </c>
      <c r="B348" s="4" t="s">
        <v>128</v>
      </c>
      <c r="C348" s="4" t="s">
        <v>972</v>
      </c>
      <c r="D348" s="3">
        <v>45523</v>
      </c>
      <c r="E348" s="2">
        <v>0</v>
      </c>
      <c r="F348" s="2">
        <v>37084.78</v>
      </c>
      <c r="G348" s="2">
        <v>232951.81</v>
      </c>
      <c r="H348" t="s">
        <v>361</v>
      </c>
    </row>
    <row r="349" spans="1:8" x14ac:dyDescent="0.3">
      <c r="A349" s="3">
        <v>45523</v>
      </c>
      <c r="B349" s="4" t="s">
        <v>125</v>
      </c>
      <c r="C349" s="4" t="s">
        <v>973</v>
      </c>
      <c r="D349" s="3">
        <v>45523</v>
      </c>
      <c r="E349" s="2">
        <v>1121.76</v>
      </c>
      <c r="F349" s="2">
        <v>0</v>
      </c>
      <c r="G349" s="2">
        <v>231830.05</v>
      </c>
      <c r="H349" t="s">
        <v>361</v>
      </c>
    </row>
    <row r="350" spans="1:8" x14ac:dyDescent="0.3">
      <c r="A350" s="3">
        <v>45524</v>
      </c>
      <c r="B350" s="4" t="s">
        <v>128</v>
      </c>
      <c r="C350" s="4" t="s">
        <v>974</v>
      </c>
      <c r="D350" s="3">
        <v>45524</v>
      </c>
      <c r="E350" s="2">
        <v>0</v>
      </c>
      <c r="F350" s="2">
        <v>119894.24</v>
      </c>
      <c r="G350" s="2">
        <v>351724.29</v>
      </c>
      <c r="H350" t="s">
        <v>361</v>
      </c>
    </row>
    <row r="351" spans="1:8" x14ac:dyDescent="0.3">
      <c r="A351" s="3">
        <v>45524</v>
      </c>
      <c r="B351" s="4" t="s">
        <v>146</v>
      </c>
      <c r="C351" s="4" t="s">
        <v>975</v>
      </c>
      <c r="D351" s="3">
        <v>45524</v>
      </c>
      <c r="E351" s="2">
        <v>10000</v>
      </c>
      <c r="F351" s="2">
        <v>0</v>
      </c>
      <c r="G351" s="2">
        <v>341724.29</v>
      </c>
      <c r="H351" t="s">
        <v>1854</v>
      </c>
    </row>
    <row r="352" spans="1:8" x14ac:dyDescent="0.3">
      <c r="A352" s="3">
        <v>45524</v>
      </c>
      <c r="B352" s="4" t="s">
        <v>125</v>
      </c>
      <c r="C352" s="4" t="s">
        <v>976</v>
      </c>
      <c r="D352" s="3">
        <v>45524</v>
      </c>
      <c r="E352" s="2">
        <v>379.44</v>
      </c>
      <c r="F352" s="2">
        <v>0</v>
      </c>
      <c r="G352" s="2">
        <v>341344.85</v>
      </c>
      <c r="H352" t="s">
        <v>361</v>
      </c>
    </row>
    <row r="353" spans="1:8" x14ac:dyDescent="0.3">
      <c r="A353" s="3">
        <v>45524</v>
      </c>
      <c r="B353" s="4" t="s">
        <v>125</v>
      </c>
      <c r="C353" s="4" t="s">
        <v>977</v>
      </c>
      <c r="D353" s="3">
        <v>45524</v>
      </c>
      <c r="E353" s="2">
        <v>22440.959999999999</v>
      </c>
      <c r="F353" s="2">
        <v>0</v>
      </c>
      <c r="G353" s="2">
        <v>318903.89</v>
      </c>
      <c r="H353" t="s">
        <v>361</v>
      </c>
    </row>
    <row r="354" spans="1:8" x14ac:dyDescent="0.3">
      <c r="A354" s="3">
        <v>45524</v>
      </c>
      <c r="B354" s="4" t="s">
        <v>125</v>
      </c>
      <c r="C354" s="4" t="s">
        <v>978</v>
      </c>
      <c r="D354" s="3">
        <v>45524</v>
      </c>
      <c r="E354" s="2">
        <v>2813.96</v>
      </c>
      <c r="F354" s="2">
        <v>0</v>
      </c>
      <c r="G354" s="2">
        <v>316089.93</v>
      </c>
      <c r="H354" t="s">
        <v>361</v>
      </c>
    </row>
    <row r="355" spans="1:8" x14ac:dyDescent="0.3">
      <c r="A355" s="3">
        <v>45525</v>
      </c>
      <c r="B355" s="4" t="s">
        <v>979</v>
      </c>
      <c r="C355" s="4" t="s">
        <v>980</v>
      </c>
      <c r="D355" s="3">
        <v>45525</v>
      </c>
      <c r="E355" s="2">
        <v>0</v>
      </c>
      <c r="F355" s="2">
        <v>200000</v>
      </c>
      <c r="G355" s="2">
        <v>516089.93</v>
      </c>
      <c r="H355" t="s">
        <v>364</v>
      </c>
    </row>
    <row r="356" spans="1:8" x14ac:dyDescent="0.3">
      <c r="A356" s="3">
        <v>45525</v>
      </c>
      <c r="B356" s="4" t="s">
        <v>125</v>
      </c>
      <c r="C356" s="4" t="s">
        <v>981</v>
      </c>
      <c r="D356" s="3">
        <v>45525</v>
      </c>
      <c r="E356" s="2">
        <v>250.16</v>
      </c>
      <c r="F356" s="2">
        <v>0</v>
      </c>
      <c r="G356" s="2">
        <v>515839.77</v>
      </c>
      <c r="H356" t="s">
        <v>361</v>
      </c>
    </row>
    <row r="357" spans="1:8" x14ac:dyDescent="0.3">
      <c r="A357" s="3">
        <v>45525</v>
      </c>
      <c r="B357" s="4" t="s">
        <v>982</v>
      </c>
      <c r="C357" s="4" t="s">
        <v>983</v>
      </c>
      <c r="D357" s="3">
        <v>45525</v>
      </c>
      <c r="E357" s="2">
        <v>0</v>
      </c>
      <c r="F357" s="2">
        <v>1174.31</v>
      </c>
      <c r="G357" s="2">
        <v>517014.08</v>
      </c>
      <c r="H357" t="s">
        <v>369</v>
      </c>
    </row>
    <row r="358" spans="1:8" x14ac:dyDescent="0.3">
      <c r="A358" s="3">
        <v>45526</v>
      </c>
      <c r="B358" s="4" t="s">
        <v>128</v>
      </c>
      <c r="C358" s="4" t="s">
        <v>984</v>
      </c>
      <c r="D358" s="3">
        <v>45526</v>
      </c>
      <c r="E358" s="2">
        <v>0</v>
      </c>
      <c r="F358" s="2">
        <v>9096.3700000000008</v>
      </c>
      <c r="G358" s="2">
        <v>526110.44999999995</v>
      </c>
      <c r="H358" t="s">
        <v>361</v>
      </c>
    </row>
    <row r="359" spans="1:8" x14ac:dyDescent="0.3">
      <c r="A359" s="3">
        <v>45526</v>
      </c>
      <c r="B359" s="4" t="s">
        <v>125</v>
      </c>
      <c r="C359" s="4" t="s">
        <v>985</v>
      </c>
      <c r="D359" s="3">
        <v>45526</v>
      </c>
      <c r="E359" s="2">
        <v>250.16</v>
      </c>
      <c r="F359" s="2">
        <v>0</v>
      </c>
      <c r="G359" s="2">
        <v>525860.29</v>
      </c>
      <c r="H359" t="s">
        <v>361</v>
      </c>
    </row>
    <row r="360" spans="1:8" x14ac:dyDescent="0.3">
      <c r="A360" s="3">
        <v>45526</v>
      </c>
      <c r="B360" s="4" t="s">
        <v>986</v>
      </c>
      <c r="C360" s="4" t="s">
        <v>987</v>
      </c>
      <c r="D360" s="3">
        <v>45526</v>
      </c>
      <c r="E360" s="2">
        <v>200000</v>
      </c>
      <c r="F360" s="2">
        <v>0</v>
      </c>
      <c r="G360" s="2">
        <v>325860.28999999998</v>
      </c>
      <c r="H360" t="s">
        <v>1852</v>
      </c>
    </row>
    <row r="361" spans="1:8" x14ac:dyDescent="0.3">
      <c r="A361" s="3">
        <v>45526</v>
      </c>
      <c r="B361" s="4" t="s">
        <v>125</v>
      </c>
      <c r="C361" s="4" t="s">
        <v>988</v>
      </c>
      <c r="D361" s="3">
        <v>45526</v>
      </c>
      <c r="E361" s="2">
        <v>35.32</v>
      </c>
      <c r="F361" s="2">
        <v>0</v>
      </c>
      <c r="G361" s="2">
        <v>325824.96999999997</v>
      </c>
      <c r="H361" t="s">
        <v>361</v>
      </c>
    </row>
    <row r="362" spans="1:8" x14ac:dyDescent="0.3">
      <c r="A362" s="3">
        <v>45527</v>
      </c>
      <c r="B362" s="4" t="s">
        <v>125</v>
      </c>
      <c r="C362" s="4" t="s">
        <v>989</v>
      </c>
      <c r="D362" s="3">
        <v>45527</v>
      </c>
      <c r="E362" s="2">
        <v>244.69</v>
      </c>
      <c r="F362" s="2">
        <v>0</v>
      </c>
      <c r="G362" s="2">
        <v>325580.28000000003</v>
      </c>
      <c r="H362" t="s">
        <v>361</v>
      </c>
    </row>
    <row r="363" spans="1:8" x14ac:dyDescent="0.3">
      <c r="A363" s="3">
        <v>45527</v>
      </c>
      <c r="B363" s="4" t="s">
        <v>990</v>
      </c>
      <c r="C363" s="4" t="s">
        <v>991</v>
      </c>
      <c r="D363" s="3">
        <v>45527</v>
      </c>
      <c r="E363" s="2">
        <v>0</v>
      </c>
      <c r="F363" s="2">
        <v>450</v>
      </c>
      <c r="G363" s="2">
        <v>326030.28000000003</v>
      </c>
      <c r="H363" t="s">
        <v>367</v>
      </c>
    </row>
    <row r="364" spans="1:8" x14ac:dyDescent="0.3">
      <c r="A364" s="3">
        <v>45527</v>
      </c>
      <c r="B364" s="4" t="s">
        <v>125</v>
      </c>
      <c r="C364" s="4" t="s">
        <v>992</v>
      </c>
      <c r="D364" s="3">
        <v>45527</v>
      </c>
      <c r="E364" s="2">
        <v>32495.56</v>
      </c>
      <c r="F364" s="2">
        <v>0</v>
      </c>
      <c r="G364" s="2">
        <v>293534.71999999997</v>
      </c>
      <c r="H364" t="s">
        <v>361</v>
      </c>
    </row>
    <row r="365" spans="1:8" x14ac:dyDescent="0.3">
      <c r="A365" s="3">
        <v>45527</v>
      </c>
      <c r="B365" s="4" t="s">
        <v>125</v>
      </c>
      <c r="C365" s="4" t="s">
        <v>993</v>
      </c>
      <c r="D365" s="3">
        <v>45527</v>
      </c>
      <c r="E365" s="2">
        <v>15793.05</v>
      </c>
      <c r="F365" s="2">
        <v>0</v>
      </c>
      <c r="G365" s="2">
        <v>277741.67</v>
      </c>
      <c r="H365" t="s">
        <v>361</v>
      </c>
    </row>
    <row r="366" spans="1:8" x14ac:dyDescent="0.3">
      <c r="A366" s="3">
        <v>45530</v>
      </c>
      <c r="B366" s="4" t="s">
        <v>125</v>
      </c>
      <c r="C366" s="4" t="s">
        <v>994</v>
      </c>
      <c r="D366" s="3">
        <v>45530</v>
      </c>
      <c r="E366" s="2">
        <v>717.18</v>
      </c>
      <c r="F366" s="2">
        <v>0</v>
      </c>
      <c r="G366" s="2">
        <v>277024.49</v>
      </c>
      <c r="H366" t="s">
        <v>361</v>
      </c>
    </row>
    <row r="367" spans="1:8" x14ac:dyDescent="0.3">
      <c r="A367" s="3">
        <v>45530</v>
      </c>
      <c r="B367" s="4" t="s">
        <v>125</v>
      </c>
      <c r="C367" s="4" t="s">
        <v>995</v>
      </c>
      <c r="D367" s="3">
        <v>45530</v>
      </c>
      <c r="E367" s="2">
        <v>41276.239999999998</v>
      </c>
      <c r="F367" s="2">
        <v>0</v>
      </c>
      <c r="G367" s="2">
        <v>235748.25</v>
      </c>
      <c r="H367" t="s">
        <v>361</v>
      </c>
    </row>
    <row r="368" spans="1:8" x14ac:dyDescent="0.3">
      <c r="A368" s="3">
        <v>45531</v>
      </c>
      <c r="B368" s="4" t="s">
        <v>128</v>
      </c>
      <c r="C368" s="4" t="s">
        <v>996</v>
      </c>
      <c r="D368" s="3">
        <v>45531</v>
      </c>
      <c r="E368" s="2">
        <v>0</v>
      </c>
      <c r="F368" s="2">
        <v>232.32</v>
      </c>
      <c r="G368" s="2">
        <v>235980.57</v>
      </c>
      <c r="H368" t="s">
        <v>361</v>
      </c>
    </row>
    <row r="369" spans="1:8" x14ac:dyDescent="0.3">
      <c r="A369" s="3">
        <v>45531</v>
      </c>
      <c r="B369" s="4" t="s">
        <v>128</v>
      </c>
      <c r="C369" s="4" t="s">
        <v>997</v>
      </c>
      <c r="D369" s="3">
        <v>45531</v>
      </c>
      <c r="E369" s="2">
        <v>0</v>
      </c>
      <c r="F369" s="2">
        <v>57259.22</v>
      </c>
      <c r="G369" s="2">
        <v>293239.78999999998</v>
      </c>
      <c r="H369" t="s">
        <v>361</v>
      </c>
    </row>
    <row r="370" spans="1:8" x14ac:dyDescent="0.3">
      <c r="A370" s="3">
        <v>45531</v>
      </c>
      <c r="B370" s="4" t="s">
        <v>998</v>
      </c>
      <c r="C370" s="4" t="s">
        <v>999</v>
      </c>
      <c r="D370" s="3">
        <v>45531</v>
      </c>
      <c r="E370" s="2">
        <v>0</v>
      </c>
      <c r="F370" s="2">
        <v>24.5</v>
      </c>
      <c r="G370" s="2">
        <v>293264.28999999998</v>
      </c>
      <c r="H370" t="s">
        <v>367</v>
      </c>
    </row>
    <row r="371" spans="1:8" x14ac:dyDescent="0.3">
      <c r="A371" s="3">
        <v>45531</v>
      </c>
      <c r="B371" s="4" t="s">
        <v>125</v>
      </c>
      <c r="C371" s="4" t="s">
        <v>1000</v>
      </c>
      <c r="D371" s="3">
        <v>45531</v>
      </c>
      <c r="E371" s="2">
        <v>235.79</v>
      </c>
      <c r="F371" s="2">
        <v>0</v>
      </c>
      <c r="G371" s="2">
        <v>293028.5</v>
      </c>
      <c r="H371" t="s">
        <v>361</v>
      </c>
    </row>
    <row r="372" spans="1:8" x14ac:dyDescent="0.3">
      <c r="A372" s="3">
        <v>45531</v>
      </c>
      <c r="B372" s="4" t="s">
        <v>1001</v>
      </c>
      <c r="C372" s="4" t="s">
        <v>1002</v>
      </c>
      <c r="D372" s="3">
        <v>45531</v>
      </c>
      <c r="E372" s="2">
        <v>0</v>
      </c>
      <c r="F372" s="2">
        <v>402.5</v>
      </c>
      <c r="G372" s="2">
        <v>293431</v>
      </c>
      <c r="H372" t="s">
        <v>367</v>
      </c>
    </row>
    <row r="373" spans="1:8" x14ac:dyDescent="0.3">
      <c r="A373" s="3">
        <v>45531</v>
      </c>
      <c r="B373" s="4" t="s">
        <v>125</v>
      </c>
      <c r="C373" s="4" t="s">
        <v>1003</v>
      </c>
      <c r="D373" s="3">
        <v>45531</v>
      </c>
      <c r="E373" s="2">
        <v>33855.01</v>
      </c>
      <c r="F373" s="2">
        <v>0</v>
      </c>
      <c r="G373" s="2">
        <v>259575.99</v>
      </c>
      <c r="H373" t="s">
        <v>361</v>
      </c>
    </row>
    <row r="374" spans="1:8" x14ac:dyDescent="0.3">
      <c r="A374" s="3">
        <v>45532</v>
      </c>
      <c r="B374" s="4" t="s">
        <v>125</v>
      </c>
      <c r="C374" s="4" t="s">
        <v>1004</v>
      </c>
      <c r="D374" s="3">
        <v>45532</v>
      </c>
      <c r="E374" s="2">
        <v>2150.8200000000002</v>
      </c>
      <c r="F374" s="2">
        <v>0</v>
      </c>
      <c r="G374" s="2">
        <v>257425.17</v>
      </c>
      <c r="H374" t="s">
        <v>361</v>
      </c>
    </row>
    <row r="375" spans="1:8" x14ac:dyDescent="0.3">
      <c r="A375" s="3">
        <v>45532</v>
      </c>
      <c r="B375" s="4" t="s">
        <v>125</v>
      </c>
      <c r="C375" s="4" t="s">
        <v>1005</v>
      </c>
      <c r="D375" s="3">
        <v>45532</v>
      </c>
      <c r="E375" s="2">
        <v>172</v>
      </c>
      <c r="F375" s="2">
        <v>0</v>
      </c>
      <c r="G375" s="2">
        <v>257253.17</v>
      </c>
      <c r="H375" t="s">
        <v>361</v>
      </c>
    </row>
    <row r="376" spans="1:8" x14ac:dyDescent="0.3">
      <c r="A376" s="3">
        <v>45532</v>
      </c>
      <c r="B376" s="4" t="s">
        <v>125</v>
      </c>
      <c r="C376" s="4" t="s">
        <v>1006</v>
      </c>
      <c r="D376" s="3">
        <v>45532</v>
      </c>
      <c r="E376" s="2">
        <v>222.78</v>
      </c>
      <c r="F376" s="2">
        <v>0</v>
      </c>
      <c r="G376" s="2">
        <v>257030.39</v>
      </c>
      <c r="H376" t="s">
        <v>361</v>
      </c>
    </row>
    <row r="377" spans="1:8" x14ac:dyDescent="0.3">
      <c r="A377" s="3">
        <v>45532</v>
      </c>
      <c r="B377" s="4" t="s">
        <v>1007</v>
      </c>
      <c r="C377" s="4" t="s">
        <v>1008</v>
      </c>
      <c r="D377" s="3">
        <v>45532</v>
      </c>
      <c r="E377" s="2">
        <v>0</v>
      </c>
      <c r="F377" s="2">
        <v>2128.5</v>
      </c>
      <c r="G377" s="2">
        <v>259158.89</v>
      </c>
      <c r="H377" t="s">
        <v>367</v>
      </c>
    </row>
    <row r="378" spans="1:8" x14ac:dyDescent="0.3">
      <c r="A378" s="3">
        <v>45532</v>
      </c>
      <c r="B378" s="4" t="s">
        <v>1009</v>
      </c>
      <c r="C378" s="4" t="s">
        <v>1010</v>
      </c>
      <c r="D378" s="3">
        <v>45532</v>
      </c>
      <c r="E378" s="2">
        <v>0</v>
      </c>
      <c r="F378" s="2">
        <v>58125</v>
      </c>
      <c r="G378" s="2">
        <v>317283.89</v>
      </c>
      <c r="H378" t="s">
        <v>1884</v>
      </c>
    </row>
    <row r="379" spans="1:8" x14ac:dyDescent="0.3">
      <c r="A379" s="3">
        <v>45533</v>
      </c>
      <c r="B379" s="4" t="s">
        <v>128</v>
      </c>
      <c r="C379" s="4" t="s">
        <v>1011</v>
      </c>
      <c r="D379" s="3">
        <v>45533</v>
      </c>
      <c r="E379" s="2">
        <v>0</v>
      </c>
      <c r="F379" s="2">
        <v>4000.51</v>
      </c>
      <c r="G379" s="2">
        <v>321284.40000000002</v>
      </c>
      <c r="H379" t="s">
        <v>361</v>
      </c>
    </row>
    <row r="380" spans="1:8" x14ac:dyDescent="0.3">
      <c r="A380" s="3">
        <v>45533</v>
      </c>
      <c r="B380" s="4" t="s">
        <v>128</v>
      </c>
      <c r="C380" s="4" t="s">
        <v>1012</v>
      </c>
      <c r="D380" s="3">
        <v>45533</v>
      </c>
      <c r="E380" s="2">
        <v>0</v>
      </c>
      <c r="F380" s="2">
        <v>30209.24</v>
      </c>
      <c r="G380" s="2">
        <v>351493.64</v>
      </c>
      <c r="H380" t="s">
        <v>361</v>
      </c>
    </row>
    <row r="381" spans="1:8" x14ac:dyDescent="0.3">
      <c r="A381" s="3">
        <v>45533</v>
      </c>
      <c r="B381" s="4" t="s">
        <v>125</v>
      </c>
      <c r="C381" s="4" t="s">
        <v>1013</v>
      </c>
      <c r="D381" s="3">
        <v>45533</v>
      </c>
      <c r="E381" s="2">
        <v>222.78</v>
      </c>
      <c r="F381" s="2">
        <v>0</v>
      </c>
      <c r="G381" s="2">
        <v>351270.86</v>
      </c>
      <c r="H381" t="s">
        <v>361</v>
      </c>
    </row>
    <row r="382" spans="1:8" x14ac:dyDescent="0.3">
      <c r="A382" s="3">
        <v>45533</v>
      </c>
      <c r="B382" s="4" t="s">
        <v>1014</v>
      </c>
      <c r="C382" s="4" t="s">
        <v>1015</v>
      </c>
      <c r="D382" s="3">
        <v>45533</v>
      </c>
      <c r="E382" s="2">
        <v>0</v>
      </c>
      <c r="F382" s="2">
        <v>210</v>
      </c>
      <c r="G382" s="2">
        <v>351480.86</v>
      </c>
      <c r="H382" t="s">
        <v>367</v>
      </c>
    </row>
    <row r="383" spans="1:8" x14ac:dyDescent="0.3">
      <c r="A383" s="3">
        <v>45533</v>
      </c>
      <c r="B383" s="4" t="s">
        <v>1016</v>
      </c>
      <c r="C383" s="4" t="s">
        <v>1017</v>
      </c>
      <c r="D383" s="3">
        <v>45533</v>
      </c>
      <c r="E383" s="2">
        <v>0</v>
      </c>
      <c r="F383" s="2">
        <v>40</v>
      </c>
      <c r="G383" s="2">
        <v>351520.86</v>
      </c>
      <c r="H383" t="s">
        <v>367</v>
      </c>
    </row>
    <row r="384" spans="1:8" x14ac:dyDescent="0.3">
      <c r="A384" s="3">
        <v>45534</v>
      </c>
      <c r="B384" s="4" t="s">
        <v>125</v>
      </c>
      <c r="C384" s="4" t="s">
        <v>1018</v>
      </c>
      <c r="D384" s="3">
        <v>45534</v>
      </c>
      <c r="E384" s="2">
        <v>911.38</v>
      </c>
      <c r="F384" s="2">
        <v>0</v>
      </c>
      <c r="G384" s="2">
        <v>350609.48</v>
      </c>
      <c r="H384" t="s">
        <v>361</v>
      </c>
    </row>
    <row r="385" spans="1:8" x14ac:dyDescent="0.3">
      <c r="A385" s="3">
        <v>45534</v>
      </c>
      <c r="B385" s="4" t="s">
        <v>1019</v>
      </c>
      <c r="C385" s="4" t="s">
        <v>1020</v>
      </c>
      <c r="D385" s="3">
        <v>45534</v>
      </c>
      <c r="E385" s="2">
        <v>0</v>
      </c>
      <c r="F385" s="2">
        <v>60439.38</v>
      </c>
      <c r="G385" s="2">
        <v>411048.86</v>
      </c>
      <c r="H385" t="s">
        <v>1859</v>
      </c>
    </row>
    <row r="386" spans="1:8" x14ac:dyDescent="0.3">
      <c r="A386" s="3">
        <v>45534</v>
      </c>
      <c r="B386" s="4" t="s">
        <v>125</v>
      </c>
      <c r="C386" s="4" t="s">
        <v>1021</v>
      </c>
      <c r="D386" s="3">
        <v>45534</v>
      </c>
      <c r="E386" s="2">
        <v>223.88</v>
      </c>
      <c r="F386" s="2">
        <v>0</v>
      </c>
      <c r="G386" s="2">
        <v>410824.98</v>
      </c>
      <c r="H386" t="s">
        <v>361</v>
      </c>
    </row>
    <row r="387" spans="1:8" x14ac:dyDescent="0.3">
      <c r="A387" s="3">
        <v>45534</v>
      </c>
      <c r="B387" s="4" t="s">
        <v>1022</v>
      </c>
      <c r="C387" s="4" t="s">
        <v>1023</v>
      </c>
      <c r="D387" s="3">
        <v>45534</v>
      </c>
      <c r="E387" s="2">
        <v>0</v>
      </c>
      <c r="F387" s="2">
        <v>584.66</v>
      </c>
      <c r="G387" s="2">
        <v>411409.64</v>
      </c>
      <c r="H387" t="s">
        <v>369</v>
      </c>
    </row>
    <row r="388" spans="1:8" x14ac:dyDescent="0.3">
      <c r="A388" s="3">
        <v>45534</v>
      </c>
      <c r="B388" s="4" t="s">
        <v>125</v>
      </c>
      <c r="C388" s="4" t="s">
        <v>1024</v>
      </c>
      <c r="D388" s="3">
        <v>45534</v>
      </c>
      <c r="E388" s="2">
        <v>4405.62</v>
      </c>
      <c r="F388" s="2">
        <v>0</v>
      </c>
      <c r="G388" s="2">
        <v>407004.02</v>
      </c>
      <c r="H388" t="s">
        <v>361</v>
      </c>
    </row>
    <row r="389" spans="1:8" x14ac:dyDescent="0.3">
      <c r="A389" s="3">
        <v>45536</v>
      </c>
      <c r="B389" s="4" t="s">
        <v>1025</v>
      </c>
      <c r="C389" s="4" t="s">
        <v>1026</v>
      </c>
      <c r="D389" s="3">
        <v>45536</v>
      </c>
      <c r="E389" s="2">
        <v>62456</v>
      </c>
      <c r="F389" s="2">
        <v>0</v>
      </c>
      <c r="G389" s="2">
        <v>344548.02</v>
      </c>
      <c r="H389" t="s">
        <v>1838</v>
      </c>
    </row>
    <row r="390" spans="1:8" x14ac:dyDescent="0.3">
      <c r="A390" s="3">
        <v>45537</v>
      </c>
      <c r="B390" s="4" t="s">
        <v>125</v>
      </c>
      <c r="C390" s="4" t="s">
        <v>1027</v>
      </c>
      <c r="D390" s="3">
        <v>45537</v>
      </c>
      <c r="E390" s="2">
        <v>666.93</v>
      </c>
      <c r="F390" s="2">
        <v>0</v>
      </c>
      <c r="G390" s="2">
        <v>343881.09</v>
      </c>
      <c r="H390" t="s">
        <v>361</v>
      </c>
    </row>
    <row r="391" spans="1:8" x14ac:dyDescent="0.3">
      <c r="A391" s="3">
        <v>45537</v>
      </c>
      <c r="B391" s="4" t="s">
        <v>1028</v>
      </c>
      <c r="C391" s="4" t="s">
        <v>1029</v>
      </c>
      <c r="D391" s="3">
        <v>45537</v>
      </c>
      <c r="E391" s="2">
        <v>0</v>
      </c>
      <c r="F391" s="2">
        <v>1200</v>
      </c>
      <c r="G391" s="2">
        <v>345081.09</v>
      </c>
      <c r="H391" t="s">
        <v>367</v>
      </c>
    </row>
    <row r="392" spans="1:8" x14ac:dyDescent="0.3">
      <c r="A392" s="3">
        <v>45537</v>
      </c>
      <c r="B392" s="4" t="s">
        <v>125</v>
      </c>
      <c r="C392" s="4" t="s">
        <v>1030</v>
      </c>
      <c r="D392" s="3">
        <v>45537</v>
      </c>
      <c r="E392" s="2">
        <v>1527.43</v>
      </c>
      <c r="F392" s="2">
        <v>0</v>
      </c>
      <c r="G392" s="2">
        <v>343553.66</v>
      </c>
      <c r="H392" t="s">
        <v>361</v>
      </c>
    </row>
    <row r="393" spans="1:8" x14ac:dyDescent="0.3">
      <c r="A393" s="3">
        <v>45538</v>
      </c>
      <c r="B393" s="4" t="s">
        <v>1031</v>
      </c>
      <c r="C393" s="4" t="s">
        <v>1032</v>
      </c>
      <c r="D393" s="3">
        <v>45538</v>
      </c>
      <c r="E393" s="2">
        <v>0</v>
      </c>
      <c r="F393" s="2">
        <v>625</v>
      </c>
      <c r="G393" s="2">
        <v>344178.66</v>
      </c>
      <c r="H393" t="s">
        <v>367</v>
      </c>
    </row>
    <row r="394" spans="1:8" x14ac:dyDescent="0.3">
      <c r="A394" s="3">
        <v>45538</v>
      </c>
      <c r="B394" s="4" t="s">
        <v>125</v>
      </c>
      <c r="C394" s="4" t="s">
        <v>1033</v>
      </c>
      <c r="D394" s="3">
        <v>45538</v>
      </c>
      <c r="E394" s="2">
        <v>221.77</v>
      </c>
      <c r="F394" s="2">
        <v>0</v>
      </c>
      <c r="G394" s="2">
        <v>343956.89</v>
      </c>
      <c r="H394" t="s">
        <v>361</v>
      </c>
    </row>
    <row r="395" spans="1:8" x14ac:dyDescent="0.3">
      <c r="A395" s="3">
        <v>45538</v>
      </c>
      <c r="B395" s="4" t="s">
        <v>125</v>
      </c>
      <c r="C395" s="4" t="s">
        <v>1034</v>
      </c>
      <c r="D395" s="3">
        <v>45538</v>
      </c>
      <c r="E395" s="2">
        <v>42861.04</v>
      </c>
      <c r="F395" s="2">
        <v>0</v>
      </c>
      <c r="G395" s="2">
        <v>301095.84999999998</v>
      </c>
      <c r="H395" t="s">
        <v>361</v>
      </c>
    </row>
    <row r="396" spans="1:8" x14ac:dyDescent="0.3">
      <c r="A396" s="3">
        <v>45539</v>
      </c>
      <c r="B396" s="4" t="s">
        <v>125</v>
      </c>
      <c r="C396" s="4" t="s">
        <v>1035</v>
      </c>
      <c r="D396" s="3">
        <v>45539</v>
      </c>
      <c r="E396" s="2">
        <v>206.5</v>
      </c>
      <c r="F396" s="2">
        <v>0</v>
      </c>
      <c r="G396" s="2">
        <v>300889.34999999998</v>
      </c>
      <c r="H396" t="s">
        <v>361</v>
      </c>
    </row>
    <row r="397" spans="1:8" x14ac:dyDescent="0.3">
      <c r="A397" s="3">
        <v>45539</v>
      </c>
      <c r="B397" s="4" t="s">
        <v>125</v>
      </c>
      <c r="C397" s="4" t="s">
        <v>1036</v>
      </c>
      <c r="D397" s="3">
        <v>45539</v>
      </c>
      <c r="E397" s="2">
        <v>455.79</v>
      </c>
      <c r="F397" s="2">
        <v>0</v>
      </c>
      <c r="G397" s="2">
        <v>300433.56</v>
      </c>
      <c r="H397" t="s">
        <v>361</v>
      </c>
    </row>
    <row r="398" spans="1:8" x14ac:dyDescent="0.3">
      <c r="A398" s="3">
        <v>45540</v>
      </c>
      <c r="B398" s="4" t="s">
        <v>1037</v>
      </c>
      <c r="C398" s="4" t="s">
        <v>1038</v>
      </c>
      <c r="D398" s="3">
        <v>45540</v>
      </c>
      <c r="E398" s="2">
        <v>10000</v>
      </c>
      <c r="F398" s="2">
        <v>0</v>
      </c>
      <c r="G398" s="2">
        <v>290433.56</v>
      </c>
      <c r="H398" t="s">
        <v>356</v>
      </c>
    </row>
    <row r="399" spans="1:8" x14ac:dyDescent="0.3">
      <c r="A399" s="3">
        <v>45540</v>
      </c>
      <c r="B399" s="4" t="s">
        <v>125</v>
      </c>
      <c r="C399" s="4" t="s">
        <v>1039</v>
      </c>
      <c r="D399" s="3">
        <v>45540</v>
      </c>
      <c r="E399" s="2">
        <v>248.16</v>
      </c>
      <c r="F399" s="2">
        <v>0</v>
      </c>
      <c r="G399" s="2">
        <v>290185.40000000002</v>
      </c>
      <c r="H399" t="s">
        <v>361</v>
      </c>
    </row>
    <row r="400" spans="1:8" x14ac:dyDescent="0.3">
      <c r="A400" s="3">
        <v>45540</v>
      </c>
      <c r="B400" s="4" t="s">
        <v>1040</v>
      </c>
      <c r="C400" s="4" t="s">
        <v>1041</v>
      </c>
      <c r="D400" s="3">
        <v>45540</v>
      </c>
      <c r="E400" s="2">
        <v>0</v>
      </c>
      <c r="F400" s="2">
        <v>110.5</v>
      </c>
      <c r="G400" s="2">
        <v>290295.90000000002</v>
      </c>
      <c r="H400" t="s">
        <v>367</v>
      </c>
    </row>
    <row r="401" spans="1:8" x14ac:dyDescent="0.3">
      <c r="A401" s="3">
        <v>45540</v>
      </c>
      <c r="B401" s="4" t="s">
        <v>125</v>
      </c>
      <c r="C401" s="4" t="s">
        <v>1042</v>
      </c>
      <c r="D401" s="3">
        <v>45540</v>
      </c>
      <c r="E401" s="2">
        <v>2487.92</v>
      </c>
      <c r="F401" s="2">
        <v>0</v>
      </c>
      <c r="G401" s="2">
        <v>287807.98</v>
      </c>
      <c r="H401" t="s">
        <v>361</v>
      </c>
    </row>
    <row r="402" spans="1:8" x14ac:dyDescent="0.3">
      <c r="A402" s="3">
        <v>45541</v>
      </c>
      <c r="B402" s="4" t="s">
        <v>128</v>
      </c>
      <c r="C402" s="4" t="s">
        <v>1043</v>
      </c>
      <c r="D402" s="3">
        <v>45541</v>
      </c>
      <c r="E402" s="2">
        <v>0</v>
      </c>
      <c r="F402" s="2">
        <v>75109.820000000007</v>
      </c>
      <c r="G402" s="2">
        <v>362917.8</v>
      </c>
      <c r="H402" t="s">
        <v>361</v>
      </c>
    </row>
    <row r="403" spans="1:8" x14ac:dyDescent="0.3">
      <c r="A403" s="3">
        <v>45541</v>
      </c>
      <c r="B403" s="4" t="s">
        <v>125</v>
      </c>
      <c r="C403" s="4" t="s">
        <v>1044</v>
      </c>
      <c r="D403" s="3">
        <v>45541</v>
      </c>
      <c r="E403" s="2">
        <v>253.22</v>
      </c>
      <c r="F403" s="2">
        <v>0</v>
      </c>
      <c r="G403" s="2">
        <v>362664.58</v>
      </c>
      <c r="H403" t="s">
        <v>361</v>
      </c>
    </row>
    <row r="404" spans="1:8" x14ac:dyDescent="0.3">
      <c r="A404" s="3">
        <v>45541</v>
      </c>
      <c r="B404" s="4" t="s">
        <v>1045</v>
      </c>
      <c r="C404" s="4" t="s">
        <v>1046</v>
      </c>
      <c r="D404" s="3">
        <v>45541</v>
      </c>
      <c r="E404" s="2">
        <v>0</v>
      </c>
      <c r="F404" s="2">
        <v>370</v>
      </c>
      <c r="G404" s="2">
        <v>363034.58</v>
      </c>
      <c r="H404" t="s">
        <v>367</v>
      </c>
    </row>
    <row r="405" spans="1:8" x14ac:dyDescent="0.3">
      <c r="A405" s="3">
        <v>45541</v>
      </c>
      <c r="B405" s="4" t="s">
        <v>125</v>
      </c>
      <c r="C405" s="4" t="s">
        <v>1047</v>
      </c>
      <c r="D405" s="3">
        <v>45541</v>
      </c>
      <c r="E405" s="2">
        <v>20314.62</v>
      </c>
      <c r="F405" s="2">
        <v>0</v>
      </c>
      <c r="G405" s="2">
        <v>342719.96</v>
      </c>
      <c r="H405" t="s">
        <v>361</v>
      </c>
    </row>
    <row r="406" spans="1:8" x14ac:dyDescent="0.3">
      <c r="A406" s="3">
        <v>45541</v>
      </c>
      <c r="B406" s="4" t="s">
        <v>125</v>
      </c>
      <c r="C406" s="4" t="s">
        <v>1048</v>
      </c>
      <c r="D406" s="3">
        <v>45541</v>
      </c>
      <c r="E406" s="2">
        <v>85367.92</v>
      </c>
      <c r="F406" s="2">
        <v>0</v>
      </c>
      <c r="G406" s="2">
        <v>257352.04</v>
      </c>
      <c r="H406" t="s">
        <v>361</v>
      </c>
    </row>
    <row r="407" spans="1:8" x14ac:dyDescent="0.3">
      <c r="A407" s="3">
        <v>45541</v>
      </c>
      <c r="B407" s="4" t="s">
        <v>1049</v>
      </c>
      <c r="C407" s="4" t="s">
        <v>1050</v>
      </c>
      <c r="D407" s="3">
        <v>45541</v>
      </c>
      <c r="E407" s="2">
        <v>0</v>
      </c>
      <c r="F407" s="2">
        <v>10000</v>
      </c>
      <c r="G407" s="2">
        <v>267352.03999999998</v>
      </c>
      <c r="H407" t="s">
        <v>356</v>
      </c>
    </row>
    <row r="408" spans="1:8" x14ac:dyDescent="0.3">
      <c r="A408" s="3">
        <v>45544</v>
      </c>
      <c r="B408" s="4" t="s">
        <v>125</v>
      </c>
      <c r="C408" s="4" t="s">
        <v>1051</v>
      </c>
      <c r="D408" s="3">
        <v>45544</v>
      </c>
      <c r="E408" s="2">
        <v>668.43</v>
      </c>
      <c r="F408" s="2">
        <v>0</v>
      </c>
      <c r="G408" s="2">
        <v>266683.61</v>
      </c>
      <c r="H408" t="s">
        <v>361</v>
      </c>
    </row>
    <row r="409" spans="1:8" x14ac:dyDescent="0.3">
      <c r="A409" s="3">
        <v>45544</v>
      </c>
      <c r="B409" s="4" t="s">
        <v>1052</v>
      </c>
      <c r="C409" s="4" t="s">
        <v>1053</v>
      </c>
      <c r="D409" s="3">
        <v>45544</v>
      </c>
      <c r="E409" s="2">
        <v>0</v>
      </c>
      <c r="F409" s="2">
        <v>102</v>
      </c>
      <c r="G409" s="2">
        <v>266785.61</v>
      </c>
      <c r="H409" t="s">
        <v>367</v>
      </c>
    </row>
    <row r="410" spans="1:8" x14ac:dyDescent="0.3">
      <c r="A410" s="3">
        <v>45544</v>
      </c>
      <c r="B410" s="4" t="s">
        <v>1054</v>
      </c>
      <c r="C410" s="4" t="s">
        <v>1055</v>
      </c>
      <c r="D410" s="3">
        <v>45544</v>
      </c>
      <c r="E410" s="2">
        <v>0</v>
      </c>
      <c r="F410" s="2">
        <v>291.38</v>
      </c>
      <c r="G410" s="2">
        <v>267076.99</v>
      </c>
      <c r="H410" t="s">
        <v>369</v>
      </c>
    </row>
    <row r="411" spans="1:8" x14ac:dyDescent="0.3">
      <c r="A411" s="3">
        <v>45544</v>
      </c>
      <c r="B411" s="4" t="s">
        <v>1056</v>
      </c>
      <c r="C411" s="4" t="s">
        <v>1057</v>
      </c>
      <c r="D411" s="3">
        <v>45544</v>
      </c>
      <c r="E411" s="2">
        <v>0</v>
      </c>
      <c r="F411" s="2">
        <v>127.93</v>
      </c>
      <c r="G411" s="2">
        <v>267204.92</v>
      </c>
      <c r="H411" t="s">
        <v>369</v>
      </c>
    </row>
    <row r="412" spans="1:8" x14ac:dyDescent="0.3">
      <c r="A412" s="3">
        <v>45544</v>
      </c>
      <c r="B412" s="4" t="s">
        <v>1058</v>
      </c>
      <c r="C412" s="4" t="s">
        <v>1059</v>
      </c>
      <c r="D412" s="3">
        <v>45544</v>
      </c>
      <c r="E412" s="2">
        <v>0</v>
      </c>
      <c r="F412" s="2">
        <v>591.5</v>
      </c>
      <c r="G412" s="2">
        <v>267796.42</v>
      </c>
      <c r="H412" t="s">
        <v>369</v>
      </c>
    </row>
    <row r="413" spans="1:8" x14ac:dyDescent="0.3">
      <c r="A413" s="3">
        <v>45544</v>
      </c>
      <c r="B413" s="4" t="s">
        <v>125</v>
      </c>
      <c r="C413" s="4" t="s">
        <v>1060</v>
      </c>
      <c r="D413" s="3">
        <v>45544</v>
      </c>
      <c r="E413" s="2">
        <v>7435.88</v>
      </c>
      <c r="F413" s="2">
        <v>0</v>
      </c>
      <c r="G413" s="2">
        <v>260360.54</v>
      </c>
      <c r="H413" t="s">
        <v>361</v>
      </c>
    </row>
    <row r="414" spans="1:8" x14ac:dyDescent="0.3">
      <c r="A414" s="3">
        <v>45545</v>
      </c>
      <c r="B414" s="4" t="s">
        <v>146</v>
      </c>
      <c r="C414" s="4" t="s">
        <v>1061</v>
      </c>
      <c r="D414" s="3">
        <v>45545</v>
      </c>
      <c r="E414" s="2">
        <v>10000</v>
      </c>
      <c r="F414" s="2">
        <v>0</v>
      </c>
      <c r="G414" s="2">
        <v>250360.54</v>
      </c>
      <c r="H414" t="s">
        <v>1854</v>
      </c>
    </row>
    <row r="415" spans="1:8" x14ac:dyDescent="0.3">
      <c r="A415" s="3">
        <v>45545</v>
      </c>
      <c r="B415" s="4" t="s">
        <v>125</v>
      </c>
      <c r="C415" s="4" t="s">
        <v>1062</v>
      </c>
      <c r="D415" s="3">
        <v>45545</v>
      </c>
      <c r="E415" s="2">
        <v>285.83</v>
      </c>
      <c r="F415" s="2">
        <v>0</v>
      </c>
      <c r="G415" s="2">
        <v>250074.71</v>
      </c>
      <c r="H415" t="s">
        <v>361</v>
      </c>
    </row>
    <row r="416" spans="1:8" x14ac:dyDescent="0.3">
      <c r="A416" s="3">
        <v>45545</v>
      </c>
      <c r="B416" s="4" t="s">
        <v>1063</v>
      </c>
      <c r="C416" s="4" t="s">
        <v>1064</v>
      </c>
      <c r="D416" s="3">
        <v>45545</v>
      </c>
      <c r="E416" s="2">
        <v>0</v>
      </c>
      <c r="F416" s="2">
        <v>26</v>
      </c>
      <c r="G416" s="2">
        <v>250100.71</v>
      </c>
      <c r="H416" t="s">
        <v>367</v>
      </c>
    </row>
    <row r="417" spans="1:8" x14ac:dyDescent="0.3">
      <c r="A417" s="3">
        <v>45546</v>
      </c>
      <c r="B417" s="4" t="s">
        <v>128</v>
      </c>
      <c r="C417" s="4" t="s">
        <v>1065</v>
      </c>
      <c r="D417" s="3">
        <v>45546</v>
      </c>
      <c r="E417" s="2">
        <v>0</v>
      </c>
      <c r="F417" s="2">
        <v>26919.200000000001</v>
      </c>
      <c r="G417" s="2">
        <v>277019.90999999997</v>
      </c>
      <c r="H417" t="s">
        <v>361</v>
      </c>
    </row>
    <row r="418" spans="1:8" x14ac:dyDescent="0.3">
      <c r="A418" s="3">
        <v>45546</v>
      </c>
      <c r="B418" s="4" t="s">
        <v>1066</v>
      </c>
      <c r="C418" s="4" t="s">
        <v>1067</v>
      </c>
      <c r="D418" s="3">
        <v>45546</v>
      </c>
      <c r="E418" s="2">
        <v>0</v>
      </c>
      <c r="F418" s="2">
        <v>5195.45</v>
      </c>
      <c r="G418" s="2">
        <v>282215.36</v>
      </c>
      <c r="H418" t="s">
        <v>1876</v>
      </c>
    </row>
    <row r="419" spans="1:8" x14ac:dyDescent="0.3">
      <c r="A419" s="3">
        <v>45546</v>
      </c>
      <c r="B419" s="4" t="s">
        <v>1068</v>
      </c>
      <c r="C419" s="4" t="s">
        <v>1069</v>
      </c>
      <c r="D419" s="3">
        <v>45546</v>
      </c>
      <c r="E419" s="2">
        <v>0</v>
      </c>
      <c r="F419" s="2">
        <v>182779.74</v>
      </c>
      <c r="G419" s="2">
        <v>464995.1</v>
      </c>
      <c r="H419" t="s">
        <v>1863</v>
      </c>
    </row>
    <row r="420" spans="1:8" x14ac:dyDescent="0.3">
      <c r="A420" s="3">
        <v>45546</v>
      </c>
      <c r="B420" s="4" t="s">
        <v>1070</v>
      </c>
      <c r="C420" s="4" t="s">
        <v>1071</v>
      </c>
      <c r="D420" s="3">
        <v>45546</v>
      </c>
      <c r="E420" s="2">
        <v>75000</v>
      </c>
      <c r="F420" s="2">
        <v>0</v>
      </c>
      <c r="G420" s="2">
        <v>389995.1</v>
      </c>
      <c r="H420" t="s">
        <v>372</v>
      </c>
    </row>
    <row r="421" spans="1:8" x14ac:dyDescent="0.3">
      <c r="A421" s="3">
        <v>45546</v>
      </c>
      <c r="B421" s="4" t="s">
        <v>1072</v>
      </c>
      <c r="C421" s="4" t="s">
        <v>1073</v>
      </c>
      <c r="D421" s="3">
        <v>45546</v>
      </c>
      <c r="E421" s="2">
        <v>100000</v>
      </c>
      <c r="F421" s="2">
        <v>0</v>
      </c>
      <c r="G421" s="2">
        <v>289995.09999999998</v>
      </c>
      <c r="H421" t="s">
        <v>372</v>
      </c>
    </row>
    <row r="422" spans="1:8" x14ac:dyDescent="0.3">
      <c r="A422" s="3">
        <v>45546</v>
      </c>
      <c r="B422" s="4" t="s">
        <v>1074</v>
      </c>
      <c r="C422" s="4" t="s">
        <v>1075</v>
      </c>
      <c r="D422" s="3">
        <v>45546</v>
      </c>
      <c r="E422" s="2">
        <v>0</v>
      </c>
      <c r="F422" s="2">
        <v>68.25</v>
      </c>
      <c r="G422" s="2">
        <v>290063.34999999998</v>
      </c>
      <c r="H422" t="s">
        <v>367</v>
      </c>
    </row>
    <row r="423" spans="1:8" x14ac:dyDescent="0.3">
      <c r="A423" s="3">
        <v>45546</v>
      </c>
      <c r="B423" s="4" t="s">
        <v>125</v>
      </c>
      <c r="C423" s="4" t="s">
        <v>1076</v>
      </c>
      <c r="D423" s="3">
        <v>45546</v>
      </c>
      <c r="E423" s="2">
        <v>285.83</v>
      </c>
      <c r="F423" s="2">
        <v>0</v>
      </c>
      <c r="G423" s="2">
        <v>289777.52</v>
      </c>
      <c r="H423" t="s">
        <v>361</v>
      </c>
    </row>
    <row r="424" spans="1:8" x14ac:dyDescent="0.3">
      <c r="A424" s="3">
        <v>45546</v>
      </c>
      <c r="B424" s="4" t="s">
        <v>1077</v>
      </c>
      <c r="C424" s="4" t="s">
        <v>1078</v>
      </c>
      <c r="D424" s="3">
        <v>45546</v>
      </c>
      <c r="E424" s="2">
        <v>0</v>
      </c>
      <c r="F424" s="2">
        <v>20</v>
      </c>
      <c r="G424" s="2">
        <v>289797.52</v>
      </c>
      <c r="H424" t="s">
        <v>367</v>
      </c>
    </row>
    <row r="425" spans="1:8" x14ac:dyDescent="0.3">
      <c r="A425" s="3">
        <v>45546</v>
      </c>
      <c r="B425" s="4" t="s">
        <v>125</v>
      </c>
      <c r="C425" s="4" t="s">
        <v>1079</v>
      </c>
      <c r="D425" s="3">
        <v>45546</v>
      </c>
      <c r="E425" s="2">
        <v>13000.47</v>
      </c>
      <c r="F425" s="2">
        <v>0</v>
      </c>
      <c r="G425" s="2">
        <v>276797.05</v>
      </c>
      <c r="H425" t="s">
        <v>361</v>
      </c>
    </row>
    <row r="426" spans="1:8" x14ac:dyDescent="0.3">
      <c r="A426" s="3">
        <v>45547</v>
      </c>
      <c r="B426" s="4" t="s">
        <v>125</v>
      </c>
      <c r="C426" s="4" t="s">
        <v>1080</v>
      </c>
      <c r="D426" s="3">
        <v>45547</v>
      </c>
      <c r="E426" s="2">
        <v>283.05</v>
      </c>
      <c r="F426" s="2">
        <v>0</v>
      </c>
      <c r="G426" s="2">
        <v>276514</v>
      </c>
      <c r="H426" t="s">
        <v>361</v>
      </c>
    </row>
    <row r="427" spans="1:8" x14ac:dyDescent="0.3">
      <c r="A427" s="3">
        <v>45547</v>
      </c>
      <c r="B427" s="4" t="s">
        <v>1081</v>
      </c>
      <c r="C427" s="4" t="s">
        <v>1082</v>
      </c>
      <c r="D427" s="3">
        <v>45547</v>
      </c>
      <c r="E427" s="2">
        <v>0</v>
      </c>
      <c r="F427" s="2">
        <v>200</v>
      </c>
      <c r="G427" s="2">
        <v>276714</v>
      </c>
      <c r="H427" t="s">
        <v>367</v>
      </c>
    </row>
    <row r="428" spans="1:8" x14ac:dyDescent="0.3">
      <c r="A428" s="3">
        <v>45547</v>
      </c>
      <c r="B428" s="4" t="s">
        <v>125</v>
      </c>
      <c r="C428" s="4" t="s">
        <v>1083</v>
      </c>
      <c r="D428" s="3">
        <v>45547</v>
      </c>
      <c r="E428" s="2">
        <v>25768.44</v>
      </c>
      <c r="F428" s="2">
        <v>0</v>
      </c>
      <c r="G428" s="2">
        <v>250945.56</v>
      </c>
      <c r="H428" t="s">
        <v>361</v>
      </c>
    </row>
    <row r="429" spans="1:8" x14ac:dyDescent="0.3">
      <c r="A429" s="3">
        <v>45548</v>
      </c>
      <c r="B429" s="4" t="s">
        <v>125</v>
      </c>
      <c r="C429" s="4" t="s">
        <v>1084</v>
      </c>
      <c r="D429" s="3">
        <v>45548</v>
      </c>
      <c r="E429" s="2">
        <v>282.08</v>
      </c>
      <c r="F429" s="2">
        <v>0</v>
      </c>
      <c r="G429" s="2">
        <v>250663.48</v>
      </c>
      <c r="H429" t="s">
        <v>361</v>
      </c>
    </row>
    <row r="430" spans="1:8" x14ac:dyDescent="0.3">
      <c r="A430" s="3">
        <v>45548</v>
      </c>
      <c r="B430" s="4" t="s">
        <v>1085</v>
      </c>
      <c r="C430" s="4" t="s">
        <v>1086</v>
      </c>
      <c r="D430" s="3">
        <v>45548</v>
      </c>
      <c r="E430" s="2">
        <v>0</v>
      </c>
      <c r="F430" s="2">
        <v>45</v>
      </c>
      <c r="G430" s="2">
        <v>250708.48000000001</v>
      </c>
      <c r="H430" t="s">
        <v>367</v>
      </c>
    </row>
    <row r="431" spans="1:8" x14ac:dyDescent="0.3">
      <c r="A431" s="3">
        <v>45548</v>
      </c>
      <c r="B431" s="4" t="s">
        <v>125</v>
      </c>
      <c r="C431" s="4" t="s">
        <v>1087</v>
      </c>
      <c r="D431" s="3">
        <v>45548</v>
      </c>
      <c r="E431" s="2">
        <v>1276.76</v>
      </c>
      <c r="F431" s="2">
        <v>0</v>
      </c>
      <c r="G431" s="2">
        <v>249431.72</v>
      </c>
      <c r="H431" t="s">
        <v>361</v>
      </c>
    </row>
    <row r="432" spans="1:8" x14ac:dyDescent="0.3">
      <c r="A432" s="3">
        <v>45551</v>
      </c>
      <c r="B432" s="4" t="s">
        <v>146</v>
      </c>
      <c r="C432" s="4" t="s">
        <v>1088</v>
      </c>
      <c r="D432" s="3">
        <v>45551</v>
      </c>
      <c r="E432" s="2">
        <v>10000</v>
      </c>
      <c r="F432" s="2">
        <v>0</v>
      </c>
      <c r="G432" s="2">
        <v>239431.72</v>
      </c>
      <c r="H432" t="s">
        <v>1854</v>
      </c>
    </row>
    <row r="433" spans="1:8" x14ac:dyDescent="0.3">
      <c r="A433" s="3">
        <v>45551</v>
      </c>
      <c r="B433" s="4" t="s">
        <v>125</v>
      </c>
      <c r="C433" s="4" t="s">
        <v>1089</v>
      </c>
      <c r="D433" s="3">
        <v>45551</v>
      </c>
      <c r="E433" s="2">
        <v>918.84</v>
      </c>
      <c r="F433" s="2">
        <v>0</v>
      </c>
      <c r="G433" s="2">
        <v>238512.88</v>
      </c>
      <c r="H433" t="s">
        <v>361</v>
      </c>
    </row>
    <row r="434" spans="1:8" x14ac:dyDescent="0.3">
      <c r="A434" s="3">
        <v>45551</v>
      </c>
      <c r="B434" s="4" t="s">
        <v>1090</v>
      </c>
      <c r="C434" s="4" t="s">
        <v>1091</v>
      </c>
      <c r="D434" s="3">
        <v>45551</v>
      </c>
      <c r="E434" s="2">
        <v>17000</v>
      </c>
      <c r="F434" s="2">
        <v>0</v>
      </c>
      <c r="G434" s="2">
        <v>221512.88</v>
      </c>
      <c r="H434" t="s">
        <v>356</v>
      </c>
    </row>
    <row r="435" spans="1:8" x14ac:dyDescent="0.3">
      <c r="A435" s="3">
        <v>45552</v>
      </c>
      <c r="B435" s="4" t="s">
        <v>1092</v>
      </c>
      <c r="C435" s="4" t="s">
        <v>1093</v>
      </c>
      <c r="D435" s="3">
        <v>45552</v>
      </c>
      <c r="E435" s="2">
        <v>0</v>
      </c>
      <c r="F435" s="2">
        <v>46741.69</v>
      </c>
      <c r="G435" s="2">
        <v>268254.57</v>
      </c>
      <c r="H435" t="s">
        <v>1876</v>
      </c>
    </row>
    <row r="436" spans="1:8" x14ac:dyDescent="0.3">
      <c r="A436" s="3">
        <v>45552</v>
      </c>
      <c r="B436" s="4" t="s">
        <v>125</v>
      </c>
      <c r="C436" s="4" t="s">
        <v>1094</v>
      </c>
      <c r="D436" s="3">
        <v>45552</v>
      </c>
      <c r="E436" s="2">
        <v>306.27999999999997</v>
      </c>
      <c r="F436" s="2">
        <v>0</v>
      </c>
      <c r="G436" s="2">
        <v>267948.28999999998</v>
      </c>
      <c r="H436" t="s">
        <v>361</v>
      </c>
    </row>
    <row r="437" spans="1:8" x14ac:dyDescent="0.3">
      <c r="A437" s="3">
        <v>45552</v>
      </c>
      <c r="B437" s="4" t="s">
        <v>1095</v>
      </c>
      <c r="C437" s="4" t="s">
        <v>140</v>
      </c>
      <c r="D437" s="3">
        <v>45552</v>
      </c>
      <c r="E437" s="2">
        <v>1705.21</v>
      </c>
      <c r="F437" s="2">
        <v>0</v>
      </c>
      <c r="G437" s="2">
        <v>266243.08</v>
      </c>
      <c r="H437" t="s">
        <v>362</v>
      </c>
    </row>
    <row r="438" spans="1:8" x14ac:dyDescent="0.3">
      <c r="A438" s="3">
        <v>45554</v>
      </c>
      <c r="B438" s="4" t="s">
        <v>128</v>
      </c>
      <c r="C438" s="4" t="s">
        <v>1096</v>
      </c>
      <c r="D438" s="3">
        <v>45554</v>
      </c>
      <c r="E438" s="2">
        <v>0</v>
      </c>
      <c r="F438" s="2">
        <v>5118.5</v>
      </c>
      <c r="G438" s="2">
        <v>271361.58</v>
      </c>
      <c r="H438" t="s">
        <v>361</v>
      </c>
    </row>
    <row r="439" spans="1:8" x14ac:dyDescent="0.3">
      <c r="A439" s="3">
        <v>45554</v>
      </c>
      <c r="B439" s="4" t="s">
        <v>1097</v>
      </c>
      <c r="C439" s="4" t="s">
        <v>1098</v>
      </c>
      <c r="D439" s="3">
        <v>45554</v>
      </c>
      <c r="E439" s="2">
        <v>0</v>
      </c>
      <c r="F439" s="2">
        <v>30965.93</v>
      </c>
      <c r="G439" s="2">
        <v>302327.51</v>
      </c>
      <c r="H439" t="s">
        <v>1876</v>
      </c>
    </row>
    <row r="440" spans="1:8" x14ac:dyDescent="0.3">
      <c r="A440" s="3">
        <v>45554</v>
      </c>
      <c r="B440" s="4" t="s">
        <v>125</v>
      </c>
      <c r="C440" s="4" t="s">
        <v>1099</v>
      </c>
      <c r="D440" s="3">
        <v>45554</v>
      </c>
      <c r="E440" s="2">
        <v>288.14</v>
      </c>
      <c r="F440" s="2">
        <v>0</v>
      </c>
      <c r="G440" s="2">
        <v>302039.37</v>
      </c>
      <c r="H440" t="s">
        <v>361</v>
      </c>
    </row>
    <row r="441" spans="1:8" x14ac:dyDescent="0.3">
      <c r="A441" s="3">
        <v>45555</v>
      </c>
      <c r="B441" s="4" t="s">
        <v>1100</v>
      </c>
      <c r="C441" s="4" t="s">
        <v>1101</v>
      </c>
      <c r="D441" s="3">
        <v>45555</v>
      </c>
      <c r="E441" s="2">
        <v>0</v>
      </c>
      <c r="F441" s="2">
        <v>23522.52</v>
      </c>
      <c r="G441" s="2">
        <v>325561.89</v>
      </c>
      <c r="H441" t="s">
        <v>1876</v>
      </c>
    </row>
    <row r="442" spans="1:8" x14ac:dyDescent="0.3">
      <c r="A442" s="3">
        <v>45555</v>
      </c>
      <c r="B442" s="4" t="s">
        <v>146</v>
      </c>
      <c r="C442" s="4" t="s">
        <v>1102</v>
      </c>
      <c r="D442" s="3">
        <v>45555</v>
      </c>
      <c r="E442" s="2">
        <v>10000</v>
      </c>
      <c r="F442" s="2">
        <v>0</v>
      </c>
      <c r="G442" s="2">
        <v>315561.89</v>
      </c>
      <c r="H442" t="s">
        <v>1854</v>
      </c>
    </row>
    <row r="443" spans="1:8" x14ac:dyDescent="0.3">
      <c r="A443" s="3">
        <v>45555</v>
      </c>
      <c r="B443" s="4" t="s">
        <v>125</v>
      </c>
      <c r="C443" s="4" t="s">
        <v>1103</v>
      </c>
      <c r="D443" s="3">
        <v>45555</v>
      </c>
      <c r="E443" s="2">
        <v>269.64999999999998</v>
      </c>
      <c r="F443" s="2">
        <v>0</v>
      </c>
      <c r="G443" s="2">
        <v>315292.24</v>
      </c>
      <c r="H443" t="s">
        <v>361</v>
      </c>
    </row>
    <row r="444" spans="1:8" x14ac:dyDescent="0.3">
      <c r="A444" s="3">
        <v>45555</v>
      </c>
      <c r="B444" s="4" t="s">
        <v>1104</v>
      </c>
      <c r="C444" s="4" t="s">
        <v>1105</v>
      </c>
      <c r="D444" s="3">
        <v>45555</v>
      </c>
      <c r="E444" s="2">
        <v>0</v>
      </c>
      <c r="F444" s="2">
        <v>2221.13</v>
      </c>
      <c r="G444" s="2">
        <v>317513.37</v>
      </c>
      <c r="H444" t="s">
        <v>369</v>
      </c>
    </row>
    <row r="445" spans="1:8" x14ac:dyDescent="0.3">
      <c r="A445" s="3">
        <v>45555</v>
      </c>
      <c r="B445" s="4" t="s">
        <v>125</v>
      </c>
      <c r="C445" s="4" t="s">
        <v>1106</v>
      </c>
      <c r="D445" s="3">
        <v>45555</v>
      </c>
      <c r="E445" s="2">
        <v>18936.12</v>
      </c>
      <c r="F445" s="2">
        <v>0</v>
      </c>
      <c r="G445" s="2">
        <v>298577.25</v>
      </c>
      <c r="H445" t="s">
        <v>361</v>
      </c>
    </row>
    <row r="446" spans="1:8" x14ac:dyDescent="0.3">
      <c r="A446" s="3">
        <v>45556</v>
      </c>
      <c r="B446" s="4" t="s">
        <v>1107</v>
      </c>
      <c r="C446" s="4" t="s">
        <v>1108</v>
      </c>
      <c r="D446" s="3">
        <v>45556</v>
      </c>
      <c r="E446" s="2">
        <v>0</v>
      </c>
      <c r="F446" s="2">
        <v>600</v>
      </c>
      <c r="G446" s="2">
        <v>299177.25</v>
      </c>
      <c r="H446" t="s">
        <v>367</v>
      </c>
    </row>
    <row r="447" spans="1:8" x14ac:dyDescent="0.3">
      <c r="A447" s="3">
        <v>45558</v>
      </c>
      <c r="B447" s="4" t="s">
        <v>1109</v>
      </c>
      <c r="C447" s="4" t="s">
        <v>1110</v>
      </c>
      <c r="D447" s="3">
        <v>45558</v>
      </c>
      <c r="E447" s="2">
        <v>0</v>
      </c>
      <c r="F447" s="2">
        <v>41984.93</v>
      </c>
      <c r="G447" s="2">
        <v>341162.18</v>
      </c>
      <c r="H447" t="s">
        <v>1876</v>
      </c>
    </row>
    <row r="448" spans="1:8" x14ac:dyDescent="0.3">
      <c r="A448" s="3">
        <v>45558</v>
      </c>
      <c r="B448" s="4" t="s">
        <v>125</v>
      </c>
      <c r="C448" s="4" t="s">
        <v>1111</v>
      </c>
      <c r="D448" s="3">
        <v>45558</v>
      </c>
      <c r="E448" s="2">
        <v>758.46</v>
      </c>
      <c r="F448" s="2">
        <v>0</v>
      </c>
      <c r="G448" s="2">
        <v>340403.72</v>
      </c>
      <c r="H448" t="s">
        <v>361</v>
      </c>
    </row>
    <row r="449" spans="1:8" x14ac:dyDescent="0.3">
      <c r="A449" s="3">
        <v>45559</v>
      </c>
      <c r="B449" s="4" t="s">
        <v>1112</v>
      </c>
      <c r="C449" s="4" t="s">
        <v>1113</v>
      </c>
      <c r="D449" s="3">
        <v>45559</v>
      </c>
      <c r="E449" s="2">
        <v>0</v>
      </c>
      <c r="F449" s="2">
        <v>2872.07</v>
      </c>
      <c r="G449" s="2">
        <v>343275.79</v>
      </c>
      <c r="H449" t="s">
        <v>1876</v>
      </c>
    </row>
    <row r="450" spans="1:8" x14ac:dyDescent="0.3">
      <c r="A450" s="3">
        <v>45559</v>
      </c>
      <c r="B450" s="4" t="s">
        <v>125</v>
      </c>
      <c r="C450" s="4" t="s">
        <v>1114</v>
      </c>
      <c r="D450" s="3">
        <v>45559</v>
      </c>
      <c r="E450" s="2">
        <v>242.52</v>
      </c>
      <c r="F450" s="2">
        <v>0</v>
      </c>
      <c r="G450" s="2">
        <v>343033.27</v>
      </c>
      <c r="H450" t="s">
        <v>361</v>
      </c>
    </row>
    <row r="451" spans="1:8" x14ac:dyDescent="0.3">
      <c r="A451" s="3">
        <v>45559</v>
      </c>
      <c r="B451" s="4" t="s">
        <v>1115</v>
      </c>
      <c r="C451" s="4" t="s">
        <v>1116</v>
      </c>
      <c r="D451" s="3">
        <v>45559</v>
      </c>
      <c r="E451" s="2">
        <v>0</v>
      </c>
      <c r="F451" s="2">
        <v>65</v>
      </c>
      <c r="G451" s="2">
        <v>343098.27</v>
      </c>
      <c r="H451" t="s">
        <v>367</v>
      </c>
    </row>
    <row r="452" spans="1:8" x14ac:dyDescent="0.3">
      <c r="A452" s="3">
        <v>45559</v>
      </c>
      <c r="B452" s="4" t="s">
        <v>1117</v>
      </c>
      <c r="C452" s="4" t="s">
        <v>1118</v>
      </c>
      <c r="D452" s="3">
        <v>45559</v>
      </c>
      <c r="E452" s="2">
        <v>0</v>
      </c>
      <c r="F452" s="2">
        <v>332</v>
      </c>
      <c r="G452" s="2">
        <v>343430.27</v>
      </c>
      <c r="H452" t="s">
        <v>367</v>
      </c>
    </row>
    <row r="453" spans="1:8" x14ac:dyDescent="0.3">
      <c r="A453" s="3">
        <v>45560</v>
      </c>
      <c r="B453" s="4" t="s">
        <v>1119</v>
      </c>
      <c r="C453" s="4" t="s">
        <v>1120</v>
      </c>
      <c r="D453" s="3">
        <v>45560</v>
      </c>
      <c r="E453" s="2">
        <v>0</v>
      </c>
      <c r="F453" s="2">
        <v>38830.97</v>
      </c>
      <c r="G453" s="2">
        <v>382261.24</v>
      </c>
      <c r="H453" t="s">
        <v>1876</v>
      </c>
    </row>
    <row r="454" spans="1:8" x14ac:dyDescent="0.3">
      <c r="A454" s="3">
        <v>45560</v>
      </c>
      <c r="B454" s="4" t="s">
        <v>1121</v>
      </c>
      <c r="C454" s="4" t="s">
        <v>1122</v>
      </c>
      <c r="D454" s="3">
        <v>45560</v>
      </c>
      <c r="E454" s="2">
        <v>0</v>
      </c>
      <c r="F454" s="2">
        <v>26171.55</v>
      </c>
      <c r="G454" s="2">
        <v>408432.79</v>
      </c>
      <c r="H454" t="s">
        <v>1876</v>
      </c>
    </row>
    <row r="455" spans="1:8" x14ac:dyDescent="0.3">
      <c r="A455" s="3">
        <v>45560</v>
      </c>
      <c r="B455" s="4" t="s">
        <v>125</v>
      </c>
      <c r="C455" s="4" t="s">
        <v>1123</v>
      </c>
      <c r="D455" s="3">
        <v>45560</v>
      </c>
      <c r="E455" s="2">
        <v>244.17</v>
      </c>
      <c r="F455" s="2">
        <v>0</v>
      </c>
      <c r="G455" s="2">
        <v>408188.62</v>
      </c>
      <c r="H455" t="s">
        <v>361</v>
      </c>
    </row>
    <row r="456" spans="1:8" x14ac:dyDescent="0.3">
      <c r="A456" s="3">
        <v>45560</v>
      </c>
      <c r="B456" s="4" t="s">
        <v>1124</v>
      </c>
      <c r="C456" s="4" t="s">
        <v>1125</v>
      </c>
      <c r="D456" s="3">
        <v>45560</v>
      </c>
      <c r="E456" s="2">
        <v>0</v>
      </c>
      <c r="F456" s="2">
        <v>100</v>
      </c>
      <c r="G456" s="2">
        <v>408288.62</v>
      </c>
      <c r="H456" t="s">
        <v>367</v>
      </c>
    </row>
    <row r="457" spans="1:8" x14ac:dyDescent="0.3">
      <c r="A457" s="3">
        <v>45560</v>
      </c>
      <c r="B457" s="4" t="s">
        <v>125</v>
      </c>
      <c r="C457" s="4" t="s">
        <v>1126</v>
      </c>
      <c r="D457" s="3">
        <v>45560</v>
      </c>
      <c r="E457" s="2">
        <v>50496.5</v>
      </c>
      <c r="F457" s="2">
        <v>0</v>
      </c>
      <c r="G457" s="2">
        <v>357792.12</v>
      </c>
      <c r="H457" t="s">
        <v>361</v>
      </c>
    </row>
    <row r="458" spans="1:8" x14ac:dyDescent="0.3">
      <c r="A458" s="3">
        <v>45561</v>
      </c>
      <c r="B458" s="4" t="s">
        <v>125</v>
      </c>
      <c r="C458" s="4" t="s">
        <v>1127</v>
      </c>
      <c r="D458" s="3">
        <v>45561</v>
      </c>
      <c r="E458" s="2">
        <v>207.48</v>
      </c>
      <c r="F458" s="2">
        <v>0</v>
      </c>
      <c r="G458" s="2">
        <v>357584.64000000001</v>
      </c>
      <c r="H458" t="s">
        <v>361</v>
      </c>
    </row>
    <row r="459" spans="1:8" x14ac:dyDescent="0.3">
      <c r="A459" s="3">
        <v>45562</v>
      </c>
      <c r="B459" s="4" t="s">
        <v>1128</v>
      </c>
      <c r="C459" s="4" t="s">
        <v>1129</v>
      </c>
      <c r="D459" s="3">
        <v>45562</v>
      </c>
      <c r="E459" s="2">
        <v>0</v>
      </c>
      <c r="F459" s="2">
        <v>18445.45</v>
      </c>
      <c r="G459" s="2">
        <v>376030.09</v>
      </c>
      <c r="H459" t="s">
        <v>1876</v>
      </c>
    </row>
    <row r="460" spans="1:8" x14ac:dyDescent="0.3">
      <c r="A460" s="3">
        <v>45562</v>
      </c>
      <c r="B460" s="4" t="s">
        <v>125</v>
      </c>
      <c r="C460" s="4" t="s">
        <v>1130</v>
      </c>
      <c r="D460" s="3">
        <v>45562</v>
      </c>
      <c r="E460" s="2">
        <v>207.48</v>
      </c>
      <c r="F460" s="2">
        <v>0</v>
      </c>
      <c r="G460" s="2">
        <v>375822.61</v>
      </c>
      <c r="H460" t="s">
        <v>361</v>
      </c>
    </row>
    <row r="461" spans="1:8" x14ac:dyDescent="0.3">
      <c r="A461" s="3">
        <v>45565</v>
      </c>
      <c r="B461" s="4" t="s">
        <v>1131</v>
      </c>
      <c r="C461" s="4" t="s">
        <v>1132</v>
      </c>
      <c r="D461" s="3">
        <v>45565</v>
      </c>
      <c r="E461" s="2">
        <v>0</v>
      </c>
      <c r="F461" s="2">
        <v>5853.15</v>
      </c>
      <c r="G461" s="2">
        <v>381675.76</v>
      </c>
      <c r="H461" t="s">
        <v>1876</v>
      </c>
    </row>
    <row r="462" spans="1:8" x14ac:dyDescent="0.3">
      <c r="A462" s="3">
        <v>45565</v>
      </c>
      <c r="B462" s="4" t="s">
        <v>125</v>
      </c>
      <c r="C462" s="4" t="s">
        <v>1133</v>
      </c>
      <c r="D462" s="3">
        <v>45565</v>
      </c>
      <c r="E462" s="2">
        <v>589.35</v>
      </c>
      <c r="F462" s="2">
        <v>0</v>
      </c>
      <c r="G462" s="2">
        <v>381086.41</v>
      </c>
      <c r="H462" t="s">
        <v>361</v>
      </c>
    </row>
    <row r="463" spans="1:8" x14ac:dyDescent="0.3">
      <c r="A463" s="3">
        <v>45565</v>
      </c>
      <c r="B463" s="4" t="s">
        <v>125</v>
      </c>
      <c r="C463" s="4" t="s">
        <v>1134</v>
      </c>
      <c r="D463" s="3">
        <v>45565</v>
      </c>
      <c r="E463" s="2">
        <v>3694.98</v>
      </c>
      <c r="F463" s="2">
        <v>0</v>
      </c>
      <c r="G463" s="2">
        <v>377391.43</v>
      </c>
      <c r="H463" t="s">
        <v>361</v>
      </c>
    </row>
    <row r="464" spans="1:8" x14ac:dyDescent="0.3">
      <c r="A464" s="3">
        <v>45566</v>
      </c>
      <c r="B464" s="4" t="s">
        <v>1135</v>
      </c>
      <c r="C464" s="4" t="s">
        <v>140</v>
      </c>
      <c r="D464" s="3">
        <v>45565</v>
      </c>
      <c r="E464" s="2">
        <v>0</v>
      </c>
      <c r="F464" s="2">
        <v>2488</v>
      </c>
      <c r="G464" s="2">
        <v>379879.43</v>
      </c>
      <c r="H464" t="s">
        <v>370</v>
      </c>
    </row>
    <row r="465" spans="1:8" x14ac:dyDescent="0.3">
      <c r="A465" s="3">
        <v>45566</v>
      </c>
      <c r="B465" s="4" t="s">
        <v>125</v>
      </c>
      <c r="C465" s="4" t="s">
        <v>1136</v>
      </c>
      <c r="D465" s="3">
        <v>45566</v>
      </c>
      <c r="E465" s="2">
        <v>197.22</v>
      </c>
      <c r="F465" s="2">
        <v>0</v>
      </c>
      <c r="G465" s="2">
        <v>379682.21</v>
      </c>
      <c r="H465" t="s">
        <v>361</v>
      </c>
    </row>
    <row r="466" spans="1:8" x14ac:dyDescent="0.3">
      <c r="A466" s="3">
        <v>45566</v>
      </c>
      <c r="B466" s="4" t="s">
        <v>1137</v>
      </c>
      <c r="C466" s="4" t="s">
        <v>1138</v>
      </c>
      <c r="D466" s="3">
        <v>45566</v>
      </c>
      <c r="E466" s="2">
        <v>0</v>
      </c>
      <c r="F466" s="2">
        <v>150000</v>
      </c>
      <c r="G466" s="2">
        <v>529682.21</v>
      </c>
      <c r="H466" t="s">
        <v>364</v>
      </c>
    </row>
    <row r="467" spans="1:8" x14ac:dyDescent="0.3">
      <c r="A467" s="3">
        <v>45566</v>
      </c>
      <c r="B467" s="4" t="s">
        <v>125</v>
      </c>
      <c r="C467" s="4" t="s">
        <v>1139</v>
      </c>
      <c r="D467" s="3">
        <v>45566</v>
      </c>
      <c r="E467" s="2">
        <v>3100.59</v>
      </c>
      <c r="F467" s="2">
        <v>0</v>
      </c>
      <c r="G467" s="2">
        <v>526581.62</v>
      </c>
      <c r="H467" t="s">
        <v>361</v>
      </c>
    </row>
    <row r="468" spans="1:8" x14ac:dyDescent="0.3">
      <c r="A468" s="3">
        <v>45567</v>
      </c>
      <c r="B468" s="4" t="s">
        <v>1025</v>
      </c>
      <c r="C468" s="4" t="s">
        <v>1140</v>
      </c>
      <c r="D468" s="3">
        <v>45567</v>
      </c>
      <c r="E468" s="2">
        <v>380434</v>
      </c>
      <c r="F468" s="2">
        <v>0</v>
      </c>
      <c r="G468" s="2">
        <v>146147.62</v>
      </c>
      <c r="H468" t="s">
        <v>1838</v>
      </c>
    </row>
    <row r="469" spans="1:8" x14ac:dyDescent="0.3">
      <c r="A469" s="3">
        <v>45568</v>
      </c>
      <c r="B469" s="4" t="s">
        <v>1141</v>
      </c>
      <c r="C469" s="4" t="s">
        <v>1142</v>
      </c>
      <c r="D469" s="3">
        <v>45568</v>
      </c>
      <c r="E469" s="2">
        <v>0</v>
      </c>
      <c r="F469" s="2">
        <v>59921.39</v>
      </c>
      <c r="G469" s="2">
        <v>206069.01</v>
      </c>
      <c r="H469" t="s">
        <v>1876</v>
      </c>
    </row>
    <row r="470" spans="1:8" x14ac:dyDescent="0.3">
      <c r="A470" s="3">
        <v>45568</v>
      </c>
      <c r="B470" s="4" t="s">
        <v>125</v>
      </c>
      <c r="C470" s="4" t="s">
        <v>1143</v>
      </c>
      <c r="D470" s="3">
        <v>45568</v>
      </c>
      <c r="E470" s="2">
        <v>392.24</v>
      </c>
      <c r="F470" s="2">
        <v>0</v>
      </c>
      <c r="G470" s="2">
        <v>205676.77</v>
      </c>
      <c r="H470" t="s">
        <v>361</v>
      </c>
    </row>
    <row r="471" spans="1:8" x14ac:dyDescent="0.3">
      <c r="A471" s="3">
        <v>45569</v>
      </c>
      <c r="B471" s="4" t="s">
        <v>125</v>
      </c>
      <c r="C471" s="4" t="s">
        <v>1144</v>
      </c>
      <c r="D471" s="3">
        <v>45569</v>
      </c>
      <c r="E471" s="2">
        <v>16929.2</v>
      </c>
      <c r="F471" s="2">
        <v>0</v>
      </c>
      <c r="G471" s="2">
        <v>188747.57</v>
      </c>
      <c r="H471" t="s">
        <v>361</v>
      </c>
    </row>
    <row r="472" spans="1:8" x14ac:dyDescent="0.3">
      <c r="A472" s="3">
        <v>45569</v>
      </c>
      <c r="B472" s="4" t="s">
        <v>125</v>
      </c>
      <c r="C472" s="4" t="s">
        <v>1145</v>
      </c>
      <c r="D472" s="3">
        <v>45569</v>
      </c>
      <c r="E472" s="2">
        <v>190.09</v>
      </c>
      <c r="F472" s="2">
        <v>0</v>
      </c>
      <c r="G472" s="2">
        <v>188557.48</v>
      </c>
      <c r="H472" t="s">
        <v>361</v>
      </c>
    </row>
    <row r="473" spans="1:8" x14ac:dyDescent="0.3">
      <c r="A473" s="3">
        <v>45569</v>
      </c>
      <c r="B473" s="4" t="s">
        <v>125</v>
      </c>
      <c r="C473" s="4" t="s">
        <v>1146</v>
      </c>
      <c r="D473" s="3">
        <v>45569</v>
      </c>
      <c r="E473" s="2">
        <v>7248.29</v>
      </c>
      <c r="F473" s="2">
        <v>0</v>
      </c>
      <c r="G473" s="2">
        <v>181309.19</v>
      </c>
      <c r="H473" t="s">
        <v>361</v>
      </c>
    </row>
    <row r="474" spans="1:8" x14ac:dyDescent="0.3">
      <c r="A474" s="3">
        <v>45570</v>
      </c>
      <c r="B474" s="4" t="s">
        <v>1147</v>
      </c>
      <c r="C474" s="4" t="s">
        <v>1148</v>
      </c>
      <c r="D474" s="3">
        <v>45570</v>
      </c>
      <c r="E474" s="2">
        <v>25000</v>
      </c>
      <c r="F474" s="2">
        <v>0</v>
      </c>
      <c r="G474" s="2">
        <v>156309.19</v>
      </c>
      <c r="H474" t="s">
        <v>1862</v>
      </c>
    </row>
    <row r="475" spans="1:8" x14ac:dyDescent="0.3">
      <c r="A475" s="3">
        <v>45572</v>
      </c>
      <c r="B475" s="4" t="s">
        <v>125</v>
      </c>
      <c r="C475" s="4" t="s">
        <v>1149</v>
      </c>
      <c r="D475" s="3">
        <v>45572</v>
      </c>
      <c r="E475" s="2">
        <v>580.44000000000005</v>
      </c>
      <c r="F475" s="2">
        <v>0</v>
      </c>
      <c r="G475" s="2">
        <v>155728.75</v>
      </c>
      <c r="H475" t="s">
        <v>361</v>
      </c>
    </row>
    <row r="476" spans="1:8" x14ac:dyDescent="0.3">
      <c r="A476" s="3">
        <v>45572</v>
      </c>
      <c r="B476" s="4" t="s">
        <v>1150</v>
      </c>
      <c r="C476" s="4" t="s">
        <v>1151</v>
      </c>
      <c r="D476" s="3">
        <v>45572</v>
      </c>
      <c r="E476" s="2">
        <v>0</v>
      </c>
      <c r="F476" s="2">
        <v>1060</v>
      </c>
      <c r="G476" s="2">
        <v>156788.75</v>
      </c>
      <c r="H476" t="s">
        <v>367</v>
      </c>
    </row>
    <row r="477" spans="1:8" x14ac:dyDescent="0.3">
      <c r="A477" s="3">
        <v>45572</v>
      </c>
      <c r="B477" s="4" t="s">
        <v>125</v>
      </c>
      <c r="C477" s="4" t="s">
        <v>1152</v>
      </c>
      <c r="D477" s="3">
        <v>45572</v>
      </c>
      <c r="E477" s="2">
        <v>14701.51</v>
      </c>
      <c r="F477" s="2">
        <v>0</v>
      </c>
      <c r="G477" s="2">
        <v>142087.24</v>
      </c>
      <c r="H477" t="s">
        <v>361</v>
      </c>
    </row>
    <row r="478" spans="1:8" x14ac:dyDescent="0.3">
      <c r="A478" s="3">
        <v>45573</v>
      </c>
      <c r="B478" s="4" t="s">
        <v>125</v>
      </c>
      <c r="C478" s="4" t="s">
        <v>1153</v>
      </c>
      <c r="D478" s="3">
        <v>45573</v>
      </c>
      <c r="E478" s="2">
        <v>193.1</v>
      </c>
      <c r="F478" s="2">
        <v>0</v>
      </c>
      <c r="G478" s="2">
        <v>141894.14000000001</v>
      </c>
      <c r="H478" t="s">
        <v>361</v>
      </c>
    </row>
    <row r="479" spans="1:8" x14ac:dyDescent="0.3">
      <c r="A479" s="3">
        <v>45574</v>
      </c>
      <c r="B479" s="4" t="s">
        <v>1154</v>
      </c>
      <c r="C479" s="4" t="s">
        <v>1155</v>
      </c>
      <c r="D479" s="3">
        <v>45574</v>
      </c>
      <c r="E479" s="2">
        <v>0</v>
      </c>
      <c r="F479" s="2">
        <v>5715.63</v>
      </c>
      <c r="G479" s="2">
        <v>147609.76999999999</v>
      </c>
      <c r="H479" t="s">
        <v>1876</v>
      </c>
    </row>
    <row r="480" spans="1:8" x14ac:dyDescent="0.3">
      <c r="A480" s="3">
        <v>45574</v>
      </c>
      <c r="B480" s="4" t="s">
        <v>1156</v>
      </c>
      <c r="C480" s="4" t="s">
        <v>1157</v>
      </c>
      <c r="D480" s="3">
        <v>45574</v>
      </c>
      <c r="E480" s="2">
        <v>0</v>
      </c>
      <c r="F480" s="2">
        <v>27666.85</v>
      </c>
      <c r="G480" s="2">
        <v>175276.62</v>
      </c>
      <c r="H480" t="s">
        <v>1876</v>
      </c>
    </row>
    <row r="481" spans="1:8" x14ac:dyDescent="0.3">
      <c r="A481" s="3">
        <v>45574</v>
      </c>
      <c r="B481" s="4" t="s">
        <v>125</v>
      </c>
      <c r="C481" s="4" t="s">
        <v>1158</v>
      </c>
      <c r="D481" s="3">
        <v>45574</v>
      </c>
      <c r="E481" s="2">
        <v>197.11</v>
      </c>
      <c r="F481" s="2">
        <v>0</v>
      </c>
      <c r="G481" s="2">
        <v>175079.51</v>
      </c>
      <c r="H481" t="s">
        <v>361</v>
      </c>
    </row>
    <row r="482" spans="1:8" x14ac:dyDescent="0.3">
      <c r="A482" s="3">
        <v>45575</v>
      </c>
      <c r="B482" s="4" t="s">
        <v>1159</v>
      </c>
      <c r="C482" s="4" t="s">
        <v>1160</v>
      </c>
      <c r="D482" s="3">
        <v>45575</v>
      </c>
      <c r="E482" s="2">
        <v>0</v>
      </c>
      <c r="F482" s="2">
        <v>58201.51</v>
      </c>
      <c r="G482" s="2">
        <v>233281.02</v>
      </c>
      <c r="H482" t="s">
        <v>1876</v>
      </c>
    </row>
    <row r="483" spans="1:8" x14ac:dyDescent="0.3">
      <c r="A483" s="3">
        <v>45575</v>
      </c>
      <c r="B483" s="4" t="s">
        <v>1161</v>
      </c>
      <c r="C483" s="4" t="s">
        <v>1162</v>
      </c>
      <c r="D483" s="3">
        <v>45575</v>
      </c>
      <c r="E483" s="2">
        <v>0</v>
      </c>
      <c r="F483" s="2">
        <v>1668.69</v>
      </c>
      <c r="G483" s="2">
        <v>234949.71</v>
      </c>
      <c r="H483" t="s">
        <v>1876</v>
      </c>
    </row>
    <row r="484" spans="1:8" x14ac:dyDescent="0.3">
      <c r="A484" s="3">
        <v>45575</v>
      </c>
      <c r="B484" s="4" t="s">
        <v>146</v>
      </c>
      <c r="C484" s="4" t="s">
        <v>1163</v>
      </c>
      <c r="D484" s="3">
        <v>45575</v>
      </c>
      <c r="E484" s="2">
        <v>10000</v>
      </c>
      <c r="F484" s="2">
        <v>0</v>
      </c>
      <c r="G484" s="2">
        <v>224949.71</v>
      </c>
      <c r="H484" t="s">
        <v>1854</v>
      </c>
    </row>
    <row r="485" spans="1:8" x14ac:dyDescent="0.3">
      <c r="A485" s="3">
        <v>45575</v>
      </c>
      <c r="B485" s="4" t="s">
        <v>125</v>
      </c>
      <c r="C485" s="4" t="s">
        <v>1164</v>
      </c>
      <c r="D485" s="3">
        <v>45575</v>
      </c>
      <c r="E485" s="2">
        <v>199.14</v>
      </c>
      <c r="F485" s="2">
        <v>0</v>
      </c>
      <c r="G485" s="2">
        <v>224750.57</v>
      </c>
      <c r="H485" t="s">
        <v>361</v>
      </c>
    </row>
    <row r="486" spans="1:8" x14ac:dyDescent="0.3">
      <c r="A486" s="3">
        <v>45575</v>
      </c>
      <c r="B486" s="4" t="s">
        <v>1165</v>
      </c>
      <c r="C486" s="4" t="s">
        <v>1166</v>
      </c>
      <c r="D486" s="3">
        <v>45575</v>
      </c>
      <c r="E486" s="2">
        <v>0</v>
      </c>
      <c r="F486" s="2">
        <v>387.5</v>
      </c>
      <c r="G486" s="2">
        <v>225138.07</v>
      </c>
      <c r="H486" t="s">
        <v>367</v>
      </c>
    </row>
    <row r="487" spans="1:8" x14ac:dyDescent="0.3">
      <c r="A487" s="3">
        <v>45575</v>
      </c>
      <c r="B487" s="4" t="s">
        <v>1167</v>
      </c>
      <c r="C487" s="4" t="s">
        <v>1168</v>
      </c>
      <c r="D487" s="3">
        <v>45575</v>
      </c>
      <c r="E487" s="2">
        <v>0</v>
      </c>
      <c r="F487" s="2">
        <v>64</v>
      </c>
      <c r="G487" s="2">
        <v>225202.07</v>
      </c>
      <c r="H487" t="s">
        <v>367</v>
      </c>
    </row>
    <row r="488" spans="1:8" x14ac:dyDescent="0.3">
      <c r="A488" s="3">
        <v>45575</v>
      </c>
      <c r="B488" s="4" t="s">
        <v>125</v>
      </c>
      <c r="C488" s="4" t="s">
        <v>1169</v>
      </c>
      <c r="D488" s="3">
        <v>45575</v>
      </c>
      <c r="E488" s="2">
        <v>997.95</v>
      </c>
      <c r="F488" s="2">
        <v>0</v>
      </c>
      <c r="G488" s="2">
        <v>224204.12</v>
      </c>
      <c r="H488" t="s">
        <v>361</v>
      </c>
    </row>
    <row r="489" spans="1:8" x14ac:dyDescent="0.3">
      <c r="A489" s="3">
        <v>45576</v>
      </c>
      <c r="B489" s="4" t="s">
        <v>1170</v>
      </c>
      <c r="C489" s="4" t="s">
        <v>1171</v>
      </c>
      <c r="D489" s="3">
        <v>45576</v>
      </c>
      <c r="E489" s="2">
        <v>0</v>
      </c>
      <c r="F489" s="2">
        <v>129129.96</v>
      </c>
      <c r="G489" s="2">
        <v>353334.08</v>
      </c>
      <c r="H489" t="s">
        <v>1876</v>
      </c>
    </row>
    <row r="490" spans="1:8" x14ac:dyDescent="0.3">
      <c r="A490" s="3">
        <v>45576</v>
      </c>
      <c r="B490" s="4" t="s">
        <v>125</v>
      </c>
      <c r="C490" s="4" t="s">
        <v>1172</v>
      </c>
      <c r="D490" s="3">
        <v>45576</v>
      </c>
      <c r="E490" s="2">
        <v>199.38</v>
      </c>
      <c r="F490" s="2">
        <v>0</v>
      </c>
      <c r="G490" s="2">
        <v>353134.7</v>
      </c>
      <c r="H490" t="s">
        <v>361</v>
      </c>
    </row>
    <row r="491" spans="1:8" x14ac:dyDescent="0.3">
      <c r="A491" s="3">
        <v>45576</v>
      </c>
      <c r="B491" s="4" t="s">
        <v>125</v>
      </c>
      <c r="C491" s="4" t="s">
        <v>1173</v>
      </c>
      <c r="D491" s="3">
        <v>45576</v>
      </c>
      <c r="E491" s="2">
        <v>191262.21</v>
      </c>
      <c r="F491" s="2">
        <v>0</v>
      </c>
      <c r="G491" s="2">
        <v>161872.49</v>
      </c>
      <c r="H491" t="s">
        <v>361</v>
      </c>
    </row>
    <row r="492" spans="1:8" x14ac:dyDescent="0.3">
      <c r="A492" s="3">
        <v>45579</v>
      </c>
      <c r="B492" s="4" t="s">
        <v>1174</v>
      </c>
      <c r="C492" s="4" t="s">
        <v>1175</v>
      </c>
      <c r="D492" s="3">
        <v>45579</v>
      </c>
      <c r="E492" s="2">
        <v>0</v>
      </c>
      <c r="F492" s="2">
        <v>3285</v>
      </c>
      <c r="G492" s="2">
        <v>165157.49</v>
      </c>
      <c r="H492" t="s">
        <v>367</v>
      </c>
    </row>
    <row r="493" spans="1:8" x14ac:dyDescent="0.3">
      <c r="A493" s="3">
        <v>45579</v>
      </c>
      <c r="B493" s="4" t="s">
        <v>1176</v>
      </c>
      <c r="C493" s="4" t="s">
        <v>1177</v>
      </c>
      <c r="D493" s="3">
        <v>45579</v>
      </c>
      <c r="E493" s="2">
        <v>0</v>
      </c>
      <c r="F493" s="2">
        <v>68644.479999999996</v>
      </c>
      <c r="G493" s="2">
        <v>233801.97</v>
      </c>
      <c r="H493" t="s">
        <v>1876</v>
      </c>
    </row>
    <row r="494" spans="1:8" x14ac:dyDescent="0.3">
      <c r="A494" s="3">
        <v>45579</v>
      </c>
      <c r="B494" s="4" t="s">
        <v>1178</v>
      </c>
      <c r="C494" s="4" t="s">
        <v>1179</v>
      </c>
      <c r="D494" s="3">
        <v>45579</v>
      </c>
      <c r="E494" s="2">
        <v>0</v>
      </c>
      <c r="F494" s="2">
        <v>375</v>
      </c>
      <c r="G494" s="2">
        <v>234176.97</v>
      </c>
      <c r="H494" t="s">
        <v>367</v>
      </c>
    </row>
    <row r="495" spans="1:8" x14ac:dyDescent="0.3">
      <c r="A495" s="3">
        <v>45580</v>
      </c>
      <c r="B495" s="4" t="s">
        <v>1180</v>
      </c>
      <c r="C495" s="4" t="s">
        <v>1181</v>
      </c>
      <c r="D495" s="3">
        <v>45580</v>
      </c>
      <c r="E495" s="2">
        <v>0</v>
      </c>
      <c r="F495" s="2">
        <v>44330.25</v>
      </c>
      <c r="G495" s="2">
        <v>278507.21999999997</v>
      </c>
      <c r="H495" t="s">
        <v>1876</v>
      </c>
    </row>
    <row r="496" spans="1:8" x14ac:dyDescent="0.3">
      <c r="A496" s="3">
        <v>45580</v>
      </c>
      <c r="B496" s="4" t="s">
        <v>1182</v>
      </c>
      <c r="C496" s="4" t="s">
        <v>1183</v>
      </c>
      <c r="D496" s="3">
        <v>45580</v>
      </c>
      <c r="E496" s="2">
        <v>0</v>
      </c>
      <c r="F496" s="2">
        <v>97423.91</v>
      </c>
      <c r="G496" s="2">
        <v>375931.13</v>
      </c>
      <c r="H496" t="s">
        <v>1876</v>
      </c>
    </row>
    <row r="497" spans="1:8" x14ac:dyDescent="0.3">
      <c r="A497" s="3">
        <v>45580</v>
      </c>
      <c r="B497" s="4" t="s">
        <v>146</v>
      </c>
      <c r="C497" s="4" t="s">
        <v>1184</v>
      </c>
      <c r="D497" s="3">
        <v>45580</v>
      </c>
      <c r="E497" s="2">
        <v>10000</v>
      </c>
      <c r="F497" s="2">
        <v>0</v>
      </c>
      <c r="G497" s="2">
        <v>365931.13</v>
      </c>
      <c r="H497" t="s">
        <v>1854</v>
      </c>
    </row>
    <row r="498" spans="1:8" x14ac:dyDescent="0.3">
      <c r="A498" s="3">
        <v>45580</v>
      </c>
      <c r="B498" s="4" t="s">
        <v>1185</v>
      </c>
      <c r="C498" s="4" t="s">
        <v>140</v>
      </c>
      <c r="D498" s="3">
        <v>45580</v>
      </c>
      <c r="E498" s="2">
        <v>979.4</v>
      </c>
      <c r="F498" s="2">
        <v>0</v>
      </c>
      <c r="G498" s="2">
        <v>364951.73</v>
      </c>
      <c r="H498" t="s">
        <v>362</v>
      </c>
    </row>
    <row r="499" spans="1:8" x14ac:dyDescent="0.3">
      <c r="A499" s="3">
        <v>45580</v>
      </c>
      <c r="B499" s="4" t="s">
        <v>125</v>
      </c>
      <c r="C499" s="4" t="s">
        <v>1186</v>
      </c>
      <c r="D499" s="3">
        <v>45580</v>
      </c>
      <c r="E499" s="2">
        <v>323.43</v>
      </c>
      <c r="F499" s="2">
        <v>0</v>
      </c>
      <c r="G499" s="2">
        <v>364628.3</v>
      </c>
      <c r="H499" t="s">
        <v>361</v>
      </c>
    </row>
    <row r="500" spans="1:8" x14ac:dyDescent="0.3">
      <c r="A500" s="3">
        <v>45580</v>
      </c>
      <c r="B500" s="4" t="s">
        <v>1187</v>
      </c>
      <c r="C500" s="4" t="s">
        <v>1188</v>
      </c>
      <c r="D500" s="3">
        <v>45580</v>
      </c>
      <c r="E500" s="2">
        <v>0</v>
      </c>
      <c r="F500" s="2">
        <v>325</v>
      </c>
      <c r="G500" s="2">
        <v>364953.3</v>
      </c>
      <c r="H500" t="s">
        <v>367</v>
      </c>
    </row>
    <row r="501" spans="1:8" x14ac:dyDescent="0.3">
      <c r="A501" s="3">
        <v>45580</v>
      </c>
      <c r="B501" s="4" t="s">
        <v>1189</v>
      </c>
      <c r="C501" s="4" t="s">
        <v>1190</v>
      </c>
      <c r="D501" s="3">
        <v>45580</v>
      </c>
      <c r="E501" s="2">
        <v>0</v>
      </c>
      <c r="F501" s="2">
        <v>6</v>
      </c>
      <c r="G501" s="2">
        <v>364959.3</v>
      </c>
      <c r="H501" t="s">
        <v>367</v>
      </c>
    </row>
    <row r="502" spans="1:8" x14ac:dyDescent="0.3">
      <c r="A502" s="3">
        <v>45580</v>
      </c>
      <c r="B502" s="4" t="s">
        <v>125</v>
      </c>
      <c r="C502" s="4" t="s">
        <v>1191</v>
      </c>
      <c r="D502" s="3">
        <v>45580</v>
      </c>
      <c r="E502" s="2">
        <v>7107.15</v>
      </c>
      <c r="F502" s="2">
        <v>0</v>
      </c>
      <c r="G502" s="2">
        <v>357852.15</v>
      </c>
      <c r="H502" t="s">
        <v>361</v>
      </c>
    </row>
    <row r="503" spans="1:8" x14ac:dyDescent="0.3">
      <c r="A503" s="3">
        <v>45581</v>
      </c>
      <c r="B503" s="4" t="s">
        <v>1192</v>
      </c>
      <c r="C503" s="4" t="s">
        <v>1193</v>
      </c>
      <c r="D503" s="3">
        <v>45581</v>
      </c>
      <c r="E503" s="2">
        <v>0</v>
      </c>
      <c r="F503" s="2">
        <v>33057.08</v>
      </c>
      <c r="G503" s="2">
        <v>390909.23</v>
      </c>
      <c r="H503" t="s">
        <v>1876</v>
      </c>
    </row>
    <row r="504" spans="1:8" x14ac:dyDescent="0.3">
      <c r="A504" s="3">
        <v>45581</v>
      </c>
      <c r="B504" s="4" t="s">
        <v>125</v>
      </c>
      <c r="C504" s="4" t="s">
        <v>1194</v>
      </c>
      <c r="D504" s="3">
        <v>45581</v>
      </c>
      <c r="E504" s="2">
        <v>284.3</v>
      </c>
      <c r="F504" s="2">
        <v>0</v>
      </c>
      <c r="G504" s="2">
        <v>390624.93</v>
      </c>
      <c r="H504" t="s">
        <v>361</v>
      </c>
    </row>
    <row r="505" spans="1:8" x14ac:dyDescent="0.3">
      <c r="A505" s="3">
        <v>45581</v>
      </c>
      <c r="B505" s="4" t="s">
        <v>125</v>
      </c>
      <c r="C505" s="4" t="s">
        <v>1195</v>
      </c>
      <c r="D505" s="3">
        <v>45581</v>
      </c>
      <c r="E505" s="2">
        <v>2510.0300000000002</v>
      </c>
      <c r="F505" s="2">
        <v>0</v>
      </c>
      <c r="G505" s="2">
        <v>388114.9</v>
      </c>
      <c r="H505" t="s">
        <v>361</v>
      </c>
    </row>
    <row r="506" spans="1:8" x14ac:dyDescent="0.3">
      <c r="A506" s="3">
        <v>45582</v>
      </c>
      <c r="B506" s="4" t="s">
        <v>1196</v>
      </c>
      <c r="C506" s="4" t="s">
        <v>1197</v>
      </c>
      <c r="D506" s="3">
        <v>45582</v>
      </c>
      <c r="E506" s="2">
        <v>0</v>
      </c>
      <c r="F506" s="2">
        <v>87315.85</v>
      </c>
      <c r="G506" s="2">
        <v>475430.75</v>
      </c>
      <c r="H506" t="s">
        <v>1876</v>
      </c>
    </row>
    <row r="507" spans="1:8" x14ac:dyDescent="0.3">
      <c r="A507" s="3">
        <v>45582</v>
      </c>
      <c r="B507" s="4" t="s">
        <v>125</v>
      </c>
      <c r="C507" s="4" t="s">
        <v>1198</v>
      </c>
      <c r="D507" s="3">
        <v>45582</v>
      </c>
      <c r="E507" s="2">
        <v>283.39999999999998</v>
      </c>
      <c r="F507" s="2">
        <v>0</v>
      </c>
      <c r="G507" s="2">
        <v>475147.35</v>
      </c>
      <c r="H507" t="s">
        <v>361</v>
      </c>
    </row>
    <row r="508" spans="1:8" x14ac:dyDescent="0.3">
      <c r="A508" s="3">
        <v>45582</v>
      </c>
      <c r="B508" s="4" t="s">
        <v>125</v>
      </c>
      <c r="C508" s="4" t="s">
        <v>1199</v>
      </c>
      <c r="D508" s="3">
        <v>45582</v>
      </c>
      <c r="E508" s="2">
        <v>5319.59</v>
      </c>
      <c r="F508" s="2">
        <v>0</v>
      </c>
      <c r="G508" s="2">
        <v>469827.76</v>
      </c>
      <c r="H508" t="s">
        <v>361</v>
      </c>
    </row>
    <row r="509" spans="1:8" x14ac:dyDescent="0.3">
      <c r="A509" s="3">
        <v>45583</v>
      </c>
      <c r="B509" s="4" t="s">
        <v>125</v>
      </c>
      <c r="C509" s="4" t="s">
        <v>1200</v>
      </c>
      <c r="D509" s="3">
        <v>45583</v>
      </c>
      <c r="E509" s="2">
        <v>281.51</v>
      </c>
      <c r="F509" s="2">
        <v>0</v>
      </c>
      <c r="G509" s="2">
        <v>469546.25</v>
      </c>
      <c r="H509" t="s">
        <v>361</v>
      </c>
    </row>
    <row r="510" spans="1:8" x14ac:dyDescent="0.3">
      <c r="A510" s="3">
        <v>45583</v>
      </c>
      <c r="B510" s="4" t="s">
        <v>125</v>
      </c>
      <c r="C510" s="4" t="s">
        <v>1201</v>
      </c>
      <c r="D510" s="3">
        <v>45583</v>
      </c>
      <c r="E510" s="2">
        <v>585.75</v>
      </c>
      <c r="F510" s="2">
        <v>0</v>
      </c>
      <c r="G510" s="2">
        <v>468960.5</v>
      </c>
      <c r="H510" t="s">
        <v>361</v>
      </c>
    </row>
    <row r="511" spans="1:8" x14ac:dyDescent="0.3">
      <c r="A511" s="3">
        <v>45586</v>
      </c>
      <c r="B511" s="4" t="s">
        <v>146</v>
      </c>
      <c r="C511" s="4" t="s">
        <v>1202</v>
      </c>
      <c r="D511" s="3">
        <v>45586</v>
      </c>
      <c r="E511" s="2">
        <v>10000</v>
      </c>
      <c r="F511" s="2">
        <v>0</v>
      </c>
      <c r="G511" s="2">
        <v>458960.5</v>
      </c>
      <c r="H511" t="s">
        <v>1854</v>
      </c>
    </row>
    <row r="512" spans="1:8" x14ac:dyDescent="0.3">
      <c r="A512" s="3">
        <v>45586</v>
      </c>
      <c r="B512" s="4" t="s">
        <v>125</v>
      </c>
      <c r="C512" s="4" t="s">
        <v>1203</v>
      </c>
      <c r="D512" s="3">
        <v>45586</v>
      </c>
      <c r="E512" s="2">
        <v>843.9</v>
      </c>
      <c r="F512" s="2">
        <v>0</v>
      </c>
      <c r="G512" s="2">
        <v>458116.6</v>
      </c>
      <c r="H512" t="s">
        <v>361</v>
      </c>
    </row>
    <row r="513" spans="1:8" x14ac:dyDescent="0.3">
      <c r="A513" s="3">
        <v>45586</v>
      </c>
      <c r="B513" s="4" t="s">
        <v>125</v>
      </c>
      <c r="C513" s="4" t="s">
        <v>1204</v>
      </c>
      <c r="D513" s="3">
        <v>45586</v>
      </c>
      <c r="E513" s="2">
        <v>9525.09</v>
      </c>
      <c r="F513" s="2">
        <v>0</v>
      </c>
      <c r="G513" s="2">
        <v>448591.51</v>
      </c>
      <c r="H513" t="s">
        <v>361</v>
      </c>
    </row>
    <row r="514" spans="1:8" x14ac:dyDescent="0.3">
      <c r="A514" s="3">
        <v>45587</v>
      </c>
      <c r="B514" s="4" t="s">
        <v>125</v>
      </c>
      <c r="C514" s="4" t="s">
        <v>1205</v>
      </c>
      <c r="D514" s="3">
        <v>45587</v>
      </c>
      <c r="E514" s="2">
        <v>277.91000000000003</v>
      </c>
      <c r="F514" s="2">
        <v>0</v>
      </c>
      <c r="G514" s="2">
        <v>448313.59999999998</v>
      </c>
      <c r="H514" t="s">
        <v>361</v>
      </c>
    </row>
    <row r="515" spans="1:8" x14ac:dyDescent="0.3">
      <c r="A515" s="3">
        <v>45587</v>
      </c>
      <c r="B515" s="4" t="s">
        <v>125</v>
      </c>
      <c r="C515" s="4" t="s">
        <v>1206</v>
      </c>
      <c r="D515" s="3">
        <v>45587</v>
      </c>
      <c r="E515" s="2">
        <v>30176.87</v>
      </c>
      <c r="F515" s="2">
        <v>0</v>
      </c>
      <c r="G515" s="2">
        <v>418136.73</v>
      </c>
      <c r="H515" t="s">
        <v>361</v>
      </c>
    </row>
    <row r="516" spans="1:8" x14ac:dyDescent="0.3">
      <c r="A516" s="3">
        <v>45588</v>
      </c>
      <c r="B516" s="4" t="s">
        <v>125</v>
      </c>
      <c r="C516" s="4" t="s">
        <v>1207</v>
      </c>
      <c r="D516" s="3">
        <v>45588</v>
      </c>
      <c r="E516" s="2">
        <v>273.54000000000002</v>
      </c>
      <c r="F516" s="2">
        <v>0</v>
      </c>
      <c r="G516" s="2">
        <v>417863.19</v>
      </c>
      <c r="H516" t="s">
        <v>361</v>
      </c>
    </row>
    <row r="517" spans="1:8" x14ac:dyDescent="0.3">
      <c r="A517" s="3">
        <v>45589</v>
      </c>
      <c r="B517" s="4" t="s">
        <v>1208</v>
      </c>
      <c r="C517" s="4" t="s">
        <v>1209</v>
      </c>
      <c r="D517" s="3">
        <v>45589</v>
      </c>
      <c r="E517" s="2">
        <v>0</v>
      </c>
      <c r="F517" s="2">
        <v>5723.01</v>
      </c>
      <c r="G517" s="2">
        <v>423586.2</v>
      </c>
      <c r="H517" t="s">
        <v>1876</v>
      </c>
    </row>
    <row r="518" spans="1:8" x14ac:dyDescent="0.3">
      <c r="A518" s="3">
        <v>45589</v>
      </c>
      <c r="B518" s="4" t="s">
        <v>1210</v>
      </c>
      <c r="C518" s="4" t="s">
        <v>1211</v>
      </c>
      <c r="D518" s="3">
        <v>45589</v>
      </c>
      <c r="E518" s="2">
        <v>0</v>
      </c>
      <c r="F518" s="2">
        <v>126563.11</v>
      </c>
      <c r="G518" s="2">
        <v>550149.31000000006</v>
      </c>
      <c r="H518" t="s">
        <v>1863</v>
      </c>
    </row>
    <row r="519" spans="1:8" x14ac:dyDescent="0.3">
      <c r="A519" s="3">
        <v>45589</v>
      </c>
      <c r="B519" s="4" t="s">
        <v>125</v>
      </c>
      <c r="C519" s="4" t="s">
        <v>1212</v>
      </c>
      <c r="D519" s="3">
        <v>45589</v>
      </c>
      <c r="E519" s="2">
        <v>281.08</v>
      </c>
      <c r="F519" s="2">
        <v>0</v>
      </c>
      <c r="G519" s="2">
        <v>549868.23</v>
      </c>
      <c r="H519" t="s">
        <v>361</v>
      </c>
    </row>
    <row r="520" spans="1:8" x14ac:dyDescent="0.3">
      <c r="A520" s="3">
        <v>45589</v>
      </c>
      <c r="B520" s="4" t="s">
        <v>125</v>
      </c>
      <c r="C520" s="4" t="s">
        <v>1213</v>
      </c>
      <c r="D520" s="3">
        <v>45589</v>
      </c>
      <c r="E520" s="2">
        <v>7547.43</v>
      </c>
      <c r="F520" s="2">
        <v>0</v>
      </c>
      <c r="G520" s="2">
        <v>542320.80000000005</v>
      </c>
      <c r="H520" t="s">
        <v>361</v>
      </c>
    </row>
    <row r="521" spans="1:8" x14ac:dyDescent="0.3">
      <c r="A521" s="3">
        <v>45590</v>
      </c>
      <c r="B521" s="4" t="s">
        <v>125</v>
      </c>
      <c r="C521" s="4" t="s">
        <v>1214</v>
      </c>
      <c r="D521" s="3">
        <v>45590</v>
      </c>
      <c r="E521" s="2">
        <v>280.43</v>
      </c>
      <c r="F521" s="2">
        <v>0</v>
      </c>
      <c r="G521" s="2">
        <v>542040.37</v>
      </c>
      <c r="H521" t="s">
        <v>361</v>
      </c>
    </row>
    <row r="522" spans="1:8" x14ac:dyDescent="0.3">
      <c r="A522" s="3">
        <v>45590</v>
      </c>
      <c r="B522" s="4" t="s">
        <v>1215</v>
      </c>
      <c r="C522" s="4" t="s">
        <v>1216</v>
      </c>
      <c r="D522" s="3">
        <v>45590</v>
      </c>
      <c r="E522" s="2">
        <v>20000</v>
      </c>
      <c r="F522" s="2">
        <v>0</v>
      </c>
      <c r="G522" s="2">
        <v>522040.37</v>
      </c>
      <c r="H522" t="s">
        <v>366</v>
      </c>
    </row>
    <row r="523" spans="1:8" x14ac:dyDescent="0.3">
      <c r="A523" s="3">
        <v>45590</v>
      </c>
      <c r="B523" s="4" t="s">
        <v>1217</v>
      </c>
      <c r="C523" s="4" t="s">
        <v>1218</v>
      </c>
      <c r="D523" s="3">
        <v>45590</v>
      </c>
      <c r="E523" s="2">
        <v>0</v>
      </c>
      <c r="F523" s="2">
        <v>1</v>
      </c>
      <c r="G523" s="2">
        <v>522041.37</v>
      </c>
      <c r="H523" t="s">
        <v>1864</v>
      </c>
    </row>
    <row r="524" spans="1:8" x14ac:dyDescent="0.3">
      <c r="A524" s="3">
        <v>45591</v>
      </c>
      <c r="B524" s="4" t="s">
        <v>125</v>
      </c>
      <c r="C524" s="4" t="s">
        <v>1219</v>
      </c>
      <c r="D524" s="3">
        <v>45591</v>
      </c>
      <c r="E524" s="2">
        <v>9252.59</v>
      </c>
      <c r="F524" s="2">
        <v>0</v>
      </c>
      <c r="G524" s="2">
        <v>512788.78</v>
      </c>
      <c r="H524" t="s">
        <v>361</v>
      </c>
    </row>
    <row r="525" spans="1:8" x14ac:dyDescent="0.3">
      <c r="A525" s="3">
        <v>45592</v>
      </c>
      <c r="B525" s="4" t="s">
        <v>1220</v>
      </c>
      <c r="C525" s="4" t="s">
        <v>1221</v>
      </c>
      <c r="D525" s="3">
        <v>45592</v>
      </c>
      <c r="E525" s="2">
        <v>511250</v>
      </c>
      <c r="F525" s="2">
        <v>0</v>
      </c>
      <c r="G525" s="2">
        <v>1538.78</v>
      </c>
      <c r="H525" t="s">
        <v>1885</v>
      </c>
    </row>
    <row r="526" spans="1:8" x14ac:dyDescent="0.3">
      <c r="A526" s="3">
        <v>45592</v>
      </c>
      <c r="B526" s="4" t="s">
        <v>1222</v>
      </c>
      <c r="C526" s="4" t="s">
        <v>1223</v>
      </c>
      <c r="D526" s="3">
        <v>45592</v>
      </c>
      <c r="E526" s="2">
        <v>0</v>
      </c>
      <c r="F526" s="2">
        <v>100000</v>
      </c>
      <c r="G526" s="2">
        <v>101538.78</v>
      </c>
      <c r="H526" t="s">
        <v>1849</v>
      </c>
    </row>
    <row r="527" spans="1:8" x14ac:dyDescent="0.3">
      <c r="A527" s="3">
        <v>45593</v>
      </c>
      <c r="B527" s="4" t="s">
        <v>125</v>
      </c>
      <c r="C527" s="4" t="s">
        <v>1224</v>
      </c>
      <c r="D527" s="3">
        <v>45593</v>
      </c>
      <c r="E527" s="2">
        <v>831.39</v>
      </c>
      <c r="F527" s="2">
        <v>0</v>
      </c>
      <c r="G527" s="2">
        <v>100707.39</v>
      </c>
      <c r="H527" t="s">
        <v>361</v>
      </c>
    </row>
    <row r="528" spans="1:8" x14ac:dyDescent="0.3">
      <c r="A528" s="3">
        <v>45594</v>
      </c>
      <c r="B528" s="4" t="s">
        <v>1225</v>
      </c>
      <c r="C528" s="4" t="s">
        <v>1226</v>
      </c>
      <c r="D528" s="3">
        <v>45594</v>
      </c>
      <c r="E528" s="2">
        <v>0</v>
      </c>
      <c r="F528" s="2">
        <v>5448.03</v>
      </c>
      <c r="G528" s="2">
        <v>106155.42</v>
      </c>
      <c r="H528" t="s">
        <v>1876</v>
      </c>
    </row>
    <row r="529" spans="1:8" x14ac:dyDescent="0.3">
      <c r="A529" s="3">
        <v>45594</v>
      </c>
      <c r="B529" s="4" t="s">
        <v>125</v>
      </c>
      <c r="C529" s="4" t="s">
        <v>1227</v>
      </c>
      <c r="D529" s="3">
        <v>45594</v>
      </c>
      <c r="E529" s="2">
        <v>277.13</v>
      </c>
      <c r="F529" s="2">
        <v>0</v>
      </c>
      <c r="G529" s="2">
        <v>105878.29</v>
      </c>
      <c r="H529" t="s">
        <v>361</v>
      </c>
    </row>
    <row r="530" spans="1:8" x14ac:dyDescent="0.3">
      <c r="A530" s="3">
        <v>45594</v>
      </c>
      <c r="B530" s="4" t="s">
        <v>125</v>
      </c>
      <c r="C530" s="4" t="s">
        <v>1228</v>
      </c>
      <c r="D530" s="3">
        <v>45594</v>
      </c>
      <c r="E530" s="2">
        <v>7965.64</v>
      </c>
      <c r="F530" s="2">
        <v>0</v>
      </c>
      <c r="G530" s="2">
        <v>97912.65</v>
      </c>
      <c r="H530" t="s">
        <v>361</v>
      </c>
    </row>
    <row r="531" spans="1:8" x14ac:dyDescent="0.3">
      <c r="A531" s="3">
        <v>45595</v>
      </c>
      <c r="B531" s="4" t="s">
        <v>125</v>
      </c>
      <c r="C531" s="4" t="s">
        <v>1229</v>
      </c>
      <c r="D531" s="3">
        <v>45595</v>
      </c>
      <c r="E531" s="2">
        <v>276.24</v>
      </c>
      <c r="F531" s="2">
        <v>0</v>
      </c>
      <c r="G531" s="2">
        <v>97636.41</v>
      </c>
      <c r="H531" t="s">
        <v>361</v>
      </c>
    </row>
    <row r="532" spans="1:8" x14ac:dyDescent="0.3">
      <c r="A532" s="3">
        <v>45596</v>
      </c>
      <c r="B532" s="4" t="s">
        <v>1230</v>
      </c>
      <c r="C532" s="4" t="s">
        <v>1231</v>
      </c>
      <c r="D532" s="3">
        <v>45596</v>
      </c>
      <c r="E532" s="2">
        <v>0</v>
      </c>
      <c r="F532" s="2">
        <v>29814.720000000001</v>
      </c>
      <c r="G532" s="2">
        <v>127451.13</v>
      </c>
      <c r="H532" t="s">
        <v>1876</v>
      </c>
    </row>
    <row r="533" spans="1:8" x14ac:dyDescent="0.3">
      <c r="A533" s="3">
        <v>45596</v>
      </c>
      <c r="B533" s="4" t="s">
        <v>1232</v>
      </c>
      <c r="C533" s="4" t="s">
        <v>1233</v>
      </c>
      <c r="D533" s="3">
        <v>45596</v>
      </c>
      <c r="E533" s="2">
        <v>0</v>
      </c>
      <c r="F533" s="2">
        <v>6867.42</v>
      </c>
      <c r="G533" s="2">
        <v>134318.54999999999</v>
      </c>
      <c r="H533" t="s">
        <v>1876</v>
      </c>
    </row>
    <row r="534" spans="1:8" x14ac:dyDescent="0.3">
      <c r="A534" s="3">
        <v>45596</v>
      </c>
      <c r="B534" s="4" t="s">
        <v>1234</v>
      </c>
      <c r="C534" s="4" t="s">
        <v>1235</v>
      </c>
      <c r="D534" s="3">
        <v>45596</v>
      </c>
      <c r="E534" s="2">
        <v>0</v>
      </c>
      <c r="F534" s="2">
        <v>51273.2</v>
      </c>
      <c r="G534" s="2">
        <v>185591.75</v>
      </c>
      <c r="H534" t="s">
        <v>1863</v>
      </c>
    </row>
    <row r="535" spans="1:8" x14ac:dyDescent="0.3">
      <c r="A535" s="3">
        <v>45596</v>
      </c>
      <c r="B535" s="4" t="s">
        <v>125</v>
      </c>
      <c r="C535" s="4" t="s">
        <v>1236</v>
      </c>
      <c r="D535" s="3">
        <v>45596</v>
      </c>
      <c r="E535" s="2">
        <v>287.10000000000002</v>
      </c>
      <c r="F535" s="2">
        <v>0</v>
      </c>
      <c r="G535" s="2">
        <v>185304.65</v>
      </c>
      <c r="H535" t="s">
        <v>361</v>
      </c>
    </row>
    <row r="536" spans="1:8" x14ac:dyDescent="0.3">
      <c r="A536" s="3">
        <v>45596</v>
      </c>
      <c r="B536" s="4" t="s">
        <v>125</v>
      </c>
      <c r="C536" s="4" t="s">
        <v>1237</v>
      </c>
      <c r="D536" s="3">
        <v>45596</v>
      </c>
      <c r="E536" s="2">
        <v>6914.76</v>
      </c>
      <c r="F536" s="2">
        <v>0</v>
      </c>
      <c r="G536" s="2">
        <v>178389.89</v>
      </c>
      <c r="H536" t="s">
        <v>361</v>
      </c>
    </row>
    <row r="537" spans="1:8" x14ac:dyDescent="0.3">
      <c r="A537" s="3">
        <v>45600</v>
      </c>
      <c r="B537" s="4" t="s">
        <v>1238</v>
      </c>
      <c r="C537" s="4" t="s">
        <v>1239</v>
      </c>
      <c r="D537" s="3">
        <v>45600</v>
      </c>
      <c r="E537" s="2">
        <v>0</v>
      </c>
      <c r="F537" s="2">
        <v>8573.4599999999991</v>
      </c>
      <c r="G537" s="2">
        <v>186963.35</v>
      </c>
      <c r="H537" t="s">
        <v>1876</v>
      </c>
    </row>
    <row r="538" spans="1:8" x14ac:dyDescent="0.3">
      <c r="A538" s="3">
        <v>45600</v>
      </c>
      <c r="B538" s="4" t="s">
        <v>1240</v>
      </c>
      <c r="C538" s="4" t="s">
        <v>1241</v>
      </c>
      <c r="D538" s="3">
        <v>45600</v>
      </c>
      <c r="E538" s="2">
        <v>0</v>
      </c>
      <c r="F538" s="2">
        <v>9376.1200000000008</v>
      </c>
      <c r="G538" s="2">
        <v>196339.47</v>
      </c>
      <c r="H538" t="s">
        <v>1876</v>
      </c>
    </row>
    <row r="539" spans="1:8" x14ac:dyDescent="0.3">
      <c r="A539" s="3">
        <v>45600</v>
      </c>
      <c r="B539" s="4" t="s">
        <v>125</v>
      </c>
      <c r="C539" s="4" t="s">
        <v>1242</v>
      </c>
      <c r="D539" s="3">
        <v>45600</v>
      </c>
      <c r="E539" s="2">
        <v>1158.2</v>
      </c>
      <c r="F539" s="2">
        <v>0</v>
      </c>
      <c r="G539" s="2">
        <v>195181.27</v>
      </c>
      <c r="H539" t="s">
        <v>361</v>
      </c>
    </row>
    <row r="540" spans="1:8" x14ac:dyDescent="0.3">
      <c r="A540" s="3">
        <v>45600</v>
      </c>
      <c r="B540" s="4" t="s">
        <v>1243</v>
      </c>
      <c r="C540" s="4" t="s">
        <v>1244</v>
      </c>
      <c r="D540" s="3">
        <v>45600</v>
      </c>
      <c r="E540" s="2">
        <v>20000</v>
      </c>
      <c r="F540" s="2">
        <v>0</v>
      </c>
      <c r="G540" s="2">
        <v>175181.27</v>
      </c>
      <c r="H540" t="s">
        <v>366</v>
      </c>
    </row>
    <row r="541" spans="1:8" x14ac:dyDescent="0.3">
      <c r="A541" s="3">
        <v>45600</v>
      </c>
      <c r="B541" s="4" t="s">
        <v>194</v>
      </c>
      <c r="C541" s="4" t="s">
        <v>1245</v>
      </c>
      <c r="D541" s="3">
        <v>45600</v>
      </c>
      <c r="E541" s="2">
        <v>0</v>
      </c>
      <c r="F541" s="2">
        <v>595.13</v>
      </c>
      <c r="G541" s="2">
        <v>175776.4</v>
      </c>
      <c r="H541" t="s">
        <v>369</v>
      </c>
    </row>
    <row r="542" spans="1:8" x14ac:dyDescent="0.3">
      <c r="A542" s="3">
        <v>45600</v>
      </c>
      <c r="B542" s="4" t="s">
        <v>125</v>
      </c>
      <c r="C542" s="4" t="s">
        <v>1246</v>
      </c>
      <c r="D542" s="3">
        <v>45600</v>
      </c>
      <c r="E542" s="2">
        <v>22990.26</v>
      </c>
      <c r="F542" s="2">
        <v>0</v>
      </c>
      <c r="G542" s="2">
        <v>152786.14000000001</v>
      </c>
      <c r="H542" t="s">
        <v>361</v>
      </c>
    </row>
    <row r="543" spans="1:8" x14ac:dyDescent="0.3">
      <c r="A543" s="3">
        <v>45601</v>
      </c>
      <c r="B543" s="4" t="s">
        <v>125</v>
      </c>
      <c r="C543" s="4" t="s">
        <v>1247</v>
      </c>
      <c r="D543" s="3">
        <v>45601</v>
      </c>
      <c r="E543" s="2">
        <v>284.41000000000003</v>
      </c>
      <c r="F543" s="2">
        <v>0</v>
      </c>
      <c r="G543" s="2">
        <v>152501.73000000001</v>
      </c>
      <c r="H543" t="s">
        <v>361</v>
      </c>
    </row>
    <row r="544" spans="1:8" x14ac:dyDescent="0.3">
      <c r="A544" s="3">
        <v>45601</v>
      </c>
      <c r="B544" s="4" t="s">
        <v>125</v>
      </c>
      <c r="C544" s="4" t="s">
        <v>1248</v>
      </c>
      <c r="D544" s="3">
        <v>45601</v>
      </c>
      <c r="E544" s="2">
        <v>1694.83</v>
      </c>
      <c r="F544" s="2">
        <v>0</v>
      </c>
      <c r="G544" s="2">
        <v>150806.9</v>
      </c>
      <c r="H544" t="s">
        <v>361</v>
      </c>
    </row>
    <row r="545" spans="1:8" x14ac:dyDescent="0.3">
      <c r="A545" s="3">
        <v>45602</v>
      </c>
      <c r="B545" s="4" t="s">
        <v>125</v>
      </c>
      <c r="C545" s="4" t="s">
        <v>1249</v>
      </c>
      <c r="D545" s="3">
        <v>45602</v>
      </c>
      <c r="E545" s="2">
        <v>286.27999999999997</v>
      </c>
      <c r="F545" s="2">
        <v>0</v>
      </c>
      <c r="G545" s="2">
        <v>150520.62</v>
      </c>
      <c r="H545" t="s">
        <v>361</v>
      </c>
    </row>
    <row r="546" spans="1:8" x14ac:dyDescent="0.3">
      <c r="A546" s="3">
        <v>45603</v>
      </c>
      <c r="B546" s="4" t="s">
        <v>1250</v>
      </c>
      <c r="C546" s="4" t="s">
        <v>1251</v>
      </c>
      <c r="D546" s="3">
        <v>45603</v>
      </c>
      <c r="E546" s="2">
        <v>0</v>
      </c>
      <c r="F546" s="2">
        <v>15125.84</v>
      </c>
      <c r="G546" s="2">
        <v>165646.46</v>
      </c>
      <c r="H546" t="s">
        <v>1876</v>
      </c>
    </row>
    <row r="547" spans="1:8" x14ac:dyDescent="0.3">
      <c r="A547" s="3">
        <v>45603</v>
      </c>
      <c r="B547" s="4" t="s">
        <v>125</v>
      </c>
      <c r="C547" s="4" t="s">
        <v>1252</v>
      </c>
      <c r="D547" s="3">
        <v>45603</v>
      </c>
      <c r="E547" s="2">
        <v>290.33999999999997</v>
      </c>
      <c r="F547" s="2">
        <v>0</v>
      </c>
      <c r="G547" s="2">
        <v>165356.12</v>
      </c>
      <c r="H547" t="s">
        <v>361</v>
      </c>
    </row>
    <row r="548" spans="1:8" x14ac:dyDescent="0.3">
      <c r="A548" s="3">
        <v>45603</v>
      </c>
      <c r="B548" s="4" t="s">
        <v>1253</v>
      </c>
      <c r="C548" s="4" t="s">
        <v>1254</v>
      </c>
      <c r="D548" s="3">
        <v>45603</v>
      </c>
      <c r="E548" s="2">
        <v>0</v>
      </c>
      <c r="F548" s="2">
        <v>1280</v>
      </c>
      <c r="G548" s="2">
        <v>166636.12</v>
      </c>
      <c r="H548" t="s">
        <v>367</v>
      </c>
    </row>
    <row r="549" spans="1:8" x14ac:dyDescent="0.3">
      <c r="A549" s="3">
        <v>45603</v>
      </c>
      <c r="B549" s="4" t="s">
        <v>125</v>
      </c>
      <c r="C549" s="4" t="s">
        <v>1255</v>
      </c>
      <c r="D549" s="3">
        <v>45603</v>
      </c>
      <c r="E549" s="2">
        <v>9762.7199999999993</v>
      </c>
      <c r="F549" s="2">
        <v>0</v>
      </c>
      <c r="G549" s="2">
        <v>156873.4</v>
      </c>
      <c r="H549" t="s">
        <v>361</v>
      </c>
    </row>
    <row r="550" spans="1:8" x14ac:dyDescent="0.3">
      <c r="A550" s="3">
        <v>45604</v>
      </c>
      <c r="B550" s="4" t="s">
        <v>1256</v>
      </c>
      <c r="C550" s="4" t="s">
        <v>1257</v>
      </c>
      <c r="D550" s="3">
        <v>45604</v>
      </c>
      <c r="E550" s="2">
        <v>0</v>
      </c>
      <c r="F550" s="2">
        <v>40137.24</v>
      </c>
      <c r="G550" s="2">
        <v>197010.64</v>
      </c>
      <c r="H550" t="s">
        <v>1876</v>
      </c>
    </row>
    <row r="551" spans="1:8" x14ac:dyDescent="0.3">
      <c r="A551" s="3">
        <v>45604</v>
      </c>
      <c r="B551" s="4" t="s">
        <v>1258</v>
      </c>
      <c r="C551" s="4" t="s">
        <v>1259</v>
      </c>
      <c r="D551" s="3">
        <v>45604</v>
      </c>
      <c r="E551" s="2">
        <v>0</v>
      </c>
      <c r="F551" s="2">
        <v>1260</v>
      </c>
      <c r="G551" s="2">
        <v>198270.64</v>
      </c>
      <c r="H551" t="s">
        <v>367</v>
      </c>
    </row>
    <row r="552" spans="1:8" x14ac:dyDescent="0.3">
      <c r="A552" s="3">
        <v>45604</v>
      </c>
      <c r="B552" s="4" t="s">
        <v>125</v>
      </c>
      <c r="C552" s="4" t="s">
        <v>1260</v>
      </c>
      <c r="D552" s="3">
        <v>45604</v>
      </c>
      <c r="E552" s="2">
        <v>292.25</v>
      </c>
      <c r="F552" s="2">
        <v>0</v>
      </c>
      <c r="G552" s="2">
        <v>197978.39</v>
      </c>
      <c r="H552" t="s">
        <v>361</v>
      </c>
    </row>
    <row r="553" spans="1:8" x14ac:dyDescent="0.3">
      <c r="A553" s="3">
        <v>45604</v>
      </c>
      <c r="B553" s="4" t="s">
        <v>125</v>
      </c>
      <c r="C553" s="4" t="s">
        <v>1261</v>
      </c>
      <c r="D553" s="3">
        <v>45604</v>
      </c>
      <c r="E553" s="2">
        <v>15168.44</v>
      </c>
      <c r="F553" s="2">
        <v>0</v>
      </c>
      <c r="G553" s="2">
        <v>182809.95</v>
      </c>
      <c r="H553" t="s">
        <v>361</v>
      </c>
    </row>
    <row r="554" spans="1:8" x14ac:dyDescent="0.3">
      <c r="A554" s="3">
        <v>45605</v>
      </c>
      <c r="B554" s="4" t="s">
        <v>1243</v>
      </c>
      <c r="C554" s="4" t="s">
        <v>1262</v>
      </c>
      <c r="D554" s="3">
        <v>45605</v>
      </c>
      <c r="E554" s="2">
        <v>20000</v>
      </c>
      <c r="F554" s="2">
        <v>0</v>
      </c>
      <c r="G554" s="2">
        <v>162809.95000000001</v>
      </c>
      <c r="H554" t="s">
        <v>366</v>
      </c>
    </row>
    <row r="555" spans="1:8" x14ac:dyDescent="0.3">
      <c r="A555" s="3">
        <v>45607</v>
      </c>
      <c r="B555" s="4" t="s">
        <v>1263</v>
      </c>
      <c r="C555" s="4" t="s">
        <v>1264</v>
      </c>
      <c r="D555" s="3">
        <v>45607</v>
      </c>
      <c r="E555" s="2">
        <v>0</v>
      </c>
      <c r="F555" s="2">
        <v>28183.96</v>
      </c>
      <c r="G555" s="2">
        <v>190993.91</v>
      </c>
      <c r="H555" t="s">
        <v>1876</v>
      </c>
    </row>
    <row r="556" spans="1:8" x14ac:dyDescent="0.3">
      <c r="A556" s="3">
        <v>45607</v>
      </c>
      <c r="B556" s="4" t="s">
        <v>146</v>
      </c>
      <c r="C556" s="4" t="s">
        <v>1265</v>
      </c>
      <c r="D556" s="3">
        <v>45607</v>
      </c>
      <c r="E556" s="2">
        <v>10000</v>
      </c>
      <c r="F556" s="2">
        <v>0</v>
      </c>
      <c r="G556" s="2">
        <v>180993.91</v>
      </c>
      <c r="H556" t="s">
        <v>1854</v>
      </c>
    </row>
    <row r="557" spans="1:8" x14ac:dyDescent="0.3">
      <c r="A557" s="3">
        <v>45607</v>
      </c>
      <c r="B557" s="4" t="s">
        <v>125</v>
      </c>
      <c r="C557" s="4" t="s">
        <v>1266</v>
      </c>
      <c r="D557" s="3">
        <v>45607</v>
      </c>
      <c r="E557" s="2">
        <v>883.83</v>
      </c>
      <c r="F557" s="2">
        <v>0</v>
      </c>
      <c r="G557" s="2">
        <v>180110.07999999999</v>
      </c>
      <c r="H557" t="s">
        <v>361</v>
      </c>
    </row>
    <row r="558" spans="1:8" x14ac:dyDescent="0.3">
      <c r="A558" s="3">
        <v>45608</v>
      </c>
      <c r="B558" s="4" t="s">
        <v>125</v>
      </c>
      <c r="C558" s="4" t="s">
        <v>1267</v>
      </c>
      <c r="D558" s="3">
        <v>45608</v>
      </c>
      <c r="E558" s="2">
        <v>17702.580000000002</v>
      </c>
      <c r="F558" s="2">
        <v>0</v>
      </c>
      <c r="G558" s="2">
        <v>162407.5</v>
      </c>
      <c r="H558" t="s">
        <v>361</v>
      </c>
    </row>
    <row r="559" spans="1:8" x14ac:dyDescent="0.3">
      <c r="A559" s="3">
        <v>45608</v>
      </c>
      <c r="B559" s="4" t="s">
        <v>125</v>
      </c>
      <c r="C559" s="4" t="s">
        <v>1268</v>
      </c>
      <c r="D559" s="3">
        <v>45608</v>
      </c>
      <c r="E559" s="2">
        <v>37.770000000000003</v>
      </c>
      <c r="F559" s="2">
        <v>0</v>
      </c>
      <c r="G559" s="2">
        <v>162369.73000000001</v>
      </c>
      <c r="H559" t="s">
        <v>361</v>
      </c>
    </row>
    <row r="560" spans="1:8" x14ac:dyDescent="0.3">
      <c r="A560" s="3">
        <v>45608</v>
      </c>
      <c r="B560" s="4" t="s">
        <v>125</v>
      </c>
      <c r="C560" s="4" t="s">
        <v>1269</v>
      </c>
      <c r="D560" s="3">
        <v>45608</v>
      </c>
      <c r="E560" s="2">
        <v>288.3</v>
      </c>
      <c r="F560" s="2">
        <v>0</v>
      </c>
      <c r="G560" s="2">
        <v>162081.43</v>
      </c>
      <c r="H560" t="s">
        <v>361</v>
      </c>
    </row>
    <row r="561" spans="1:8" x14ac:dyDescent="0.3">
      <c r="A561" s="3">
        <v>45608</v>
      </c>
      <c r="B561" s="4" t="s">
        <v>1270</v>
      </c>
      <c r="C561" s="4" t="s">
        <v>1271</v>
      </c>
      <c r="D561" s="3">
        <v>45608</v>
      </c>
      <c r="E561" s="2">
        <v>0</v>
      </c>
      <c r="F561" s="2">
        <v>6457</v>
      </c>
      <c r="G561" s="2">
        <v>168538.43</v>
      </c>
      <c r="H561" t="s">
        <v>1884</v>
      </c>
    </row>
    <row r="562" spans="1:8" x14ac:dyDescent="0.3">
      <c r="A562" s="3">
        <v>45608</v>
      </c>
      <c r="B562" s="4" t="s">
        <v>125</v>
      </c>
      <c r="C562" s="4" t="s">
        <v>1272</v>
      </c>
      <c r="D562" s="3">
        <v>45608</v>
      </c>
      <c r="E562" s="2">
        <v>4269.63</v>
      </c>
      <c r="F562" s="2">
        <v>0</v>
      </c>
      <c r="G562" s="2">
        <v>164268.79999999999</v>
      </c>
      <c r="H562" t="s">
        <v>361</v>
      </c>
    </row>
    <row r="563" spans="1:8" x14ac:dyDescent="0.3">
      <c r="A563" s="3">
        <v>45609</v>
      </c>
      <c r="B563" s="4" t="s">
        <v>1273</v>
      </c>
      <c r="C563" s="4" t="s">
        <v>140</v>
      </c>
      <c r="D563" s="3">
        <v>45609</v>
      </c>
      <c r="E563" s="2">
        <v>700.31</v>
      </c>
      <c r="F563" s="2">
        <v>0</v>
      </c>
      <c r="G563" s="2">
        <v>163568.49</v>
      </c>
      <c r="H563" t="s">
        <v>362</v>
      </c>
    </row>
    <row r="564" spans="1:8" x14ac:dyDescent="0.3">
      <c r="A564" s="3">
        <v>45609</v>
      </c>
      <c r="B564" s="4" t="s">
        <v>125</v>
      </c>
      <c r="C564" s="4" t="s">
        <v>1274</v>
      </c>
      <c r="D564" s="3">
        <v>45609</v>
      </c>
      <c r="E564" s="2">
        <v>289.45</v>
      </c>
      <c r="F564" s="2">
        <v>0</v>
      </c>
      <c r="G564" s="2">
        <v>163279.04000000001</v>
      </c>
      <c r="H564" t="s">
        <v>361</v>
      </c>
    </row>
    <row r="565" spans="1:8" x14ac:dyDescent="0.3">
      <c r="A565" s="3">
        <v>45609</v>
      </c>
      <c r="B565" s="4" t="s">
        <v>125</v>
      </c>
      <c r="C565" s="4" t="s">
        <v>1275</v>
      </c>
      <c r="D565" s="3">
        <v>45609</v>
      </c>
      <c r="E565" s="2">
        <v>22366.67</v>
      </c>
      <c r="F565" s="2">
        <v>0</v>
      </c>
      <c r="G565" s="2">
        <v>140912.37</v>
      </c>
      <c r="H565" t="s">
        <v>361</v>
      </c>
    </row>
    <row r="566" spans="1:8" x14ac:dyDescent="0.3">
      <c r="A566" s="3">
        <v>45610</v>
      </c>
      <c r="B566" s="4" t="s">
        <v>125</v>
      </c>
      <c r="C566" s="4" t="s">
        <v>1276</v>
      </c>
      <c r="D566" s="3">
        <v>45610</v>
      </c>
      <c r="E566" s="2">
        <v>281.49</v>
      </c>
      <c r="F566" s="2">
        <v>0</v>
      </c>
      <c r="G566" s="2">
        <v>140630.88</v>
      </c>
      <c r="H566" t="s">
        <v>361</v>
      </c>
    </row>
    <row r="567" spans="1:8" x14ac:dyDescent="0.3">
      <c r="A567" s="3">
        <v>45610</v>
      </c>
      <c r="B567" s="4" t="s">
        <v>125</v>
      </c>
      <c r="C567" s="4" t="s">
        <v>1277</v>
      </c>
      <c r="D567" s="3">
        <v>45610</v>
      </c>
      <c r="E567" s="2">
        <v>5258.97</v>
      </c>
      <c r="F567" s="2">
        <v>0</v>
      </c>
      <c r="G567" s="2">
        <v>135371.91</v>
      </c>
      <c r="H567" t="s">
        <v>361</v>
      </c>
    </row>
    <row r="568" spans="1:8" x14ac:dyDescent="0.3">
      <c r="A568" s="3">
        <v>45611</v>
      </c>
      <c r="B568" s="4" t="s">
        <v>1278</v>
      </c>
      <c r="C568" s="4" t="s">
        <v>1279</v>
      </c>
      <c r="D568" s="3">
        <v>45611</v>
      </c>
      <c r="E568" s="2">
        <v>25000</v>
      </c>
      <c r="F568" s="2">
        <v>0</v>
      </c>
      <c r="G568" s="2">
        <v>110371.91</v>
      </c>
      <c r="H568" t="s">
        <v>1852</v>
      </c>
    </row>
    <row r="569" spans="1:8" x14ac:dyDescent="0.3">
      <c r="A569" s="3">
        <v>45612</v>
      </c>
      <c r="B569" s="4" t="s">
        <v>1280</v>
      </c>
      <c r="C569" s="4" t="s">
        <v>1281</v>
      </c>
      <c r="D569" s="3">
        <v>45612</v>
      </c>
      <c r="E569" s="2">
        <v>0</v>
      </c>
      <c r="F569" s="2">
        <v>210</v>
      </c>
      <c r="G569" s="2">
        <v>110581.91</v>
      </c>
      <c r="H569" t="s">
        <v>367</v>
      </c>
    </row>
    <row r="570" spans="1:8" x14ac:dyDescent="0.3">
      <c r="A570" s="3">
        <v>45614</v>
      </c>
      <c r="B570" s="4" t="s">
        <v>146</v>
      </c>
      <c r="C570" s="4" t="s">
        <v>1282</v>
      </c>
      <c r="D570" s="3">
        <v>45614</v>
      </c>
      <c r="E570" s="2">
        <v>10000</v>
      </c>
      <c r="F570" s="2">
        <v>0</v>
      </c>
      <c r="G570" s="2">
        <v>100581.91</v>
      </c>
      <c r="H570" t="s">
        <v>1854</v>
      </c>
    </row>
    <row r="571" spans="1:8" x14ac:dyDescent="0.3">
      <c r="A571" s="3">
        <v>45614</v>
      </c>
      <c r="B571" s="4" t="s">
        <v>125</v>
      </c>
      <c r="C571" s="4" t="s">
        <v>1283</v>
      </c>
      <c r="D571" s="3">
        <v>45614</v>
      </c>
      <c r="E571" s="2">
        <v>1118.48</v>
      </c>
      <c r="F571" s="2">
        <v>0</v>
      </c>
      <c r="G571" s="2">
        <v>99463.43</v>
      </c>
      <c r="H571" t="s">
        <v>361</v>
      </c>
    </row>
    <row r="572" spans="1:8" x14ac:dyDescent="0.3">
      <c r="A572" s="3">
        <v>45614</v>
      </c>
      <c r="B572" s="4" t="s">
        <v>1284</v>
      </c>
      <c r="C572" s="4" t="s">
        <v>1285</v>
      </c>
      <c r="D572" s="3">
        <v>45614</v>
      </c>
      <c r="E572" s="2">
        <v>0</v>
      </c>
      <c r="F572" s="2">
        <v>52.5</v>
      </c>
      <c r="G572" s="2">
        <v>99515.93</v>
      </c>
      <c r="H572" t="s">
        <v>367</v>
      </c>
    </row>
    <row r="573" spans="1:8" x14ac:dyDescent="0.3">
      <c r="A573" s="3">
        <v>45614</v>
      </c>
      <c r="B573" s="4" t="s">
        <v>236</v>
      </c>
      <c r="C573" s="4" t="s">
        <v>1286</v>
      </c>
      <c r="D573" s="3">
        <v>45614</v>
      </c>
      <c r="E573" s="2">
        <v>0</v>
      </c>
      <c r="F573" s="2">
        <v>129.43</v>
      </c>
      <c r="G573" s="2">
        <v>99645.36</v>
      </c>
      <c r="H573" t="s">
        <v>369</v>
      </c>
    </row>
    <row r="574" spans="1:8" x14ac:dyDescent="0.3">
      <c r="A574" s="3">
        <v>45614</v>
      </c>
      <c r="B574" s="4" t="s">
        <v>1243</v>
      </c>
      <c r="C574" s="4" t="s">
        <v>1287</v>
      </c>
      <c r="D574" s="3">
        <v>45614</v>
      </c>
      <c r="E574" s="2">
        <v>20000</v>
      </c>
      <c r="F574" s="2">
        <v>0</v>
      </c>
      <c r="G574" s="2">
        <v>79645.36</v>
      </c>
      <c r="H574" t="s">
        <v>366</v>
      </c>
    </row>
    <row r="575" spans="1:8" x14ac:dyDescent="0.3">
      <c r="A575" s="3">
        <v>45615</v>
      </c>
      <c r="B575" s="4" t="s">
        <v>1288</v>
      </c>
      <c r="C575" s="4" t="s">
        <v>1289</v>
      </c>
      <c r="D575" s="3">
        <v>45615</v>
      </c>
      <c r="E575" s="2">
        <v>0</v>
      </c>
      <c r="F575" s="2">
        <v>9615.64</v>
      </c>
      <c r="G575" s="2">
        <v>89261</v>
      </c>
      <c r="H575" t="s">
        <v>1876</v>
      </c>
    </row>
    <row r="576" spans="1:8" x14ac:dyDescent="0.3">
      <c r="A576" s="3">
        <v>45615</v>
      </c>
      <c r="B576" s="4" t="s">
        <v>125</v>
      </c>
      <c r="C576" s="4" t="s">
        <v>1290</v>
      </c>
      <c r="D576" s="3">
        <v>45615</v>
      </c>
      <c r="E576" s="2">
        <v>281.95999999999998</v>
      </c>
      <c r="F576" s="2">
        <v>0</v>
      </c>
      <c r="G576" s="2">
        <v>88979.04</v>
      </c>
      <c r="H576" t="s">
        <v>361</v>
      </c>
    </row>
    <row r="577" spans="1:8" x14ac:dyDescent="0.3">
      <c r="A577" s="3">
        <v>45615</v>
      </c>
      <c r="B577" s="4" t="s">
        <v>1291</v>
      </c>
      <c r="C577" s="4" t="s">
        <v>1292</v>
      </c>
      <c r="D577" s="3">
        <v>45615</v>
      </c>
      <c r="E577" s="2">
        <v>0</v>
      </c>
      <c r="F577" s="2">
        <v>770</v>
      </c>
      <c r="G577" s="2">
        <v>89749.04</v>
      </c>
      <c r="H577" t="s">
        <v>367</v>
      </c>
    </row>
    <row r="578" spans="1:8" x14ac:dyDescent="0.3">
      <c r="A578" s="3">
        <v>45617</v>
      </c>
      <c r="B578" s="4" t="s">
        <v>1293</v>
      </c>
      <c r="C578" s="4" t="s">
        <v>1294</v>
      </c>
      <c r="D578" s="3">
        <v>45617</v>
      </c>
      <c r="E578" s="2">
        <v>0</v>
      </c>
      <c r="F578" s="2">
        <v>4426.17</v>
      </c>
      <c r="G578" s="2">
        <v>94175.21</v>
      </c>
      <c r="H578" t="s">
        <v>1876</v>
      </c>
    </row>
    <row r="579" spans="1:8" x14ac:dyDescent="0.3">
      <c r="A579" s="3">
        <v>45617</v>
      </c>
      <c r="B579" s="4" t="s">
        <v>146</v>
      </c>
      <c r="C579" s="4" t="s">
        <v>1295</v>
      </c>
      <c r="D579" s="3">
        <v>45617</v>
      </c>
      <c r="E579" s="2">
        <v>10000</v>
      </c>
      <c r="F579" s="2">
        <v>0</v>
      </c>
      <c r="G579" s="2">
        <v>84175.21</v>
      </c>
      <c r="H579" t="s">
        <v>1854</v>
      </c>
    </row>
    <row r="580" spans="1:8" x14ac:dyDescent="0.3">
      <c r="A580" s="3">
        <v>45617</v>
      </c>
      <c r="B580" s="4" t="s">
        <v>125</v>
      </c>
      <c r="C580" s="4" t="s">
        <v>1296</v>
      </c>
      <c r="D580" s="3">
        <v>45617</v>
      </c>
      <c r="E580" s="2">
        <v>570.78</v>
      </c>
      <c r="F580" s="2">
        <v>0</v>
      </c>
      <c r="G580" s="2">
        <v>83604.429999999993</v>
      </c>
      <c r="H580" t="s">
        <v>361</v>
      </c>
    </row>
    <row r="581" spans="1:8" x14ac:dyDescent="0.3">
      <c r="A581" s="3">
        <v>45617</v>
      </c>
      <c r="B581" s="4" t="s">
        <v>125</v>
      </c>
      <c r="C581" s="4" t="s">
        <v>1297</v>
      </c>
      <c r="D581" s="3">
        <v>45617</v>
      </c>
      <c r="E581" s="2">
        <v>11700.27</v>
      </c>
      <c r="F581" s="2">
        <v>0</v>
      </c>
      <c r="G581" s="2">
        <v>71904.160000000003</v>
      </c>
      <c r="H581" t="s">
        <v>361</v>
      </c>
    </row>
    <row r="582" spans="1:8" x14ac:dyDescent="0.3">
      <c r="A582" s="3">
        <v>45618</v>
      </c>
      <c r="B582" s="4" t="s">
        <v>125</v>
      </c>
      <c r="C582" s="4" t="s">
        <v>1298</v>
      </c>
      <c r="D582" s="3">
        <v>45618</v>
      </c>
      <c r="E582" s="2">
        <v>282.8</v>
      </c>
      <c r="F582" s="2">
        <v>0</v>
      </c>
      <c r="G582" s="2">
        <v>71621.36</v>
      </c>
      <c r="H582" t="s">
        <v>361</v>
      </c>
    </row>
    <row r="583" spans="1:8" x14ac:dyDescent="0.3">
      <c r="A583" s="3">
        <v>45621</v>
      </c>
      <c r="B583" s="4" t="s">
        <v>1299</v>
      </c>
      <c r="C583" s="4" t="s">
        <v>1300</v>
      </c>
      <c r="D583" s="3">
        <v>45621</v>
      </c>
      <c r="E583" s="2">
        <v>0</v>
      </c>
      <c r="F583" s="2">
        <v>11980.5</v>
      </c>
      <c r="G583" s="2">
        <v>83601.86</v>
      </c>
      <c r="H583" t="s">
        <v>1876</v>
      </c>
    </row>
    <row r="584" spans="1:8" x14ac:dyDescent="0.3">
      <c r="A584" s="3">
        <v>45621</v>
      </c>
      <c r="B584" s="4" t="s">
        <v>1301</v>
      </c>
      <c r="C584" s="4" t="s">
        <v>1302</v>
      </c>
      <c r="D584" s="3">
        <v>45621</v>
      </c>
      <c r="E584" s="2">
        <v>0</v>
      </c>
      <c r="F584" s="2">
        <v>37262.67</v>
      </c>
      <c r="G584" s="2">
        <v>120864.53</v>
      </c>
      <c r="H584" t="s">
        <v>1876</v>
      </c>
    </row>
    <row r="585" spans="1:8" x14ac:dyDescent="0.3">
      <c r="A585" s="3">
        <v>45621</v>
      </c>
      <c r="B585" s="4" t="s">
        <v>125</v>
      </c>
      <c r="C585" s="4" t="s">
        <v>1303</v>
      </c>
      <c r="D585" s="3">
        <v>45621</v>
      </c>
      <c r="E585" s="2">
        <v>861.36</v>
      </c>
      <c r="F585" s="2">
        <v>0</v>
      </c>
      <c r="G585" s="2">
        <v>120003.17</v>
      </c>
      <c r="H585" t="s">
        <v>361</v>
      </c>
    </row>
    <row r="586" spans="1:8" x14ac:dyDescent="0.3">
      <c r="A586" s="3">
        <v>45621</v>
      </c>
      <c r="B586" s="4" t="s">
        <v>1304</v>
      </c>
      <c r="C586" s="4" t="s">
        <v>1305</v>
      </c>
      <c r="D586" s="3">
        <v>45621</v>
      </c>
      <c r="E586" s="2">
        <v>20000</v>
      </c>
      <c r="F586" s="2">
        <v>0</v>
      </c>
      <c r="G586" s="2">
        <v>100003.17</v>
      </c>
      <c r="H586" t="s">
        <v>366</v>
      </c>
    </row>
    <row r="587" spans="1:8" x14ac:dyDescent="0.3">
      <c r="A587" s="3">
        <v>45622</v>
      </c>
      <c r="B587" s="4" t="s">
        <v>1306</v>
      </c>
      <c r="C587" s="4" t="s">
        <v>1307</v>
      </c>
      <c r="D587" s="3">
        <v>45622</v>
      </c>
      <c r="E587" s="2">
        <v>0</v>
      </c>
      <c r="F587" s="2">
        <v>13114.06</v>
      </c>
      <c r="G587" s="2">
        <v>113117.23</v>
      </c>
      <c r="H587" t="s">
        <v>1876</v>
      </c>
    </row>
    <row r="588" spans="1:8" x14ac:dyDescent="0.3">
      <c r="A588" s="3">
        <v>45622</v>
      </c>
      <c r="B588" s="4" t="s">
        <v>125</v>
      </c>
      <c r="C588" s="4" t="s">
        <v>1308</v>
      </c>
      <c r="D588" s="3">
        <v>45622</v>
      </c>
      <c r="E588" s="2">
        <v>291.38</v>
      </c>
      <c r="F588" s="2">
        <v>0</v>
      </c>
      <c r="G588" s="2">
        <v>112825.85</v>
      </c>
      <c r="H588" t="s">
        <v>361</v>
      </c>
    </row>
    <row r="589" spans="1:8" x14ac:dyDescent="0.3">
      <c r="A589" s="3">
        <v>45622</v>
      </c>
      <c r="B589" s="4" t="s">
        <v>125</v>
      </c>
      <c r="C589" s="4" t="s">
        <v>1309</v>
      </c>
      <c r="D589" s="3">
        <v>45622</v>
      </c>
      <c r="E589" s="2">
        <v>1975.62</v>
      </c>
      <c r="F589" s="2">
        <v>0</v>
      </c>
      <c r="G589" s="2">
        <v>110850.23</v>
      </c>
      <c r="H589" t="s">
        <v>361</v>
      </c>
    </row>
    <row r="590" spans="1:8" x14ac:dyDescent="0.3">
      <c r="A590" s="3">
        <v>45623</v>
      </c>
      <c r="B590" s="4" t="s">
        <v>1310</v>
      </c>
      <c r="C590" s="4" t="s">
        <v>1311</v>
      </c>
      <c r="D590" s="3">
        <v>45623</v>
      </c>
      <c r="E590" s="2">
        <v>0</v>
      </c>
      <c r="F590" s="2">
        <v>74886.78</v>
      </c>
      <c r="G590" s="2">
        <v>185737.01</v>
      </c>
      <c r="H590" t="s">
        <v>1876</v>
      </c>
    </row>
    <row r="591" spans="1:8" x14ac:dyDescent="0.3">
      <c r="A591" s="3">
        <v>45623</v>
      </c>
      <c r="B591" s="4" t="s">
        <v>125</v>
      </c>
      <c r="C591" s="4" t="s">
        <v>1312</v>
      </c>
      <c r="D591" s="3">
        <v>45623</v>
      </c>
      <c r="E591" s="2">
        <v>295.35000000000002</v>
      </c>
      <c r="F591" s="2">
        <v>0</v>
      </c>
      <c r="G591" s="2">
        <v>185441.66</v>
      </c>
      <c r="H591" t="s">
        <v>361</v>
      </c>
    </row>
    <row r="592" spans="1:8" x14ac:dyDescent="0.3">
      <c r="A592" s="3">
        <v>45624</v>
      </c>
      <c r="B592" s="4" t="s">
        <v>1313</v>
      </c>
      <c r="C592" s="4" t="s">
        <v>1314</v>
      </c>
      <c r="D592" s="3">
        <v>45624</v>
      </c>
      <c r="E592" s="2">
        <v>0</v>
      </c>
      <c r="F592" s="2">
        <v>10071</v>
      </c>
      <c r="G592" s="2">
        <v>195512.66</v>
      </c>
      <c r="H592" t="s">
        <v>1876</v>
      </c>
    </row>
    <row r="593" spans="1:8" x14ac:dyDescent="0.3">
      <c r="A593" s="3">
        <v>45624</v>
      </c>
      <c r="B593" s="4" t="s">
        <v>125</v>
      </c>
      <c r="C593" s="4" t="s">
        <v>1315</v>
      </c>
      <c r="D593" s="3">
        <v>45624</v>
      </c>
      <c r="E593" s="2">
        <v>295.35000000000002</v>
      </c>
      <c r="F593" s="2">
        <v>0</v>
      </c>
      <c r="G593" s="2">
        <v>195217.31</v>
      </c>
      <c r="H593" t="s">
        <v>361</v>
      </c>
    </row>
    <row r="594" spans="1:8" x14ac:dyDescent="0.3">
      <c r="A594" s="3">
        <v>45625</v>
      </c>
      <c r="B594" s="4" t="s">
        <v>125</v>
      </c>
      <c r="C594" s="4" t="s">
        <v>1316</v>
      </c>
      <c r="D594" s="3">
        <v>45625</v>
      </c>
      <c r="E594" s="2">
        <v>2763.87</v>
      </c>
      <c r="F594" s="2">
        <v>0</v>
      </c>
      <c r="G594" s="2">
        <v>192453.44</v>
      </c>
      <c r="H594" t="s">
        <v>361</v>
      </c>
    </row>
    <row r="595" spans="1:8" x14ac:dyDescent="0.3">
      <c r="A595" s="3">
        <v>45625</v>
      </c>
      <c r="B595" s="4" t="s">
        <v>125</v>
      </c>
      <c r="C595" s="4" t="s">
        <v>1317</v>
      </c>
      <c r="D595" s="3">
        <v>45625</v>
      </c>
      <c r="E595" s="2">
        <v>297.95</v>
      </c>
      <c r="F595" s="2">
        <v>0</v>
      </c>
      <c r="G595" s="2">
        <v>192155.49</v>
      </c>
      <c r="H595" t="s">
        <v>361</v>
      </c>
    </row>
    <row r="596" spans="1:8" x14ac:dyDescent="0.3">
      <c r="A596" s="3">
        <v>45625</v>
      </c>
      <c r="B596" s="4" t="s">
        <v>125</v>
      </c>
      <c r="C596" s="4" t="s">
        <v>1318</v>
      </c>
      <c r="D596" s="3">
        <v>45625</v>
      </c>
      <c r="E596" s="2">
        <v>28084.84</v>
      </c>
      <c r="F596" s="2">
        <v>0</v>
      </c>
      <c r="G596" s="2">
        <v>164070.65</v>
      </c>
      <c r="H596" t="s">
        <v>361</v>
      </c>
    </row>
    <row r="597" spans="1:8" x14ac:dyDescent="0.3">
      <c r="A597" s="3">
        <v>45625</v>
      </c>
      <c r="B597" s="4" t="s">
        <v>1319</v>
      </c>
      <c r="C597" s="4" t="s">
        <v>1320</v>
      </c>
      <c r="D597" s="3">
        <v>45625</v>
      </c>
      <c r="E597" s="2">
        <v>0</v>
      </c>
      <c r="F597" s="2">
        <v>200000</v>
      </c>
      <c r="G597" s="2">
        <v>364070.65</v>
      </c>
      <c r="H597" t="s">
        <v>372</v>
      </c>
    </row>
    <row r="598" spans="1:8" x14ac:dyDescent="0.3">
      <c r="A598" s="3">
        <v>45628</v>
      </c>
      <c r="B598" s="4" t="s">
        <v>1321</v>
      </c>
      <c r="C598" s="4" t="s">
        <v>1322</v>
      </c>
      <c r="D598" s="3">
        <v>45628</v>
      </c>
      <c r="E598" s="2">
        <v>0</v>
      </c>
      <c r="F598" s="2">
        <v>886.28</v>
      </c>
      <c r="G598" s="2">
        <v>364956.93</v>
      </c>
      <c r="H598" t="s">
        <v>1876</v>
      </c>
    </row>
    <row r="599" spans="1:8" x14ac:dyDescent="0.3">
      <c r="A599" s="3">
        <v>45628</v>
      </c>
      <c r="B599" s="4" t="s">
        <v>1025</v>
      </c>
      <c r="C599" s="4" t="s">
        <v>1323</v>
      </c>
      <c r="D599" s="3">
        <v>45628</v>
      </c>
      <c r="E599" s="2">
        <v>356770</v>
      </c>
      <c r="F599" s="2">
        <v>0</v>
      </c>
      <c r="G599" s="2">
        <v>8186.93</v>
      </c>
      <c r="H599" t="s">
        <v>1838</v>
      </c>
    </row>
    <row r="600" spans="1:8" x14ac:dyDescent="0.3">
      <c r="A600" s="3">
        <v>45628</v>
      </c>
      <c r="B600" s="4" t="s">
        <v>125</v>
      </c>
      <c r="C600" s="4" t="s">
        <v>1324</v>
      </c>
      <c r="D600" s="3">
        <v>45628</v>
      </c>
      <c r="E600" s="2">
        <v>893.85</v>
      </c>
      <c r="F600" s="2">
        <v>0</v>
      </c>
      <c r="G600" s="2">
        <v>7293.08</v>
      </c>
      <c r="H600" t="s">
        <v>361</v>
      </c>
    </row>
    <row r="601" spans="1:8" x14ac:dyDescent="0.3">
      <c r="A601" s="3">
        <v>45628</v>
      </c>
      <c r="B601" s="4" t="s">
        <v>1325</v>
      </c>
      <c r="C601" s="4" t="s">
        <v>1326</v>
      </c>
      <c r="D601" s="3">
        <v>45628</v>
      </c>
      <c r="E601" s="2">
        <v>0</v>
      </c>
      <c r="F601" s="2">
        <v>200000</v>
      </c>
      <c r="G601" s="2">
        <v>207293.08</v>
      </c>
      <c r="H601" t="s">
        <v>372</v>
      </c>
    </row>
    <row r="602" spans="1:8" x14ac:dyDescent="0.3">
      <c r="A602" s="3">
        <v>45628</v>
      </c>
      <c r="B602" s="4" t="s">
        <v>125</v>
      </c>
      <c r="C602" s="4" t="s">
        <v>1327</v>
      </c>
      <c r="D602" s="3">
        <v>45628</v>
      </c>
      <c r="E602" s="2">
        <v>227.14</v>
      </c>
      <c r="F602" s="2">
        <v>0</v>
      </c>
      <c r="G602" s="2">
        <v>207065.94</v>
      </c>
      <c r="H602" t="s">
        <v>361</v>
      </c>
    </row>
    <row r="603" spans="1:8" x14ac:dyDescent="0.3">
      <c r="A603" s="3">
        <v>45629</v>
      </c>
      <c r="B603" s="4" t="s">
        <v>125</v>
      </c>
      <c r="C603" s="4" t="s">
        <v>1328</v>
      </c>
      <c r="D603" s="3">
        <v>45629</v>
      </c>
      <c r="E603" s="2">
        <v>298.19</v>
      </c>
      <c r="F603" s="2">
        <v>0</v>
      </c>
      <c r="G603" s="2">
        <v>206767.75</v>
      </c>
      <c r="H603" t="s">
        <v>361</v>
      </c>
    </row>
    <row r="604" spans="1:8" x14ac:dyDescent="0.3">
      <c r="A604" s="3">
        <v>45630</v>
      </c>
      <c r="B604" s="4" t="s">
        <v>1329</v>
      </c>
      <c r="C604" s="4" t="s">
        <v>1330</v>
      </c>
      <c r="D604" s="3">
        <v>45630</v>
      </c>
      <c r="E604" s="2">
        <v>0</v>
      </c>
      <c r="F604" s="2">
        <v>14372.85</v>
      </c>
      <c r="G604" s="2">
        <v>221140.6</v>
      </c>
      <c r="H604" t="s">
        <v>1876</v>
      </c>
    </row>
    <row r="605" spans="1:8" x14ac:dyDescent="0.3">
      <c r="A605" s="3">
        <v>45630</v>
      </c>
      <c r="B605" s="4" t="s">
        <v>125</v>
      </c>
      <c r="C605" s="4" t="s">
        <v>1331</v>
      </c>
      <c r="D605" s="3">
        <v>45630</v>
      </c>
      <c r="E605" s="2">
        <v>298.19</v>
      </c>
      <c r="F605" s="2">
        <v>0</v>
      </c>
      <c r="G605" s="2">
        <v>220842.41</v>
      </c>
      <c r="H605" t="s">
        <v>361</v>
      </c>
    </row>
    <row r="606" spans="1:8" x14ac:dyDescent="0.3">
      <c r="A606" s="3">
        <v>45630</v>
      </c>
      <c r="B606" s="4" t="s">
        <v>125</v>
      </c>
      <c r="C606" s="4" t="s">
        <v>1332</v>
      </c>
      <c r="D606" s="3">
        <v>45630</v>
      </c>
      <c r="E606" s="2">
        <v>13048.44</v>
      </c>
      <c r="F606" s="2">
        <v>0</v>
      </c>
      <c r="G606" s="2">
        <v>207793.97</v>
      </c>
      <c r="H606" t="s">
        <v>361</v>
      </c>
    </row>
    <row r="607" spans="1:8" x14ac:dyDescent="0.3">
      <c r="A607" s="3">
        <v>45631</v>
      </c>
      <c r="B607" s="4" t="s">
        <v>125</v>
      </c>
      <c r="C607" s="4" t="s">
        <v>1333</v>
      </c>
      <c r="D607" s="3">
        <v>45631</v>
      </c>
      <c r="E607" s="2">
        <v>298.66000000000003</v>
      </c>
      <c r="F607" s="2">
        <v>0</v>
      </c>
      <c r="G607" s="2">
        <v>207495.31</v>
      </c>
      <c r="H607" t="s">
        <v>361</v>
      </c>
    </row>
    <row r="608" spans="1:8" x14ac:dyDescent="0.3">
      <c r="A608" s="3">
        <v>45631</v>
      </c>
      <c r="B608" s="4" t="s">
        <v>1334</v>
      </c>
      <c r="C608" s="4" t="s">
        <v>1335</v>
      </c>
      <c r="D608" s="3">
        <v>45631</v>
      </c>
      <c r="E608" s="2">
        <v>0</v>
      </c>
      <c r="F608" s="2">
        <v>68</v>
      </c>
      <c r="G608" s="2">
        <v>207563.31</v>
      </c>
      <c r="H608" t="s">
        <v>367</v>
      </c>
    </row>
    <row r="609" spans="1:8" x14ac:dyDescent="0.3">
      <c r="A609" s="3">
        <v>45631</v>
      </c>
      <c r="B609" s="4" t="s">
        <v>1336</v>
      </c>
      <c r="C609" s="4" t="s">
        <v>1337</v>
      </c>
      <c r="D609" s="3">
        <v>45631</v>
      </c>
      <c r="E609" s="2">
        <v>0</v>
      </c>
      <c r="F609" s="2">
        <v>102</v>
      </c>
      <c r="G609" s="2">
        <v>207665.31</v>
      </c>
      <c r="H609" t="s">
        <v>367</v>
      </c>
    </row>
    <row r="610" spans="1:8" x14ac:dyDescent="0.3">
      <c r="A610" s="3">
        <v>45631</v>
      </c>
      <c r="B610" s="4" t="s">
        <v>125</v>
      </c>
      <c r="C610" s="4" t="s">
        <v>1338</v>
      </c>
      <c r="D610" s="3">
        <v>45631</v>
      </c>
      <c r="E610" s="2">
        <v>13648.11</v>
      </c>
      <c r="F610" s="2">
        <v>0</v>
      </c>
      <c r="G610" s="2">
        <v>194017.2</v>
      </c>
      <c r="H610" t="s">
        <v>361</v>
      </c>
    </row>
    <row r="611" spans="1:8" x14ac:dyDescent="0.3">
      <c r="A611" s="3">
        <v>45632</v>
      </c>
      <c r="B611" s="4" t="s">
        <v>1339</v>
      </c>
      <c r="C611" s="4" t="s">
        <v>1340</v>
      </c>
      <c r="D611" s="3">
        <v>45632</v>
      </c>
      <c r="E611" s="2">
        <v>0</v>
      </c>
      <c r="F611" s="2">
        <v>5912.62</v>
      </c>
      <c r="G611" s="2">
        <v>199929.82</v>
      </c>
      <c r="H611" t="s">
        <v>1876</v>
      </c>
    </row>
    <row r="612" spans="1:8" x14ac:dyDescent="0.3">
      <c r="A612" s="3">
        <v>45632</v>
      </c>
      <c r="B612" s="4" t="s">
        <v>125</v>
      </c>
      <c r="C612" s="4" t="s">
        <v>1341</v>
      </c>
      <c r="D612" s="3">
        <v>45632</v>
      </c>
      <c r="E612" s="2">
        <v>314.94</v>
      </c>
      <c r="F612" s="2">
        <v>0</v>
      </c>
      <c r="G612" s="2">
        <v>199614.88</v>
      </c>
      <c r="H612" t="s">
        <v>361</v>
      </c>
    </row>
    <row r="613" spans="1:8" x14ac:dyDescent="0.3">
      <c r="A613" s="3">
        <v>45632</v>
      </c>
      <c r="B613" s="4" t="s">
        <v>1342</v>
      </c>
      <c r="C613" s="4" t="s">
        <v>1343</v>
      </c>
      <c r="D613" s="3">
        <v>45632</v>
      </c>
      <c r="E613" s="2">
        <v>0</v>
      </c>
      <c r="F613" s="2">
        <v>119</v>
      </c>
      <c r="G613" s="2">
        <v>199733.88</v>
      </c>
      <c r="H613" t="s">
        <v>367</v>
      </c>
    </row>
    <row r="614" spans="1:8" x14ac:dyDescent="0.3">
      <c r="A614" s="3">
        <v>45632</v>
      </c>
      <c r="B614" s="4" t="s">
        <v>128</v>
      </c>
      <c r="C614" s="4" t="s">
        <v>1344</v>
      </c>
      <c r="D614" s="3">
        <v>45632</v>
      </c>
      <c r="E614" s="2">
        <v>0</v>
      </c>
      <c r="F614" s="2">
        <v>1579.51</v>
      </c>
      <c r="G614" s="2">
        <v>201313.39</v>
      </c>
      <c r="H614" t="s">
        <v>361</v>
      </c>
    </row>
    <row r="615" spans="1:8" x14ac:dyDescent="0.3">
      <c r="A615" s="3">
        <v>45635</v>
      </c>
      <c r="B615" s="4" t="s">
        <v>125</v>
      </c>
      <c r="C615" s="4" t="s">
        <v>1345</v>
      </c>
      <c r="D615" s="3">
        <v>45635</v>
      </c>
      <c r="E615" s="2">
        <v>965.67</v>
      </c>
      <c r="F615" s="2">
        <v>0</v>
      </c>
      <c r="G615" s="2">
        <v>200347.72</v>
      </c>
      <c r="H615" t="s">
        <v>361</v>
      </c>
    </row>
    <row r="616" spans="1:8" x14ac:dyDescent="0.3">
      <c r="A616" s="3">
        <v>45635</v>
      </c>
      <c r="B616" s="4" t="s">
        <v>1243</v>
      </c>
      <c r="C616" s="4" t="s">
        <v>1346</v>
      </c>
      <c r="D616" s="3">
        <v>45635</v>
      </c>
      <c r="E616" s="2">
        <v>20000</v>
      </c>
      <c r="F616" s="2">
        <v>0</v>
      </c>
      <c r="G616" s="2">
        <v>180347.72</v>
      </c>
      <c r="H616" t="s">
        <v>366</v>
      </c>
    </row>
    <row r="617" spans="1:8" x14ac:dyDescent="0.3">
      <c r="A617" s="3">
        <v>45635</v>
      </c>
      <c r="B617" s="4" t="s">
        <v>125</v>
      </c>
      <c r="C617" s="4" t="s">
        <v>1347</v>
      </c>
      <c r="D617" s="3">
        <v>45635</v>
      </c>
      <c r="E617" s="2">
        <v>925.98</v>
      </c>
      <c r="F617" s="2">
        <v>0</v>
      </c>
      <c r="G617" s="2">
        <v>179421.74</v>
      </c>
      <c r="H617" t="s">
        <v>361</v>
      </c>
    </row>
    <row r="618" spans="1:8" x14ac:dyDescent="0.3">
      <c r="A618" s="3">
        <v>45636</v>
      </c>
      <c r="B618" s="4" t="s">
        <v>146</v>
      </c>
      <c r="C618" s="4" t="s">
        <v>1348</v>
      </c>
      <c r="D618" s="3">
        <v>45636</v>
      </c>
      <c r="E618" s="2">
        <v>10000</v>
      </c>
      <c r="F618" s="2">
        <v>0</v>
      </c>
      <c r="G618" s="2">
        <v>169421.74</v>
      </c>
      <c r="H618" t="s">
        <v>1854</v>
      </c>
    </row>
    <row r="619" spans="1:8" x14ac:dyDescent="0.3">
      <c r="A619" s="3">
        <v>45636</v>
      </c>
      <c r="B619" s="4" t="s">
        <v>125</v>
      </c>
      <c r="C619" s="4" t="s">
        <v>1349</v>
      </c>
      <c r="D619" s="3">
        <v>45636</v>
      </c>
      <c r="E619" s="2">
        <v>321.56</v>
      </c>
      <c r="F619" s="2">
        <v>0</v>
      </c>
      <c r="G619" s="2">
        <v>169100.18</v>
      </c>
      <c r="H619" t="s">
        <v>361</v>
      </c>
    </row>
    <row r="620" spans="1:8" x14ac:dyDescent="0.3">
      <c r="A620" s="3">
        <v>45636</v>
      </c>
      <c r="B620" s="4" t="s">
        <v>125</v>
      </c>
      <c r="C620" s="4" t="s">
        <v>1350</v>
      </c>
      <c r="D620" s="3">
        <v>45636</v>
      </c>
      <c r="E620" s="2">
        <v>4116.51</v>
      </c>
      <c r="F620" s="2">
        <v>0</v>
      </c>
      <c r="G620" s="2">
        <v>164983.67000000001</v>
      </c>
      <c r="H620" t="s">
        <v>361</v>
      </c>
    </row>
    <row r="621" spans="1:8" x14ac:dyDescent="0.3">
      <c r="A621" s="3">
        <v>45637</v>
      </c>
      <c r="B621" s="4" t="s">
        <v>1351</v>
      </c>
      <c r="C621" s="4" t="s">
        <v>1352</v>
      </c>
      <c r="D621" s="3">
        <v>45637</v>
      </c>
      <c r="E621" s="2">
        <v>0</v>
      </c>
      <c r="F621" s="2">
        <v>32653.81</v>
      </c>
      <c r="G621" s="2">
        <v>197637.48</v>
      </c>
      <c r="H621" t="s">
        <v>1876</v>
      </c>
    </row>
    <row r="622" spans="1:8" x14ac:dyDescent="0.3">
      <c r="A622" s="3">
        <v>45637</v>
      </c>
      <c r="B622" s="4" t="s">
        <v>125</v>
      </c>
      <c r="C622" s="4" t="s">
        <v>1353</v>
      </c>
      <c r="D622" s="3">
        <v>45637</v>
      </c>
      <c r="E622" s="2">
        <v>320.08999999999997</v>
      </c>
      <c r="F622" s="2">
        <v>0</v>
      </c>
      <c r="G622" s="2">
        <v>197317.39</v>
      </c>
      <c r="H622" t="s">
        <v>361</v>
      </c>
    </row>
    <row r="623" spans="1:8" x14ac:dyDescent="0.3">
      <c r="A623" s="3">
        <v>45637</v>
      </c>
      <c r="B623" s="4" t="s">
        <v>125</v>
      </c>
      <c r="C623" s="4" t="s">
        <v>1354</v>
      </c>
      <c r="D623" s="3">
        <v>45637</v>
      </c>
      <c r="E623" s="2">
        <v>45070.71</v>
      </c>
      <c r="F623" s="2">
        <v>0</v>
      </c>
      <c r="G623" s="2">
        <v>152246.68</v>
      </c>
      <c r="H623" t="s">
        <v>361</v>
      </c>
    </row>
    <row r="624" spans="1:8" x14ac:dyDescent="0.3">
      <c r="A624" s="3">
        <v>45638</v>
      </c>
      <c r="B624" s="4" t="s">
        <v>125</v>
      </c>
      <c r="C624" s="4" t="s">
        <v>1355</v>
      </c>
      <c r="D624" s="3">
        <v>45638</v>
      </c>
      <c r="E624" s="2">
        <v>307.8</v>
      </c>
      <c r="F624" s="2">
        <v>0</v>
      </c>
      <c r="G624" s="2">
        <v>151938.88</v>
      </c>
      <c r="H624" t="s">
        <v>361</v>
      </c>
    </row>
    <row r="625" spans="1:8" x14ac:dyDescent="0.3">
      <c r="A625" s="3">
        <v>45638</v>
      </c>
      <c r="B625" s="4" t="s">
        <v>125</v>
      </c>
      <c r="C625" s="4" t="s">
        <v>1356</v>
      </c>
      <c r="D625" s="3">
        <v>45638</v>
      </c>
      <c r="E625" s="2">
        <v>15229.75</v>
      </c>
      <c r="F625" s="2">
        <v>0</v>
      </c>
      <c r="G625" s="2">
        <v>136709.13</v>
      </c>
      <c r="H625" t="s">
        <v>361</v>
      </c>
    </row>
    <row r="626" spans="1:8" x14ac:dyDescent="0.3">
      <c r="A626" s="3">
        <v>45639</v>
      </c>
      <c r="B626" s="4" t="s">
        <v>125</v>
      </c>
      <c r="C626" s="4" t="s">
        <v>1357</v>
      </c>
      <c r="D626" s="3">
        <v>45639</v>
      </c>
      <c r="E626" s="2">
        <v>336.07</v>
      </c>
      <c r="F626" s="2">
        <v>0</v>
      </c>
      <c r="G626" s="2">
        <v>136373.06</v>
      </c>
      <c r="H626" t="s">
        <v>361</v>
      </c>
    </row>
    <row r="627" spans="1:8" x14ac:dyDescent="0.3">
      <c r="A627" s="3">
        <v>45639</v>
      </c>
      <c r="B627" s="4" t="s">
        <v>1358</v>
      </c>
      <c r="C627" s="4" t="s">
        <v>140</v>
      </c>
      <c r="D627" s="3">
        <v>45639</v>
      </c>
      <c r="E627" s="2">
        <v>0</v>
      </c>
      <c r="F627" s="2">
        <v>20000</v>
      </c>
      <c r="G627" s="2">
        <v>156373.06</v>
      </c>
      <c r="H627" t="s">
        <v>355</v>
      </c>
    </row>
    <row r="628" spans="1:8" x14ac:dyDescent="0.3">
      <c r="A628" s="3">
        <v>45639</v>
      </c>
      <c r="B628" s="4" t="s">
        <v>125</v>
      </c>
      <c r="C628" s="4" t="s">
        <v>1359</v>
      </c>
      <c r="D628" s="3">
        <v>45639</v>
      </c>
      <c r="E628" s="2">
        <v>27834.66</v>
      </c>
      <c r="F628" s="2">
        <v>0</v>
      </c>
      <c r="G628" s="2">
        <v>128538.4</v>
      </c>
      <c r="H628" t="s">
        <v>361</v>
      </c>
    </row>
    <row r="629" spans="1:8" x14ac:dyDescent="0.3">
      <c r="A629" s="3">
        <v>45639</v>
      </c>
      <c r="B629" s="4" t="s">
        <v>125</v>
      </c>
      <c r="C629" s="4" t="s">
        <v>1360</v>
      </c>
      <c r="D629" s="3">
        <v>45639</v>
      </c>
      <c r="E629" s="2">
        <v>1197.8699999999999</v>
      </c>
      <c r="F629" s="2">
        <v>0</v>
      </c>
      <c r="G629" s="2">
        <v>127340.53</v>
      </c>
      <c r="H629" t="s">
        <v>361</v>
      </c>
    </row>
    <row r="630" spans="1:8" x14ac:dyDescent="0.3">
      <c r="A630" s="3">
        <v>45642</v>
      </c>
      <c r="B630" s="4" t="s">
        <v>146</v>
      </c>
      <c r="C630" s="4" t="s">
        <v>1361</v>
      </c>
      <c r="D630" s="3">
        <v>45642</v>
      </c>
      <c r="E630" s="2">
        <v>10000</v>
      </c>
      <c r="F630" s="2">
        <v>0</v>
      </c>
      <c r="G630" s="2">
        <v>117340.53</v>
      </c>
      <c r="H630" t="s">
        <v>1854</v>
      </c>
    </row>
    <row r="631" spans="1:8" x14ac:dyDescent="0.3">
      <c r="A631" s="3">
        <v>45642</v>
      </c>
      <c r="B631" s="4" t="s">
        <v>125</v>
      </c>
      <c r="C631" s="4" t="s">
        <v>1362</v>
      </c>
      <c r="D631" s="3">
        <v>45642</v>
      </c>
      <c r="E631" s="2">
        <v>1006.95</v>
      </c>
      <c r="F631" s="2">
        <v>0</v>
      </c>
      <c r="G631" s="2">
        <v>116333.58</v>
      </c>
      <c r="H631" t="s">
        <v>361</v>
      </c>
    </row>
    <row r="632" spans="1:8" x14ac:dyDescent="0.3">
      <c r="A632" s="3">
        <v>45642</v>
      </c>
      <c r="B632" s="4" t="s">
        <v>125</v>
      </c>
      <c r="C632" s="4" t="s">
        <v>1363</v>
      </c>
      <c r="D632" s="3">
        <v>45642</v>
      </c>
      <c r="E632" s="2">
        <v>55.1</v>
      </c>
      <c r="F632" s="2">
        <v>0</v>
      </c>
      <c r="G632" s="2">
        <v>116278.48</v>
      </c>
      <c r="H632" t="s">
        <v>361</v>
      </c>
    </row>
    <row r="633" spans="1:8" x14ac:dyDescent="0.3">
      <c r="A633" s="3">
        <v>45643</v>
      </c>
      <c r="B633" s="4" t="s">
        <v>125</v>
      </c>
      <c r="C633" s="4" t="s">
        <v>1364</v>
      </c>
      <c r="D633" s="3">
        <v>45643</v>
      </c>
      <c r="E633" s="2">
        <v>335.63</v>
      </c>
      <c r="F633" s="2">
        <v>0</v>
      </c>
      <c r="G633" s="2">
        <v>115942.85</v>
      </c>
      <c r="H633" t="s">
        <v>361</v>
      </c>
    </row>
    <row r="634" spans="1:8" x14ac:dyDescent="0.3">
      <c r="A634" s="3">
        <v>45643</v>
      </c>
      <c r="B634" s="4" t="s">
        <v>1365</v>
      </c>
      <c r="C634" s="4" t="s">
        <v>140</v>
      </c>
      <c r="D634" s="3">
        <v>45643</v>
      </c>
      <c r="E634" s="2">
        <v>460.2</v>
      </c>
      <c r="F634" s="2">
        <v>0</v>
      </c>
      <c r="G634" s="2">
        <v>115482.65</v>
      </c>
      <c r="H634" t="s">
        <v>362</v>
      </c>
    </row>
    <row r="635" spans="1:8" x14ac:dyDescent="0.3">
      <c r="A635" s="3">
        <v>45644</v>
      </c>
      <c r="B635" s="4" t="s">
        <v>1366</v>
      </c>
      <c r="C635" s="4" t="s">
        <v>1367</v>
      </c>
      <c r="D635" s="3">
        <v>45644</v>
      </c>
      <c r="E635" s="2">
        <v>0</v>
      </c>
      <c r="F635" s="2">
        <v>29870.53</v>
      </c>
      <c r="G635" s="2">
        <v>145353.18</v>
      </c>
      <c r="H635" t="s">
        <v>1876</v>
      </c>
    </row>
    <row r="636" spans="1:8" x14ac:dyDescent="0.3">
      <c r="A636" s="3">
        <v>45644</v>
      </c>
      <c r="B636" s="4" t="s">
        <v>125</v>
      </c>
      <c r="C636" s="4" t="s">
        <v>1368</v>
      </c>
      <c r="D636" s="3">
        <v>45644</v>
      </c>
      <c r="E636" s="2">
        <v>335.63</v>
      </c>
      <c r="F636" s="2">
        <v>0</v>
      </c>
      <c r="G636" s="2">
        <v>145017.54999999999</v>
      </c>
      <c r="H636" t="s">
        <v>361</v>
      </c>
    </row>
    <row r="637" spans="1:8" x14ac:dyDescent="0.3">
      <c r="A637" s="3">
        <v>45644</v>
      </c>
      <c r="B637" s="4" t="s">
        <v>125</v>
      </c>
      <c r="C637" s="4" t="s">
        <v>1369</v>
      </c>
      <c r="D637" s="3">
        <v>45644</v>
      </c>
      <c r="E637" s="2">
        <v>17310.400000000001</v>
      </c>
      <c r="F637" s="2">
        <v>0</v>
      </c>
      <c r="G637" s="2">
        <v>127707.15</v>
      </c>
      <c r="H637" t="s">
        <v>361</v>
      </c>
    </row>
    <row r="638" spans="1:8" x14ac:dyDescent="0.3">
      <c r="A638" s="3">
        <v>45645</v>
      </c>
      <c r="B638" s="4" t="s">
        <v>125</v>
      </c>
      <c r="C638" s="4" t="s">
        <v>1370</v>
      </c>
      <c r="D638" s="3">
        <v>45645</v>
      </c>
      <c r="E638" s="2">
        <v>318.44</v>
      </c>
      <c r="F638" s="2">
        <v>0</v>
      </c>
      <c r="G638" s="2">
        <v>127388.71</v>
      </c>
      <c r="H638" t="s">
        <v>361</v>
      </c>
    </row>
    <row r="639" spans="1:8" x14ac:dyDescent="0.3">
      <c r="A639" s="3">
        <v>45645</v>
      </c>
      <c r="B639" s="4" t="s">
        <v>125</v>
      </c>
      <c r="C639" s="4" t="s">
        <v>1371</v>
      </c>
      <c r="D639" s="3">
        <v>45645</v>
      </c>
      <c r="E639" s="2">
        <v>12702.77</v>
      </c>
      <c r="F639" s="2">
        <v>0</v>
      </c>
      <c r="G639" s="2">
        <v>114685.94</v>
      </c>
      <c r="H639" t="s">
        <v>361</v>
      </c>
    </row>
    <row r="640" spans="1:8" x14ac:dyDescent="0.3">
      <c r="A640" s="3">
        <v>45645</v>
      </c>
      <c r="B640" s="4" t="s">
        <v>125</v>
      </c>
      <c r="C640" s="4" t="s">
        <v>1372</v>
      </c>
      <c r="D640" s="3">
        <v>45645</v>
      </c>
      <c r="E640" s="2">
        <v>10870.99</v>
      </c>
      <c r="F640" s="2">
        <v>0</v>
      </c>
      <c r="G640" s="2">
        <v>103814.95</v>
      </c>
      <c r="H640" t="s">
        <v>361</v>
      </c>
    </row>
    <row r="641" spans="1:8" x14ac:dyDescent="0.3">
      <c r="A641" s="3">
        <v>45646</v>
      </c>
      <c r="B641" s="4" t="s">
        <v>1373</v>
      </c>
      <c r="C641" s="4" t="s">
        <v>1374</v>
      </c>
      <c r="D641" s="3">
        <v>45646</v>
      </c>
      <c r="E641" s="2">
        <v>10000</v>
      </c>
      <c r="F641" s="2">
        <v>0</v>
      </c>
      <c r="G641" s="2">
        <v>93814.95</v>
      </c>
      <c r="H641" t="s">
        <v>1854</v>
      </c>
    </row>
    <row r="642" spans="1:8" x14ac:dyDescent="0.3">
      <c r="A642" s="3">
        <v>45646</v>
      </c>
      <c r="B642" s="4" t="s">
        <v>1375</v>
      </c>
      <c r="C642" s="4" t="s">
        <v>1376</v>
      </c>
      <c r="D642" s="3">
        <v>45646</v>
      </c>
      <c r="E642" s="2">
        <v>0</v>
      </c>
      <c r="F642" s="2">
        <v>200000</v>
      </c>
      <c r="G642" s="2">
        <v>293814.95</v>
      </c>
      <c r="H642" t="s">
        <v>372</v>
      </c>
    </row>
    <row r="643" spans="1:8" x14ac:dyDescent="0.3">
      <c r="A643" s="3">
        <v>45646</v>
      </c>
      <c r="B643" s="4" t="s">
        <v>1377</v>
      </c>
      <c r="C643" s="4" t="s">
        <v>1378</v>
      </c>
      <c r="D643" s="3">
        <v>45646</v>
      </c>
      <c r="E643" s="2">
        <v>0</v>
      </c>
      <c r="F643" s="2">
        <v>200000</v>
      </c>
      <c r="G643" s="2">
        <v>493814.95</v>
      </c>
      <c r="H643" t="s">
        <v>1849</v>
      </c>
    </row>
    <row r="644" spans="1:8" x14ac:dyDescent="0.3">
      <c r="A644" s="3">
        <v>45646</v>
      </c>
      <c r="B644" s="4" t="s">
        <v>125</v>
      </c>
      <c r="C644" s="4" t="s">
        <v>1379</v>
      </c>
      <c r="D644" s="3">
        <v>45646</v>
      </c>
      <c r="E644" s="2">
        <v>330.39</v>
      </c>
      <c r="F644" s="2">
        <v>0</v>
      </c>
      <c r="G644" s="2">
        <v>493484.56</v>
      </c>
      <c r="H644" t="s">
        <v>361</v>
      </c>
    </row>
    <row r="645" spans="1:8" x14ac:dyDescent="0.3">
      <c r="A645" s="3">
        <v>45646</v>
      </c>
      <c r="B645" s="4" t="s">
        <v>125</v>
      </c>
      <c r="C645" s="4" t="s">
        <v>1380</v>
      </c>
      <c r="D645" s="3">
        <v>45646</v>
      </c>
      <c r="E645" s="2">
        <v>21424.53</v>
      </c>
      <c r="F645" s="2">
        <v>0</v>
      </c>
      <c r="G645" s="2">
        <v>472060.03</v>
      </c>
      <c r="H645" t="s">
        <v>361</v>
      </c>
    </row>
    <row r="646" spans="1:8" x14ac:dyDescent="0.3">
      <c r="A646" s="3">
        <v>45649</v>
      </c>
      <c r="B646" s="4" t="s">
        <v>1381</v>
      </c>
      <c r="C646" s="4" t="s">
        <v>1382</v>
      </c>
      <c r="D646" s="3">
        <v>45649</v>
      </c>
      <c r="E646" s="2">
        <v>350000</v>
      </c>
      <c r="F646" s="2">
        <v>0</v>
      </c>
      <c r="G646" s="2">
        <v>122060.03</v>
      </c>
      <c r="H646" t="s">
        <v>1861</v>
      </c>
    </row>
    <row r="647" spans="1:8" x14ac:dyDescent="0.3">
      <c r="A647" s="3">
        <v>45649</v>
      </c>
      <c r="B647" s="4" t="s">
        <v>125</v>
      </c>
      <c r="C647" s="4" t="s">
        <v>1383</v>
      </c>
      <c r="D647" s="3">
        <v>45649</v>
      </c>
      <c r="E647" s="2">
        <v>995.01</v>
      </c>
      <c r="F647" s="2">
        <v>0</v>
      </c>
      <c r="G647" s="2">
        <v>121065.02</v>
      </c>
      <c r="H647" t="s">
        <v>361</v>
      </c>
    </row>
    <row r="648" spans="1:8" x14ac:dyDescent="0.3">
      <c r="A648" s="3">
        <v>45650</v>
      </c>
      <c r="B648" s="4" t="s">
        <v>1384</v>
      </c>
      <c r="C648" s="4" t="s">
        <v>1385</v>
      </c>
      <c r="D648" s="3">
        <v>45650</v>
      </c>
      <c r="E648" s="2">
        <v>0</v>
      </c>
      <c r="F648" s="2">
        <v>4488.34</v>
      </c>
      <c r="G648" s="2">
        <v>125553.36</v>
      </c>
      <c r="H648" t="s">
        <v>1876</v>
      </c>
    </row>
    <row r="649" spans="1:8" x14ac:dyDescent="0.3">
      <c r="A649" s="3">
        <v>45650</v>
      </c>
      <c r="B649" s="4" t="s">
        <v>125</v>
      </c>
      <c r="C649" s="4" t="s">
        <v>1386</v>
      </c>
      <c r="D649" s="3">
        <v>45650</v>
      </c>
      <c r="E649" s="2">
        <v>331.67</v>
      </c>
      <c r="F649" s="2">
        <v>0</v>
      </c>
      <c r="G649" s="2">
        <v>125221.69</v>
      </c>
      <c r="H649" t="s">
        <v>361</v>
      </c>
    </row>
    <row r="650" spans="1:8" x14ac:dyDescent="0.3">
      <c r="A650" s="3">
        <v>45650</v>
      </c>
      <c r="B650" s="4" t="s">
        <v>125</v>
      </c>
      <c r="C650" s="4" t="s">
        <v>1387</v>
      </c>
      <c r="D650" s="3">
        <v>45650</v>
      </c>
      <c r="E650" s="2">
        <v>1.08</v>
      </c>
      <c r="F650" s="2">
        <v>0</v>
      </c>
      <c r="G650" s="2">
        <v>125220.61</v>
      </c>
      <c r="H650" t="s">
        <v>361</v>
      </c>
    </row>
    <row r="651" spans="1:8" x14ac:dyDescent="0.3">
      <c r="A651" s="3">
        <v>45651</v>
      </c>
      <c r="B651" s="4" t="s">
        <v>1388</v>
      </c>
      <c r="C651" s="4" t="s">
        <v>1389</v>
      </c>
      <c r="D651" s="3">
        <v>45651</v>
      </c>
      <c r="E651" s="2">
        <v>20000</v>
      </c>
      <c r="F651" s="2">
        <v>0</v>
      </c>
      <c r="G651" s="2">
        <v>105220.61</v>
      </c>
      <c r="H651" t="s">
        <v>1852</v>
      </c>
    </row>
    <row r="652" spans="1:8" x14ac:dyDescent="0.3">
      <c r="A652" s="3">
        <v>45652</v>
      </c>
      <c r="B652" s="4" t="s">
        <v>125</v>
      </c>
      <c r="C652" s="4" t="s">
        <v>1390</v>
      </c>
      <c r="D652" s="3">
        <v>45652</v>
      </c>
      <c r="E652" s="2">
        <v>666.54</v>
      </c>
      <c r="F652" s="2">
        <v>0</v>
      </c>
      <c r="G652" s="2">
        <v>104554.07</v>
      </c>
      <c r="H652" t="s">
        <v>361</v>
      </c>
    </row>
    <row r="653" spans="1:8" x14ac:dyDescent="0.3">
      <c r="A653" s="3">
        <v>45652</v>
      </c>
      <c r="B653" s="4" t="s">
        <v>125</v>
      </c>
      <c r="C653" s="4" t="s">
        <v>1391</v>
      </c>
      <c r="D653" s="3">
        <v>45652</v>
      </c>
      <c r="E653" s="2">
        <v>1637.2</v>
      </c>
      <c r="F653" s="2">
        <v>0</v>
      </c>
      <c r="G653" s="2">
        <v>102916.87</v>
      </c>
      <c r="H653" t="s">
        <v>361</v>
      </c>
    </row>
    <row r="654" spans="1:8" x14ac:dyDescent="0.3">
      <c r="A654" s="3">
        <v>45653</v>
      </c>
      <c r="B654" s="4" t="s">
        <v>125</v>
      </c>
      <c r="C654" s="4" t="s">
        <v>1392</v>
      </c>
      <c r="D654" s="3">
        <v>45653</v>
      </c>
      <c r="E654" s="2">
        <v>332.69</v>
      </c>
      <c r="F654" s="2">
        <v>0</v>
      </c>
      <c r="G654" s="2">
        <v>102584.18</v>
      </c>
      <c r="H654" t="s">
        <v>361</v>
      </c>
    </row>
    <row r="655" spans="1:8" x14ac:dyDescent="0.3">
      <c r="A655" s="3">
        <v>45653</v>
      </c>
      <c r="B655" s="4" t="s">
        <v>345</v>
      </c>
      <c r="C655" s="4" t="s">
        <v>1393</v>
      </c>
      <c r="D655" s="3">
        <v>45653</v>
      </c>
      <c r="E655" s="2">
        <v>0</v>
      </c>
      <c r="F655" s="2">
        <v>676.13</v>
      </c>
      <c r="G655" s="2">
        <v>103260.31</v>
      </c>
      <c r="H655" t="s">
        <v>369</v>
      </c>
    </row>
    <row r="656" spans="1:8" x14ac:dyDescent="0.3">
      <c r="A656" s="3">
        <v>45653</v>
      </c>
      <c r="B656" s="4" t="s">
        <v>125</v>
      </c>
      <c r="C656" s="4" t="s">
        <v>1394</v>
      </c>
      <c r="D656" s="3">
        <v>45653</v>
      </c>
      <c r="E656" s="2">
        <v>4089.87</v>
      </c>
      <c r="F656" s="2">
        <v>0</v>
      </c>
      <c r="G656" s="2">
        <v>99170.44</v>
      </c>
      <c r="H656" t="s">
        <v>361</v>
      </c>
    </row>
    <row r="657" spans="1:8" x14ac:dyDescent="0.3">
      <c r="A657" s="3">
        <v>45656</v>
      </c>
      <c r="B657" s="4" t="s">
        <v>125</v>
      </c>
      <c r="C657" s="4" t="s">
        <v>1395</v>
      </c>
      <c r="D657" s="3">
        <v>45656</v>
      </c>
      <c r="E657" s="2">
        <v>993.69</v>
      </c>
      <c r="F657" s="2">
        <v>0</v>
      </c>
      <c r="G657" s="2">
        <v>98176.75</v>
      </c>
      <c r="H657" t="s">
        <v>361</v>
      </c>
    </row>
    <row r="658" spans="1:8" x14ac:dyDescent="0.3">
      <c r="A658" s="3">
        <v>45657</v>
      </c>
      <c r="B658" s="4" t="s">
        <v>1396</v>
      </c>
      <c r="C658" s="4" t="s">
        <v>1397</v>
      </c>
      <c r="D658" s="3">
        <v>45657</v>
      </c>
      <c r="E658" s="2">
        <v>0</v>
      </c>
      <c r="F658" s="2">
        <v>47253.9</v>
      </c>
      <c r="G658" s="2">
        <v>145430.65</v>
      </c>
      <c r="H658" t="s">
        <v>1876</v>
      </c>
    </row>
    <row r="659" spans="1:8" x14ac:dyDescent="0.3">
      <c r="A659" s="3">
        <v>45657</v>
      </c>
      <c r="B659" s="4" t="s">
        <v>125</v>
      </c>
      <c r="C659" s="4" t="s">
        <v>1398</v>
      </c>
      <c r="D659" s="3">
        <v>45657</v>
      </c>
      <c r="E659" s="2">
        <v>331.23</v>
      </c>
      <c r="F659" s="2">
        <v>0</v>
      </c>
      <c r="G659" s="2">
        <v>145099.42000000001</v>
      </c>
      <c r="H659" t="s">
        <v>361</v>
      </c>
    </row>
    <row r="660" spans="1:8" x14ac:dyDescent="0.3">
      <c r="A660" s="3">
        <v>45657</v>
      </c>
      <c r="B660" s="4" t="s">
        <v>125</v>
      </c>
      <c r="C660" s="4" t="s">
        <v>1399</v>
      </c>
      <c r="D660" s="3">
        <v>45657</v>
      </c>
      <c r="E660" s="2">
        <v>3827.24</v>
      </c>
      <c r="F660" s="2">
        <v>0</v>
      </c>
      <c r="G660" s="2">
        <v>141272.18</v>
      </c>
      <c r="H660" t="s">
        <v>361</v>
      </c>
    </row>
    <row r="661" spans="1:8" x14ac:dyDescent="0.3">
      <c r="A661" s="3">
        <v>45658</v>
      </c>
      <c r="B661" s="4" t="s">
        <v>1400</v>
      </c>
      <c r="C661" s="4" t="s">
        <v>140</v>
      </c>
      <c r="D661" s="3">
        <v>45657</v>
      </c>
      <c r="E661" s="2">
        <v>0</v>
      </c>
      <c r="F661" s="2">
        <v>1556</v>
      </c>
      <c r="G661" s="2">
        <v>142828.18</v>
      </c>
      <c r="H661" t="s">
        <v>370</v>
      </c>
    </row>
    <row r="662" spans="1:8" x14ac:dyDescent="0.3">
      <c r="A662" s="3">
        <v>45658</v>
      </c>
      <c r="B662" s="4" t="s">
        <v>125</v>
      </c>
      <c r="C662" s="4" t="s">
        <v>1401</v>
      </c>
      <c r="D662" s="3">
        <v>45658</v>
      </c>
      <c r="E662" s="2">
        <v>346.7</v>
      </c>
      <c r="F662" s="2">
        <v>0</v>
      </c>
      <c r="G662" s="2">
        <v>142481.48000000001</v>
      </c>
      <c r="H662" t="s">
        <v>361</v>
      </c>
    </row>
    <row r="663" spans="1:8" x14ac:dyDescent="0.3">
      <c r="A663" s="3">
        <v>45658</v>
      </c>
      <c r="B663" s="4" t="s">
        <v>1402</v>
      </c>
      <c r="C663" s="4" t="s">
        <v>1403</v>
      </c>
      <c r="D663" s="3">
        <v>45658</v>
      </c>
      <c r="E663" s="2">
        <v>0</v>
      </c>
      <c r="F663" s="2">
        <v>1668472</v>
      </c>
      <c r="G663" s="2">
        <v>1810953.48</v>
      </c>
      <c r="H663" t="s">
        <v>1865</v>
      </c>
    </row>
    <row r="664" spans="1:8" x14ac:dyDescent="0.3">
      <c r="A664" s="3">
        <v>45659</v>
      </c>
      <c r="B664" s="4" t="s">
        <v>1404</v>
      </c>
      <c r="C664" s="4" t="s">
        <v>1405</v>
      </c>
      <c r="D664" s="3">
        <v>45659</v>
      </c>
      <c r="E664" s="2">
        <v>0</v>
      </c>
      <c r="F664" s="2">
        <v>5359.07</v>
      </c>
      <c r="G664" s="2">
        <v>1816312.55</v>
      </c>
      <c r="H664" t="s">
        <v>1876</v>
      </c>
    </row>
    <row r="665" spans="1:8" x14ac:dyDescent="0.3">
      <c r="A665" s="3">
        <v>45659</v>
      </c>
      <c r="B665" s="4" t="s">
        <v>1406</v>
      </c>
      <c r="C665" s="4" t="s">
        <v>1407</v>
      </c>
      <c r="D665" s="3">
        <v>45659</v>
      </c>
      <c r="E665" s="2">
        <v>100000</v>
      </c>
      <c r="F665" s="2">
        <v>0</v>
      </c>
      <c r="G665" s="2">
        <v>1716312.55</v>
      </c>
      <c r="H665" t="s">
        <v>1857</v>
      </c>
    </row>
    <row r="666" spans="1:8" x14ac:dyDescent="0.3">
      <c r="A666" s="3">
        <v>45659</v>
      </c>
      <c r="B666" s="4" t="s">
        <v>1408</v>
      </c>
      <c r="C666" s="4" t="s">
        <v>1409</v>
      </c>
      <c r="D666" s="3">
        <v>45659</v>
      </c>
      <c r="E666" s="2">
        <v>225000</v>
      </c>
      <c r="F666" s="2">
        <v>0</v>
      </c>
      <c r="G666" s="2">
        <v>1491312.55</v>
      </c>
      <c r="H666" t="s">
        <v>1849</v>
      </c>
    </row>
    <row r="667" spans="1:8" x14ac:dyDescent="0.3">
      <c r="A667" s="3">
        <v>45659</v>
      </c>
      <c r="B667" s="4" t="s">
        <v>125</v>
      </c>
      <c r="C667" s="4" t="s">
        <v>1410</v>
      </c>
      <c r="D667" s="3">
        <v>45659</v>
      </c>
      <c r="E667" s="2">
        <v>346.7</v>
      </c>
      <c r="F667" s="2">
        <v>0</v>
      </c>
      <c r="G667" s="2">
        <v>1490965.85</v>
      </c>
      <c r="H667" t="s">
        <v>361</v>
      </c>
    </row>
    <row r="668" spans="1:8" x14ac:dyDescent="0.3">
      <c r="A668" s="3">
        <v>45659</v>
      </c>
      <c r="B668" s="4" t="s">
        <v>1411</v>
      </c>
      <c r="C668" s="4" t="s">
        <v>1412</v>
      </c>
      <c r="D668" s="3">
        <v>45659</v>
      </c>
      <c r="E668" s="2">
        <v>750</v>
      </c>
      <c r="F668" s="2">
        <v>0</v>
      </c>
      <c r="G668" s="2">
        <v>1490215.85</v>
      </c>
      <c r="H668" t="s">
        <v>365</v>
      </c>
    </row>
    <row r="669" spans="1:8" x14ac:dyDescent="0.3">
      <c r="A669" s="3">
        <v>45659</v>
      </c>
      <c r="B669" s="4" t="s">
        <v>1413</v>
      </c>
      <c r="C669" s="4" t="s">
        <v>1412</v>
      </c>
      <c r="D669" s="3">
        <v>45659</v>
      </c>
      <c r="E669" s="2">
        <v>67.5</v>
      </c>
      <c r="F669" s="2">
        <v>0</v>
      </c>
      <c r="G669" s="2">
        <v>1490148.35</v>
      </c>
      <c r="H669" t="s">
        <v>1860</v>
      </c>
    </row>
    <row r="670" spans="1:8" x14ac:dyDescent="0.3">
      <c r="A670" s="3">
        <v>45659</v>
      </c>
      <c r="B670" s="4" t="s">
        <v>1414</v>
      </c>
      <c r="C670" s="4" t="s">
        <v>1412</v>
      </c>
      <c r="D670" s="3">
        <v>45659</v>
      </c>
      <c r="E670" s="2">
        <v>67.5</v>
      </c>
      <c r="F670" s="2">
        <v>0</v>
      </c>
      <c r="G670" s="2">
        <v>1490080.85</v>
      </c>
      <c r="H670" t="s">
        <v>365</v>
      </c>
    </row>
    <row r="671" spans="1:8" x14ac:dyDescent="0.3">
      <c r="A671" s="3">
        <v>45659</v>
      </c>
      <c r="B671" s="4" t="s">
        <v>1415</v>
      </c>
      <c r="C671" s="4" t="s">
        <v>1416</v>
      </c>
      <c r="D671" s="3">
        <v>45659</v>
      </c>
      <c r="E671" s="2">
        <v>100000</v>
      </c>
      <c r="F671" s="2">
        <v>0</v>
      </c>
      <c r="G671" s="2">
        <v>1390080.85</v>
      </c>
      <c r="H671" t="s">
        <v>368</v>
      </c>
    </row>
    <row r="672" spans="1:8" x14ac:dyDescent="0.3">
      <c r="A672" s="3">
        <v>45659</v>
      </c>
      <c r="B672" s="4" t="s">
        <v>1417</v>
      </c>
      <c r="C672" s="4" t="s">
        <v>1418</v>
      </c>
      <c r="D672" s="3">
        <v>45659</v>
      </c>
      <c r="E672" s="2">
        <v>100000</v>
      </c>
      <c r="F672" s="2">
        <v>0</v>
      </c>
      <c r="G672" s="2">
        <v>1290080.8500000001</v>
      </c>
      <c r="H672" t="s">
        <v>1852</v>
      </c>
    </row>
    <row r="673" spans="1:8" x14ac:dyDescent="0.3">
      <c r="A673" s="3">
        <v>45659</v>
      </c>
      <c r="B673" s="4" t="s">
        <v>125</v>
      </c>
      <c r="C673" s="4" t="s">
        <v>1419</v>
      </c>
      <c r="D673" s="3">
        <v>45659</v>
      </c>
      <c r="E673" s="2">
        <v>63492.639999999999</v>
      </c>
      <c r="F673" s="2">
        <v>0</v>
      </c>
      <c r="G673" s="2">
        <v>1226588.21</v>
      </c>
      <c r="H673" t="s">
        <v>361</v>
      </c>
    </row>
    <row r="674" spans="1:8" x14ac:dyDescent="0.3">
      <c r="A674" s="3">
        <v>45660</v>
      </c>
      <c r="B674" s="4" t="s">
        <v>125</v>
      </c>
      <c r="C674" s="4" t="s">
        <v>1420</v>
      </c>
      <c r="D674" s="3">
        <v>45660</v>
      </c>
      <c r="E674" s="2">
        <v>325.99</v>
      </c>
      <c r="F674" s="2">
        <v>0</v>
      </c>
      <c r="G674" s="2">
        <v>1226262.22</v>
      </c>
      <c r="H674" t="s">
        <v>361</v>
      </c>
    </row>
    <row r="675" spans="1:8" x14ac:dyDescent="0.3">
      <c r="A675" s="3">
        <v>45660</v>
      </c>
      <c r="B675" s="4" t="s">
        <v>125</v>
      </c>
      <c r="C675" s="4" t="s">
        <v>1421</v>
      </c>
      <c r="D675" s="3">
        <v>45660</v>
      </c>
      <c r="E675" s="2">
        <v>3304.04</v>
      </c>
      <c r="F675" s="2">
        <v>0</v>
      </c>
      <c r="G675" s="2">
        <v>1222958.18</v>
      </c>
      <c r="H675" t="s">
        <v>361</v>
      </c>
    </row>
    <row r="676" spans="1:8" x14ac:dyDescent="0.3">
      <c r="A676" s="3">
        <v>45663</v>
      </c>
      <c r="B676" s="4" t="s">
        <v>125</v>
      </c>
      <c r="C676" s="4" t="s">
        <v>1422</v>
      </c>
      <c r="D676" s="3">
        <v>45663</v>
      </c>
      <c r="E676" s="2">
        <v>988.56</v>
      </c>
      <c r="F676" s="2">
        <v>0</v>
      </c>
      <c r="G676" s="2">
        <v>1221969.6200000001</v>
      </c>
      <c r="H676" t="s">
        <v>361</v>
      </c>
    </row>
    <row r="677" spans="1:8" x14ac:dyDescent="0.3">
      <c r="A677" s="3">
        <v>45663</v>
      </c>
      <c r="B677" s="4" t="s">
        <v>833</v>
      </c>
      <c r="C677" s="4" t="s">
        <v>1423</v>
      </c>
      <c r="D677" s="3">
        <v>45663</v>
      </c>
      <c r="E677" s="2">
        <v>0</v>
      </c>
      <c r="F677" s="2">
        <v>125</v>
      </c>
      <c r="G677" s="2">
        <v>1222094.6200000001</v>
      </c>
      <c r="H677" t="s">
        <v>369</v>
      </c>
    </row>
    <row r="678" spans="1:8" x14ac:dyDescent="0.3">
      <c r="A678" s="3">
        <v>45663</v>
      </c>
      <c r="B678" s="4" t="s">
        <v>1424</v>
      </c>
      <c r="C678" s="4" t="s">
        <v>1425</v>
      </c>
      <c r="D678" s="3">
        <v>45663</v>
      </c>
      <c r="E678" s="2">
        <v>50000</v>
      </c>
      <c r="F678" s="2">
        <v>0</v>
      </c>
      <c r="G678" s="2">
        <v>1172094.6200000001</v>
      </c>
      <c r="H678" t="s">
        <v>1873</v>
      </c>
    </row>
    <row r="679" spans="1:8" x14ac:dyDescent="0.3">
      <c r="A679" s="3">
        <v>45663</v>
      </c>
      <c r="B679" s="4" t="s">
        <v>125</v>
      </c>
      <c r="C679" s="4" t="s">
        <v>1426</v>
      </c>
      <c r="D679" s="3">
        <v>45663</v>
      </c>
      <c r="E679" s="2">
        <v>34319.339999999997</v>
      </c>
      <c r="F679" s="2">
        <v>0</v>
      </c>
      <c r="G679" s="2">
        <v>1137775.28</v>
      </c>
      <c r="H679" t="s">
        <v>361</v>
      </c>
    </row>
    <row r="680" spans="1:8" x14ac:dyDescent="0.3">
      <c r="A680" s="3">
        <v>45664</v>
      </c>
      <c r="B680" s="4" t="s">
        <v>125</v>
      </c>
      <c r="C680" s="4" t="s">
        <v>1427</v>
      </c>
      <c r="D680" s="3">
        <v>45664</v>
      </c>
      <c r="E680" s="2">
        <v>317.29000000000002</v>
      </c>
      <c r="F680" s="2">
        <v>0</v>
      </c>
      <c r="G680" s="2">
        <v>1137457.99</v>
      </c>
      <c r="H680" t="s">
        <v>361</v>
      </c>
    </row>
    <row r="681" spans="1:8" x14ac:dyDescent="0.3">
      <c r="A681" s="3">
        <v>45665</v>
      </c>
      <c r="B681" s="4" t="s">
        <v>1428</v>
      </c>
      <c r="C681" s="4" t="s">
        <v>1429</v>
      </c>
      <c r="D681" s="3">
        <v>45665</v>
      </c>
      <c r="E681" s="2">
        <v>0</v>
      </c>
      <c r="F681" s="2">
        <v>5465.93</v>
      </c>
      <c r="G681" s="2">
        <v>1142923.92</v>
      </c>
      <c r="H681" t="s">
        <v>1876</v>
      </c>
    </row>
    <row r="682" spans="1:8" x14ac:dyDescent="0.3">
      <c r="A682" s="3">
        <v>45665</v>
      </c>
      <c r="B682" s="4" t="s">
        <v>125</v>
      </c>
      <c r="C682" s="4" t="s">
        <v>1430</v>
      </c>
      <c r="D682" s="3">
        <v>45665</v>
      </c>
      <c r="E682" s="2">
        <v>331.3</v>
      </c>
      <c r="F682" s="2">
        <v>0</v>
      </c>
      <c r="G682" s="2">
        <v>1142592.6200000001</v>
      </c>
      <c r="H682" t="s">
        <v>361</v>
      </c>
    </row>
    <row r="683" spans="1:8" x14ac:dyDescent="0.3">
      <c r="A683" s="3">
        <v>45665</v>
      </c>
      <c r="B683" s="4" t="s">
        <v>125</v>
      </c>
      <c r="C683" s="4" t="s">
        <v>1431</v>
      </c>
      <c r="D683" s="3">
        <v>45665</v>
      </c>
      <c r="E683" s="2">
        <v>10229.68</v>
      </c>
      <c r="F683" s="2">
        <v>0</v>
      </c>
      <c r="G683" s="2">
        <v>1132362.94</v>
      </c>
      <c r="H683" t="s">
        <v>361</v>
      </c>
    </row>
    <row r="684" spans="1:8" x14ac:dyDescent="0.3">
      <c r="A684" s="3">
        <v>45666</v>
      </c>
      <c r="B684" s="4" t="s">
        <v>1243</v>
      </c>
      <c r="C684" s="4" t="s">
        <v>1432</v>
      </c>
      <c r="D684" s="3">
        <v>45666</v>
      </c>
      <c r="E684" s="2">
        <v>20000</v>
      </c>
      <c r="F684" s="2">
        <v>0</v>
      </c>
      <c r="G684" s="2">
        <v>1112362.94</v>
      </c>
      <c r="H684" t="s">
        <v>366</v>
      </c>
    </row>
    <row r="685" spans="1:8" x14ac:dyDescent="0.3">
      <c r="A685" s="3">
        <v>45666</v>
      </c>
      <c r="B685" s="4" t="s">
        <v>125</v>
      </c>
      <c r="C685" s="4" t="s">
        <v>1433</v>
      </c>
      <c r="D685" s="3">
        <v>45666</v>
      </c>
      <c r="E685" s="2">
        <v>329.6</v>
      </c>
      <c r="F685" s="2">
        <v>0</v>
      </c>
      <c r="G685" s="2">
        <v>1112033.3400000001</v>
      </c>
      <c r="H685" t="s">
        <v>361</v>
      </c>
    </row>
    <row r="686" spans="1:8" x14ac:dyDescent="0.3">
      <c r="A686" s="3">
        <v>45666</v>
      </c>
      <c r="B686" s="4" t="s">
        <v>125</v>
      </c>
      <c r="C686" s="4" t="s">
        <v>1434</v>
      </c>
      <c r="D686" s="3">
        <v>45666</v>
      </c>
      <c r="E686" s="2">
        <v>13033.56</v>
      </c>
      <c r="F686" s="2">
        <v>0</v>
      </c>
      <c r="G686" s="2">
        <v>1098999.78</v>
      </c>
      <c r="H686" t="s">
        <v>361</v>
      </c>
    </row>
    <row r="687" spans="1:8" x14ac:dyDescent="0.3">
      <c r="A687" s="3">
        <v>45667</v>
      </c>
      <c r="B687" s="4" t="s">
        <v>1435</v>
      </c>
      <c r="C687" s="4" t="s">
        <v>1436</v>
      </c>
      <c r="D687" s="3">
        <v>45667</v>
      </c>
      <c r="E687" s="2">
        <v>10000</v>
      </c>
      <c r="F687" s="2">
        <v>0</v>
      </c>
      <c r="G687" s="2">
        <v>1088999.78</v>
      </c>
      <c r="H687" t="s">
        <v>1854</v>
      </c>
    </row>
    <row r="688" spans="1:8" x14ac:dyDescent="0.3">
      <c r="A688" s="3">
        <v>45667</v>
      </c>
      <c r="B688" s="4" t="s">
        <v>125</v>
      </c>
      <c r="C688" s="4" t="s">
        <v>1437</v>
      </c>
      <c r="D688" s="3">
        <v>45667</v>
      </c>
      <c r="E688" s="2">
        <v>324.95999999999998</v>
      </c>
      <c r="F688" s="2">
        <v>0</v>
      </c>
      <c r="G688" s="2">
        <v>1088674.82</v>
      </c>
      <c r="H688" t="s">
        <v>361</v>
      </c>
    </row>
    <row r="689" spans="1:8" x14ac:dyDescent="0.3">
      <c r="A689" s="3">
        <v>45667</v>
      </c>
      <c r="B689" s="4" t="s">
        <v>125</v>
      </c>
      <c r="C689" s="4" t="s">
        <v>1438</v>
      </c>
      <c r="D689" s="3">
        <v>45667</v>
      </c>
      <c r="E689" s="2">
        <v>25075.26</v>
      </c>
      <c r="F689" s="2">
        <v>0</v>
      </c>
      <c r="G689" s="2">
        <v>1063599.56</v>
      </c>
      <c r="H689" t="s">
        <v>361</v>
      </c>
    </row>
    <row r="690" spans="1:8" x14ac:dyDescent="0.3">
      <c r="A690" s="3">
        <v>45670</v>
      </c>
      <c r="B690" s="4" t="s">
        <v>1439</v>
      </c>
      <c r="C690" s="4" t="s">
        <v>1440</v>
      </c>
      <c r="D690" s="3">
        <v>45670</v>
      </c>
      <c r="E690" s="2">
        <v>30000</v>
      </c>
      <c r="F690" s="2">
        <v>0</v>
      </c>
      <c r="G690" s="2">
        <v>1033599.56</v>
      </c>
      <c r="H690" t="s">
        <v>1861</v>
      </c>
    </row>
    <row r="691" spans="1:8" x14ac:dyDescent="0.3">
      <c r="A691" s="3">
        <v>45670</v>
      </c>
      <c r="B691" s="4" t="s">
        <v>125</v>
      </c>
      <c r="C691" s="4" t="s">
        <v>1441</v>
      </c>
      <c r="D691" s="3">
        <v>45670</v>
      </c>
      <c r="E691" s="2">
        <v>948.09</v>
      </c>
      <c r="F691" s="2">
        <v>0</v>
      </c>
      <c r="G691" s="2">
        <v>1032651.47</v>
      </c>
      <c r="H691" t="s">
        <v>361</v>
      </c>
    </row>
    <row r="692" spans="1:8" x14ac:dyDescent="0.3">
      <c r="A692" s="3">
        <v>45670</v>
      </c>
      <c r="B692" s="4" t="s">
        <v>1442</v>
      </c>
      <c r="C692" s="4" t="s">
        <v>140</v>
      </c>
      <c r="D692" s="3">
        <v>45670</v>
      </c>
      <c r="E692" s="2">
        <v>330.4</v>
      </c>
      <c r="F692" s="2">
        <v>0</v>
      </c>
      <c r="G692" s="2">
        <v>1032321.07</v>
      </c>
      <c r="H692" t="s">
        <v>362</v>
      </c>
    </row>
    <row r="693" spans="1:8" x14ac:dyDescent="0.3">
      <c r="A693" s="3">
        <v>45670</v>
      </c>
      <c r="B693" s="4" t="s">
        <v>125</v>
      </c>
      <c r="C693" s="4" t="s">
        <v>1443</v>
      </c>
      <c r="D693" s="3">
        <v>45670</v>
      </c>
      <c r="E693" s="2">
        <v>28859.26</v>
      </c>
      <c r="F693" s="2">
        <v>0</v>
      </c>
      <c r="G693" s="2">
        <v>1003461.81</v>
      </c>
      <c r="H693" t="s">
        <v>361</v>
      </c>
    </row>
    <row r="694" spans="1:8" x14ac:dyDescent="0.3">
      <c r="A694" s="3">
        <v>45671</v>
      </c>
      <c r="B694" s="4" t="s">
        <v>125</v>
      </c>
      <c r="C694" s="4" t="s">
        <v>1444</v>
      </c>
      <c r="D694" s="3">
        <v>45671</v>
      </c>
      <c r="E694" s="2">
        <v>305.75</v>
      </c>
      <c r="F694" s="2">
        <v>0</v>
      </c>
      <c r="G694" s="2">
        <v>1003156.06</v>
      </c>
      <c r="H694" t="s">
        <v>361</v>
      </c>
    </row>
    <row r="695" spans="1:8" x14ac:dyDescent="0.3">
      <c r="A695" s="3">
        <v>45672</v>
      </c>
      <c r="B695" s="4" t="s">
        <v>1243</v>
      </c>
      <c r="C695" s="4" t="s">
        <v>1445</v>
      </c>
      <c r="D695" s="3">
        <v>45672</v>
      </c>
      <c r="E695" s="2">
        <v>20000</v>
      </c>
      <c r="F695" s="2">
        <v>0</v>
      </c>
      <c r="G695" s="2">
        <v>983156.06</v>
      </c>
      <c r="H695" t="s">
        <v>366</v>
      </c>
    </row>
    <row r="696" spans="1:8" x14ac:dyDescent="0.3">
      <c r="A696" s="3">
        <v>45672</v>
      </c>
      <c r="B696" s="4" t="s">
        <v>1446</v>
      </c>
      <c r="C696" s="4" t="s">
        <v>1447</v>
      </c>
      <c r="D696" s="3">
        <v>45672</v>
      </c>
      <c r="E696" s="2">
        <v>0</v>
      </c>
      <c r="F696" s="2">
        <v>19544.7</v>
      </c>
      <c r="G696" s="2">
        <v>1002700.76</v>
      </c>
      <c r="H696" t="s">
        <v>1876</v>
      </c>
    </row>
    <row r="697" spans="1:8" x14ac:dyDescent="0.3">
      <c r="A697" s="3">
        <v>45672</v>
      </c>
      <c r="B697" s="4" t="s">
        <v>1448</v>
      </c>
      <c r="C697" s="4" t="s">
        <v>1449</v>
      </c>
      <c r="D697" s="3">
        <v>45672</v>
      </c>
      <c r="E697" s="2">
        <v>10000</v>
      </c>
      <c r="F697" s="2">
        <v>0</v>
      </c>
      <c r="G697" s="2">
        <v>992700.76</v>
      </c>
      <c r="H697" t="s">
        <v>1854</v>
      </c>
    </row>
    <row r="698" spans="1:8" x14ac:dyDescent="0.3">
      <c r="A698" s="3">
        <v>45672</v>
      </c>
      <c r="B698" s="4" t="s">
        <v>125</v>
      </c>
      <c r="C698" s="4" t="s">
        <v>1450</v>
      </c>
      <c r="D698" s="3">
        <v>45672</v>
      </c>
      <c r="E698" s="2">
        <v>305.75</v>
      </c>
      <c r="F698" s="2">
        <v>0</v>
      </c>
      <c r="G698" s="2">
        <v>992395.01</v>
      </c>
      <c r="H698" t="s">
        <v>361</v>
      </c>
    </row>
    <row r="699" spans="1:8" x14ac:dyDescent="0.3">
      <c r="A699" s="3">
        <v>45673</v>
      </c>
      <c r="B699" s="4" t="s">
        <v>1451</v>
      </c>
      <c r="C699" s="4" t="s">
        <v>1452</v>
      </c>
      <c r="D699" s="3">
        <v>45673</v>
      </c>
      <c r="E699" s="2">
        <v>0</v>
      </c>
      <c r="F699" s="2">
        <v>6281.73</v>
      </c>
      <c r="G699" s="2">
        <v>998676.74</v>
      </c>
      <c r="H699" t="s">
        <v>1876</v>
      </c>
    </row>
    <row r="700" spans="1:8" x14ac:dyDescent="0.3">
      <c r="A700" s="3">
        <v>45673</v>
      </c>
      <c r="B700" s="4" t="s">
        <v>125</v>
      </c>
      <c r="C700" s="4" t="s">
        <v>1453</v>
      </c>
      <c r="D700" s="3">
        <v>45673</v>
      </c>
      <c r="E700" s="2">
        <v>312.70999999999998</v>
      </c>
      <c r="F700" s="2">
        <v>0</v>
      </c>
      <c r="G700" s="2">
        <v>998364.03</v>
      </c>
      <c r="H700" t="s">
        <v>361</v>
      </c>
    </row>
    <row r="701" spans="1:8" x14ac:dyDescent="0.3">
      <c r="A701" s="3">
        <v>45674</v>
      </c>
      <c r="B701" s="4" t="s">
        <v>1454</v>
      </c>
      <c r="C701" s="4" t="s">
        <v>1455</v>
      </c>
      <c r="D701" s="3">
        <v>45674</v>
      </c>
      <c r="E701" s="2">
        <v>0</v>
      </c>
      <c r="F701" s="2">
        <v>8816.65</v>
      </c>
      <c r="G701" s="2">
        <v>1007180.68</v>
      </c>
      <c r="H701" t="s">
        <v>1876</v>
      </c>
    </row>
    <row r="702" spans="1:8" x14ac:dyDescent="0.3">
      <c r="A702" s="3">
        <v>45674</v>
      </c>
      <c r="B702" s="4" t="s">
        <v>125</v>
      </c>
      <c r="C702" s="4" t="s">
        <v>1456</v>
      </c>
      <c r="D702" s="3">
        <v>45674</v>
      </c>
      <c r="E702" s="2">
        <v>314.95</v>
      </c>
      <c r="F702" s="2">
        <v>0</v>
      </c>
      <c r="G702" s="2">
        <v>1006865.73</v>
      </c>
      <c r="H702" t="s">
        <v>361</v>
      </c>
    </row>
    <row r="703" spans="1:8" x14ac:dyDescent="0.3">
      <c r="A703" s="3">
        <v>45674</v>
      </c>
      <c r="B703" s="4" t="s">
        <v>1243</v>
      </c>
      <c r="C703" s="4" t="s">
        <v>1457</v>
      </c>
      <c r="D703" s="3">
        <v>45674</v>
      </c>
      <c r="E703" s="2">
        <v>20000</v>
      </c>
      <c r="F703" s="2">
        <v>0</v>
      </c>
      <c r="G703" s="2">
        <v>986865.73</v>
      </c>
      <c r="H703" t="s">
        <v>366</v>
      </c>
    </row>
    <row r="704" spans="1:8" x14ac:dyDescent="0.3">
      <c r="A704" s="3">
        <v>45674</v>
      </c>
      <c r="B704" s="4" t="s">
        <v>125</v>
      </c>
      <c r="C704" s="4" t="s">
        <v>1458</v>
      </c>
      <c r="D704" s="3">
        <v>45674</v>
      </c>
      <c r="E704" s="2">
        <v>1135</v>
      </c>
      <c r="F704" s="2">
        <v>0</v>
      </c>
      <c r="G704" s="2">
        <v>985730.73</v>
      </c>
      <c r="H704" t="s">
        <v>361</v>
      </c>
    </row>
    <row r="705" spans="1:8" x14ac:dyDescent="0.3">
      <c r="A705" s="3">
        <v>45675</v>
      </c>
      <c r="B705" s="4" t="s">
        <v>868</v>
      </c>
      <c r="C705" s="4" t="s">
        <v>1459</v>
      </c>
      <c r="D705" s="3">
        <v>45675</v>
      </c>
      <c r="E705" s="2">
        <v>0</v>
      </c>
      <c r="F705" s="2">
        <v>1196.5</v>
      </c>
      <c r="G705" s="2">
        <v>986927.23</v>
      </c>
      <c r="H705" t="s">
        <v>369</v>
      </c>
    </row>
    <row r="706" spans="1:8" x14ac:dyDescent="0.3">
      <c r="A706" s="3">
        <v>45677</v>
      </c>
      <c r="B706" s="4" t="s">
        <v>1460</v>
      </c>
      <c r="C706" s="4" t="s">
        <v>1461</v>
      </c>
      <c r="D706" s="3">
        <v>45677</v>
      </c>
      <c r="E706" s="2">
        <v>200000</v>
      </c>
      <c r="F706" s="2">
        <v>0</v>
      </c>
      <c r="G706" s="2">
        <v>786927.23</v>
      </c>
      <c r="H706" t="s">
        <v>1861</v>
      </c>
    </row>
    <row r="707" spans="1:8" x14ac:dyDescent="0.3">
      <c r="A707" s="3">
        <v>45677</v>
      </c>
      <c r="B707" s="4" t="s">
        <v>1462</v>
      </c>
      <c r="C707" s="4" t="s">
        <v>1463</v>
      </c>
      <c r="D707" s="3">
        <v>45677</v>
      </c>
      <c r="E707" s="2">
        <v>10000</v>
      </c>
      <c r="F707" s="2">
        <v>0</v>
      </c>
      <c r="G707" s="2">
        <v>776927.23</v>
      </c>
      <c r="H707" t="s">
        <v>1854</v>
      </c>
    </row>
    <row r="708" spans="1:8" x14ac:dyDescent="0.3">
      <c r="A708" s="3">
        <v>45677</v>
      </c>
      <c r="B708" s="4" t="s">
        <v>1464</v>
      </c>
      <c r="C708" s="4" t="s">
        <v>1461</v>
      </c>
      <c r="D708" s="3">
        <v>45677</v>
      </c>
      <c r="E708" s="2">
        <v>0</v>
      </c>
      <c r="F708" s="2">
        <v>200000</v>
      </c>
      <c r="G708" s="2">
        <v>976927.23</v>
      </c>
      <c r="H708" t="s">
        <v>1875</v>
      </c>
    </row>
    <row r="709" spans="1:8" x14ac:dyDescent="0.3">
      <c r="A709" s="3">
        <v>45677</v>
      </c>
      <c r="B709" s="4" t="s">
        <v>125</v>
      </c>
      <c r="C709" s="4" t="s">
        <v>1465</v>
      </c>
      <c r="D709" s="3">
        <v>45677</v>
      </c>
      <c r="E709" s="2">
        <v>953.04</v>
      </c>
      <c r="F709" s="2">
        <v>0</v>
      </c>
      <c r="G709" s="2">
        <v>975974.19</v>
      </c>
      <c r="H709" t="s">
        <v>361</v>
      </c>
    </row>
    <row r="710" spans="1:8" x14ac:dyDescent="0.3">
      <c r="A710" s="3">
        <v>45677</v>
      </c>
      <c r="B710" s="4" t="s">
        <v>874</v>
      </c>
      <c r="C710" s="4" t="s">
        <v>1466</v>
      </c>
      <c r="D710" s="3">
        <v>45677</v>
      </c>
      <c r="E710" s="2">
        <v>0</v>
      </c>
      <c r="F710" s="2">
        <v>300.44</v>
      </c>
      <c r="G710" s="2">
        <v>976274.63</v>
      </c>
      <c r="H710" t="s">
        <v>369</v>
      </c>
    </row>
    <row r="711" spans="1:8" x14ac:dyDescent="0.3">
      <c r="A711" s="3">
        <v>45678</v>
      </c>
      <c r="B711" s="4" t="s">
        <v>1467</v>
      </c>
      <c r="C711" s="4" t="s">
        <v>1468</v>
      </c>
      <c r="D711" s="3">
        <v>45678</v>
      </c>
      <c r="E711" s="2">
        <v>0</v>
      </c>
      <c r="F711" s="2">
        <v>1047.2</v>
      </c>
      <c r="G711" s="2">
        <v>977321.83</v>
      </c>
      <c r="H711" t="s">
        <v>1876</v>
      </c>
    </row>
    <row r="712" spans="1:8" x14ac:dyDescent="0.3">
      <c r="A712" s="3">
        <v>45678</v>
      </c>
      <c r="B712" s="4" t="s">
        <v>125</v>
      </c>
      <c r="C712" s="4" t="s">
        <v>1469</v>
      </c>
      <c r="D712" s="3">
        <v>45678</v>
      </c>
      <c r="E712" s="2">
        <v>317.68</v>
      </c>
      <c r="F712" s="2">
        <v>0</v>
      </c>
      <c r="G712" s="2">
        <v>977004.15</v>
      </c>
      <c r="H712" t="s">
        <v>361</v>
      </c>
    </row>
    <row r="713" spans="1:8" x14ac:dyDescent="0.3">
      <c r="A713" s="3">
        <v>45678</v>
      </c>
      <c r="B713" s="4" t="s">
        <v>125</v>
      </c>
      <c r="C713" s="4" t="s">
        <v>1470</v>
      </c>
      <c r="D713" s="3">
        <v>45678</v>
      </c>
      <c r="E713" s="2">
        <v>7915.59</v>
      </c>
      <c r="F713" s="2">
        <v>0</v>
      </c>
      <c r="G713" s="2">
        <v>969088.56</v>
      </c>
      <c r="H713" t="s">
        <v>361</v>
      </c>
    </row>
    <row r="714" spans="1:8" x14ac:dyDescent="0.3">
      <c r="A714" s="3">
        <v>45679</v>
      </c>
      <c r="B714" s="4" t="s">
        <v>125</v>
      </c>
      <c r="C714" s="4" t="s">
        <v>1471</v>
      </c>
      <c r="D714" s="3">
        <v>45679</v>
      </c>
      <c r="E714" s="2">
        <v>315.24</v>
      </c>
      <c r="F714" s="2">
        <v>0</v>
      </c>
      <c r="G714" s="2">
        <v>968773.32</v>
      </c>
      <c r="H714" t="s">
        <v>361</v>
      </c>
    </row>
    <row r="715" spans="1:8" x14ac:dyDescent="0.3">
      <c r="A715" s="3">
        <v>45679</v>
      </c>
      <c r="B715" s="4" t="s">
        <v>1472</v>
      </c>
      <c r="C715" s="4" t="s">
        <v>1473</v>
      </c>
      <c r="D715" s="3">
        <v>45679</v>
      </c>
      <c r="E715" s="2">
        <v>67000</v>
      </c>
      <c r="F715" s="2">
        <v>0</v>
      </c>
      <c r="G715" s="2">
        <v>901773.32</v>
      </c>
      <c r="H715" t="s">
        <v>1873</v>
      </c>
    </row>
    <row r="716" spans="1:8" x14ac:dyDescent="0.3">
      <c r="A716" s="3">
        <v>45679</v>
      </c>
      <c r="B716" s="4" t="s">
        <v>125</v>
      </c>
      <c r="C716" s="4" t="s">
        <v>1474</v>
      </c>
      <c r="D716" s="3">
        <v>45679</v>
      </c>
      <c r="E716" s="2">
        <v>7000.88</v>
      </c>
      <c r="F716" s="2">
        <v>0</v>
      </c>
      <c r="G716" s="2">
        <v>894772.44</v>
      </c>
      <c r="H716" t="s">
        <v>361</v>
      </c>
    </row>
    <row r="717" spans="1:8" x14ac:dyDescent="0.3">
      <c r="A717" s="3">
        <v>45680</v>
      </c>
      <c r="B717" s="4" t="s">
        <v>125</v>
      </c>
      <c r="C717" s="4" t="s">
        <v>1475</v>
      </c>
      <c r="D717" s="3">
        <v>45680</v>
      </c>
      <c r="E717" s="2">
        <v>312.74</v>
      </c>
      <c r="F717" s="2">
        <v>0</v>
      </c>
      <c r="G717" s="2">
        <v>894459.7</v>
      </c>
      <c r="H717" t="s">
        <v>361</v>
      </c>
    </row>
    <row r="718" spans="1:8" x14ac:dyDescent="0.3">
      <c r="A718" s="3">
        <v>45680</v>
      </c>
      <c r="B718" s="4" t="s">
        <v>1476</v>
      </c>
      <c r="C718" s="4" t="s">
        <v>1477</v>
      </c>
      <c r="D718" s="3">
        <v>45680</v>
      </c>
      <c r="E718" s="2">
        <v>200000</v>
      </c>
      <c r="F718" s="2">
        <v>0</v>
      </c>
      <c r="G718" s="2">
        <v>694459.7</v>
      </c>
      <c r="H718" t="s">
        <v>1853</v>
      </c>
    </row>
    <row r="719" spans="1:8" x14ac:dyDescent="0.3">
      <c r="A719" s="3">
        <v>45681</v>
      </c>
      <c r="B719" s="4" t="s">
        <v>1478</v>
      </c>
      <c r="C719" s="4" t="s">
        <v>1479</v>
      </c>
      <c r="D719" s="3">
        <v>45681</v>
      </c>
      <c r="E719" s="2">
        <v>0</v>
      </c>
      <c r="F719" s="2">
        <v>9546.35</v>
      </c>
      <c r="G719" s="2">
        <v>704006.05</v>
      </c>
      <c r="H719" t="s">
        <v>1876</v>
      </c>
    </row>
    <row r="720" spans="1:8" x14ac:dyDescent="0.3">
      <c r="A720" s="3">
        <v>45681</v>
      </c>
      <c r="B720" s="4" t="s">
        <v>125</v>
      </c>
      <c r="C720" s="4" t="s">
        <v>1480</v>
      </c>
      <c r="D720" s="3">
        <v>45681</v>
      </c>
      <c r="E720" s="2">
        <v>312.74</v>
      </c>
      <c r="F720" s="2">
        <v>0</v>
      </c>
      <c r="G720" s="2">
        <v>703693.31</v>
      </c>
      <c r="H720" t="s">
        <v>361</v>
      </c>
    </row>
    <row r="721" spans="1:8" x14ac:dyDescent="0.3">
      <c r="A721" s="3">
        <v>45681</v>
      </c>
      <c r="B721" s="4" t="s">
        <v>1481</v>
      </c>
      <c r="C721" s="4" t="s">
        <v>1482</v>
      </c>
      <c r="D721" s="3">
        <v>45681</v>
      </c>
      <c r="E721" s="2">
        <v>100000</v>
      </c>
      <c r="F721" s="2">
        <v>0</v>
      </c>
      <c r="G721" s="2">
        <v>603693.31000000006</v>
      </c>
      <c r="H721" t="s">
        <v>356</v>
      </c>
    </row>
    <row r="722" spans="1:8" x14ac:dyDescent="0.3">
      <c r="A722" s="3">
        <v>45681</v>
      </c>
      <c r="B722" s="4" t="s">
        <v>1483</v>
      </c>
      <c r="C722" s="4" t="s">
        <v>1484</v>
      </c>
      <c r="D722" s="3">
        <v>45681</v>
      </c>
      <c r="E722" s="2">
        <v>75000</v>
      </c>
      <c r="F722" s="2">
        <v>0</v>
      </c>
      <c r="G722" s="2">
        <v>528693.31000000006</v>
      </c>
      <c r="H722" t="s">
        <v>1874</v>
      </c>
    </row>
    <row r="723" spans="1:8" x14ac:dyDescent="0.3">
      <c r="A723" s="3">
        <v>45683</v>
      </c>
      <c r="B723" s="4" t="s">
        <v>1485</v>
      </c>
      <c r="C723" s="4" t="s">
        <v>1486</v>
      </c>
      <c r="D723" s="3">
        <v>45683</v>
      </c>
      <c r="E723" s="2">
        <v>200000</v>
      </c>
      <c r="F723" s="2">
        <v>0</v>
      </c>
      <c r="G723" s="2">
        <v>328693.31</v>
      </c>
      <c r="H723" t="s">
        <v>1872</v>
      </c>
    </row>
    <row r="724" spans="1:8" x14ac:dyDescent="0.3">
      <c r="A724" s="3">
        <v>45684</v>
      </c>
      <c r="B724" s="4" t="s">
        <v>1487</v>
      </c>
      <c r="C724" s="4" t="s">
        <v>1488</v>
      </c>
      <c r="D724" s="3">
        <v>45684</v>
      </c>
      <c r="E724" s="2">
        <v>0</v>
      </c>
      <c r="F724" s="2">
        <v>25473.59</v>
      </c>
      <c r="G724" s="2">
        <v>354166.9</v>
      </c>
      <c r="H724" t="s">
        <v>1876</v>
      </c>
    </row>
    <row r="725" spans="1:8" x14ac:dyDescent="0.3">
      <c r="A725" s="3">
        <v>45684</v>
      </c>
      <c r="B725" s="4" t="s">
        <v>125</v>
      </c>
      <c r="C725" s="4" t="s">
        <v>1489</v>
      </c>
      <c r="D725" s="3">
        <v>45684</v>
      </c>
      <c r="E725" s="2">
        <v>948.42</v>
      </c>
      <c r="F725" s="2">
        <v>0</v>
      </c>
      <c r="G725" s="2">
        <v>353218.48</v>
      </c>
      <c r="H725" t="s">
        <v>361</v>
      </c>
    </row>
    <row r="726" spans="1:8" x14ac:dyDescent="0.3">
      <c r="A726" s="3">
        <v>45684</v>
      </c>
      <c r="B726" s="4" t="s">
        <v>1490</v>
      </c>
      <c r="C726" s="4" t="s">
        <v>1491</v>
      </c>
      <c r="D726" s="3">
        <v>45685</v>
      </c>
      <c r="E726" s="2">
        <v>0</v>
      </c>
      <c r="F726" s="2">
        <v>26440</v>
      </c>
      <c r="G726" s="2">
        <v>379658.48</v>
      </c>
      <c r="H726" t="s">
        <v>1853</v>
      </c>
    </row>
    <row r="727" spans="1:8" x14ac:dyDescent="0.3">
      <c r="A727" s="3">
        <v>45684</v>
      </c>
      <c r="B727" s="4" t="s">
        <v>1490</v>
      </c>
      <c r="C727" s="4" t="s">
        <v>1492</v>
      </c>
      <c r="D727" s="3">
        <v>45685</v>
      </c>
      <c r="E727" s="2">
        <v>0</v>
      </c>
      <c r="F727" s="2">
        <v>26730</v>
      </c>
      <c r="G727" s="2">
        <v>406388.47999999998</v>
      </c>
      <c r="H727" t="s">
        <v>1853</v>
      </c>
    </row>
    <row r="728" spans="1:8" x14ac:dyDescent="0.3">
      <c r="A728" s="3">
        <v>45684</v>
      </c>
      <c r="B728" s="4" t="s">
        <v>125</v>
      </c>
      <c r="C728" s="4" t="s">
        <v>1493</v>
      </c>
      <c r="D728" s="3">
        <v>45684</v>
      </c>
      <c r="E728" s="2">
        <v>25750.79</v>
      </c>
      <c r="F728" s="2">
        <v>0</v>
      </c>
      <c r="G728" s="2">
        <v>380637.69</v>
      </c>
      <c r="H728" t="s">
        <v>361</v>
      </c>
    </row>
    <row r="729" spans="1:8" x14ac:dyDescent="0.3">
      <c r="A729" s="3">
        <v>45685</v>
      </c>
      <c r="B729" s="4" t="s">
        <v>125</v>
      </c>
      <c r="C729" s="4" t="s">
        <v>1494</v>
      </c>
      <c r="D729" s="3">
        <v>45685</v>
      </c>
      <c r="E729" s="2">
        <v>293.85000000000002</v>
      </c>
      <c r="F729" s="2">
        <v>0</v>
      </c>
      <c r="G729" s="2">
        <v>380343.84</v>
      </c>
      <c r="H729" t="s">
        <v>361</v>
      </c>
    </row>
    <row r="730" spans="1:8" x14ac:dyDescent="0.3">
      <c r="A730" s="3">
        <v>45685</v>
      </c>
      <c r="B730" s="4" t="s">
        <v>125</v>
      </c>
      <c r="C730" s="4" t="s">
        <v>1495</v>
      </c>
      <c r="D730" s="3">
        <v>45685</v>
      </c>
      <c r="E730" s="2">
        <v>3016.36</v>
      </c>
      <c r="F730" s="2">
        <v>0</v>
      </c>
      <c r="G730" s="2">
        <v>377327.48</v>
      </c>
      <c r="H730" t="s">
        <v>361</v>
      </c>
    </row>
    <row r="731" spans="1:8" x14ac:dyDescent="0.3">
      <c r="A731" s="3">
        <v>45686</v>
      </c>
      <c r="B731" s="4" t="s">
        <v>125</v>
      </c>
      <c r="C731" s="4" t="s">
        <v>1496</v>
      </c>
      <c r="D731" s="3">
        <v>45686</v>
      </c>
      <c r="E731" s="2">
        <v>292.77999999999997</v>
      </c>
      <c r="F731" s="2">
        <v>0</v>
      </c>
      <c r="G731" s="2">
        <v>377034.7</v>
      </c>
      <c r="H731" t="s">
        <v>361</v>
      </c>
    </row>
    <row r="732" spans="1:8" x14ac:dyDescent="0.3">
      <c r="A732" s="3">
        <v>45687</v>
      </c>
      <c r="B732" s="4" t="s">
        <v>1497</v>
      </c>
      <c r="C732" s="4" t="s">
        <v>1498</v>
      </c>
      <c r="D732" s="3">
        <v>45687</v>
      </c>
      <c r="E732" s="2">
        <v>0</v>
      </c>
      <c r="F732" s="2">
        <v>21983.31</v>
      </c>
      <c r="G732" s="2">
        <v>399018.01</v>
      </c>
      <c r="H732" t="s">
        <v>1876</v>
      </c>
    </row>
    <row r="733" spans="1:8" x14ac:dyDescent="0.3">
      <c r="A733" s="3">
        <v>45687</v>
      </c>
      <c r="B733" s="4" t="s">
        <v>1499</v>
      </c>
      <c r="C733" s="4" t="s">
        <v>1500</v>
      </c>
      <c r="D733" s="3">
        <v>45687</v>
      </c>
      <c r="E733" s="2">
        <v>20000</v>
      </c>
      <c r="F733" s="2">
        <v>0</v>
      </c>
      <c r="G733" s="2">
        <v>379018.01</v>
      </c>
      <c r="H733" t="s">
        <v>356</v>
      </c>
    </row>
    <row r="734" spans="1:8" x14ac:dyDescent="0.3">
      <c r="A734" s="3">
        <v>45687</v>
      </c>
      <c r="B734" s="4" t="s">
        <v>125</v>
      </c>
      <c r="C734" s="4" t="s">
        <v>1501</v>
      </c>
      <c r="D734" s="3">
        <v>45687</v>
      </c>
      <c r="E734" s="2">
        <v>292.77999999999997</v>
      </c>
      <c r="F734" s="2">
        <v>0</v>
      </c>
      <c r="G734" s="2">
        <v>378725.23</v>
      </c>
      <c r="H734" t="s">
        <v>361</v>
      </c>
    </row>
    <row r="735" spans="1:8" x14ac:dyDescent="0.3">
      <c r="A735" s="3">
        <v>45687</v>
      </c>
      <c r="B735" s="4" t="s">
        <v>1502</v>
      </c>
      <c r="C735" s="4" t="s">
        <v>1461</v>
      </c>
      <c r="D735" s="3">
        <v>45687</v>
      </c>
      <c r="E735" s="2">
        <v>59</v>
      </c>
      <c r="F735" s="2">
        <v>0</v>
      </c>
      <c r="G735" s="2">
        <v>378666.23</v>
      </c>
      <c r="H735" t="s">
        <v>365</v>
      </c>
    </row>
    <row r="736" spans="1:8" x14ac:dyDescent="0.3">
      <c r="A736" s="3">
        <v>45687</v>
      </c>
      <c r="B736" s="4" t="s">
        <v>125</v>
      </c>
      <c r="C736" s="4" t="s">
        <v>1503</v>
      </c>
      <c r="D736" s="3">
        <v>45687</v>
      </c>
      <c r="E736" s="2">
        <v>4485.84</v>
      </c>
      <c r="F736" s="2">
        <v>0</v>
      </c>
      <c r="G736" s="2">
        <v>374180.39</v>
      </c>
      <c r="H736" t="s">
        <v>361</v>
      </c>
    </row>
    <row r="737" spans="1:8" x14ac:dyDescent="0.3">
      <c r="A737" s="3">
        <v>45688</v>
      </c>
      <c r="B737" s="4" t="s">
        <v>125</v>
      </c>
      <c r="C737" s="4" t="s">
        <v>1504</v>
      </c>
      <c r="D737" s="3">
        <v>45688</v>
      </c>
      <c r="E737" s="2">
        <v>299.01</v>
      </c>
      <c r="F737" s="2">
        <v>0</v>
      </c>
      <c r="G737" s="2">
        <v>373881.38</v>
      </c>
      <c r="H737" t="s">
        <v>361</v>
      </c>
    </row>
    <row r="738" spans="1:8" x14ac:dyDescent="0.3">
      <c r="A738" s="3">
        <v>45691</v>
      </c>
      <c r="B738" s="4" t="s">
        <v>1505</v>
      </c>
      <c r="C738" s="4" t="s">
        <v>1506</v>
      </c>
      <c r="D738" s="3">
        <v>45691</v>
      </c>
      <c r="E738" s="2">
        <v>0</v>
      </c>
      <c r="F738" s="2">
        <v>12694.3</v>
      </c>
      <c r="G738" s="2">
        <v>386575.68</v>
      </c>
      <c r="H738" t="s">
        <v>1876</v>
      </c>
    </row>
    <row r="739" spans="1:8" x14ac:dyDescent="0.3">
      <c r="A739" s="3">
        <v>45691</v>
      </c>
      <c r="B739" s="4" t="s">
        <v>1507</v>
      </c>
      <c r="C739" s="4" t="s">
        <v>1508</v>
      </c>
      <c r="D739" s="3">
        <v>45691</v>
      </c>
      <c r="E739" s="2">
        <v>1</v>
      </c>
      <c r="F739" s="2">
        <v>0</v>
      </c>
      <c r="G739" s="2">
        <v>386574.68</v>
      </c>
      <c r="H739" t="s">
        <v>356</v>
      </c>
    </row>
    <row r="740" spans="1:8" x14ac:dyDescent="0.3">
      <c r="A740" s="3">
        <v>45691</v>
      </c>
      <c r="B740" s="4" t="s">
        <v>1509</v>
      </c>
      <c r="C740" s="4" t="s">
        <v>1510</v>
      </c>
      <c r="D740" s="3">
        <v>45691</v>
      </c>
      <c r="E740" s="2">
        <v>100000</v>
      </c>
      <c r="F740" s="2">
        <v>0</v>
      </c>
      <c r="G740" s="2">
        <v>286574.68</v>
      </c>
      <c r="H740" t="s">
        <v>372</v>
      </c>
    </row>
    <row r="741" spans="1:8" x14ac:dyDescent="0.3">
      <c r="A741" s="3">
        <v>45691</v>
      </c>
      <c r="B741" s="4" t="s">
        <v>125</v>
      </c>
      <c r="C741" s="4" t="s">
        <v>1511</v>
      </c>
      <c r="D741" s="3">
        <v>45691</v>
      </c>
      <c r="E741" s="2">
        <v>6162.28</v>
      </c>
      <c r="F741" s="2">
        <v>0</v>
      </c>
      <c r="G741" s="2">
        <v>280412.40000000002</v>
      </c>
      <c r="H741" t="s">
        <v>361</v>
      </c>
    </row>
    <row r="742" spans="1:8" x14ac:dyDescent="0.3">
      <c r="A742" s="3">
        <v>45691</v>
      </c>
      <c r="B742" s="4" t="s">
        <v>125</v>
      </c>
      <c r="C742" s="4" t="s">
        <v>1512</v>
      </c>
      <c r="D742" s="3">
        <v>45691</v>
      </c>
      <c r="E742" s="2">
        <v>17788.16</v>
      </c>
      <c r="F742" s="2">
        <v>0</v>
      </c>
      <c r="G742" s="2">
        <v>262624.24</v>
      </c>
      <c r="H742" t="s">
        <v>361</v>
      </c>
    </row>
    <row r="743" spans="1:8" x14ac:dyDescent="0.3">
      <c r="A743" s="3">
        <v>45692</v>
      </c>
      <c r="B743" s="4" t="s">
        <v>125</v>
      </c>
      <c r="C743" s="4" t="s">
        <v>1513</v>
      </c>
      <c r="D743" s="3">
        <v>45692</v>
      </c>
      <c r="E743" s="2">
        <v>295.32</v>
      </c>
      <c r="F743" s="2">
        <v>0</v>
      </c>
      <c r="G743" s="2">
        <v>262328.92</v>
      </c>
      <c r="H743" t="s">
        <v>361</v>
      </c>
    </row>
    <row r="744" spans="1:8" x14ac:dyDescent="0.3">
      <c r="A744" s="3">
        <v>45692</v>
      </c>
      <c r="B744" s="4" t="s">
        <v>125</v>
      </c>
      <c r="C744" s="4" t="s">
        <v>1514</v>
      </c>
      <c r="D744" s="3">
        <v>45692</v>
      </c>
      <c r="E744" s="2">
        <v>12866.08</v>
      </c>
      <c r="F744" s="2">
        <v>0</v>
      </c>
      <c r="G744" s="2">
        <v>249462.84</v>
      </c>
      <c r="H744" t="s">
        <v>361</v>
      </c>
    </row>
    <row r="745" spans="1:8" x14ac:dyDescent="0.3">
      <c r="A745" s="3">
        <v>45692</v>
      </c>
      <c r="B745" s="4" t="s">
        <v>1515</v>
      </c>
      <c r="C745" s="4" t="s">
        <v>1516</v>
      </c>
      <c r="D745" s="3">
        <v>45692</v>
      </c>
      <c r="E745" s="2">
        <v>50000</v>
      </c>
      <c r="F745" s="2">
        <v>0</v>
      </c>
      <c r="G745" s="2">
        <v>199462.84</v>
      </c>
      <c r="H745" t="s">
        <v>356</v>
      </c>
    </row>
    <row r="746" spans="1:8" x14ac:dyDescent="0.3">
      <c r="A746" s="3">
        <v>45693</v>
      </c>
      <c r="B746" s="4" t="s">
        <v>125</v>
      </c>
      <c r="C746" s="4" t="s">
        <v>1517</v>
      </c>
      <c r="D746" s="3">
        <v>45693</v>
      </c>
      <c r="E746" s="2">
        <v>300.49</v>
      </c>
      <c r="F746" s="2">
        <v>0</v>
      </c>
      <c r="G746" s="2">
        <v>199162.35</v>
      </c>
      <c r="H746" t="s">
        <v>361</v>
      </c>
    </row>
    <row r="747" spans="1:8" x14ac:dyDescent="0.3">
      <c r="A747" s="3">
        <v>45693</v>
      </c>
      <c r="B747" s="4" t="s">
        <v>125</v>
      </c>
      <c r="C747" s="4" t="s">
        <v>1518</v>
      </c>
      <c r="D747" s="3">
        <v>45693</v>
      </c>
      <c r="E747" s="2">
        <v>50636.33</v>
      </c>
      <c r="F747" s="2">
        <v>0</v>
      </c>
      <c r="G747" s="2">
        <v>148526.01999999999</v>
      </c>
      <c r="H747" t="s">
        <v>361</v>
      </c>
    </row>
    <row r="748" spans="1:8" x14ac:dyDescent="0.3">
      <c r="A748" s="3">
        <v>45694</v>
      </c>
      <c r="B748" s="4" t="s">
        <v>1519</v>
      </c>
      <c r="C748" s="4" t="s">
        <v>1520</v>
      </c>
      <c r="D748" s="3">
        <v>45694</v>
      </c>
      <c r="E748" s="2">
        <v>0</v>
      </c>
      <c r="F748" s="2">
        <v>74689.87</v>
      </c>
      <c r="G748" s="2">
        <v>223215.89</v>
      </c>
      <c r="H748" t="s">
        <v>1876</v>
      </c>
    </row>
    <row r="749" spans="1:8" x14ac:dyDescent="0.3">
      <c r="A749" s="3">
        <v>45694</v>
      </c>
      <c r="B749" s="4" t="s">
        <v>125</v>
      </c>
      <c r="C749" s="4" t="s">
        <v>1521</v>
      </c>
      <c r="D749" s="3">
        <v>45694</v>
      </c>
      <c r="E749" s="2">
        <v>300.83999999999997</v>
      </c>
      <c r="F749" s="2">
        <v>0</v>
      </c>
      <c r="G749" s="2">
        <v>222915.05</v>
      </c>
      <c r="H749" t="s">
        <v>361</v>
      </c>
    </row>
    <row r="750" spans="1:8" x14ac:dyDescent="0.3">
      <c r="A750" s="3">
        <v>45694</v>
      </c>
      <c r="B750" s="4" t="s">
        <v>1522</v>
      </c>
      <c r="C750" s="4" t="s">
        <v>1523</v>
      </c>
      <c r="D750" s="3">
        <v>45694</v>
      </c>
      <c r="E750" s="2">
        <v>3150</v>
      </c>
      <c r="F750" s="2">
        <v>0</v>
      </c>
      <c r="G750" s="2">
        <v>219765.05</v>
      </c>
      <c r="H750" t="s">
        <v>356</v>
      </c>
    </row>
    <row r="751" spans="1:8" x14ac:dyDescent="0.3">
      <c r="A751" s="3">
        <v>45694</v>
      </c>
      <c r="B751" s="4" t="s">
        <v>125</v>
      </c>
      <c r="C751" s="4" t="s">
        <v>1524</v>
      </c>
      <c r="D751" s="3">
        <v>45694</v>
      </c>
      <c r="E751" s="2">
        <v>53403.44</v>
      </c>
      <c r="F751" s="2">
        <v>0</v>
      </c>
      <c r="G751" s="2">
        <v>166361.60999999999</v>
      </c>
      <c r="H751" t="s">
        <v>361</v>
      </c>
    </row>
    <row r="752" spans="1:8" x14ac:dyDescent="0.3">
      <c r="A752" s="3">
        <v>45695</v>
      </c>
      <c r="B752" s="4" t="s">
        <v>1525</v>
      </c>
      <c r="C752" s="4" t="s">
        <v>1526</v>
      </c>
      <c r="D752" s="3">
        <v>45695</v>
      </c>
      <c r="E752" s="2">
        <v>0</v>
      </c>
      <c r="F752" s="2">
        <v>33629.800000000003</v>
      </c>
      <c r="G752" s="2">
        <v>199991.41</v>
      </c>
      <c r="H752" t="s">
        <v>1876</v>
      </c>
    </row>
    <row r="753" spans="1:8" x14ac:dyDescent="0.3">
      <c r="A753" s="3">
        <v>45695</v>
      </c>
      <c r="B753" s="4" t="s">
        <v>125</v>
      </c>
      <c r="C753" s="4" t="s">
        <v>1527</v>
      </c>
      <c r="D753" s="3">
        <v>45695</v>
      </c>
      <c r="E753" s="2">
        <v>299.35000000000002</v>
      </c>
      <c r="F753" s="2">
        <v>0</v>
      </c>
      <c r="G753" s="2">
        <v>199692.06</v>
      </c>
      <c r="H753" t="s">
        <v>361</v>
      </c>
    </row>
    <row r="754" spans="1:8" x14ac:dyDescent="0.3">
      <c r="A754" s="3">
        <v>45695</v>
      </c>
      <c r="B754" s="4" t="s">
        <v>125</v>
      </c>
      <c r="C754" s="4" t="s">
        <v>1528</v>
      </c>
      <c r="D754" s="3">
        <v>45695</v>
      </c>
      <c r="E754" s="2">
        <v>2444.31</v>
      </c>
      <c r="F754" s="2">
        <v>0</v>
      </c>
      <c r="G754" s="2">
        <v>197247.75</v>
      </c>
      <c r="H754" t="s">
        <v>361</v>
      </c>
    </row>
    <row r="755" spans="1:8" x14ac:dyDescent="0.3">
      <c r="A755" s="3">
        <v>45698</v>
      </c>
      <c r="B755" s="4" t="s">
        <v>1529</v>
      </c>
      <c r="C755" s="4" t="s">
        <v>1530</v>
      </c>
      <c r="D755" s="3">
        <v>45698</v>
      </c>
      <c r="E755" s="2">
        <v>0</v>
      </c>
      <c r="F755" s="2">
        <v>97719.88</v>
      </c>
      <c r="G755" s="2">
        <v>294967.63</v>
      </c>
      <c r="H755" t="s">
        <v>1876</v>
      </c>
    </row>
    <row r="756" spans="1:8" x14ac:dyDescent="0.3">
      <c r="A756" s="3">
        <v>45698</v>
      </c>
      <c r="B756" s="4" t="s">
        <v>1531</v>
      </c>
      <c r="C756" s="4" t="s">
        <v>1532</v>
      </c>
      <c r="D756" s="3">
        <v>45698</v>
      </c>
      <c r="E756" s="2">
        <v>10000</v>
      </c>
      <c r="F756" s="2">
        <v>0</v>
      </c>
      <c r="G756" s="2">
        <v>284967.63</v>
      </c>
      <c r="H756" t="s">
        <v>1854</v>
      </c>
    </row>
    <row r="757" spans="1:8" x14ac:dyDescent="0.3">
      <c r="A757" s="3">
        <v>45698</v>
      </c>
      <c r="B757" s="4" t="s">
        <v>125</v>
      </c>
      <c r="C757" s="4" t="s">
        <v>1533</v>
      </c>
      <c r="D757" s="3">
        <v>45698</v>
      </c>
      <c r="E757" s="2">
        <v>895.44</v>
      </c>
      <c r="F757" s="2">
        <v>0</v>
      </c>
      <c r="G757" s="2">
        <v>284072.19</v>
      </c>
      <c r="H757" t="s">
        <v>361</v>
      </c>
    </row>
    <row r="758" spans="1:8" x14ac:dyDescent="0.3">
      <c r="A758" s="3">
        <v>45698</v>
      </c>
      <c r="B758" s="4" t="s">
        <v>1534</v>
      </c>
      <c r="C758" s="4" t="s">
        <v>1535</v>
      </c>
      <c r="D758" s="3">
        <v>45698</v>
      </c>
      <c r="E758" s="2">
        <v>0</v>
      </c>
      <c r="F758" s="2">
        <v>10.5</v>
      </c>
      <c r="G758" s="2">
        <v>284082.69</v>
      </c>
      <c r="H758" t="s">
        <v>367</v>
      </c>
    </row>
    <row r="759" spans="1:8" x14ac:dyDescent="0.3">
      <c r="A759" s="3">
        <v>45699</v>
      </c>
      <c r="B759" s="4" t="s">
        <v>125</v>
      </c>
      <c r="C759" s="4" t="s">
        <v>1536</v>
      </c>
      <c r="D759" s="3">
        <v>45699</v>
      </c>
      <c r="E759" s="2">
        <v>12285.2</v>
      </c>
      <c r="F759" s="2">
        <v>0</v>
      </c>
      <c r="G759" s="2">
        <v>271797.49</v>
      </c>
      <c r="H759" t="s">
        <v>361</v>
      </c>
    </row>
    <row r="760" spans="1:8" x14ac:dyDescent="0.3">
      <c r="A760" s="3">
        <v>45699</v>
      </c>
      <c r="B760" s="4" t="s">
        <v>125</v>
      </c>
      <c r="C760" s="4" t="s">
        <v>1537</v>
      </c>
      <c r="D760" s="3">
        <v>45699</v>
      </c>
      <c r="E760" s="2">
        <v>294.11</v>
      </c>
      <c r="F760" s="2">
        <v>0</v>
      </c>
      <c r="G760" s="2">
        <v>271503.38</v>
      </c>
      <c r="H760" t="s">
        <v>361</v>
      </c>
    </row>
    <row r="761" spans="1:8" x14ac:dyDescent="0.3">
      <c r="A761" s="3">
        <v>45699</v>
      </c>
      <c r="B761" s="4" t="s">
        <v>125</v>
      </c>
      <c r="C761" s="4" t="s">
        <v>1538</v>
      </c>
      <c r="D761" s="3">
        <v>45699</v>
      </c>
      <c r="E761" s="2">
        <v>25519.3</v>
      </c>
      <c r="F761" s="2">
        <v>0</v>
      </c>
      <c r="G761" s="2">
        <v>245984.08</v>
      </c>
      <c r="H761" t="s">
        <v>361</v>
      </c>
    </row>
    <row r="762" spans="1:8" x14ac:dyDescent="0.3">
      <c r="A762" s="3">
        <v>45700</v>
      </c>
      <c r="B762" s="4" t="s">
        <v>125</v>
      </c>
      <c r="C762" s="4" t="s">
        <v>1539</v>
      </c>
      <c r="D762" s="3">
        <v>45700</v>
      </c>
      <c r="E762" s="2">
        <v>288.45</v>
      </c>
      <c r="F762" s="2">
        <v>0</v>
      </c>
      <c r="G762" s="2">
        <v>245695.63</v>
      </c>
      <c r="H762" t="s">
        <v>361</v>
      </c>
    </row>
    <row r="763" spans="1:8" x14ac:dyDescent="0.3">
      <c r="A763" s="3">
        <v>45700</v>
      </c>
      <c r="B763" s="4" t="s">
        <v>1540</v>
      </c>
      <c r="C763" s="4" t="s">
        <v>1541</v>
      </c>
      <c r="D763" s="3">
        <v>45700</v>
      </c>
      <c r="E763" s="2">
        <v>0</v>
      </c>
      <c r="F763" s="2">
        <v>820</v>
      </c>
      <c r="G763" s="2">
        <v>246515.63</v>
      </c>
      <c r="H763" t="s">
        <v>367</v>
      </c>
    </row>
    <row r="764" spans="1:8" x14ac:dyDescent="0.3">
      <c r="A764" s="3">
        <v>45700</v>
      </c>
      <c r="B764" s="4" t="s">
        <v>125</v>
      </c>
      <c r="C764" s="4" t="s">
        <v>1542</v>
      </c>
      <c r="D764" s="3">
        <v>45700</v>
      </c>
      <c r="E764" s="2">
        <v>1268.8</v>
      </c>
      <c r="F764" s="2">
        <v>0</v>
      </c>
      <c r="G764" s="2">
        <v>245246.83</v>
      </c>
      <c r="H764" t="s">
        <v>361</v>
      </c>
    </row>
    <row r="765" spans="1:8" x14ac:dyDescent="0.3">
      <c r="A765" s="3">
        <v>45701</v>
      </c>
      <c r="B765" s="4" t="s">
        <v>1543</v>
      </c>
      <c r="C765" s="4" t="s">
        <v>1544</v>
      </c>
      <c r="D765" s="3">
        <v>45701</v>
      </c>
      <c r="E765" s="2">
        <v>200000</v>
      </c>
      <c r="F765" s="2">
        <v>0</v>
      </c>
      <c r="G765" s="2">
        <v>45246.83</v>
      </c>
      <c r="H765" t="s">
        <v>1872</v>
      </c>
    </row>
    <row r="766" spans="1:8" x14ac:dyDescent="0.3">
      <c r="A766" s="3">
        <v>45701</v>
      </c>
      <c r="B766" s="4" t="s">
        <v>125</v>
      </c>
      <c r="C766" s="4" t="s">
        <v>1545</v>
      </c>
      <c r="D766" s="3">
        <v>45701</v>
      </c>
      <c r="E766" s="2">
        <v>289.92</v>
      </c>
      <c r="F766" s="2">
        <v>0</v>
      </c>
      <c r="G766" s="2">
        <v>44956.91</v>
      </c>
      <c r="H766" t="s">
        <v>361</v>
      </c>
    </row>
    <row r="767" spans="1:8" x14ac:dyDescent="0.3">
      <c r="A767" s="3">
        <v>45701</v>
      </c>
      <c r="B767" s="4" t="s">
        <v>125</v>
      </c>
      <c r="C767" s="4" t="s">
        <v>1546</v>
      </c>
      <c r="D767" s="3">
        <v>45701</v>
      </c>
      <c r="E767" s="2">
        <v>17653.77</v>
      </c>
      <c r="F767" s="2">
        <v>0</v>
      </c>
      <c r="G767" s="2">
        <v>27303.14</v>
      </c>
      <c r="H767" t="s">
        <v>361</v>
      </c>
    </row>
    <row r="768" spans="1:8" x14ac:dyDescent="0.3">
      <c r="A768" s="3">
        <v>45701</v>
      </c>
      <c r="B768" s="4" t="s">
        <v>1547</v>
      </c>
      <c r="C768" s="4" t="s">
        <v>1548</v>
      </c>
      <c r="D768" s="3">
        <v>45701</v>
      </c>
      <c r="E768" s="2">
        <v>0</v>
      </c>
      <c r="F768" s="2">
        <v>100000</v>
      </c>
      <c r="G768" s="2">
        <v>127303.14</v>
      </c>
      <c r="H768" t="s">
        <v>372</v>
      </c>
    </row>
    <row r="769" spans="1:8" x14ac:dyDescent="0.3">
      <c r="A769" s="3">
        <v>45702</v>
      </c>
      <c r="B769" s="4" t="s">
        <v>1549</v>
      </c>
      <c r="C769" s="4" t="s">
        <v>1550</v>
      </c>
      <c r="D769" s="3">
        <v>45702</v>
      </c>
      <c r="E769" s="2">
        <v>0</v>
      </c>
      <c r="F769" s="2">
        <v>210</v>
      </c>
      <c r="G769" s="2">
        <v>127513.14</v>
      </c>
      <c r="H769" t="s">
        <v>367</v>
      </c>
    </row>
    <row r="770" spans="1:8" x14ac:dyDescent="0.3">
      <c r="A770" s="3">
        <v>45702</v>
      </c>
      <c r="B770" s="4" t="s">
        <v>1551</v>
      </c>
      <c r="C770" s="4" t="s">
        <v>1552</v>
      </c>
      <c r="D770" s="3">
        <v>45702</v>
      </c>
      <c r="E770" s="2">
        <v>0</v>
      </c>
      <c r="F770" s="2">
        <v>75</v>
      </c>
      <c r="G770" s="2">
        <v>127588.14</v>
      </c>
      <c r="H770" t="s">
        <v>367</v>
      </c>
    </row>
    <row r="771" spans="1:8" x14ac:dyDescent="0.3">
      <c r="A771" s="3">
        <v>45702</v>
      </c>
      <c r="B771" s="4" t="s">
        <v>125</v>
      </c>
      <c r="C771" s="4" t="s">
        <v>1553</v>
      </c>
      <c r="D771" s="3">
        <v>45702</v>
      </c>
      <c r="E771" s="2">
        <v>283.63</v>
      </c>
      <c r="F771" s="2">
        <v>0</v>
      </c>
      <c r="G771" s="2">
        <v>127304.51</v>
      </c>
      <c r="H771" t="s">
        <v>361</v>
      </c>
    </row>
    <row r="772" spans="1:8" x14ac:dyDescent="0.3">
      <c r="A772" s="3">
        <v>45702</v>
      </c>
      <c r="B772" s="4" t="s">
        <v>1554</v>
      </c>
      <c r="C772" s="4" t="s">
        <v>140</v>
      </c>
      <c r="D772" s="3">
        <v>45702</v>
      </c>
      <c r="E772" s="2">
        <v>365.8</v>
      </c>
      <c r="F772" s="2">
        <v>0</v>
      </c>
      <c r="G772" s="2">
        <v>126938.71</v>
      </c>
      <c r="H772" t="s">
        <v>362</v>
      </c>
    </row>
    <row r="773" spans="1:8" x14ac:dyDescent="0.3">
      <c r="A773" s="3">
        <v>45702</v>
      </c>
      <c r="B773" s="4" t="s">
        <v>1555</v>
      </c>
      <c r="C773" s="4" t="s">
        <v>1556</v>
      </c>
      <c r="D773" s="3">
        <v>45702</v>
      </c>
      <c r="E773" s="2">
        <v>100000</v>
      </c>
      <c r="F773" s="2">
        <v>0</v>
      </c>
      <c r="G773" s="2">
        <v>26938.71</v>
      </c>
      <c r="H773" t="s">
        <v>1872</v>
      </c>
    </row>
    <row r="774" spans="1:8" x14ac:dyDescent="0.3">
      <c r="A774" s="3">
        <v>45702</v>
      </c>
      <c r="B774" s="4" t="s">
        <v>125</v>
      </c>
      <c r="C774" s="4" t="s">
        <v>1557</v>
      </c>
      <c r="D774" s="3">
        <v>45702</v>
      </c>
      <c r="E774" s="2">
        <v>12389.92</v>
      </c>
      <c r="F774" s="2">
        <v>0</v>
      </c>
      <c r="G774" s="2">
        <v>14548.79</v>
      </c>
      <c r="H774" t="s">
        <v>361</v>
      </c>
    </row>
    <row r="775" spans="1:8" x14ac:dyDescent="0.3">
      <c r="A775" s="3">
        <v>45705</v>
      </c>
      <c r="B775" s="4" t="s">
        <v>1558</v>
      </c>
      <c r="C775" s="4" t="s">
        <v>1559</v>
      </c>
      <c r="D775" s="3">
        <v>45705</v>
      </c>
      <c r="E775" s="2">
        <v>10000</v>
      </c>
      <c r="F775" s="2">
        <v>0</v>
      </c>
      <c r="G775" s="2">
        <v>4548.79</v>
      </c>
      <c r="H775" t="s">
        <v>1854</v>
      </c>
    </row>
    <row r="776" spans="1:8" x14ac:dyDescent="0.3">
      <c r="A776" s="3">
        <v>45705</v>
      </c>
      <c r="B776" s="4" t="s">
        <v>125</v>
      </c>
      <c r="C776" s="4" t="s">
        <v>1560</v>
      </c>
      <c r="D776" s="3">
        <v>45705</v>
      </c>
      <c r="E776" s="2">
        <v>882.78</v>
      </c>
      <c r="F776" s="2">
        <v>0</v>
      </c>
      <c r="G776" s="2">
        <v>3666.01</v>
      </c>
      <c r="H776" t="s">
        <v>361</v>
      </c>
    </row>
    <row r="777" spans="1:8" x14ac:dyDescent="0.3">
      <c r="A777" s="3">
        <v>45705</v>
      </c>
      <c r="B777" s="4" t="s">
        <v>1561</v>
      </c>
      <c r="C777" s="4" t="s">
        <v>1562</v>
      </c>
      <c r="D777" s="3">
        <v>45705</v>
      </c>
      <c r="E777" s="2">
        <v>0</v>
      </c>
      <c r="F777" s="2">
        <v>462.5</v>
      </c>
      <c r="G777" s="2">
        <v>4128.51</v>
      </c>
      <c r="H777" t="s">
        <v>367</v>
      </c>
    </row>
    <row r="778" spans="1:8" x14ac:dyDescent="0.3">
      <c r="A778" s="3">
        <v>45706</v>
      </c>
      <c r="B778" s="4" t="s">
        <v>1563</v>
      </c>
      <c r="C778" s="4" t="s">
        <v>1564</v>
      </c>
      <c r="D778" s="3">
        <v>45706</v>
      </c>
      <c r="E778" s="2">
        <v>0</v>
      </c>
      <c r="F778" s="2">
        <v>40187.160000000003</v>
      </c>
      <c r="G778" s="2">
        <v>44315.67</v>
      </c>
      <c r="H778" t="s">
        <v>1876</v>
      </c>
    </row>
    <row r="779" spans="1:8" x14ac:dyDescent="0.3">
      <c r="A779" s="3">
        <v>45706</v>
      </c>
      <c r="B779" s="4" t="s">
        <v>1565</v>
      </c>
      <c r="C779" s="4" t="s">
        <v>1566</v>
      </c>
      <c r="D779" s="3">
        <v>45706</v>
      </c>
      <c r="E779" s="2">
        <v>0</v>
      </c>
      <c r="F779" s="2">
        <v>12868.69</v>
      </c>
      <c r="G779" s="2">
        <v>57184.36</v>
      </c>
      <c r="H779" t="s">
        <v>1876</v>
      </c>
    </row>
    <row r="780" spans="1:8" x14ac:dyDescent="0.3">
      <c r="A780" s="3">
        <v>45706</v>
      </c>
      <c r="B780" s="4" t="s">
        <v>1567</v>
      </c>
      <c r="C780" s="4" t="s">
        <v>1568</v>
      </c>
      <c r="D780" s="3">
        <v>45706</v>
      </c>
      <c r="E780" s="2">
        <v>0</v>
      </c>
      <c r="F780" s="2">
        <v>52.5</v>
      </c>
      <c r="G780" s="2">
        <v>57236.86</v>
      </c>
      <c r="H780" t="s">
        <v>367</v>
      </c>
    </row>
    <row r="781" spans="1:8" x14ac:dyDescent="0.3">
      <c r="A781" s="3">
        <v>45706</v>
      </c>
      <c r="B781" s="4" t="s">
        <v>125</v>
      </c>
      <c r="C781" s="4" t="s">
        <v>1569</v>
      </c>
      <c r="D781" s="3">
        <v>45706</v>
      </c>
      <c r="E781" s="2">
        <v>294.26</v>
      </c>
      <c r="F781" s="2">
        <v>0</v>
      </c>
      <c r="G781" s="2">
        <v>56942.6</v>
      </c>
      <c r="H781" t="s">
        <v>361</v>
      </c>
    </row>
    <row r="782" spans="1:8" x14ac:dyDescent="0.3">
      <c r="A782" s="3">
        <v>45706</v>
      </c>
      <c r="B782" s="4" t="s">
        <v>125</v>
      </c>
      <c r="C782" s="4" t="s">
        <v>1570</v>
      </c>
      <c r="D782" s="3">
        <v>45706</v>
      </c>
      <c r="E782" s="2">
        <v>1157.9000000000001</v>
      </c>
      <c r="F782" s="2">
        <v>0</v>
      </c>
      <c r="G782" s="2">
        <v>55784.7</v>
      </c>
      <c r="H782" t="s">
        <v>361</v>
      </c>
    </row>
    <row r="783" spans="1:8" x14ac:dyDescent="0.3">
      <c r="A783" s="3">
        <v>45707</v>
      </c>
      <c r="B783" s="4" t="s">
        <v>125</v>
      </c>
      <c r="C783" s="4" t="s">
        <v>1571</v>
      </c>
      <c r="D783" s="3">
        <v>45707</v>
      </c>
      <c r="E783" s="2">
        <v>283.58999999999997</v>
      </c>
      <c r="F783" s="2">
        <v>0</v>
      </c>
      <c r="G783" s="2">
        <v>55501.11</v>
      </c>
      <c r="H783" t="s">
        <v>361</v>
      </c>
    </row>
    <row r="784" spans="1:8" x14ac:dyDescent="0.3">
      <c r="A784" s="3">
        <v>45708</v>
      </c>
      <c r="B784" s="4" t="s">
        <v>1572</v>
      </c>
      <c r="C784" s="4" t="s">
        <v>1573</v>
      </c>
      <c r="D784" s="3">
        <v>45708</v>
      </c>
      <c r="E784" s="2">
        <v>0</v>
      </c>
      <c r="F784" s="2">
        <v>39010.29</v>
      </c>
      <c r="G784" s="2">
        <v>94511.4</v>
      </c>
      <c r="H784" t="s">
        <v>1876</v>
      </c>
    </row>
    <row r="785" spans="1:8" x14ac:dyDescent="0.3">
      <c r="A785" s="3">
        <v>45708</v>
      </c>
      <c r="B785" s="4" t="s">
        <v>1574</v>
      </c>
      <c r="C785" s="4" t="s">
        <v>1575</v>
      </c>
      <c r="D785" s="3">
        <v>45708</v>
      </c>
      <c r="E785" s="2">
        <v>0</v>
      </c>
      <c r="F785" s="2">
        <v>7037.97</v>
      </c>
      <c r="G785" s="2">
        <v>101549.37</v>
      </c>
      <c r="H785" t="s">
        <v>1876</v>
      </c>
    </row>
    <row r="786" spans="1:8" x14ac:dyDescent="0.3">
      <c r="A786" s="3">
        <v>45708</v>
      </c>
      <c r="B786" s="4" t="s">
        <v>1576</v>
      </c>
      <c r="C786" s="4" t="s">
        <v>1577</v>
      </c>
      <c r="D786" s="3">
        <v>45708</v>
      </c>
      <c r="E786" s="2">
        <v>10000</v>
      </c>
      <c r="F786" s="2">
        <v>0</v>
      </c>
      <c r="G786" s="2">
        <v>91549.37</v>
      </c>
      <c r="H786" t="s">
        <v>1854</v>
      </c>
    </row>
    <row r="787" spans="1:8" x14ac:dyDescent="0.3">
      <c r="A787" s="3">
        <v>45708</v>
      </c>
      <c r="B787" s="4" t="s">
        <v>125</v>
      </c>
      <c r="C787" s="4" t="s">
        <v>1578</v>
      </c>
      <c r="D787" s="3">
        <v>45708</v>
      </c>
      <c r="E787" s="2">
        <v>283.58999999999997</v>
      </c>
      <c r="F787" s="2">
        <v>0</v>
      </c>
      <c r="G787" s="2">
        <v>91265.78</v>
      </c>
      <c r="H787" t="s">
        <v>361</v>
      </c>
    </row>
    <row r="788" spans="1:8" x14ac:dyDescent="0.3">
      <c r="A788" s="3">
        <v>45709</v>
      </c>
      <c r="B788" s="4" t="s">
        <v>1579</v>
      </c>
      <c r="C788" s="4" t="s">
        <v>1580</v>
      </c>
      <c r="D788" s="3">
        <v>45709</v>
      </c>
      <c r="E788" s="2">
        <v>0</v>
      </c>
      <c r="F788" s="2">
        <v>25497.89</v>
      </c>
      <c r="G788" s="2">
        <v>116763.67</v>
      </c>
      <c r="H788" t="s">
        <v>1876</v>
      </c>
    </row>
    <row r="789" spans="1:8" x14ac:dyDescent="0.3">
      <c r="A789" s="3">
        <v>45709</v>
      </c>
      <c r="B789" s="4" t="s">
        <v>125</v>
      </c>
      <c r="C789" s="4" t="s">
        <v>1581</v>
      </c>
      <c r="D789" s="3">
        <v>45709</v>
      </c>
      <c r="E789" s="2">
        <v>286.08999999999997</v>
      </c>
      <c r="F789" s="2">
        <v>0</v>
      </c>
      <c r="G789" s="2">
        <v>116477.58</v>
      </c>
      <c r="H789" t="s">
        <v>361</v>
      </c>
    </row>
    <row r="790" spans="1:8" x14ac:dyDescent="0.3">
      <c r="A790" s="3">
        <v>45709</v>
      </c>
      <c r="B790" s="4" t="s">
        <v>982</v>
      </c>
      <c r="C790" s="4" t="s">
        <v>1582</v>
      </c>
      <c r="D790" s="3">
        <v>45709</v>
      </c>
      <c r="E790" s="2">
        <v>0</v>
      </c>
      <c r="F790" s="2">
        <v>1174.31</v>
      </c>
      <c r="G790" s="2">
        <v>117651.89</v>
      </c>
      <c r="H790" t="s">
        <v>369</v>
      </c>
    </row>
    <row r="791" spans="1:8" x14ac:dyDescent="0.3">
      <c r="A791" s="3">
        <v>45712</v>
      </c>
      <c r="B791" s="4" t="s">
        <v>1583</v>
      </c>
      <c r="C791" s="4" t="s">
        <v>1584</v>
      </c>
      <c r="D791" s="3">
        <v>45712</v>
      </c>
      <c r="E791" s="2">
        <v>0</v>
      </c>
      <c r="F791" s="2">
        <v>9114.42</v>
      </c>
      <c r="G791" s="2">
        <v>126766.31</v>
      </c>
      <c r="H791" t="s">
        <v>1876</v>
      </c>
    </row>
    <row r="792" spans="1:8" x14ac:dyDescent="0.3">
      <c r="A792" s="3">
        <v>45712</v>
      </c>
      <c r="B792" s="4" t="s">
        <v>125</v>
      </c>
      <c r="C792" s="4" t="s">
        <v>1585</v>
      </c>
      <c r="D792" s="3">
        <v>45712</v>
      </c>
      <c r="E792" s="2">
        <v>885.54</v>
      </c>
      <c r="F792" s="2">
        <v>0</v>
      </c>
      <c r="G792" s="2">
        <v>125880.77</v>
      </c>
      <c r="H792" t="s">
        <v>361</v>
      </c>
    </row>
    <row r="793" spans="1:8" x14ac:dyDescent="0.3">
      <c r="A793" s="3">
        <v>45712</v>
      </c>
      <c r="B793" s="4" t="s">
        <v>125</v>
      </c>
      <c r="C793" s="4" t="s">
        <v>1586</v>
      </c>
      <c r="D793" s="3">
        <v>45712</v>
      </c>
      <c r="E793" s="2">
        <v>12915.07</v>
      </c>
      <c r="F793" s="2">
        <v>0</v>
      </c>
      <c r="G793" s="2">
        <v>112965.7</v>
      </c>
      <c r="H793" t="s">
        <v>361</v>
      </c>
    </row>
    <row r="794" spans="1:8" x14ac:dyDescent="0.3">
      <c r="A794" s="3">
        <v>45713</v>
      </c>
      <c r="B794" s="4" t="s">
        <v>125</v>
      </c>
      <c r="C794" s="4" t="s">
        <v>1587</v>
      </c>
      <c r="D794" s="3">
        <v>45713</v>
      </c>
      <c r="E794" s="2">
        <v>293.82</v>
      </c>
      <c r="F794" s="2">
        <v>0</v>
      </c>
      <c r="G794" s="2">
        <v>112671.88</v>
      </c>
      <c r="H794" t="s">
        <v>361</v>
      </c>
    </row>
    <row r="795" spans="1:8" x14ac:dyDescent="0.3">
      <c r="A795" s="3">
        <v>45714</v>
      </c>
      <c r="B795" s="4" t="s">
        <v>125</v>
      </c>
      <c r="C795" s="4" t="s">
        <v>1588</v>
      </c>
      <c r="D795" s="3">
        <v>45714</v>
      </c>
      <c r="E795" s="2">
        <v>9616.15</v>
      </c>
      <c r="F795" s="2">
        <v>0</v>
      </c>
      <c r="G795" s="2">
        <v>103055.73</v>
      </c>
      <c r="H795" t="s">
        <v>361</v>
      </c>
    </row>
    <row r="796" spans="1:8" x14ac:dyDescent="0.3">
      <c r="A796" s="3">
        <v>45715</v>
      </c>
      <c r="B796" s="4" t="s">
        <v>125</v>
      </c>
      <c r="C796" s="4" t="s">
        <v>1589</v>
      </c>
      <c r="D796" s="3">
        <v>45715</v>
      </c>
      <c r="E796" s="2">
        <v>580.79999999999995</v>
      </c>
      <c r="F796" s="2">
        <v>0</v>
      </c>
      <c r="G796" s="2">
        <v>102474.93</v>
      </c>
      <c r="H796" t="s">
        <v>361</v>
      </c>
    </row>
    <row r="797" spans="1:8" x14ac:dyDescent="0.3">
      <c r="A797" s="3">
        <v>45715</v>
      </c>
      <c r="B797" s="4" t="s">
        <v>125</v>
      </c>
      <c r="C797" s="4" t="s">
        <v>1590</v>
      </c>
      <c r="D797" s="3">
        <v>45715</v>
      </c>
      <c r="E797" s="2">
        <v>35481.760000000002</v>
      </c>
      <c r="F797" s="2">
        <v>0</v>
      </c>
      <c r="G797" s="2">
        <v>66993.17</v>
      </c>
      <c r="H797" t="s">
        <v>361</v>
      </c>
    </row>
    <row r="798" spans="1:8" x14ac:dyDescent="0.3">
      <c r="A798" s="3">
        <v>45716</v>
      </c>
      <c r="B798" s="4" t="s">
        <v>1591</v>
      </c>
      <c r="C798" s="4" t="s">
        <v>1592</v>
      </c>
      <c r="D798" s="3">
        <v>45716</v>
      </c>
      <c r="E798" s="2">
        <v>20000</v>
      </c>
      <c r="F798" s="2">
        <v>0</v>
      </c>
      <c r="G798" s="2">
        <v>46993.17</v>
      </c>
      <c r="H798" t="s">
        <v>368</v>
      </c>
    </row>
    <row r="799" spans="1:8" x14ac:dyDescent="0.3">
      <c r="A799" s="3">
        <v>45716</v>
      </c>
      <c r="B799" s="4" t="s">
        <v>125</v>
      </c>
      <c r="C799" s="4" t="s">
        <v>1593</v>
      </c>
      <c r="D799" s="3">
        <v>45716</v>
      </c>
      <c r="E799" s="2">
        <v>281.64</v>
      </c>
      <c r="F799" s="2">
        <v>0</v>
      </c>
      <c r="G799" s="2">
        <v>46711.53</v>
      </c>
      <c r="H799" t="s">
        <v>361</v>
      </c>
    </row>
    <row r="800" spans="1:8" x14ac:dyDescent="0.3">
      <c r="A800" s="3">
        <v>45716</v>
      </c>
      <c r="B800" s="4" t="s">
        <v>1594</v>
      </c>
      <c r="C800" s="4" t="s">
        <v>1595</v>
      </c>
      <c r="D800" s="3">
        <v>45716</v>
      </c>
      <c r="E800" s="2">
        <v>0</v>
      </c>
      <c r="F800" s="2">
        <v>360</v>
      </c>
      <c r="G800" s="2">
        <v>47071.53</v>
      </c>
      <c r="H800" t="s">
        <v>367</v>
      </c>
    </row>
    <row r="801" spans="1:8" x14ac:dyDescent="0.3">
      <c r="A801" s="3">
        <v>45716</v>
      </c>
      <c r="B801" s="4" t="s">
        <v>1022</v>
      </c>
      <c r="C801" s="4" t="s">
        <v>1596</v>
      </c>
      <c r="D801" s="3">
        <v>45716</v>
      </c>
      <c r="E801" s="2">
        <v>0</v>
      </c>
      <c r="F801" s="2">
        <v>584.66</v>
      </c>
      <c r="G801" s="2">
        <v>47656.19</v>
      </c>
      <c r="H801" t="s">
        <v>369</v>
      </c>
    </row>
    <row r="802" spans="1:8" x14ac:dyDescent="0.3">
      <c r="A802" s="3">
        <v>45717</v>
      </c>
      <c r="B802" s="4" t="s">
        <v>125</v>
      </c>
      <c r="C802" s="4" t="s">
        <v>1597</v>
      </c>
      <c r="D802" s="3">
        <v>45717</v>
      </c>
      <c r="E802" s="2">
        <v>18598.099999999999</v>
      </c>
      <c r="F802" s="2">
        <v>0</v>
      </c>
      <c r="G802" s="2">
        <v>29058.09</v>
      </c>
      <c r="H802" t="s">
        <v>361</v>
      </c>
    </row>
    <row r="803" spans="1:8" x14ac:dyDescent="0.3">
      <c r="A803" s="3">
        <v>45717</v>
      </c>
      <c r="B803" s="4" t="s">
        <v>1598</v>
      </c>
      <c r="C803" s="4" t="s">
        <v>1599</v>
      </c>
      <c r="D803" s="3">
        <v>45717</v>
      </c>
      <c r="E803" s="2">
        <v>5000</v>
      </c>
      <c r="F803" s="2">
        <v>0</v>
      </c>
      <c r="G803" s="2">
        <v>24058.09</v>
      </c>
      <c r="H803" t="s">
        <v>356</v>
      </c>
    </row>
    <row r="804" spans="1:8" x14ac:dyDescent="0.3">
      <c r="A804" s="3">
        <v>45717</v>
      </c>
      <c r="B804" s="4" t="s">
        <v>1600</v>
      </c>
      <c r="C804" s="4" t="s">
        <v>1601</v>
      </c>
      <c r="D804" s="3">
        <v>45717</v>
      </c>
      <c r="E804" s="2">
        <v>0</v>
      </c>
      <c r="F804" s="2">
        <v>1700</v>
      </c>
      <c r="G804" s="2">
        <v>25758.09</v>
      </c>
      <c r="H804" t="s">
        <v>356</v>
      </c>
    </row>
    <row r="805" spans="1:8" x14ac:dyDescent="0.3">
      <c r="A805" s="3">
        <v>45718</v>
      </c>
      <c r="B805" s="4" t="s">
        <v>1602</v>
      </c>
      <c r="C805" s="4" t="s">
        <v>1603</v>
      </c>
      <c r="D805" s="3">
        <v>45718</v>
      </c>
      <c r="E805" s="2">
        <v>0</v>
      </c>
      <c r="F805" s="2">
        <v>100000</v>
      </c>
      <c r="G805" s="2">
        <v>125758.09</v>
      </c>
      <c r="H805" t="s">
        <v>372</v>
      </c>
    </row>
    <row r="806" spans="1:8" x14ac:dyDescent="0.3">
      <c r="A806" s="3">
        <v>45718</v>
      </c>
      <c r="B806" s="4" t="s">
        <v>979</v>
      </c>
      <c r="C806" s="4" t="s">
        <v>1604</v>
      </c>
      <c r="D806" s="3">
        <v>45718</v>
      </c>
      <c r="E806" s="2">
        <v>25000</v>
      </c>
      <c r="F806" s="2">
        <v>0</v>
      </c>
      <c r="G806" s="2">
        <v>100758.09</v>
      </c>
      <c r="H806" t="s">
        <v>1852</v>
      </c>
    </row>
    <row r="807" spans="1:8" x14ac:dyDescent="0.3">
      <c r="A807" s="3">
        <v>45718</v>
      </c>
      <c r="B807" s="4" t="s">
        <v>1605</v>
      </c>
      <c r="C807" s="4" t="s">
        <v>1606</v>
      </c>
      <c r="D807" s="3">
        <v>45718</v>
      </c>
      <c r="E807" s="2">
        <v>25000</v>
      </c>
      <c r="F807" s="2">
        <v>0</v>
      </c>
      <c r="G807" s="2">
        <v>75758.09</v>
      </c>
      <c r="H807" t="s">
        <v>1857</v>
      </c>
    </row>
    <row r="808" spans="1:8" x14ac:dyDescent="0.3">
      <c r="A808" s="3">
        <v>45718</v>
      </c>
      <c r="B808" s="4" t="s">
        <v>1607</v>
      </c>
      <c r="C808" s="4" t="s">
        <v>1608</v>
      </c>
      <c r="D808" s="3">
        <v>45718</v>
      </c>
      <c r="E808" s="2">
        <v>25000</v>
      </c>
      <c r="F808" s="2">
        <v>0</v>
      </c>
      <c r="G808" s="2">
        <v>50758.09</v>
      </c>
      <c r="H808" t="s">
        <v>368</v>
      </c>
    </row>
    <row r="809" spans="1:8" x14ac:dyDescent="0.3">
      <c r="A809" s="3">
        <v>45719</v>
      </c>
      <c r="B809" s="4" t="s">
        <v>1609</v>
      </c>
      <c r="C809" s="4" t="s">
        <v>1610</v>
      </c>
      <c r="D809" s="3">
        <v>45719</v>
      </c>
      <c r="E809" s="2">
        <v>0</v>
      </c>
      <c r="F809" s="2">
        <v>600</v>
      </c>
      <c r="G809" s="2">
        <v>51358.09</v>
      </c>
      <c r="H809" t="s">
        <v>367</v>
      </c>
    </row>
    <row r="810" spans="1:8" x14ac:dyDescent="0.3">
      <c r="A810" s="3">
        <v>45719</v>
      </c>
      <c r="B810" s="4" t="s">
        <v>125</v>
      </c>
      <c r="C810" s="4" t="s">
        <v>1611</v>
      </c>
      <c r="D810" s="3">
        <v>45719</v>
      </c>
      <c r="E810" s="2">
        <v>825.06</v>
      </c>
      <c r="F810" s="2">
        <v>0</v>
      </c>
      <c r="G810" s="2">
        <v>50533.03</v>
      </c>
      <c r="H810" t="s">
        <v>361</v>
      </c>
    </row>
    <row r="811" spans="1:8" x14ac:dyDescent="0.3">
      <c r="A811" s="3">
        <v>45720</v>
      </c>
      <c r="B811" s="4" t="s">
        <v>1612</v>
      </c>
      <c r="C811" s="4" t="s">
        <v>1613</v>
      </c>
      <c r="D811" s="3">
        <v>45720</v>
      </c>
      <c r="E811" s="2">
        <v>0</v>
      </c>
      <c r="F811" s="2">
        <v>321.93</v>
      </c>
      <c r="G811" s="2">
        <v>50854.96</v>
      </c>
      <c r="H811" t="s">
        <v>1876</v>
      </c>
    </row>
    <row r="812" spans="1:8" x14ac:dyDescent="0.3">
      <c r="A812" s="3">
        <v>45720</v>
      </c>
      <c r="B812" s="4" t="s">
        <v>125</v>
      </c>
      <c r="C812" s="4" t="s">
        <v>1614</v>
      </c>
      <c r="D812" s="3">
        <v>45720</v>
      </c>
      <c r="E812" s="2">
        <v>275.02</v>
      </c>
      <c r="F812" s="2">
        <v>0</v>
      </c>
      <c r="G812" s="2">
        <v>50579.94</v>
      </c>
      <c r="H812" t="s">
        <v>361</v>
      </c>
    </row>
    <row r="813" spans="1:8" x14ac:dyDescent="0.3">
      <c r="A813" s="3">
        <v>45720</v>
      </c>
      <c r="B813" s="4" t="s">
        <v>125</v>
      </c>
      <c r="C813" s="4" t="s">
        <v>1615</v>
      </c>
      <c r="D813" s="3">
        <v>45720</v>
      </c>
      <c r="E813" s="2">
        <v>1613.64</v>
      </c>
      <c r="F813" s="2">
        <v>0</v>
      </c>
      <c r="G813" s="2">
        <v>48966.3</v>
      </c>
      <c r="H813" t="s">
        <v>361</v>
      </c>
    </row>
    <row r="814" spans="1:8" x14ac:dyDescent="0.3">
      <c r="A814" s="3">
        <v>45721</v>
      </c>
      <c r="B814" s="4" t="s">
        <v>125</v>
      </c>
      <c r="C814" s="4" t="s">
        <v>1616</v>
      </c>
      <c r="D814" s="3">
        <v>45721</v>
      </c>
      <c r="E814" s="2">
        <v>274.56</v>
      </c>
      <c r="F814" s="2">
        <v>0</v>
      </c>
      <c r="G814" s="2">
        <v>48691.74</v>
      </c>
      <c r="H814" t="s">
        <v>361</v>
      </c>
    </row>
    <row r="815" spans="1:8" x14ac:dyDescent="0.3">
      <c r="A815" s="3">
        <v>45721</v>
      </c>
      <c r="B815" s="4" t="s">
        <v>1617</v>
      </c>
      <c r="C815" s="4" t="s">
        <v>1618</v>
      </c>
      <c r="D815" s="3">
        <v>45721</v>
      </c>
      <c r="E815" s="2">
        <v>0</v>
      </c>
      <c r="F815" s="2">
        <v>150000</v>
      </c>
      <c r="G815" s="2">
        <v>198691.74</v>
      </c>
      <c r="H815" t="s">
        <v>372</v>
      </c>
    </row>
    <row r="816" spans="1:8" x14ac:dyDescent="0.3">
      <c r="A816" s="3">
        <v>45721</v>
      </c>
      <c r="B816" s="4" t="s">
        <v>1619</v>
      </c>
      <c r="C816" s="4" t="s">
        <v>1620</v>
      </c>
      <c r="D816" s="3">
        <v>45721</v>
      </c>
      <c r="E816" s="2">
        <v>150000</v>
      </c>
      <c r="F816" s="2">
        <v>0</v>
      </c>
      <c r="G816" s="2">
        <v>48691.74</v>
      </c>
      <c r="H816" t="s">
        <v>1857</v>
      </c>
    </row>
    <row r="817" spans="1:8" x14ac:dyDescent="0.3">
      <c r="A817" s="3">
        <v>45722</v>
      </c>
      <c r="B817" s="4" t="s">
        <v>1621</v>
      </c>
      <c r="C817" s="4" t="s">
        <v>1622</v>
      </c>
      <c r="D817" s="3">
        <v>45722</v>
      </c>
      <c r="E817" s="2">
        <v>0</v>
      </c>
      <c r="F817" s="2">
        <v>16280.13</v>
      </c>
      <c r="G817" s="2">
        <v>64971.87</v>
      </c>
      <c r="H817" t="s">
        <v>1876</v>
      </c>
    </row>
    <row r="818" spans="1:8" x14ac:dyDescent="0.3">
      <c r="A818" s="3">
        <v>45722</v>
      </c>
      <c r="B818" s="4" t="s">
        <v>1623</v>
      </c>
      <c r="C818" s="4" t="s">
        <v>1624</v>
      </c>
      <c r="D818" s="3">
        <v>45722</v>
      </c>
      <c r="E818" s="2">
        <v>0</v>
      </c>
      <c r="F818" s="2">
        <v>575</v>
      </c>
      <c r="G818" s="2">
        <v>65546.87</v>
      </c>
      <c r="H818" t="s">
        <v>367</v>
      </c>
    </row>
    <row r="819" spans="1:8" x14ac:dyDescent="0.3">
      <c r="A819" s="3">
        <v>45722</v>
      </c>
      <c r="B819" s="4" t="s">
        <v>125</v>
      </c>
      <c r="C819" s="4" t="s">
        <v>1625</v>
      </c>
      <c r="D819" s="3">
        <v>45722</v>
      </c>
      <c r="E819" s="2">
        <v>274.56</v>
      </c>
      <c r="F819" s="2">
        <v>0</v>
      </c>
      <c r="G819" s="2">
        <v>65272.31</v>
      </c>
      <c r="H819" t="s">
        <v>361</v>
      </c>
    </row>
    <row r="820" spans="1:8" x14ac:dyDescent="0.3">
      <c r="A820" s="3">
        <v>45722</v>
      </c>
      <c r="B820" s="4" t="s">
        <v>1626</v>
      </c>
      <c r="C820" s="4" t="s">
        <v>1627</v>
      </c>
      <c r="D820" s="3">
        <v>45722</v>
      </c>
      <c r="E820" s="2">
        <v>10000</v>
      </c>
      <c r="F820" s="2">
        <v>0</v>
      </c>
      <c r="G820" s="2">
        <v>55272.31</v>
      </c>
      <c r="H820" t="s">
        <v>366</v>
      </c>
    </row>
    <row r="821" spans="1:8" x14ac:dyDescent="0.3">
      <c r="A821" s="3">
        <v>45722</v>
      </c>
      <c r="B821" s="4" t="s">
        <v>1628</v>
      </c>
      <c r="C821" s="4" t="s">
        <v>1629</v>
      </c>
      <c r="D821" s="3">
        <v>45722</v>
      </c>
      <c r="E821" s="2">
        <v>0</v>
      </c>
      <c r="F821" s="2">
        <v>200</v>
      </c>
      <c r="G821" s="2">
        <v>55472.31</v>
      </c>
      <c r="H821" t="s">
        <v>367</v>
      </c>
    </row>
    <row r="822" spans="1:8" x14ac:dyDescent="0.3">
      <c r="A822" s="3">
        <v>45722</v>
      </c>
      <c r="B822" s="4" t="s">
        <v>125</v>
      </c>
      <c r="C822" s="4" t="s">
        <v>1630</v>
      </c>
      <c r="D822" s="3">
        <v>45722</v>
      </c>
      <c r="E822" s="2">
        <v>8445.89</v>
      </c>
      <c r="F822" s="2">
        <v>0</v>
      </c>
      <c r="G822" s="2">
        <v>47026.42</v>
      </c>
      <c r="H822" t="s">
        <v>361</v>
      </c>
    </row>
    <row r="823" spans="1:8" x14ac:dyDescent="0.3">
      <c r="A823" s="3">
        <v>45723</v>
      </c>
      <c r="B823" s="4" t="s">
        <v>1631</v>
      </c>
      <c r="C823" s="4" t="s">
        <v>1632</v>
      </c>
      <c r="D823" s="3">
        <v>45723</v>
      </c>
      <c r="E823" s="2">
        <v>0</v>
      </c>
      <c r="F823" s="2">
        <v>24172.52</v>
      </c>
      <c r="G823" s="2">
        <v>71198.94</v>
      </c>
      <c r="H823" t="s">
        <v>1876</v>
      </c>
    </row>
    <row r="824" spans="1:8" x14ac:dyDescent="0.3">
      <c r="A824" s="3">
        <v>45723</v>
      </c>
      <c r="B824" s="4" t="s">
        <v>125</v>
      </c>
      <c r="C824" s="4" t="s">
        <v>1633</v>
      </c>
      <c r="D824" s="3">
        <v>45723</v>
      </c>
      <c r="E824" s="2">
        <v>277.35000000000002</v>
      </c>
      <c r="F824" s="2">
        <v>0</v>
      </c>
      <c r="G824" s="2">
        <v>70921.59</v>
      </c>
      <c r="H824" t="s">
        <v>361</v>
      </c>
    </row>
    <row r="825" spans="1:8" x14ac:dyDescent="0.3">
      <c r="A825" s="3">
        <v>45723</v>
      </c>
      <c r="B825" s="4" t="s">
        <v>1634</v>
      </c>
      <c r="C825" s="4" t="s">
        <v>1635</v>
      </c>
      <c r="D825" s="3">
        <v>45723</v>
      </c>
      <c r="E825" s="2">
        <v>0</v>
      </c>
      <c r="F825" s="2">
        <v>17.5</v>
      </c>
      <c r="G825" s="2">
        <v>70939.09</v>
      </c>
      <c r="H825" t="s">
        <v>367</v>
      </c>
    </row>
    <row r="826" spans="1:8" x14ac:dyDescent="0.3">
      <c r="A826" s="3">
        <v>45723</v>
      </c>
      <c r="B826" s="4" t="s">
        <v>1058</v>
      </c>
      <c r="C826" s="4" t="s">
        <v>1636</v>
      </c>
      <c r="D826" s="3">
        <v>45723</v>
      </c>
      <c r="E826" s="2">
        <v>0</v>
      </c>
      <c r="F826" s="2">
        <v>591.5</v>
      </c>
      <c r="G826" s="2">
        <v>71530.59</v>
      </c>
      <c r="H826" t="s">
        <v>369</v>
      </c>
    </row>
    <row r="827" spans="1:8" x14ac:dyDescent="0.3">
      <c r="A827" s="3">
        <v>45723</v>
      </c>
      <c r="B827" s="4" t="s">
        <v>125</v>
      </c>
      <c r="C827" s="4" t="s">
        <v>1637</v>
      </c>
      <c r="D827" s="3">
        <v>45723</v>
      </c>
      <c r="E827" s="2">
        <v>10601.98</v>
      </c>
      <c r="F827" s="2">
        <v>0</v>
      </c>
      <c r="G827" s="2">
        <v>60928.61</v>
      </c>
      <c r="H827" t="s">
        <v>361</v>
      </c>
    </row>
    <row r="828" spans="1:8" x14ac:dyDescent="0.3">
      <c r="A828" s="3">
        <v>45724</v>
      </c>
      <c r="B828" s="4" t="s">
        <v>1638</v>
      </c>
      <c r="C828" s="4" t="s">
        <v>1639</v>
      </c>
      <c r="D828" s="3">
        <v>45724</v>
      </c>
      <c r="E828" s="2">
        <v>0</v>
      </c>
      <c r="F828" s="2">
        <v>45000</v>
      </c>
      <c r="G828" s="2">
        <v>105928.61</v>
      </c>
      <c r="H828" t="s">
        <v>1856</v>
      </c>
    </row>
    <row r="829" spans="1:8" x14ac:dyDescent="0.3">
      <c r="A829" s="3">
        <v>45726</v>
      </c>
      <c r="B829" s="4" t="s">
        <v>1640</v>
      </c>
      <c r="C829" s="4" t="s">
        <v>1641</v>
      </c>
      <c r="D829" s="3">
        <v>45726</v>
      </c>
      <c r="E829" s="2">
        <v>10000</v>
      </c>
      <c r="F829" s="2">
        <v>0</v>
      </c>
      <c r="G829" s="2">
        <v>95928.61</v>
      </c>
      <c r="H829" t="s">
        <v>1854</v>
      </c>
    </row>
    <row r="830" spans="1:8" x14ac:dyDescent="0.3">
      <c r="A830" s="3">
        <v>45726</v>
      </c>
      <c r="B830" s="4" t="s">
        <v>1642</v>
      </c>
      <c r="C830" s="4" t="s">
        <v>1643</v>
      </c>
      <c r="D830" s="3">
        <v>45726</v>
      </c>
      <c r="E830" s="2">
        <v>50000</v>
      </c>
      <c r="F830" s="2">
        <v>0</v>
      </c>
      <c r="G830" s="2">
        <v>45928.61</v>
      </c>
      <c r="H830" t="s">
        <v>372</v>
      </c>
    </row>
    <row r="831" spans="1:8" x14ac:dyDescent="0.3">
      <c r="A831" s="3">
        <v>45726</v>
      </c>
      <c r="B831" s="4" t="s">
        <v>125</v>
      </c>
      <c r="C831" s="4" t="s">
        <v>1644</v>
      </c>
      <c r="D831" s="3">
        <v>45726</v>
      </c>
      <c r="E831" s="2">
        <v>855.57</v>
      </c>
      <c r="F831" s="2">
        <v>0</v>
      </c>
      <c r="G831" s="2">
        <v>45073.04</v>
      </c>
      <c r="H831" t="s">
        <v>361</v>
      </c>
    </row>
    <row r="832" spans="1:8" x14ac:dyDescent="0.3">
      <c r="A832" s="3">
        <v>45726</v>
      </c>
      <c r="B832" s="4" t="s">
        <v>1056</v>
      </c>
      <c r="C832" s="4" t="s">
        <v>1645</v>
      </c>
      <c r="D832" s="3">
        <v>45726</v>
      </c>
      <c r="E832" s="2">
        <v>0</v>
      </c>
      <c r="F832" s="2">
        <v>127.93</v>
      </c>
      <c r="G832" s="2">
        <v>45200.97</v>
      </c>
      <c r="H832" t="s">
        <v>369</v>
      </c>
    </row>
    <row r="833" spans="1:8" x14ac:dyDescent="0.3">
      <c r="A833" s="3">
        <v>45726</v>
      </c>
      <c r="B833" s="4" t="s">
        <v>1054</v>
      </c>
      <c r="C833" s="4" t="s">
        <v>1646</v>
      </c>
      <c r="D833" s="3">
        <v>45726</v>
      </c>
      <c r="E833" s="2">
        <v>0</v>
      </c>
      <c r="F833" s="2">
        <v>291.38</v>
      </c>
      <c r="G833" s="2">
        <v>45492.35</v>
      </c>
      <c r="H833" t="s">
        <v>369</v>
      </c>
    </row>
    <row r="834" spans="1:8" x14ac:dyDescent="0.3">
      <c r="A834" s="3">
        <v>45726</v>
      </c>
      <c r="B834" s="4" t="s">
        <v>125</v>
      </c>
      <c r="C834" s="4" t="s">
        <v>1647</v>
      </c>
      <c r="D834" s="3">
        <v>45726</v>
      </c>
      <c r="E834" s="2">
        <v>12828.48</v>
      </c>
      <c r="F834" s="2">
        <v>0</v>
      </c>
      <c r="G834" s="2">
        <v>32663.87</v>
      </c>
      <c r="H834" t="s">
        <v>361</v>
      </c>
    </row>
    <row r="835" spans="1:8" x14ac:dyDescent="0.3">
      <c r="A835" s="3">
        <v>45727</v>
      </c>
      <c r="B835" s="4" t="s">
        <v>125</v>
      </c>
      <c r="C835" s="4" t="s">
        <v>1648</v>
      </c>
      <c r="D835" s="3">
        <v>45727</v>
      </c>
      <c r="E835" s="2">
        <v>293.68</v>
      </c>
      <c r="F835" s="2">
        <v>0</v>
      </c>
      <c r="G835" s="2">
        <v>32370.19</v>
      </c>
      <c r="H835" t="s">
        <v>361</v>
      </c>
    </row>
    <row r="836" spans="1:8" x14ac:dyDescent="0.3">
      <c r="A836" s="3">
        <v>45727</v>
      </c>
      <c r="B836" s="4" t="s">
        <v>1649</v>
      </c>
      <c r="C836" s="4" t="s">
        <v>1650</v>
      </c>
      <c r="D836" s="3">
        <v>45727</v>
      </c>
      <c r="E836" s="2">
        <v>0</v>
      </c>
      <c r="F836" s="2">
        <v>206.5</v>
      </c>
      <c r="G836" s="2">
        <v>32576.69</v>
      </c>
      <c r="H836" t="s">
        <v>367</v>
      </c>
    </row>
    <row r="837" spans="1:8" x14ac:dyDescent="0.3">
      <c r="A837" s="3">
        <v>45727</v>
      </c>
      <c r="B837" s="4" t="s">
        <v>125</v>
      </c>
      <c r="C837" s="4" t="s">
        <v>1651</v>
      </c>
      <c r="D837" s="3">
        <v>45727</v>
      </c>
      <c r="E837" s="2">
        <v>5570.88</v>
      </c>
      <c r="F837" s="2">
        <v>0</v>
      </c>
      <c r="G837" s="2">
        <v>27005.81</v>
      </c>
      <c r="H837" t="s">
        <v>361</v>
      </c>
    </row>
    <row r="838" spans="1:8" x14ac:dyDescent="0.3">
      <c r="A838" s="3">
        <v>45728</v>
      </c>
      <c r="B838" s="4" t="s">
        <v>125</v>
      </c>
      <c r="C838" s="4" t="s">
        <v>1652</v>
      </c>
      <c r="D838" s="3">
        <v>45728</v>
      </c>
      <c r="E838" s="2">
        <v>291.7</v>
      </c>
      <c r="F838" s="2">
        <v>0</v>
      </c>
      <c r="G838" s="2">
        <v>26714.11</v>
      </c>
      <c r="H838" t="s">
        <v>361</v>
      </c>
    </row>
    <row r="839" spans="1:8" x14ac:dyDescent="0.3">
      <c r="A839" s="3">
        <v>45728</v>
      </c>
      <c r="B839" s="4" t="s">
        <v>125</v>
      </c>
      <c r="C839" s="4" t="s">
        <v>1653</v>
      </c>
      <c r="D839" s="3">
        <v>45728</v>
      </c>
      <c r="E839" s="2">
        <v>5749.35</v>
      </c>
      <c r="F839" s="2">
        <v>0</v>
      </c>
      <c r="G839" s="2">
        <v>20964.759999999998</v>
      </c>
      <c r="H839" t="s">
        <v>361</v>
      </c>
    </row>
    <row r="840" spans="1:8" x14ac:dyDescent="0.3">
      <c r="A840" s="3">
        <v>45729</v>
      </c>
      <c r="B840" s="4" t="s">
        <v>125</v>
      </c>
      <c r="C840" s="4" t="s">
        <v>1654</v>
      </c>
      <c r="D840" s="3">
        <v>45729</v>
      </c>
      <c r="E840" s="2">
        <v>289.64999999999998</v>
      </c>
      <c r="F840" s="2">
        <v>0</v>
      </c>
      <c r="G840" s="2">
        <v>20675.11</v>
      </c>
      <c r="H840" t="s">
        <v>361</v>
      </c>
    </row>
    <row r="841" spans="1:8" x14ac:dyDescent="0.3">
      <c r="A841" s="3">
        <v>45729</v>
      </c>
      <c r="B841" s="4" t="s">
        <v>125</v>
      </c>
      <c r="C841" s="4" t="s">
        <v>1655</v>
      </c>
      <c r="D841" s="3">
        <v>45729</v>
      </c>
      <c r="E841" s="2">
        <v>20321.11</v>
      </c>
      <c r="F841" s="2">
        <v>0</v>
      </c>
      <c r="G841" s="2">
        <v>354</v>
      </c>
      <c r="H841" t="s">
        <v>361</v>
      </c>
    </row>
    <row r="842" spans="1:8" x14ac:dyDescent="0.3">
      <c r="A842" s="3">
        <v>45731</v>
      </c>
      <c r="B842" s="4" t="s">
        <v>1656</v>
      </c>
      <c r="C842" s="4" t="s">
        <v>1657</v>
      </c>
      <c r="D842" s="3">
        <v>45731</v>
      </c>
      <c r="E842" s="2">
        <v>0</v>
      </c>
      <c r="F842" s="2">
        <v>50000</v>
      </c>
      <c r="G842" s="2">
        <v>50354</v>
      </c>
      <c r="H842" t="s">
        <v>372</v>
      </c>
    </row>
    <row r="843" spans="1:8" x14ac:dyDescent="0.3">
      <c r="A843" s="3">
        <v>45731</v>
      </c>
      <c r="B843" s="4" t="s">
        <v>1658</v>
      </c>
      <c r="C843" s="4" t="s">
        <v>140</v>
      </c>
      <c r="D843" s="3">
        <v>45731</v>
      </c>
      <c r="E843" s="2">
        <v>767</v>
      </c>
      <c r="F843" s="2">
        <v>0</v>
      </c>
      <c r="G843" s="2">
        <v>49587</v>
      </c>
      <c r="H843" t="s">
        <v>362</v>
      </c>
    </row>
    <row r="844" spans="1:8" x14ac:dyDescent="0.3">
      <c r="A844" s="3">
        <v>45733</v>
      </c>
      <c r="B844" s="4" t="s">
        <v>1659</v>
      </c>
      <c r="C844" s="4" t="s">
        <v>1660</v>
      </c>
      <c r="D844" s="3">
        <v>45733</v>
      </c>
      <c r="E844" s="2">
        <v>0</v>
      </c>
      <c r="F844" s="2">
        <v>49073.86</v>
      </c>
      <c r="G844" s="2">
        <v>98660.86</v>
      </c>
      <c r="H844" t="s">
        <v>1876</v>
      </c>
    </row>
    <row r="845" spans="1:8" x14ac:dyDescent="0.3">
      <c r="A845" s="3">
        <v>45733</v>
      </c>
      <c r="B845" s="4" t="s">
        <v>1661</v>
      </c>
      <c r="C845" s="4" t="s">
        <v>1662</v>
      </c>
      <c r="D845" s="3">
        <v>45733</v>
      </c>
      <c r="E845" s="2">
        <v>10000</v>
      </c>
      <c r="F845" s="2">
        <v>0</v>
      </c>
      <c r="G845" s="2">
        <v>88660.86</v>
      </c>
      <c r="H845" t="s">
        <v>1854</v>
      </c>
    </row>
    <row r="846" spans="1:8" x14ac:dyDescent="0.3">
      <c r="A846" s="3">
        <v>45733</v>
      </c>
      <c r="B846" s="4" t="s">
        <v>125</v>
      </c>
      <c r="C846" s="4" t="s">
        <v>1663</v>
      </c>
      <c r="D846" s="3">
        <v>45733</v>
      </c>
      <c r="E846" s="2">
        <v>1129.6400000000001</v>
      </c>
      <c r="F846" s="2">
        <v>0</v>
      </c>
      <c r="G846" s="2">
        <v>87531.22</v>
      </c>
      <c r="H846" t="s">
        <v>361</v>
      </c>
    </row>
    <row r="847" spans="1:8" x14ac:dyDescent="0.3">
      <c r="A847" s="3">
        <v>45733</v>
      </c>
      <c r="B847" s="4" t="s">
        <v>125</v>
      </c>
      <c r="C847" s="4" t="s">
        <v>1664</v>
      </c>
      <c r="D847" s="3">
        <v>45733</v>
      </c>
      <c r="E847" s="2">
        <v>44172.98</v>
      </c>
      <c r="F847" s="2">
        <v>0</v>
      </c>
      <c r="G847" s="2">
        <v>43358.239999999998</v>
      </c>
      <c r="H847" t="s">
        <v>361</v>
      </c>
    </row>
    <row r="848" spans="1:8" x14ac:dyDescent="0.3">
      <c r="A848" s="3">
        <v>45734</v>
      </c>
      <c r="B848" s="4" t="s">
        <v>1665</v>
      </c>
      <c r="C848" s="4" t="s">
        <v>1666</v>
      </c>
      <c r="D848" s="3">
        <v>45734</v>
      </c>
      <c r="E848" s="2">
        <v>0</v>
      </c>
      <c r="F848" s="2">
        <v>69763.539999999994</v>
      </c>
      <c r="G848" s="2">
        <v>113121.78</v>
      </c>
      <c r="H848" t="s">
        <v>1876</v>
      </c>
    </row>
    <row r="849" spans="1:8" x14ac:dyDescent="0.3">
      <c r="A849" s="3">
        <v>45734</v>
      </c>
      <c r="B849" s="4" t="s">
        <v>125</v>
      </c>
      <c r="C849" s="4" t="s">
        <v>1667</v>
      </c>
      <c r="D849" s="3">
        <v>45734</v>
      </c>
      <c r="E849" s="2">
        <v>263.38</v>
      </c>
      <c r="F849" s="2">
        <v>0</v>
      </c>
      <c r="G849" s="2">
        <v>112858.4</v>
      </c>
      <c r="H849" t="s">
        <v>361</v>
      </c>
    </row>
    <row r="850" spans="1:8" x14ac:dyDescent="0.3">
      <c r="A850" s="3">
        <v>45734</v>
      </c>
      <c r="B850" s="4" t="s">
        <v>125</v>
      </c>
      <c r="C850" s="4" t="s">
        <v>1668</v>
      </c>
      <c r="D850" s="3">
        <v>45734</v>
      </c>
      <c r="E850" s="2">
        <v>101966.79</v>
      </c>
      <c r="F850" s="2">
        <v>0</v>
      </c>
      <c r="G850" s="2">
        <v>10891.61</v>
      </c>
      <c r="H850" t="s">
        <v>361</v>
      </c>
    </row>
    <row r="851" spans="1:8" x14ac:dyDescent="0.3">
      <c r="A851" s="3">
        <v>45735</v>
      </c>
      <c r="B851" s="4" t="s">
        <v>1669</v>
      </c>
      <c r="C851" s="4" t="s">
        <v>1670</v>
      </c>
      <c r="D851" s="3">
        <v>45735</v>
      </c>
      <c r="E851" s="2">
        <v>0</v>
      </c>
      <c r="F851" s="2">
        <v>3306.85</v>
      </c>
      <c r="G851" s="2">
        <v>14198.46</v>
      </c>
      <c r="H851" t="s">
        <v>1876</v>
      </c>
    </row>
    <row r="852" spans="1:8" x14ac:dyDescent="0.3">
      <c r="A852" s="3">
        <v>45735</v>
      </c>
      <c r="B852" s="4" t="s">
        <v>125</v>
      </c>
      <c r="C852" s="4" t="s">
        <v>1671</v>
      </c>
      <c r="D852" s="3">
        <v>45735</v>
      </c>
      <c r="E852" s="2">
        <v>268.74</v>
      </c>
      <c r="F852" s="2">
        <v>0</v>
      </c>
      <c r="G852" s="2">
        <v>13929.72</v>
      </c>
      <c r="H852" t="s">
        <v>361</v>
      </c>
    </row>
    <row r="853" spans="1:8" x14ac:dyDescent="0.3">
      <c r="A853" s="3">
        <v>45736</v>
      </c>
      <c r="B853" s="4" t="s">
        <v>1672</v>
      </c>
      <c r="C853" s="4" t="s">
        <v>1673</v>
      </c>
      <c r="D853" s="3">
        <v>45736</v>
      </c>
      <c r="E853" s="2">
        <v>0</v>
      </c>
      <c r="F853" s="2">
        <v>26459.17</v>
      </c>
      <c r="G853" s="2">
        <v>40388.89</v>
      </c>
      <c r="H853" t="s">
        <v>1876</v>
      </c>
    </row>
    <row r="854" spans="1:8" x14ac:dyDescent="0.3">
      <c r="A854" s="3">
        <v>45736</v>
      </c>
      <c r="B854" s="4" t="s">
        <v>1674</v>
      </c>
      <c r="C854" s="4" t="s">
        <v>1675</v>
      </c>
      <c r="D854" s="3">
        <v>45736</v>
      </c>
      <c r="E854" s="2">
        <v>0</v>
      </c>
      <c r="F854" s="2">
        <v>71880.27</v>
      </c>
      <c r="G854" s="2">
        <v>112269.16</v>
      </c>
      <c r="H854" t="s">
        <v>1876</v>
      </c>
    </row>
    <row r="855" spans="1:8" x14ac:dyDescent="0.3">
      <c r="A855" s="3">
        <v>45736</v>
      </c>
      <c r="B855" s="4" t="s">
        <v>1676</v>
      </c>
      <c r="C855" s="4" t="s">
        <v>1677</v>
      </c>
      <c r="D855" s="3">
        <v>45736</v>
      </c>
      <c r="E855" s="2">
        <v>10000</v>
      </c>
      <c r="F855" s="2">
        <v>0</v>
      </c>
      <c r="G855" s="2">
        <v>102269.16</v>
      </c>
      <c r="H855" t="s">
        <v>1854</v>
      </c>
    </row>
    <row r="856" spans="1:8" x14ac:dyDescent="0.3">
      <c r="A856" s="3">
        <v>45736</v>
      </c>
      <c r="B856" s="4" t="s">
        <v>979</v>
      </c>
      <c r="C856" s="4" t="s">
        <v>1678</v>
      </c>
      <c r="D856" s="3">
        <v>45736</v>
      </c>
      <c r="E856" s="2">
        <v>75000</v>
      </c>
      <c r="F856" s="2">
        <v>0</v>
      </c>
      <c r="G856" s="2">
        <v>27269.16</v>
      </c>
      <c r="H856" t="s">
        <v>1852</v>
      </c>
    </row>
    <row r="857" spans="1:8" x14ac:dyDescent="0.3">
      <c r="A857" s="3">
        <v>45736</v>
      </c>
      <c r="B857" s="4" t="s">
        <v>125</v>
      </c>
      <c r="C857" s="4" t="s">
        <v>1679</v>
      </c>
      <c r="D857" s="3">
        <v>45736</v>
      </c>
      <c r="E857" s="2">
        <v>354.86</v>
      </c>
      <c r="F857" s="2">
        <v>0</v>
      </c>
      <c r="G857" s="2">
        <v>26914.3</v>
      </c>
      <c r="H857" t="s">
        <v>361</v>
      </c>
    </row>
    <row r="858" spans="1:8" x14ac:dyDescent="0.3">
      <c r="A858" s="3">
        <v>45736</v>
      </c>
      <c r="B858" s="4" t="s">
        <v>1104</v>
      </c>
      <c r="C858" s="4" t="s">
        <v>1680</v>
      </c>
      <c r="D858" s="3">
        <v>45736</v>
      </c>
      <c r="E858" s="2">
        <v>0</v>
      </c>
      <c r="F858" s="2">
        <v>2221.13</v>
      </c>
      <c r="G858" s="2">
        <v>29135.43</v>
      </c>
      <c r="H858" t="s">
        <v>369</v>
      </c>
    </row>
    <row r="859" spans="1:8" x14ac:dyDescent="0.3">
      <c r="A859" s="3">
        <v>45737</v>
      </c>
      <c r="B859" s="4" t="s">
        <v>125</v>
      </c>
      <c r="C859" s="4" t="s">
        <v>1681</v>
      </c>
      <c r="D859" s="3">
        <v>45737</v>
      </c>
      <c r="E859" s="2">
        <v>28781.43</v>
      </c>
      <c r="F859" s="2">
        <v>0</v>
      </c>
      <c r="G859" s="2">
        <v>354</v>
      </c>
      <c r="H859" t="s">
        <v>361</v>
      </c>
    </row>
    <row r="860" spans="1:8" x14ac:dyDescent="0.3">
      <c r="A860" s="3">
        <v>45737</v>
      </c>
      <c r="B860" s="4" t="s">
        <v>1682</v>
      </c>
      <c r="C860" s="4" t="s">
        <v>1683</v>
      </c>
      <c r="D860" s="3">
        <v>45737</v>
      </c>
      <c r="E860" s="2">
        <v>0</v>
      </c>
      <c r="F860" s="2">
        <v>20000</v>
      </c>
      <c r="G860" s="2">
        <v>20354</v>
      </c>
      <c r="H860" t="s">
        <v>1856</v>
      </c>
    </row>
    <row r="861" spans="1:8" x14ac:dyDescent="0.3">
      <c r="A861" s="3">
        <v>45737</v>
      </c>
      <c r="B861" s="4" t="s">
        <v>125</v>
      </c>
      <c r="C861" s="4" t="s">
        <v>1684</v>
      </c>
      <c r="D861" s="3">
        <v>45737</v>
      </c>
      <c r="E861" s="2">
        <v>20000</v>
      </c>
      <c r="F861" s="2">
        <v>0</v>
      </c>
      <c r="G861" s="2">
        <v>354</v>
      </c>
      <c r="H861" t="s">
        <v>361</v>
      </c>
    </row>
    <row r="862" spans="1:8" x14ac:dyDescent="0.3">
      <c r="A862" s="3">
        <v>45737</v>
      </c>
      <c r="B862" s="4" t="s">
        <v>128</v>
      </c>
      <c r="C862" s="4" t="s">
        <v>1685</v>
      </c>
      <c r="D862" s="3">
        <v>45737</v>
      </c>
      <c r="E862" s="2">
        <v>0</v>
      </c>
      <c r="F862" s="2">
        <v>10537.39</v>
      </c>
      <c r="G862" s="2">
        <v>10891.39</v>
      </c>
      <c r="H862" t="s">
        <v>361</v>
      </c>
    </row>
    <row r="863" spans="1:8" x14ac:dyDescent="0.3">
      <c r="A863" s="3">
        <v>45740</v>
      </c>
      <c r="B863" s="4" t="s">
        <v>1686</v>
      </c>
      <c r="C863" s="4" t="s">
        <v>1687</v>
      </c>
      <c r="D863" s="3">
        <v>45740</v>
      </c>
      <c r="E863" s="2">
        <v>0</v>
      </c>
      <c r="F863" s="2">
        <v>48764.92</v>
      </c>
      <c r="G863" s="2">
        <v>59656.31</v>
      </c>
      <c r="H863" t="s">
        <v>1876</v>
      </c>
    </row>
    <row r="864" spans="1:8" x14ac:dyDescent="0.3">
      <c r="A864" s="3">
        <v>45740</v>
      </c>
      <c r="B864" s="4" t="s">
        <v>125</v>
      </c>
      <c r="C864" s="4" t="s">
        <v>1688</v>
      </c>
      <c r="D864" s="3">
        <v>45740</v>
      </c>
      <c r="E864" s="2">
        <v>1106.55</v>
      </c>
      <c r="F864" s="2">
        <v>0</v>
      </c>
      <c r="G864" s="2">
        <v>58549.760000000002</v>
      </c>
      <c r="H864" t="s">
        <v>361</v>
      </c>
    </row>
    <row r="865" spans="1:8" x14ac:dyDescent="0.3">
      <c r="A865" s="3">
        <v>45741</v>
      </c>
      <c r="B865" s="4" t="s">
        <v>1689</v>
      </c>
      <c r="C865" s="4" t="s">
        <v>1690</v>
      </c>
      <c r="D865" s="3">
        <v>45741</v>
      </c>
      <c r="E865" s="2">
        <v>0</v>
      </c>
      <c r="F865" s="2">
        <v>9643.35</v>
      </c>
      <c r="G865" s="2">
        <v>68193.11</v>
      </c>
      <c r="H865" t="s">
        <v>1876</v>
      </c>
    </row>
    <row r="866" spans="1:8" x14ac:dyDescent="0.3">
      <c r="A866" s="3">
        <v>45741</v>
      </c>
      <c r="B866" s="4" t="s">
        <v>1691</v>
      </c>
      <c r="C866" s="4" t="s">
        <v>1692</v>
      </c>
      <c r="D866" s="3">
        <v>45741</v>
      </c>
      <c r="E866" s="2">
        <v>0</v>
      </c>
      <c r="F866" s="2">
        <v>17329.54</v>
      </c>
      <c r="G866" s="2">
        <v>85522.65</v>
      </c>
      <c r="H866" t="s">
        <v>1876</v>
      </c>
    </row>
    <row r="867" spans="1:8" x14ac:dyDescent="0.3">
      <c r="A867" s="3">
        <v>45741</v>
      </c>
      <c r="B867" s="4" t="s">
        <v>125</v>
      </c>
      <c r="C867" s="4" t="s">
        <v>1693</v>
      </c>
      <c r="D867" s="3">
        <v>45741</v>
      </c>
      <c r="E867" s="2">
        <v>385.06</v>
      </c>
      <c r="F867" s="2">
        <v>0</v>
      </c>
      <c r="G867" s="2">
        <v>85137.59</v>
      </c>
      <c r="H867" t="s">
        <v>361</v>
      </c>
    </row>
    <row r="868" spans="1:8" x14ac:dyDescent="0.3">
      <c r="A868" s="3">
        <v>45741</v>
      </c>
      <c r="B868" s="4" t="s">
        <v>125</v>
      </c>
      <c r="C868" s="4" t="s">
        <v>1694</v>
      </c>
      <c r="D868" s="3">
        <v>45741</v>
      </c>
      <c r="E868" s="2">
        <v>21360.78</v>
      </c>
      <c r="F868" s="2">
        <v>0</v>
      </c>
      <c r="G868" s="2">
        <v>63776.81</v>
      </c>
      <c r="H868" t="s">
        <v>361</v>
      </c>
    </row>
    <row r="869" spans="1:8" x14ac:dyDescent="0.3">
      <c r="A869" s="3">
        <v>45742</v>
      </c>
      <c r="B869" s="4" t="s">
        <v>1695</v>
      </c>
      <c r="C869" s="4" t="s">
        <v>1696</v>
      </c>
      <c r="D869" s="3">
        <v>45742</v>
      </c>
      <c r="E869" s="2">
        <v>0</v>
      </c>
      <c r="F869" s="2">
        <v>895.37</v>
      </c>
      <c r="G869" s="2">
        <v>64672.18</v>
      </c>
      <c r="H869" t="s">
        <v>1876</v>
      </c>
    </row>
    <row r="870" spans="1:8" x14ac:dyDescent="0.3">
      <c r="A870" s="3">
        <v>45742</v>
      </c>
      <c r="B870" s="4" t="s">
        <v>125</v>
      </c>
      <c r="C870" s="4" t="s">
        <v>1697</v>
      </c>
      <c r="D870" s="3">
        <v>45742</v>
      </c>
      <c r="E870" s="2">
        <v>385.35</v>
      </c>
      <c r="F870" s="2">
        <v>0</v>
      </c>
      <c r="G870" s="2">
        <v>64286.83</v>
      </c>
      <c r="H870" t="s">
        <v>361</v>
      </c>
    </row>
    <row r="871" spans="1:8" x14ac:dyDescent="0.3">
      <c r="A871" s="3">
        <v>45742</v>
      </c>
      <c r="B871" s="4" t="s">
        <v>125</v>
      </c>
      <c r="C871" s="4" t="s">
        <v>1698</v>
      </c>
      <c r="D871" s="3">
        <v>45742</v>
      </c>
      <c r="E871" s="2">
        <v>33262.089999999997</v>
      </c>
      <c r="F871" s="2">
        <v>0</v>
      </c>
      <c r="G871" s="2">
        <v>31024.74</v>
      </c>
      <c r="H871" t="s">
        <v>361</v>
      </c>
    </row>
    <row r="872" spans="1:8" x14ac:dyDescent="0.3">
      <c r="A872" s="3">
        <v>45742</v>
      </c>
      <c r="B872" s="4" t="s">
        <v>125</v>
      </c>
      <c r="C872" s="4" t="s">
        <v>1699</v>
      </c>
      <c r="D872" s="3">
        <v>45742</v>
      </c>
      <c r="E872" s="2">
        <v>2964.7</v>
      </c>
      <c r="F872" s="2">
        <v>0</v>
      </c>
      <c r="G872" s="2">
        <v>28060.04</v>
      </c>
      <c r="H872" t="s">
        <v>361</v>
      </c>
    </row>
    <row r="873" spans="1:8" x14ac:dyDescent="0.3">
      <c r="A873" s="3">
        <v>45743</v>
      </c>
      <c r="B873" s="4" t="s">
        <v>125</v>
      </c>
      <c r="C873" s="4" t="s">
        <v>1700</v>
      </c>
      <c r="D873" s="3">
        <v>45743</v>
      </c>
      <c r="E873" s="2">
        <v>383.08</v>
      </c>
      <c r="F873" s="2">
        <v>0</v>
      </c>
      <c r="G873" s="2">
        <v>27676.959999999999</v>
      </c>
      <c r="H873" t="s">
        <v>361</v>
      </c>
    </row>
    <row r="874" spans="1:8" x14ac:dyDescent="0.3">
      <c r="A874" s="3">
        <v>45743</v>
      </c>
      <c r="B874" s="4" t="s">
        <v>1701</v>
      </c>
      <c r="C874" s="4" t="s">
        <v>1702</v>
      </c>
      <c r="D874" s="3">
        <v>45743</v>
      </c>
      <c r="E874" s="2">
        <v>0</v>
      </c>
      <c r="F874" s="2">
        <v>512.76</v>
      </c>
      <c r="G874" s="2">
        <v>28189.72</v>
      </c>
      <c r="H874" t="s">
        <v>1863</v>
      </c>
    </row>
    <row r="875" spans="1:8" x14ac:dyDescent="0.3">
      <c r="A875" s="3">
        <v>45744</v>
      </c>
      <c r="B875" s="4" t="s">
        <v>1703</v>
      </c>
      <c r="C875" s="4" t="s">
        <v>1704</v>
      </c>
      <c r="D875" s="3">
        <v>45744</v>
      </c>
      <c r="E875" s="2">
        <v>0</v>
      </c>
      <c r="F875" s="2">
        <v>25796.99</v>
      </c>
      <c r="G875" s="2">
        <v>53986.71</v>
      </c>
      <c r="H875" t="s">
        <v>1876</v>
      </c>
    </row>
    <row r="876" spans="1:8" x14ac:dyDescent="0.3">
      <c r="A876" s="3">
        <v>45744</v>
      </c>
      <c r="B876" s="4" t="s">
        <v>1705</v>
      </c>
      <c r="C876" s="4" t="s">
        <v>1706</v>
      </c>
      <c r="D876" s="3">
        <v>45744</v>
      </c>
      <c r="E876" s="2">
        <v>0</v>
      </c>
      <c r="F876" s="2">
        <v>420</v>
      </c>
      <c r="G876" s="2">
        <v>54406.71</v>
      </c>
      <c r="H876" t="s">
        <v>367</v>
      </c>
    </row>
    <row r="877" spans="1:8" x14ac:dyDescent="0.3">
      <c r="A877" s="3">
        <v>45744</v>
      </c>
      <c r="B877" s="4" t="s">
        <v>125</v>
      </c>
      <c r="C877" s="4" t="s">
        <v>1707</v>
      </c>
      <c r="D877" s="3">
        <v>45744</v>
      </c>
      <c r="E877" s="2">
        <v>413.72</v>
      </c>
      <c r="F877" s="2">
        <v>0</v>
      </c>
      <c r="G877" s="2">
        <v>53992.99</v>
      </c>
      <c r="H877" t="s">
        <v>361</v>
      </c>
    </row>
    <row r="878" spans="1:8" x14ac:dyDescent="0.3">
      <c r="A878" s="3">
        <v>45744</v>
      </c>
      <c r="B878" s="4" t="s">
        <v>125</v>
      </c>
      <c r="C878" s="4" t="s">
        <v>1708</v>
      </c>
      <c r="D878" s="3">
        <v>45744</v>
      </c>
      <c r="E878" s="2">
        <v>24553.9</v>
      </c>
      <c r="F878" s="2">
        <v>0</v>
      </c>
      <c r="G878" s="2">
        <v>29439.09</v>
      </c>
      <c r="H878" t="s">
        <v>361</v>
      </c>
    </row>
    <row r="879" spans="1:8" x14ac:dyDescent="0.3">
      <c r="A879" s="3">
        <v>45745</v>
      </c>
      <c r="B879" s="4" t="s">
        <v>1709</v>
      </c>
      <c r="C879" s="4" t="s">
        <v>1710</v>
      </c>
      <c r="D879" s="3">
        <v>45745</v>
      </c>
      <c r="E879" s="2">
        <v>0</v>
      </c>
      <c r="F879" s="2">
        <v>206.5</v>
      </c>
      <c r="G879" s="2">
        <v>29645.59</v>
      </c>
      <c r="H879" t="s">
        <v>367</v>
      </c>
    </row>
    <row r="880" spans="1:8" x14ac:dyDescent="0.3">
      <c r="A880" s="3">
        <v>45745</v>
      </c>
      <c r="B880" s="4" t="s">
        <v>1711</v>
      </c>
      <c r="C880" s="4" t="s">
        <v>1712</v>
      </c>
      <c r="D880" s="3">
        <v>45745</v>
      </c>
      <c r="E880" s="2">
        <v>295</v>
      </c>
      <c r="F880" s="2">
        <v>0</v>
      </c>
      <c r="G880" s="2">
        <v>29350.59</v>
      </c>
      <c r="H880" t="s">
        <v>365</v>
      </c>
    </row>
    <row r="881" spans="1:8" x14ac:dyDescent="0.3">
      <c r="A881" s="3">
        <v>45746</v>
      </c>
      <c r="B881" s="4" t="s">
        <v>1713</v>
      </c>
      <c r="C881" s="4" t="s">
        <v>1714</v>
      </c>
      <c r="D881" s="3">
        <v>45746</v>
      </c>
      <c r="E881" s="2">
        <v>15000</v>
      </c>
      <c r="F881" s="2">
        <v>0</v>
      </c>
      <c r="G881" s="2">
        <v>14350.59</v>
      </c>
      <c r="H881" t="s">
        <v>1858</v>
      </c>
    </row>
    <row r="882" spans="1:8" x14ac:dyDescent="0.3">
      <c r="A882" s="3">
        <v>45747</v>
      </c>
      <c r="B882" s="4" t="s">
        <v>1905</v>
      </c>
      <c r="C882" s="4" t="s">
        <v>140</v>
      </c>
      <c r="D882" s="3">
        <v>45747</v>
      </c>
      <c r="E882" s="2">
        <v>0</v>
      </c>
      <c r="F882" s="2">
        <v>2742</v>
      </c>
      <c r="G882" s="2">
        <v>17092.59</v>
      </c>
      <c r="H882" t="s">
        <v>370</v>
      </c>
    </row>
  </sheetData>
  <autoFilter ref="A20:H881" xr:uid="{CC0B7120-BE7D-41A9-A2E0-F4BBAB054B2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F680-DE47-4EBE-A721-174A74ECC92D}">
  <dimension ref="A1:H79"/>
  <sheetViews>
    <sheetView workbookViewId="0">
      <selection activeCell="E18" sqref="E18"/>
    </sheetView>
  </sheetViews>
  <sheetFormatPr defaultRowHeight="14.4" x14ac:dyDescent="0.3"/>
  <cols>
    <col min="1" max="2" width="9.88671875" bestFit="1" customWidth="1"/>
    <col min="3" max="3" width="36.6640625" bestFit="1" customWidth="1"/>
    <col min="4" max="4" width="41.21875" bestFit="1" customWidth="1"/>
    <col min="5" max="6" width="10.44140625" bestFit="1" customWidth="1"/>
    <col min="7" max="7" width="11.109375" bestFit="1" customWidth="1"/>
  </cols>
  <sheetData>
    <row r="1" spans="1:2" x14ac:dyDescent="0.3">
      <c r="A1" t="s">
        <v>715</v>
      </c>
      <c r="B1" t="s">
        <v>716</v>
      </c>
    </row>
    <row r="2" spans="1:2" x14ac:dyDescent="0.3">
      <c r="A2" t="s">
        <v>717</v>
      </c>
      <c r="B2" t="s">
        <v>718</v>
      </c>
    </row>
    <row r="3" spans="1:2" x14ac:dyDescent="0.3">
      <c r="A3" t="s">
        <v>719</v>
      </c>
      <c r="B3" t="s">
        <v>720</v>
      </c>
    </row>
    <row r="4" spans="1:2" x14ac:dyDescent="0.3">
      <c r="A4" t="s">
        <v>719</v>
      </c>
      <c r="B4" t="s">
        <v>721</v>
      </c>
    </row>
    <row r="5" spans="1:2" x14ac:dyDescent="0.3">
      <c r="A5" t="s">
        <v>719</v>
      </c>
      <c r="B5" t="s">
        <v>722</v>
      </c>
    </row>
    <row r="6" spans="1:2" x14ac:dyDescent="0.3">
      <c r="A6" t="s">
        <v>723</v>
      </c>
      <c r="B6" s="7">
        <v>45747</v>
      </c>
    </row>
    <row r="7" spans="1:2" x14ac:dyDescent="0.3">
      <c r="A7" t="s">
        <v>724</v>
      </c>
      <c r="B7" t="s">
        <v>725</v>
      </c>
    </row>
    <row r="8" spans="1:2" x14ac:dyDescent="0.3">
      <c r="A8" t="s">
        <v>726</v>
      </c>
      <c r="B8" t="s">
        <v>727</v>
      </c>
    </row>
    <row r="9" spans="1:2" x14ac:dyDescent="0.3">
      <c r="A9" t="s">
        <v>728</v>
      </c>
      <c r="B9" t="s">
        <v>729</v>
      </c>
    </row>
    <row r="10" spans="1:2" x14ac:dyDescent="0.3">
      <c r="A10" t="s">
        <v>730</v>
      </c>
      <c r="B10" s="5">
        <v>1562407</v>
      </c>
    </row>
    <row r="11" spans="1:2" x14ac:dyDescent="0.3">
      <c r="A11" t="s">
        <v>731</v>
      </c>
      <c r="B11">
        <v>10.65</v>
      </c>
    </row>
    <row r="12" spans="1:2" x14ac:dyDescent="0.3">
      <c r="A12" t="s">
        <v>732</v>
      </c>
      <c r="B12" t="s">
        <v>733</v>
      </c>
    </row>
    <row r="13" spans="1:2" x14ac:dyDescent="0.3">
      <c r="A13" t="s">
        <v>734</v>
      </c>
      <c r="B13" t="s">
        <v>735</v>
      </c>
    </row>
    <row r="14" spans="1:2" x14ac:dyDescent="0.3">
      <c r="A14" t="s">
        <v>736</v>
      </c>
      <c r="B14" t="s">
        <v>737</v>
      </c>
    </row>
    <row r="15" spans="1:2" x14ac:dyDescent="0.3">
      <c r="A15" t="s">
        <v>738</v>
      </c>
      <c r="B15" t="s">
        <v>739</v>
      </c>
    </row>
    <row r="16" spans="1:2" x14ac:dyDescent="0.3">
      <c r="A16" t="s">
        <v>740</v>
      </c>
      <c r="B16">
        <v>-195.37</v>
      </c>
    </row>
    <row r="17" spans="1:8" x14ac:dyDescent="0.3">
      <c r="A17" t="s">
        <v>741</v>
      </c>
      <c r="B17" s="7">
        <v>45383</v>
      </c>
    </row>
    <row r="18" spans="1:8" x14ac:dyDescent="0.3">
      <c r="A18" t="s">
        <v>742</v>
      </c>
      <c r="B18" s="7">
        <v>45747</v>
      </c>
    </row>
    <row r="19" spans="1:8" x14ac:dyDescent="0.3">
      <c r="A19" t="s">
        <v>698</v>
      </c>
      <c r="B19" t="s">
        <v>743</v>
      </c>
      <c r="C19" t="s">
        <v>699</v>
      </c>
      <c r="D19" t="s">
        <v>744</v>
      </c>
      <c r="E19" t="s">
        <v>745</v>
      </c>
      <c r="F19" t="s">
        <v>746</v>
      </c>
      <c r="G19" t="s">
        <v>747</v>
      </c>
    </row>
    <row r="20" spans="1:8" x14ac:dyDescent="0.3">
      <c r="A20" s="7">
        <v>45383</v>
      </c>
      <c r="B20" s="7">
        <v>45383</v>
      </c>
      <c r="C20" t="s">
        <v>748</v>
      </c>
      <c r="D20" t="s">
        <v>749</v>
      </c>
      <c r="E20" s="5">
        <v>27000</v>
      </c>
      <c r="F20">
        <v>0</v>
      </c>
      <c r="G20" s="5">
        <v>-27195.37</v>
      </c>
      <c r="H20" t="s">
        <v>372</v>
      </c>
    </row>
    <row r="21" spans="1:8" x14ac:dyDescent="0.3">
      <c r="A21" s="7">
        <v>45384</v>
      </c>
      <c r="B21" s="7">
        <v>45384</v>
      </c>
      <c r="C21" t="s">
        <v>750</v>
      </c>
      <c r="D21" t="s">
        <v>751</v>
      </c>
      <c r="E21">
        <v>0</v>
      </c>
      <c r="F21" s="5">
        <v>26595</v>
      </c>
      <c r="G21">
        <v>-600.37</v>
      </c>
      <c r="H21" t="s">
        <v>372</v>
      </c>
    </row>
    <row r="22" spans="1:8" x14ac:dyDescent="0.3">
      <c r="A22" s="7">
        <v>45412</v>
      </c>
      <c r="B22" s="7">
        <v>45412</v>
      </c>
      <c r="C22" t="s">
        <v>752</v>
      </c>
      <c r="D22" t="s">
        <v>753</v>
      </c>
      <c r="E22" s="5">
        <v>27000</v>
      </c>
      <c r="F22">
        <v>0</v>
      </c>
      <c r="G22" s="5">
        <v>-27600.37</v>
      </c>
      <c r="H22" t="s">
        <v>372</v>
      </c>
    </row>
    <row r="23" spans="1:8" x14ac:dyDescent="0.3">
      <c r="A23" s="7">
        <v>45412</v>
      </c>
      <c r="B23" s="7">
        <v>45412</v>
      </c>
      <c r="C23" t="s">
        <v>754</v>
      </c>
      <c r="E23">
        <v>21</v>
      </c>
      <c r="F23">
        <v>0</v>
      </c>
      <c r="G23" s="5">
        <v>-27621.37</v>
      </c>
      <c r="H23" t="s">
        <v>365</v>
      </c>
    </row>
    <row r="24" spans="1:8" x14ac:dyDescent="0.3">
      <c r="A24" s="7">
        <v>45414</v>
      </c>
      <c r="B24" s="7">
        <v>45414</v>
      </c>
      <c r="C24" t="s">
        <v>750</v>
      </c>
      <c r="D24" t="s">
        <v>751</v>
      </c>
      <c r="E24">
        <v>0</v>
      </c>
      <c r="F24" s="5">
        <v>26595</v>
      </c>
      <c r="G24" s="5">
        <v>-1026.3699999999999</v>
      </c>
      <c r="H24" t="s">
        <v>372</v>
      </c>
    </row>
    <row r="25" spans="1:8" x14ac:dyDescent="0.3">
      <c r="A25" s="7">
        <v>45443</v>
      </c>
      <c r="B25" s="7">
        <v>45443</v>
      </c>
      <c r="C25" t="s">
        <v>754</v>
      </c>
      <c r="E25">
        <v>17</v>
      </c>
      <c r="F25">
        <v>0</v>
      </c>
      <c r="G25" s="5">
        <v>-1043.3699999999999</v>
      </c>
      <c r="H25" t="s">
        <v>365</v>
      </c>
    </row>
    <row r="26" spans="1:8" x14ac:dyDescent="0.3">
      <c r="A26" s="7">
        <v>45444</v>
      </c>
      <c r="B26" s="7">
        <v>45444</v>
      </c>
      <c r="C26" t="s">
        <v>752</v>
      </c>
      <c r="D26" t="s">
        <v>755</v>
      </c>
      <c r="E26" s="5">
        <v>27000</v>
      </c>
      <c r="F26">
        <v>0</v>
      </c>
      <c r="G26" s="5">
        <v>-28043.37</v>
      </c>
      <c r="H26" t="s">
        <v>372</v>
      </c>
    </row>
    <row r="27" spans="1:8" x14ac:dyDescent="0.3">
      <c r="A27" s="7">
        <v>45445</v>
      </c>
      <c r="B27" s="7">
        <v>45445</v>
      </c>
      <c r="C27" t="s">
        <v>750</v>
      </c>
      <c r="D27" t="s">
        <v>751</v>
      </c>
      <c r="E27">
        <v>0</v>
      </c>
      <c r="F27" s="5">
        <v>26595</v>
      </c>
      <c r="G27" s="5">
        <v>-1448.37</v>
      </c>
      <c r="H27" t="s">
        <v>372</v>
      </c>
    </row>
    <row r="28" spans="1:8" x14ac:dyDescent="0.3">
      <c r="A28" s="7">
        <v>45468</v>
      </c>
      <c r="B28" s="7">
        <v>45468</v>
      </c>
      <c r="C28" t="s">
        <v>756</v>
      </c>
      <c r="D28" t="s">
        <v>757</v>
      </c>
      <c r="E28" s="5">
        <v>150000</v>
      </c>
      <c r="F28">
        <v>0</v>
      </c>
      <c r="G28" s="5">
        <v>-151448.37</v>
      </c>
      <c r="H28" t="s">
        <v>1850</v>
      </c>
    </row>
    <row r="29" spans="1:8" x14ac:dyDescent="0.3">
      <c r="A29" s="7">
        <v>45469</v>
      </c>
      <c r="B29" s="7">
        <v>45469</v>
      </c>
      <c r="C29" t="s">
        <v>758</v>
      </c>
      <c r="D29" t="s">
        <v>759</v>
      </c>
      <c r="E29">
        <v>0</v>
      </c>
      <c r="F29" s="5">
        <v>65000</v>
      </c>
      <c r="G29" s="5">
        <v>-86448.37</v>
      </c>
      <c r="H29" t="s">
        <v>372</v>
      </c>
    </row>
    <row r="30" spans="1:8" x14ac:dyDescent="0.3">
      <c r="A30" s="7">
        <v>45469</v>
      </c>
      <c r="B30" s="7">
        <v>45469</v>
      </c>
      <c r="C30" t="s">
        <v>758</v>
      </c>
      <c r="D30" t="s">
        <v>760</v>
      </c>
      <c r="E30">
        <v>0</v>
      </c>
      <c r="F30" s="5">
        <v>59000</v>
      </c>
      <c r="G30" s="5">
        <v>-27448.37</v>
      </c>
      <c r="H30" t="s">
        <v>372</v>
      </c>
    </row>
    <row r="31" spans="1:8" x14ac:dyDescent="0.3">
      <c r="A31" s="7">
        <v>45473</v>
      </c>
      <c r="B31" s="7">
        <v>45473</v>
      </c>
      <c r="C31" t="s">
        <v>754</v>
      </c>
      <c r="E31">
        <v>102</v>
      </c>
      <c r="F31">
        <v>0</v>
      </c>
      <c r="G31" s="5">
        <v>-27550.37</v>
      </c>
      <c r="H31" t="s">
        <v>365</v>
      </c>
    </row>
    <row r="32" spans="1:8" x14ac:dyDescent="0.3">
      <c r="A32" s="7">
        <v>45474</v>
      </c>
      <c r="B32" s="7">
        <v>45474</v>
      </c>
      <c r="C32" t="s">
        <v>748</v>
      </c>
      <c r="D32" t="s">
        <v>761</v>
      </c>
      <c r="E32" s="5">
        <v>150000</v>
      </c>
      <c r="F32">
        <v>0</v>
      </c>
      <c r="G32" s="5">
        <v>-177550.37</v>
      </c>
      <c r="H32" t="s">
        <v>372</v>
      </c>
    </row>
    <row r="33" spans="1:8" x14ac:dyDescent="0.3">
      <c r="A33" s="7">
        <v>45474</v>
      </c>
      <c r="B33" s="7">
        <v>45474</v>
      </c>
      <c r="C33" t="s">
        <v>762</v>
      </c>
      <c r="D33" t="s">
        <v>763</v>
      </c>
      <c r="E33">
        <v>0</v>
      </c>
      <c r="F33" s="5">
        <v>150000</v>
      </c>
      <c r="G33" s="5">
        <v>-27550.37</v>
      </c>
      <c r="H33" t="s">
        <v>372</v>
      </c>
    </row>
    <row r="34" spans="1:8" x14ac:dyDescent="0.3">
      <c r="A34" s="7">
        <v>45475</v>
      </c>
      <c r="B34" s="7">
        <v>45475</v>
      </c>
      <c r="C34" t="s">
        <v>750</v>
      </c>
      <c r="D34" t="s">
        <v>751</v>
      </c>
      <c r="E34">
        <v>0</v>
      </c>
      <c r="F34" s="5">
        <v>26595</v>
      </c>
      <c r="G34">
        <v>-955.37</v>
      </c>
      <c r="H34" t="s">
        <v>372</v>
      </c>
    </row>
    <row r="35" spans="1:8" x14ac:dyDescent="0.3">
      <c r="A35" s="7">
        <v>45504</v>
      </c>
      <c r="B35" s="7">
        <v>45504</v>
      </c>
      <c r="C35" t="s">
        <v>754</v>
      </c>
      <c r="E35">
        <v>16</v>
      </c>
      <c r="F35">
        <v>0</v>
      </c>
      <c r="G35">
        <v>-971.37</v>
      </c>
      <c r="H35" t="s">
        <v>365</v>
      </c>
    </row>
    <row r="36" spans="1:8" x14ac:dyDescent="0.3">
      <c r="A36" s="7">
        <v>45505</v>
      </c>
      <c r="B36" s="7">
        <v>45505</v>
      </c>
      <c r="C36" t="s">
        <v>752</v>
      </c>
      <c r="D36" t="s">
        <v>764</v>
      </c>
      <c r="E36" s="5">
        <v>26000</v>
      </c>
      <c r="F36">
        <v>0</v>
      </c>
      <c r="G36" s="5">
        <v>-26971.37</v>
      </c>
      <c r="H36" t="s">
        <v>372</v>
      </c>
    </row>
    <row r="37" spans="1:8" x14ac:dyDescent="0.3">
      <c r="A37" s="7">
        <v>45506</v>
      </c>
      <c r="B37" s="7">
        <v>45506</v>
      </c>
      <c r="C37" t="s">
        <v>750</v>
      </c>
      <c r="D37" t="s">
        <v>751</v>
      </c>
      <c r="E37">
        <v>0</v>
      </c>
      <c r="F37" s="5">
        <v>26595</v>
      </c>
      <c r="G37">
        <v>-376.37</v>
      </c>
      <c r="H37" t="s">
        <v>372</v>
      </c>
    </row>
    <row r="38" spans="1:8" x14ac:dyDescent="0.3">
      <c r="A38" s="7">
        <v>45525</v>
      </c>
      <c r="B38" s="7">
        <v>45525</v>
      </c>
      <c r="C38" t="s">
        <v>765</v>
      </c>
      <c r="D38" t="s">
        <v>766</v>
      </c>
      <c r="E38" s="5">
        <v>150000</v>
      </c>
      <c r="F38">
        <v>0</v>
      </c>
      <c r="G38" s="5">
        <v>-150376.37</v>
      </c>
      <c r="H38" t="s">
        <v>1850</v>
      </c>
    </row>
    <row r="39" spans="1:8" x14ac:dyDescent="0.3">
      <c r="A39" s="7">
        <v>45525</v>
      </c>
      <c r="B39" s="7">
        <v>45525</v>
      </c>
      <c r="C39" t="s">
        <v>758</v>
      </c>
      <c r="D39" t="s">
        <v>767</v>
      </c>
      <c r="E39">
        <v>0</v>
      </c>
      <c r="F39" s="5">
        <v>60000</v>
      </c>
      <c r="G39" s="5">
        <v>-90376.37</v>
      </c>
      <c r="H39" t="s">
        <v>372</v>
      </c>
    </row>
    <row r="40" spans="1:8" x14ac:dyDescent="0.3">
      <c r="A40" s="7">
        <v>45535</v>
      </c>
      <c r="B40" s="7">
        <v>45535</v>
      </c>
      <c r="C40" t="s">
        <v>754</v>
      </c>
      <c r="E40">
        <v>300</v>
      </c>
      <c r="F40">
        <v>0</v>
      </c>
      <c r="G40" s="5">
        <v>-90676.37</v>
      </c>
      <c r="H40" t="s">
        <v>365</v>
      </c>
    </row>
    <row r="41" spans="1:8" x14ac:dyDescent="0.3">
      <c r="A41" s="7">
        <v>45537</v>
      </c>
      <c r="B41" s="7">
        <v>45537</v>
      </c>
      <c r="C41" t="s">
        <v>750</v>
      </c>
      <c r="D41" t="s">
        <v>751</v>
      </c>
      <c r="E41">
        <v>0</v>
      </c>
      <c r="F41" s="5">
        <v>26595</v>
      </c>
      <c r="G41" s="5">
        <v>-64081.37</v>
      </c>
      <c r="H41" t="s">
        <v>372</v>
      </c>
    </row>
    <row r="42" spans="1:8" x14ac:dyDescent="0.3">
      <c r="A42" s="7">
        <v>45546</v>
      </c>
      <c r="B42" s="7">
        <v>45546</v>
      </c>
      <c r="C42" t="s">
        <v>752</v>
      </c>
      <c r="D42" t="s">
        <v>768</v>
      </c>
      <c r="E42" s="5">
        <v>15000</v>
      </c>
      <c r="F42">
        <v>0</v>
      </c>
      <c r="G42" s="5">
        <v>-79081.37</v>
      </c>
      <c r="H42" t="s">
        <v>372</v>
      </c>
    </row>
    <row r="43" spans="1:8" x14ac:dyDescent="0.3">
      <c r="A43" s="7">
        <v>45546</v>
      </c>
      <c r="B43" s="7">
        <v>45546</v>
      </c>
      <c r="C43" t="s">
        <v>769</v>
      </c>
      <c r="D43" t="s">
        <v>770</v>
      </c>
      <c r="E43">
        <v>0</v>
      </c>
      <c r="F43" s="5">
        <v>75000</v>
      </c>
      <c r="G43" s="5">
        <v>-4081.37</v>
      </c>
      <c r="H43" t="s">
        <v>372</v>
      </c>
    </row>
    <row r="44" spans="1:8" x14ac:dyDescent="0.3">
      <c r="A44" s="7">
        <v>45564</v>
      </c>
      <c r="B44" s="7">
        <v>45564</v>
      </c>
      <c r="C44" t="s">
        <v>752</v>
      </c>
      <c r="D44" t="s">
        <v>771</v>
      </c>
      <c r="E44" s="5">
        <v>25000</v>
      </c>
      <c r="F44">
        <v>0</v>
      </c>
      <c r="G44" s="5">
        <v>-29081.37</v>
      </c>
      <c r="H44" t="s">
        <v>372</v>
      </c>
    </row>
    <row r="45" spans="1:8" x14ac:dyDescent="0.3">
      <c r="A45" s="7">
        <v>45565</v>
      </c>
      <c r="B45" s="7">
        <v>45565</v>
      </c>
      <c r="C45" t="s">
        <v>754</v>
      </c>
      <c r="E45">
        <v>233</v>
      </c>
      <c r="F45">
        <v>0</v>
      </c>
      <c r="G45" s="5">
        <v>-29314.37</v>
      </c>
      <c r="H45" t="s">
        <v>365</v>
      </c>
    </row>
    <row r="46" spans="1:8" x14ac:dyDescent="0.3">
      <c r="A46" s="7">
        <v>45567</v>
      </c>
      <c r="B46" s="7">
        <v>45567</v>
      </c>
      <c r="C46" t="s">
        <v>750</v>
      </c>
      <c r="D46" t="s">
        <v>751</v>
      </c>
      <c r="E46">
        <v>0</v>
      </c>
      <c r="F46" s="5">
        <v>26595</v>
      </c>
      <c r="G46" s="5">
        <v>-2719.37</v>
      </c>
      <c r="H46" t="s">
        <v>372</v>
      </c>
    </row>
    <row r="47" spans="1:8" x14ac:dyDescent="0.3">
      <c r="A47" s="7">
        <v>45592</v>
      </c>
      <c r="B47" s="7">
        <v>45592</v>
      </c>
      <c r="C47" t="s">
        <v>772</v>
      </c>
      <c r="D47" t="s">
        <v>773</v>
      </c>
      <c r="E47" s="5">
        <v>100000</v>
      </c>
      <c r="F47">
        <v>0</v>
      </c>
      <c r="G47" s="5">
        <v>-102719.37</v>
      </c>
      <c r="H47" t="s">
        <v>1850</v>
      </c>
    </row>
    <row r="48" spans="1:8" x14ac:dyDescent="0.3">
      <c r="A48" s="7">
        <v>45596</v>
      </c>
      <c r="B48" s="7">
        <v>45596</v>
      </c>
      <c r="C48" t="s">
        <v>754</v>
      </c>
      <c r="E48">
        <v>178</v>
      </c>
      <c r="F48">
        <v>0</v>
      </c>
      <c r="G48" s="5">
        <v>-102897.37</v>
      </c>
      <c r="H48" t="s">
        <v>365</v>
      </c>
    </row>
    <row r="49" spans="1:8" x14ac:dyDescent="0.3">
      <c r="A49" s="7">
        <v>45598</v>
      </c>
      <c r="B49" s="7">
        <v>45598</v>
      </c>
      <c r="C49" t="s">
        <v>750</v>
      </c>
      <c r="D49" t="s">
        <v>751</v>
      </c>
      <c r="E49">
        <v>0</v>
      </c>
      <c r="F49" s="5">
        <v>26595</v>
      </c>
      <c r="G49" s="5">
        <v>-76302.37</v>
      </c>
      <c r="H49" t="s">
        <v>372</v>
      </c>
    </row>
    <row r="50" spans="1:8" x14ac:dyDescent="0.3">
      <c r="A50" s="7">
        <v>45611</v>
      </c>
      <c r="B50" s="7">
        <v>45611</v>
      </c>
      <c r="C50" t="s">
        <v>774</v>
      </c>
      <c r="D50" t="s">
        <v>775</v>
      </c>
      <c r="E50" s="5">
        <v>100000</v>
      </c>
      <c r="F50">
        <v>0</v>
      </c>
      <c r="G50" s="5">
        <v>-176302.37</v>
      </c>
      <c r="H50" t="s">
        <v>1848</v>
      </c>
    </row>
    <row r="51" spans="1:8" x14ac:dyDescent="0.3">
      <c r="A51" s="7">
        <v>45625</v>
      </c>
      <c r="B51" s="7">
        <v>45625</v>
      </c>
      <c r="C51" t="s">
        <v>776</v>
      </c>
      <c r="D51" t="s">
        <v>777</v>
      </c>
      <c r="E51">
        <v>0</v>
      </c>
      <c r="F51" s="5">
        <v>100000</v>
      </c>
      <c r="G51" s="5">
        <v>-76302.37</v>
      </c>
      <c r="H51" t="s">
        <v>372</v>
      </c>
    </row>
    <row r="52" spans="1:8" x14ac:dyDescent="0.3">
      <c r="A52" s="7">
        <v>45626</v>
      </c>
      <c r="B52" s="7">
        <v>45626</v>
      </c>
      <c r="C52" t="s">
        <v>754</v>
      </c>
      <c r="E52" s="5">
        <v>1084</v>
      </c>
      <c r="F52">
        <v>0</v>
      </c>
      <c r="G52" s="5">
        <v>-77386.37</v>
      </c>
      <c r="H52" t="s">
        <v>365</v>
      </c>
    </row>
    <row r="53" spans="1:8" x14ac:dyDescent="0.3">
      <c r="A53" s="7">
        <v>45628</v>
      </c>
      <c r="B53" s="7">
        <v>45628</v>
      </c>
      <c r="C53" t="s">
        <v>750</v>
      </c>
      <c r="D53" t="s">
        <v>751</v>
      </c>
      <c r="E53">
        <v>0</v>
      </c>
      <c r="F53" s="5">
        <v>26595</v>
      </c>
      <c r="G53" s="5">
        <v>-50791.37</v>
      </c>
      <c r="H53" t="s">
        <v>372</v>
      </c>
    </row>
    <row r="54" spans="1:8" x14ac:dyDescent="0.3">
      <c r="A54" s="7">
        <v>45634</v>
      </c>
      <c r="B54" s="7">
        <v>45634</v>
      </c>
      <c r="C54" t="s">
        <v>758</v>
      </c>
      <c r="D54" t="s">
        <v>778</v>
      </c>
      <c r="E54">
        <v>0</v>
      </c>
      <c r="F54" s="5">
        <v>25000</v>
      </c>
      <c r="G54" s="5">
        <v>-25791.37</v>
      </c>
      <c r="H54" t="s">
        <v>372</v>
      </c>
    </row>
    <row r="55" spans="1:8" x14ac:dyDescent="0.3">
      <c r="A55" s="7">
        <v>45646</v>
      </c>
      <c r="B55" s="7">
        <v>45646</v>
      </c>
      <c r="C55" t="s">
        <v>779</v>
      </c>
      <c r="D55" t="s">
        <v>780</v>
      </c>
      <c r="E55" s="5">
        <v>200000</v>
      </c>
      <c r="F55">
        <v>0</v>
      </c>
      <c r="G55" s="5">
        <v>-225791.37</v>
      </c>
      <c r="H55" t="s">
        <v>1850</v>
      </c>
    </row>
    <row r="56" spans="1:8" x14ac:dyDescent="0.3">
      <c r="A56" s="7">
        <v>45657</v>
      </c>
      <c r="B56" s="7">
        <v>45657</v>
      </c>
      <c r="C56" t="s">
        <v>754</v>
      </c>
      <c r="E56">
        <v>992</v>
      </c>
      <c r="F56">
        <v>0</v>
      </c>
      <c r="G56" s="5">
        <v>-226783.37</v>
      </c>
      <c r="H56" t="s">
        <v>365</v>
      </c>
    </row>
    <row r="57" spans="1:8" x14ac:dyDescent="0.3">
      <c r="A57" s="7">
        <v>45659</v>
      </c>
      <c r="B57" s="7">
        <v>45659</v>
      </c>
      <c r="C57" t="s">
        <v>781</v>
      </c>
      <c r="D57" t="s">
        <v>782</v>
      </c>
      <c r="E57">
        <v>0</v>
      </c>
      <c r="F57" s="5">
        <v>225000</v>
      </c>
      <c r="G57" s="5">
        <v>-1783.37</v>
      </c>
      <c r="H57" t="s">
        <v>1850</v>
      </c>
    </row>
    <row r="58" spans="1:8" x14ac:dyDescent="0.3">
      <c r="A58" s="7">
        <v>45676</v>
      </c>
      <c r="B58" s="7">
        <v>45676</v>
      </c>
      <c r="C58" t="s">
        <v>783</v>
      </c>
      <c r="D58" t="s">
        <v>784</v>
      </c>
      <c r="E58" s="5">
        <v>100000</v>
      </c>
      <c r="F58">
        <v>0</v>
      </c>
      <c r="G58" s="5">
        <v>-101783.37</v>
      </c>
      <c r="H58" t="s">
        <v>1848</v>
      </c>
    </row>
    <row r="59" spans="1:8" x14ac:dyDescent="0.3">
      <c r="A59" s="7">
        <v>45679</v>
      </c>
      <c r="B59" s="7">
        <v>45679</v>
      </c>
      <c r="C59" t="s">
        <v>758</v>
      </c>
      <c r="D59" t="s">
        <v>785</v>
      </c>
      <c r="E59">
        <v>0</v>
      </c>
      <c r="F59" s="5">
        <v>75000</v>
      </c>
      <c r="G59" s="5">
        <v>-26783.37</v>
      </c>
      <c r="H59" t="s">
        <v>372</v>
      </c>
    </row>
    <row r="60" spans="1:8" x14ac:dyDescent="0.3">
      <c r="A60" s="7">
        <v>45680</v>
      </c>
      <c r="B60" s="7">
        <v>45680</v>
      </c>
      <c r="C60" t="s">
        <v>750</v>
      </c>
      <c r="D60" t="s">
        <v>751</v>
      </c>
      <c r="E60">
        <v>0</v>
      </c>
      <c r="F60" s="5">
        <v>26595</v>
      </c>
      <c r="G60">
        <v>-188.37</v>
      </c>
      <c r="H60" t="s">
        <v>372</v>
      </c>
    </row>
    <row r="61" spans="1:8" x14ac:dyDescent="0.3">
      <c r="A61" s="7">
        <v>45680</v>
      </c>
      <c r="B61" s="7">
        <v>45680</v>
      </c>
      <c r="C61" t="s">
        <v>786</v>
      </c>
      <c r="D61" t="s">
        <v>787</v>
      </c>
      <c r="E61" s="5">
        <v>75000</v>
      </c>
      <c r="F61">
        <v>0</v>
      </c>
      <c r="G61" s="5">
        <v>-75188.37</v>
      </c>
      <c r="H61" t="s">
        <v>1851</v>
      </c>
    </row>
    <row r="62" spans="1:8" x14ac:dyDescent="0.3">
      <c r="A62" s="7">
        <v>45680</v>
      </c>
      <c r="B62" s="7">
        <v>45680</v>
      </c>
      <c r="C62" t="s">
        <v>748</v>
      </c>
      <c r="D62" t="s">
        <v>788</v>
      </c>
      <c r="E62" s="5">
        <v>30000</v>
      </c>
      <c r="F62">
        <v>0</v>
      </c>
      <c r="G62" s="5">
        <v>-105188.37</v>
      </c>
      <c r="H62" t="s">
        <v>372</v>
      </c>
    </row>
    <row r="63" spans="1:8" x14ac:dyDescent="0.3">
      <c r="A63" s="7">
        <v>45683</v>
      </c>
      <c r="B63" s="7">
        <v>45683</v>
      </c>
      <c r="C63" t="s">
        <v>789</v>
      </c>
      <c r="D63" t="s">
        <v>790</v>
      </c>
      <c r="E63" s="5">
        <v>100000</v>
      </c>
      <c r="F63">
        <v>0</v>
      </c>
      <c r="G63" s="5">
        <v>-205188.37</v>
      </c>
      <c r="H63" t="s">
        <v>1848</v>
      </c>
    </row>
    <row r="64" spans="1:8" x14ac:dyDescent="0.3">
      <c r="A64" s="7">
        <v>45688</v>
      </c>
      <c r="B64" s="7">
        <v>45688</v>
      </c>
      <c r="C64" t="s">
        <v>754</v>
      </c>
      <c r="E64">
        <v>623</v>
      </c>
      <c r="F64">
        <v>0</v>
      </c>
      <c r="G64" s="5">
        <v>-205811.37</v>
      </c>
      <c r="H64" t="s">
        <v>365</v>
      </c>
    </row>
    <row r="65" spans="1:8" x14ac:dyDescent="0.3">
      <c r="A65" s="7">
        <v>45701</v>
      </c>
      <c r="B65" s="7">
        <v>45701</v>
      </c>
      <c r="C65" t="s">
        <v>752</v>
      </c>
      <c r="D65" t="s">
        <v>791</v>
      </c>
      <c r="E65" s="5">
        <v>15000</v>
      </c>
      <c r="F65">
        <v>0</v>
      </c>
      <c r="G65" s="5">
        <v>-220811.37</v>
      </c>
      <c r="H65" t="s">
        <v>372</v>
      </c>
    </row>
    <row r="66" spans="1:8" x14ac:dyDescent="0.3">
      <c r="A66" s="7">
        <v>45701</v>
      </c>
      <c r="B66" s="7">
        <v>45701</v>
      </c>
      <c r="C66" t="s">
        <v>792</v>
      </c>
      <c r="D66" t="s">
        <v>793</v>
      </c>
      <c r="E66" s="5">
        <v>100000</v>
      </c>
      <c r="F66">
        <v>0</v>
      </c>
      <c r="G66" s="5">
        <v>-320811.37</v>
      </c>
      <c r="H66" t="s">
        <v>1850</v>
      </c>
    </row>
    <row r="67" spans="1:8" x14ac:dyDescent="0.3">
      <c r="A67" s="7">
        <v>45702</v>
      </c>
      <c r="B67" s="7">
        <v>45702</v>
      </c>
      <c r="C67" t="s">
        <v>750</v>
      </c>
      <c r="D67" t="s">
        <v>751</v>
      </c>
      <c r="E67">
        <v>0</v>
      </c>
      <c r="F67" s="5">
        <v>26595</v>
      </c>
      <c r="G67" s="5">
        <v>-294216.37</v>
      </c>
      <c r="H67" t="s">
        <v>372</v>
      </c>
    </row>
    <row r="68" spans="1:8" x14ac:dyDescent="0.3">
      <c r="A68" s="7">
        <v>45702</v>
      </c>
      <c r="B68" s="7">
        <v>45702</v>
      </c>
      <c r="C68" t="s">
        <v>758</v>
      </c>
      <c r="D68" t="s">
        <v>794</v>
      </c>
      <c r="E68">
        <v>0</v>
      </c>
      <c r="F68" s="5">
        <v>175000</v>
      </c>
      <c r="G68" s="5">
        <v>-119216.37</v>
      </c>
      <c r="H68" t="s">
        <v>372</v>
      </c>
    </row>
    <row r="69" spans="1:8" x14ac:dyDescent="0.3">
      <c r="A69" s="7">
        <v>45708</v>
      </c>
      <c r="B69" s="7">
        <v>45708</v>
      </c>
      <c r="C69" t="s">
        <v>795</v>
      </c>
      <c r="D69" t="s">
        <v>796</v>
      </c>
      <c r="E69" s="5">
        <v>100000</v>
      </c>
      <c r="F69">
        <v>0</v>
      </c>
      <c r="G69" s="5">
        <v>-219216.37</v>
      </c>
      <c r="H69" t="s">
        <v>1852</v>
      </c>
    </row>
    <row r="70" spans="1:8" x14ac:dyDescent="0.3">
      <c r="A70" s="7">
        <v>45711</v>
      </c>
      <c r="B70" s="7">
        <v>45711</v>
      </c>
      <c r="C70" t="s">
        <v>797</v>
      </c>
      <c r="D70" t="s">
        <v>798</v>
      </c>
      <c r="E70" s="5">
        <v>50000</v>
      </c>
      <c r="F70">
        <v>0</v>
      </c>
      <c r="G70" s="5">
        <v>-269216.37</v>
      </c>
      <c r="H70" t="s">
        <v>372</v>
      </c>
    </row>
    <row r="71" spans="1:8" x14ac:dyDescent="0.3">
      <c r="A71" s="7">
        <v>45716</v>
      </c>
      <c r="B71" s="7">
        <v>45716</v>
      </c>
      <c r="C71" t="s">
        <v>754</v>
      </c>
      <c r="E71" s="5">
        <v>1686</v>
      </c>
      <c r="F71">
        <v>0</v>
      </c>
      <c r="G71" s="5">
        <v>-270902.37</v>
      </c>
      <c r="H71" t="s">
        <v>365</v>
      </c>
    </row>
    <row r="72" spans="1:8" x14ac:dyDescent="0.3">
      <c r="A72" s="7">
        <v>45718</v>
      </c>
      <c r="B72" s="7">
        <v>45718</v>
      </c>
      <c r="C72" t="s">
        <v>750</v>
      </c>
      <c r="D72" t="s">
        <v>751</v>
      </c>
      <c r="E72">
        <v>0</v>
      </c>
      <c r="F72" s="5">
        <v>26595</v>
      </c>
      <c r="G72" s="5">
        <v>-244307.37</v>
      </c>
      <c r="H72" t="s">
        <v>372</v>
      </c>
    </row>
    <row r="73" spans="1:8" x14ac:dyDescent="0.3">
      <c r="A73" s="7">
        <v>45718</v>
      </c>
      <c r="B73" s="7">
        <v>45718</v>
      </c>
      <c r="C73" t="s">
        <v>799</v>
      </c>
      <c r="D73" t="s">
        <v>800</v>
      </c>
      <c r="E73" s="5">
        <v>100000</v>
      </c>
      <c r="F73">
        <v>0</v>
      </c>
      <c r="G73" s="5">
        <v>-344307.37</v>
      </c>
      <c r="H73" t="s">
        <v>1850</v>
      </c>
    </row>
    <row r="74" spans="1:8" x14ac:dyDescent="0.3">
      <c r="A74" s="7">
        <v>45721</v>
      </c>
      <c r="B74" s="7">
        <v>45721</v>
      </c>
      <c r="C74" t="s">
        <v>801</v>
      </c>
      <c r="D74" t="s">
        <v>802</v>
      </c>
      <c r="E74" s="5">
        <v>150000</v>
      </c>
      <c r="F74">
        <v>0</v>
      </c>
      <c r="G74" s="5">
        <v>-494307.37</v>
      </c>
      <c r="H74" t="s">
        <v>1850</v>
      </c>
    </row>
    <row r="75" spans="1:8" x14ac:dyDescent="0.3">
      <c r="A75" s="7">
        <v>45724</v>
      </c>
      <c r="B75" s="7">
        <v>45724</v>
      </c>
      <c r="C75" t="s">
        <v>803</v>
      </c>
      <c r="D75" t="s">
        <v>804</v>
      </c>
      <c r="E75" s="5">
        <v>32000</v>
      </c>
      <c r="F75">
        <v>0</v>
      </c>
      <c r="G75" s="5">
        <v>-526307.37</v>
      </c>
      <c r="H75" t="s">
        <v>364</v>
      </c>
    </row>
    <row r="76" spans="1:8" x14ac:dyDescent="0.3">
      <c r="A76" s="7">
        <v>45731</v>
      </c>
      <c r="B76" s="7">
        <v>45731</v>
      </c>
      <c r="C76" t="s">
        <v>805</v>
      </c>
      <c r="D76" t="s">
        <v>806</v>
      </c>
      <c r="E76" s="5">
        <v>50000</v>
      </c>
      <c r="F76">
        <v>0</v>
      </c>
      <c r="G76" s="5">
        <v>-576307.37</v>
      </c>
      <c r="H76" t="s">
        <v>1850</v>
      </c>
    </row>
    <row r="77" spans="1:8" x14ac:dyDescent="0.3">
      <c r="A77" s="7">
        <v>45733</v>
      </c>
      <c r="B77" s="7">
        <v>45733</v>
      </c>
      <c r="C77" t="s">
        <v>752</v>
      </c>
      <c r="D77" t="s">
        <v>807</v>
      </c>
      <c r="E77" s="5">
        <v>30000</v>
      </c>
      <c r="F77">
        <v>0</v>
      </c>
      <c r="G77" s="5">
        <v>-606307.37</v>
      </c>
      <c r="H77" t="s">
        <v>372</v>
      </c>
    </row>
    <row r="78" spans="1:8" x14ac:dyDescent="0.3">
      <c r="A78" s="7">
        <v>45740</v>
      </c>
      <c r="B78" s="7">
        <v>45740</v>
      </c>
      <c r="C78" t="s">
        <v>758</v>
      </c>
      <c r="D78" t="s">
        <v>808</v>
      </c>
      <c r="E78">
        <v>0</v>
      </c>
      <c r="F78" s="5">
        <v>100000</v>
      </c>
      <c r="G78" s="5">
        <v>-506307.37</v>
      </c>
      <c r="H78" t="s">
        <v>372</v>
      </c>
    </row>
    <row r="79" spans="1:8" x14ac:dyDescent="0.3">
      <c r="A79" s="7">
        <v>45746</v>
      </c>
      <c r="B79" s="7">
        <v>45746</v>
      </c>
      <c r="C79" t="s">
        <v>752</v>
      </c>
      <c r="D79" t="s">
        <v>809</v>
      </c>
      <c r="E79" s="5">
        <v>25000</v>
      </c>
      <c r="F79">
        <v>0</v>
      </c>
      <c r="G79" s="5">
        <v>-531307.37</v>
      </c>
      <c r="H79" t="s">
        <v>372</v>
      </c>
    </row>
  </sheetData>
  <autoFilter ref="A19:H79" xr:uid="{ED92F680-DE47-4EBE-A721-174A74ECC92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5B84-D0E0-4953-8CD9-6B0828BEEF53}">
  <dimension ref="A1:J33"/>
  <sheetViews>
    <sheetView workbookViewId="0">
      <selection activeCell="J19" sqref="J19"/>
    </sheetView>
  </sheetViews>
  <sheetFormatPr defaultRowHeight="14.4" x14ac:dyDescent="0.3"/>
  <cols>
    <col min="2" max="2" width="15.44140625" bestFit="1" customWidth="1"/>
    <col min="3" max="3" width="47.77734375" bestFit="1" customWidth="1"/>
  </cols>
  <sheetData>
    <row r="1" spans="1:7" x14ac:dyDescent="0.3">
      <c r="A1" s="25" t="s">
        <v>687</v>
      </c>
      <c r="B1" s="25"/>
      <c r="C1" s="25"/>
      <c r="D1" s="25"/>
      <c r="E1" s="25"/>
      <c r="F1" s="25"/>
      <c r="G1" s="25"/>
    </row>
    <row r="2" spans="1:7" x14ac:dyDescent="0.3">
      <c r="A2" s="27" t="s">
        <v>688</v>
      </c>
      <c r="B2" s="28"/>
      <c r="C2" s="28"/>
      <c r="D2" s="28"/>
      <c r="E2" s="28"/>
      <c r="F2" s="28"/>
      <c r="G2" s="29"/>
    </row>
    <row r="3" spans="1:7" x14ac:dyDescent="0.3">
      <c r="A3" s="30"/>
      <c r="B3" s="31"/>
      <c r="C3" s="31"/>
      <c r="D3" s="31"/>
      <c r="E3" s="31"/>
      <c r="F3" s="31"/>
      <c r="G3" s="32"/>
    </row>
    <row r="4" spans="1:7" x14ac:dyDescent="0.3">
      <c r="A4" s="12"/>
      <c r="G4" s="13"/>
    </row>
    <row r="5" spans="1:7" x14ac:dyDescent="0.3">
      <c r="A5" s="33" t="s">
        <v>689</v>
      </c>
      <c r="B5" s="34"/>
      <c r="C5" s="34"/>
      <c r="D5" s="34"/>
      <c r="E5" s="34"/>
      <c r="F5" s="34"/>
      <c r="G5" s="35"/>
    </row>
    <row r="6" spans="1:7" x14ac:dyDescent="0.3">
      <c r="A6" s="12"/>
      <c r="G6" s="13"/>
    </row>
    <row r="7" spans="1:7" x14ac:dyDescent="0.3">
      <c r="A7" s="33" t="s">
        <v>690</v>
      </c>
      <c r="B7" s="34"/>
      <c r="C7" s="34"/>
      <c r="D7" s="34"/>
      <c r="E7" s="34"/>
      <c r="F7" s="34"/>
      <c r="G7" s="35"/>
    </row>
    <row r="8" spans="1:7" x14ac:dyDescent="0.3">
      <c r="A8" s="12"/>
      <c r="G8" s="13"/>
    </row>
    <row r="9" spans="1:7" x14ac:dyDescent="0.3">
      <c r="A9" s="36" t="s">
        <v>691</v>
      </c>
      <c r="B9" s="37"/>
      <c r="C9" s="37"/>
      <c r="D9" s="37"/>
      <c r="E9" s="37"/>
      <c r="F9" s="37"/>
      <c r="G9" s="38"/>
    </row>
    <row r="10" spans="1:7" x14ac:dyDescent="0.3">
      <c r="A10" s="36" t="s">
        <v>692</v>
      </c>
      <c r="B10" s="37"/>
      <c r="C10" s="37"/>
      <c r="D10" s="37"/>
      <c r="E10" s="37"/>
      <c r="F10" s="37"/>
      <c r="G10" s="38"/>
    </row>
    <row r="11" spans="1:7" x14ac:dyDescent="0.3">
      <c r="A11" s="36" t="s">
        <v>693</v>
      </c>
      <c r="B11" s="37"/>
      <c r="C11" s="37"/>
      <c r="D11" s="37"/>
      <c r="E11" s="37"/>
      <c r="F11" s="37"/>
      <c r="G11" s="38"/>
    </row>
    <row r="12" spans="1:7" x14ac:dyDescent="0.3">
      <c r="A12" s="36" t="s">
        <v>694</v>
      </c>
      <c r="B12" s="37"/>
      <c r="C12" s="37"/>
      <c r="D12" s="37"/>
      <c r="E12" s="37"/>
      <c r="F12" s="37"/>
      <c r="G12" s="38"/>
    </row>
    <row r="13" spans="1:7" x14ac:dyDescent="0.3">
      <c r="A13" s="36" t="s">
        <v>695</v>
      </c>
      <c r="B13" s="37"/>
      <c r="C13" s="37"/>
      <c r="D13" s="37"/>
      <c r="E13" s="37"/>
      <c r="F13" s="37"/>
      <c r="G13" s="38"/>
    </row>
    <row r="14" spans="1:7" x14ac:dyDescent="0.3">
      <c r="A14" s="12"/>
      <c r="G14" s="13"/>
    </row>
    <row r="15" spans="1:7" x14ac:dyDescent="0.3">
      <c r="A15" s="36" t="s">
        <v>696</v>
      </c>
      <c r="B15" s="37"/>
      <c r="C15" s="37"/>
      <c r="D15" s="37"/>
      <c r="E15" s="37"/>
      <c r="F15" s="37"/>
      <c r="G15" s="38"/>
    </row>
    <row r="16" spans="1:7" x14ac:dyDescent="0.3">
      <c r="A16" s="9"/>
      <c r="B16" s="10"/>
      <c r="C16" s="10"/>
      <c r="D16" s="10"/>
      <c r="E16" s="10"/>
      <c r="F16" s="10"/>
      <c r="G16" s="11"/>
    </row>
    <row r="17" spans="1:10" ht="28.8" x14ac:dyDescent="0.3">
      <c r="A17" s="14" t="s">
        <v>697</v>
      </c>
      <c r="B17" s="14" t="s">
        <v>698</v>
      </c>
      <c r="C17" s="14" t="s">
        <v>699</v>
      </c>
      <c r="D17" s="14" t="s">
        <v>700</v>
      </c>
      <c r="E17" s="14" t="s">
        <v>701</v>
      </c>
      <c r="F17" s="14" t="s">
        <v>702</v>
      </c>
      <c r="G17" s="14" t="s">
        <v>703</v>
      </c>
    </row>
    <row r="18" spans="1:10" x14ac:dyDescent="0.3">
      <c r="A18" s="12"/>
      <c r="G18" s="13"/>
    </row>
    <row r="19" spans="1:10" x14ac:dyDescent="0.3">
      <c r="A19" s="15">
        <v>1</v>
      </c>
      <c r="B19" s="16">
        <v>45418.331250000003</v>
      </c>
      <c r="C19" s="6" t="s">
        <v>704</v>
      </c>
      <c r="D19" s="15"/>
      <c r="E19" s="15" t="s">
        <v>5</v>
      </c>
      <c r="F19" s="15">
        <v>96</v>
      </c>
      <c r="G19" s="17">
        <v>15821</v>
      </c>
      <c r="H19" t="s">
        <v>370</v>
      </c>
      <c r="J19" s="5"/>
    </row>
    <row r="20" spans="1:10" x14ac:dyDescent="0.3">
      <c r="A20" s="15">
        <v>2</v>
      </c>
      <c r="B20" s="16">
        <v>45512.272222222222</v>
      </c>
      <c r="C20" s="6" t="s">
        <v>705</v>
      </c>
      <c r="D20" s="15"/>
      <c r="E20" s="15" t="s">
        <v>5</v>
      </c>
      <c r="F20" s="15">
        <v>113</v>
      </c>
      <c r="G20" s="17">
        <v>15934</v>
      </c>
      <c r="H20" t="s">
        <v>370</v>
      </c>
    </row>
    <row r="21" spans="1:10" x14ac:dyDescent="0.3">
      <c r="A21" s="15">
        <v>3</v>
      </c>
      <c r="B21" s="16">
        <v>45540.899305555555</v>
      </c>
      <c r="C21" s="6" t="s">
        <v>706</v>
      </c>
      <c r="D21" s="15"/>
      <c r="E21" s="15" t="s">
        <v>5</v>
      </c>
      <c r="F21" s="17">
        <v>1000</v>
      </c>
      <c r="G21" s="17">
        <v>16934</v>
      </c>
      <c r="H21" t="s">
        <v>1845</v>
      </c>
    </row>
    <row r="22" spans="1:10" x14ac:dyDescent="0.3">
      <c r="A22" s="15">
        <v>4</v>
      </c>
      <c r="B22" s="16">
        <v>45602.384722222225</v>
      </c>
      <c r="C22" s="6" t="s">
        <v>707</v>
      </c>
      <c r="D22" s="15"/>
      <c r="E22" s="15" t="s">
        <v>5</v>
      </c>
      <c r="F22" s="15">
        <v>111</v>
      </c>
      <c r="G22" s="17">
        <v>17045</v>
      </c>
      <c r="H22" t="s">
        <v>370</v>
      </c>
    </row>
    <row r="23" spans="1:10" x14ac:dyDescent="0.3">
      <c r="A23" s="15">
        <v>5</v>
      </c>
      <c r="B23" s="16">
        <v>45696.568055555559</v>
      </c>
      <c r="C23" s="6" t="s">
        <v>708</v>
      </c>
      <c r="D23" s="15"/>
      <c r="E23" s="15" t="s">
        <v>5</v>
      </c>
      <c r="F23" s="15">
        <v>118</v>
      </c>
      <c r="G23" s="17">
        <v>17163</v>
      </c>
      <c r="H23" t="s">
        <v>370</v>
      </c>
    </row>
    <row r="24" spans="1:10" x14ac:dyDescent="0.3">
      <c r="A24" s="15">
        <v>6</v>
      </c>
      <c r="B24" s="16">
        <v>45739.896527777775</v>
      </c>
      <c r="C24" s="6" t="s">
        <v>709</v>
      </c>
      <c r="D24" s="15"/>
      <c r="E24" s="15" t="s">
        <v>5</v>
      </c>
      <c r="F24" s="17">
        <v>1000</v>
      </c>
      <c r="G24" s="17">
        <v>18163</v>
      </c>
      <c r="H24" t="s">
        <v>1845</v>
      </c>
    </row>
    <row r="26" spans="1:10" x14ac:dyDescent="0.3">
      <c r="A26" s="26" t="s">
        <v>710</v>
      </c>
      <c r="B26" s="26"/>
      <c r="C26" s="26"/>
      <c r="D26" s="26"/>
      <c r="E26" s="26"/>
      <c r="F26" s="26"/>
      <c r="G26" s="26"/>
    </row>
    <row r="27" spans="1:10" x14ac:dyDescent="0.3">
      <c r="A27" s="26" t="s">
        <v>711</v>
      </c>
      <c r="B27" s="26"/>
      <c r="C27" s="26"/>
      <c r="D27" s="26"/>
      <c r="E27" s="26"/>
      <c r="F27" s="26"/>
      <c r="G27" s="26"/>
    </row>
    <row r="28" spans="1:10" x14ac:dyDescent="0.3">
      <c r="A28" s="26" t="s">
        <v>712</v>
      </c>
      <c r="B28" s="26"/>
      <c r="C28" s="26"/>
      <c r="D28" s="26"/>
      <c r="E28" s="26"/>
      <c r="F28" s="26"/>
      <c r="G28" s="26"/>
    </row>
    <row r="31" spans="1:10" x14ac:dyDescent="0.3">
      <c r="A31" s="39" t="s">
        <v>713</v>
      </c>
      <c r="B31" s="39"/>
      <c r="C31" s="39"/>
      <c r="D31" s="39"/>
      <c r="E31" s="39"/>
      <c r="F31" s="39"/>
      <c r="G31" s="39"/>
    </row>
    <row r="32" spans="1:10" x14ac:dyDescent="0.3">
      <c r="A32" s="18"/>
    </row>
    <row r="33" spans="1:7" x14ac:dyDescent="0.3">
      <c r="A33" s="40" t="s">
        <v>714</v>
      </c>
      <c r="B33" s="40"/>
      <c r="C33" s="40"/>
      <c r="D33" s="40"/>
      <c r="E33" s="40"/>
      <c r="F33" s="40"/>
      <c r="G33" s="40"/>
    </row>
  </sheetData>
  <mergeCells count="15">
    <mergeCell ref="A28:G28"/>
    <mergeCell ref="A31:G31"/>
    <mergeCell ref="A33:G33"/>
    <mergeCell ref="A12:G12"/>
    <mergeCell ref="A13:G13"/>
    <mergeCell ref="A15:G15"/>
    <mergeCell ref="A1:G1"/>
    <mergeCell ref="A26:G26"/>
    <mergeCell ref="A27:G27"/>
    <mergeCell ref="A2:G3"/>
    <mergeCell ref="A5:G5"/>
    <mergeCell ref="A7:G7"/>
    <mergeCell ref="A9:G9"/>
    <mergeCell ref="A10:G10"/>
    <mergeCell ref="A1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BD9F-FA91-49EB-8554-B56E805E8848}">
  <dimension ref="A1:J122"/>
  <sheetViews>
    <sheetView workbookViewId="0"/>
  </sheetViews>
  <sheetFormatPr defaultRowHeight="14.4" x14ac:dyDescent="0.3"/>
  <cols>
    <col min="1" max="2" width="9.88671875" bestFit="1" customWidth="1"/>
    <col min="3" max="3" width="47.21875" bestFit="1" customWidth="1"/>
    <col min="5" max="6" width="11.33203125" bestFit="1" customWidth="1"/>
    <col min="7" max="7" width="10.44140625" bestFit="1" customWidth="1"/>
    <col min="10" max="10" width="9.88671875" bestFit="1" customWidth="1"/>
  </cols>
  <sheetData>
    <row r="1" spans="1:2" x14ac:dyDescent="0.3">
      <c r="A1" t="s">
        <v>715</v>
      </c>
      <c r="B1" t="s">
        <v>716</v>
      </c>
    </row>
    <row r="2" spans="1:2" x14ac:dyDescent="0.3">
      <c r="A2" t="s">
        <v>717</v>
      </c>
      <c r="B2" t="s">
        <v>718</v>
      </c>
    </row>
    <row r="3" spans="1:2" x14ac:dyDescent="0.3">
      <c r="A3" t="s">
        <v>719</v>
      </c>
      <c r="B3" t="s">
        <v>720</v>
      </c>
    </row>
    <row r="4" spans="1:2" x14ac:dyDescent="0.3">
      <c r="A4" t="s">
        <v>719</v>
      </c>
      <c r="B4" t="s">
        <v>721</v>
      </c>
    </row>
    <row r="5" spans="1:2" x14ac:dyDescent="0.3">
      <c r="A5" t="s">
        <v>719</v>
      </c>
      <c r="B5" t="s">
        <v>722</v>
      </c>
    </row>
    <row r="6" spans="1:2" x14ac:dyDescent="0.3">
      <c r="A6" t="s">
        <v>723</v>
      </c>
      <c r="B6" s="7">
        <v>45747</v>
      </c>
    </row>
    <row r="7" spans="1:2" x14ac:dyDescent="0.3">
      <c r="A7" t="s">
        <v>724</v>
      </c>
      <c r="B7" t="s">
        <v>1730</v>
      </c>
    </row>
    <row r="8" spans="1:2" x14ac:dyDescent="0.3">
      <c r="A8" t="s">
        <v>726</v>
      </c>
      <c r="B8" t="s">
        <v>1731</v>
      </c>
    </row>
    <row r="9" spans="1:2" x14ac:dyDescent="0.3">
      <c r="A9" t="s">
        <v>728</v>
      </c>
      <c r="B9" t="s">
        <v>729</v>
      </c>
    </row>
    <row r="10" spans="1:2" x14ac:dyDescent="0.3">
      <c r="A10" t="s">
        <v>730</v>
      </c>
      <c r="B10">
        <v>0</v>
      </c>
    </row>
    <row r="11" spans="1:2" x14ac:dyDescent="0.3">
      <c r="A11" t="s">
        <v>731</v>
      </c>
      <c r="B11">
        <v>2.7</v>
      </c>
    </row>
    <row r="12" spans="1:2" x14ac:dyDescent="0.3">
      <c r="A12" t="s">
        <v>1718</v>
      </c>
      <c r="B12">
        <v>0</v>
      </c>
    </row>
    <row r="13" spans="1:2" x14ac:dyDescent="0.3">
      <c r="A13" t="s">
        <v>732</v>
      </c>
      <c r="B13" t="s">
        <v>733</v>
      </c>
    </row>
    <row r="14" spans="1:2" x14ac:dyDescent="0.3">
      <c r="A14" t="s">
        <v>734</v>
      </c>
      <c r="B14" t="s">
        <v>735</v>
      </c>
    </row>
    <row r="15" spans="1:2" x14ac:dyDescent="0.3">
      <c r="A15" t="s">
        <v>1720</v>
      </c>
    </row>
    <row r="16" spans="1:2" x14ac:dyDescent="0.3">
      <c r="A16" t="s">
        <v>736</v>
      </c>
      <c r="B16" t="s">
        <v>737</v>
      </c>
    </row>
    <row r="17" spans="1:10" x14ac:dyDescent="0.3">
      <c r="A17" t="s">
        <v>738</v>
      </c>
      <c r="B17" t="s">
        <v>1732</v>
      </c>
    </row>
    <row r="18" spans="1:10" x14ac:dyDescent="0.3">
      <c r="A18" t="s">
        <v>740</v>
      </c>
      <c r="B18" s="5">
        <v>68703.28</v>
      </c>
    </row>
    <row r="19" spans="1:10" x14ac:dyDescent="0.3">
      <c r="A19" t="s">
        <v>741</v>
      </c>
      <c r="B19" s="7">
        <v>45383</v>
      </c>
    </row>
    <row r="20" spans="1:10" x14ac:dyDescent="0.3">
      <c r="A20" t="s">
        <v>742</v>
      </c>
      <c r="B20" s="7">
        <v>45747</v>
      </c>
    </row>
    <row r="21" spans="1:10" x14ac:dyDescent="0.3">
      <c r="A21" t="s">
        <v>698</v>
      </c>
      <c r="B21" t="s">
        <v>743</v>
      </c>
      <c r="C21" t="s">
        <v>699</v>
      </c>
      <c r="D21" t="s">
        <v>744</v>
      </c>
      <c r="E21" t="s">
        <v>745</v>
      </c>
      <c r="F21" t="s">
        <v>746</v>
      </c>
      <c r="G21" t="s">
        <v>747</v>
      </c>
      <c r="H21" t="s">
        <v>119</v>
      </c>
    </row>
    <row r="22" spans="1:10" x14ac:dyDescent="0.3">
      <c r="A22" s="7">
        <v>45383</v>
      </c>
      <c r="B22" s="7">
        <v>45383</v>
      </c>
      <c r="C22" t="s">
        <v>1727</v>
      </c>
      <c r="D22" t="s">
        <v>1733</v>
      </c>
      <c r="E22" s="2">
        <v>0</v>
      </c>
      <c r="F22" s="2">
        <v>27000</v>
      </c>
      <c r="G22" s="5">
        <v>95703.28</v>
      </c>
      <c r="H22" t="s">
        <v>372</v>
      </c>
      <c r="J22" s="24">
        <f>G22-F22</f>
        <v>68703.28</v>
      </c>
    </row>
    <row r="23" spans="1:10" x14ac:dyDescent="0.3">
      <c r="A23" s="7">
        <v>45384</v>
      </c>
      <c r="B23" s="7">
        <v>45384</v>
      </c>
      <c r="C23" t="s">
        <v>1734</v>
      </c>
      <c r="D23" t="s">
        <v>1735</v>
      </c>
      <c r="E23" s="2">
        <v>26595</v>
      </c>
      <c r="F23" s="2">
        <v>0</v>
      </c>
      <c r="G23" s="5">
        <v>69108.28</v>
      </c>
      <c r="H23" t="s">
        <v>372</v>
      </c>
    </row>
    <row r="24" spans="1:10" x14ac:dyDescent="0.3">
      <c r="A24" s="7">
        <v>45386</v>
      </c>
      <c r="B24" s="7">
        <v>45386</v>
      </c>
      <c r="C24" t="s">
        <v>1736</v>
      </c>
      <c r="D24" t="s">
        <v>1737</v>
      </c>
      <c r="E24" s="2">
        <v>11983.88</v>
      </c>
      <c r="F24" s="2">
        <v>0</v>
      </c>
      <c r="G24" s="5">
        <v>57124.4</v>
      </c>
      <c r="H24" t="s">
        <v>1847</v>
      </c>
    </row>
    <row r="25" spans="1:10" x14ac:dyDescent="0.3">
      <c r="A25" s="7">
        <v>45387</v>
      </c>
      <c r="B25" s="7">
        <v>45387</v>
      </c>
      <c r="C25" t="s">
        <v>1738</v>
      </c>
      <c r="D25" t="s">
        <v>1739</v>
      </c>
      <c r="E25" s="2">
        <v>24.78</v>
      </c>
      <c r="F25" s="2">
        <v>0</v>
      </c>
      <c r="G25" s="5">
        <v>57099.62</v>
      </c>
      <c r="H25" t="s">
        <v>1844</v>
      </c>
    </row>
    <row r="26" spans="1:10" x14ac:dyDescent="0.3">
      <c r="A26" s="7">
        <v>45392</v>
      </c>
      <c r="B26" s="7">
        <v>45392</v>
      </c>
      <c r="C26" t="s">
        <v>1740</v>
      </c>
      <c r="D26" t="s">
        <v>1741</v>
      </c>
      <c r="E26" s="2">
        <v>0</v>
      </c>
      <c r="F26" s="2">
        <v>42627.03</v>
      </c>
      <c r="G26" s="5">
        <v>99726.65</v>
      </c>
      <c r="H26" t="s">
        <v>1887</v>
      </c>
    </row>
    <row r="27" spans="1:10" x14ac:dyDescent="0.3">
      <c r="A27" s="7">
        <v>45400</v>
      </c>
      <c r="B27" s="7">
        <v>45400</v>
      </c>
      <c r="C27" t="s">
        <v>1740</v>
      </c>
      <c r="D27" t="s">
        <v>1742</v>
      </c>
      <c r="E27" s="2">
        <v>0</v>
      </c>
      <c r="F27" s="2">
        <v>24987.7</v>
      </c>
      <c r="G27" s="5">
        <v>124714.35</v>
      </c>
      <c r="H27" t="s">
        <v>1887</v>
      </c>
    </row>
    <row r="28" spans="1:10" x14ac:dyDescent="0.3">
      <c r="A28" s="7">
        <v>45405</v>
      </c>
      <c r="B28" s="7">
        <v>45405</v>
      </c>
      <c r="C28" t="s">
        <v>1740</v>
      </c>
      <c r="D28" t="s">
        <v>1743</v>
      </c>
      <c r="E28" s="2">
        <v>0</v>
      </c>
      <c r="F28" s="2">
        <v>81140.06</v>
      </c>
      <c r="G28" s="5">
        <v>205854.41</v>
      </c>
      <c r="H28" t="s">
        <v>1887</v>
      </c>
    </row>
    <row r="29" spans="1:10" x14ac:dyDescent="0.3">
      <c r="A29" s="7">
        <v>45406</v>
      </c>
      <c r="B29" s="7">
        <v>45406</v>
      </c>
      <c r="C29" t="s">
        <v>1744</v>
      </c>
      <c r="D29" t="s">
        <v>1745</v>
      </c>
      <c r="E29" s="2">
        <v>176020</v>
      </c>
      <c r="F29" s="2">
        <v>0</v>
      </c>
      <c r="G29" s="5">
        <v>29834.41</v>
      </c>
      <c r="H29" t="s">
        <v>1838</v>
      </c>
    </row>
    <row r="30" spans="1:10" x14ac:dyDescent="0.3">
      <c r="A30" s="7">
        <v>45406</v>
      </c>
      <c r="B30" s="7">
        <v>45406</v>
      </c>
      <c r="C30" t="s">
        <v>1740</v>
      </c>
      <c r="D30" t="s">
        <v>1746</v>
      </c>
      <c r="E30" s="2">
        <v>0</v>
      </c>
      <c r="F30" s="2">
        <v>37561.99</v>
      </c>
      <c r="G30" s="5">
        <v>67396.399999999994</v>
      </c>
      <c r="H30" t="s">
        <v>1887</v>
      </c>
    </row>
    <row r="31" spans="1:10" x14ac:dyDescent="0.3">
      <c r="A31" s="7">
        <v>45409</v>
      </c>
      <c r="B31" s="7">
        <v>45409</v>
      </c>
      <c r="C31" t="s">
        <v>752</v>
      </c>
      <c r="D31" t="s">
        <v>1747</v>
      </c>
      <c r="E31" s="2">
        <v>400</v>
      </c>
      <c r="F31" s="2">
        <v>0</v>
      </c>
      <c r="G31" s="5">
        <v>66996.399999999994</v>
      </c>
      <c r="H31" t="s">
        <v>1844</v>
      </c>
    </row>
    <row r="32" spans="1:10" x14ac:dyDescent="0.3">
      <c r="A32" s="7">
        <v>45412</v>
      </c>
      <c r="B32" s="7">
        <v>45412</v>
      </c>
      <c r="C32" t="s">
        <v>758</v>
      </c>
      <c r="D32" t="s">
        <v>1748</v>
      </c>
      <c r="E32" s="2">
        <v>0</v>
      </c>
      <c r="F32" s="2">
        <v>27000</v>
      </c>
      <c r="G32" s="5">
        <v>93996.4</v>
      </c>
      <c r="H32" t="s">
        <v>372</v>
      </c>
    </row>
    <row r="33" spans="1:8" x14ac:dyDescent="0.3">
      <c r="A33" s="7">
        <v>45412</v>
      </c>
      <c r="B33" s="7">
        <v>45412</v>
      </c>
      <c r="C33" t="s">
        <v>1749</v>
      </c>
      <c r="D33" t="s">
        <v>1750</v>
      </c>
      <c r="E33" s="2">
        <v>50000</v>
      </c>
      <c r="F33" s="2">
        <v>0</v>
      </c>
      <c r="G33" s="5">
        <v>43996.4</v>
      </c>
      <c r="H33" t="s">
        <v>1848</v>
      </c>
    </row>
    <row r="34" spans="1:8" x14ac:dyDescent="0.3">
      <c r="A34" s="7">
        <v>45412</v>
      </c>
      <c r="B34" s="7">
        <v>45412</v>
      </c>
      <c r="C34" t="s">
        <v>1740</v>
      </c>
      <c r="D34" t="s">
        <v>1751</v>
      </c>
      <c r="E34" s="2">
        <v>0</v>
      </c>
      <c r="F34" s="2">
        <v>33378.32</v>
      </c>
      <c r="G34" s="5">
        <v>77374.720000000001</v>
      </c>
      <c r="H34" t="s">
        <v>1887</v>
      </c>
    </row>
    <row r="35" spans="1:8" x14ac:dyDescent="0.3">
      <c r="A35" s="7">
        <v>45414</v>
      </c>
      <c r="B35" s="7">
        <v>45414</v>
      </c>
      <c r="C35" t="s">
        <v>1734</v>
      </c>
      <c r="D35" t="s">
        <v>1735</v>
      </c>
      <c r="E35" s="2">
        <v>26595</v>
      </c>
      <c r="F35" s="2">
        <v>0</v>
      </c>
      <c r="G35" s="5">
        <v>50779.72</v>
      </c>
      <c r="H35" t="s">
        <v>372</v>
      </c>
    </row>
    <row r="36" spans="1:8" x14ac:dyDescent="0.3">
      <c r="A36" s="7">
        <v>45415</v>
      </c>
      <c r="B36" s="7">
        <v>45415</v>
      </c>
      <c r="C36" t="s">
        <v>1752</v>
      </c>
      <c r="E36" s="2">
        <v>2000</v>
      </c>
      <c r="F36" s="2">
        <v>0</v>
      </c>
      <c r="G36" s="5">
        <v>48779.72</v>
      </c>
      <c r="H36" t="s">
        <v>366</v>
      </c>
    </row>
    <row r="37" spans="1:8" x14ac:dyDescent="0.3">
      <c r="A37" s="7">
        <v>45433</v>
      </c>
      <c r="B37" s="7">
        <v>45433</v>
      </c>
      <c r="C37" t="s">
        <v>1753</v>
      </c>
      <c r="D37" t="s">
        <v>1754</v>
      </c>
      <c r="E37" s="2">
        <v>1857.65</v>
      </c>
      <c r="F37" s="2">
        <v>0</v>
      </c>
      <c r="G37" s="5">
        <v>46922.07</v>
      </c>
      <c r="H37" t="s">
        <v>1839</v>
      </c>
    </row>
    <row r="38" spans="1:8" x14ac:dyDescent="0.3">
      <c r="A38" s="7">
        <v>45440</v>
      </c>
      <c r="B38" s="7">
        <v>45440</v>
      </c>
      <c r="C38" t="s">
        <v>1740</v>
      </c>
      <c r="D38" t="s">
        <v>1755</v>
      </c>
      <c r="E38" s="2">
        <v>0</v>
      </c>
      <c r="F38" s="2">
        <v>29639.02</v>
      </c>
      <c r="G38" s="5">
        <v>76561.09</v>
      </c>
      <c r="H38" t="s">
        <v>1887</v>
      </c>
    </row>
    <row r="39" spans="1:8" x14ac:dyDescent="0.3">
      <c r="A39" s="7">
        <v>45441</v>
      </c>
      <c r="B39" s="7">
        <v>45441</v>
      </c>
      <c r="C39" t="s">
        <v>1740</v>
      </c>
      <c r="D39" t="s">
        <v>1756</v>
      </c>
      <c r="E39" s="2">
        <v>0</v>
      </c>
      <c r="F39" s="2">
        <v>31171.49</v>
      </c>
      <c r="G39" s="5">
        <v>107732.58</v>
      </c>
      <c r="H39" t="s">
        <v>1887</v>
      </c>
    </row>
    <row r="40" spans="1:8" x14ac:dyDescent="0.3">
      <c r="A40" s="7">
        <v>45444</v>
      </c>
      <c r="B40" s="7">
        <v>45444</v>
      </c>
      <c r="C40" t="s">
        <v>758</v>
      </c>
      <c r="D40" t="s">
        <v>1757</v>
      </c>
      <c r="E40" s="2">
        <v>0</v>
      </c>
      <c r="F40" s="2">
        <v>27000</v>
      </c>
      <c r="G40" s="5">
        <v>134732.57999999999</v>
      </c>
      <c r="H40" t="s">
        <v>372</v>
      </c>
    </row>
    <row r="41" spans="1:8" x14ac:dyDescent="0.3">
      <c r="A41" s="7">
        <v>45444</v>
      </c>
      <c r="B41" s="7">
        <v>45444</v>
      </c>
      <c r="C41" t="s">
        <v>1758</v>
      </c>
      <c r="D41" t="s">
        <v>1759</v>
      </c>
      <c r="E41" s="2">
        <v>75000</v>
      </c>
      <c r="F41" s="2">
        <v>0</v>
      </c>
      <c r="G41" s="5">
        <v>59732.58</v>
      </c>
      <c r="H41" t="s">
        <v>1850</v>
      </c>
    </row>
    <row r="42" spans="1:8" x14ac:dyDescent="0.3">
      <c r="A42" s="7">
        <v>45445</v>
      </c>
      <c r="B42" s="7">
        <v>45445</v>
      </c>
      <c r="C42" t="s">
        <v>1734</v>
      </c>
      <c r="D42" t="s">
        <v>1735</v>
      </c>
      <c r="E42" s="2">
        <v>26595</v>
      </c>
      <c r="F42" s="2">
        <v>0</v>
      </c>
      <c r="G42" s="5">
        <v>33137.58</v>
      </c>
      <c r="H42" t="s">
        <v>372</v>
      </c>
    </row>
    <row r="43" spans="1:8" x14ac:dyDescent="0.3">
      <c r="A43" s="7">
        <v>45452</v>
      </c>
      <c r="B43" s="7">
        <v>45452</v>
      </c>
      <c r="C43" t="s">
        <v>1744</v>
      </c>
      <c r="D43" t="s">
        <v>1760</v>
      </c>
      <c r="E43" s="2">
        <v>1510</v>
      </c>
      <c r="F43" s="2">
        <v>0</v>
      </c>
      <c r="G43" s="5">
        <v>31627.58</v>
      </c>
      <c r="H43" t="s">
        <v>1838</v>
      </c>
    </row>
    <row r="44" spans="1:8" x14ac:dyDescent="0.3">
      <c r="A44" s="7">
        <v>45456</v>
      </c>
      <c r="B44" s="7">
        <v>45456</v>
      </c>
      <c r="C44" t="s">
        <v>1740</v>
      </c>
      <c r="D44" t="s">
        <v>1761</v>
      </c>
      <c r="E44" s="2">
        <v>0</v>
      </c>
      <c r="F44" s="2">
        <v>22932.639999999999</v>
      </c>
      <c r="G44" s="5">
        <v>54560.22</v>
      </c>
      <c r="H44" t="s">
        <v>1887</v>
      </c>
    </row>
    <row r="45" spans="1:8" x14ac:dyDescent="0.3">
      <c r="A45" s="7">
        <v>45462</v>
      </c>
      <c r="B45" s="7">
        <v>45462</v>
      </c>
      <c r="C45" t="s">
        <v>1740</v>
      </c>
      <c r="D45" t="s">
        <v>1762</v>
      </c>
      <c r="E45" s="2">
        <v>0</v>
      </c>
      <c r="F45" s="2">
        <v>34484.32</v>
      </c>
      <c r="G45" s="5">
        <v>89044.54</v>
      </c>
      <c r="H45" t="s">
        <v>1887</v>
      </c>
    </row>
    <row r="46" spans="1:8" x14ac:dyDescent="0.3">
      <c r="A46" s="7">
        <v>45462</v>
      </c>
      <c r="B46" s="7">
        <v>45462</v>
      </c>
      <c r="C46" t="s">
        <v>1736</v>
      </c>
      <c r="D46" t="s">
        <v>1737</v>
      </c>
      <c r="E46" s="2">
        <v>71442.69</v>
      </c>
      <c r="F46" s="2">
        <v>0</v>
      </c>
      <c r="G46" s="5">
        <v>17601.849999999999</v>
      </c>
      <c r="H46" t="s">
        <v>1847</v>
      </c>
    </row>
    <row r="47" spans="1:8" x14ac:dyDescent="0.3">
      <c r="A47" s="7">
        <v>45463</v>
      </c>
      <c r="B47" s="7">
        <v>45463</v>
      </c>
      <c r="C47" t="s">
        <v>1740</v>
      </c>
      <c r="D47" t="s">
        <v>1763</v>
      </c>
      <c r="E47" s="2">
        <v>0</v>
      </c>
      <c r="F47" s="2">
        <v>349.44</v>
      </c>
      <c r="G47" s="5">
        <v>17951.29</v>
      </c>
      <c r="H47" t="s">
        <v>1887</v>
      </c>
    </row>
    <row r="48" spans="1:8" x14ac:dyDescent="0.3">
      <c r="A48" s="7">
        <v>45467</v>
      </c>
      <c r="B48" s="7">
        <v>45467</v>
      </c>
      <c r="C48" t="s">
        <v>1736</v>
      </c>
      <c r="D48" t="s">
        <v>1737</v>
      </c>
      <c r="E48" s="2">
        <v>2931.19</v>
      </c>
      <c r="F48" s="2">
        <v>0</v>
      </c>
      <c r="G48" s="5">
        <v>15020.1</v>
      </c>
      <c r="H48" t="s">
        <v>1847</v>
      </c>
    </row>
    <row r="49" spans="1:8" x14ac:dyDescent="0.3">
      <c r="A49" s="7">
        <v>45468</v>
      </c>
      <c r="B49" s="7">
        <v>45468</v>
      </c>
      <c r="C49" t="s">
        <v>1729</v>
      </c>
      <c r="E49" s="2">
        <v>0</v>
      </c>
      <c r="F49" s="2">
        <v>420</v>
      </c>
      <c r="G49" s="5">
        <v>15440.1</v>
      </c>
      <c r="H49" t="s">
        <v>370</v>
      </c>
    </row>
    <row r="50" spans="1:8" x14ac:dyDescent="0.3">
      <c r="A50" s="7">
        <v>45469</v>
      </c>
      <c r="B50" s="7">
        <v>45469</v>
      </c>
      <c r="C50" t="s">
        <v>1740</v>
      </c>
      <c r="D50" t="s">
        <v>1764</v>
      </c>
      <c r="E50" s="2">
        <v>0</v>
      </c>
      <c r="F50" s="2">
        <v>52647.32</v>
      </c>
      <c r="G50" s="5">
        <v>68087.42</v>
      </c>
      <c r="H50" t="s">
        <v>1887</v>
      </c>
    </row>
    <row r="51" spans="1:8" x14ac:dyDescent="0.3">
      <c r="A51" s="7">
        <v>45469</v>
      </c>
      <c r="B51" s="7">
        <v>45469</v>
      </c>
      <c r="C51" t="s">
        <v>1765</v>
      </c>
      <c r="E51" s="2">
        <v>0</v>
      </c>
      <c r="F51" s="2">
        <v>400</v>
      </c>
      <c r="G51" s="5">
        <v>68487.42</v>
      </c>
      <c r="H51" t="s">
        <v>367</v>
      </c>
    </row>
    <row r="52" spans="1:8" x14ac:dyDescent="0.3">
      <c r="A52" s="7">
        <v>45469</v>
      </c>
      <c r="B52" s="7">
        <v>45469</v>
      </c>
      <c r="C52" t="s">
        <v>752</v>
      </c>
      <c r="D52" t="s">
        <v>1766</v>
      </c>
      <c r="E52" s="2">
        <v>65000</v>
      </c>
      <c r="F52" s="2">
        <v>0</v>
      </c>
      <c r="G52" s="5">
        <v>3487.42</v>
      </c>
      <c r="H52" t="s">
        <v>372</v>
      </c>
    </row>
    <row r="53" spans="1:8" x14ac:dyDescent="0.3">
      <c r="A53" s="7">
        <v>45469</v>
      </c>
      <c r="B53" s="7">
        <v>45469</v>
      </c>
      <c r="C53" t="s">
        <v>1740</v>
      </c>
      <c r="D53" t="s">
        <v>1767</v>
      </c>
      <c r="E53" s="2">
        <v>0</v>
      </c>
      <c r="F53" s="2">
        <v>76467.960000000006</v>
      </c>
      <c r="G53" s="5">
        <v>79955.38</v>
      </c>
      <c r="H53" t="s">
        <v>1887</v>
      </c>
    </row>
    <row r="54" spans="1:8" x14ac:dyDescent="0.3">
      <c r="A54" s="7">
        <v>45469</v>
      </c>
      <c r="B54" s="7">
        <v>45469</v>
      </c>
      <c r="C54" t="s">
        <v>752</v>
      </c>
      <c r="D54" t="s">
        <v>1768</v>
      </c>
      <c r="E54" s="2">
        <v>59000</v>
      </c>
      <c r="F54" s="2">
        <v>0</v>
      </c>
      <c r="G54" s="5">
        <v>20955.38</v>
      </c>
      <c r="H54" t="s">
        <v>372</v>
      </c>
    </row>
    <row r="55" spans="1:8" x14ac:dyDescent="0.3">
      <c r="A55" s="7">
        <v>45470</v>
      </c>
      <c r="B55" s="7">
        <v>45470</v>
      </c>
      <c r="C55" t="s">
        <v>1740</v>
      </c>
      <c r="D55" t="s">
        <v>1769</v>
      </c>
      <c r="E55" s="2">
        <v>0</v>
      </c>
      <c r="F55" s="2">
        <v>366</v>
      </c>
      <c r="G55" s="5">
        <v>21321.38</v>
      </c>
      <c r="H55" t="s">
        <v>1887</v>
      </c>
    </row>
    <row r="56" spans="1:8" x14ac:dyDescent="0.3">
      <c r="A56" s="7">
        <v>45474</v>
      </c>
      <c r="B56" s="7">
        <v>45474</v>
      </c>
      <c r="C56" t="s">
        <v>1770</v>
      </c>
      <c r="E56" s="2">
        <v>0</v>
      </c>
      <c r="F56" s="2">
        <v>700</v>
      </c>
      <c r="G56" s="5">
        <v>22021.38</v>
      </c>
      <c r="H56" t="s">
        <v>367</v>
      </c>
    </row>
    <row r="57" spans="1:8" x14ac:dyDescent="0.3">
      <c r="A57" s="7">
        <v>45474</v>
      </c>
      <c r="B57" s="7">
        <v>45474</v>
      </c>
      <c r="C57" t="s">
        <v>1771</v>
      </c>
      <c r="E57" s="2">
        <v>2000</v>
      </c>
      <c r="F57" s="2">
        <v>0</v>
      </c>
      <c r="G57" s="5">
        <v>20021.38</v>
      </c>
      <c r="H57" t="s">
        <v>366</v>
      </c>
    </row>
    <row r="58" spans="1:8" x14ac:dyDescent="0.3">
      <c r="A58" s="7">
        <v>45474</v>
      </c>
      <c r="B58" s="7">
        <v>45474</v>
      </c>
      <c r="C58" t="s">
        <v>1727</v>
      </c>
      <c r="D58" t="s">
        <v>1772</v>
      </c>
      <c r="E58" s="2">
        <v>0</v>
      </c>
      <c r="F58" s="2">
        <v>150000</v>
      </c>
      <c r="G58" s="5">
        <v>170021.38</v>
      </c>
      <c r="H58" t="s">
        <v>372</v>
      </c>
    </row>
    <row r="59" spans="1:8" x14ac:dyDescent="0.3">
      <c r="A59" s="7">
        <v>45475</v>
      </c>
      <c r="B59" s="7">
        <v>45475</v>
      </c>
      <c r="C59" t="s">
        <v>1740</v>
      </c>
      <c r="D59" t="s">
        <v>1773</v>
      </c>
      <c r="E59" s="2">
        <v>0</v>
      </c>
      <c r="F59" s="2">
        <v>52459.06</v>
      </c>
      <c r="G59" s="5">
        <v>222480.44</v>
      </c>
      <c r="H59" t="s">
        <v>1887</v>
      </c>
    </row>
    <row r="60" spans="1:8" x14ac:dyDescent="0.3">
      <c r="A60" s="7">
        <v>45475</v>
      </c>
      <c r="B60" s="7">
        <v>45475</v>
      </c>
      <c r="C60" t="s">
        <v>1734</v>
      </c>
      <c r="D60" t="s">
        <v>1735</v>
      </c>
      <c r="E60" s="2">
        <v>26595</v>
      </c>
      <c r="F60" s="2">
        <v>0</v>
      </c>
      <c r="G60" s="5">
        <v>195885.44</v>
      </c>
      <c r="H60" t="s">
        <v>372</v>
      </c>
    </row>
    <row r="61" spans="1:8" x14ac:dyDescent="0.3">
      <c r="A61" s="7">
        <v>45475</v>
      </c>
      <c r="B61" s="7">
        <v>45475</v>
      </c>
      <c r="C61" t="s">
        <v>1740</v>
      </c>
      <c r="D61" t="s">
        <v>1774</v>
      </c>
      <c r="E61" s="2">
        <v>0</v>
      </c>
      <c r="F61" s="2">
        <v>69709.31</v>
      </c>
      <c r="G61" s="5">
        <v>265594.75</v>
      </c>
      <c r="H61" t="s">
        <v>1887</v>
      </c>
    </row>
    <row r="62" spans="1:8" x14ac:dyDescent="0.3">
      <c r="A62" s="7">
        <v>45476</v>
      </c>
      <c r="B62" s="7">
        <v>45476</v>
      </c>
      <c r="C62" t="s">
        <v>1740</v>
      </c>
      <c r="D62" t="s">
        <v>1775</v>
      </c>
      <c r="E62" s="2">
        <v>0</v>
      </c>
      <c r="F62" s="2">
        <v>7751.08</v>
      </c>
      <c r="G62" s="5">
        <v>273345.83</v>
      </c>
      <c r="H62" t="s">
        <v>1887</v>
      </c>
    </row>
    <row r="63" spans="1:8" x14ac:dyDescent="0.3">
      <c r="A63" s="7">
        <v>45477</v>
      </c>
      <c r="B63" s="7">
        <v>45477</v>
      </c>
      <c r="C63" t="s">
        <v>1736</v>
      </c>
      <c r="D63" t="s">
        <v>1737</v>
      </c>
      <c r="E63" s="2">
        <v>75000</v>
      </c>
      <c r="F63" s="2">
        <v>0</v>
      </c>
      <c r="G63" s="5">
        <v>198345.83</v>
      </c>
      <c r="H63" t="s">
        <v>1847</v>
      </c>
    </row>
    <row r="64" spans="1:8" x14ac:dyDescent="0.3">
      <c r="A64" s="7">
        <v>45479</v>
      </c>
      <c r="B64" s="7">
        <v>45479</v>
      </c>
      <c r="C64" t="s">
        <v>1740</v>
      </c>
      <c r="D64" t="s">
        <v>1776</v>
      </c>
      <c r="E64" s="2">
        <v>0</v>
      </c>
      <c r="F64" s="2">
        <v>916.97</v>
      </c>
      <c r="G64" s="5">
        <v>199262.8</v>
      </c>
      <c r="H64" t="s">
        <v>1887</v>
      </c>
    </row>
    <row r="65" spans="1:8" x14ac:dyDescent="0.3">
      <c r="A65" s="7">
        <v>45479</v>
      </c>
      <c r="B65" s="7">
        <v>45479</v>
      </c>
      <c r="C65" t="s">
        <v>1740</v>
      </c>
      <c r="D65" t="s">
        <v>1777</v>
      </c>
      <c r="E65" s="2">
        <v>0</v>
      </c>
      <c r="F65" s="2">
        <v>159.30000000000001</v>
      </c>
      <c r="G65" s="5">
        <v>199422.1</v>
      </c>
      <c r="H65" t="s">
        <v>1887</v>
      </c>
    </row>
    <row r="66" spans="1:8" x14ac:dyDescent="0.3">
      <c r="A66" s="7">
        <v>45482</v>
      </c>
      <c r="B66" s="7">
        <v>45482</v>
      </c>
      <c r="C66" t="s">
        <v>1744</v>
      </c>
      <c r="D66" t="s">
        <v>1778</v>
      </c>
      <c r="E66" s="2">
        <v>19251</v>
      </c>
      <c r="F66" s="2">
        <v>0</v>
      </c>
      <c r="G66" s="5">
        <v>180171.1</v>
      </c>
      <c r="H66" t="s">
        <v>1838</v>
      </c>
    </row>
    <row r="67" spans="1:8" x14ac:dyDescent="0.3">
      <c r="A67" s="7">
        <v>45490</v>
      </c>
      <c r="B67" s="7">
        <v>45490</v>
      </c>
      <c r="C67" t="s">
        <v>1740</v>
      </c>
      <c r="D67" t="s">
        <v>1779</v>
      </c>
      <c r="E67" s="2">
        <v>0</v>
      </c>
      <c r="F67" s="2">
        <v>127201.87</v>
      </c>
      <c r="G67" s="5">
        <v>307372.96999999997</v>
      </c>
      <c r="H67" t="s">
        <v>1887</v>
      </c>
    </row>
    <row r="68" spans="1:8" x14ac:dyDescent="0.3">
      <c r="A68" s="7">
        <v>45491</v>
      </c>
      <c r="B68" s="7">
        <v>45491</v>
      </c>
      <c r="C68" t="s">
        <v>1780</v>
      </c>
      <c r="D68" t="s">
        <v>1781</v>
      </c>
      <c r="E68" s="2">
        <v>100000</v>
      </c>
      <c r="F68" s="2">
        <v>0</v>
      </c>
      <c r="G68" s="5">
        <v>207372.97</v>
      </c>
      <c r="H68" t="s">
        <v>1841</v>
      </c>
    </row>
    <row r="69" spans="1:8" x14ac:dyDescent="0.3">
      <c r="A69" s="7">
        <v>45501</v>
      </c>
      <c r="B69" s="7">
        <v>45501</v>
      </c>
      <c r="C69" t="s">
        <v>1782</v>
      </c>
      <c r="D69" t="s">
        <v>1783</v>
      </c>
      <c r="E69" s="2">
        <v>100000</v>
      </c>
      <c r="F69" s="2">
        <v>0</v>
      </c>
      <c r="G69" s="5">
        <v>107372.97</v>
      </c>
      <c r="H69" t="s">
        <v>1841</v>
      </c>
    </row>
    <row r="70" spans="1:8" x14ac:dyDescent="0.3">
      <c r="A70" s="7">
        <v>45501</v>
      </c>
      <c r="B70" s="7">
        <v>45501</v>
      </c>
      <c r="C70" t="s">
        <v>1784</v>
      </c>
      <c r="E70" s="2">
        <v>75000</v>
      </c>
      <c r="F70" s="2">
        <v>0</v>
      </c>
      <c r="G70" s="5">
        <v>32372.97</v>
      </c>
      <c r="H70" t="s">
        <v>1837</v>
      </c>
    </row>
    <row r="71" spans="1:8" x14ac:dyDescent="0.3">
      <c r="A71" s="7">
        <v>45504</v>
      </c>
      <c r="B71" s="7">
        <v>45504</v>
      </c>
      <c r="C71" t="s">
        <v>1740</v>
      </c>
      <c r="D71" t="s">
        <v>1785</v>
      </c>
      <c r="E71" s="2">
        <v>0</v>
      </c>
      <c r="F71" s="2">
        <v>661.68</v>
      </c>
      <c r="G71" s="5">
        <v>33034.65</v>
      </c>
      <c r="H71" t="s">
        <v>1887</v>
      </c>
    </row>
    <row r="72" spans="1:8" x14ac:dyDescent="0.3">
      <c r="A72" s="7">
        <v>45505</v>
      </c>
      <c r="B72" s="7">
        <v>45505</v>
      </c>
      <c r="C72" t="s">
        <v>758</v>
      </c>
      <c r="D72" t="s">
        <v>1786</v>
      </c>
      <c r="E72" s="2">
        <v>0</v>
      </c>
      <c r="F72" s="2">
        <v>26000</v>
      </c>
      <c r="G72" s="5">
        <v>59034.65</v>
      </c>
      <c r="H72" t="s">
        <v>372</v>
      </c>
    </row>
    <row r="73" spans="1:8" x14ac:dyDescent="0.3">
      <c r="A73" s="7">
        <v>45505</v>
      </c>
      <c r="B73" s="7">
        <v>45505</v>
      </c>
      <c r="C73" t="s">
        <v>1740</v>
      </c>
      <c r="D73" t="s">
        <v>1787</v>
      </c>
      <c r="E73" s="2">
        <v>0</v>
      </c>
      <c r="F73" s="2">
        <v>36531.68</v>
      </c>
      <c r="G73" s="5">
        <v>95566.33</v>
      </c>
      <c r="H73" t="s">
        <v>1887</v>
      </c>
    </row>
    <row r="74" spans="1:8" x14ac:dyDescent="0.3">
      <c r="A74" s="7">
        <v>45506</v>
      </c>
      <c r="B74" s="7">
        <v>45506</v>
      </c>
      <c r="C74" t="s">
        <v>1734</v>
      </c>
      <c r="D74" t="s">
        <v>1735</v>
      </c>
      <c r="E74" s="2">
        <v>26595</v>
      </c>
      <c r="F74" s="2">
        <v>0</v>
      </c>
      <c r="G74" s="5">
        <v>68971.33</v>
      </c>
      <c r="H74" t="s">
        <v>372</v>
      </c>
    </row>
    <row r="75" spans="1:8" x14ac:dyDescent="0.3">
      <c r="A75" s="7">
        <v>45510</v>
      </c>
      <c r="B75" s="7">
        <v>45510</v>
      </c>
      <c r="C75" t="s">
        <v>1788</v>
      </c>
      <c r="E75" s="2">
        <v>0</v>
      </c>
      <c r="F75" s="2">
        <v>860</v>
      </c>
      <c r="G75" s="5">
        <v>69831.33</v>
      </c>
      <c r="H75" t="s">
        <v>367</v>
      </c>
    </row>
    <row r="76" spans="1:8" x14ac:dyDescent="0.3">
      <c r="A76" s="7">
        <v>45514</v>
      </c>
      <c r="B76" s="7">
        <v>45514</v>
      </c>
      <c r="C76" t="s">
        <v>1744</v>
      </c>
      <c r="D76" t="s">
        <v>1789</v>
      </c>
      <c r="E76" s="2">
        <v>22723</v>
      </c>
      <c r="F76" s="2">
        <v>0</v>
      </c>
      <c r="G76" s="5">
        <v>47108.33</v>
      </c>
      <c r="H76" t="s">
        <v>1838</v>
      </c>
    </row>
    <row r="77" spans="1:8" x14ac:dyDescent="0.3">
      <c r="A77" s="7">
        <v>45517</v>
      </c>
      <c r="B77" s="7">
        <v>45517</v>
      </c>
      <c r="C77" t="s">
        <v>1740</v>
      </c>
      <c r="D77" t="s">
        <v>1790</v>
      </c>
      <c r="E77" s="2">
        <v>0</v>
      </c>
      <c r="F77" s="2">
        <v>44818.43</v>
      </c>
      <c r="G77" s="5">
        <v>91926.76</v>
      </c>
      <c r="H77" t="s">
        <v>1887</v>
      </c>
    </row>
    <row r="78" spans="1:8" x14ac:dyDescent="0.3">
      <c r="A78" s="7">
        <v>45525</v>
      </c>
      <c r="B78" s="7">
        <v>45525</v>
      </c>
      <c r="C78" t="s">
        <v>752</v>
      </c>
      <c r="D78" t="s">
        <v>1791</v>
      </c>
      <c r="E78" s="2">
        <v>60000</v>
      </c>
      <c r="F78" s="2">
        <v>0</v>
      </c>
      <c r="G78" s="5">
        <v>31926.76</v>
      </c>
      <c r="H78" t="s">
        <v>372</v>
      </c>
    </row>
    <row r="79" spans="1:8" x14ac:dyDescent="0.3">
      <c r="A79" s="7">
        <v>45537</v>
      </c>
      <c r="B79" s="7">
        <v>45537</v>
      </c>
      <c r="C79" t="s">
        <v>1734</v>
      </c>
      <c r="D79" t="s">
        <v>1735</v>
      </c>
      <c r="E79" s="2">
        <v>26595</v>
      </c>
      <c r="F79" s="2">
        <v>0</v>
      </c>
      <c r="G79" s="5">
        <v>5331.76</v>
      </c>
      <c r="H79" t="s">
        <v>372</v>
      </c>
    </row>
    <row r="80" spans="1:8" x14ac:dyDescent="0.3">
      <c r="A80" s="7">
        <v>45540</v>
      </c>
      <c r="B80" s="7">
        <v>45540</v>
      </c>
      <c r="C80" t="s">
        <v>1792</v>
      </c>
      <c r="D80" t="s">
        <v>1793</v>
      </c>
      <c r="E80" s="2">
        <v>1000</v>
      </c>
      <c r="F80" s="2">
        <v>0</v>
      </c>
      <c r="G80" s="5">
        <v>4331.76</v>
      </c>
      <c r="H80" t="s">
        <v>1846</v>
      </c>
    </row>
    <row r="81" spans="1:8" x14ac:dyDescent="0.3">
      <c r="A81" s="7">
        <v>45546</v>
      </c>
      <c r="B81" s="7">
        <v>45546</v>
      </c>
      <c r="C81" t="s">
        <v>758</v>
      </c>
      <c r="D81" t="s">
        <v>1794</v>
      </c>
      <c r="E81" s="2">
        <v>0</v>
      </c>
      <c r="F81" s="2">
        <v>15000</v>
      </c>
      <c r="G81" s="5">
        <v>19331.759999999998</v>
      </c>
      <c r="H81" t="s">
        <v>372</v>
      </c>
    </row>
    <row r="82" spans="1:8" x14ac:dyDescent="0.3">
      <c r="A82" s="7">
        <v>45546</v>
      </c>
      <c r="B82" s="7">
        <v>45546</v>
      </c>
      <c r="C82" t="s">
        <v>1795</v>
      </c>
      <c r="E82" s="2">
        <v>0</v>
      </c>
      <c r="F82" s="2">
        <v>176</v>
      </c>
      <c r="G82" s="5">
        <v>19507.759999999998</v>
      </c>
      <c r="H82" t="s">
        <v>367</v>
      </c>
    </row>
    <row r="83" spans="1:8" x14ac:dyDescent="0.3">
      <c r="A83" s="7">
        <v>45546</v>
      </c>
      <c r="B83" s="7">
        <v>45546</v>
      </c>
      <c r="C83" t="s">
        <v>1796</v>
      </c>
      <c r="E83" s="2">
        <v>5000</v>
      </c>
      <c r="F83" s="2">
        <v>0</v>
      </c>
      <c r="G83" s="5">
        <v>14507.76</v>
      </c>
      <c r="H83" t="s">
        <v>366</v>
      </c>
    </row>
    <row r="84" spans="1:8" x14ac:dyDescent="0.3">
      <c r="A84" s="7">
        <v>45550</v>
      </c>
      <c r="B84" s="7">
        <v>45550</v>
      </c>
      <c r="C84" t="s">
        <v>1744</v>
      </c>
      <c r="D84" t="s">
        <v>1797</v>
      </c>
      <c r="E84" s="2">
        <v>871</v>
      </c>
      <c r="F84" s="2">
        <v>0</v>
      </c>
      <c r="G84" s="5">
        <v>13636.76</v>
      </c>
      <c r="H84" t="s">
        <v>1838</v>
      </c>
    </row>
    <row r="85" spans="1:8" x14ac:dyDescent="0.3">
      <c r="A85" s="7">
        <v>45554</v>
      </c>
      <c r="B85" s="7">
        <v>45554</v>
      </c>
      <c r="C85" t="s">
        <v>1798</v>
      </c>
      <c r="E85" s="2">
        <v>236</v>
      </c>
      <c r="F85" s="2">
        <v>0</v>
      </c>
      <c r="G85" s="5">
        <v>13400.76</v>
      </c>
      <c r="H85" t="s">
        <v>365</v>
      </c>
    </row>
    <row r="86" spans="1:8" x14ac:dyDescent="0.3">
      <c r="A86" s="7">
        <v>45560</v>
      </c>
      <c r="B86" s="7">
        <v>45560</v>
      </c>
      <c r="C86" t="s">
        <v>1729</v>
      </c>
      <c r="E86" s="2">
        <v>0</v>
      </c>
      <c r="F86" s="2">
        <v>584</v>
      </c>
      <c r="G86" s="5">
        <v>13984.76</v>
      </c>
      <c r="H86" t="s">
        <v>370</v>
      </c>
    </row>
    <row r="87" spans="1:8" x14ac:dyDescent="0.3">
      <c r="A87" s="7">
        <v>45564</v>
      </c>
      <c r="B87" s="7">
        <v>45564</v>
      </c>
      <c r="C87" t="s">
        <v>758</v>
      </c>
      <c r="D87" t="s">
        <v>1799</v>
      </c>
      <c r="E87" s="2">
        <v>0</v>
      </c>
      <c r="F87" s="2">
        <v>25000</v>
      </c>
      <c r="G87" s="5">
        <v>38984.76</v>
      </c>
      <c r="H87" t="s">
        <v>372</v>
      </c>
    </row>
    <row r="88" spans="1:8" x14ac:dyDescent="0.3">
      <c r="A88" s="7">
        <v>45567</v>
      </c>
      <c r="B88" s="7">
        <v>45567</v>
      </c>
      <c r="C88" t="s">
        <v>1734</v>
      </c>
      <c r="D88" t="s">
        <v>1735</v>
      </c>
      <c r="E88" s="2">
        <v>26595</v>
      </c>
      <c r="F88" s="2">
        <v>0</v>
      </c>
      <c r="G88" s="5">
        <v>12389.76</v>
      </c>
      <c r="H88" t="s">
        <v>372</v>
      </c>
    </row>
    <row r="89" spans="1:8" x14ac:dyDescent="0.3">
      <c r="A89" s="7">
        <v>45575</v>
      </c>
      <c r="B89" s="7">
        <v>45575</v>
      </c>
      <c r="C89" t="s">
        <v>1744</v>
      </c>
      <c r="D89" t="s">
        <v>1800</v>
      </c>
      <c r="E89" s="2">
        <v>3485</v>
      </c>
      <c r="F89" s="2">
        <v>0</v>
      </c>
      <c r="G89" s="5">
        <v>8904.76</v>
      </c>
      <c r="H89" t="s">
        <v>1838</v>
      </c>
    </row>
    <row r="90" spans="1:8" x14ac:dyDescent="0.3">
      <c r="A90" s="7">
        <v>45576</v>
      </c>
      <c r="B90" s="7">
        <v>45576</v>
      </c>
      <c r="C90" t="s">
        <v>1740</v>
      </c>
      <c r="D90" t="s">
        <v>1801</v>
      </c>
      <c r="E90" s="2">
        <v>0</v>
      </c>
      <c r="F90" s="2">
        <v>43785.75</v>
      </c>
      <c r="G90" s="5">
        <v>52690.51</v>
      </c>
      <c r="H90" t="s">
        <v>1887</v>
      </c>
    </row>
    <row r="91" spans="1:8" x14ac:dyDescent="0.3">
      <c r="A91" s="7">
        <v>45579</v>
      </c>
      <c r="B91" s="7">
        <v>45579</v>
      </c>
      <c r="C91" t="s">
        <v>1802</v>
      </c>
      <c r="D91" t="s">
        <v>1803</v>
      </c>
      <c r="E91" s="2">
        <v>0</v>
      </c>
      <c r="F91" s="2">
        <v>576</v>
      </c>
      <c r="G91" s="5">
        <v>53266.51</v>
      </c>
      <c r="H91" t="s">
        <v>367</v>
      </c>
    </row>
    <row r="92" spans="1:8" x14ac:dyDescent="0.3">
      <c r="A92" s="7">
        <v>45598</v>
      </c>
      <c r="B92" s="7">
        <v>45598</v>
      </c>
      <c r="C92" t="s">
        <v>1734</v>
      </c>
      <c r="D92" t="s">
        <v>1735</v>
      </c>
      <c r="E92" s="2">
        <v>26595</v>
      </c>
      <c r="F92" s="2">
        <v>0</v>
      </c>
      <c r="G92" s="5">
        <v>26671.51</v>
      </c>
      <c r="H92" t="s">
        <v>372</v>
      </c>
    </row>
    <row r="93" spans="1:8" x14ac:dyDescent="0.3">
      <c r="A93" s="7">
        <v>45599</v>
      </c>
      <c r="B93" s="7">
        <v>45599</v>
      </c>
      <c r="C93" t="s">
        <v>1804</v>
      </c>
      <c r="D93" t="s">
        <v>1805</v>
      </c>
      <c r="E93" s="2">
        <v>1100</v>
      </c>
      <c r="F93" s="2">
        <v>0</v>
      </c>
      <c r="G93" s="5">
        <v>25571.51</v>
      </c>
      <c r="H93" t="s">
        <v>1839</v>
      </c>
    </row>
    <row r="94" spans="1:8" x14ac:dyDescent="0.3">
      <c r="A94" s="7">
        <v>45603</v>
      </c>
      <c r="B94" s="7">
        <v>45603</v>
      </c>
      <c r="C94" t="s">
        <v>1806</v>
      </c>
      <c r="D94" t="s">
        <v>1807</v>
      </c>
      <c r="E94" s="2">
        <v>16660</v>
      </c>
      <c r="F94" s="2">
        <v>0</v>
      </c>
      <c r="G94" s="5">
        <v>8911.51</v>
      </c>
      <c r="H94" t="s">
        <v>1886</v>
      </c>
    </row>
    <row r="95" spans="1:8" x14ac:dyDescent="0.3">
      <c r="A95" s="7">
        <v>45605</v>
      </c>
      <c r="B95" s="7">
        <v>45605</v>
      </c>
      <c r="C95" t="s">
        <v>1740</v>
      </c>
      <c r="D95" t="s">
        <v>1808</v>
      </c>
      <c r="E95" s="2">
        <v>0</v>
      </c>
      <c r="F95" s="2">
        <v>54785.85</v>
      </c>
      <c r="G95" s="5">
        <v>63697.36</v>
      </c>
      <c r="H95" t="s">
        <v>1887</v>
      </c>
    </row>
    <row r="96" spans="1:8" x14ac:dyDescent="0.3">
      <c r="A96" s="7">
        <v>45607</v>
      </c>
      <c r="B96" s="7">
        <v>45607</v>
      </c>
      <c r="C96" t="s">
        <v>1744</v>
      </c>
      <c r="D96" t="s">
        <v>1809</v>
      </c>
      <c r="E96" s="2">
        <v>707</v>
      </c>
      <c r="F96" s="2">
        <v>0</v>
      </c>
      <c r="G96" s="5">
        <v>62990.36</v>
      </c>
      <c r="H96" t="s">
        <v>1838</v>
      </c>
    </row>
    <row r="97" spans="1:8" x14ac:dyDescent="0.3">
      <c r="A97" s="7">
        <v>45628</v>
      </c>
      <c r="B97" s="7">
        <v>45628</v>
      </c>
      <c r="C97" t="s">
        <v>1734</v>
      </c>
      <c r="D97" t="s">
        <v>1735</v>
      </c>
      <c r="E97" s="2">
        <v>26595</v>
      </c>
      <c r="F97" s="2">
        <v>0</v>
      </c>
      <c r="G97" s="5">
        <v>36395.360000000001</v>
      </c>
      <c r="H97" t="s">
        <v>372</v>
      </c>
    </row>
    <row r="98" spans="1:8" x14ac:dyDescent="0.3">
      <c r="A98" s="7">
        <v>45634</v>
      </c>
      <c r="B98" s="7">
        <v>45634</v>
      </c>
      <c r="C98" t="s">
        <v>1744</v>
      </c>
      <c r="D98" t="s">
        <v>1810</v>
      </c>
      <c r="E98" s="2">
        <v>3327</v>
      </c>
      <c r="F98" s="2">
        <v>0</v>
      </c>
      <c r="G98" s="5">
        <v>33068.36</v>
      </c>
      <c r="H98" t="s">
        <v>1838</v>
      </c>
    </row>
    <row r="99" spans="1:8" x14ac:dyDescent="0.3">
      <c r="A99" s="7">
        <v>45634</v>
      </c>
      <c r="B99" s="7">
        <v>45634</v>
      </c>
      <c r="C99" t="s">
        <v>752</v>
      </c>
      <c r="D99" t="s">
        <v>1811</v>
      </c>
      <c r="E99" s="2">
        <v>25000</v>
      </c>
      <c r="F99" s="2">
        <v>0</v>
      </c>
      <c r="G99" s="5">
        <v>8068.36</v>
      </c>
      <c r="H99" t="s">
        <v>372</v>
      </c>
    </row>
    <row r="100" spans="1:8" x14ac:dyDescent="0.3">
      <c r="A100" s="7">
        <v>45643</v>
      </c>
      <c r="B100" s="7">
        <v>45643</v>
      </c>
      <c r="C100" t="s">
        <v>1812</v>
      </c>
      <c r="D100" t="s">
        <v>1813</v>
      </c>
      <c r="E100" s="2">
        <v>165</v>
      </c>
      <c r="F100" s="2">
        <v>0</v>
      </c>
      <c r="G100" s="5">
        <v>7903.36</v>
      </c>
      <c r="H100" t="s">
        <v>1844</v>
      </c>
    </row>
    <row r="101" spans="1:8" x14ac:dyDescent="0.3">
      <c r="A101" s="7">
        <v>45651</v>
      </c>
      <c r="B101" s="7">
        <v>45651</v>
      </c>
      <c r="C101" t="s">
        <v>1729</v>
      </c>
      <c r="E101" s="2">
        <v>0</v>
      </c>
      <c r="F101" s="2">
        <v>251</v>
      </c>
      <c r="G101" s="5">
        <v>8154.36</v>
      </c>
      <c r="H101" t="s">
        <v>370</v>
      </c>
    </row>
    <row r="102" spans="1:8" x14ac:dyDescent="0.3">
      <c r="A102" s="7">
        <v>45679</v>
      </c>
      <c r="B102" s="7">
        <v>45679</v>
      </c>
      <c r="C102" t="s">
        <v>1814</v>
      </c>
      <c r="D102" t="s">
        <v>1815</v>
      </c>
      <c r="E102" s="2">
        <v>0</v>
      </c>
      <c r="F102" s="2">
        <v>200000</v>
      </c>
      <c r="G102" s="5">
        <v>208154.36</v>
      </c>
      <c r="H102" t="s">
        <v>1840</v>
      </c>
    </row>
    <row r="103" spans="1:8" x14ac:dyDescent="0.3">
      <c r="A103" s="7">
        <v>45679</v>
      </c>
      <c r="B103" s="7">
        <v>45679</v>
      </c>
      <c r="C103" t="s">
        <v>1816</v>
      </c>
      <c r="D103" t="s">
        <v>1817</v>
      </c>
      <c r="E103" s="2">
        <v>100000</v>
      </c>
      <c r="F103" s="2">
        <v>0</v>
      </c>
      <c r="G103" s="5">
        <v>108154.36</v>
      </c>
      <c r="H103" t="s">
        <v>1841</v>
      </c>
    </row>
    <row r="104" spans="1:8" x14ac:dyDescent="0.3">
      <c r="A104" s="7">
        <v>45679</v>
      </c>
      <c r="B104" s="7">
        <v>45679</v>
      </c>
      <c r="C104" t="s">
        <v>752</v>
      </c>
      <c r="D104" t="s">
        <v>1818</v>
      </c>
      <c r="E104" s="2">
        <v>75000</v>
      </c>
      <c r="F104" s="2">
        <v>0</v>
      </c>
      <c r="G104" s="5">
        <v>33154.36</v>
      </c>
      <c r="H104" t="s">
        <v>372</v>
      </c>
    </row>
    <row r="105" spans="1:8" x14ac:dyDescent="0.3">
      <c r="A105" s="7">
        <v>45680</v>
      </c>
      <c r="B105" s="7">
        <v>45680</v>
      </c>
      <c r="C105" t="s">
        <v>1734</v>
      </c>
      <c r="D105" t="s">
        <v>1735</v>
      </c>
      <c r="E105" s="2">
        <v>26595</v>
      </c>
      <c r="F105" s="2">
        <v>0</v>
      </c>
      <c r="G105" s="5">
        <v>6559.36</v>
      </c>
      <c r="H105" t="s">
        <v>372</v>
      </c>
    </row>
    <row r="106" spans="1:8" x14ac:dyDescent="0.3">
      <c r="A106" s="7">
        <v>45680</v>
      </c>
      <c r="B106" s="7">
        <v>45680</v>
      </c>
      <c r="C106" t="s">
        <v>1727</v>
      </c>
      <c r="D106" t="s">
        <v>1819</v>
      </c>
      <c r="E106" s="2">
        <v>0</v>
      </c>
      <c r="F106" s="2">
        <v>30000</v>
      </c>
      <c r="G106" s="5">
        <v>36559.360000000001</v>
      </c>
      <c r="H106" t="s">
        <v>372</v>
      </c>
    </row>
    <row r="107" spans="1:8" x14ac:dyDescent="0.3">
      <c r="A107" s="7">
        <v>45681</v>
      </c>
      <c r="B107" s="7">
        <v>45681</v>
      </c>
      <c r="C107" t="s">
        <v>1820</v>
      </c>
      <c r="E107" s="2">
        <v>20000</v>
      </c>
      <c r="F107" s="2">
        <v>0</v>
      </c>
      <c r="G107" s="5">
        <v>16559.36</v>
      </c>
      <c r="H107" t="s">
        <v>366</v>
      </c>
    </row>
    <row r="108" spans="1:8" x14ac:dyDescent="0.3">
      <c r="A108" s="7">
        <v>45701</v>
      </c>
      <c r="B108" s="7">
        <v>45701</v>
      </c>
      <c r="C108" t="s">
        <v>758</v>
      </c>
      <c r="D108" t="s">
        <v>1821</v>
      </c>
      <c r="E108" s="2">
        <v>0</v>
      </c>
      <c r="F108" s="2">
        <v>15000</v>
      </c>
      <c r="G108" s="5">
        <v>31559.360000000001</v>
      </c>
      <c r="H108" t="s">
        <v>372</v>
      </c>
    </row>
    <row r="109" spans="1:8" x14ac:dyDescent="0.3">
      <c r="A109" s="7">
        <v>45701</v>
      </c>
      <c r="B109" s="7">
        <v>45701</v>
      </c>
      <c r="C109" t="s">
        <v>1822</v>
      </c>
      <c r="D109" t="s">
        <v>1823</v>
      </c>
      <c r="E109" s="2">
        <v>0</v>
      </c>
      <c r="F109" s="2">
        <v>200000</v>
      </c>
      <c r="G109" s="5">
        <v>231559.36</v>
      </c>
      <c r="H109" t="s">
        <v>1840</v>
      </c>
    </row>
    <row r="110" spans="1:8" x14ac:dyDescent="0.3">
      <c r="A110" s="7">
        <v>45702</v>
      </c>
      <c r="B110" s="7">
        <v>45702</v>
      </c>
      <c r="C110" t="s">
        <v>1734</v>
      </c>
      <c r="D110" t="s">
        <v>1735</v>
      </c>
      <c r="E110" s="2">
        <v>26595</v>
      </c>
      <c r="F110" s="2">
        <v>0</v>
      </c>
      <c r="G110" s="5">
        <v>204964.36</v>
      </c>
      <c r="H110" t="s">
        <v>372</v>
      </c>
    </row>
    <row r="111" spans="1:8" x14ac:dyDescent="0.3">
      <c r="A111" s="7">
        <v>45702</v>
      </c>
      <c r="B111" s="7">
        <v>45702</v>
      </c>
      <c r="C111" t="s">
        <v>752</v>
      </c>
      <c r="D111" t="s">
        <v>1824</v>
      </c>
      <c r="E111" s="2">
        <v>175000</v>
      </c>
      <c r="F111" s="2">
        <v>0</v>
      </c>
      <c r="G111" s="5">
        <v>29964.36</v>
      </c>
      <c r="H111" t="s">
        <v>372</v>
      </c>
    </row>
    <row r="112" spans="1:8" x14ac:dyDescent="0.3">
      <c r="A112" s="7">
        <v>45711</v>
      </c>
      <c r="B112" s="7">
        <v>45711</v>
      </c>
      <c r="C112" t="s">
        <v>1825</v>
      </c>
      <c r="D112" t="s">
        <v>1826</v>
      </c>
      <c r="E112" s="2">
        <v>0</v>
      </c>
      <c r="F112" s="2">
        <v>50000</v>
      </c>
      <c r="G112" s="5">
        <v>79964.36</v>
      </c>
      <c r="H112" t="s">
        <v>372</v>
      </c>
    </row>
    <row r="113" spans="1:8" x14ac:dyDescent="0.3">
      <c r="A113" s="7">
        <v>45711</v>
      </c>
      <c r="B113" s="7">
        <v>45711</v>
      </c>
      <c r="C113" t="s">
        <v>1744</v>
      </c>
      <c r="D113" t="s">
        <v>1827</v>
      </c>
      <c r="E113" s="2">
        <v>46787</v>
      </c>
      <c r="F113" s="2">
        <v>0</v>
      </c>
      <c r="G113" s="5">
        <v>33177.360000000001</v>
      </c>
      <c r="H113" t="s">
        <v>1838</v>
      </c>
    </row>
    <row r="114" spans="1:8" x14ac:dyDescent="0.3">
      <c r="A114" s="7">
        <v>45718</v>
      </c>
      <c r="B114" s="7">
        <v>45718</v>
      </c>
      <c r="C114" t="s">
        <v>1734</v>
      </c>
      <c r="D114" t="s">
        <v>1735</v>
      </c>
      <c r="E114" s="2">
        <v>26595</v>
      </c>
      <c r="F114" s="2">
        <v>0</v>
      </c>
      <c r="G114" s="5">
        <v>6582.36</v>
      </c>
      <c r="H114" t="s">
        <v>372</v>
      </c>
    </row>
    <row r="115" spans="1:8" x14ac:dyDescent="0.3">
      <c r="A115" s="7">
        <v>45733</v>
      </c>
      <c r="B115" s="7">
        <v>45733</v>
      </c>
      <c r="C115" t="s">
        <v>758</v>
      </c>
      <c r="D115" t="s">
        <v>1828</v>
      </c>
      <c r="E115" s="2">
        <v>0</v>
      </c>
      <c r="F115" s="2">
        <v>30000</v>
      </c>
      <c r="G115" s="5">
        <v>36582.36</v>
      </c>
      <c r="H115" t="s">
        <v>372</v>
      </c>
    </row>
    <row r="116" spans="1:8" x14ac:dyDescent="0.3">
      <c r="A116" s="7">
        <v>45739</v>
      </c>
      <c r="B116" s="7">
        <v>45739</v>
      </c>
      <c r="C116" t="s">
        <v>748</v>
      </c>
      <c r="D116" t="s">
        <v>1829</v>
      </c>
      <c r="E116" s="2">
        <v>1000</v>
      </c>
      <c r="F116" s="2">
        <v>0</v>
      </c>
      <c r="G116" s="5">
        <v>35582.36</v>
      </c>
      <c r="H116" t="s">
        <v>372</v>
      </c>
    </row>
    <row r="117" spans="1:8" x14ac:dyDescent="0.3">
      <c r="A117" s="7">
        <v>45739</v>
      </c>
      <c r="B117" s="7">
        <v>45739</v>
      </c>
      <c r="C117" t="s">
        <v>1830</v>
      </c>
      <c r="D117" t="s">
        <v>1831</v>
      </c>
      <c r="E117" s="2">
        <v>1000</v>
      </c>
      <c r="F117" s="2">
        <v>0</v>
      </c>
      <c r="G117" s="5">
        <v>34582.36</v>
      </c>
      <c r="H117" t="s">
        <v>1846</v>
      </c>
    </row>
    <row r="118" spans="1:8" x14ac:dyDescent="0.3">
      <c r="A118" s="7">
        <v>45740</v>
      </c>
      <c r="B118" s="7">
        <v>45740</v>
      </c>
      <c r="C118" t="s">
        <v>1740</v>
      </c>
      <c r="D118" t="s">
        <v>1832</v>
      </c>
      <c r="E118" s="2">
        <v>0</v>
      </c>
      <c r="F118" s="2">
        <v>103590.54</v>
      </c>
      <c r="G118" s="5">
        <v>138172.9</v>
      </c>
      <c r="H118" t="s">
        <v>1887</v>
      </c>
    </row>
    <row r="119" spans="1:8" x14ac:dyDescent="0.3">
      <c r="A119" s="7">
        <v>45740</v>
      </c>
      <c r="B119" s="7">
        <v>45740</v>
      </c>
      <c r="C119" t="s">
        <v>752</v>
      </c>
      <c r="D119" t="s">
        <v>1833</v>
      </c>
      <c r="E119" s="2">
        <v>100000</v>
      </c>
      <c r="F119" s="2">
        <v>0</v>
      </c>
      <c r="G119" s="5">
        <v>38172.9</v>
      </c>
      <c r="H119" t="s">
        <v>372</v>
      </c>
    </row>
    <row r="120" spans="1:8" x14ac:dyDescent="0.3">
      <c r="A120" s="7">
        <v>45740</v>
      </c>
      <c r="B120" s="7">
        <v>45740</v>
      </c>
      <c r="C120" t="s">
        <v>1744</v>
      </c>
      <c r="D120" t="s">
        <v>1834</v>
      </c>
      <c r="E120" s="2">
        <v>17324</v>
      </c>
      <c r="F120" s="2">
        <v>0</v>
      </c>
      <c r="G120" s="5">
        <v>20848.900000000001</v>
      </c>
      <c r="H120" t="s">
        <v>1838</v>
      </c>
    </row>
    <row r="121" spans="1:8" x14ac:dyDescent="0.3">
      <c r="A121" s="7">
        <v>45741</v>
      </c>
      <c r="B121" s="7">
        <v>45741</v>
      </c>
      <c r="C121" t="s">
        <v>1729</v>
      </c>
      <c r="E121" s="2">
        <v>0</v>
      </c>
      <c r="F121" s="2">
        <v>129</v>
      </c>
      <c r="G121" s="5">
        <v>20977.9</v>
      </c>
      <c r="H121" t="s">
        <v>370</v>
      </c>
    </row>
    <row r="122" spans="1:8" x14ac:dyDescent="0.3">
      <c r="A122" s="7">
        <v>45746</v>
      </c>
      <c r="B122" s="7">
        <v>45746</v>
      </c>
      <c r="C122" t="s">
        <v>758</v>
      </c>
      <c r="D122" t="s">
        <v>1835</v>
      </c>
      <c r="E122" s="2">
        <v>0</v>
      </c>
      <c r="F122" s="2">
        <v>25000</v>
      </c>
      <c r="G122" s="5">
        <v>45977.9</v>
      </c>
      <c r="H122" t="s">
        <v>372</v>
      </c>
    </row>
  </sheetData>
  <autoFilter ref="A21:H122" xr:uid="{D112BD9F-FA91-49EB-8554-B56E805E884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74AA8-927A-44D0-81E1-BAE77E3C3540}">
  <dimension ref="B3:L13"/>
  <sheetViews>
    <sheetView workbookViewId="0">
      <selection activeCell="F4" sqref="F4"/>
    </sheetView>
  </sheetViews>
  <sheetFormatPr defaultRowHeight="14.4" x14ac:dyDescent="0.3"/>
  <cols>
    <col min="3" max="3" width="9.109375" bestFit="1" customWidth="1"/>
    <col min="4" max="4" width="11.44140625" bestFit="1" customWidth="1"/>
    <col min="5" max="5" width="12.109375" bestFit="1" customWidth="1"/>
    <col min="6" max="6" width="12" bestFit="1" customWidth="1"/>
    <col min="7" max="7" width="9.109375" bestFit="1" customWidth="1"/>
    <col min="8" max="8" width="12.109375" bestFit="1" customWidth="1"/>
    <col min="9" max="9" width="9.109375" bestFit="1" customWidth="1"/>
    <col min="10" max="11" width="12" bestFit="1" customWidth="1"/>
    <col min="12" max="12" width="9" bestFit="1" customWidth="1"/>
  </cols>
  <sheetData>
    <row r="3" spans="2:12" x14ac:dyDescent="0.3">
      <c r="B3" s="20" t="s">
        <v>1889</v>
      </c>
      <c r="C3" s="20" t="s">
        <v>1899</v>
      </c>
      <c r="D3" s="20" t="s">
        <v>1896</v>
      </c>
      <c r="E3" s="20" t="s">
        <v>1897</v>
      </c>
      <c r="F3" s="20" t="s">
        <v>1895</v>
      </c>
      <c r="G3" s="20" t="s">
        <v>1898</v>
      </c>
      <c r="H3" s="20" t="s">
        <v>1902</v>
      </c>
      <c r="I3" s="20" t="s">
        <v>1900</v>
      </c>
    </row>
    <row r="4" spans="2:12" x14ac:dyDescent="0.3">
      <c r="B4" s="20" t="s">
        <v>1899</v>
      </c>
      <c r="C4" s="2" t="s">
        <v>1914</v>
      </c>
      <c r="D4" s="2">
        <v>-75000</v>
      </c>
      <c r="E4" s="2">
        <v>431140</v>
      </c>
      <c r="F4" s="2">
        <v>350000</v>
      </c>
      <c r="G4" s="2">
        <v>2000</v>
      </c>
      <c r="H4" s="2">
        <v>0</v>
      </c>
      <c r="I4" s="2">
        <v>1000</v>
      </c>
      <c r="J4" s="2">
        <f>SUM(C4:I4)</f>
        <v>709140</v>
      </c>
      <c r="K4" s="2">
        <v>709140</v>
      </c>
      <c r="L4" s="2">
        <f>J4-K4</f>
        <v>0</v>
      </c>
    </row>
    <row r="5" spans="2:12" x14ac:dyDescent="0.3">
      <c r="B5" s="20" t="s">
        <v>1896</v>
      </c>
      <c r="C5" s="2">
        <v>0</v>
      </c>
      <c r="D5" s="2" t="s">
        <v>1914</v>
      </c>
      <c r="E5" s="2">
        <v>-400000</v>
      </c>
      <c r="F5" s="2">
        <v>-250000</v>
      </c>
      <c r="G5" s="2">
        <v>0</v>
      </c>
      <c r="H5" s="2">
        <v>-75000</v>
      </c>
      <c r="I5" s="2">
        <v>0</v>
      </c>
      <c r="J5" s="2">
        <f t="shared" ref="J5:J10" si="0">SUM(C5:I5)</f>
        <v>-725000</v>
      </c>
      <c r="K5" s="2">
        <v>-725000</v>
      </c>
      <c r="L5" s="2">
        <f t="shared" ref="L5:L11" si="1">J5-K5</f>
        <v>0</v>
      </c>
    </row>
    <row r="6" spans="2:12" x14ac:dyDescent="0.3">
      <c r="B6" s="20" t="s">
        <v>1897</v>
      </c>
      <c r="C6" s="2">
        <v>0</v>
      </c>
      <c r="D6" s="2">
        <v>550000</v>
      </c>
      <c r="E6" s="2" t="s">
        <v>1914</v>
      </c>
      <c r="F6" s="2">
        <v>350000</v>
      </c>
      <c r="G6" s="2">
        <v>0</v>
      </c>
      <c r="H6" s="2">
        <v>-431140</v>
      </c>
      <c r="I6" s="2">
        <v>0</v>
      </c>
      <c r="J6" s="2">
        <f t="shared" si="0"/>
        <v>468860</v>
      </c>
      <c r="K6" s="2">
        <v>468860</v>
      </c>
      <c r="L6" s="2">
        <f t="shared" si="1"/>
        <v>0</v>
      </c>
    </row>
    <row r="7" spans="2:12" x14ac:dyDescent="0.3">
      <c r="B7" s="20" t="s">
        <v>1895</v>
      </c>
      <c r="C7" s="2">
        <v>0</v>
      </c>
      <c r="D7" s="2">
        <v>250000</v>
      </c>
      <c r="E7" s="2">
        <v>-350000</v>
      </c>
      <c r="F7" s="2" t="s">
        <v>1914</v>
      </c>
      <c r="G7" s="2">
        <v>0</v>
      </c>
      <c r="H7" s="2">
        <v>-350000</v>
      </c>
      <c r="I7" s="2">
        <v>0</v>
      </c>
      <c r="J7" s="2">
        <f t="shared" si="0"/>
        <v>-450000</v>
      </c>
      <c r="K7" s="2">
        <v>-450000</v>
      </c>
      <c r="L7" s="2">
        <f t="shared" si="1"/>
        <v>0</v>
      </c>
    </row>
    <row r="8" spans="2:12" x14ac:dyDescent="0.3">
      <c r="B8" s="20" t="s">
        <v>1898</v>
      </c>
      <c r="C8" s="2">
        <v>0</v>
      </c>
      <c r="D8" s="2">
        <v>0</v>
      </c>
      <c r="E8" s="2">
        <v>0</v>
      </c>
      <c r="F8" s="2">
        <v>0</v>
      </c>
      <c r="G8" s="2" t="s">
        <v>1914</v>
      </c>
      <c r="H8" s="2">
        <v>-2000</v>
      </c>
      <c r="I8" s="2">
        <v>0</v>
      </c>
      <c r="J8" s="2">
        <f t="shared" si="0"/>
        <v>-2000</v>
      </c>
      <c r="K8" s="2">
        <v>-2000</v>
      </c>
      <c r="L8" s="2">
        <f t="shared" si="1"/>
        <v>0</v>
      </c>
    </row>
    <row r="9" spans="2:12" x14ac:dyDescent="0.3">
      <c r="B9" s="20" t="s">
        <v>1902</v>
      </c>
      <c r="C9" s="2">
        <v>0</v>
      </c>
      <c r="D9" s="2">
        <v>0</v>
      </c>
      <c r="E9" s="2">
        <v>0</v>
      </c>
      <c r="F9" s="2">
        <v>0</v>
      </c>
      <c r="G9" s="2">
        <v>0</v>
      </c>
      <c r="H9" s="2" t="s">
        <v>1914</v>
      </c>
      <c r="I9" s="2">
        <v>0</v>
      </c>
      <c r="J9" s="2">
        <f t="shared" si="0"/>
        <v>0</v>
      </c>
      <c r="K9" s="2">
        <v>0</v>
      </c>
      <c r="L9" s="2">
        <f t="shared" si="1"/>
        <v>0</v>
      </c>
    </row>
    <row r="10" spans="2:12" x14ac:dyDescent="0.3">
      <c r="B10" s="20" t="s">
        <v>1900</v>
      </c>
      <c r="C10" s="2">
        <v>0</v>
      </c>
      <c r="D10" s="2">
        <v>0</v>
      </c>
      <c r="E10" s="2">
        <v>0</v>
      </c>
      <c r="F10" s="2">
        <v>0</v>
      </c>
      <c r="G10" s="2">
        <v>0</v>
      </c>
      <c r="H10" s="2">
        <v>-1000</v>
      </c>
      <c r="I10" s="2" t="s">
        <v>1914</v>
      </c>
      <c r="J10" s="2">
        <f t="shared" si="0"/>
        <v>-1000</v>
      </c>
      <c r="K10" s="2">
        <v>-1000</v>
      </c>
      <c r="L10" s="2">
        <f t="shared" si="1"/>
        <v>0</v>
      </c>
    </row>
    <row r="11" spans="2:12" x14ac:dyDescent="0.3">
      <c r="C11" s="2">
        <f t="shared" ref="C11:H11" si="2">SUM(C4:C10)</f>
        <v>0</v>
      </c>
      <c r="D11" s="2">
        <f t="shared" si="2"/>
        <v>725000</v>
      </c>
      <c r="E11" s="2">
        <f t="shared" si="2"/>
        <v>-318860</v>
      </c>
      <c r="F11" s="2">
        <f t="shared" si="2"/>
        <v>450000</v>
      </c>
      <c r="G11" s="2">
        <f t="shared" si="2"/>
        <v>2000</v>
      </c>
      <c r="H11" s="2">
        <f t="shared" si="2"/>
        <v>-859140</v>
      </c>
      <c r="I11" s="2">
        <f>SUM(I4:I10)</f>
        <v>1000</v>
      </c>
      <c r="J11" s="2"/>
      <c r="K11" s="2"/>
      <c r="L11" s="2">
        <f t="shared" si="1"/>
        <v>0</v>
      </c>
    </row>
    <row r="12" spans="2:12" x14ac:dyDescent="0.3">
      <c r="C12" s="2">
        <v>0</v>
      </c>
      <c r="D12" s="2">
        <v>725000</v>
      </c>
      <c r="E12" s="2">
        <v>-318860</v>
      </c>
      <c r="F12" s="2">
        <v>450000</v>
      </c>
      <c r="G12" s="2">
        <v>2000</v>
      </c>
      <c r="H12" s="2">
        <v>-859140</v>
      </c>
      <c r="I12" s="2">
        <v>1000</v>
      </c>
      <c r="J12" s="2"/>
      <c r="K12" s="2"/>
      <c r="L12" s="2"/>
    </row>
    <row r="13" spans="2:12" x14ac:dyDescent="0.3">
      <c r="C13" s="2">
        <f>C11-C12</f>
        <v>0</v>
      </c>
      <c r="D13" s="2">
        <f t="shared" ref="D13:I13" si="3">D11-D12</f>
        <v>0</v>
      </c>
      <c r="E13" s="2">
        <f t="shared" si="3"/>
        <v>0</v>
      </c>
      <c r="F13" s="2">
        <f t="shared" si="3"/>
        <v>0</v>
      </c>
      <c r="G13" s="2">
        <f t="shared" si="3"/>
        <v>0</v>
      </c>
      <c r="H13" s="2">
        <f t="shared" si="3"/>
        <v>0</v>
      </c>
      <c r="I13" s="2">
        <f t="shared" si="3"/>
        <v>0</v>
      </c>
      <c r="J13" s="2"/>
      <c r="K13" s="2"/>
      <c r="L1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7708-0099-4A5E-A2F1-6EDFB40E6CAF}">
  <dimension ref="A1:N1446"/>
  <sheetViews>
    <sheetView tabSelected="1" workbookViewId="0">
      <selection activeCell="I4" sqref="I4"/>
    </sheetView>
  </sheetViews>
  <sheetFormatPr defaultRowHeight="14.4" x14ac:dyDescent="0.3"/>
  <cols>
    <col min="1" max="1" width="10.33203125" bestFit="1" customWidth="1"/>
    <col min="2" max="2" width="47.88671875" bestFit="1" customWidth="1"/>
    <col min="3" max="3" width="12.5546875" customWidth="1"/>
    <col min="4" max="4" width="12.33203125" bestFit="1" customWidth="1"/>
    <col min="5" max="5" width="13.109375" bestFit="1" customWidth="1"/>
    <col min="6" max="6" width="13.77734375" bestFit="1" customWidth="1"/>
    <col min="7" max="8" width="13.77734375" customWidth="1"/>
    <col min="9" max="9" width="12.5546875" bestFit="1" customWidth="1"/>
    <col min="13" max="13" width="11.33203125" bestFit="1" customWidth="1"/>
    <col min="14" max="14" width="9.88671875" bestFit="1" customWidth="1"/>
  </cols>
  <sheetData>
    <row r="1" spans="1:13" x14ac:dyDescent="0.3">
      <c r="D1" s="23">
        <f>D3-D2</f>
        <v>14776275.299999993</v>
      </c>
      <c r="E1" s="23">
        <f>E3-E2</f>
        <v>14204855.899999997</v>
      </c>
      <c r="F1" s="24"/>
      <c r="L1" s="2"/>
    </row>
    <row r="2" spans="1:13" x14ac:dyDescent="0.3">
      <c r="A2" s="22" t="s">
        <v>1893</v>
      </c>
      <c r="D2" s="2">
        <v>2457472.79</v>
      </c>
      <c r="E2" s="2">
        <v>2378549</v>
      </c>
      <c r="F2" s="23">
        <f>D1-E1</f>
        <v>571419.39999999665</v>
      </c>
      <c r="G2">
        <f>D3-E3</f>
        <v>650343.18999999575</v>
      </c>
      <c r="L2" s="8">
        <f>F324-L1</f>
        <v>124244.95</v>
      </c>
      <c r="M2">
        <v>124660.4</v>
      </c>
    </row>
    <row r="3" spans="1:13" x14ac:dyDescent="0.3">
      <c r="A3" s="22" t="s">
        <v>1892</v>
      </c>
      <c r="D3" s="23">
        <f>SUBTOTAL(9,D5:D1445)</f>
        <v>17233748.089999992</v>
      </c>
      <c r="E3" s="23">
        <f>SUBTOTAL(9,E5:E1445)</f>
        <v>16583404.899999997</v>
      </c>
      <c r="F3" s="24">
        <f>E3-D3</f>
        <v>-650343.18999999575</v>
      </c>
      <c r="M3" s="8">
        <f>M2-F329</f>
        <v>14000.449999999997</v>
      </c>
    </row>
    <row r="4" spans="1:13" x14ac:dyDescent="0.3">
      <c r="A4" s="19" t="s">
        <v>1888</v>
      </c>
      <c r="B4" s="20" t="s">
        <v>1889</v>
      </c>
      <c r="C4" s="19" t="s">
        <v>1890</v>
      </c>
      <c r="D4" s="19" t="s">
        <v>4</v>
      </c>
      <c r="E4" s="20" t="s">
        <v>5</v>
      </c>
      <c r="F4" s="19" t="s">
        <v>747</v>
      </c>
      <c r="G4" s="19" t="s">
        <v>119</v>
      </c>
      <c r="H4" s="19" t="s">
        <v>1912</v>
      </c>
      <c r="I4" s="21" t="s">
        <v>1891</v>
      </c>
      <c r="J4" s="19" t="s">
        <v>1894</v>
      </c>
    </row>
    <row r="5" spans="1:13" x14ac:dyDescent="0.3">
      <c r="A5" s="1">
        <v>45383</v>
      </c>
      <c r="B5" t="s">
        <v>748</v>
      </c>
      <c r="C5" t="s">
        <v>749</v>
      </c>
      <c r="D5" s="2">
        <v>27000</v>
      </c>
      <c r="E5" s="2">
        <v>0</v>
      </c>
      <c r="F5" s="2">
        <v>-27195.37</v>
      </c>
      <c r="G5" s="2" t="str">
        <f t="shared" ref="G5:G68" si="0">TEXT(A5,"DD")&amp;"-"&amp;TEXT(A5,"MM")&amp;"-"&amp;TEXT(A5,"YYYY")&amp;" "&amp;B5</f>
        <v>01-04-2024    TO TRANSFER-INB Deposit / Investment--</v>
      </c>
      <c r="H5" s="2" t="s">
        <v>1911</v>
      </c>
      <c r="I5" t="s">
        <v>1842</v>
      </c>
      <c r="J5" t="s">
        <v>1897</v>
      </c>
      <c r="K5" t="s">
        <v>1913</v>
      </c>
    </row>
    <row r="6" spans="1:13" x14ac:dyDescent="0.3">
      <c r="A6" s="1">
        <v>45383</v>
      </c>
      <c r="B6" t="s">
        <v>1727</v>
      </c>
      <c r="C6" t="s">
        <v>1733</v>
      </c>
      <c r="D6" s="2">
        <v>0</v>
      </c>
      <c r="E6" s="2">
        <v>27000</v>
      </c>
      <c r="F6" s="2">
        <v>95703.28</v>
      </c>
      <c r="G6" s="2" t="str">
        <f t="shared" si="0"/>
        <v>01-04-2024    BY TRANSFER-INB Deposit / Investment--</v>
      </c>
      <c r="H6" s="2" t="s">
        <v>1911</v>
      </c>
      <c r="I6" t="s">
        <v>1906</v>
      </c>
      <c r="J6" t="s">
        <v>1899</v>
      </c>
      <c r="K6" t="s">
        <v>1913</v>
      </c>
    </row>
    <row r="7" spans="1:13" x14ac:dyDescent="0.3">
      <c r="A7" s="1">
        <v>45383</v>
      </c>
      <c r="B7" t="s">
        <v>125</v>
      </c>
      <c r="C7" t="s">
        <v>126</v>
      </c>
      <c r="D7" s="2">
        <v>1812.32</v>
      </c>
      <c r="E7" s="2">
        <v>0</v>
      </c>
      <c r="F7" s="2">
        <v>36117.29</v>
      </c>
      <c r="G7" s="2" t="str">
        <f t="shared" si="0"/>
        <v>01-04-2024 NET PI TO HSL SEC A/C 347707-00602340029392</v>
      </c>
      <c r="H7" s="2" t="s">
        <v>1911</v>
      </c>
      <c r="I7" t="s">
        <v>361</v>
      </c>
      <c r="J7" t="s">
        <v>1896</v>
      </c>
    </row>
    <row r="8" spans="1:13" x14ac:dyDescent="0.3">
      <c r="A8" s="1">
        <v>45384</v>
      </c>
      <c r="B8" t="s">
        <v>750</v>
      </c>
      <c r="C8" t="s">
        <v>751</v>
      </c>
      <c r="D8" s="2">
        <v>0</v>
      </c>
      <c r="E8" s="2">
        <v>26595</v>
      </c>
      <c r="F8" s="2">
        <v>-600.37</v>
      </c>
      <c r="G8" s="2" t="str">
        <f t="shared" si="0"/>
        <v>02-04-2024    DEPOSIT TRANSFER---</v>
      </c>
      <c r="H8" s="2" t="s">
        <v>1911</v>
      </c>
      <c r="I8" t="s">
        <v>1842</v>
      </c>
      <c r="J8" t="s">
        <v>1897</v>
      </c>
      <c r="K8" t="s">
        <v>1913</v>
      </c>
    </row>
    <row r="9" spans="1:13" x14ac:dyDescent="0.3">
      <c r="A9" s="1">
        <v>45384</v>
      </c>
      <c r="B9" t="s">
        <v>1734</v>
      </c>
      <c r="C9" t="s">
        <v>1735</v>
      </c>
      <c r="D9" s="2">
        <v>26595</v>
      </c>
      <c r="E9" s="2">
        <v>0</v>
      </c>
      <c r="F9" s="2">
        <v>69108.28</v>
      </c>
      <c r="G9" s="2" t="str">
        <f t="shared" si="0"/>
        <v>02-04-2024    WITHDRAWAL TRANSFER---</v>
      </c>
      <c r="H9" s="2" t="s">
        <v>1911</v>
      </c>
      <c r="I9" t="s">
        <v>1906</v>
      </c>
      <c r="J9" t="s">
        <v>1899</v>
      </c>
      <c r="K9" t="s">
        <v>1913</v>
      </c>
    </row>
    <row r="10" spans="1:13" x14ac:dyDescent="0.3">
      <c r="A10" s="1">
        <v>45384</v>
      </c>
      <c r="B10" t="s">
        <v>125</v>
      </c>
      <c r="C10" t="s">
        <v>127</v>
      </c>
      <c r="D10" s="2">
        <v>19318.18</v>
      </c>
      <c r="E10" s="2">
        <v>0</v>
      </c>
      <c r="F10" s="2">
        <v>16799.11</v>
      </c>
      <c r="G10" s="2" t="str">
        <f t="shared" si="0"/>
        <v>02-04-2024 NET PI TO HSL SEC A/C 347707-00602340029392</v>
      </c>
      <c r="H10" s="2" t="s">
        <v>1911</v>
      </c>
      <c r="I10" t="s">
        <v>361</v>
      </c>
      <c r="J10" t="s">
        <v>1896</v>
      </c>
    </row>
    <row r="11" spans="1:13" x14ac:dyDescent="0.3">
      <c r="A11" s="1">
        <v>45384</v>
      </c>
      <c r="B11" t="s">
        <v>128</v>
      </c>
      <c r="C11" t="s">
        <v>129</v>
      </c>
      <c r="D11" s="2">
        <v>0</v>
      </c>
      <c r="E11" s="2">
        <v>5099.51</v>
      </c>
      <c r="F11" s="2">
        <v>21898.62</v>
      </c>
      <c r="G11" s="2" t="str">
        <f t="shared" si="0"/>
        <v>02-04-2024 NET PO FROM HSL A/C 347707-50200085415108</v>
      </c>
      <c r="H11" s="2" t="s">
        <v>1911</v>
      </c>
      <c r="I11" t="s">
        <v>361</v>
      </c>
      <c r="J11" t="s">
        <v>1896</v>
      </c>
    </row>
    <row r="12" spans="1:13" x14ac:dyDescent="0.3">
      <c r="A12" s="1">
        <v>45384</v>
      </c>
      <c r="B12" t="s">
        <v>128</v>
      </c>
      <c r="C12" t="s">
        <v>130</v>
      </c>
      <c r="D12" s="2">
        <v>0</v>
      </c>
      <c r="E12" s="2">
        <v>20780.759999999998</v>
      </c>
      <c r="F12" s="2">
        <v>42679.38</v>
      </c>
      <c r="G12" s="2" t="str">
        <f t="shared" si="0"/>
        <v>02-04-2024 NET PO FROM HSL A/C 347707-50200085415108</v>
      </c>
      <c r="H12" s="2" t="s">
        <v>1911</v>
      </c>
      <c r="I12" t="s">
        <v>361</v>
      </c>
      <c r="J12" t="s">
        <v>1896</v>
      </c>
    </row>
    <row r="13" spans="1:13" x14ac:dyDescent="0.3">
      <c r="A13" s="1">
        <v>45384</v>
      </c>
      <c r="B13" t="s">
        <v>125</v>
      </c>
      <c r="C13" t="s">
        <v>131</v>
      </c>
      <c r="D13" s="2">
        <v>446.2</v>
      </c>
      <c r="E13" s="2">
        <v>0</v>
      </c>
      <c r="F13" s="2">
        <v>42233.18</v>
      </c>
      <c r="G13" s="2" t="str">
        <f t="shared" si="0"/>
        <v>02-04-2024 NET PI TO HSL SEC A/C 347707-00602340029392</v>
      </c>
      <c r="H13" s="2" t="s">
        <v>1911</v>
      </c>
      <c r="I13" t="s">
        <v>361</v>
      </c>
      <c r="J13" t="s">
        <v>1896</v>
      </c>
    </row>
    <row r="14" spans="1:13" x14ac:dyDescent="0.3">
      <c r="A14" s="1">
        <v>45384</v>
      </c>
      <c r="B14" t="s">
        <v>125</v>
      </c>
      <c r="C14" t="s">
        <v>132</v>
      </c>
      <c r="D14" s="2">
        <v>14690.62</v>
      </c>
      <c r="E14" s="2">
        <v>0</v>
      </c>
      <c r="F14" s="2">
        <v>27542.560000000001</v>
      </c>
      <c r="G14" s="2" t="str">
        <f t="shared" si="0"/>
        <v>02-04-2024 NET PI TO HSL SEC A/C 347707-00602340029392</v>
      </c>
      <c r="H14" s="2" t="s">
        <v>1911</v>
      </c>
      <c r="I14" t="s">
        <v>361</v>
      </c>
      <c r="J14" t="s">
        <v>1896</v>
      </c>
    </row>
    <row r="15" spans="1:13" x14ac:dyDescent="0.3">
      <c r="A15" s="1">
        <v>45385</v>
      </c>
      <c r="B15" t="s">
        <v>125</v>
      </c>
      <c r="C15" t="s">
        <v>133</v>
      </c>
      <c r="D15" s="2">
        <v>421.05</v>
      </c>
      <c r="E15" s="2">
        <v>0</v>
      </c>
      <c r="F15" s="2">
        <v>27121.51</v>
      </c>
      <c r="G15" s="2" t="str">
        <f t="shared" si="0"/>
        <v>03-04-2024 NET PI TO HSL SEC A/C 347707-00602340029392</v>
      </c>
      <c r="H15" s="2" t="s">
        <v>1911</v>
      </c>
      <c r="I15" t="s">
        <v>361</v>
      </c>
      <c r="J15" t="s">
        <v>1896</v>
      </c>
    </row>
    <row r="16" spans="1:13" x14ac:dyDescent="0.3">
      <c r="A16" s="1">
        <v>45386</v>
      </c>
      <c r="B16" t="s">
        <v>128</v>
      </c>
      <c r="C16" t="s">
        <v>134</v>
      </c>
      <c r="D16" s="2">
        <v>0</v>
      </c>
      <c r="E16" s="2">
        <v>10225.459999999999</v>
      </c>
      <c r="F16" s="2">
        <v>37346.97</v>
      </c>
      <c r="G16" s="2" t="str">
        <f t="shared" si="0"/>
        <v>04-04-2024 NET PO FROM HSL A/C 347707-50200085415108</v>
      </c>
      <c r="H16" s="2" t="s">
        <v>1911</v>
      </c>
      <c r="I16" t="s">
        <v>361</v>
      </c>
      <c r="J16" t="s">
        <v>1896</v>
      </c>
    </row>
    <row r="17" spans="1:10" x14ac:dyDescent="0.3">
      <c r="A17" s="1">
        <v>45386</v>
      </c>
      <c r="B17" t="s">
        <v>125</v>
      </c>
      <c r="C17" t="s">
        <v>135</v>
      </c>
      <c r="D17" s="2">
        <v>437.2</v>
      </c>
      <c r="E17" s="2">
        <v>0</v>
      </c>
      <c r="F17" s="2">
        <v>36909.769999999997</v>
      </c>
      <c r="G17" s="2" t="str">
        <f t="shared" si="0"/>
        <v>04-04-2024 NET PI TO HSL SEC A/C 347707-00602340029392</v>
      </c>
      <c r="H17" s="2" t="s">
        <v>1911</v>
      </c>
      <c r="I17" t="s">
        <v>361</v>
      </c>
      <c r="J17" t="s">
        <v>1896</v>
      </c>
    </row>
    <row r="18" spans="1:10" x14ac:dyDescent="0.3">
      <c r="A18" s="1">
        <v>45386</v>
      </c>
      <c r="B18" t="s">
        <v>125</v>
      </c>
      <c r="C18" t="s">
        <v>136</v>
      </c>
      <c r="D18" s="2">
        <v>1425.24</v>
      </c>
      <c r="E18" s="2">
        <v>0</v>
      </c>
      <c r="F18" s="2">
        <v>35484.53</v>
      </c>
      <c r="G18" s="2" t="str">
        <f t="shared" si="0"/>
        <v>04-04-2024 NET PI TO HSL SEC A/C 347707-00602340029392</v>
      </c>
      <c r="H18" s="2" t="s">
        <v>1911</v>
      </c>
      <c r="I18" t="s">
        <v>361</v>
      </c>
      <c r="J18" t="s">
        <v>1896</v>
      </c>
    </row>
    <row r="19" spans="1:10" x14ac:dyDescent="0.3">
      <c r="A19" s="1">
        <v>45386</v>
      </c>
      <c r="B19" t="s">
        <v>1736</v>
      </c>
      <c r="C19" t="s">
        <v>1737</v>
      </c>
      <c r="D19" s="2">
        <v>11983.88</v>
      </c>
      <c r="E19" s="2">
        <v>0</v>
      </c>
      <c r="F19" s="2">
        <v>57124.4</v>
      </c>
      <c r="G19" s="2" t="str">
        <f t="shared" si="0"/>
        <v>04-04-2024    TO TRANSFER-ForTrading--</v>
      </c>
      <c r="H19" s="2" t="s">
        <v>1911</v>
      </c>
      <c r="I19" t="s">
        <v>1847</v>
      </c>
      <c r="J19" t="s">
        <v>1899</v>
      </c>
    </row>
    <row r="20" spans="1:10" x14ac:dyDescent="0.3">
      <c r="A20" s="1">
        <v>45387</v>
      </c>
      <c r="B20" t="s">
        <v>139</v>
      </c>
      <c r="C20" t="s">
        <v>140</v>
      </c>
      <c r="D20" s="2">
        <v>1652</v>
      </c>
      <c r="E20" s="2">
        <v>0</v>
      </c>
      <c r="F20" s="2">
        <v>59069.79</v>
      </c>
      <c r="G20" s="2" t="str">
        <f t="shared" si="0"/>
        <v>05-04-2024 DEPOSITORY CHARGES MAR24 - 40227714</v>
      </c>
      <c r="H20" s="2" t="s">
        <v>1911</v>
      </c>
      <c r="I20" t="s">
        <v>362</v>
      </c>
      <c r="J20" t="s">
        <v>1896</v>
      </c>
    </row>
    <row r="21" spans="1:10" x14ac:dyDescent="0.3">
      <c r="A21" s="1">
        <v>45387</v>
      </c>
      <c r="B21" t="s">
        <v>128</v>
      </c>
      <c r="C21" t="s">
        <v>137</v>
      </c>
      <c r="D21" s="2">
        <v>0</v>
      </c>
      <c r="E21" s="2">
        <v>25672.95</v>
      </c>
      <c r="F21" s="2">
        <v>61157.48</v>
      </c>
      <c r="G21" s="2" t="str">
        <f t="shared" si="0"/>
        <v>05-04-2024 NET PO FROM HSL A/C 347707-50200085415108</v>
      </c>
      <c r="H21" s="2" t="s">
        <v>1911</v>
      </c>
      <c r="I21" t="s">
        <v>361</v>
      </c>
      <c r="J21" t="s">
        <v>1896</v>
      </c>
    </row>
    <row r="22" spans="1:10" x14ac:dyDescent="0.3">
      <c r="A22" s="1">
        <v>45387</v>
      </c>
      <c r="B22" t="s">
        <v>125</v>
      </c>
      <c r="C22" t="s">
        <v>138</v>
      </c>
      <c r="D22" s="2">
        <v>435.69</v>
      </c>
      <c r="E22" s="2">
        <v>0</v>
      </c>
      <c r="F22" s="2">
        <v>60721.79</v>
      </c>
      <c r="G22" s="2" t="str">
        <f t="shared" si="0"/>
        <v>05-04-2024 NET PI TO HSL SEC A/C 347707-00602340029392</v>
      </c>
      <c r="H22" s="2" t="s">
        <v>1911</v>
      </c>
      <c r="I22" t="s">
        <v>361</v>
      </c>
      <c r="J22" t="s">
        <v>1896</v>
      </c>
    </row>
    <row r="23" spans="1:10" x14ac:dyDescent="0.3">
      <c r="A23" s="1">
        <v>45387</v>
      </c>
      <c r="B23" t="s">
        <v>125</v>
      </c>
      <c r="C23" t="s">
        <v>141</v>
      </c>
      <c r="D23" s="2">
        <v>1443.03</v>
      </c>
      <c r="E23" s="2">
        <v>0</v>
      </c>
      <c r="F23" s="2">
        <v>57626.76</v>
      </c>
      <c r="G23" s="2" t="str">
        <f t="shared" si="0"/>
        <v>05-04-2024 NET PI TO HSL SEC A/C 347707-00602340029392</v>
      </c>
      <c r="H23" s="2" t="s">
        <v>1911</v>
      </c>
      <c r="I23" t="s">
        <v>361</v>
      </c>
      <c r="J23" t="s">
        <v>1896</v>
      </c>
    </row>
    <row r="24" spans="1:10" x14ac:dyDescent="0.3">
      <c r="A24" s="1">
        <v>45387</v>
      </c>
      <c r="B24" t="s">
        <v>1738</v>
      </c>
      <c r="C24" t="s">
        <v>1739</v>
      </c>
      <c r="D24" s="2">
        <v>24.78</v>
      </c>
      <c r="E24" s="2">
        <v>0</v>
      </c>
      <c r="F24" s="2">
        <v>57099.62</v>
      </c>
      <c r="G24" s="2" t="str">
        <f t="shared" si="0"/>
        <v>05-04-2024    TO TRANSFER-CMP SBI CAPS--</v>
      </c>
      <c r="H24" s="2" t="s">
        <v>1911</v>
      </c>
      <c r="I24" t="s">
        <v>1844</v>
      </c>
      <c r="J24" t="s">
        <v>1899</v>
      </c>
    </row>
    <row r="25" spans="1:10" x14ac:dyDescent="0.3">
      <c r="A25" s="1">
        <v>45390</v>
      </c>
      <c r="B25" t="s">
        <v>8</v>
      </c>
      <c r="C25" t="s">
        <v>7</v>
      </c>
      <c r="D25" s="2">
        <v>18264.43</v>
      </c>
      <c r="E25" s="2">
        <v>0</v>
      </c>
      <c r="F25" s="2">
        <v>72351.429999999993</v>
      </c>
      <c r="G25" s="2" t="str">
        <f t="shared" si="0"/>
        <v>08-04-2024 BRN-PYMT-CARD-4111460000883615</v>
      </c>
      <c r="H25" s="2" t="s">
        <v>1911</v>
      </c>
      <c r="I25" t="s">
        <v>1877</v>
      </c>
      <c r="J25" t="s">
        <v>1895</v>
      </c>
    </row>
    <row r="26" spans="1:10" x14ac:dyDescent="0.3">
      <c r="A26" s="1">
        <v>45390</v>
      </c>
      <c r="B26" t="s">
        <v>128</v>
      </c>
      <c r="C26" t="s">
        <v>142</v>
      </c>
      <c r="D26" s="2">
        <v>0</v>
      </c>
      <c r="E26" s="2">
        <v>17621.38</v>
      </c>
      <c r="F26" s="2">
        <v>75248.14</v>
      </c>
      <c r="G26" s="2" t="str">
        <f t="shared" si="0"/>
        <v>08-04-2024 NET PO FROM HSL A/C 347707-50200085415108</v>
      </c>
      <c r="H26" s="2" t="s">
        <v>1911</v>
      </c>
      <c r="I26" t="s">
        <v>361</v>
      </c>
      <c r="J26" t="s">
        <v>1896</v>
      </c>
    </row>
    <row r="27" spans="1:10" x14ac:dyDescent="0.3">
      <c r="A27" s="1">
        <v>45390</v>
      </c>
      <c r="B27" t="s">
        <v>125</v>
      </c>
      <c r="C27" t="s">
        <v>143</v>
      </c>
      <c r="D27" s="2">
        <v>1316.88</v>
      </c>
      <c r="E27" s="2">
        <v>0</v>
      </c>
      <c r="F27" s="2">
        <v>73931.259999999995</v>
      </c>
      <c r="G27" s="2" t="str">
        <f t="shared" si="0"/>
        <v>08-04-2024 NET PI TO HSL SEC A/C 347707-00602340029392</v>
      </c>
      <c r="H27" s="2" t="s">
        <v>1911</v>
      </c>
      <c r="I27" t="s">
        <v>361</v>
      </c>
      <c r="J27" t="s">
        <v>1896</v>
      </c>
    </row>
    <row r="28" spans="1:10" x14ac:dyDescent="0.3">
      <c r="A28" s="1">
        <v>45390</v>
      </c>
      <c r="B28" t="s">
        <v>125</v>
      </c>
      <c r="C28" t="s">
        <v>144</v>
      </c>
      <c r="D28" s="2">
        <v>7512.35</v>
      </c>
      <c r="E28" s="2">
        <v>0</v>
      </c>
      <c r="F28" s="2">
        <v>66418.91</v>
      </c>
      <c r="G28" s="2" t="str">
        <f t="shared" si="0"/>
        <v>08-04-2024 NET PI TO HSL SEC A/C 347707-00602340029392</v>
      </c>
      <c r="H28" s="2" t="s">
        <v>1911</v>
      </c>
      <c r="I28" t="s">
        <v>361</v>
      </c>
      <c r="J28" t="s">
        <v>1896</v>
      </c>
    </row>
    <row r="29" spans="1:10" x14ac:dyDescent="0.3">
      <c r="A29" s="1">
        <v>45391</v>
      </c>
      <c r="B29" t="s">
        <v>125</v>
      </c>
      <c r="C29" t="s">
        <v>145</v>
      </c>
      <c r="D29" s="2">
        <v>6794.95</v>
      </c>
      <c r="E29" s="2">
        <v>0</v>
      </c>
      <c r="F29" s="2">
        <v>59623.96</v>
      </c>
      <c r="G29" s="2" t="str">
        <f t="shared" si="0"/>
        <v>09-04-2024 NET PI TO HSL SEC A/C 347707-00602340029392</v>
      </c>
      <c r="H29" s="2" t="s">
        <v>1911</v>
      </c>
      <c r="I29" t="s">
        <v>361</v>
      </c>
      <c r="J29" t="s">
        <v>1896</v>
      </c>
    </row>
    <row r="30" spans="1:10" x14ac:dyDescent="0.3">
      <c r="A30" s="1">
        <v>45392</v>
      </c>
      <c r="B30" t="s">
        <v>125</v>
      </c>
      <c r="C30" t="s">
        <v>148</v>
      </c>
      <c r="D30" s="2">
        <v>434.02</v>
      </c>
      <c r="E30" s="2">
        <v>0</v>
      </c>
      <c r="F30" s="2">
        <v>49189.94</v>
      </c>
      <c r="G30" s="2" t="str">
        <f t="shared" si="0"/>
        <v>10-04-2024 NET PI TO HSL SEC A/C 347707-00602340029392</v>
      </c>
      <c r="H30" s="2" t="s">
        <v>1911</v>
      </c>
      <c r="I30" t="s">
        <v>361</v>
      </c>
      <c r="J30" t="s">
        <v>1896</v>
      </c>
    </row>
    <row r="31" spans="1:10" x14ac:dyDescent="0.3">
      <c r="A31" s="1">
        <v>45392</v>
      </c>
      <c r="B31" t="s">
        <v>125</v>
      </c>
      <c r="C31" t="s">
        <v>149</v>
      </c>
      <c r="D31" s="2">
        <v>2033.3</v>
      </c>
      <c r="E31" s="2">
        <v>0</v>
      </c>
      <c r="F31" s="2">
        <v>47156.639999999999</v>
      </c>
      <c r="G31" s="2" t="str">
        <f t="shared" si="0"/>
        <v>10-04-2024 NET PI TO HSL SEC A/C 347707-00602340029392</v>
      </c>
      <c r="H31" s="2" t="s">
        <v>1911</v>
      </c>
      <c r="I31" t="s">
        <v>361</v>
      </c>
      <c r="J31" t="s">
        <v>1896</v>
      </c>
    </row>
    <row r="32" spans="1:10" x14ac:dyDescent="0.3">
      <c r="A32" s="1">
        <v>45392</v>
      </c>
      <c r="B32" t="s">
        <v>1740</v>
      </c>
      <c r="C32" t="s">
        <v>1741</v>
      </c>
      <c r="D32" s="2">
        <v>0</v>
      </c>
      <c r="E32" s="2">
        <v>42627.03</v>
      </c>
      <c r="F32" s="2">
        <v>99726.65</v>
      </c>
      <c r="G32" s="2" t="str">
        <f t="shared" si="0"/>
        <v>10-04-2024    BY TRANSFER-INB -For 19260165--</v>
      </c>
      <c r="H32" s="2" t="s">
        <v>1911</v>
      </c>
      <c r="I32" t="s">
        <v>1887</v>
      </c>
      <c r="J32" t="s">
        <v>1899</v>
      </c>
    </row>
    <row r="33" spans="1:10" x14ac:dyDescent="0.3">
      <c r="A33" s="1">
        <v>45392</v>
      </c>
      <c r="B33" t="s">
        <v>146</v>
      </c>
      <c r="C33" t="s">
        <v>147</v>
      </c>
      <c r="D33" s="2">
        <v>10000</v>
      </c>
      <c r="E33" s="2">
        <v>0</v>
      </c>
      <c r="F33" s="2">
        <v>49623.96</v>
      </c>
      <c r="G33" s="2" t="str">
        <f t="shared" si="0"/>
        <v>10-04-2024 ACH D- INDIAN CLEARING CORP-P25847605X05</v>
      </c>
      <c r="H33" s="2" t="s">
        <v>1911</v>
      </c>
      <c r="I33" t="s">
        <v>1854</v>
      </c>
      <c r="J33" t="s">
        <v>1896</v>
      </c>
    </row>
    <row r="34" spans="1:10" x14ac:dyDescent="0.3">
      <c r="A34" s="1">
        <v>45392</v>
      </c>
      <c r="B34" t="s">
        <v>9</v>
      </c>
      <c r="C34" t="s">
        <v>7</v>
      </c>
      <c r="D34" s="2">
        <v>30</v>
      </c>
      <c r="E34" s="2">
        <v>0</v>
      </c>
      <c r="F34" s="2">
        <v>72321.429999999993</v>
      </c>
      <c r="G34" s="2" t="str">
        <f t="shared" si="0"/>
        <v>10-04-2024 UPI/P2M/446744091172/BHAUSAHEB MOTIRAM GAR/Vegita/Yes Bank Ltd</v>
      </c>
      <c r="H34" s="2" t="s">
        <v>1911</v>
      </c>
      <c r="I34" t="s">
        <v>356</v>
      </c>
      <c r="J34" t="s">
        <v>1895</v>
      </c>
    </row>
    <row r="35" spans="1:10" x14ac:dyDescent="0.3">
      <c r="A35" s="1">
        <v>45394</v>
      </c>
      <c r="B35" t="s">
        <v>128</v>
      </c>
      <c r="C35" t="s">
        <v>150</v>
      </c>
      <c r="D35" s="2">
        <v>0</v>
      </c>
      <c r="E35" s="2">
        <v>6052.98</v>
      </c>
      <c r="F35" s="2">
        <v>53209.62</v>
      </c>
      <c r="G35" s="2" t="str">
        <f t="shared" si="0"/>
        <v>12-04-2024 NET PO FROM HSL A/C 347707-50200085415108</v>
      </c>
      <c r="H35" s="2" t="s">
        <v>1911</v>
      </c>
      <c r="I35" t="s">
        <v>361</v>
      </c>
      <c r="J35" t="s">
        <v>1896</v>
      </c>
    </row>
    <row r="36" spans="1:10" x14ac:dyDescent="0.3">
      <c r="A36" s="1">
        <v>45394</v>
      </c>
      <c r="B36" t="s">
        <v>128</v>
      </c>
      <c r="C36" t="s">
        <v>151</v>
      </c>
      <c r="D36" s="2">
        <v>0</v>
      </c>
      <c r="E36" s="2">
        <v>22935.47</v>
      </c>
      <c r="F36" s="2">
        <v>76145.09</v>
      </c>
      <c r="G36" s="2" t="str">
        <f t="shared" si="0"/>
        <v>12-04-2024 NET PO FROM HSL A/C 347707-50200085415108</v>
      </c>
      <c r="H36" s="2" t="s">
        <v>1911</v>
      </c>
      <c r="I36" t="s">
        <v>361</v>
      </c>
      <c r="J36" t="s">
        <v>1896</v>
      </c>
    </row>
    <row r="37" spans="1:10" x14ac:dyDescent="0.3">
      <c r="A37" s="1">
        <v>45394</v>
      </c>
      <c r="B37" t="s">
        <v>125</v>
      </c>
      <c r="C37" t="s">
        <v>152</v>
      </c>
      <c r="D37" s="2">
        <v>879.04</v>
      </c>
      <c r="E37" s="2">
        <v>0</v>
      </c>
      <c r="F37" s="2">
        <v>75266.05</v>
      </c>
      <c r="G37" s="2" t="str">
        <f t="shared" si="0"/>
        <v>12-04-2024 NET PI TO HSL SEC A/C 347707-00602340029392</v>
      </c>
      <c r="H37" s="2" t="s">
        <v>1911</v>
      </c>
      <c r="I37" t="s">
        <v>361</v>
      </c>
      <c r="J37" t="s">
        <v>1896</v>
      </c>
    </row>
    <row r="38" spans="1:10" x14ac:dyDescent="0.3">
      <c r="A38" s="1">
        <v>45394</v>
      </c>
      <c r="B38" t="s">
        <v>125</v>
      </c>
      <c r="C38" t="s">
        <v>153</v>
      </c>
      <c r="D38" s="2">
        <v>23319.29</v>
      </c>
      <c r="E38" s="2">
        <v>0</v>
      </c>
      <c r="F38" s="2">
        <v>51946.76</v>
      </c>
      <c r="G38" s="2" t="str">
        <f t="shared" si="0"/>
        <v>12-04-2024 NET PI TO HSL SEC A/C 347707-00602340029392</v>
      </c>
      <c r="H38" s="2" t="s">
        <v>1911</v>
      </c>
      <c r="I38" t="s">
        <v>361</v>
      </c>
      <c r="J38" t="s">
        <v>1896</v>
      </c>
    </row>
    <row r="39" spans="1:10" x14ac:dyDescent="0.3">
      <c r="A39" s="1">
        <v>45394</v>
      </c>
      <c r="B39" t="s">
        <v>125</v>
      </c>
      <c r="C39" t="s">
        <v>154</v>
      </c>
      <c r="D39" s="2">
        <v>42.91</v>
      </c>
      <c r="E39" s="2">
        <v>0</v>
      </c>
      <c r="F39" s="2">
        <v>51903.85</v>
      </c>
      <c r="G39" s="2" t="str">
        <f t="shared" si="0"/>
        <v>12-04-2024 NET PI TO HSL SEC A/C 347707-00602340029392</v>
      </c>
      <c r="H39" s="2" t="s">
        <v>1911</v>
      </c>
      <c r="I39" t="s">
        <v>361</v>
      </c>
      <c r="J39" t="s">
        <v>1896</v>
      </c>
    </row>
    <row r="40" spans="1:10" x14ac:dyDescent="0.3">
      <c r="A40" s="1">
        <v>45395</v>
      </c>
      <c r="B40" t="s">
        <v>10</v>
      </c>
      <c r="C40" t="s">
        <v>7</v>
      </c>
      <c r="D40" s="2">
        <v>10000</v>
      </c>
      <c r="E40" s="2">
        <v>0</v>
      </c>
      <c r="F40" s="2">
        <v>62321.43</v>
      </c>
      <c r="G40" s="2" t="str">
        <f t="shared" si="0"/>
        <v>13-04-2024 ATM-CASH/SBI SHIVAJI NAGAR/NASHIK/130424</v>
      </c>
      <c r="H40" s="2" t="s">
        <v>1911</v>
      </c>
      <c r="I40" t="s">
        <v>354</v>
      </c>
      <c r="J40" t="s">
        <v>1895</v>
      </c>
    </row>
    <row r="41" spans="1:10" x14ac:dyDescent="0.3">
      <c r="A41" s="1">
        <v>45396</v>
      </c>
      <c r="B41" t="s">
        <v>11</v>
      </c>
      <c r="C41" t="s">
        <v>7</v>
      </c>
      <c r="D41" s="2">
        <v>15</v>
      </c>
      <c r="E41" s="2">
        <v>0</v>
      </c>
      <c r="F41" s="2">
        <v>62306.43</v>
      </c>
      <c r="G41" s="2" t="str">
        <f t="shared" si="0"/>
        <v>14-04-2024 UPI/P2M/410541862822/Indian Railways Ticke/Train/Yes Bank Ltd</v>
      </c>
      <c r="H41" s="2" t="s">
        <v>1911</v>
      </c>
      <c r="I41" t="s">
        <v>356</v>
      </c>
      <c r="J41" t="s">
        <v>1895</v>
      </c>
    </row>
    <row r="42" spans="1:10" x14ac:dyDescent="0.3">
      <c r="A42" s="1">
        <v>45397</v>
      </c>
      <c r="B42" t="s">
        <v>125</v>
      </c>
      <c r="C42" t="s">
        <v>156</v>
      </c>
      <c r="D42" s="2">
        <v>1251.57</v>
      </c>
      <c r="E42" s="2">
        <v>0</v>
      </c>
      <c r="F42" s="2">
        <v>40652.28</v>
      </c>
      <c r="G42" s="2" t="str">
        <f t="shared" si="0"/>
        <v>15-04-2024 NET PI TO HSL SEC A/C 347707-00602340029392</v>
      </c>
      <c r="H42" s="2" t="s">
        <v>1911</v>
      </c>
      <c r="I42" t="s">
        <v>361</v>
      </c>
      <c r="J42" t="s">
        <v>1896</v>
      </c>
    </row>
    <row r="43" spans="1:10" x14ac:dyDescent="0.3">
      <c r="A43" s="1">
        <v>45397</v>
      </c>
      <c r="B43" t="s">
        <v>146</v>
      </c>
      <c r="C43" t="s">
        <v>155</v>
      </c>
      <c r="D43" s="2">
        <v>10000</v>
      </c>
      <c r="E43" s="2">
        <v>0</v>
      </c>
      <c r="F43" s="2">
        <v>41903.85</v>
      </c>
      <c r="G43" s="2" t="str">
        <f t="shared" si="0"/>
        <v>15-04-2024 ACH D- INDIAN CLEARING CORP-P25847605X05</v>
      </c>
      <c r="H43" s="2" t="s">
        <v>1911</v>
      </c>
      <c r="I43" t="s">
        <v>1854</v>
      </c>
      <c r="J43" t="s">
        <v>1896</v>
      </c>
    </row>
    <row r="44" spans="1:10" x14ac:dyDescent="0.3">
      <c r="A44" s="1">
        <v>45397</v>
      </c>
      <c r="B44" t="s">
        <v>157</v>
      </c>
      <c r="C44" t="s">
        <v>158</v>
      </c>
      <c r="D44" s="2">
        <v>0</v>
      </c>
      <c r="E44" s="2">
        <v>11400</v>
      </c>
      <c r="F44" s="2">
        <v>52052.28</v>
      </c>
      <c r="G44" s="2" t="str">
        <f t="shared" si="0"/>
        <v>15-04-2024 NEFT CR-YESB0000001-INDIAN CLEARING CORP-AJAYKUMARGUPTA-YESIG41060059863</v>
      </c>
      <c r="H44" s="2" t="s">
        <v>1911</v>
      </c>
      <c r="I44" t="s">
        <v>363</v>
      </c>
      <c r="J44" t="s">
        <v>1896</v>
      </c>
    </row>
    <row r="45" spans="1:10" x14ac:dyDescent="0.3">
      <c r="A45" s="1">
        <v>45398</v>
      </c>
      <c r="B45" t="s">
        <v>128</v>
      </c>
      <c r="C45" t="s">
        <v>159</v>
      </c>
      <c r="D45" s="2">
        <v>0</v>
      </c>
      <c r="E45" s="2">
        <v>16741.900000000001</v>
      </c>
      <c r="F45" s="2">
        <v>68794.179999999993</v>
      </c>
      <c r="G45" s="2" t="str">
        <f t="shared" si="0"/>
        <v>16-04-2024 NET PO FROM HSL A/C 347707-50200085415108</v>
      </c>
      <c r="H45" s="2" t="s">
        <v>1911</v>
      </c>
      <c r="I45" t="s">
        <v>361</v>
      </c>
      <c r="J45" t="s">
        <v>1896</v>
      </c>
    </row>
    <row r="46" spans="1:10" x14ac:dyDescent="0.3">
      <c r="A46" s="1">
        <v>45398</v>
      </c>
      <c r="B46" t="s">
        <v>128</v>
      </c>
      <c r="C46" t="s">
        <v>160</v>
      </c>
      <c r="D46" s="2">
        <v>0</v>
      </c>
      <c r="E46" s="2">
        <v>29908.32</v>
      </c>
      <c r="F46" s="2">
        <v>98702.5</v>
      </c>
      <c r="G46" s="2" t="str">
        <f t="shared" si="0"/>
        <v>16-04-2024 NET PO FROM HSL A/C 347707-50200085415108</v>
      </c>
      <c r="H46" s="2" t="s">
        <v>1911</v>
      </c>
      <c r="I46" t="s">
        <v>361</v>
      </c>
      <c r="J46" t="s">
        <v>1896</v>
      </c>
    </row>
    <row r="47" spans="1:10" x14ac:dyDescent="0.3">
      <c r="A47" s="1">
        <v>45398</v>
      </c>
      <c r="B47" t="s">
        <v>125</v>
      </c>
      <c r="C47" t="s">
        <v>161</v>
      </c>
      <c r="D47" s="2">
        <v>417.19</v>
      </c>
      <c r="E47" s="2">
        <v>0</v>
      </c>
      <c r="F47" s="2">
        <v>98285.31</v>
      </c>
      <c r="G47" s="2" t="str">
        <f t="shared" si="0"/>
        <v>16-04-2024 NET PI TO HSL SEC A/C 347707-00602340029392</v>
      </c>
      <c r="H47" s="2" t="s">
        <v>1911</v>
      </c>
      <c r="I47" t="s">
        <v>361</v>
      </c>
      <c r="J47" t="s">
        <v>1896</v>
      </c>
    </row>
    <row r="48" spans="1:10" x14ac:dyDescent="0.3">
      <c r="A48" s="1">
        <v>45398</v>
      </c>
      <c r="B48" t="s">
        <v>125</v>
      </c>
      <c r="C48" t="s">
        <v>162</v>
      </c>
      <c r="D48" s="2">
        <v>20617.330000000002</v>
      </c>
      <c r="E48" s="2">
        <v>0</v>
      </c>
      <c r="F48" s="2">
        <v>77667.98</v>
      </c>
      <c r="G48" s="2" t="str">
        <f t="shared" si="0"/>
        <v>16-04-2024 NET PI TO HSL SEC A/C 347707-00602340029392</v>
      </c>
      <c r="H48" s="2" t="s">
        <v>1911</v>
      </c>
      <c r="I48" t="s">
        <v>361</v>
      </c>
      <c r="J48" t="s">
        <v>1896</v>
      </c>
    </row>
    <row r="49" spans="1:10" x14ac:dyDescent="0.3">
      <c r="A49" s="1">
        <v>45400</v>
      </c>
      <c r="B49" t="s">
        <v>128</v>
      </c>
      <c r="C49" t="s">
        <v>163</v>
      </c>
      <c r="D49" s="2">
        <v>0</v>
      </c>
      <c r="E49" s="2">
        <v>22103.31</v>
      </c>
      <c r="F49" s="2">
        <v>99771.29</v>
      </c>
      <c r="G49" s="2" t="str">
        <f t="shared" si="0"/>
        <v>18-04-2024 NET PO FROM HSL A/C 347707-50200085415108</v>
      </c>
      <c r="H49" s="2" t="s">
        <v>1911</v>
      </c>
      <c r="I49" t="s">
        <v>361</v>
      </c>
      <c r="J49" t="s">
        <v>1896</v>
      </c>
    </row>
    <row r="50" spans="1:10" x14ac:dyDescent="0.3">
      <c r="A50" s="1">
        <v>45400</v>
      </c>
      <c r="B50" t="s">
        <v>125</v>
      </c>
      <c r="C50" t="s">
        <v>164</v>
      </c>
      <c r="D50" s="2">
        <v>791.86</v>
      </c>
      <c r="E50" s="2">
        <v>0</v>
      </c>
      <c r="F50" s="2">
        <v>98979.43</v>
      </c>
      <c r="G50" s="2" t="str">
        <f t="shared" si="0"/>
        <v>18-04-2024 NET PI TO HSL SEC A/C 347707-00602340029392</v>
      </c>
      <c r="H50" s="2" t="s">
        <v>1911</v>
      </c>
      <c r="I50" t="s">
        <v>361</v>
      </c>
      <c r="J50" t="s">
        <v>1896</v>
      </c>
    </row>
    <row r="51" spans="1:10" x14ac:dyDescent="0.3">
      <c r="A51" s="1">
        <v>45400</v>
      </c>
      <c r="B51" t="s">
        <v>125</v>
      </c>
      <c r="C51" t="s">
        <v>165</v>
      </c>
      <c r="D51" s="2">
        <v>7059.16</v>
      </c>
      <c r="E51" s="2">
        <v>0</v>
      </c>
      <c r="F51" s="2">
        <v>91920.27</v>
      </c>
      <c r="G51" s="2" t="str">
        <f t="shared" si="0"/>
        <v>18-04-2024 NET PI TO HSL SEC A/C 347707-00602340029392</v>
      </c>
      <c r="H51" s="2" t="s">
        <v>1911</v>
      </c>
      <c r="I51" t="s">
        <v>361</v>
      </c>
      <c r="J51" t="s">
        <v>1896</v>
      </c>
    </row>
    <row r="52" spans="1:10" x14ac:dyDescent="0.3">
      <c r="A52" s="1">
        <v>45400</v>
      </c>
      <c r="B52" t="s">
        <v>125</v>
      </c>
      <c r="C52" t="s">
        <v>166</v>
      </c>
      <c r="D52" s="2">
        <v>30745.040000000001</v>
      </c>
      <c r="E52" s="2">
        <v>0</v>
      </c>
      <c r="F52" s="2">
        <v>61175.23</v>
      </c>
      <c r="G52" s="2" t="str">
        <f t="shared" si="0"/>
        <v>18-04-2024 NET PI TO HSL SEC A/C 347707-00602340029392</v>
      </c>
      <c r="H52" s="2" t="s">
        <v>1911</v>
      </c>
      <c r="I52" t="s">
        <v>361</v>
      </c>
      <c r="J52" t="s">
        <v>1896</v>
      </c>
    </row>
    <row r="53" spans="1:10" x14ac:dyDescent="0.3">
      <c r="A53" s="1">
        <v>45400</v>
      </c>
      <c r="B53" t="s">
        <v>1740</v>
      </c>
      <c r="C53" t="s">
        <v>1742</v>
      </c>
      <c r="D53" s="2">
        <v>0</v>
      </c>
      <c r="E53" s="2">
        <v>24987.7</v>
      </c>
      <c r="F53" s="2">
        <v>124714.35</v>
      </c>
      <c r="G53" s="2" t="str">
        <f t="shared" si="0"/>
        <v>18-04-2024    BY TRANSFER-INB -For 19260165--</v>
      </c>
      <c r="H53" s="2" t="s">
        <v>1911</v>
      </c>
      <c r="I53" t="s">
        <v>1887</v>
      </c>
      <c r="J53" t="s">
        <v>1899</v>
      </c>
    </row>
    <row r="54" spans="1:10" x14ac:dyDescent="0.3">
      <c r="A54" s="1">
        <v>45401</v>
      </c>
      <c r="B54" t="s">
        <v>125</v>
      </c>
      <c r="C54" t="s">
        <v>167</v>
      </c>
      <c r="D54" s="2">
        <v>399.86</v>
      </c>
      <c r="E54" s="2">
        <v>0</v>
      </c>
      <c r="F54" s="2">
        <v>60775.37</v>
      </c>
      <c r="G54" s="2" t="str">
        <f t="shared" si="0"/>
        <v>19-04-2024 NET PI TO HSL SEC A/C 347707-00602340029392</v>
      </c>
      <c r="H54" s="2" t="s">
        <v>1911</v>
      </c>
      <c r="I54" t="s">
        <v>361</v>
      </c>
      <c r="J54" t="s">
        <v>1896</v>
      </c>
    </row>
    <row r="55" spans="1:10" x14ac:dyDescent="0.3">
      <c r="A55" s="1">
        <v>45401</v>
      </c>
      <c r="B55" t="s">
        <v>12</v>
      </c>
      <c r="C55" t="s">
        <v>7</v>
      </c>
      <c r="D55" s="2">
        <v>60</v>
      </c>
      <c r="E55" s="2">
        <v>0</v>
      </c>
      <c r="F55" s="2">
        <v>62246.43</v>
      </c>
      <c r="G55" s="2" t="str">
        <f t="shared" si="0"/>
        <v>19-04-2024 UPI/P2M/411095712497/GUPTA E MITRA AND ZER/Photoc/Yes Bank Ltd</v>
      </c>
      <c r="H55" s="2" t="s">
        <v>1911</v>
      </c>
      <c r="I55" t="s">
        <v>356</v>
      </c>
      <c r="J55" t="s">
        <v>1895</v>
      </c>
    </row>
    <row r="56" spans="1:10" x14ac:dyDescent="0.3">
      <c r="A56" s="1">
        <v>45404</v>
      </c>
      <c r="B56" t="s">
        <v>128</v>
      </c>
      <c r="C56" t="s">
        <v>168</v>
      </c>
      <c r="D56" s="2">
        <v>0</v>
      </c>
      <c r="E56" s="2">
        <v>2528.4899999999998</v>
      </c>
      <c r="F56" s="2">
        <v>63303.86</v>
      </c>
      <c r="G56" s="2" t="str">
        <f t="shared" si="0"/>
        <v>22-04-2024 NET PO FROM HSL A/C 347707-50200085415108</v>
      </c>
      <c r="H56" s="2" t="s">
        <v>1911</v>
      </c>
      <c r="I56" t="s">
        <v>361</v>
      </c>
      <c r="J56" t="s">
        <v>1896</v>
      </c>
    </row>
    <row r="57" spans="1:10" x14ac:dyDescent="0.3">
      <c r="A57" s="1">
        <v>45404</v>
      </c>
      <c r="B57" t="s">
        <v>125</v>
      </c>
      <c r="C57" t="s">
        <v>170</v>
      </c>
      <c r="D57" s="2">
        <v>1260.06</v>
      </c>
      <c r="E57" s="2">
        <v>0</v>
      </c>
      <c r="F57" s="2">
        <v>52043.8</v>
      </c>
      <c r="G57" s="2" t="str">
        <f t="shared" si="0"/>
        <v>22-04-2024 NET PI TO HSL SEC A/C 347707-00602340029392</v>
      </c>
      <c r="H57" s="2" t="s">
        <v>1911</v>
      </c>
      <c r="I57" t="s">
        <v>361</v>
      </c>
      <c r="J57" t="s">
        <v>1896</v>
      </c>
    </row>
    <row r="58" spans="1:10" x14ac:dyDescent="0.3">
      <c r="A58" s="1">
        <v>45404</v>
      </c>
      <c r="B58" t="s">
        <v>125</v>
      </c>
      <c r="C58" t="s">
        <v>171</v>
      </c>
      <c r="D58" s="2">
        <v>6355.73</v>
      </c>
      <c r="E58" s="2">
        <v>0</v>
      </c>
      <c r="F58" s="2">
        <v>45688.07</v>
      </c>
      <c r="G58" s="2" t="str">
        <f t="shared" si="0"/>
        <v>22-04-2024 NET PI TO HSL SEC A/C 347707-00602340029392</v>
      </c>
      <c r="H58" s="2" t="s">
        <v>1911</v>
      </c>
      <c r="I58" t="s">
        <v>361</v>
      </c>
      <c r="J58" t="s">
        <v>1896</v>
      </c>
    </row>
    <row r="59" spans="1:10" x14ac:dyDescent="0.3">
      <c r="A59" s="1">
        <v>45404</v>
      </c>
      <c r="B59" t="s">
        <v>146</v>
      </c>
      <c r="C59" t="s">
        <v>169</v>
      </c>
      <c r="D59" s="2">
        <v>10000</v>
      </c>
      <c r="E59" s="2">
        <v>0</v>
      </c>
      <c r="F59" s="2">
        <v>53303.86</v>
      </c>
      <c r="G59" s="2" t="str">
        <f t="shared" si="0"/>
        <v>22-04-2024 ACH D- INDIAN CLEARING CORP-P25847605X05</v>
      </c>
      <c r="H59" s="2" t="s">
        <v>1911</v>
      </c>
      <c r="I59" t="s">
        <v>1854</v>
      </c>
      <c r="J59" t="s">
        <v>1896</v>
      </c>
    </row>
    <row r="60" spans="1:10" x14ac:dyDescent="0.3">
      <c r="A60" s="1">
        <v>45405</v>
      </c>
      <c r="B60" t="s">
        <v>128</v>
      </c>
      <c r="C60" t="s">
        <v>172</v>
      </c>
      <c r="D60" s="2">
        <v>0</v>
      </c>
      <c r="E60" s="2">
        <v>15833.97</v>
      </c>
      <c r="F60" s="2">
        <v>61522.04</v>
      </c>
      <c r="G60" s="2" t="str">
        <f t="shared" si="0"/>
        <v>23-04-2024 NET PO FROM HSL A/C 347707-50200085415108</v>
      </c>
      <c r="H60" s="2" t="s">
        <v>1911</v>
      </c>
      <c r="I60" t="s">
        <v>361</v>
      </c>
      <c r="J60" t="s">
        <v>1896</v>
      </c>
    </row>
    <row r="61" spans="1:10" x14ac:dyDescent="0.3">
      <c r="A61" s="1">
        <v>45405</v>
      </c>
      <c r="B61" t="s">
        <v>125</v>
      </c>
      <c r="C61" t="s">
        <v>173</v>
      </c>
      <c r="D61" s="2">
        <v>420.92</v>
      </c>
      <c r="E61" s="2">
        <v>0</v>
      </c>
      <c r="F61" s="2">
        <v>61101.120000000003</v>
      </c>
      <c r="G61" s="2" t="str">
        <f t="shared" si="0"/>
        <v>23-04-2024 NET PI TO HSL SEC A/C 347707-00602340029392</v>
      </c>
      <c r="H61" s="2" t="s">
        <v>1911</v>
      </c>
      <c r="I61" t="s">
        <v>361</v>
      </c>
      <c r="J61" t="s">
        <v>1896</v>
      </c>
    </row>
    <row r="62" spans="1:10" x14ac:dyDescent="0.3">
      <c r="A62" s="1">
        <v>45405</v>
      </c>
      <c r="B62" t="s">
        <v>125</v>
      </c>
      <c r="C62" t="s">
        <v>176</v>
      </c>
      <c r="D62" s="2">
        <v>75996.600000000006</v>
      </c>
      <c r="E62" s="2">
        <v>0</v>
      </c>
      <c r="F62" s="2">
        <v>85104.52</v>
      </c>
      <c r="G62" s="2" t="str">
        <f t="shared" si="0"/>
        <v>23-04-2024 NET PI TO HSL SEC A/C 347707-00602340029392</v>
      </c>
      <c r="H62" s="2" t="s">
        <v>1911</v>
      </c>
      <c r="I62" t="s">
        <v>361</v>
      </c>
      <c r="J62" t="s">
        <v>1896</v>
      </c>
    </row>
    <row r="63" spans="1:10" x14ac:dyDescent="0.3">
      <c r="A63" s="1">
        <v>45405</v>
      </c>
      <c r="B63" t="s">
        <v>1740</v>
      </c>
      <c r="C63" t="s">
        <v>1743</v>
      </c>
      <c r="D63" s="2">
        <v>0</v>
      </c>
      <c r="E63" s="2">
        <v>81140.06</v>
      </c>
      <c r="F63" s="2">
        <v>205854.41</v>
      </c>
      <c r="G63" s="2" t="str">
        <f t="shared" si="0"/>
        <v>23-04-2024    BY TRANSFER-INB -For 19260165--</v>
      </c>
      <c r="H63" s="2" t="s">
        <v>1911</v>
      </c>
      <c r="I63" t="s">
        <v>1887</v>
      </c>
      <c r="J63" t="s">
        <v>1899</v>
      </c>
    </row>
    <row r="64" spans="1:10" x14ac:dyDescent="0.3">
      <c r="A64" s="1">
        <v>45405</v>
      </c>
      <c r="B64" t="s">
        <v>174</v>
      </c>
      <c r="C64" t="s">
        <v>175</v>
      </c>
      <c r="D64" s="2">
        <v>0</v>
      </c>
      <c r="E64" s="2">
        <v>100000</v>
      </c>
      <c r="F64" s="2">
        <v>161101.12</v>
      </c>
      <c r="G64" s="2" t="str">
        <f t="shared" si="0"/>
        <v>23-04-2024 01671000060094-TPT-MONEY RETURNED FROM SUNITA TO AKG-SUNITA GUPTA</v>
      </c>
      <c r="H64" s="2" t="s">
        <v>1911</v>
      </c>
      <c r="I64" t="s">
        <v>364</v>
      </c>
      <c r="J64" t="s">
        <v>1896</v>
      </c>
    </row>
    <row r="65" spans="1:10" x14ac:dyDescent="0.3">
      <c r="A65" s="1">
        <v>45405</v>
      </c>
      <c r="B65" t="s">
        <v>13</v>
      </c>
      <c r="C65" t="s">
        <v>7</v>
      </c>
      <c r="D65" s="2">
        <v>1700</v>
      </c>
      <c r="E65" s="2">
        <v>0</v>
      </c>
      <c r="F65" s="2">
        <v>60546.43</v>
      </c>
      <c r="G65" s="2" t="str">
        <f t="shared" si="0"/>
        <v>23-04-2024 UPI/P2M/411459686670/Fatema Trading Compan/Tower/Axis Bank Ltd.</v>
      </c>
      <c r="H65" s="2" t="s">
        <v>1911</v>
      </c>
      <c r="I65" t="s">
        <v>356</v>
      </c>
      <c r="J65" t="s">
        <v>1895</v>
      </c>
    </row>
    <row r="66" spans="1:10" x14ac:dyDescent="0.3">
      <c r="A66" s="1">
        <v>45405</v>
      </c>
      <c r="B66" t="s">
        <v>14</v>
      </c>
      <c r="C66" t="s">
        <v>7</v>
      </c>
      <c r="D66" s="2">
        <v>230</v>
      </c>
      <c r="E66" s="2">
        <v>0</v>
      </c>
      <c r="F66" s="2">
        <v>60316.43</v>
      </c>
      <c r="G66" s="2" t="str">
        <f t="shared" si="0"/>
        <v>23-04-2024 UPI/P2M/411449842717/BharatPe Merchant    /Pipe/YesBank_Yespay</v>
      </c>
      <c r="H66" s="2" t="s">
        <v>1911</v>
      </c>
      <c r="I66" t="s">
        <v>356</v>
      </c>
      <c r="J66" t="s">
        <v>1895</v>
      </c>
    </row>
    <row r="67" spans="1:10" x14ac:dyDescent="0.3">
      <c r="A67" s="1">
        <v>45405</v>
      </c>
      <c r="B67" t="s">
        <v>15</v>
      </c>
      <c r="C67" t="s">
        <v>7</v>
      </c>
      <c r="D67" s="2">
        <v>6400</v>
      </c>
      <c r="E67" s="2">
        <v>0</v>
      </c>
      <c r="F67" s="2">
        <v>53916.43</v>
      </c>
      <c r="G67" s="2" t="str">
        <f t="shared" si="0"/>
        <v>23-04-2024 UPI/P2A/448007256487/KAPDO KA KHAJANA     /Carpet/Yes Bank Ltd</v>
      </c>
      <c r="H67" s="2" t="s">
        <v>1941</v>
      </c>
      <c r="I67" t="s">
        <v>1926</v>
      </c>
      <c r="J67" t="s">
        <v>1895</v>
      </c>
    </row>
    <row r="68" spans="1:10" x14ac:dyDescent="0.3">
      <c r="A68" s="1">
        <v>45405</v>
      </c>
      <c r="B68" t="s">
        <v>16</v>
      </c>
      <c r="C68" t="s">
        <v>7</v>
      </c>
      <c r="D68" s="2">
        <v>0</v>
      </c>
      <c r="E68" s="2">
        <v>6400</v>
      </c>
      <c r="F68" s="2">
        <v>60316.43</v>
      </c>
      <c r="G68" s="2" t="str">
        <f t="shared" si="0"/>
        <v>23-04-2024 UPI/P2A/448007256487/910010047943167/230424/Yes Bank Ltd</v>
      </c>
      <c r="H68" s="2" t="s">
        <v>1941</v>
      </c>
      <c r="I68" t="s">
        <v>1926</v>
      </c>
      <c r="J68" t="s">
        <v>1895</v>
      </c>
    </row>
    <row r="69" spans="1:10" x14ac:dyDescent="0.3">
      <c r="A69" s="1">
        <v>45405</v>
      </c>
      <c r="B69" t="s">
        <v>17</v>
      </c>
      <c r="C69" t="s">
        <v>7</v>
      </c>
      <c r="D69" s="2">
        <v>6400</v>
      </c>
      <c r="E69" s="2">
        <v>0</v>
      </c>
      <c r="F69" s="2">
        <v>53916.43</v>
      </c>
      <c r="G69" s="2" t="str">
        <f t="shared" ref="G69:G117" si="1">TEXT(A69,"DD")&amp;"-"&amp;TEXT(A69,"MM")&amp;"-"&amp;TEXT(A69,"YYYY")&amp;" "&amp;B69</f>
        <v>23-04-2024 UPI/P2A/448054080770/ANJUM KHAN SATTAR KHA/Paymen/Union Bank of India</v>
      </c>
      <c r="H69" s="2" t="s">
        <v>1911</v>
      </c>
      <c r="I69" t="s">
        <v>356</v>
      </c>
      <c r="J69" t="s">
        <v>1895</v>
      </c>
    </row>
    <row r="70" spans="1:10" x14ac:dyDescent="0.3">
      <c r="A70" s="1">
        <v>45406</v>
      </c>
      <c r="B70" t="s">
        <v>18</v>
      </c>
      <c r="C70" t="s">
        <v>7</v>
      </c>
      <c r="D70" s="2">
        <v>10000</v>
      </c>
      <c r="E70" s="2">
        <v>0</v>
      </c>
      <c r="F70" s="2">
        <v>43916.43</v>
      </c>
      <c r="G70" s="2" t="str">
        <f t="shared" si="1"/>
        <v>24-04-2024 ATM-CASH-AXIS/BPRH265601/9469/240424/NASHIK</v>
      </c>
      <c r="H70" s="2" t="s">
        <v>1911</v>
      </c>
      <c r="I70" t="s">
        <v>354</v>
      </c>
      <c r="J70" t="s">
        <v>1895</v>
      </c>
    </row>
    <row r="71" spans="1:10" x14ac:dyDescent="0.3">
      <c r="A71" s="1">
        <v>45406</v>
      </c>
      <c r="B71" t="s">
        <v>1744</v>
      </c>
      <c r="C71" t="s">
        <v>1745</v>
      </c>
      <c r="D71" s="2">
        <v>176020</v>
      </c>
      <c r="E71" s="2">
        <v>0</v>
      </c>
      <c r="F71" s="2">
        <v>29834.41</v>
      </c>
      <c r="G71" s="2" t="str">
        <f t="shared" si="1"/>
        <v>24-04-2024    TO TRANSFER-INB SBICARD FOR BILLDESK      SBICARD Payments--</v>
      </c>
      <c r="H71" s="2" t="s">
        <v>1911</v>
      </c>
      <c r="I71" t="s">
        <v>1838</v>
      </c>
      <c r="J71" t="s">
        <v>1899</v>
      </c>
    </row>
    <row r="72" spans="1:10" x14ac:dyDescent="0.3">
      <c r="A72" s="1">
        <v>45406</v>
      </c>
      <c r="B72" t="s">
        <v>20</v>
      </c>
      <c r="C72" t="s">
        <v>7</v>
      </c>
      <c r="D72" s="2">
        <v>2810</v>
      </c>
      <c r="E72" s="2">
        <v>0</v>
      </c>
      <c r="F72" s="2">
        <v>41036.43</v>
      </c>
      <c r="G72" s="2" t="str">
        <f t="shared" si="1"/>
        <v>24-04-2024 NBSM/57244624/Maha Electricity(BILLDESK)/</v>
      </c>
      <c r="H72" s="2" t="s">
        <v>1911</v>
      </c>
      <c r="I72" t="s">
        <v>357</v>
      </c>
      <c r="J72" t="s">
        <v>1895</v>
      </c>
    </row>
    <row r="73" spans="1:10" x14ac:dyDescent="0.3">
      <c r="A73" s="1">
        <v>45406</v>
      </c>
      <c r="B73" t="s">
        <v>128</v>
      </c>
      <c r="C73" t="s">
        <v>177</v>
      </c>
      <c r="D73" s="2">
        <v>0</v>
      </c>
      <c r="E73" s="2">
        <v>47265.39</v>
      </c>
      <c r="F73" s="2">
        <v>132369.91</v>
      </c>
      <c r="G73" s="2" t="str">
        <f t="shared" si="1"/>
        <v>24-04-2024 NET PO FROM HSL A/C 347707-50200085415108</v>
      </c>
      <c r="H73" s="2" t="s">
        <v>1911</v>
      </c>
      <c r="I73" t="s">
        <v>361</v>
      </c>
      <c r="J73" t="s">
        <v>1896</v>
      </c>
    </row>
    <row r="74" spans="1:10" x14ac:dyDescent="0.3">
      <c r="A74" s="1">
        <v>45406</v>
      </c>
      <c r="B74" t="s">
        <v>125</v>
      </c>
      <c r="C74" t="s">
        <v>178</v>
      </c>
      <c r="D74" s="2">
        <v>390.26</v>
      </c>
      <c r="E74" s="2">
        <v>0</v>
      </c>
      <c r="F74" s="2">
        <v>131979.65</v>
      </c>
      <c r="G74" s="2" t="str">
        <f t="shared" si="1"/>
        <v>24-04-2024 NET PI TO HSL SEC A/C 347707-00602340029392</v>
      </c>
      <c r="H74" s="2" t="s">
        <v>1911</v>
      </c>
      <c r="I74" t="s">
        <v>361</v>
      </c>
      <c r="J74" t="s">
        <v>1896</v>
      </c>
    </row>
    <row r="75" spans="1:10" x14ac:dyDescent="0.3">
      <c r="A75" s="1">
        <v>45406</v>
      </c>
      <c r="B75" t="s">
        <v>21</v>
      </c>
      <c r="C75" t="s">
        <v>7</v>
      </c>
      <c r="D75" s="2">
        <v>2825</v>
      </c>
      <c r="E75" s="2">
        <v>0</v>
      </c>
      <c r="F75" s="2">
        <v>38211.43</v>
      </c>
      <c r="G75" s="2" t="str">
        <f t="shared" si="1"/>
        <v>24-04-2024 NBSM/57245185/Nashik Municipal Corporation/</v>
      </c>
      <c r="H75" s="2" t="s">
        <v>1911</v>
      </c>
      <c r="I75" t="s">
        <v>358</v>
      </c>
      <c r="J75" t="s">
        <v>1895</v>
      </c>
    </row>
    <row r="76" spans="1:10" x14ac:dyDescent="0.3">
      <c r="A76" s="1">
        <v>45406</v>
      </c>
      <c r="B76" t="s">
        <v>1740</v>
      </c>
      <c r="C76" t="s">
        <v>1746</v>
      </c>
      <c r="D76" s="2">
        <v>0</v>
      </c>
      <c r="E76" s="2">
        <v>37561.99</v>
      </c>
      <c r="F76" s="2">
        <v>67396.399999999994</v>
      </c>
      <c r="G76" s="2" t="str">
        <f t="shared" si="1"/>
        <v>24-04-2024    BY TRANSFER-INB -For 19260165--</v>
      </c>
      <c r="H76" s="2" t="s">
        <v>1911</v>
      </c>
      <c r="I76" t="s">
        <v>1887</v>
      </c>
      <c r="J76" t="s">
        <v>1899</v>
      </c>
    </row>
    <row r="77" spans="1:10" x14ac:dyDescent="0.3">
      <c r="A77" s="1">
        <v>45406</v>
      </c>
      <c r="B77" t="s">
        <v>19</v>
      </c>
      <c r="C77" t="s">
        <v>7</v>
      </c>
      <c r="D77" s="2">
        <v>70</v>
      </c>
      <c r="E77" s="2">
        <v>0</v>
      </c>
      <c r="F77" s="2">
        <v>43846.43</v>
      </c>
      <c r="G77" s="2" t="str">
        <f t="shared" si="1"/>
        <v>24-04-2024 UPI/P2M/448174004942/SUSHIL GHUSALE SO BHA/Zarda/Yes Bank Ltd</v>
      </c>
      <c r="H77" s="2" t="s">
        <v>1911</v>
      </c>
      <c r="I77" t="s">
        <v>356</v>
      </c>
      <c r="J77" t="s">
        <v>1895</v>
      </c>
    </row>
    <row r="78" spans="1:10" x14ac:dyDescent="0.3">
      <c r="A78" s="1">
        <v>45407</v>
      </c>
      <c r="B78" t="s">
        <v>128</v>
      </c>
      <c r="C78" t="s">
        <v>179</v>
      </c>
      <c r="D78" s="2">
        <v>0</v>
      </c>
      <c r="E78" s="2">
        <v>20947.36</v>
      </c>
      <c r="F78" s="2">
        <v>152927.01</v>
      </c>
      <c r="G78" s="2" t="str">
        <f t="shared" si="1"/>
        <v>25-04-2024 NET PO FROM HSL A/C 347707-50200085415108</v>
      </c>
      <c r="H78" s="2" t="s">
        <v>1911</v>
      </c>
      <c r="I78" t="s">
        <v>361</v>
      </c>
      <c r="J78" t="s">
        <v>1896</v>
      </c>
    </row>
    <row r="79" spans="1:10" x14ac:dyDescent="0.3">
      <c r="A79" s="1">
        <v>45407</v>
      </c>
      <c r="B79" t="s">
        <v>125</v>
      </c>
      <c r="C79" t="s">
        <v>180</v>
      </c>
      <c r="D79" s="2">
        <v>390.26</v>
      </c>
      <c r="E79" s="2">
        <v>0</v>
      </c>
      <c r="F79" s="2">
        <v>152536.75</v>
      </c>
      <c r="G79" s="2" t="str">
        <f t="shared" si="1"/>
        <v>25-04-2024 NET PI TO HSL SEC A/C 347707-00602340029392</v>
      </c>
      <c r="H79" s="2" t="s">
        <v>1911</v>
      </c>
      <c r="I79" t="s">
        <v>361</v>
      </c>
      <c r="J79" t="s">
        <v>1896</v>
      </c>
    </row>
    <row r="80" spans="1:10" x14ac:dyDescent="0.3">
      <c r="A80" s="1">
        <v>45407</v>
      </c>
      <c r="B80" t="s">
        <v>125</v>
      </c>
      <c r="C80" t="s">
        <v>181</v>
      </c>
      <c r="D80" s="2">
        <v>50509.81</v>
      </c>
      <c r="E80" s="2">
        <v>0</v>
      </c>
      <c r="F80" s="2">
        <v>102026.94</v>
      </c>
      <c r="G80" s="2" t="str">
        <f t="shared" si="1"/>
        <v>25-04-2024 NET PI TO HSL SEC A/C 347707-00602340029392</v>
      </c>
      <c r="H80" s="2" t="s">
        <v>1911</v>
      </c>
      <c r="I80" t="s">
        <v>361</v>
      </c>
      <c r="J80" t="s">
        <v>1896</v>
      </c>
    </row>
    <row r="81" spans="1:11" x14ac:dyDescent="0.3">
      <c r="A81" s="1">
        <v>45408</v>
      </c>
      <c r="B81" t="s">
        <v>128</v>
      </c>
      <c r="C81" t="s">
        <v>182</v>
      </c>
      <c r="D81" s="2">
        <v>0</v>
      </c>
      <c r="E81" s="2">
        <v>110.36</v>
      </c>
      <c r="F81" s="2">
        <v>102137.3</v>
      </c>
      <c r="G81" s="2" t="str">
        <f t="shared" si="1"/>
        <v>26-04-2024 NET PO FROM HSL A/C 347707-50200085415108</v>
      </c>
      <c r="H81" s="2" t="s">
        <v>1911</v>
      </c>
      <c r="I81" t="s">
        <v>361</v>
      </c>
      <c r="J81" t="s">
        <v>1896</v>
      </c>
    </row>
    <row r="82" spans="1:11" x14ac:dyDescent="0.3">
      <c r="A82" s="1">
        <v>45408</v>
      </c>
      <c r="B82" t="s">
        <v>128</v>
      </c>
      <c r="C82" t="s">
        <v>183</v>
      </c>
      <c r="D82" s="2">
        <v>0</v>
      </c>
      <c r="E82" s="2">
        <v>32905.410000000003</v>
      </c>
      <c r="F82" s="2">
        <v>135042.71</v>
      </c>
      <c r="G82" s="2" t="str">
        <f t="shared" si="1"/>
        <v>26-04-2024 NET PO FROM HSL A/C 347707-50200085415108</v>
      </c>
      <c r="H82" s="2" t="s">
        <v>1911</v>
      </c>
      <c r="I82" t="s">
        <v>361</v>
      </c>
      <c r="J82" t="s">
        <v>1896</v>
      </c>
    </row>
    <row r="83" spans="1:11" x14ac:dyDescent="0.3">
      <c r="A83" s="1">
        <v>45408</v>
      </c>
      <c r="B83" t="s">
        <v>125</v>
      </c>
      <c r="C83" t="s">
        <v>184</v>
      </c>
      <c r="D83" s="2">
        <v>317.54000000000002</v>
      </c>
      <c r="E83" s="2">
        <v>0</v>
      </c>
      <c r="F83" s="2">
        <v>134725.17000000001</v>
      </c>
      <c r="G83" s="2" t="str">
        <f t="shared" si="1"/>
        <v>26-04-2024 NET PI TO HSL SEC A/C 347707-00602340029392</v>
      </c>
      <c r="H83" s="2" t="s">
        <v>1911</v>
      </c>
      <c r="I83" t="s">
        <v>361</v>
      </c>
      <c r="J83" t="s">
        <v>1896</v>
      </c>
    </row>
    <row r="84" spans="1:11" x14ac:dyDescent="0.3">
      <c r="A84" s="1">
        <v>45408</v>
      </c>
      <c r="B84" t="s">
        <v>125</v>
      </c>
      <c r="C84" t="s">
        <v>185</v>
      </c>
      <c r="D84" s="2">
        <v>76751.16</v>
      </c>
      <c r="E84" s="2">
        <v>0</v>
      </c>
      <c r="F84" s="2">
        <v>57974.01</v>
      </c>
      <c r="G84" s="2" t="str">
        <f t="shared" si="1"/>
        <v>26-04-2024 NET PI TO HSL SEC A/C 347707-00602340029392</v>
      </c>
      <c r="H84" s="2" t="s">
        <v>1911</v>
      </c>
      <c r="I84" t="s">
        <v>361</v>
      </c>
      <c r="J84" t="s">
        <v>1896</v>
      </c>
    </row>
    <row r="85" spans="1:11" x14ac:dyDescent="0.3">
      <c r="A85" s="1">
        <v>45408</v>
      </c>
      <c r="B85" t="s">
        <v>22</v>
      </c>
      <c r="C85" t="s">
        <v>7</v>
      </c>
      <c r="D85" s="2">
        <v>0</v>
      </c>
      <c r="E85" s="2">
        <v>5842</v>
      </c>
      <c r="F85" s="2">
        <v>44053.43</v>
      </c>
      <c r="G85" s="2" t="str">
        <f t="shared" si="1"/>
        <v>26-04-2024 INB/IFT/KJSS COSMOS PRIVATE LIMITED/TPARTY TRANSF</v>
      </c>
      <c r="H85" s="2" t="s">
        <v>1911</v>
      </c>
      <c r="I85" t="s">
        <v>359</v>
      </c>
      <c r="J85" t="s">
        <v>1895</v>
      </c>
    </row>
    <row r="86" spans="1:11" x14ac:dyDescent="0.3">
      <c r="A86" s="1">
        <v>45409</v>
      </c>
      <c r="B86" t="s">
        <v>752</v>
      </c>
      <c r="C86" t="s">
        <v>1747</v>
      </c>
      <c r="D86" s="2">
        <v>400</v>
      </c>
      <c r="E86" s="2">
        <v>0</v>
      </c>
      <c r="F86" s="2">
        <v>66996.399999999994</v>
      </c>
      <c r="G86" s="2" t="str">
        <f t="shared" si="1"/>
        <v>27-04-2024    TO TRANSFER-INB Payment towards loan repayment--</v>
      </c>
      <c r="H86" s="2" t="s">
        <v>1911</v>
      </c>
      <c r="I86" t="s">
        <v>1844</v>
      </c>
      <c r="J86" t="s">
        <v>1899</v>
      </c>
    </row>
    <row r="87" spans="1:11" x14ac:dyDescent="0.3">
      <c r="A87" s="1">
        <v>45409</v>
      </c>
      <c r="B87" t="s">
        <v>23</v>
      </c>
      <c r="C87" t="s">
        <v>7</v>
      </c>
      <c r="D87" s="2">
        <v>2792</v>
      </c>
      <c r="E87" s="2">
        <v>0</v>
      </c>
      <c r="F87" s="2">
        <v>41261.43</v>
      </c>
      <c r="G87" s="2" t="str">
        <f t="shared" si="1"/>
        <v>27-04-2024 UPI/P2M/411805104447/NashikNSK            /Shoe/Amazon Private Limit</v>
      </c>
      <c r="H87" s="2" t="s">
        <v>1911</v>
      </c>
      <c r="I87" t="s">
        <v>356</v>
      </c>
      <c r="J87" t="s">
        <v>1895</v>
      </c>
    </row>
    <row r="88" spans="1:11" x14ac:dyDescent="0.3">
      <c r="A88" s="1">
        <v>45410</v>
      </c>
      <c r="B88" t="s">
        <v>24</v>
      </c>
      <c r="C88" t="s">
        <v>7</v>
      </c>
      <c r="D88" s="2">
        <v>3140</v>
      </c>
      <c r="E88" s="2">
        <v>0</v>
      </c>
      <c r="F88" s="2">
        <v>38121.43</v>
      </c>
      <c r="G88" s="2" t="str">
        <f t="shared" si="1"/>
        <v>28-04-2024 UPI/P2M/411921369959/SARTHAK PETROLEUM    /Disesa/Yes Bank Ltd</v>
      </c>
      <c r="H88" s="2" t="s">
        <v>1911</v>
      </c>
      <c r="I88" t="s">
        <v>356</v>
      </c>
      <c r="J88" t="s">
        <v>1895</v>
      </c>
    </row>
    <row r="89" spans="1:11" x14ac:dyDescent="0.3">
      <c r="A89" s="1">
        <v>45411</v>
      </c>
      <c r="B89" t="s">
        <v>128</v>
      </c>
      <c r="C89" t="s">
        <v>186</v>
      </c>
      <c r="D89" s="2">
        <v>0</v>
      </c>
      <c r="E89" s="2">
        <v>3371.59</v>
      </c>
      <c r="F89" s="2">
        <v>61345.599999999999</v>
      </c>
      <c r="G89" s="2" t="str">
        <f t="shared" si="1"/>
        <v>29-04-2024 NET PO FROM HSL A/C 347707-50200085415108</v>
      </c>
      <c r="H89" s="2" t="s">
        <v>1911</v>
      </c>
      <c r="I89" t="s">
        <v>361</v>
      </c>
      <c r="J89" t="s">
        <v>1896</v>
      </c>
    </row>
    <row r="90" spans="1:11" x14ac:dyDescent="0.3">
      <c r="A90" s="1">
        <v>45411</v>
      </c>
      <c r="B90" t="s">
        <v>128</v>
      </c>
      <c r="C90" t="s">
        <v>187</v>
      </c>
      <c r="D90" s="2">
        <v>0</v>
      </c>
      <c r="E90" s="2">
        <v>58146.77</v>
      </c>
      <c r="F90" s="2">
        <v>119492.37</v>
      </c>
      <c r="G90" s="2" t="str">
        <f t="shared" si="1"/>
        <v>29-04-2024 NET PO FROM HSL A/C 347707-50200085415108</v>
      </c>
      <c r="H90" s="2" t="s">
        <v>1911</v>
      </c>
      <c r="I90" t="s">
        <v>361</v>
      </c>
      <c r="J90" t="s">
        <v>1896</v>
      </c>
    </row>
    <row r="91" spans="1:11" x14ac:dyDescent="0.3">
      <c r="A91" s="1">
        <v>45411</v>
      </c>
      <c r="B91" t="s">
        <v>125</v>
      </c>
      <c r="C91" t="s">
        <v>188</v>
      </c>
      <c r="D91" s="2">
        <v>891.06</v>
      </c>
      <c r="E91" s="2">
        <v>0</v>
      </c>
      <c r="F91" s="2">
        <v>118601.31</v>
      </c>
      <c r="G91" s="2" t="str">
        <f t="shared" si="1"/>
        <v>29-04-2024 NET PI TO HSL SEC A/C 347707-00602340029392</v>
      </c>
      <c r="H91" s="2" t="s">
        <v>1911</v>
      </c>
      <c r="I91" t="s">
        <v>361</v>
      </c>
      <c r="J91" t="s">
        <v>1896</v>
      </c>
    </row>
    <row r="92" spans="1:11" x14ac:dyDescent="0.3">
      <c r="A92" s="1">
        <v>45411</v>
      </c>
      <c r="B92" t="s">
        <v>125</v>
      </c>
      <c r="C92" t="s">
        <v>189</v>
      </c>
      <c r="D92" s="2">
        <v>6432.16</v>
      </c>
      <c r="E92" s="2">
        <v>0</v>
      </c>
      <c r="F92" s="2">
        <v>112169.15</v>
      </c>
      <c r="G92" s="2" t="str">
        <f t="shared" si="1"/>
        <v>29-04-2024 NET PI TO HSL SEC A/C 347707-00602340029392</v>
      </c>
      <c r="H92" s="2" t="s">
        <v>1911</v>
      </c>
      <c r="I92" t="s">
        <v>361</v>
      </c>
      <c r="J92" t="s">
        <v>1896</v>
      </c>
    </row>
    <row r="93" spans="1:11" x14ac:dyDescent="0.3">
      <c r="A93" s="1">
        <v>45412</v>
      </c>
      <c r="B93" t="s">
        <v>754</v>
      </c>
      <c r="D93" s="2">
        <v>21</v>
      </c>
      <c r="E93" s="2">
        <v>0</v>
      </c>
      <c r="F93" s="2">
        <v>-27621.37</v>
      </c>
      <c r="G93" s="2" t="str">
        <f t="shared" si="1"/>
        <v>30-04-2024    DEBIT INTEREST---</v>
      </c>
      <c r="H93" s="2" t="s">
        <v>1911</v>
      </c>
      <c r="I93" t="s">
        <v>1915</v>
      </c>
      <c r="J93" t="s">
        <v>1897</v>
      </c>
    </row>
    <row r="94" spans="1:11" x14ac:dyDescent="0.3">
      <c r="A94" s="1">
        <v>45412</v>
      </c>
      <c r="B94" t="s">
        <v>752</v>
      </c>
      <c r="C94" t="s">
        <v>753</v>
      </c>
      <c r="D94" s="2">
        <v>27000</v>
      </c>
      <c r="E94" s="2">
        <v>0</v>
      </c>
      <c r="F94" s="2">
        <v>-27600.37</v>
      </c>
      <c r="G94" s="2" t="str">
        <f t="shared" si="1"/>
        <v>30-04-2024    TO TRANSFER-INB Payment towards loan repayment--</v>
      </c>
      <c r="H94" s="2" t="s">
        <v>1911</v>
      </c>
      <c r="I94" t="s">
        <v>1842</v>
      </c>
      <c r="J94" t="s">
        <v>1897</v>
      </c>
      <c r="K94" t="s">
        <v>1913</v>
      </c>
    </row>
    <row r="95" spans="1:11" x14ac:dyDescent="0.3">
      <c r="A95" s="1">
        <v>45412</v>
      </c>
      <c r="B95" t="s">
        <v>758</v>
      </c>
      <c r="C95" t="s">
        <v>1748</v>
      </c>
      <c r="D95" s="2">
        <v>0</v>
      </c>
      <c r="E95" s="2">
        <v>27000</v>
      </c>
      <c r="F95" s="2">
        <v>93996.4</v>
      </c>
      <c r="G95" s="2" t="str">
        <f t="shared" si="1"/>
        <v>30-04-2024    BY TRANSFER-INB Payment towards loan repayment--</v>
      </c>
      <c r="H95" s="2" t="s">
        <v>1911</v>
      </c>
      <c r="I95" t="s">
        <v>1906</v>
      </c>
      <c r="J95" t="s">
        <v>1899</v>
      </c>
      <c r="K95" t="s">
        <v>1913</v>
      </c>
    </row>
    <row r="96" spans="1:11" x14ac:dyDescent="0.3">
      <c r="A96" s="1">
        <v>45412</v>
      </c>
      <c r="B96" t="s">
        <v>1749</v>
      </c>
      <c r="C96" t="s">
        <v>1750</v>
      </c>
      <c r="D96" s="2">
        <v>50000</v>
      </c>
      <c r="E96" s="2">
        <v>0</v>
      </c>
      <c r="F96" s="2">
        <v>43996.4</v>
      </c>
      <c r="G96" s="2" t="str">
        <f t="shared" si="1"/>
        <v>30-04-2024    TO TRANSFER-INB NEFT UTR NO: SBIN324121083902--AJAY KUMAR GUPTA</v>
      </c>
      <c r="H96" s="2" t="s">
        <v>1911</v>
      </c>
      <c r="I96" t="s">
        <v>1907</v>
      </c>
      <c r="J96" t="s">
        <v>1899</v>
      </c>
      <c r="K96" t="s">
        <v>1913</v>
      </c>
    </row>
    <row r="97" spans="1:11" x14ac:dyDescent="0.3">
      <c r="A97" s="1">
        <v>45412</v>
      </c>
      <c r="B97" t="s">
        <v>25</v>
      </c>
      <c r="C97" t="s">
        <v>7</v>
      </c>
      <c r="D97" s="2">
        <v>0</v>
      </c>
      <c r="E97" s="2">
        <v>50000</v>
      </c>
      <c r="F97" s="2">
        <v>88121.43</v>
      </c>
      <c r="G97" s="2" t="str">
        <f t="shared" si="1"/>
        <v>30-04-2024 NEFT/SBIN324121083902/Mr  AJAY KUMAR GUPTA/STATE BANK OF INDIA//ATTN//INB//Monthly Expenses</v>
      </c>
      <c r="H97" s="2" t="s">
        <v>1911</v>
      </c>
      <c r="I97" t="s">
        <v>1842</v>
      </c>
      <c r="J97" t="s">
        <v>1895</v>
      </c>
      <c r="K97" t="s">
        <v>1913</v>
      </c>
    </row>
    <row r="98" spans="1:11" x14ac:dyDescent="0.3">
      <c r="A98" s="1">
        <v>45412</v>
      </c>
      <c r="B98" t="s">
        <v>125</v>
      </c>
      <c r="C98" t="s">
        <v>190</v>
      </c>
      <c r="D98" s="2">
        <v>277.14999999999998</v>
      </c>
      <c r="E98" s="2">
        <v>0</v>
      </c>
      <c r="F98" s="2">
        <v>111892</v>
      </c>
      <c r="G98" s="2" t="str">
        <f t="shared" si="1"/>
        <v>30-04-2024 NET PI TO HSL SEC A/C 347707-00602340029392</v>
      </c>
      <c r="H98" s="2" t="s">
        <v>1911</v>
      </c>
      <c r="I98" t="s">
        <v>361</v>
      </c>
      <c r="J98" t="s">
        <v>1896</v>
      </c>
    </row>
    <row r="99" spans="1:11" x14ac:dyDescent="0.3">
      <c r="A99" s="1">
        <v>45412</v>
      </c>
      <c r="B99" t="s">
        <v>125</v>
      </c>
      <c r="C99" t="s">
        <v>191</v>
      </c>
      <c r="D99" s="2">
        <v>43368.94</v>
      </c>
      <c r="E99" s="2">
        <v>0</v>
      </c>
      <c r="F99" s="2">
        <v>68523.06</v>
      </c>
      <c r="G99" s="2" t="str">
        <f t="shared" si="1"/>
        <v>30-04-2024 NET PI TO HSL SEC A/C 347707-00602340029392</v>
      </c>
      <c r="H99" s="2" t="s">
        <v>1911</v>
      </c>
      <c r="I99" t="s">
        <v>361</v>
      </c>
      <c r="J99" t="s">
        <v>1896</v>
      </c>
    </row>
    <row r="100" spans="1:11" x14ac:dyDescent="0.3">
      <c r="A100" s="1">
        <v>45412</v>
      </c>
      <c r="B100" t="s">
        <v>1740</v>
      </c>
      <c r="C100" t="s">
        <v>1751</v>
      </c>
      <c r="D100" s="2">
        <v>0</v>
      </c>
      <c r="E100" s="2">
        <v>33378.32</v>
      </c>
      <c r="F100" s="2">
        <v>77374.720000000001</v>
      </c>
      <c r="G100" s="2" t="str">
        <f t="shared" si="1"/>
        <v>30-04-2024    BY TRANSFER-INB -For 19260165--</v>
      </c>
      <c r="H100" s="2" t="s">
        <v>1911</v>
      </c>
      <c r="I100" t="s">
        <v>1887</v>
      </c>
      <c r="J100" t="s">
        <v>1899</v>
      </c>
    </row>
    <row r="101" spans="1:11" x14ac:dyDescent="0.3">
      <c r="A101" s="1">
        <v>45414</v>
      </c>
      <c r="B101" t="s">
        <v>750</v>
      </c>
      <c r="C101" t="s">
        <v>751</v>
      </c>
      <c r="D101" s="2">
        <v>0</v>
      </c>
      <c r="E101" s="2">
        <v>26595</v>
      </c>
      <c r="F101" s="2">
        <v>-1026.3699999999999</v>
      </c>
      <c r="G101" s="2" t="str">
        <f t="shared" si="1"/>
        <v>02-05-2024    DEPOSIT TRANSFER---</v>
      </c>
      <c r="H101" s="2" t="s">
        <v>1911</v>
      </c>
      <c r="I101" t="s">
        <v>1842</v>
      </c>
      <c r="J101" t="s">
        <v>1897</v>
      </c>
      <c r="K101" t="s">
        <v>1913</v>
      </c>
    </row>
    <row r="102" spans="1:11" x14ac:dyDescent="0.3">
      <c r="A102" s="1">
        <v>45414</v>
      </c>
      <c r="B102" t="s">
        <v>1734</v>
      </c>
      <c r="C102" t="s">
        <v>1735</v>
      </c>
      <c r="D102" s="2">
        <v>26595</v>
      </c>
      <c r="E102" s="2">
        <v>0</v>
      </c>
      <c r="F102" s="2">
        <v>50779.72</v>
      </c>
      <c r="G102" s="2" t="str">
        <f t="shared" si="1"/>
        <v>02-05-2024    WITHDRAWAL TRANSFER---</v>
      </c>
      <c r="H102" s="2" t="s">
        <v>1911</v>
      </c>
      <c r="I102" t="s">
        <v>1906</v>
      </c>
      <c r="J102" t="s">
        <v>1899</v>
      </c>
      <c r="K102" t="s">
        <v>1913</v>
      </c>
    </row>
    <row r="103" spans="1:11" x14ac:dyDescent="0.3">
      <c r="A103" s="1">
        <v>45414</v>
      </c>
      <c r="B103" t="s">
        <v>128</v>
      </c>
      <c r="C103" t="s">
        <v>192</v>
      </c>
      <c r="D103" s="2">
        <v>0</v>
      </c>
      <c r="E103" s="2">
        <v>7938.75</v>
      </c>
      <c r="F103" s="2">
        <v>76461.81</v>
      </c>
      <c r="G103" s="2" t="str">
        <f t="shared" si="1"/>
        <v>02-05-2024 NET PO FROM HSL A/C 347707-50200085415108</v>
      </c>
      <c r="H103" s="2" t="s">
        <v>1911</v>
      </c>
      <c r="I103" t="s">
        <v>361</v>
      </c>
      <c r="J103" t="s">
        <v>1896</v>
      </c>
    </row>
    <row r="104" spans="1:11" x14ac:dyDescent="0.3">
      <c r="A104" s="1">
        <v>45414</v>
      </c>
      <c r="B104" t="s">
        <v>125</v>
      </c>
      <c r="C104" t="s">
        <v>193</v>
      </c>
      <c r="D104" s="2">
        <v>531.84</v>
      </c>
      <c r="E104" s="2">
        <v>0</v>
      </c>
      <c r="F104" s="2">
        <v>75929.97</v>
      </c>
      <c r="G104" s="2" t="str">
        <f t="shared" si="1"/>
        <v>02-05-2024 NET PI TO HSL SEC A/C 347707-00602340029392</v>
      </c>
      <c r="H104" s="2" t="s">
        <v>1911</v>
      </c>
      <c r="I104" t="s">
        <v>361</v>
      </c>
      <c r="J104" t="s">
        <v>1896</v>
      </c>
    </row>
    <row r="105" spans="1:11" x14ac:dyDescent="0.3">
      <c r="A105" s="1">
        <v>45414</v>
      </c>
      <c r="B105" t="s">
        <v>125</v>
      </c>
      <c r="C105" t="s">
        <v>196</v>
      </c>
      <c r="D105" s="2">
        <v>6687.69</v>
      </c>
      <c r="E105" s="2">
        <v>0</v>
      </c>
      <c r="F105" s="2">
        <v>69837.41</v>
      </c>
      <c r="G105" s="2" t="str">
        <f t="shared" si="1"/>
        <v>02-05-2024 NET PI TO HSL SEC A/C 347707-00602340029392</v>
      </c>
      <c r="H105" s="2" t="s">
        <v>1911</v>
      </c>
      <c r="I105" t="s">
        <v>361</v>
      </c>
      <c r="J105" t="s">
        <v>1896</v>
      </c>
    </row>
    <row r="106" spans="1:11" x14ac:dyDescent="0.3">
      <c r="A106" s="1">
        <v>45414</v>
      </c>
      <c r="B106" t="s">
        <v>26</v>
      </c>
      <c r="C106" t="s">
        <v>7</v>
      </c>
      <c r="D106" s="2">
        <v>420</v>
      </c>
      <c r="E106" s="2">
        <v>0</v>
      </c>
      <c r="F106" s="2">
        <v>87701.43</v>
      </c>
      <c r="G106" s="2" t="str">
        <f t="shared" si="1"/>
        <v>02-05-2024 UPI/P2M/448970608822/BHARAT SHIVAJI SALVE /Fruits/Yes Bank Ltd</v>
      </c>
      <c r="H106" s="2" t="s">
        <v>1911</v>
      </c>
      <c r="I106" t="s">
        <v>356</v>
      </c>
      <c r="J106" t="s">
        <v>1895</v>
      </c>
    </row>
    <row r="107" spans="1:11" x14ac:dyDescent="0.3">
      <c r="A107" s="1">
        <v>45414</v>
      </c>
      <c r="B107" t="s">
        <v>27</v>
      </c>
      <c r="C107" t="s">
        <v>7</v>
      </c>
      <c r="D107" s="2">
        <v>550</v>
      </c>
      <c r="E107" s="2">
        <v>0</v>
      </c>
      <c r="F107" s="2">
        <v>87151.43</v>
      </c>
      <c r="G107" s="2" t="str">
        <f t="shared" si="1"/>
        <v>02-05-2024 UPI/P2M/448911266700/Mr AJAY VASANT RAUT  /Dry cl/Yes Bank Ltd</v>
      </c>
      <c r="H107" s="2" t="s">
        <v>1911</v>
      </c>
      <c r="I107" t="s">
        <v>356</v>
      </c>
      <c r="J107" t="s">
        <v>1895</v>
      </c>
    </row>
    <row r="108" spans="1:11" x14ac:dyDescent="0.3">
      <c r="A108" s="1">
        <v>45414</v>
      </c>
      <c r="B108" t="s">
        <v>28</v>
      </c>
      <c r="C108" t="s">
        <v>7</v>
      </c>
      <c r="D108" s="2">
        <v>150</v>
      </c>
      <c r="E108" s="2">
        <v>0</v>
      </c>
      <c r="F108" s="2">
        <v>87001.43</v>
      </c>
      <c r="G108" s="2" t="str">
        <f t="shared" si="1"/>
        <v>02-05-2024 UPI/P2M/448932832970/PRATIBHA SUDHAKAR MO /Pratib/Yes Bank Ltd</v>
      </c>
      <c r="H108" s="2" t="s">
        <v>1911</v>
      </c>
      <c r="I108" t="s">
        <v>356</v>
      </c>
      <c r="J108" t="s">
        <v>1895</v>
      </c>
    </row>
    <row r="109" spans="1:11" x14ac:dyDescent="0.3">
      <c r="A109" s="1">
        <v>45414</v>
      </c>
      <c r="B109" t="s">
        <v>194</v>
      </c>
      <c r="C109" t="s">
        <v>195</v>
      </c>
      <c r="D109" s="2">
        <v>0</v>
      </c>
      <c r="E109" s="2">
        <v>595.13</v>
      </c>
      <c r="F109" s="2">
        <v>76525.100000000006</v>
      </c>
      <c r="G109" s="2" t="str">
        <f t="shared" si="1"/>
        <v>02-05-2024 00012050001396HLY INT-IN0020210178</v>
      </c>
      <c r="H109" s="2" t="s">
        <v>1911</v>
      </c>
      <c r="I109" t="s">
        <v>369</v>
      </c>
      <c r="J109" t="s">
        <v>1896</v>
      </c>
    </row>
    <row r="110" spans="1:11" x14ac:dyDescent="0.3">
      <c r="A110" s="1">
        <v>45415</v>
      </c>
      <c r="B110" t="s">
        <v>202</v>
      </c>
      <c r="C110" t="s">
        <v>203</v>
      </c>
      <c r="D110" s="2">
        <v>5000</v>
      </c>
      <c r="E110" s="2">
        <v>0</v>
      </c>
      <c r="F110" s="2">
        <v>95146.58</v>
      </c>
      <c r="G110" s="2" t="str">
        <f t="shared" si="1"/>
        <v>03-05-2024 ATW-512967XXXXXX1000-S1ANMN04-NASHIK</v>
      </c>
      <c r="H110" s="2" t="s">
        <v>1911</v>
      </c>
      <c r="I110" t="s">
        <v>366</v>
      </c>
      <c r="J110" t="s">
        <v>1896</v>
      </c>
    </row>
    <row r="111" spans="1:11" x14ac:dyDescent="0.3">
      <c r="A111" s="1">
        <v>45415</v>
      </c>
      <c r="B111" t="s">
        <v>1752</v>
      </c>
      <c r="D111" s="2">
        <v>2000</v>
      </c>
      <c r="E111" s="2">
        <v>0</v>
      </c>
      <c r="F111" s="2">
        <v>48779.72</v>
      </c>
      <c r="G111" s="2" t="str">
        <f t="shared" si="1"/>
        <v>03-05-2024    ATM WDL-ATM CASH 468   SBI SHIVAJI NAGAR ATM NASHIK--</v>
      </c>
      <c r="H111" s="2" t="s">
        <v>1911</v>
      </c>
      <c r="I111" t="s">
        <v>366</v>
      </c>
      <c r="J111" t="s">
        <v>1899</v>
      </c>
    </row>
    <row r="112" spans="1:11" x14ac:dyDescent="0.3">
      <c r="A112" s="1">
        <v>45415</v>
      </c>
      <c r="B112" t="s">
        <v>199</v>
      </c>
      <c r="C112" t="s">
        <v>200</v>
      </c>
      <c r="D112" s="2">
        <v>295</v>
      </c>
      <c r="E112" s="2">
        <v>0</v>
      </c>
      <c r="F112" s="2">
        <v>100387.86</v>
      </c>
      <c r="G112" s="2" t="str">
        <f t="shared" si="1"/>
        <v>03-05-2024 ISAQMC-JAN-MAR24-101236 260424-MIR2512491298592</v>
      </c>
      <c r="H112" s="2" t="s">
        <v>1911</v>
      </c>
      <c r="I112" t="s">
        <v>365</v>
      </c>
      <c r="J112" t="s">
        <v>1896</v>
      </c>
    </row>
    <row r="113" spans="1:10" x14ac:dyDescent="0.3">
      <c r="A113" s="1">
        <v>45415</v>
      </c>
      <c r="B113" t="s">
        <v>128</v>
      </c>
      <c r="C113" t="s">
        <v>197</v>
      </c>
      <c r="D113" s="2">
        <v>0</v>
      </c>
      <c r="E113" s="2">
        <v>6018.48</v>
      </c>
      <c r="F113" s="2">
        <v>75855.89</v>
      </c>
      <c r="G113" s="2" t="str">
        <f t="shared" si="1"/>
        <v>03-05-2024 NET PO FROM HSL A/C 347707-50200085415108</v>
      </c>
      <c r="H113" s="2" t="s">
        <v>1911</v>
      </c>
      <c r="I113" t="s">
        <v>361</v>
      </c>
      <c r="J113" t="s">
        <v>1896</v>
      </c>
    </row>
    <row r="114" spans="1:10" x14ac:dyDescent="0.3">
      <c r="A114" s="1">
        <v>45415</v>
      </c>
      <c r="B114" t="s">
        <v>128</v>
      </c>
      <c r="C114" t="s">
        <v>198</v>
      </c>
      <c r="D114" s="2">
        <v>0</v>
      </c>
      <c r="E114" s="2">
        <v>24826.97</v>
      </c>
      <c r="F114" s="2">
        <v>100682.86</v>
      </c>
      <c r="G114" s="2" t="str">
        <f t="shared" si="1"/>
        <v>03-05-2024 NET PO FROM HSL A/C 347707-50200085415108</v>
      </c>
      <c r="H114" s="2" t="s">
        <v>1911</v>
      </c>
      <c r="I114" t="s">
        <v>361</v>
      </c>
      <c r="J114" t="s">
        <v>1896</v>
      </c>
    </row>
    <row r="115" spans="1:10" x14ac:dyDescent="0.3">
      <c r="A115" s="1">
        <v>45415</v>
      </c>
      <c r="B115" t="s">
        <v>125</v>
      </c>
      <c r="C115" t="s">
        <v>201</v>
      </c>
      <c r="D115" s="2">
        <v>241.28</v>
      </c>
      <c r="E115" s="2">
        <v>0</v>
      </c>
      <c r="F115" s="2">
        <v>100146.58</v>
      </c>
      <c r="G115" s="2" t="str">
        <f t="shared" si="1"/>
        <v>03-05-2024 NET PI TO HSL SEC A/C 347707-00602340029392</v>
      </c>
      <c r="H115" s="2" t="s">
        <v>1911</v>
      </c>
      <c r="I115" t="s">
        <v>361</v>
      </c>
      <c r="J115" t="s">
        <v>1896</v>
      </c>
    </row>
    <row r="116" spans="1:10" x14ac:dyDescent="0.3">
      <c r="A116" s="1">
        <v>45415</v>
      </c>
      <c r="B116" t="s">
        <v>125</v>
      </c>
      <c r="C116" t="s">
        <v>204</v>
      </c>
      <c r="D116" s="2">
        <v>46062.080000000002</v>
      </c>
      <c r="E116" s="2">
        <v>0</v>
      </c>
      <c r="F116" s="2">
        <v>49084.5</v>
      </c>
      <c r="G116" s="2" t="str">
        <f t="shared" si="1"/>
        <v>03-05-2024 NET PI TO HSL SEC A/C 347707-00602340029392</v>
      </c>
      <c r="H116" s="2" t="s">
        <v>1911</v>
      </c>
      <c r="I116" t="s">
        <v>361</v>
      </c>
      <c r="J116" t="s">
        <v>1896</v>
      </c>
    </row>
    <row r="117" spans="1:10" x14ac:dyDescent="0.3">
      <c r="A117" s="1">
        <v>45418</v>
      </c>
      <c r="B117" t="s">
        <v>29</v>
      </c>
      <c r="C117" t="s">
        <v>7</v>
      </c>
      <c r="D117" s="2">
        <v>663.76</v>
      </c>
      <c r="E117" s="2">
        <v>0</v>
      </c>
      <c r="F117" s="2">
        <v>86337.67</v>
      </c>
      <c r="G117" s="2" t="str">
        <f t="shared" si="1"/>
        <v>06-05-2024 AXISDIRECT/R692391/06-05-2024/10:05</v>
      </c>
      <c r="H117" s="2" t="s">
        <v>1911</v>
      </c>
      <c r="I117" t="s">
        <v>1880</v>
      </c>
      <c r="J117" t="s">
        <v>1895</v>
      </c>
    </row>
    <row r="118" spans="1:10" x14ac:dyDescent="0.3">
      <c r="A118" s="1">
        <v>45418</v>
      </c>
      <c r="B118" t="s">
        <v>704</v>
      </c>
      <c r="D118" s="2">
        <v>0</v>
      </c>
      <c r="E118" s="2">
        <v>96</v>
      </c>
      <c r="F118" s="2">
        <v>15821</v>
      </c>
      <c r="G118" s="2" t="str">
        <f>TEXT(A118,"DD")&amp;"-"&amp;TEXT(A118,"MM")&amp;"-"&amp;TEXT(A118,"YYYY")&amp;" "&amp;B118</f>
        <v>06-05-2024 662113100016699:SBInt.Pd:01-02-2024 to 30-04-2024</v>
      </c>
      <c r="H118" t="s">
        <v>1911</v>
      </c>
      <c r="I118" t="s">
        <v>370</v>
      </c>
      <c r="J118" t="s">
        <v>1898</v>
      </c>
    </row>
    <row r="119" spans="1:10" x14ac:dyDescent="0.3">
      <c r="A119" s="1">
        <v>45418</v>
      </c>
      <c r="B119" t="s">
        <v>125</v>
      </c>
      <c r="C119" t="s">
        <v>205</v>
      </c>
      <c r="D119" s="2">
        <v>649.62</v>
      </c>
      <c r="E119" s="2">
        <v>0</v>
      </c>
      <c r="F119" s="2">
        <v>48434.879999999997</v>
      </c>
      <c r="G119" s="2" t="str">
        <f t="shared" ref="G119:G182" si="2">TEXT(A119,"DD")&amp;"-"&amp;TEXT(A119,"MM")&amp;"-"&amp;TEXT(A119,"YYYY")&amp;" "&amp;B119</f>
        <v>06-05-2024 NET PI TO HSL SEC A/C 347707-00602340029392</v>
      </c>
      <c r="H119" s="2" t="s">
        <v>1911</v>
      </c>
      <c r="I119" t="s">
        <v>361</v>
      </c>
      <c r="J119" t="s">
        <v>1896</v>
      </c>
    </row>
    <row r="120" spans="1:10" x14ac:dyDescent="0.3">
      <c r="A120" s="1">
        <v>45418</v>
      </c>
      <c r="B120" t="s">
        <v>125</v>
      </c>
      <c r="C120" t="s">
        <v>206</v>
      </c>
      <c r="D120" s="2">
        <v>7798.44</v>
      </c>
      <c r="E120" s="2">
        <v>0</v>
      </c>
      <c r="F120" s="2">
        <v>40636.44</v>
      </c>
      <c r="G120" s="2" t="str">
        <f t="shared" si="2"/>
        <v>06-05-2024 NET PI TO HSL SEC A/C 347707-00602340029392</v>
      </c>
      <c r="H120" s="2" t="s">
        <v>1911</v>
      </c>
      <c r="I120" t="s">
        <v>361</v>
      </c>
      <c r="J120" t="s">
        <v>1896</v>
      </c>
    </row>
    <row r="121" spans="1:10" x14ac:dyDescent="0.3">
      <c r="A121" s="1">
        <v>45418</v>
      </c>
      <c r="B121" t="s">
        <v>30</v>
      </c>
      <c r="C121" t="s">
        <v>7</v>
      </c>
      <c r="D121" s="2">
        <v>1</v>
      </c>
      <c r="E121" s="2">
        <v>0</v>
      </c>
      <c r="F121" s="2">
        <v>86336.67</v>
      </c>
      <c r="G121" s="2" t="str">
        <f t="shared" si="2"/>
        <v>06-05-2024 UPI/P2A/449389099908/Mr MANOJ GUPTA       /Paymen/Indian Bank</v>
      </c>
      <c r="H121" s="2" t="s">
        <v>1911</v>
      </c>
      <c r="I121" t="s">
        <v>1916</v>
      </c>
      <c r="J121" t="s">
        <v>1895</v>
      </c>
    </row>
    <row r="122" spans="1:10" x14ac:dyDescent="0.3">
      <c r="A122" s="1">
        <v>45418</v>
      </c>
      <c r="B122" t="s">
        <v>31</v>
      </c>
      <c r="C122" t="s">
        <v>7</v>
      </c>
      <c r="D122" s="2">
        <v>36635</v>
      </c>
      <c r="E122" s="2">
        <v>0</v>
      </c>
      <c r="F122" s="2">
        <v>49701.67</v>
      </c>
      <c r="G122" s="2" t="str">
        <f t="shared" si="2"/>
        <v>06-05-2024 UPI/P2A/449302486607/Mr MANOJ GUPTA       /Paymen/Indian Bank</v>
      </c>
      <c r="H122" s="2" t="s">
        <v>1911</v>
      </c>
      <c r="I122" t="s">
        <v>1916</v>
      </c>
      <c r="J122" t="s">
        <v>1895</v>
      </c>
    </row>
    <row r="123" spans="1:10" x14ac:dyDescent="0.3">
      <c r="A123" s="1">
        <v>45419</v>
      </c>
      <c r="B123" t="s">
        <v>125</v>
      </c>
      <c r="C123" t="s">
        <v>207</v>
      </c>
      <c r="D123" s="2">
        <v>217.47</v>
      </c>
      <c r="E123" s="2">
        <v>0</v>
      </c>
      <c r="F123" s="2">
        <v>40418.97</v>
      </c>
      <c r="G123" s="2" t="str">
        <f t="shared" si="2"/>
        <v>07-05-2024 NET PI TO HSL SEC A/C 347707-00602340029392</v>
      </c>
      <c r="H123" s="2" t="s">
        <v>1911</v>
      </c>
      <c r="I123" t="s">
        <v>361</v>
      </c>
      <c r="J123" t="s">
        <v>1896</v>
      </c>
    </row>
    <row r="124" spans="1:10" x14ac:dyDescent="0.3">
      <c r="A124" s="1">
        <v>45419</v>
      </c>
      <c r="B124" t="s">
        <v>125</v>
      </c>
      <c r="C124" t="s">
        <v>208</v>
      </c>
      <c r="D124" s="2">
        <v>14240.93</v>
      </c>
      <c r="E124" s="2">
        <v>0</v>
      </c>
      <c r="F124" s="2">
        <v>26178.04</v>
      </c>
      <c r="G124" s="2" t="str">
        <f t="shared" si="2"/>
        <v>07-05-2024 NET PI TO HSL SEC A/C 347707-00602340029392</v>
      </c>
      <c r="H124" s="2" t="s">
        <v>1911</v>
      </c>
      <c r="I124" t="s">
        <v>361</v>
      </c>
      <c r="J124" t="s">
        <v>1896</v>
      </c>
    </row>
    <row r="125" spans="1:10" x14ac:dyDescent="0.3">
      <c r="A125" s="1">
        <v>45419</v>
      </c>
      <c r="B125" t="s">
        <v>125</v>
      </c>
      <c r="C125" t="s">
        <v>209</v>
      </c>
      <c r="D125" s="2">
        <v>363.75</v>
      </c>
      <c r="E125" s="2">
        <v>0</v>
      </c>
      <c r="F125" s="2">
        <v>25814.29</v>
      </c>
      <c r="G125" s="2" t="str">
        <f t="shared" si="2"/>
        <v>07-05-2024 NET PI TO HSL SEC A/C 347707-00602340029392</v>
      </c>
      <c r="H125" s="2" t="s">
        <v>1911</v>
      </c>
      <c r="I125" t="s">
        <v>361</v>
      </c>
      <c r="J125" t="s">
        <v>1896</v>
      </c>
    </row>
    <row r="126" spans="1:10" x14ac:dyDescent="0.3">
      <c r="A126" s="1">
        <v>45420</v>
      </c>
      <c r="B126" t="s">
        <v>8</v>
      </c>
      <c r="C126" t="s">
        <v>7</v>
      </c>
      <c r="D126" s="2">
        <v>12539.04</v>
      </c>
      <c r="E126" s="2">
        <v>0</v>
      </c>
      <c r="F126" s="2">
        <v>37162.629999999997</v>
      </c>
      <c r="G126" s="2" t="str">
        <f t="shared" si="2"/>
        <v>08-05-2024 BRN-PYMT-CARD-4111460000883615</v>
      </c>
      <c r="H126" s="2" t="s">
        <v>1911</v>
      </c>
      <c r="I126" t="s">
        <v>1877</v>
      </c>
      <c r="J126" t="s">
        <v>1895</v>
      </c>
    </row>
    <row r="127" spans="1:10" x14ac:dyDescent="0.3">
      <c r="A127" s="1">
        <v>45420</v>
      </c>
      <c r="B127" t="s">
        <v>128</v>
      </c>
      <c r="C127" t="s">
        <v>210</v>
      </c>
      <c r="D127" s="2">
        <v>0</v>
      </c>
      <c r="E127" s="2">
        <v>9709.5300000000007</v>
      </c>
      <c r="F127" s="2">
        <v>35523.82</v>
      </c>
      <c r="G127" s="2" t="str">
        <f t="shared" si="2"/>
        <v>08-05-2024 NET PO FROM HSL A/C 347707-50200085415108</v>
      </c>
      <c r="H127" s="2" t="s">
        <v>1911</v>
      </c>
      <c r="I127" t="s">
        <v>361</v>
      </c>
      <c r="J127" t="s">
        <v>1896</v>
      </c>
    </row>
    <row r="128" spans="1:10" x14ac:dyDescent="0.3">
      <c r="A128" s="1">
        <v>45420</v>
      </c>
      <c r="B128" t="s">
        <v>125</v>
      </c>
      <c r="C128" t="s">
        <v>211</v>
      </c>
      <c r="D128" s="2">
        <v>224.84</v>
      </c>
      <c r="E128" s="2">
        <v>0</v>
      </c>
      <c r="F128" s="2">
        <v>35298.980000000003</v>
      </c>
      <c r="G128" s="2" t="str">
        <f t="shared" si="2"/>
        <v>08-05-2024 NET PI TO HSL SEC A/C 347707-00602340029392</v>
      </c>
      <c r="H128" s="2" t="s">
        <v>1911</v>
      </c>
      <c r="I128" t="s">
        <v>361</v>
      </c>
      <c r="J128" t="s">
        <v>1896</v>
      </c>
    </row>
    <row r="129" spans="1:10" x14ac:dyDescent="0.3">
      <c r="A129" s="1">
        <v>45420</v>
      </c>
      <c r="B129" t="s">
        <v>32</v>
      </c>
      <c r="C129" t="s">
        <v>7</v>
      </c>
      <c r="D129" s="2">
        <v>1</v>
      </c>
      <c r="E129" s="2">
        <v>0</v>
      </c>
      <c r="F129" s="2">
        <v>37161.629999999997</v>
      </c>
      <c r="G129" s="2" t="str">
        <f t="shared" si="2"/>
        <v>08-05-2024 UPI/P2A/449569224809/Sachin Kanoba Bokepho/Paymen/State Bank Of India</v>
      </c>
      <c r="H129" s="2" t="s">
        <v>1911</v>
      </c>
      <c r="I129" t="s">
        <v>356</v>
      </c>
      <c r="J129" t="s">
        <v>1895</v>
      </c>
    </row>
    <row r="130" spans="1:10" x14ac:dyDescent="0.3">
      <c r="A130" s="1">
        <v>45420</v>
      </c>
      <c r="B130" t="s">
        <v>33</v>
      </c>
      <c r="C130" t="s">
        <v>7</v>
      </c>
      <c r="D130" s="2">
        <v>30000</v>
      </c>
      <c r="E130" s="2">
        <v>0</v>
      </c>
      <c r="F130" s="2">
        <v>7161.63</v>
      </c>
      <c r="G130" s="2" t="str">
        <f t="shared" si="2"/>
        <v>08-05-2024 UPI/P2A/449509556327/Sachin Kanoba Bokepho/Paymen/State Bank Of India</v>
      </c>
      <c r="H130" s="2" t="s">
        <v>1911</v>
      </c>
      <c r="I130" t="s">
        <v>1918</v>
      </c>
      <c r="J130" t="s">
        <v>1895</v>
      </c>
    </row>
    <row r="131" spans="1:10" x14ac:dyDescent="0.3">
      <c r="A131" s="1">
        <v>45421</v>
      </c>
      <c r="B131" t="s">
        <v>214</v>
      </c>
      <c r="C131" t="s">
        <v>140</v>
      </c>
      <c r="D131" s="2">
        <v>2881.8</v>
      </c>
      <c r="E131" s="2">
        <v>0</v>
      </c>
      <c r="F131" s="2">
        <v>32181.11</v>
      </c>
      <c r="G131" s="2" t="str">
        <f t="shared" si="2"/>
        <v>09-05-2024 DEPOSITORY CHARGES APR24 - 40227714</v>
      </c>
      <c r="H131" s="2" t="s">
        <v>1911</v>
      </c>
      <c r="I131" t="s">
        <v>362</v>
      </c>
      <c r="J131" t="s">
        <v>1896</v>
      </c>
    </row>
    <row r="132" spans="1:10" x14ac:dyDescent="0.3">
      <c r="A132" s="1">
        <v>45421</v>
      </c>
      <c r="B132" t="s">
        <v>125</v>
      </c>
      <c r="C132" t="s">
        <v>212</v>
      </c>
      <c r="D132" s="2">
        <v>7.69</v>
      </c>
      <c r="E132" s="2">
        <v>0</v>
      </c>
      <c r="F132" s="2">
        <v>35291.29</v>
      </c>
      <c r="G132" s="2" t="str">
        <f t="shared" si="2"/>
        <v>09-05-2024 NET PI TO HSL SEC A/C 347707-00602340029392</v>
      </c>
      <c r="H132" s="2" t="s">
        <v>1911</v>
      </c>
      <c r="I132" t="s">
        <v>361</v>
      </c>
      <c r="J132" t="s">
        <v>1896</v>
      </c>
    </row>
    <row r="133" spans="1:10" x14ac:dyDescent="0.3">
      <c r="A133" s="1">
        <v>45421</v>
      </c>
      <c r="B133" t="s">
        <v>125</v>
      </c>
      <c r="C133" t="s">
        <v>213</v>
      </c>
      <c r="D133" s="2">
        <v>228.38</v>
      </c>
      <c r="E133" s="2">
        <v>0</v>
      </c>
      <c r="F133" s="2">
        <v>35062.910000000003</v>
      </c>
      <c r="G133" s="2" t="str">
        <f t="shared" si="2"/>
        <v>09-05-2024 NET PI TO HSL SEC A/C 347707-00602340029392</v>
      </c>
      <c r="H133" s="2" t="s">
        <v>1911</v>
      </c>
      <c r="I133" t="s">
        <v>361</v>
      </c>
      <c r="J133" t="s">
        <v>1896</v>
      </c>
    </row>
    <row r="134" spans="1:10" x14ac:dyDescent="0.3">
      <c r="A134" s="1">
        <v>45421</v>
      </c>
      <c r="B134" t="s">
        <v>125</v>
      </c>
      <c r="C134" t="s">
        <v>217</v>
      </c>
      <c r="D134" s="2">
        <v>20481.04</v>
      </c>
      <c r="E134" s="2">
        <v>0</v>
      </c>
      <c r="F134" s="2">
        <v>36700.07</v>
      </c>
      <c r="G134" s="2" t="str">
        <f t="shared" si="2"/>
        <v>09-05-2024 NET PI TO HSL SEC A/C 347707-00602340029392</v>
      </c>
      <c r="H134" s="2" t="s">
        <v>1911</v>
      </c>
      <c r="I134" t="s">
        <v>361</v>
      </c>
      <c r="J134" t="s">
        <v>1896</v>
      </c>
    </row>
    <row r="135" spans="1:10" x14ac:dyDescent="0.3">
      <c r="A135" s="1">
        <v>45421</v>
      </c>
      <c r="B135" t="s">
        <v>215</v>
      </c>
      <c r="C135" t="s">
        <v>216</v>
      </c>
      <c r="D135" s="2">
        <v>0</v>
      </c>
      <c r="E135" s="2">
        <v>25000</v>
      </c>
      <c r="F135" s="2">
        <v>57181.11</v>
      </c>
      <c r="G135" s="2" t="str">
        <f t="shared" si="2"/>
        <v>09-05-2024 01671000060094-TPT-MNY RETURNED FROM SUNITA TO AKG-SUNITA GUPTA</v>
      </c>
      <c r="H135" s="2" t="s">
        <v>1911</v>
      </c>
      <c r="I135" t="s">
        <v>364</v>
      </c>
      <c r="J135" t="s">
        <v>1896</v>
      </c>
    </row>
    <row r="136" spans="1:10" x14ac:dyDescent="0.3">
      <c r="A136" s="1">
        <v>45422</v>
      </c>
      <c r="B136" t="s">
        <v>125</v>
      </c>
      <c r="C136" t="s">
        <v>219</v>
      </c>
      <c r="D136" s="2">
        <v>221.09</v>
      </c>
      <c r="E136" s="2">
        <v>0</v>
      </c>
      <c r="F136" s="2">
        <v>26478.98</v>
      </c>
      <c r="G136" s="2" t="str">
        <f t="shared" si="2"/>
        <v>10-05-2024 NET PI TO HSL SEC A/C 347707-00602340029392</v>
      </c>
      <c r="H136" s="2" t="s">
        <v>1911</v>
      </c>
      <c r="I136" t="s">
        <v>361</v>
      </c>
      <c r="J136" t="s">
        <v>1896</v>
      </c>
    </row>
    <row r="137" spans="1:10" x14ac:dyDescent="0.3">
      <c r="A137" s="1">
        <v>45422</v>
      </c>
      <c r="B137" t="s">
        <v>125</v>
      </c>
      <c r="C137" t="s">
        <v>220</v>
      </c>
      <c r="D137" s="2">
        <v>6385.72</v>
      </c>
      <c r="E137" s="2">
        <v>0</v>
      </c>
      <c r="F137" s="2">
        <v>20093.259999999998</v>
      </c>
      <c r="G137" s="2" t="str">
        <f t="shared" si="2"/>
        <v>10-05-2024 NET PI TO HSL SEC A/C 347707-00602340029392</v>
      </c>
      <c r="H137" s="2" t="s">
        <v>1911</v>
      </c>
      <c r="I137" t="s">
        <v>361</v>
      </c>
      <c r="J137" t="s">
        <v>1896</v>
      </c>
    </row>
    <row r="138" spans="1:10" x14ac:dyDescent="0.3">
      <c r="A138" s="1">
        <v>45422</v>
      </c>
      <c r="B138" t="s">
        <v>146</v>
      </c>
      <c r="C138" t="s">
        <v>218</v>
      </c>
      <c r="D138" s="2">
        <v>10000</v>
      </c>
      <c r="E138" s="2">
        <v>0</v>
      </c>
      <c r="F138" s="2">
        <v>26700.07</v>
      </c>
      <c r="G138" s="2" t="str">
        <f t="shared" si="2"/>
        <v>10-05-2024 ACH D- INDIAN CLEARING CORP-P25847605X05</v>
      </c>
      <c r="H138" s="2" t="s">
        <v>1911</v>
      </c>
      <c r="I138" t="s">
        <v>1854</v>
      </c>
      <c r="J138" t="s">
        <v>1896</v>
      </c>
    </row>
    <row r="139" spans="1:10" x14ac:dyDescent="0.3">
      <c r="A139" s="1">
        <v>45422</v>
      </c>
      <c r="B139" t="s">
        <v>34</v>
      </c>
      <c r="C139" t="s">
        <v>7</v>
      </c>
      <c r="D139" s="2">
        <v>186</v>
      </c>
      <c r="E139" s="2">
        <v>0</v>
      </c>
      <c r="F139" s="2">
        <v>6975.63</v>
      </c>
      <c r="G139" s="2" t="str">
        <f t="shared" si="2"/>
        <v>10-05-2024 UPI/P2M/413163677520/SWIGGY               /Paymen/ICICI Bank</v>
      </c>
      <c r="H139" s="2" t="s">
        <v>1911</v>
      </c>
      <c r="I139" t="s">
        <v>356</v>
      </c>
      <c r="J139" t="s">
        <v>1895</v>
      </c>
    </row>
    <row r="140" spans="1:10" x14ac:dyDescent="0.3">
      <c r="A140" s="1">
        <v>45425</v>
      </c>
      <c r="B140" t="s">
        <v>128</v>
      </c>
      <c r="C140" t="s">
        <v>221</v>
      </c>
      <c r="D140" s="2">
        <v>0</v>
      </c>
      <c r="E140" s="2">
        <v>6536.96</v>
      </c>
      <c r="F140" s="2">
        <v>26630.22</v>
      </c>
      <c r="G140" s="2" t="str">
        <f t="shared" si="2"/>
        <v>13-05-2024 NET PO FROM HSL A/C 347707-50200085415108</v>
      </c>
      <c r="H140" s="2" t="s">
        <v>1911</v>
      </c>
      <c r="I140" t="s">
        <v>361</v>
      </c>
      <c r="J140" t="s">
        <v>1896</v>
      </c>
    </row>
    <row r="141" spans="1:10" x14ac:dyDescent="0.3">
      <c r="A141" s="1">
        <v>45425</v>
      </c>
      <c r="B141" t="s">
        <v>125</v>
      </c>
      <c r="C141" t="s">
        <v>222</v>
      </c>
      <c r="D141" s="2">
        <v>676.29</v>
      </c>
      <c r="E141" s="2">
        <v>0</v>
      </c>
      <c r="F141" s="2">
        <v>25953.93</v>
      </c>
      <c r="G141" s="2" t="str">
        <f t="shared" si="2"/>
        <v>13-05-2024 NET PI TO HSL SEC A/C 347707-00602340029392</v>
      </c>
      <c r="H141" s="2" t="s">
        <v>1911</v>
      </c>
      <c r="I141" t="s">
        <v>361</v>
      </c>
      <c r="J141" t="s">
        <v>1896</v>
      </c>
    </row>
    <row r="142" spans="1:10" x14ac:dyDescent="0.3">
      <c r="A142" s="1">
        <v>45425</v>
      </c>
      <c r="B142" t="s">
        <v>125</v>
      </c>
      <c r="C142" t="s">
        <v>223</v>
      </c>
      <c r="D142" s="2">
        <v>9001.43</v>
      </c>
      <c r="E142" s="2">
        <v>0</v>
      </c>
      <c r="F142" s="2">
        <v>16952.5</v>
      </c>
      <c r="G142" s="2" t="str">
        <f t="shared" si="2"/>
        <v>13-05-2024 NET PI TO HSL SEC A/C 347707-00602340029392</v>
      </c>
      <c r="H142" s="2" t="s">
        <v>1911</v>
      </c>
      <c r="I142" t="s">
        <v>361</v>
      </c>
      <c r="J142" t="s">
        <v>1896</v>
      </c>
    </row>
    <row r="143" spans="1:10" x14ac:dyDescent="0.3">
      <c r="A143" s="1">
        <v>45426</v>
      </c>
      <c r="B143" t="s">
        <v>125</v>
      </c>
      <c r="C143" t="s">
        <v>224</v>
      </c>
      <c r="D143" s="2">
        <v>224.56</v>
      </c>
      <c r="E143" s="2">
        <v>0</v>
      </c>
      <c r="F143" s="2">
        <v>16727.939999999999</v>
      </c>
      <c r="G143" s="2" t="str">
        <f t="shared" si="2"/>
        <v>14-05-2024 NET PI TO HSL SEC A/C 347707-00602340029392</v>
      </c>
      <c r="H143" s="2" t="s">
        <v>1911</v>
      </c>
      <c r="I143" t="s">
        <v>361</v>
      </c>
      <c r="J143" t="s">
        <v>1896</v>
      </c>
    </row>
    <row r="144" spans="1:10" x14ac:dyDescent="0.3">
      <c r="A144" s="1">
        <v>45427</v>
      </c>
      <c r="B144" t="s">
        <v>128</v>
      </c>
      <c r="C144" t="s">
        <v>225</v>
      </c>
      <c r="D144" s="2">
        <v>0</v>
      </c>
      <c r="E144" s="2">
        <v>3855.67</v>
      </c>
      <c r="F144" s="2">
        <v>20583.61</v>
      </c>
      <c r="G144" s="2" t="str">
        <f t="shared" si="2"/>
        <v>15-05-2024 NET PO FROM HSL A/C 347707-50200085415108</v>
      </c>
      <c r="H144" s="2" t="s">
        <v>1911</v>
      </c>
      <c r="I144" t="s">
        <v>361</v>
      </c>
      <c r="J144" t="s">
        <v>1896</v>
      </c>
    </row>
    <row r="145" spans="1:10" x14ac:dyDescent="0.3">
      <c r="A145" s="1">
        <v>45427</v>
      </c>
      <c r="B145" t="s">
        <v>128</v>
      </c>
      <c r="C145" t="s">
        <v>226</v>
      </c>
      <c r="D145" s="2">
        <v>0</v>
      </c>
      <c r="E145" s="2">
        <v>129918.32</v>
      </c>
      <c r="F145" s="2">
        <v>150501.93</v>
      </c>
      <c r="G145" s="2" t="str">
        <f t="shared" si="2"/>
        <v>15-05-2024 NET PO FROM HSL A/C 347707-50200085415108</v>
      </c>
      <c r="H145" s="2" t="s">
        <v>1911</v>
      </c>
      <c r="I145" t="s">
        <v>361</v>
      </c>
      <c r="J145" t="s">
        <v>1896</v>
      </c>
    </row>
    <row r="146" spans="1:10" x14ac:dyDescent="0.3">
      <c r="A146" s="1">
        <v>45427</v>
      </c>
      <c r="B146" t="s">
        <v>125</v>
      </c>
      <c r="C146" t="s">
        <v>228</v>
      </c>
      <c r="D146" s="2">
        <v>240.49</v>
      </c>
      <c r="E146" s="2">
        <v>0</v>
      </c>
      <c r="F146" s="2">
        <v>140261.44</v>
      </c>
      <c r="G146" s="2" t="str">
        <f t="shared" si="2"/>
        <v>15-05-2024 NET PI TO HSL SEC A/C 347707-00602340029392</v>
      </c>
      <c r="H146" s="2" t="s">
        <v>1911</v>
      </c>
      <c r="I146" t="s">
        <v>361</v>
      </c>
      <c r="J146" t="s">
        <v>1896</v>
      </c>
    </row>
    <row r="147" spans="1:10" x14ac:dyDescent="0.3">
      <c r="A147" s="1">
        <v>45427</v>
      </c>
      <c r="B147" t="s">
        <v>125</v>
      </c>
      <c r="C147" t="s">
        <v>229</v>
      </c>
      <c r="D147" s="2">
        <v>28406.51</v>
      </c>
      <c r="E147" s="2">
        <v>0</v>
      </c>
      <c r="F147" s="2">
        <v>111854.93</v>
      </c>
      <c r="G147" s="2" t="str">
        <f t="shared" si="2"/>
        <v>15-05-2024 NET PI TO HSL SEC A/C 347707-00602340029392</v>
      </c>
      <c r="H147" s="2" t="s">
        <v>1911</v>
      </c>
      <c r="I147" t="s">
        <v>361</v>
      </c>
      <c r="J147" t="s">
        <v>1896</v>
      </c>
    </row>
    <row r="148" spans="1:10" x14ac:dyDescent="0.3">
      <c r="A148" s="1">
        <v>45427</v>
      </c>
      <c r="B148" t="s">
        <v>146</v>
      </c>
      <c r="C148" t="s">
        <v>227</v>
      </c>
      <c r="D148" s="2">
        <v>10000</v>
      </c>
      <c r="E148" s="2">
        <v>0</v>
      </c>
      <c r="F148" s="2">
        <v>140501.93</v>
      </c>
      <c r="G148" s="2" t="str">
        <f t="shared" si="2"/>
        <v>15-05-2024 ACH D- INDIAN CLEARING CORP-P25847605X05</v>
      </c>
      <c r="H148" s="2" t="s">
        <v>1911</v>
      </c>
      <c r="I148" t="s">
        <v>1854</v>
      </c>
      <c r="J148" t="s">
        <v>1896</v>
      </c>
    </row>
    <row r="149" spans="1:10" x14ac:dyDescent="0.3">
      <c r="A149" s="1">
        <v>45427</v>
      </c>
      <c r="B149" t="s">
        <v>36</v>
      </c>
      <c r="C149" t="s">
        <v>7</v>
      </c>
      <c r="D149" s="2">
        <v>0</v>
      </c>
      <c r="E149" s="2">
        <v>40000</v>
      </c>
      <c r="F149" s="2">
        <v>44975.63</v>
      </c>
      <c r="G149" s="2" t="str">
        <f t="shared" si="2"/>
        <v>15-05-2024 INB/IFT/SUNITA GUPTA/TPARTY TRANSFER</v>
      </c>
      <c r="H149" s="2" t="s">
        <v>1911</v>
      </c>
      <c r="I149" t="s">
        <v>360</v>
      </c>
      <c r="J149" t="s">
        <v>1895</v>
      </c>
    </row>
    <row r="150" spans="1:10" x14ac:dyDescent="0.3">
      <c r="A150" s="1">
        <v>45427</v>
      </c>
      <c r="B150" t="s">
        <v>35</v>
      </c>
      <c r="C150" t="s">
        <v>7</v>
      </c>
      <c r="D150" s="2">
        <v>2000</v>
      </c>
      <c r="E150" s="2">
        <v>0</v>
      </c>
      <c r="F150" s="2">
        <v>4975.63</v>
      </c>
      <c r="G150" s="2" t="str">
        <f t="shared" si="2"/>
        <v>15-05-2024 UPI/P2A/450233004031/VIMAL  KUMAR SO BHOLA/Paymen/State Bank Of India</v>
      </c>
      <c r="H150" s="2" t="s">
        <v>1911</v>
      </c>
      <c r="I150" t="s">
        <v>356</v>
      </c>
      <c r="J150" t="s">
        <v>1895</v>
      </c>
    </row>
    <row r="151" spans="1:10" x14ac:dyDescent="0.3">
      <c r="A151" s="1">
        <v>45428</v>
      </c>
      <c r="B151" t="s">
        <v>128</v>
      </c>
      <c r="C151" t="s">
        <v>230</v>
      </c>
      <c r="D151" s="2">
        <v>0</v>
      </c>
      <c r="E151" s="2">
        <v>474.78</v>
      </c>
      <c r="F151" s="2">
        <v>112329.71</v>
      </c>
      <c r="G151" s="2" t="str">
        <f t="shared" si="2"/>
        <v>16-05-2024 NET PO FROM HSL A/C 347707-50200085415108</v>
      </c>
      <c r="H151" s="2" t="s">
        <v>1911</v>
      </c>
      <c r="I151" t="s">
        <v>361</v>
      </c>
      <c r="J151" t="s">
        <v>1896</v>
      </c>
    </row>
    <row r="152" spans="1:10" x14ac:dyDescent="0.3">
      <c r="A152" s="1">
        <v>45428</v>
      </c>
      <c r="B152" t="s">
        <v>125</v>
      </c>
      <c r="C152" t="s">
        <v>233</v>
      </c>
      <c r="D152" s="2">
        <v>241.86</v>
      </c>
      <c r="E152" s="2">
        <v>0</v>
      </c>
      <c r="F152" s="2">
        <v>114087.85</v>
      </c>
      <c r="G152" s="2" t="str">
        <f t="shared" si="2"/>
        <v>16-05-2024 NET PI TO HSL SEC A/C 347707-00602340029392</v>
      </c>
      <c r="H152" s="2" t="s">
        <v>1911</v>
      </c>
      <c r="I152" t="s">
        <v>361</v>
      </c>
      <c r="J152" t="s">
        <v>1896</v>
      </c>
    </row>
    <row r="153" spans="1:10" x14ac:dyDescent="0.3">
      <c r="A153" s="1">
        <v>45428</v>
      </c>
      <c r="B153" t="s">
        <v>125</v>
      </c>
      <c r="C153" t="s">
        <v>234</v>
      </c>
      <c r="D153" s="2">
        <v>89532.81</v>
      </c>
      <c r="E153" s="2">
        <v>0</v>
      </c>
      <c r="F153" s="2">
        <v>24555.040000000001</v>
      </c>
      <c r="G153" s="2" t="str">
        <f t="shared" si="2"/>
        <v>16-05-2024 NET PI TO HSL SEC A/C 347707-00602340029392</v>
      </c>
      <c r="H153" s="2" t="s">
        <v>1911</v>
      </c>
      <c r="I153" t="s">
        <v>361</v>
      </c>
      <c r="J153" t="s">
        <v>1896</v>
      </c>
    </row>
    <row r="154" spans="1:10" x14ac:dyDescent="0.3">
      <c r="A154" s="1">
        <v>45428</v>
      </c>
      <c r="B154" t="s">
        <v>37</v>
      </c>
      <c r="C154" t="s">
        <v>7</v>
      </c>
      <c r="D154" s="2">
        <v>1000</v>
      </c>
      <c r="E154" s="2">
        <v>0</v>
      </c>
      <c r="F154" s="2">
        <v>43975.63</v>
      </c>
      <c r="G154" s="2" t="str">
        <f t="shared" si="2"/>
        <v>16-05-2024 UPI/P2A/450320991800/ASHOK KUMAR GUPTA    /Paymen/Punjab National Bank</v>
      </c>
      <c r="H154" s="2" t="s">
        <v>1911</v>
      </c>
      <c r="I154" t="s">
        <v>1930</v>
      </c>
      <c r="J154" t="s">
        <v>1895</v>
      </c>
    </row>
    <row r="155" spans="1:10" x14ac:dyDescent="0.3">
      <c r="A155" s="1">
        <v>45428</v>
      </c>
      <c r="B155" t="s">
        <v>231</v>
      </c>
      <c r="C155" t="s">
        <v>232</v>
      </c>
      <c r="D155" s="2">
        <v>0</v>
      </c>
      <c r="E155" s="2">
        <v>2000</v>
      </c>
      <c r="F155" s="2">
        <v>114329.71</v>
      </c>
      <c r="G155" s="2" t="str">
        <f t="shared" si="2"/>
        <v>16-05-2024 UPI-VIMAL  KUMAR SO BHOL-9988590043@YBL-SBIN0050393-450319659260-PAYMENT FROM PHONE</v>
      </c>
      <c r="H155" s="2" t="s">
        <v>1911</v>
      </c>
      <c r="I155" t="s">
        <v>356</v>
      </c>
      <c r="J155" t="s">
        <v>1896</v>
      </c>
    </row>
    <row r="156" spans="1:10" x14ac:dyDescent="0.3">
      <c r="A156" s="1">
        <v>45429</v>
      </c>
      <c r="B156" t="s">
        <v>125</v>
      </c>
      <c r="C156" t="s">
        <v>235</v>
      </c>
      <c r="D156" s="2">
        <v>214.59</v>
      </c>
      <c r="E156" s="2">
        <v>0</v>
      </c>
      <c r="F156" s="2">
        <v>24340.45</v>
      </c>
      <c r="G156" s="2" t="str">
        <f t="shared" si="2"/>
        <v>17-05-2024 NET PI TO HSL SEC A/C 347707-00602340029392</v>
      </c>
      <c r="H156" s="2" t="s">
        <v>1911</v>
      </c>
      <c r="I156" t="s">
        <v>361</v>
      </c>
      <c r="J156" t="s">
        <v>1896</v>
      </c>
    </row>
    <row r="157" spans="1:10" x14ac:dyDescent="0.3">
      <c r="A157" s="1">
        <v>45429</v>
      </c>
      <c r="B157" t="s">
        <v>38</v>
      </c>
      <c r="C157" t="s">
        <v>7</v>
      </c>
      <c r="D157" s="2">
        <v>90</v>
      </c>
      <c r="E157" s="2">
        <v>0</v>
      </c>
      <c r="F157" s="2">
        <v>43885.63</v>
      </c>
      <c r="G157" s="2" t="str">
        <f t="shared" si="2"/>
        <v>17-05-2024 UPI/P2M/413874012282/JEET PHARMACY AND MIN/Ice ct/Axis Bank Ltd.</v>
      </c>
      <c r="H157" s="2" t="s">
        <v>1911</v>
      </c>
      <c r="I157" t="s">
        <v>356</v>
      </c>
      <c r="J157" t="s">
        <v>1895</v>
      </c>
    </row>
    <row r="158" spans="1:10" x14ac:dyDescent="0.3">
      <c r="A158" s="1">
        <v>45430</v>
      </c>
      <c r="B158" t="s">
        <v>125</v>
      </c>
      <c r="C158" t="s">
        <v>238</v>
      </c>
      <c r="D158" s="2">
        <v>1542.46</v>
      </c>
      <c r="E158" s="2">
        <v>0</v>
      </c>
      <c r="F158" s="2">
        <v>22927.42</v>
      </c>
      <c r="G158" s="2" t="str">
        <f t="shared" si="2"/>
        <v>18-05-2024 NET PI TO HSL SEC A/C 347707-00602340029392</v>
      </c>
      <c r="H158" s="2" t="s">
        <v>1911</v>
      </c>
      <c r="I158" t="s">
        <v>361</v>
      </c>
      <c r="J158" t="s">
        <v>1896</v>
      </c>
    </row>
    <row r="159" spans="1:10" x14ac:dyDescent="0.3">
      <c r="A159" s="1">
        <v>45430</v>
      </c>
      <c r="B159" t="s">
        <v>236</v>
      </c>
      <c r="C159" t="s">
        <v>237</v>
      </c>
      <c r="D159" s="2">
        <v>0</v>
      </c>
      <c r="E159" s="2">
        <v>129.43</v>
      </c>
      <c r="F159" s="2">
        <v>24469.88</v>
      </c>
      <c r="G159" s="2" t="str">
        <f t="shared" si="2"/>
        <v>18-05-2024 00012050001396HLY INT-IN0020200286</v>
      </c>
      <c r="H159" s="2" t="s">
        <v>1911</v>
      </c>
      <c r="I159" t="s">
        <v>369</v>
      </c>
      <c r="J159" t="s">
        <v>1896</v>
      </c>
    </row>
    <row r="160" spans="1:10" x14ac:dyDescent="0.3">
      <c r="A160" s="1">
        <v>45431</v>
      </c>
      <c r="B160" t="s">
        <v>39</v>
      </c>
      <c r="C160" t="s">
        <v>7</v>
      </c>
      <c r="D160" s="2">
        <v>500</v>
      </c>
      <c r="E160" s="2">
        <v>0</v>
      </c>
      <c r="F160" s="2">
        <v>43385.63</v>
      </c>
      <c r="G160" s="2" t="str">
        <f t="shared" si="2"/>
        <v>19-05-2024 UPI/P2A/450680702213/ASHOK KUMAR GUPTA    /Paymen/Punjab National Bank</v>
      </c>
      <c r="H160" s="2" t="s">
        <v>1911</v>
      </c>
      <c r="I160" t="s">
        <v>1930</v>
      </c>
      <c r="J160" t="s">
        <v>1895</v>
      </c>
    </row>
    <row r="161" spans="1:10" x14ac:dyDescent="0.3">
      <c r="A161" s="1">
        <v>45432</v>
      </c>
      <c r="B161" t="s">
        <v>40</v>
      </c>
      <c r="C161" t="s">
        <v>7</v>
      </c>
      <c r="D161" s="2">
        <v>115</v>
      </c>
      <c r="E161" s="2">
        <v>0</v>
      </c>
      <c r="F161" s="2">
        <v>43270.63</v>
      </c>
      <c r="G161" s="2" t="str">
        <f t="shared" si="2"/>
        <v>20-05-2024 UPI/P2M/414146719059/JEET PHARMACY AND MIN/Kayam/Axis Bank Ltd.</v>
      </c>
      <c r="H161" s="2" t="s">
        <v>1911</v>
      </c>
      <c r="I161" t="s">
        <v>356</v>
      </c>
      <c r="J161" t="s">
        <v>1895</v>
      </c>
    </row>
    <row r="162" spans="1:10" x14ac:dyDescent="0.3">
      <c r="A162" s="1">
        <v>45433</v>
      </c>
      <c r="B162" t="s">
        <v>125</v>
      </c>
      <c r="C162" t="s">
        <v>240</v>
      </c>
      <c r="D162" s="2">
        <v>706.53</v>
      </c>
      <c r="E162" s="2">
        <v>0</v>
      </c>
      <c r="F162" s="2">
        <v>12220.89</v>
      </c>
      <c r="G162" s="2" t="str">
        <f t="shared" si="2"/>
        <v>21-05-2024 NET PI TO HSL SEC A/C 347707-00602340029392</v>
      </c>
      <c r="H162" s="2" t="s">
        <v>1911</v>
      </c>
      <c r="I162" t="s">
        <v>361</v>
      </c>
      <c r="J162" t="s">
        <v>1896</v>
      </c>
    </row>
    <row r="163" spans="1:10" x14ac:dyDescent="0.3">
      <c r="A163" s="1">
        <v>45433</v>
      </c>
      <c r="B163" t="s">
        <v>125</v>
      </c>
      <c r="C163" t="s">
        <v>241</v>
      </c>
      <c r="D163" s="2">
        <v>1271.6099999999999</v>
      </c>
      <c r="E163" s="2">
        <v>0</v>
      </c>
      <c r="F163" s="2">
        <v>10949.28</v>
      </c>
      <c r="G163" s="2" t="str">
        <f t="shared" si="2"/>
        <v>21-05-2024 NET PI TO HSL SEC A/C 347707-00602340029392</v>
      </c>
      <c r="H163" s="2" t="s">
        <v>1911</v>
      </c>
      <c r="I163" t="s">
        <v>361</v>
      </c>
      <c r="J163" t="s">
        <v>1896</v>
      </c>
    </row>
    <row r="164" spans="1:10" x14ac:dyDescent="0.3">
      <c r="A164" s="1">
        <v>45433</v>
      </c>
      <c r="B164" t="s">
        <v>1753</v>
      </c>
      <c r="C164" t="s">
        <v>1754</v>
      </c>
      <c r="D164" s="2">
        <v>1857.65</v>
      </c>
      <c r="E164" s="2">
        <v>0</v>
      </c>
      <c r="F164" s="2">
        <v>46922.07</v>
      </c>
      <c r="G164" s="2" t="str">
        <f t="shared" si="2"/>
        <v>21-05-2024    TO TRANSFER-INB CRIS RAIL CONNECT         Railway Ticket Booki--</v>
      </c>
      <c r="H164" s="2" t="s">
        <v>1911</v>
      </c>
      <c r="I164" t="s">
        <v>1839</v>
      </c>
      <c r="J164" t="s">
        <v>1899</v>
      </c>
    </row>
    <row r="165" spans="1:10" x14ac:dyDescent="0.3">
      <c r="A165" s="1">
        <v>45433</v>
      </c>
      <c r="B165" t="s">
        <v>146</v>
      </c>
      <c r="C165" t="s">
        <v>239</v>
      </c>
      <c r="D165" s="2">
        <v>10000</v>
      </c>
      <c r="E165" s="2">
        <v>0</v>
      </c>
      <c r="F165" s="2">
        <v>12927.42</v>
      </c>
      <c r="G165" s="2" t="str">
        <f t="shared" si="2"/>
        <v>21-05-2024 ACH D- INDIAN CLEARING CORP-P25847605X05</v>
      </c>
      <c r="H165" s="2" t="s">
        <v>1911</v>
      </c>
      <c r="I165" t="s">
        <v>1854</v>
      </c>
      <c r="J165" t="s">
        <v>1896</v>
      </c>
    </row>
    <row r="166" spans="1:10" x14ac:dyDescent="0.3">
      <c r="A166" s="1">
        <v>45434</v>
      </c>
      <c r="B166" t="s">
        <v>128</v>
      </c>
      <c r="C166" t="s">
        <v>242</v>
      </c>
      <c r="D166" s="2">
        <v>0</v>
      </c>
      <c r="E166" s="2">
        <v>50446.59</v>
      </c>
      <c r="F166" s="2">
        <v>61395.87</v>
      </c>
      <c r="G166" s="2" t="str">
        <f t="shared" si="2"/>
        <v>22-05-2024 NET PO FROM HSL A/C 347707-50200085415108</v>
      </c>
      <c r="H166" s="2" t="s">
        <v>1911</v>
      </c>
      <c r="I166" t="s">
        <v>361</v>
      </c>
      <c r="J166" t="s">
        <v>1896</v>
      </c>
    </row>
    <row r="167" spans="1:10" x14ac:dyDescent="0.3">
      <c r="A167" s="1">
        <v>45434</v>
      </c>
      <c r="B167" t="s">
        <v>125</v>
      </c>
      <c r="C167" t="s">
        <v>243</v>
      </c>
      <c r="D167" s="2">
        <v>235.06</v>
      </c>
      <c r="E167" s="2">
        <v>0</v>
      </c>
      <c r="F167" s="2">
        <v>61160.81</v>
      </c>
      <c r="G167" s="2" t="str">
        <f t="shared" si="2"/>
        <v>22-05-2024 NET PI TO HSL SEC A/C 347707-00602340029392</v>
      </c>
      <c r="H167" s="2" t="s">
        <v>1911</v>
      </c>
      <c r="I167" t="s">
        <v>361</v>
      </c>
      <c r="J167" t="s">
        <v>1896</v>
      </c>
    </row>
    <row r="168" spans="1:10" x14ac:dyDescent="0.3">
      <c r="A168" s="1">
        <v>45434</v>
      </c>
      <c r="B168" t="s">
        <v>125</v>
      </c>
      <c r="C168" t="s">
        <v>244</v>
      </c>
      <c r="D168" s="2">
        <v>2387.59</v>
      </c>
      <c r="E168" s="2">
        <v>0</v>
      </c>
      <c r="F168" s="2">
        <v>58773.22</v>
      </c>
      <c r="G168" s="2" t="str">
        <f t="shared" si="2"/>
        <v>22-05-2024 NET PI TO HSL SEC A/C 347707-00602340029392</v>
      </c>
      <c r="H168" s="2" t="s">
        <v>1911</v>
      </c>
      <c r="I168" t="s">
        <v>361</v>
      </c>
      <c r="J168" t="s">
        <v>1896</v>
      </c>
    </row>
    <row r="169" spans="1:10" x14ac:dyDescent="0.3">
      <c r="A169" s="1">
        <v>45435</v>
      </c>
      <c r="B169" t="s">
        <v>245</v>
      </c>
      <c r="C169" t="s">
        <v>246</v>
      </c>
      <c r="D169" s="2">
        <v>16.04</v>
      </c>
      <c r="E169" s="2">
        <v>0</v>
      </c>
      <c r="F169" s="2">
        <v>58757.18</v>
      </c>
      <c r="G169" s="2" t="str">
        <f t="shared" si="2"/>
        <v>23-05-2024 JANMAR24 INSTAALERTCHG 68 SMS 140524-MIR2514339194211</v>
      </c>
      <c r="H169" s="2" t="s">
        <v>1911</v>
      </c>
      <c r="I169" t="s">
        <v>365</v>
      </c>
      <c r="J169" t="s">
        <v>1896</v>
      </c>
    </row>
    <row r="170" spans="1:10" x14ac:dyDescent="0.3">
      <c r="A170" s="1">
        <v>45435</v>
      </c>
      <c r="B170" t="s">
        <v>125</v>
      </c>
      <c r="C170" t="s">
        <v>247</v>
      </c>
      <c r="D170" s="2">
        <v>234.21</v>
      </c>
      <c r="E170" s="2">
        <v>0</v>
      </c>
      <c r="F170" s="2">
        <v>58522.97</v>
      </c>
      <c r="G170" s="2" t="str">
        <f t="shared" si="2"/>
        <v>23-05-2024 NET PI TO HSL SEC A/C 347707-00602340029392</v>
      </c>
      <c r="H170" s="2" t="s">
        <v>1911</v>
      </c>
      <c r="I170" t="s">
        <v>361</v>
      </c>
      <c r="J170" t="s">
        <v>1896</v>
      </c>
    </row>
    <row r="171" spans="1:10" x14ac:dyDescent="0.3">
      <c r="A171" s="1">
        <v>45435</v>
      </c>
      <c r="B171" t="s">
        <v>125</v>
      </c>
      <c r="C171" t="s">
        <v>248</v>
      </c>
      <c r="D171" s="2">
        <v>234.21</v>
      </c>
      <c r="E171" s="2">
        <v>0</v>
      </c>
      <c r="F171" s="2">
        <v>58288.76</v>
      </c>
      <c r="G171" s="2" t="str">
        <f t="shared" si="2"/>
        <v>23-05-2024 NET PI TO HSL SEC A/C 347707-00602340029392</v>
      </c>
      <c r="H171" s="2" t="s">
        <v>1911</v>
      </c>
      <c r="I171" t="s">
        <v>361</v>
      </c>
      <c r="J171" t="s">
        <v>1896</v>
      </c>
    </row>
    <row r="172" spans="1:10" x14ac:dyDescent="0.3">
      <c r="A172" s="1">
        <v>45436</v>
      </c>
      <c r="B172" t="s">
        <v>46</v>
      </c>
      <c r="C172" t="s">
        <v>7</v>
      </c>
      <c r="D172" s="2">
        <v>0</v>
      </c>
      <c r="E172" s="2">
        <v>30000</v>
      </c>
      <c r="F172" s="2">
        <v>74130.63</v>
      </c>
      <c r="G172" s="2" t="str">
        <f t="shared" si="2"/>
        <v>24-05-2024 BY CASH DEPOSIT-BNA/BPRH265601/5124/240524/NASHIK</v>
      </c>
      <c r="H172" s="2" t="s">
        <v>1911</v>
      </c>
      <c r="I172" t="s">
        <v>355</v>
      </c>
      <c r="J172" t="s">
        <v>1895</v>
      </c>
    </row>
    <row r="173" spans="1:10" x14ac:dyDescent="0.3">
      <c r="A173" s="1">
        <v>45436</v>
      </c>
      <c r="B173" t="s">
        <v>252</v>
      </c>
      <c r="C173" t="s">
        <v>253</v>
      </c>
      <c r="D173" s="2">
        <v>0</v>
      </c>
      <c r="E173" s="2">
        <v>702</v>
      </c>
      <c r="F173" s="2">
        <v>152643.76</v>
      </c>
      <c r="G173" s="2" t="str">
        <f t="shared" si="2"/>
        <v>24-05-2024 ACH C- SANOFI INDIA DIV PMT-71PR24051801</v>
      </c>
      <c r="H173" s="2" t="s">
        <v>1911</v>
      </c>
      <c r="I173" t="s">
        <v>367</v>
      </c>
      <c r="J173" t="s">
        <v>1896</v>
      </c>
    </row>
    <row r="174" spans="1:10" x14ac:dyDescent="0.3">
      <c r="A174" s="1">
        <v>45436</v>
      </c>
      <c r="B174" t="s">
        <v>44</v>
      </c>
      <c r="C174" t="s">
        <v>7</v>
      </c>
      <c r="D174" s="2">
        <v>3240</v>
      </c>
      <c r="E174" s="2">
        <v>0</v>
      </c>
      <c r="F174" s="2">
        <v>34130.629999999997</v>
      </c>
      <c r="G174" s="2" t="str">
        <f t="shared" si="2"/>
        <v>24-05-2024 NBSM/60583178/Maha Electricity(BILLDESK)/</v>
      </c>
      <c r="H174" s="2" t="s">
        <v>1911</v>
      </c>
      <c r="I174" t="s">
        <v>357</v>
      </c>
      <c r="J174" t="s">
        <v>1895</v>
      </c>
    </row>
    <row r="175" spans="1:10" x14ac:dyDescent="0.3">
      <c r="A175" s="1">
        <v>45436</v>
      </c>
      <c r="B175" t="s">
        <v>128</v>
      </c>
      <c r="C175" t="s">
        <v>249</v>
      </c>
      <c r="D175" s="2">
        <v>0</v>
      </c>
      <c r="E175" s="2">
        <v>17480.43</v>
      </c>
      <c r="F175" s="2">
        <v>75769.19</v>
      </c>
      <c r="G175" s="2" t="str">
        <f t="shared" si="2"/>
        <v>24-05-2024 NET PO FROM HSL A/C 347707-50200085415108</v>
      </c>
      <c r="H175" s="2" t="s">
        <v>1911</v>
      </c>
      <c r="I175" t="s">
        <v>361</v>
      </c>
      <c r="J175" t="s">
        <v>1896</v>
      </c>
    </row>
    <row r="176" spans="1:10" x14ac:dyDescent="0.3">
      <c r="A176" s="1">
        <v>45436</v>
      </c>
      <c r="B176" t="s">
        <v>128</v>
      </c>
      <c r="C176" t="s">
        <v>250</v>
      </c>
      <c r="D176" s="2">
        <v>0</v>
      </c>
      <c r="E176" s="2">
        <v>76406.78</v>
      </c>
      <c r="F176" s="2">
        <v>152175.97</v>
      </c>
      <c r="G176" s="2" t="str">
        <f t="shared" si="2"/>
        <v>24-05-2024 NET PO FROM HSL A/C 347707-50200085415108</v>
      </c>
      <c r="H176" s="2" t="s">
        <v>1911</v>
      </c>
      <c r="I176" t="s">
        <v>361</v>
      </c>
      <c r="J176" t="s">
        <v>1896</v>
      </c>
    </row>
    <row r="177" spans="1:11" x14ac:dyDescent="0.3">
      <c r="A177" s="1">
        <v>45436</v>
      </c>
      <c r="B177" t="s">
        <v>125</v>
      </c>
      <c r="C177" t="s">
        <v>251</v>
      </c>
      <c r="D177" s="2">
        <v>234.21</v>
      </c>
      <c r="E177" s="2">
        <v>0</v>
      </c>
      <c r="F177" s="2">
        <v>151941.76000000001</v>
      </c>
      <c r="G177" s="2" t="str">
        <f t="shared" si="2"/>
        <v>24-05-2024 NET PI TO HSL SEC A/C 347707-00602340029392</v>
      </c>
      <c r="H177" s="2" t="s">
        <v>1911</v>
      </c>
      <c r="I177" t="s">
        <v>361</v>
      </c>
      <c r="J177" t="s">
        <v>1896</v>
      </c>
    </row>
    <row r="178" spans="1:11" x14ac:dyDescent="0.3">
      <c r="A178" s="1">
        <v>45436</v>
      </c>
      <c r="B178" t="s">
        <v>36</v>
      </c>
      <c r="C178" t="s">
        <v>7</v>
      </c>
      <c r="D178" s="2">
        <v>0</v>
      </c>
      <c r="E178" s="2">
        <v>30000</v>
      </c>
      <c r="F178" s="2">
        <v>64130.63</v>
      </c>
      <c r="G178" s="2" t="str">
        <f t="shared" si="2"/>
        <v>24-05-2024 INB/IFT/SUNITA GUPTA/TPARTY TRANSFER</v>
      </c>
      <c r="H178" s="2" t="s">
        <v>1911</v>
      </c>
      <c r="I178" t="s">
        <v>360</v>
      </c>
      <c r="J178" t="s">
        <v>1895</v>
      </c>
    </row>
    <row r="179" spans="1:11" x14ac:dyDescent="0.3">
      <c r="A179" s="1">
        <v>45436</v>
      </c>
      <c r="B179" t="s">
        <v>41</v>
      </c>
      <c r="C179" t="s">
        <v>7</v>
      </c>
      <c r="D179" s="2">
        <v>1000</v>
      </c>
      <c r="E179" s="2">
        <v>0</v>
      </c>
      <c r="F179" s="2">
        <v>42270.63</v>
      </c>
      <c r="G179" s="2" t="str">
        <f t="shared" si="2"/>
        <v>24-05-2024 UPI/P2A/451162913988/Muhammed Muzammil K V/Paymen/State Bank Of India</v>
      </c>
      <c r="H179" s="2" t="s">
        <v>1911</v>
      </c>
      <c r="I179" t="s">
        <v>359</v>
      </c>
      <c r="J179" t="s">
        <v>1895</v>
      </c>
    </row>
    <row r="180" spans="1:11" x14ac:dyDescent="0.3">
      <c r="A180" s="1">
        <v>45436</v>
      </c>
      <c r="B180" t="s">
        <v>42</v>
      </c>
      <c r="C180" t="s">
        <v>7</v>
      </c>
      <c r="D180" s="2">
        <v>4400</v>
      </c>
      <c r="E180" s="2">
        <v>0</v>
      </c>
      <c r="F180" s="2">
        <v>37870.629999999997</v>
      </c>
      <c r="G180" s="2" t="str">
        <f t="shared" si="2"/>
        <v>24-05-2024 UPI/P2M/414517447738/APOLLO HOSPITALS ENTE/Apollo/HDFC BANK LTD</v>
      </c>
      <c r="H180" s="2" t="s">
        <v>1911</v>
      </c>
      <c r="I180" t="s">
        <v>356</v>
      </c>
      <c r="J180" t="s">
        <v>1895</v>
      </c>
    </row>
    <row r="181" spans="1:11" x14ac:dyDescent="0.3">
      <c r="A181" s="1">
        <v>45436</v>
      </c>
      <c r="B181" t="s">
        <v>43</v>
      </c>
      <c r="C181" t="s">
        <v>7</v>
      </c>
      <c r="D181" s="2">
        <v>500</v>
      </c>
      <c r="E181" s="2">
        <v>0</v>
      </c>
      <c r="F181" s="2">
        <v>37370.629999999997</v>
      </c>
      <c r="G181" s="2" t="str">
        <f t="shared" si="2"/>
        <v>24-05-2024 UPI/P2M/414593538669/APOLLO HOSPITALS ENTE/Medica/HDFC BANK LTD</v>
      </c>
      <c r="H181" s="2" t="s">
        <v>1911</v>
      </c>
      <c r="I181" t="s">
        <v>356</v>
      </c>
      <c r="J181" t="s">
        <v>1895</v>
      </c>
    </row>
    <row r="182" spans="1:11" x14ac:dyDescent="0.3">
      <c r="A182" s="1">
        <v>45436</v>
      </c>
      <c r="B182" t="s">
        <v>45</v>
      </c>
      <c r="C182" t="s">
        <v>7</v>
      </c>
      <c r="D182" s="2">
        <v>20000</v>
      </c>
      <c r="E182" s="2">
        <v>0</v>
      </c>
      <c r="F182" s="2">
        <v>44130.63</v>
      </c>
      <c r="G182" s="2" t="str">
        <f t="shared" si="2"/>
        <v>24-05-2024 UPI/P2A/451177826369/Muhammed Muzammil K V/Paymen/State Bank Of India</v>
      </c>
      <c r="H182" s="2" t="s">
        <v>1911</v>
      </c>
      <c r="I182" t="s">
        <v>359</v>
      </c>
      <c r="J182" t="s">
        <v>1895</v>
      </c>
      <c r="K182" t="s">
        <v>1919</v>
      </c>
    </row>
    <row r="183" spans="1:11" x14ac:dyDescent="0.3">
      <c r="A183" s="1">
        <v>45437</v>
      </c>
      <c r="B183" t="s">
        <v>125</v>
      </c>
      <c r="C183" t="s">
        <v>254</v>
      </c>
      <c r="D183" s="2">
        <v>1664.51</v>
      </c>
      <c r="E183" s="2">
        <v>0</v>
      </c>
      <c r="F183" s="2">
        <v>150979.25</v>
      </c>
      <c r="G183" s="2" t="str">
        <f t="shared" ref="G183:G246" si="3">TEXT(A183,"DD")&amp;"-"&amp;TEXT(A183,"MM")&amp;"-"&amp;TEXT(A183,"YYYY")&amp;" "&amp;B183</f>
        <v>25-05-2024 NET PI TO HSL SEC A/C 347707-00602340029392</v>
      </c>
      <c r="H183" s="2" t="s">
        <v>1911</v>
      </c>
      <c r="I183" t="s">
        <v>361</v>
      </c>
      <c r="J183" t="s">
        <v>1896</v>
      </c>
    </row>
    <row r="184" spans="1:11" x14ac:dyDescent="0.3">
      <c r="A184" s="1">
        <v>45439</v>
      </c>
      <c r="B184" t="s">
        <v>125</v>
      </c>
      <c r="C184" t="s">
        <v>255</v>
      </c>
      <c r="D184" s="2">
        <v>671.25</v>
      </c>
      <c r="E184" s="2">
        <v>0</v>
      </c>
      <c r="F184" s="2">
        <v>150308</v>
      </c>
      <c r="G184" s="2" t="str">
        <f t="shared" si="3"/>
        <v>27-05-2024 NET PI TO HSL SEC A/C 347707-00602340029392</v>
      </c>
      <c r="H184" s="2" t="s">
        <v>1911</v>
      </c>
      <c r="I184" t="s">
        <v>361</v>
      </c>
      <c r="J184" t="s">
        <v>1896</v>
      </c>
    </row>
    <row r="185" spans="1:11" x14ac:dyDescent="0.3">
      <c r="A185" s="1">
        <v>45439</v>
      </c>
      <c r="B185" t="s">
        <v>47</v>
      </c>
      <c r="C185" t="s">
        <v>7</v>
      </c>
      <c r="D185" s="2">
        <v>20</v>
      </c>
      <c r="E185" s="2">
        <v>0</v>
      </c>
      <c r="F185" s="2">
        <v>74110.63</v>
      </c>
      <c r="G185" s="2" t="str">
        <f t="shared" si="3"/>
        <v>27-05-2024 ECS/UTIBDE04677421202405/PMSBY RENEWAL TAGIC</v>
      </c>
      <c r="H185" s="2" t="s">
        <v>1911</v>
      </c>
      <c r="I185" t="s">
        <v>1882</v>
      </c>
      <c r="J185" t="s">
        <v>1895</v>
      </c>
    </row>
    <row r="186" spans="1:11" x14ac:dyDescent="0.3">
      <c r="A186" s="1">
        <v>45439</v>
      </c>
      <c r="B186" t="s">
        <v>48</v>
      </c>
      <c r="C186" t="s">
        <v>7</v>
      </c>
      <c r="D186" s="2">
        <v>500</v>
      </c>
      <c r="E186" s="2">
        <v>0</v>
      </c>
      <c r="F186" s="2">
        <v>73610.63</v>
      </c>
      <c r="G186" s="2" t="str">
        <f t="shared" si="3"/>
        <v>27-05-2024 UPI/P2A/451439281154/ASHOK KUMAR GUPTA    /Paymen/Punjab National Bank</v>
      </c>
      <c r="H186" s="2" t="s">
        <v>1911</v>
      </c>
      <c r="I186" t="s">
        <v>1930</v>
      </c>
      <c r="J186" t="s">
        <v>1895</v>
      </c>
    </row>
    <row r="187" spans="1:11" x14ac:dyDescent="0.3">
      <c r="A187" s="1">
        <v>45440</v>
      </c>
      <c r="B187" t="s">
        <v>128</v>
      </c>
      <c r="C187" t="s">
        <v>256</v>
      </c>
      <c r="D187" s="2">
        <v>0</v>
      </c>
      <c r="E187" s="2">
        <v>20447.52</v>
      </c>
      <c r="F187" s="2">
        <v>170755.52</v>
      </c>
      <c r="G187" s="2" t="str">
        <f t="shared" si="3"/>
        <v>28-05-2024 NET PO FROM HSL A/C 347707-50200085415108</v>
      </c>
      <c r="H187" s="2" t="s">
        <v>1911</v>
      </c>
      <c r="I187" t="s">
        <v>361</v>
      </c>
      <c r="J187" t="s">
        <v>1896</v>
      </c>
    </row>
    <row r="188" spans="1:11" x14ac:dyDescent="0.3">
      <c r="A188" s="1">
        <v>45440</v>
      </c>
      <c r="B188" t="s">
        <v>128</v>
      </c>
      <c r="C188" t="s">
        <v>257</v>
      </c>
      <c r="D188" s="2">
        <v>0</v>
      </c>
      <c r="E188" s="2">
        <v>13004.02</v>
      </c>
      <c r="F188" s="2">
        <v>183759.54</v>
      </c>
      <c r="G188" s="2" t="str">
        <f t="shared" si="3"/>
        <v>28-05-2024 NET PO FROM HSL A/C 347707-50200085415108</v>
      </c>
      <c r="H188" s="2" t="s">
        <v>1911</v>
      </c>
      <c r="I188" t="s">
        <v>361</v>
      </c>
      <c r="J188" t="s">
        <v>1896</v>
      </c>
    </row>
    <row r="189" spans="1:11" x14ac:dyDescent="0.3">
      <c r="A189" s="1">
        <v>45440</v>
      </c>
      <c r="B189" t="s">
        <v>125</v>
      </c>
      <c r="C189" t="s">
        <v>258</v>
      </c>
      <c r="D189" s="2">
        <v>223.75</v>
      </c>
      <c r="E189" s="2">
        <v>0</v>
      </c>
      <c r="F189" s="2">
        <v>183535.79</v>
      </c>
      <c r="G189" s="2" t="str">
        <f t="shared" si="3"/>
        <v>28-05-2024 NET PI TO HSL SEC A/C 347707-00602340029392</v>
      </c>
      <c r="H189" s="2" t="s">
        <v>1911</v>
      </c>
      <c r="I189" t="s">
        <v>361</v>
      </c>
      <c r="J189" t="s">
        <v>1896</v>
      </c>
    </row>
    <row r="190" spans="1:11" x14ac:dyDescent="0.3">
      <c r="A190" s="1">
        <v>45440</v>
      </c>
      <c r="B190" t="s">
        <v>1740</v>
      </c>
      <c r="C190" t="s">
        <v>1755</v>
      </c>
      <c r="D190" s="2">
        <v>0</v>
      </c>
      <c r="E190" s="2">
        <v>29639.02</v>
      </c>
      <c r="F190" s="2">
        <v>76561.09</v>
      </c>
      <c r="G190" s="2" t="str">
        <f t="shared" si="3"/>
        <v>28-05-2024    BY TRANSFER-INB -For 19260165--</v>
      </c>
      <c r="H190" s="2" t="s">
        <v>1911</v>
      </c>
      <c r="I190" t="s">
        <v>1887</v>
      </c>
      <c r="J190" t="s">
        <v>1899</v>
      </c>
    </row>
    <row r="191" spans="1:11" x14ac:dyDescent="0.3">
      <c r="A191" s="1">
        <v>45440</v>
      </c>
      <c r="B191" t="s">
        <v>49</v>
      </c>
      <c r="C191" t="s">
        <v>7</v>
      </c>
      <c r="D191" s="2">
        <v>6</v>
      </c>
      <c r="E191" s="2">
        <v>0</v>
      </c>
      <c r="F191" s="2">
        <v>73604.63</v>
      </c>
      <c r="G191" s="2" t="str">
        <f t="shared" si="3"/>
        <v>28-05-2024 UPI/P2A/414907590151/Shabnam  Begum       /Zarda/State Bank Of India</v>
      </c>
      <c r="H191" s="2" t="s">
        <v>1911</v>
      </c>
      <c r="I191" t="s">
        <v>356</v>
      </c>
      <c r="J191" t="s">
        <v>1895</v>
      </c>
    </row>
    <row r="192" spans="1:11" x14ac:dyDescent="0.3">
      <c r="A192" s="1">
        <v>45441</v>
      </c>
      <c r="B192" t="s">
        <v>128</v>
      </c>
      <c r="C192" t="s">
        <v>259</v>
      </c>
      <c r="D192" s="2">
        <v>0</v>
      </c>
      <c r="E192" s="2">
        <v>4447.62</v>
      </c>
      <c r="F192" s="2">
        <v>187983.41</v>
      </c>
      <c r="G192" s="2" t="str">
        <f t="shared" si="3"/>
        <v>29-05-2024 NET PO FROM HSL A/C 347707-50200085415108</v>
      </c>
      <c r="H192" s="2" t="s">
        <v>1911</v>
      </c>
      <c r="I192" t="s">
        <v>361</v>
      </c>
      <c r="J192" t="s">
        <v>1896</v>
      </c>
    </row>
    <row r="193" spans="1:11" x14ac:dyDescent="0.3">
      <c r="A193" s="1">
        <v>45441</v>
      </c>
      <c r="B193" t="s">
        <v>125</v>
      </c>
      <c r="C193" t="s">
        <v>260</v>
      </c>
      <c r="D193" s="2">
        <v>212.03</v>
      </c>
      <c r="E193" s="2">
        <v>0</v>
      </c>
      <c r="F193" s="2">
        <v>187771.38</v>
      </c>
      <c r="G193" s="2" t="str">
        <f t="shared" si="3"/>
        <v>29-05-2024 NET PI TO HSL SEC A/C 347707-00602340029392</v>
      </c>
      <c r="H193" s="2" t="s">
        <v>1911</v>
      </c>
      <c r="I193" t="s">
        <v>361</v>
      </c>
      <c r="J193" t="s">
        <v>1896</v>
      </c>
    </row>
    <row r="194" spans="1:11" x14ac:dyDescent="0.3">
      <c r="A194" s="1">
        <v>45441</v>
      </c>
      <c r="B194" t="s">
        <v>125</v>
      </c>
      <c r="C194" t="s">
        <v>261</v>
      </c>
      <c r="D194" s="2">
        <v>8834.81</v>
      </c>
      <c r="E194" s="2">
        <v>0</v>
      </c>
      <c r="F194" s="2">
        <v>178936.57</v>
      </c>
      <c r="G194" s="2" t="str">
        <f t="shared" si="3"/>
        <v>29-05-2024 NET PI TO HSL SEC A/C 347707-00602340029392</v>
      </c>
      <c r="H194" s="2" t="s">
        <v>1911</v>
      </c>
      <c r="I194" t="s">
        <v>361</v>
      </c>
      <c r="J194" t="s">
        <v>1896</v>
      </c>
    </row>
    <row r="195" spans="1:11" x14ac:dyDescent="0.3">
      <c r="A195" s="1">
        <v>45441</v>
      </c>
      <c r="B195" t="s">
        <v>125</v>
      </c>
      <c r="C195" t="s">
        <v>262</v>
      </c>
      <c r="D195" s="2">
        <v>361.65</v>
      </c>
      <c r="E195" s="2">
        <v>0</v>
      </c>
      <c r="F195" s="2">
        <v>178574.92</v>
      </c>
      <c r="G195" s="2" t="str">
        <f t="shared" si="3"/>
        <v>29-05-2024 NET PI TO HSL SEC A/C 347707-00602340029392</v>
      </c>
      <c r="H195" s="2" t="s">
        <v>1911</v>
      </c>
      <c r="I195" t="s">
        <v>361</v>
      </c>
      <c r="J195" t="s">
        <v>1896</v>
      </c>
    </row>
    <row r="196" spans="1:11" x14ac:dyDescent="0.3">
      <c r="A196" s="1">
        <v>45441</v>
      </c>
      <c r="B196" t="s">
        <v>1740</v>
      </c>
      <c r="C196" t="s">
        <v>1756</v>
      </c>
      <c r="D196" s="2">
        <v>0</v>
      </c>
      <c r="E196" s="2">
        <v>31171.49</v>
      </c>
      <c r="F196" s="2">
        <v>107732.58</v>
      </c>
      <c r="G196" s="2" t="str">
        <f t="shared" si="3"/>
        <v>29-05-2024    BY TRANSFER-INB -For 19260165--</v>
      </c>
      <c r="H196" s="2" t="s">
        <v>1911</v>
      </c>
      <c r="I196" t="s">
        <v>1887</v>
      </c>
      <c r="J196" t="s">
        <v>1899</v>
      </c>
    </row>
    <row r="197" spans="1:11" x14ac:dyDescent="0.3">
      <c r="A197" s="1">
        <v>45441</v>
      </c>
      <c r="B197" t="s">
        <v>50</v>
      </c>
      <c r="C197" t="s">
        <v>7</v>
      </c>
      <c r="D197" s="2">
        <v>5</v>
      </c>
      <c r="E197" s="2">
        <v>0</v>
      </c>
      <c r="F197" s="2">
        <v>73599.63</v>
      </c>
      <c r="G197" s="2" t="str">
        <f t="shared" si="3"/>
        <v>29-05-2024 UPI/P2M/415066759547/Rajal Computer       /Printi/Axis Bank Ltd.</v>
      </c>
      <c r="H197" s="2" t="s">
        <v>1911</v>
      </c>
      <c r="I197" t="s">
        <v>356</v>
      </c>
      <c r="J197" t="s">
        <v>1895</v>
      </c>
    </row>
    <row r="198" spans="1:11" x14ac:dyDescent="0.3">
      <c r="A198" s="1">
        <v>45441</v>
      </c>
      <c r="B198" t="s">
        <v>51</v>
      </c>
      <c r="C198" t="s">
        <v>7</v>
      </c>
      <c r="D198" s="2">
        <v>5</v>
      </c>
      <c r="E198" s="2">
        <v>0</v>
      </c>
      <c r="F198" s="2">
        <v>73594.63</v>
      </c>
      <c r="G198" s="2" t="str">
        <f t="shared" si="3"/>
        <v>29-05-2024 UPI/P2M/451690800787/HITESHKUMAR PRANLAL T/Medice/Punjab National Bank</v>
      </c>
      <c r="H198" s="2" t="s">
        <v>1911</v>
      </c>
      <c r="I198" t="s">
        <v>356</v>
      </c>
      <c r="J198" t="s">
        <v>1895</v>
      </c>
    </row>
    <row r="199" spans="1:11" x14ac:dyDescent="0.3">
      <c r="A199" s="1">
        <v>45442</v>
      </c>
      <c r="B199" t="s">
        <v>125</v>
      </c>
      <c r="C199" t="s">
        <v>263</v>
      </c>
      <c r="D199" s="2">
        <v>222.53</v>
      </c>
      <c r="E199" s="2">
        <v>0</v>
      </c>
      <c r="F199" s="2">
        <v>178352.39</v>
      </c>
      <c r="G199" s="2" t="str">
        <f t="shared" si="3"/>
        <v>30-05-2024 NET PI TO HSL SEC A/C 347707-00602340029392</v>
      </c>
      <c r="H199" s="2" t="s">
        <v>1911</v>
      </c>
      <c r="I199" t="s">
        <v>361</v>
      </c>
      <c r="J199" t="s">
        <v>1896</v>
      </c>
    </row>
    <row r="200" spans="1:11" x14ac:dyDescent="0.3">
      <c r="A200" s="1">
        <v>45442</v>
      </c>
      <c r="B200" t="s">
        <v>125</v>
      </c>
      <c r="C200" t="s">
        <v>264</v>
      </c>
      <c r="D200" s="2">
        <v>46179.82</v>
      </c>
      <c r="E200" s="2">
        <v>0</v>
      </c>
      <c r="F200" s="2">
        <v>132172.57</v>
      </c>
      <c r="G200" s="2" t="str">
        <f t="shared" si="3"/>
        <v>30-05-2024 NET PI TO HSL SEC A/C 347707-00602340029392</v>
      </c>
      <c r="H200" s="2" t="s">
        <v>1911</v>
      </c>
      <c r="I200" t="s">
        <v>361</v>
      </c>
      <c r="J200" t="s">
        <v>1896</v>
      </c>
    </row>
    <row r="201" spans="1:11" x14ac:dyDescent="0.3">
      <c r="A201" s="1">
        <v>45442</v>
      </c>
      <c r="B201" t="s">
        <v>125</v>
      </c>
      <c r="C201" t="s">
        <v>265</v>
      </c>
      <c r="D201" s="2">
        <v>34142.21</v>
      </c>
      <c r="E201" s="2">
        <v>0</v>
      </c>
      <c r="F201" s="2">
        <v>98030.36</v>
      </c>
      <c r="G201" s="2" t="str">
        <f t="shared" si="3"/>
        <v>30-05-2024 NET PI TO HSL SEC A/C 347707-00602340029392</v>
      </c>
      <c r="H201" s="2" t="s">
        <v>1911</v>
      </c>
      <c r="I201" t="s">
        <v>361</v>
      </c>
      <c r="J201" t="s">
        <v>1896</v>
      </c>
    </row>
    <row r="202" spans="1:11" x14ac:dyDescent="0.3">
      <c r="A202" s="1">
        <v>45442</v>
      </c>
      <c r="B202" t="s">
        <v>52</v>
      </c>
      <c r="C202" t="s">
        <v>7</v>
      </c>
      <c r="D202" s="2">
        <v>179</v>
      </c>
      <c r="E202" s="2">
        <v>0</v>
      </c>
      <c r="F202" s="2">
        <v>73415.63</v>
      </c>
      <c r="G202" s="2" t="str">
        <f t="shared" si="3"/>
        <v>30-05-2024 UPI/P2M/415164383951/HOTEL SURBHI         /Food b/HDFC BANK LTD</v>
      </c>
      <c r="H202" s="2" t="s">
        <v>1911</v>
      </c>
      <c r="I202" t="s">
        <v>356</v>
      </c>
      <c r="J202" t="s">
        <v>1895</v>
      </c>
    </row>
    <row r="203" spans="1:11" x14ac:dyDescent="0.3">
      <c r="A203" s="1">
        <v>45442</v>
      </c>
      <c r="B203" t="s">
        <v>53</v>
      </c>
      <c r="C203" t="s">
        <v>7</v>
      </c>
      <c r="D203" s="2">
        <v>220</v>
      </c>
      <c r="E203" s="2">
        <v>0</v>
      </c>
      <c r="F203" s="2">
        <v>73195.63</v>
      </c>
      <c r="G203" s="2" t="str">
        <f t="shared" si="3"/>
        <v>30-05-2024 UPI/P2M/415116663344/Rajal Computer       /Statio/Axis Bank Ltd.</v>
      </c>
      <c r="H203" s="2" t="s">
        <v>1911</v>
      </c>
      <c r="I203" t="s">
        <v>356</v>
      </c>
      <c r="J203" t="s">
        <v>1895</v>
      </c>
    </row>
    <row r="204" spans="1:11" x14ac:dyDescent="0.3">
      <c r="A204" s="1">
        <v>45443</v>
      </c>
      <c r="B204" t="s">
        <v>754</v>
      </c>
      <c r="D204" s="2">
        <v>17</v>
      </c>
      <c r="E204" s="2">
        <v>0</v>
      </c>
      <c r="F204" s="2">
        <v>-1043.3699999999999</v>
      </c>
      <c r="G204" s="2" t="str">
        <f t="shared" si="3"/>
        <v>31-05-2024    DEBIT INTEREST---</v>
      </c>
      <c r="H204" s="2" t="s">
        <v>1911</v>
      </c>
      <c r="I204" t="s">
        <v>1915</v>
      </c>
      <c r="J204" t="s">
        <v>1897</v>
      </c>
    </row>
    <row r="205" spans="1:11" x14ac:dyDescent="0.3">
      <c r="A205" s="1">
        <v>45443</v>
      </c>
      <c r="B205" t="s">
        <v>125</v>
      </c>
      <c r="C205" t="s">
        <v>266</v>
      </c>
      <c r="D205" s="2">
        <v>210.37</v>
      </c>
      <c r="E205" s="2">
        <v>0</v>
      </c>
      <c r="F205" s="2">
        <v>97819.99</v>
      </c>
      <c r="G205" s="2" t="str">
        <f t="shared" si="3"/>
        <v>31-05-2024 NET PI TO HSL SEC A/C 347707-00602340029392</v>
      </c>
      <c r="H205" s="2" t="s">
        <v>1911</v>
      </c>
      <c r="I205" t="s">
        <v>361</v>
      </c>
      <c r="J205" t="s">
        <v>1896</v>
      </c>
    </row>
    <row r="206" spans="1:11" x14ac:dyDescent="0.3">
      <c r="A206" s="1">
        <v>45443</v>
      </c>
      <c r="B206" t="s">
        <v>125</v>
      </c>
      <c r="C206" t="s">
        <v>267</v>
      </c>
      <c r="D206" s="2">
        <v>47962.91</v>
      </c>
      <c r="E206" s="2">
        <v>0</v>
      </c>
      <c r="F206" s="2">
        <v>49857.08</v>
      </c>
      <c r="G206" s="2" t="str">
        <f t="shared" si="3"/>
        <v>31-05-2024 NET PI TO HSL SEC A/C 347707-00602340029392</v>
      </c>
      <c r="H206" s="2" t="s">
        <v>1911</v>
      </c>
      <c r="I206" t="s">
        <v>361</v>
      </c>
      <c r="J206" t="s">
        <v>1896</v>
      </c>
    </row>
    <row r="207" spans="1:11" x14ac:dyDescent="0.3">
      <c r="A207" s="1">
        <v>45443</v>
      </c>
      <c r="B207" t="s">
        <v>125</v>
      </c>
      <c r="C207" t="s">
        <v>268</v>
      </c>
      <c r="D207" s="2">
        <v>24526.1</v>
      </c>
      <c r="E207" s="2">
        <v>0</v>
      </c>
      <c r="F207" s="2">
        <v>25330.98</v>
      </c>
      <c r="G207" s="2" t="str">
        <f t="shared" si="3"/>
        <v>31-05-2024 NET PI TO HSL SEC A/C 347707-00602340029392</v>
      </c>
      <c r="H207" s="2" t="s">
        <v>1911</v>
      </c>
      <c r="I207" t="s">
        <v>361</v>
      </c>
      <c r="J207" t="s">
        <v>1896</v>
      </c>
    </row>
    <row r="208" spans="1:11" x14ac:dyDescent="0.3">
      <c r="A208" s="1">
        <v>45444</v>
      </c>
      <c r="B208" t="s">
        <v>269</v>
      </c>
      <c r="C208" t="s">
        <v>270</v>
      </c>
      <c r="D208" s="2">
        <v>0</v>
      </c>
      <c r="E208" s="2">
        <v>75000</v>
      </c>
      <c r="F208" s="2">
        <v>100330.98</v>
      </c>
      <c r="G208" s="2" t="str">
        <f t="shared" si="3"/>
        <v>01-06-2024 NEFT CR-SBIN0011669-MR  AJAY KUMAR GUPTA-AJAY KUMAR GUPTA-SBIN324153115929</v>
      </c>
      <c r="H208" s="2" t="s">
        <v>1911</v>
      </c>
      <c r="I208" t="s">
        <v>1842</v>
      </c>
      <c r="J208" t="s">
        <v>1896</v>
      </c>
      <c r="K208" t="s">
        <v>1913</v>
      </c>
    </row>
    <row r="209" spans="1:11" x14ac:dyDescent="0.3">
      <c r="A209" s="1">
        <v>45444</v>
      </c>
      <c r="B209" t="s">
        <v>752</v>
      </c>
      <c r="C209" t="s">
        <v>755</v>
      </c>
      <c r="D209" s="2">
        <v>27000</v>
      </c>
      <c r="E209" s="2">
        <v>0</v>
      </c>
      <c r="F209" s="2">
        <v>-28043.37</v>
      </c>
      <c r="G209" s="2" t="str">
        <f t="shared" si="3"/>
        <v>01-06-2024    TO TRANSFER-INB Payment towards loan repayment--</v>
      </c>
      <c r="H209" s="2" t="s">
        <v>1911</v>
      </c>
      <c r="I209" t="s">
        <v>1842</v>
      </c>
      <c r="J209" t="s">
        <v>1897</v>
      </c>
      <c r="K209" t="s">
        <v>1913</v>
      </c>
    </row>
    <row r="210" spans="1:11" x14ac:dyDescent="0.3">
      <c r="A210" s="1">
        <v>45444</v>
      </c>
      <c r="B210" t="s">
        <v>758</v>
      </c>
      <c r="C210" t="s">
        <v>1757</v>
      </c>
      <c r="D210" s="2">
        <v>0</v>
      </c>
      <c r="E210" s="2">
        <v>27000</v>
      </c>
      <c r="F210" s="2">
        <v>134732.57999999999</v>
      </c>
      <c r="G210" s="2" t="str">
        <f t="shared" si="3"/>
        <v>01-06-2024    BY TRANSFER-INB Payment towards loan repayment--</v>
      </c>
      <c r="H210" s="2" t="s">
        <v>1911</v>
      </c>
      <c r="I210" t="s">
        <v>1906</v>
      </c>
      <c r="J210" t="s">
        <v>1899</v>
      </c>
      <c r="K210" t="s">
        <v>1913</v>
      </c>
    </row>
    <row r="211" spans="1:11" x14ac:dyDescent="0.3">
      <c r="A211" s="1">
        <v>45444</v>
      </c>
      <c r="B211" t="s">
        <v>1758</v>
      </c>
      <c r="C211" t="s">
        <v>1759</v>
      </c>
      <c r="D211" s="2">
        <v>75000</v>
      </c>
      <c r="E211" s="2">
        <v>0</v>
      </c>
      <c r="F211" s="2">
        <v>59732.58</v>
      </c>
      <c r="G211" s="2" t="str">
        <f t="shared" si="3"/>
        <v>01-06-2024    TO TRANSFER-INB NEFT UTR NO: SBIN324153115929--Ajay Kumar Gupta</v>
      </c>
      <c r="H211" s="2" t="s">
        <v>1911</v>
      </c>
      <c r="I211" t="s">
        <v>1908</v>
      </c>
      <c r="J211" t="s">
        <v>1899</v>
      </c>
      <c r="K211" t="s">
        <v>1913</v>
      </c>
    </row>
    <row r="212" spans="1:11" x14ac:dyDescent="0.3">
      <c r="A212" s="1">
        <v>45444</v>
      </c>
      <c r="B212" t="s">
        <v>54</v>
      </c>
      <c r="C212" t="s">
        <v>7</v>
      </c>
      <c r="D212" s="2">
        <v>950</v>
      </c>
      <c r="E212" s="2">
        <v>0</v>
      </c>
      <c r="F212" s="2">
        <v>72245.63</v>
      </c>
      <c r="G212" s="2" t="str">
        <f t="shared" si="3"/>
        <v>01-06-2024 UPI/P2M/451947447708/BHARAT SHIVAJI SALVE /Mango/Yes Bank Ltd</v>
      </c>
      <c r="H212" s="2" t="s">
        <v>1911</v>
      </c>
      <c r="I212" t="s">
        <v>356</v>
      </c>
      <c r="J212" t="s">
        <v>1895</v>
      </c>
    </row>
    <row r="213" spans="1:11" x14ac:dyDescent="0.3">
      <c r="A213" s="1">
        <v>45445</v>
      </c>
      <c r="B213" t="s">
        <v>750</v>
      </c>
      <c r="C213" t="s">
        <v>751</v>
      </c>
      <c r="D213" s="2">
        <v>0</v>
      </c>
      <c r="E213" s="2">
        <v>26595</v>
      </c>
      <c r="F213" s="2">
        <v>-1448.37</v>
      </c>
      <c r="G213" s="2" t="str">
        <f t="shared" si="3"/>
        <v>02-06-2024    DEPOSIT TRANSFER---</v>
      </c>
      <c r="H213" s="2" t="s">
        <v>1911</v>
      </c>
      <c r="I213" t="s">
        <v>1842</v>
      </c>
      <c r="J213" t="s">
        <v>1897</v>
      </c>
      <c r="K213" t="s">
        <v>1913</v>
      </c>
    </row>
    <row r="214" spans="1:11" x14ac:dyDescent="0.3">
      <c r="A214" s="1">
        <v>45445</v>
      </c>
      <c r="B214" t="s">
        <v>1734</v>
      </c>
      <c r="C214" t="s">
        <v>1735</v>
      </c>
      <c r="D214" s="2">
        <v>26595</v>
      </c>
      <c r="E214" s="2">
        <v>0</v>
      </c>
      <c r="F214" s="2">
        <v>33137.58</v>
      </c>
      <c r="G214" s="2" t="str">
        <f t="shared" si="3"/>
        <v>02-06-2024    WITHDRAWAL TRANSFER---</v>
      </c>
      <c r="H214" s="2" t="s">
        <v>1911</v>
      </c>
      <c r="I214" t="s">
        <v>1906</v>
      </c>
      <c r="J214" t="s">
        <v>1899</v>
      </c>
      <c r="K214" t="s">
        <v>1913</v>
      </c>
    </row>
    <row r="215" spans="1:11" x14ac:dyDescent="0.3">
      <c r="A215" s="1">
        <v>45445</v>
      </c>
      <c r="B215" t="s">
        <v>55</v>
      </c>
      <c r="C215" t="s">
        <v>7</v>
      </c>
      <c r="D215" s="2">
        <v>390</v>
      </c>
      <c r="E215" s="2">
        <v>0</v>
      </c>
      <c r="F215" s="2">
        <v>71855.63</v>
      </c>
      <c r="G215" s="2" t="str">
        <f t="shared" si="3"/>
        <v>02-06-2024 UPI/P2M/452074453823/BHARAT SHIVAJI SALVE /Fruits/Yes Bank Ltd</v>
      </c>
      <c r="H215" s="2" t="s">
        <v>1911</v>
      </c>
      <c r="I215" t="s">
        <v>356</v>
      </c>
      <c r="J215" t="s">
        <v>1895</v>
      </c>
    </row>
    <row r="216" spans="1:11" x14ac:dyDescent="0.3">
      <c r="A216" s="1">
        <v>45445</v>
      </c>
      <c r="B216" t="s">
        <v>56</v>
      </c>
      <c r="C216" t="s">
        <v>7</v>
      </c>
      <c r="D216" s="2">
        <v>1000</v>
      </c>
      <c r="E216" s="2">
        <v>0</v>
      </c>
      <c r="F216" s="2">
        <v>70855.63</v>
      </c>
      <c r="G216" s="2" t="str">
        <f t="shared" si="3"/>
        <v>02-06-2024 UPI/P2M/452087253167/PhonePe              /Paymen/Yes Bank Ltd</v>
      </c>
      <c r="H216" s="2" t="s">
        <v>1911</v>
      </c>
      <c r="I216" t="s">
        <v>356</v>
      </c>
      <c r="J216" t="s">
        <v>1895</v>
      </c>
    </row>
    <row r="217" spans="1:11" x14ac:dyDescent="0.3">
      <c r="A217" s="1">
        <v>45445</v>
      </c>
      <c r="B217" t="s">
        <v>57</v>
      </c>
      <c r="C217" t="s">
        <v>7</v>
      </c>
      <c r="D217" s="2">
        <v>2460.21</v>
      </c>
      <c r="E217" s="2">
        <v>0</v>
      </c>
      <c r="F217" s="2">
        <v>68395.42</v>
      </c>
      <c r="G217" s="2" t="str">
        <f t="shared" si="3"/>
        <v>02-06-2024 UPI/P2M/452037312896/KHUSHI PETROLEUM     /Paymen/Yes Bank Ltd</v>
      </c>
      <c r="H217" s="2" t="s">
        <v>1911</v>
      </c>
      <c r="I217" t="s">
        <v>356</v>
      </c>
      <c r="J217" t="s">
        <v>1895</v>
      </c>
    </row>
    <row r="218" spans="1:11" x14ac:dyDescent="0.3">
      <c r="A218" s="1">
        <v>45445</v>
      </c>
      <c r="B218" t="s">
        <v>271</v>
      </c>
      <c r="C218" t="s">
        <v>272</v>
      </c>
      <c r="D218" s="2">
        <v>500</v>
      </c>
      <c r="E218" s="2">
        <v>0</v>
      </c>
      <c r="F218" s="2">
        <v>99830.98</v>
      </c>
      <c r="G218" s="2" t="str">
        <f t="shared" si="3"/>
        <v>02-06-2024 UPI-PHONEPE-BBPSBP@YBL-YESB0YBLUPI-452016677258-PAYMENT FROM PHONE</v>
      </c>
      <c r="H218" s="2" t="s">
        <v>1911</v>
      </c>
      <c r="I218" t="s">
        <v>356</v>
      </c>
      <c r="J218" t="s">
        <v>1896</v>
      </c>
    </row>
    <row r="219" spans="1:11" x14ac:dyDescent="0.3">
      <c r="A219" s="1">
        <v>45446</v>
      </c>
      <c r="B219" t="s">
        <v>125</v>
      </c>
      <c r="C219" t="s">
        <v>273</v>
      </c>
      <c r="D219" s="2">
        <v>695.67</v>
      </c>
      <c r="E219" s="2">
        <v>0</v>
      </c>
      <c r="F219" s="2">
        <v>99135.31</v>
      </c>
      <c r="G219" s="2" t="str">
        <f t="shared" si="3"/>
        <v>03-06-2024 NET PI TO HSL SEC A/C 347707-00602340029392</v>
      </c>
      <c r="H219" s="2" t="s">
        <v>1911</v>
      </c>
      <c r="I219" t="s">
        <v>361</v>
      </c>
      <c r="J219" t="s">
        <v>1896</v>
      </c>
    </row>
    <row r="220" spans="1:11" x14ac:dyDescent="0.3">
      <c r="A220" s="1">
        <v>45446</v>
      </c>
      <c r="B220" t="s">
        <v>58</v>
      </c>
      <c r="C220" t="s">
        <v>7</v>
      </c>
      <c r="D220" s="2">
        <v>4000</v>
      </c>
      <c r="E220" s="2">
        <v>0</v>
      </c>
      <c r="F220" s="2">
        <v>64395.42</v>
      </c>
      <c r="G220" s="2" t="str">
        <f t="shared" si="3"/>
        <v>03-06-2024 UPI/P2A/452131999086/Muhammed Muzammil K V/Paymen/State Bank Of India</v>
      </c>
      <c r="H220" s="2" t="s">
        <v>1911</v>
      </c>
      <c r="I220" t="s">
        <v>359</v>
      </c>
      <c r="J220" t="s">
        <v>1895</v>
      </c>
    </row>
    <row r="221" spans="1:11" x14ac:dyDescent="0.3">
      <c r="A221" s="1">
        <v>45447</v>
      </c>
      <c r="B221" t="s">
        <v>128</v>
      </c>
      <c r="C221" t="s">
        <v>274</v>
      </c>
      <c r="D221" s="2">
        <v>0</v>
      </c>
      <c r="E221" s="2">
        <v>8878.06</v>
      </c>
      <c r="F221" s="2">
        <v>108013.37</v>
      </c>
      <c r="G221" s="2" t="str">
        <f t="shared" si="3"/>
        <v>04-06-2024 NET PO FROM HSL A/C 347707-50200085415108</v>
      </c>
      <c r="H221" s="2" t="s">
        <v>1911</v>
      </c>
      <c r="I221" t="s">
        <v>361</v>
      </c>
      <c r="J221" t="s">
        <v>1896</v>
      </c>
    </row>
    <row r="222" spans="1:11" x14ac:dyDescent="0.3">
      <c r="A222" s="1">
        <v>45447</v>
      </c>
      <c r="B222" t="s">
        <v>125</v>
      </c>
      <c r="C222" t="s">
        <v>275</v>
      </c>
      <c r="D222" s="2">
        <v>265.14</v>
      </c>
      <c r="E222" s="2">
        <v>0</v>
      </c>
      <c r="F222" s="2">
        <v>107748.23</v>
      </c>
      <c r="G222" s="2" t="str">
        <f t="shared" si="3"/>
        <v>04-06-2024 NET PI TO HSL SEC A/C 347707-00602340029392</v>
      </c>
      <c r="H222" s="2" t="s">
        <v>1911</v>
      </c>
      <c r="I222" t="s">
        <v>361</v>
      </c>
      <c r="J222" t="s">
        <v>1896</v>
      </c>
    </row>
    <row r="223" spans="1:11" x14ac:dyDescent="0.3">
      <c r="A223" s="1">
        <v>45447</v>
      </c>
      <c r="B223" t="s">
        <v>125</v>
      </c>
      <c r="C223" t="s">
        <v>276</v>
      </c>
      <c r="D223" s="2">
        <v>37486.519999999997</v>
      </c>
      <c r="E223" s="2">
        <v>0</v>
      </c>
      <c r="F223" s="2">
        <v>70261.710000000006</v>
      </c>
      <c r="G223" s="2" t="str">
        <f t="shared" si="3"/>
        <v>04-06-2024 NET PI TO HSL SEC A/C 347707-00602340029392</v>
      </c>
      <c r="H223" s="2" t="s">
        <v>1911</v>
      </c>
      <c r="I223" t="s">
        <v>361</v>
      </c>
      <c r="J223" t="s">
        <v>1896</v>
      </c>
    </row>
    <row r="224" spans="1:11" x14ac:dyDescent="0.3">
      <c r="A224" s="1">
        <v>45447</v>
      </c>
      <c r="B224" t="s">
        <v>59</v>
      </c>
      <c r="C224" t="s">
        <v>7</v>
      </c>
      <c r="D224" s="2">
        <v>5000</v>
      </c>
      <c r="E224" s="2">
        <v>0</v>
      </c>
      <c r="F224" s="2">
        <v>59395.42</v>
      </c>
      <c r="G224" s="2" t="str">
        <f t="shared" si="3"/>
        <v>04-06-2024 UPI/P2A/452253485222/VIMAL  KUMAR SO BHOLA/Paymen/State Bank Of India</v>
      </c>
      <c r="H224" s="2" t="s">
        <v>1911</v>
      </c>
      <c r="I224" t="s">
        <v>356</v>
      </c>
      <c r="J224" t="s">
        <v>1895</v>
      </c>
    </row>
    <row r="225" spans="1:10" x14ac:dyDescent="0.3">
      <c r="A225" s="1">
        <v>45448</v>
      </c>
      <c r="B225" t="s">
        <v>125</v>
      </c>
      <c r="C225" t="s">
        <v>279</v>
      </c>
      <c r="D225" s="2">
        <v>254.95</v>
      </c>
      <c r="E225" s="2">
        <v>0</v>
      </c>
      <c r="F225" s="2">
        <v>50006.76</v>
      </c>
      <c r="G225" s="2" t="str">
        <f t="shared" si="3"/>
        <v>05-06-2024 NET PI TO HSL SEC A/C 347707-00602340029392</v>
      </c>
      <c r="H225" s="2" t="s">
        <v>1911</v>
      </c>
      <c r="I225" t="s">
        <v>361</v>
      </c>
      <c r="J225" t="s">
        <v>1896</v>
      </c>
    </row>
    <row r="226" spans="1:10" x14ac:dyDescent="0.3">
      <c r="A226" s="1">
        <v>45448</v>
      </c>
      <c r="B226" t="s">
        <v>277</v>
      </c>
      <c r="C226" t="s">
        <v>278</v>
      </c>
      <c r="D226" s="2">
        <v>20000</v>
      </c>
      <c r="E226" s="2">
        <v>0</v>
      </c>
      <c r="F226" s="2">
        <v>50261.71</v>
      </c>
      <c r="G226" s="2" t="str">
        <f t="shared" si="3"/>
        <v>05-06-2024 UPI-XXXXXX0094-HDFC0000001-415752435538-PAYMENT FROM PHONE</v>
      </c>
      <c r="H226" s="2" t="s">
        <v>1911</v>
      </c>
      <c r="I226" t="s">
        <v>1852</v>
      </c>
      <c r="J226" t="s">
        <v>1896</v>
      </c>
    </row>
    <row r="227" spans="1:10" x14ac:dyDescent="0.3">
      <c r="A227" s="1">
        <v>45448</v>
      </c>
      <c r="B227" t="s">
        <v>60</v>
      </c>
      <c r="C227" t="s">
        <v>7</v>
      </c>
      <c r="D227" s="2">
        <v>2650.24</v>
      </c>
      <c r="E227" s="2">
        <v>0</v>
      </c>
      <c r="F227" s="2">
        <v>56745.18</v>
      </c>
      <c r="G227" s="2" t="str">
        <f t="shared" si="3"/>
        <v>05-06-2024 UPI/P2A/452323002890/NITIN  VERMA         /Diesal/Kotak Mahindra Bank</v>
      </c>
      <c r="H227" s="2" t="s">
        <v>1911</v>
      </c>
      <c r="I227" t="s">
        <v>356</v>
      </c>
      <c r="J227" t="s">
        <v>1895</v>
      </c>
    </row>
    <row r="228" spans="1:10" x14ac:dyDescent="0.3">
      <c r="A228" s="1">
        <v>45449</v>
      </c>
      <c r="B228" t="s">
        <v>128</v>
      </c>
      <c r="C228" t="s">
        <v>280</v>
      </c>
      <c r="D228" s="2">
        <v>0</v>
      </c>
      <c r="E228" s="2">
        <v>23230.15</v>
      </c>
      <c r="F228" s="2">
        <v>73236.91</v>
      </c>
      <c r="G228" s="2" t="str">
        <f t="shared" si="3"/>
        <v>06-06-2024 NET PO FROM HSL A/C 347707-50200085415108</v>
      </c>
      <c r="H228" s="2" t="s">
        <v>1911</v>
      </c>
      <c r="I228" t="s">
        <v>361</v>
      </c>
      <c r="J228" t="s">
        <v>1896</v>
      </c>
    </row>
    <row r="229" spans="1:10" x14ac:dyDescent="0.3">
      <c r="A229" s="1">
        <v>45449</v>
      </c>
      <c r="B229" t="s">
        <v>125</v>
      </c>
      <c r="C229" t="s">
        <v>281</v>
      </c>
      <c r="D229" s="2">
        <v>254.95</v>
      </c>
      <c r="E229" s="2">
        <v>0</v>
      </c>
      <c r="F229" s="2">
        <v>72981.960000000006</v>
      </c>
      <c r="G229" s="2" t="str">
        <f t="shared" si="3"/>
        <v>06-06-2024 NET PI TO HSL SEC A/C 347707-00602340029392</v>
      </c>
      <c r="H229" s="2" t="s">
        <v>1911</v>
      </c>
      <c r="I229" t="s">
        <v>361</v>
      </c>
      <c r="J229" t="s">
        <v>1896</v>
      </c>
    </row>
    <row r="230" spans="1:10" x14ac:dyDescent="0.3">
      <c r="A230" s="1">
        <v>45449</v>
      </c>
      <c r="B230" t="s">
        <v>61</v>
      </c>
      <c r="C230" t="s">
        <v>7</v>
      </c>
      <c r="D230" s="2">
        <v>1300</v>
      </c>
      <c r="E230" s="2">
        <v>0</v>
      </c>
      <c r="F230" s="2">
        <v>55445.18</v>
      </c>
      <c r="G230" s="2" t="str">
        <f t="shared" si="3"/>
        <v>06-06-2024 UPI/P2M/415845829650/Patidar Fules HPCL   /Diesal/Yes Bank Ltd</v>
      </c>
      <c r="H230" s="2" t="s">
        <v>1911</v>
      </c>
      <c r="I230" t="s">
        <v>356</v>
      </c>
      <c r="J230" t="s">
        <v>1895</v>
      </c>
    </row>
    <row r="231" spans="1:10" x14ac:dyDescent="0.3">
      <c r="A231" s="1">
        <v>45450</v>
      </c>
      <c r="B231" t="s">
        <v>8</v>
      </c>
      <c r="C231" t="s">
        <v>7</v>
      </c>
      <c r="D231" s="2">
        <v>14882.93</v>
      </c>
      <c r="E231" s="2">
        <v>0</v>
      </c>
      <c r="F231" s="2">
        <v>40562.25</v>
      </c>
      <c r="G231" s="2" t="str">
        <f t="shared" si="3"/>
        <v>07-06-2024 BRN-PYMT-CARD-4111460000883615</v>
      </c>
      <c r="H231" s="2" t="s">
        <v>1911</v>
      </c>
      <c r="I231" t="s">
        <v>1877</v>
      </c>
      <c r="J231" t="s">
        <v>1895</v>
      </c>
    </row>
    <row r="232" spans="1:10" x14ac:dyDescent="0.3">
      <c r="A232" s="1">
        <v>45450</v>
      </c>
      <c r="B232" t="s">
        <v>128</v>
      </c>
      <c r="C232" t="s">
        <v>282</v>
      </c>
      <c r="D232" s="2">
        <v>0</v>
      </c>
      <c r="E232" s="2">
        <v>1694.55</v>
      </c>
      <c r="F232" s="2">
        <v>74676.509999999995</v>
      </c>
      <c r="G232" s="2" t="str">
        <f t="shared" si="3"/>
        <v>07-06-2024 NET PO FROM HSL A/C 347707-50200085415108</v>
      </c>
      <c r="H232" s="2" t="s">
        <v>1911</v>
      </c>
      <c r="I232" t="s">
        <v>361</v>
      </c>
      <c r="J232" t="s">
        <v>1896</v>
      </c>
    </row>
    <row r="233" spans="1:10" x14ac:dyDescent="0.3">
      <c r="A233" s="1">
        <v>45450</v>
      </c>
      <c r="B233" t="s">
        <v>125</v>
      </c>
      <c r="C233" t="s">
        <v>283</v>
      </c>
      <c r="D233" s="2">
        <v>263.22000000000003</v>
      </c>
      <c r="E233" s="2">
        <v>0</v>
      </c>
      <c r="F233" s="2">
        <v>74413.289999999994</v>
      </c>
      <c r="G233" s="2" t="str">
        <f t="shared" si="3"/>
        <v>07-06-2024 NET PI TO HSL SEC A/C 347707-00602340029392</v>
      </c>
      <c r="H233" s="2" t="s">
        <v>1911</v>
      </c>
      <c r="I233" t="s">
        <v>361</v>
      </c>
      <c r="J233" t="s">
        <v>1896</v>
      </c>
    </row>
    <row r="234" spans="1:10" x14ac:dyDescent="0.3">
      <c r="A234" s="1">
        <v>45450</v>
      </c>
      <c r="B234" t="s">
        <v>125</v>
      </c>
      <c r="C234" t="s">
        <v>284</v>
      </c>
      <c r="D234" s="2">
        <v>15453.51</v>
      </c>
      <c r="E234" s="2">
        <v>0</v>
      </c>
      <c r="F234" s="2">
        <v>58959.78</v>
      </c>
      <c r="G234" s="2" t="str">
        <f t="shared" si="3"/>
        <v>07-06-2024 NET PI TO HSL SEC A/C 347707-00602340029392</v>
      </c>
      <c r="H234" s="2" t="s">
        <v>1911</v>
      </c>
      <c r="I234" t="s">
        <v>361</v>
      </c>
      <c r="J234" t="s">
        <v>1896</v>
      </c>
    </row>
    <row r="235" spans="1:10" x14ac:dyDescent="0.3">
      <c r="A235" s="1">
        <v>45450</v>
      </c>
      <c r="B235" t="s">
        <v>62</v>
      </c>
      <c r="C235" t="s">
        <v>7</v>
      </c>
      <c r="D235" s="2">
        <v>1600</v>
      </c>
      <c r="E235" s="2">
        <v>0</v>
      </c>
      <c r="F235" s="2">
        <v>38962.25</v>
      </c>
      <c r="G235" s="2" t="str">
        <f t="shared" si="3"/>
        <v>07-06-2024 UPI/P2A/452520975801/LAXMI KANAKRAJ PILLAI/Paymen/ICICI Bank</v>
      </c>
      <c r="H235" s="2" t="s">
        <v>1911</v>
      </c>
      <c r="I235" t="s">
        <v>356</v>
      </c>
      <c r="J235" t="s">
        <v>1895</v>
      </c>
    </row>
    <row r="236" spans="1:10" x14ac:dyDescent="0.3">
      <c r="A236" s="1">
        <v>45451</v>
      </c>
      <c r="B236" t="s">
        <v>63</v>
      </c>
      <c r="C236" t="s">
        <v>7</v>
      </c>
      <c r="D236" s="2">
        <v>1000</v>
      </c>
      <c r="E236" s="2">
        <v>0</v>
      </c>
      <c r="F236" s="2">
        <v>37962.25</v>
      </c>
      <c r="G236" s="2" t="str">
        <f t="shared" si="3"/>
        <v>08-06-2024 UPI/P2M/452614430065/PhonePe              /Paymen/Yes Bank Ltd</v>
      </c>
      <c r="H236" s="2" t="s">
        <v>1911</v>
      </c>
      <c r="I236" t="s">
        <v>356</v>
      </c>
      <c r="J236" t="s">
        <v>1895</v>
      </c>
    </row>
    <row r="237" spans="1:10" x14ac:dyDescent="0.3">
      <c r="A237" s="1">
        <v>45451</v>
      </c>
      <c r="B237" t="s">
        <v>64</v>
      </c>
      <c r="C237" t="s">
        <v>7</v>
      </c>
      <c r="D237" s="2">
        <v>3299.3</v>
      </c>
      <c r="E237" s="2">
        <v>0</v>
      </c>
      <c r="F237" s="2">
        <v>34662.949999999997</v>
      </c>
      <c r="G237" s="2" t="str">
        <f t="shared" si="3"/>
        <v>08-06-2024 UPI/P2M/452624640519/KUNDAN FUEL PLAZA    /Diesal/Yes Bank Ltd</v>
      </c>
      <c r="H237" s="2" t="s">
        <v>1911</v>
      </c>
      <c r="I237" t="s">
        <v>356</v>
      </c>
      <c r="J237" t="s">
        <v>1895</v>
      </c>
    </row>
    <row r="238" spans="1:10" x14ac:dyDescent="0.3">
      <c r="A238" s="1">
        <v>45452</v>
      </c>
      <c r="B238" t="s">
        <v>1744</v>
      </c>
      <c r="C238" t="s">
        <v>1760</v>
      </c>
      <c r="D238" s="2">
        <v>1510</v>
      </c>
      <c r="E238" s="2">
        <v>0</v>
      </c>
      <c r="F238" s="2">
        <v>31627.58</v>
      </c>
      <c r="G238" s="2" t="str">
        <f t="shared" si="3"/>
        <v>09-06-2024    TO TRANSFER-INB SBICARD FOR BILLDESK      SBICARD Payments--</v>
      </c>
      <c r="H238" s="2" t="s">
        <v>1911</v>
      </c>
      <c r="I238" t="s">
        <v>1838</v>
      </c>
      <c r="J238" t="s">
        <v>1899</v>
      </c>
    </row>
    <row r="239" spans="1:10" x14ac:dyDescent="0.3">
      <c r="A239" s="1">
        <v>45452</v>
      </c>
      <c r="B239" t="s">
        <v>285</v>
      </c>
      <c r="C239" t="s">
        <v>286</v>
      </c>
      <c r="D239" s="2">
        <v>0</v>
      </c>
      <c r="E239" s="2">
        <v>20000</v>
      </c>
      <c r="F239" s="2">
        <v>78959.78</v>
      </c>
      <c r="G239" s="2" t="str">
        <f t="shared" si="3"/>
        <v>09-06-2024 01671000060094-TPT-MNY RTRN FROM SUNITA TO AKG-SUNITA GUPTA</v>
      </c>
      <c r="H239" s="2" t="s">
        <v>1911</v>
      </c>
      <c r="I239" t="s">
        <v>364</v>
      </c>
      <c r="J239" t="s">
        <v>1896</v>
      </c>
    </row>
    <row r="240" spans="1:10" x14ac:dyDescent="0.3">
      <c r="A240" s="1">
        <v>45452</v>
      </c>
      <c r="B240" t="s">
        <v>65</v>
      </c>
      <c r="C240" t="s">
        <v>7</v>
      </c>
      <c r="D240" s="2">
        <v>100</v>
      </c>
      <c r="E240" s="2">
        <v>0</v>
      </c>
      <c r="F240" s="2">
        <v>34562.949999999997</v>
      </c>
      <c r="G240" s="2" t="str">
        <f t="shared" si="3"/>
        <v>09-06-2024 UPI/P2M/416125120760/SSSA                 /Paymen/Axis Bank Ltd.</v>
      </c>
      <c r="H240" s="2" t="s">
        <v>1911</v>
      </c>
      <c r="I240" t="s">
        <v>356</v>
      </c>
      <c r="J240" t="s">
        <v>1895</v>
      </c>
    </row>
    <row r="241" spans="1:10" x14ac:dyDescent="0.3">
      <c r="A241" s="1">
        <v>45453</v>
      </c>
      <c r="B241" t="s">
        <v>128</v>
      </c>
      <c r="C241" t="s">
        <v>287</v>
      </c>
      <c r="D241" s="2">
        <v>0</v>
      </c>
      <c r="E241" s="2">
        <v>3864.51</v>
      </c>
      <c r="F241" s="2">
        <v>82824.289999999994</v>
      </c>
      <c r="G241" s="2" t="str">
        <f t="shared" si="3"/>
        <v>10-06-2024 NET PO FROM HSL A/C 347707-50200085415108</v>
      </c>
      <c r="H241" s="2" t="s">
        <v>1911</v>
      </c>
      <c r="I241" t="s">
        <v>361</v>
      </c>
      <c r="J241" t="s">
        <v>1896</v>
      </c>
    </row>
    <row r="242" spans="1:10" x14ac:dyDescent="0.3">
      <c r="A242" s="1">
        <v>45453</v>
      </c>
      <c r="B242" t="s">
        <v>125</v>
      </c>
      <c r="C242" t="s">
        <v>289</v>
      </c>
      <c r="D242" s="2">
        <v>774.96</v>
      </c>
      <c r="E242" s="2">
        <v>0</v>
      </c>
      <c r="F242" s="2">
        <v>72049.33</v>
      </c>
      <c r="G242" s="2" t="str">
        <f t="shared" si="3"/>
        <v>10-06-2024 NET PI TO HSL SEC A/C 347707-00602340029392</v>
      </c>
      <c r="H242" s="2" t="s">
        <v>1911</v>
      </c>
      <c r="I242" t="s">
        <v>361</v>
      </c>
      <c r="J242" t="s">
        <v>1896</v>
      </c>
    </row>
    <row r="243" spans="1:10" x14ac:dyDescent="0.3">
      <c r="A243" s="1">
        <v>45453</v>
      </c>
      <c r="B243" t="s">
        <v>125</v>
      </c>
      <c r="C243" t="s">
        <v>290</v>
      </c>
      <c r="D243" s="2">
        <v>12095.28</v>
      </c>
      <c r="E243" s="2">
        <v>0</v>
      </c>
      <c r="F243" s="2">
        <v>59954.05</v>
      </c>
      <c r="G243" s="2" t="str">
        <f t="shared" si="3"/>
        <v>10-06-2024 NET PI TO HSL SEC A/C 347707-00602340029392</v>
      </c>
      <c r="H243" s="2" t="s">
        <v>1911</v>
      </c>
      <c r="I243" t="s">
        <v>361</v>
      </c>
      <c r="J243" t="s">
        <v>1896</v>
      </c>
    </row>
    <row r="244" spans="1:10" x14ac:dyDescent="0.3">
      <c r="A244" s="1">
        <v>45453</v>
      </c>
      <c r="B244" t="s">
        <v>146</v>
      </c>
      <c r="C244" t="s">
        <v>288</v>
      </c>
      <c r="D244" s="2">
        <v>10000</v>
      </c>
      <c r="E244" s="2">
        <v>0</v>
      </c>
      <c r="F244" s="2">
        <v>72824.289999999994</v>
      </c>
      <c r="G244" s="2" t="str">
        <f t="shared" si="3"/>
        <v>10-06-2024 ACH D- INDIAN CLEARING CORP-P25847605X05</v>
      </c>
      <c r="H244" s="2" t="s">
        <v>1911</v>
      </c>
      <c r="I244" t="s">
        <v>1854</v>
      </c>
      <c r="J244" t="s">
        <v>1896</v>
      </c>
    </row>
    <row r="245" spans="1:10" x14ac:dyDescent="0.3">
      <c r="A245" s="1">
        <v>45453</v>
      </c>
      <c r="B245" t="s">
        <v>66</v>
      </c>
      <c r="C245" t="s">
        <v>7</v>
      </c>
      <c r="D245" s="2">
        <v>50</v>
      </c>
      <c r="E245" s="2">
        <v>0</v>
      </c>
      <c r="F245" s="2">
        <v>34512.949999999997</v>
      </c>
      <c r="G245" s="2" t="str">
        <f t="shared" si="3"/>
        <v>10-06-2024 UPI/P2M/452844082535/VAIBHAV VASANTRAO MOR/Zarda/Yes Bank Ltd</v>
      </c>
      <c r="H245" s="2" t="s">
        <v>1911</v>
      </c>
      <c r="I245" t="s">
        <v>356</v>
      </c>
      <c r="J245" t="s">
        <v>1895</v>
      </c>
    </row>
    <row r="246" spans="1:10" x14ac:dyDescent="0.3">
      <c r="A246" s="1">
        <v>45454</v>
      </c>
      <c r="B246" t="s">
        <v>128</v>
      </c>
      <c r="C246" t="s">
        <v>291</v>
      </c>
      <c r="D246" s="2">
        <v>0</v>
      </c>
      <c r="E246" s="2">
        <v>29881.84</v>
      </c>
      <c r="F246" s="2">
        <v>89835.89</v>
      </c>
      <c r="G246" s="2" t="str">
        <f t="shared" si="3"/>
        <v>11-06-2024 NET PO FROM HSL A/C 347707-50200085415108</v>
      </c>
      <c r="H246" s="2" t="s">
        <v>1911</v>
      </c>
      <c r="I246" t="s">
        <v>361</v>
      </c>
      <c r="J246" t="s">
        <v>1896</v>
      </c>
    </row>
    <row r="247" spans="1:10" x14ac:dyDescent="0.3">
      <c r="A247" s="1">
        <v>45454</v>
      </c>
      <c r="B247" t="s">
        <v>125</v>
      </c>
      <c r="C247" t="s">
        <v>292</v>
      </c>
      <c r="D247" s="2">
        <v>238.51</v>
      </c>
      <c r="E247" s="2">
        <v>0</v>
      </c>
      <c r="F247" s="2">
        <v>89597.38</v>
      </c>
      <c r="G247" s="2" t="str">
        <f t="shared" ref="G247:G310" si="4">TEXT(A247,"DD")&amp;"-"&amp;TEXT(A247,"MM")&amp;"-"&amp;TEXT(A247,"YYYY")&amp;" "&amp;B247</f>
        <v>11-06-2024 NET PI TO HSL SEC A/C 347707-00602340029392</v>
      </c>
      <c r="H247" s="2" t="s">
        <v>1911</v>
      </c>
      <c r="I247" t="s">
        <v>361</v>
      </c>
      <c r="J247" t="s">
        <v>1896</v>
      </c>
    </row>
    <row r="248" spans="1:10" x14ac:dyDescent="0.3">
      <c r="A248" s="1">
        <v>45454</v>
      </c>
      <c r="B248" t="s">
        <v>125</v>
      </c>
      <c r="C248" t="s">
        <v>293</v>
      </c>
      <c r="D248" s="2">
        <v>55815.37</v>
      </c>
      <c r="E248" s="2">
        <v>0</v>
      </c>
      <c r="F248" s="2">
        <v>33782.01</v>
      </c>
      <c r="G248" s="2" t="str">
        <f t="shared" si="4"/>
        <v>11-06-2024 NET PI TO HSL SEC A/C 347707-00602340029392</v>
      </c>
      <c r="H248" s="2" t="s">
        <v>1911</v>
      </c>
      <c r="I248" t="s">
        <v>361</v>
      </c>
      <c r="J248" t="s">
        <v>1896</v>
      </c>
    </row>
    <row r="249" spans="1:10" x14ac:dyDescent="0.3">
      <c r="A249" s="1">
        <v>45455</v>
      </c>
      <c r="B249" t="s">
        <v>125</v>
      </c>
      <c r="C249" t="s">
        <v>294</v>
      </c>
      <c r="D249" s="2">
        <v>218.63</v>
      </c>
      <c r="E249" s="2">
        <v>0</v>
      </c>
      <c r="F249" s="2">
        <v>33563.379999999997</v>
      </c>
      <c r="G249" s="2" t="str">
        <f t="shared" si="4"/>
        <v>12-06-2024 NET PI TO HSL SEC A/C 347707-00602340029392</v>
      </c>
      <c r="H249" s="2" t="s">
        <v>1911</v>
      </c>
      <c r="I249" t="s">
        <v>361</v>
      </c>
      <c r="J249" t="s">
        <v>1896</v>
      </c>
    </row>
    <row r="250" spans="1:10" x14ac:dyDescent="0.3">
      <c r="A250" s="1">
        <v>45455</v>
      </c>
      <c r="B250" t="s">
        <v>125</v>
      </c>
      <c r="C250" t="s">
        <v>295</v>
      </c>
      <c r="D250" s="2">
        <v>863.32</v>
      </c>
      <c r="E250" s="2">
        <v>0</v>
      </c>
      <c r="F250" s="2">
        <v>32700.06</v>
      </c>
      <c r="G250" s="2" t="str">
        <f t="shared" si="4"/>
        <v>12-06-2024 NET PI TO HSL SEC A/C 347707-00602340029392</v>
      </c>
      <c r="H250" s="2" t="s">
        <v>1911</v>
      </c>
      <c r="I250" t="s">
        <v>361</v>
      </c>
      <c r="J250" t="s">
        <v>1896</v>
      </c>
    </row>
    <row r="251" spans="1:10" x14ac:dyDescent="0.3">
      <c r="A251" s="1">
        <v>45456</v>
      </c>
      <c r="B251" t="s">
        <v>128</v>
      </c>
      <c r="C251" t="s">
        <v>296</v>
      </c>
      <c r="D251" s="2">
        <v>0</v>
      </c>
      <c r="E251" s="2">
        <v>97879.6</v>
      </c>
      <c r="F251" s="2">
        <v>130579.66</v>
      </c>
      <c r="G251" s="2" t="str">
        <f t="shared" si="4"/>
        <v>13-06-2024 NET PO FROM HSL A/C 347707-50200085415108</v>
      </c>
      <c r="H251" s="2" t="s">
        <v>1911</v>
      </c>
      <c r="I251" t="s">
        <v>361</v>
      </c>
      <c r="J251" t="s">
        <v>1896</v>
      </c>
    </row>
    <row r="252" spans="1:10" x14ac:dyDescent="0.3">
      <c r="A252" s="1">
        <v>45456</v>
      </c>
      <c r="B252" t="s">
        <v>125</v>
      </c>
      <c r="C252" t="s">
        <v>299</v>
      </c>
      <c r="D252" s="2">
        <v>262.87</v>
      </c>
      <c r="E252" s="2">
        <v>0</v>
      </c>
      <c r="F252" s="2">
        <v>80316.789999999994</v>
      </c>
      <c r="G252" s="2" t="str">
        <f t="shared" si="4"/>
        <v>13-06-2024 NET PI TO HSL SEC A/C 347707-00602340029392</v>
      </c>
      <c r="H252" s="2" t="s">
        <v>1911</v>
      </c>
      <c r="I252" t="s">
        <v>361</v>
      </c>
      <c r="J252" t="s">
        <v>1896</v>
      </c>
    </row>
    <row r="253" spans="1:10" x14ac:dyDescent="0.3">
      <c r="A253" s="1">
        <v>45456</v>
      </c>
      <c r="B253" t="s">
        <v>297</v>
      </c>
      <c r="C253" t="s">
        <v>298</v>
      </c>
      <c r="D253" s="2">
        <v>50000</v>
      </c>
      <c r="E253" s="2">
        <v>0</v>
      </c>
      <c r="F253" s="2">
        <v>80579.66</v>
      </c>
      <c r="G253" s="2" t="str">
        <f t="shared" si="4"/>
        <v>13-06-2024 YHDF2352288572/BILLDKINDIANCLEARING</v>
      </c>
      <c r="H253" s="2" t="s">
        <v>1911</v>
      </c>
      <c r="I253" t="s">
        <v>1883</v>
      </c>
      <c r="J253" t="s">
        <v>1896</v>
      </c>
    </row>
    <row r="254" spans="1:10" x14ac:dyDescent="0.3">
      <c r="A254" s="1">
        <v>45456</v>
      </c>
      <c r="B254" t="s">
        <v>1740</v>
      </c>
      <c r="C254" t="s">
        <v>1761</v>
      </c>
      <c r="D254" s="2">
        <v>0</v>
      </c>
      <c r="E254" s="2">
        <v>22932.639999999999</v>
      </c>
      <c r="F254" s="2">
        <v>54560.22</v>
      </c>
      <c r="G254" s="2" t="str">
        <f t="shared" si="4"/>
        <v>13-06-2024    BY TRANSFER-INB -For 19260165--</v>
      </c>
      <c r="H254" s="2" t="s">
        <v>1911</v>
      </c>
      <c r="I254" t="s">
        <v>1887</v>
      </c>
      <c r="J254" t="s">
        <v>1899</v>
      </c>
    </row>
    <row r="255" spans="1:10" x14ac:dyDescent="0.3">
      <c r="A255" s="1">
        <v>45457</v>
      </c>
      <c r="B255" t="s">
        <v>128</v>
      </c>
      <c r="C255" t="s">
        <v>300</v>
      </c>
      <c r="D255" s="2">
        <v>0</v>
      </c>
      <c r="E255" s="2">
        <v>12208.08</v>
      </c>
      <c r="F255" s="2">
        <v>92524.87</v>
      </c>
      <c r="G255" s="2" t="str">
        <f t="shared" si="4"/>
        <v>14-06-2024 NET PO FROM HSL A/C 347707-50200085415108</v>
      </c>
      <c r="H255" s="2" t="s">
        <v>1911</v>
      </c>
      <c r="I255" t="s">
        <v>361</v>
      </c>
      <c r="J255" t="s">
        <v>1896</v>
      </c>
    </row>
    <row r="256" spans="1:10" x14ac:dyDescent="0.3">
      <c r="A256" s="1">
        <v>45457</v>
      </c>
      <c r="B256" t="s">
        <v>128</v>
      </c>
      <c r="C256" t="s">
        <v>301</v>
      </c>
      <c r="D256" s="2">
        <v>0</v>
      </c>
      <c r="E256" s="2">
        <v>22934.93</v>
      </c>
      <c r="F256" s="2">
        <v>115459.8</v>
      </c>
      <c r="G256" s="2" t="str">
        <f t="shared" si="4"/>
        <v>14-06-2024 NET PO FROM HSL A/C 347707-50200085415108</v>
      </c>
      <c r="H256" s="2" t="s">
        <v>1911</v>
      </c>
      <c r="I256" t="s">
        <v>361</v>
      </c>
      <c r="J256" t="s">
        <v>1896</v>
      </c>
    </row>
    <row r="257" spans="1:10" x14ac:dyDescent="0.3">
      <c r="A257" s="1">
        <v>45457</v>
      </c>
      <c r="B257" t="s">
        <v>125</v>
      </c>
      <c r="C257" t="s">
        <v>306</v>
      </c>
      <c r="D257" s="2">
        <v>262.87</v>
      </c>
      <c r="E257" s="2">
        <v>0</v>
      </c>
      <c r="F257" s="2">
        <v>115196.93</v>
      </c>
      <c r="G257" s="2" t="str">
        <f t="shared" si="4"/>
        <v>14-06-2024 NET PI TO HSL SEC A/C 347707-00602340029392</v>
      </c>
      <c r="H257" s="2" t="s">
        <v>1911</v>
      </c>
      <c r="I257" t="s">
        <v>361</v>
      </c>
      <c r="J257" t="s">
        <v>1896</v>
      </c>
    </row>
    <row r="258" spans="1:10" x14ac:dyDescent="0.3">
      <c r="A258" s="1">
        <v>45457</v>
      </c>
      <c r="B258" t="s">
        <v>302</v>
      </c>
      <c r="C258" t="s">
        <v>303</v>
      </c>
      <c r="D258" s="2">
        <v>0</v>
      </c>
      <c r="E258" s="2">
        <v>100</v>
      </c>
      <c r="F258" s="2">
        <v>115559.8</v>
      </c>
      <c r="G258" s="2" t="str">
        <f t="shared" si="4"/>
        <v>14-06-2024 UPI-ARCHIT GUPTA-8668331033@HDFCBANK-HDFC0004690-416673138820-TEST</v>
      </c>
      <c r="H258" s="2" t="s">
        <v>1941</v>
      </c>
      <c r="I258" t="s">
        <v>371</v>
      </c>
      <c r="J258" t="s">
        <v>1896</v>
      </c>
    </row>
    <row r="259" spans="1:10" x14ac:dyDescent="0.3">
      <c r="A259" s="1">
        <v>45457</v>
      </c>
      <c r="B259" t="s">
        <v>304</v>
      </c>
      <c r="C259" t="s">
        <v>305</v>
      </c>
      <c r="D259" s="2">
        <v>100</v>
      </c>
      <c r="E259" s="2">
        <v>0</v>
      </c>
      <c r="F259" s="2">
        <v>115459.8</v>
      </c>
      <c r="G259" s="2" t="str">
        <f t="shared" si="4"/>
        <v>14-06-2024 UPI-ARCHIT GUPTA-8668331033@HDFCBANK-HDFC0004690-416641481959-PAYMENT FROM PHONE</v>
      </c>
      <c r="H259" s="2" t="s">
        <v>1941</v>
      </c>
      <c r="I259" t="s">
        <v>368</v>
      </c>
      <c r="J259" t="s">
        <v>1896</v>
      </c>
    </row>
    <row r="260" spans="1:10" x14ac:dyDescent="0.3">
      <c r="A260" s="1">
        <v>45461</v>
      </c>
      <c r="B260" t="s">
        <v>310</v>
      </c>
      <c r="C260" t="s">
        <v>140</v>
      </c>
      <c r="D260" s="2">
        <v>1463.2</v>
      </c>
      <c r="E260" s="2">
        <v>0</v>
      </c>
      <c r="F260" s="2">
        <v>210291.66</v>
      </c>
      <c r="G260" s="2" t="str">
        <f t="shared" si="4"/>
        <v>18-06-2024 DEPOSITORY CHARGES MAY24 - 40227714</v>
      </c>
      <c r="H260" s="2" t="s">
        <v>1911</v>
      </c>
      <c r="I260" t="s">
        <v>362</v>
      </c>
      <c r="J260" t="s">
        <v>1896</v>
      </c>
    </row>
    <row r="261" spans="1:10" x14ac:dyDescent="0.3">
      <c r="A261" s="1">
        <v>45461</v>
      </c>
      <c r="B261" t="s">
        <v>311</v>
      </c>
      <c r="C261" t="s">
        <v>312</v>
      </c>
      <c r="D261" s="2">
        <v>0</v>
      </c>
      <c r="E261" s="2">
        <v>160</v>
      </c>
      <c r="F261" s="2">
        <v>210451.66</v>
      </c>
      <c r="G261" s="2" t="str">
        <f t="shared" si="4"/>
        <v>18-06-2024 ACH C- ADVANI HOTELS AND RE-065233300021</v>
      </c>
      <c r="H261" s="2" t="s">
        <v>1911</v>
      </c>
      <c r="I261" t="s">
        <v>367</v>
      </c>
      <c r="J261" t="s">
        <v>1896</v>
      </c>
    </row>
    <row r="262" spans="1:10" x14ac:dyDescent="0.3">
      <c r="A262" s="1">
        <v>45461</v>
      </c>
      <c r="B262" t="s">
        <v>128</v>
      </c>
      <c r="C262" t="s">
        <v>307</v>
      </c>
      <c r="D262" s="2">
        <v>0</v>
      </c>
      <c r="E262" s="2">
        <v>13720.58</v>
      </c>
      <c r="F262" s="2">
        <v>128917.51</v>
      </c>
      <c r="G262" s="2" t="str">
        <f t="shared" si="4"/>
        <v>18-06-2024 NET PO FROM HSL A/C 347707-50200085415108</v>
      </c>
      <c r="H262" s="2" t="s">
        <v>1911</v>
      </c>
      <c r="I262" t="s">
        <v>361</v>
      </c>
      <c r="J262" t="s">
        <v>1896</v>
      </c>
    </row>
    <row r="263" spans="1:10" x14ac:dyDescent="0.3">
      <c r="A263" s="1">
        <v>45461</v>
      </c>
      <c r="B263" t="s">
        <v>128</v>
      </c>
      <c r="C263" t="s">
        <v>308</v>
      </c>
      <c r="D263" s="2">
        <v>0</v>
      </c>
      <c r="E263" s="2">
        <v>92837.35</v>
      </c>
      <c r="F263" s="2">
        <v>221754.86</v>
      </c>
      <c r="G263" s="2" t="str">
        <f t="shared" si="4"/>
        <v>18-06-2024 NET PO FROM HSL A/C 347707-50200085415108</v>
      </c>
      <c r="H263" s="2" t="s">
        <v>1911</v>
      </c>
      <c r="I263" t="s">
        <v>361</v>
      </c>
      <c r="J263" t="s">
        <v>1896</v>
      </c>
    </row>
    <row r="264" spans="1:10" x14ac:dyDescent="0.3">
      <c r="A264" s="1">
        <v>45461</v>
      </c>
      <c r="B264" t="s">
        <v>125</v>
      </c>
      <c r="C264" t="s">
        <v>313</v>
      </c>
      <c r="D264" s="2">
        <v>1028.68</v>
      </c>
      <c r="E264" s="2">
        <v>0</v>
      </c>
      <c r="F264" s="2">
        <v>209422.98</v>
      </c>
      <c r="G264" s="2" t="str">
        <f t="shared" si="4"/>
        <v>18-06-2024 NET PI TO HSL SEC A/C 347707-00602340029392</v>
      </c>
      <c r="H264" s="2" t="s">
        <v>1911</v>
      </c>
      <c r="I264" t="s">
        <v>361</v>
      </c>
      <c r="J264" t="s">
        <v>1896</v>
      </c>
    </row>
    <row r="265" spans="1:10" x14ac:dyDescent="0.3">
      <c r="A265" s="1">
        <v>45461</v>
      </c>
      <c r="B265" t="s">
        <v>146</v>
      </c>
      <c r="C265" t="s">
        <v>309</v>
      </c>
      <c r="D265" s="2">
        <v>10000</v>
      </c>
      <c r="E265" s="2">
        <v>0</v>
      </c>
      <c r="F265" s="2">
        <v>211754.86</v>
      </c>
      <c r="G265" s="2" t="str">
        <f t="shared" si="4"/>
        <v>18-06-2024 ACH D- INDIAN CLEARING CORP-P25847605X05</v>
      </c>
      <c r="H265" s="2" t="s">
        <v>1911</v>
      </c>
      <c r="I265" t="s">
        <v>1854</v>
      </c>
      <c r="J265" t="s">
        <v>1896</v>
      </c>
    </row>
    <row r="266" spans="1:10" x14ac:dyDescent="0.3">
      <c r="A266" s="1">
        <v>45462</v>
      </c>
      <c r="B266" t="s">
        <v>128</v>
      </c>
      <c r="C266" t="s">
        <v>314</v>
      </c>
      <c r="D266" s="2">
        <v>0</v>
      </c>
      <c r="E266" s="2">
        <v>1105.77</v>
      </c>
      <c r="F266" s="2">
        <v>210528.75</v>
      </c>
      <c r="G266" s="2" t="str">
        <f t="shared" si="4"/>
        <v>19-06-2024 NET PO FROM HSL A/C 347707-50200085415108</v>
      </c>
      <c r="H266" s="2" t="s">
        <v>1911</v>
      </c>
      <c r="I266" t="s">
        <v>361</v>
      </c>
      <c r="J266" t="s">
        <v>1896</v>
      </c>
    </row>
    <row r="267" spans="1:10" x14ac:dyDescent="0.3">
      <c r="A267" s="1">
        <v>45462</v>
      </c>
      <c r="B267" t="s">
        <v>128</v>
      </c>
      <c r="C267" t="s">
        <v>315</v>
      </c>
      <c r="D267" s="2">
        <v>0</v>
      </c>
      <c r="E267" s="2">
        <v>102074.66</v>
      </c>
      <c r="F267" s="2">
        <v>312603.40999999997</v>
      </c>
      <c r="G267" s="2" t="str">
        <f t="shared" si="4"/>
        <v>19-06-2024 NET PO FROM HSL A/C 347707-50200085415108</v>
      </c>
      <c r="H267" s="2" t="s">
        <v>1911</v>
      </c>
      <c r="I267" t="s">
        <v>361</v>
      </c>
      <c r="J267" t="s">
        <v>1896</v>
      </c>
    </row>
    <row r="268" spans="1:10" x14ac:dyDescent="0.3">
      <c r="A268" s="1">
        <v>45462</v>
      </c>
      <c r="B268" t="s">
        <v>125</v>
      </c>
      <c r="C268" t="s">
        <v>316</v>
      </c>
      <c r="D268" s="2">
        <v>250.29</v>
      </c>
      <c r="E268" s="2">
        <v>0</v>
      </c>
      <c r="F268" s="2">
        <v>312353.12</v>
      </c>
      <c r="G268" s="2" t="str">
        <f t="shared" si="4"/>
        <v>19-06-2024 NET PI TO HSL SEC A/C 347707-00602340029392</v>
      </c>
      <c r="H268" s="2" t="s">
        <v>1911</v>
      </c>
      <c r="I268" t="s">
        <v>361</v>
      </c>
      <c r="J268" t="s">
        <v>1896</v>
      </c>
    </row>
    <row r="269" spans="1:10" x14ac:dyDescent="0.3">
      <c r="A269" s="1">
        <v>45462</v>
      </c>
      <c r="B269" t="s">
        <v>125</v>
      </c>
      <c r="C269" t="s">
        <v>317</v>
      </c>
      <c r="D269" s="2">
        <v>43889.09</v>
      </c>
      <c r="E269" s="2">
        <v>0</v>
      </c>
      <c r="F269" s="2">
        <v>268464.03000000003</v>
      </c>
      <c r="G269" s="2" t="str">
        <f t="shared" si="4"/>
        <v>19-06-2024 NET PI TO HSL SEC A/C 347707-00602340029392</v>
      </c>
      <c r="H269" s="2" t="s">
        <v>1911</v>
      </c>
      <c r="I269" t="s">
        <v>361</v>
      </c>
      <c r="J269" t="s">
        <v>1896</v>
      </c>
    </row>
    <row r="270" spans="1:10" x14ac:dyDescent="0.3">
      <c r="A270" s="1">
        <v>45462</v>
      </c>
      <c r="B270" t="s">
        <v>125</v>
      </c>
      <c r="C270" t="s">
        <v>318</v>
      </c>
      <c r="D270" s="2">
        <v>48029.17</v>
      </c>
      <c r="E270" s="2">
        <v>0</v>
      </c>
      <c r="F270" s="2">
        <v>220434.86</v>
      </c>
      <c r="G270" s="2" t="str">
        <f t="shared" si="4"/>
        <v>19-06-2024 NET PI TO HSL SEC A/C 347707-00602340029392</v>
      </c>
      <c r="H270" s="2" t="s">
        <v>1911</v>
      </c>
      <c r="I270" t="s">
        <v>361</v>
      </c>
      <c r="J270" t="s">
        <v>1896</v>
      </c>
    </row>
    <row r="271" spans="1:10" x14ac:dyDescent="0.3">
      <c r="A271" s="1">
        <v>45462</v>
      </c>
      <c r="B271" t="s">
        <v>1736</v>
      </c>
      <c r="C271" t="s">
        <v>1737</v>
      </c>
      <c r="D271" s="2">
        <v>71442.69</v>
      </c>
      <c r="E271" s="2">
        <v>0</v>
      </c>
      <c r="F271" s="2">
        <v>17601.849999999999</v>
      </c>
      <c r="G271" s="2" t="str">
        <f t="shared" si="4"/>
        <v>19-06-2024    TO TRANSFER-ForTrading--</v>
      </c>
      <c r="H271" s="2" t="s">
        <v>1911</v>
      </c>
      <c r="I271" t="s">
        <v>1847</v>
      </c>
      <c r="J271" t="s">
        <v>1899</v>
      </c>
    </row>
    <row r="272" spans="1:10" x14ac:dyDescent="0.3">
      <c r="A272" s="1">
        <v>45462</v>
      </c>
      <c r="B272" t="s">
        <v>1740</v>
      </c>
      <c r="C272" t="s">
        <v>1762</v>
      </c>
      <c r="D272" s="2">
        <v>0</v>
      </c>
      <c r="E272" s="2">
        <v>34484.32</v>
      </c>
      <c r="F272" s="2">
        <v>89044.54</v>
      </c>
      <c r="G272" s="2" t="str">
        <f t="shared" si="4"/>
        <v>19-06-2024    BY TRANSFER-INB -For 19260165--</v>
      </c>
      <c r="H272" s="2" t="s">
        <v>1911</v>
      </c>
      <c r="I272" t="s">
        <v>1887</v>
      </c>
      <c r="J272" t="s">
        <v>1899</v>
      </c>
    </row>
    <row r="273" spans="1:10" x14ac:dyDescent="0.3">
      <c r="A273" s="1">
        <v>45462</v>
      </c>
      <c r="B273" t="s">
        <v>67</v>
      </c>
      <c r="C273" t="s">
        <v>7</v>
      </c>
      <c r="D273" s="2">
        <v>75</v>
      </c>
      <c r="E273" s="2">
        <v>0</v>
      </c>
      <c r="F273" s="2">
        <v>34437.949999999997</v>
      </c>
      <c r="G273" s="2" t="str">
        <f t="shared" si="4"/>
        <v>19-06-2024 UPI/P2M/453783985236/KUNAL EAKNATH MAKUNE /Milk/Yes Bank Ltd</v>
      </c>
      <c r="H273" s="2" t="s">
        <v>1911</v>
      </c>
      <c r="I273" t="s">
        <v>356</v>
      </c>
      <c r="J273" t="s">
        <v>1895</v>
      </c>
    </row>
    <row r="274" spans="1:10" x14ac:dyDescent="0.3">
      <c r="A274" s="1">
        <v>45462</v>
      </c>
      <c r="B274" t="s">
        <v>68</v>
      </c>
      <c r="C274" t="s">
        <v>7</v>
      </c>
      <c r="D274" s="2">
        <v>22</v>
      </c>
      <c r="E274" s="2">
        <v>0</v>
      </c>
      <c r="F274" s="2">
        <v>34415.949999999997</v>
      </c>
      <c r="G274" s="2" t="str">
        <f t="shared" si="4"/>
        <v>19-06-2024 UPI/P2M/417146888867/JEET PHARMACY AND MIN/Medice/Axis Bank Ltd.</v>
      </c>
      <c r="H274" s="2" t="s">
        <v>1911</v>
      </c>
      <c r="I274" t="s">
        <v>356</v>
      </c>
      <c r="J274" t="s">
        <v>1895</v>
      </c>
    </row>
    <row r="275" spans="1:10" x14ac:dyDescent="0.3">
      <c r="A275" s="1">
        <v>45463</v>
      </c>
      <c r="B275" t="s">
        <v>125</v>
      </c>
      <c r="C275" t="s">
        <v>320</v>
      </c>
      <c r="D275" s="2">
        <v>233.58</v>
      </c>
      <c r="E275" s="2">
        <v>0</v>
      </c>
      <c r="F275" s="2">
        <v>210201.28</v>
      </c>
      <c r="G275" s="2" t="str">
        <f t="shared" si="4"/>
        <v>20-06-2024 NET PI TO HSL SEC A/C 347707-00602340029392</v>
      </c>
      <c r="H275" s="2" t="s">
        <v>1911</v>
      </c>
      <c r="I275" t="s">
        <v>361</v>
      </c>
      <c r="J275" t="s">
        <v>1896</v>
      </c>
    </row>
    <row r="276" spans="1:10" x14ac:dyDescent="0.3">
      <c r="A276" s="1">
        <v>45463</v>
      </c>
      <c r="B276" t="s">
        <v>125</v>
      </c>
      <c r="C276" t="s">
        <v>321</v>
      </c>
      <c r="D276" s="2">
        <v>52768.75</v>
      </c>
      <c r="E276" s="2">
        <v>0</v>
      </c>
      <c r="F276" s="2">
        <v>157432.53</v>
      </c>
      <c r="G276" s="2" t="str">
        <f t="shared" si="4"/>
        <v>20-06-2024 NET PI TO HSL SEC A/C 347707-00602340029392</v>
      </c>
      <c r="H276" s="2" t="s">
        <v>1911</v>
      </c>
      <c r="I276" t="s">
        <v>361</v>
      </c>
      <c r="J276" t="s">
        <v>1896</v>
      </c>
    </row>
    <row r="277" spans="1:10" x14ac:dyDescent="0.3">
      <c r="A277" s="1">
        <v>45463</v>
      </c>
      <c r="B277" t="s">
        <v>1740</v>
      </c>
      <c r="C277" t="s">
        <v>1763</v>
      </c>
      <c r="D277" s="2">
        <v>0</v>
      </c>
      <c r="E277" s="2">
        <v>349.44</v>
      </c>
      <c r="F277" s="2">
        <v>17951.29</v>
      </c>
      <c r="G277" s="2" t="str">
        <f t="shared" si="4"/>
        <v>20-06-2024    BY TRANSFER-INB -For 19260165--</v>
      </c>
      <c r="H277" s="2" t="s">
        <v>1911</v>
      </c>
      <c r="I277" t="s">
        <v>1887</v>
      </c>
      <c r="J277" t="s">
        <v>1899</v>
      </c>
    </row>
    <row r="278" spans="1:10" x14ac:dyDescent="0.3">
      <c r="A278" s="1">
        <v>45463</v>
      </c>
      <c r="B278" t="s">
        <v>146</v>
      </c>
      <c r="C278" t="s">
        <v>319</v>
      </c>
      <c r="D278" s="2">
        <v>10000</v>
      </c>
      <c r="E278" s="2">
        <v>0</v>
      </c>
      <c r="F278" s="2">
        <v>210434.86</v>
      </c>
      <c r="G278" s="2" t="str">
        <f t="shared" si="4"/>
        <v>20-06-2024 ACH D- INDIAN CLEARING CORP-P25847605X05</v>
      </c>
      <c r="H278" s="2" t="s">
        <v>1911</v>
      </c>
      <c r="I278" t="s">
        <v>1854</v>
      </c>
      <c r="J278" t="s">
        <v>1896</v>
      </c>
    </row>
    <row r="279" spans="1:10" x14ac:dyDescent="0.3">
      <c r="A279" s="1">
        <v>45464</v>
      </c>
      <c r="B279" t="s">
        <v>125</v>
      </c>
      <c r="C279" t="s">
        <v>322</v>
      </c>
      <c r="D279" s="2">
        <v>259.2</v>
      </c>
      <c r="E279" s="2">
        <v>0</v>
      </c>
      <c r="F279" s="2">
        <v>157173.32999999999</v>
      </c>
      <c r="G279" s="2" t="str">
        <f t="shared" si="4"/>
        <v>21-06-2024 NET PI TO HSL SEC A/C 347707-00602340029392</v>
      </c>
      <c r="H279" s="2" t="s">
        <v>1911</v>
      </c>
      <c r="I279" t="s">
        <v>361</v>
      </c>
      <c r="J279" t="s">
        <v>1896</v>
      </c>
    </row>
    <row r="280" spans="1:10" x14ac:dyDescent="0.3">
      <c r="A280" s="1">
        <v>45464</v>
      </c>
      <c r="B280" t="s">
        <v>125</v>
      </c>
      <c r="C280" t="s">
        <v>325</v>
      </c>
      <c r="D280" s="2">
        <v>12582.27</v>
      </c>
      <c r="E280" s="2">
        <v>0</v>
      </c>
      <c r="F280" s="2">
        <v>69591.06</v>
      </c>
      <c r="G280" s="2" t="str">
        <f t="shared" si="4"/>
        <v>21-06-2024 NET PI TO HSL SEC A/C 347707-00602340029392</v>
      </c>
      <c r="H280" s="2" t="s">
        <v>1911</v>
      </c>
      <c r="I280" t="s">
        <v>361</v>
      </c>
      <c r="J280" t="s">
        <v>1896</v>
      </c>
    </row>
    <row r="281" spans="1:10" x14ac:dyDescent="0.3">
      <c r="A281" s="1">
        <v>45464</v>
      </c>
      <c r="B281" t="s">
        <v>323</v>
      </c>
      <c r="C281" t="s">
        <v>324</v>
      </c>
      <c r="D281" s="2">
        <v>75000</v>
      </c>
      <c r="E281" s="2">
        <v>0</v>
      </c>
      <c r="F281" s="2">
        <v>82173.33</v>
      </c>
      <c r="G281" s="2" t="str">
        <f t="shared" si="4"/>
        <v>21-06-2024 50100542230922-TPT-TRANSFER FROM AKG TO ARCHIT-ARCHIT GUPTA</v>
      </c>
      <c r="H281" s="2" t="s">
        <v>1911</v>
      </c>
      <c r="I281" t="s">
        <v>368</v>
      </c>
      <c r="J281" t="s">
        <v>1896</v>
      </c>
    </row>
    <row r="282" spans="1:10" x14ac:dyDescent="0.3">
      <c r="A282" s="1">
        <v>45465</v>
      </c>
      <c r="B282" t="s">
        <v>69</v>
      </c>
      <c r="C282" t="s">
        <v>7</v>
      </c>
      <c r="D282" s="2">
        <v>500</v>
      </c>
      <c r="E282" s="2">
        <v>0</v>
      </c>
      <c r="F282" s="2">
        <v>33915.949999999997</v>
      </c>
      <c r="G282" s="2" t="str">
        <f t="shared" si="4"/>
        <v>22-06-2024 UPI/P2A/454060110117/ASHOK KUMAR GUPTA    /Paymen/Punjab National Bank</v>
      </c>
      <c r="H282" s="2" t="s">
        <v>1911</v>
      </c>
      <c r="I282" t="s">
        <v>1930</v>
      </c>
      <c r="J282" t="s">
        <v>1895</v>
      </c>
    </row>
    <row r="283" spans="1:10" x14ac:dyDescent="0.3">
      <c r="A283" s="1">
        <v>45466</v>
      </c>
      <c r="B283" t="s">
        <v>70</v>
      </c>
      <c r="C283" t="s">
        <v>7</v>
      </c>
      <c r="D283" s="2">
        <v>2180</v>
      </c>
      <c r="E283" s="2">
        <v>0</v>
      </c>
      <c r="F283" s="2">
        <v>31735.95</v>
      </c>
      <c r="G283" s="2" t="str">
        <f t="shared" si="4"/>
        <v>23-06-2024 NBSM/63927314/Maha Electricity(BILLDESK)/</v>
      </c>
      <c r="H283" s="2" t="s">
        <v>1911</v>
      </c>
      <c r="I283" t="s">
        <v>357</v>
      </c>
      <c r="J283" t="s">
        <v>1895</v>
      </c>
    </row>
    <row r="284" spans="1:10" x14ac:dyDescent="0.3">
      <c r="A284" s="1">
        <v>45467</v>
      </c>
      <c r="B284" t="s">
        <v>125</v>
      </c>
      <c r="C284" t="s">
        <v>326</v>
      </c>
      <c r="D284" s="2">
        <v>892.53</v>
      </c>
      <c r="E284" s="2">
        <v>0</v>
      </c>
      <c r="F284" s="2">
        <v>68698.53</v>
      </c>
      <c r="G284" s="2" t="str">
        <f t="shared" si="4"/>
        <v>24-06-2024 NET PI TO HSL SEC A/C 347707-00602340029392</v>
      </c>
      <c r="H284" s="2" t="s">
        <v>1911</v>
      </c>
      <c r="I284" t="s">
        <v>361</v>
      </c>
      <c r="J284" t="s">
        <v>1896</v>
      </c>
    </row>
    <row r="285" spans="1:10" x14ac:dyDescent="0.3">
      <c r="A285" s="1">
        <v>45467</v>
      </c>
      <c r="B285" t="s">
        <v>1736</v>
      </c>
      <c r="C285" t="s">
        <v>1737</v>
      </c>
      <c r="D285" s="2">
        <v>2931.19</v>
      </c>
      <c r="E285" s="2">
        <v>0</v>
      </c>
      <c r="F285" s="2">
        <v>15020.1</v>
      </c>
      <c r="G285" s="2" t="str">
        <f t="shared" si="4"/>
        <v>24-06-2024    TO TRANSFER-ForTrading--</v>
      </c>
      <c r="H285" s="2" t="s">
        <v>1911</v>
      </c>
      <c r="I285" t="s">
        <v>1847</v>
      </c>
      <c r="J285" t="s">
        <v>1899</v>
      </c>
    </row>
    <row r="286" spans="1:10" x14ac:dyDescent="0.3">
      <c r="A286" s="1">
        <v>45467</v>
      </c>
      <c r="B286" t="s">
        <v>71</v>
      </c>
      <c r="C286" t="s">
        <v>7</v>
      </c>
      <c r="D286" s="2">
        <v>50</v>
      </c>
      <c r="E286" s="2">
        <v>0</v>
      </c>
      <c r="F286" s="2">
        <v>31685.95</v>
      </c>
      <c r="G286" s="2" t="str">
        <f t="shared" si="4"/>
        <v>24-06-2024 UPI/P2M/417623153565/Mr Asaram Narayan Dol/Vegita/Yes Bank Ltd</v>
      </c>
      <c r="H286" s="2" t="s">
        <v>1911</v>
      </c>
      <c r="I286" t="s">
        <v>356</v>
      </c>
      <c r="J286" t="s">
        <v>1895</v>
      </c>
    </row>
    <row r="287" spans="1:10" x14ac:dyDescent="0.3">
      <c r="A287" s="1">
        <v>45467</v>
      </c>
      <c r="B287" t="s">
        <v>72</v>
      </c>
      <c r="C287" t="s">
        <v>7</v>
      </c>
      <c r="D287" s="2">
        <v>18000</v>
      </c>
      <c r="E287" s="2">
        <v>0</v>
      </c>
      <c r="F287" s="2">
        <v>13685.95</v>
      </c>
      <c r="G287" s="2" t="str">
        <f t="shared" si="4"/>
        <v>24-06-2024 UPI/P2A/454261245339/PRAMOD SHARMA SO S N /Paymen/Axis Bank Ltd.</v>
      </c>
      <c r="H287" s="2" t="s">
        <v>1911</v>
      </c>
      <c r="I287" t="s">
        <v>1917</v>
      </c>
      <c r="J287" t="s">
        <v>1895</v>
      </c>
    </row>
    <row r="288" spans="1:10" x14ac:dyDescent="0.3">
      <c r="A288" s="1">
        <v>45468</v>
      </c>
      <c r="B288" t="s">
        <v>1729</v>
      </c>
      <c r="D288" s="2">
        <v>0</v>
      </c>
      <c r="E288" s="2">
        <v>420</v>
      </c>
      <c r="F288" s="2">
        <v>15440.1</v>
      </c>
      <c r="G288" s="2" t="str">
        <f t="shared" si="4"/>
        <v>25-06-2024    CREDIT INTEREST---</v>
      </c>
      <c r="H288" s="2" t="s">
        <v>1911</v>
      </c>
      <c r="I288" t="s">
        <v>370</v>
      </c>
      <c r="J288" t="s">
        <v>1899</v>
      </c>
    </row>
    <row r="289" spans="1:12" x14ac:dyDescent="0.3">
      <c r="A289" s="1">
        <v>45468</v>
      </c>
      <c r="B289" t="s">
        <v>1729</v>
      </c>
      <c r="D289" s="2">
        <v>0</v>
      </c>
      <c r="E289" s="2">
        <v>50</v>
      </c>
      <c r="F289" s="2">
        <v>7472</v>
      </c>
      <c r="G289" s="2" t="str">
        <f t="shared" si="4"/>
        <v>25-06-2024    CREDIT INTEREST---</v>
      </c>
      <c r="H289" s="2" t="s">
        <v>1911</v>
      </c>
      <c r="I289" t="s">
        <v>370</v>
      </c>
      <c r="J289" t="s">
        <v>1902</v>
      </c>
      <c r="L289" s="23">
        <f>F289-E289</f>
        <v>7422</v>
      </c>
    </row>
    <row r="290" spans="1:12" x14ac:dyDescent="0.3">
      <c r="A290" s="1">
        <v>45468</v>
      </c>
      <c r="B290" t="s">
        <v>331</v>
      </c>
      <c r="C290" t="s">
        <v>332</v>
      </c>
      <c r="D290" s="2">
        <v>0</v>
      </c>
      <c r="E290" s="2">
        <v>150000</v>
      </c>
      <c r="F290" s="2">
        <v>575540.22</v>
      </c>
      <c r="G290" s="2" t="str">
        <f t="shared" si="4"/>
        <v>25-06-2024 NEFT CR-SBIN0011669-MR  AJAY KUMAR GUPTA-AJAY KUMAR GUPTA-SBIN424177238479</v>
      </c>
      <c r="H290" s="2" t="s">
        <v>1911</v>
      </c>
      <c r="I290" t="s">
        <v>1906</v>
      </c>
      <c r="J290" t="s">
        <v>1896</v>
      </c>
      <c r="K290" t="s">
        <v>1913</v>
      </c>
    </row>
    <row r="291" spans="1:12" x14ac:dyDescent="0.3">
      <c r="A291" s="1">
        <v>45468</v>
      </c>
      <c r="B291" t="s">
        <v>756</v>
      </c>
      <c r="C291" t="s">
        <v>757</v>
      </c>
      <c r="D291" s="2">
        <v>150000</v>
      </c>
      <c r="E291" s="2">
        <v>0</v>
      </c>
      <c r="F291" s="2">
        <v>-151448.37</v>
      </c>
      <c r="G291" s="2" t="str">
        <f t="shared" si="4"/>
        <v>25-06-2024    TO TRANSFER-INB NEFT UTR NO: SBIN424177238479--Ajay Kumar Gupta</v>
      </c>
      <c r="H291" s="2" t="s">
        <v>1911</v>
      </c>
      <c r="I291" t="s">
        <v>1908</v>
      </c>
      <c r="J291" t="s">
        <v>1897</v>
      </c>
      <c r="K291" t="s">
        <v>1913</v>
      </c>
    </row>
    <row r="292" spans="1:12" x14ac:dyDescent="0.3">
      <c r="A292" s="1">
        <v>45468</v>
      </c>
      <c r="B292" t="s">
        <v>334</v>
      </c>
      <c r="C292" t="s">
        <v>335</v>
      </c>
      <c r="D292" s="2">
        <v>0</v>
      </c>
      <c r="E292" s="2">
        <v>1400</v>
      </c>
      <c r="F292" s="2">
        <v>576633.15</v>
      </c>
      <c r="G292" s="2" t="str">
        <f t="shared" si="4"/>
        <v>25-06-2024 ACH C- BOM DIV 2023-2024-43140</v>
      </c>
      <c r="H292" s="2" t="s">
        <v>1911</v>
      </c>
      <c r="I292" t="s">
        <v>367</v>
      </c>
      <c r="J292" t="s">
        <v>1896</v>
      </c>
    </row>
    <row r="293" spans="1:12" x14ac:dyDescent="0.3">
      <c r="A293" s="1">
        <v>45468</v>
      </c>
      <c r="B293" t="s">
        <v>336</v>
      </c>
      <c r="C293" t="s">
        <v>337</v>
      </c>
      <c r="D293" s="2">
        <v>0</v>
      </c>
      <c r="E293" s="2">
        <v>1440</v>
      </c>
      <c r="F293" s="2">
        <v>578073.15</v>
      </c>
      <c r="G293" s="2" t="str">
        <f t="shared" si="4"/>
        <v>25-06-2024 2506003750 TATA MOTORS LTD ORD DIV 23 24</v>
      </c>
      <c r="H293" s="2" t="s">
        <v>1911</v>
      </c>
      <c r="I293" t="s">
        <v>367</v>
      </c>
      <c r="J293" t="s">
        <v>1896</v>
      </c>
    </row>
    <row r="294" spans="1:12" x14ac:dyDescent="0.3">
      <c r="A294" s="1">
        <v>45468</v>
      </c>
      <c r="B294" t="s">
        <v>128</v>
      </c>
      <c r="C294" t="s">
        <v>327</v>
      </c>
      <c r="D294" s="2">
        <v>0</v>
      </c>
      <c r="E294" s="2">
        <v>81652.58</v>
      </c>
      <c r="F294" s="2">
        <v>150351.10999999999</v>
      </c>
      <c r="G294" s="2" t="str">
        <f t="shared" si="4"/>
        <v>25-06-2024 NET PO FROM HSL A/C 347707-50200085415108</v>
      </c>
      <c r="H294" s="2" t="s">
        <v>1911</v>
      </c>
      <c r="I294" t="s">
        <v>361</v>
      </c>
      <c r="J294" t="s">
        <v>1896</v>
      </c>
    </row>
    <row r="295" spans="1:12" x14ac:dyDescent="0.3">
      <c r="A295" s="1">
        <v>45468</v>
      </c>
      <c r="B295" t="s">
        <v>128</v>
      </c>
      <c r="C295" t="s">
        <v>328</v>
      </c>
      <c r="D295" s="2">
        <v>0</v>
      </c>
      <c r="E295" s="2">
        <v>125189.11</v>
      </c>
      <c r="F295" s="2">
        <v>275540.21999999997</v>
      </c>
      <c r="G295" s="2" t="str">
        <f t="shared" si="4"/>
        <v>25-06-2024 NET PO FROM HSL A/C 347707-50200085415108</v>
      </c>
      <c r="H295" s="2" t="s">
        <v>1911</v>
      </c>
      <c r="I295" t="s">
        <v>361</v>
      </c>
      <c r="J295" t="s">
        <v>1896</v>
      </c>
    </row>
    <row r="296" spans="1:12" x14ac:dyDescent="0.3">
      <c r="A296" s="1">
        <v>45468</v>
      </c>
      <c r="B296" t="s">
        <v>125</v>
      </c>
      <c r="C296" t="s">
        <v>333</v>
      </c>
      <c r="D296" s="2">
        <v>307.07</v>
      </c>
      <c r="E296" s="2">
        <v>0</v>
      </c>
      <c r="F296" s="2">
        <v>575233.15</v>
      </c>
      <c r="G296" s="2" t="str">
        <f t="shared" si="4"/>
        <v>25-06-2024 NET PI TO HSL SEC A/C 347707-00602340029392</v>
      </c>
      <c r="H296" s="2" t="s">
        <v>1911</v>
      </c>
      <c r="I296" t="s">
        <v>361</v>
      </c>
      <c r="J296" t="s">
        <v>1896</v>
      </c>
    </row>
    <row r="297" spans="1:12" x14ac:dyDescent="0.3">
      <c r="A297" s="1">
        <v>45468</v>
      </c>
      <c r="B297" t="s">
        <v>125</v>
      </c>
      <c r="C297" t="s">
        <v>338</v>
      </c>
      <c r="D297" s="2">
        <v>14096.93</v>
      </c>
      <c r="E297" s="2">
        <v>0</v>
      </c>
      <c r="F297" s="2">
        <v>563976.22</v>
      </c>
      <c r="G297" s="2" t="str">
        <f t="shared" si="4"/>
        <v>25-06-2024 NET PI TO HSL SEC A/C 347707-00602340029392</v>
      </c>
      <c r="H297" s="2" t="s">
        <v>1911</v>
      </c>
      <c r="I297" t="s">
        <v>361</v>
      </c>
      <c r="J297" t="s">
        <v>1896</v>
      </c>
    </row>
    <row r="298" spans="1:12" x14ac:dyDescent="0.3">
      <c r="A298" s="1">
        <v>45468</v>
      </c>
      <c r="B298" t="s">
        <v>329</v>
      </c>
      <c r="C298" t="s">
        <v>330</v>
      </c>
      <c r="D298" s="2">
        <v>0</v>
      </c>
      <c r="E298" s="2">
        <v>150000</v>
      </c>
      <c r="F298" s="2">
        <v>425540.22</v>
      </c>
      <c r="G298" s="2" t="str">
        <f t="shared" si="4"/>
        <v>25-06-2024 01671000060094-TPT-MARRIAGE EXPENSES FROM SUNITA-SUNITA GUPTA</v>
      </c>
      <c r="H298" s="2" t="s">
        <v>1911</v>
      </c>
      <c r="I298" t="s">
        <v>364</v>
      </c>
      <c r="J298" t="s">
        <v>1896</v>
      </c>
    </row>
    <row r="299" spans="1:12" x14ac:dyDescent="0.3">
      <c r="A299" s="1">
        <v>45469</v>
      </c>
      <c r="B299" t="s">
        <v>758</v>
      </c>
      <c r="C299" t="s">
        <v>759</v>
      </c>
      <c r="D299" s="2">
        <v>0</v>
      </c>
      <c r="E299" s="2">
        <v>65000</v>
      </c>
      <c r="F299" s="2">
        <v>-86448.37</v>
      </c>
      <c r="G299" s="2" t="str">
        <f t="shared" si="4"/>
        <v>26-06-2024    BY TRANSFER-INB Payment towards loan repayment--</v>
      </c>
      <c r="H299" s="2" t="s">
        <v>1911</v>
      </c>
      <c r="I299" t="s">
        <v>1842</v>
      </c>
      <c r="J299" t="s">
        <v>1897</v>
      </c>
      <c r="K299" t="s">
        <v>1913</v>
      </c>
    </row>
    <row r="300" spans="1:12" x14ac:dyDescent="0.3">
      <c r="A300" s="1">
        <v>45469</v>
      </c>
      <c r="B300" t="s">
        <v>758</v>
      </c>
      <c r="C300" t="s">
        <v>760</v>
      </c>
      <c r="D300" s="2">
        <v>0</v>
      </c>
      <c r="E300" s="2">
        <v>59000</v>
      </c>
      <c r="F300" s="2">
        <v>-27448.37</v>
      </c>
      <c r="G300" s="2" t="str">
        <f t="shared" si="4"/>
        <v>26-06-2024    BY TRANSFER-INB Payment towards loan repayment--</v>
      </c>
      <c r="H300" s="2" t="s">
        <v>1911</v>
      </c>
      <c r="I300" t="s">
        <v>1842</v>
      </c>
      <c r="J300" t="s">
        <v>1897</v>
      </c>
      <c r="K300" t="s">
        <v>1913</v>
      </c>
    </row>
    <row r="301" spans="1:12" x14ac:dyDescent="0.3">
      <c r="A301" s="1">
        <v>45469</v>
      </c>
      <c r="B301" t="s">
        <v>752</v>
      </c>
      <c r="C301" t="s">
        <v>1766</v>
      </c>
      <c r="D301" s="2">
        <v>65000</v>
      </c>
      <c r="E301" s="2">
        <v>0</v>
      </c>
      <c r="F301" s="2">
        <v>3487.42</v>
      </c>
      <c r="G301" s="2" t="str">
        <f t="shared" si="4"/>
        <v>26-06-2024    TO TRANSFER-INB Payment towards loan repayment--</v>
      </c>
      <c r="H301" s="2" t="s">
        <v>1911</v>
      </c>
      <c r="I301" t="s">
        <v>1906</v>
      </c>
      <c r="J301" t="s">
        <v>1899</v>
      </c>
      <c r="K301" t="s">
        <v>1913</v>
      </c>
    </row>
    <row r="302" spans="1:12" x14ac:dyDescent="0.3">
      <c r="A302" s="1">
        <v>45469</v>
      </c>
      <c r="B302" t="s">
        <v>752</v>
      </c>
      <c r="C302" t="s">
        <v>1768</v>
      </c>
      <c r="D302" s="2">
        <v>59000</v>
      </c>
      <c r="E302" s="2">
        <v>0</v>
      </c>
      <c r="F302" s="2">
        <v>20955.38</v>
      </c>
      <c r="G302" s="2" t="str">
        <f t="shared" si="4"/>
        <v>26-06-2024    TO TRANSFER-INB Payment towards loan repayment--</v>
      </c>
      <c r="H302" s="2" t="s">
        <v>1911</v>
      </c>
      <c r="I302" t="s">
        <v>1906</v>
      </c>
      <c r="J302" t="s">
        <v>1899</v>
      </c>
      <c r="K302" t="s">
        <v>1913</v>
      </c>
    </row>
    <row r="303" spans="1:12" x14ac:dyDescent="0.3">
      <c r="A303" s="1">
        <v>45469</v>
      </c>
      <c r="B303" t="s">
        <v>340</v>
      </c>
      <c r="C303" t="s">
        <v>341</v>
      </c>
      <c r="D303" s="2">
        <v>0</v>
      </c>
      <c r="E303" s="2">
        <v>480</v>
      </c>
      <c r="F303" s="2">
        <v>705551.14</v>
      </c>
      <c r="G303" s="2" t="str">
        <f t="shared" si="4"/>
        <v>26-06-2024 ACH C- IIL FINAL 2023 24-67124</v>
      </c>
      <c r="H303" s="2" t="s">
        <v>1911</v>
      </c>
      <c r="I303" t="s">
        <v>367</v>
      </c>
      <c r="J303" t="s">
        <v>1896</v>
      </c>
    </row>
    <row r="304" spans="1:12" x14ac:dyDescent="0.3">
      <c r="A304" s="1">
        <v>45469</v>
      </c>
      <c r="B304" t="s">
        <v>1765</v>
      </c>
      <c r="D304" s="2">
        <v>0</v>
      </c>
      <c r="E304" s="2">
        <v>400</v>
      </c>
      <c r="F304" s="2">
        <v>68487.42</v>
      </c>
      <c r="G304" s="2" t="str">
        <f t="shared" si="4"/>
        <v>26-06-2024    BULK POSTING-ACHCr NACH00000000004278 IIL FINAL 2023--</v>
      </c>
      <c r="H304" s="2" t="s">
        <v>1911</v>
      </c>
      <c r="I304" t="s">
        <v>367</v>
      </c>
      <c r="J304" t="s">
        <v>1899</v>
      </c>
    </row>
    <row r="305" spans="1:11" x14ac:dyDescent="0.3">
      <c r="A305" s="1">
        <v>45469</v>
      </c>
      <c r="B305" t="s">
        <v>128</v>
      </c>
      <c r="C305" t="s">
        <v>339</v>
      </c>
      <c r="D305" s="2">
        <v>0</v>
      </c>
      <c r="E305" s="2">
        <v>141094.92000000001</v>
      </c>
      <c r="F305" s="2">
        <v>705071.14</v>
      </c>
      <c r="G305" s="2" t="str">
        <f t="shared" si="4"/>
        <v>26-06-2024 NET PO FROM HSL A/C 347707-50200085415108</v>
      </c>
      <c r="H305" s="2" t="s">
        <v>1911</v>
      </c>
      <c r="I305" t="s">
        <v>361</v>
      </c>
      <c r="J305" t="s">
        <v>1896</v>
      </c>
    </row>
    <row r="306" spans="1:11" x14ac:dyDescent="0.3">
      <c r="A306" s="1">
        <v>45469</v>
      </c>
      <c r="B306" t="s">
        <v>125</v>
      </c>
      <c r="C306" t="s">
        <v>342</v>
      </c>
      <c r="D306" s="2">
        <v>257.64</v>
      </c>
      <c r="E306" s="2">
        <v>0</v>
      </c>
      <c r="F306" s="2">
        <v>705293.5</v>
      </c>
      <c r="G306" s="2" t="str">
        <f t="shared" si="4"/>
        <v>26-06-2024 NET PI TO HSL SEC A/C 347707-00602340029392</v>
      </c>
      <c r="H306" s="2" t="s">
        <v>1911</v>
      </c>
      <c r="I306" t="s">
        <v>361</v>
      </c>
      <c r="J306" t="s">
        <v>1896</v>
      </c>
    </row>
    <row r="307" spans="1:11" x14ac:dyDescent="0.3">
      <c r="A307" s="1">
        <v>45469</v>
      </c>
      <c r="B307" t="s">
        <v>125</v>
      </c>
      <c r="C307" t="s">
        <v>343</v>
      </c>
      <c r="D307" s="2">
        <v>74982.44</v>
      </c>
      <c r="E307" s="2">
        <v>0</v>
      </c>
      <c r="F307" s="2">
        <v>630311.06000000006</v>
      </c>
      <c r="G307" s="2" t="str">
        <f t="shared" si="4"/>
        <v>26-06-2024 NET PI TO HSL SEC A/C 347707-00602340029392</v>
      </c>
      <c r="H307" s="2" t="s">
        <v>1911</v>
      </c>
      <c r="I307" t="s">
        <v>361</v>
      </c>
      <c r="J307" t="s">
        <v>1896</v>
      </c>
    </row>
    <row r="308" spans="1:11" x14ac:dyDescent="0.3">
      <c r="A308" s="1">
        <v>45469</v>
      </c>
      <c r="B308" t="s">
        <v>1740</v>
      </c>
      <c r="C308" t="s">
        <v>1764</v>
      </c>
      <c r="D308" s="2">
        <v>0</v>
      </c>
      <c r="E308" s="2">
        <v>52647.32</v>
      </c>
      <c r="F308" s="2">
        <v>68087.42</v>
      </c>
      <c r="G308" s="2" t="str">
        <f t="shared" si="4"/>
        <v>26-06-2024    BY TRANSFER-INB -For 19260165--</v>
      </c>
      <c r="H308" s="2" t="s">
        <v>1911</v>
      </c>
      <c r="I308" t="s">
        <v>1887</v>
      </c>
      <c r="J308" t="s">
        <v>1899</v>
      </c>
    </row>
    <row r="309" spans="1:11" x14ac:dyDescent="0.3">
      <c r="A309" s="1">
        <v>45469</v>
      </c>
      <c r="B309" t="s">
        <v>1740</v>
      </c>
      <c r="C309" t="s">
        <v>1767</v>
      </c>
      <c r="D309" s="2">
        <v>0</v>
      </c>
      <c r="E309" s="2">
        <v>76467.960000000006</v>
      </c>
      <c r="F309" s="2">
        <v>79955.38</v>
      </c>
      <c r="G309" s="2" t="str">
        <f t="shared" si="4"/>
        <v>26-06-2024    BY TRANSFER-INB -For 19260165--</v>
      </c>
      <c r="H309" s="2" t="s">
        <v>1911</v>
      </c>
      <c r="I309" t="s">
        <v>1887</v>
      </c>
      <c r="J309" t="s">
        <v>1899</v>
      </c>
    </row>
    <row r="310" spans="1:11" x14ac:dyDescent="0.3">
      <c r="A310" s="1">
        <v>45469</v>
      </c>
      <c r="B310" t="s">
        <v>73</v>
      </c>
      <c r="C310" t="s">
        <v>7</v>
      </c>
      <c r="D310" s="2">
        <v>40</v>
      </c>
      <c r="E310" s="2">
        <v>0</v>
      </c>
      <c r="F310" s="2">
        <v>13645.95</v>
      </c>
      <c r="G310" s="2" t="str">
        <f t="shared" si="4"/>
        <v>26-06-2024 UPI/P2M/454485617031/MANGAL MAHESH R      /Jamun/Yes Bank Ltd</v>
      </c>
      <c r="H310" s="2" t="s">
        <v>1911</v>
      </c>
      <c r="I310" t="s">
        <v>356</v>
      </c>
      <c r="J310" t="s">
        <v>1895</v>
      </c>
    </row>
    <row r="311" spans="1:11" x14ac:dyDescent="0.3">
      <c r="A311" s="1">
        <v>45469</v>
      </c>
      <c r="B311" t="s">
        <v>74</v>
      </c>
      <c r="C311" t="s">
        <v>7</v>
      </c>
      <c r="D311" s="2">
        <v>46</v>
      </c>
      <c r="E311" s="2">
        <v>0</v>
      </c>
      <c r="F311" s="2">
        <v>13599.95</v>
      </c>
      <c r="G311" s="2" t="str">
        <f t="shared" ref="G311:G374" si="5">TEXT(A311,"DD")&amp;"-"&amp;TEXT(A311,"MM")&amp;"-"&amp;TEXT(A311,"YYYY")&amp;" "&amp;B311</f>
        <v>26-06-2024 UPI/P2M/454488613118/PROP KALPESH KANAIYA /Photoc/Yes Bank Ltd</v>
      </c>
      <c r="H311" s="2" t="s">
        <v>1911</v>
      </c>
      <c r="I311" t="s">
        <v>356</v>
      </c>
      <c r="J311" t="s">
        <v>1895</v>
      </c>
    </row>
    <row r="312" spans="1:11" x14ac:dyDescent="0.3">
      <c r="A312" s="1">
        <v>45469</v>
      </c>
      <c r="B312" t="s">
        <v>75</v>
      </c>
      <c r="C312" t="s">
        <v>7</v>
      </c>
      <c r="D312" s="2">
        <v>260</v>
      </c>
      <c r="E312" s="2">
        <v>0</v>
      </c>
      <c r="F312" s="2">
        <v>13339.95</v>
      </c>
      <c r="G312" s="2" t="str">
        <f t="shared" si="5"/>
        <v>26-06-2024 UPI/P2M/454421645183/BHARAT SHIVAJI SALVE /Fruits/Yes Bank Ltd</v>
      </c>
      <c r="H312" s="2" t="s">
        <v>1911</v>
      </c>
      <c r="I312" t="s">
        <v>356</v>
      </c>
      <c r="J312" t="s">
        <v>1895</v>
      </c>
    </row>
    <row r="313" spans="1:11" x14ac:dyDescent="0.3">
      <c r="A313" s="1">
        <v>45469</v>
      </c>
      <c r="B313" t="s">
        <v>76</v>
      </c>
      <c r="C313" t="s">
        <v>7</v>
      </c>
      <c r="D313" s="2">
        <v>50</v>
      </c>
      <c r="E313" s="2">
        <v>0</v>
      </c>
      <c r="F313" s="2">
        <v>13289.95</v>
      </c>
      <c r="G313" s="2" t="str">
        <f t="shared" si="5"/>
        <v>26-06-2024 UPI/P2M/454431082373/KRUSHIKESH P BHADANE /Zardha/Yes Bank Ltd</v>
      </c>
      <c r="H313" s="2" t="s">
        <v>1911</v>
      </c>
      <c r="I313" t="s">
        <v>356</v>
      </c>
      <c r="J313" t="s">
        <v>1895</v>
      </c>
    </row>
    <row r="314" spans="1:11" x14ac:dyDescent="0.3">
      <c r="A314" s="1">
        <v>45469</v>
      </c>
      <c r="B314" t="s">
        <v>77</v>
      </c>
      <c r="C314" t="s">
        <v>7</v>
      </c>
      <c r="D314" s="2">
        <v>20</v>
      </c>
      <c r="E314" s="2">
        <v>0</v>
      </c>
      <c r="F314" s="2">
        <v>13269.95</v>
      </c>
      <c r="G314" s="2" t="str">
        <f t="shared" si="5"/>
        <v>26-06-2024 UPI/P2M/454493070930/AMOL SANTU DHONN     /Bsnans/Yes Bank Ltd</v>
      </c>
      <c r="H314" s="2" t="s">
        <v>1911</v>
      </c>
      <c r="I314" t="s">
        <v>356</v>
      </c>
      <c r="J314" t="s">
        <v>1895</v>
      </c>
    </row>
    <row r="315" spans="1:11" x14ac:dyDescent="0.3">
      <c r="A315" s="1">
        <v>45470</v>
      </c>
      <c r="B315" t="s">
        <v>79</v>
      </c>
      <c r="C315" t="s">
        <v>7</v>
      </c>
      <c r="D315" s="2">
        <v>0</v>
      </c>
      <c r="E315" s="2">
        <v>100000</v>
      </c>
      <c r="F315" s="2">
        <v>113244.95</v>
      </c>
      <c r="G315" s="2" t="str">
        <f t="shared" si="5"/>
        <v>27-06-2024 NEFT/N179243115850062/AJAY KUMAR GUPTA/HDFC BANK/Transfer from HDFC</v>
      </c>
      <c r="H315" s="2" t="s">
        <v>1911</v>
      </c>
      <c r="I315" t="s">
        <v>1908</v>
      </c>
      <c r="J315" t="s">
        <v>1895</v>
      </c>
      <c r="K315" t="s">
        <v>1913</v>
      </c>
    </row>
    <row r="316" spans="1:11" x14ac:dyDescent="0.3">
      <c r="A316" s="1">
        <v>45470</v>
      </c>
      <c r="B316" t="s">
        <v>347</v>
      </c>
      <c r="C316" t="s">
        <v>348</v>
      </c>
      <c r="D316" s="2">
        <v>100000</v>
      </c>
      <c r="E316" s="2">
        <v>0</v>
      </c>
      <c r="F316" s="2">
        <v>530756.26</v>
      </c>
      <c r="G316" s="2" t="str">
        <f t="shared" si="5"/>
        <v>27-06-2024 NEFT DR-UTIB0000115-AJAY KUMAR GUPTA-NETBANK, MUM-N179243115850062-TRANSFER FROM HDFC</v>
      </c>
      <c r="H316" s="2" t="s">
        <v>1911</v>
      </c>
      <c r="I316" t="s">
        <v>1907</v>
      </c>
      <c r="J316" t="s">
        <v>1896</v>
      </c>
      <c r="K316" t="s">
        <v>1913</v>
      </c>
    </row>
    <row r="317" spans="1:11" x14ac:dyDescent="0.3">
      <c r="A317" s="1">
        <v>45470</v>
      </c>
      <c r="B317" t="s">
        <v>125</v>
      </c>
      <c r="C317" t="s">
        <v>344</v>
      </c>
      <c r="D317" s="2">
        <v>230.93</v>
      </c>
      <c r="E317" s="2">
        <v>0</v>
      </c>
      <c r="F317" s="2">
        <v>630080.13</v>
      </c>
      <c r="G317" s="2" t="str">
        <f t="shared" si="5"/>
        <v>27-06-2024 NET PI TO HSL SEC A/C 347707-00602340029392</v>
      </c>
      <c r="H317" s="2" t="s">
        <v>1911</v>
      </c>
      <c r="I317" t="s">
        <v>361</v>
      </c>
      <c r="J317" t="s">
        <v>1896</v>
      </c>
    </row>
    <row r="318" spans="1:11" x14ac:dyDescent="0.3">
      <c r="A318" s="1">
        <v>45470</v>
      </c>
      <c r="B318" t="s">
        <v>125</v>
      </c>
      <c r="C318" t="s">
        <v>349</v>
      </c>
      <c r="D318" s="2">
        <v>6973.91</v>
      </c>
      <c r="E318" s="2">
        <v>0</v>
      </c>
      <c r="F318" s="2">
        <v>523782.35</v>
      </c>
      <c r="G318" s="2" t="str">
        <f t="shared" si="5"/>
        <v>27-06-2024 NET PI TO HSL SEC A/C 347707-00602340029392</v>
      </c>
      <c r="H318" s="2" t="s">
        <v>1911</v>
      </c>
      <c r="I318" t="s">
        <v>361</v>
      </c>
      <c r="J318" t="s">
        <v>1896</v>
      </c>
    </row>
    <row r="319" spans="1:11" x14ac:dyDescent="0.3">
      <c r="A319" s="1">
        <v>45470</v>
      </c>
      <c r="B319" t="s">
        <v>1740</v>
      </c>
      <c r="C319" t="s">
        <v>1769</v>
      </c>
      <c r="D319" s="2">
        <v>0</v>
      </c>
      <c r="E319" s="2">
        <v>366</v>
      </c>
      <c r="F319" s="2">
        <v>21321.38</v>
      </c>
      <c r="G319" s="2" t="str">
        <f t="shared" si="5"/>
        <v>27-06-2024    BY TRANSFER-INB -For 19260165--</v>
      </c>
      <c r="H319" s="2" t="s">
        <v>1911</v>
      </c>
      <c r="I319" t="s">
        <v>1887</v>
      </c>
      <c r="J319" t="s">
        <v>1899</v>
      </c>
    </row>
    <row r="320" spans="1:11" x14ac:dyDescent="0.3">
      <c r="A320" s="1">
        <v>45470</v>
      </c>
      <c r="B320" t="s">
        <v>78</v>
      </c>
      <c r="C320" t="s">
        <v>7</v>
      </c>
      <c r="D320" s="2">
        <v>25</v>
      </c>
      <c r="E320" s="2">
        <v>0</v>
      </c>
      <c r="F320" s="2">
        <v>13244.95</v>
      </c>
      <c r="G320" s="2" t="str">
        <f t="shared" si="5"/>
        <v>27-06-2024 UPI/P2M/454557981675/KUNAL EAKNATH MAKUNE /Milk/Yes Bank Ltd</v>
      </c>
      <c r="H320" s="2" t="s">
        <v>1911</v>
      </c>
      <c r="I320" t="s">
        <v>356</v>
      </c>
      <c r="J320" t="s">
        <v>1895</v>
      </c>
    </row>
    <row r="321" spans="1:11" x14ac:dyDescent="0.3">
      <c r="A321" s="1">
        <v>45470</v>
      </c>
      <c r="B321" t="s">
        <v>345</v>
      </c>
      <c r="C321" t="s">
        <v>346</v>
      </c>
      <c r="D321" s="2">
        <v>0</v>
      </c>
      <c r="E321" s="2">
        <v>676.13</v>
      </c>
      <c r="F321" s="2">
        <v>630756.26</v>
      </c>
      <c r="G321" s="2" t="str">
        <f t="shared" si="5"/>
        <v>27-06-2024 00012050001396HLY INT-IN0020220110</v>
      </c>
      <c r="H321" s="2" t="s">
        <v>1911</v>
      </c>
      <c r="I321" t="s">
        <v>369</v>
      </c>
      <c r="J321" t="s">
        <v>1896</v>
      </c>
    </row>
    <row r="322" spans="1:11" x14ac:dyDescent="0.3">
      <c r="A322" s="1">
        <v>45471</v>
      </c>
      <c r="B322" t="s">
        <v>350</v>
      </c>
      <c r="C322" t="s">
        <v>351</v>
      </c>
      <c r="D322" s="2">
        <v>0</v>
      </c>
      <c r="E322" s="2">
        <v>3600</v>
      </c>
      <c r="F322" s="2">
        <v>527382.35</v>
      </c>
      <c r="G322" s="2" t="str">
        <f t="shared" si="5"/>
        <v>28-06-2024 ACH C- LTIMIN FINAL 2023 24-214032</v>
      </c>
      <c r="H322" s="2" t="s">
        <v>1911</v>
      </c>
      <c r="I322" t="s">
        <v>367</v>
      </c>
      <c r="J322" t="s">
        <v>1896</v>
      </c>
    </row>
    <row r="323" spans="1:11" x14ac:dyDescent="0.3">
      <c r="A323" s="1">
        <v>45471</v>
      </c>
      <c r="B323" t="s">
        <v>125</v>
      </c>
      <c r="C323" t="s">
        <v>352</v>
      </c>
      <c r="D323" s="2">
        <v>265.39</v>
      </c>
      <c r="E323" s="2">
        <v>0</v>
      </c>
      <c r="F323" s="2">
        <v>527116.96</v>
      </c>
      <c r="G323" s="2" t="str">
        <f t="shared" si="5"/>
        <v>28-06-2024 NET PI TO HSL SEC A/C 347707-00602340029392</v>
      </c>
      <c r="H323" s="2" t="s">
        <v>1911</v>
      </c>
      <c r="I323" t="s">
        <v>361</v>
      </c>
      <c r="J323" t="s">
        <v>1896</v>
      </c>
    </row>
    <row r="324" spans="1:11" x14ac:dyDescent="0.3">
      <c r="A324" s="1">
        <v>45471</v>
      </c>
      <c r="B324" t="s">
        <v>22</v>
      </c>
      <c r="C324" t="s">
        <v>7</v>
      </c>
      <c r="D324" s="2">
        <v>0</v>
      </c>
      <c r="E324" s="2">
        <v>11000</v>
      </c>
      <c r="F324" s="2">
        <v>124244.95</v>
      </c>
      <c r="G324" s="2" t="str">
        <f t="shared" si="5"/>
        <v>28-06-2024 INB/IFT/KJSS COSMOS PRIVATE LIMITED/TPARTY TRANSF</v>
      </c>
      <c r="H324" s="2" t="s">
        <v>1911</v>
      </c>
      <c r="I324" t="s">
        <v>359</v>
      </c>
      <c r="J324" t="s">
        <v>1895</v>
      </c>
    </row>
    <row r="325" spans="1:11" x14ac:dyDescent="0.3">
      <c r="A325" s="1">
        <v>45473</v>
      </c>
      <c r="B325" t="s">
        <v>754</v>
      </c>
      <c r="D325" s="2">
        <v>102</v>
      </c>
      <c r="E325" s="2">
        <v>0</v>
      </c>
      <c r="F325" s="2">
        <v>-27550.37</v>
      </c>
      <c r="G325" s="2" t="str">
        <f t="shared" si="5"/>
        <v>30-06-2024    DEBIT INTEREST---</v>
      </c>
      <c r="H325" s="2" t="s">
        <v>1911</v>
      </c>
      <c r="I325" t="s">
        <v>1915</v>
      </c>
      <c r="J325" t="s">
        <v>1897</v>
      </c>
    </row>
    <row r="326" spans="1:11" x14ac:dyDescent="0.3">
      <c r="A326" s="1">
        <v>45473</v>
      </c>
      <c r="B326" t="s">
        <v>353</v>
      </c>
      <c r="C326" t="s">
        <v>140</v>
      </c>
      <c r="D326" s="2">
        <v>0</v>
      </c>
      <c r="E326" s="2">
        <v>777</v>
      </c>
      <c r="F326" s="2">
        <v>527893.96</v>
      </c>
      <c r="G326" s="2" t="str">
        <f t="shared" si="5"/>
        <v>30-06-2024 INTEREST PAID TILL 30-JUN-2024</v>
      </c>
      <c r="H326" t="s">
        <v>1911</v>
      </c>
      <c r="I326" t="s">
        <v>370</v>
      </c>
      <c r="J326" t="s">
        <v>1896</v>
      </c>
    </row>
    <row r="327" spans="1:11" x14ac:dyDescent="0.3">
      <c r="A327" s="1">
        <v>45474</v>
      </c>
      <c r="B327" t="s">
        <v>815</v>
      </c>
      <c r="C327" t="s">
        <v>816</v>
      </c>
      <c r="D327" s="2">
        <v>5000</v>
      </c>
      <c r="E327" s="2">
        <v>0</v>
      </c>
      <c r="F327" s="2">
        <v>742631.72</v>
      </c>
      <c r="G327" s="2" t="str">
        <f t="shared" si="5"/>
        <v>01-07-2024 ATW-512967XXXXXX1000-CHBDL001-NASHIK</v>
      </c>
      <c r="H327" s="2" t="s">
        <v>1911</v>
      </c>
      <c r="I327" t="s">
        <v>366</v>
      </c>
      <c r="J327" t="s">
        <v>1896</v>
      </c>
    </row>
    <row r="328" spans="1:11" x14ac:dyDescent="0.3">
      <c r="A328" s="1">
        <v>45474</v>
      </c>
      <c r="B328" t="s">
        <v>1771</v>
      </c>
      <c r="D328" s="2">
        <v>2000</v>
      </c>
      <c r="E328" s="2">
        <v>0</v>
      </c>
      <c r="F328" s="2">
        <v>20021.38</v>
      </c>
      <c r="G328" s="2" t="str">
        <f t="shared" si="5"/>
        <v>01-07-2024    ATM WDL-ATM CASH 2735  SBI SHIVAJI NAGAR ATM NASHIK--</v>
      </c>
      <c r="H328" s="2" t="s">
        <v>1911</v>
      </c>
      <c r="I328" t="s">
        <v>366</v>
      </c>
      <c r="J328" t="s">
        <v>1899</v>
      </c>
    </row>
    <row r="329" spans="1:11" x14ac:dyDescent="0.3">
      <c r="A329" s="1">
        <v>45474</v>
      </c>
      <c r="B329" t="s">
        <v>374</v>
      </c>
      <c r="C329" t="s">
        <v>7</v>
      </c>
      <c r="D329" s="2">
        <v>0</v>
      </c>
      <c r="E329" s="2">
        <v>415</v>
      </c>
      <c r="F329" s="2">
        <v>110659.95</v>
      </c>
      <c r="G329" s="2" t="str">
        <f t="shared" si="5"/>
        <v>01-07-2024 SB:910010047943167:Int.Pd:01-04-2024 to 30-06-2024</v>
      </c>
      <c r="H329" s="2" t="s">
        <v>1911</v>
      </c>
      <c r="I329" t="s">
        <v>370</v>
      </c>
      <c r="J329" t="s">
        <v>1895</v>
      </c>
    </row>
    <row r="330" spans="1:11" x14ac:dyDescent="0.3">
      <c r="A330" s="1">
        <v>45474</v>
      </c>
      <c r="B330" t="s">
        <v>817</v>
      </c>
      <c r="C330" t="s">
        <v>818</v>
      </c>
      <c r="D330" s="2">
        <v>150000</v>
      </c>
      <c r="E330" s="2">
        <v>0</v>
      </c>
      <c r="F330" s="2">
        <v>592631.72</v>
      </c>
      <c r="G330" s="2" t="str">
        <f t="shared" si="5"/>
        <v>01-07-2024 NEFT DR-SBIN0011669-AJAY KUMAR GUPTA-NETBANK, MUM-N183243124296502-TRANSFER BACK TO A</v>
      </c>
      <c r="H330" s="2" t="s">
        <v>1911</v>
      </c>
      <c r="I330" t="s">
        <v>1842</v>
      </c>
      <c r="J330" t="s">
        <v>1896</v>
      </c>
      <c r="K330" t="s">
        <v>1913</v>
      </c>
    </row>
    <row r="331" spans="1:11" x14ac:dyDescent="0.3">
      <c r="A331" s="1">
        <v>45474</v>
      </c>
      <c r="B331" t="s">
        <v>748</v>
      </c>
      <c r="C331" t="s">
        <v>761</v>
      </c>
      <c r="D331" s="2">
        <v>150000</v>
      </c>
      <c r="E331" s="2">
        <v>0</v>
      </c>
      <c r="F331" s="2">
        <v>-177550.37</v>
      </c>
      <c r="G331" s="2" t="str">
        <f t="shared" si="5"/>
        <v>01-07-2024    TO TRANSFER-INB Deposit / Investment--</v>
      </c>
      <c r="H331" s="2" t="s">
        <v>1911</v>
      </c>
      <c r="I331" t="s">
        <v>1842</v>
      </c>
      <c r="J331" t="s">
        <v>1897</v>
      </c>
      <c r="K331" t="s">
        <v>1913</v>
      </c>
    </row>
    <row r="332" spans="1:11" x14ac:dyDescent="0.3">
      <c r="A332" s="1">
        <v>45474</v>
      </c>
      <c r="B332" t="s">
        <v>762</v>
      </c>
      <c r="C332" t="s">
        <v>763</v>
      </c>
      <c r="D332" s="2">
        <v>0</v>
      </c>
      <c r="E332" s="2">
        <v>150000</v>
      </c>
      <c r="F332" s="2">
        <v>-27550.37</v>
      </c>
      <c r="G332" s="2" t="str">
        <f t="shared" si="5"/>
        <v>01-07-2024    BY TRANSFER-NEFT*HDFC0000001*N183243124296502*AJAY KUMAR GUPTA--</v>
      </c>
      <c r="H332" s="2" t="s">
        <v>1911</v>
      </c>
      <c r="I332" t="s">
        <v>1908</v>
      </c>
      <c r="J332" t="s">
        <v>1897</v>
      </c>
      <c r="K332" t="s">
        <v>1913</v>
      </c>
    </row>
    <row r="333" spans="1:11" x14ac:dyDescent="0.3">
      <c r="A333" s="1">
        <v>45474</v>
      </c>
      <c r="B333" t="s">
        <v>1727</v>
      </c>
      <c r="C333" t="s">
        <v>1772</v>
      </c>
      <c r="D333" s="2">
        <v>0</v>
      </c>
      <c r="E333" s="2">
        <v>150000</v>
      </c>
      <c r="F333" s="2">
        <v>170021.38</v>
      </c>
      <c r="G333" s="2" t="str">
        <f t="shared" si="5"/>
        <v>01-07-2024    BY TRANSFER-INB Deposit / Investment--</v>
      </c>
      <c r="H333" s="2" t="s">
        <v>1911</v>
      </c>
      <c r="I333" t="s">
        <v>1906</v>
      </c>
      <c r="J333" t="s">
        <v>1899</v>
      </c>
      <c r="K333" t="s">
        <v>1913</v>
      </c>
    </row>
    <row r="334" spans="1:11" x14ac:dyDescent="0.3">
      <c r="A334" s="1">
        <v>45474</v>
      </c>
      <c r="B334" t="s">
        <v>813</v>
      </c>
      <c r="C334" t="s">
        <v>814</v>
      </c>
      <c r="D334" s="2">
        <v>0</v>
      </c>
      <c r="E334" s="2">
        <v>2520</v>
      </c>
      <c r="F334" s="2">
        <v>747631.72</v>
      </c>
      <c r="G334" s="2" t="str">
        <f t="shared" si="5"/>
        <v>01-07-2024 ACH C- INFOSYS LIMITED-40612264</v>
      </c>
      <c r="H334" s="2" t="s">
        <v>1911</v>
      </c>
      <c r="I334" t="s">
        <v>367</v>
      </c>
      <c r="J334" t="s">
        <v>1896</v>
      </c>
    </row>
    <row r="335" spans="1:11" x14ac:dyDescent="0.3">
      <c r="A335" s="1">
        <v>45474</v>
      </c>
      <c r="B335" t="s">
        <v>1770</v>
      </c>
      <c r="D335" s="2">
        <v>0</v>
      </c>
      <c r="E335" s="2">
        <v>700</v>
      </c>
      <c r="F335" s="2">
        <v>22021.38</v>
      </c>
      <c r="G335" s="2" t="str">
        <f t="shared" si="5"/>
        <v>01-07-2024    BULK POSTING-ACHCr UTIB01988000029402 INFOSYS LIMITE--</v>
      </c>
      <c r="H335" s="2" t="s">
        <v>1911</v>
      </c>
      <c r="I335" t="s">
        <v>367</v>
      </c>
      <c r="J335" t="s">
        <v>1899</v>
      </c>
    </row>
    <row r="336" spans="1:11" x14ac:dyDescent="0.3">
      <c r="A336" s="1">
        <v>45474</v>
      </c>
      <c r="B336" t="s">
        <v>128</v>
      </c>
      <c r="C336" t="s">
        <v>810</v>
      </c>
      <c r="D336" s="2">
        <v>0</v>
      </c>
      <c r="E336" s="2">
        <v>19928.560000000001</v>
      </c>
      <c r="F336" s="2">
        <v>547822.52</v>
      </c>
      <c r="G336" s="2" t="str">
        <f t="shared" si="5"/>
        <v>01-07-2024 NET PO FROM HSL A/C 347707-50200085415108</v>
      </c>
      <c r="H336" s="2" t="s">
        <v>1911</v>
      </c>
      <c r="I336" t="s">
        <v>361</v>
      </c>
      <c r="J336" t="s">
        <v>1896</v>
      </c>
    </row>
    <row r="337" spans="1:11" x14ac:dyDescent="0.3">
      <c r="A337" s="1">
        <v>45474</v>
      </c>
      <c r="B337" t="s">
        <v>128</v>
      </c>
      <c r="C337" t="s">
        <v>811</v>
      </c>
      <c r="D337" s="2">
        <v>0</v>
      </c>
      <c r="E337" s="2">
        <v>198085.37</v>
      </c>
      <c r="F337" s="2">
        <v>745907.89</v>
      </c>
      <c r="G337" s="2" t="str">
        <f t="shared" si="5"/>
        <v>01-07-2024 NET PO FROM HSL A/C 347707-50200085415108</v>
      </c>
      <c r="H337" s="2" t="s">
        <v>1911</v>
      </c>
      <c r="I337" t="s">
        <v>361</v>
      </c>
      <c r="J337" t="s">
        <v>1896</v>
      </c>
    </row>
    <row r="338" spans="1:11" x14ac:dyDescent="0.3">
      <c r="A338" s="1">
        <v>45474</v>
      </c>
      <c r="B338" t="s">
        <v>125</v>
      </c>
      <c r="C338" t="s">
        <v>812</v>
      </c>
      <c r="D338" s="2">
        <v>796.17</v>
      </c>
      <c r="E338" s="2">
        <v>0</v>
      </c>
      <c r="F338" s="2">
        <v>745111.72</v>
      </c>
      <c r="G338" s="2" t="str">
        <f t="shared" si="5"/>
        <v>01-07-2024 NET PI TO HSL SEC A/C 347707-00602340029392</v>
      </c>
      <c r="H338" s="2" t="s">
        <v>1911</v>
      </c>
      <c r="I338" t="s">
        <v>361</v>
      </c>
      <c r="J338" t="s">
        <v>1896</v>
      </c>
    </row>
    <row r="339" spans="1:11" x14ac:dyDescent="0.3">
      <c r="A339" s="1">
        <v>45474</v>
      </c>
      <c r="B339" t="s">
        <v>373</v>
      </c>
      <c r="C339" t="s">
        <v>7</v>
      </c>
      <c r="D339" s="2">
        <v>14000</v>
      </c>
      <c r="E339" s="2">
        <v>0</v>
      </c>
      <c r="F339" s="2">
        <v>110244.95</v>
      </c>
      <c r="G339" s="2" t="str">
        <f t="shared" si="5"/>
        <v>01-07-2024 NBSM/64773635/EASEBUZZ PVT LIMITED/</v>
      </c>
      <c r="H339" s="2" t="s">
        <v>1911</v>
      </c>
      <c r="I339" t="s">
        <v>1868</v>
      </c>
      <c r="J339" t="s">
        <v>1895</v>
      </c>
    </row>
    <row r="340" spans="1:11" x14ac:dyDescent="0.3">
      <c r="A340" s="1">
        <v>45475</v>
      </c>
      <c r="B340" t="s">
        <v>750</v>
      </c>
      <c r="C340" t="s">
        <v>751</v>
      </c>
      <c r="D340" s="2">
        <v>0</v>
      </c>
      <c r="E340" s="2">
        <v>26595</v>
      </c>
      <c r="F340" s="2">
        <v>-955.37</v>
      </c>
      <c r="G340" s="2" t="str">
        <f t="shared" si="5"/>
        <v>02-07-2024    DEPOSIT TRANSFER---</v>
      </c>
      <c r="H340" s="2" t="s">
        <v>1911</v>
      </c>
      <c r="I340" t="s">
        <v>1842</v>
      </c>
      <c r="J340" t="s">
        <v>1897</v>
      </c>
      <c r="K340" t="s">
        <v>1913</v>
      </c>
    </row>
    <row r="341" spans="1:11" x14ac:dyDescent="0.3">
      <c r="A341" s="1">
        <v>45475</v>
      </c>
      <c r="B341" t="s">
        <v>1734</v>
      </c>
      <c r="C341" t="s">
        <v>1735</v>
      </c>
      <c r="D341" s="2">
        <v>26595</v>
      </c>
      <c r="E341" s="2">
        <v>0</v>
      </c>
      <c r="F341" s="2">
        <v>195885.44</v>
      </c>
      <c r="G341" s="2" t="str">
        <f t="shared" si="5"/>
        <v>02-07-2024    WITHDRAWAL TRANSFER---</v>
      </c>
      <c r="H341" s="2" t="s">
        <v>1911</v>
      </c>
      <c r="I341" t="s">
        <v>1906</v>
      </c>
      <c r="J341" t="s">
        <v>1899</v>
      </c>
      <c r="K341" t="s">
        <v>1913</v>
      </c>
    </row>
    <row r="342" spans="1:11" x14ac:dyDescent="0.3">
      <c r="A342" s="1">
        <v>45475</v>
      </c>
      <c r="B342" t="s">
        <v>128</v>
      </c>
      <c r="C342" t="s">
        <v>819</v>
      </c>
      <c r="D342" s="2">
        <v>0</v>
      </c>
      <c r="E342" s="2">
        <v>16450.22</v>
      </c>
      <c r="F342" s="2">
        <v>609081.93999999994</v>
      </c>
      <c r="G342" s="2" t="str">
        <f t="shared" si="5"/>
        <v>02-07-2024 NET PO FROM HSL A/C 347707-50200085415108</v>
      </c>
      <c r="H342" s="2" t="s">
        <v>1911</v>
      </c>
      <c r="I342" t="s">
        <v>361</v>
      </c>
      <c r="J342" t="s">
        <v>1896</v>
      </c>
    </row>
    <row r="343" spans="1:11" x14ac:dyDescent="0.3">
      <c r="A343" s="1">
        <v>45475</v>
      </c>
      <c r="B343" t="s">
        <v>128</v>
      </c>
      <c r="C343" t="s">
        <v>820</v>
      </c>
      <c r="D343" s="2">
        <v>0</v>
      </c>
      <c r="E343" s="2">
        <v>77714.92</v>
      </c>
      <c r="F343" s="2">
        <v>686796.86</v>
      </c>
      <c r="G343" s="2" t="str">
        <f t="shared" si="5"/>
        <v>02-07-2024 NET PO FROM HSL A/C 347707-50200085415108</v>
      </c>
      <c r="H343" s="2" t="s">
        <v>1911</v>
      </c>
      <c r="I343" t="s">
        <v>361</v>
      </c>
      <c r="J343" t="s">
        <v>1896</v>
      </c>
    </row>
    <row r="344" spans="1:11" x14ac:dyDescent="0.3">
      <c r="A344" s="1">
        <v>45475</v>
      </c>
      <c r="B344" t="s">
        <v>125</v>
      </c>
      <c r="C344" t="s">
        <v>821</v>
      </c>
      <c r="D344" s="2">
        <v>272.48</v>
      </c>
      <c r="E344" s="2">
        <v>0</v>
      </c>
      <c r="F344" s="2">
        <v>686524.38</v>
      </c>
      <c r="G344" s="2" t="str">
        <f t="shared" si="5"/>
        <v>02-07-2024 NET PI TO HSL SEC A/C 347707-00602340029392</v>
      </c>
      <c r="H344" s="2" t="s">
        <v>1911</v>
      </c>
      <c r="I344" t="s">
        <v>361</v>
      </c>
      <c r="J344" t="s">
        <v>1896</v>
      </c>
    </row>
    <row r="345" spans="1:11" x14ac:dyDescent="0.3">
      <c r="A345" s="1">
        <v>45475</v>
      </c>
      <c r="B345" t="s">
        <v>125</v>
      </c>
      <c r="C345" t="s">
        <v>822</v>
      </c>
      <c r="D345" s="2">
        <v>23743.94</v>
      </c>
      <c r="E345" s="2">
        <v>0</v>
      </c>
      <c r="F345" s="2">
        <v>662780.43999999994</v>
      </c>
      <c r="G345" s="2" t="str">
        <f t="shared" si="5"/>
        <v>02-07-2024 NET PI TO HSL SEC A/C 347707-00602340029392</v>
      </c>
      <c r="H345" s="2" t="s">
        <v>1911</v>
      </c>
      <c r="I345" t="s">
        <v>361</v>
      </c>
      <c r="J345" t="s">
        <v>1896</v>
      </c>
    </row>
    <row r="346" spans="1:11" x14ac:dyDescent="0.3">
      <c r="A346" s="1">
        <v>45475</v>
      </c>
      <c r="B346" t="s">
        <v>1740</v>
      </c>
      <c r="C346" t="s">
        <v>1773</v>
      </c>
      <c r="D346" s="2">
        <v>0</v>
      </c>
      <c r="E346" s="2">
        <v>52459.06</v>
      </c>
      <c r="F346" s="2">
        <v>222480.44</v>
      </c>
      <c r="G346" s="2" t="str">
        <f t="shared" si="5"/>
        <v>02-07-2024    BY TRANSFER-INB -For 19260165--</v>
      </c>
      <c r="H346" s="2" t="s">
        <v>1911</v>
      </c>
      <c r="I346" t="s">
        <v>1887</v>
      </c>
      <c r="J346" t="s">
        <v>1899</v>
      </c>
    </row>
    <row r="347" spans="1:11" x14ac:dyDescent="0.3">
      <c r="A347" s="1">
        <v>45475</v>
      </c>
      <c r="B347" t="s">
        <v>1740</v>
      </c>
      <c r="C347" t="s">
        <v>1774</v>
      </c>
      <c r="D347" s="2">
        <v>0</v>
      </c>
      <c r="E347" s="2">
        <v>69709.31</v>
      </c>
      <c r="F347" s="2">
        <v>265594.75</v>
      </c>
      <c r="G347" s="2" t="str">
        <f t="shared" si="5"/>
        <v>02-07-2024    BY TRANSFER-INB -For 19260165--</v>
      </c>
      <c r="H347" s="2" t="s">
        <v>1911</v>
      </c>
      <c r="I347" t="s">
        <v>1887</v>
      </c>
      <c r="J347" t="s">
        <v>1899</v>
      </c>
    </row>
    <row r="348" spans="1:11" x14ac:dyDescent="0.3">
      <c r="A348" s="1">
        <v>45475</v>
      </c>
      <c r="B348" t="s">
        <v>375</v>
      </c>
      <c r="C348" t="s">
        <v>7</v>
      </c>
      <c r="D348" s="2">
        <v>1800</v>
      </c>
      <c r="E348" s="2">
        <v>0</v>
      </c>
      <c r="F348" s="2">
        <v>108859.95</v>
      </c>
      <c r="G348" s="2" t="str">
        <f t="shared" si="5"/>
        <v>02-07-2024 UPI/P2M/418440738337/APSARA COLLECTION    /Suit/Yes Bank Ltd</v>
      </c>
      <c r="H348" s="2" t="s">
        <v>1911</v>
      </c>
      <c r="I348" t="s">
        <v>356</v>
      </c>
      <c r="J348" t="s">
        <v>1895</v>
      </c>
    </row>
    <row r="349" spans="1:11" x14ac:dyDescent="0.3">
      <c r="A349" s="1">
        <v>45476</v>
      </c>
      <c r="B349" t="s">
        <v>125</v>
      </c>
      <c r="C349" t="s">
        <v>823</v>
      </c>
      <c r="D349" s="2">
        <v>255.08</v>
      </c>
      <c r="E349" s="2">
        <v>0</v>
      </c>
      <c r="F349" s="2">
        <v>662525.36</v>
      </c>
      <c r="G349" s="2" t="str">
        <f t="shared" si="5"/>
        <v>03-07-2024 NET PI TO HSL SEC A/C 347707-00602340029392</v>
      </c>
      <c r="H349" s="2" t="s">
        <v>1911</v>
      </c>
      <c r="I349" t="s">
        <v>361</v>
      </c>
      <c r="J349" t="s">
        <v>1896</v>
      </c>
    </row>
    <row r="350" spans="1:11" x14ac:dyDescent="0.3">
      <c r="A350" s="1">
        <v>45476</v>
      </c>
      <c r="B350" t="s">
        <v>1740</v>
      </c>
      <c r="C350" t="s">
        <v>1775</v>
      </c>
      <c r="D350" s="2">
        <v>0</v>
      </c>
      <c r="E350" s="2">
        <v>7751.08</v>
      </c>
      <c r="F350" s="2">
        <v>273345.83</v>
      </c>
      <c r="G350" s="2" t="str">
        <f t="shared" si="5"/>
        <v>03-07-2024    BY TRANSFER-INB -For 19260165--</v>
      </c>
      <c r="H350" s="2" t="s">
        <v>1911</v>
      </c>
      <c r="I350" t="s">
        <v>1887</v>
      </c>
      <c r="J350" t="s">
        <v>1899</v>
      </c>
    </row>
    <row r="351" spans="1:11" x14ac:dyDescent="0.3">
      <c r="A351" s="1">
        <v>45477</v>
      </c>
      <c r="B351" t="s">
        <v>826</v>
      </c>
      <c r="C351" t="s">
        <v>827</v>
      </c>
      <c r="D351" s="2">
        <v>0</v>
      </c>
      <c r="E351" s="2">
        <v>510</v>
      </c>
      <c r="F351" s="2">
        <v>793071.48</v>
      </c>
      <c r="G351" s="2" t="str">
        <f t="shared" si="5"/>
        <v>04-07-2024 DR LAL PATH DIV23 2400000000000000009173</v>
      </c>
      <c r="H351" s="2" t="s">
        <v>1911</v>
      </c>
      <c r="I351" t="s">
        <v>367</v>
      </c>
      <c r="J351" t="s">
        <v>1896</v>
      </c>
    </row>
    <row r="352" spans="1:11" x14ac:dyDescent="0.3">
      <c r="A352" s="1">
        <v>45477</v>
      </c>
      <c r="B352" t="s">
        <v>128</v>
      </c>
      <c r="C352" t="s">
        <v>824</v>
      </c>
      <c r="D352" s="2">
        <v>0</v>
      </c>
      <c r="E352" s="2">
        <v>23623.09</v>
      </c>
      <c r="F352" s="2">
        <v>686148.45</v>
      </c>
      <c r="G352" s="2" t="str">
        <f t="shared" si="5"/>
        <v>04-07-2024 NET PO FROM HSL A/C 347707-50200085415108</v>
      </c>
      <c r="H352" s="2" t="s">
        <v>1911</v>
      </c>
      <c r="I352" t="s">
        <v>361</v>
      </c>
      <c r="J352" t="s">
        <v>1896</v>
      </c>
    </row>
    <row r="353" spans="1:10" x14ac:dyDescent="0.3">
      <c r="A353" s="1">
        <v>45477</v>
      </c>
      <c r="B353" t="s">
        <v>128</v>
      </c>
      <c r="C353" t="s">
        <v>825</v>
      </c>
      <c r="D353" s="2">
        <v>0</v>
      </c>
      <c r="E353" s="2">
        <v>106413.03</v>
      </c>
      <c r="F353" s="2">
        <v>792561.48</v>
      </c>
      <c r="G353" s="2" t="str">
        <f t="shared" si="5"/>
        <v>04-07-2024 NET PO FROM HSL A/C 347707-50200085415108</v>
      </c>
      <c r="H353" s="2" t="s">
        <v>1911</v>
      </c>
      <c r="I353" t="s">
        <v>361</v>
      </c>
      <c r="J353" t="s">
        <v>1896</v>
      </c>
    </row>
    <row r="354" spans="1:10" x14ac:dyDescent="0.3">
      <c r="A354" s="1">
        <v>45477</v>
      </c>
      <c r="B354" t="s">
        <v>125</v>
      </c>
      <c r="C354" t="s">
        <v>828</v>
      </c>
      <c r="D354" s="2">
        <v>277.89999999999998</v>
      </c>
      <c r="E354" s="2">
        <v>0</v>
      </c>
      <c r="F354" s="2">
        <v>792793.58</v>
      </c>
      <c r="G354" s="2" t="str">
        <f t="shared" si="5"/>
        <v>04-07-2024 NET PI TO HSL SEC A/C 347707-00602340029392</v>
      </c>
      <c r="H354" s="2" t="s">
        <v>1911</v>
      </c>
      <c r="I354" t="s">
        <v>361</v>
      </c>
      <c r="J354" t="s">
        <v>1896</v>
      </c>
    </row>
    <row r="355" spans="1:10" x14ac:dyDescent="0.3">
      <c r="A355" s="1">
        <v>45477</v>
      </c>
      <c r="B355" t="s">
        <v>125</v>
      </c>
      <c r="C355" t="s">
        <v>829</v>
      </c>
      <c r="D355" s="2">
        <v>145668.22</v>
      </c>
      <c r="E355" s="2">
        <v>0</v>
      </c>
      <c r="F355" s="2">
        <v>647125.36</v>
      </c>
      <c r="G355" s="2" t="str">
        <f t="shared" si="5"/>
        <v>04-07-2024 NET PI TO HSL SEC A/C 347707-00602340029392</v>
      </c>
      <c r="H355" s="2" t="s">
        <v>1911</v>
      </c>
      <c r="I355" t="s">
        <v>361</v>
      </c>
      <c r="J355" t="s">
        <v>1896</v>
      </c>
    </row>
    <row r="356" spans="1:10" x14ac:dyDescent="0.3">
      <c r="A356" s="1">
        <v>45477</v>
      </c>
      <c r="B356" t="s">
        <v>1736</v>
      </c>
      <c r="C356" t="s">
        <v>1737</v>
      </c>
      <c r="D356" s="2">
        <v>75000</v>
      </c>
      <c r="E356" s="2">
        <v>0</v>
      </c>
      <c r="F356" s="2">
        <v>198345.83</v>
      </c>
      <c r="G356" s="2" t="str">
        <f t="shared" si="5"/>
        <v>04-07-2024    TO TRANSFER-ForTrading--</v>
      </c>
      <c r="H356" s="2" t="s">
        <v>1911</v>
      </c>
      <c r="I356" t="s">
        <v>1847</v>
      </c>
      <c r="J356" t="s">
        <v>1899</v>
      </c>
    </row>
    <row r="357" spans="1:10" x14ac:dyDescent="0.3">
      <c r="A357" s="1">
        <v>45477</v>
      </c>
      <c r="B357" t="s">
        <v>376</v>
      </c>
      <c r="C357" t="s">
        <v>7</v>
      </c>
      <c r="D357" s="2">
        <v>100</v>
      </c>
      <c r="E357" s="2">
        <v>0</v>
      </c>
      <c r="F357" s="2">
        <v>108759.95</v>
      </c>
      <c r="G357" s="2" t="str">
        <f t="shared" si="5"/>
        <v>04-07-2024 UPI/P2M/418623694684/Mr Asaram Narayan Dol/Vegita/Yes Bank Ltd</v>
      </c>
      <c r="H357" s="2" t="s">
        <v>1911</v>
      </c>
      <c r="I357" t="s">
        <v>356</v>
      </c>
      <c r="J357" t="s">
        <v>1895</v>
      </c>
    </row>
    <row r="358" spans="1:10" x14ac:dyDescent="0.3">
      <c r="A358" s="1">
        <v>45477</v>
      </c>
      <c r="B358" t="s">
        <v>377</v>
      </c>
      <c r="C358" t="s">
        <v>7</v>
      </c>
      <c r="D358" s="2">
        <v>19180</v>
      </c>
      <c r="E358" s="2">
        <v>0</v>
      </c>
      <c r="F358" s="2">
        <v>89579.95</v>
      </c>
      <c r="G358" s="2" t="str">
        <f t="shared" si="5"/>
        <v>04-07-2024 UPI/P2M/418654005321/M/S.ADGAONKAR AND SON/Adgaon/ICICI Bank</v>
      </c>
      <c r="H358" s="2" t="s">
        <v>1911</v>
      </c>
      <c r="I358" t="s">
        <v>1837</v>
      </c>
      <c r="J358" t="s">
        <v>1895</v>
      </c>
    </row>
    <row r="359" spans="1:10" x14ac:dyDescent="0.3">
      <c r="A359" s="1">
        <v>45478</v>
      </c>
      <c r="B359" t="s">
        <v>128</v>
      </c>
      <c r="C359" t="s">
        <v>830</v>
      </c>
      <c r="D359" s="2">
        <v>0</v>
      </c>
      <c r="E359" s="2">
        <v>6379.07</v>
      </c>
      <c r="F359" s="2">
        <v>653504.43000000005</v>
      </c>
      <c r="G359" s="2" t="str">
        <f t="shared" si="5"/>
        <v>05-07-2024 NET PO FROM HSL A/C 347707-50200085415108</v>
      </c>
      <c r="H359" s="2" t="s">
        <v>1911</v>
      </c>
      <c r="I359" t="s">
        <v>361</v>
      </c>
      <c r="J359" t="s">
        <v>1896</v>
      </c>
    </row>
    <row r="360" spans="1:10" x14ac:dyDescent="0.3">
      <c r="A360" s="1">
        <v>45478</v>
      </c>
      <c r="B360" t="s">
        <v>128</v>
      </c>
      <c r="C360" t="s">
        <v>831</v>
      </c>
      <c r="D360" s="2">
        <v>0</v>
      </c>
      <c r="E360" s="2">
        <v>29312.63</v>
      </c>
      <c r="F360" s="2">
        <v>682817.06</v>
      </c>
      <c r="G360" s="2" t="str">
        <f t="shared" si="5"/>
        <v>05-07-2024 NET PO FROM HSL A/C 347707-50200085415108</v>
      </c>
      <c r="H360" s="2" t="s">
        <v>1911</v>
      </c>
      <c r="I360" t="s">
        <v>361</v>
      </c>
      <c r="J360" t="s">
        <v>1896</v>
      </c>
    </row>
    <row r="361" spans="1:10" x14ac:dyDescent="0.3">
      <c r="A361" s="1">
        <v>45478</v>
      </c>
      <c r="B361" t="s">
        <v>125</v>
      </c>
      <c r="C361" t="s">
        <v>832</v>
      </c>
      <c r="D361" s="2">
        <v>234.43</v>
      </c>
      <c r="E361" s="2">
        <v>0</v>
      </c>
      <c r="F361" s="2">
        <v>682582.63</v>
      </c>
      <c r="G361" s="2" t="str">
        <f t="shared" si="5"/>
        <v>05-07-2024 NET PI TO HSL SEC A/C 347707-00602340029392</v>
      </c>
      <c r="H361" s="2" t="s">
        <v>1911</v>
      </c>
      <c r="I361" t="s">
        <v>361</v>
      </c>
      <c r="J361" t="s">
        <v>1896</v>
      </c>
    </row>
    <row r="362" spans="1:10" x14ac:dyDescent="0.3">
      <c r="A362" s="1">
        <v>45478</v>
      </c>
      <c r="B362" t="s">
        <v>125</v>
      </c>
      <c r="C362" t="s">
        <v>835</v>
      </c>
      <c r="D362" s="2">
        <v>344465.07</v>
      </c>
      <c r="E362" s="2">
        <v>0</v>
      </c>
      <c r="F362" s="2">
        <v>338242.56</v>
      </c>
      <c r="G362" s="2" t="str">
        <f t="shared" si="5"/>
        <v>05-07-2024 NET PI TO HSL SEC A/C 347707-00602340029392</v>
      </c>
      <c r="H362" s="2" t="s">
        <v>1911</v>
      </c>
      <c r="I362" t="s">
        <v>361</v>
      </c>
      <c r="J362" t="s">
        <v>1896</v>
      </c>
    </row>
    <row r="363" spans="1:10" x14ac:dyDescent="0.3">
      <c r="A363" s="1">
        <v>45478</v>
      </c>
      <c r="B363" t="s">
        <v>378</v>
      </c>
      <c r="C363" t="s">
        <v>7</v>
      </c>
      <c r="D363" s="2">
        <v>4645</v>
      </c>
      <c r="E363" s="2">
        <v>0</v>
      </c>
      <c r="F363" s="2">
        <v>84934.95</v>
      </c>
      <c r="G363" s="2" t="str">
        <f t="shared" si="5"/>
        <v>05-07-2024 UPI/P2M/418740746646/RAMDAYAL HANUMANDAS S/Saree/ICICI Bank</v>
      </c>
      <c r="H363" s="2" t="s">
        <v>1911</v>
      </c>
      <c r="I363" t="s">
        <v>356</v>
      </c>
      <c r="J363" t="s">
        <v>1895</v>
      </c>
    </row>
    <row r="364" spans="1:10" x14ac:dyDescent="0.3">
      <c r="A364" s="1">
        <v>45478</v>
      </c>
      <c r="B364" t="s">
        <v>833</v>
      </c>
      <c r="C364" t="s">
        <v>834</v>
      </c>
      <c r="D364" s="2">
        <v>0</v>
      </c>
      <c r="E364" s="2">
        <v>125</v>
      </c>
      <c r="F364" s="2">
        <v>682707.63</v>
      </c>
      <c r="G364" s="2" t="str">
        <f t="shared" si="5"/>
        <v>05-07-2024 00012050001396HLY INT-IN0020200377</v>
      </c>
      <c r="H364" s="2" t="s">
        <v>1911</v>
      </c>
      <c r="I364" t="s">
        <v>369</v>
      </c>
      <c r="J364" t="s">
        <v>1896</v>
      </c>
    </row>
    <row r="365" spans="1:10" x14ac:dyDescent="0.3">
      <c r="A365" s="1">
        <v>45479</v>
      </c>
      <c r="B365" t="s">
        <v>1740</v>
      </c>
      <c r="C365" t="s">
        <v>1776</v>
      </c>
      <c r="D365" s="2">
        <v>0</v>
      </c>
      <c r="E365" s="2">
        <v>916.97</v>
      </c>
      <c r="F365" s="2">
        <v>199262.8</v>
      </c>
      <c r="G365" s="2" t="str">
        <f t="shared" si="5"/>
        <v>06-07-2024    BY TRANSFER-INB -For 19260165--</v>
      </c>
      <c r="H365" s="2" t="s">
        <v>1911</v>
      </c>
      <c r="I365" t="s">
        <v>1887</v>
      </c>
      <c r="J365" t="s">
        <v>1899</v>
      </c>
    </row>
    <row r="366" spans="1:10" x14ac:dyDescent="0.3">
      <c r="A366" s="1">
        <v>45479</v>
      </c>
      <c r="B366" t="s">
        <v>1740</v>
      </c>
      <c r="C366" t="s">
        <v>1777</v>
      </c>
      <c r="D366" s="2">
        <v>0</v>
      </c>
      <c r="E366" s="2">
        <v>159.30000000000001</v>
      </c>
      <c r="F366" s="2">
        <v>199422.1</v>
      </c>
      <c r="G366" s="2" t="str">
        <f t="shared" si="5"/>
        <v>06-07-2024    BY TRANSFER-INB -For 19260165--</v>
      </c>
      <c r="H366" s="2" t="s">
        <v>1911</v>
      </c>
      <c r="I366" t="s">
        <v>1887</v>
      </c>
      <c r="J366" t="s">
        <v>1899</v>
      </c>
    </row>
    <row r="367" spans="1:10" x14ac:dyDescent="0.3">
      <c r="A367" s="1">
        <v>45480</v>
      </c>
      <c r="B367" t="s">
        <v>379</v>
      </c>
      <c r="C367" t="s">
        <v>7</v>
      </c>
      <c r="D367" s="2">
        <v>100</v>
      </c>
      <c r="E367" s="2">
        <v>0</v>
      </c>
      <c r="F367" s="2">
        <v>84834.95</v>
      </c>
      <c r="G367" s="2" t="str">
        <f t="shared" si="5"/>
        <v>07-07-2024 UPI/P2M/418963823971/S UYIKKATTAN         /Bada/Yes Bank Ltd</v>
      </c>
      <c r="H367" s="2" t="s">
        <v>1911</v>
      </c>
      <c r="I367" t="s">
        <v>356</v>
      </c>
      <c r="J367" t="s">
        <v>1895</v>
      </c>
    </row>
    <row r="368" spans="1:10" x14ac:dyDescent="0.3">
      <c r="A368" s="1">
        <v>45481</v>
      </c>
      <c r="B368" t="s">
        <v>8</v>
      </c>
      <c r="C368" t="s">
        <v>7</v>
      </c>
      <c r="D368" s="2">
        <v>11799.95</v>
      </c>
      <c r="E368" s="2">
        <v>0</v>
      </c>
      <c r="F368" s="2">
        <v>73035</v>
      </c>
      <c r="G368" s="2" t="str">
        <f t="shared" si="5"/>
        <v>08-07-2024 BRN-PYMT-CARD-4111460000883615</v>
      </c>
      <c r="H368" s="2" t="s">
        <v>1911</v>
      </c>
      <c r="I368" t="s">
        <v>1877</v>
      </c>
      <c r="J368" t="s">
        <v>1895</v>
      </c>
    </row>
    <row r="369" spans="1:10" x14ac:dyDescent="0.3">
      <c r="A369" s="1">
        <v>45481</v>
      </c>
      <c r="B369" t="s">
        <v>125</v>
      </c>
      <c r="C369" t="s">
        <v>836</v>
      </c>
      <c r="D369" s="2">
        <v>470.25</v>
      </c>
      <c r="E369" s="2">
        <v>0</v>
      </c>
      <c r="F369" s="2">
        <v>337772.31</v>
      </c>
      <c r="G369" s="2" t="str">
        <f t="shared" si="5"/>
        <v>08-07-2024 NET PI TO HSL SEC A/C 347707-00602340029392</v>
      </c>
      <c r="H369" s="2" t="s">
        <v>1911</v>
      </c>
      <c r="I369" t="s">
        <v>361</v>
      </c>
      <c r="J369" t="s">
        <v>1896</v>
      </c>
    </row>
    <row r="370" spans="1:10" x14ac:dyDescent="0.3">
      <c r="A370" s="1">
        <v>45481</v>
      </c>
      <c r="B370" t="s">
        <v>380</v>
      </c>
      <c r="C370" t="s">
        <v>7</v>
      </c>
      <c r="D370" s="2">
        <v>6500</v>
      </c>
      <c r="E370" s="2">
        <v>0</v>
      </c>
      <c r="F370" s="2">
        <v>66535</v>
      </c>
      <c r="G370" s="2" t="str">
        <f t="shared" si="5"/>
        <v>08-07-2024 UPI/P2A/455618510656/SONAWANE ANAND PARASH/Paymen/Bank of Baroda</v>
      </c>
      <c r="H370" s="2" t="s">
        <v>1911</v>
      </c>
      <c r="I370" t="s">
        <v>356</v>
      </c>
      <c r="J370" t="s">
        <v>1895</v>
      </c>
    </row>
    <row r="371" spans="1:10" x14ac:dyDescent="0.3">
      <c r="A371" s="1">
        <v>45482</v>
      </c>
      <c r="B371" t="s">
        <v>1744</v>
      </c>
      <c r="C371" t="s">
        <v>1778</v>
      </c>
      <c r="D371" s="2">
        <v>19251</v>
      </c>
      <c r="E371" s="2">
        <v>0</v>
      </c>
      <c r="F371" s="2">
        <v>180171.1</v>
      </c>
      <c r="G371" s="2" t="str">
        <f t="shared" si="5"/>
        <v>09-07-2024    TO TRANSFER-INB SBICARD FOR BILLDESK      SBICARD Payments--</v>
      </c>
      <c r="H371" s="2" t="s">
        <v>1911</v>
      </c>
      <c r="I371" t="s">
        <v>1838</v>
      </c>
      <c r="J371" t="s">
        <v>1899</v>
      </c>
    </row>
    <row r="372" spans="1:10" x14ac:dyDescent="0.3">
      <c r="A372" s="1">
        <v>45482</v>
      </c>
      <c r="B372" t="s">
        <v>128</v>
      </c>
      <c r="C372" t="s">
        <v>837</v>
      </c>
      <c r="D372" s="2">
        <v>0</v>
      </c>
      <c r="E372" s="2">
        <v>262191.28999999998</v>
      </c>
      <c r="F372" s="2">
        <v>599963.6</v>
      </c>
      <c r="G372" s="2" t="str">
        <f t="shared" si="5"/>
        <v>09-07-2024 NET PO FROM HSL A/C 347707-50200085415108</v>
      </c>
      <c r="H372" s="2" t="s">
        <v>1911</v>
      </c>
      <c r="I372" t="s">
        <v>361</v>
      </c>
      <c r="J372" t="s">
        <v>1896</v>
      </c>
    </row>
    <row r="373" spans="1:10" x14ac:dyDescent="0.3">
      <c r="A373" s="1">
        <v>45482</v>
      </c>
      <c r="B373" t="s">
        <v>125</v>
      </c>
      <c r="C373" t="s">
        <v>838</v>
      </c>
      <c r="D373" s="2">
        <v>345.12</v>
      </c>
      <c r="E373" s="2">
        <v>0</v>
      </c>
      <c r="F373" s="2">
        <v>599618.48</v>
      </c>
      <c r="G373" s="2" t="str">
        <f t="shared" si="5"/>
        <v>09-07-2024 NET PI TO HSL SEC A/C 347707-00602340029392</v>
      </c>
      <c r="H373" s="2" t="s">
        <v>1911</v>
      </c>
      <c r="I373" t="s">
        <v>361</v>
      </c>
      <c r="J373" t="s">
        <v>1896</v>
      </c>
    </row>
    <row r="374" spans="1:10" x14ac:dyDescent="0.3">
      <c r="A374" s="1">
        <v>45483</v>
      </c>
      <c r="B374" t="s">
        <v>128</v>
      </c>
      <c r="C374" t="s">
        <v>839</v>
      </c>
      <c r="D374" s="2">
        <v>0</v>
      </c>
      <c r="E374" s="2">
        <v>334326.63</v>
      </c>
      <c r="F374" s="2">
        <v>933945.11</v>
      </c>
      <c r="G374" s="2" t="str">
        <f t="shared" si="5"/>
        <v>10-07-2024 NET PO FROM HSL A/C 347707-50200085415108</v>
      </c>
      <c r="H374" s="2" t="s">
        <v>1911</v>
      </c>
      <c r="I374" t="s">
        <v>361</v>
      </c>
      <c r="J374" t="s">
        <v>1896</v>
      </c>
    </row>
    <row r="375" spans="1:10" x14ac:dyDescent="0.3">
      <c r="A375" s="1">
        <v>45483</v>
      </c>
      <c r="B375" t="s">
        <v>125</v>
      </c>
      <c r="C375" t="s">
        <v>841</v>
      </c>
      <c r="D375" s="2">
        <v>396.35</v>
      </c>
      <c r="E375" s="2">
        <v>0</v>
      </c>
      <c r="F375" s="2">
        <v>923548.76</v>
      </c>
      <c r="G375" s="2" t="str">
        <f t="shared" ref="G375:G438" si="6">TEXT(A375,"DD")&amp;"-"&amp;TEXT(A375,"MM")&amp;"-"&amp;TEXT(A375,"YYYY")&amp;" "&amp;B375</f>
        <v>10-07-2024 NET PI TO HSL SEC A/C 347707-00602340029392</v>
      </c>
      <c r="H375" s="2" t="s">
        <v>1911</v>
      </c>
      <c r="I375" t="s">
        <v>361</v>
      </c>
      <c r="J375" t="s">
        <v>1896</v>
      </c>
    </row>
    <row r="376" spans="1:10" x14ac:dyDescent="0.3">
      <c r="A376" s="1">
        <v>45483</v>
      </c>
      <c r="B376" t="s">
        <v>125</v>
      </c>
      <c r="C376" t="s">
        <v>842</v>
      </c>
      <c r="D376" s="2">
        <v>323315.25</v>
      </c>
      <c r="E376" s="2">
        <v>0</v>
      </c>
      <c r="F376" s="2">
        <v>600233.51</v>
      </c>
      <c r="G376" s="2" t="str">
        <f t="shared" si="6"/>
        <v>10-07-2024 NET PI TO HSL SEC A/C 347707-00602340029392</v>
      </c>
      <c r="H376" s="2" t="s">
        <v>1911</v>
      </c>
      <c r="I376" t="s">
        <v>361</v>
      </c>
      <c r="J376" t="s">
        <v>1896</v>
      </c>
    </row>
    <row r="377" spans="1:10" x14ac:dyDescent="0.3">
      <c r="A377" s="1">
        <v>45483</v>
      </c>
      <c r="B377" t="s">
        <v>146</v>
      </c>
      <c r="C377" t="s">
        <v>840</v>
      </c>
      <c r="D377" s="2">
        <v>10000</v>
      </c>
      <c r="E377" s="2">
        <v>0</v>
      </c>
      <c r="F377" s="2">
        <v>923945.11</v>
      </c>
      <c r="G377" s="2" t="str">
        <f t="shared" si="6"/>
        <v>10-07-2024 ACH D- INDIAN CLEARING CORP-P25847605X05</v>
      </c>
      <c r="H377" s="2" t="s">
        <v>1911</v>
      </c>
      <c r="I377" t="s">
        <v>1854</v>
      </c>
      <c r="J377" t="s">
        <v>1896</v>
      </c>
    </row>
    <row r="378" spans="1:10" x14ac:dyDescent="0.3">
      <c r="A378" s="1">
        <v>45484</v>
      </c>
      <c r="B378" t="s">
        <v>128</v>
      </c>
      <c r="C378" t="s">
        <v>843</v>
      </c>
      <c r="D378" s="2">
        <v>0</v>
      </c>
      <c r="E378" s="2">
        <v>5289.01</v>
      </c>
      <c r="F378" s="2">
        <v>605522.52</v>
      </c>
      <c r="G378" s="2" t="str">
        <f t="shared" si="6"/>
        <v>11-07-2024 NET PO FROM HSL A/C 347707-50200085415108</v>
      </c>
      <c r="H378" s="2" t="s">
        <v>1911</v>
      </c>
      <c r="I378" t="s">
        <v>361</v>
      </c>
      <c r="J378" t="s">
        <v>1896</v>
      </c>
    </row>
    <row r="379" spans="1:10" x14ac:dyDescent="0.3">
      <c r="A379" s="1">
        <v>45484</v>
      </c>
      <c r="B379" t="s">
        <v>128</v>
      </c>
      <c r="C379" t="s">
        <v>844</v>
      </c>
      <c r="D379" s="2">
        <v>0</v>
      </c>
      <c r="E379" s="2">
        <v>41595.01</v>
      </c>
      <c r="F379" s="2">
        <v>647117.53</v>
      </c>
      <c r="G379" s="2" t="str">
        <f t="shared" si="6"/>
        <v>11-07-2024 NET PO FROM HSL A/C 347707-50200085415108</v>
      </c>
      <c r="H379" s="2" t="s">
        <v>1911</v>
      </c>
      <c r="I379" t="s">
        <v>361</v>
      </c>
      <c r="J379" t="s">
        <v>1896</v>
      </c>
    </row>
    <row r="380" spans="1:10" x14ac:dyDescent="0.3">
      <c r="A380" s="1">
        <v>45484</v>
      </c>
      <c r="B380" t="s">
        <v>125</v>
      </c>
      <c r="C380" t="s">
        <v>845</v>
      </c>
      <c r="D380" s="2">
        <v>463.24</v>
      </c>
      <c r="E380" s="2">
        <v>0</v>
      </c>
      <c r="F380" s="2">
        <v>646654.29</v>
      </c>
      <c r="G380" s="2" t="str">
        <f t="shared" si="6"/>
        <v>11-07-2024 NET PI TO HSL SEC A/C 347707-00602340029392</v>
      </c>
      <c r="H380" s="2" t="s">
        <v>1911</v>
      </c>
      <c r="I380" t="s">
        <v>361</v>
      </c>
      <c r="J380" t="s">
        <v>1896</v>
      </c>
    </row>
    <row r="381" spans="1:10" x14ac:dyDescent="0.3">
      <c r="A381" s="1">
        <v>45484</v>
      </c>
      <c r="B381" t="s">
        <v>381</v>
      </c>
      <c r="C381" t="s">
        <v>7</v>
      </c>
      <c r="D381" s="2">
        <v>1360</v>
      </c>
      <c r="E381" s="2">
        <v>0</v>
      </c>
      <c r="F381" s="2">
        <v>65175</v>
      </c>
      <c r="G381" s="2" t="str">
        <f t="shared" si="6"/>
        <v>11-07-2024 UPI/P2M/419329306796/GHEE STORES DAIRY AND/Ghee/Yes Bank Ltd</v>
      </c>
      <c r="H381" s="2" t="s">
        <v>1911</v>
      </c>
      <c r="I381" t="s">
        <v>356</v>
      </c>
      <c r="J381" t="s">
        <v>1895</v>
      </c>
    </row>
    <row r="382" spans="1:10" x14ac:dyDescent="0.3">
      <c r="A382" s="1">
        <v>45485</v>
      </c>
      <c r="B382" t="s">
        <v>848</v>
      </c>
      <c r="C382" t="s">
        <v>849</v>
      </c>
      <c r="D382" s="2">
        <v>0</v>
      </c>
      <c r="E382" s="2">
        <v>1800</v>
      </c>
      <c r="F382" s="2">
        <v>714644.19</v>
      </c>
      <c r="G382" s="2" t="str">
        <f t="shared" si="6"/>
        <v>12-07-2024 ACH C- PUNJAB NATIONAL BANK-PN2206240114</v>
      </c>
      <c r="H382" s="2" t="s">
        <v>1911</v>
      </c>
      <c r="I382" t="s">
        <v>367</v>
      </c>
      <c r="J382" t="s">
        <v>1896</v>
      </c>
    </row>
    <row r="383" spans="1:10" x14ac:dyDescent="0.3">
      <c r="A383" s="1">
        <v>45485</v>
      </c>
      <c r="B383" t="s">
        <v>851</v>
      </c>
      <c r="C383" t="s">
        <v>852</v>
      </c>
      <c r="D383" s="2">
        <v>0</v>
      </c>
      <c r="E383" s="2">
        <v>1110</v>
      </c>
      <c r="F383" s="2">
        <v>715267.6</v>
      </c>
      <c r="G383" s="2" t="str">
        <f t="shared" si="6"/>
        <v>12-07-2024 ACH C- ALKYL FINDIV 2023 24-87331</v>
      </c>
      <c r="H383" s="2" t="s">
        <v>1911</v>
      </c>
      <c r="I383" t="s">
        <v>367</v>
      </c>
      <c r="J383" t="s">
        <v>1896</v>
      </c>
    </row>
    <row r="384" spans="1:10" x14ac:dyDescent="0.3">
      <c r="A384" s="1">
        <v>45485</v>
      </c>
      <c r="B384" t="s">
        <v>128</v>
      </c>
      <c r="C384" t="s">
        <v>846</v>
      </c>
      <c r="D384" s="2">
        <v>0</v>
      </c>
      <c r="E384" s="2">
        <v>21914.16</v>
      </c>
      <c r="F384" s="2">
        <v>668568.44999999995</v>
      </c>
      <c r="G384" s="2" t="str">
        <f t="shared" si="6"/>
        <v>12-07-2024 NET PO FROM HSL A/C 347707-50200085415108</v>
      </c>
      <c r="H384" s="2" t="s">
        <v>1911</v>
      </c>
      <c r="I384" t="s">
        <v>361</v>
      </c>
      <c r="J384" t="s">
        <v>1896</v>
      </c>
    </row>
    <row r="385" spans="1:10" x14ac:dyDescent="0.3">
      <c r="A385" s="1">
        <v>45485</v>
      </c>
      <c r="B385" t="s">
        <v>128</v>
      </c>
      <c r="C385" t="s">
        <v>847</v>
      </c>
      <c r="D385" s="2">
        <v>0</v>
      </c>
      <c r="E385" s="2">
        <v>44275.74</v>
      </c>
      <c r="F385" s="2">
        <v>712844.19</v>
      </c>
      <c r="G385" s="2" t="str">
        <f t="shared" si="6"/>
        <v>12-07-2024 NET PO FROM HSL A/C 347707-50200085415108</v>
      </c>
      <c r="H385" s="2" t="s">
        <v>1911</v>
      </c>
      <c r="I385" t="s">
        <v>361</v>
      </c>
      <c r="J385" t="s">
        <v>1896</v>
      </c>
    </row>
    <row r="386" spans="1:10" x14ac:dyDescent="0.3">
      <c r="A386" s="1">
        <v>45485</v>
      </c>
      <c r="B386" t="s">
        <v>125</v>
      </c>
      <c r="C386" t="s">
        <v>850</v>
      </c>
      <c r="D386" s="2">
        <v>486.59</v>
      </c>
      <c r="E386" s="2">
        <v>0</v>
      </c>
      <c r="F386" s="2">
        <v>714157.6</v>
      </c>
      <c r="G386" s="2" t="str">
        <f t="shared" si="6"/>
        <v>12-07-2024 NET PI TO HSL SEC A/C 347707-00602340029392</v>
      </c>
      <c r="H386" s="2" t="s">
        <v>1911</v>
      </c>
      <c r="I386" t="s">
        <v>361</v>
      </c>
      <c r="J386" t="s">
        <v>1896</v>
      </c>
    </row>
    <row r="387" spans="1:10" x14ac:dyDescent="0.3">
      <c r="A387" s="1">
        <v>45485</v>
      </c>
      <c r="B387" t="s">
        <v>125</v>
      </c>
      <c r="C387" t="s">
        <v>853</v>
      </c>
      <c r="D387" s="2">
        <v>0.06</v>
      </c>
      <c r="E387" s="2">
        <v>0</v>
      </c>
      <c r="F387" s="2">
        <v>715267.54</v>
      </c>
      <c r="G387" s="2" t="str">
        <f t="shared" si="6"/>
        <v>12-07-2024 NET PI TO HSL SEC A/C 347707-00602340029392</v>
      </c>
      <c r="H387" s="2" t="s">
        <v>1911</v>
      </c>
      <c r="I387" t="s">
        <v>361</v>
      </c>
      <c r="J387" t="s">
        <v>1896</v>
      </c>
    </row>
    <row r="388" spans="1:10" x14ac:dyDescent="0.3">
      <c r="A388" s="1">
        <v>45486</v>
      </c>
      <c r="B388" t="s">
        <v>854</v>
      </c>
      <c r="C388" t="s">
        <v>855</v>
      </c>
      <c r="D388" s="2">
        <v>20000</v>
      </c>
      <c r="E388" s="2">
        <v>0</v>
      </c>
      <c r="F388" s="2">
        <v>695267.54</v>
      </c>
      <c r="G388" s="2" t="str">
        <f t="shared" si="6"/>
        <v>13-07-2024 ATW-512967XXXXXX1000-S1ANRS03-KOTA</v>
      </c>
      <c r="H388" s="2" t="s">
        <v>1911</v>
      </c>
      <c r="I388" t="s">
        <v>366</v>
      </c>
      <c r="J388" t="s">
        <v>1896</v>
      </c>
    </row>
    <row r="389" spans="1:10" x14ac:dyDescent="0.3">
      <c r="A389" s="1">
        <v>45486</v>
      </c>
      <c r="B389" t="s">
        <v>854</v>
      </c>
      <c r="C389" t="s">
        <v>856</v>
      </c>
      <c r="D389" s="2">
        <v>20000</v>
      </c>
      <c r="E389" s="2">
        <v>0</v>
      </c>
      <c r="F389" s="2">
        <v>675267.54</v>
      </c>
      <c r="G389" s="2" t="str">
        <f t="shared" si="6"/>
        <v>13-07-2024 ATW-512967XXXXXX1000-S1ANRS03-KOTA</v>
      </c>
      <c r="H389" s="2" t="s">
        <v>1911</v>
      </c>
      <c r="I389" t="s">
        <v>366</v>
      </c>
      <c r="J389" t="s">
        <v>1896</v>
      </c>
    </row>
    <row r="390" spans="1:10" x14ac:dyDescent="0.3">
      <c r="A390" s="1">
        <v>45486</v>
      </c>
      <c r="B390" t="s">
        <v>382</v>
      </c>
      <c r="C390" t="s">
        <v>7</v>
      </c>
      <c r="D390" s="2">
        <v>6100</v>
      </c>
      <c r="E390" s="2">
        <v>0</v>
      </c>
      <c r="F390" s="2">
        <v>59075</v>
      </c>
      <c r="G390" s="2" t="str">
        <f t="shared" si="6"/>
        <v>13-07-2024 UPI/P2M/419550283771/MS.KEDAWAT SILK AND S/Saree/ICICI Bank</v>
      </c>
      <c r="H390" s="2" t="s">
        <v>1911</v>
      </c>
      <c r="I390" t="s">
        <v>1925</v>
      </c>
      <c r="J390" t="s">
        <v>1895</v>
      </c>
    </row>
    <row r="391" spans="1:10" x14ac:dyDescent="0.3">
      <c r="A391" s="1">
        <v>45488</v>
      </c>
      <c r="B391" t="s">
        <v>128</v>
      </c>
      <c r="C391" t="s">
        <v>857</v>
      </c>
      <c r="D391" s="2">
        <v>0</v>
      </c>
      <c r="E391" s="2">
        <v>9490.65</v>
      </c>
      <c r="F391" s="2">
        <v>684758.19</v>
      </c>
      <c r="G391" s="2" t="str">
        <f t="shared" si="6"/>
        <v>15-07-2024 NET PO FROM HSL A/C 347707-50200085415108</v>
      </c>
      <c r="H391" s="2" t="s">
        <v>1911</v>
      </c>
      <c r="I391" t="s">
        <v>361</v>
      </c>
      <c r="J391" t="s">
        <v>1896</v>
      </c>
    </row>
    <row r="392" spans="1:10" x14ac:dyDescent="0.3">
      <c r="A392" s="1">
        <v>45488</v>
      </c>
      <c r="B392" t="s">
        <v>125</v>
      </c>
      <c r="C392" t="s">
        <v>859</v>
      </c>
      <c r="D392" s="2">
        <v>1483.17</v>
      </c>
      <c r="E392" s="2">
        <v>0</v>
      </c>
      <c r="F392" s="2">
        <v>673275.02</v>
      </c>
      <c r="G392" s="2" t="str">
        <f t="shared" si="6"/>
        <v>15-07-2024 NET PI TO HSL SEC A/C 347707-00602340029392</v>
      </c>
      <c r="H392" s="2" t="s">
        <v>1911</v>
      </c>
      <c r="I392" t="s">
        <v>361</v>
      </c>
      <c r="J392" t="s">
        <v>1896</v>
      </c>
    </row>
    <row r="393" spans="1:10" x14ac:dyDescent="0.3">
      <c r="A393" s="1">
        <v>45488</v>
      </c>
      <c r="B393" t="s">
        <v>146</v>
      </c>
      <c r="C393" t="s">
        <v>858</v>
      </c>
      <c r="D393" s="2">
        <v>10000</v>
      </c>
      <c r="E393" s="2">
        <v>0</v>
      </c>
      <c r="F393" s="2">
        <v>674758.19</v>
      </c>
      <c r="G393" s="2" t="str">
        <f t="shared" si="6"/>
        <v>15-07-2024 ACH D- INDIAN CLEARING CORP-P25847605X05</v>
      </c>
      <c r="H393" s="2" t="s">
        <v>1911</v>
      </c>
      <c r="I393" t="s">
        <v>1854</v>
      </c>
      <c r="J393" t="s">
        <v>1896</v>
      </c>
    </row>
    <row r="394" spans="1:10" x14ac:dyDescent="0.3">
      <c r="A394" s="1">
        <v>45489</v>
      </c>
      <c r="B394" t="s">
        <v>861</v>
      </c>
      <c r="C394" t="s">
        <v>140</v>
      </c>
      <c r="D394" s="2">
        <v>1793.6</v>
      </c>
      <c r="E394" s="2">
        <v>0</v>
      </c>
      <c r="F394" s="2">
        <v>671032.27</v>
      </c>
      <c r="G394" s="2" t="str">
        <f t="shared" si="6"/>
        <v>16-07-2024 DEPOSITORY CHARGES JUN24 - 40227714</v>
      </c>
      <c r="H394" s="2" t="s">
        <v>1911</v>
      </c>
      <c r="I394" t="s">
        <v>362</v>
      </c>
      <c r="J394" t="s">
        <v>1896</v>
      </c>
    </row>
    <row r="395" spans="1:10" x14ac:dyDescent="0.3">
      <c r="A395" s="1">
        <v>45489</v>
      </c>
      <c r="B395" t="s">
        <v>862</v>
      </c>
      <c r="C395" t="s">
        <v>863</v>
      </c>
      <c r="D395" s="2">
        <v>0</v>
      </c>
      <c r="E395" s="2">
        <v>308</v>
      </c>
      <c r="F395" s="2">
        <v>671340.27</v>
      </c>
      <c r="G395" s="2" t="str">
        <f t="shared" si="6"/>
        <v>16-07-2024 ACH C- TITANFINDIV160724-371967</v>
      </c>
      <c r="H395" s="2" t="s">
        <v>1911</v>
      </c>
      <c r="I395" t="s">
        <v>367</v>
      </c>
      <c r="J395" t="s">
        <v>1896</v>
      </c>
    </row>
    <row r="396" spans="1:10" x14ac:dyDescent="0.3">
      <c r="A396" s="1">
        <v>45489</v>
      </c>
      <c r="B396" t="s">
        <v>125</v>
      </c>
      <c r="C396" t="s">
        <v>860</v>
      </c>
      <c r="D396" s="2">
        <v>449.15</v>
      </c>
      <c r="E396" s="2">
        <v>0</v>
      </c>
      <c r="F396" s="2">
        <v>672825.87</v>
      </c>
      <c r="G396" s="2" t="str">
        <f t="shared" si="6"/>
        <v>16-07-2024 NET PI TO HSL SEC A/C 347707-00602340029392</v>
      </c>
      <c r="H396" s="2" t="s">
        <v>1911</v>
      </c>
      <c r="I396" t="s">
        <v>361</v>
      </c>
      <c r="J396" t="s">
        <v>1896</v>
      </c>
    </row>
    <row r="397" spans="1:10" x14ac:dyDescent="0.3">
      <c r="A397" s="1">
        <v>45489</v>
      </c>
      <c r="B397" t="s">
        <v>125</v>
      </c>
      <c r="C397" t="s">
        <v>864</v>
      </c>
      <c r="D397" s="2">
        <v>152870.93</v>
      </c>
      <c r="E397" s="2">
        <v>0</v>
      </c>
      <c r="F397" s="2">
        <v>518469.34</v>
      </c>
      <c r="G397" s="2" t="str">
        <f t="shared" si="6"/>
        <v>16-07-2024 NET PI TO HSL SEC A/C 347707-00602340029392</v>
      </c>
      <c r="H397" s="2" t="s">
        <v>1911</v>
      </c>
      <c r="I397" t="s">
        <v>361</v>
      </c>
      <c r="J397" t="s">
        <v>1896</v>
      </c>
    </row>
    <row r="398" spans="1:10" x14ac:dyDescent="0.3">
      <c r="A398" s="1">
        <v>45489</v>
      </c>
      <c r="B398" t="s">
        <v>384</v>
      </c>
      <c r="C398" t="s">
        <v>7</v>
      </c>
      <c r="D398" s="2">
        <v>0</v>
      </c>
      <c r="E398" s="2">
        <v>7229</v>
      </c>
      <c r="F398" s="2">
        <v>36304</v>
      </c>
      <c r="G398" s="2" t="str">
        <f t="shared" si="6"/>
        <v>16-07-2024 LIC  have been provided with Annuity</v>
      </c>
      <c r="H398" s="2" t="s">
        <v>1911</v>
      </c>
      <c r="I398" t="s">
        <v>1878</v>
      </c>
      <c r="J398" t="s">
        <v>1895</v>
      </c>
    </row>
    <row r="399" spans="1:10" x14ac:dyDescent="0.3">
      <c r="A399" s="1">
        <v>45489</v>
      </c>
      <c r="B399" t="s">
        <v>383</v>
      </c>
      <c r="C399" t="s">
        <v>7</v>
      </c>
      <c r="D399" s="2">
        <v>30000</v>
      </c>
      <c r="E399" s="2">
        <v>0</v>
      </c>
      <c r="F399" s="2">
        <v>29075</v>
      </c>
      <c r="G399" s="2" t="str">
        <f t="shared" si="6"/>
        <v>16-07-2024 UPI/P2A/456478844787/AMIT KAMALKISHOR CHAN/Paymen/Axis Bank Ltd.</v>
      </c>
      <c r="H399" s="2" t="s">
        <v>1911</v>
      </c>
      <c r="I399" t="s">
        <v>1920</v>
      </c>
      <c r="J399" t="s">
        <v>1895</v>
      </c>
    </row>
    <row r="400" spans="1:10" x14ac:dyDescent="0.3">
      <c r="A400" s="1">
        <v>45490</v>
      </c>
      <c r="B400" t="s">
        <v>1740</v>
      </c>
      <c r="C400" t="s">
        <v>1779</v>
      </c>
      <c r="D400" s="2">
        <v>0</v>
      </c>
      <c r="E400" s="2">
        <v>127201.87</v>
      </c>
      <c r="F400" s="2">
        <v>307372.96999999997</v>
      </c>
      <c r="G400" s="2" t="str">
        <f t="shared" si="6"/>
        <v>17-07-2024    BY TRANSFER-INB -For 19260165--</v>
      </c>
      <c r="H400" s="2" t="s">
        <v>1911</v>
      </c>
      <c r="I400" t="s">
        <v>1887</v>
      </c>
      <c r="J400" t="s">
        <v>1899</v>
      </c>
    </row>
    <row r="401" spans="1:11" x14ac:dyDescent="0.3">
      <c r="A401" s="1">
        <v>45491</v>
      </c>
      <c r="B401" t="s">
        <v>387</v>
      </c>
      <c r="C401" t="s">
        <v>386</v>
      </c>
      <c r="D401" s="2">
        <v>32000</v>
      </c>
      <c r="E401" s="2">
        <v>0</v>
      </c>
      <c r="F401" s="2">
        <v>104304</v>
      </c>
      <c r="G401" s="2" t="str">
        <f t="shared" si="6"/>
        <v>18-07-2024 SAK/CASH WDL/SAK403190824/2656/BODHALE N/SELF</v>
      </c>
      <c r="H401" s="2" t="s">
        <v>1911</v>
      </c>
      <c r="I401" t="s">
        <v>354</v>
      </c>
      <c r="J401" t="s">
        <v>1895</v>
      </c>
    </row>
    <row r="402" spans="1:11" x14ac:dyDescent="0.3">
      <c r="A402" s="1">
        <v>45491</v>
      </c>
      <c r="B402" t="s">
        <v>385</v>
      </c>
      <c r="C402" t="s">
        <v>7</v>
      </c>
      <c r="D402" s="2">
        <v>0</v>
      </c>
      <c r="E402" s="2">
        <v>100000</v>
      </c>
      <c r="F402" s="2">
        <v>136304</v>
      </c>
      <c r="G402" s="2" t="str">
        <f t="shared" si="6"/>
        <v>18-07-2024 NEFT/SBIN524200756925/Mr AJAY KUMAR GUPTA/STATE BANK OF INDIA//ATTN//INB//monthly expenses</v>
      </c>
      <c r="H402" s="2" t="s">
        <v>1911</v>
      </c>
      <c r="I402" t="s">
        <v>1842</v>
      </c>
      <c r="J402" t="s">
        <v>1895</v>
      </c>
      <c r="K402" t="s">
        <v>1913</v>
      </c>
    </row>
    <row r="403" spans="1:11" x14ac:dyDescent="0.3">
      <c r="A403" s="1">
        <v>45491</v>
      </c>
      <c r="B403" t="s">
        <v>1780</v>
      </c>
      <c r="C403" t="s">
        <v>1781</v>
      </c>
      <c r="D403" s="2">
        <v>100000</v>
      </c>
      <c r="E403" s="2">
        <v>0</v>
      </c>
      <c r="F403" s="2">
        <v>207372.97</v>
      </c>
      <c r="G403" s="2" t="str">
        <f t="shared" si="6"/>
        <v>18-07-2024    TO TRANSFER-INB NEFT UTR NO: SBIN524200756925--AJAY KUMAR GUPTA</v>
      </c>
      <c r="H403" s="2" t="s">
        <v>1911</v>
      </c>
      <c r="I403" t="s">
        <v>1907</v>
      </c>
      <c r="J403" t="s">
        <v>1899</v>
      </c>
      <c r="K403" t="s">
        <v>1913</v>
      </c>
    </row>
    <row r="404" spans="1:11" x14ac:dyDescent="0.3">
      <c r="A404" s="1">
        <v>45491</v>
      </c>
      <c r="B404" t="s">
        <v>866</v>
      </c>
      <c r="C404" t="s">
        <v>867</v>
      </c>
      <c r="D404" s="2">
        <v>0</v>
      </c>
      <c r="E404" s="2">
        <v>490</v>
      </c>
      <c r="F404" s="2">
        <v>518169.94</v>
      </c>
      <c r="G404" s="2" t="str">
        <f t="shared" si="6"/>
        <v>18-07-2024 1707048547 HDFCLIFE FNLDIV2024 5849355</v>
      </c>
      <c r="H404" s="2" t="s">
        <v>1911</v>
      </c>
      <c r="I404" t="s">
        <v>367</v>
      </c>
      <c r="J404" t="s">
        <v>1896</v>
      </c>
    </row>
    <row r="405" spans="1:11" x14ac:dyDescent="0.3">
      <c r="A405" s="1">
        <v>45491</v>
      </c>
      <c r="B405" t="s">
        <v>125</v>
      </c>
      <c r="C405" t="s">
        <v>865</v>
      </c>
      <c r="D405" s="2">
        <v>789.4</v>
      </c>
      <c r="E405" s="2">
        <v>0</v>
      </c>
      <c r="F405" s="2">
        <v>517679.94</v>
      </c>
      <c r="G405" s="2" t="str">
        <f t="shared" si="6"/>
        <v>18-07-2024 NET PI TO HSL SEC A/C 347707-00602340029392</v>
      </c>
      <c r="H405" s="2" t="s">
        <v>1911</v>
      </c>
      <c r="I405" t="s">
        <v>361</v>
      </c>
      <c r="J405" t="s">
        <v>1896</v>
      </c>
    </row>
    <row r="406" spans="1:11" x14ac:dyDescent="0.3">
      <c r="A406" s="1">
        <v>45491</v>
      </c>
      <c r="B406" t="s">
        <v>125</v>
      </c>
      <c r="C406" t="s">
        <v>870</v>
      </c>
      <c r="D406" s="2">
        <v>162908.28</v>
      </c>
      <c r="E406" s="2">
        <v>0</v>
      </c>
      <c r="F406" s="2">
        <v>356458.16</v>
      </c>
      <c r="G406" s="2" t="str">
        <f t="shared" si="6"/>
        <v>18-07-2024 NET PI TO HSL SEC A/C 347707-00602340029392</v>
      </c>
      <c r="H406" s="2" t="s">
        <v>1911</v>
      </c>
      <c r="I406" t="s">
        <v>361</v>
      </c>
      <c r="J406" t="s">
        <v>1896</v>
      </c>
    </row>
    <row r="407" spans="1:11" x14ac:dyDescent="0.3">
      <c r="A407" s="1">
        <v>45491</v>
      </c>
      <c r="B407" t="s">
        <v>388</v>
      </c>
      <c r="C407" t="s">
        <v>7</v>
      </c>
      <c r="D407" s="2">
        <v>7680</v>
      </c>
      <c r="E407" s="2">
        <v>0</v>
      </c>
      <c r="F407" s="2">
        <v>96624</v>
      </c>
      <c r="G407" s="2" t="str">
        <f t="shared" si="6"/>
        <v>18-07-2024 INB/67125425/INTERNET TAX PAYMENT/</v>
      </c>
      <c r="H407" s="2" t="s">
        <v>1911</v>
      </c>
      <c r="I407" t="s">
        <v>1879</v>
      </c>
      <c r="J407" t="s">
        <v>1895</v>
      </c>
    </row>
    <row r="408" spans="1:11" x14ac:dyDescent="0.3">
      <c r="A408" s="1">
        <v>45491</v>
      </c>
      <c r="B408" t="s">
        <v>389</v>
      </c>
      <c r="C408" t="s">
        <v>7</v>
      </c>
      <c r="D408" s="2">
        <v>115</v>
      </c>
      <c r="E408" s="2">
        <v>0</v>
      </c>
      <c r="F408" s="2">
        <v>96509</v>
      </c>
      <c r="G408" s="2" t="str">
        <f t="shared" si="6"/>
        <v>18-07-2024 UPI/P2M/420031768194/JEET PHARMACY AND MIN/Medice/Axis Bank Ltd.</v>
      </c>
      <c r="H408" s="2" t="s">
        <v>1911</v>
      </c>
      <c r="I408" t="s">
        <v>356</v>
      </c>
      <c r="J408" t="s">
        <v>1895</v>
      </c>
    </row>
    <row r="409" spans="1:11" x14ac:dyDescent="0.3">
      <c r="A409" s="1">
        <v>45491</v>
      </c>
      <c r="B409" t="s">
        <v>868</v>
      </c>
      <c r="C409" t="s">
        <v>869</v>
      </c>
      <c r="D409" s="2">
        <v>0</v>
      </c>
      <c r="E409" s="2">
        <v>1196.5</v>
      </c>
      <c r="F409" s="2">
        <v>519366.44</v>
      </c>
      <c r="G409" s="2" t="str">
        <f t="shared" si="6"/>
        <v>18-07-2024 00012050001396HLY INT-IN0020210236</v>
      </c>
      <c r="H409" s="2" t="s">
        <v>1911</v>
      </c>
      <c r="I409" t="s">
        <v>369</v>
      </c>
      <c r="J409" t="s">
        <v>1896</v>
      </c>
    </row>
    <row r="410" spans="1:11" x14ac:dyDescent="0.3">
      <c r="A410" s="1">
        <v>45492</v>
      </c>
      <c r="B410" t="s">
        <v>128</v>
      </c>
      <c r="C410" t="s">
        <v>871</v>
      </c>
      <c r="D410" s="2">
        <v>0</v>
      </c>
      <c r="E410" s="2">
        <v>32906.36</v>
      </c>
      <c r="F410" s="2">
        <v>389364.52</v>
      </c>
      <c r="G410" s="2" t="str">
        <f t="shared" si="6"/>
        <v>19-07-2024 NET PO FROM HSL A/C 347707-50200085415108</v>
      </c>
      <c r="H410" s="2" t="s">
        <v>1911</v>
      </c>
      <c r="I410" t="s">
        <v>361</v>
      </c>
      <c r="J410" t="s">
        <v>1896</v>
      </c>
    </row>
    <row r="411" spans="1:11" x14ac:dyDescent="0.3">
      <c r="A411" s="1">
        <v>45492</v>
      </c>
      <c r="B411" t="s">
        <v>125</v>
      </c>
      <c r="C411" t="s">
        <v>872</v>
      </c>
      <c r="D411" s="2">
        <v>336.68</v>
      </c>
      <c r="E411" s="2">
        <v>0</v>
      </c>
      <c r="F411" s="2">
        <v>389027.84000000003</v>
      </c>
      <c r="G411" s="2" t="str">
        <f t="shared" si="6"/>
        <v>19-07-2024 NET PI TO HSL SEC A/C 347707-00602340029392</v>
      </c>
      <c r="H411" s="2" t="s">
        <v>1911</v>
      </c>
      <c r="I411" t="s">
        <v>361</v>
      </c>
      <c r="J411" t="s">
        <v>1896</v>
      </c>
    </row>
    <row r="412" spans="1:11" x14ac:dyDescent="0.3">
      <c r="A412" s="1">
        <v>45492</v>
      </c>
      <c r="B412" t="s">
        <v>390</v>
      </c>
      <c r="C412" t="s">
        <v>7</v>
      </c>
      <c r="D412" s="2">
        <v>1500</v>
      </c>
      <c r="E412" s="2">
        <v>0</v>
      </c>
      <c r="F412" s="2">
        <v>95009</v>
      </c>
      <c r="G412" s="2" t="str">
        <f t="shared" si="6"/>
        <v>19-07-2024 UPI/P2M/456753903284/NEW NILESH MEDICAL AN/Medice/Yes Bank Ltd</v>
      </c>
      <c r="H412" s="2" t="s">
        <v>1911</v>
      </c>
      <c r="I412" t="s">
        <v>356</v>
      </c>
      <c r="J412" t="s">
        <v>1895</v>
      </c>
    </row>
    <row r="413" spans="1:11" x14ac:dyDescent="0.3">
      <c r="A413" s="1">
        <v>45492</v>
      </c>
      <c r="B413" t="s">
        <v>391</v>
      </c>
      <c r="C413" t="s">
        <v>7</v>
      </c>
      <c r="D413" s="2">
        <v>10000</v>
      </c>
      <c r="E413" s="2">
        <v>0</v>
      </c>
      <c r="F413" s="2">
        <v>85009</v>
      </c>
      <c r="G413" s="2" t="str">
        <f t="shared" si="6"/>
        <v>19-07-2024 UPI/P2M/420138720217/M/S.ADGAONKAR AND SON/Gold r/ICICI Bank</v>
      </c>
      <c r="H413" s="2" t="s">
        <v>1911</v>
      </c>
      <c r="I413" t="s">
        <v>1837</v>
      </c>
      <c r="J413" t="s">
        <v>1895</v>
      </c>
    </row>
    <row r="414" spans="1:11" x14ac:dyDescent="0.3">
      <c r="A414" s="1">
        <v>45493</v>
      </c>
      <c r="B414" t="s">
        <v>125</v>
      </c>
      <c r="C414" t="s">
        <v>873</v>
      </c>
      <c r="D414" s="2">
        <v>77788.75</v>
      </c>
      <c r="E414" s="2">
        <v>0</v>
      </c>
      <c r="F414" s="2">
        <v>311239.09000000003</v>
      </c>
      <c r="G414" s="2" t="str">
        <f t="shared" si="6"/>
        <v>20-07-2024 NET PI TO HSL SEC A/C 347707-00602340029392</v>
      </c>
      <c r="H414" s="2" t="s">
        <v>1911</v>
      </c>
      <c r="I414" t="s">
        <v>361</v>
      </c>
      <c r="J414" t="s">
        <v>1896</v>
      </c>
    </row>
    <row r="415" spans="1:11" x14ac:dyDescent="0.3">
      <c r="A415" s="1">
        <v>45493</v>
      </c>
      <c r="B415" t="s">
        <v>392</v>
      </c>
      <c r="C415" t="s">
        <v>7</v>
      </c>
      <c r="D415" s="2">
        <v>38</v>
      </c>
      <c r="E415" s="2">
        <v>0</v>
      </c>
      <c r="F415" s="2">
        <v>84971</v>
      </c>
      <c r="G415" s="2" t="str">
        <f t="shared" si="6"/>
        <v>20-07-2024 UPI/P2M/456887681961/PROP KALPESH KANAIYA /Photoc/Yes Bank Ltd</v>
      </c>
      <c r="H415" s="2" t="s">
        <v>1911</v>
      </c>
      <c r="I415" t="s">
        <v>356</v>
      </c>
      <c r="J415" t="s">
        <v>1895</v>
      </c>
    </row>
    <row r="416" spans="1:11" x14ac:dyDescent="0.3">
      <c r="A416" s="1">
        <v>45493</v>
      </c>
      <c r="B416" t="s">
        <v>393</v>
      </c>
      <c r="C416" t="s">
        <v>7</v>
      </c>
      <c r="D416" s="2">
        <v>6970</v>
      </c>
      <c r="E416" s="2">
        <v>0</v>
      </c>
      <c r="F416" s="2">
        <v>78001</v>
      </c>
      <c r="G416" s="2" t="str">
        <f t="shared" si="6"/>
        <v>20-07-2024 UPI/P2M/420293650707/M/S.ADGAONKAR AND SON/Gold r/ICICI Bank</v>
      </c>
      <c r="H416" s="2" t="s">
        <v>1911</v>
      </c>
      <c r="I416" t="s">
        <v>1837</v>
      </c>
      <c r="J416" t="s">
        <v>1895</v>
      </c>
    </row>
    <row r="417" spans="1:10" x14ac:dyDescent="0.3">
      <c r="A417" s="1">
        <v>45493</v>
      </c>
      <c r="B417" t="s">
        <v>874</v>
      </c>
      <c r="C417" t="s">
        <v>875</v>
      </c>
      <c r="D417" s="2">
        <v>0</v>
      </c>
      <c r="E417" s="2">
        <v>300.44</v>
      </c>
      <c r="F417" s="2">
        <v>311539.53000000003</v>
      </c>
      <c r="G417" s="2" t="str">
        <f t="shared" si="6"/>
        <v>20-07-2024 00012050001396HLY INT-IN0020210111</v>
      </c>
      <c r="H417" s="2" t="s">
        <v>1911</v>
      </c>
      <c r="I417" t="s">
        <v>369</v>
      </c>
      <c r="J417" t="s">
        <v>1896</v>
      </c>
    </row>
    <row r="418" spans="1:10" x14ac:dyDescent="0.3">
      <c r="A418" s="1">
        <v>45495</v>
      </c>
      <c r="B418" t="s">
        <v>125</v>
      </c>
      <c r="C418" t="s">
        <v>879</v>
      </c>
      <c r="D418" s="2">
        <v>926.94</v>
      </c>
      <c r="E418" s="2">
        <v>0</v>
      </c>
      <c r="F418" s="2">
        <v>290612.59000000003</v>
      </c>
      <c r="G418" s="2" t="str">
        <f t="shared" si="6"/>
        <v>22-07-2024 NET PI TO HSL SEC A/C 347707-00602340029392</v>
      </c>
      <c r="H418" s="2" t="s">
        <v>1911</v>
      </c>
      <c r="I418" t="s">
        <v>361</v>
      </c>
      <c r="J418" t="s">
        <v>1896</v>
      </c>
    </row>
    <row r="419" spans="1:10" x14ac:dyDescent="0.3">
      <c r="A419" s="1">
        <v>45495</v>
      </c>
      <c r="B419" t="s">
        <v>146</v>
      </c>
      <c r="C419" t="s">
        <v>876</v>
      </c>
      <c r="D419" s="2">
        <v>10000</v>
      </c>
      <c r="E419" s="2">
        <v>0</v>
      </c>
      <c r="F419" s="2">
        <v>301539.53000000003</v>
      </c>
      <c r="G419" s="2" t="str">
        <f t="shared" si="6"/>
        <v>22-07-2024 ACH D- INDIAN CLEARING CORP-P25847605X05</v>
      </c>
      <c r="H419" s="2" t="s">
        <v>1911</v>
      </c>
      <c r="I419" t="s">
        <v>1854</v>
      </c>
      <c r="J419" t="s">
        <v>1896</v>
      </c>
    </row>
    <row r="420" spans="1:10" x14ac:dyDescent="0.3">
      <c r="A420" s="1">
        <v>45495</v>
      </c>
      <c r="B420" t="s">
        <v>877</v>
      </c>
      <c r="C420" t="s">
        <v>878</v>
      </c>
      <c r="D420" s="2">
        <v>10000</v>
      </c>
      <c r="E420" s="2">
        <v>0</v>
      </c>
      <c r="F420" s="2">
        <v>291539.53000000003</v>
      </c>
      <c r="G420" s="2" t="str">
        <f t="shared" si="6"/>
        <v>22-07-2024 YHDF2391641686/BILLDKINDIANCLEARING</v>
      </c>
      <c r="H420" s="2" t="s">
        <v>1911</v>
      </c>
      <c r="I420" t="s">
        <v>1854</v>
      </c>
      <c r="J420" t="s">
        <v>1896</v>
      </c>
    </row>
    <row r="421" spans="1:10" x14ac:dyDescent="0.3">
      <c r="A421" s="1">
        <v>45496</v>
      </c>
      <c r="B421" t="s">
        <v>128</v>
      </c>
      <c r="C421" t="s">
        <v>880</v>
      </c>
      <c r="D421" s="2">
        <v>0</v>
      </c>
      <c r="E421" s="2">
        <v>29469.73</v>
      </c>
      <c r="F421" s="2">
        <v>320082.32</v>
      </c>
      <c r="G421" s="2" t="str">
        <f t="shared" si="6"/>
        <v>23-07-2024 NET PO FROM HSL A/C 347707-50200085415108</v>
      </c>
      <c r="H421" s="2" t="s">
        <v>1911</v>
      </c>
      <c r="I421" t="s">
        <v>361</v>
      </c>
      <c r="J421" t="s">
        <v>1896</v>
      </c>
    </row>
    <row r="422" spans="1:10" x14ac:dyDescent="0.3">
      <c r="A422" s="1">
        <v>45496</v>
      </c>
      <c r="B422" t="s">
        <v>125</v>
      </c>
      <c r="C422" t="s">
        <v>881</v>
      </c>
      <c r="D422" s="2">
        <v>372.92</v>
      </c>
      <c r="E422" s="2">
        <v>0</v>
      </c>
      <c r="F422" s="2">
        <v>319709.40000000002</v>
      </c>
      <c r="G422" s="2" t="str">
        <f t="shared" si="6"/>
        <v>23-07-2024 NET PI TO HSL SEC A/C 347707-00602340029392</v>
      </c>
      <c r="H422" s="2" t="s">
        <v>1911</v>
      </c>
      <c r="I422" t="s">
        <v>361</v>
      </c>
      <c r="J422" t="s">
        <v>1896</v>
      </c>
    </row>
    <row r="423" spans="1:10" x14ac:dyDescent="0.3">
      <c r="A423" s="1">
        <v>45496</v>
      </c>
      <c r="B423" t="s">
        <v>125</v>
      </c>
      <c r="C423" t="s">
        <v>882</v>
      </c>
      <c r="D423" s="2">
        <v>60859.85</v>
      </c>
      <c r="E423" s="2">
        <v>0</v>
      </c>
      <c r="F423" s="2">
        <v>258849.55</v>
      </c>
      <c r="G423" s="2" t="str">
        <f t="shared" si="6"/>
        <v>23-07-2024 NET PI TO HSL SEC A/C 347707-00602340029392</v>
      </c>
      <c r="H423" s="2" t="s">
        <v>1911</v>
      </c>
      <c r="I423" t="s">
        <v>361</v>
      </c>
      <c r="J423" t="s">
        <v>1896</v>
      </c>
    </row>
    <row r="424" spans="1:10" x14ac:dyDescent="0.3">
      <c r="A424" s="1">
        <v>45496</v>
      </c>
      <c r="B424" t="s">
        <v>394</v>
      </c>
      <c r="C424" t="s">
        <v>7</v>
      </c>
      <c r="D424" s="2">
        <v>50</v>
      </c>
      <c r="E424" s="2">
        <v>0</v>
      </c>
      <c r="F424" s="2">
        <v>77951</v>
      </c>
      <c r="G424" s="2" t="str">
        <f t="shared" si="6"/>
        <v>23-07-2024 UPI/P2A/457163317766/ASHA  KAMLE          /Paymen/State Bank Of India</v>
      </c>
      <c r="H424" s="2" t="s">
        <v>1911</v>
      </c>
      <c r="I424" t="s">
        <v>356</v>
      </c>
      <c r="J424" t="s">
        <v>1895</v>
      </c>
    </row>
    <row r="425" spans="1:10" x14ac:dyDescent="0.3">
      <c r="A425" s="1">
        <v>45496</v>
      </c>
      <c r="B425" t="s">
        <v>395</v>
      </c>
      <c r="C425" t="s">
        <v>7</v>
      </c>
      <c r="D425" s="2">
        <v>40</v>
      </c>
      <c r="E425" s="2">
        <v>0</v>
      </c>
      <c r="F425" s="2">
        <v>77911</v>
      </c>
      <c r="G425" s="2" t="str">
        <f t="shared" si="6"/>
        <v>23-07-2024 UPI/P2M/420573772013/ARUN KUMAR JAIN      /Photo/Karnataka Bank</v>
      </c>
      <c r="H425" s="2" t="s">
        <v>1911</v>
      </c>
      <c r="I425" t="s">
        <v>356</v>
      </c>
      <c r="J425" t="s">
        <v>1895</v>
      </c>
    </row>
    <row r="426" spans="1:10" x14ac:dyDescent="0.3">
      <c r="A426" s="1">
        <v>45497</v>
      </c>
      <c r="B426" t="s">
        <v>884</v>
      </c>
      <c r="C426" t="s">
        <v>885</v>
      </c>
      <c r="D426" s="2">
        <v>0</v>
      </c>
      <c r="E426" s="2">
        <v>180</v>
      </c>
      <c r="F426" s="2">
        <v>258667.81</v>
      </c>
      <c r="G426" s="2" t="str">
        <f t="shared" si="6"/>
        <v>24-07-2024 ACH C- BAJAJ FINANCE LIMITE-5697499</v>
      </c>
      <c r="H426" s="2" t="s">
        <v>1911</v>
      </c>
      <c r="I426" t="s">
        <v>367</v>
      </c>
      <c r="J426" t="s">
        <v>1896</v>
      </c>
    </row>
    <row r="427" spans="1:10" x14ac:dyDescent="0.3">
      <c r="A427" s="1">
        <v>45497</v>
      </c>
      <c r="B427" t="s">
        <v>397</v>
      </c>
      <c r="C427" t="s">
        <v>7</v>
      </c>
      <c r="D427" s="2">
        <v>1740</v>
      </c>
      <c r="E427" s="2">
        <v>0</v>
      </c>
      <c r="F427" s="2">
        <v>76161</v>
      </c>
      <c r="G427" s="2" t="str">
        <f t="shared" si="6"/>
        <v>24-07-2024 NBSM/67984092/Maha Electricity(BILLDESK)/</v>
      </c>
      <c r="H427" s="2" t="s">
        <v>1911</v>
      </c>
      <c r="I427" t="s">
        <v>357</v>
      </c>
      <c r="J427" t="s">
        <v>1895</v>
      </c>
    </row>
    <row r="428" spans="1:10" x14ac:dyDescent="0.3">
      <c r="A428" s="1">
        <v>45497</v>
      </c>
      <c r="B428" t="s">
        <v>125</v>
      </c>
      <c r="C428" t="s">
        <v>883</v>
      </c>
      <c r="D428" s="2">
        <v>361.74</v>
      </c>
      <c r="E428" s="2">
        <v>0</v>
      </c>
      <c r="F428" s="2">
        <v>258487.81</v>
      </c>
      <c r="G428" s="2" t="str">
        <f t="shared" si="6"/>
        <v>24-07-2024 NET PI TO HSL SEC A/C 347707-00602340029392</v>
      </c>
      <c r="H428" s="2" t="s">
        <v>1911</v>
      </c>
      <c r="I428" t="s">
        <v>361</v>
      </c>
      <c r="J428" t="s">
        <v>1896</v>
      </c>
    </row>
    <row r="429" spans="1:10" x14ac:dyDescent="0.3">
      <c r="A429" s="1">
        <v>45497</v>
      </c>
      <c r="B429" t="s">
        <v>396</v>
      </c>
      <c r="C429" t="s">
        <v>7</v>
      </c>
      <c r="D429" s="2">
        <v>10</v>
      </c>
      <c r="E429" s="2">
        <v>0</v>
      </c>
      <c r="F429" s="2">
        <v>77901</v>
      </c>
      <c r="G429" s="2" t="str">
        <f t="shared" si="6"/>
        <v>24-07-2024 UPI/P2M/420616707831/GIRDHAR GOPAL GUPTA S/Pay to/Federal Bank</v>
      </c>
      <c r="H429" s="2" t="s">
        <v>1911</v>
      </c>
      <c r="I429" t="s">
        <v>356</v>
      </c>
      <c r="J429" t="s">
        <v>1895</v>
      </c>
    </row>
    <row r="430" spans="1:10" x14ac:dyDescent="0.3">
      <c r="A430" s="1">
        <v>45498</v>
      </c>
      <c r="B430" t="s">
        <v>888</v>
      </c>
      <c r="C430" t="s">
        <v>889</v>
      </c>
      <c r="D430" s="2">
        <v>0</v>
      </c>
      <c r="E430" s="2">
        <v>125</v>
      </c>
      <c r="F430" s="2">
        <v>274018.78000000003</v>
      </c>
      <c r="G430" s="2" t="str">
        <f t="shared" si="6"/>
        <v>25-07-2024 ACH C- BAJAJ FINSERV LIMITE-5166456</v>
      </c>
      <c r="H430" s="2" t="s">
        <v>1911</v>
      </c>
      <c r="I430" t="s">
        <v>367</v>
      </c>
      <c r="J430" t="s">
        <v>1896</v>
      </c>
    </row>
    <row r="431" spans="1:10" x14ac:dyDescent="0.3">
      <c r="A431" s="1">
        <v>45498</v>
      </c>
      <c r="B431" t="s">
        <v>128</v>
      </c>
      <c r="C431" t="s">
        <v>886</v>
      </c>
      <c r="D431" s="2">
        <v>0</v>
      </c>
      <c r="E431" s="2">
        <v>15630.84</v>
      </c>
      <c r="F431" s="2">
        <v>274298.65000000002</v>
      </c>
      <c r="G431" s="2" t="str">
        <f t="shared" si="6"/>
        <v>25-07-2024 NET PO FROM HSL A/C 347707-50200085415108</v>
      </c>
      <c r="H431" s="2" t="s">
        <v>1911</v>
      </c>
      <c r="I431" t="s">
        <v>361</v>
      </c>
      <c r="J431" t="s">
        <v>1896</v>
      </c>
    </row>
    <row r="432" spans="1:10" x14ac:dyDescent="0.3">
      <c r="A432" s="1">
        <v>45498</v>
      </c>
      <c r="B432" t="s">
        <v>125</v>
      </c>
      <c r="C432" t="s">
        <v>887</v>
      </c>
      <c r="D432" s="2">
        <v>404.87</v>
      </c>
      <c r="E432" s="2">
        <v>0</v>
      </c>
      <c r="F432" s="2">
        <v>273893.78000000003</v>
      </c>
      <c r="G432" s="2" t="str">
        <f t="shared" si="6"/>
        <v>25-07-2024 NET PI TO HSL SEC A/C 347707-00602340029392</v>
      </c>
      <c r="H432" s="2" t="s">
        <v>1911</v>
      </c>
      <c r="I432" t="s">
        <v>361</v>
      </c>
      <c r="J432" t="s">
        <v>1896</v>
      </c>
    </row>
    <row r="433" spans="1:11" x14ac:dyDescent="0.3">
      <c r="A433" s="1">
        <v>45498</v>
      </c>
      <c r="B433" t="s">
        <v>398</v>
      </c>
      <c r="C433" t="s">
        <v>7</v>
      </c>
      <c r="D433" s="2">
        <v>50</v>
      </c>
      <c r="E433" s="2">
        <v>0</v>
      </c>
      <c r="F433" s="2">
        <v>76111</v>
      </c>
      <c r="G433" s="2" t="str">
        <f t="shared" si="6"/>
        <v>25-07-2024 UPI/P2M/457372059976/SHAKIR SO NASIR HUSAI/Talor/Yes Bank Ltd</v>
      </c>
      <c r="H433" s="2" t="s">
        <v>1911</v>
      </c>
      <c r="I433" t="s">
        <v>356</v>
      </c>
      <c r="J433" t="s">
        <v>1895</v>
      </c>
    </row>
    <row r="434" spans="1:11" x14ac:dyDescent="0.3">
      <c r="A434" s="1">
        <v>45498</v>
      </c>
      <c r="B434" t="s">
        <v>399</v>
      </c>
      <c r="C434" t="s">
        <v>7</v>
      </c>
      <c r="D434" s="2">
        <v>150</v>
      </c>
      <c r="E434" s="2">
        <v>0</v>
      </c>
      <c r="F434" s="2">
        <v>75961</v>
      </c>
      <c r="G434" s="2" t="str">
        <f t="shared" si="6"/>
        <v>25-07-2024 UPI/P2A/420777807900/VIRENDRA SINGH SOLANK/Auto/AU small Finance Ban</v>
      </c>
      <c r="H434" s="2" t="s">
        <v>1911</v>
      </c>
      <c r="I434" t="s">
        <v>356</v>
      </c>
      <c r="J434" t="s">
        <v>1895</v>
      </c>
    </row>
    <row r="435" spans="1:11" x14ac:dyDescent="0.3">
      <c r="A435" s="1">
        <v>45499</v>
      </c>
      <c r="B435" t="s">
        <v>128</v>
      </c>
      <c r="C435" t="s">
        <v>890</v>
      </c>
      <c r="D435" s="2">
        <v>0</v>
      </c>
      <c r="E435" s="2">
        <v>1304.28</v>
      </c>
      <c r="F435" s="2">
        <v>275323.06</v>
      </c>
      <c r="G435" s="2" t="str">
        <f t="shared" si="6"/>
        <v>26-07-2024 NET PO FROM HSL A/C 347707-50200085415108</v>
      </c>
      <c r="H435" s="2" t="s">
        <v>1911</v>
      </c>
      <c r="I435" t="s">
        <v>361</v>
      </c>
      <c r="J435" t="s">
        <v>1896</v>
      </c>
    </row>
    <row r="436" spans="1:11" x14ac:dyDescent="0.3">
      <c r="A436" s="1">
        <v>45499</v>
      </c>
      <c r="B436" t="s">
        <v>125</v>
      </c>
      <c r="C436" t="s">
        <v>891</v>
      </c>
      <c r="D436" s="2">
        <v>410.44</v>
      </c>
      <c r="E436" s="2">
        <v>0</v>
      </c>
      <c r="F436" s="2">
        <v>274912.62</v>
      </c>
      <c r="G436" s="2" t="str">
        <f t="shared" si="6"/>
        <v>26-07-2024 NET PI TO HSL SEC A/C 347707-00602340029392</v>
      </c>
      <c r="H436" s="2" t="s">
        <v>1911</v>
      </c>
      <c r="I436" t="s">
        <v>361</v>
      </c>
      <c r="J436" t="s">
        <v>1896</v>
      </c>
    </row>
    <row r="437" spans="1:11" x14ac:dyDescent="0.3">
      <c r="A437" s="1">
        <v>45499</v>
      </c>
      <c r="B437" t="s">
        <v>400</v>
      </c>
      <c r="C437" t="s">
        <v>7</v>
      </c>
      <c r="D437" s="2">
        <v>20</v>
      </c>
      <c r="E437" s="2">
        <v>0</v>
      </c>
      <c r="F437" s="2">
        <v>75941</v>
      </c>
      <c r="G437" s="2" t="str">
        <f t="shared" si="6"/>
        <v>26-07-2024 UPI/P2M/420884821865/Vijaybhai Vedprakash /Cold d/Yes Bank Ltd</v>
      </c>
      <c r="H437" s="2" t="s">
        <v>1911</v>
      </c>
      <c r="I437" t="s">
        <v>356</v>
      </c>
      <c r="J437" t="s">
        <v>1895</v>
      </c>
    </row>
    <row r="438" spans="1:11" x14ac:dyDescent="0.3">
      <c r="A438" s="1">
        <v>45501</v>
      </c>
      <c r="B438" t="s">
        <v>401</v>
      </c>
      <c r="C438" t="s">
        <v>7</v>
      </c>
      <c r="D438" s="2">
        <v>0</v>
      </c>
      <c r="E438" s="2">
        <v>100000</v>
      </c>
      <c r="F438" s="2">
        <v>175941</v>
      </c>
      <c r="G438" s="2" t="str">
        <f t="shared" si="6"/>
        <v>28-07-2024 NEFT/SBIN124210459866/Mr AJAY KUMAR GUPTA/STATE BANK OF INDIA//ATTN//INB//monthly expenses</v>
      </c>
      <c r="H438" s="2" t="s">
        <v>1911</v>
      </c>
      <c r="I438" t="s">
        <v>1842</v>
      </c>
      <c r="J438" t="s">
        <v>1895</v>
      </c>
      <c r="K438" t="s">
        <v>1913</v>
      </c>
    </row>
    <row r="439" spans="1:11" x14ac:dyDescent="0.3">
      <c r="A439" s="1">
        <v>45501</v>
      </c>
      <c r="B439" t="s">
        <v>1782</v>
      </c>
      <c r="C439" t="s">
        <v>1783</v>
      </c>
      <c r="D439" s="2">
        <v>100000</v>
      </c>
      <c r="E439" s="2">
        <v>0</v>
      </c>
      <c r="F439" s="2">
        <v>107372.97</v>
      </c>
      <c r="G439" s="2" t="str">
        <f t="shared" ref="G439:G502" si="7">TEXT(A439,"DD")&amp;"-"&amp;TEXT(A439,"MM")&amp;"-"&amp;TEXT(A439,"YYYY")&amp;" "&amp;B439</f>
        <v>28-07-2024    TO TRANSFER-INB NEFT UTR NO: SBIN124210459866--AJAY KUMAR GUPTA</v>
      </c>
      <c r="H439" s="2" t="s">
        <v>1911</v>
      </c>
      <c r="I439" t="s">
        <v>1907</v>
      </c>
      <c r="J439" t="s">
        <v>1899</v>
      </c>
      <c r="K439" t="s">
        <v>1913</v>
      </c>
    </row>
    <row r="440" spans="1:11" x14ac:dyDescent="0.3">
      <c r="A440" s="1">
        <v>45501</v>
      </c>
      <c r="B440" t="s">
        <v>1784</v>
      </c>
      <c r="D440" s="2">
        <v>75000</v>
      </c>
      <c r="E440" s="2">
        <v>0</v>
      </c>
      <c r="F440" s="2">
        <v>32372.97</v>
      </c>
      <c r="G440" s="2" t="str">
        <f t="shared" si="7"/>
        <v>28-07-2024    by debit card-OTHPOS421019779047P N GADGIL AND SONS   NASHIK--</v>
      </c>
      <c r="H440" s="2" t="s">
        <v>1911</v>
      </c>
      <c r="I440" t="s">
        <v>1837</v>
      </c>
      <c r="J440" t="s">
        <v>1899</v>
      </c>
    </row>
    <row r="441" spans="1:11" x14ac:dyDescent="0.3">
      <c r="A441" s="1">
        <v>45501</v>
      </c>
      <c r="B441" t="s">
        <v>892</v>
      </c>
      <c r="C441" t="s">
        <v>893</v>
      </c>
      <c r="D441" s="2">
        <v>0</v>
      </c>
      <c r="E441" s="2">
        <v>30000</v>
      </c>
      <c r="F441" s="2">
        <v>304912.62</v>
      </c>
      <c r="G441" s="2" t="str">
        <f t="shared" si="7"/>
        <v>28-07-2024 UPI-AMIT KAMALKISHOR CHA-9922956991@AXL-UTIB0000115-457610772104-PAYMENT FROM PHONE</v>
      </c>
      <c r="H441" s="2" t="s">
        <v>1911</v>
      </c>
      <c r="I441" t="s">
        <v>1920</v>
      </c>
      <c r="J441" t="s">
        <v>1896</v>
      </c>
    </row>
    <row r="442" spans="1:11" x14ac:dyDescent="0.3">
      <c r="A442" s="1">
        <v>45502</v>
      </c>
      <c r="B442" t="s">
        <v>128</v>
      </c>
      <c r="C442" t="s">
        <v>894</v>
      </c>
      <c r="D442" s="2">
        <v>0</v>
      </c>
      <c r="E442" s="2">
        <v>18095.849999999999</v>
      </c>
      <c r="F442" s="2">
        <v>323008.46999999997</v>
      </c>
      <c r="G442" s="2" t="str">
        <f t="shared" si="7"/>
        <v>29-07-2024 NET PO FROM HSL A/C 347707-50200085415108</v>
      </c>
      <c r="H442" s="2" t="s">
        <v>1911</v>
      </c>
      <c r="I442" t="s">
        <v>361</v>
      </c>
      <c r="J442" t="s">
        <v>1896</v>
      </c>
    </row>
    <row r="443" spans="1:11" x14ac:dyDescent="0.3">
      <c r="A443" s="1">
        <v>45502</v>
      </c>
      <c r="B443" t="s">
        <v>128</v>
      </c>
      <c r="C443" t="s">
        <v>895</v>
      </c>
      <c r="D443" s="2">
        <v>0</v>
      </c>
      <c r="E443" s="2">
        <v>37892.910000000003</v>
      </c>
      <c r="F443" s="2">
        <v>360901.38</v>
      </c>
      <c r="G443" s="2" t="str">
        <f t="shared" si="7"/>
        <v>29-07-2024 NET PO FROM HSL A/C 347707-50200085415108</v>
      </c>
      <c r="H443" s="2" t="s">
        <v>1911</v>
      </c>
      <c r="I443" t="s">
        <v>361</v>
      </c>
      <c r="J443" t="s">
        <v>1896</v>
      </c>
    </row>
    <row r="444" spans="1:11" x14ac:dyDescent="0.3">
      <c r="A444" s="1">
        <v>45502</v>
      </c>
      <c r="B444" t="s">
        <v>125</v>
      </c>
      <c r="C444" t="s">
        <v>896</v>
      </c>
      <c r="D444" s="2">
        <v>1232.7</v>
      </c>
      <c r="E444" s="2">
        <v>0</v>
      </c>
      <c r="F444" s="2">
        <v>359668.68</v>
      </c>
      <c r="G444" s="2" t="str">
        <f t="shared" si="7"/>
        <v>29-07-2024 NET PI TO HSL SEC A/C 347707-00602340029392</v>
      </c>
      <c r="H444" s="2" t="s">
        <v>1911</v>
      </c>
      <c r="I444" t="s">
        <v>361</v>
      </c>
      <c r="J444" t="s">
        <v>1896</v>
      </c>
    </row>
    <row r="445" spans="1:11" x14ac:dyDescent="0.3">
      <c r="A445" s="1">
        <v>45502</v>
      </c>
      <c r="B445" t="s">
        <v>125</v>
      </c>
      <c r="C445" t="s">
        <v>897</v>
      </c>
      <c r="D445" s="2">
        <v>25558.2</v>
      </c>
      <c r="E445" s="2">
        <v>0</v>
      </c>
      <c r="F445" s="2">
        <v>334110.48</v>
      </c>
      <c r="G445" s="2" t="str">
        <f t="shared" si="7"/>
        <v>29-07-2024 NET PI TO HSL SEC A/C 347707-00602340029392</v>
      </c>
      <c r="H445" s="2" t="s">
        <v>1911</v>
      </c>
      <c r="I445" t="s">
        <v>361</v>
      </c>
      <c r="J445" t="s">
        <v>1896</v>
      </c>
    </row>
    <row r="446" spans="1:11" x14ac:dyDescent="0.3">
      <c r="A446" s="1">
        <v>45503</v>
      </c>
      <c r="B446" t="s">
        <v>901</v>
      </c>
      <c r="C446" t="s">
        <v>902</v>
      </c>
      <c r="D446" s="2">
        <v>0</v>
      </c>
      <c r="E446" s="2">
        <v>766.5</v>
      </c>
      <c r="F446" s="2">
        <v>337022.1</v>
      </c>
      <c r="G446" s="2" t="str">
        <f t="shared" si="7"/>
        <v>30-07-2024 ACH C- JSW STEEL LIMITED-21931616</v>
      </c>
      <c r="H446" s="2" t="s">
        <v>1911</v>
      </c>
      <c r="I446" t="s">
        <v>367</v>
      </c>
      <c r="J446" t="s">
        <v>1896</v>
      </c>
    </row>
    <row r="447" spans="1:11" x14ac:dyDescent="0.3">
      <c r="A447" s="1">
        <v>45503</v>
      </c>
      <c r="B447" t="s">
        <v>128</v>
      </c>
      <c r="C447" t="s">
        <v>898</v>
      </c>
      <c r="D447" s="2">
        <v>0</v>
      </c>
      <c r="E447" s="2">
        <v>154.37</v>
      </c>
      <c r="F447" s="2">
        <v>334264.84999999998</v>
      </c>
      <c r="G447" s="2" t="str">
        <f t="shared" si="7"/>
        <v>30-07-2024 NET PO FROM HSL A/C 347707-50200085415108</v>
      </c>
      <c r="H447" s="2" t="s">
        <v>1911</v>
      </c>
      <c r="I447" t="s">
        <v>361</v>
      </c>
      <c r="J447" t="s">
        <v>1896</v>
      </c>
    </row>
    <row r="448" spans="1:11" x14ac:dyDescent="0.3">
      <c r="A448" s="1">
        <v>45503</v>
      </c>
      <c r="B448" t="s">
        <v>128</v>
      </c>
      <c r="C448" t="s">
        <v>899</v>
      </c>
      <c r="D448" s="2">
        <v>0</v>
      </c>
      <c r="E448" s="2">
        <v>2398.9899999999998</v>
      </c>
      <c r="F448" s="2">
        <v>336663.84</v>
      </c>
      <c r="G448" s="2" t="str">
        <f t="shared" si="7"/>
        <v>30-07-2024 NET PO FROM HSL A/C 347707-50200085415108</v>
      </c>
      <c r="H448" s="2" t="s">
        <v>1911</v>
      </c>
      <c r="I448" t="s">
        <v>361</v>
      </c>
      <c r="J448" t="s">
        <v>1896</v>
      </c>
    </row>
    <row r="449" spans="1:11" x14ac:dyDescent="0.3">
      <c r="A449" s="1">
        <v>45503</v>
      </c>
      <c r="B449" t="s">
        <v>125</v>
      </c>
      <c r="C449" t="s">
        <v>900</v>
      </c>
      <c r="D449" s="2">
        <v>408.24</v>
      </c>
      <c r="E449" s="2">
        <v>0</v>
      </c>
      <c r="F449" s="2">
        <v>336255.6</v>
      </c>
      <c r="G449" s="2" t="str">
        <f t="shared" si="7"/>
        <v>30-07-2024 NET PI TO HSL SEC A/C 347707-00602340029392</v>
      </c>
      <c r="H449" s="2" t="s">
        <v>1911</v>
      </c>
      <c r="I449" t="s">
        <v>361</v>
      </c>
      <c r="J449" t="s">
        <v>1896</v>
      </c>
    </row>
    <row r="450" spans="1:11" x14ac:dyDescent="0.3">
      <c r="A450" s="1">
        <v>45503</v>
      </c>
      <c r="B450" t="s">
        <v>125</v>
      </c>
      <c r="C450" t="s">
        <v>903</v>
      </c>
      <c r="D450" s="2">
        <v>206370.02</v>
      </c>
      <c r="E450" s="2">
        <v>0</v>
      </c>
      <c r="F450" s="2">
        <v>130652.08</v>
      </c>
      <c r="G450" s="2" t="str">
        <f t="shared" si="7"/>
        <v>30-07-2024 NET PI TO HSL SEC A/C 347707-00602340029392</v>
      </c>
      <c r="H450" s="2" t="s">
        <v>1911</v>
      </c>
      <c r="I450" t="s">
        <v>361</v>
      </c>
      <c r="J450" t="s">
        <v>1896</v>
      </c>
    </row>
    <row r="451" spans="1:11" x14ac:dyDescent="0.3">
      <c r="A451" s="1">
        <v>45504</v>
      </c>
      <c r="B451" t="s">
        <v>754</v>
      </c>
      <c r="D451" s="2">
        <v>16</v>
      </c>
      <c r="E451" s="2">
        <v>0</v>
      </c>
      <c r="F451" s="2">
        <v>-971.37</v>
      </c>
      <c r="G451" s="2" t="str">
        <f t="shared" si="7"/>
        <v>31-07-2024    DEBIT INTEREST---</v>
      </c>
      <c r="H451" s="2" t="s">
        <v>1911</v>
      </c>
      <c r="I451" t="s">
        <v>1915</v>
      </c>
      <c r="J451" t="s">
        <v>1897</v>
      </c>
    </row>
    <row r="452" spans="1:11" x14ac:dyDescent="0.3">
      <c r="A452" s="1">
        <v>45504</v>
      </c>
      <c r="B452" t="s">
        <v>906</v>
      </c>
      <c r="C452" t="s">
        <v>907</v>
      </c>
      <c r="D452" s="2">
        <v>0</v>
      </c>
      <c r="E452" s="2">
        <v>1060</v>
      </c>
      <c r="F452" s="2">
        <v>326149.78000000003</v>
      </c>
      <c r="G452" s="2" t="str">
        <f t="shared" si="7"/>
        <v>31-07-2024 ACH C- ATUL LTDFNLDIV 23 24-19450</v>
      </c>
      <c r="H452" s="2" t="s">
        <v>1911</v>
      </c>
      <c r="I452" t="s">
        <v>367</v>
      </c>
      <c r="J452" t="s">
        <v>1896</v>
      </c>
    </row>
    <row r="453" spans="1:11" x14ac:dyDescent="0.3">
      <c r="A453" s="1">
        <v>45504</v>
      </c>
      <c r="B453" t="s">
        <v>910</v>
      </c>
      <c r="C453" t="s">
        <v>911</v>
      </c>
      <c r="D453" s="2">
        <v>0</v>
      </c>
      <c r="E453" s="2">
        <v>115</v>
      </c>
      <c r="F453" s="2">
        <v>318264.78000000003</v>
      </c>
      <c r="G453" s="2" t="str">
        <f t="shared" si="7"/>
        <v>31-07-2024 ACH C- AXIS BANK LIMITED-7152531</v>
      </c>
      <c r="H453" s="2" t="s">
        <v>1911</v>
      </c>
      <c r="I453" t="s">
        <v>367</v>
      </c>
      <c r="J453" t="s">
        <v>1896</v>
      </c>
    </row>
    <row r="454" spans="1:11" x14ac:dyDescent="0.3">
      <c r="A454" s="1">
        <v>45504</v>
      </c>
      <c r="B454" t="s">
        <v>128</v>
      </c>
      <c r="C454" t="s">
        <v>904</v>
      </c>
      <c r="D454" s="2">
        <v>0</v>
      </c>
      <c r="E454" s="2">
        <v>194793.94</v>
      </c>
      <c r="F454" s="2">
        <v>325446.02</v>
      </c>
      <c r="G454" s="2" t="str">
        <f t="shared" si="7"/>
        <v>31-07-2024 NET PO FROM HSL A/C 347707-50200085415108</v>
      </c>
      <c r="H454" s="2" t="s">
        <v>1911</v>
      </c>
      <c r="I454" t="s">
        <v>361</v>
      </c>
      <c r="J454" t="s">
        <v>1896</v>
      </c>
    </row>
    <row r="455" spans="1:11" x14ac:dyDescent="0.3">
      <c r="A455" s="1">
        <v>45504</v>
      </c>
      <c r="B455" t="s">
        <v>125</v>
      </c>
      <c r="C455" t="s">
        <v>905</v>
      </c>
      <c r="D455" s="2">
        <v>356.24</v>
      </c>
      <c r="E455" s="2">
        <v>0</v>
      </c>
      <c r="F455" s="2">
        <v>325089.78000000003</v>
      </c>
      <c r="G455" s="2" t="str">
        <f t="shared" si="7"/>
        <v>31-07-2024 NET PI TO HSL SEC A/C 347707-00602340029392</v>
      </c>
      <c r="H455" s="2" t="s">
        <v>1911</v>
      </c>
      <c r="I455" t="s">
        <v>361</v>
      </c>
      <c r="J455" t="s">
        <v>1896</v>
      </c>
    </row>
    <row r="456" spans="1:11" x14ac:dyDescent="0.3">
      <c r="A456" s="1">
        <v>45504</v>
      </c>
      <c r="B456" t="s">
        <v>125</v>
      </c>
      <c r="C456" t="s">
        <v>914</v>
      </c>
      <c r="D456" s="2">
        <v>135587.03</v>
      </c>
      <c r="E456" s="2">
        <v>0</v>
      </c>
      <c r="F456" s="2">
        <v>200677.75</v>
      </c>
      <c r="G456" s="2" t="str">
        <f t="shared" si="7"/>
        <v>31-07-2024 NET PI TO HSL SEC A/C 347707-00602340029392</v>
      </c>
      <c r="H456" s="2" t="s">
        <v>1911</v>
      </c>
      <c r="I456" t="s">
        <v>361</v>
      </c>
      <c r="J456" t="s">
        <v>1896</v>
      </c>
    </row>
    <row r="457" spans="1:11" x14ac:dyDescent="0.3">
      <c r="A457" s="1">
        <v>45504</v>
      </c>
      <c r="B457" t="s">
        <v>1740</v>
      </c>
      <c r="C457" t="s">
        <v>1785</v>
      </c>
      <c r="D457" s="2">
        <v>0</v>
      </c>
      <c r="E457" s="2">
        <v>661.68</v>
      </c>
      <c r="F457" s="2">
        <v>33034.65</v>
      </c>
      <c r="G457" s="2" t="str">
        <f t="shared" si="7"/>
        <v>31-07-2024    BY TRANSFER-INB -For 19260165--</v>
      </c>
      <c r="H457" s="2" t="s">
        <v>1911</v>
      </c>
      <c r="I457" t="s">
        <v>1887</v>
      </c>
      <c r="J457" t="s">
        <v>1899</v>
      </c>
    </row>
    <row r="458" spans="1:11" x14ac:dyDescent="0.3">
      <c r="A458" s="1">
        <v>45504</v>
      </c>
      <c r="B458" t="s">
        <v>908</v>
      </c>
      <c r="C458" t="s">
        <v>909</v>
      </c>
      <c r="D458" s="2">
        <v>8000</v>
      </c>
      <c r="E458" s="2">
        <v>0</v>
      </c>
      <c r="F458" s="2">
        <v>318149.78000000003</v>
      </c>
      <c r="G458" s="2" t="str">
        <f t="shared" si="7"/>
        <v>31-07-2024 ACH D- SMALLCASE-TF55PFSY9O4E</v>
      </c>
      <c r="H458" s="2" t="s">
        <v>1911</v>
      </c>
      <c r="I458" t="s">
        <v>1855</v>
      </c>
      <c r="J458" t="s">
        <v>1896</v>
      </c>
    </row>
    <row r="459" spans="1:11" x14ac:dyDescent="0.3">
      <c r="A459" s="1">
        <v>45504</v>
      </c>
      <c r="B459" t="s">
        <v>402</v>
      </c>
      <c r="C459" t="s">
        <v>7</v>
      </c>
      <c r="D459" s="2">
        <v>1</v>
      </c>
      <c r="E459" s="2">
        <v>0</v>
      </c>
      <c r="F459" s="2">
        <v>175940</v>
      </c>
      <c r="G459" s="2" t="str">
        <f t="shared" si="7"/>
        <v>31-07-2024 UPI/P2A/421325682040/MEGHA GUPTA          /Paymen/HDFC BANK LTD</v>
      </c>
      <c r="H459" s="2" t="s">
        <v>1911</v>
      </c>
      <c r="I459" t="s">
        <v>356</v>
      </c>
      <c r="J459" t="s">
        <v>1895</v>
      </c>
    </row>
    <row r="460" spans="1:11" x14ac:dyDescent="0.3">
      <c r="A460" s="1">
        <v>45504</v>
      </c>
      <c r="B460" t="s">
        <v>912</v>
      </c>
      <c r="C460" t="s">
        <v>913</v>
      </c>
      <c r="D460" s="2">
        <v>0</v>
      </c>
      <c r="E460" s="2">
        <v>18000</v>
      </c>
      <c r="F460" s="2">
        <v>336264.78</v>
      </c>
      <c r="G460" s="2" t="str">
        <f t="shared" si="7"/>
        <v>31-07-2024 UPI-PRAMOD SHARMA SO S N-9822767780@YBL-UTIB0000629-457969846703-PAYMENT FROM PHONE</v>
      </c>
      <c r="H460" s="2" t="s">
        <v>1911</v>
      </c>
      <c r="I460" t="s">
        <v>1917</v>
      </c>
      <c r="J460" t="s">
        <v>1896</v>
      </c>
    </row>
    <row r="461" spans="1:11" x14ac:dyDescent="0.3">
      <c r="A461" s="1">
        <v>45505</v>
      </c>
      <c r="B461" t="s">
        <v>752</v>
      </c>
      <c r="C461" t="s">
        <v>764</v>
      </c>
      <c r="D461" s="2">
        <v>26000</v>
      </c>
      <c r="E461" s="2">
        <v>0</v>
      </c>
      <c r="F461" s="2">
        <v>-26971.37</v>
      </c>
      <c r="G461" s="2" t="str">
        <f t="shared" si="7"/>
        <v>01-08-2024    TO TRANSFER-INB Payment towards loan repayment--</v>
      </c>
      <c r="H461" s="2" t="s">
        <v>1911</v>
      </c>
      <c r="I461" t="s">
        <v>1842</v>
      </c>
      <c r="J461" t="s">
        <v>1897</v>
      </c>
      <c r="K461" t="s">
        <v>1913</v>
      </c>
    </row>
    <row r="462" spans="1:11" x14ac:dyDescent="0.3">
      <c r="A462" s="1">
        <v>45505</v>
      </c>
      <c r="B462" t="s">
        <v>758</v>
      </c>
      <c r="C462" t="s">
        <v>1786</v>
      </c>
      <c r="D462" s="2">
        <v>0</v>
      </c>
      <c r="E462" s="2">
        <v>26000</v>
      </c>
      <c r="F462" s="2">
        <v>59034.65</v>
      </c>
      <c r="G462" s="2" t="str">
        <f t="shared" si="7"/>
        <v>01-08-2024    BY TRANSFER-INB Payment towards loan repayment--</v>
      </c>
      <c r="H462" s="2" t="s">
        <v>1911</v>
      </c>
      <c r="I462" t="s">
        <v>1906</v>
      </c>
      <c r="J462" t="s">
        <v>1899</v>
      </c>
      <c r="K462" t="s">
        <v>1913</v>
      </c>
    </row>
    <row r="463" spans="1:11" x14ac:dyDescent="0.3">
      <c r="A463" s="1">
        <v>45505</v>
      </c>
      <c r="B463" t="s">
        <v>128</v>
      </c>
      <c r="C463" t="s">
        <v>915</v>
      </c>
      <c r="D463" s="2">
        <v>0</v>
      </c>
      <c r="E463" s="2">
        <v>16063.34</v>
      </c>
      <c r="F463" s="2">
        <v>216741.09</v>
      </c>
      <c r="G463" s="2" t="str">
        <f t="shared" si="7"/>
        <v>01-08-2024 NET PO FROM HSL A/C 347707-50200085415108</v>
      </c>
      <c r="H463" s="2" t="s">
        <v>1911</v>
      </c>
      <c r="I463" t="s">
        <v>361</v>
      </c>
      <c r="J463" t="s">
        <v>1896</v>
      </c>
    </row>
    <row r="464" spans="1:11" x14ac:dyDescent="0.3">
      <c r="A464" s="1">
        <v>45505</v>
      </c>
      <c r="B464" t="s">
        <v>125</v>
      </c>
      <c r="C464" t="s">
        <v>916</v>
      </c>
      <c r="D464" s="2">
        <v>318.98</v>
      </c>
      <c r="E464" s="2">
        <v>0</v>
      </c>
      <c r="F464" s="2">
        <v>216422.11</v>
      </c>
      <c r="G464" s="2" t="str">
        <f t="shared" si="7"/>
        <v>01-08-2024 NET PI TO HSL SEC A/C 347707-00602340029392</v>
      </c>
      <c r="H464" s="2" t="s">
        <v>1911</v>
      </c>
      <c r="I464" t="s">
        <v>361</v>
      </c>
      <c r="J464" t="s">
        <v>1896</v>
      </c>
    </row>
    <row r="465" spans="1:11" x14ac:dyDescent="0.3">
      <c r="A465" s="1">
        <v>45505</v>
      </c>
      <c r="B465" t="s">
        <v>125</v>
      </c>
      <c r="C465" t="s">
        <v>917</v>
      </c>
      <c r="D465" s="2">
        <v>13071.05</v>
      </c>
      <c r="E465" s="2">
        <v>0</v>
      </c>
      <c r="F465" s="2">
        <v>203351.06</v>
      </c>
      <c r="G465" s="2" t="str">
        <f t="shared" si="7"/>
        <v>01-08-2024 NET PI TO HSL SEC A/C 347707-00602340029392</v>
      </c>
      <c r="H465" s="2" t="s">
        <v>1911</v>
      </c>
      <c r="I465" t="s">
        <v>361</v>
      </c>
      <c r="J465" t="s">
        <v>1896</v>
      </c>
    </row>
    <row r="466" spans="1:11" x14ac:dyDescent="0.3">
      <c r="A466" s="1">
        <v>45505</v>
      </c>
      <c r="B466" t="s">
        <v>1740</v>
      </c>
      <c r="C466" t="s">
        <v>1787</v>
      </c>
      <c r="D466" s="2">
        <v>0</v>
      </c>
      <c r="E466" s="2">
        <v>36531.68</v>
      </c>
      <c r="F466" s="2">
        <v>95566.33</v>
      </c>
      <c r="G466" s="2" t="str">
        <f t="shared" si="7"/>
        <v>01-08-2024    BY TRANSFER-INB -For 19260165--</v>
      </c>
      <c r="H466" s="2" t="s">
        <v>1911</v>
      </c>
      <c r="I466" t="s">
        <v>1887</v>
      </c>
      <c r="J466" t="s">
        <v>1899</v>
      </c>
    </row>
    <row r="467" spans="1:11" x14ac:dyDescent="0.3">
      <c r="A467" s="1">
        <v>45505</v>
      </c>
      <c r="B467" t="s">
        <v>403</v>
      </c>
      <c r="C467" t="s">
        <v>7</v>
      </c>
      <c r="D467" s="23">
        <v>27</v>
      </c>
      <c r="E467" s="2">
        <v>0</v>
      </c>
      <c r="F467" s="2">
        <v>175913</v>
      </c>
      <c r="G467" s="2" t="str">
        <f t="shared" si="7"/>
        <v>01-08-2024 UPI/P2M/458073450011/PROP KALPESH KANAIYA /Photoc/Yes Bank Ltd</v>
      </c>
      <c r="H467" s="2" t="s">
        <v>1911</v>
      </c>
      <c r="I467" t="s">
        <v>356</v>
      </c>
      <c r="J467" t="s">
        <v>1895</v>
      </c>
    </row>
    <row r="468" spans="1:11" x14ac:dyDescent="0.3">
      <c r="A468" s="1">
        <v>45506</v>
      </c>
      <c r="B468" t="s">
        <v>750</v>
      </c>
      <c r="C468" t="s">
        <v>751</v>
      </c>
      <c r="D468" s="2">
        <v>0</v>
      </c>
      <c r="E468" s="2">
        <v>26595</v>
      </c>
      <c r="F468" s="2">
        <v>-376.37</v>
      </c>
      <c r="G468" s="2" t="str">
        <f t="shared" si="7"/>
        <v>02-08-2024    DEPOSIT TRANSFER---</v>
      </c>
      <c r="H468" s="2" t="s">
        <v>1911</v>
      </c>
      <c r="I468" t="s">
        <v>1842</v>
      </c>
      <c r="J468" t="s">
        <v>1897</v>
      </c>
      <c r="K468" t="s">
        <v>1913</v>
      </c>
    </row>
    <row r="469" spans="1:11" x14ac:dyDescent="0.3">
      <c r="A469" s="1">
        <v>45506</v>
      </c>
      <c r="B469" t="s">
        <v>1734</v>
      </c>
      <c r="C469" t="s">
        <v>1735</v>
      </c>
      <c r="D469" s="2">
        <v>26595</v>
      </c>
      <c r="E469" s="2">
        <v>0</v>
      </c>
      <c r="F469" s="2">
        <v>68971.33</v>
      </c>
      <c r="G469" s="2" t="str">
        <f t="shared" si="7"/>
        <v>02-08-2024    WITHDRAWAL TRANSFER---</v>
      </c>
      <c r="H469" s="2" t="s">
        <v>1911</v>
      </c>
      <c r="I469" t="s">
        <v>1906</v>
      </c>
      <c r="J469" t="s">
        <v>1899</v>
      </c>
      <c r="K469" t="s">
        <v>1913</v>
      </c>
    </row>
    <row r="470" spans="1:11" x14ac:dyDescent="0.3">
      <c r="A470" s="1">
        <v>45506</v>
      </c>
      <c r="B470" t="s">
        <v>921</v>
      </c>
      <c r="C470" t="s">
        <v>922</v>
      </c>
      <c r="D470" s="2">
        <v>0</v>
      </c>
      <c r="E470" s="2">
        <v>80</v>
      </c>
      <c r="F470" s="2">
        <v>246200.65</v>
      </c>
      <c r="G470" s="2" t="str">
        <f t="shared" si="7"/>
        <v>02-08-2024 ACH C- NEWGEN SOFTWARE TECH-826467</v>
      </c>
      <c r="H470" s="2" t="s">
        <v>1911</v>
      </c>
      <c r="I470" t="s">
        <v>367</v>
      </c>
      <c r="J470" t="s">
        <v>1896</v>
      </c>
    </row>
    <row r="471" spans="1:11" x14ac:dyDescent="0.3">
      <c r="A471" s="1">
        <v>45506</v>
      </c>
      <c r="B471" t="s">
        <v>128</v>
      </c>
      <c r="C471" t="s">
        <v>918</v>
      </c>
      <c r="D471" s="2">
        <v>0</v>
      </c>
      <c r="E471" s="2">
        <v>300.83999999999997</v>
      </c>
      <c r="F471" s="2">
        <v>203651.9</v>
      </c>
      <c r="G471" s="2" t="str">
        <f t="shared" si="7"/>
        <v>02-08-2024 NET PO FROM HSL A/C 347707-50200085415108</v>
      </c>
      <c r="H471" s="2" t="s">
        <v>1911</v>
      </c>
      <c r="I471" t="s">
        <v>361</v>
      </c>
      <c r="J471" t="s">
        <v>1896</v>
      </c>
    </row>
    <row r="472" spans="1:11" x14ac:dyDescent="0.3">
      <c r="A472" s="1">
        <v>45506</v>
      </c>
      <c r="B472" t="s">
        <v>128</v>
      </c>
      <c r="C472" t="s">
        <v>919</v>
      </c>
      <c r="D472" s="2">
        <v>0</v>
      </c>
      <c r="E472" s="2">
        <v>42742.64</v>
      </c>
      <c r="F472" s="2">
        <v>246394.54</v>
      </c>
      <c r="G472" s="2" t="str">
        <f t="shared" si="7"/>
        <v>02-08-2024 NET PO FROM HSL A/C 347707-50200085415108</v>
      </c>
      <c r="H472" s="2" t="s">
        <v>1911</v>
      </c>
      <c r="I472" t="s">
        <v>361</v>
      </c>
      <c r="J472" t="s">
        <v>1896</v>
      </c>
    </row>
    <row r="473" spans="1:11" x14ac:dyDescent="0.3">
      <c r="A473" s="1">
        <v>45506</v>
      </c>
      <c r="B473" t="s">
        <v>125</v>
      </c>
      <c r="C473" t="s">
        <v>920</v>
      </c>
      <c r="D473" s="2">
        <v>273.89</v>
      </c>
      <c r="E473" s="2">
        <v>0</v>
      </c>
      <c r="F473" s="2">
        <v>246120.65</v>
      </c>
      <c r="G473" s="2" t="str">
        <f t="shared" si="7"/>
        <v>02-08-2024 NET PI TO HSL SEC A/C 347707-00602340029392</v>
      </c>
      <c r="H473" s="2" t="s">
        <v>1911</v>
      </c>
      <c r="I473" t="s">
        <v>361</v>
      </c>
      <c r="J473" t="s">
        <v>1896</v>
      </c>
    </row>
    <row r="474" spans="1:11" x14ac:dyDescent="0.3">
      <c r="A474" s="1">
        <v>45506</v>
      </c>
      <c r="B474" t="s">
        <v>404</v>
      </c>
      <c r="C474" t="s">
        <v>7</v>
      </c>
      <c r="D474" s="23">
        <v>63</v>
      </c>
      <c r="E474" s="2">
        <v>0</v>
      </c>
      <c r="F474" s="2">
        <v>175850</v>
      </c>
      <c r="G474" s="2" t="str">
        <f t="shared" si="7"/>
        <v>02-08-2024 UPI/P2M/421501552214/JEET PHARMACY AND MIN/Eye dr/Axis Bank Ltd.</v>
      </c>
      <c r="H474" s="2" t="s">
        <v>1911</v>
      </c>
      <c r="I474" t="s">
        <v>356</v>
      </c>
      <c r="J474" t="s">
        <v>1895</v>
      </c>
    </row>
    <row r="475" spans="1:11" x14ac:dyDescent="0.3">
      <c r="A475" s="1">
        <v>45507</v>
      </c>
      <c r="B475" t="s">
        <v>125</v>
      </c>
      <c r="C475" t="s">
        <v>923</v>
      </c>
      <c r="D475" s="2">
        <v>19684.34</v>
      </c>
      <c r="E475" s="2">
        <v>0</v>
      </c>
      <c r="F475" s="2">
        <v>226516.31</v>
      </c>
      <c r="G475" s="2" t="str">
        <f t="shared" si="7"/>
        <v>03-08-2024 NET PI TO HSL SEC A/C 347707-00602340029392</v>
      </c>
      <c r="H475" s="2" t="s">
        <v>1911</v>
      </c>
      <c r="I475" t="s">
        <v>361</v>
      </c>
      <c r="J475" t="s">
        <v>1896</v>
      </c>
    </row>
    <row r="476" spans="1:11" x14ac:dyDescent="0.3">
      <c r="A476" s="1">
        <v>45507</v>
      </c>
      <c r="B476" t="s">
        <v>405</v>
      </c>
      <c r="C476" t="s">
        <v>7</v>
      </c>
      <c r="D476" s="23">
        <v>70</v>
      </c>
      <c r="E476" s="2">
        <v>0</v>
      </c>
      <c r="F476" s="2">
        <v>175780</v>
      </c>
      <c r="G476" s="2" t="str">
        <f t="shared" si="7"/>
        <v>03-08-2024 UPI/P2M/458275248313/Mr VILAS RAMKRUSHNA J/Photo/Yes Bank Ltd</v>
      </c>
      <c r="H476" s="2" t="s">
        <v>1911</v>
      </c>
      <c r="I476" t="s">
        <v>356</v>
      </c>
      <c r="J476" t="s">
        <v>1895</v>
      </c>
    </row>
    <row r="477" spans="1:11" x14ac:dyDescent="0.3">
      <c r="A477" s="1">
        <v>45507</v>
      </c>
      <c r="B477" t="s">
        <v>406</v>
      </c>
      <c r="C477" t="s">
        <v>7</v>
      </c>
      <c r="D477" s="23">
        <v>55</v>
      </c>
      <c r="E477" s="2">
        <v>0</v>
      </c>
      <c r="F477" s="2">
        <v>175725</v>
      </c>
      <c r="G477" s="2" t="str">
        <f t="shared" si="7"/>
        <v>03-08-2024 UPI/P2M/458248660406/AANCHAL ENTERPRISES  /Statio/Yes Bank Ltd</v>
      </c>
      <c r="H477" s="2" t="s">
        <v>1911</v>
      </c>
      <c r="I477" t="s">
        <v>356</v>
      </c>
      <c r="J477" t="s">
        <v>1895</v>
      </c>
    </row>
    <row r="478" spans="1:11" x14ac:dyDescent="0.3">
      <c r="A478" s="1">
        <v>45507</v>
      </c>
      <c r="B478" t="s">
        <v>407</v>
      </c>
      <c r="C478" t="s">
        <v>7</v>
      </c>
      <c r="D478" s="23">
        <v>100</v>
      </c>
      <c r="E478" s="2">
        <v>0</v>
      </c>
      <c r="F478" s="2">
        <v>175625</v>
      </c>
      <c r="G478" s="2" t="str">
        <f t="shared" si="7"/>
        <v>03-08-2024 UPI/P2M/458220030334/BHAUSAHEB MOTIRAM GAR/Vegita/Yes Bank Ltd</v>
      </c>
      <c r="H478" s="2" t="s">
        <v>1911</v>
      </c>
      <c r="I478" t="s">
        <v>356</v>
      </c>
      <c r="J478" t="s">
        <v>1895</v>
      </c>
    </row>
    <row r="479" spans="1:11" x14ac:dyDescent="0.3">
      <c r="A479" s="1">
        <v>45509</v>
      </c>
      <c r="B479" t="s">
        <v>928</v>
      </c>
      <c r="C479" t="s">
        <v>929</v>
      </c>
      <c r="D479" s="2">
        <v>0</v>
      </c>
      <c r="E479" s="2">
        <v>140</v>
      </c>
      <c r="F479" s="2">
        <v>244681.87</v>
      </c>
      <c r="G479" s="2" t="str">
        <f t="shared" si="7"/>
        <v>05-08-2024 ACH C- KOTAK MAHINDRA BANK-5688821</v>
      </c>
      <c r="H479" s="2" t="s">
        <v>1911</v>
      </c>
      <c r="I479" t="s">
        <v>367</v>
      </c>
      <c r="J479" t="s">
        <v>1896</v>
      </c>
    </row>
    <row r="480" spans="1:11" x14ac:dyDescent="0.3">
      <c r="A480" s="1">
        <v>45509</v>
      </c>
      <c r="B480" t="s">
        <v>128</v>
      </c>
      <c r="C480" t="s">
        <v>924</v>
      </c>
      <c r="D480" s="2">
        <v>0</v>
      </c>
      <c r="E480" s="2">
        <v>28798.57</v>
      </c>
      <c r="F480" s="2">
        <v>255314.88</v>
      </c>
      <c r="G480" s="2" t="str">
        <f t="shared" si="7"/>
        <v>05-08-2024 NET PO FROM HSL A/C 347707-50200085415108</v>
      </c>
      <c r="H480" s="2" t="s">
        <v>1911</v>
      </c>
      <c r="I480" t="s">
        <v>361</v>
      </c>
      <c r="J480" t="s">
        <v>1896</v>
      </c>
    </row>
    <row r="481" spans="1:10" x14ac:dyDescent="0.3">
      <c r="A481" s="1">
        <v>45509</v>
      </c>
      <c r="B481" t="s">
        <v>125</v>
      </c>
      <c r="C481" t="s">
        <v>925</v>
      </c>
      <c r="D481" s="2">
        <v>773.01</v>
      </c>
      <c r="E481" s="2">
        <v>0</v>
      </c>
      <c r="F481" s="2">
        <v>254541.87</v>
      </c>
      <c r="G481" s="2" t="str">
        <f t="shared" si="7"/>
        <v>05-08-2024 NET PI TO HSL SEC A/C 347707-00602340029392</v>
      </c>
      <c r="H481" s="2" t="s">
        <v>1911</v>
      </c>
      <c r="I481" t="s">
        <v>361</v>
      </c>
      <c r="J481" t="s">
        <v>1896</v>
      </c>
    </row>
    <row r="482" spans="1:10" x14ac:dyDescent="0.3">
      <c r="A482" s="1">
        <v>45509</v>
      </c>
      <c r="B482" t="s">
        <v>125</v>
      </c>
      <c r="C482" t="s">
        <v>930</v>
      </c>
      <c r="D482" s="2">
        <v>89156.99</v>
      </c>
      <c r="E482" s="2">
        <v>0</v>
      </c>
      <c r="F482" s="2">
        <v>155524.88</v>
      </c>
      <c r="G482" s="2" t="str">
        <f t="shared" si="7"/>
        <v>05-08-2024 NET PI TO HSL SEC A/C 347707-00602340029392</v>
      </c>
      <c r="H482" s="2" t="s">
        <v>1911</v>
      </c>
      <c r="I482" t="s">
        <v>361</v>
      </c>
      <c r="J482" t="s">
        <v>1896</v>
      </c>
    </row>
    <row r="483" spans="1:10" x14ac:dyDescent="0.3">
      <c r="A483" s="1">
        <v>45509</v>
      </c>
      <c r="B483" t="s">
        <v>926</v>
      </c>
      <c r="C483" t="s">
        <v>927</v>
      </c>
      <c r="D483" s="2">
        <v>10000</v>
      </c>
      <c r="E483" s="2">
        <v>0</v>
      </c>
      <c r="F483" s="2">
        <v>244541.87</v>
      </c>
      <c r="G483" s="2" t="str">
        <f t="shared" si="7"/>
        <v>05-08-2024 YHDF2404048603/BILLDKINDIANCLEARING</v>
      </c>
      <c r="H483" s="2" t="s">
        <v>1911</v>
      </c>
      <c r="I483" t="s">
        <v>1854</v>
      </c>
      <c r="J483" t="s">
        <v>1896</v>
      </c>
    </row>
    <row r="484" spans="1:10" x14ac:dyDescent="0.3">
      <c r="A484" s="1">
        <v>45509</v>
      </c>
      <c r="B484" t="s">
        <v>408</v>
      </c>
      <c r="C484" t="s">
        <v>7</v>
      </c>
      <c r="D484" s="23">
        <v>2695</v>
      </c>
      <c r="E484" s="2">
        <v>0</v>
      </c>
      <c r="F484" s="2">
        <v>172930</v>
      </c>
      <c r="G484" s="2" t="str">
        <f t="shared" si="7"/>
        <v>05-08-2024 UPI/P2M/458450745037/K MUHURAT RETAIL IND /Jeans/Yes Bank Ltd</v>
      </c>
      <c r="H484" s="2" t="s">
        <v>1911</v>
      </c>
      <c r="I484" t="s">
        <v>356</v>
      </c>
      <c r="J484" t="s">
        <v>1895</v>
      </c>
    </row>
    <row r="485" spans="1:10" x14ac:dyDescent="0.3">
      <c r="A485" s="1">
        <v>45509</v>
      </c>
      <c r="B485" t="s">
        <v>409</v>
      </c>
      <c r="C485" t="s">
        <v>7</v>
      </c>
      <c r="D485" s="23">
        <v>3115</v>
      </c>
      <c r="E485" s="2">
        <v>0</v>
      </c>
      <c r="F485" s="2">
        <v>169815</v>
      </c>
      <c r="G485" s="2" t="str">
        <f t="shared" si="7"/>
        <v>05-08-2024 UPI/P2M/458459190215/K MUHURAT RETAIL IND /T shir/Yes Bank Ltd</v>
      </c>
      <c r="H485" s="2" t="s">
        <v>1911</v>
      </c>
      <c r="I485" t="s">
        <v>356</v>
      </c>
      <c r="J485" t="s">
        <v>1895</v>
      </c>
    </row>
    <row r="486" spans="1:10" x14ac:dyDescent="0.3">
      <c r="A486" s="1">
        <v>45510</v>
      </c>
      <c r="B486" t="s">
        <v>1788</v>
      </c>
      <c r="D486" s="2">
        <v>0</v>
      </c>
      <c r="E486" s="2">
        <v>860</v>
      </c>
      <c r="F486" s="2">
        <v>69831.33</v>
      </c>
      <c r="G486" s="2" t="str">
        <f t="shared" si="7"/>
        <v>06-08-2024    BULK POSTING-ACHCr HDFC01160000010513 PAUSHAKLTDDIV2--</v>
      </c>
      <c r="H486" s="2" t="s">
        <v>1911</v>
      </c>
      <c r="I486" t="s">
        <v>367</v>
      </c>
      <c r="J486" t="s">
        <v>1899</v>
      </c>
    </row>
    <row r="487" spans="1:10" x14ac:dyDescent="0.3">
      <c r="A487" s="1">
        <v>45510</v>
      </c>
      <c r="B487" t="s">
        <v>128</v>
      </c>
      <c r="C487" t="s">
        <v>931</v>
      </c>
      <c r="D487" s="2">
        <v>0</v>
      </c>
      <c r="E487" s="2">
        <v>196424.07</v>
      </c>
      <c r="F487" s="2">
        <v>351948.95</v>
      </c>
      <c r="G487" s="2" t="str">
        <f t="shared" si="7"/>
        <v>06-08-2024 NET PO FROM HSL A/C 347707-50200085415108</v>
      </c>
      <c r="H487" s="2" t="s">
        <v>1911</v>
      </c>
      <c r="I487" t="s">
        <v>361</v>
      </c>
      <c r="J487" t="s">
        <v>1896</v>
      </c>
    </row>
    <row r="488" spans="1:10" x14ac:dyDescent="0.3">
      <c r="A488" s="1">
        <v>45510</v>
      </c>
      <c r="B488" t="s">
        <v>125</v>
      </c>
      <c r="C488" t="s">
        <v>932</v>
      </c>
      <c r="D488" s="2">
        <v>237.07</v>
      </c>
      <c r="E488" s="2">
        <v>0</v>
      </c>
      <c r="F488" s="2">
        <v>351711.88</v>
      </c>
      <c r="G488" s="2" t="str">
        <f t="shared" si="7"/>
        <v>06-08-2024 NET PI TO HSL SEC A/C 347707-00602340029392</v>
      </c>
      <c r="H488" s="2" t="s">
        <v>1911</v>
      </c>
      <c r="I488" t="s">
        <v>361</v>
      </c>
      <c r="J488" t="s">
        <v>1896</v>
      </c>
    </row>
    <row r="489" spans="1:10" x14ac:dyDescent="0.3">
      <c r="A489" s="1">
        <v>45510</v>
      </c>
      <c r="B489" t="s">
        <v>125</v>
      </c>
      <c r="C489" t="s">
        <v>933</v>
      </c>
      <c r="D489" s="2">
        <v>83547.61</v>
      </c>
      <c r="E489" s="2">
        <v>0</v>
      </c>
      <c r="F489" s="2">
        <v>268164.27</v>
      </c>
      <c r="G489" s="2" t="str">
        <f t="shared" si="7"/>
        <v>06-08-2024 NET PI TO HSL SEC A/C 347707-00602340029392</v>
      </c>
      <c r="H489" s="2" t="s">
        <v>1911</v>
      </c>
      <c r="I489" t="s">
        <v>361</v>
      </c>
      <c r="J489" t="s">
        <v>1896</v>
      </c>
    </row>
    <row r="490" spans="1:10" x14ac:dyDescent="0.3">
      <c r="A490" s="1">
        <v>45511</v>
      </c>
      <c r="B490" t="s">
        <v>8</v>
      </c>
      <c r="C490" t="s">
        <v>7</v>
      </c>
      <c r="D490" s="2">
        <v>20978.76</v>
      </c>
      <c r="E490" s="2">
        <v>0</v>
      </c>
      <c r="F490" s="2">
        <v>148836.24</v>
      </c>
      <c r="G490" s="2" t="str">
        <f t="shared" si="7"/>
        <v>07-08-2024 BRN-PYMT-CARD-4111460000883615</v>
      </c>
      <c r="H490" s="2" t="s">
        <v>1911</v>
      </c>
      <c r="I490" t="s">
        <v>1877</v>
      </c>
      <c r="J490" t="s">
        <v>1895</v>
      </c>
    </row>
    <row r="491" spans="1:10" x14ac:dyDescent="0.3">
      <c r="A491" s="1">
        <v>45511</v>
      </c>
      <c r="B491" t="s">
        <v>125</v>
      </c>
      <c r="C491" t="s">
        <v>934</v>
      </c>
      <c r="D491" s="2">
        <v>263.57</v>
      </c>
      <c r="E491" s="2">
        <v>0</v>
      </c>
      <c r="F491" s="2">
        <v>267900.7</v>
      </c>
      <c r="G491" s="2" t="str">
        <f t="shared" si="7"/>
        <v>07-08-2024 NET PI TO HSL SEC A/C 347707-00602340029392</v>
      </c>
      <c r="H491" s="2" t="s">
        <v>1911</v>
      </c>
      <c r="I491" t="s">
        <v>361</v>
      </c>
      <c r="J491" t="s">
        <v>1896</v>
      </c>
    </row>
    <row r="492" spans="1:10" x14ac:dyDescent="0.3">
      <c r="A492" s="1">
        <v>45511</v>
      </c>
      <c r="B492" t="s">
        <v>410</v>
      </c>
      <c r="C492" t="s">
        <v>7</v>
      </c>
      <c r="D492" s="23">
        <v>15</v>
      </c>
      <c r="E492" s="2">
        <v>0</v>
      </c>
      <c r="F492" s="2">
        <v>148821.24</v>
      </c>
      <c r="G492" s="2" t="str">
        <f t="shared" si="7"/>
        <v>07-08-2024 UPI/P2M/458641113189/LAKHAN PARAJI KALE   /Vegita/Yes Bank Ltd</v>
      </c>
      <c r="H492" s="2" t="s">
        <v>1911</v>
      </c>
      <c r="I492" t="s">
        <v>356</v>
      </c>
      <c r="J492" t="s">
        <v>1895</v>
      </c>
    </row>
    <row r="493" spans="1:10" x14ac:dyDescent="0.3">
      <c r="A493" s="1">
        <v>45512</v>
      </c>
      <c r="B493" t="s">
        <v>411</v>
      </c>
      <c r="C493" t="s">
        <v>7</v>
      </c>
      <c r="D493" s="2">
        <v>0</v>
      </c>
      <c r="E493" s="2">
        <v>498</v>
      </c>
      <c r="F493" s="2">
        <v>149319.24</v>
      </c>
      <c r="G493" s="2" t="str">
        <f t="shared" si="7"/>
        <v>08-08-2024 AXIS SECURITIES/</v>
      </c>
      <c r="H493" s="2" t="s">
        <v>1911</v>
      </c>
      <c r="I493" t="s">
        <v>1880</v>
      </c>
      <c r="J493" t="s">
        <v>1895</v>
      </c>
    </row>
    <row r="494" spans="1:10" x14ac:dyDescent="0.3">
      <c r="A494" s="1">
        <v>45512</v>
      </c>
      <c r="B494" t="s">
        <v>705</v>
      </c>
      <c r="D494" s="2">
        <v>0</v>
      </c>
      <c r="E494" s="2">
        <v>113</v>
      </c>
      <c r="F494" s="2">
        <v>15934</v>
      </c>
      <c r="G494" s="2" t="str">
        <f t="shared" si="7"/>
        <v>08-08-2024 662113100016699:SBInt.Pd:01-05-2024 to 03-08-2024</v>
      </c>
      <c r="H494" t="s">
        <v>1911</v>
      </c>
      <c r="I494" t="s">
        <v>370</v>
      </c>
      <c r="J494" t="s">
        <v>1898</v>
      </c>
    </row>
    <row r="495" spans="1:10" x14ac:dyDescent="0.3">
      <c r="A495" s="1">
        <v>45512</v>
      </c>
      <c r="B495" t="s">
        <v>128</v>
      </c>
      <c r="C495" t="s">
        <v>935</v>
      </c>
      <c r="D495" s="2">
        <v>0</v>
      </c>
      <c r="E495" s="2">
        <v>26745.15</v>
      </c>
      <c r="F495" s="2">
        <v>294645.84999999998</v>
      </c>
      <c r="G495" s="2" t="str">
        <f t="shared" si="7"/>
        <v>08-08-2024 NET PO FROM HSL A/C 347707-50200085415108</v>
      </c>
      <c r="H495" s="2" t="s">
        <v>1911</v>
      </c>
      <c r="I495" t="s">
        <v>361</v>
      </c>
      <c r="J495" t="s">
        <v>1896</v>
      </c>
    </row>
    <row r="496" spans="1:10" x14ac:dyDescent="0.3">
      <c r="A496" s="1">
        <v>45512</v>
      </c>
      <c r="B496" t="s">
        <v>125</v>
      </c>
      <c r="C496" t="s">
        <v>936</v>
      </c>
      <c r="D496" s="2">
        <v>321.2</v>
      </c>
      <c r="E496" s="2">
        <v>0</v>
      </c>
      <c r="F496" s="2">
        <v>294324.65000000002</v>
      </c>
      <c r="G496" s="2" t="str">
        <f t="shared" si="7"/>
        <v>08-08-2024 NET PI TO HSL SEC A/C 347707-00602340029392</v>
      </c>
      <c r="H496" s="2" t="s">
        <v>1911</v>
      </c>
      <c r="I496" t="s">
        <v>361</v>
      </c>
      <c r="J496" t="s">
        <v>1896</v>
      </c>
    </row>
    <row r="497" spans="1:10" x14ac:dyDescent="0.3">
      <c r="A497" s="1">
        <v>45512</v>
      </c>
      <c r="B497" t="s">
        <v>125</v>
      </c>
      <c r="C497" t="s">
        <v>937</v>
      </c>
      <c r="D497" s="2">
        <v>31608.73</v>
      </c>
      <c r="E497" s="2">
        <v>0</v>
      </c>
      <c r="F497" s="2">
        <v>262715.92</v>
      </c>
      <c r="G497" s="2" t="str">
        <f t="shared" si="7"/>
        <v>08-08-2024 NET PI TO HSL SEC A/C 347707-00602340029392</v>
      </c>
      <c r="H497" s="2" t="s">
        <v>1911</v>
      </c>
      <c r="I497" t="s">
        <v>361</v>
      </c>
      <c r="J497" t="s">
        <v>1896</v>
      </c>
    </row>
    <row r="498" spans="1:10" x14ac:dyDescent="0.3">
      <c r="A498" s="1">
        <v>45512</v>
      </c>
      <c r="B498" t="s">
        <v>412</v>
      </c>
      <c r="C498" t="s">
        <v>7</v>
      </c>
      <c r="D498" s="23">
        <v>145</v>
      </c>
      <c r="E498" s="2">
        <v>0</v>
      </c>
      <c r="F498" s="2">
        <v>149174.24</v>
      </c>
      <c r="G498" s="2" t="str">
        <f t="shared" si="7"/>
        <v>08-08-2024 UPI/P2M/458780235371/RAVI VASANTA MORKHADE/Prasad/HDFC BANK LTD</v>
      </c>
      <c r="H498" s="2" t="s">
        <v>1911</v>
      </c>
      <c r="I498" t="s">
        <v>356</v>
      </c>
      <c r="J498" t="s">
        <v>1895</v>
      </c>
    </row>
    <row r="499" spans="1:10" x14ac:dyDescent="0.3">
      <c r="A499" s="1">
        <v>45512</v>
      </c>
      <c r="B499" t="s">
        <v>413</v>
      </c>
      <c r="C499" t="s">
        <v>7</v>
      </c>
      <c r="D499" s="23">
        <v>150</v>
      </c>
      <c r="E499" s="2">
        <v>0</v>
      </c>
      <c r="F499" s="2">
        <v>149024.24</v>
      </c>
      <c r="G499" s="2" t="str">
        <f t="shared" si="7"/>
        <v>08-08-2024 UPI/P2M/422158034964/PAWAN VERAYTI        /Dupoat/Axis Bank Ltd.</v>
      </c>
      <c r="H499" s="2" t="s">
        <v>1911</v>
      </c>
      <c r="I499" t="s">
        <v>356</v>
      </c>
      <c r="J499" t="s">
        <v>1895</v>
      </c>
    </row>
    <row r="500" spans="1:10" x14ac:dyDescent="0.3">
      <c r="A500" s="1">
        <v>45513</v>
      </c>
      <c r="B500" t="s">
        <v>939</v>
      </c>
      <c r="C500" t="s">
        <v>940</v>
      </c>
      <c r="D500" s="2">
        <v>0</v>
      </c>
      <c r="E500" s="2">
        <v>3528</v>
      </c>
      <c r="F500" s="2">
        <v>265926.33</v>
      </c>
      <c r="G500" s="2" t="str">
        <f t="shared" si="7"/>
        <v>09-08-2024 ACH C- TML FNL 2023 2024-229010</v>
      </c>
      <c r="H500" s="2" t="s">
        <v>1911</v>
      </c>
      <c r="I500" t="s">
        <v>367</v>
      </c>
      <c r="J500" t="s">
        <v>1896</v>
      </c>
    </row>
    <row r="501" spans="1:10" x14ac:dyDescent="0.3">
      <c r="A501" s="1">
        <v>45513</v>
      </c>
      <c r="B501" t="s">
        <v>941</v>
      </c>
      <c r="C501" t="s">
        <v>942</v>
      </c>
      <c r="D501" s="2">
        <v>0</v>
      </c>
      <c r="E501" s="2">
        <v>5</v>
      </c>
      <c r="F501" s="2">
        <v>265931.33</v>
      </c>
      <c r="G501" s="2" t="str">
        <f t="shared" si="7"/>
        <v>09-08-2024 ACH C- SUN PHARMACEUTICAL I-162313</v>
      </c>
      <c r="H501" s="2" t="s">
        <v>1911</v>
      </c>
      <c r="I501" t="s">
        <v>367</v>
      </c>
      <c r="J501" t="s">
        <v>1896</v>
      </c>
    </row>
    <row r="502" spans="1:10" x14ac:dyDescent="0.3">
      <c r="A502" s="1">
        <v>45513</v>
      </c>
      <c r="B502" t="s">
        <v>125</v>
      </c>
      <c r="C502" t="s">
        <v>938</v>
      </c>
      <c r="D502" s="2">
        <v>317.58999999999997</v>
      </c>
      <c r="E502" s="2">
        <v>0</v>
      </c>
      <c r="F502" s="2">
        <v>262398.33</v>
      </c>
      <c r="G502" s="2" t="str">
        <f t="shared" si="7"/>
        <v>09-08-2024 NET PI TO HSL SEC A/C 347707-00602340029392</v>
      </c>
      <c r="H502" s="2" t="s">
        <v>1911</v>
      </c>
      <c r="I502" t="s">
        <v>361</v>
      </c>
      <c r="J502" t="s">
        <v>1896</v>
      </c>
    </row>
    <row r="503" spans="1:10" x14ac:dyDescent="0.3">
      <c r="A503" s="1">
        <v>45514</v>
      </c>
      <c r="B503" t="s">
        <v>414</v>
      </c>
      <c r="C503" t="s">
        <v>7</v>
      </c>
      <c r="D503" s="2">
        <v>10000</v>
      </c>
      <c r="E503" s="2">
        <v>0</v>
      </c>
      <c r="F503" s="2">
        <v>139024.24</v>
      </c>
      <c r="G503" s="2" t="str">
        <f t="shared" ref="G503:G566" si="8">TEXT(A503,"DD")&amp;"-"&amp;TEXT(A503,"MM")&amp;"-"&amp;TEXT(A503,"YYYY")&amp;" "&amp;B503</f>
        <v>10-08-2024 ATM-CASH-AXIS/BPRH265601/8362/100824/NASHIK</v>
      </c>
      <c r="H503" s="2" t="s">
        <v>1911</v>
      </c>
      <c r="I503" t="s">
        <v>354</v>
      </c>
      <c r="J503" t="s">
        <v>1895</v>
      </c>
    </row>
    <row r="504" spans="1:10" x14ac:dyDescent="0.3">
      <c r="A504" s="1">
        <v>45514</v>
      </c>
      <c r="B504" t="s">
        <v>1744</v>
      </c>
      <c r="C504" t="s">
        <v>1789</v>
      </c>
      <c r="D504" s="2">
        <v>22723</v>
      </c>
      <c r="E504" s="2">
        <v>0</v>
      </c>
      <c r="F504" s="2">
        <v>47108.33</v>
      </c>
      <c r="G504" s="2" t="str">
        <f t="shared" si="8"/>
        <v>10-08-2024    TO TRANSFER-INB SBICARD FOR BILLDESK      SBICARD Payments--</v>
      </c>
      <c r="H504" s="2" t="s">
        <v>1911</v>
      </c>
      <c r="I504" t="s">
        <v>1838</v>
      </c>
      <c r="J504" t="s">
        <v>1899</v>
      </c>
    </row>
    <row r="505" spans="1:10" x14ac:dyDescent="0.3">
      <c r="A505" s="1">
        <v>45515</v>
      </c>
      <c r="B505" t="s">
        <v>415</v>
      </c>
      <c r="C505" t="s">
        <v>7</v>
      </c>
      <c r="D505" s="23">
        <v>985.98</v>
      </c>
      <c r="E505" s="2">
        <v>0</v>
      </c>
      <c r="F505" s="2">
        <v>138038.26</v>
      </c>
      <c r="G505" s="2" t="str">
        <f t="shared" si="8"/>
        <v>11-08-2024 UPI/P2M/422474136065/MEDPLUS ASHOKAMARG   /Medice/HDFC BANK LTD</v>
      </c>
      <c r="H505" s="2" t="s">
        <v>1911</v>
      </c>
      <c r="I505" t="s">
        <v>356</v>
      </c>
      <c r="J505" t="s">
        <v>1895</v>
      </c>
    </row>
    <row r="506" spans="1:10" x14ac:dyDescent="0.3">
      <c r="A506" s="1">
        <v>45516</v>
      </c>
      <c r="B506" t="s">
        <v>947</v>
      </c>
      <c r="C506" t="s">
        <v>140</v>
      </c>
      <c r="D506" s="2">
        <v>3074.36</v>
      </c>
      <c r="E506" s="2">
        <v>0</v>
      </c>
      <c r="F506" s="2">
        <v>259767.13</v>
      </c>
      <c r="G506" s="2" t="str">
        <f t="shared" si="8"/>
        <v>12-08-2024 DEPOSITORY CHARGES JUL24 - 40227714</v>
      </c>
      <c r="H506" s="2" t="s">
        <v>1911</v>
      </c>
      <c r="I506" t="s">
        <v>362</v>
      </c>
      <c r="J506" t="s">
        <v>1896</v>
      </c>
    </row>
    <row r="507" spans="1:10" x14ac:dyDescent="0.3">
      <c r="A507" s="1">
        <v>45516</v>
      </c>
      <c r="B507" t="s">
        <v>944</v>
      </c>
      <c r="C507" t="s">
        <v>945</v>
      </c>
      <c r="D507" s="2">
        <v>0</v>
      </c>
      <c r="E507" s="2">
        <v>2340</v>
      </c>
      <c r="F507" s="2">
        <v>272841.49</v>
      </c>
      <c r="G507" s="2" t="str">
        <f t="shared" si="8"/>
        <v>12-08-2024 0708387574 HDFC BANK DIV 23 24 00848673</v>
      </c>
      <c r="H507" s="2" t="s">
        <v>1911</v>
      </c>
      <c r="I507" t="s">
        <v>367</v>
      </c>
      <c r="J507" t="s">
        <v>1896</v>
      </c>
    </row>
    <row r="508" spans="1:10" x14ac:dyDescent="0.3">
      <c r="A508" s="1">
        <v>45516</v>
      </c>
      <c r="B508" t="s">
        <v>949</v>
      </c>
      <c r="C508" t="s">
        <v>950</v>
      </c>
      <c r="D508" s="2">
        <v>0</v>
      </c>
      <c r="E508" s="2">
        <v>435</v>
      </c>
      <c r="F508" s="2">
        <v>259213.84</v>
      </c>
      <c r="G508" s="2" t="str">
        <f t="shared" si="8"/>
        <v>12-08-2024 ACH C- DEEPAKNITRITEDIV2324-140198</v>
      </c>
      <c r="H508" s="2" t="s">
        <v>1911</v>
      </c>
      <c r="I508" t="s">
        <v>367</v>
      </c>
      <c r="J508" t="s">
        <v>1896</v>
      </c>
    </row>
    <row r="509" spans="1:10" x14ac:dyDescent="0.3">
      <c r="A509" s="1">
        <v>45516</v>
      </c>
      <c r="B509" t="s">
        <v>128</v>
      </c>
      <c r="C509" t="s">
        <v>943</v>
      </c>
      <c r="D509" s="2">
        <v>0</v>
      </c>
      <c r="E509" s="2">
        <v>4570.16</v>
      </c>
      <c r="F509" s="2">
        <v>270501.49</v>
      </c>
      <c r="G509" s="2" t="str">
        <f t="shared" si="8"/>
        <v>12-08-2024 NET PO FROM HSL A/C 347707-50200085415108</v>
      </c>
      <c r="H509" s="2" t="s">
        <v>1911</v>
      </c>
      <c r="I509" t="s">
        <v>361</v>
      </c>
      <c r="J509" t="s">
        <v>1896</v>
      </c>
    </row>
    <row r="510" spans="1:10" x14ac:dyDescent="0.3">
      <c r="A510" s="1">
        <v>45516</v>
      </c>
      <c r="B510" t="s">
        <v>125</v>
      </c>
      <c r="C510" t="s">
        <v>948</v>
      </c>
      <c r="D510" s="2">
        <v>988.29</v>
      </c>
      <c r="E510" s="2">
        <v>0</v>
      </c>
      <c r="F510" s="2">
        <v>258778.84</v>
      </c>
      <c r="G510" s="2" t="str">
        <f t="shared" si="8"/>
        <v>12-08-2024 NET PI TO HSL SEC A/C 347707-00602340029392</v>
      </c>
      <c r="H510" s="2" t="s">
        <v>1911</v>
      </c>
      <c r="I510" t="s">
        <v>361</v>
      </c>
      <c r="J510" t="s">
        <v>1896</v>
      </c>
    </row>
    <row r="511" spans="1:10" x14ac:dyDescent="0.3">
      <c r="A511" s="1">
        <v>45516</v>
      </c>
      <c r="B511" t="s">
        <v>125</v>
      </c>
      <c r="C511" t="s">
        <v>951</v>
      </c>
      <c r="D511" s="2">
        <v>42123.89</v>
      </c>
      <c r="E511" s="2">
        <v>0</v>
      </c>
      <c r="F511" s="2">
        <v>217089.95</v>
      </c>
      <c r="G511" s="2" t="str">
        <f t="shared" si="8"/>
        <v>12-08-2024 NET PI TO HSL SEC A/C 347707-00602340029392</v>
      </c>
      <c r="H511" s="2" t="s">
        <v>1911</v>
      </c>
      <c r="I511" t="s">
        <v>361</v>
      </c>
      <c r="J511" t="s">
        <v>1896</v>
      </c>
    </row>
    <row r="512" spans="1:10" x14ac:dyDescent="0.3">
      <c r="A512" s="1">
        <v>45516</v>
      </c>
      <c r="B512" t="s">
        <v>146</v>
      </c>
      <c r="C512" t="s">
        <v>946</v>
      </c>
      <c r="D512" s="2">
        <v>10000</v>
      </c>
      <c r="E512" s="2">
        <v>0</v>
      </c>
      <c r="F512" s="2">
        <v>262841.49</v>
      </c>
      <c r="G512" s="2" t="str">
        <f t="shared" si="8"/>
        <v>12-08-2024 ACH D- INDIAN CLEARING CORP-P25847605X05</v>
      </c>
      <c r="H512" s="2" t="s">
        <v>1911</v>
      </c>
      <c r="I512" t="s">
        <v>1854</v>
      </c>
      <c r="J512" t="s">
        <v>1896</v>
      </c>
    </row>
    <row r="513" spans="1:10" x14ac:dyDescent="0.3">
      <c r="A513" s="1">
        <v>45517</v>
      </c>
      <c r="B513" t="s">
        <v>128</v>
      </c>
      <c r="C513" t="s">
        <v>952</v>
      </c>
      <c r="D513" s="2">
        <v>0</v>
      </c>
      <c r="E513" s="2">
        <v>3068.94</v>
      </c>
      <c r="F513" s="2">
        <v>220158.89</v>
      </c>
      <c r="G513" s="2" t="str">
        <f t="shared" si="8"/>
        <v>13-08-2024 NET PO FROM HSL A/C 347707-50200085415108</v>
      </c>
      <c r="H513" s="2" t="s">
        <v>1911</v>
      </c>
      <c r="I513" t="s">
        <v>361</v>
      </c>
      <c r="J513" t="s">
        <v>1896</v>
      </c>
    </row>
    <row r="514" spans="1:10" x14ac:dyDescent="0.3">
      <c r="A514" s="1">
        <v>45517</v>
      </c>
      <c r="B514" t="s">
        <v>125</v>
      </c>
      <c r="C514" t="s">
        <v>953</v>
      </c>
      <c r="D514" s="2">
        <v>331.06</v>
      </c>
      <c r="E514" s="2">
        <v>0</v>
      </c>
      <c r="F514" s="2">
        <v>219827.83</v>
      </c>
      <c r="G514" s="2" t="str">
        <f t="shared" si="8"/>
        <v>13-08-2024 NET PI TO HSL SEC A/C 347707-00602340029392</v>
      </c>
      <c r="H514" s="2" t="s">
        <v>1911</v>
      </c>
      <c r="I514" t="s">
        <v>361</v>
      </c>
      <c r="J514" t="s">
        <v>1896</v>
      </c>
    </row>
    <row r="515" spans="1:10" x14ac:dyDescent="0.3">
      <c r="A515" s="1">
        <v>45517</v>
      </c>
      <c r="B515" t="s">
        <v>125</v>
      </c>
      <c r="C515" t="s">
        <v>954</v>
      </c>
      <c r="D515" s="2">
        <v>59950.79</v>
      </c>
      <c r="E515" s="2">
        <v>0</v>
      </c>
      <c r="F515" s="2">
        <v>159877.04</v>
      </c>
      <c r="G515" s="2" t="str">
        <f t="shared" si="8"/>
        <v>13-08-2024 NET PI TO HSL SEC A/C 347707-00602340029392</v>
      </c>
      <c r="H515" s="2" t="s">
        <v>1911</v>
      </c>
      <c r="I515" t="s">
        <v>361</v>
      </c>
      <c r="J515" t="s">
        <v>1896</v>
      </c>
    </row>
    <row r="516" spans="1:10" x14ac:dyDescent="0.3">
      <c r="A516" s="1">
        <v>45517</v>
      </c>
      <c r="B516" t="s">
        <v>1740</v>
      </c>
      <c r="C516" t="s">
        <v>1790</v>
      </c>
      <c r="D516" s="2">
        <v>0</v>
      </c>
      <c r="E516" s="2">
        <v>44818.43</v>
      </c>
      <c r="F516" s="2">
        <v>91926.76</v>
      </c>
      <c r="G516" s="2" t="str">
        <f t="shared" si="8"/>
        <v>13-08-2024    BY TRANSFER-INB -For 19260165--</v>
      </c>
      <c r="H516" s="2" t="s">
        <v>1911</v>
      </c>
      <c r="I516" t="s">
        <v>1887</v>
      </c>
      <c r="J516" t="s">
        <v>1899</v>
      </c>
    </row>
    <row r="517" spans="1:10" x14ac:dyDescent="0.3">
      <c r="A517" s="1">
        <v>45518</v>
      </c>
      <c r="B517" t="s">
        <v>416</v>
      </c>
      <c r="C517" t="s">
        <v>7</v>
      </c>
      <c r="D517" s="2">
        <v>10000</v>
      </c>
      <c r="E517" s="2">
        <v>0</v>
      </c>
      <c r="F517" s="2">
        <v>128038.26</v>
      </c>
      <c r="G517" s="2" t="str">
        <f t="shared" si="8"/>
        <v>14-08-2024 ATM-CASH-AXIS/BPRH265601/9107/140824/NASHIK</v>
      </c>
      <c r="H517" s="2" t="s">
        <v>1911</v>
      </c>
      <c r="I517" t="s">
        <v>354</v>
      </c>
      <c r="J517" t="s">
        <v>1895</v>
      </c>
    </row>
    <row r="518" spans="1:10" x14ac:dyDescent="0.3">
      <c r="A518" s="1">
        <v>45518</v>
      </c>
      <c r="B518" t="s">
        <v>128</v>
      </c>
      <c r="C518" t="s">
        <v>955</v>
      </c>
      <c r="D518" s="2">
        <v>0</v>
      </c>
      <c r="E518" s="2">
        <v>20839.580000000002</v>
      </c>
      <c r="F518" s="2">
        <v>180716.62</v>
      </c>
      <c r="G518" s="2" t="str">
        <f t="shared" si="8"/>
        <v>14-08-2024 NET PO FROM HSL A/C 347707-50200085415108</v>
      </c>
      <c r="H518" s="2" t="s">
        <v>1911</v>
      </c>
      <c r="I518" t="s">
        <v>361</v>
      </c>
      <c r="J518" t="s">
        <v>1896</v>
      </c>
    </row>
    <row r="519" spans="1:10" x14ac:dyDescent="0.3">
      <c r="A519" s="1">
        <v>45518</v>
      </c>
      <c r="B519" t="s">
        <v>125</v>
      </c>
      <c r="C519" t="s">
        <v>956</v>
      </c>
      <c r="D519" s="2">
        <v>310.8</v>
      </c>
      <c r="E519" s="2">
        <v>0</v>
      </c>
      <c r="F519" s="2">
        <v>180405.82</v>
      </c>
      <c r="G519" s="2" t="str">
        <f t="shared" si="8"/>
        <v>14-08-2024 NET PI TO HSL SEC A/C 347707-00602340029392</v>
      </c>
      <c r="H519" s="2" t="s">
        <v>1911</v>
      </c>
      <c r="I519" t="s">
        <v>361</v>
      </c>
      <c r="J519" t="s">
        <v>1896</v>
      </c>
    </row>
    <row r="520" spans="1:10" x14ac:dyDescent="0.3">
      <c r="A520" s="1">
        <v>45518</v>
      </c>
      <c r="B520" t="s">
        <v>125</v>
      </c>
      <c r="C520" t="s">
        <v>957</v>
      </c>
      <c r="D520" s="2">
        <v>48158.64</v>
      </c>
      <c r="E520" s="2">
        <v>0</v>
      </c>
      <c r="F520" s="2">
        <v>132247.18</v>
      </c>
      <c r="G520" s="2" t="str">
        <f t="shared" si="8"/>
        <v>14-08-2024 NET PI TO HSL SEC A/C 347707-00602340029392</v>
      </c>
      <c r="H520" s="2" t="s">
        <v>1911</v>
      </c>
      <c r="I520" t="s">
        <v>361</v>
      </c>
      <c r="J520" t="s">
        <v>1896</v>
      </c>
    </row>
    <row r="521" spans="1:10" x14ac:dyDescent="0.3">
      <c r="A521" s="1">
        <v>45518</v>
      </c>
      <c r="B521" t="s">
        <v>125</v>
      </c>
      <c r="C521" t="s">
        <v>958</v>
      </c>
      <c r="D521" s="2">
        <v>41408.53</v>
      </c>
      <c r="E521" s="2">
        <v>0</v>
      </c>
      <c r="F521" s="2">
        <v>90838.65</v>
      </c>
      <c r="G521" s="2" t="str">
        <f t="shared" si="8"/>
        <v>14-08-2024 NET PI TO HSL SEC A/C 347707-00602340029392</v>
      </c>
      <c r="H521" s="2" t="s">
        <v>1911</v>
      </c>
      <c r="I521" t="s">
        <v>361</v>
      </c>
      <c r="J521" t="s">
        <v>1896</v>
      </c>
    </row>
    <row r="522" spans="1:10" x14ac:dyDescent="0.3">
      <c r="A522" s="1">
        <v>45519</v>
      </c>
      <c r="B522" t="s">
        <v>959</v>
      </c>
      <c r="C522" t="s">
        <v>960</v>
      </c>
      <c r="D522" s="2">
        <v>0</v>
      </c>
      <c r="E522" s="2">
        <v>88.8</v>
      </c>
      <c r="F522" s="2">
        <v>90927.45</v>
      </c>
      <c r="G522" s="2" t="str">
        <f t="shared" si="8"/>
        <v>15-08-2024 ACH C- KVB DIV 2023 2024-241000072576</v>
      </c>
      <c r="H522" s="2" t="s">
        <v>1911</v>
      </c>
      <c r="I522" t="s">
        <v>367</v>
      </c>
      <c r="J522" t="s">
        <v>1896</v>
      </c>
    </row>
    <row r="523" spans="1:10" x14ac:dyDescent="0.3">
      <c r="A523" s="1">
        <v>45519</v>
      </c>
      <c r="B523" t="s">
        <v>417</v>
      </c>
      <c r="C523" t="s">
        <v>7</v>
      </c>
      <c r="D523" s="23">
        <v>60</v>
      </c>
      <c r="E523" s="2">
        <v>0</v>
      </c>
      <c r="F523" s="2">
        <v>127978.26</v>
      </c>
      <c r="G523" s="2" t="str">
        <f t="shared" si="8"/>
        <v>15-08-2024 UPI/P2M/459468183790/SHIVBHOLA VEGETABLE E/Vegita/Yes Bank Ltd</v>
      </c>
      <c r="H523" s="2" t="s">
        <v>1911</v>
      </c>
      <c r="I523" t="s">
        <v>356</v>
      </c>
      <c r="J523" t="s">
        <v>1895</v>
      </c>
    </row>
    <row r="524" spans="1:10" x14ac:dyDescent="0.3">
      <c r="A524" s="1">
        <v>45519</v>
      </c>
      <c r="B524" t="s">
        <v>418</v>
      </c>
      <c r="C524" t="s">
        <v>7</v>
      </c>
      <c r="D524" s="23">
        <v>160</v>
      </c>
      <c r="E524" s="2">
        <v>0</v>
      </c>
      <c r="F524" s="2">
        <v>127818.26</v>
      </c>
      <c r="G524" s="2" t="str">
        <f t="shared" si="8"/>
        <v>15-08-2024 UPI/P2M/459498775410/KUNAL EAKNATH MAKUNE /Milk/Yes Bank Ltd</v>
      </c>
      <c r="H524" s="2" t="s">
        <v>1911</v>
      </c>
      <c r="I524" t="s">
        <v>356</v>
      </c>
      <c r="J524" t="s">
        <v>1895</v>
      </c>
    </row>
    <row r="525" spans="1:10" x14ac:dyDescent="0.3">
      <c r="A525" s="1">
        <v>45520</v>
      </c>
      <c r="B525" t="s">
        <v>963</v>
      </c>
      <c r="C525" t="s">
        <v>964</v>
      </c>
      <c r="D525" s="2">
        <v>0</v>
      </c>
      <c r="E525" s="2">
        <v>630</v>
      </c>
      <c r="F525" s="2">
        <v>80885.17</v>
      </c>
      <c r="G525" s="2" t="str">
        <f t="shared" si="8"/>
        <v>16-08-2024 ACH C- ULTRATECHCEMENTLTD-00000000000004</v>
      </c>
      <c r="H525" s="2" t="s">
        <v>1911</v>
      </c>
      <c r="I525" t="s">
        <v>367</v>
      </c>
      <c r="J525" t="s">
        <v>1896</v>
      </c>
    </row>
    <row r="526" spans="1:10" x14ac:dyDescent="0.3">
      <c r="A526" s="1">
        <v>45520</v>
      </c>
      <c r="B526" t="s">
        <v>965</v>
      </c>
      <c r="C526" t="s">
        <v>966</v>
      </c>
      <c r="D526" s="2">
        <v>0</v>
      </c>
      <c r="E526" s="2">
        <v>1080</v>
      </c>
      <c r="F526" s="2">
        <v>81965.17</v>
      </c>
      <c r="G526" s="2" t="str">
        <f t="shared" si="8"/>
        <v>16-08-2024 ACH C- DIVISLABORATORIES-000000000000033</v>
      </c>
      <c r="H526" s="2" t="s">
        <v>1911</v>
      </c>
      <c r="I526" t="s">
        <v>367</v>
      </c>
      <c r="J526" t="s">
        <v>1896</v>
      </c>
    </row>
    <row r="527" spans="1:10" x14ac:dyDescent="0.3">
      <c r="A527" s="1">
        <v>45520</v>
      </c>
      <c r="B527" t="s">
        <v>125</v>
      </c>
      <c r="C527" t="s">
        <v>962</v>
      </c>
      <c r="D527" s="2">
        <v>672.28</v>
      </c>
      <c r="E527" s="2">
        <v>0</v>
      </c>
      <c r="F527" s="2">
        <v>80255.17</v>
      </c>
      <c r="G527" s="2" t="str">
        <f t="shared" si="8"/>
        <v>16-08-2024 NET PI TO HSL SEC A/C 347707-00602340029392</v>
      </c>
      <c r="H527" s="2" t="s">
        <v>1911</v>
      </c>
      <c r="I527" t="s">
        <v>361</v>
      </c>
      <c r="J527" t="s">
        <v>1896</v>
      </c>
    </row>
    <row r="528" spans="1:10" x14ac:dyDescent="0.3">
      <c r="A528" s="1">
        <v>45520</v>
      </c>
      <c r="B528" t="s">
        <v>146</v>
      </c>
      <c r="C528" t="s">
        <v>961</v>
      </c>
      <c r="D528" s="2">
        <v>10000</v>
      </c>
      <c r="E528" s="2">
        <v>0</v>
      </c>
      <c r="F528" s="2">
        <v>80927.45</v>
      </c>
      <c r="G528" s="2" t="str">
        <f t="shared" si="8"/>
        <v>16-08-2024 ACH D- INDIAN CLEARING CORP-P25847605X05</v>
      </c>
      <c r="H528" s="2" t="s">
        <v>1911</v>
      </c>
      <c r="I528" t="s">
        <v>1854</v>
      </c>
      <c r="J528" t="s">
        <v>1896</v>
      </c>
    </row>
    <row r="529" spans="1:13" x14ac:dyDescent="0.3">
      <c r="A529" s="1">
        <v>45520</v>
      </c>
      <c r="B529" t="s">
        <v>419</v>
      </c>
      <c r="C529" t="s">
        <v>7</v>
      </c>
      <c r="D529" s="23">
        <v>90</v>
      </c>
      <c r="E529" s="2">
        <v>0</v>
      </c>
      <c r="F529" s="2">
        <v>127728.26</v>
      </c>
      <c r="G529" s="2" t="str">
        <f t="shared" si="8"/>
        <v>16-08-2024 UPI/P2M/459509634657/KARTIKI PARCEL POINT /Food/Yes Bank Ltd</v>
      </c>
      <c r="H529" s="2" t="s">
        <v>1911</v>
      </c>
      <c r="I529" t="s">
        <v>356</v>
      </c>
      <c r="J529" t="s">
        <v>1895</v>
      </c>
    </row>
    <row r="530" spans="1:13" x14ac:dyDescent="0.3">
      <c r="A530" s="1">
        <v>45521</v>
      </c>
      <c r="B530" t="s">
        <v>967</v>
      </c>
      <c r="C530" t="s">
        <v>968</v>
      </c>
      <c r="D530" s="2">
        <v>295</v>
      </c>
      <c r="E530" s="2">
        <v>0</v>
      </c>
      <c r="F530" s="2">
        <v>81670.17</v>
      </c>
      <c r="G530" s="2" t="str">
        <f t="shared" si="8"/>
        <v>17-08-2024 ISAQMC-APR-JUN24-101236 230724-MIR2522958891156</v>
      </c>
      <c r="H530" s="2" t="s">
        <v>1911</v>
      </c>
      <c r="I530" t="s">
        <v>365</v>
      </c>
      <c r="J530" t="s">
        <v>1896</v>
      </c>
    </row>
    <row r="531" spans="1:13" x14ac:dyDescent="0.3">
      <c r="A531" s="1">
        <v>45522</v>
      </c>
      <c r="B531" t="s">
        <v>969</v>
      </c>
      <c r="C531" t="s">
        <v>970</v>
      </c>
      <c r="D531" s="2">
        <v>0</v>
      </c>
      <c r="E531" s="2">
        <v>100000</v>
      </c>
      <c r="F531" s="2">
        <v>181670.17</v>
      </c>
      <c r="G531" s="2" t="str">
        <f t="shared" si="8"/>
        <v>18-08-2024 50100128155413-TPT-BORROW BY AKG-AAYUSH KUMAR GUPTA</v>
      </c>
      <c r="H531" s="2" t="s">
        <v>1911</v>
      </c>
      <c r="I531" t="s">
        <v>1856</v>
      </c>
      <c r="J531" t="s">
        <v>1896</v>
      </c>
    </row>
    <row r="532" spans="1:13" x14ac:dyDescent="0.3">
      <c r="A532" s="1">
        <v>45523</v>
      </c>
      <c r="B532" t="s">
        <v>128</v>
      </c>
      <c r="C532" t="s">
        <v>971</v>
      </c>
      <c r="D532" s="2">
        <v>0</v>
      </c>
      <c r="E532" s="2">
        <v>14196.86</v>
      </c>
      <c r="F532" s="2">
        <v>195867.03</v>
      </c>
      <c r="G532" s="2" t="str">
        <f t="shared" si="8"/>
        <v>19-08-2024 NET PO FROM HSL A/C 347707-50200085415108</v>
      </c>
      <c r="H532" s="2" t="s">
        <v>1911</v>
      </c>
      <c r="I532" t="s">
        <v>361</v>
      </c>
      <c r="J532" t="s">
        <v>1896</v>
      </c>
    </row>
    <row r="533" spans="1:13" x14ac:dyDescent="0.3">
      <c r="A533" s="1">
        <v>45523</v>
      </c>
      <c r="B533" t="s">
        <v>128</v>
      </c>
      <c r="C533" t="s">
        <v>972</v>
      </c>
      <c r="D533" s="2">
        <v>0</v>
      </c>
      <c r="E533" s="2">
        <v>37084.78</v>
      </c>
      <c r="F533" s="2">
        <v>232951.81</v>
      </c>
      <c r="G533" s="2" t="str">
        <f t="shared" si="8"/>
        <v>19-08-2024 NET PO FROM HSL A/C 347707-50200085415108</v>
      </c>
      <c r="H533" s="2" t="s">
        <v>1911</v>
      </c>
      <c r="I533" t="s">
        <v>361</v>
      </c>
      <c r="J533" t="s">
        <v>1896</v>
      </c>
    </row>
    <row r="534" spans="1:13" x14ac:dyDescent="0.3">
      <c r="A534" s="1">
        <v>45523</v>
      </c>
      <c r="B534" t="s">
        <v>125</v>
      </c>
      <c r="C534" t="s">
        <v>973</v>
      </c>
      <c r="D534" s="2">
        <v>1121.76</v>
      </c>
      <c r="E534" s="2">
        <v>0</v>
      </c>
      <c r="F534" s="2">
        <v>231830.05</v>
      </c>
      <c r="G534" s="2" t="str">
        <f t="shared" si="8"/>
        <v>19-08-2024 NET PI TO HSL SEC A/C 347707-00602340029392</v>
      </c>
      <c r="H534" s="2" t="s">
        <v>1911</v>
      </c>
      <c r="I534" t="s">
        <v>361</v>
      </c>
      <c r="J534" t="s">
        <v>1896</v>
      </c>
    </row>
    <row r="535" spans="1:13" x14ac:dyDescent="0.3">
      <c r="A535" s="1">
        <v>45523</v>
      </c>
      <c r="B535" t="s">
        <v>420</v>
      </c>
      <c r="C535" t="s">
        <v>7</v>
      </c>
      <c r="D535" s="2">
        <v>127728.26</v>
      </c>
      <c r="E535" s="2">
        <v>0</v>
      </c>
      <c r="F535" s="2">
        <v>0</v>
      </c>
      <c r="G535" s="2" t="str">
        <f t="shared" si="8"/>
        <v>19-08-2024 Ac xfr from Sol 115 to 2656</v>
      </c>
      <c r="H535" s="2" t="s">
        <v>1941</v>
      </c>
      <c r="I535" t="s">
        <v>1881</v>
      </c>
      <c r="J535" t="s">
        <v>1895</v>
      </c>
      <c r="L535" s="8"/>
    </row>
    <row r="536" spans="1:13" x14ac:dyDescent="0.3">
      <c r="A536" s="1">
        <v>45523</v>
      </c>
      <c r="B536" t="s">
        <v>420</v>
      </c>
      <c r="C536" t="s">
        <v>7</v>
      </c>
      <c r="D536" s="2">
        <v>0</v>
      </c>
      <c r="E536" s="2">
        <v>127728.26</v>
      </c>
      <c r="F536" s="2">
        <v>127728.26</v>
      </c>
      <c r="G536" s="2" t="str">
        <f t="shared" si="8"/>
        <v>19-08-2024 Ac xfr from Sol 115 to 2656</v>
      </c>
      <c r="H536" s="2" t="s">
        <v>1941</v>
      </c>
      <c r="I536" t="s">
        <v>1881</v>
      </c>
      <c r="J536" t="s">
        <v>1895</v>
      </c>
    </row>
    <row r="537" spans="1:13" x14ac:dyDescent="0.3">
      <c r="A537" s="1">
        <v>45524</v>
      </c>
      <c r="B537" t="s">
        <v>128</v>
      </c>
      <c r="C537" t="s">
        <v>974</v>
      </c>
      <c r="D537" s="2">
        <v>0</v>
      </c>
      <c r="E537" s="2">
        <v>119894.24</v>
      </c>
      <c r="F537" s="2">
        <v>351724.29</v>
      </c>
      <c r="G537" s="2" t="str">
        <f t="shared" si="8"/>
        <v>20-08-2024 NET PO FROM HSL A/C 347707-50200085415108</v>
      </c>
      <c r="H537" s="2" t="s">
        <v>1911</v>
      </c>
      <c r="I537" t="s">
        <v>361</v>
      </c>
      <c r="J537" t="s">
        <v>1896</v>
      </c>
    </row>
    <row r="538" spans="1:13" x14ac:dyDescent="0.3">
      <c r="A538" s="1">
        <v>45524</v>
      </c>
      <c r="B538" t="s">
        <v>125</v>
      </c>
      <c r="C538" t="s">
        <v>976</v>
      </c>
      <c r="D538" s="2">
        <v>379.44</v>
      </c>
      <c r="E538" s="2">
        <v>0</v>
      </c>
      <c r="F538" s="2">
        <v>341344.85</v>
      </c>
      <c r="G538" s="2" t="str">
        <f t="shared" si="8"/>
        <v>20-08-2024 NET PI TO HSL SEC A/C 347707-00602340029392</v>
      </c>
      <c r="H538" s="2" t="s">
        <v>1911</v>
      </c>
      <c r="I538" t="s">
        <v>361</v>
      </c>
      <c r="J538" t="s">
        <v>1896</v>
      </c>
    </row>
    <row r="539" spans="1:13" x14ac:dyDescent="0.3">
      <c r="A539" s="1">
        <v>45524</v>
      </c>
      <c r="B539" t="s">
        <v>125</v>
      </c>
      <c r="C539" t="s">
        <v>977</v>
      </c>
      <c r="D539" s="2">
        <v>22440.959999999999</v>
      </c>
      <c r="E539" s="2">
        <v>0</v>
      </c>
      <c r="F539" s="2">
        <v>318903.89</v>
      </c>
      <c r="G539" s="2" t="str">
        <f t="shared" si="8"/>
        <v>20-08-2024 NET PI TO HSL SEC A/C 347707-00602340029392</v>
      </c>
      <c r="H539" s="2" t="s">
        <v>1911</v>
      </c>
      <c r="I539" t="s">
        <v>361</v>
      </c>
      <c r="J539" t="s">
        <v>1896</v>
      </c>
    </row>
    <row r="540" spans="1:13" x14ac:dyDescent="0.3">
      <c r="A540" s="1">
        <v>45524</v>
      </c>
      <c r="B540" t="s">
        <v>125</v>
      </c>
      <c r="C540" t="s">
        <v>978</v>
      </c>
      <c r="D540" s="2">
        <v>2813.96</v>
      </c>
      <c r="E540" s="2">
        <v>0</v>
      </c>
      <c r="F540" s="2">
        <v>316089.93</v>
      </c>
      <c r="G540" s="2" t="str">
        <f t="shared" si="8"/>
        <v>20-08-2024 NET PI TO HSL SEC A/C 347707-00602340029392</v>
      </c>
      <c r="H540" s="2" t="s">
        <v>1911</v>
      </c>
      <c r="I540" t="s">
        <v>361</v>
      </c>
      <c r="J540" t="s">
        <v>1896</v>
      </c>
    </row>
    <row r="541" spans="1:13" x14ac:dyDescent="0.3">
      <c r="A541" s="1">
        <v>45524</v>
      </c>
      <c r="B541" t="s">
        <v>146</v>
      </c>
      <c r="C541" t="s">
        <v>975</v>
      </c>
      <c r="D541" s="2">
        <v>10000</v>
      </c>
      <c r="E541" s="2">
        <v>0</v>
      </c>
      <c r="F541" s="2">
        <v>341724.29</v>
      </c>
      <c r="G541" s="2" t="str">
        <f t="shared" si="8"/>
        <v>20-08-2024 ACH D- INDIAN CLEARING CORP-P25847605X05</v>
      </c>
      <c r="H541" s="2" t="s">
        <v>1911</v>
      </c>
      <c r="I541" t="s">
        <v>1854</v>
      </c>
      <c r="J541" t="s">
        <v>1896</v>
      </c>
    </row>
    <row r="542" spans="1:13" x14ac:dyDescent="0.3">
      <c r="A542" s="1">
        <v>45525</v>
      </c>
      <c r="B542" t="s">
        <v>421</v>
      </c>
      <c r="C542" t="s">
        <v>7</v>
      </c>
      <c r="D542" s="2">
        <v>0</v>
      </c>
      <c r="E542" s="2">
        <v>150000</v>
      </c>
      <c r="F542" s="2">
        <v>277728.26</v>
      </c>
      <c r="G542" s="2" t="str">
        <f t="shared" si="8"/>
        <v>21-08-2024 NEFT/SBIN124234705808/Mr AJAY KUMAR GUPTA/STATE BANK OF INDIA//ATTN//INB//Expenses</v>
      </c>
      <c r="H542" s="2" t="s">
        <v>1911</v>
      </c>
      <c r="I542" t="s">
        <v>1906</v>
      </c>
      <c r="J542" t="s">
        <v>1895</v>
      </c>
      <c r="K542" t="s">
        <v>1913</v>
      </c>
    </row>
    <row r="543" spans="1:13" x14ac:dyDescent="0.3">
      <c r="A543" s="1">
        <v>45525</v>
      </c>
      <c r="B543" t="s">
        <v>765</v>
      </c>
      <c r="C543" t="s">
        <v>766</v>
      </c>
      <c r="D543" s="2">
        <v>150000</v>
      </c>
      <c r="E543" s="2">
        <v>0</v>
      </c>
      <c r="F543" s="2">
        <v>-150376.37</v>
      </c>
      <c r="G543" s="2" t="str">
        <f t="shared" si="8"/>
        <v>21-08-2024    TO TRANSFER-INB NEFT UTR NO: SBIN124234705808--AJAY KUMAR GUPTA</v>
      </c>
      <c r="H543" s="2" t="s">
        <v>1911</v>
      </c>
      <c r="I543" t="s">
        <v>1907</v>
      </c>
      <c r="J543" t="s">
        <v>1897</v>
      </c>
      <c r="K543" t="s">
        <v>1913</v>
      </c>
      <c r="M543" s="24">
        <f>150676.37+F543</f>
        <v>300</v>
      </c>
    </row>
    <row r="544" spans="1:13" x14ac:dyDescent="0.3">
      <c r="A544" s="1">
        <v>45525</v>
      </c>
      <c r="B544" t="s">
        <v>758</v>
      </c>
      <c r="C544" t="s">
        <v>767</v>
      </c>
      <c r="D544" s="2">
        <v>0</v>
      </c>
      <c r="E544" s="2">
        <v>60000</v>
      </c>
      <c r="F544" s="2">
        <v>-90376.37</v>
      </c>
      <c r="G544" s="2" t="str">
        <f t="shared" si="8"/>
        <v>21-08-2024    BY TRANSFER-INB Payment towards loan repayment--</v>
      </c>
      <c r="H544" s="2" t="s">
        <v>1911</v>
      </c>
      <c r="I544" t="s">
        <v>1842</v>
      </c>
      <c r="J544" t="s">
        <v>1897</v>
      </c>
      <c r="K544" t="s">
        <v>1913</v>
      </c>
    </row>
    <row r="545" spans="1:11" x14ac:dyDescent="0.3">
      <c r="A545" s="1">
        <v>45525</v>
      </c>
      <c r="B545" t="s">
        <v>752</v>
      </c>
      <c r="C545" t="s">
        <v>1791</v>
      </c>
      <c r="D545" s="2">
        <v>60000</v>
      </c>
      <c r="E545" s="2">
        <v>0</v>
      </c>
      <c r="F545" s="2">
        <v>31926.76</v>
      </c>
      <c r="G545" s="2" t="str">
        <f t="shared" si="8"/>
        <v>21-08-2024    TO TRANSFER-INB Payment towards loan repayment--</v>
      </c>
      <c r="H545" s="2" t="s">
        <v>1911</v>
      </c>
      <c r="I545" t="s">
        <v>1906</v>
      </c>
      <c r="J545" t="s">
        <v>1899</v>
      </c>
      <c r="K545" t="s">
        <v>1913</v>
      </c>
    </row>
    <row r="546" spans="1:11" x14ac:dyDescent="0.3">
      <c r="A546" s="1">
        <v>45525</v>
      </c>
      <c r="B546" t="s">
        <v>125</v>
      </c>
      <c r="C546" t="s">
        <v>981</v>
      </c>
      <c r="D546" s="2">
        <v>250.16</v>
      </c>
      <c r="E546" s="2">
        <v>0</v>
      </c>
      <c r="F546" s="2">
        <v>515839.77</v>
      </c>
      <c r="G546" s="2" t="str">
        <f t="shared" si="8"/>
        <v>21-08-2024 NET PI TO HSL SEC A/C 347707-00602340029392</v>
      </c>
      <c r="H546" s="2" t="s">
        <v>1911</v>
      </c>
      <c r="I546" t="s">
        <v>361</v>
      </c>
      <c r="J546" t="s">
        <v>1896</v>
      </c>
    </row>
    <row r="547" spans="1:11" x14ac:dyDescent="0.3">
      <c r="A547" s="1">
        <v>45525</v>
      </c>
      <c r="B547" t="s">
        <v>979</v>
      </c>
      <c r="C547" t="s">
        <v>980</v>
      </c>
      <c r="D547" s="2">
        <v>0</v>
      </c>
      <c r="E547" s="2">
        <v>200000</v>
      </c>
      <c r="F547" s="2">
        <v>516089.93</v>
      </c>
      <c r="G547" s="2" t="str">
        <f t="shared" si="8"/>
        <v>21-08-2024 01671000060094-TPT-BORROW FROM SUNITA-SUNITA GUPTA</v>
      </c>
      <c r="H547" s="2" t="s">
        <v>1911</v>
      </c>
      <c r="I547" t="s">
        <v>364</v>
      </c>
      <c r="J547" t="s">
        <v>1896</v>
      </c>
    </row>
    <row r="548" spans="1:11" x14ac:dyDescent="0.3">
      <c r="A548" s="1">
        <v>45525</v>
      </c>
      <c r="B548" t="s">
        <v>422</v>
      </c>
      <c r="C548" t="s">
        <v>7</v>
      </c>
      <c r="D548" s="23">
        <v>3200</v>
      </c>
      <c r="E548" s="2">
        <v>0</v>
      </c>
      <c r="F548" s="2">
        <v>274528.26</v>
      </c>
      <c r="G548" s="2" t="str">
        <f t="shared" si="8"/>
        <v>21-08-2024 UPI/P2A/460006680054/Master VISHAL WALMIK /Diesal/Bank of Maharashtra</v>
      </c>
      <c r="H548" s="2" t="s">
        <v>1911</v>
      </c>
      <c r="I548" t="s">
        <v>356</v>
      </c>
      <c r="J548" t="s">
        <v>1895</v>
      </c>
    </row>
    <row r="549" spans="1:11" x14ac:dyDescent="0.3">
      <c r="A549" s="1">
        <v>45525</v>
      </c>
      <c r="B549" t="s">
        <v>982</v>
      </c>
      <c r="C549" t="s">
        <v>983</v>
      </c>
      <c r="D549" s="2">
        <v>0</v>
      </c>
      <c r="E549" s="2">
        <v>1174.31</v>
      </c>
      <c r="F549" s="2">
        <v>517014.08</v>
      </c>
      <c r="G549" s="2" t="str">
        <f t="shared" si="8"/>
        <v>21-08-2024 00012050001396HLY INT-IN0020230184</v>
      </c>
      <c r="H549" s="2" t="s">
        <v>1911</v>
      </c>
      <c r="I549" t="s">
        <v>369</v>
      </c>
      <c r="J549" t="s">
        <v>1896</v>
      </c>
    </row>
    <row r="550" spans="1:11" x14ac:dyDescent="0.3">
      <c r="A550" s="1">
        <v>45526</v>
      </c>
      <c r="B550" t="s">
        <v>128</v>
      </c>
      <c r="C550" t="s">
        <v>984</v>
      </c>
      <c r="D550" s="2">
        <v>0</v>
      </c>
      <c r="E550" s="2">
        <v>9096.3700000000008</v>
      </c>
      <c r="F550" s="2">
        <v>526110.44999999995</v>
      </c>
      <c r="G550" s="2" t="str">
        <f t="shared" si="8"/>
        <v>22-08-2024 NET PO FROM HSL A/C 347707-50200085415108</v>
      </c>
      <c r="H550" s="2" t="s">
        <v>1911</v>
      </c>
      <c r="I550" t="s">
        <v>361</v>
      </c>
      <c r="J550" t="s">
        <v>1896</v>
      </c>
    </row>
    <row r="551" spans="1:11" x14ac:dyDescent="0.3">
      <c r="A551" s="1">
        <v>45526</v>
      </c>
      <c r="B551" t="s">
        <v>125</v>
      </c>
      <c r="C551" t="s">
        <v>985</v>
      </c>
      <c r="D551" s="2">
        <v>250.16</v>
      </c>
      <c r="E551" s="2">
        <v>0</v>
      </c>
      <c r="F551" s="2">
        <v>525860.29</v>
      </c>
      <c r="G551" s="2" t="str">
        <f t="shared" si="8"/>
        <v>22-08-2024 NET PI TO HSL SEC A/C 347707-00602340029392</v>
      </c>
      <c r="H551" s="2" t="s">
        <v>1911</v>
      </c>
      <c r="I551" t="s">
        <v>361</v>
      </c>
      <c r="J551" t="s">
        <v>1896</v>
      </c>
    </row>
    <row r="552" spans="1:11" x14ac:dyDescent="0.3">
      <c r="A552" s="1">
        <v>45526</v>
      </c>
      <c r="B552" t="s">
        <v>125</v>
      </c>
      <c r="C552" t="s">
        <v>988</v>
      </c>
      <c r="D552" s="2">
        <v>35.32</v>
      </c>
      <c r="E552" s="2">
        <v>0</v>
      </c>
      <c r="F552" s="2">
        <v>325824.96999999997</v>
      </c>
      <c r="G552" s="2" t="str">
        <f t="shared" si="8"/>
        <v>22-08-2024 NET PI TO HSL SEC A/C 347707-00602340029392</v>
      </c>
      <c r="H552" s="2" t="s">
        <v>1911</v>
      </c>
      <c r="I552" t="s">
        <v>361</v>
      </c>
      <c r="J552" t="s">
        <v>1896</v>
      </c>
    </row>
    <row r="553" spans="1:11" x14ac:dyDescent="0.3">
      <c r="A553" s="1">
        <v>45526</v>
      </c>
      <c r="B553" t="s">
        <v>1903</v>
      </c>
      <c r="D553" s="2">
        <v>500</v>
      </c>
      <c r="E553" s="2">
        <v>0</v>
      </c>
      <c r="F553" s="2">
        <v>6972</v>
      </c>
      <c r="G553" s="2" t="str">
        <f t="shared" si="8"/>
        <v>22-08-2024 TRANSFER TO 35725329806 SBI GENERAL INSURANCE  SBIYA24235064400254258195 PAIRenewal</v>
      </c>
      <c r="H553" t="s">
        <v>1911</v>
      </c>
      <c r="I553" t="s">
        <v>1882</v>
      </c>
      <c r="J553" t="s">
        <v>1902</v>
      </c>
    </row>
    <row r="554" spans="1:11" x14ac:dyDescent="0.3">
      <c r="A554" s="1">
        <v>45526</v>
      </c>
      <c r="B554" t="s">
        <v>986</v>
      </c>
      <c r="C554" t="s">
        <v>987</v>
      </c>
      <c r="D554" s="2">
        <v>200000</v>
      </c>
      <c r="E554" s="2">
        <v>0</v>
      </c>
      <c r="F554" s="2">
        <v>325860.28999999998</v>
      </c>
      <c r="G554" s="2" t="str">
        <f t="shared" si="8"/>
        <v>22-08-2024 01671000060094-TPT-MONEY RETURNED-SUNITA GUPTA</v>
      </c>
      <c r="H554" s="2" t="s">
        <v>1911</v>
      </c>
      <c r="I554" t="s">
        <v>1852</v>
      </c>
      <c r="J554" t="s">
        <v>1896</v>
      </c>
    </row>
    <row r="555" spans="1:11" x14ac:dyDescent="0.3">
      <c r="A555" s="1">
        <v>45526</v>
      </c>
      <c r="B555" t="s">
        <v>423</v>
      </c>
      <c r="C555" t="s">
        <v>7</v>
      </c>
      <c r="D555" s="23">
        <v>53</v>
      </c>
      <c r="E555" s="2">
        <v>0</v>
      </c>
      <c r="F555" s="2">
        <v>274475.26</v>
      </c>
      <c r="G555" s="2" t="str">
        <f t="shared" si="8"/>
        <v>22-08-2024 UPI/P2M/423592372084/JEET PHARMACY AND MIN/Medice/Axis Bank Ltd.</v>
      </c>
      <c r="H555" s="2" t="s">
        <v>1911</v>
      </c>
      <c r="I555" t="s">
        <v>356</v>
      </c>
      <c r="J555" t="s">
        <v>1895</v>
      </c>
    </row>
    <row r="556" spans="1:11" x14ac:dyDescent="0.3">
      <c r="A556" s="1">
        <v>45526</v>
      </c>
      <c r="B556" t="s">
        <v>424</v>
      </c>
      <c r="C556" t="s">
        <v>7</v>
      </c>
      <c r="D556" s="23">
        <v>50</v>
      </c>
      <c r="E556" s="2">
        <v>0</v>
      </c>
      <c r="F556" s="2">
        <v>274425.26</v>
      </c>
      <c r="G556" s="2" t="str">
        <f t="shared" si="8"/>
        <v>22-08-2024 UPI/P2M/423514139134/Mrs JYOTSNA SWAPNIL P/Pay to/Federal Bank</v>
      </c>
      <c r="H556" s="2" t="s">
        <v>1911</v>
      </c>
      <c r="I556" t="s">
        <v>356</v>
      </c>
      <c r="J556" t="s">
        <v>1895</v>
      </c>
    </row>
    <row r="557" spans="1:11" x14ac:dyDescent="0.3">
      <c r="A557" s="1">
        <v>45526</v>
      </c>
      <c r="B557" t="s">
        <v>425</v>
      </c>
      <c r="C557" t="s">
        <v>7</v>
      </c>
      <c r="D557" s="23">
        <v>400</v>
      </c>
      <c r="E557" s="2">
        <v>0</v>
      </c>
      <c r="F557" s="2">
        <v>274025.26</v>
      </c>
      <c r="G557" s="2" t="str">
        <f t="shared" si="8"/>
        <v>22-08-2024 UPI/P2M/423598476545/One97 Communications /Sweet/Yes Bank Ltd</v>
      </c>
      <c r="H557" s="2" t="s">
        <v>1911</v>
      </c>
      <c r="I557" t="s">
        <v>356</v>
      </c>
      <c r="J557" t="s">
        <v>1895</v>
      </c>
    </row>
    <row r="558" spans="1:11" x14ac:dyDescent="0.3">
      <c r="A558" s="1">
        <v>45527</v>
      </c>
      <c r="B558" t="s">
        <v>990</v>
      </c>
      <c r="C558" t="s">
        <v>991</v>
      </c>
      <c r="D558" s="2">
        <v>0</v>
      </c>
      <c r="E558" s="2">
        <v>450</v>
      </c>
      <c r="F558" s="2">
        <v>326030.28000000003</v>
      </c>
      <c r="G558" s="2" t="str">
        <f t="shared" si="8"/>
        <v>23-08-2024 ACH C- BANDHAN BANK LIMITED-2897066</v>
      </c>
      <c r="H558" s="2" t="s">
        <v>1911</v>
      </c>
      <c r="I558" t="s">
        <v>367</v>
      </c>
      <c r="J558" t="s">
        <v>1896</v>
      </c>
    </row>
    <row r="559" spans="1:11" x14ac:dyDescent="0.3">
      <c r="A559" s="1">
        <v>45527</v>
      </c>
      <c r="B559" t="s">
        <v>125</v>
      </c>
      <c r="C559" t="s">
        <v>989</v>
      </c>
      <c r="D559" s="2">
        <v>244.69</v>
      </c>
      <c r="E559" s="2">
        <v>0</v>
      </c>
      <c r="F559" s="2">
        <v>325580.28000000003</v>
      </c>
      <c r="G559" s="2" t="str">
        <f t="shared" si="8"/>
        <v>23-08-2024 NET PI TO HSL SEC A/C 347707-00602340029392</v>
      </c>
      <c r="H559" s="2" t="s">
        <v>1911</v>
      </c>
      <c r="I559" t="s">
        <v>361</v>
      </c>
      <c r="J559" t="s">
        <v>1896</v>
      </c>
    </row>
    <row r="560" spans="1:11" x14ac:dyDescent="0.3">
      <c r="A560" s="1">
        <v>45527</v>
      </c>
      <c r="B560" t="s">
        <v>125</v>
      </c>
      <c r="C560" t="s">
        <v>992</v>
      </c>
      <c r="D560" s="2">
        <v>32495.56</v>
      </c>
      <c r="E560" s="2">
        <v>0</v>
      </c>
      <c r="F560" s="2">
        <v>293534.71999999997</v>
      </c>
      <c r="G560" s="2" t="str">
        <f t="shared" si="8"/>
        <v>23-08-2024 NET PI TO HSL SEC A/C 347707-00602340029392</v>
      </c>
      <c r="H560" s="2" t="s">
        <v>1911</v>
      </c>
      <c r="I560" t="s">
        <v>361</v>
      </c>
      <c r="J560" t="s">
        <v>1896</v>
      </c>
    </row>
    <row r="561" spans="1:10" x14ac:dyDescent="0.3">
      <c r="A561" s="1">
        <v>45527</v>
      </c>
      <c r="B561" t="s">
        <v>125</v>
      </c>
      <c r="C561" t="s">
        <v>993</v>
      </c>
      <c r="D561" s="2">
        <v>15793.05</v>
      </c>
      <c r="E561" s="2">
        <v>0</v>
      </c>
      <c r="F561" s="2">
        <v>277741.67</v>
      </c>
      <c r="G561" s="2" t="str">
        <f t="shared" si="8"/>
        <v>23-08-2024 NET PI TO HSL SEC A/C 347707-00602340029392</v>
      </c>
      <c r="H561" s="2" t="s">
        <v>1911</v>
      </c>
      <c r="I561" t="s">
        <v>361</v>
      </c>
      <c r="J561" t="s">
        <v>1896</v>
      </c>
    </row>
    <row r="562" spans="1:10" x14ac:dyDescent="0.3">
      <c r="A562" s="1">
        <v>45527</v>
      </c>
      <c r="B562" t="s">
        <v>426</v>
      </c>
      <c r="C562" t="s">
        <v>7</v>
      </c>
      <c r="D562" s="23">
        <v>221</v>
      </c>
      <c r="E562" s="2">
        <v>0</v>
      </c>
      <c r="F562" s="2">
        <v>273804.26</v>
      </c>
      <c r="G562" s="2" t="str">
        <f t="shared" si="8"/>
        <v>23-08-2024 UPI/P2A/423630458419/ALKESH  SAUDHARIYA   /Taxi/State Bank Of India</v>
      </c>
      <c r="H562" s="2" t="s">
        <v>1911</v>
      </c>
      <c r="I562" t="s">
        <v>356</v>
      </c>
      <c r="J562" t="s">
        <v>1895</v>
      </c>
    </row>
    <row r="563" spans="1:10" x14ac:dyDescent="0.3">
      <c r="A563" s="1">
        <v>45527</v>
      </c>
      <c r="B563" t="s">
        <v>427</v>
      </c>
      <c r="C563" t="s">
        <v>7</v>
      </c>
      <c r="D563" s="23">
        <v>690</v>
      </c>
      <c r="E563" s="2">
        <v>0</v>
      </c>
      <c r="F563" s="2">
        <v>273114.26</v>
      </c>
      <c r="G563" s="2" t="str">
        <f t="shared" si="8"/>
        <v>23-08-2024 UPI/P2M/423674986589/RAGHUVANSHI THAL     /Food/Yes Bank Ltd</v>
      </c>
      <c r="H563" s="2" t="s">
        <v>1911</v>
      </c>
      <c r="I563" t="s">
        <v>356</v>
      </c>
      <c r="J563" t="s">
        <v>1895</v>
      </c>
    </row>
    <row r="564" spans="1:10" x14ac:dyDescent="0.3">
      <c r="A564" s="1">
        <v>45527</v>
      </c>
      <c r="B564" t="s">
        <v>428</v>
      </c>
      <c r="C564" t="s">
        <v>7</v>
      </c>
      <c r="D564" s="23">
        <v>2000</v>
      </c>
      <c r="E564" s="2">
        <v>0</v>
      </c>
      <c r="F564" s="2">
        <v>271114.26</v>
      </c>
      <c r="G564" s="2" t="str">
        <f t="shared" si="8"/>
        <v>23-08-2024 UPI/P2M/423680372643/M/S.SHREE RAMDEV EVEN/Room r/ICICI Bank</v>
      </c>
      <c r="H564" s="2" t="s">
        <v>1911</v>
      </c>
      <c r="I564" t="s">
        <v>356</v>
      </c>
      <c r="J564" t="s">
        <v>1895</v>
      </c>
    </row>
    <row r="565" spans="1:10" x14ac:dyDescent="0.3">
      <c r="A565" s="1">
        <v>45528</v>
      </c>
      <c r="B565" t="s">
        <v>429</v>
      </c>
      <c r="C565" t="s">
        <v>7</v>
      </c>
      <c r="D565" s="23">
        <v>15</v>
      </c>
      <c r="E565" s="2">
        <v>0</v>
      </c>
      <c r="F565" s="2">
        <v>271099.26</v>
      </c>
      <c r="G565" s="2" t="str">
        <f t="shared" si="8"/>
        <v>24-08-2024 UPI/P2M/460392564660/THAKOR NITABEN PRAHLA/Tea/Yes Bank Ltd</v>
      </c>
      <c r="H565" s="2" t="s">
        <v>1911</v>
      </c>
      <c r="I565" t="s">
        <v>356</v>
      </c>
      <c r="J565" t="s">
        <v>1895</v>
      </c>
    </row>
    <row r="566" spans="1:10" x14ac:dyDescent="0.3">
      <c r="A566" s="1">
        <v>45529</v>
      </c>
      <c r="B566" t="s">
        <v>436</v>
      </c>
      <c r="C566" t="s">
        <v>7</v>
      </c>
      <c r="D566" s="2">
        <v>1680</v>
      </c>
      <c r="E566" s="2">
        <v>0</v>
      </c>
      <c r="F566" s="2">
        <v>266819.26</v>
      </c>
      <c r="G566" s="2" t="str">
        <f t="shared" si="8"/>
        <v>25-08-2024 NBSM/72023697/Maha Electricity(BILLDESK)/</v>
      </c>
      <c r="H566" s="2" t="s">
        <v>1911</v>
      </c>
      <c r="I566" t="s">
        <v>357</v>
      </c>
      <c r="J566" t="s">
        <v>1895</v>
      </c>
    </row>
    <row r="567" spans="1:10" x14ac:dyDescent="0.3">
      <c r="A567" s="1">
        <v>45529</v>
      </c>
      <c r="B567" t="s">
        <v>430</v>
      </c>
      <c r="C567" t="s">
        <v>7</v>
      </c>
      <c r="D567" s="23">
        <v>1280</v>
      </c>
      <c r="E567" s="2">
        <v>0</v>
      </c>
      <c r="F567" s="2">
        <v>269819.26</v>
      </c>
      <c r="G567" s="2" t="str">
        <f t="shared" ref="G567:G630" si="9">TEXT(A567,"DD")&amp;"-"&amp;TEXT(A567,"MM")&amp;"-"&amp;TEXT(A567,"YYYY")&amp;" "&amp;B567</f>
        <v>25-08-2024 UPI/P2M/423838076496/M/S.SHREE RAMDEV EVEN/Room r/ICICI Bank</v>
      </c>
      <c r="H567" s="2" t="s">
        <v>1911</v>
      </c>
      <c r="I567" t="s">
        <v>356</v>
      </c>
      <c r="J567" t="s">
        <v>1895</v>
      </c>
    </row>
    <row r="568" spans="1:10" x14ac:dyDescent="0.3">
      <c r="A568" s="1">
        <v>45529</v>
      </c>
      <c r="B568" t="s">
        <v>431</v>
      </c>
      <c r="C568" t="s">
        <v>7</v>
      </c>
      <c r="D568" s="23">
        <v>310</v>
      </c>
      <c r="E568" s="2">
        <v>0</v>
      </c>
      <c r="F568" s="2">
        <v>269509.26</v>
      </c>
      <c r="G568" s="2" t="str">
        <f t="shared" si="9"/>
        <v>25-08-2024 UPI/P2M/423864622656/Shalby Limited       /Food/Yes Bank Ltd</v>
      </c>
      <c r="H568" s="2" t="s">
        <v>1911</v>
      </c>
      <c r="I568" t="s">
        <v>356</v>
      </c>
      <c r="J568" t="s">
        <v>1895</v>
      </c>
    </row>
    <row r="569" spans="1:10" x14ac:dyDescent="0.3">
      <c r="A569" s="1">
        <v>45529</v>
      </c>
      <c r="B569" t="s">
        <v>432</v>
      </c>
      <c r="C569" t="s">
        <v>7</v>
      </c>
      <c r="D569" s="23">
        <v>40</v>
      </c>
      <c r="E569" s="2">
        <v>0</v>
      </c>
      <c r="F569" s="2">
        <v>269469.26</v>
      </c>
      <c r="G569" s="2" t="str">
        <f t="shared" si="9"/>
        <v>25-08-2024 UPI/P2M/423835781392/Shalby Limited       /Tea/Yes Bank Ltd</v>
      </c>
      <c r="H569" s="2" t="s">
        <v>1911</v>
      </c>
      <c r="I569" t="s">
        <v>356</v>
      </c>
      <c r="J569" t="s">
        <v>1895</v>
      </c>
    </row>
    <row r="570" spans="1:10" x14ac:dyDescent="0.3">
      <c r="A570" s="1">
        <v>45529</v>
      </c>
      <c r="B570" t="s">
        <v>433</v>
      </c>
      <c r="C570" t="s">
        <v>7</v>
      </c>
      <c r="D570" s="23">
        <v>950</v>
      </c>
      <c r="E570" s="2">
        <v>0</v>
      </c>
      <c r="F570" s="2">
        <v>268519.26</v>
      </c>
      <c r="G570" s="2" t="str">
        <f t="shared" si="9"/>
        <v>25-08-2024 UPI/P2A/258371211871/DHARMENDRA C CHUDASAM/Paymen/ICICI Bank</v>
      </c>
      <c r="H570" s="2" t="s">
        <v>1911</v>
      </c>
      <c r="I570" t="s">
        <v>356</v>
      </c>
      <c r="J570" t="s">
        <v>1895</v>
      </c>
    </row>
    <row r="571" spans="1:10" x14ac:dyDescent="0.3">
      <c r="A571" s="1">
        <v>45529</v>
      </c>
      <c r="B571" t="s">
        <v>434</v>
      </c>
      <c r="C571" t="s">
        <v>7</v>
      </c>
      <c r="D571" s="23">
        <v>10</v>
      </c>
      <c r="E571" s="2">
        <v>0</v>
      </c>
      <c r="F571" s="2">
        <v>268509.26</v>
      </c>
      <c r="G571" s="2" t="str">
        <f t="shared" si="9"/>
        <v>25-08-2024 UPI/P2M/423884762183/One97 Communications /Soap/Yes Bank Ltd</v>
      </c>
      <c r="H571" s="2" t="s">
        <v>1911</v>
      </c>
      <c r="I571" t="s">
        <v>356</v>
      </c>
      <c r="J571" t="s">
        <v>1895</v>
      </c>
    </row>
    <row r="572" spans="1:10" x14ac:dyDescent="0.3">
      <c r="A572" s="1">
        <v>45529</v>
      </c>
      <c r="B572" t="s">
        <v>435</v>
      </c>
      <c r="C572" t="s">
        <v>7</v>
      </c>
      <c r="D572" s="23">
        <v>10</v>
      </c>
      <c r="E572" s="2">
        <v>0</v>
      </c>
      <c r="F572" s="2">
        <v>268499.26</v>
      </c>
      <c r="G572" s="2" t="str">
        <f t="shared" si="9"/>
        <v>25-08-2024 UPI/P2M/460424660734/THAKOR NITABEN PRAHLA/Tea/Yes Bank Ltd</v>
      </c>
      <c r="H572" s="2" t="s">
        <v>1911</v>
      </c>
      <c r="I572" t="s">
        <v>356</v>
      </c>
      <c r="J572" t="s">
        <v>1895</v>
      </c>
    </row>
    <row r="573" spans="1:10" x14ac:dyDescent="0.3">
      <c r="A573" s="1">
        <v>45529</v>
      </c>
      <c r="B573" t="s">
        <v>437</v>
      </c>
      <c r="C573" t="s">
        <v>7</v>
      </c>
      <c r="D573" s="23">
        <v>20</v>
      </c>
      <c r="E573" s="2">
        <v>0</v>
      </c>
      <c r="F573" s="2">
        <v>266799.26</v>
      </c>
      <c r="G573" s="2" t="str">
        <f t="shared" si="9"/>
        <v>25-08-2024 UPI/P2M/460471897865/THAKOR NITABEN PRAHLA/Snax/Yes Bank Ltd</v>
      </c>
      <c r="H573" s="2" t="s">
        <v>1911</v>
      </c>
      <c r="I573" t="s">
        <v>356</v>
      </c>
      <c r="J573" t="s">
        <v>1895</v>
      </c>
    </row>
    <row r="574" spans="1:10" x14ac:dyDescent="0.3">
      <c r="A574" s="1">
        <v>45530</v>
      </c>
      <c r="B574" t="s">
        <v>125</v>
      </c>
      <c r="C574" t="s">
        <v>994</v>
      </c>
      <c r="D574" s="2">
        <v>717.18</v>
      </c>
      <c r="E574" s="2">
        <v>0</v>
      </c>
      <c r="F574" s="2">
        <v>277024.49</v>
      </c>
      <c r="G574" s="2" t="str">
        <f t="shared" si="9"/>
        <v>26-08-2024 NET PI TO HSL SEC A/C 347707-00602340029392</v>
      </c>
      <c r="H574" s="2" t="s">
        <v>1911</v>
      </c>
      <c r="I574" t="s">
        <v>361</v>
      </c>
      <c r="J574" t="s">
        <v>1896</v>
      </c>
    </row>
    <row r="575" spans="1:10" x14ac:dyDescent="0.3">
      <c r="A575" s="1">
        <v>45530</v>
      </c>
      <c r="B575" t="s">
        <v>125</v>
      </c>
      <c r="C575" t="s">
        <v>995</v>
      </c>
      <c r="D575" s="2">
        <v>41276.239999999998</v>
      </c>
      <c r="E575" s="2">
        <v>0</v>
      </c>
      <c r="F575" s="2">
        <v>235748.25</v>
      </c>
      <c r="G575" s="2" t="str">
        <f t="shared" si="9"/>
        <v>26-08-2024 NET PI TO HSL SEC A/C 347707-00602340029392</v>
      </c>
      <c r="H575" s="2" t="s">
        <v>1911</v>
      </c>
      <c r="I575" t="s">
        <v>361</v>
      </c>
      <c r="J575" t="s">
        <v>1896</v>
      </c>
    </row>
    <row r="576" spans="1:10" x14ac:dyDescent="0.3">
      <c r="A576" s="1">
        <v>45530</v>
      </c>
      <c r="B576" t="s">
        <v>438</v>
      </c>
      <c r="C576" t="s">
        <v>7</v>
      </c>
      <c r="D576" s="23">
        <v>10</v>
      </c>
      <c r="E576" s="2">
        <v>0</v>
      </c>
      <c r="F576" s="2">
        <v>266789.26</v>
      </c>
      <c r="G576" s="2" t="str">
        <f t="shared" si="9"/>
        <v>26-08-2024 UPI/P2M/460581117845/THAKOR NITABEN PRAHLA/Tea/Yes Bank Ltd</v>
      </c>
      <c r="H576" s="2" t="s">
        <v>1911</v>
      </c>
      <c r="I576" t="s">
        <v>356</v>
      </c>
      <c r="J576" t="s">
        <v>1895</v>
      </c>
    </row>
    <row r="577" spans="1:10" x14ac:dyDescent="0.3">
      <c r="A577" s="1">
        <v>45530</v>
      </c>
      <c r="B577" t="s">
        <v>439</v>
      </c>
      <c r="C577" t="s">
        <v>7</v>
      </c>
      <c r="D577" s="23">
        <v>80</v>
      </c>
      <c r="E577" s="2">
        <v>0</v>
      </c>
      <c r="F577" s="2">
        <v>266709.26</v>
      </c>
      <c r="G577" s="2" t="str">
        <f t="shared" si="9"/>
        <v>26-08-2024 UPI/P2M/423955439115/Shalby Limited       /Breakf/Yes Bank Ltd</v>
      </c>
      <c r="H577" s="2" t="s">
        <v>1911</v>
      </c>
      <c r="I577" t="s">
        <v>356</v>
      </c>
      <c r="J577" t="s">
        <v>1895</v>
      </c>
    </row>
    <row r="578" spans="1:10" x14ac:dyDescent="0.3">
      <c r="A578" s="1">
        <v>45530</v>
      </c>
      <c r="B578" t="s">
        <v>440</v>
      </c>
      <c r="C578" t="s">
        <v>7</v>
      </c>
      <c r="D578" s="23">
        <v>140</v>
      </c>
      <c r="E578" s="2">
        <v>0</v>
      </c>
      <c r="F578" s="2">
        <v>266569.26</v>
      </c>
      <c r="G578" s="2" t="str">
        <f t="shared" si="9"/>
        <v>26-08-2024 UPI/P2M/423979608902/Shalby Limited       /Lumch/Yes Bank Ltd</v>
      </c>
      <c r="H578" s="2" t="s">
        <v>1911</v>
      </c>
      <c r="I578" t="s">
        <v>356</v>
      </c>
      <c r="J578" t="s">
        <v>1895</v>
      </c>
    </row>
    <row r="579" spans="1:10" x14ac:dyDescent="0.3">
      <c r="A579" s="1">
        <v>45530</v>
      </c>
      <c r="B579" t="s">
        <v>441</v>
      </c>
      <c r="C579" t="s">
        <v>7</v>
      </c>
      <c r="D579" s="23">
        <v>2850</v>
      </c>
      <c r="E579" s="2">
        <v>0</v>
      </c>
      <c r="F579" s="2">
        <v>263719.26</v>
      </c>
      <c r="G579" s="2" t="str">
        <f t="shared" si="9"/>
        <v>26-08-2024 UPI/P2A/928834172173/DHARMENDRA C CHUDASAM/Paymen/ICICI Bank</v>
      </c>
      <c r="H579" s="2" t="s">
        <v>1911</v>
      </c>
      <c r="I579" t="s">
        <v>356</v>
      </c>
      <c r="J579" t="s">
        <v>1895</v>
      </c>
    </row>
    <row r="580" spans="1:10" x14ac:dyDescent="0.3">
      <c r="A580" s="1">
        <v>45530</v>
      </c>
      <c r="B580" t="s">
        <v>442</v>
      </c>
      <c r="C580" t="s">
        <v>7</v>
      </c>
      <c r="D580" s="23">
        <v>170</v>
      </c>
      <c r="E580" s="2">
        <v>0</v>
      </c>
      <c r="F580" s="2">
        <v>263549.26</v>
      </c>
      <c r="G580" s="2" t="str">
        <f t="shared" si="9"/>
        <v>26-08-2024 UPI/P2M/423926994611/Shalby Limited       /Good/Yes Bank Ltd</v>
      </c>
      <c r="H580" s="2" t="s">
        <v>1911</v>
      </c>
      <c r="I580" t="s">
        <v>356</v>
      </c>
      <c r="J580" t="s">
        <v>1895</v>
      </c>
    </row>
    <row r="581" spans="1:10" x14ac:dyDescent="0.3">
      <c r="A581" s="1">
        <v>45531</v>
      </c>
      <c r="B581" t="s">
        <v>998</v>
      </c>
      <c r="C581" t="s">
        <v>999</v>
      </c>
      <c r="D581" s="2">
        <v>0</v>
      </c>
      <c r="E581" s="2">
        <v>24.5</v>
      </c>
      <c r="F581" s="2">
        <v>293264.28999999998</v>
      </c>
      <c r="G581" s="2" t="str">
        <f t="shared" si="9"/>
        <v>27-08-2024 ACH C- KOIL FIN DIV 2023 24-49941</v>
      </c>
      <c r="H581" s="2" t="s">
        <v>1911</v>
      </c>
      <c r="I581" t="s">
        <v>367</v>
      </c>
      <c r="J581" t="s">
        <v>1896</v>
      </c>
    </row>
    <row r="582" spans="1:10" x14ac:dyDescent="0.3">
      <c r="A582" s="1">
        <v>45531</v>
      </c>
      <c r="B582" t="s">
        <v>1001</v>
      </c>
      <c r="C582" t="s">
        <v>1002</v>
      </c>
      <c r="D582" s="2">
        <v>0</v>
      </c>
      <c r="E582" s="2">
        <v>402.5</v>
      </c>
      <c r="F582" s="2">
        <v>293431</v>
      </c>
      <c r="G582" s="2" t="str">
        <f t="shared" si="9"/>
        <v>27-08-2024 ACH C- HINDALCO FIN DIV 24-288134</v>
      </c>
      <c r="H582" s="2" t="s">
        <v>1911</v>
      </c>
      <c r="I582" t="s">
        <v>367</v>
      </c>
      <c r="J582" t="s">
        <v>1896</v>
      </c>
    </row>
    <row r="583" spans="1:10" x14ac:dyDescent="0.3">
      <c r="A583" s="1">
        <v>45531</v>
      </c>
      <c r="B583" t="s">
        <v>128</v>
      </c>
      <c r="C583" t="s">
        <v>996</v>
      </c>
      <c r="D583" s="2">
        <v>0</v>
      </c>
      <c r="E583" s="2">
        <v>232.32</v>
      </c>
      <c r="F583" s="2">
        <v>235980.57</v>
      </c>
      <c r="G583" s="2" t="str">
        <f t="shared" si="9"/>
        <v>27-08-2024 NET PO FROM HSL A/C 347707-50200085415108</v>
      </c>
      <c r="H583" s="2" t="s">
        <v>1911</v>
      </c>
      <c r="I583" t="s">
        <v>361</v>
      </c>
      <c r="J583" t="s">
        <v>1896</v>
      </c>
    </row>
    <row r="584" spans="1:10" x14ac:dyDescent="0.3">
      <c r="A584" s="1">
        <v>45531</v>
      </c>
      <c r="B584" t="s">
        <v>128</v>
      </c>
      <c r="C584" t="s">
        <v>997</v>
      </c>
      <c r="D584" s="2">
        <v>0</v>
      </c>
      <c r="E584" s="2">
        <v>57259.22</v>
      </c>
      <c r="F584" s="2">
        <v>293239.78999999998</v>
      </c>
      <c r="G584" s="2" t="str">
        <f t="shared" si="9"/>
        <v>27-08-2024 NET PO FROM HSL A/C 347707-50200085415108</v>
      </c>
      <c r="H584" s="2" t="s">
        <v>1911</v>
      </c>
      <c r="I584" t="s">
        <v>361</v>
      </c>
      <c r="J584" t="s">
        <v>1896</v>
      </c>
    </row>
    <row r="585" spans="1:10" x14ac:dyDescent="0.3">
      <c r="A585" s="1">
        <v>45531</v>
      </c>
      <c r="B585" t="s">
        <v>125</v>
      </c>
      <c r="C585" t="s">
        <v>1000</v>
      </c>
      <c r="D585" s="2">
        <v>235.79</v>
      </c>
      <c r="E585" s="2">
        <v>0</v>
      </c>
      <c r="F585" s="2">
        <v>293028.5</v>
      </c>
      <c r="G585" s="2" t="str">
        <f t="shared" si="9"/>
        <v>27-08-2024 NET PI TO HSL SEC A/C 347707-00602340029392</v>
      </c>
      <c r="H585" s="2" t="s">
        <v>1911</v>
      </c>
      <c r="I585" t="s">
        <v>361</v>
      </c>
      <c r="J585" t="s">
        <v>1896</v>
      </c>
    </row>
    <row r="586" spans="1:10" x14ac:dyDescent="0.3">
      <c r="A586" s="1">
        <v>45531</v>
      </c>
      <c r="B586" t="s">
        <v>125</v>
      </c>
      <c r="C586" t="s">
        <v>1003</v>
      </c>
      <c r="D586" s="2">
        <v>33855.01</v>
      </c>
      <c r="E586" s="2">
        <v>0</v>
      </c>
      <c r="F586" s="2">
        <v>259575.99</v>
      </c>
      <c r="G586" s="2" t="str">
        <f t="shared" si="9"/>
        <v>27-08-2024 NET PI TO HSL SEC A/C 347707-00602340029392</v>
      </c>
      <c r="H586" s="2" t="s">
        <v>1911</v>
      </c>
      <c r="I586" t="s">
        <v>361</v>
      </c>
      <c r="J586" t="s">
        <v>1896</v>
      </c>
    </row>
    <row r="587" spans="1:10" x14ac:dyDescent="0.3">
      <c r="A587" s="1">
        <v>45531</v>
      </c>
      <c r="B587" t="s">
        <v>443</v>
      </c>
      <c r="C587" t="s">
        <v>7</v>
      </c>
      <c r="D587" s="23">
        <v>170</v>
      </c>
      <c r="E587" s="2">
        <v>0</v>
      </c>
      <c r="F587" s="2">
        <v>263379.26</v>
      </c>
      <c r="G587" s="2" t="str">
        <f t="shared" si="9"/>
        <v>27-08-2024 UPI/P2M/424011006346/Shalby Limited       /Food/Yes Bank Ltd</v>
      </c>
      <c r="H587" s="2" t="s">
        <v>1911</v>
      </c>
      <c r="I587" t="s">
        <v>356</v>
      </c>
      <c r="J587" t="s">
        <v>1895</v>
      </c>
    </row>
    <row r="588" spans="1:10" x14ac:dyDescent="0.3">
      <c r="A588" s="1">
        <v>45531</v>
      </c>
      <c r="B588" t="s">
        <v>444</v>
      </c>
      <c r="C588" t="s">
        <v>7</v>
      </c>
      <c r="D588" s="23">
        <v>30</v>
      </c>
      <c r="E588" s="2">
        <v>0</v>
      </c>
      <c r="F588" s="2">
        <v>263349.26</v>
      </c>
      <c r="G588" s="2" t="str">
        <f t="shared" si="9"/>
        <v>27-08-2024 UPI/P2M/460659249504/THAKOR NITABEN PRAHLA/Tea/Yes Bank Ltd</v>
      </c>
      <c r="H588" s="2" t="s">
        <v>1911</v>
      </c>
      <c r="I588" t="s">
        <v>356</v>
      </c>
      <c r="J588" t="s">
        <v>1895</v>
      </c>
    </row>
    <row r="589" spans="1:10" x14ac:dyDescent="0.3">
      <c r="A589" s="1">
        <v>45532</v>
      </c>
      <c r="B589" t="s">
        <v>1007</v>
      </c>
      <c r="C589" t="s">
        <v>1008</v>
      </c>
      <c r="D589" s="2">
        <v>0</v>
      </c>
      <c r="E589" s="2">
        <v>2128.5</v>
      </c>
      <c r="F589" s="2">
        <v>259158.89</v>
      </c>
      <c r="G589" s="2" t="str">
        <f t="shared" si="9"/>
        <v>28-08-2024 ACH C- IBL FINL DIV 2023 24-114476</v>
      </c>
      <c r="H589" s="2" t="s">
        <v>1911</v>
      </c>
      <c r="I589" t="s">
        <v>367</v>
      </c>
      <c r="J589" t="s">
        <v>1896</v>
      </c>
    </row>
    <row r="590" spans="1:10" x14ac:dyDescent="0.3">
      <c r="A590" s="1">
        <v>45532</v>
      </c>
      <c r="B590" t="s">
        <v>125</v>
      </c>
      <c r="C590" t="s">
        <v>1004</v>
      </c>
      <c r="D590" s="2">
        <v>2150.8200000000002</v>
      </c>
      <c r="E590" s="2">
        <v>0</v>
      </c>
      <c r="F590" s="2">
        <v>257425.17</v>
      </c>
      <c r="G590" s="2" t="str">
        <f t="shared" si="9"/>
        <v>28-08-2024 NET PI TO HSL SEC A/C 347707-00602340029392</v>
      </c>
      <c r="H590" s="2" t="s">
        <v>1911</v>
      </c>
      <c r="I590" t="s">
        <v>361</v>
      </c>
      <c r="J590" t="s">
        <v>1896</v>
      </c>
    </row>
    <row r="591" spans="1:10" x14ac:dyDescent="0.3">
      <c r="A591" s="1">
        <v>45532</v>
      </c>
      <c r="B591" t="s">
        <v>125</v>
      </c>
      <c r="C591" t="s">
        <v>1005</v>
      </c>
      <c r="D591" s="2">
        <v>172</v>
      </c>
      <c r="E591" s="2">
        <v>0</v>
      </c>
      <c r="F591" s="2">
        <v>257253.17</v>
      </c>
      <c r="G591" s="2" t="str">
        <f t="shared" si="9"/>
        <v>28-08-2024 NET PI TO HSL SEC A/C 347707-00602340029392</v>
      </c>
      <c r="H591" s="2" t="s">
        <v>1911</v>
      </c>
      <c r="I591" t="s">
        <v>361</v>
      </c>
      <c r="J591" t="s">
        <v>1896</v>
      </c>
    </row>
    <row r="592" spans="1:10" x14ac:dyDescent="0.3">
      <c r="A592" s="1">
        <v>45532</v>
      </c>
      <c r="B592" t="s">
        <v>125</v>
      </c>
      <c r="C592" t="s">
        <v>1006</v>
      </c>
      <c r="D592" s="2">
        <v>222.78</v>
      </c>
      <c r="E592" s="2">
        <v>0</v>
      </c>
      <c r="F592" s="2">
        <v>257030.39</v>
      </c>
      <c r="G592" s="2" t="str">
        <f t="shared" si="9"/>
        <v>28-08-2024 NET PI TO HSL SEC A/C 347707-00602340029392</v>
      </c>
      <c r="H592" s="2" t="s">
        <v>1911</v>
      </c>
      <c r="I592" t="s">
        <v>361</v>
      </c>
      <c r="J592" t="s">
        <v>1896</v>
      </c>
    </row>
    <row r="593" spans="1:10" x14ac:dyDescent="0.3">
      <c r="A593" s="1">
        <v>45532</v>
      </c>
      <c r="B593" t="s">
        <v>1009</v>
      </c>
      <c r="C593" t="s">
        <v>1010</v>
      </c>
      <c r="D593" s="2">
        <v>0</v>
      </c>
      <c r="E593" s="2">
        <v>58125</v>
      </c>
      <c r="F593" s="2">
        <v>317283.89</v>
      </c>
      <c r="G593" s="2" t="str">
        <f t="shared" si="9"/>
        <v>28-08-2024 NEFT CR-YESB0000001-INDIAN CLEARING CORP-AJAYKUMARGUPTA-YESIG42410164563</v>
      </c>
      <c r="H593" s="2" t="s">
        <v>1911</v>
      </c>
      <c r="I593" t="s">
        <v>1944</v>
      </c>
      <c r="J593" t="s">
        <v>1896</v>
      </c>
    </row>
    <row r="594" spans="1:10" x14ac:dyDescent="0.3">
      <c r="A594" s="1">
        <v>45532</v>
      </c>
      <c r="B594" t="s">
        <v>445</v>
      </c>
      <c r="C594" t="s">
        <v>7</v>
      </c>
      <c r="D594" s="23">
        <v>170</v>
      </c>
      <c r="E594" s="2">
        <v>0</v>
      </c>
      <c r="F594" s="2">
        <v>263179.26</v>
      </c>
      <c r="G594" s="2" t="str">
        <f t="shared" si="9"/>
        <v>28-08-2024 UPI/P2M/424115666001/Shalby Limited       /Food/Yes Bank Ltd</v>
      </c>
      <c r="H594" s="2" t="s">
        <v>1911</v>
      </c>
      <c r="I594" t="s">
        <v>356</v>
      </c>
      <c r="J594" t="s">
        <v>1895</v>
      </c>
    </row>
    <row r="595" spans="1:10" x14ac:dyDescent="0.3">
      <c r="A595" s="1">
        <v>45532</v>
      </c>
      <c r="B595" t="s">
        <v>446</v>
      </c>
      <c r="C595" t="s">
        <v>7</v>
      </c>
      <c r="D595" s="23">
        <v>250</v>
      </c>
      <c r="E595" s="2">
        <v>0</v>
      </c>
      <c r="F595" s="2">
        <v>262929.26</v>
      </c>
      <c r="G595" s="2" t="str">
        <f t="shared" si="9"/>
        <v>28-08-2024 UPI/P2M/424195117137/Shalby Limited       /Food/Yes Bank Ltd</v>
      </c>
      <c r="H595" s="2" t="s">
        <v>1911</v>
      </c>
      <c r="I595" t="s">
        <v>356</v>
      </c>
      <c r="J595" t="s">
        <v>1895</v>
      </c>
    </row>
    <row r="596" spans="1:10" x14ac:dyDescent="0.3">
      <c r="A596" s="1">
        <v>45533</v>
      </c>
      <c r="B596" t="s">
        <v>1014</v>
      </c>
      <c r="C596" t="s">
        <v>1015</v>
      </c>
      <c r="D596" s="2">
        <v>0</v>
      </c>
      <c r="E596" s="2">
        <v>210</v>
      </c>
      <c r="F596" s="2">
        <v>351480.86</v>
      </c>
      <c r="G596" s="2" t="str">
        <f t="shared" si="9"/>
        <v>29-08-2024 DR LAL PATH DIV24 2500000000000000008452</v>
      </c>
      <c r="H596" s="2" t="s">
        <v>1911</v>
      </c>
      <c r="I596" t="s">
        <v>367</v>
      </c>
      <c r="J596" t="s">
        <v>1896</v>
      </c>
    </row>
    <row r="597" spans="1:10" x14ac:dyDescent="0.3">
      <c r="A597" s="1">
        <v>45533</v>
      </c>
      <c r="B597" t="s">
        <v>1016</v>
      </c>
      <c r="C597" t="s">
        <v>1017</v>
      </c>
      <c r="D597" s="2">
        <v>0</v>
      </c>
      <c r="E597" s="2">
        <v>40</v>
      </c>
      <c r="F597" s="2">
        <v>351520.86</v>
      </c>
      <c r="G597" s="2" t="str">
        <f t="shared" si="9"/>
        <v>29-08-2024 ACH C- RELIANCE INDUSTRIES-241361703</v>
      </c>
      <c r="H597" s="2" t="s">
        <v>1911</v>
      </c>
      <c r="I597" t="s">
        <v>367</v>
      </c>
      <c r="J597" t="s">
        <v>1896</v>
      </c>
    </row>
    <row r="598" spans="1:10" x14ac:dyDescent="0.3">
      <c r="A598" s="1">
        <v>45533</v>
      </c>
      <c r="B598" t="s">
        <v>128</v>
      </c>
      <c r="C598" t="s">
        <v>1011</v>
      </c>
      <c r="D598" s="2">
        <v>0</v>
      </c>
      <c r="E598" s="2">
        <v>4000.51</v>
      </c>
      <c r="F598" s="2">
        <v>321284.40000000002</v>
      </c>
      <c r="G598" s="2" t="str">
        <f t="shared" si="9"/>
        <v>29-08-2024 NET PO FROM HSL A/C 347707-50200085415108</v>
      </c>
      <c r="H598" s="2" t="s">
        <v>1911</v>
      </c>
      <c r="I598" t="s">
        <v>361</v>
      </c>
      <c r="J598" t="s">
        <v>1896</v>
      </c>
    </row>
    <row r="599" spans="1:10" x14ac:dyDescent="0.3">
      <c r="A599" s="1">
        <v>45533</v>
      </c>
      <c r="B599" t="s">
        <v>128</v>
      </c>
      <c r="C599" t="s">
        <v>1012</v>
      </c>
      <c r="D599" s="2">
        <v>0</v>
      </c>
      <c r="E599" s="2">
        <v>30209.24</v>
      </c>
      <c r="F599" s="2">
        <v>351493.64</v>
      </c>
      <c r="G599" s="2" t="str">
        <f t="shared" si="9"/>
        <v>29-08-2024 NET PO FROM HSL A/C 347707-50200085415108</v>
      </c>
      <c r="H599" s="2" t="s">
        <v>1911</v>
      </c>
      <c r="I599" t="s">
        <v>361</v>
      </c>
      <c r="J599" t="s">
        <v>1896</v>
      </c>
    </row>
    <row r="600" spans="1:10" x14ac:dyDescent="0.3">
      <c r="A600" s="1">
        <v>45533</v>
      </c>
      <c r="B600" t="s">
        <v>125</v>
      </c>
      <c r="C600" t="s">
        <v>1013</v>
      </c>
      <c r="D600" s="2">
        <v>222.78</v>
      </c>
      <c r="E600" s="2">
        <v>0</v>
      </c>
      <c r="F600" s="2">
        <v>351270.86</v>
      </c>
      <c r="G600" s="2" t="str">
        <f t="shared" si="9"/>
        <v>29-08-2024 NET PI TO HSL SEC A/C 347707-00602340029392</v>
      </c>
      <c r="H600" s="2" t="s">
        <v>1911</v>
      </c>
      <c r="I600" t="s">
        <v>361</v>
      </c>
      <c r="J600" t="s">
        <v>1896</v>
      </c>
    </row>
    <row r="601" spans="1:10" x14ac:dyDescent="0.3">
      <c r="A601" s="1">
        <v>45533</v>
      </c>
      <c r="B601" t="s">
        <v>447</v>
      </c>
      <c r="C601" t="s">
        <v>7</v>
      </c>
      <c r="D601" s="23">
        <v>50</v>
      </c>
      <c r="E601" s="2">
        <v>0</v>
      </c>
      <c r="F601" s="2">
        <v>262879.26</v>
      </c>
      <c r="G601" s="2" t="str">
        <f t="shared" si="9"/>
        <v>29-08-2024 UPI/P2M/424289917998/Shalby Limited       /Breakf/Yes Bank Ltd</v>
      </c>
      <c r="H601" s="2" t="s">
        <v>1911</v>
      </c>
      <c r="I601" t="s">
        <v>356</v>
      </c>
      <c r="J601" t="s">
        <v>1895</v>
      </c>
    </row>
    <row r="602" spans="1:10" x14ac:dyDescent="0.3">
      <c r="A602" s="1">
        <v>45533</v>
      </c>
      <c r="B602" t="s">
        <v>448</v>
      </c>
      <c r="C602" t="s">
        <v>7</v>
      </c>
      <c r="D602" s="23">
        <v>10</v>
      </c>
      <c r="E602" s="2">
        <v>0</v>
      </c>
      <c r="F602" s="2">
        <v>262869.26</v>
      </c>
      <c r="G602" s="2" t="str">
        <f t="shared" si="9"/>
        <v>29-08-2024 UPI/P2M/424245945327/DASHARATHJI JUHAJI TH/Tea/Yes Bank Ltd</v>
      </c>
      <c r="H602" s="2" t="s">
        <v>1911</v>
      </c>
      <c r="I602" t="s">
        <v>356</v>
      </c>
      <c r="J602" t="s">
        <v>1895</v>
      </c>
    </row>
    <row r="603" spans="1:10" x14ac:dyDescent="0.3">
      <c r="A603" s="1">
        <v>45533</v>
      </c>
      <c r="B603" t="s">
        <v>449</v>
      </c>
      <c r="C603" t="s">
        <v>7</v>
      </c>
      <c r="D603" s="23">
        <v>80</v>
      </c>
      <c r="E603" s="2">
        <v>0</v>
      </c>
      <c r="F603" s="2">
        <v>262789.26</v>
      </c>
      <c r="G603" s="2" t="str">
        <f t="shared" si="9"/>
        <v>29-08-2024 UPI/P2M/424291609306/UDAYASIH             /Food/Yes Bank Ltd</v>
      </c>
      <c r="H603" s="2" t="s">
        <v>1911</v>
      </c>
      <c r="I603" t="s">
        <v>356</v>
      </c>
      <c r="J603" t="s">
        <v>1895</v>
      </c>
    </row>
    <row r="604" spans="1:10" x14ac:dyDescent="0.3">
      <c r="A604" s="1">
        <v>45533</v>
      </c>
      <c r="B604" t="s">
        <v>450</v>
      </c>
      <c r="C604" t="s">
        <v>7</v>
      </c>
      <c r="D604" s="23">
        <v>950</v>
      </c>
      <c r="E604" s="2">
        <v>0</v>
      </c>
      <c r="F604" s="2">
        <v>261839.26</v>
      </c>
      <c r="G604" s="2" t="str">
        <f t="shared" si="9"/>
        <v>29-08-2024 UPI/P2A/462248502550/DHARMENDRA C CHUDASAM/Paymen/ICICI Bank</v>
      </c>
      <c r="H604" s="2" t="s">
        <v>1911</v>
      </c>
      <c r="I604" t="s">
        <v>356</v>
      </c>
      <c r="J604" t="s">
        <v>1895</v>
      </c>
    </row>
    <row r="605" spans="1:10" x14ac:dyDescent="0.3">
      <c r="A605" s="1">
        <v>45533</v>
      </c>
      <c r="B605" t="s">
        <v>451</v>
      </c>
      <c r="C605" t="s">
        <v>7</v>
      </c>
      <c r="D605" s="23">
        <v>155</v>
      </c>
      <c r="E605" s="2">
        <v>0</v>
      </c>
      <c r="F605" s="2">
        <v>261684.26</v>
      </c>
      <c r="G605" s="2" t="str">
        <f t="shared" si="9"/>
        <v>29-08-2024 UPI/P2M/424240039965/Shalby Limited       /Food/Yes Bank Ltd</v>
      </c>
      <c r="H605" s="2" t="s">
        <v>1911</v>
      </c>
      <c r="I605" t="s">
        <v>356</v>
      </c>
      <c r="J605" t="s">
        <v>1895</v>
      </c>
    </row>
    <row r="606" spans="1:10" x14ac:dyDescent="0.3">
      <c r="A606" s="1">
        <v>45534</v>
      </c>
      <c r="B606" t="s">
        <v>125</v>
      </c>
      <c r="C606" t="s">
        <v>1018</v>
      </c>
      <c r="D606" s="2">
        <v>911.38</v>
      </c>
      <c r="E606" s="2">
        <v>0</v>
      </c>
      <c r="F606" s="2">
        <v>350609.48</v>
      </c>
      <c r="G606" s="2" t="str">
        <f t="shared" si="9"/>
        <v>30-08-2024 NET PI TO HSL SEC A/C 347707-00602340029392</v>
      </c>
      <c r="H606" s="2" t="s">
        <v>1911</v>
      </c>
      <c r="I606" t="s">
        <v>361</v>
      </c>
      <c r="J606" t="s">
        <v>1896</v>
      </c>
    </row>
    <row r="607" spans="1:10" x14ac:dyDescent="0.3">
      <c r="A607" s="1">
        <v>45534</v>
      </c>
      <c r="B607" t="s">
        <v>125</v>
      </c>
      <c r="C607" t="s">
        <v>1021</v>
      </c>
      <c r="D607" s="2">
        <v>223.88</v>
      </c>
      <c r="E607" s="2">
        <v>0</v>
      </c>
      <c r="F607" s="2">
        <v>410824.98</v>
      </c>
      <c r="G607" s="2" t="str">
        <f t="shared" si="9"/>
        <v>30-08-2024 NET PI TO HSL SEC A/C 347707-00602340029392</v>
      </c>
      <c r="H607" s="2" t="s">
        <v>1911</v>
      </c>
      <c r="I607" t="s">
        <v>361</v>
      </c>
      <c r="J607" t="s">
        <v>1896</v>
      </c>
    </row>
    <row r="608" spans="1:10" x14ac:dyDescent="0.3">
      <c r="A608" s="1">
        <v>45534</v>
      </c>
      <c r="B608" t="s">
        <v>125</v>
      </c>
      <c r="C608" t="s">
        <v>1024</v>
      </c>
      <c r="D608" s="2">
        <v>4405.62</v>
      </c>
      <c r="E608" s="2">
        <v>0</v>
      </c>
      <c r="F608" s="2">
        <v>407004.02</v>
      </c>
      <c r="G608" s="2" t="str">
        <f t="shared" si="9"/>
        <v>30-08-2024 NET PI TO HSL SEC A/C 347707-00602340029392</v>
      </c>
      <c r="H608" s="2" t="s">
        <v>1911</v>
      </c>
      <c r="I608" t="s">
        <v>361</v>
      </c>
      <c r="J608" t="s">
        <v>1896</v>
      </c>
    </row>
    <row r="609" spans="1:11" x14ac:dyDescent="0.3">
      <c r="A609" s="1">
        <v>45534</v>
      </c>
      <c r="B609" t="s">
        <v>452</v>
      </c>
      <c r="C609" t="s">
        <v>7</v>
      </c>
      <c r="D609" s="23">
        <v>35</v>
      </c>
      <c r="E609" s="2">
        <v>0</v>
      </c>
      <c r="F609" s="2">
        <v>261649.26</v>
      </c>
      <c r="G609" s="2" t="str">
        <f t="shared" si="9"/>
        <v>30-08-2024 UPI/P2M/424329249748/DASHARATHJI JUHAJI TH/Tea/Yes Bank Ltd</v>
      </c>
      <c r="H609" s="2" t="s">
        <v>1911</v>
      </c>
      <c r="I609" t="s">
        <v>356</v>
      </c>
      <c r="J609" t="s">
        <v>1895</v>
      </c>
    </row>
    <row r="610" spans="1:11" x14ac:dyDescent="0.3">
      <c r="A610" s="1">
        <v>45534</v>
      </c>
      <c r="B610" t="s">
        <v>453</v>
      </c>
      <c r="C610" t="s">
        <v>7</v>
      </c>
      <c r="D610" s="23">
        <v>310</v>
      </c>
      <c r="E610" s="2">
        <v>0</v>
      </c>
      <c r="F610" s="2">
        <v>261339.26</v>
      </c>
      <c r="G610" s="2" t="str">
        <f t="shared" si="9"/>
        <v>30-08-2024 UPI/P2M/424393841020/Shalby Limited       /Food/Yes Bank Ltd</v>
      </c>
      <c r="H610" s="2" t="s">
        <v>1911</v>
      </c>
      <c r="I610" t="s">
        <v>356</v>
      </c>
      <c r="J610" t="s">
        <v>1895</v>
      </c>
    </row>
    <row r="611" spans="1:11" x14ac:dyDescent="0.3">
      <c r="A611" s="1">
        <v>45534</v>
      </c>
      <c r="B611" t="s">
        <v>454</v>
      </c>
      <c r="C611" t="s">
        <v>7</v>
      </c>
      <c r="D611" s="23">
        <v>170</v>
      </c>
      <c r="E611" s="2">
        <v>0</v>
      </c>
      <c r="F611" s="2">
        <v>261169.26</v>
      </c>
      <c r="G611" s="2" t="str">
        <f t="shared" si="9"/>
        <v>30-08-2024 UPI/P2M/424317902977/Shalby Limited       /Food/Yes Bank Ltd</v>
      </c>
      <c r="H611" s="2" t="s">
        <v>1911</v>
      </c>
      <c r="I611" t="s">
        <v>356</v>
      </c>
      <c r="J611" t="s">
        <v>1895</v>
      </c>
    </row>
    <row r="612" spans="1:11" x14ac:dyDescent="0.3">
      <c r="A612" s="1">
        <v>45534</v>
      </c>
      <c r="B612" t="s">
        <v>1022</v>
      </c>
      <c r="C612" t="s">
        <v>1023</v>
      </c>
      <c r="D612" s="2">
        <v>0</v>
      </c>
      <c r="E612" s="2">
        <v>584.66</v>
      </c>
      <c r="F612" s="2">
        <v>411409.64</v>
      </c>
      <c r="G612" s="2" t="str">
        <f t="shared" si="9"/>
        <v>30-08-2024 00012050001396HLY INT-IN0020220078</v>
      </c>
      <c r="H612" s="2" t="s">
        <v>1911</v>
      </c>
      <c r="I612" t="s">
        <v>369</v>
      </c>
      <c r="J612" t="s">
        <v>1896</v>
      </c>
    </row>
    <row r="613" spans="1:11" x14ac:dyDescent="0.3">
      <c r="A613" s="1">
        <v>45534</v>
      </c>
      <c r="B613" t="s">
        <v>1019</v>
      </c>
      <c r="C613" t="s">
        <v>1020</v>
      </c>
      <c r="D613" s="2">
        <v>0</v>
      </c>
      <c r="E613" s="2">
        <v>60439.38</v>
      </c>
      <c r="F613" s="2">
        <v>411048.86</v>
      </c>
      <c r="G613" s="2" t="str">
        <f t="shared" si="9"/>
        <v>30-08-2024 57500000389159-1336864813</v>
      </c>
      <c r="H613" s="2" t="s">
        <v>1911</v>
      </c>
      <c r="I613" t="s">
        <v>1884</v>
      </c>
      <c r="J613" t="s">
        <v>1896</v>
      </c>
    </row>
    <row r="614" spans="1:11" x14ac:dyDescent="0.3">
      <c r="A614" s="1">
        <v>45535</v>
      </c>
      <c r="B614" t="s">
        <v>754</v>
      </c>
      <c r="D614" s="2">
        <v>300</v>
      </c>
      <c r="E614" s="2">
        <v>0</v>
      </c>
      <c r="F614" s="2">
        <v>-90676.37</v>
      </c>
      <c r="G614" s="2" t="str">
        <f t="shared" si="9"/>
        <v>31-08-2024    DEBIT INTEREST---</v>
      </c>
      <c r="H614" s="2" t="s">
        <v>1911</v>
      </c>
      <c r="I614" t="s">
        <v>1915</v>
      </c>
      <c r="J614" t="s">
        <v>1897</v>
      </c>
    </row>
    <row r="615" spans="1:11" x14ac:dyDescent="0.3">
      <c r="A615" s="1">
        <v>45535</v>
      </c>
      <c r="B615" t="s">
        <v>455</v>
      </c>
      <c r="C615" t="s">
        <v>7</v>
      </c>
      <c r="D615" s="23">
        <v>400</v>
      </c>
      <c r="E615" s="2">
        <v>0</v>
      </c>
      <c r="F615" s="2">
        <v>260769.26</v>
      </c>
      <c r="G615" s="2" t="str">
        <f t="shared" si="9"/>
        <v>31-08-2024 UPI/P2A/784706392751/DHARMENDRA C CHUDASAM/Paymen/ICICI Bank</v>
      </c>
      <c r="H615" s="2" t="s">
        <v>1911</v>
      </c>
      <c r="I615" t="s">
        <v>356</v>
      </c>
      <c r="J615" t="s">
        <v>1895</v>
      </c>
    </row>
    <row r="616" spans="1:11" x14ac:dyDescent="0.3">
      <c r="A616" s="1">
        <v>45536</v>
      </c>
      <c r="B616" t="s">
        <v>1025</v>
      </c>
      <c r="C616" t="s">
        <v>1026</v>
      </c>
      <c r="D616" s="2">
        <v>62456</v>
      </c>
      <c r="E616" s="2">
        <v>0</v>
      </c>
      <c r="F616" s="2">
        <v>344548.02</v>
      </c>
      <c r="G616" s="2" t="str">
        <f t="shared" si="9"/>
        <v>01-09-2024 CC 000552260XXXXXX5783 AUTOPAY SI-TAD</v>
      </c>
      <c r="H616" s="2" t="s">
        <v>1911</v>
      </c>
      <c r="I616" t="s">
        <v>1838</v>
      </c>
      <c r="J616" t="s">
        <v>1896</v>
      </c>
    </row>
    <row r="617" spans="1:11" x14ac:dyDescent="0.3">
      <c r="A617" s="1">
        <v>45536</v>
      </c>
      <c r="B617" t="s">
        <v>456</v>
      </c>
      <c r="C617" t="s">
        <v>7</v>
      </c>
      <c r="D617" s="23">
        <v>48</v>
      </c>
      <c r="E617" s="2">
        <v>0</v>
      </c>
      <c r="F617" s="2">
        <v>260721.26</v>
      </c>
      <c r="G617" s="2" t="str">
        <f t="shared" si="9"/>
        <v>01-09-2024 UPI/P2M/424582563377/BharatPe Merchant    /Pay to/YesBank_Yespay</v>
      </c>
      <c r="H617" s="2" t="s">
        <v>1911</v>
      </c>
      <c r="I617" t="s">
        <v>356</v>
      </c>
      <c r="J617" t="s">
        <v>1895</v>
      </c>
    </row>
    <row r="618" spans="1:11" x14ac:dyDescent="0.3">
      <c r="A618" s="1">
        <v>45536</v>
      </c>
      <c r="B618" t="s">
        <v>457</v>
      </c>
      <c r="C618" t="s">
        <v>7</v>
      </c>
      <c r="D618" s="2">
        <v>6000</v>
      </c>
      <c r="E618" s="2">
        <v>0</v>
      </c>
      <c r="F618" s="2">
        <v>254721.26</v>
      </c>
      <c r="G618" s="2" t="str">
        <f t="shared" si="9"/>
        <v>01-09-2024 UPI/P2A/429126819132/VINEET AGARWAL SO SH /Paymen/Bank of India</v>
      </c>
      <c r="H618" s="2" t="s">
        <v>1911</v>
      </c>
      <c r="I618" t="s">
        <v>1932</v>
      </c>
      <c r="J618" t="s">
        <v>1895</v>
      </c>
    </row>
    <row r="619" spans="1:11" x14ac:dyDescent="0.3">
      <c r="A619" s="1">
        <v>45537</v>
      </c>
      <c r="B619" t="s">
        <v>750</v>
      </c>
      <c r="C619" t="s">
        <v>751</v>
      </c>
      <c r="D619" s="2">
        <v>0</v>
      </c>
      <c r="E619" s="2">
        <v>26595</v>
      </c>
      <c r="F619" s="2">
        <v>-64081.37</v>
      </c>
      <c r="G619" s="2" t="str">
        <f t="shared" si="9"/>
        <v>02-09-2024    DEPOSIT TRANSFER---</v>
      </c>
      <c r="H619" s="2" t="s">
        <v>1911</v>
      </c>
      <c r="I619" t="s">
        <v>1842</v>
      </c>
      <c r="J619" t="s">
        <v>1897</v>
      </c>
      <c r="K619" t="s">
        <v>1913</v>
      </c>
    </row>
    <row r="620" spans="1:11" x14ac:dyDescent="0.3">
      <c r="A620" s="1">
        <v>45537</v>
      </c>
      <c r="B620" t="s">
        <v>1734</v>
      </c>
      <c r="C620" t="s">
        <v>1735</v>
      </c>
      <c r="D620" s="2">
        <v>26595</v>
      </c>
      <c r="E620" s="2">
        <v>0</v>
      </c>
      <c r="F620" s="2">
        <v>5331.76</v>
      </c>
      <c r="G620" s="2" t="str">
        <f t="shared" si="9"/>
        <v>02-09-2024    WITHDRAWAL TRANSFER---</v>
      </c>
      <c r="H620" s="2" t="s">
        <v>1911</v>
      </c>
      <c r="I620" t="s">
        <v>1906</v>
      </c>
      <c r="J620" t="s">
        <v>1899</v>
      </c>
      <c r="K620" t="s">
        <v>1913</v>
      </c>
    </row>
    <row r="621" spans="1:11" x14ac:dyDescent="0.3">
      <c r="A621" s="1">
        <v>45537</v>
      </c>
      <c r="B621" t="s">
        <v>1028</v>
      </c>
      <c r="C621" t="s">
        <v>1029</v>
      </c>
      <c r="D621" s="2">
        <v>0</v>
      </c>
      <c r="E621" s="2">
        <v>1200</v>
      </c>
      <c r="F621" s="2">
        <v>345081.09</v>
      </c>
      <c r="G621" s="2" t="str">
        <f t="shared" si="9"/>
        <v>02-09-2024 ACH C- ICICI BANK LTD.-7312424</v>
      </c>
      <c r="H621" s="2" t="s">
        <v>1911</v>
      </c>
      <c r="I621" t="s">
        <v>367</v>
      </c>
      <c r="J621" t="s">
        <v>1896</v>
      </c>
    </row>
    <row r="622" spans="1:11" x14ac:dyDescent="0.3">
      <c r="A622" s="1">
        <v>45537</v>
      </c>
      <c r="B622" t="s">
        <v>125</v>
      </c>
      <c r="C622" t="s">
        <v>1027</v>
      </c>
      <c r="D622" s="2">
        <v>666.93</v>
      </c>
      <c r="E622" s="2">
        <v>0</v>
      </c>
      <c r="F622" s="2">
        <v>343881.09</v>
      </c>
      <c r="G622" s="2" t="str">
        <f t="shared" si="9"/>
        <v>02-09-2024 NET PI TO HSL SEC A/C 347707-00602340029392</v>
      </c>
      <c r="H622" s="2" t="s">
        <v>1911</v>
      </c>
      <c r="I622" t="s">
        <v>361</v>
      </c>
      <c r="J622" t="s">
        <v>1896</v>
      </c>
    </row>
    <row r="623" spans="1:11" x14ac:dyDescent="0.3">
      <c r="A623" s="1">
        <v>45537</v>
      </c>
      <c r="B623" t="s">
        <v>125</v>
      </c>
      <c r="C623" t="s">
        <v>1030</v>
      </c>
      <c r="D623" s="2">
        <v>1527.43</v>
      </c>
      <c r="E623" s="2">
        <v>0</v>
      </c>
      <c r="F623" s="2">
        <v>343553.66</v>
      </c>
      <c r="G623" s="2" t="str">
        <f t="shared" si="9"/>
        <v>02-09-2024 NET PI TO HSL SEC A/C 347707-00602340029392</v>
      </c>
      <c r="H623" s="2" t="s">
        <v>1911</v>
      </c>
      <c r="I623" t="s">
        <v>361</v>
      </c>
      <c r="J623" t="s">
        <v>1896</v>
      </c>
    </row>
    <row r="624" spans="1:11" x14ac:dyDescent="0.3">
      <c r="A624" s="1">
        <v>45537</v>
      </c>
      <c r="B624" t="s">
        <v>458</v>
      </c>
      <c r="C624" t="s">
        <v>7</v>
      </c>
      <c r="D624" s="23">
        <v>44</v>
      </c>
      <c r="E624" s="2">
        <v>0</v>
      </c>
      <c r="F624" s="2">
        <v>254677.26</v>
      </c>
      <c r="G624" s="2" t="str">
        <f t="shared" si="9"/>
        <v>02-09-2024 UPI/P2M/424649785650/BharatPe Merchant    /Pay to/YesBank_Yespay</v>
      </c>
      <c r="H624" s="2" t="s">
        <v>1911</v>
      </c>
      <c r="I624" t="s">
        <v>356</v>
      </c>
      <c r="J624" t="s">
        <v>1895</v>
      </c>
    </row>
    <row r="625" spans="1:11" x14ac:dyDescent="0.3">
      <c r="A625" s="1">
        <v>45538</v>
      </c>
      <c r="B625" t="s">
        <v>459</v>
      </c>
      <c r="C625" t="s">
        <v>7</v>
      </c>
      <c r="D625" s="2">
        <v>10000</v>
      </c>
      <c r="E625" s="2">
        <v>0</v>
      </c>
      <c r="F625" s="2">
        <v>244677.26</v>
      </c>
      <c r="G625" s="2" t="str">
        <f t="shared" si="9"/>
        <v>03-09-2024 ATM-CASH-AXIS/APRH22806/3161/030924/KOTA</v>
      </c>
      <c r="H625" s="2" t="s">
        <v>1911</v>
      </c>
      <c r="I625" t="s">
        <v>354</v>
      </c>
      <c r="J625" t="s">
        <v>1895</v>
      </c>
    </row>
    <row r="626" spans="1:11" x14ac:dyDescent="0.3">
      <c r="A626" s="1">
        <v>45538</v>
      </c>
      <c r="B626" t="s">
        <v>460</v>
      </c>
      <c r="C626" t="s">
        <v>7</v>
      </c>
      <c r="D626" s="2">
        <v>5000</v>
      </c>
      <c r="E626" s="2">
        <v>0</v>
      </c>
      <c r="F626" s="2">
        <v>239677.26</v>
      </c>
      <c r="G626" s="2" t="str">
        <f t="shared" si="9"/>
        <v>03-09-2024 ATM-CASH-AXIS/APRH22806/3162/030924/KOTA</v>
      </c>
      <c r="H626" s="2" t="s">
        <v>1911</v>
      </c>
      <c r="I626" t="s">
        <v>354</v>
      </c>
      <c r="J626" t="s">
        <v>1895</v>
      </c>
    </row>
    <row r="627" spans="1:11" x14ac:dyDescent="0.3">
      <c r="A627" s="1">
        <v>45538</v>
      </c>
      <c r="B627" t="s">
        <v>1031</v>
      </c>
      <c r="C627" t="s">
        <v>1032</v>
      </c>
      <c r="D627" s="2">
        <v>0</v>
      </c>
      <c r="E627" s="2">
        <v>625</v>
      </c>
      <c r="F627" s="2">
        <v>344178.66</v>
      </c>
      <c r="G627" s="2" t="str">
        <f t="shared" si="9"/>
        <v>03-09-2024 ACH C- MARUTI SUZUKI INDIA-0000000000000</v>
      </c>
      <c r="H627" s="2" t="s">
        <v>1911</v>
      </c>
      <c r="I627" t="s">
        <v>367</v>
      </c>
      <c r="J627" t="s">
        <v>1896</v>
      </c>
    </row>
    <row r="628" spans="1:11" x14ac:dyDescent="0.3">
      <c r="A628" s="1">
        <v>45538</v>
      </c>
      <c r="B628" t="s">
        <v>125</v>
      </c>
      <c r="C628" t="s">
        <v>1033</v>
      </c>
      <c r="D628" s="2">
        <v>221.77</v>
      </c>
      <c r="E628" s="2">
        <v>0</v>
      </c>
      <c r="F628" s="2">
        <v>343956.89</v>
      </c>
      <c r="G628" s="2" t="str">
        <f t="shared" si="9"/>
        <v>03-09-2024 NET PI TO HSL SEC A/C 347707-00602340029392</v>
      </c>
      <c r="H628" s="2" t="s">
        <v>1911</v>
      </c>
      <c r="I628" t="s">
        <v>361</v>
      </c>
      <c r="J628" t="s">
        <v>1896</v>
      </c>
    </row>
    <row r="629" spans="1:11" x14ac:dyDescent="0.3">
      <c r="A629" s="1">
        <v>45538</v>
      </c>
      <c r="B629" t="s">
        <v>125</v>
      </c>
      <c r="C629" t="s">
        <v>1034</v>
      </c>
      <c r="D629" s="2">
        <v>42861.04</v>
      </c>
      <c r="E629" s="2">
        <v>0</v>
      </c>
      <c r="F629" s="2">
        <v>301095.84999999998</v>
      </c>
      <c r="G629" s="2" t="str">
        <f t="shared" si="9"/>
        <v>03-09-2024 NET PI TO HSL SEC A/C 347707-00602340029392</v>
      </c>
      <c r="H629" s="2" t="s">
        <v>1911</v>
      </c>
      <c r="I629" t="s">
        <v>361</v>
      </c>
      <c r="J629" t="s">
        <v>1896</v>
      </c>
    </row>
    <row r="630" spans="1:11" x14ac:dyDescent="0.3">
      <c r="A630" s="1">
        <v>45539</v>
      </c>
      <c r="B630" t="s">
        <v>125</v>
      </c>
      <c r="C630" t="s">
        <v>1035</v>
      </c>
      <c r="D630" s="2">
        <v>206.5</v>
      </c>
      <c r="E630" s="2">
        <v>0</v>
      </c>
      <c r="F630" s="2">
        <v>300889.34999999998</v>
      </c>
      <c r="G630" s="2" t="str">
        <f t="shared" si="9"/>
        <v>04-09-2024 NET PI TO HSL SEC A/C 347707-00602340029392</v>
      </c>
      <c r="H630" s="2" t="s">
        <v>1911</v>
      </c>
      <c r="I630" t="s">
        <v>361</v>
      </c>
      <c r="J630" t="s">
        <v>1896</v>
      </c>
    </row>
    <row r="631" spans="1:11" x14ac:dyDescent="0.3">
      <c r="A631" s="1">
        <v>45539</v>
      </c>
      <c r="B631" t="s">
        <v>125</v>
      </c>
      <c r="C631" t="s">
        <v>1036</v>
      </c>
      <c r="D631" s="2">
        <v>455.79</v>
      </c>
      <c r="E631" s="2">
        <v>0</v>
      </c>
      <c r="F631" s="2">
        <v>300433.56</v>
      </c>
      <c r="G631" s="2" t="str">
        <f t="shared" ref="G631:G694" si="10">TEXT(A631,"DD")&amp;"-"&amp;TEXT(A631,"MM")&amp;"-"&amp;TEXT(A631,"YYYY")&amp;" "&amp;B631</f>
        <v>04-09-2024 NET PI TO HSL SEC A/C 347707-00602340029392</v>
      </c>
      <c r="H631" s="2" t="s">
        <v>1911</v>
      </c>
      <c r="I631" t="s">
        <v>361</v>
      </c>
      <c r="J631" t="s">
        <v>1896</v>
      </c>
    </row>
    <row r="632" spans="1:11" x14ac:dyDescent="0.3">
      <c r="A632" s="1">
        <v>45540</v>
      </c>
      <c r="B632" t="s">
        <v>706</v>
      </c>
      <c r="D632" s="2">
        <v>0</v>
      </c>
      <c r="E632" s="2">
        <v>1000</v>
      </c>
      <c r="F632" s="2">
        <v>16934</v>
      </c>
      <c r="G632" s="2" t="str">
        <f t="shared" si="10"/>
        <v>05-09-2024 NEFT/SBIN124249087443/SBIN/Mr AJAY KUMAR GUPTA</v>
      </c>
      <c r="H632" s="2" t="s">
        <v>1911</v>
      </c>
      <c r="I632" t="s">
        <v>1842</v>
      </c>
      <c r="J632" t="s">
        <v>1898</v>
      </c>
      <c r="K632" t="s">
        <v>1913</v>
      </c>
    </row>
    <row r="633" spans="1:11" x14ac:dyDescent="0.3">
      <c r="A633" s="1">
        <v>45540</v>
      </c>
      <c r="B633" t="s">
        <v>1792</v>
      </c>
      <c r="C633" t="s">
        <v>1793</v>
      </c>
      <c r="D633" s="2">
        <v>1000</v>
      </c>
      <c r="E633" s="2">
        <v>0</v>
      </c>
      <c r="F633" s="2">
        <v>4331.76</v>
      </c>
      <c r="G633" s="2" t="str">
        <f t="shared" si="10"/>
        <v>05-09-2024    TO TRANSFER-INB NEFT UTR NO: SBIN124249087443--NRI Ajay</v>
      </c>
      <c r="H633" s="2" t="s">
        <v>1911</v>
      </c>
      <c r="I633" t="s">
        <v>1909</v>
      </c>
      <c r="J633" t="s">
        <v>1899</v>
      </c>
      <c r="K633" t="s">
        <v>1913</v>
      </c>
    </row>
    <row r="634" spans="1:11" x14ac:dyDescent="0.3">
      <c r="A634" s="1">
        <v>45540</v>
      </c>
      <c r="B634" t="s">
        <v>1040</v>
      </c>
      <c r="C634" t="s">
        <v>1041</v>
      </c>
      <c r="D634" s="2">
        <v>0</v>
      </c>
      <c r="E634" s="2">
        <v>110.5</v>
      </c>
      <c r="F634" s="2">
        <v>290295.90000000002</v>
      </c>
      <c r="G634" s="2" t="str">
        <f t="shared" si="10"/>
        <v>05-09-2024 ACH C- POWER FINANCE CORPOR-14784314</v>
      </c>
      <c r="H634" s="2" t="s">
        <v>1911</v>
      </c>
      <c r="I634" t="s">
        <v>367</v>
      </c>
      <c r="J634" t="s">
        <v>1896</v>
      </c>
    </row>
    <row r="635" spans="1:11" x14ac:dyDescent="0.3">
      <c r="A635" s="1">
        <v>45540</v>
      </c>
      <c r="B635" t="s">
        <v>125</v>
      </c>
      <c r="C635" t="s">
        <v>1039</v>
      </c>
      <c r="D635" s="2">
        <v>248.16</v>
      </c>
      <c r="E635" s="2">
        <v>0</v>
      </c>
      <c r="F635" s="2">
        <v>290185.40000000002</v>
      </c>
      <c r="G635" s="2" t="str">
        <f t="shared" si="10"/>
        <v>05-09-2024 NET PI TO HSL SEC A/C 347707-00602340029392</v>
      </c>
      <c r="H635" s="2" t="s">
        <v>1911</v>
      </c>
      <c r="I635" t="s">
        <v>361</v>
      </c>
      <c r="J635" t="s">
        <v>1896</v>
      </c>
    </row>
    <row r="636" spans="1:11" x14ac:dyDescent="0.3">
      <c r="A636" s="1">
        <v>45540</v>
      </c>
      <c r="B636" t="s">
        <v>125</v>
      </c>
      <c r="C636" t="s">
        <v>1042</v>
      </c>
      <c r="D636" s="2">
        <v>2487.92</v>
      </c>
      <c r="E636" s="2">
        <v>0</v>
      </c>
      <c r="F636" s="2">
        <v>287807.98</v>
      </c>
      <c r="G636" s="2" t="str">
        <f t="shared" si="10"/>
        <v>05-09-2024 NET PI TO HSL SEC A/C 347707-00602340029392</v>
      </c>
      <c r="H636" s="2" t="s">
        <v>1911</v>
      </c>
      <c r="I636" t="s">
        <v>361</v>
      </c>
      <c r="J636" t="s">
        <v>1896</v>
      </c>
    </row>
    <row r="637" spans="1:11" x14ac:dyDescent="0.3">
      <c r="A637" s="1">
        <v>45540</v>
      </c>
      <c r="B637" t="s">
        <v>1037</v>
      </c>
      <c r="C637" t="s">
        <v>1038</v>
      </c>
      <c r="D637" s="2">
        <v>10000</v>
      </c>
      <c r="E637" s="2">
        <v>0</v>
      </c>
      <c r="F637" s="2">
        <v>290433.56</v>
      </c>
      <c r="G637" s="2" t="str">
        <f t="shared" si="10"/>
        <v>05-09-2024 UPI-XXXXXX0094-HDFC0000001-424930662852-PAYMENT FROM PHONE</v>
      </c>
      <c r="H637" s="2" t="s">
        <v>1911</v>
      </c>
      <c r="I637" t="s">
        <v>1852</v>
      </c>
      <c r="J637" t="s">
        <v>1896</v>
      </c>
    </row>
    <row r="638" spans="1:11" x14ac:dyDescent="0.3">
      <c r="A638" s="1">
        <v>45541</v>
      </c>
      <c r="B638" t="s">
        <v>1045</v>
      </c>
      <c r="C638" t="s">
        <v>1046</v>
      </c>
      <c r="D638" s="2">
        <v>0</v>
      </c>
      <c r="E638" s="2">
        <v>370</v>
      </c>
      <c r="F638" s="2">
        <v>363034.58</v>
      </c>
      <c r="G638" s="2" t="str">
        <f t="shared" si="10"/>
        <v>06-09-2024 ACH C- APOLLO HOS FDIV2024-AHLIN30047640</v>
      </c>
      <c r="H638" s="2" t="s">
        <v>1911</v>
      </c>
      <c r="I638" t="s">
        <v>367</v>
      </c>
      <c r="J638" t="s">
        <v>1896</v>
      </c>
    </row>
    <row r="639" spans="1:11" x14ac:dyDescent="0.3">
      <c r="A639" s="1">
        <v>45541</v>
      </c>
      <c r="B639" t="s">
        <v>128</v>
      </c>
      <c r="C639" t="s">
        <v>1043</v>
      </c>
      <c r="D639" s="2">
        <v>0</v>
      </c>
      <c r="E639" s="2">
        <v>75109.820000000007</v>
      </c>
      <c r="F639" s="2">
        <v>362917.8</v>
      </c>
      <c r="G639" s="2" t="str">
        <f t="shared" si="10"/>
        <v>06-09-2024 NET PO FROM HSL A/C 347707-50200085415108</v>
      </c>
      <c r="H639" s="2" t="s">
        <v>1911</v>
      </c>
      <c r="I639" t="s">
        <v>361</v>
      </c>
      <c r="J639" t="s">
        <v>1896</v>
      </c>
    </row>
    <row r="640" spans="1:11" x14ac:dyDescent="0.3">
      <c r="A640" s="1">
        <v>45541</v>
      </c>
      <c r="B640" t="s">
        <v>125</v>
      </c>
      <c r="C640" t="s">
        <v>1044</v>
      </c>
      <c r="D640" s="2">
        <v>253.22</v>
      </c>
      <c r="E640" s="2">
        <v>0</v>
      </c>
      <c r="F640" s="2">
        <v>362664.58</v>
      </c>
      <c r="G640" s="2" t="str">
        <f t="shared" si="10"/>
        <v>06-09-2024 NET PI TO HSL SEC A/C 347707-00602340029392</v>
      </c>
      <c r="H640" s="2" t="s">
        <v>1911</v>
      </c>
      <c r="I640" t="s">
        <v>361</v>
      </c>
      <c r="J640" t="s">
        <v>1896</v>
      </c>
    </row>
    <row r="641" spans="1:10" x14ac:dyDescent="0.3">
      <c r="A641" s="1">
        <v>45541</v>
      </c>
      <c r="B641" t="s">
        <v>125</v>
      </c>
      <c r="C641" t="s">
        <v>1047</v>
      </c>
      <c r="D641" s="2">
        <v>20314.62</v>
      </c>
      <c r="E641" s="2">
        <v>0</v>
      </c>
      <c r="F641" s="2">
        <v>342719.96</v>
      </c>
      <c r="G641" s="2" t="str">
        <f t="shared" si="10"/>
        <v>06-09-2024 NET PI TO HSL SEC A/C 347707-00602340029392</v>
      </c>
      <c r="H641" s="2" t="s">
        <v>1911</v>
      </c>
      <c r="I641" t="s">
        <v>361</v>
      </c>
      <c r="J641" t="s">
        <v>1896</v>
      </c>
    </row>
    <row r="642" spans="1:10" x14ac:dyDescent="0.3">
      <c r="A642" s="1">
        <v>45541</v>
      </c>
      <c r="B642" t="s">
        <v>125</v>
      </c>
      <c r="C642" t="s">
        <v>1048</v>
      </c>
      <c r="D642" s="2">
        <v>85367.92</v>
      </c>
      <c r="E642" s="2">
        <v>0</v>
      </c>
      <c r="F642" s="2">
        <v>257352.04</v>
      </c>
      <c r="G642" s="2" t="str">
        <f t="shared" si="10"/>
        <v>06-09-2024 NET PI TO HSL SEC A/C 347707-00602340029392</v>
      </c>
      <c r="H642" s="2" t="s">
        <v>1911</v>
      </c>
      <c r="I642" t="s">
        <v>361</v>
      </c>
      <c r="J642" t="s">
        <v>1896</v>
      </c>
    </row>
    <row r="643" spans="1:10" x14ac:dyDescent="0.3">
      <c r="A643" s="1">
        <v>45541</v>
      </c>
      <c r="B643" t="s">
        <v>1049</v>
      </c>
      <c r="C643" t="s">
        <v>1050</v>
      </c>
      <c r="D643" s="2">
        <v>0</v>
      </c>
      <c r="E643" s="2">
        <v>10000</v>
      </c>
      <c r="F643" s="2">
        <v>267352.03999999998</v>
      </c>
      <c r="G643" s="2" t="str">
        <f t="shared" si="10"/>
        <v>06-09-2024 UPI-SUNITA GUPTA-AJAYGUPTANEL1@AXL-HDFC0000167-074263747998-MONEY RETURNED FRO</v>
      </c>
      <c r="H643" s="2" t="s">
        <v>1911</v>
      </c>
      <c r="I643" t="s">
        <v>364</v>
      </c>
      <c r="J643" t="s">
        <v>1896</v>
      </c>
    </row>
    <row r="644" spans="1:10" x14ac:dyDescent="0.3">
      <c r="A644" s="1">
        <v>45542</v>
      </c>
      <c r="B644" t="s">
        <v>8</v>
      </c>
      <c r="C644" t="s">
        <v>7</v>
      </c>
      <c r="D644" s="2">
        <v>171169.02</v>
      </c>
      <c r="E644" s="2">
        <v>0</v>
      </c>
      <c r="F644" s="2">
        <v>68508.240000000005</v>
      </c>
      <c r="G644" s="2" t="str">
        <f t="shared" si="10"/>
        <v>07-09-2024 BRN-PYMT-CARD-4111460000883615</v>
      </c>
      <c r="H644" s="2" t="s">
        <v>1911</v>
      </c>
      <c r="I644" t="s">
        <v>1877</v>
      </c>
      <c r="J644" t="s">
        <v>1895</v>
      </c>
    </row>
    <row r="645" spans="1:10" x14ac:dyDescent="0.3">
      <c r="A645" s="1">
        <v>45544</v>
      </c>
      <c r="B645" t="s">
        <v>1052</v>
      </c>
      <c r="C645" t="s">
        <v>1053</v>
      </c>
      <c r="D645" s="2">
        <v>0</v>
      </c>
      <c r="E645" s="2">
        <v>102</v>
      </c>
      <c r="F645" s="2">
        <v>266785.61</v>
      </c>
      <c r="G645" s="2" t="str">
        <f t="shared" si="10"/>
        <v>09-09-2024 ACH C- APAR DIVIDEND2023 24-28983</v>
      </c>
      <c r="H645" s="2" t="s">
        <v>1911</v>
      </c>
      <c r="I645" t="s">
        <v>367</v>
      </c>
      <c r="J645" t="s">
        <v>1896</v>
      </c>
    </row>
    <row r="646" spans="1:10" x14ac:dyDescent="0.3">
      <c r="A646" s="1">
        <v>45544</v>
      </c>
      <c r="B646" t="s">
        <v>125</v>
      </c>
      <c r="C646" t="s">
        <v>1051</v>
      </c>
      <c r="D646" s="2">
        <v>668.43</v>
      </c>
      <c r="E646" s="2">
        <v>0</v>
      </c>
      <c r="F646" s="2">
        <v>266683.61</v>
      </c>
      <c r="G646" s="2" t="str">
        <f t="shared" si="10"/>
        <v>09-09-2024 NET PI TO HSL SEC A/C 347707-00602340029392</v>
      </c>
      <c r="H646" s="2" t="s">
        <v>1911</v>
      </c>
      <c r="I646" t="s">
        <v>361</v>
      </c>
      <c r="J646" t="s">
        <v>1896</v>
      </c>
    </row>
    <row r="647" spans="1:10" x14ac:dyDescent="0.3">
      <c r="A647" s="1">
        <v>45544</v>
      </c>
      <c r="B647" t="s">
        <v>125</v>
      </c>
      <c r="C647" t="s">
        <v>1060</v>
      </c>
      <c r="D647" s="2">
        <v>7435.88</v>
      </c>
      <c r="E647" s="2">
        <v>0</v>
      </c>
      <c r="F647" s="2">
        <v>260360.54</v>
      </c>
      <c r="G647" s="2" t="str">
        <f t="shared" si="10"/>
        <v>09-09-2024 NET PI TO HSL SEC A/C 347707-00602340029392</v>
      </c>
      <c r="H647" s="2" t="s">
        <v>1911</v>
      </c>
      <c r="I647" t="s">
        <v>361</v>
      </c>
      <c r="J647" t="s">
        <v>1896</v>
      </c>
    </row>
    <row r="648" spans="1:10" x14ac:dyDescent="0.3">
      <c r="A648" s="1">
        <v>45544</v>
      </c>
      <c r="B648" t="s">
        <v>1054</v>
      </c>
      <c r="C648" t="s">
        <v>1055</v>
      </c>
      <c r="D648" s="2">
        <v>0</v>
      </c>
      <c r="E648" s="2">
        <v>291.38</v>
      </c>
      <c r="F648" s="2">
        <v>267076.99</v>
      </c>
      <c r="G648" s="2" t="str">
        <f t="shared" si="10"/>
        <v>09-09-2024 00012050001396HLY INT-IN0020200427</v>
      </c>
      <c r="H648" s="2" t="s">
        <v>1911</v>
      </c>
      <c r="I648" t="s">
        <v>369</v>
      </c>
      <c r="J648" t="s">
        <v>1896</v>
      </c>
    </row>
    <row r="649" spans="1:10" x14ac:dyDescent="0.3">
      <c r="A649" s="1">
        <v>45544</v>
      </c>
      <c r="B649" t="s">
        <v>1056</v>
      </c>
      <c r="C649" t="s">
        <v>1057</v>
      </c>
      <c r="D649" s="2">
        <v>0</v>
      </c>
      <c r="E649" s="2">
        <v>127.93</v>
      </c>
      <c r="F649" s="2">
        <v>267204.92</v>
      </c>
      <c r="G649" s="2" t="str">
        <f t="shared" si="10"/>
        <v>09-09-2024 00012050001396HLY INT-IN0020200195</v>
      </c>
      <c r="H649" s="2" t="s">
        <v>1911</v>
      </c>
      <c r="I649" t="s">
        <v>369</v>
      </c>
      <c r="J649" t="s">
        <v>1896</v>
      </c>
    </row>
    <row r="650" spans="1:10" x14ac:dyDescent="0.3">
      <c r="A650" s="1">
        <v>45544</v>
      </c>
      <c r="B650" t="s">
        <v>1058</v>
      </c>
      <c r="C650" t="s">
        <v>1059</v>
      </c>
      <c r="D650" s="2">
        <v>0</v>
      </c>
      <c r="E650" s="2">
        <v>591.5</v>
      </c>
      <c r="F650" s="2">
        <v>267796.42</v>
      </c>
      <c r="G650" s="2" t="str">
        <f t="shared" si="10"/>
        <v>09-09-2024 00012050001396HLY INT-IN0020210145</v>
      </c>
      <c r="H650" s="2" t="s">
        <v>1911</v>
      </c>
      <c r="I650" t="s">
        <v>369</v>
      </c>
      <c r="J650" t="s">
        <v>1896</v>
      </c>
    </row>
    <row r="651" spans="1:10" x14ac:dyDescent="0.3">
      <c r="A651" s="1">
        <v>45545</v>
      </c>
      <c r="B651" t="s">
        <v>1063</v>
      </c>
      <c r="C651" t="s">
        <v>1064</v>
      </c>
      <c r="D651" s="2">
        <v>0</v>
      </c>
      <c r="E651" s="2">
        <v>26</v>
      </c>
      <c r="F651" s="2">
        <v>250100.71</v>
      </c>
      <c r="G651" s="2" t="str">
        <f t="shared" si="10"/>
        <v>10-09-2024 ACH C- HINDUSTANAERONAUTICS-4568895</v>
      </c>
      <c r="H651" s="2" t="s">
        <v>1911</v>
      </c>
      <c r="I651" t="s">
        <v>367</v>
      </c>
      <c r="J651" t="s">
        <v>1896</v>
      </c>
    </row>
    <row r="652" spans="1:10" x14ac:dyDescent="0.3">
      <c r="A652" s="1">
        <v>45545</v>
      </c>
      <c r="B652" t="s">
        <v>125</v>
      </c>
      <c r="C652" t="s">
        <v>1062</v>
      </c>
      <c r="D652" s="2">
        <v>285.83</v>
      </c>
      <c r="E652" s="2">
        <v>0</v>
      </c>
      <c r="F652" s="2">
        <v>250074.71</v>
      </c>
      <c r="G652" s="2" t="str">
        <f t="shared" si="10"/>
        <v>10-09-2024 NET PI TO HSL SEC A/C 347707-00602340029392</v>
      </c>
      <c r="H652" s="2" t="s">
        <v>1911</v>
      </c>
      <c r="I652" t="s">
        <v>361</v>
      </c>
      <c r="J652" t="s">
        <v>1896</v>
      </c>
    </row>
    <row r="653" spans="1:10" x14ac:dyDescent="0.3">
      <c r="A653" s="1">
        <v>45545</v>
      </c>
      <c r="B653" t="s">
        <v>146</v>
      </c>
      <c r="C653" t="s">
        <v>1061</v>
      </c>
      <c r="D653" s="2">
        <v>10000</v>
      </c>
      <c r="E653" s="2">
        <v>0</v>
      </c>
      <c r="F653" s="2">
        <v>250360.54</v>
      </c>
      <c r="G653" s="2" t="str">
        <f t="shared" si="10"/>
        <v>10-09-2024 ACH D- INDIAN CLEARING CORP-P25847605X05</v>
      </c>
      <c r="H653" s="2" t="s">
        <v>1911</v>
      </c>
      <c r="I653" t="s">
        <v>1854</v>
      </c>
      <c r="J653" t="s">
        <v>1896</v>
      </c>
    </row>
    <row r="654" spans="1:10" x14ac:dyDescent="0.3">
      <c r="A654" s="1">
        <v>45545</v>
      </c>
      <c r="B654" t="s">
        <v>461</v>
      </c>
      <c r="C654" t="s">
        <v>7</v>
      </c>
      <c r="D654" s="23">
        <v>889.72</v>
      </c>
      <c r="E654" s="2">
        <v>0</v>
      </c>
      <c r="F654" s="2">
        <v>67618.52</v>
      </c>
      <c r="G654" s="2" t="str">
        <f t="shared" si="10"/>
        <v>10-09-2024 UPI/P2M/425498677564/MEDPLUS ASHOKAMARG   /Medice/HDFC BANK LTD</v>
      </c>
      <c r="H654" s="2" t="s">
        <v>1911</v>
      </c>
      <c r="I654" t="s">
        <v>356</v>
      </c>
      <c r="J654" t="s">
        <v>1895</v>
      </c>
    </row>
    <row r="655" spans="1:10" x14ac:dyDescent="0.3">
      <c r="A655" s="1">
        <v>45546</v>
      </c>
      <c r="B655" t="s">
        <v>462</v>
      </c>
      <c r="C655" t="s">
        <v>7</v>
      </c>
      <c r="D655" s="2">
        <v>15000</v>
      </c>
      <c r="E655" s="2">
        <v>0</v>
      </c>
      <c r="F655" s="2">
        <v>52618.52</v>
      </c>
      <c r="G655" s="2" t="str">
        <f t="shared" si="10"/>
        <v>11-09-2024 INB/74092980/INTERNET TAX PAYMENT/</v>
      </c>
      <c r="H655" s="2" t="s">
        <v>1911</v>
      </c>
      <c r="I655" t="s">
        <v>1869</v>
      </c>
      <c r="J655" t="s">
        <v>1895</v>
      </c>
    </row>
    <row r="656" spans="1:10" x14ac:dyDescent="0.3">
      <c r="A656" s="1">
        <v>45546</v>
      </c>
      <c r="B656" t="s">
        <v>1796</v>
      </c>
      <c r="D656" s="2">
        <v>5000</v>
      </c>
      <c r="E656" s="2">
        <v>0</v>
      </c>
      <c r="F656" s="2">
        <v>14507.76</v>
      </c>
      <c r="G656" s="2" t="str">
        <f t="shared" si="10"/>
        <v>11-09-2024    ATM WDL-ATM CASH 6617  SBI SHIVAJI NAGAR ATM NASHIK--</v>
      </c>
      <c r="H656" s="2" t="s">
        <v>1911</v>
      </c>
      <c r="I656" t="s">
        <v>366</v>
      </c>
      <c r="J656" t="s">
        <v>1899</v>
      </c>
    </row>
    <row r="657" spans="1:11" x14ac:dyDescent="0.3">
      <c r="A657" s="1">
        <v>45546</v>
      </c>
      <c r="B657" t="s">
        <v>463</v>
      </c>
      <c r="C657" t="s">
        <v>7</v>
      </c>
      <c r="D657" s="2">
        <v>0</v>
      </c>
      <c r="E657" s="2">
        <v>100000</v>
      </c>
      <c r="F657" s="2">
        <v>152618.51999999999</v>
      </c>
      <c r="G657" s="2" t="str">
        <f t="shared" si="10"/>
        <v>11-09-2024 NEFT/N255243261149985/AJAY KUMAR GUPTA/HDFC BANK/Monthly expenses</v>
      </c>
      <c r="H657" s="2" t="s">
        <v>1911</v>
      </c>
      <c r="I657" t="s">
        <v>1908</v>
      </c>
      <c r="J657" t="s">
        <v>1895</v>
      </c>
      <c r="K657" t="s">
        <v>1913</v>
      </c>
    </row>
    <row r="658" spans="1:11" x14ac:dyDescent="0.3">
      <c r="A658" s="1">
        <v>45546</v>
      </c>
      <c r="B658" t="s">
        <v>1070</v>
      </c>
      <c r="C658" t="s">
        <v>1071</v>
      </c>
      <c r="D658" s="2">
        <v>75000</v>
      </c>
      <c r="E658" s="2">
        <v>0</v>
      </c>
      <c r="F658" s="2">
        <v>389995.1</v>
      </c>
      <c r="G658" s="2" t="str">
        <f t="shared" si="10"/>
        <v>11-09-2024 NEFT DR-SBIN0011669-AJAY KUMAR GUPTA-NETBANK, MUM-N255243261140183-TRANSFER FROM AJAY</v>
      </c>
      <c r="H658" s="2" t="s">
        <v>1911</v>
      </c>
      <c r="I658" t="s">
        <v>1906</v>
      </c>
      <c r="J658" t="s">
        <v>1896</v>
      </c>
      <c r="K658" t="s">
        <v>1913</v>
      </c>
    </row>
    <row r="659" spans="1:11" x14ac:dyDescent="0.3">
      <c r="A659" s="1">
        <v>45546</v>
      </c>
      <c r="B659" t="s">
        <v>1072</v>
      </c>
      <c r="C659" t="s">
        <v>1073</v>
      </c>
      <c r="D659" s="2">
        <v>100000</v>
      </c>
      <c r="E659" s="2">
        <v>0</v>
      </c>
      <c r="F659" s="2">
        <v>289995.09999999998</v>
      </c>
      <c r="G659" s="2" t="str">
        <f t="shared" si="10"/>
        <v>11-09-2024 NEFT DR-UTIB0001538-AJAY KUMAR GUPTA-NETBANK, MUM-N255243261149985-MONTHLY EXPENSES</v>
      </c>
      <c r="H659" s="2" t="s">
        <v>1911</v>
      </c>
      <c r="I659" t="s">
        <v>1907</v>
      </c>
      <c r="J659" t="s">
        <v>1896</v>
      </c>
      <c r="K659" t="s">
        <v>1913</v>
      </c>
    </row>
    <row r="660" spans="1:11" x14ac:dyDescent="0.3">
      <c r="A660" s="1">
        <v>45546</v>
      </c>
      <c r="B660" t="s">
        <v>752</v>
      </c>
      <c r="C660" t="s">
        <v>768</v>
      </c>
      <c r="D660" s="2">
        <v>15000</v>
      </c>
      <c r="E660" s="2">
        <v>0</v>
      </c>
      <c r="F660" s="2">
        <v>-79081.37</v>
      </c>
      <c r="G660" s="2" t="str">
        <f t="shared" si="10"/>
        <v>11-09-2024    TO TRANSFER-INB Payment towards loan repayment--</v>
      </c>
      <c r="H660" s="2" t="s">
        <v>1911</v>
      </c>
      <c r="I660" t="s">
        <v>1842</v>
      </c>
      <c r="J660" t="s">
        <v>1897</v>
      </c>
      <c r="K660" t="s">
        <v>1913</v>
      </c>
    </row>
    <row r="661" spans="1:11" x14ac:dyDescent="0.3">
      <c r="A661" s="1">
        <v>45546</v>
      </c>
      <c r="B661" t="s">
        <v>769</v>
      </c>
      <c r="C661" t="s">
        <v>770</v>
      </c>
      <c r="D661" s="2">
        <v>0</v>
      </c>
      <c r="E661" s="2">
        <v>75000</v>
      </c>
      <c r="F661" s="2">
        <v>-4081.37</v>
      </c>
      <c r="G661" s="2" t="str">
        <f t="shared" si="10"/>
        <v>11-09-2024    BY TRANSFER-NEFT*HDFC0000001*N255243261140183*AJAY KUMAR GUPTA--</v>
      </c>
      <c r="H661" s="2" t="s">
        <v>1911</v>
      </c>
      <c r="I661" t="s">
        <v>1908</v>
      </c>
      <c r="J661" t="s">
        <v>1897</v>
      </c>
      <c r="K661" t="s">
        <v>1913</v>
      </c>
    </row>
    <row r="662" spans="1:11" x14ac:dyDescent="0.3">
      <c r="A662" s="1">
        <v>45546</v>
      </c>
      <c r="B662" t="s">
        <v>758</v>
      </c>
      <c r="C662" t="s">
        <v>1794</v>
      </c>
      <c r="D662" s="2">
        <v>0</v>
      </c>
      <c r="E662" s="2">
        <v>15000</v>
      </c>
      <c r="F662" s="2">
        <v>19331.759999999998</v>
      </c>
      <c r="G662" s="2" t="str">
        <f t="shared" si="10"/>
        <v>11-09-2024    BY TRANSFER-INB Payment towards loan repayment--</v>
      </c>
      <c r="H662" s="2" t="s">
        <v>1911</v>
      </c>
      <c r="I662" t="s">
        <v>1906</v>
      </c>
      <c r="J662" t="s">
        <v>1899</v>
      </c>
      <c r="K662" t="s">
        <v>1913</v>
      </c>
    </row>
    <row r="663" spans="1:11" x14ac:dyDescent="0.3">
      <c r="A663" s="1">
        <v>45546</v>
      </c>
      <c r="B663" t="s">
        <v>1074</v>
      </c>
      <c r="C663" t="s">
        <v>1075</v>
      </c>
      <c r="D663" s="2">
        <v>0</v>
      </c>
      <c r="E663" s="2">
        <v>68.25</v>
      </c>
      <c r="F663" s="2">
        <v>290063.34999999998</v>
      </c>
      <c r="G663" s="2" t="str">
        <f t="shared" si="10"/>
        <v>11-09-2024 ACH C- NTPC- FINAL DIV 23-2-NT0708240357</v>
      </c>
      <c r="H663" s="2" t="s">
        <v>1911</v>
      </c>
      <c r="I663" t="s">
        <v>367</v>
      </c>
      <c r="J663" t="s">
        <v>1896</v>
      </c>
    </row>
    <row r="664" spans="1:11" x14ac:dyDescent="0.3">
      <c r="A664" s="1">
        <v>45546</v>
      </c>
      <c r="B664" t="s">
        <v>1077</v>
      </c>
      <c r="C664" t="s">
        <v>1078</v>
      </c>
      <c r="D664" s="2">
        <v>0</v>
      </c>
      <c r="E664" s="2">
        <v>20</v>
      </c>
      <c r="F664" s="2">
        <v>289797.52</v>
      </c>
      <c r="G664" s="2" t="str">
        <f t="shared" si="10"/>
        <v>11-09-2024 ACH C- MANORAMA FNLDIV2324-4220</v>
      </c>
      <c r="H664" s="2" t="s">
        <v>1911</v>
      </c>
      <c r="I664" t="s">
        <v>367</v>
      </c>
      <c r="J664" t="s">
        <v>1896</v>
      </c>
    </row>
    <row r="665" spans="1:11" x14ac:dyDescent="0.3">
      <c r="A665" s="1">
        <v>45546</v>
      </c>
      <c r="B665" t="s">
        <v>1795</v>
      </c>
      <c r="D665" s="2">
        <v>0</v>
      </c>
      <c r="E665" s="2">
        <v>176</v>
      </c>
      <c r="F665" s="2">
        <v>19507.759999999998</v>
      </c>
      <c r="G665" s="2" t="str">
        <f t="shared" si="10"/>
        <v>11-09-2024    BULK POSTING-ACHCr NACH00000000061871 MANORAMA FNLDI--</v>
      </c>
      <c r="H665" s="2" t="s">
        <v>1911</v>
      </c>
      <c r="I665" t="s">
        <v>367</v>
      </c>
      <c r="J665" t="s">
        <v>1899</v>
      </c>
    </row>
    <row r="666" spans="1:11" x14ac:dyDescent="0.3">
      <c r="A666" s="1">
        <v>45546</v>
      </c>
      <c r="B666" t="s">
        <v>1066</v>
      </c>
      <c r="C666" t="s">
        <v>1067</v>
      </c>
      <c r="D666" s="2">
        <v>0</v>
      </c>
      <c r="E666" s="2">
        <v>5195.45</v>
      </c>
      <c r="F666" s="2">
        <v>282215.36</v>
      </c>
      <c r="G666" s="2" t="str">
        <f t="shared" si="10"/>
        <v>11-09-2024 FT- 561185768-50200085415108 - HDFC SECURITIES LTD-CLIENT DSCNB A/C -</v>
      </c>
      <c r="H666" s="2" t="s">
        <v>1911</v>
      </c>
      <c r="I666" t="s">
        <v>1876</v>
      </c>
      <c r="J666" t="s">
        <v>1896</v>
      </c>
    </row>
    <row r="667" spans="1:11" x14ac:dyDescent="0.3">
      <c r="A667" s="1">
        <v>45546</v>
      </c>
      <c r="B667" t="s">
        <v>128</v>
      </c>
      <c r="C667" t="s">
        <v>1065</v>
      </c>
      <c r="D667" s="2">
        <v>0</v>
      </c>
      <c r="E667" s="2">
        <v>26919.200000000001</v>
      </c>
      <c r="F667" s="2">
        <v>277019.90999999997</v>
      </c>
      <c r="G667" s="2" t="str">
        <f t="shared" si="10"/>
        <v>11-09-2024 NET PO FROM HSL A/C 347707-50200085415108</v>
      </c>
      <c r="H667" s="2" t="s">
        <v>1911</v>
      </c>
      <c r="I667" t="s">
        <v>361</v>
      </c>
      <c r="J667" t="s">
        <v>1896</v>
      </c>
    </row>
    <row r="668" spans="1:11" x14ac:dyDescent="0.3">
      <c r="A668" s="1">
        <v>45546</v>
      </c>
      <c r="B668" t="s">
        <v>125</v>
      </c>
      <c r="C668" t="s">
        <v>1076</v>
      </c>
      <c r="D668" s="2">
        <v>285.83</v>
      </c>
      <c r="E668" s="2">
        <v>0</v>
      </c>
      <c r="F668" s="2">
        <v>289777.52</v>
      </c>
      <c r="G668" s="2" t="str">
        <f t="shared" si="10"/>
        <v>11-09-2024 NET PI TO HSL SEC A/C 347707-00602340029392</v>
      </c>
      <c r="H668" s="2" t="s">
        <v>1911</v>
      </c>
      <c r="I668" t="s">
        <v>361</v>
      </c>
      <c r="J668" t="s">
        <v>1896</v>
      </c>
    </row>
    <row r="669" spans="1:11" x14ac:dyDescent="0.3">
      <c r="A669" s="1">
        <v>45546</v>
      </c>
      <c r="B669" t="s">
        <v>125</v>
      </c>
      <c r="C669" t="s">
        <v>1079</v>
      </c>
      <c r="D669" s="2">
        <v>13000.47</v>
      </c>
      <c r="E669" s="2">
        <v>0</v>
      </c>
      <c r="F669" s="2">
        <v>276797.05</v>
      </c>
      <c r="G669" s="2" t="str">
        <f t="shared" si="10"/>
        <v>11-09-2024 NET PI TO HSL SEC A/C 347707-00602340029392</v>
      </c>
      <c r="H669" s="2" t="s">
        <v>1911</v>
      </c>
      <c r="I669" t="s">
        <v>361</v>
      </c>
      <c r="J669" t="s">
        <v>1896</v>
      </c>
    </row>
    <row r="670" spans="1:11" x14ac:dyDescent="0.3">
      <c r="A670" s="1">
        <v>45546</v>
      </c>
      <c r="B670" t="s">
        <v>1068</v>
      </c>
      <c r="C670" t="s">
        <v>1069</v>
      </c>
      <c r="D670" s="2">
        <v>0</v>
      </c>
      <c r="E670" s="2">
        <v>182779.74</v>
      </c>
      <c r="F670" s="2">
        <v>464995.1</v>
      </c>
      <c r="G670" s="2" t="str">
        <f t="shared" si="10"/>
        <v>11-09-2024 FT- KMMF REDEMPTIONS - KMMF RED   337512486</v>
      </c>
      <c r="H670" s="2" t="s">
        <v>1911</v>
      </c>
      <c r="I670" t="s">
        <v>1884</v>
      </c>
      <c r="J670" t="s">
        <v>1896</v>
      </c>
    </row>
    <row r="671" spans="1:11" x14ac:dyDescent="0.3">
      <c r="A671" s="1">
        <v>45546</v>
      </c>
      <c r="B671" t="s">
        <v>464</v>
      </c>
      <c r="C671" t="s">
        <v>7</v>
      </c>
      <c r="D671" s="23">
        <v>262.92</v>
      </c>
      <c r="E671" s="2">
        <v>0</v>
      </c>
      <c r="F671" s="2">
        <v>152355.6</v>
      </c>
      <c r="G671" s="2" t="str">
        <f t="shared" si="10"/>
        <v>11-09-2024 UPI/P2M/425519158862/Smart Point Nashik U3/Juuces/ICICI Bank</v>
      </c>
      <c r="H671" s="2" t="s">
        <v>1911</v>
      </c>
      <c r="I671" t="s">
        <v>356</v>
      </c>
      <c r="J671" t="s">
        <v>1895</v>
      </c>
    </row>
    <row r="672" spans="1:11" x14ac:dyDescent="0.3">
      <c r="A672" s="1">
        <v>45546</v>
      </c>
      <c r="B672" t="s">
        <v>465</v>
      </c>
      <c r="C672" t="s">
        <v>7</v>
      </c>
      <c r="D672" s="23">
        <v>140</v>
      </c>
      <c r="E672" s="2">
        <v>0</v>
      </c>
      <c r="F672" s="2">
        <v>152215.6</v>
      </c>
      <c r="G672" s="2" t="str">
        <f t="shared" si="10"/>
        <v>11-09-2024 UPI/P2M/462150986711/ASHISH  KUMAR        /Coconu/Yes Bank Ltd</v>
      </c>
      <c r="H672" s="2" t="s">
        <v>1911</v>
      </c>
      <c r="I672" t="s">
        <v>356</v>
      </c>
      <c r="J672" t="s">
        <v>1895</v>
      </c>
    </row>
    <row r="673" spans="1:10" x14ac:dyDescent="0.3">
      <c r="A673" s="1">
        <v>45547</v>
      </c>
      <c r="B673" t="s">
        <v>1081</v>
      </c>
      <c r="C673" t="s">
        <v>1082</v>
      </c>
      <c r="D673" s="2">
        <v>0</v>
      </c>
      <c r="E673" s="2">
        <v>200</v>
      </c>
      <c r="F673" s="2">
        <v>276714</v>
      </c>
      <c r="G673" s="2" t="str">
        <f t="shared" si="10"/>
        <v>12-09-2024 ACH C- ASAHI FNLDIV 2023 24-31009</v>
      </c>
      <c r="H673" s="2" t="s">
        <v>1911</v>
      </c>
      <c r="I673" t="s">
        <v>367</v>
      </c>
      <c r="J673" t="s">
        <v>1896</v>
      </c>
    </row>
    <row r="674" spans="1:10" x14ac:dyDescent="0.3">
      <c r="A674" s="1">
        <v>45547</v>
      </c>
      <c r="B674" t="s">
        <v>125</v>
      </c>
      <c r="C674" t="s">
        <v>1080</v>
      </c>
      <c r="D674" s="2">
        <v>283.05</v>
      </c>
      <c r="E674" s="2">
        <v>0</v>
      </c>
      <c r="F674" s="2">
        <v>276514</v>
      </c>
      <c r="G674" s="2" t="str">
        <f t="shared" si="10"/>
        <v>12-09-2024 NET PI TO HSL SEC A/C 347707-00602340029392</v>
      </c>
      <c r="H674" s="2" t="s">
        <v>1911</v>
      </c>
      <c r="I674" t="s">
        <v>361</v>
      </c>
      <c r="J674" t="s">
        <v>1896</v>
      </c>
    </row>
    <row r="675" spans="1:10" x14ac:dyDescent="0.3">
      <c r="A675" s="1">
        <v>45547</v>
      </c>
      <c r="B675" t="s">
        <v>125</v>
      </c>
      <c r="C675" t="s">
        <v>1083</v>
      </c>
      <c r="D675" s="2">
        <v>25768.44</v>
      </c>
      <c r="E675" s="2">
        <v>0</v>
      </c>
      <c r="F675" s="2">
        <v>250945.56</v>
      </c>
      <c r="G675" s="2" t="str">
        <f t="shared" si="10"/>
        <v>12-09-2024 NET PI TO HSL SEC A/C 347707-00602340029392</v>
      </c>
      <c r="H675" s="2" t="s">
        <v>1911</v>
      </c>
      <c r="I675" t="s">
        <v>361</v>
      </c>
      <c r="J675" t="s">
        <v>1896</v>
      </c>
    </row>
    <row r="676" spans="1:10" x14ac:dyDescent="0.3">
      <c r="A676" s="1">
        <v>45548</v>
      </c>
      <c r="B676" t="s">
        <v>1085</v>
      </c>
      <c r="C676" t="s">
        <v>1086</v>
      </c>
      <c r="D676" s="2">
        <v>0</v>
      </c>
      <c r="E676" s="2">
        <v>45</v>
      </c>
      <c r="F676" s="2">
        <v>250708.48000000001</v>
      </c>
      <c r="G676" s="2" t="str">
        <f t="shared" si="10"/>
        <v>13-09-2024 ACH C- POWER FINANCE CORPOR-16284467</v>
      </c>
      <c r="H676" s="2" t="s">
        <v>1911</v>
      </c>
      <c r="I676" t="s">
        <v>367</v>
      </c>
      <c r="J676" t="s">
        <v>1896</v>
      </c>
    </row>
    <row r="677" spans="1:10" x14ac:dyDescent="0.3">
      <c r="A677" s="1">
        <v>45548</v>
      </c>
      <c r="B677" t="s">
        <v>125</v>
      </c>
      <c r="C677" t="s">
        <v>1084</v>
      </c>
      <c r="D677" s="2">
        <v>282.08</v>
      </c>
      <c r="E677" s="2">
        <v>0</v>
      </c>
      <c r="F677" s="2">
        <v>250663.48</v>
      </c>
      <c r="G677" s="2" t="str">
        <f t="shared" si="10"/>
        <v>13-09-2024 NET PI TO HSL SEC A/C 347707-00602340029392</v>
      </c>
      <c r="H677" s="2" t="s">
        <v>1911</v>
      </c>
      <c r="I677" t="s">
        <v>361</v>
      </c>
      <c r="J677" t="s">
        <v>1896</v>
      </c>
    </row>
    <row r="678" spans="1:10" x14ac:dyDescent="0.3">
      <c r="A678" s="1">
        <v>45548</v>
      </c>
      <c r="B678" t="s">
        <v>125</v>
      </c>
      <c r="C678" t="s">
        <v>1087</v>
      </c>
      <c r="D678" s="2">
        <v>1276.76</v>
      </c>
      <c r="E678" s="2">
        <v>0</v>
      </c>
      <c r="F678" s="2">
        <v>249431.72</v>
      </c>
      <c r="G678" s="2" t="str">
        <f t="shared" si="10"/>
        <v>13-09-2024 NET PI TO HSL SEC A/C 347707-00602340029392</v>
      </c>
      <c r="H678" s="2" t="s">
        <v>1911</v>
      </c>
      <c r="I678" t="s">
        <v>361</v>
      </c>
      <c r="J678" t="s">
        <v>1896</v>
      </c>
    </row>
    <row r="679" spans="1:10" x14ac:dyDescent="0.3">
      <c r="A679" s="1">
        <v>45550</v>
      </c>
      <c r="B679" t="s">
        <v>1744</v>
      </c>
      <c r="C679" t="s">
        <v>1797</v>
      </c>
      <c r="D679" s="2">
        <v>871</v>
      </c>
      <c r="E679" s="2">
        <v>0</v>
      </c>
      <c r="F679" s="2">
        <v>13636.76</v>
      </c>
      <c r="G679" s="2" t="str">
        <f t="shared" si="10"/>
        <v>15-09-2024    TO TRANSFER-INB SBICARD FOR BILLDESK      SBICARD Payments--</v>
      </c>
      <c r="H679" s="2" t="s">
        <v>1911</v>
      </c>
      <c r="I679" t="s">
        <v>1838</v>
      </c>
      <c r="J679" t="s">
        <v>1899</v>
      </c>
    </row>
    <row r="680" spans="1:10" x14ac:dyDescent="0.3">
      <c r="A680" s="1">
        <v>45551</v>
      </c>
      <c r="B680" t="s">
        <v>125</v>
      </c>
      <c r="C680" t="s">
        <v>1089</v>
      </c>
      <c r="D680" s="2">
        <v>918.84</v>
      </c>
      <c r="E680" s="2">
        <v>0</v>
      </c>
      <c r="F680" s="2">
        <v>238512.88</v>
      </c>
      <c r="G680" s="2" t="str">
        <f t="shared" si="10"/>
        <v>16-09-2024 NET PI TO HSL SEC A/C 347707-00602340029392</v>
      </c>
      <c r="H680" s="2" t="s">
        <v>1911</v>
      </c>
      <c r="I680" t="s">
        <v>361</v>
      </c>
      <c r="J680" t="s">
        <v>1896</v>
      </c>
    </row>
    <row r="681" spans="1:10" x14ac:dyDescent="0.3">
      <c r="A681" s="1">
        <v>45551</v>
      </c>
      <c r="B681" t="s">
        <v>146</v>
      </c>
      <c r="C681" t="s">
        <v>1088</v>
      </c>
      <c r="D681" s="2">
        <v>10000</v>
      </c>
      <c r="E681" s="2">
        <v>0</v>
      </c>
      <c r="F681" s="2">
        <v>239431.72</v>
      </c>
      <c r="G681" s="2" t="str">
        <f t="shared" si="10"/>
        <v>16-09-2024 ACH D- INDIAN CLEARING CORP-P25847605X05</v>
      </c>
      <c r="H681" s="2" t="s">
        <v>1911</v>
      </c>
      <c r="I681" t="s">
        <v>1854</v>
      </c>
      <c r="J681" t="s">
        <v>1896</v>
      </c>
    </row>
    <row r="682" spans="1:10" x14ac:dyDescent="0.3">
      <c r="A682" s="1">
        <v>45551</v>
      </c>
      <c r="B682" t="s">
        <v>1090</v>
      </c>
      <c r="C682" t="s">
        <v>1091</v>
      </c>
      <c r="D682" s="2">
        <v>17000</v>
      </c>
      <c r="E682" s="2">
        <v>0</v>
      </c>
      <c r="F682" s="2">
        <v>221512.88</v>
      </c>
      <c r="G682" s="2" t="str">
        <f t="shared" si="10"/>
        <v>16-09-2024 UPI-BHANDARI JEWELS-VYAPAR.167960027305@HDFCBANK-HDFC0000001-426068109706-MANGLE SUTRA</v>
      </c>
      <c r="H682" s="2" t="s">
        <v>1911</v>
      </c>
      <c r="I682" t="s">
        <v>1837</v>
      </c>
      <c r="J682" t="s">
        <v>1896</v>
      </c>
    </row>
    <row r="683" spans="1:10" x14ac:dyDescent="0.3">
      <c r="A683" s="1">
        <v>45552</v>
      </c>
      <c r="B683" t="s">
        <v>468</v>
      </c>
      <c r="C683" t="s">
        <v>467</v>
      </c>
      <c r="D683" s="2">
        <v>50000</v>
      </c>
      <c r="E683" s="2">
        <v>0</v>
      </c>
      <c r="F683" s="2">
        <v>102095.6</v>
      </c>
      <c r="G683" s="2" t="str">
        <f t="shared" si="10"/>
        <v>17-09-2024 SAK/CASH WDL/SAK410506359/2656/BODHALE N/SELF</v>
      </c>
      <c r="H683" s="2" t="s">
        <v>1911</v>
      </c>
      <c r="I683" t="s">
        <v>354</v>
      </c>
      <c r="J683" t="s">
        <v>1895</v>
      </c>
    </row>
    <row r="684" spans="1:10" x14ac:dyDescent="0.3">
      <c r="A684" s="1">
        <v>45552</v>
      </c>
      <c r="B684" t="s">
        <v>1095</v>
      </c>
      <c r="C684" t="s">
        <v>140</v>
      </c>
      <c r="D684" s="2">
        <v>1705.21</v>
      </c>
      <c r="E684" s="2">
        <v>0</v>
      </c>
      <c r="F684" s="2">
        <v>266243.08</v>
      </c>
      <c r="G684" s="2" t="str">
        <f t="shared" si="10"/>
        <v>17-09-2024 DEPOSITORY CHARGES AUG24 - 40227714</v>
      </c>
      <c r="H684" s="2" t="s">
        <v>1911</v>
      </c>
      <c r="I684" t="s">
        <v>362</v>
      </c>
      <c r="J684" t="s">
        <v>1896</v>
      </c>
    </row>
    <row r="685" spans="1:10" x14ac:dyDescent="0.3">
      <c r="A685" s="1">
        <v>45552</v>
      </c>
      <c r="B685" t="s">
        <v>1092</v>
      </c>
      <c r="C685" t="s">
        <v>1093</v>
      </c>
      <c r="D685" s="2">
        <v>0</v>
      </c>
      <c r="E685" s="2">
        <v>46741.69</v>
      </c>
      <c r="F685" s="2">
        <v>268254.57</v>
      </c>
      <c r="G685" s="2" t="str">
        <f t="shared" si="10"/>
        <v>17-09-2024 FT- 562922072-50200085415108 - HDFC SECURITIES LTD-CLIENT DSCNB A/C -</v>
      </c>
      <c r="H685" s="2" t="s">
        <v>1911</v>
      </c>
      <c r="I685" t="s">
        <v>1876</v>
      </c>
      <c r="J685" t="s">
        <v>1896</v>
      </c>
    </row>
    <row r="686" spans="1:10" x14ac:dyDescent="0.3">
      <c r="A686" s="1">
        <v>45552</v>
      </c>
      <c r="B686" t="s">
        <v>125</v>
      </c>
      <c r="C686" t="s">
        <v>1094</v>
      </c>
      <c r="D686" s="2">
        <v>306.27999999999997</v>
      </c>
      <c r="E686" s="2">
        <v>0</v>
      </c>
      <c r="F686" s="2">
        <v>267948.28999999998</v>
      </c>
      <c r="G686" s="2" t="str">
        <f t="shared" si="10"/>
        <v>17-09-2024 NET PI TO HSL SEC A/C 347707-00602340029392</v>
      </c>
      <c r="H686" s="2" t="s">
        <v>1911</v>
      </c>
      <c r="I686" t="s">
        <v>361</v>
      </c>
      <c r="J686" t="s">
        <v>1896</v>
      </c>
    </row>
    <row r="687" spans="1:10" x14ac:dyDescent="0.3">
      <c r="A687" s="1">
        <v>45552</v>
      </c>
      <c r="B687" t="s">
        <v>466</v>
      </c>
      <c r="C687" t="s">
        <v>7</v>
      </c>
      <c r="D687" s="23">
        <v>120</v>
      </c>
      <c r="E687" s="2">
        <v>0</v>
      </c>
      <c r="F687" s="2">
        <v>152095.6</v>
      </c>
      <c r="G687" s="2" t="str">
        <f t="shared" si="10"/>
        <v>17-09-2024 UPI/P2M/462773074824/KUNAL EAKNATH MAKUNE /Milk/Yes Bank Ltd</v>
      </c>
      <c r="H687" s="2" t="s">
        <v>1911</v>
      </c>
      <c r="I687" t="s">
        <v>356</v>
      </c>
      <c r="J687" t="s">
        <v>1895</v>
      </c>
    </row>
    <row r="688" spans="1:10" x14ac:dyDescent="0.3">
      <c r="A688" s="1">
        <v>45554</v>
      </c>
      <c r="B688" t="s">
        <v>1798</v>
      </c>
      <c r="D688" s="2">
        <v>236</v>
      </c>
      <c r="E688" s="2">
        <v>0</v>
      </c>
      <c r="F688" s="2">
        <v>13400.76</v>
      </c>
      <c r="G688" s="2" t="str">
        <f t="shared" si="10"/>
        <v>19-09-2024    DEBIT-ATMCard AMC  652294*6987--</v>
      </c>
      <c r="H688" s="2" t="s">
        <v>1911</v>
      </c>
      <c r="I688" t="s">
        <v>365</v>
      </c>
      <c r="J688" t="s">
        <v>1899</v>
      </c>
    </row>
    <row r="689" spans="1:10" x14ac:dyDescent="0.3">
      <c r="A689" s="1">
        <v>45554</v>
      </c>
      <c r="B689" t="s">
        <v>1097</v>
      </c>
      <c r="C689" t="s">
        <v>1098</v>
      </c>
      <c r="D689" s="2">
        <v>0</v>
      </c>
      <c r="E689" s="2">
        <v>30965.93</v>
      </c>
      <c r="F689" s="2">
        <v>302327.51</v>
      </c>
      <c r="G689" s="2" t="str">
        <f t="shared" si="10"/>
        <v>19-09-2024 FT- 563832006-50200085415108 - HDFC SECURITIES LTD-CLIENT DSCNB A/C -</v>
      </c>
      <c r="H689" s="2" t="s">
        <v>1911</v>
      </c>
      <c r="I689" t="s">
        <v>1876</v>
      </c>
      <c r="J689" t="s">
        <v>1896</v>
      </c>
    </row>
    <row r="690" spans="1:10" x14ac:dyDescent="0.3">
      <c r="A690" s="1">
        <v>45554</v>
      </c>
      <c r="B690" t="s">
        <v>128</v>
      </c>
      <c r="C690" t="s">
        <v>1096</v>
      </c>
      <c r="D690" s="2">
        <v>0</v>
      </c>
      <c r="E690" s="2">
        <v>5118.5</v>
      </c>
      <c r="F690" s="2">
        <v>271361.58</v>
      </c>
      <c r="G690" s="2" t="str">
        <f t="shared" si="10"/>
        <v>19-09-2024 NET PO FROM HSL A/C 347707-50200085415108</v>
      </c>
      <c r="H690" s="2" t="s">
        <v>1911</v>
      </c>
      <c r="I690" t="s">
        <v>361</v>
      </c>
      <c r="J690" t="s">
        <v>1896</v>
      </c>
    </row>
    <row r="691" spans="1:10" x14ac:dyDescent="0.3">
      <c r="A691" s="1">
        <v>45554</v>
      </c>
      <c r="B691" t="s">
        <v>125</v>
      </c>
      <c r="C691" t="s">
        <v>1099</v>
      </c>
      <c r="D691" s="2">
        <v>288.14</v>
      </c>
      <c r="E691" s="2">
        <v>0</v>
      </c>
      <c r="F691" s="2">
        <v>302039.37</v>
      </c>
      <c r="G691" s="2" t="str">
        <f t="shared" si="10"/>
        <v>19-09-2024 NET PI TO HSL SEC A/C 347707-00602340029392</v>
      </c>
      <c r="H691" s="2" t="s">
        <v>1911</v>
      </c>
      <c r="I691" t="s">
        <v>361</v>
      </c>
      <c r="J691" t="s">
        <v>1896</v>
      </c>
    </row>
    <row r="692" spans="1:10" x14ac:dyDescent="0.3">
      <c r="A692" s="1">
        <v>45554</v>
      </c>
      <c r="B692" t="s">
        <v>469</v>
      </c>
      <c r="C692" t="s">
        <v>7</v>
      </c>
      <c r="D692" s="23">
        <v>160</v>
      </c>
      <c r="E692" s="2">
        <v>0</v>
      </c>
      <c r="F692" s="2">
        <v>101935.6</v>
      </c>
      <c r="G692" s="2" t="str">
        <f t="shared" si="10"/>
        <v>19-09-2024 UPI/P2M/462955847110/KUNAL EAKNATH MAKUNE /Milk/Yes Bank Ltd</v>
      </c>
      <c r="H692" s="2" t="s">
        <v>1911</v>
      </c>
      <c r="I692" t="s">
        <v>356</v>
      </c>
      <c r="J692" t="s">
        <v>1895</v>
      </c>
    </row>
    <row r="693" spans="1:10" x14ac:dyDescent="0.3">
      <c r="A693" s="1">
        <v>45554</v>
      </c>
      <c r="B693" t="s">
        <v>470</v>
      </c>
      <c r="C693" t="s">
        <v>7</v>
      </c>
      <c r="D693" s="23">
        <v>1700</v>
      </c>
      <c r="E693" s="2">
        <v>0</v>
      </c>
      <c r="F693" s="2">
        <v>100235.6</v>
      </c>
      <c r="G693" s="2" t="str">
        <f t="shared" si="10"/>
        <v>19-09-2024 UPI/P2M/426333897625/SOMANI HOSPITAL      /Medica/Yes Bank Ltd</v>
      </c>
      <c r="H693" s="2" t="s">
        <v>1911</v>
      </c>
      <c r="I693" t="s">
        <v>356</v>
      </c>
      <c r="J693" t="s">
        <v>1895</v>
      </c>
    </row>
    <row r="694" spans="1:10" x14ac:dyDescent="0.3">
      <c r="A694" s="1">
        <v>45554</v>
      </c>
      <c r="B694" t="s">
        <v>471</v>
      </c>
      <c r="C694" t="s">
        <v>7</v>
      </c>
      <c r="D694" s="23">
        <v>400</v>
      </c>
      <c r="E694" s="2">
        <v>0</v>
      </c>
      <c r="F694" s="2">
        <v>99835.6</v>
      </c>
      <c r="G694" s="2" t="str">
        <f t="shared" si="10"/>
        <v>19-09-2024 UPI/P2M/462953274594/SOMANI MEDICAL STORE /Medice/Yes Bank Ltd</v>
      </c>
      <c r="H694" s="2" t="s">
        <v>1911</v>
      </c>
      <c r="I694" t="s">
        <v>356</v>
      </c>
      <c r="J694" t="s">
        <v>1895</v>
      </c>
    </row>
    <row r="695" spans="1:10" x14ac:dyDescent="0.3">
      <c r="A695" s="1">
        <v>45554</v>
      </c>
      <c r="B695" t="s">
        <v>472</v>
      </c>
      <c r="C695" t="s">
        <v>7</v>
      </c>
      <c r="D695" s="23">
        <v>394</v>
      </c>
      <c r="E695" s="2">
        <v>0</v>
      </c>
      <c r="F695" s="2">
        <v>99441.600000000006</v>
      </c>
      <c r="G695" s="2" t="str">
        <f t="shared" ref="G695:G758" si="11">TEXT(A695,"DD")&amp;"-"&amp;TEXT(A695,"MM")&amp;"-"&amp;TEXT(A695,"YYYY")&amp;" "&amp;B695</f>
        <v>19-09-2024 UPI/P2M/462962461431/SOMANI MEDICAL STORE /Medice/Yes Bank Ltd</v>
      </c>
      <c r="H695" s="2" t="s">
        <v>1911</v>
      </c>
      <c r="I695" t="s">
        <v>356</v>
      </c>
      <c r="J695" t="s">
        <v>1895</v>
      </c>
    </row>
    <row r="696" spans="1:10" x14ac:dyDescent="0.3">
      <c r="A696" s="1">
        <v>45555</v>
      </c>
      <c r="B696" t="s">
        <v>1100</v>
      </c>
      <c r="C696" t="s">
        <v>1101</v>
      </c>
      <c r="D696" s="2">
        <v>0</v>
      </c>
      <c r="E696" s="2">
        <v>23522.52</v>
      </c>
      <c r="F696" s="2">
        <v>325561.89</v>
      </c>
      <c r="G696" s="2" t="str">
        <f t="shared" si="11"/>
        <v>20-09-2024 FT- 564393129-50200085415108 - HDFC SECURITIES LTD-CLIENT DSCNB A/C -</v>
      </c>
      <c r="H696" s="2" t="s">
        <v>1911</v>
      </c>
      <c r="I696" t="s">
        <v>1876</v>
      </c>
      <c r="J696" t="s">
        <v>1896</v>
      </c>
    </row>
    <row r="697" spans="1:10" x14ac:dyDescent="0.3">
      <c r="A697" s="1">
        <v>45555</v>
      </c>
      <c r="B697" t="s">
        <v>125</v>
      </c>
      <c r="C697" t="s">
        <v>1103</v>
      </c>
      <c r="D697" s="2">
        <v>269.64999999999998</v>
      </c>
      <c r="E697" s="2">
        <v>0</v>
      </c>
      <c r="F697" s="2">
        <v>315292.24</v>
      </c>
      <c r="G697" s="2" t="str">
        <f t="shared" si="11"/>
        <v>20-09-2024 NET PI TO HSL SEC A/C 347707-00602340029392</v>
      </c>
      <c r="H697" s="2" t="s">
        <v>1911</v>
      </c>
      <c r="I697" t="s">
        <v>361</v>
      </c>
      <c r="J697" t="s">
        <v>1896</v>
      </c>
    </row>
    <row r="698" spans="1:10" x14ac:dyDescent="0.3">
      <c r="A698" s="1">
        <v>45555</v>
      </c>
      <c r="B698" t="s">
        <v>125</v>
      </c>
      <c r="C698" t="s">
        <v>1106</v>
      </c>
      <c r="D698" s="2">
        <v>18936.12</v>
      </c>
      <c r="E698" s="2">
        <v>0</v>
      </c>
      <c r="F698" s="2">
        <v>298577.25</v>
      </c>
      <c r="G698" s="2" t="str">
        <f t="shared" si="11"/>
        <v>20-09-2024 NET PI TO HSL SEC A/C 347707-00602340029392</v>
      </c>
      <c r="H698" s="2" t="s">
        <v>1911</v>
      </c>
      <c r="I698" t="s">
        <v>361</v>
      </c>
      <c r="J698" t="s">
        <v>1896</v>
      </c>
    </row>
    <row r="699" spans="1:10" x14ac:dyDescent="0.3">
      <c r="A699" s="1">
        <v>45555</v>
      </c>
      <c r="B699" t="s">
        <v>146</v>
      </c>
      <c r="C699" t="s">
        <v>1102</v>
      </c>
      <c r="D699" s="2">
        <v>10000</v>
      </c>
      <c r="E699" s="2">
        <v>0</v>
      </c>
      <c r="F699" s="2">
        <v>315561.89</v>
      </c>
      <c r="G699" s="2" t="str">
        <f t="shared" si="11"/>
        <v>20-09-2024 ACH D- INDIAN CLEARING CORP-P25847605X05</v>
      </c>
      <c r="H699" s="2" t="s">
        <v>1911</v>
      </c>
      <c r="I699" t="s">
        <v>1854</v>
      </c>
      <c r="J699" t="s">
        <v>1896</v>
      </c>
    </row>
    <row r="700" spans="1:10" x14ac:dyDescent="0.3">
      <c r="A700" s="1">
        <v>45555</v>
      </c>
      <c r="B700" t="s">
        <v>1104</v>
      </c>
      <c r="C700" t="s">
        <v>1105</v>
      </c>
      <c r="D700" s="2">
        <v>0</v>
      </c>
      <c r="E700" s="2">
        <v>2221.13</v>
      </c>
      <c r="F700" s="2">
        <v>317513.37</v>
      </c>
      <c r="G700" s="2" t="str">
        <f t="shared" si="11"/>
        <v>20-09-2024 00012050001396HLY INT-IN0020230093</v>
      </c>
      <c r="H700" s="2" t="s">
        <v>1911</v>
      </c>
      <c r="I700" t="s">
        <v>369</v>
      </c>
      <c r="J700" t="s">
        <v>1896</v>
      </c>
    </row>
    <row r="701" spans="1:10" x14ac:dyDescent="0.3">
      <c r="A701" s="1">
        <v>45556</v>
      </c>
      <c r="B701" t="s">
        <v>1107</v>
      </c>
      <c r="C701" t="s">
        <v>1108</v>
      </c>
      <c r="D701" s="2">
        <v>0</v>
      </c>
      <c r="E701" s="2">
        <v>600</v>
      </c>
      <c r="F701" s="2">
        <v>299177.25</v>
      </c>
      <c r="G701" s="2" t="str">
        <f t="shared" si="11"/>
        <v>21-09-2024 ACH C- AFL DIVIDEND FY2324-IN30047640227</v>
      </c>
      <c r="H701" s="2" t="s">
        <v>1911</v>
      </c>
      <c r="I701" t="s">
        <v>367</v>
      </c>
      <c r="J701" t="s">
        <v>1896</v>
      </c>
    </row>
    <row r="702" spans="1:10" x14ac:dyDescent="0.3">
      <c r="A702" s="1">
        <v>45558</v>
      </c>
      <c r="B702" t="s">
        <v>1109</v>
      </c>
      <c r="C702" t="s">
        <v>1110</v>
      </c>
      <c r="D702" s="2">
        <v>0</v>
      </c>
      <c r="E702" s="2">
        <v>41984.93</v>
      </c>
      <c r="F702" s="2">
        <v>341162.18</v>
      </c>
      <c r="G702" s="2" t="str">
        <f t="shared" si="11"/>
        <v>23-09-2024 FT- 564848434-50200085415108 - HDFC SECURITIES LTD-CLIENT DSCNB A/C -</v>
      </c>
      <c r="H702" s="2" t="s">
        <v>1911</v>
      </c>
      <c r="I702" t="s">
        <v>1876</v>
      </c>
      <c r="J702" t="s">
        <v>1896</v>
      </c>
    </row>
    <row r="703" spans="1:10" x14ac:dyDescent="0.3">
      <c r="A703" s="1">
        <v>45558</v>
      </c>
      <c r="B703" t="s">
        <v>125</v>
      </c>
      <c r="C703" t="s">
        <v>1111</v>
      </c>
      <c r="D703" s="2">
        <v>758.46</v>
      </c>
      <c r="E703" s="2">
        <v>0</v>
      </c>
      <c r="F703" s="2">
        <v>340403.72</v>
      </c>
      <c r="G703" s="2" t="str">
        <f t="shared" si="11"/>
        <v>23-09-2024 NET PI TO HSL SEC A/C 347707-00602340029392</v>
      </c>
      <c r="H703" s="2" t="s">
        <v>1911</v>
      </c>
      <c r="I703" t="s">
        <v>361</v>
      </c>
      <c r="J703" t="s">
        <v>1896</v>
      </c>
    </row>
    <row r="704" spans="1:10" x14ac:dyDescent="0.3">
      <c r="A704" s="1">
        <v>45558</v>
      </c>
      <c r="B704" t="s">
        <v>473</v>
      </c>
      <c r="C704" t="s">
        <v>7</v>
      </c>
      <c r="D704" s="23">
        <v>1500</v>
      </c>
      <c r="E704" s="2">
        <v>0</v>
      </c>
      <c r="F704" s="2">
        <v>97941.6</v>
      </c>
      <c r="G704" s="2" t="str">
        <f t="shared" si="11"/>
        <v>23-09-2024 UPI/P2M/463367188441/SANGITA RAJENDRA MUTH/Teeth/Yes Bank Ltd</v>
      </c>
      <c r="H704" s="2" t="s">
        <v>1911</v>
      </c>
      <c r="I704" t="s">
        <v>356</v>
      </c>
      <c r="J704" t="s">
        <v>1895</v>
      </c>
    </row>
    <row r="705" spans="1:10" x14ac:dyDescent="0.3">
      <c r="A705" s="1">
        <v>45559</v>
      </c>
      <c r="B705" t="s">
        <v>1115</v>
      </c>
      <c r="C705" t="s">
        <v>1116</v>
      </c>
      <c r="D705" s="2">
        <v>0</v>
      </c>
      <c r="E705" s="2">
        <v>65</v>
      </c>
      <c r="F705" s="2">
        <v>343098.27</v>
      </c>
      <c r="G705" s="2" t="str">
        <f t="shared" si="11"/>
        <v>24-09-2024 ACH C- TRIVENI TURBINE LTD-101598</v>
      </c>
      <c r="H705" s="2" t="s">
        <v>1911</v>
      </c>
      <c r="I705" t="s">
        <v>367</v>
      </c>
      <c r="J705" t="s">
        <v>1896</v>
      </c>
    </row>
    <row r="706" spans="1:10" x14ac:dyDescent="0.3">
      <c r="A706" s="1">
        <v>45559</v>
      </c>
      <c r="B706" t="s">
        <v>1117</v>
      </c>
      <c r="C706" t="s">
        <v>1118</v>
      </c>
      <c r="D706" s="2">
        <v>0</v>
      </c>
      <c r="E706" s="2">
        <v>332</v>
      </c>
      <c r="F706" s="2">
        <v>343430.27</v>
      </c>
      <c r="G706" s="2" t="str">
        <f t="shared" si="11"/>
        <v>24-09-2024 ACH C- ENGINEERS INDIA LIMI-335143</v>
      </c>
      <c r="H706" s="2" t="s">
        <v>1911</v>
      </c>
      <c r="I706" t="s">
        <v>367</v>
      </c>
      <c r="J706" t="s">
        <v>1896</v>
      </c>
    </row>
    <row r="707" spans="1:10" x14ac:dyDescent="0.3">
      <c r="A707" s="1">
        <v>45559</v>
      </c>
      <c r="B707" t="s">
        <v>476</v>
      </c>
      <c r="C707" t="s">
        <v>7</v>
      </c>
      <c r="D707" s="2">
        <v>1680</v>
      </c>
      <c r="E707" s="2">
        <v>0</v>
      </c>
      <c r="F707" s="2">
        <v>96091.6</v>
      </c>
      <c r="G707" s="2" t="str">
        <f t="shared" si="11"/>
        <v>24-09-2024 NBSM/75671758/Maha Electricity(BILLDESK)/</v>
      </c>
      <c r="H707" s="2" t="s">
        <v>1911</v>
      </c>
      <c r="I707" t="s">
        <v>357</v>
      </c>
      <c r="J707" t="s">
        <v>1895</v>
      </c>
    </row>
    <row r="708" spans="1:10" x14ac:dyDescent="0.3">
      <c r="A708" s="1">
        <v>45559</v>
      </c>
      <c r="B708" t="s">
        <v>1112</v>
      </c>
      <c r="C708" t="s">
        <v>1113</v>
      </c>
      <c r="D708" s="2">
        <v>0</v>
      </c>
      <c r="E708" s="2">
        <v>2872.07</v>
      </c>
      <c r="F708" s="2">
        <v>343275.79</v>
      </c>
      <c r="G708" s="2" t="str">
        <f t="shared" si="11"/>
        <v>24-09-2024 FT- 565377911-50200085415108 - HDFC SECURITIES LTD-CLIENT DSCNB A/C -</v>
      </c>
      <c r="H708" s="2" t="s">
        <v>1911</v>
      </c>
      <c r="I708" t="s">
        <v>1876</v>
      </c>
      <c r="J708" t="s">
        <v>1896</v>
      </c>
    </row>
    <row r="709" spans="1:10" x14ac:dyDescent="0.3">
      <c r="A709" s="1">
        <v>45559</v>
      </c>
      <c r="B709" t="s">
        <v>125</v>
      </c>
      <c r="C709" t="s">
        <v>1114</v>
      </c>
      <c r="D709" s="2">
        <v>242.52</v>
      </c>
      <c r="E709" s="2">
        <v>0</v>
      </c>
      <c r="F709" s="2">
        <v>343033.27</v>
      </c>
      <c r="G709" s="2" t="str">
        <f t="shared" si="11"/>
        <v>24-09-2024 NET PI TO HSL SEC A/C 347707-00602340029392</v>
      </c>
      <c r="H709" s="2" t="s">
        <v>1911</v>
      </c>
      <c r="I709" t="s">
        <v>361</v>
      </c>
      <c r="J709" t="s">
        <v>1896</v>
      </c>
    </row>
    <row r="710" spans="1:10" x14ac:dyDescent="0.3">
      <c r="A710" s="1">
        <v>45559</v>
      </c>
      <c r="B710" t="s">
        <v>474</v>
      </c>
      <c r="C710" t="s">
        <v>7</v>
      </c>
      <c r="D710" s="23">
        <v>160</v>
      </c>
      <c r="E710" s="2">
        <v>0</v>
      </c>
      <c r="F710" s="2">
        <v>97781.6</v>
      </c>
      <c r="G710" s="2" t="str">
        <f t="shared" si="11"/>
        <v>24-09-2024 UPI/P2M/463483897651/KUNAL EAKNATH MAKUNE /Milk/Yes Bank Ltd</v>
      </c>
      <c r="H710" s="2" t="s">
        <v>1911</v>
      </c>
      <c r="I710" t="s">
        <v>356</v>
      </c>
      <c r="J710" t="s">
        <v>1895</v>
      </c>
    </row>
    <row r="711" spans="1:10" x14ac:dyDescent="0.3">
      <c r="A711" s="1">
        <v>45559</v>
      </c>
      <c r="B711" t="s">
        <v>475</v>
      </c>
      <c r="C711" t="s">
        <v>7</v>
      </c>
      <c r="D711" s="23">
        <v>10</v>
      </c>
      <c r="E711" s="2">
        <v>0</v>
      </c>
      <c r="F711" s="2">
        <v>97771.6</v>
      </c>
      <c r="G711" s="2" t="str">
        <f t="shared" si="11"/>
        <v>24-09-2024 UPI/P2M/426889218779/BharatPe Merchant    /Pay to/YesBank_Yespay</v>
      </c>
      <c r="H711" s="2" t="s">
        <v>1911</v>
      </c>
      <c r="I711" t="s">
        <v>356</v>
      </c>
      <c r="J711" t="s">
        <v>1895</v>
      </c>
    </row>
    <row r="712" spans="1:10" x14ac:dyDescent="0.3">
      <c r="A712" s="1">
        <v>45560</v>
      </c>
      <c r="B712" t="s">
        <v>1729</v>
      </c>
      <c r="D712" s="2">
        <v>0</v>
      </c>
      <c r="E712" s="2">
        <v>584</v>
      </c>
      <c r="F712" s="2">
        <v>13984.76</v>
      </c>
      <c r="G712" s="2" t="str">
        <f t="shared" si="11"/>
        <v>25-09-2024    CREDIT INTEREST---</v>
      </c>
      <c r="H712" s="2" t="s">
        <v>1911</v>
      </c>
      <c r="I712" t="s">
        <v>370</v>
      </c>
      <c r="J712" t="s">
        <v>1899</v>
      </c>
    </row>
    <row r="713" spans="1:10" x14ac:dyDescent="0.3">
      <c r="A713" s="1">
        <v>45560</v>
      </c>
      <c r="B713" t="s">
        <v>1729</v>
      </c>
      <c r="D713" s="2">
        <v>0</v>
      </c>
      <c r="E713" s="2">
        <v>49</v>
      </c>
      <c r="F713" s="8">
        <v>7021</v>
      </c>
      <c r="G713" s="2" t="str">
        <f t="shared" si="11"/>
        <v>25-09-2024    CREDIT INTEREST---</v>
      </c>
      <c r="H713" s="2" t="s">
        <v>1911</v>
      </c>
      <c r="I713" t="s">
        <v>370</v>
      </c>
      <c r="J713" t="s">
        <v>1902</v>
      </c>
    </row>
    <row r="714" spans="1:10" x14ac:dyDescent="0.3">
      <c r="A714" s="1">
        <v>45560</v>
      </c>
      <c r="B714" t="s">
        <v>1124</v>
      </c>
      <c r="C714" t="s">
        <v>1125</v>
      </c>
      <c r="D714" s="2">
        <v>0</v>
      </c>
      <c r="E714" s="2">
        <v>100</v>
      </c>
      <c r="F714" s="2">
        <v>408288.62</v>
      </c>
      <c r="G714" s="2" t="str">
        <f t="shared" si="11"/>
        <v>25-09-2024 ACH C- SANDUR DIV 23 24-00037789</v>
      </c>
      <c r="H714" s="2" t="s">
        <v>1911</v>
      </c>
      <c r="I714" t="s">
        <v>367</v>
      </c>
      <c r="J714" t="s">
        <v>1896</v>
      </c>
    </row>
    <row r="715" spans="1:10" x14ac:dyDescent="0.3">
      <c r="A715" s="1">
        <v>45560</v>
      </c>
      <c r="B715" t="s">
        <v>1119</v>
      </c>
      <c r="C715" t="s">
        <v>1120</v>
      </c>
      <c r="D715" s="2">
        <v>0</v>
      </c>
      <c r="E715" s="2">
        <v>38830.97</v>
      </c>
      <c r="F715" s="2">
        <v>382261.24</v>
      </c>
      <c r="G715" s="2" t="str">
        <f t="shared" si="11"/>
        <v>25-09-2024 FT- 565842598-50200085415108 - HDFC SECURITIES LTD-CLIENT DSCNB A/C -</v>
      </c>
      <c r="H715" s="2" t="s">
        <v>1911</v>
      </c>
      <c r="I715" t="s">
        <v>1876</v>
      </c>
      <c r="J715" t="s">
        <v>1896</v>
      </c>
    </row>
    <row r="716" spans="1:10" x14ac:dyDescent="0.3">
      <c r="A716" s="1">
        <v>45560</v>
      </c>
      <c r="B716" t="s">
        <v>1121</v>
      </c>
      <c r="C716" t="s">
        <v>1122</v>
      </c>
      <c r="D716" s="2">
        <v>0</v>
      </c>
      <c r="E716" s="2">
        <v>26171.55</v>
      </c>
      <c r="F716" s="2">
        <v>408432.79</v>
      </c>
      <c r="G716" s="2" t="str">
        <f t="shared" si="11"/>
        <v>25-09-2024 FT- 565870832-50200085415108 - HDFC SECURITIES LTD-CLIENT DSCNB A/C -</v>
      </c>
      <c r="H716" s="2" t="s">
        <v>1911</v>
      </c>
      <c r="I716" t="s">
        <v>1876</v>
      </c>
      <c r="J716" t="s">
        <v>1896</v>
      </c>
    </row>
    <row r="717" spans="1:10" x14ac:dyDescent="0.3">
      <c r="A717" s="1">
        <v>45560</v>
      </c>
      <c r="B717" t="s">
        <v>125</v>
      </c>
      <c r="C717" t="s">
        <v>1123</v>
      </c>
      <c r="D717" s="2">
        <v>244.17</v>
      </c>
      <c r="E717" s="2">
        <v>0</v>
      </c>
      <c r="F717" s="2">
        <v>408188.62</v>
      </c>
      <c r="G717" s="2" t="str">
        <f t="shared" si="11"/>
        <v>25-09-2024 NET PI TO HSL SEC A/C 347707-00602340029392</v>
      </c>
      <c r="H717" s="2" t="s">
        <v>1911</v>
      </c>
      <c r="I717" t="s">
        <v>361</v>
      </c>
      <c r="J717" t="s">
        <v>1896</v>
      </c>
    </row>
    <row r="718" spans="1:10" x14ac:dyDescent="0.3">
      <c r="A718" s="1">
        <v>45560</v>
      </c>
      <c r="B718" t="s">
        <v>125</v>
      </c>
      <c r="C718" t="s">
        <v>1126</v>
      </c>
      <c r="D718" s="2">
        <v>50496.5</v>
      </c>
      <c r="E718" s="2">
        <v>0</v>
      </c>
      <c r="F718" s="2">
        <v>357792.12</v>
      </c>
      <c r="G718" s="2" t="str">
        <f t="shared" si="11"/>
        <v>25-09-2024 NET PI TO HSL SEC A/C 347707-00602340029392</v>
      </c>
      <c r="H718" s="2" t="s">
        <v>1911</v>
      </c>
      <c r="I718" t="s">
        <v>361</v>
      </c>
      <c r="J718" t="s">
        <v>1896</v>
      </c>
    </row>
    <row r="719" spans="1:10" x14ac:dyDescent="0.3">
      <c r="A719" s="1">
        <v>45561</v>
      </c>
      <c r="B719" t="s">
        <v>125</v>
      </c>
      <c r="C719" t="s">
        <v>1127</v>
      </c>
      <c r="D719" s="2">
        <v>207.48</v>
      </c>
      <c r="E719" s="2">
        <v>0</v>
      </c>
      <c r="F719" s="2">
        <v>357584.64000000001</v>
      </c>
      <c r="G719" s="2" t="str">
        <f t="shared" si="11"/>
        <v>26-09-2024 NET PI TO HSL SEC A/C 347707-00602340029392</v>
      </c>
      <c r="H719" s="2" t="s">
        <v>1911</v>
      </c>
      <c r="I719" t="s">
        <v>361</v>
      </c>
      <c r="J719" t="s">
        <v>1896</v>
      </c>
    </row>
    <row r="720" spans="1:10" x14ac:dyDescent="0.3">
      <c r="A720" s="1">
        <v>45562</v>
      </c>
      <c r="B720" t="s">
        <v>1128</v>
      </c>
      <c r="C720" t="s">
        <v>1129</v>
      </c>
      <c r="D720" s="2">
        <v>0</v>
      </c>
      <c r="E720" s="2">
        <v>18445.45</v>
      </c>
      <c r="F720" s="2">
        <v>376030.09</v>
      </c>
      <c r="G720" s="2" t="str">
        <f t="shared" si="11"/>
        <v>27-09-2024 FT- 566776806-50200085415108 - HDFC SECURITIES LTD-CLIENT DSCNB A/C -</v>
      </c>
      <c r="H720" s="2" t="s">
        <v>1911</v>
      </c>
      <c r="I720" t="s">
        <v>1876</v>
      </c>
      <c r="J720" t="s">
        <v>1896</v>
      </c>
    </row>
    <row r="721" spans="1:11" x14ac:dyDescent="0.3">
      <c r="A721" s="1">
        <v>45562</v>
      </c>
      <c r="B721" t="s">
        <v>125</v>
      </c>
      <c r="C721" t="s">
        <v>1130</v>
      </c>
      <c r="D721" s="2">
        <v>207.48</v>
      </c>
      <c r="E721" s="2">
        <v>0</v>
      </c>
      <c r="F721" s="2">
        <v>375822.61</v>
      </c>
      <c r="G721" s="2" t="str">
        <f t="shared" si="11"/>
        <v>27-09-2024 NET PI TO HSL SEC A/C 347707-00602340029392</v>
      </c>
      <c r="H721" s="2" t="s">
        <v>1911</v>
      </c>
      <c r="I721" t="s">
        <v>361</v>
      </c>
      <c r="J721" t="s">
        <v>1896</v>
      </c>
    </row>
    <row r="722" spans="1:11" x14ac:dyDescent="0.3">
      <c r="A722" s="1">
        <v>45562</v>
      </c>
      <c r="B722" t="s">
        <v>477</v>
      </c>
      <c r="C722" t="s">
        <v>7</v>
      </c>
      <c r="D722" s="23">
        <v>670</v>
      </c>
      <c r="E722" s="2">
        <v>0</v>
      </c>
      <c r="F722" s="2">
        <v>95421.6</v>
      </c>
      <c r="G722" s="2" t="str">
        <f t="shared" si="11"/>
        <v>27-09-2024 UPI/P2M/427157262667/CHOPDA AUTO WHEELS   /Pay to/Federal Bank</v>
      </c>
      <c r="H722" s="2" t="s">
        <v>1911</v>
      </c>
      <c r="I722" t="s">
        <v>356</v>
      </c>
      <c r="J722" t="s">
        <v>1895</v>
      </c>
    </row>
    <row r="723" spans="1:11" x14ac:dyDescent="0.3">
      <c r="A723" s="1">
        <v>45562</v>
      </c>
      <c r="B723" t="s">
        <v>478</v>
      </c>
      <c r="C723" t="s">
        <v>7</v>
      </c>
      <c r="D723" s="23">
        <v>2500</v>
      </c>
      <c r="E723" s="2">
        <v>0</v>
      </c>
      <c r="F723" s="2">
        <v>92921.600000000006</v>
      </c>
      <c r="G723" s="2" t="str">
        <f t="shared" si="11"/>
        <v>27-09-2024 UPI/P2A/427164041191/SANDEEP HARI WAGHMARE/Paymen/GS Mahanagar Coop ba</v>
      </c>
      <c r="H723" s="2" t="s">
        <v>1911</v>
      </c>
      <c r="I723" t="s">
        <v>356</v>
      </c>
      <c r="J723" t="s">
        <v>1895</v>
      </c>
    </row>
    <row r="724" spans="1:11" x14ac:dyDescent="0.3">
      <c r="A724" s="1">
        <v>45564</v>
      </c>
      <c r="B724" t="s">
        <v>752</v>
      </c>
      <c r="C724" t="s">
        <v>771</v>
      </c>
      <c r="D724" s="2">
        <v>25000</v>
      </c>
      <c r="E724" s="2">
        <v>0</v>
      </c>
      <c r="F724" s="2">
        <v>-29081.37</v>
      </c>
      <c r="G724" s="2" t="str">
        <f t="shared" si="11"/>
        <v>29-09-2024    TO TRANSFER-INB Payment towards loan repayment--</v>
      </c>
      <c r="H724" s="2" t="s">
        <v>1911</v>
      </c>
      <c r="I724" t="s">
        <v>1842</v>
      </c>
      <c r="J724" t="s">
        <v>1897</v>
      </c>
      <c r="K724" t="s">
        <v>1913</v>
      </c>
    </row>
    <row r="725" spans="1:11" x14ac:dyDescent="0.3">
      <c r="A725" s="1">
        <v>45564</v>
      </c>
      <c r="B725" t="s">
        <v>758</v>
      </c>
      <c r="C725" t="s">
        <v>1799</v>
      </c>
      <c r="D725" s="2">
        <v>0</v>
      </c>
      <c r="E725" s="2">
        <v>25000</v>
      </c>
      <c r="F725" s="2">
        <v>38984.76</v>
      </c>
      <c r="G725" s="2" t="str">
        <f t="shared" si="11"/>
        <v>29-09-2024    BY TRANSFER-INB Payment towards loan repayment--</v>
      </c>
      <c r="H725" s="2" t="s">
        <v>1911</v>
      </c>
      <c r="I725" t="s">
        <v>1906</v>
      </c>
      <c r="J725" t="s">
        <v>1899</v>
      </c>
      <c r="K725" t="s">
        <v>1913</v>
      </c>
    </row>
    <row r="726" spans="1:11" x14ac:dyDescent="0.3">
      <c r="A726" s="1">
        <v>45564</v>
      </c>
      <c r="B726" t="s">
        <v>479</v>
      </c>
      <c r="C726" t="s">
        <v>7</v>
      </c>
      <c r="D726" s="23">
        <v>6</v>
      </c>
      <c r="E726" s="2">
        <v>0</v>
      </c>
      <c r="F726" s="2">
        <v>92915.6</v>
      </c>
      <c r="G726" s="2" t="str">
        <f t="shared" si="11"/>
        <v>29-09-2024 UPI/P2M/463941893924/PROP KALPESH KANAIYA /Photo/Yes Bank Ltd</v>
      </c>
      <c r="H726" s="2" t="s">
        <v>1911</v>
      </c>
      <c r="I726" t="s">
        <v>356</v>
      </c>
      <c r="J726" t="s">
        <v>1895</v>
      </c>
    </row>
    <row r="727" spans="1:11" x14ac:dyDescent="0.3">
      <c r="A727" s="1">
        <v>45564</v>
      </c>
      <c r="B727" t="s">
        <v>480</v>
      </c>
      <c r="C727" t="s">
        <v>7</v>
      </c>
      <c r="D727" s="23">
        <v>4</v>
      </c>
      <c r="E727" s="2">
        <v>0</v>
      </c>
      <c r="F727" s="2">
        <v>92911.6</v>
      </c>
      <c r="G727" s="2" t="str">
        <f t="shared" si="11"/>
        <v>29-09-2024 UPI/P2M/463976309946/PROP KALPESH KANAIYA /Print/Yes Bank Ltd</v>
      </c>
      <c r="H727" s="2" t="s">
        <v>1911</v>
      </c>
      <c r="I727" t="s">
        <v>356</v>
      </c>
      <c r="J727" t="s">
        <v>1895</v>
      </c>
    </row>
    <row r="728" spans="1:11" x14ac:dyDescent="0.3">
      <c r="A728" s="1">
        <v>45565</v>
      </c>
      <c r="B728" t="s">
        <v>754</v>
      </c>
      <c r="D728" s="2">
        <v>233</v>
      </c>
      <c r="E728" s="2">
        <v>0</v>
      </c>
      <c r="F728" s="2">
        <v>-29314.37</v>
      </c>
      <c r="G728" s="2" t="str">
        <f t="shared" si="11"/>
        <v>30-09-2024    DEBIT INTEREST---</v>
      </c>
      <c r="H728" s="2" t="s">
        <v>1911</v>
      </c>
      <c r="I728" t="s">
        <v>1915</v>
      </c>
      <c r="J728" t="s">
        <v>1897</v>
      </c>
    </row>
    <row r="729" spans="1:11" x14ac:dyDescent="0.3">
      <c r="A729" s="1">
        <v>45565</v>
      </c>
      <c r="B729" t="s">
        <v>1135</v>
      </c>
      <c r="C729" t="s">
        <v>140</v>
      </c>
      <c r="D729" s="2">
        <v>0</v>
      </c>
      <c r="E729" s="2">
        <v>2488</v>
      </c>
      <c r="F729" s="2">
        <v>379879.43</v>
      </c>
      <c r="G729" s="2" t="str">
        <f t="shared" si="11"/>
        <v>30-09-2024 INTEREST PAID TILL 30-SEP-2024</v>
      </c>
      <c r="H729" s="2" t="s">
        <v>1911</v>
      </c>
      <c r="I729" t="s">
        <v>370</v>
      </c>
      <c r="J729" t="s">
        <v>1896</v>
      </c>
    </row>
    <row r="730" spans="1:11" x14ac:dyDescent="0.3">
      <c r="A730" s="1">
        <v>45565</v>
      </c>
      <c r="B730" t="s">
        <v>1131</v>
      </c>
      <c r="C730" t="s">
        <v>1132</v>
      </c>
      <c r="D730" s="2">
        <v>0</v>
      </c>
      <c r="E730" s="2">
        <v>5853.15</v>
      </c>
      <c r="F730" s="2">
        <v>381675.76</v>
      </c>
      <c r="G730" s="2" t="str">
        <f t="shared" si="11"/>
        <v>30-09-2024 FT- 567219302-50200085415108 - HDFC SECURITIES LTD-CLIENT DSCNB A/C -</v>
      </c>
      <c r="H730" s="2" t="s">
        <v>1911</v>
      </c>
      <c r="I730" t="s">
        <v>1876</v>
      </c>
      <c r="J730" t="s">
        <v>1896</v>
      </c>
    </row>
    <row r="731" spans="1:11" x14ac:dyDescent="0.3">
      <c r="A731" s="1">
        <v>45565</v>
      </c>
      <c r="B731" t="s">
        <v>125</v>
      </c>
      <c r="C731" t="s">
        <v>1133</v>
      </c>
      <c r="D731" s="2">
        <v>589.35</v>
      </c>
      <c r="E731" s="2">
        <v>0</v>
      </c>
      <c r="F731" s="2">
        <v>381086.41</v>
      </c>
      <c r="G731" s="2" t="str">
        <f t="shared" si="11"/>
        <v>30-09-2024 NET PI TO HSL SEC A/C 347707-00602340029392</v>
      </c>
      <c r="H731" s="2" t="s">
        <v>1911</v>
      </c>
      <c r="I731" t="s">
        <v>361</v>
      </c>
      <c r="J731" t="s">
        <v>1896</v>
      </c>
    </row>
    <row r="732" spans="1:11" x14ac:dyDescent="0.3">
      <c r="A732" s="1">
        <v>45565</v>
      </c>
      <c r="B732" t="s">
        <v>125</v>
      </c>
      <c r="C732" t="s">
        <v>1134</v>
      </c>
      <c r="D732" s="2">
        <v>3694.98</v>
      </c>
      <c r="E732" s="2">
        <v>0</v>
      </c>
      <c r="F732" s="2">
        <v>377391.43</v>
      </c>
      <c r="G732" s="2" t="str">
        <f t="shared" si="11"/>
        <v>30-09-2024 NET PI TO HSL SEC A/C 347707-00602340029392</v>
      </c>
      <c r="H732" s="2" t="s">
        <v>1911</v>
      </c>
      <c r="I732" t="s">
        <v>361</v>
      </c>
      <c r="J732" t="s">
        <v>1896</v>
      </c>
    </row>
    <row r="733" spans="1:11" x14ac:dyDescent="0.3">
      <c r="A733" s="1">
        <v>45566</v>
      </c>
      <c r="B733" t="s">
        <v>481</v>
      </c>
      <c r="C733" t="s">
        <v>7</v>
      </c>
      <c r="D733" s="2">
        <v>0</v>
      </c>
      <c r="E733" s="2">
        <v>1039</v>
      </c>
      <c r="F733" s="2">
        <v>93950.6</v>
      </c>
      <c r="G733" s="2" t="str">
        <f t="shared" si="11"/>
        <v>01-10-2024 SB:910010047943167:Int.Pd:01-07-2024 to 30-09-2024</v>
      </c>
      <c r="H733" s="2" t="s">
        <v>1911</v>
      </c>
      <c r="I733" t="s">
        <v>370</v>
      </c>
      <c r="J733" t="s">
        <v>1895</v>
      </c>
    </row>
    <row r="734" spans="1:11" x14ac:dyDescent="0.3">
      <c r="A734" s="1">
        <v>45566</v>
      </c>
      <c r="B734" t="s">
        <v>125</v>
      </c>
      <c r="C734" t="s">
        <v>1136</v>
      </c>
      <c r="D734" s="2">
        <v>197.22</v>
      </c>
      <c r="E734" s="2">
        <v>0</v>
      </c>
      <c r="F734" s="2">
        <v>379682.21</v>
      </c>
      <c r="G734" s="2" t="str">
        <f t="shared" si="11"/>
        <v>01-10-2024 NET PI TO HSL SEC A/C 347707-00602340029392</v>
      </c>
      <c r="H734" s="2" t="s">
        <v>1911</v>
      </c>
      <c r="I734" t="s">
        <v>361</v>
      </c>
      <c r="J734" t="s">
        <v>1896</v>
      </c>
    </row>
    <row r="735" spans="1:11" x14ac:dyDescent="0.3">
      <c r="A735" s="1">
        <v>45566</v>
      </c>
      <c r="B735" t="s">
        <v>125</v>
      </c>
      <c r="C735" t="s">
        <v>1139</v>
      </c>
      <c r="D735" s="2">
        <v>3100.59</v>
      </c>
      <c r="E735" s="2">
        <v>0</v>
      </c>
      <c r="F735" s="2">
        <v>526581.62</v>
      </c>
      <c r="G735" s="2" t="str">
        <f t="shared" si="11"/>
        <v>01-10-2024 NET PI TO HSL SEC A/C 347707-00602340029392</v>
      </c>
      <c r="H735" s="2" t="s">
        <v>1911</v>
      </c>
      <c r="I735" t="s">
        <v>361</v>
      </c>
      <c r="J735" t="s">
        <v>1896</v>
      </c>
    </row>
    <row r="736" spans="1:11" x14ac:dyDescent="0.3">
      <c r="A736" s="1">
        <v>45566</v>
      </c>
      <c r="B736" t="s">
        <v>1137</v>
      </c>
      <c r="C736" t="s">
        <v>1138</v>
      </c>
      <c r="D736" s="2">
        <v>0</v>
      </c>
      <c r="E736" s="2">
        <v>150000</v>
      </c>
      <c r="F736" s="2">
        <v>529682.21</v>
      </c>
      <c r="G736" s="2" t="str">
        <f t="shared" si="11"/>
        <v>01-10-2024 01671000060094-TPT-MONEY RETURNED FROM SUNITA TO AJAY-SUNITA GUPTA</v>
      </c>
      <c r="H736" s="2" t="s">
        <v>1911</v>
      </c>
      <c r="I736" t="s">
        <v>364</v>
      </c>
      <c r="J736" t="s">
        <v>1896</v>
      </c>
    </row>
    <row r="737" spans="1:11" x14ac:dyDescent="0.3">
      <c r="A737" s="1">
        <v>45567</v>
      </c>
      <c r="B737" t="s">
        <v>750</v>
      </c>
      <c r="C737" t="s">
        <v>751</v>
      </c>
      <c r="D737" s="2">
        <v>0</v>
      </c>
      <c r="E737" s="2">
        <v>26595</v>
      </c>
      <c r="F737" s="2">
        <v>-2719.37</v>
      </c>
      <c r="G737" s="2" t="str">
        <f t="shared" si="11"/>
        <v>02-10-2024    DEPOSIT TRANSFER---</v>
      </c>
      <c r="H737" s="2" t="s">
        <v>1911</v>
      </c>
      <c r="I737" t="s">
        <v>1842</v>
      </c>
      <c r="J737" t="s">
        <v>1897</v>
      </c>
      <c r="K737" t="s">
        <v>1913</v>
      </c>
    </row>
    <row r="738" spans="1:11" x14ac:dyDescent="0.3">
      <c r="A738" s="1">
        <v>45567</v>
      </c>
      <c r="B738" t="s">
        <v>1734</v>
      </c>
      <c r="C738" t="s">
        <v>1735</v>
      </c>
      <c r="D738" s="2">
        <v>26595</v>
      </c>
      <c r="E738" s="2">
        <v>0</v>
      </c>
      <c r="F738" s="2">
        <v>12389.76</v>
      </c>
      <c r="G738" s="2" t="str">
        <f t="shared" si="11"/>
        <v>02-10-2024    WITHDRAWAL TRANSFER---</v>
      </c>
      <c r="H738" s="2" t="s">
        <v>1911</v>
      </c>
      <c r="I738" t="s">
        <v>1906</v>
      </c>
      <c r="J738" t="s">
        <v>1899</v>
      </c>
      <c r="K738" t="s">
        <v>1913</v>
      </c>
    </row>
    <row r="739" spans="1:11" x14ac:dyDescent="0.3">
      <c r="A739" s="1">
        <v>45567</v>
      </c>
      <c r="B739" t="s">
        <v>1025</v>
      </c>
      <c r="C739" t="s">
        <v>1140</v>
      </c>
      <c r="D739" s="2">
        <v>380434</v>
      </c>
      <c r="E739" s="2">
        <v>0</v>
      </c>
      <c r="F739" s="2">
        <v>146147.62</v>
      </c>
      <c r="G739" s="2" t="str">
        <f t="shared" si="11"/>
        <v>02-10-2024 CC 000552260XXXXXX5783 AUTOPAY SI-TAD</v>
      </c>
      <c r="H739" s="2" t="s">
        <v>1911</v>
      </c>
      <c r="I739" t="s">
        <v>1838</v>
      </c>
      <c r="J739" t="s">
        <v>1896</v>
      </c>
    </row>
    <row r="740" spans="1:11" x14ac:dyDescent="0.3">
      <c r="A740" s="1">
        <v>45567</v>
      </c>
      <c r="B740" t="s">
        <v>482</v>
      </c>
      <c r="C740" t="s">
        <v>7</v>
      </c>
      <c r="D740" s="2">
        <v>115</v>
      </c>
      <c r="E740" s="2">
        <v>0</v>
      </c>
      <c r="F740" s="2">
        <v>93835.6</v>
      </c>
      <c r="G740" s="2" t="str">
        <f t="shared" si="11"/>
        <v>02-10-2024 UPI/P2M/427660048927/Mr Asaram Narayan Dol/Fruits/Yes Bank Ltd</v>
      </c>
      <c r="H740" s="2" t="s">
        <v>1911</v>
      </c>
      <c r="I740" t="s">
        <v>356</v>
      </c>
      <c r="J740" t="s">
        <v>1895</v>
      </c>
    </row>
    <row r="741" spans="1:11" x14ac:dyDescent="0.3">
      <c r="A741" s="1">
        <v>45567</v>
      </c>
      <c r="B741" t="s">
        <v>483</v>
      </c>
      <c r="C741" t="s">
        <v>7</v>
      </c>
      <c r="D741" s="2">
        <v>2796.6</v>
      </c>
      <c r="E741" s="2">
        <v>0</v>
      </c>
      <c r="F741" s="2">
        <v>91039</v>
      </c>
      <c r="G741" s="2" t="str">
        <f t="shared" si="11"/>
        <v>02-10-2024 UPI/P2M/427669189327/Safexpress           /Paymen/Yes Bank Ltd</v>
      </c>
      <c r="H741" s="2" t="s">
        <v>1911</v>
      </c>
      <c r="I741" t="s">
        <v>356</v>
      </c>
      <c r="J741" t="s">
        <v>1895</v>
      </c>
    </row>
    <row r="742" spans="1:11" x14ac:dyDescent="0.3">
      <c r="A742" s="1">
        <v>45567</v>
      </c>
      <c r="B742" t="s">
        <v>484</v>
      </c>
      <c r="C742" t="s">
        <v>7</v>
      </c>
      <c r="D742" s="2">
        <v>110</v>
      </c>
      <c r="E742" s="2">
        <v>0</v>
      </c>
      <c r="F742" s="2">
        <v>90929</v>
      </c>
      <c r="G742" s="2" t="str">
        <f t="shared" si="11"/>
        <v>02-10-2024 UPI/P2M/427605584938/One97 Communications /Sweet/Yes Bank Ltd</v>
      </c>
      <c r="H742" s="2" t="s">
        <v>1911</v>
      </c>
      <c r="I742" t="s">
        <v>356</v>
      </c>
      <c r="J742" t="s">
        <v>1895</v>
      </c>
    </row>
    <row r="743" spans="1:11" x14ac:dyDescent="0.3">
      <c r="A743" s="1">
        <v>45567</v>
      </c>
      <c r="B743" t="s">
        <v>485</v>
      </c>
      <c r="C743" t="s">
        <v>7</v>
      </c>
      <c r="D743" s="2">
        <v>50</v>
      </c>
      <c r="E743" s="2">
        <v>0</v>
      </c>
      <c r="F743" s="2">
        <v>90879</v>
      </c>
      <c r="G743" s="2" t="str">
        <f t="shared" si="11"/>
        <v>02-10-2024 UPI/P2M/464267266588/KUNAL EAKNATH MAKUNE /Milk/Yes Bank Ltd</v>
      </c>
      <c r="H743" s="2" t="s">
        <v>1911</v>
      </c>
      <c r="I743" t="s">
        <v>356</v>
      </c>
      <c r="J743" t="s">
        <v>1895</v>
      </c>
    </row>
    <row r="744" spans="1:11" x14ac:dyDescent="0.3">
      <c r="A744" s="1">
        <v>45568</v>
      </c>
      <c r="B744" t="s">
        <v>487</v>
      </c>
      <c r="C744" t="s">
        <v>7</v>
      </c>
      <c r="D744" s="2">
        <v>10000</v>
      </c>
      <c r="E744" s="2">
        <v>0</v>
      </c>
      <c r="F744" s="2">
        <v>80379</v>
      </c>
      <c r="G744" s="2" t="str">
        <f t="shared" si="11"/>
        <v>03-10-2024 ATM-CASH-AXIS/BPRH265601/6054/031024/NASHIK</v>
      </c>
      <c r="H744" s="2" t="s">
        <v>1911</v>
      </c>
      <c r="I744" t="s">
        <v>354</v>
      </c>
      <c r="J744" t="s">
        <v>1895</v>
      </c>
    </row>
    <row r="745" spans="1:11" x14ac:dyDescent="0.3">
      <c r="A745" s="1">
        <v>45568</v>
      </c>
      <c r="B745" t="s">
        <v>1141</v>
      </c>
      <c r="C745" t="s">
        <v>1142</v>
      </c>
      <c r="D745" s="2">
        <v>0</v>
      </c>
      <c r="E745" s="2">
        <v>59921.39</v>
      </c>
      <c r="F745" s="2">
        <v>206069.01</v>
      </c>
      <c r="G745" s="2" t="str">
        <f t="shared" si="11"/>
        <v>03-10-2024 FT- 568278067-50200085415108 - HDFC SECURITIES LTD-CLIENT DSCNB A/C -</v>
      </c>
      <c r="H745" s="2" t="s">
        <v>1911</v>
      </c>
      <c r="I745" t="s">
        <v>1876</v>
      </c>
      <c r="J745" t="s">
        <v>1896</v>
      </c>
    </row>
    <row r="746" spans="1:11" x14ac:dyDescent="0.3">
      <c r="A746" s="1">
        <v>45568</v>
      </c>
      <c r="B746" t="s">
        <v>125</v>
      </c>
      <c r="C746" t="s">
        <v>1143</v>
      </c>
      <c r="D746" s="2">
        <v>392.24</v>
      </c>
      <c r="E746" s="2">
        <v>0</v>
      </c>
      <c r="F746" s="2">
        <v>205676.77</v>
      </c>
      <c r="G746" s="2" t="str">
        <f t="shared" si="11"/>
        <v>03-10-2024 NET PI TO HSL SEC A/C 347707-00602340029392</v>
      </c>
      <c r="H746" s="2" t="s">
        <v>1911</v>
      </c>
      <c r="I746" t="s">
        <v>361</v>
      </c>
      <c r="J746" t="s">
        <v>1896</v>
      </c>
    </row>
    <row r="747" spans="1:11" x14ac:dyDescent="0.3">
      <c r="A747" s="1">
        <v>45568</v>
      </c>
      <c r="B747" t="s">
        <v>486</v>
      </c>
      <c r="C747" t="s">
        <v>7</v>
      </c>
      <c r="D747" s="2">
        <v>500</v>
      </c>
      <c r="E747" s="2">
        <v>0</v>
      </c>
      <c r="F747" s="2">
        <v>90379</v>
      </c>
      <c r="G747" s="2" t="str">
        <f t="shared" si="11"/>
        <v>03-10-2024 UPI/P2M/427749545064/BHARAT SHIVAJI SALVE /Fruits/INDUSIND BANK</v>
      </c>
      <c r="H747" s="2" t="s">
        <v>1911</v>
      </c>
      <c r="I747" t="s">
        <v>356</v>
      </c>
      <c r="J747" t="s">
        <v>1895</v>
      </c>
    </row>
    <row r="748" spans="1:11" x14ac:dyDescent="0.3">
      <c r="A748" s="1">
        <v>45569</v>
      </c>
      <c r="B748" t="s">
        <v>125</v>
      </c>
      <c r="C748" t="s">
        <v>1144</v>
      </c>
      <c r="D748" s="2">
        <v>16929.2</v>
      </c>
      <c r="E748" s="2">
        <v>0</v>
      </c>
      <c r="F748" s="2">
        <v>188747.57</v>
      </c>
      <c r="G748" s="2" t="str">
        <f t="shared" si="11"/>
        <v>04-10-2024 NET PI TO HSL SEC A/C 347707-00602340029392</v>
      </c>
      <c r="H748" s="2" t="s">
        <v>1911</v>
      </c>
      <c r="I748" t="s">
        <v>361</v>
      </c>
      <c r="J748" t="s">
        <v>1896</v>
      </c>
    </row>
    <row r="749" spans="1:11" x14ac:dyDescent="0.3">
      <c r="A749" s="1">
        <v>45569</v>
      </c>
      <c r="B749" t="s">
        <v>125</v>
      </c>
      <c r="C749" t="s">
        <v>1145</v>
      </c>
      <c r="D749" s="2">
        <v>190.09</v>
      </c>
      <c r="E749" s="2">
        <v>0</v>
      </c>
      <c r="F749" s="2">
        <v>188557.48</v>
      </c>
      <c r="G749" s="2" t="str">
        <f t="shared" si="11"/>
        <v>04-10-2024 NET PI TO HSL SEC A/C 347707-00602340029392</v>
      </c>
      <c r="H749" s="2" t="s">
        <v>1911</v>
      </c>
      <c r="I749" t="s">
        <v>361</v>
      </c>
      <c r="J749" t="s">
        <v>1896</v>
      </c>
    </row>
    <row r="750" spans="1:11" x14ac:dyDescent="0.3">
      <c r="A750" s="1">
        <v>45569</v>
      </c>
      <c r="B750" t="s">
        <v>125</v>
      </c>
      <c r="C750" t="s">
        <v>1146</v>
      </c>
      <c r="D750" s="2">
        <v>7248.29</v>
      </c>
      <c r="E750" s="2">
        <v>0</v>
      </c>
      <c r="F750" s="2">
        <v>181309.19</v>
      </c>
      <c r="G750" s="2" t="str">
        <f t="shared" si="11"/>
        <v>04-10-2024 NET PI TO HSL SEC A/C 347707-00602340029392</v>
      </c>
      <c r="H750" s="2" t="s">
        <v>1911</v>
      </c>
      <c r="I750" t="s">
        <v>361</v>
      </c>
      <c r="J750" t="s">
        <v>1896</v>
      </c>
    </row>
    <row r="751" spans="1:11" x14ac:dyDescent="0.3">
      <c r="A751" s="1">
        <v>45569</v>
      </c>
      <c r="B751" t="s">
        <v>488</v>
      </c>
      <c r="C751" t="s">
        <v>7</v>
      </c>
      <c r="D751" s="2">
        <v>2000</v>
      </c>
      <c r="E751" s="2">
        <v>0</v>
      </c>
      <c r="F751" s="2">
        <v>78379</v>
      </c>
      <c r="G751" s="2" t="str">
        <f t="shared" si="11"/>
        <v>04-10-2024 UPI/P2M/427848249476/MUKESH GOYAL         /Kirana/ICICI Bank</v>
      </c>
      <c r="H751" s="2" t="s">
        <v>1911</v>
      </c>
      <c r="I751" t="s">
        <v>356</v>
      </c>
      <c r="J751" t="s">
        <v>1895</v>
      </c>
    </row>
    <row r="752" spans="1:11" x14ac:dyDescent="0.3">
      <c r="A752" s="1">
        <v>45570</v>
      </c>
      <c r="B752" t="s">
        <v>1147</v>
      </c>
      <c r="C752" t="s">
        <v>1148</v>
      </c>
      <c r="D752" s="2">
        <v>25000</v>
      </c>
      <c r="E752" s="2">
        <v>0</v>
      </c>
      <c r="F752" s="2">
        <v>156309.19</v>
      </c>
      <c r="G752" s="2" t="str">
        <f t="shared" si="11"/>
        <v>05-10-2024 FD BOOKED - 50301048327955 : AJAY KUMAR GUPTA</v>
      </c>
      <c r="H752" s="2" t="s">
        <v>1911</v>
      </c>
      <c r="I752" t="s">
        <v>1862</v>
      </c>
      <c r="J752" t="s">
        <v>1896</v>
      </c>
    </row>
    <row r="753" spans="1:10" x14ac:dyDescent="0.3">
      <c r="A753" s="1">
        <v>45572</v>
      </c>
      <c r="B753" t="s">
        <v>1150</v>
      </c>
      <c r="C753" t="s">
        <v>1151</v>
      </c>
      <c r="D753" s="2">
        <v>0</v>
      </c>
      <c r="E753" s="2">
        <v>1060</v>
      </c>
      <c r="F753" s="2">
        <v>156788.75</v>
      </c>
      <c r="G753" s="2" t="str">
        <f t="shared" si="11"/>
        <v>07-10-2024 ACH C- HOUSING AND URBAN DE-753360</v>
      </c>
      <c r="H753" s="2" t="s">
        <v>1911</v>
      </c>
      <c r="I753" t="s">
        <v>367</v>
      </c>
      <c r="J753" t="s">
        <v>1896</v>
      </c>
    </row>
    <row r="754" spans="1:10" x14ac:dyDescent="0.3">
      <c r="A754" s="1">
        <v>45572</v>
      </c>
      <c r="B754" t="s">
        <v>125</v>
      </c>
      <c r="C754" t="s">
        <v>1149</v>
      </c>
      <c r="D754" s="2">
        <v>580.44000000000005</v>
      </c>
      <c r="E754" s="2">
        <v>0</v>
      </c>
      <c r="F754" s="2">
        <v>155728.75</v>
      </c>
      <c r="G754" s="2" t="str">
        <f t="shared" si="11"/>
        <v>07-10-2024 NET PI TO HSL SEC A/C 347707-00602340029392</v>
      </c>
      <c r="H754" s="2" t="s">
        <v>1911</v>
      </c>
      <c r="I754" t="s">
        <v>361</v>
      </c>
      <c r="J754" t="s">
        <v>1896</v>
      </c>
    </row>
    <row r="755" spans="1:10" x14ac:dyDescent="0.3">
      <c r="A755" s="1">
        <v>45572</v>
      </c>
      <c r="B755" t="s">
        <v>125</v>
      </c>
      <c r="C755" t="s">
        <v>1152</v>
      </c>
      <c r="D755" s="2">
        <v>14701.51</v>
      </c>
      <c r="E755" s="2">
        <v>0</v>
      </c>
      <c r="F755" s="2">
        <v>142087.24</v>
      </c>
      <c r="G755" s="2" t="str">
        <f t="shared" si="11"/>
        <v>07-10-2024 NET PI TO HSL SEC A/C 347707-00602340029392</v>
      </c>
      <c r="H755" s="2" t="s">
        <v>1911</v>
      </c>
      <c r="I755" t="s">
        <v>361</v>
      </c>
      <c r="J755" t="s">
        <v>1896</v>
      </c>
    </row>
    <row r="756" spans="1:10" x14ac:dyDescent="0.3">
      <c r="A756" s="1">
        <v>45573</v>
      </c>
      <c r="B756" t="s">
        <v>8</v>
      </c>
      <c r="C756" t="s">
        <v>7</v>
      </c>
      <c r="D756" s="2">
        <v>9531.84</v>
      </c>
      <c r="E756" s="2">
        <v>0</v>
      </c>
      <c r="F756" s="2">
        <v>68847.16</v>
      </c>
      <c r="G756" s="2" t="str">
        <f t="shared" si="11"/>
        <v>08-10-2024 BRN-PYMT-CARD-4111460000883615</v>
      </c>
      <c r="H756" s="2" t="s">
        <v>1911</v>
      </c>
      <c r="I756" t="s">
        <v>1877</v>
      </c>
      <c r="J756" t="s">
        <v>1895</v>
      </c>
    </row>
    <row r="757" spans="1:10" x14ac:dyDescent="0.3">
      <c r="A757" s="1">
        <v>45573</v>
      </c>
      <c r="B757" t="s">
        <v>125</v>
      </c>
      <c r="C757" t="s">
        <v>1153</v>
      </c>
      <c r="D757" s="2">
        <v>193.1</v>
      </c>
      <c r="E757" s="2">
        <v>0</v>
      </c>
      <c r="F757" s="2">
        <v>141894.14000000001</v>
      </c>
      <c r="G757" s="2" t="str">
        <f t="shared" si="11"/>
        <v>08-10-2024 NET PI TO HSL SEC A/C 347707-00602340029392</v>
      </c>
      <c r="H757" s="2" t="s">
        <v>1911</v>
      </c>
      <c r="I757" t="s">
        <v>361</v>
      </c>
      <c r="J757" t="s">
        <v>1896</v>
      </c>
    </row>
    <row r="758" spans="1:10" x14ac:dyDescent="0.3">
      <c r="A758" s="1">
        <v>45574</v>
      </c>
      <c r="B758" t="s">
        <v>1154</v>
      </c>
      <c r="C758" t="s">
        <v>1155</v>
      </c>
      <c r="D758" s="2">
        <v>0</v>
      </c>
      <c r="E758" s="2">
        <v>5715.63</v>
      </c>
      <c r="F758" s="2">
        <v>147609.76999999999</v>
      </c>
      <c r="G758" s="2" t="str">
        <f t="shared" si="11"/>
        <v>09-10-2024 FT- 570454959-50200085415108 - HDFC SECURITIES LTD-CLIENT DSCNB A/C -</v>
      </c>
      <c r="H758" s="2" t="s">
        <v>1911</v>
      </c>
      <c r="I758" t="s">
        <v>1876</v>
      </c>
      <c r="J758" t="s">
        <v>1896</v>
      </c>
    </row>
    <row r="759" spans="1:10" x14ac:dyDescent="0.3">
      <c r="A759" s="1">
        <v>45574</v>
      </c>
      <c r="B759" t="s">
        <v>1156</v>
      </c>
      <c r="C759" t="s">
        <v>1157</v>
      </c>
      <c r="D759" s="2">
        <v>0</v>
      </c>
      <c r="E759" s="2">
        <v>27666.85</v>
      </c>
      <c r="F759" s="2">
        <v>175276.62</v>
      </c>
      <c r="G759" s="2" t="str">
        <f t="shared" ref="G759:G822" si="12">TEXT(A759,"DD")&amp;"-"&amp;TEXT(A759,"MM")&amp;"-"&amp;TEXT(A759,"YYYY")&amp;" "&amp;B759</f>
        <v>09-10-2024 FT- 570486480-50200085415108 - HDFC SECURITIES LTD-CLIENT DSCNB A/C -</v>
      </c>
      <c r="H759" s="2" t="s">
        <v>1911</v>
      </c>
      <c r="I759" t="s">
        <v>1876</v>
      </c>
      <c r="J759" t="s">
        <v>1896</v>
      </c>
    </row>
    <row r="760" spans="1:10" x14ac:dyDescent="0.3">
      <c r="A760" s="1">
        <v>45574</v>
      </c>
      <c r="B760" t="s">
        <v>125</v>
      </c>
      <c r="C760" t="s">
        <v>1158</v>
      </c>
      <c r="D760" s="2">
        <v>197.11</v>
      </c>
      <c r="E760" s="2">
        <v>0</v>
      </c>
      <c r="F760" s="2">
        <v>175079.51</v>
      </c>
      <c r="G760" s="2" t="str">
        <f t="shared" si="12"/>
        <v>09-10-2024 NET PI TO HSL SEC A/C 347707-00602340029392</v>
      </c>
      <c r="H760" s="2" t="s">
        <v>1911</v>
      </c>
      <c r="I760" t="s">
        <v>361</v>
      </c>
      <c r="J760" t="s">
        <v>1896</v>
      </c>
    </row>
    <row r="761" spans="1:10" x14ac:dyDescent="0.3">
      <c r="A761" s="1">
        <v>45575</v>
      </c>
      <c r="B761" t="s">
        <v>1744</v>
      </c>
      <c r="C761" t="s">
        <v>1800</v>
      </c>
      <c r="D761" s="2">
        <v>3485</v>
      </c>
      <c r="E761" s="2">
        <v>0</v>
      </c>
      <c r="F761" s="2">
        <v>8904.76</v>
      </c>
      <c r="G761" s="2" t="str">
        <f t="shared" si="12"/>
        <v>10-10-2024    TO TRANSFER-INB SBICARD FOR BILLDESK      SBICARD Payments--</v>
      </c>
      <c r="H761" s="2" t="s">
        <v>1911</v>
      </c>
      <c r="I761" t="s">
        <v>1838</v>
      </c>
      <c r="J761" t="s">
        <v>1899</v>
      </c>
    </row>
    <row r="762" spans="1:10" x14ac:dyDescent="0.3">
      <c r="A762" s="1">
        <v>45575</v>
      </c>
      <c r="B762" t="s">
        <v>1165</v>
      </c>
      <c r="C762" t="s">
        <v>1166</v>
      </c>
      <c r="D762" s="2">
        <v>0</v>
      </c>
      <c r="E762" s="2">
        <v>387.5</v>
      </c>
      <c r="F762" s="2">
        <v>225138.07</v>
      </c>
      <c r="G762" s="2" t="str">
        <f t="shared" si="12"/>
        <v>10-10-2024 ACH C- BEML LIMITED-4147937</v>
      </c>
      <c r="H762" s="2" t="s">
        <v>1911</v>
      </c>
      <c r="I762" t="s">
        <v>367</v>
      </c>
      <c r="J762" t="s">
        <v>1896</v>
      </c>
    </row>
    <row r="763" spans="1:10" x14ac:dyDescent="0.3">
      <c r="A763" s="1">
        <v>45575</v>
      </c>
      <c r="B763" t="s">
        <v>1167</v>
      </c>
      <c r="C763" t="s">
        <v>1168</v>
      </c>
      <c r="D763" s="2">
        <v>0</v>
      </c>
      <c r="E763" s="2">
        <v>64</v>
      </c>
      <c r="F763" s="2">
        <v>225202.07</v>
      </c>
      <c r="G763" s="2" t="str">
        <f t="shared" si="12"/>
        <v>10-10-2024 ACH C- POWER MECH PROJECTS-809990</v>
      </c>
      <c r="H763" s="2" t="s">
        <v>1911</v>
      </c>
      <c r="I763" t="s">
        <v>367</v>
      </c>
      <c r="J763" t="s">
        <v>1896</v>
      </c>
    </row>
    <row r="764" spans="1:10" x14ac:dyDescent="0.3">
      <c r="A764" s="1">
        <v>45575</v>
      </c>
      <c r="B764" t="s">
        <v>1159</v>
      </c>
      <c r="C764" t="s">
        <v>1160</v>
      </c>
      <c r="D764" s="2">
        <v>0</v>
      </c>
      <c r="E764" s="2">
        <v>58201.51</v>
      </c>
      <c r="F764" s="2">
        <v>233281.02</v>
      </c>
      <c r="G764" s="2" t="str">
        <f t="shared" si="12"/>
        <v>10-10-2024 FT- 570905628-50200085415108 - HDFC SECURITIES LTD-CLIENT DSCNB A/C -</v>
      </c>
      <c r="H764" s="2" t="s">
        <v>1911</v>
      </c>
      <c r="I764" t="s">
        <v>1876</v>
      </c>
      <c r="J764" t="s">
        <v>1896</v>
      </c>
    </row>
    <row r="765" spans="1:10" x14ac:dyDescent="0.3">
      <c r="A765" s="1">
        <v>45575</v>
      </c>
      <c r="B765" t="s">
        <v>1161</v>
      </c>
      <c r="C765" t="s">
        <v>1162</v>
      </c>
      <c r="D765" s="2">
        <v>0</v>
      </c>
      <c r="E765" s="2">
        <v>1668.69</v>
      </c>
      <c r="F765" s="2">
        <v>234949.71</v>
      </c>
      <c r="G765" s="2" t="str">
        <f t="shared" si="12"/>
        <v>10-10-2024 FT- 570879155-50200085415108 - HDFC SECURITIES LTD-CLIENT DSCNB A/C -</v>
      </c>
      <c r="H765" s="2" t="s">
        <v>1911</v>
      </c>
      <c r="I765" t="s">
        <v>1876</v>
      </c>
      <c r="J765" t="s">
        <v>1896</v>
      </c>
    </row>
    <row r="766" spans="1:10" x14ac:dyDescent="0.3">
      <c r="A766" s="1">
        <v>45575</v>
      </c>
      <c r="B766" t="s">
        <v>125</v>
      </c>
      <c r="C766" t="s">
        <v>1164</v>
      </c>
      <c r="D766" s="2">
        <v>199.14</v>
      </c>
      <c r="E766" s="2">
        <v>0</v>
      </c>
      <c r="F766" s="2">
        <v>224750.57</v>
      </c>
      <c r="G766" s="2" t="str">
        <f t="shared" si="12"/>
        <v>10-10-2024 NET PI TO HSL SEC A/C 347707-00602340029392</v>
      </c>
      <c r="H766" s="2" t="s">
        <v>1911</v>
      </c>
      <c r="I766" t="s">
        <v>361</v>
      </c>
      <c r="J766" t="s">
        <v>1896</v>
      </c>
    </row>
    <row r="767" spans="1:10" x14ac:dyDescent="0.3">
      <c r="A767" s="1">
        <v>45575</v>
      </c>
      <c r="B767" t="s">
        <v>125</v>
      </c>
      <c r="C767" t="s">
        <v>1169</v>
      </c>
      <c r="D767" s="2">
        <v>997.95</v>
      </c>
      <c r="E767" s="2">
        <v>0</v>
      </c>
      <c r="F767" s="2">
        <v>224204.12</v>
      </c>
      <c r="G767" s="2" t="str">
        <f t="shared" si="12"/>
        <v>10-10-2024 NET PI TO HSL SEC A/C 347707-00602340029392</v>
      </c>
      <c r="H767" s="2" t="s">
        <v>1911</v>
      </c>
      <c r="I767" t="s">
        <v>361</v>
      </c>
      <c r="J767" t="s">
        <v>1896</v>
      </c>
    </row>
    <row r="768" spans="1:10" x14ac:dyDescent="0.3">
      <c r="A768" s="1">
        <v>45575</v>
      </c>
      <c r="B768" t="s">
        <v>146</v>
      </c>
      <c r="C768" t="s">
        <v>1163</v>
      </c>
      <c r="D768" s="2">
        <v>10000</v>
      </c>
      <c r="E768" s="2">
        <v>0</v>
      </c>
      <c r="F768" s="2">
        <v>224949.71</v>
      </c>
      <c r="G768" s="2" t="str">
        <f t="shared" si="12"/>
        <v>10-10-2024 ACH D- INDIAN CLEARING CORP-P25847605X05</v>
      </c>
      <c r="H768" s="2" t="s">
        <v>1911</v>
      </c>
      <c r="I768" t="s">
        <v>1854</v>
      </c>
      <c r="J768" t="s">
        <v>1896</v>
      </c>
    </row>
    <row r="769" spans="1:10" x14ac:dyDescent="0.3">
      <c r="A769" s="1">
        <v>45576</v>
      </c>
      <c r="B769" t="s">
        <v>1170</v>
      </c>
      <c r="C769" t="s">
        <v>1171</v>
      </c>
      <c r="D769" s="2">
        <v>0</v>
      </c>
      <c r="E769" s="2">
        <v>129129.96</v>
      </c>
      <c r="F769" s="2">
        <v>353334.08</v>
      </c>
      <c r="G769" s="2" t="str">
        <f t="shared" si="12"/>
        <v>11-10-2024 FT- 571353580-50200085415108 - HDFC SECURITIES LTD-CLIENT DSCNB A/C -</v>
      </c>
      <c r="H769" s="2" t="s">
        <v>1911</v>
      </c>
      <c r="I769" t="s">
        <v>1876</v>
      </c>
      <c r="J769" t="s">
        <v>1896</v>
      </c>
    </row>
    <row r="770" spans="1:10" x14ac:dyDescent="0.3">
      <c r="A770" s="1">
        <v>45576</v>
      </c>
      <c r="B770" t="s">
        <v>125</v>
      </c>
      <c r="C770" t="s">
        <v>1172</v>
      </c>
      <c r="D770" s="2">
        <v>199.38</v>
      </c>
      <c r="E770" s="2">
        <v>0</v>
      </c>
      <c r="F770" s="2">
        <v>353134.7</v>
      </c>
      <c r="G770" s="2" t="str">
        <f t="shared" si="12"/>
        <v>11-10-2024 NET PI TO HSL SEC A/C 347707-00602340029392</v>
      </c>
      <c r="H770" s="2" t="s">
        <v>1911</v>
      </c>
      <c r="I770" t="s">
        <v>361</v>
      </c>
      <c r="J770" t="s">
        <v>1896</v>
      </c>
    </row>
    <row r="771" spans="1:10" x14ac:dyDescent="0.3">
      <c r="A771" s="1">
        <v>45576</v>
      </c>
      <c r="B771" t="s">
        <v>125</v>
      </c>
      <c r="C771" t="s">
        <v>1173</v>
      </c>
      <c r="D771" s="2">
        <v>191262.21</v>
      </c>
      <c r="E771" s="2">
        <v>0</v>
      </c>
      <c r="F771" s="2">
        <v>161872.49</v>
      </c>
      <c r="G771" s="2" t="str">
        <f t="shared" si="12"/>
        <v>11-10-2024 NET PI TO HSL SEC A/C 347707-00602340029392</v>
      </c>
      <c r="H771" s="2" t="s">
        <v>1911</v>
      </c>
      <c r="I771" t="s">
        <v>361</v>
      </c>
      <c r="J771" t="s">
        <v>1896</v>
      </c>
    </row>
    <row r="772" spans="1:10" x14ac:dyDescent="0.3">
      <c r="A772" s="1">
        <v>45576</v>
      </c>
      <c r="B772" t="s">
        <v>1740</v>
      </c>
      <c r="C772" t="s">
        <v>1801</v>
      </c>
      <c r="D772" s="2">
        <v>0</v>
      </c>
      <c r="E772" s="2">
        <v>43785.75</v>
      </c>
      <c r="F772" s="2">
        <v>52690.51</v>
      </c>
      <c r="G772" s="2" t="str">
        <f t="shared" si="12"/>
        <v>11-10-2024    BY TRANSFER-INB -For 19260165--</v>
      </c>
      <c r="H772" s="2" t="s">
        <v>1911</v>
      </c>
      <c r="I772" t="s">
        <v>1887</v>
      </c>
      <c r="J772" t="s">
        <v>1899</v>
      </c>
    </row>
    <row r="773" spans="1:10" x14ac:dyDescent="0.3">
      <c r="A773" s="1">
        <v>45578</v>
      </c>
      <c r="B773" t="s">
        <v>489</v>
      </c>
      <c r="C773" t="s">
        <v>7</v>
      </c>
      <c r="D773" s="2">
        <v>400</v>
      </c>
      <c r="E773" s="2">
        <v>0</v>
      </c>
      <c r="F773" s="2">
        <v>68447.16</v>
      </c>
      <c r="G773" s="2" t="str">
        <f t="shared" si="12"/>
        <v>13-10-2024 UPI/P2M/613757813786/Deepak Rathor        /Gas re/Yes Bank Ltd</v>
      </c>
      <c r="H773" s="2" t="s">
        <v>1911</v>
      </c>
      <c r="I773" t="s">
        <v>356</v>
      </c>
      <c r="J773" t="s">
        <v>1895</v>
      </c>
    </row>
    <row r="774" spans="1:10" x14ac:dyDescent="0.3">
      <c r="A774" s="1">
        <v>45579</v>
      </c>
      <c r="B774" t="s">
        <v>1174</v>
      </c>
      <c r="C774" t="s">
        <v>1175</v>
      </c>
      <c r="D774" s="2">
        <v>0</v>
      </c>
      <c r="E774" s="2">
        <v>3285</v>
      </c>
      <c r="F774" s="2">
        <v>165157.49</v>
      </c>
      <c r="G774" s="2" t="str">
        <f t="shared" si="12"/>
        <v>14-10-2024 NEFT CR-YESB0000001-JYOTI RESINS AND ADHESIVES LIMITED-AJAY KUMAR GUPTA-YESIG42880018723</v>
      </c>
      <c r="H774" s="2" t="s">
        <v>1911</v>
      </c>
      <c r="I774" t="s">
        <v>367</v>
      </c>
      <c r="J774" t="s">
        <v>1896</v>
      </c>
    </row>
    <row r="775" spans="1:10" x14ac:dyDescent="0.3">
      <c r="A775" s="1">
        <v>45579</v>
      </c>
      <c r="B775" t="s">
        <v>1178</v>
      </c>
      <c r="C775" t="s">
        <v>1179</v>
      </c>
      <c r="D775" s="2">
        <v>0</v>
      </c>
      <c r="E775" s="2">
        <v>375</v>
      </c>
      <c r="F775" s="2">
        <v>234176.97</v>
      </c>
      <c r="G775" s="2" t="str">
        <f t="shared" si="12"/>
        <v>14-10-2024 NEFT CR-UTIB0000003-PRIME FRESH LIMITED FINAL DIVIDEND-AJAY KUMAR GUPTA-AXISP00553242300</v>
      </c>
      <c r="H775" s="2" t="s">
        <v>1911</v>
      </c>
      <c r="I775" t="s">
        <v>367</v>
      </c>
      <c r="J775" t="s">
        <v>1896</v>
      </c>
    </row>
    <row r="776" spans="1:10" x14ac:dyDescent="0.3">
      <c r="A776" s="1">
        <v>45579</v>
      </c>
      <c r="B776" t="s">
        <v>1802</v>
      </c>
      <c r="C776" t="s">
        <v>1803</v>
      </c>
      <c r="D776" s="2">
        <v>0</v>
      </c>
      <c r="E776" s="2">
        <v>576</v>
      </c>
      <c r="F776" s="2">
        <v>53266.51</v>
      </c>
      <c r="G776" s="2" t="str">
        <f t="shared" si="12"/>
        <v>14-10-2024    BY TRANSFER-NEFT*YESB0000001*YESIG42880017503*JYOTI RESINS AND--</v>
      </c>
      <c r="H776" s="2" t="s">
        <v>1911</v>
      </c>
      <c r="I776" t="s">
        <v>367</v>
      </c>
      <c r="J776" t="s">
        <v>1899</v>
      </c>
    </row>
    <row r="777" spans="1:10" x14ac:dyDescent="0.3">
      <c r="A777" s="1">
        <v>45579</v>
      </c>
      <c r="B777" t="s">
        <v>1176</v>
      </c>
      <c r="C777" t="s">
        <v>1177</v>
      </c>
      <c r="D777" s="2">
        <v>0</v>
      </c>
      <c r="E777" s="2">
        <v>68644.479999999996</v>
      </c>
      <c r="F777" s="2">
        <v>233801.97</v>
      </c>
      <c r="G777" s="2" t="str">
        <f t="shared" si="12"/>
        <v>14-10-2024 FT- 571744712-50200085415108 - HDFC SECURITIES LTD-CLIENT DSCNB A/C -</v>
      </c>
      <c r="H777" s="2" t="s">
        <v>1911</v>
      </c>
      <c r="I777" t="s">
        <v>1876</v>
      </c>
      <c r="J777" t="s">
        <v>1896</v>
      </c>
    </row>
    <row r="778" spans="1:10" x14ac:dyDescent="0.3">
      <c r="A778" s="1">
        <v>45579</v>
      </c>
      <c r="B778" t="s">
        <v>490</v>
      </c>
      <c r="C778" t="s">
        <v>7</v>
      </c>
      <c r="D778" s="2">
        <v>30</v>
      </c>
      <c r="E778" s="2">
        <v>0</v>
      </c>
      <c r="F778" s="2">
        <v>68417.16</v>
      </c>
      <c r="G778" s="2" t="str">
        <f t="shared" si="12"/>
        <v>14-10-2024 UPI/P2M/705614390890/Guru Dashmesh Dudh Da/Milk/Yes Bank Ltd</v>
      </c>
      <c r="H778" s="2" t="s">
        <v>1911</v>
      </c>
      <c r="I778" t="s">
        <v>356</v>
      </c>
      <c r="J778" t="s">
        <v>1895</v>
      </c>
    </row>
    <row r="779" spans="1:10" x14ac:dyDescent="0.3">
      <c r="A779" s="1">
        <v>45580</v>
      </c>
      <c r="B779" t="s">
        <v>1185</v>
      </c>
      <c r="C779" t="s">
        <v>140</v>
      </c>
      <c r="D779" s="2">
        <v>979.4</v>
      </c>
      <c r="E779" s="2">
        <v>0</v>
      </c>
      <c r="F779" s="2">
        <v>364951.73</v>
      </c>
      <c r="G779" s="2" t="str">
        <f t="shared" si="12"/>
        <v>15-10-2024 DEPOSITORY CHARGES SEP24 - 40227714</v>
      </c>
      <c r="H779" s="2" t="s">
        <v>1911</v>
      </c>
      <c r="I779" t="s">
        <v>362</v>
      </c>
      <c r="J779" t="s">
        <v>1896</v>
      </c>
    </row>
    <row r="780" spans="1:10" x14ac:dyDescent="0.3">
      <c r="A780" s="1">
        <v>45580</v>
      </c>
      <c r="B780" t="s">
        <v>1187</v>
      </c>
      <c r="C780" t="s">
        <v>1188</v>
      </c>
      <c r="D780" s="2">
        <v>0</v>
      </c>
      <c r="E780" s="2">
        <v>325</v>
      </c>
      <c r="F780" s="2">
        <v>364953.3</v>
      </c>
      <c r="G780" s="2" t="str">
        <f t="shared" si="12"/>
        <v>15-10-2024 ACH C- SJVN LTD-1156131</v>
      </c>
      <c r="H780" s="2" t="s">
        <v>1911</v>
      </c>
      <c r="I780" t="s">
        <v>367</v>
      </c>
      <c r="J780" t="s">
        <v>1896</v>
      </c>
    </row>
    <row r="781" spans="1:10" x14ac:dyDescent="0.3">
      <c r="A781" s="1">
        <v>45580</v>
      </c>
      <c r="B781" t="s">
        <v>1189</v>
      </c>
      <c r="C781" t="s">
        <v>1190</v>
      </c>
      <c r="D781" s="2">
        <v>0</v>
      </c>
      <c r="E781" s="2">
        <v>6</v>
      </c>
      <c r="F781" s="2">
        <v>364959.3</v>
      </c>
      <c r="G781" s="2" t="str">
        <f t="shared" si="12"/>
        <v>15-10-2024 ACH C- KNR CONST FINDIV 24-84288</v>
      </c>
      <c r="H781" s="2" t="s">
        <v>1911</v>
      </c>
      <c r="I781" t="s">
        <v>367</v>
      </c>
      <c r="J781" t="s">
        <v>1896</v>
      </c>
    </row>
    <row r="782" spans="1:10" x14ac:dyDescent="0.3">
      <c r="A782" s="1">
        <v>45580</v>
      </c>
      <c r="B782" t="s">
        <v>1180</v>
      </c>
      <c r="C782" t="s">
        <v>1181</v>
      </c>
      <c r="D782" s="2">
        <v>0</v>
      </c>
      <c r="E782" s="2">
        <v>44330.25</v>
      </c>
      <c r="F782" s="2">
        <v>278507.21999999997</v>
      </c>
      <c r="G782" s="2" t="str">
        <f t="shared" si="12"/>
        <v>15-10-2024 FT- 572127245-50200085415108 - HDFC SECURITIES LTD-CLIENT DSCNB A/C -</v>
      </c>
      <c r="H782" s="2" t="s">
        <v>1911</v>
      </c>
      <c r="I782" t="s">
        <v>1876</v>
      </c>
      <c r="J782" t="s">
        <v>1896</v>
      </c>
    </row>
    <row r="783" spans="1:10" x14ac:dyDescent="0.3">
      <c r="A783" s="1">
        <v>45580</v>
      </c>
      <c r="B783" t="s">
        <v>1182</v>
      </c>
      <c r="C783" t="s">
        <v>1183</v>
      </c>
      <c r="D783" s="2">
        <v>0</v>
      </c>
      <c r="E783" s="2">
        <v>97423.91</v>
      </c>
      <c r="F783" s="2">
        <v>375931.13</v>
      </c>
      <c r="G783" s="2" t="str">
        <f t="shared" si="12"/>
        <v>15-10-2024 FT- 572149666-50200085415108 - HDFC SECURITIES LTD-CLIENT DSCNB A/C -</v>
      </c>
      <c r="H783" s="2" t="s">
        <v>1911</v>
      </c>
      <c r="I783" t="s">
        <v>1876</v>
      </c>
      <c r="J783" t="s">
        <v>1896</v>
      </c>
    </row>
    <row r="784" spans="1:10" x14ac:dyDescent="0.3">
      <c r="A784" s="1">
        <v>45580</v>
      </c>
      <c r="B784" t="s">
        <v>125</v>
      </c>
      <c r="C784" t="s">
        <v>1186</v>
      </c>
      <c r="D784" s="2">
        <v>323.43</v>
      </c>
      <c r="E784" s="2">
        <v>0</v>
      </c>
      <c r="F784" s="2">
        <v>364628.3</v>
      </c>
      <c r="G784" s="2" t="str">
        <f t="shared" si="12"/>
        <v>15-10-2024 NET PI TO HSL SEC A/C 347707-00602340029392</v>
      </c>
      <c r="H784" s="2" t="s">
        <v>1911</v>
      </c>
      <c r="I784" t="s">
        <v>361</v>
      </c>
      <c r="J784" t="s">
        <v>1896</v>
      </c>
    </row>
    <row r="785" spans="1:10" x14ac:dyDescent="0.3">
      <c r="A785" s="1">
        <v>45580</v>
      </c>
      <c r="B785" t="s">
        <v>125</v>
      </c>
      <c r="C785" t="s">
        <v>1191</v>
      </c>
      <c r="D785" s="2">
        <v>7107.15</v>
      </c>
      <c r="E785" s="2">
        <v>0</v>
      </c>
      <c r="F785" s="2">
        <v>357852.15</v>
      </c>
      <c r="G785" s="2" t="str">
        <f t="shared" si="12"/>
        <v>15-10-2024 NET PI TO HSL SEC A/C 347707-00602340029392</v>
      </c>
      <c r="H785" s="2" t="s">
        <v>1911</v>
      </c>
      <c r="I785" t="s">
        <v>361</v>
      </c>
      <c r="J785" t="s">
        <v>1896</v>
      </c>
    </row>
    <row r="786" spans="1:10" x14ac:dyDescent="0.3">
      <c r="A786" s="1">
        <v>45580</v>
      </c>
      <c r="B786" t="s">
        <v>146</v>
      </c>
      <c r="C786" t="s">
        <v>1184</v>
      </c>
      <c r="D786" s="2">
        <v>10000</v>
      </c>
      <c r="E786" s="2">
        <v>0</v>
      </c>
      <c r="F786" s="2">
        <v>365931.13</v>
      </c>
      <c r="G786" s="2" t="str">
        <f t="shared" si="12"/>
        <v>15-10-2024 ACH D- INDIAN CLEARING CORP-P25847605X05</v>
      </c>
      <c r="H786" s="2" t="s">
        <v>1911</v>
      </c>
      <c r="I786" t="s">
        <v>1854</v>
      </c>
      <c r="J786" t="s">
        <v>1896</v>
      </c>
    </row>
    <row r="787" spans="1:10" x14ac:dyDescent="0.3">
      <c r="A787" s="1">
        <v>45580</v>
      </c>
      <c r="B787" t="s">
        <v>491</v>
      </c>
      <c r="C787" t="s">
        <v>7</v>
      </c>
      <c r="D787" s="2">
        <v>1998.64</v>
      </c>
      <c r="E787" s="2">
        <v>0</v>
      </c>
      <c r="F787" s="2">
        <v>66418.52</v>
      </c>
      <c r="G787" s="2" t="str">
        <f t="shared" si="12"/>
        <v>15-10-2024 UPI/P2M/836248291661/TATA 1MG HEALTHCARE S/UPI In/Yes Bank Ltd</v>
      </c>
      <c r="H787" s="2" t="s">
        <v>1911</v>
      </c>
      <c r="I787" t="s">
        <v>356</v>
      </c>
      <c r="J787" t="s">
        <v>1895</v>
      </c>
    </row>
    <row r="788" spans="1:10" x14ac:dyDescent="0.3">
      <c r="A788" s="1">
        <v>45581</v>
      </c>
      <c r="B788" t="s">
        <v>1192</v>
      </c>
      <c r="C788" t="s">
        <v>1193</v>
      </c>
      <c r="D788" s="2">
        <v>0</v>
      </c>
      <c r="E788" s="2">
        <v>33057.08</v>
      </c>
      <c r="F788" s="2">
        <v>390909.23</v>
      </c>
      <c r="G788" s="2" t="str">
        <f t="shared" si="12"/>
        <v>16-10-2024 FT- 572596207-50200085415108 - HDFC SECURITIES LTD-CLIENT DSCNB A/C -</v>
      </c>
      <c r="H788" s="2" t="s">
        <v>1911</v>
      </c>
      <c r="I788" t="s">
        <v>1876</v>
      </c>
      <c r="J788" t="s">
        <v>1896</v>
      </c>
    </row>
    <row r="789" spans="1:10" x14ac:dyDescent="0.3">
      <c r="A789" s="1">
        <v>45581</v>
      </c>
      <c r="B789" t="s">
        <v>125</v>
      </c>
      <c r="C789" t="s">
        <v>1194</v>
      </c>
      <c r="D789" s="2">
        <v>284.3</v>
      </c>
      <c r="E789" s="2">
        <v>0</v>
      </c>
      <c r="F789" s="2">
        <v>390624.93</v>
      </c>
      <c r="G789" s="2" t="str">
        <f t="shared" si="12"/>
        <v>16-10-2024 NET PI TO HSL SEC A/C 347707-00602340029392</v>
      </c>
      <c r="H789" s="2" t="s">
        <v>1911</v>
      </c>
      <c r="I789" t="s">
        <v>361</v>
      </c>
      <c r="J789" t="s">
        <v>1896</v>
      </c>
    </row>
    <row r="790" spans="1:10" x14ac:dyDescent="0.3">
      <c r="A790" s="1">
        <v>45581</v>
      </c>
      <c r="B790" t="s">
        <v>125</v>
      </c>
      <c r="C790" t="s">
        <v>1195</v>
      </c>
      <c r="D790" s="2">
        <v>2510.0300000000002</v>
      </c>
      <c r="E790" s="2">
        <v>0</v>
      </c>
      <c r="F790" s="2">
        <v>388114.9</v>
      </c>
      <c r="G790" s="2" t="str">
        <f t="shared" si="12"/>
        <v>16-10-2024 NET PI TO HSL SEC A/C 347707-00602340029392</v>
      </c>
      <c r="H790" s="2" t="s">
        <v>1911</v>
      </c>
      <c r="I790" t="s">
        <v>361</v>
      </c>
      <c r="J790" t="s">
        <v>1896</v>
      </c>
    </row>
    <row r="791" spans="1:10" x14ac:dyDescent="0.3">
      <c r="A791" s="1">
        <v>45581</v>
      </c>
      <c r="B791" t="s">
        <v>492</v>
      </c>
      <c r="C791" t="s">
        <v>7</v>
      </c>
      <c r="D791" s="2">
        <v>0</v>
      </c>
      <c r="E791" s="2">
        <v>70.12</v>
      </c>
      <c r="F791" s="2">
        <v>66488.639999999999</v>
      </c>
      <c r="G791" s="2" t="str">
        <f t="shared" si="12"/>
        <v>16-10-2024 UPI/P2A/429018146361/TATA 1MG /Yes Bank /express/</v>
      </c>
      <c r="H791" s="2" t="s">
        <v>1911</v>
      </c>
      <c r="I791" t="s">
        <v>356</v>
      </c>
      <c r="J791" t="s">
        <v>1895</v>
      </c>
    </row>
    <row r="792" spans="1:10" x14ac:dyDescent="0.3">
      <c r="A792" s="1">
        <v>45581</v>
      </c>
      <c r="B792" t="s">
        <v>493</v>
      </c>
      <c r="C792" t="s">
        <v>7</v>
      </c>
      <c r="D792" s="2">
        <v>20</v>
      </c>
      <c r="E792" s="2">
        <v>0</v>
      </c>
      <c r="F792" s="2">
        <v>66468.639999999999</v>
      </c>
      <c r="G792" s="2" t="str">
        <f t="shared" si="12"/>
        <v>16-10-2024 UPI/P2M/760146789351/SHRI HARISH CASH COU /Cloth/Yes Bank Ltd</v>
      </c>
      <c r="H792" s="2" t="s">
        <v>1911</v>
      </c>
      <c r="I792" t="s">
        <v>356</v>
      </c>
      <c r="J792" t="s">
        <v>1895</v>
      </c>
    </row>
    <row r="793" spans="1:10" x14ac:dyDescent="0.3">
      <c r="A793" s="1">
        <v>45582</v>
      </c>
      <c r="B793" t="s">
        <v>1196</v>
      </c>
      <c r="C793" t="s">
        <v>1197</v>
      </c>
      <c r="D793" s="2">
        <v>0</v>
      </c>
      <c r="E793" s="2">
        <v>87315.85</v>
      </c>
      <c r="F793" s="2">
        <v>475430.75</v>
      </c>
      <c r="G793" s="2" t="str">
        <f t="shared" si="12"/>
        <v>17-10-2024 FT- 573006578-50200085415108 - HDFC SECURITIES LTD-CLIENT DSCNB A/C -</v>
      </c>
      <c r="H793" s="2" t="s">
        <v>1911</v>
      </c>
      <c r="I793" t="s">
        <v>1876</v>
      </c>
      <c r="J793" t="s">
        <v>1896</v>
      </c>
    </row>
    <row r="794" spans="1:10" x14ac:dyDescent="0.3">
      <c r="A794" s="1">
        <v>45582</v>
      </c>
      <c r="B794" t="s">
        <v>125</v>
      </c>
      <c r="C794" t="s">
        <v>1198</v>
      </c>
      <c r="D794" s="2">
        <v>283.39999999999998</v>
      </c>
      <c r="E794" s="2">
        <v>0</v>
      </c>
      <c r="F794" s="2">
        <v>475147.35</v>
      </c>
      <c r="G794" s="2" t="str">
        <f t="shared" si="12"/>
        <v>17-10-2024 NET PI TO HSL SEC A/C 347707-00602340029392</v>
      </c>
      <c r="H794" s="2" t="s">
        <v>1911</v>
      </c>
      <c r="I794" t="s">
        <v>361</v>
      </c>
      <c r="J794" t="s">
        <v>1896</v>
      </c>
    </row>
    <row r="795" spans="1:10" x14ac:dyDescent="0.3">
      <c r="A795" s="1">
        <v>45582</v>
      </c>
      <c r="B795" t="s">
        <v>125</v>
      </c>
      <c r="C795" t="s">
        <v>1199</v>
      </c>
      <c r="D795" s="2">
        <v>5319.59</v>
      </c>
      <c r="E795" s="2">
        <v>0</v>
      </c>
      <c r="F795" s="2">
        <v>469827.76</v>
      </c>
      <c r="G795" s="2" t="str">
        <f t="shared" si="12"/>
        <v>17-10-2024 NET PI TO HSL SEC A/C 347707-00602340029392</v>
      </c>
      <c r="H795" s="2" t="s">
        <v>1911</v>
      </c>
      <c r="I795" t="s">
        <v>361</v>
      </c>
      <c r="J795" t="s">
        <v>1896</v>
      </c>
    </row>
    <row r="796" spans="1:10" x14ac:dyDescent="0.3">
      <c r="A796" s="1">
        <v>45582</v>
      </c>
      <c r="B796" t="s">
        <v>494</v>
      </c>
      <c r="C796" t="s">
        <v>7</v>
      </c>
      <c r="D796" s="2">
        <v>700</v>
      </c>
      <c r="E796" s="2">
        <v>0</v>
      </c>
      <c r="F796" s="2">
        <v>65768.639999999999</v>
      </c>
      <c r="G796" s="2" t="str">
        <f t="shared" si="12"/>
        <v>17-10-2024 UPI/P2A/750004587056/ABDUL RAHIM GAURI    /Bedshe/State Bank Of India</v>
      </c>
      <c r="H796" s="2" t="s">
        <v>1911</v>
      </c>
      <c r="I796" t="s">
        <v>356</v>
      </c>
      <c r="J796" t="s">
        <v>1895</v>
      </c>
    </row>
    <row r="797" spans="1:10" x14ac:dyDescent="0.3">
      <c r="A797" s="1">
        <v>45582</v>
      </c>
      <c r="B797" t="s">
        <v>495</v>
      </c>
      <c r="C797" t="s">
        <v>7</v>
      </c>
      <c r="D797" s="2">
        <v>1300</v>
      </c>
      <c r="E797" s="2">
        <v>0</v>
      </c>
      <c r="F797" s="2">
        <v>64468.639999999999</v>
      </c>
      <c r="G797" s="2" t="str">
        <f t="shared" si="12"/>
        <v>17-10-2024 UPI/P2A/892269882263/ABDUL RAHIM GAURI    /Bedshe/State Bank Of India</v>
      </c>
      <c r="H797" s="2" t="s">
        <v>1911</v>
      </c>
      <c r="I797" t="s">
        <v>356</v>
      </c>
      <c r="J797" t="s">
        <v>1895</v>
      </c>
    </row>
    <row r="798" spans="1:10" x14ac:dyDescent="0.3">
      <c r="A798" s="1">
        <v>45582</v>
      </c>
      <c r="B798" t="s">
        <v>496</v>
      </c>
      <c r="C798" t="s">
        <v>7</v>
      </c>
      <c r="D798" s="2">
        <v>60</v>
      </c>
      <c r="E798" s="2">
        <v>0</v>
      </c>
      <c r="F798" s="2">
        <v>64408.639999999999</v>
      </c>
      <c r="G798" s="2" t="str">
        <f t="shared" si="12"/>
        <v>17-10-2024 UPI/P2M/219866848371/RAMPAL SINGH         /Achar/Yes Bank Ltd</v>
      </c>
      <c r="H798" s="2" t="s">
        <v>1911</v>
      </c>
      <c r="I798" t="s">
        <v>356</v>
      </c>
      <c r="J798" t="s">
        <v>1895</v>
      </c>
    </row>
    <row r="799" spans="1:10" x14ac:dyDescent="0.3">
      <c r="A799" s="1">
        <v>45583</v>
      </c>
      <c r="B799" t="s">
        <v>125</v>
      </c>
      <c r="C799" t="s">
        <v>1200</v>
      </c>
      <c r="D799" s="2">
        <v>281.51</v>
      </c>
      <c r="E799" s="2">
        <v>0</v>
      </c>
      <c r="F799" s="2">
        <v>469546.25</v>
      </c>
      <c r="G799" s="2" t="str">
        <f t="shared" si="12"/>
        <v>18-10-2024 NET PI TO HSL SEC A/C 347707-00602340029392</v>
      </c>
      <c r="H799" s="2" t="s">
        <v>1911</v>
      </c>
      <c r="I799" t="s">
        <v>361</v>
      </c>
      <c r="J799" t="s">
        <v>1896</v>
      </c>
    </row>
    <row r="800" spans="1:10" x14ac:dyDescent="0.3">
      <c r="A800" s="1">
        <v>45583</v>
      </c>
      <c r="B800" t="s">
        <v>125</v>
      </c>
      <c r="C800" t="s">
        <v>1201</v>
      </c>
      <c r="D800" s="2">
        <v>585.75</v>
      </c>
      <c r="E800" s="2">
        <v>0</v>
      </c>
      <c r="F800" s="2">
        <v>468960.5</v>
      </c>
      <c r="G800" s="2" t="str">
        <f t="shared" si="12"/>
        <v>18-10-2024 NET PI TO HSL SEC A/C 347707-00602340029392</v>
      </c>
      <c r="H800" s="2" t="s">
        <v>1911</v>
      </c>
      <c r="I800" t="s">
        <v>361</v>
      </c>
      <c r="J800" t="s">
        <v>1896</v>
      </c>
    </row>
    <row r="801" spans="1:10" x14ac:dyDescent="0.3">
      <c r="A801" s="1">
        <v>45583</v>
      </c>
      <c r="B801" t="s">
        <v>497</v>
      </c>
      <c r="C801" t="s">
        <v>7</v>
      </c>
      <c r="D801" s="2">
        <v>280</v>
      </c>
      <c r="E801" s="2">
        <v>0</v>
      </c>
      <c r="F801" s="2">
        <v>64128.639999999999</v>
      </c>
      <c r="G801" s="2" t="str">
        <f t="shared" si="12"/>
        <v>18-10-2024 UPI/P2M/953794500612/Dinesh Kumar Gupta   /Lock/Yes Bank Ltd</v>
      </c>
      <c r="H801" s="2" t="s">
        <v>1911</v>
      </c>
      <c r="I801" t="s">
        <v>356</v>
      </c>
      <c r="J801" t="s">
        <v>1895</v>
      </c>
    </row>
    <row r="802" spans="1:10" x14ac:dyDescent="0.3">
      <c r="A802" s="1">
        <v>45584</v>
      </c>
      <c r="B802" t="s">
        <v>498</v>
      </c>
      <c r="C802" t="s">
        <v>7</v>
      </c>
      <c r="D802" s="2">
        <v>1007</v>
      </c>
      <c r="E802" s="2">
        <v>0</v>
      </c>
      <c r="F802" s="2">
        <v>63121.64</v>
      </c>
      <c r="G802" s="2" t="str">
        <f t="shared" si="12"/>
        <v>19-10-2024 UPI/P2M/706810020502/MATRIX M MART        /Kirana/Yes Bank Ltd</v>
      </c>
      <c r="H802" s="2" t="s">
        <v>1911</v>
      </c>
      <c r="I802" t="s">
        <v>356</v>
      </c>
      <c r="J802" t="s">
        <v>1895</v>
      </c>
    </row>
    <row r="803" spans="1:10" x14ac:dyDescent="0.3">
      <c r="A803" s="1">
        <v>45585</v>
      </c>
      <c r="B803" t="s">
        <v>499</v>
      </c>
      <c r="C803" t="s">
        <v>7</v>
      </c>
      <c r="D803" s="2">
        <v>20</v>
      </c>
      <c r="E803" s="2">
        <v>0</v>
      </c>
      <c r="F803" s="2">
        <v>63101.64</v>
      </c>
      <c r="G803" s="2" t="str">
        <f t="shared" si="12"/>
        <v>20-10-2024 UPI/P2M/687300008689/VAIBHAV  SHARMA      /Print/Yes Bank Ltd</v>
      </c>
      <c r="H803" s="2" t="s">
        <v>1911</v>
      </c>
      <c r="I803" t="s">
        <v>356</v>
      </c>
      <c r="J803" t="s">
        <v>1895</v>
      </c>
    </row>
    <row r="804" spans="1:10" x14ac:dyDescent="0.3">
      <c r="A804" s="1">
        <v>45586</v>
      </c>
      <c r="B804" t="s">
        <v>125</v>
      </c>
      <c r="C804" t="s">
        <v>1203</v>
      </c>
      <c r="D804" s="2">
        <v>843.9</v>
      </c>
      <c r="E804" s="2">
        <v>0</v>
      </c>
      <c r="F804" s="2">
        <v>458116.6</v>
      </c>
      <c r="G804" s="2" t="str">
        <f t="shared" si="12"/>
        <v>21-10-2024 NET PI TO HSL SEC A/C 347707-00602340029392</v>
      </c>
      <c r="H804" s="2" t="s">
        <v>1911</v>
      </c>
      <c r="I804" t="s">
        <v>361</v>
      </c>
      <c r="J804" t="s">
        <v>1896</v>
      </c>
    </row>
    <row r="805" spans="1:10" x14ac:dyDescent="0.3">
      <c r="A805" s="1">
        <v>45586</v>
      </c>
      <c r="B805" t="s">
        <v>125</v>
      </c>
      <c r="C805" t="s">
        <v>1204</v>
      </c>
      <c r="D805" s="2">
        <v>9525.09</v>
      </c>
      <c r="E805" s="2">
        <v>0</v>
      </c>
      <c r="F805" s="2">
        <v>448591.51</v>
      </c>
      <c r="G805" s="2" t="str">
        <f t="shared" si="12"/>
        <v>21-10-2024 NET PI TO HSL SEC A/C 347707-00602340029392</v>
      </c>
      <c r="H805" s="2" t="s">
        <v>1911</v>
      </c>
      <c r="I805" t="s">
        <v>361</v>
      </c>
      <c r="J805" t="s">
        <v>1896</v>
      </c>
    </row>
    <row r="806" spans="1:10" x14ac:dyDescent="0.3">
      <c r="A806" s="1">
        <v>45586</v>
      </c>
      <c r="B806" t="s">
        <v>146</v>
      </c>
      <c r="C806" t="s">
        <v>1202</v>
      </c>
      <c r="D806" s="2">
        <v>10000</v>
      </c>
      <c r="E806" s="2">
        <v>0</v>
      </c>
      <c r="F806" s="2">
        <v>458960.5</v>
      </c>
      <c r="G806" s="2" t="str">
        <f t="shared" si="12"/>
        <v>21-10-2024 ACH D- INDIAN CLEARING CORP-P25847605X05</v>
      </c>
      <c r="H806" s="2" t="s">
        <v>1911</v>
      </c>
      <c r="I806" t="s">
        <v>1854</v>
      </c>
      <c r="J806" t="s">
        <v>1896</v>
      </c>
    </row>
    <row r="807" spans="1:10" x14ac:dyDescent="0.3">
      <c r="A807" s="1">
        <v>45586</v>
      </c>
      <c r="B807" t="s">
        <v>500</v>
      </c>
      <c r="C807" t="s">
        <v>7</v>
      </c>
      <c r="D807" s="2">
        <v>200</v>
      </c>
      <c r="E807" s="2">
        <v>0</v>
      </c>
      <c r="F807" s="2">
        <v>62901.64</v>
      </c>
      <c r="G807" s="2" t="str">
        <f t="shared" si="12"/>
        <v>21-10-2024 UPI/P2M/900992335135/Krishna electricals  /Lamp/Axis Bank Ltd.</v>
      </c>
      <c r="H807" s="2" t="s">
        <v>1911</v>
      </c>
      <c r="I807" t="s">
        <v>356</v>
      </c>
      <c r="J807" t="s">
        <v>1895</v>
      </c>
    </row>
    <row r="808" spans="1:10" x14ac:dyDescent="0.3">
      <c r="A808" s="1">
        <v>45586</v>
      </c>
      <c r="B808" t="s">
        <v>501</v>
      </c>
      <c r="C808" t="s">
        <v>7</v>
      </c>
      <c r="D808" s="2">
        <v>10000</v>
      </c>
      <c r="E808" s="2">
        <v>0</v>
      </c>
      <c r="F808" s="2">
        <v>52901.64</v>
      </c>
      <c r="G808" s="2" t="str">
        <f t="shared" si="12"/>
        <v>21-10-2024 UPI/P2M/137955533049/Shri Ram Traders Kota/Cloth/Axis Bank Ltd.</v>
      </c>
      <c r="H808" s="2" t="s">
        <v>1911</v>
      </c>
      <c r="I808" t="s">
        <v>1925</v>
      </c>
      <c r="J808" t="s">
        <v>1895</v>
      </c>
    </row>
    <row r="809" spans="1:10" x14ac:dyDescent="0.3">
      <c r="A809" s="1">
        <v>45587</v>
      </c>
      <c r="B809" t="s">
        <v>125</v>
      </c>
      <c r="C809" t="s">
        <v>1205</v>
      </c>
      <c r="D809" s="2">
        <v>277.91000000000003</v>
      </c>
      <c r="E809" s="2">
        <v>0</v>
      </c>
      <c r="F809" s="2">
        <v>448313.59999999998</v>
      </c>
      <c r="G809" s="2" t="str">
        <f t="shared" si="12"/>
        <v>22-10-2024 NET PI TO HSL SEC A/C 347707-00602340029392</v>
      </c>
      <c r="H809" s="2" t="s">
        <v>1911</v>
      </c>
      <c r="I809" t="s">
        <v>361</v>
      </c>
      <c r="J809" t="s">
        <v>1896</v>
      </c>
    </row>
    <row r="810" spans="1:10" x14ac:dyDescent="0.3">
      <c r="A810" s="1">
        <v>45587</v>
      </c>
      <c r="B810" t="s">
        <v>125</v>
      </c>
      <c r="C810" t="s">
        <v>1206</v>
      </c>
      <c r="D810" s="2">
        <v>30176.87</v>
      </c>
      <c r="E810" s="2">
        <v>0</v>
      </c>
      <c r="F810" s="2">
        <v>418136.73</v>
      </c>
      <c r="G810" s="2" t="str">
        <f t="shared" si="12"/>
        <v>22-10-2024 NET PI TO HSL SEC A/C 347707-00602340029392</v>
      </c>
      <c r="H810" s="2" t="s">
        <v>1911</v>
      </c>
      <c r="I810" t="s">
        <v>361</v>
      </c>
      <c r="J810" t="s">
        <v>1896</v>
      </c>
    </row>
    <row r="811" spans="1:10" x14ac:dyDescent="0.3">
      <c r="A811" s="1">
        <v>45588</v>
      </c>
      <c r="B811" t="s">
        <v>125</v>
      </c>
      <c r="C811" t="s">
        <v>1207</v>
      </c>
      <c r="D811" s="2">
        <v>273.54000000000002</v>
      </c>
      <c r="E811" s="2">
        <v>0</v>
      </c>
      <c r="F811" s="2">
        <v>417863.19</v>
      </c>
      <c r="G811" s="2" t="str">
        <f t="shared" si="12"/>
        <v>23-10-2024 NET PI TO HSL SEC A/C 347707-00602340029392</v>
      </c>
      <c r="H811" s="2" t="s">
        <v>1911</v>
      </c>
      <c r="I811" t="s">
        <v>361</v>
      </c>
      <c r="J811" t="s">
        <v>1896</v>
      </c>
    </row>
    <row r="812" spans="1:10" x14ac:dyDescent="0.3">
      <c r="A812" s="1">
        <v>45588</v>
      </c>
      <c r="B812" t="s">
        <v>502</v>
      </c>
      <c r="C812" t="s">
        <v>7</v>
      </c>
      <c r="D812" s="2">
        <v>170</v>
      </c>
      <c r="E812" s="2">
        <v>0</v>
      </c>
      <c r="F812" s="2">
        <v>52731.64</v>
      </c>
      <c r="G812" s="2" t="str">
        <f t="shared" si="12"/>
        <v>23-10-2024 UPI/P2M/642067144287/NAGAR EMPORIYAM      /Glass/Yes Bank Ltd</v>
      </c>
      <c r="H812" s="2" t="s">
        <v>1911</v>
      </c>
      <c r="I812" t="s">
        <v>356</v>
      </c>
      <c r="J812" t="s">
        <v>1895</v>
      </c>
    </row>
    <row r="813" spans="1:10" x14ac:dyDescent="0.3">
      <c r="A813" s="1">
        <v>45589</v>
      </c>
      <c r="B813" t="s">
        <v>1208</v>
      </c>
      <c r="C813" t="s">
        <v>1209</v>
      </c>
      <c r="D813" s="2">
        <v>0</v>
      </c>
      <c r="E813" s="2">
        <v>5723.01</v>
      </c>
      <c r="F813" s="2">
        <v>423586.2</v>
      </c>
      <c r="G813" s="2" t="str">
        <f t="shared" si="12"/>
        <v>24-10-2024 FT- 575326715-50200085415108 - HDFC SECURITIES LTD-CLIENT DSCNB A/C -</v>
      </c>
      <c r="H813" s="2" t="s">
        <v>1911</v>
      </c>
      <c r="I813" t="s">
        <v>1876</v>
      </c>
      <c r="J813" t="s">
        <v>1896</v>
      </c>
    </row>
    <row r="814" spans="1:10" x14ac:dyDescent="0.3">
      <c r="A814" s="1">
        <v>45589</v>
      </c>
      <c r="B814" t="s">
        <v>125</v>
      </c>
      <c r="C814" t="s">
        <v>1212</v>
      </c>
      <c r="D814" s="2">
        <v>281.08</v>
      </c>
      <c r="E814" s="2">
        <v>0</v>
      </c>
      <c r="F814" s="2">
        <v>549868.23</v>
      </c>
      <c r="G814" s="2" t="str">
        <f t="shared" si="12"/>
        <v>24-10-2024 NET PI TO HSL SEC A/C 347707-00602340029392</v>
      </c>
      <c r="H814" s="2" t="s">
        <v>1911</v>
      </c>
      <c r="I814" t="s">
        <v>361</v>
      </c>
      <c r="J814" t="s">
        <v>1896</v>
      </c>
    </row>
    <row r="815" spans="1:10" x14ac:dyDescent="0.3">
      <c r="A815" s="1">
        <v>45589</v>
      </c>
      <c r="B815" t="s">
        <v>125</v>
      </c>
      <c r="C815" t="s">
        <v>1213</v>
      </c>
      <c r="D815" s="2">
        <v>7547.43</v>
      </c>
      <c r="E815" s="2">
        <v>0</v>
      </c>
      <c r="F815" s="2">
        <v>542320.80000000005</v>
      </c>
      <c r="G815" s="2" t="str">
        <f t="shared" si="12"/>
        <v>24-10-2024 NET PI TO HSL SEC A/C 347707-00602340029392</v>
      </c>
      <c r="H815" s="2" t="s">
        <v>1911</v>
      </c>
      <c r="I815" t="s">
        <v>361</v>
      </c>
      <c r="J815" t="s">
        <v>1896</v>
      </c>
    </row>
    <row r="816" spans="1:10" x14ac:dyDescent="0.3">
      <c r="A816" s="1">
        <v>45589</v>
      </c>
      <c r="B816" t="s">
        <v>1210</v>
      </c>
      <c r="C816" t="s">
        <v>1211</v>
      </c>
      <c r="D816" s="2">
        <v>0</v>
      </c>
      <c r="E816" s="2">
        <v>126563.11</v>
      </c>
      <c r="F816" s="2">
        <v>550149.31000000006</v>
      </c>
      <c r="G816" s="2" t="str">
        <f t="shared" si="12"/>
        <v>24-10-2024 FT- KMMF REDEMPTIONS - KMMF RED   348503765</v>
      </c>
      <c r="H816" s="2" t="s">
        <v>1911</v>
      </c>
      <c r="I816" t="s">
        <v>1884</v>
      </c>
      <c r="J816" t="s">
        <v>1896</v>
      </c>
    </row>
    <row r="817" spans="1:11" x14ac:dyDescent="0.3">
      <c r="A817" s="1">
        <v>45590</v>
      </c>
      <c r="B817" t="s">
        <v>1215</v>
      </c>
      <c r="C817" t="s">
        <v>1216</v>
      </c>
      <c r="D817" s="2">
        <v>20000</v>
      </c>
      <c r="E817" s="2">
        <v>0</v>
      </c>
      <c r="F817" s="2">
        <v>522040.37</v>
      </c>
      <c r="G817" s="2" t="str">
        <f t="shared" si="12"/>
        <v>25-10-2024 ATW-512967XXXXXX1000-S1AWKT20-KOTA</v>
      </c>
      <c r="H817" s="2" t="s">
        <v>1911</v>
      </c>
      <c r="I817" t="s">
        <v>366</v>
      </c>
      <c r="J817" t="s">
        <v>1896</v>
      </c>
    </row>
    <row r="818" spans="1:11" x14ac:dyDescent="0.3">
      <c r="A818" s="1">
        <v>45590</v>
      </c>
      <c r="B818" t="s">
        <v>504</v>
      </c>
      <c r="C818" t="s">
        <v>7</v>
      </c>
      <c r="D818" s="2">
        <v>2420</v>
      </c>
      <c r="E818" s="2">
        <v>0</v>
      </c>
      <c r="F818" s="2">
        <v>50271.64</v>
      </c>
      <c r="G818" s="2" t="str">
        <f t="shared" si="12"/>
        <v>25-10-2024 NBSM/79752565/Maha Electricity(BILLDESK)/</v>
      </c>
      <c r="H818" s="2" t="s">
        <v>1911</v>
      </c>
      <c r="I818" t="s">
        <v>357</v>
      </c>
      <c r="J818" t="s">
        <v>1895</v>
      </c>
    </row>
    <row r="819" spans="1:11" x14ac:dyDescent="0.3">
      <c r="A819" s="1">
        <v>45590</v>
      </c>
      <c r="B819" t="s">
        <v>125</v>
      </c>
      <c r="C819" t="s">
        <v>1214</v>
      </c>
      <c r="D819" s="2">
        <v>280.43</v>
      </c>
      <c r="E819" s="2">
        <v>0</v>
      </c>
      <c r="F819" s="2">
        <v>542040.37</v>
      </c>
      <c r="G819" s="2" t="str">
        <f t="shared" si="12"/>
        <v>25-10-2024 NET PI TO HSL SEC A/C 347707-00602340029392</v>
      </c>
      <c r="H819" s="2" t="s">
        <v>1911</v>
      </c>
      <c r="I819" t="s">
        <v>361</v>
      </c>
      <c r="J819" t="s">
        <v>1896</v>
      </c>
    </row>
    <row r="820" spans="1:11" x14ac:dyDescent="0.3">
      <c r="A820" s="1">
        <v>45590</v>
      </c>
      <c r="B820" t="s">
        <v>1217</v>
      </c>
      <c r="C820" t="s">
        <v>1218</v>
      </c>
      <c r="D820" s="2">
        <v>0</v>
      </c>
      <c r="E820" s="2">
        <v>1</v>
      </c>
      <c r="F820" s="2">
        <v>522041.37</v>
      </c>
      <c r="G820" s="2" t="str">
        <f t="shared" si="12"/>
        <v>25-10-2024 IMPS-429916082357-CAMS-HSBC-XXXXXXXX5001-8697002157670</v>
      </c>
      <c r="H820" s="2" t="s">
        <v>1911</v>
      </c>
      <c r="I820" t="s">
        <v>1864</v>
      </c>
      <c r="J820" t="s">
        <v>1896</v>
      </c>
    </row>
    <row r="821" spans="1:11" x14ac:dyDescent="0.3">
      <c r="A821" s="1">
        <v>45590</v>
      </c>
      <c r="B821" t="s">
        <v>503</v>
      </c>
      <c r="C821" t="s">
        <v>7</v>
      </c>
      <c r="D821" s="2">
        <v>40</v>
      </c>
      <c r="E821" s="2">
        <v>0</v>
      </c>
      <c r="F821" s="2">
        <v>52691.64</v>
      </c>
      <c r="G821" s="2" t="str">
        <f t="shared" si="12"/>
        <v>25-10-2024 UPI/P2M/536955972688/Deepak Rathor        /Gas/Yes Bank Ltd</v>
      </c>
      <c r="H821" s="2" t="s">
        <v>1911</v>
      </c>
      <c r="I821" t="s">
        <v>356</v>
      </c>
      <c r="J821" t="s">
        <v>1895</v>
      </c>
    </row>
    <row r="822" spans="1:11" x14ac:dyDescent="0.3">
      <c r="A822" s="1">
        <v>45591</v>
      </c>
      <c r="B822" t="s">
        <v>125</v>
      </c>
      <c r="C822" t="s">
        <v>1219</v>
      </c>
      <c r="D822" s="2">
        <v>9252.59</v>
      </c>
      <c r="E822" s="2">
        <v>0</v>
      </c>
      <c r="F822" s="2">
        <v>512788.78</v>
      </c>
      <c r="G822" s="2" t="str">
        <f t="shared" si="12"/>
        <v>26-10-2024 NET PI TO HSL SEC A/C 347707-00602340029392</v>
      </c>
      <c r="H822" s="2" t="s">
        <v>1911</v>
      </c>
      <c r="I822" t="s">
        <v>361</v>
      </c>
      <c r="J822" t="s">
        <v>1896</v>
      </c>
    </row>
    <row r="823" spans="1:11" x14ac:dyDescent="0.3">
      <c r="A823" s="1">
        <v>45591</v>
      </c>
      <c r="B823" t="s">
        <v>505</v>
      </c>
      <c r="C823" t="s">
        <v>7</v>
      </c>
      <c r="D823" s="2">
        <v>120</v>
      </c>
      <c r="E823" s="2">
        <v>0</v>
      </c>
      <c r="F823" s="2">
        <v>50151.64</v>
      </c>
      <c r="G823" s="2" t="str">
        <f t="shared" ref="G823:G886" si="13">TEXT(A823,"DD")&amp;"-"&amp;TEXT(A823,"MM")&amp;"-"&amp;TEXT(A823,"YYYY")&amp;" "&amp;B823</f>
        <v>26-10-2024 UPI/P2M/897244482001/JAI AMBE NAMKEENS    /Namkin/Yes Bank Ltd</v>
      </c>
      <c r="H823" s="2" t="s">
        <v>1911</v>
      </c>
      <c r="I823" t="s">
        <v>356</v>
      </c>
      <c r="J823" t="s">
        <v>1895</v>
      </c>
    </row>
    <row r="824" spans="1:11" x14ac:dyDescent="0.3">
      <c r="A824" s="1">
        <v>45591</v>
      </c>
      <c r="B824" t="s">
        <v>506</v>
      </c>
      <c r="C824" t="s">
        <v>7</v>
      </c>
      <c r="D824" s="2">
        <v>100</v>
      </c>
      <c r="E824" s="2">
        <v>0</v>
      </c>
      <c r="F824" s="2">
        <v>50051.64</v>
      </c>
      <c r="G824" s="2" t="str">
        <f t="shared" si="13"/>
        <v>26-10-2024 UPI/P2M/632369149202/KAMAL SWEETS         /Sweet/HDFC BANK LTD</v>
      </c>
      <c r="H824" s="2" t="s">
        <v>1911</v>
      </c>
      <c r="I824" t="s">
        <v>356</v>
      </c>
      <c r="J824" t="s">
        <v>1895</v>
      </c>
    </row>
    <row r="825" spans="1:11" x14ac:dyDescent="0.3">
      <c r="A825" s="1">
        <v>45592</v>
      </c>
      <c r="B825" t="s">
        <v>1222</v>
      </c>
      <c r="C825" t="s">
        <v>1223</v>
      </c>
      <c r="D825" s="2">
        <v>0</v>
      </c>
      <c r="E825" s="2">
        <v>100000</v>
      </c>
      <c r="F825" s="2">
        <v>101538.78</v>
      </c>
      <c r="G825" s="2" t="str">
        <f t="shared" si="13"/>
        <v>27-10-2024 NEFT CR-SBIN0011669-MR AJAY KUMAR GUPTA-U2FSDGVKX18QSJTFLR0P3VRLQAGJM2GMOJL-SBIN224301107261</v>
      </c>
      <c r="H825" s="2" t="s">
        <v>1911</v>
      </c>
      <c r="I825" t="s">
        <v>1906</v>
      </c>
      <c r="J825" t="s">
        <v>1896</v>
      </c>
      <c r="K825" t="s">
        <v>1913</v>
      </c>
    </row>
    <row r="826" spans="1:11" x14ac:dyDescent="0.3">
      <c r="A826" s="1">
        <v>45592</v>
      </c>
      <c r="B826" t="s">
        <v>772</v>
      </c>
      <c r="C826" t="s">
        <v>773</v>
      </c>
      <c r="D826" s="2">
        <v>100000</v>
      </c>
      <c r="E826" s="2">
        <v>0</v>
      </c>
      <c r="F826" s="2">
        <v>-102719.37</v>
      </c>
      <c r="G826" s="2" t="str">
        <f t="shared" si="13"/>
        <v>27-10-2024    TO TRANSFER-INB NEFT UTR NO: SBIN224301107261--U2FsdGVkX18QsJtfLr0P3VRLQAgJM2gMOJL</v>
      </c>
      <c r="H826" s="2" t="s">
        <v>1911</v>
      </c>
      <c r="I826" t="s">
        <v>1908</v>
      </c>
      <c r="J826" t="s">
        <v>1897</v>
      </c>
      <c r="K826" t="s">
        <v>1913</v>
      </c>
    </row>
    <row r="827" spans="1:11" x14ac:dyDescent="0.3">
      <c r="A827" s="1">
        <v>45592</v>
      </c>
      <c r="B827" t="s">
        <v>1220</v>
      </c>
      <c r="C827" t="s">
        <v>1221</v>
      </c>
      <c r="D827" s="2">
        <v>511250</v>
      </c>
      <c r="E827" s="2">
        <v>0</v>
      </c>
      <c r="F827" s="2">
        <v>1538.78</v>
      </c>
      <c r="G827" s="2" t="str">
        <f t="shared" si="13"/>
        <v>27-10-2024 41027702955087451153/PAYTMHDFCSTANDARDLIF</v>
      </c>
      <c r="H827" s="2" t="s">
        <v>1911</v>
      </c>
      <c r="I827" t="s">
        <v>1885</v>
      </c>
      <c r="J827" t="s">
        <v>1896</v>
      </c>
    </row>
    <row r="828" spans="1:11" x14ac:dyDescent="0.3">
      <c r="A828" s="1">
        <v>45592</v>
      </c>
      <c r="B828" t="s">
        <v>36</v>
      </c>
      <c r="C828" t="s">
        <v>7</v>
      </c>
      <c r="D828" s="2">
        <v>0</v>
      </c>
      <c r="E828" s="2">
        <v>100000</v>
      </c>
      <c r="F828" s="2">
        <v>150051.64000000001</v>
      </c>
      <c r="G828" s="2" t="str">
        <f t="shared" si="13"/>
        <v>27-10-2024 INB/IFT/SUNITA GUPTA/TPARTY TRANSFER</v>
      </c>
      <c r="H828" s="2" t="s">
        <v>1911</v>
      </c>
      <c r="I828" t="s">
        <v>1871</v>
      </c>
      <c r="J828" t="s">
        <v>1895</v>
      </c>
    </row>
    <row r="829" spans="1:11" x14ac:dyDescent="0.3">
      <c r="A829" s="1">
        <v>45592</v>
      </c>
      <c r="B829" t="s">
        <v>507</v>
      </c>
      <c r="C829" t="s">
        <v>7</v>
      </c>
      <c r="D829" s="2">
        <v>615</v>
      </c>
      <c r="E829" s="2">
        <v>0</v>
      </c>
      <c r="F829" s="2">
        <v>149436.64000000001</v>
      </c>
      <c r="G829" s="2" t="str">
        <f t="shared" si="13"/>
        <v>27-10-2024 UPI/P2M/748380975517/MUKESH GOYAL         /Ghee/ICICI Bank</v>
      </c>
      <c r="H829" s="2" t="s">
        <v>1911</v>
      </c>
      <c r="I829" t="s">
        <v>356</v>
      </c>
      <c r="J829" t="s">
        <v>1895</v>
      </c>
    </row>
    <row r="830" spans="1:11" x14ac:dyDescent="0.3">
      <c r="A830" s="1">
        <v>45592</v>
      </c>
      <c r="B830" t="s">
        <v>508</v>
      </c>
      <c r="C830" t="s">
        <v>7</v>
      </c>
      <c r="D830" s="2">
        <v>459.44</v>
      </c>
      <c r="E830" s="2">
        <v>0</v>
      </c>
      <c r="F830" s="2">
        <v>148977.20000000001</v>
      </c>
      <c r="G830" s="2" t="str">
        <f t="shared" si="13"/>
        <v>27-10-2024 UPI/P2M/135017662551/Shubham Filling Stati/Petrol/Yes Bank Ltd</v>
      </c>
      <c r="H830" s="2" t="s">
        <v>1911</v>
      </c>
      <c r="I830" t="s">
        <v>356</v>
      </c>
      <c r="J830" t="s">
        <v>1895</v>
      </c>
    </row>
    <row r="831" spans="1:11" x14ac:dyDescent="0.3">
      <c r="A831" s="1">
        <v>45593</v>
      </c>
      <c r="B831" t="s">
        <v>125</v>
      </c>
      <c r="C831" t="s">
        <v>1224</v>
      </c>
      <c r="D831" s="2">
        <v>831.39</v>
      </c>
      <c r="E831" s="2">
        <v>0</v>
      </c>
      <c r="F831" s="2">
        <v>100707.39</v>
      </c>
      <c r="G831" s="2" t="str">
        <f t="shared" si="13"/>
        <v>28-10-2024 NET PI TO HSL SEC A/C 347707-00602340029392</v>
      </c>
      <c r="H831" s="2" t="s">
        <v>1911</v>
      </c>
      <c r="I831" t="s">
        <v>361</v>
      </c>
      <c r="J831" t="s">
        <v>1896</v>
      </c>
    </row>
    <row r="832" spans="1:11" x14ac:dyDescent="0.3">
      <c r="A832" s="1">
        <v>45593</v>
      </c>
      <c r="B832" t="s">
        <v>509</v>
      </c>
      <c r="C832" t="s">
        <v>7</v>
      </c>
      <c r="D832" s="2">
        <v>160</v>
      </c>
      <c r="E832" s="2">
        <v>0</v>
      </c>
      <c r="F832" s="2">
        <v>148817.20000000001</v>
      </c>
      <c r="G832" s="2" t="str">
        <f t="shared" si="13"/>
        <v>28-10-2024 UPI/P2M/484759338158/Mrs Savitri Savitri  /Switch/Yes Bank Ltd</v>
      </c>
      <c r="H832" s="2" t="s">
        <v>1911</v>
      </c>
      <c r="I832" t="s">
        <v>356</v>
      </c>
      <c r="J832" t="s">
        <v>1895</v>
      </c>
    </row>
    <row r="833" spans="1:10" x14ac:dyDescent="0.3">
      <c r="A833" s="1">
        <v>45593</v>
      </c>
      <c r="B833" t="s">
        <v>510</v>
      </c>
      <c r="C833" t="s">
        <v>7</v>
      </c>
      <c r="D833" s="2">
        <v>1035</v>
      </c>
      <c r="E833" s="2">
        <v>0</v>
      </c>
      <c r="F833" s="2">
        <v>147782.20000000001</v>
      </c>
      <c r="G833" s="2" t="str">
        <f t="shared" si="13"/>
        <v>28-10-2024 UPI/P2M/788472690614/MUKESH GOYAL         /Kirana/ICICI Bank</v>
      </c>
      <c r="H833" s="2" t="s">
        <v>1911</v>
      </c>
      <c r="I833" t="s">
        <v>356</v>
      </c>
      <c r="J833" t="s">
        <v>1895</v>
      </c>
    </row>
    <row r="834" spans="1:10" x14ac:dyDescent="0.3">
      <c r="A834" s="1">
        <v>45594</v>
      </c>
      <c r="B834" t="s">
        <v>1225</v>
      </c>
      <c r="C834" t="s">
        <v>1226</v>
      </c>
      <c r="D834" s="2">
        <v>0</v>
      </c>
      <c r="E834" s="2">
        <v>5448.03</v>
      </c>
      <c r="F834" s="2">
        <v>106155.42</v>
      </c>
      <c r="G834" s="2" t="str">
        <f t="shared" si="13"/>
        <v>29-10-2024 FT- 576762552-50200085415108 - HDFC SECURITIES LTD-CLIENT DSCNB A/C -</v>
      </c>
      <c r="H834" s="2" t="s">
        <v>1911</v>
      </c>
      <c r="I834" t="s">
        <v>1876</v>
      </c>
      <c r="J834" t="s">
        <v>1896</v>
      </c>
    </row>
    <row r="835" spans="1:10" x14ac:dyDescent="0.3">
      <c r="A835" s="1">
        <v>45594</v>
      </c>
      <c r="B835" t="s">
        <v>125</v>
      </c>
      <c r="C835" t="s">
        <v>1227</v>
      </c>
      <c r="D835" s="2">
        <v>277.13</v>
      </c>
      <c r="E835" s="2">
        <v>0</v>
      </c>
      <c r="F835" s="2">
        <v>105878.29</v>
      </c>
      <c r="G835" s="2" t="str">
        <f t="shared" si="13"/>
        <v>29-10-2024 NET PI TO HSL SEC A/C 347707-00602340029392</v>
      </c>
      <c r="H835" s="2" t="s">
        <v>1911</v>
      </c>
      <c r="I835" t="s">
        <v>361</v>
      </c>
      <c r="J835" t="s">
        <v>1896</v>
      </c>
    </row>
    <row r="836" spans="1:10" x14ac:dyDescent="0.3">
      <c r="A836" s="1">
        <v>45594</v>
      </c>
      <c r="B836" t="s">
        <v>125</v>
      </c>
      <c r="C836" t="s">
        <v>1228</v>
      </c>
      <c r="D836" s="2">
        <v>7965.64</v>
      </c>
      <c r="E836" s="2">
        <v>0</v>
      </c>
      <c r="F836" s="2">
        <v>97912.65</v>
      </c>
      <c r="G836" s="2" t="str">
        <f t="shared" si="13"/>
        <v>29-10-2024 NET PI TO HSL SEC A/C 347707-00602340029392</v>
      </c>
      <c r="H836" s="2" t="s">
        <v>1911</v>
      </c>
      <c r="I836" t="s">
        <v>361</v>
      </c>
      <c r="J836" t="s">
        <v>1896</v>
      </c>
    </row>
    <row r="837" spans="1:10" x14ac:dyDescent="0.3">
      <c r="A837" s="1">
        <v>45594</v>
      </c>
      <c r="B837" t="s">
        <v>511</v>
      </c>
      <c r="C837" t="s">
        <v>7</v>
      </c>
      <c r="D837" s="2">
        <v>120</v>
      </c>
      <c r="E837" s="2">
        <v>0</v>
      </c>
      <c r="F837" s="2">
        <v>147662.20000000001</v>
      </c>
      <c r="G837" s="2" t="str">
        <f t="shared" si="13"/>
        <v>29-10-2024 UPI/P2M/017140672462/VIJAY DEEP           /Fruit/Yes Bank Ltd</v>
      </c>
      <c r="H837" s="2" t="s">
        <v>1911</v>
      </c>
      <c r="I837" t="s">
        <v>356</v>
      </c>
      <c r="J837" t="s">
        <v>1895</v>
      </c>
    </row>
    <row r="838" spans="1:10" x14ac:dyDescent="0.3">
      <c r="A838" s="1">
        <v>45594</v>
      </c>
      <c r="B838" t="s">
        <v>512</v>
      </c>
      <c r="C838" t="s">
        <v>7</v>
      </c>
      <c r="D838" s="2">
        <v>2140</v>
      </c>
      <c r="E838" s="2">
        <v>0</v>
      </c>
      <c r="F838" s="2">
        <v>145522.20000000001</v>
      </c>
      <c r="G838" s="2" t="str">
        <f t="shared" si="13"/>
        <v>29-10-2024 UPI/P2M/147097979203/ANKIT JAIN           /Silver/Yes Bank Ltd</v>
      </c>
      <c r="H838" s="2" t="s">
        <v>1911</v>
      </c>
      <c r="I838" t="s">
        <v>356</v>
      </c>
      <c r="J838" t="s">
        <v>1895</v>
      </c>
    </row>
    <row r="839" spans="1:10" x14ac:dyDescent="0.3">
      <c r="A839" s="1">
        <v>45595</v>
      </c>
      <c r="B839" t="s">
        <v>125</v>
      </c>
      <c r="C839" t="s">
        <v>1229</v>
      </c>
      <c r="D839" s="2">
        <v>276.24</v>
      </c>
      <c r="E839" s="2">
        <v>0</v>
      </c>
      <c r="F839" s="2">
        <v>97636.41</v>
      </c>
      <c r="G839" s="2" t="str">
        <f t="shared" si="13"/>
        <v>30-10-2024 NET PI TO HSL SEC A/C 347707-00602340029392</v>
      </c>
      <c r="H839" s="2" t="s">
        <v>1911</v>
      </c>
      <c r="I839" t="s">
        <v>361</v>
      </c>
      <c r="J839" t="s">
        <v>1896</v>
      </c>
    </row>
    <row r="840" spans="1:10" x14ac:dyDescent="0.3">
      <c r="A840" s="1">
        <v>45595</v>
      </c>
      <c r="B840" t="s">
        <v>513</v>
      </c>
      <c r="C840" t="s">
        <v>7</v>
      </c>
      <c r="D840" s="2">
        <v>800</v>
      </c>
      <c r="E840" s="2">
        <v>0</v>
      </c>
      <c r="F840" s="2">
        <v>144722.20000000001</v>
      </c>
      <c r="G840" s="2" t="str">
        <f t="shared" si="13"/>
        <v>30-10-2024 UPI/P2A/124701591313/LAXMI KANAKRAJ PILLAI/Paymen/ICICI Bank</v>
      </c>
      <c r="H840" s="2" t="s">
        <v>1911</v>
      </c>
      <c r="I840" t="s">
        <v>356</v>
      </c>
      <c r="J840" t="s">
        <v>1895</v>
      </c>
    </row>
    <row r="841" spans="1:10" x14ac:dyDescent="0.3">
      <c r="A841" s="1">
        <v>45595</v>
      </c>
      <c r="B841" t="s">
        <v>514</v>
      </c>
      <c r="C841" t="s">
        <v>7</v>
      </c>
      <c r="D841" s="2">
        <v>820</v>
      </c>
      <c r="E841" s="2">
        <v>0</v>
      </c>
      <c r="F841" s="2">
        <v>143902.20000000001</v>
      </c>
      <c r="G841" s="2" t="str">
        <f t="shared" si="13"/>
        <v>30-10-2024 UPI/P2M/192361402974/MUKESH GOYAL         /Kirana/ICICI Bank</v>
      </c>
      <c r="H841" s="2" t="s">
        <v>1911</v>
      </c>
      <c r="I841" t="s">
        <v>356</v>
      </c>
      <c r="J841" t="s">
        <v>1895</v>
      </c>
    </row>
    <row r="842" spans="1:10" x14ac:dyDescent="0.3">
      <c r="A842" s="1">
        <v>45595</v>
      </c>
      <c r="B842" t="s">
        <v>515</v>
      </c>
      <c r="C842" t="s">
        <v>7</v>
      </c>
      <c r="D842" s="2">
        <v>429.94</v>
      </c>
      <c r="E842" s="2">
        <v>0</v>
      </c>
      <c r="F842" s="2">
        <v>143472.26</v>
      </c>
      <c r="G842" s="2" t="str">
        <f t="shared" si="13"/>
        <v>30-10-2024 UPI/P2M/147343603603/ZOMATO               /Paymen/HDFC BANK LTD</v>
      </c>
      <c r="H842" s="2" t="s">
        <v>1911</v>
      </c>
      <c r="I842" t="s">
        <v>356</v>
      </c>
      <c r="J842" t="s">
        <v>1895</v>
      </c>
    </row>
    <row r="843" spans="1:10" x14ac:dyDescent="0.3">
      <c r="A843" s="1">
        <v>45595</v>
      </c>
      <c r="B843" t="s">
        <v>516</v>
      </c>
      <c r="C843" t="s">
        <v>7</v>
      </c>
      <c r="D843" s="2">
        <v>5</v>
      </c>
      <c r="E843" s="2">
        <v>0</v>
      </c>
      <c r="F843" s="2">
        <v>143467.26</v>
      </c>
      <c r="G843" s="2" t="str">
        <f t="shared" si="13"/>
        <v>30-10-2024 UPI/P2M/712883305569/VINKESH KUMAR JAIN   /Mehend/Yes Bank Ltd</v>
      </c>
      <c r="H843" s="2" t="s">
        <v>1911</v>
      </c>
      <c r="I843" t="s">
        <v>356</v>
      </c>
      <c r="J843" t="s">
        <v>1895</v>
      </c>
    </row>
    <row r="844" spans="1:10" x14ac:dyDescent="0.3">
      <c r="A844" s="1">
        <v>45596</v>
      </c>
      <c r="B844" t="s">
        <v>754</v>
      </c>
      <c r="D844" s="2">
        <v>178</v>
      </c>
      <c r="E844" s="2">
        <v>0</v>
      </c>
      <c r="F844" s="2">
        <v>-102897.37</v>
      </c>
      <c r="G844" s="2" t="str">
        <f t="shared" si="13"/>
        <v>31-10-2024    DEBIT INTEREST---</v>
      </c>
      <c r="H844" s="2" t="s">
        <v>1911</v>
      </c>
      <c r="I844" t="s">
        <v>1915</v>
      </c>
      <c r="J844" t="s">
        <v>1897</v>
      </c>
    </row>
    <row r="845" spans="1:10" x14ac:dyDescent="0.3">
      <c r="A845" s="1">
        <v>45596</v>
      </c>
      <c r="B845" t="s">
        <v>1230</v>
      </c>
      <c r="C845" t="s">
        <v>1231</v>
      </c>
      <c r="D845" s="2">
        <v>0</v>
      </c>
      <c r="E845" s="2">
        <v>29814.720000000001</v>
      </c>
      <c r="F845" s="2">
        <v>127451.13</v>
      </c>
      <c r="G845" s="2" t="str">
        <f t="shared" si="13"/>
        <v>31-10-2024 FT- 577628303-50200085415108 - HDFC SECURITIES LTD-CLIENT DSCNB A/C -</v>
      </c>
      <c r="H845" s="2" t="s">
        <v>1911</v>
      </c>
      <c r="I845" t="s">
        <v>1876</v>
      </c>
      <c r="J845" t="s">
        <v>1896</v>
      </c>
    </row>
    <row r="846" spans="1:10" x14ac:dyDescent="0.3">
      <c r="A846" s="1">
        <v>45596</v>
      </c>
      <c r="B846" t="s">
        <v>1232</v>
      </c>
      <c r="C846" t="s">
        <v>1233</v>
      </c>
      <c r="D846" s="2">
        <v>0</v>
      </c>
      <c r="E846" s="2">
        <v>6867.42</v>
      </c>
      <c r="F846" s="2">
        <v>134318.54999999999</v>
      </c>
      <c r="G846" s="2" t="str">
        <f t="shared" si="13"/>
        <v>31-10-2024 FT- 577600550-50200085415108 - HDFC SECURITIES LTD-CLIENT DSCNB A/C -</v>
      </c>
      <c r="H846" s="2" t="s">
        <v>1911</v>
      </c>
      <c r="I846" t="s">
        <v>1876</v>
      </c>
      <c r="J846" t="s">
        <v>1896</v>
      </c>
    </row>
    <row r="847" spans="1:10" x14ac:dyDescent="0.3">
      <c r="A847" s="1">
        <v>45596</v>
      </c>
      <c r="B847" t="s">
        <v>125</v>
      </c>
      <c r="C847" t="s">
        <v>1236</v>
      </c>
      <c r="D847" s="2">
        <v>287.10000000000002</v>
      </c>
      <c r="E847" s="2">
        <v>0</v>
      </c>
      <c r="F847" s="2">
        <v>185304.65</v>
      </c>
      <c r="G847" s="2" t="str">
        <f t="shared" si="13"/>
        <v>31-10-2024 NET PI TO HSL SEC A/C 347707-00602340029392</v>
      </c>
      <c r="H847" s="2" t="s">
        <v>1911</v>
      </c>
      <c r="I847" t="s">
        <v>361</v>
      </c>
      <c r="J847" t="s">
        <v>1896</v>
      </c>
    </row>
    <row r="848" spans="1:10" x14ac:dyDescent="0.3">
      <c r="A848" s="1">
        <v>45596</v>
      </c>
      <c r="B848" t="s">
        <v>125</v>
      </c>
      <c r="C848" t="s">
        <v>1237</v>
      </c>
      <c r="D848" s="2">
        <v>6914.76</v>
      </c>
      <c r="E848" s="2">
        <v>0</v>
      </c>
      <c r="F848" s="2">
        <v>178389.89</v>
      </c>
      <c r="G848" s="2" t="str">
        <f t="shared" si="13"/>
        <v>31-10-2024 NET PI TO HSL SEC A/C 347707-00602340029392</v>
      </c>
      <c r="H848" s="2" t="s">
        <v>1911</v>
      </c>
      <c r="I848" t="s">
        <v>361</v>
      </c>
      <c r="J848" t="s">
        <v>1896</v>
      </c>
    </row>
    <row r="849" spans="1:11" x14ac:dyDescent="0.3">
      <c r="A849" s="1">
        <v>45596</v>
      </c>
      <c r="B849" t="s">
        <v>1234</v>
      </c>
      <c r="C849" t="s">
        <v>1235</v>
      </c>
      <c r="D849" s="2">
        <v>0</v>
      </c>
      <c r="E849" s="2">
        <v>51273.2</v>
      </c>
      <c r="F849" s="2">
        <v>185591.75</v>
      </c>
      <c r="G849" s="2" t="str">
        <f t="shared" si="13"/>
        <v>31-10-2024 FT- INVESCO MF A/C - BS77 11104569 31020891576 45871269</v>
      </c>
      <c r="H849" s="2" t="s">
        <v>1911</v>
      </c>
      <c r="I849" t="s">
        <v>1884</v>
      </c>
      <c r="J849" t="s">
        <v>1896</v>
      </c>
    </row>
    <row r="850" spans="1:11" x14ac:dyDescent="0.3">
      <c r="A850" s="1">
        <v>45596</v>
      </c>
      <c r="B850" t="s">
        <v>517</v>
      </c>
      <c r="C850" t="s">
        <v>7</v>
      </c>
      <c r="D850" s="2">
        <v>2528</v>
      </c>
      <c r="E850" s="2">
        <v>0</v>
      </c>
      <c r="F850" s="2">
        <v>140939.26</v>
      </c>
      <c r="G850" s="2" t="str">
        <f t="shared" si="13"/>
        <v>31-10-2024 UPI/P2A/571283612682/PUSHPENDRA  PSHARMA  /Intern/State Bank Of India</v>
      </c>
      <c r="H850" s="2" t="s">
        <v>1911</v>
      </c>
      <c r="I850" t="s">
        <v>356</v>
      </c>
      <c r="J850" t="s">
        <v>1895</v>
      </c>
    </row>
    <row r="851" spans="1:11" x14ac:dyDescent="0.3">
      <c r="A851" s="1">
        <v>45596</v>
      </c>
      <c r="B851" t="s">
        <v>518</v>
      </c>
      <c r="C851" t="s">
        <v>7</v>
      </c>
      <c r="D851" s="2">
        <v>200</v>
      </c>
      <c r="E851" s="2">
        <v>0</v>
      </c>
      <c r="F851" s="2">
        <v>140739.26</v>
      </c>
      <c r="G851" s="2" t="str">
        <f t="shared" si="13"/>
        <v>31-10-2024 UPI/P2M/817548779369/Jitu Gurjar          /Car wa/Bank of Baroda</v>
      </c>
      <c r="H851" s="2" t="s">
        <v>1911</v>
      </c>
      <c r="I851" t="s">
        <v>356</v>
      </c>
      <c r="J851" t="s">
        <v>1895</v>
      </c>
    </row>
    <row r="852" spans="1:11" x14ac:dyDescent="0.3">
      <c r="A852" s="1">
        <v>45598</v>
      </c>
      <c r="B852" t="s">
        <v>520</v>
      </c>
      <c r="C852" t="s">
        <v>7</v>
      </c>
      <c r="D852" s="2">
        <v>36323</v>
      </c>
      <c r="E852" s="2">
        <v>0</v>
      </c>
      <c r="F852" s="2">
        <v>94416.26</v>
      </c>
      <c r="G852" s="2" t="str">
        <f t="shared" si="13"/>
        <v>02-11-2024 NBSM/80649707/CARE HEALTH INSURANCE LIMITED/</v>
      </c>
      <c r="H852" s="2" t="s">
        <v>1911</v>
      </c>
      <c r="I852" t="s">
        <v>1866</v>
      </c>
      <c r="J852" t="s">
        <v>1895</v>
      </c>
    </row>
    <row r="853" spans="1:11" x14ac:dyDescent="0.3">
      <c r="A853" s="1">
        <v>45598</v>
      </c>
      <c r="B853" t="s">
        <v>750</v>
      </c>
      <c r="C853" t="s">
        <v>751</v>
      </c>
      <c r="D853" s="2">
        <v>0</v>
      </c>
      <c r="E853" s="2">
        <v>26595</v>
      </c>
      <c r="F853" s="2">
        <v>-76302.37</v>
      </c>
      <c r="G853" s="2" t="str">
        <f t="shared" si="13"/>
        <v>02-11-2024    DEPOSIT TRANSFER---</v>
      </c>
      <c r="H853" s="2" t="s">
        <v>1911</v>
      </c>
      <c r="I853" t="s">
        <v>1842</v>
      </c>
      <c r="J853" t="s">
        <v>1897</v>
      </c>
      <c r="K853" t="s">
        <v>1913</v>
      </c>
    </row>
    <row r="854" spans="1:11" x14ac:dyDescent="0.3">
      <c r="A854" s="1">
        <v>45598</v>
      </c>
      <c r="B854" t="s">
        <v>1734</v>
      </c>
      <c r="C854" t="s">
        <v>1735</v>
      </c>
      <c r="D854" s="2">
        <v>26595</v>
      </c>
      <c r="E854" s="2">
        <v>0</v>
      </c>
      <c r="F854" s="2">
        <v>26671.51</v>
      </c>
      <c r="G854" s="2" t="str">
        <f t="shared" si="13"/>
        <v>02-11-2024    WITHDRAWAL TRANSFER---</v>
      </c>
      <c r="H854" s="2" t="s">
        <v>1911</v>
      </c>
      <c r="I854" t="s">
        <v>1906</v>
      </c>
      <c r="J854" t="s">
        <v>1899</v>
      </c>
      <c r="K854" t="s">
        <v>1913</v>
      </c>
    </row>
    <row r="855" spans="1:11" x14ac:dyDescent="0.3">
      <c r="A855" s="1">
        <v>45598</v>
      </c>
      <c r="B855" t="s">
        <v>519</v>
      </c>
      <c r="C855" t="s">
        <v>7</v>
      </c>
      <c r="D855" s="2">
        <v>10000</v>
      </c>
      <c r="E855" s="2">
        <v>0</v>
      </c>
      <c r="F855" s="2">
        <v>130739.26</v>
      </c>
      <c r="G855" s="2" t="str">
        <f t="shared" si="13"/>
        <v>02-11-2024 UPI/P2A/185422508428/ASHOK KUMAR GAUTAM   /Paymen/State Bank Of India</v>
      </c>
      <c r="H855" s="2" t="s">
        <v>1911</v>
      </c>
      <c r="I855" t="s">
        <v>1943</v>
      </c>
      <c r="J855" t="s">
        <v>1895</v>
      </c>
    </row>
    <row r="856" spans="1:11" x14ac:dyDescent="0.3">
      <c r="A856" s="1">
        <v>45598</v>
      </c>
      <c r="B856" t="s">
        <v>521</v>
      </c>
      <c r="C856" t="s">
        <v>7</v>
      </c>
      <c r="D856" s="2">
        <v>7000</v>
      </c>
      <c r="E856" s="2">
        <v>0</v>
      </c>
      <c r="F856" s="2">
        <v>87416.26</v>
      </c>
      <c r="G856" s="2" t="str">
        <f t="shared" si="13"/>
        <v>02-11-2024 UPI/P2A/061604313983/KOTA ENTERPRISES     /Gift n/AU small Finance Ban</v>
      </c>
      <c r="H856" s="2" t="s">
        <v>1911</v>
      </c>
      <c r="I856" t="s">
        <v>1930</v>
      </c>
      <c r="J856" t="s">
        <v>1895</v>
      </c>
    </row>
    <row r="857" spans="1:11" x14ac:dyDescent="0.3">
      <c r="A857" s="1">
        <v>45599</v>
      </c>
      <c r="B857" t="s">
        <v>1804</v>
      </c>
      <c r="C857" t="s">
        <v>1805</v>
      </c>
      <c r="D857" s="2">
        <v>1100</v>
      </c>
      <c r="E857" s="2">
        <v>0</v>
      </c>
      <c r="F857" s="2">
        <v>25571.51</v>
      </c>
      <c r="G857" s="2" t="str">
        <f t="shared" si="13"/>
        <v>03-11-2024    TO TRANSFER-INB Mandir Donation--</v>
      </c>
      <c r="H857" s="2" t="s">
        <v>1911</v>
      </c>
      <c r="I857" t="s">
        <v>1839</v>
      </c>
      <c r="J857" t="s">
        <v>1899</v>
      </c>
    </row>
    <row r="858" spans="1:11" x14ac:dyDescent="0.3">
      <c r="A858" s="1">
        <v>45599</v>
      </c>
      <c r="B858" t="s">
        <v>522</v>
      </c>
      <c r="C858" t="s">
        <v>7</v>
      </c>
      <c r="D858" s="2">
        <v>2375</v>
      </c>
      <c r="E858" s="2">
        <v>0</v>
      </c>
      <c r="F858" s="2">
        <v>85041.26</v>
      </c>
      <c r="G858" s="2" t="str">
        <f t="shared" si="13"/>
        <v>03-11-2024 UPI/P2M/063765980391/Aman Filling Station /Paymen/Yes Bank Ltd</v>
      </c>
      <c r="H858" s="2" t="s">
        <v>1911</v>
      </c>
      <c r="I858" t="s">
        <v>356</v>
      </c>
      <c r="J858" t="s">
        <v>1895</v>
      </c>
    </row>
    <row r="859" spans="1:11" x14ac:dyDescent="0.3">
      <c r="A859" s="1">
        <v>45600</v>
      </c>
      <c r="B859" t="s">
        <v>1243</v>
      </c>
      <c r="C859" t="s">
        <v>1244</v>
      </c>
      <c r="D859" s="2">
        <v>20000</v>
      </c>
      <c r="E859" s="2">
        <v>0</v>
      </c>
      <c r="F859" s="2">
        <v>175181.27</v>
      </c>
      <c r="G859" s="2" t="str">
        <f t="shared" si="13"/>
        <v>04-11-2024 ATW-512967XXXXXX1000-S1ANRS37-KOTA</v>
      </c>
      <c r="H859" s="2" t="s">
        <v>1911</v>
      </c>
      <c r="I859" t="s">
        <v>366</v>
      </c>
      <c r="J859" t="s">
        <v>1896</v>
      </c>
    </row>
    <row r="860" spans="1:11" x14ac:dyDescent="0.3">
      <c r="A860" s="1">
        <v>45600</v>
      </c>
      <c r="B860" t="s">
        <v>1238</v>
      </c>
      <c r="C860" t="s">
        <v>1239</v>
      </c>
      <c r="D860" s="2">
        <v>0</v>
      </c>
      <c r="E860" s="2">
        <v>8573.4599999999991</v>
      </c>
      <c r="F860" s="2">
        <v>186963.35</v>
      </c>
      <c r="G860" s="2" t="str">
        <f t="shared" si="13"/>
        <v>04-11-2024 FT- 578240113-50200085415108 - HDFC SECURITIES LTD-CLIENT DSCNB A/C -</v>
      </c>
      <c r="H860" s="2" t="s">
        <v>1911</v>
      </c>
      <c r="I860" t="s">
        <v>1876</v>
      </c>
      <c r="J860" t="s">
        <v>1896</v>
      </c>
    </row>
    <row r="861" spans="1:11" x14ac:dyDescent="0.3">
      <c r="A861" s="1">
        <v>45600</v>
      </c>
      <c r="B861" t="s">
        <v>1240</v>
      </c>
      <c r="C861" t="s">
        <v>1241</v>
      </c>
      <c r="D861" s="2">
        <v>0</v>
      </c>
      <c r="E861" s="2">
        <v>9376.1200000000008</v>
      </c>
      <c r="F861" s="2">
        <v>196339.47</v>
      </c>
      <c r="G861" s="2" t="str">
        <f t="shared" si="13"/>
        <v>04-11-2024 FT- 578275001-50200085415108 - HDFC SECURITIES LTD-CLIENT DSCNB A/C -</v>
      </c>
      <c r="H861" s="2" t="s">
        <v>1911</v>
      </c>
      <c r="I861" t="s">
        <v>1876</v>
      </c>
      <c r="J861" t="s">
        <v>1896</v>
      </c>
    </row>
    <row r="862" spans="1:11" x14ac:dyDescent="0.3">
      <c r="A862" s="1">
        <v>45600</v>
      </c>
      <c r="B862" t="s">
        <v>125</v>
      </c>
      <c r="C862" t="s">
        <v>1242</v>
      </c>
      <c r="D862" s="2">
        <v>1158.2</v>
      </c>
      <c r="E862" s="2">
        <v>0</v>
      </c>
      <c r="F862" s="2">
        <v>195181.27</v>
      </c>
      <c r="G862" s="2" t="str">
        <f t="shared" si="13"/>
        <v>04-11-2024 NET PI TO HSL SEC A/C 347707-00602340029392</v>
      </c>
      <c r="H862" s="2" t="s">
        <v>1911</v>
      </c>
      <c r="I862" t="s">
        <v>361</v>
      </c>
      <c r="J862" t="s">
        <v>1896</v>
      </c>
    </row>
    <row r="863" spans="1:11" x14ac:dyDescent="0.3">
      <c r="A863" s="1">
        <v>45600</v>
      </c>
      <c r="B863" t="s">
        <v>125</v>
      </c>
      <c r="C863" t="s">
        <v>1246</v>
      </c>
      <c r="D863" s="2">
        <v>22990.26</v>
      </c>
      <c r="E863" s="2">
        <v>0</v>
      </c>
      <c r="F863" s="2">
        <v>152786.14000000001</v>
      </c>
      <c r="G863" s="2" t="str">
        <f t="shared" si="13"/>
        <v>04-11-2024 NET PI TO HSL SEC A/C 347707-00602340029392</v>
      </c>
      <c r="H863" s="2" t="s">
        <v>1911</v>
      </c>
      <c r="I863" t="s">
        <v>361</v>
      </c>
      <c r="J863" t="s">
        <v>1896</v>
      </c>
    </row>
    <row r="864" spans="1:11" x14ac:dyDescent="0.3">
      <c r="A864" s="1">
        <v>45600</v>
      </c>
      <c r="B864" t="s">
        <v>194</v>
      </c>
      <c r="C864" t="s">
        <v>1245</v>
      </c>
      <c r="D864" s="2">
        <v>0</v>
      </c>
      <c r="E864" s="2">
        <v>595.13</v>
      </c>
      <c r="F864" s="2">
        <v>175776.4</v>
      </c>
      <c r="G864" s="2" t="str">
        <f t="shared" si="13"/>
        <v>04-11-2024 00012050001396HLY INT-IN0020210178</v>
      </c>
      <c r="H864" s="2" t="s">
        <v>1911</v>
      </c>
      <c r="I864" t="s">
        <v>369</v>
      </c>
      <c r="J864" t="s">
        <v>1896</v>
      </c>
    </row>
    <row r="865" spans="1:10" x14ac:dyDescent="0.3">
      <c r="A865" s="1">
        <v>45601</v>
      </c>
      <c r="B865" t="s">
        <v>125</v>
      </c>
      <c r="C865" t="s">
        <v>1247</v>
      </c>
      <c r="D865" s="2">
        <v>284.41000000000003</v>
      </c>
      <c r="E865" s="2">
        <v>0</v>
      </c>
      <c r="F865" s="2">
        <v>152501.73000000001</v>
      </c>
      <c r="G865" s="2" t="str">
        <f t="shared" si="13"/>
        <v>05-11-2024 NET PI TO HSL SEC A/C 347707-00602340029392</v>
      </c>
      <c r="H865" s="2" t="s">
        <v>1911</v>
      </c>
      <c r="I865" t="s">
        <v>361</v>
      </c>
      <c r="J865" t="s">
        <v>1896</v>
      </c>
    </row>
    <row r="866" spans="1:10" x14ac:dyDescent="0.3">
      <c r="A866" s="1">
        <v>45601</v>
      </c>
      <c r="B866" t="s">
        <v>125</v>
      </c>
      <c r="C866" t="s">
        <v>1248</v>
      </c>
      <c r="D866" s="2">
        <v>1694.83</v>
      </c>
      <c r="E866" s="2">
        <v>0</v>
      </c>
      <c r="F866" s="2">
        <v>150806.9</v>
      </c>
      <c r="G866" s="2" t="str">
        <f t="shared" si="13"/>
        <v>05-11-2024 NET PI TO HSL SEC A/C 347707-00602340029392</v>
      </c>
      <c r="H866" s="2" t="s">
        <v>1911</v>
      </c>
      <c r="I866" t="s">
        <v>361</v>
      </c>
      <c r="J866" t="s">
        <v>1896</v>
      </c>
    </row>
    <row r="867" spans="1:10" x14ac:dyDescent="0.3">
      <c r="A867" s="1">
        <v>45602</v>
      </c>
      <c r="B867" t="s">
        <v>707</v>
      </c>
      <c r="D867" s="2">
        <v>0</v>
      </c>
      <c r="E867" s="2">
        <v>111</v>
      </c>
      <c r="F867" s="2">
        <v>17045</v>
      </c>
      <c r="G867" s="2" t="str">
        <f t="shared" si="13"/>
        <v>06-11-2024 662113100016699:SBInt.Pd:04-08-2024 to 31-10-2024</v>
      </c>
      <c r="H867" s="2" t="s">
        <v>1911</v>
      </c>
      <c r="I867" t="s">
        <v>370</v>
      </c>
      <c r="J867" t="s">
        <v>1898</v>
      </c>
    </row>
    <row r="868" spans="1:10" x14ac:dyDescent="0.3">
      <c r="A868" s="1">
        <v>45602</v>
      </c>
      <c r="B868" t="s">
        <v>125</v>
      </c>
      <c r="C868" t="s">
        <v>1249</v>
      </c>
      <c r="D868" s="2">
        <v>286.27999999999997</v>
      </c>
      <c r="E868" s="2">
        <v>0</v>
      </c>
      <c r="F868" s="2">
        <v>150520.62</v>
      </c>
      <c r="G868" s="2" t="str">
        <f t="shared" si="13"/>
        <v>06-11-2024 NET PI TO HSL SEC A/C 347707-00602340029392</v>
      </c>
      <c r="H868" s="2" t="s">
        <v>1911</v>
      </c>
      <c r="I868" t="s">
        <v>361</v>
      </c>
      <c r="J868" t="s">
        <v>1896</v>
      </c>
    </row>
    <row r="869" spans="1:10" x14ac:dyDescent="0.3">
      <c r="A869" s="1">
        <v>45602</v>
      </c>
      <c r="B869" t="s">
        <v>523</v>
      </c>
      <c r="C869" t="s">
        <v>7</v>
      </c>
      <c r="D869" s="2">
        <v>4000</v>
      </c>
      <c r="E869" s="2">
        <v>0</v>
      </c>
      <c r="F869" s="2">
        <v>81041.259999999995</v>
      </c>
      <c r="G869" s="2" t="str">
        <f t="shared" si="13"/>
        <v>06-11-2024 UPI/P2M/485720242600/Bombay wala Textiles /Kurta/Yes Bank Ltd</v>
      </c>
      <c r="H869" s="2" t="s">
        <v>1911</v>
      </c>
      <c r="I869" t="s">
        <v>356</v>
      </c>
      <c r="J869" t="s">
        <v>1895</v>
      </c>
    </row>
    <row r="870" spans="1:10" x14ac:dyDescent="0.3">
      <c r="A870" s="1">
        <v>45603</v>
      </c>
      <c r="B870" t="s">
        <v>8</v>
      </c>
      <c r="C870" t="s">
        <v>7</v>
      </c>
      <c r="D870" s="2">
        <v>5326.96</v>
      </c>
      <c r="E870" s="2">
        <v>0</v>
      </c>
      <c r="F870" s="2">
        <v>75714.3</v>
      </c>
      <c r="G870" s="2" t="str">
        <f t="shared" si="13"/>
        <v>07-11-2024 BRN-PYMT-CARD-4111460000883615</v>
      </c>
      <c r="H870" s="2" t="s">
        <v>1911</v>
      </c>
      <c r="I870" t="s">
        <v>1877</v>
      </c>
      <c r="J870" t="s">
        <v>1895</v>
      </c>
    </row>
    <row r="871" spans="1:10" x14ac:dyDescent="0.3">
      <c r="A871" s="1">
        <v>45603</v>
      </c>
      <c r="B871" t="s">
        <v>1253</v>
      </c>
      <c r="C871" t="s">
        <v>1254</v>
      </c>
      <c r="D871" s="2">
        <v>0</v>
      </c>
      <c r="E871" s="2">
        <v>1280</v>
      </c>
      <c r="F871" s="2">
        <v>166636.12</v>
      </c>
      <c r="G871" s="2" t="str">
        <f t="shared" si="13"/>
        <v>07-11-2024 ACH C- LTIMIN INT 2024 25-184440</v>
      </c>
      <c r="H871" s="2" t="s">
        <v>1911</v>
      </c>
      <c r="I871" t="s">
        <v>367</v>
      </c>
      <c r="J871" t="s">
        <v>1896</v>
      </c>
    </row>
    <row r="872" spans="1:10" x14ac:dyDescent="0.3">
      <c r="A872" s="1">
        <v>45603</v>
      </c>
      <c r="B872" t="s">
        <v>1250</v>
      </c>
      <c r="C872" t="s">
        <v>1251</v>
      </c>
      <c r="D872" s="2">
        <v>0</v>
      </c>
      <c r="E872" s="2">
        <v>15125.84</v>
      </c>
      <c r="F872" s="2">
        <v>165646.46</v>
      </c>
      <c r="G872" s="2" t="str">
        <f t="shared" si="13"/>
        <v>07-11-2024 FT- 579783157-50200085415108 - HDFC SECURITIES LTD-CLIENT DSCNB A/C -</v>
      </c>
      <c r="H872" s="2" t="s">
        <v>1911</v>
      </c>
      <c r="I872" t="s">
        <v>1876</v>
      </c>
      <c r="J872" t="s">
        <v>1896</v>
      </c>
    </row>
    <row r="873" spans="1:10" x14ac:dyDescent="0.3">
      <c r="A873" s="1">
        <v>45603</v>
      </c>
      <c r="B873" t="s">
        <v>125</v>
      </c>
      <c r="C873" t="s">
        <v>1252</v>
      </c>
      <c r="D873" s="2">
        <v>290.33999999999997</v>
      </c>
      <c r="E873" s="2">
        <v>0</v>
      </c>
      <c r="F873" s="2">
        <v>165356.12</v>
      </c>
      <c r="G873" s="2" t="str">
        <f t="shared" si="13"/>
        <v>07-11-2024 NET PI TO HSL SEC A/C 347707-00602340029392</v>
      </c>
      <c r="H873" s="2" t="s">
        <v>1911</v>
      </c>
      <c r="I873" t="s">
        <v>361</v>
      </c>
      <c r="J873" t="s">
        <v>1896</v>
      </c>
    </row>
    <row r="874" spans="1:10" x14ac:dyDescent="0.3">
      <c r="A874" s="1">
        <v>45603</v>
      </c>
      <c r="B874" t="s">
        <v>125</v>
      </c>
      <c r="C874" t="s">
        <v>1255</v>
      </c>
      <c r="D874" s="2">
        <v>9762.7199999999993</v>
      </c>
      <c r="E874" s="2">
        <v>0</v>
      </c>
      <c r="F874" s="2">
        <v>156873.4</v>
      </c>
      <c r="G874" s="2" t="str">
        <f t="shared" si="13"/>
        <v>07-11-2024 NET PI TO HSL SEC A/C 347707-00602340029392</v>
      </c>
      <c r="H874" s="2" t="s">
        <v>1911</v>
      </c>
      <c r="I874" t="s">
        <v>361</v>
      </c>
      <c r="J874" t="s">
        <v>1896</v>
      </c>
    </row>
    <row r="875" spans="1:10" x14ac:dyDescent="0.3">
      <c r="A875" s="1">
        <v>45603</v>
      </c>
      <c r="B875" t="s">
        <v>1806</v>
      </c>
      <c r="C875" t="s">
        <v>1807</v>
      </c>
      <c r="D875" s="2">
        <v>16660</v>
      </c>
      <c r="E875" s="2">
        <v>0</v>
      </c>
      <c r="F875" s="2">
        <v>8911.51</v>
      </c>
      <c r="G875" s="2" t="str">
        <f t="shared" si="13"/>
        <v>07-11-2024    TO TRANSFER-INB SBI Life Insurance Co Ltd--</v>
      </c>
      <c r="H875" s="2" t="s">
        <v>1911</v>
      </c>
      <c r="I875" t="s">
        <v>1886</v>
      </c>
      <c r="J875" t="s">
        <v>1899</v>
      </c>
    </row>
    <row r="876" spans="1:10" x14ac:dyDescent="0.3">
      <c r="A876" s="1">
        <v>45603</v>
      </c>
      <c r="B876" t="s">
        <v>524</v>
      </c>
      <c r="C876" t="s">
        <v>7</v>
      </c>
      <c r="D876" s="2">
        <v>50</v>
      </c>
      <c r="E876" s="2">
        <v>0</v>
      </c>
      <c r="F876" s="2">
        <v>75664.3</v>
      </c>
      <c r="G876" s="2" t="str">
        <f t="shared" si="13"/>
        <v>07-11-2024 UPI/P2M/596835016835/DHAN RAJ SAHU        /Helmet/Yes Bank Ltd</v>
      </c>
      <c r="H876" s="2" t="s">
        <v>1911</v>
      </c>
      <c r="I876" t="s">
        <v>356</v>
      </c>
      <c r="J876" t="s">
        <v>1895</v>
      </c>
    </row>
    <row r="877" spans="1:10" x14ac:dyDescent="0.3">
      <c r="A877" s="1">
        <v>45603</v>
      </c>
      <c r="B877" t="s">
        <v>525</v>
      </c>
      <c r="C877" t="s">
        <v>7</v>
      </c>
      <c r="D877" s="2">
        <v>3600</v>
      </c>
      <c r="E877" s="2">
        <v>0</v>
      </c>
      <c r="F877" s="2">
        <v>72064.3</v>
      </c>
      <c r="G877" s="2" t="str">
        <f t="shared" si="13"/>
        <v>07-11-2024 UPI/P2M/032581440613/M S SHREE RAM TRADERS/Paymen/Yes Bank Ltd</v>
      </c>
      <c r="H877" s="2" t="s">
        <v>1911</v>
      </c>
      <c r="I877" t="s">
        <v>356</v>
      </c>
      <c r="J877" t="s">
        <v>1895</v>
      </c>
    </row>
    <row r="878" spans="1:10" x14ac:dyDescent="0.3">
      <c r="A878" s="1">
        <v>45604</v>
      </c>
      <c r="B878" t="s">
        <v>1258</v>
      </c>
      <c r="C878" t="s">
        <v>1259</v>
      </c>
      <c r="D878" s="2">
        <v>0</v>
      </c>
      <c r="E878" s="2">
        <v>1260</v>
      </c>
      <c r="F878" s="2">
        <v>198270.64</v>
      </c>
      <c r="G878" s="2" t="str">
        <f t="shared" si="13"/>
        <v>08-11-2024 0611208971 INFY INTDIV2024-25 45328821</v>
      </c>
      <c r="H878" s="2" t="s">
        <v>1911</v>
      </c>
      <c r="I878" t="s">
        <v>367</v>
      </c>
      <c r="J878" t="s">
        <v>1896</v>
      </c>
    </row>
    <row r="879" spans="1:10" x14ac:dyDescent="0.3">
      <c r="A879" s="1">
        <v>45604</v>
      </c>
      <c r="B879" t="s">
        <v>1256</v>
      </c>
      <c r="C879" t="s">
        <v>1257</v>
      </c>
      <c r="D879" s="2">
        <v>0</v>
      </c>
      <c r="E879" s="2">
        <v>40137.24</v>
      </c>
      <c r="F879" s="2">
        <v>197010.64</v>
      </c>
      <c r="G879" s="2" t="str">
        <f t="shared" si="13"/>
        <v>08-11-2024 FT- 580292267-50200085415108 - HDFC SECURITIES LTD-CLIENT DSCNB A/C -</v>
      </c>
      <c r="H879" s="2" t="s">
        <v>1911</v>
      </c>
      <c r="I879" t="s">
        <v>1876</v>
      </c>
      <c r="J879" t="s">
        <v>1896</v>
      </c>
    </row>
    <row r="880" spans="1:10" x14ac:dyDescent="0.3">
      <c r="A880" s="1">
        <v>45604</v>
      </c>
      <c r="B880" t="s">
        <v>125</v>
      </c>
      <c r="C880" t="s">
        <v>1260</v>
      </c>
      <c r="D880" s="2">
        <v>292.25</v>
      </c>
      <c r="E880" s="2">
        <v>0</v>
      </c>
      <c r="F880" s="2">
        <v>197978.39</v>
      </c>
      <c r="G880" s="2" t="str">
        <f t="shared" si="13"/>
        <v>08-11-2024 NET PI TO HSL SEC A/C 347707-00602340029392</v>
      </c>
      <c r="H880" s="2" t="s">
        <v>1911</v>
      </c>
      <c r="I880" t="s">
        <v>361</v>
      </c>
      <c r="J880" t="s">
        <v>1896</v>
      </c>
    </row>
    <row r="881" spans="1:10" x14ac:dyDescent="0.3">
      <c r="A881" s="1">
        <v>45604</v>
      </c>
      <c r="B881" t="s">
        <v>125</v>
      </c>
      <c r="C881" t="s">
        <v>1261</v>
      </c>
      <c r="D881" s="2">
        <v>15168.44</v>
      </c>
      <c r="E881" s="2">
        <v>0</v>
      </c>
      <c r="F881" s="2">
        <v>182809.95</v>
      </c>
      <c r="G881" s="2" t="str">
        <f t="shared" si="13"/>
        <v>08-11-2024 NET PI TO HSL SEC A/C 347707-00602340029392</v>
      </c>
      <c r="H881" s="2" t="s">
        <v>1911</v>
      </c>
      <c r="I881" t="s">
        <v>361</v>
      </c>
      <c r="J881" t="s">
        <v>1896</v>
      </c>
    </row>
    <row r="882" spans="1:10" x14ac:dyDescent="0.3">
      <c r="A882" s="1">
        <v>45604</v>
      </c>
      <c r="B882" t="s">
        <v>526</v>
      </c>
      <c r="C882" t="s">
        <v>7</v>
      </c>
      <c r="D882" s="2">
        <v>500</v>
      </c>
      <c r="E882" s="2">
        <v>0</v>
      </c>
      <c r="F882" s="2">
        <v>71564.3</v>
      </c>
      <c r="G882" s="2" t="str">
        <f t="shared" si="13"/>
        <v>08-11-2024 UPI/P2M/202231578800/PhonePe              /Paymen/Axis Bank Ltd.</v>
      </c>
      <c r="H882" s="2" t="s">
        <v>1911</v>
      </c>
      <c r="I882" t="s">
        <v>356</v>
      </c>
      <c r="J882" t="s">
        <v>1895</v>
      </c>
    </row>
    <row r="883" spans="1:10" x14ac:dyDescent="0.3">
      <c r="A883" s="1">
        <v>45605</v>
      </c>
      <c r="B883" t="s">
        <v>1243</v>
      </c>
      <c r="C883" t="s">
        <v>1262</v>
      </c>
      <c r="D883" s="2">
        <v>20000</v>
      </c>
      <c r="E883" s="2">
        <v>0</v>
      </c>
      <c r="F883" s="2">
        <v>162809.95000000001</v>
      </c>
      <c r="G883" s="2" t="str">
        <f t="shared" si="13"/>
        <v>09-11-2024 ATW-512967XXXXXX1000-S1ANRS37-KOTA</v>
      </c>
      <c r="H883" s="2" t="s">
        <v>1911</v>
      </c>
      <c r="I883" t="s">
        <v>366</v>
      </c>
      <c r="J883" t="s">
        <v>1896</v>
      </c>
    </row>
    <row r="884" spans="1:10" x14ac:dyDescent="0.3">
      <c r="A884" s="1">
        <v>45605</v>
      </c>
      <c r="B884" t="s">
        <v>1740</v>
      </c>
      <c r="C884" t="s">
        <v>1808</v>
      </c>
      <c r="D884" s="2">
        <v>0</v>
      </c>
      <c r="E884" s="2">
        <v>54785.85</v>
      </c>
      <c r="F884" s="2">
        <v>63697.36</v>
      </c>
      <c r="G884" s="2" t="str">
        <f t="shared" si="13"/>
        <v>09-11-2024    BY TRANSFER-INB -For 19260165--</v>
      </c>
      <c r="H884" s="2" t="s">
        <v>1911</v>
      </c>
      <c r="I884" t="s">
        <v>1887</v>
      </c>
      <c r="J884" t="s">
        <v>1899</v>
      </c>
    </row>
    <row r="885" spans="1:10" x14ac:dyDescent="0.3">
      <c r="A885" s="1">
        <v>45605</v>
      </c>
      <c r="B885" t="s">
        <v>527</v>
      </c>
      <c r="C885" t="s">
        <v>7</v>
      </c>
      <c r="D885" s="2">
        <v>14500</v>
      </c>
      <c r="E885" s="2">
        <v>0</v>
      </c>
      <c r="F885" s="2">
        <v>57064.3</v>
      </c>
      <c r="G885" s="2" t="str">
        <f t="shared" si="13"/>
        <v>09-11-2024 UPI/P2A/305517973734/Mr SURENDRA  JANGID  /Paymen/Central Bank Of Indi</v>
      </c>
      <c r="H885" s="2" t="s">
        <v>1911</v>
      </c>
      <c r="I885" t="s">
        <v>1931</v>
      </c>
      <c r="J885" t="s">
        <v>1895</v>
      </c>
    </row>
    <row r="886" spans="1:10" x14ac:dyDescent="0.3">
      <c r="A886" s="1">
        <v>45606</v>
      </c>
      <c r="B886" t="s">
        <v>529</v>
      </c>
      <c r="C886" t="s">
        <v>7</v>
      </c>
      <c r="D886" s="2">
        <v>20000</v>
      </c>
      <c r="E886" s="2">
        <v>0</v>
      </c>
      <c r="F886" s="2">
        <v>34454.300000000003</v>
      </c>
      <c r="G886" s="2" t="str">
        <f t="shared" si="13"/>
        <v>10-11-2024 ATM-CASH-AXIS/BPRH269801/860/101124/JAIPUR</v>
      </c>
      <c r="H886" s="2" t="s">
        <v>1911</v>
      </c>
      <c r="I886" t="s">
        <v>354</v>
      </c>
      <c r="J886" t="s">
        <v>1895</v>
      </c>
    </row>
    <row r="887" spans="1:10" x14ac:dyDescent="0.3">
      <c r="A887" s="1">
        <v>45606</v>
      </c>
      <c r="B887" t="s">
        <v>528</v>
      </c>
      <c r="C887" t="s">
        <v>7</v>
      </c>
      <c r="D887" s="2">
        <v>2610</v>
      </c>
      <c r="E887" s="2">
        <v>0</v>
      </c>
      <c r="F887" s="2">
        <v>54454.3</v>
      </c>
      <c r="G887" s="2" t="str">
        <f t="shared" ref="G887:G950" si="14">TEXT(A887,"DD")&amp;"-"&amp;TEXT(A887,"MM")&amp;"-"&amp;TEXT(A887,"YYYY")&amp;" "&amp;B887</f>
        <v>10-11-2024 UPI/P2M/913144197727/One97 Communications /Diseal/Yes Bank Ltd</v>
      </c>
      <c r="H887" s="2" t="s">
        <v>1911</v>
      </c>
      <c r="I887" t="s">
        <v>356</v>
      </c>
      <c r="J887" t="s">
        <v>1895</v>
      </c>
    </row>
    <row r="888" spans="1:10" x14ac:dyDescent="0.3">
      <c r="A888" s="1">
        <v>45606</v>
      </c>
      <c r="B888" t="s">
        <v>530</v>
      </c>
      <c r="C888" t="s">
        <v>7</v>
      </c>
      <c r="D888" s="2">
        <v>1</v>
      </c>
      <c r="E888" s="2">
        <v>0</v>
      </c>
      <c r="F888" s="2">
        <v>34453.300000000003</v>
      </c>
      <c r="G888" s="2" t="str">
        <f t="shared" si="14"/>
        <v>10-11-2024 UPI/P2A/783930662478/PRAMOD SHARMA S/O S N/Paymen/Axis Bank Ltd.</v>
      </c>
      <c r="H888" s="2" t="s">
        <v>1911</v>
      </c>
      <c r="I888" t="s">
        <v>356</v>
      </c>
      <c r="J888" t="s">
        <v>1895</v>
      </c>
    </row>
    <row r="889" spans="1:10" x14ac:dyDescent="0.3">
      <c r="A889" s="1">
        <v>45606</v>
      </c>
      <c r="B889" t="s">
        <v>531</v>
      </c>
      <c r="C889" t="s">
        <v>7</v>
      </c>
      <c r="D889" s="2">
        <v>5000</v>
      </c>
      <c r="E889" s="2">
        <v>0</v>
      </c>
      <c r="F889" s="2">
        <v>29453.3</v>
      </c>
      <c r="G889" s="2" t="str">
        <f t="shared" si="14"/>
        <v>10-11-2024 UPI/P2A/687769167607/PRAMOD SHARMA S/O S N/Paymen/Axis Bank Ltd.</v>
      </c>
      <c r="H889" s="2" t="s">
        <v>1911</v>
      </c>
      <c r="I889" t="s">
        <v>356</v>
      </c>
      <c r="J889" t="s">
        <v>1895</v>
      </c>
    </row>
    <row r="890" spans="1:10" x14ac:dyDescent="0.3">
      <c r="A890" s="1">
        <v>45606</v>
      </c>
      <c r="B890" t="s">
        <v>532</v>
      </c>
      <c r="C890" t="s">
        <v>7</v>
      </c>
      <c r="D890" s="2">
        <v>500</v>
      </c>
      <c r="E890" s="2">
        <v>0</v>
      </c>
      <c r="F890" s="2">
        <v>28953.3</v>
      </c>
      <c r="G890" s="2" t="str">
        <f t="shared" si="14"/>
        <v>10-11-2024 UPI/P2M/472515527171/PhonePe              /Paymen/Axis Bank Ltd.</v>
      </c>
      <c r="H890" s="2" t="s">
        <v>1911</v>
      </c>
      <c r="I890" t="s">
        <v>356</v>
      </c>
      <c r="J890" t="s">
        <v>1895</v>
      </c>
    </row>
    <row r="891" spans="1:10" x14ac:dyDescent="0.3">
      <c r="A891" s="1">
        <v>45607</v>
      </c>
      <c r="B891" t="s">
        <v>1744</v>
      </c>
      <c r="C891" t="s">
        <v>1809</v>
      </c>
      <c r="D891" s="2">
        <v>707</v>
      </c>
      <c r="E891" s="2">
        <v>0</v>
      </c>
      <c r="F891" s="2">
        <v>62990.36</v>
      </c>
      <c r="G891" s="2" t="str">
        <f t="shared" si="14"/>
        <v>11-11-2024    TO TRANSFER-INB SBICARD FOR BILLDESK      SBICARD Payments--</v>
      </c>
      <c r="H891" s="2" t="s">
        <v>1911</v>
      </c>
      <c r="I891" t="s">
        <v>1838</v>
      </c>
      <c r="J891" t="s">
        <v>1899</v>
      </c>
    </row>
    <row r="892" spans="1:10" x14ac:dyDescent="0.3">
      <c r="A892" s="1">
        <v>45607</v>
      </c>
      <c r="B892" t="s">
        <v>1263</v>
      </c>
      <c r="C892" t="s">
        <v>1264</v>
      </c>
      <c r="D892" s="2">
        <v>0</v>
      </c>
      <c r="E892" s="2">
        <v>28183.96</v>
      </c>
      <c r="F892" s="2">
        <v>190993.91</v>
      </c>
      <c r="G892" s="2" t="str">
        <f t="shared" si="14"/>
        <v>11-11-2024 FT- 580762037-50200085415108 - HDFC SECURITIES LTD-CLIENT DSCNB A/C -</v>
      </c>
      <c r="H892" s="2" t="s">
        <v>1911</v>
      </c>
      <c r="I892" t="s">
        <v>1876</v>
      </c>
      <c r="J892" t="s">
        <v>1896</v>
      </c>
    </row>
    <row r="893" spans="1:10" x14ac:dyDescent="0.3">
      <c r="A893" s="1">
        <v>45607</v>
      </c>
      <c r="B893" t="s">
        <v>125</v>
      </c>
      <c r="C893" t="s">
        <v>1266</v>
      </c>
      <c r="D893" s="2">
        <v>883.83</v>
      </c>
      <c r="E893" s="2">
        <v>0</v>
      </c>
      <c r="F893" s="2">
        <v>180110.07999999999</v>
      </c>
      <c r="G893" s="2" t="str">
        <f t="shared" si="14"/>
        <v>11-11-2024 NET PI TO HSL SEC A/C 347707-00602340029392</v>
      </c>
      <c r="H893" s="2" t="s">
        <v>1911</v>
      </c>
      <c r="I893" t="s">
        <v>361</v>
      </c>
      <c r="J893" t="s">
        <v>1896</v>
      </c>
    </row>
    <row r="894" spans="1:10" x14ac:dyDescent="0.3">
      <c r="A894" s="1">
        <v>45607</v>
      </c>
      <c r="B894" t="s">
        <v>146</v>
      </c>
      <c r="C894" t="s">
        <v>1265</v>
      </c>
      <c r="D894" s="2">
        <v>10000</v>
      </c>
      <c r="E894" s="2">
        <v>0</v>
      </c>
      <c r="F894" s="2">
        <v>180993.91</v>
      </c>
      <c r="G894" s="2" t="str">
        <f t="shared" si="14"/>
        <v>11-11-2024 ACH D- INDIAN CLEARING CORP-P25847605X05</v>
      </c>
      <c r="H894" s="2" t="s">
        <v>1911</v>
      </c>
      <c r="I894" t="s">
        <v>1854</v>
      </c>
      <c r="J894" t="s">
        <v>1896</v>
      </c>
    </row>
    <row r="895" spans="1:10" x14ac:dyDescent="0.3">
      <c r="A895" s="1">
        <v>45608</v>
      </c>
      <c r="B895" t="s">
        <v>125</v>
      </c>
      <c r="C895" t="s">
        <v>1267</v>
      </c>
      <c r="D895" s="2">
        <v>17702.580000000002</v>
      </c>
      <c r="E895" s="2">
        <v>0</v>
      </c>
      <c r="F895" s="2">
        <v>162407.5</v>
      </c>
      <c r="G895" s="2" t="str">
        <f t="shared" si="14"/>
        <v>12-11-2024 NET PI TO HSL SEC A/C 347707-00602340029392</v>
      </c>
      <c r="H895" s="2" t="s">
        <v>1911</v>
      </c>
      <c r="I895" t="s">
        <v>361</v>
      </c>
      <c r="J895" t="s">
        <v>1896</v>
      </c>
    </row>
    <row r="896" spans="1:10" x14ac:dyDescent="0.3">
      <c r="A896" s="1">
        <v>45608</v>
      </c>
      <c r="B896" t="s">
        <v>125</v>
      </c>
      <c r="C896" t="s">
        <v>1268</v>
      </c>
      <c r="D896" s="2">
        <v>37.770000000000003</v>
      </c>
      <c r="E896" s="2">
        <v>0</v>
      </c>
      <c r="F896" s="2">
        <v>162369.73000000001</v>
      </c>
      <c r="G896" s="2" t="str">
        <f t="shared" si="14"/>
        <v>12-11-2024 NET PI TO HSL SEC A/C 347707-00602340029392</v>
      </c>
      <c r="H896" s="2" t="s">
        <v>1911</v>
      </c>
      <c r="I896" t="s">
        <v>361</v>
      </c>
      <c r="J896" t="s">
        <v>1896</v>
      </c>
    </row>
    <row r="897" spans="1:11" x14ac:dyDescent="0.3">
      <c r="A897" s="1">
        <v>45608</v>
      </c>
      <c r="B897" t="s">
        <v>125</v>
      </c>
      <c r="C897" t="s">
        <v>1269</v>
      </c>
      <c r="D897" s="2">
        <v>288.3</v>
      </c>
      <c r="E897" s="2">
        <v>0</v>
      </c>
      <c r="F897" s="2">
        <v>162081.43</v>
      </c>
      <c r="G897" s="2" t="str">
        <f t="shared" si="14"/>
        <v>12-11-2024 NET PI TO HSL SEC A/C 347707-00602340029392</v>
      </c>
      <c r="H897" s="2" t="s">
        <v>1911</v>
      </c>
      <c r="I897" t="s">
        <v>361</v>
      </c>
      <c r="J897" t="s">
        <v>1896</v>
      </c>
    </row>
    <row r="898" spans="1:11" x14ac:dyDescent="0.3">
      <c r="A898" s="1">
        <v>45608</v>
      </c>
      <c r="B898" t="s">
        <v>125</v>
      </c>
      <c r="C898" t="s">
        <v>1272</v>
      </c>
      <c r="D898" s="2">
        <v>4269.63</v>
      </c>
      <c r="E898" s="2">
        <v>0</v>
      </c>
      <c r="F898" s="2">
        <v>164268.79999999999</v>
      </c>
      <c r="G898" s="2" t="str">
        <f t="shared" si="14"/>
        <v>12-11-2024 NET PI TO HSL SEC A/C 347707-00602340029392</v>
      </c>
      <c r="H898" s="2" t="s">
        <v>1911</v>
      </c>
      <c r="I898" t="s">
        <v>361</v>
      </c>
      <c r="J898" t="s">
        <v>1896</v>
      </c>
    </row>
    <row r="899" spans="1:11" x14ac:dyDescent="0.3">
      <c r="A899" s="1">
        <v>45608</v>
      </c>
      <c r="B899" t="s">
        <v>1270</v>
      </c>
      <c r="C899" t="s">
        <v>1271</v>
      </c>
      <c r="D899" s="2">
        <v>0</v>
      </c>
      <c r="E899" s="2">
        <v>6457</v>
      </c>
      <c r="F899" s="2">
        <v>168538.43</v>
      </c>
      <c r="G899" s="2" t="str">
        <f t="shared" si="14"/>
        <v>12-11-2024 NEFT CR-YESB0000001-INDIAN CLEARING CORP-AJAYKUMARGUPTA-YESIG43170099112</v>
      </c>
      <c r="H899" s="2" t="s">
        <v>1911</v>
      </c>
      <c r="I899" t="s">
        <v>1884</v>
      </c>
      <c r="J899" t="s">
        <v>1896</v>
      </c>
    </row>
    <row r="900" spans="1:11" x14ac:dyDescent="0.3">
      <c r="A900" s="1">
        <v>45609</v>
      </c>
      <c r="B900" t="s">
        <v>1273</v>
      </c>
      <c r="C900" t="s">
        <v>140</v>
      </c>
      <c r="D900" s="2">
        <v>700.31</v>
      </c>
      <c r="E900" s="2">
        <v>0</v>
      </c>
      <c r="F900" s="2">
        <v>163568.49</v>
      </c>
      <c r="G900" s="2" t="str">
        <f t="shared" si="14"/>
        <v>13-11-2024 DEPOSITORY CHARGES OCT24 - 40227714</v>
      </c>
      <c r="H900" s="2" t="s">
        <v>1911</v>
      </c>
      <c r="I900" t="s">
        <v>362</v>
      </c>
      <c r="J900" t="s">
        <v>1896</v>
      </c>
    </row>
    <row r="901" spans="1:11" x14ac:dyDescent="0.3">
      <c r="A901" s="1">
        <v>45609</v>
      </c>
      <c r="B901" t="s">
        <v>125</v>
      </c>
      <c r="C901" t="s">
        <v>1274</v>
      </c>
      <c r="D901" s="2">
        <v>289.45</v>
      </c>
      <c r="E901" s="2">
        <v>0</v>
      </c>
      <c r="F901" s="2">
        <v>163279.04000000001</v>
      </c>
      <c r="G901" s="2" t="str">
        <f t="shared" si="14"/>
        <v>13-11-2024 NET PI TO HSL SEC A/C 347707-00602340029392</v>
      </c>
      <c r="H901" s="2" t="s">
        <v>1911</v>
      </c>
      <c r="I901" t="s">
        <v>361</v>
      </c>
      <c r="J901" t="s">
        <v>1896</v>
      </c>
    </row>
    <row r="902" spans="1:11" x14ac:dyDescent="0.3">
      <c r="A902" s="1">
        <v>45609</v>
      </c>
      <c r="B902" t="s">
        <v>125</v>
      </c>
      <c r="C902" t="s">
        <v>1275</v>
      </c>
      <c r="D902" s="2">
        <v>22366.67</v>
      </c>
      <c r="E902" s="2">
        <v>0</v>
      </c>
      <c r="F902" s="2">
        <v>140912.37</v>
      </c>
      <c r="G902" s="2" t="str">
        <f t="shared" si="14"/>
        <v>13-11-2024 NET PI TO HSL SEC A/C 347707-00602340029392</v>
      </c>
      <c r="H902" s="2" t="s">
        <v>1911</v>
      </c>
      <c r="I902" t="s">
        <v>361</v>
      </c>
      <c r="J902" t="s">
        <v>1896</v>
      </c>
    </row>
    <row r="903" spans="1:11" x14ac:dyDescent="0.3">
      <c r="A903" s="1">
        <v>45609</v>
      </c>
      <c r="B903" t="s">
        <v>533</v>
      </c>
      <c r="C903" t="s">
        <v>7</v>
      </c>
      <c r="D903" s="2">
        <v>7600</v>
      </c>
      <c r="E903" s="2">
        <v>0</v>
      </c>
      <c r="F903" s="2">
        <v>21353.3</v>
      </c>
      <c r="G903" s="2" t="str">
        <f t="shared" si="14"/>
        <v>13-11-2024 UPI/P2M/492235370156/M S SHREE RAM TRADERS/Cloth/Yes Bank Ltd</v>
      </c>
      <c r="H903" s="2" t="s">
        <v>1911</v>
      </c>
      <c r="I903" t="s">
        <v>1925</v>
      </c>
      <c r="J903" t="s">
        <v>1895</v>
      </c>
    </row>
    <row r="904" spans="1:11" x14ac:dyDescent="0.3">
      <c r="A904" s="1">
        <v>45609</v>
      </c>
      <c r="B904" t="s">
        <v>534</v>
      </c>
      <c r="C904" t="s">
        <v>7</v>
      </c>
      <c r="D904" s="2">
        <v>2800</v>
      </c>
      <c r="E904" s="2">
        <v>0</v>
      </c>
      <c r="F904" s="2">
        <v>18553.3</v>
      </c>
      <c r="G904" s="2" t="str">
        <f t="shared" si="14"/>
        <v>13-11-2024 UPI/P2M/788569025264/AJANTA ART TAILOR AND/Cloth/Yes Bank Ltd</v>
      </c>
      <c r="H904" s="2" t="s">
        <v>1911</v>
      </c>
      <c r="I904" t="s">
        <v>356</v>
      </c>
      <c r="J904" t="s">
        <v>1895</v>
      </c>
    </row>
    <row r="905" spans="1:11" x14ac:dyDescent="0.3">
      <c r="A905" s="1">
        <v>45610</v>
      </c>
      <c r="B905" t="s">
        <v>125</v>
      </c>
      <c r="C905" t="s">
        <v>1276</v>
      </c>
      <c r="D905" s="2">
        <v>281.49</v>
      </c>
      <c r="E905" s="2">
        <v>0</v>
      </c>
      <c r="F905" s="2">
        <v>140630.88</v>
      </c>
      <c r="G905" s="2" t="str">
        <f t="shared" si="14"/>
        <v>14-11-2024 NET PI TO HSL SEC A/C 347707-00602340029392</v>
      </c>
      <c r="H905" s="2" t="s">
        <v>1911</v>
      </c>
      <c r="I905" t="s">
        <v>361</v>
      </c>
      <c r="J905" t="s">
        <v>1896</v>
      </c>
    </row>
    <row r="906" spans="1:11" x14ac:dyDescent="0.3">
      <c r="A906" s="1">
        <v>45610</v>
      </c>
      <c r="B906" t="s">
        <v>125</v>
      </c>
      <c r="C906" t="s">
        <v>1277</v>
      </c>
      <c r="D906" s="2">
        <v>5258.97</v>
      </c>
      <c r="E906" s="2">
        <v>0</v>
      </c>
      <c r="F906" s="2">
        <v>135371.91</v>
      </c>
      <c r="G906" s="2" t="str">
        <f t="shared" si="14"/>
        <v>14-11-2024 NET PI TO HSL SEC A/C 347707-00602340029392</v>
      </c>
      <c r="H906" s="2" t="s">
        <v>1911</v>
      </c>
      <c r="I906" t="s">
        <v>361</v>
      </c>
      <c r="J906" t="s">
        <v>1896</v>
      </c>
    </row>
    <row r="907" spans="1:11" x14ac:dyDescent="0.3">
      <c r="A907" s="1">
        <v>45610</v>
      </c>
      <c r="B907" t="s">
        <v>535</v>
      </c>
      <c r="C907" t="s">
        <v>7</v>
      </c>
      <c r="D907" s="2">
        <v>3500</v>
      </c>
      <c r="E907" s="2">
        <v>0</v>
      </c>
      <c r="F907" s="2">
        <v>15053.3</v>
      </c>
      <c r="G907" s="2" t="str">
        <f t="shared" si="14"/>
        <v>14-11-2024 UPI/P2M/032327422731/NAZRA PARVEEN        /Jodhpu/Yes Bank Ltd</v>
      </c>
      <c r="H907" s="2" t="s">
        <v>1911</v>
      </c>
      <c r="I907" t="s">
        <v>356</v>
      </c>
      <c r="J907" t="s">
        <v>1895</v>
      </c>
    </row>
    <row r="908" spans="1:11" x14ac:dyDescent="0.3">
      <c r="A908" s="1">
        <v>45610</v>
      </c>
      <c r="B908" t="s">
        <v>536</v>
      </c>
      <c r="C908" t="s">
        <v>7</v>
      </c>
      <c r="D908" s="2">
        <v>144</v>
      </c>
      <c r="E908" s="2">
        <v>0</v>
      </c>
      <c r="F908" s="2">
        <v>14909.3</v>
      </c>
      <c r="G908" s="2" t="str">
        <f t="shared" si="14"/>
        <v>14-11-2024 UPI/P2M/699008389556/UDIT MEDICOS         /Medice/HDFC BANK LTD</v>
      </c>
      <c r="H908" s="2" t="s">
        <v>1911</v>
      </c>
      <c r="I908" t="s">
        <v>356</v>
      </c>
      <c r="J908" t="s">
        <v>1895</v>
      </c>
    </row>
    <row r="909" spans="1:11" x14ac:dyDescent="0.3">
      <c r="A909" s="1">
        <v>45611</v>
      </c>
      <c r="B909" t="s">
        <v>537</v>
      </c>
      <c r="C909" t="s">
        <v>7</v>
      </c>
      <c r="D909" s="2">
        <v>0</v>
      </c>
      <c r="E909" s="2">
        <v>100000</v>
      </c>
      <c r="F909" s="2">
        <v>114909.3</v>
      </c>
      <c r="G909" s="2" t="str">
        <f t="shared" si="14"/>
        <v>15-11-2024 NEFT/SBIN524320884728/Mr AJAY KUMAR GUPTA/STATE BANK OF INDIA//ATTN//INB//Marriage expenses</v>
      </c>
      <c r="H909" s="2" t="s">
        <v>1911</v>
      </c>
      <c r="I909" t="s">
        <v>1906</v>
      </c>
      <c r="J909" t="s">
        <v>1895</v>
      </c>
      <c r="K909" t="s">
        <v>1913</v>
      </c>
    </row>
    <row r="910" spans="1:11" x14ac:dyDescent="0.3">
      <c r="A910" s="1">
        <v>45611</v>
      </c>
      <c r="B910" t="s">
        <v>774</v>
      </c>
      <c r="C910" t="s">
        <v>775</v>
      </c>
      <c r="D910" s="2">
        <v>100000</v>
      </c>
      <c r="E910" s="2">
        <v>0</v>
      </c>
      <c r="F910" s="2">
        <v>-176302.37</v>
      </c>
      <c r="G910" s="2" t="str">
        <f t="shared" si="14"/>
        <v>15-11-2024    TO TRANSFER-INB NEFT UTR NO: SBIN524320884728--AJAY KUMAR GUPTA</v>
      </c>
      <c r="H910" s="2" t="s">
        <v>1911</v>
      </c>
      <c r="I910" t="s">
        <v>1907</v>
      </c>
      <c r="J910" t="s">
        <v>1897</v>
      </c>
      <c r="K910" t="s">
        <v>1913</v>
      </c>
    </row>
    <row r="911" spans="1:11" x14ac:dyDescent="0.3">
      <c r="A911" s="1">
        <v>45611</v>
      </c>
      <c r="B911" t="s">
        <v>538</v>
      </c>
      <c r="C911" t="s">
        <v>7</v>
      </c>
      <c r="D911" s="2">
        <v>883</v>
      </c>
      <c r="E911" s="2">
        <v>0</v>
      </c>
      <c r="F911" s="2">
        <v>114026.3</v>
      </c>
      <c r="G911" s="2" t="str">
        <f t="shared" si="14"/>
        <v>15-11-2024 NBSM/82248593/CALCUTTA ELECTRIC SUPPLY CORPO(BILL</v>
      </c>
      <c r="H911" s="2" t="s">
        <v>1911</v>
      </c>
      <c r="I911" t="s">
        <v>357</v>
      </c>
      <c r="J911" t="s">
        <v>1895</v>
      </c>
    </row>
    <row r="912" spans="1:11" x14ac:dyDescent="0.3">
      <c r="A912" s="1">
        <v>45611</v>
      </c>
      <c r="B912" t="s">
        <v>1278</v>
      </c>
      <c r="C912" t="s">
        <v>1279</v>
      </c>
      <c r="D912" s="2">
        <v>25000</v>
      </c>
      <c r="E912" s="2">
        <v>0</v>
      </c>
      <c r="F912" s="2">
        <v>110371.91</v>
      </c>
      <c r="G912" s="2" t="str">
        <f t="shared" si="14"/>
        <v>15-11-2024 01671000060094-TPT-BORROW FROM AJAY HDFC-SUNITA GUPTA</v>
      </c>
      <c r="H912" s="2" t="s">
        <v>1911</v>
      </c>
      <c r="I912" t="s">
        <v>1852</v>
      </c>
      <c r="J912" t="s">
        <v>1896</v>
      </c>
    </row>
    <row r="913" spans="1:10" x14ac:dyDescent="0.3">
      <c r="A913" s="1">
        <v>45611</v>
      </c>
      <c r="B913" t="s">
        <v>539</v>
      </c>
      <c r="C913" t="s">
        <v>7</v>
      </c>
      <c r="D913" s="2">
        <v>28810</v>
      </c>
      <c r="E913" s="2">
        <v>0</v>
      </c>
      <c r="F913" s="2">
        <v>85216.3</v>
      </c>
      <c r="G913" s="2" t="str">
        <f t="shared" si="14"/>
        <v>15-11-2024 UPI/P2M/054320438959/ABHINDANCLOTHMERCHANT/Manoha/Yes Bank Ltd</v>
      </c>
      <c r="H913" s="2" t="s">
        <v>1911</v>
      </c>
      <c r="I913" t="s">
        <v>1925</v>
      </c>
      <c r="J913" t="s">
        <v>1895</v>
      </c>
    </row>
    <row r="914" spans="1:10" x14ac:dyDescent="0.3">
      <c r="A914" s="1">
        <v>45612</v>
      </c>
      <c r="B914" t="s">
        <v>1280</v>
      </c>
      <c r="C914" t="s">
        <v>1281</v>
      </c>
      <c r="D914" s="2">
        <v>0</v>
      </c>
      <c r="E914" s="2">
        <v>210</v>
      </c>
      <c r="F914" s="2">
        <v>110581.91</v>
      </c>
      <c r="G914" s="2" t="str">
        <f t="shared" si="14"/>
        <v>16-11-2024 DR LAL PATH DIV24 2500000000000000008240</v>
      </c>
      <c r="H914" s="2" t="s">
        <v>1911</v>
      </c>
      <c r="I914" t="s">
        <v>367</v>
      </c>
      <c r="J914" t="s">
        <v>1896</v>
      </c>
    </row>
    <row r="915" spans="1:10" x14ac:dyDescent="0.3">
      <c r="A915" s="1">
        <v>45612</v>
      </c>
      <c r="B915" t="s">
        <v>540</v>
      </c>
      <c r="C915" t="s">
        <v>7</v>
      </c>
      <c r="D915" s="2">
        <v>170</v>
      </c>
      <c r="E915" s="2">
        <v>0</v>
      </c>
      <c r="F915" s="2">
        <v>85046.3</v>
      </c>
      <c r="G915" s="2" t="str">
        <f t="shared" si="14"/>
        <v>16-11-2024 UPI/P2M/271749319653/MUKESH GOYAL         /Kirana/ICICI Bank</v>
      </c>
      <c r="H915" s="2" t="s">
        <v>1911</v>
      </c>
      <c r="I915" t="s">
        <v>356</v>
      </c>
      <c r="J915" t="s">
        <v>1895</v>
      </c>
    </row>
    <row r="916" spans="1:10" x14ac:dyDescent="0.3">
      <c r="A916" s="1">
        <v>45613</v>
      </c>
      <c r="B916" t="s">
        <v>541</v>
      </c>
      <c r="C916" t="s">
        <v>7</v>
      </c>
      <c r="D916" s="2">
        <v>10</v>
      </c>
      <c r="E916" s="2">
        <v>0</v>
      </c>
      <c r="F916" s="2">
        <v>85036.3</v>
      </c>
      <c r="G916" s="2" t="str">
        <f t="shared" si="14"/>
        <v>17-11-2024 UPI/P2M/071495627161/GIRDHAR GOPAL GUPTA S/Pay to/Federal Bank</v>
      </c>
      <c r="H916" s="2" t="s">
        <v>1911</v>
      </c>
      <c r="I916" t="s">
        <v>356</v>
      </c>
      <c r="J916" t="s">
        <v>1895</v>
      </c>
    </row>
    <row r="917" spans="1:10" x14ac:dyDescent="0.3">
      <c r="A917" s="1">
        <v>45613</v>
      </c>
      <c r="B917" t="s">
        <v>542</v>
      </c>
      <c r="C917" t="s">
        <v>7</v>
      </c>
      <c r="D917" s="2">
        <v>400</v>
      </c>
      <c r="E917" s="2">
        <v>0</v>
      </c>
      <c r="F917" s="2">
        <v>84636.3</v>
      </c>
      <c r="G917" s="2" t="str">
        <f t="shared" si="14"/>
        <v>17-11-2024 UPI/P2M/482406651300/RISHABH JAIN AND SON /Mosqui/Yes Bank Ltd</v>
      </c>
      <c r="H917" s="2" t="s">
        <v>1911</v>
      </c>
      <c r="I917" t="s">
        <v>356</v>
      </c>
      <c r="J917" t="s">
        <v>1895</v>
      </c>
    </row>
    <row r="918" spans="1:10" x14ac:dyDescent="0.3">
      <c r="A918" s="1">
        <v>45613</v>
      </c>
      <c r="B918" t="s">
        <v>543</v>
      </c>
      <c r="C918" t="s">
        <v>7</v>
      </c>
      <c r="D918" s="2">
        <v>2407</v>
      </c>
      <c r="E918" s="2">
        <v>0</v>
      </c>
      <c r="F918" s="2">
        <v>82229.3</v>
      </c>
      <c r="G918" s="2" t="str">
        <f t="shared" si="14"/>
        <v>17-11-2024 UPI/P2M/694649127014/MUKESH GOYAL         /Kirana/ICICI Bank</v>
      </c>
      <c r="H918" s="2" t="s">
        <v>1911</v>
      </c>
      <c r="I918" t="s">
        <v>356</v>
      </c>
      <c r="J918" t="s">
        <v>1895</v>
      </c>
    </row>
    <row r="919" spans="1:10" x14ac:dyDescent="0.3">
      <c r="A919" s="1">
        <v>45614</v>
      </c>
      <c r="B919" t="s">
        <v>1243</v>
      </c>
      <c r="C919" t="s">
        <v>1287</v>
      </c>
      <c r="D919" s="2">
        <v>20000</v>
      </c>
      <c r="E919" s="2">
        <v>0</v>
      </c>
      <c r="F919" s="2">
        <v>79645.36</v>
      </c>
      <c r="G919" s="2" t="str">
        <f t="shared" si="14"/>
        <v>18-11-2024 ATW-512967XXXXXX1000-S1ANRS37-KOTA</v>
      </c>
      <c r="H919" s="2" t="s">
        <v>1911</v>
      </c>
      <c r="I919" t="s">
        <v>366</v>
      </c>
      <c r="J919" t="s">
        <v>1896</v>
      </c>
    </row>
    <row r="920" spans="1:10" x14ac:dyDescent="0.3">
      <c r="A920" s="1">
        <v>45614</v>
      </c>
      <c r="B920" t="s">
        <v>1284</v>
      </c>
      <c r="C920" t="s">
        <v>1285</v>
      </c>
      <c r="D920" s="2">
        <v>0</v>
      </c>
      <c r="E920" s="2">
        <v>52.5</v>
      </c>
      <c r="F920" s="2">
        <v>99515.93</v>
      </c>
      <c r="G920" s="2" t="str">
        <f t="shared" si="14"/>
        <v>18-11-2024 ACH C- NTPC-INT DIV 24-25-NT021124016971</v>
      </c>
      <c r="H920" s="2" t="s">
        <v>1911</v>
      </c>
      <c r="I920" t="s">
        <v>367</v>
      </c>
      <c r="J920" t="s">
        <v>1896</v>
      </c>
    </row>
    <row r="921" spans="1:10" x14ac:dyDescent="0.3">
      <c r="A921" s="1">
        <v>45614</v>
      </c>
      <c r="B921" t="s">
        <v>125</v>
      </c>
      <c r="C921" t="s">
        <v>1283</v>
      </c>
      <c r="D921" s="2">
        <v>1118.48</v>
      </c>
      <c r="E921" s="2">
        <v>0</v>
      </c>
      <c r="F921" s="2">
        <v>99463.43</v>
      </c>
      <c r="G921" s="2" t="str">
        <f t="shared" si="14"/>
        <v>18-11-2024 NET PI TO HSL SEC A/C 347707-00602340029392</v>
      </c>
      <c r="H921" s="2" t="s">
        <v>1911</v>
      </c>
      <c r="I921" t="s">
        <v>361</v>
      </c>
      <c r="J921" t="s">
        <v>1896</v>
      </c>
    </row>
    <row r="922" spans="1:10" x14ac:dyDescent="0.3">
      <c r="A922" s="1">
        <v>45614</v>
      </c>
      <c r="B922" t="s">
        <v>146</v>
      </c>
      <c r="C922" t="s">
        <v>1282</v>
      </c>
      <c r="D922" s="2">
        <v>10000</v>
      </c>
      <c r="E922" s="2">
        <v>0</v>
      </c>
      <c r="F922" s="2">
        <v>100581.91</v>
      </c>
      <c r="G922" s="2" t="str">
        <f t="shared" si="14"/>
        <v>18-11-2024 ACH D- INDIAN CLEARING CORP-P25847605X05</v>
      </c>
      <c r="H922" s="2" t="s">
        <v>1911</v>
      </c>
      <c r="I922" t="s">
        <v>1854</v>
      </c>
      <c r="J922" t="s">
        <v>1896</v>
      </c>
    </row>
    <row r="923" spans="1:10" x14ac:dyDescent="0.3">
      <c r="A923" s="1">
        <v>45614</v>
      </c>
      <c r="B923" t="s">
        <v>544</v>
      </c>
      <c r="C923" t="s">
        <v>7</v>
      </c>
      <c r="D923" s="2">
        <v>430</v>
      </c>
      <c r="E923" s="2">
        <v>0</v>
      </c>
      <c r="F923" s="2">
        <v>81799.3</v>
      </c>
      <c r="G923" s="2" t="str">
        <f t="shared" si="14"/>
        <v>18-11-2024 UPI/P2M/368938077496/Shubham Filling Stati/Petrol/Yes Bank Ltd</v>
      </c>
      <c r="H923" s="2" t="s">
        <v>1911</v>
      </c>
      <c r="I923" t="s">
        <v>356</v>
      </c>
      <c r="J923" t="s">
        <v>1895</v>
      </c>
    </row>
    <row r="924" spans="1:10" x14ac:dyDescent="0.3">
      <c r="A924" s="1">
        <v>45614</v>
      </c>
      <c r="B924" t="s">
        <v>236</v>
      </c>
      <c r="C924" t="s">
        <v>1286</v>
      </c>
      <c r="D924" s="2">
        <v>0</v>
      </c>
      <c r="E924" s="2">
        <v>129.43</v>
      </c>
      <c r="F924" s="2">
        <v>99645.36</v>
      </c>
      <c r="G924" s="2" t="str">
        <f t="shared" si="14"/>
        <v>18-11-2024 00012050001396HLY INT-IN0020200286</v>
      </c>
      <c r="H924" s="2" t="s">
        <v>1911</v>
      </c>
      <c r="I924" t="s">
        <v>369</v>
      </c>
      <c r="J924" t="s">
        <v>1896</v>
      </c>
    </row>
    <row r="925" spans="1:10" x14ac:dyDescent="0.3">
      <c r="A925" s="1">
        <v>45615</v>
      </c>
      <c r="B925" t="s">
        <v>1291</v>
      </c>
      <c r="C925" t="s">
        <v>1292</v>
      </c>
      <c r="D925" s="2">
        <v>0</v>
      </c>
      <c r="E925" s="2">
        <v>770</v>
      </c>
      <c r="F925" s="2">
        <v>89749.04</v>
      </c>
      <c r="G925" s="2" t="str">
        <f t="shared" si="14"/>
        <v>19-11-2024 ACH C- SHRIRAM.FINLTD IDV25-STFCIN300476</v>
      </c>
      <c r="H925" s="2" t="s">
        <v>1911</v>
      </c>
      <c r="I925" t="s">
        <v>367</v>
      </c>
      <c r="J925" t="s">
        <v>1896</v>
      </c>
    </row>
    <row r="926" spans="1:10" x14ac:dyDescent="0.3">
      <c r="A926" s="1">
        <v>45615</v>
      </c>
      <c r="B926" t="s">
        <v>1288</v>
      </c>
      <c r="C926" t="s">
        <v>1289</v>
      </c>
      <c r="D926" s="2">
        <v>0</v>
      </c>
      <c r="E926" s="2">
        <v>9615.64</v>
      </c>
      <c r="F926" s="2">
        <v>89261</v>
      </c>
      <c r="G926" s="2" t="str">
        <f t="shared" si="14"/>
        <v>19-11-2024 FT- 583182408-50200085415108 - HDFC SECURITIES LTD-CLIENT DSCNB A/C -</v>
      </c>
      <c r="H926" s="2" t="s">
        <v>1911</v>
      </c>
      <c r="I926" t="s">
        <v>1876</v>
      </c>
      <c r="J926" t="s">
        <v>1896</v>
      </c>
    </row>
    <row r="927" spans="1:10" x14ac:dyDescent="0.3">
      <c r="A927" s="1">
        <v>45615</v>
      </c>
      <c r="B927" t="s">
        <v>125</v>
      </c>
      <c r="C927" t="s">
        <v>1290</v>
      </c>
      <c r="D927" s="2">
        <v>281.95999999999998</v>
      </c>
      <c r="E927" s="2">
        <v>0</v>
      </c>
      <c r="F927" s="2">
        <v>88979.04</v>
      </c>
      <c r="G927" s="2" t="str">
        <f t="shared" si="14"/>
        <v>19-11-2024 NET PI TO HSL SEC A/C 347707-00602340029392</v>
      </c>
      <c r="H927" s="2" t="s">
        <v>1911</v>
      </c>
      <c r="I927" t="s">
        <v>361</v>
      </c>
      <c r="J927" t="s">
        <v>1896</v>
      </c>
    </row>
    <row r="928" spans="1:10" x14ac:dyDescent="0.3">
      <c r="A928" s="1">
        <v>45615</v>
      </c>
      <c r="B928" t="s">
        <v>545</v>
      </c>
      <c r="C928" t="s">
        <v>7</v>
      </c>
      <c r="D928" s="2">
        <v>2951</v>
      </c>
      <c r="E928" s="2">
        <v>0</v>
      </c>
      <c r="F928" s="2">
        <v>78848.3</v>
      </c>
      <c r="G928" s="2" t="str">
        <f t="shared" si="14"/>
        <v>19-11-2024 UPI/P2A/818948410828/Dhanraj Prajapati    /Diesal/BANK OF BARODA</v>
      </c>
      <c r="H928" s="2" t="s">
        <v>1911</v>
      </c>
      <c r="I928" t="s">
        <v>356</v>
      </c>
      <c r="J928" t="s">
        <v>1895</v>
      </c>
    </row>
    <row r="929" spans="1:10" x14ac:dyDescent="0.3">
      <c r="A929" s="1">
        <v>45616</v>
      </c>
      <c r="B929" t="s">
        <v>546</v>
      </c>
      <c r="C929" t="s">
        <v>7</v>
      </c>
      <c r="D929" s="2">
        <v>30</v>
      </c>
      <c r="E929" s="2">
        <v>0</v>
      </c>
      <c r="F929" s="2">
        <v>78818.3</v>
      </c>
      <c r="G929" s="2" t="str">
        <f t="shared" si="14"/>
        <v>20-11-2024 UPI/P2M/506450097062/VAIBHAV  SHARMA      /Print/Yes Bank Ltd</v>
      </c>
      <c r="H929" s="2" t="s">
        <v>1911</v>
      </c>
      <c r="I929" t="s">
        <v>356</v>
      </c>
      <c r="J929" t="s">
        <v>1895</v>
      </c>
    </row>
    <row r="930" spans="1:10" x14ac:dyDescent="0.3">
      <c r="A930" s="1">
        <v>45616</v>
      </c>
      <c r="B930" t="s">
        <v>547</v>
      </c>
      <c r="C930" t="s">
        <v>7</v>
      </c>
      <c r="D930" s="2">
        <v>7</v>
      </c>
      <c r="E930" s="2">
        <v>0</v>
      </c>
      <c r="F930" s="2">
        <v>78811.3</v>
      </c>
      <c r="G930" s="2" t="str">
        <f t="shared" si="14"/>
        <v>20-11-2024 UPI/P2M/377358112890/Hariom Modi          /Zarda/Yes Bank Ltd</v>
      </c>
      <c r="H930" s="2" t="s">
        <v>1911</v>
      </c>
      <c r="I930" t="s">
        <v>356</v>
      </c>
      <c r="J930" t="s">
        <v>1895</v>
      </c>
    </row>
    <row r="931" spans="1:10" x14ac:dyDescent="0.3">
      <c r="A931" s="1">
        <v>45617</v>
      </c>
      <c r="B931" t="s">
        <v>1293</v>
      </c>
      <c r="C931" t="s">
        <v>1294</v>
      </c>
      <c r="D931" s="2">
        <v>0</v>
      </c>
      <c r="E931" s="2">
        <v>4426.17</v>
      </c>
      <c r="F931" s="2">
        <v>94175.21</v>
      </c>
      <c r="G931" s="2" t="str">
        <f t="shared" si="14"/>
        <v>21-11-2024 FT- 583578543-50200085415108 - HDFC SECURITIES LTD-CLIENT DSCNB A/C -</v>
      </c>
      <c r="H931" s="2" t="s">
        <v>1911</v>
      </c>
      <c r="I931" t="s">
        <v>1876</v>
      </c>
      <c r="J931" t="s">
        <v>1896</v>
      </c>
    </row>
    <row r="932" spans="1:10" x14ac:dyDescent="0.3">
      <c r="A932" s="1">
        <v>45617</v>
      </c>
      <c r="B932" t="s">
        <v>125</v>
      </c>
      <c r="C932" t="s">
        <v>1296</v>
      </c>
      <c r="D932" s="2">
        <v>570.78</v>
      </c>
      <c r="E932" s="2">
        <v>0</v>
      </c>
      <c r="F932" s="2">
        <v>83604.429999999993</v>
      </c>
      <c r="G932" s="2" t="str">
        <f t="shared" si="14"/>
        <v>21-11-2024 NET PI TO HSL SEC A/C 347707-00602340029392</v>
      </c>
      <c r="H932" s="2" t="s">
        <v>1911</v>
      </c>
      <c r="I932" t="s">
        <v>361</v>
      </c>
      <c r="J932" t="s">
        <v>1896</v>
      </c>
    </row>
    <row r="933" spans="1:10" x14ac:dyDescent="0.3">
      <c r="A933" s="1">
        <v>45617</v>
      </c>
      <c r="B933" t="s">
        <v>125</v>
      </c>
      <c r="C933" t="s">
        <v>1297</v>
      </c>
      <c r="D933" s="2">
        <v>11700.27</v>
      </c>
      <c r="E933" s="2">
        <v>0</v>
      </c>
      <c r="F933" s="2">
        <v>71904.160000000003</v>
      </c>
      <c r="G933" s="2" t="str">
        <f t="shared" si="14"/>
        <v>21-11-2024 NET PI TO HSL SEC A/C 347707-00602340029392</v>
      </c>
      <c r="H933" s="2" t="s">
        <v>1911</v>
      </c>
      <c r="I933" t="s">
        <v>361</v>
      </c>
      <c r="J933" t="s">
        <v>1896</v>
      </c>
    </row>
    <row r="934" spans="1:10" x14ac:dyDescent="0.3">
      <c r="A934" s="1">
        <v>45617</v>
      </c>
      <c r="B934" t="s">
        <v>146</v>
      </c>
      <c r="C934" t="s">
        <v>1295</v>
      </c>
      <c r="D934" s="2">
        <v>10000</v>
      </c>
      <c r="E934" s="2">
        <v>0</v>
      </c>
      <c r="F934" s="2">
        <v>84175.21</v>
      </c>
      <c r="G934" s="2" t="str">
        <f t="shared" si="14"/>
        <v>21-11-2024 ACH D- INDIAN CLEARING CORP-P25847605X05</v>
      </c>
      <c r="H934" s="2" t="s">
        <v>1911</v>
      </c>
      <c r="I934" t="s">
        <v>1854</v>
      </c>
      <c r="J934" t="s">
        <v>1896</v>
      </c>
    </row>
    <row r="935" spans="1:10" x14ac:dyDescent="0.3">
      <c r="A935" s="1">
        <v>45618</v>
      </c>
      <c r="B935" t="s">
        <v>125</v>
      </c>
      <c r="C935" t="s">
        <v>1298</v>
      </c>
      <c r="D935" s="2">
        <v>282.8</v>
      </c>
      <c r="E935" s="2">
        <v>0</v>
      </c>
      <c r="F935" s="2">
        <v>71621.36</v>
      </c>
      <c r="G935" s="2" t="str">
        <f t="shared" si="14"/>
        <v>22-11-2024 NET PI TO HSL SEC A/C 347707-00602340029392</v>
      </c>
      <c r="H935" s="2" t="s">
        <v>1911</v>
      </c>
      <c r="I935" t="s">
        <v>361</v>
      </c>
      <c r="J935" t="s">
        <v>1896</v>
      </c>
    </row>
    <row r="936" spans="1:10" x14ac:dyDescent="0.3">
      <c r="A936" s="1">
        <v>45619</v>
      </c>
      <c r="B936" t="s">
        <v>548</v>
      </c>
      <c r="C936" t="s">
        <v>7</v>
      </c>
      <c r="D936" s="2">
        <v>12215</v>
      </c>
      <c r="E936" s="2">
        <v>0</v>
      </c>
      <c r="F936" s="2">
        <v>66596.3</v>
      </c>
      <c r="G936" s="2" t="str">
        <f t="shared" si="14"/>
        <v>23-11-2024 UPI/P2M/618671705124/ABHINDANCLOTHMERCHANT/Dipika/Yes Bank Ltd</v>
      </c>
      <c r="H936" s="2" t="s">
        <v>1911</v>
      </c>
      <c r="I936" t="s">
        <v>1925</v>
      </c>
      <c r="J936" t="s">
        <v>1895</v>
      </c>
    </row>
    <row r="937" spans="1:10" x14ac:dyDescent="0.3">
      <c r="A937" s="1">
        <v>45620</v>
      </c>
      <c r="B937" t="s">
        <v>549</v>
      </c>
      <c r="C937" t="s">
        <v>7</v>
      </c>
      <c r="D937" s="2">
        <v>2170</v>
      </c>
      <c r="E937" s="2">
        <v>0</v>
      </c>
      <c r="F937" s="2">
        <v>64426.3</v>
      </c>
      <c r="G937" s="2" t="str">
        <f t="shared" si="14"/>
        <v>24-11-2024 NBSM/83292619/Maha Electricity(BILLDESK)/</v>
      </c>
      <c r="H937" s="2" t="s">
        <v>1911</v>
      </c>
      <c r="I937" t="s">
        <v>357</v>
      </c>
      <c r="J937" t="s">
        <v>1895</v>
      </c>
    </row>
    <row r="938" spans="1:10" x14ac:dyDescent="0.3">
      <c r="A938" s="1">
        <v>45621</v>
      </c>
      <c r="B938" t="s">
        <v>1304</v>
      </c>
      <c r="C938" t="s">
        <v>1305</v>
      </c>
      <c r="D938" s="2">
        <v>20000</v>
      </c>
      <c r="E938" s="2">
        <v>0</v>
      </c>
      <c r="F938" s="2">
        <v>100003.17</v>
      </c>
      <c r="G938" s="2" t="str">
        <f t="shared" si="14"/>
        <v>25-11-2024 ATW-512967XXXXXX1000-S1ANRS40-KOTA</v>
      </c>
      <c r="H938" s="2" t="s">
        <v>1911</v>
      </c>
      <c r="I938" t="s">
        <v>366</v>
      </c>
      <c r="J938" t="s">
        <v>1896</v>
      </c>
    </row>
    <row r="939" spans="1:10" x14ac:dyDescent="0.3">
      <c r="A939" s="1">
        <v>45621</v>
      </c>
      <c r="B939" t="s">
        <v>1299</v>
      </c>
      <c r="C939" t="s">
        <v>1300</v>
      </c>
      <c r="D939" s="2">
        <v>0</v>
      </c>
      <c r="E939" s="2">
        <v>11980.5</v>
      </c>
      <c r="F939" s="2">
        <v>83601.86</v>
      </c>
      <c r="G939" s="2" t="str">
        <f t="shared" si="14"/>
        <v>25-11-2024 FT- 584495346-50200085415108 - HDFC SECURITIES LTD-CLIENT DSCNB A/C -</v>
      </c>
      <c r="H939" s="2" t="s">
        <v>1911</v>
      </c>
      <c r="I939" t="s">
        <v>1876</v>
      </c>
      <c r="J939" t="s">
        <v>1896</v>
      </c>
    </row>
    <row r="940" spans="1:10" x14ac:dyDescent="0.3">
      <c r="A940" s="1">
        <v>45621</v>
      </c>
      <c r="B940" t="s">
        <v>1301</v>
      </c>
      <c r="C940" t="s">
        <v>1302</v>
      </c>
      <c r="D940" s="2">
        <v>0</v>
      </c>
      <c r="E940" s="2">
        <v>37262.67</v>
      </c>
      <c r="F940" s="2">
        <v>120864.53</v>
      </c>
      <c r="G940" s="2" t="str">
        <f t="shared" si="14"/>
        <v>25-11-2024 FT- 584529315-50200085415108 - HDFC SECURITIES LTD-CLIENT DSCNB A/C -</v>
      </c>
      <c r="H940" s="2" t="s">
        <v>1911</v>
      </c>
      <c r="I940" t="s">
        <v>1876</v>
      </c>
      <c r="J940" t="s">
        <v>1896</v>
      </c>
    </row>
    <row r="941" spans="1:10" x14ac:dyDescent="0.3">
      <c r="A941" s="1">
        <v>45621</v>
      </c>
      <c r="B941" t="s">
        <v>125</v>
      </c>
      <c r="C941" t="s">
        <v>1303</v>
      </c>
      <c r="D941" s="2">
        <v>861.36</v>
      </c>
      <c r="E941" s="2">
        <v>0</v>
      </c>
      <c r="F941" s="2">
        <v>120003.17</v>
      </c>
      <c r="G941" s="2" t="str">
        <f t="shared" si="14"/>
        <v>25-11-2024 NET PI TO HSL SEC A/C 347707-00602340029392</v>
      </c>
      <c r="H941" s="2" t="s">
        <v>1911</v>
      </c>
      <c r="I941" t="s">
        <v>361</v>
      </c>
      <c r="J941" t="s">
        <v>1896</v>
      </c>
    </row>
    <row r="942" spans="1:10" x14ac:dyDescent="0.3">
      <c r="A942" s="1">
        <v>45621</v>
      </c>
      <c r="B942" t="s">
        <v>550</v>
      </c>
      <c r="C942" t="s">
        <v>7</v>
      </c>
      <c r="D942" s="2">
        <v>7350</v>
      </c>
      <c r="E942" s="2">
        <v>0</v>
      </c>
      <c r="F942" s="2">
        <v>57076.3</v>
      </c>
      <c r="G942" s="2" t="str">
        <f t="shared" si="14"/>
        <v>25-11-2024 UPI/P2M/613675509047/YASHENTERPRISES      /Weddin/Yes Bank Ltd</v>
      </c>
      <c r="H942" s="2" t="s">
        <v>1911</v>
      </c>
      <c r="I942" t="s">
        <v>1937</v>
      </c>
      <c r="J942" t="s">
        <v>1895</v>
      </c>
    </row>
    <row r="943" spans="1:10" x14ac:dyDescent="0.3">
      <c r="A943" s="1">
        <v>45621</v>
      </c>
      <c r="B943" t="s">
        <v>551</v>
      </c>
      <c r="C943" t="s">
        <v>7</v>
      </c>
      <c r="D943" s="2">
        <v>90</v>
      </c>
      <c r="E943" s="2">
        <v>0</v>
      </c>
      <c r="F943" s="2">
        <v>56986.3</v>
      </c>
      <c r="G943" s="2" t="str">
        <f t="shared" si="14"/>
        <v>25-11-2024 UPI/P2A/507578278410/ROHIT  PRAJAPAT      /Juuxe/Kotak Mahindra Bank</v>
      </c>
      <c r="H943" s="2" t="s">
        <v>1911</v>
      </c>
      <c r="I943" t="s">
        <v>356</v>
      </c>
      <c r="J943" t="s">
        <v>1895</v>
      </c>
    </row>
    <row r="944" spans="1:10" x14ac:dyDescent="0.3">
      <c r="A944" s="1">
        <v>45622</v>
      </c>
      <c r="B944" t="s">
        <v>1306</v>
      </c>
      <c r="C944" t="s">
        <v>1307</v>
      </c>
      <c r="D944" s="2">
        <v>0</v>
      </c>
      <c r="E944" s="2">
        <v>13114.06</v>
      </c>
      <c r="F944" s="2">
        <v>113117.23</v>
      </c>
      <c r="G944" s="2" t="str">
        <f t="shared" si="14"/>
        <v>26-11-2024 FT- 584932405-50200085415108 - HDFC SECURITIES LTD-CLIENT DSCNB A/C -</v>
      </c>
      <c r="H944" s="2" t="s">
        <v>1911</v>
      </c>
      <c r="I944" t="s">
        <v>1876</v>
      </c>
      <c r="J944" t="s">
        <v>1896</v>
      </c>
    </row>
    <row r="945" spans="1:11" x14ac:dyDescent="0.3">
      <c r="A945" s="1">
        <v>45622</v>
      </c>
      <c r="B945" t="s">
        <v>125</v>
      </c>
      <c r="C945" t="s">
        <v>1308</v>
      </c>
      <c r="D945" s="2">
        <v>291.38</v>
      </c>
      <c r="E945" s="2">
        <v>0</v>
      </c>
      <c r="F945" s="2">
        <v>112825.85</v>
      </c>
      <c r="G945" s="2" t="str">
        <f t="shared" si="14"/>
        <v>26-11-2024 NET PI TO HSL SEC A/C 347707-00602340029392</v>
      </c>
      <c r="H945" s="2" t="s">
        <v>1911</v>
      </c>
      <c r="I945" t="s">
        <v>361</v>
      </c>
      <c r="J945" t="s">
        <v>1896</v>
      </c>
    </row>
    <row r="946" spans="1:11" x14ac:dyDescent="0.3">
      <c r="A946" s="1">
        <v>45622</v>
      </c>
      <c r="B946" t="s">
        <v>125</v>
      </c>
      <c r="C946" t="s">
        <v>1309</v>
      </c>
      <c r="D946" s="2">
        <v>1975.62</v>
      </c>
      <c r="E946" s="2">
        <v>0</v>
      </c>
      <c r="F946" s="2">
        <v>110850.23</v>
      </c>
      <c r="G946" s="2" t="str">
        <f t="shared" si="14"/>
        <v>26-11-2024 NET PI TO HSL SEC A/C 347707-00602340029392</v>
      </c>
      <c r="H946" s="2" t="s">
        <v>1911</v>
      </c>
      <c r="I946" t="s">
        <v>361</v>
      </c>
      <c r="J946" t="s">
        <v>1896</v>
      </c>
    </row>
    <row r="947" spans="1:11" x14ac:dyDescent="0.3">
      <c r="A947" s="1">
        <v>45623</v>
      </c>
      <c r="B947" t="s">
        <v>1310</v>
      </c>
      <c r="C947" t="s">
        <v>1311</v>
      </c>
      <c r="D947" s="2">
        <v>0</v>
      </c>
      <c r="E947" s="2">
        <v>74886.78</v>
      </c>
      <c r="F947" s="2">
        <v>185737.01</v>
      </c>
      <c r="G947" s="2" t="str">
        <f t="shared" si="14"/>
        <v>27-11-2024 FT- 585371650-50200085415108 - HDFC SECURITIES LTD-CLIENT DSCNB A/C -</v>
      </c>
      <c r="H947" s="2" t="s">
        <v>1911</v>
      </c>
      <c r="I947" t="s">
        <v>1876</v>
      </c>
      <c r="J947" t="s">
        <v>1896</v>
      </c>
    </row>
    <row r="948" spans="1:11" x14ac:dyDescent="0.3">
      <c r="A948" s="1">
        <v>45623</v>
      </c>
      <c r="B948" t="s">
        <v>125</v>
      </c>
      <c r="C948" t="s">
        <v>1312</v>
      </c>
      <c r="D948" s="2">
        <v>295.35000000000002</v>
      </c>
      <c r="E948" s="2">
        <v>0</v>
      </c>
      <c r="F948" s="2">
        <v>185441.66</v>
      </c>
      <c r="G948" s="2" t="str">
        <f t="shared" si="14"/>
        <v>27-11-2024 NET PI TO HSL SEC A/C 347707-00602340029392</v>
      </c>
      <c r="H948" s="2" t="s">
        <v>1911</v>
      </c>
      <c r="I948" t="s">
        <v>361</v>
      </c>
      <c r="J948" t="s">
        <v>1896</v>
      </c>
    </row>
    <row r="949" spans="1:11" x14ac:dyDescent="0.3">
      <c r="A949" s="1">
        <v>45624</v>
      </c>
      <c r="B949" t="s">
        <v>1313</v>
      </c>
      <c r="C949" t="s">
        <v>1314</v>
      </c>
      <c r="D949" s="2">
        <v>0</v>
      </c>
      <c r="E949" s="2">
        <v>10071</v>
      </c>
      <c r="F949" s="2">
        <v>195512.66</v>
      </c>
      <c r="G949" s="2" t="str">
        <f t="shared" si="14"/>
        <v>28-11-2024 FT- 585742996-50200085415108 - HDFC SECURITIES LTD-CLIENT DSCNB A/C -</v>
      </c>
      <c r="H949" s="2" t="s">
        <v>1911</v>
      </c>
      <c r="I949" t="s">
        <v>1876</v>
      </c>
      <c r="J949" t="s">
        <v>1896</v>
      </c>
    </row>
    <row r="950" spans="1:11" x14ac:dyDescent="0.3">
      <c r="A950" s="1">
        <v>45624</v>
      </c>
      <c r="B950" t="s">
        <v>125</v>
      </c>
      <c r="C950" t="s">
        <v>1315</v>
      </c>
      <c r="D950" s="2">
        <v>295.35000000000002</v>
      </c>
      <c r="E950" s="2">
        <v>0</v>
      </c>
      <c r="F950" s="2">
        <v>195217.31</v>
      </c>
      <c r="G950" s="2" t="str">
        <f t="shared" si="14"/>
        <v>28-11-2024 NET PI TO HSL SEC A/C 347707-00602340029392</v>
      </c>
      <c r="H950" s="2" t="s">
        <v>1911</v>
      </c>
      <c r="I950" t="s">
        <v>361</v>
      </c>
      <c r="J950" t="s">
        <v>1896</v>
      </c>
    </row>
    <row r="951" spans="1:11" x14ac:dyDescent="0.3">
      <c r="A951" s="1">
        <v>45625</v>
      </c>
      <c r="B951" t="s">
        <v>553</v>
      </c>
      <c r="C951" t="s">
        <v>7</v>
      </c>
      <c r="D951" s="2">
        <v>200000</v>
      </c>
      <c r="E951" s="2">
        <v>0</v>
      </c>
      <c r="F951" s="2">
        <v>856986.3</v>
      </c>
      <c r="G951" s="2" t="str">
        <f t="shared" ref="G951:G1014" si="15">TEXT(A951,"DD")&amp;"-"&amp;TEXT(A951,"MM")&amp;"-"&amp;TEXT(A951,"YYYY")&amp;" "&amp;B951</f>
        <v>29-11-2024 NEFT/IR/AXOIR33458045816/Ajay Gupta/HDFC BANK/Transfer from Axis Bank</v>
      </c>
      <c r="H951" s="2" t="s">
        <v>1911</v>
      </c>
      <c r="I951" t="s">
        <v>1908</v>
      </c>
      <c r="J951" t="s">
        <v>1895</v>
      </c>
      <c r="K951" t="s">
        <v>1913</v>
      </c>
    </row>
    <row r="952" spans="1:11" x14ac:dyDescent="0.3">
      <c r="A952" s="1">
        <v>45625</v>
      </c>
      <c r="B952" t="s">
        <v>554</v>
      </c>
      <c r="C952" t="s">
        <v>7</v>
      </c>
      <c r="D952" s="2">
        <v>100000</v>
      </c>
      <c r="E952" s="2">
        <v>0</v>
      </c>
      <c r="F952" s="2">
        <v>756986.3</v>
      </c>
      <c r="G952" s="2" t="str">
        <f t="shared" si="15"/>
        <v>29-11-2024 NEFT/IR/AXOIR33458061413/Ajay Kumar Gupta/STATE BANK OF INDIA/Transfer from Axis</v>
      </c>
      <c r="H952" s="2" t="s">
        <v>1911</v>
      </c>
      <c r="I952" t="s">
        <v>1906</v>
      </c>
      <c r="J952" t="s">
        <v>1895</v>
      </c>
      <c r="K952" t="s">
        <v>1913</v>
      </c>
    </row>
    <row r="953" spans="1:11" x14ac:dyDescent="0.3">
      <c r="A953" s="1">
        <v>45625</v>
      </c>
      <c r="B953" t="s">
        <v>1319</v>
      </c>
      <c r="C953" t="s">
        <v>1320</v>
      </c>
      <c r="D953" s="2">
        <v>0</v>
      </c>
      <c r="E953" s="2">
        <v>200000</v>
      </c>
      <c r="F953" s="2">
        <v>364070.65</v>
      </c>
      <c r="G953" s="2" t="str">
        <f t="shared" si="15"/>
        <v>29-11-2024 NEFT CR-UTIB0002656-AJAY KUMAR GUPTA-AJAY GUPTA-AXOIR33458045816</v>
      </c>
      <c r="H953" s="2" t="s">
        <v>1911</v>
      </c>
      <c r="I953" t="s">
        <v>1907</v>
      </c>
      <c r="J953" t="s">
        <v>1896</v>
      </c>
      <c r="K953" t="s">
        <v>1913</v>
      </c>
    </row>
    <row r="954" spans="1:11" x14ac:dyDescent="0.3">
      <c r="A954" s="1">
        <v>45625</v>
      </c>
      <c r="B954" t="s">
        <v>776</v>
      </c>
      <c r="C954" t="s">
        <v>777</v>
      </c>
      <c r="D954" s="2">
        <v>0</v>
      </c>
      <c r="E954" s="2">
        <v>100000</v>
      </c>
      <c r="F954" s="2">
        <v>-76302.37</v>
      </c>
      <c r="G954" s="2" t="str">
        <f t="shared" si="15"/>
        <v>29-11-2024    BY TRANSFER-NEFT*UTIB0002656*AXOIR33458061413*AJAY KUMAR GUPTA--</v>
      </c>
      <c r="H954" s="2" t="s">
        <v>1911</v>
      </c>
      <c r="I954" t="s">
        <v>1907</v>
      </c>
      <c r="J954" t="s">
        <v>1897</v>
      </c>
      <c r="K954" t="s">
        <v>1913</v>
      </c>
    </row>
    <row r="955" spans="1:11" x14ac:dyDescent="0.3">
      <c r="A955" s="1">
        <v>45625</v>
      </c>
      <c r="B955" t="s">
        <v>552</v>
      </c>
      <c r="C955" t="s">
        <v>7</v>
      </c>
      <c r="D955" s="2">
        <v>0</v>
      </c>
      <c r="E955" s="2">
        <v>1000000</v>
      </c>
      <c r="F955" s="2">
        <v>1056986.3</v>
      </c>
      <c r="G955" s="2" t="str">
        <f t="shared" si="15"/>
        <v>29-11-2024 NEFT/SBIN524334927193/EMPLOYEE PROVIDENT FUND ORGA/STATE BANK OF INDIA//URGENT/RS0000100000000//BUL</v>
      </c>
      <c r="H955" s="2" t="s">
        <v>1911</v>
      </c>
      <c r="I955" t="s">
        <v>1870</v>
      </c>
      <c r="J955" t="s">
        <v>1895</v>
      </c>
    </row>
    <row r="956" spans="1:11" x14ac:dyDescent="0.3">
      <c r="A956" s="1">
        <v>45625</v>
      </c>
      <c r="B956" t="s">
        <v>125</v>
      </c>
      <c r="C956" t="s">
        <v>1316</v>
      </c>
      <c r="D956" s="2">
        <v>2763.87</v>
      </c>
      <c r="E956" s="2">
        <v>0</v>
      </c>
      <c r="F956" s="2">
        <v>192453.44</v>
      </c>
      <c r="G956" s="2" t="str">
        <f t="shared" si="15"/>
        <v>29-11-2024 NET PI TO HSL SEC A/C 347707-00602340029392</v>
      </c>
      <c r="H956" s="2" t="s">
        <v>1911</v>
      </c>
      <c r="I956" t="s">
        <v>361</v>
      </c>
      <c r="J956" t="s">
        <v>1896</v>
      </c>
    </row>
    <row r="957" spans="1:11" x14ac:dyDescent="0.3">
      <c r="A957" s="1">
        <v>45625</v>
      </c>
      <c r="B957" t="s">
        <v>125</v>
      </c>
      <c r="C957" t="s">
        <v>1317</v>
      </c>
      <c r="D957" s="2">
        <v>297.95</v>
      </c>
      <c r="E957" s="2">
        <v>0</v>
      </c>
      <c r="F957" s="2">
        <v>192155.49</v>
      </c>
      <c r="G957" s="2" t="str">
        <f t="shared" si="15"/>
        <v>29-11-2024 NET PI TO HSL SEC A/C 347707-00602340029392</v>
      </c>
      <c r="H957" s="2" t="s">
        <v>1911</v>
      </c>
      <c r="I957" t="s">
        <v>361</v>
      </c>
      <c r="J957" t="s">
        <v>1896</v>
      </c>
    </row>
    <row r="958" spans="1:11" x14ac:dyDescent="0.3">
      <c r="A958" s="1">
        <v>45625</v>
      </c>
      <c r="B958" t="s">
        <v>125</v>
      </c>
      <c r="C958" t="s">
        <v>1318</v>
      </c>
      <c r="D958" s="2">
        <v>28084.84</v>
      </c>
      <c r="E958" s="2">
        <v>0</v>
      </c>
      <c r="F958" s="2">
        <v>164070.65</v>
      </c>
      <c r="G958" s="2" t="str">
        <f t="shared" si="15"/>
        <v>29-11-2024 NET PI TO HSL SEC A/C 347707-00602340029392</v>
      </c>
      <c r="H958" s="2" t="s">
        <v>1911</v>
      </c>
      <c r="I958" t="s">
        <v>361</v>
      </c>
      <c r="J958" t="s">
        <v>1896</v>
      </c>
    </row>
    <row r="959" spans="1:11" x14ac:dyDescent="0.3">
      <c r="A959" s="1">
        <v>45626</v>
      </c>
      <c r="B959" t="s">
        <v>754</v>
      </c>
      <c r="D959" s="2">
        <v>1084</v>
      </c>
      <c r="E959" s="2">
        <v>0</v>
      </c>
      <c r="F959" s="2">
        <v>-77386.37</v>
      </c>
      <c r="G959" s="2" t="str">
        <f t="shared" si="15"/>
        <v>30-11-2024    DEBIT INTEREST---</v>
      </c>
      <c r="H959" s="2" t="s">
        <v>1911</v>
      </c>
      <c r="I959" t="s">
        <v>1915</v>
      </c>
      <c r="J959" t="s">
        <v>1897</v>
      </c>
    </row>
    <row r="960" spans="1:11" x14ac:dyDescent="0.3">
      <c r="A960" s="1">
        <v>45626</v>
      </c>
      <c r="B960" t="s">
        <v>555</v>
      </c>
      <c r="C960" t="s">
        <v>7</v>
      </c>
      <c r="D960" s="2">
        <v>10000</v>
      </c>
      <c r="E960" s="2">
        <v>0</v>
      </c>
      <c r="F960" s="2">
        <v>746986.3</v>
      </c>
      <c r="G960" s="2" t="str">
        <f t="shared" si="15"/>
        <v>30-11-2024 UPI/P2A/556949972600/ASHOK KUMAR GAUTAM   /Paymen/State Bank Of India</v>
      </c>
      <c r="H960" s="2" t="s">
        <v>1911</v>
      </c>
      <c r="I960" t="s">
        <v>1943</v>
      </c>
      <c r="J960" t="s">
        <v>1895</v>
      </c>
    </row>
    <row r="961" spans="1:11" x14ac:dyDescent="0.3">
      <c r="A961" s="1">
        <v>45626</v>
      </c>
      <c r="B961" t="s">
        <v>556</v>
      </c>
      <c r="C961" t="s">
        <v>7</v>
      </c>
      <c r="D961" s="2">
        <v>6000</v>
      </c>
      <c r="E961" s="2">
        <v>0</v>
      </c>
      <c r="F961" s="2">
        <v>740986.3</v>
      </c>
      <c r="G961" s="2" t="str">
        <f t="shared" si="15"/>
        <v>30-11-2024 UPI/P2A/122180325103/Mr SURENDRA  JANGID  /Paymen/CENTRAL BANK OF INDI</v>
      </c>
      <c r="H961" s="2" t="s">
        <v>1911</v>
      </c>
      <c r="I961" t="s">
        <v>1931</v>
      </c>
      <c r="J961" t="s">
        <v>1895</v>
      </c>
    </row>
    <row r="962" spans="1:11" x14ac:dyDescent="0.3">
      <c r="A962" s="1">
        <v>45626</v>
      </c>
      <c r="B962" t="s">
        <v>557</v>
      </c>
      <c r="C962" t="s">
        <v>7</v>
      </c>
      <c r="D962" s="2">
        <v>6638</v>
      </c>
      <c r="E962" s="2">
        <v>0</v>
      </c>
      <c r="F962" s="2">
        <v>734348.3</v>
      </c>
      <c r="G962" s="2" t="str">
        <f t="shared" si="15"/>
        <v>30-11-2024 UPI/P2M/753152528824/ABHINDANCLOTHMERCHANT/Saree/Yes Bank Ltd</v>
      </c>
      <c r="H962" s="2" t="s">
        <v>1911</v>
      </c>
      <c r="I962" t="s">
        <v>1925</v>
      </c>
      <c r="J962" t="s">
        <v>1895</v>
      </c>
    </row>
    <row r="963" spans="1:11" x14ac:dyDescent="0.3">
      <c r="A963" s="1">
        <v>45627</v>
      </c>
      <c r="B963" t="s">
        <v>558</v>
      </c>
      <c r="C963" t="s">
        <v>7</v>
      </c>
      <c r="D963" s="2">
        <v>5000</v>
      </c>
      <c r="E963" s="2">
        <v>0</v>
      </c>
      <c r="F963" s="2">
        <v>729348.3</v>
      </c>
      <c r="G963" s="2" t="str">
        <f t="shared" si="15"/>
        <v>01-12-2024 UPI/P2A/590172913891/EXCELLENT SALES PROPA/Paymen/State Bank Of India</v>
      </c>
      <c r="H963" s="2" t="s">
        <v>1911</v>
      </c>
      <c r="I963" t="s">
        <v>356</v>
      </c>
      <c r="J963" t="s">
        <v>1895</v>
      </c>
    </row>
    <row r="964" spans="1:11" x14ac:dyDescent="0.3">
      <c r="A964" s="1">
        <v>45627</v>
      </c>
      <c r="B964" t="s">
        <v>559</v>
      </c>
      <c r="C964" t="s">
        <v>7</v>
      </c>
      <c r="D964" s="2">
        <v>5000</v>
      </c>
      <c r="E964" s="2">
        <v>0</v>
      </c>
      <c r="F964" s="2">
        <v>724348.3</v>
      </c>
      <c r="G964" s="2" t="str">
        <f t="shared" si="15"/>
        <v>01-12-2024 UPI/P2M/607802970281/MALIK COLLECTION     /Ajanta/Yes Bank Ltd</v>
      </c>
      <c r="H964" s="2" t="s">
        <v>1911</v>
      </c>
      <c r="I964" t="s">
        <v>356</v>
      </c>
      <c r="J964" t="s">
        <v>1895</v>
      </c>
    </row>
    <row r="965" spans="1:11" x14ac:dyDescent="0.3">
      <c r="A965" s="1">
        <v>45627</v>
      </c>
      <c r="B965" t="s">
        <v>560</v>
      </c>
      <c r="C965" t="s">
        <v>7</v>
      </c>
      <c r="D965" s="2">
        <v>133</v>
      </c>
      <c r="E965" s="2">
        <v>0</v>
      </c>
      <c r="F965" s="2">
        <v>724215.3</v>
      </c>
      <c r="G965" s="2" t="str">
        <f t="shared" si="15"/>
        <v>01-12-2024 UPI/P2M/826474936083/UDIT MEDICOS         /Medice/HDFC BANK LTD</v>
      </c>
      <c r="H965" s="2" t="s">
        <v>1911</v>
      </c>
      <c r="I965" t="s">
        <v>356</v>
      </c>
      <c r="J965" t="s">
        <v>1895</v>
      </c>
    </row>
    <row r="966" spans="1:11" x14ac:dyDescent="0.3">
      <c r="A966" s="1">
        <v>45628</v>
      </c>
      <c r="B966" t="s">
        <v>561</v>
      </c>
      <c r="C966" t="s">
        <v>7</v>
      </c>
      <c r="D966" s="2">
        <v>200000</v>
      </c>
      <c r="E966" s="2">
        <v>0</v>
      </c>
      <c r="F966" s="2">
        <v>524215.3</v>
      </c>
      <c r="G966" s="2" t="str">
        <f t="shared" si="15"/>
        <v>02-12-2024 NEFT/IR/AXOIR33777892965/Ajay Gupta/HDFC BANK/Transfer from Axis Bank</v>
      </c>
      <c r="H966" s="2" t="s">
        <v>1911</v>
      </c>
      <c r="I966" t="s">
        <v>1908</v>
      </c>
      <c r="J966" t="s">
        <v>1895</v>
      </c>
      <c r="K966" t="s">
        <v>1913</v>
      </c>
    </row>
    <row r="967" spans="1:11" x14ac:dyDescent="0.3">
      <c r="A967" s="1">
        <v>45628</v>
      </c>
      <c r="B967" t="s">
        <v>1325</v>
      </c>
      <c r="C967" t="s">
        <v>1326</v>
      </c>
      <c r="D967" s="2">
        <v>0</v>
      </c>
      <c r="E967" s="2">
        <v>200000</v>
      </c>
      <c r="F967" s="2">
        <v>207293.08</v>
      </c>
      <c r="G967" s="2" t="str">
        <f t="shared" si="15"/>
        <v>02-12-2024 NEFT CR-UTIB0002656-AJAY KUMAR GUPTA-AJAY GUPTA-AXOIR33777892965</v>
      </c>
      <c r="H967" s="2" t="s">
        <v>1911</v>
      </c>
      <c r="I967" t="s">
        <v>1907</v>
      </c>
      <c r="J967" t="s">
        <v>1896</v>
      </c>
      <c r="K967" t="s">
        <v>1913</v>
      </c>
    </row>
    <row r="968" spans="1:11" x14ac:dyDescent="0.3">
      <c r="A968" s="1">
        <v>45628</v>
      </c>
      <c r="B968" t="s">
        <v>750</v>
      </c>
      <c r="C968" t="s">
        <v>751</v>
      </c>
      <c r="D968" s="2">
        <v>0</v>
      </c>
      <c r="E968" s="2">
        <v>26595</v>
      </c>
      <c r="F968" s="2">
        <v>-50791.37</v>
      </c>
      <c r="G968" s="2" t="str">
        <f t="shared" si="15"/>
        <v>02-12-2024    DEPOSIT TRANSFER---</v>
      </c>
      <c r="H968" s="2" t="s">
        <v>1911</v>
      </c>
      <c r="I968" t="s">
        <v>1842</v>
      </c>
      <c r="J968" t="s">
        <v>1897</v>
      </c>
      <c r="K968" t="s">
        <v>1913</v>
      </c>
    </row>
    <row r="969" spans="1:11" x14ac:dyDescent="0.3">
      <c r="A969" s="1">
        <v>45628</v>
      </c>
      <c r="B969" t="s">
        <v>1734</v>
      </c>
      <c r="C969" t="s">
        <v>1735</v>
      </c>
      <c r="D969" s="2">
        <v>26595</v>
      </c>
      <c r="E969" s="2">
        <v>0</v>
      </c>
      <c r="F969" s="2">
        <v>36395.360000000001</v>
      </c>
      <c r="G969" s="2" t="str">
        <f t="shared" si="15"/>
        <v>02-12-2024    WITHDRAWAL TRANSFER---</v>
      </c>
      <c r="H969" s="2" t="s">
        <v>1911</v>
      </c>
      <c r="I969" t="s">
        <v>1906</v>
      </c>
      <c r="J969" t="s">
        <v>1899</v>
      </c>
      <c r="K969" t="s">
        <v>1913</v>
      </c>
    </row>
    <row r="970" spans="1:11" x14ac:dyDescent="0.3">
      <c r="A970" s="1">
        <v>45628</v>
      </c>
      <c r="B970" t="s">
        <v>1025</v>
      </c>
      <c r="C970" t="s">
        <v>1323</v>
      </c>
      <c r="D970" s="2">
        <v>356770</v>
      </c>
      <c r="E970" s="2">
        <v>0</v>
      </c>
      <c r="F970" s="2">
        <v>8186.93</v>
      </c>
      <c r="G970" s="2" t="str">
        <f t="shared" si="15"/>
        <v>02-12-2024 CC 000552260XXXXXX5783 AUTOPAY SI-TAD</v>
      </c>
      <c r="H970" s="2" t="s">
        <v>1911</v>
      </c>
      <c r="I970" t="s">
        <v>1838</v>
      </c>
      <c r="J970" t="s">
        <v>1896</v>
      </c>
    </row>
    <row r="971" spans="1:11" x14ac:dyDescent="0.3">
      <c r="A971" s="1">
        <v>45628</v>
      </c>
      <c r="B971" t="s">
        <v>1321</v>
      </c>
      <c r="C971" t="s">
        <v>1322</v>
      </c>
      <c r="D971" s="2">
        <v>0</v>
      </c>
      <c r="E971" s="2">
        <v>886.28</v>
      </c>
      <c r="F971" s="2">
        <v>364956.93</v>
      </c>
      <c r="G971" s="2" t="str">
        <f t="shared" si="15"/>
        <v>02-12-2024 FT- 586612656-50200085415108 - HDFC SECURITIES LTD-CLIENT DSCNB A/C -</v>
      </c>
      <c r="H971" s="2" t="s">
        <v>1911</v>
      </c>
      <c r="I971" t="s">
        <v>1876</v>
      </c>
      <c r="J971" t="s">
        <v>1896</v>
      </c>
    </row>
    <row r="972" spans="1:11" x14ac:dyDescent="0.3">
      <c r="A972" s="1">
        <v>45628</v>
      </c>
      <c r="B972" t="s">
        <v>125</v>
      </c>
      <c r="C972" t="s">
        <v>1324</v>
      </c>
      <c r="D972" s="2">
        <v>893.85</v>
      </c>
      <c r="E972" s="2">
        <v>0</v>
      </c>
      <c r="F972" s="2">
        <v>7293.08</v>
      </c>
      <c r="G972" s="2" t="str">
        <f t="shared" si="15"/>
        <v>02-12-2024 NET PI TO HSL SEC A/C 347707-00602340029392</v>
      </c>
      <c r="H972" s="2" t="s">
        <v>1911</v>
      </c>
      <c r="I972" t="s">
        <v>361</v>
      </c>
      <c r="J972" t="s">
        <v>1896</v>
      </c>
    </row>
    <row r="973" spans="1:11" x14ac:dyDescent="0.3">
      <c r="A973" s="1">
        <v>45628</v>
      </c>
      <c r="B973" t="s">
        <v>125</v>
      </c>
      <c r="C973" t="s">
        <v>1327</v>
      </c>
      <c r="D973" s="2">
        <v>227.14</v>
      </c>
      <c r="E973" s="2">
        <v>0</v>
      </c>
      <c r="F973" s="2">
        <v>207065.94</v>
      </c>
      <c r="G973" s="2" t="str">
        <f t="shared" si="15"/>
        <v>02-12-2024 NET PI TO HSL SEC A/C 347707-00602340029392</v>
      </c>
      <c r="H973" s="2" t="s">
        <v>1911</v>
      </c>
      <c r="I973" t="s">
        <v>361</v>
      </c>
      <c r="J973" t="s">
        <v>1896</v>
      </c>
    </row>
    <row r="974" spans="1:11" x14ac:dyDescent="0.3">
      <c r="A974" s="1">
        <v>45629</v>
      </c>
      <c r="B974" t="s">
        <v>125</v>
      </c>
      <c r="C974" t="s">
        <v>1328</v>
      </c>
      <c r="D974" s="2">
        <v>298.19</v>
      </c>
      <c r="E974" s="2">
        <v>0</v>
      </c>
      <c r="F974" s="2">
        <v>206767.75</v>
      </c>
      <c r="G974" s="2" t="str">
        <f t="shared" si="15"/>
        <v>03-12-2024 NET PI TO HSL SEC A/C 347707-00602340029392</v>
      </c>
      <c r="H974" s="2" t="s">
        <v>1911</v>
      </c>
      <c r="I974" t="s">
        <v>361</v>
      </c>
      <c r="J974" t="s">
        <v>1896</v>
      </c>
    </row>
    <row r="975" spans="1:11" x14ac:dyDescent="0.3">
      <c r="A975" s="1">
        <v>45630</v>
      </c>
      <c r="B975" t="s">
        <v>1329</v>
      </c>
      <c r="C975" t="s">
        <v>1330</v>
      </c>
      <c r="D975" s="2">
        <v>0</v>
      </c>
      <c r="E975" s="2">
        <v>14372.85</v>
      </c>
      <c r="F975" s="2">
        <v>221140.6</v>
      </c>
      <c r="G975" s="2" t="str">
        <f t="shared" si="15"/>
        <v>04-12-2024 FT- 587522978-50200085415108 - HDFC SECURITIES LTD-CLIENT DSCNB A/C -</v>
      </c>
      <c r="H975" s="2" t="s">
        <v>1911</v>
      </c>
      <c r="I975" t="s">
        <v>1876</v>
      </c>
      <c r="J975" t="s">
        <v>1896</v>
      </c>
    </row>
    <row r="976" spans="1:11" x14ac:dyDescent="0.3">
      <c r="A976" s="1">
        <v>45630</v>
      </c>
      <c r="B976" t="s">
        <v>125</v>
      </c>
      <c r="C976" t="s">
        <v>1331</v>
      </c>
      <c r="D976" s="2">
        <v>298.19</v>
      </c>
      <c r="E976" s="2">
        <v>0</v>
      </c>
      <c r="F976" s="2">
        <v>220842.41</v>
      </c>
      <c r="G976" s="2" t="str">
        <f t="shared" si="15"/>
        <v>04-12-2024 NET PI TO HSL SEC A/C 347707-00602340029392</v>
      </c>
      <c r="H976" s="2" t="s">
        <v>1911</v>
      </c>
      <c r="I976" t="s">
        <v>361</v>
      </c>
      <c r="J976" t="s">
        <v>1896</v>
      </c>
    </row>
    <row r="977" spans="1:10" x14ac:dyDescent="0.3">
      <c r="A977" s="1">
        <v>45630</v>
      </c>
      <c r="B977" t="s">
        <v>125</v>
      </c>
      <c r="C977" t="s">
        <v>1332</v>
      </c>
      <c r="D977" s="2">
        <v>13048.44</v>
      </c>
      <c r="E977" s="2">
        <v>0</v>
      </c>
      <c r="F977" s="2">
        <v>207793.97</v>
      </c>
      <c r="G977" s="2" t="str">
        <f t="shared" si="15"/>
        <v>04-12-2024 NET PI TO HSL SEC A/C 347707-00602340029392</v>
      </c>
      <c r="H977" s="2" t="s">
        <v>1911</v>
      </c>
      <c r="I977" t="s">
        <v>361</v>
      </c>
      <c r="J977" t="s">
        <v>1896</v>
      </c>
    </row>
    <row r="978" spans="1:10" x14ac:dyDescent="0.3">
      <c r="A978" s="1">
        <v>45630</v>
      </c>
      <c r="B978" t="s">
        <v>562</v>
      </c>
      <c r="C978" t="s">
        <v>7</v>
      </c>
      <c r="D978" s="2">
        <v>850</v>
      </c>
      <c r="E978" s="2">
        <v>0</v>
      </c>
      <c r="F978" s="2">
        <v>523365.3</v>
      </c>
      <c r="G978" s="2" t="str">
        <f t="shared" si="15"/>
        <v>04-12-2024 UPI/P2M/806864112044/NEW PRAKASH SUPARIWAL/Tobvac/Yes Bank Ltd</v>
      </c>
      <c r="H978" s="2" t="s">
        <v>1911</v>
      </c>
      <c r="I978" t="s">
        <v>356</v>
      </c>
      <c r="J978" t="s">
        <v>1895</v>
      </c>
    </row>
    <row r="979" spans="1:10" x14ac:dyDescent="0.3">
      <c r="A979" s="1">
        <v>45630</v>
      </c>
      <c r="B979" t="s">
        <v>563</v>
      </c>
      <c r="C979" t="s">
        <v>7</v>
      </c>
      <c r="D979" s="2">
        <v>800</v>
      </c>
      <c r="E979" s="2">
        <v>0</v>
      </c>
      <c r="F979" s="2">
        <v>522565.3</v>
      </c>
      <c r="G979" s="2" t="str">
        <f t="shared" si="15"/>
        <v>04-12-2024 UPI/P2M/529916102899/SANDEEP BHALCHANDRA L/Chunni/Yes Bank Ltd</v>
      </c>
      <c r="H979" s="2" t="s">
        <v>1911</v>
      </c>
      <c r="I979" t="s">
        <v>356</v>
      </c>
      <c r="J979" t="s">
        <v>1895</v>
      </c>
    </row>
    <row r="980" spans="1:10" x14ac:dyDescent="0.3">
      <c r="A980" s="1">
        <v>45630</v>
      </c>
      <c r="B980" t="s">
        <v>564</v>
      </c>
      <c r="C980" t="s">
        <v>7</v>
      </c>
      <c r="D980" s="2">
        <v>1980</v>
      </c>
      <c r="E980" s="2">
        <v>0</v>
      </c>
      <c r="F980" s="2">
        <v>520585.3</v>
      </c>
      <c r="G980" s="2" t="str">
        <f t="shared" si="15"/>
        <v>04-12-2024 UPI/P2M/537639333895/YOJANA SUNIL CHAVAN  /Blouse/Yes Bank Ltd</v>
      </c>
      <c r="H980" s="2" t="s">
        <v>1911</v>
      </c>
      <c r="I980" t="s">
        <v>356</v>
      </c>
      <c r="J980" t="s">
        <v>1895</v>
      </c>
    </row>
    <row r="981" spans="1:10" x14ac:dyDescent="0.3">
      <c r="A981" s="1">
        <v>45630</v>
      </c>
      <c r="B981" t="s">
        <v>565</v>
      </c>
      <c r="C981" t="s">
        <v>7</v>
      </c>
      <c r="D981" s="2">
        <v>1169</v>
      </c>
      <c r="E981" s="2">
        <v>0</v>
      </c>
      <c r="F981" s="2">
        <v>519416.3</v>
      </c>
      <c r="G981" s="2" t="str">
        <f t="shared" si="15"/>
        <v>04-12-2024 UPI/P2M/215842364542/NEW NILESH MEDICAL AN/Medice/Yes Bank Ltd</v>
      </c>
      <c r="H981" s="2" t="s">
        <v>1911</v>
      </c>
      <c r="I981" t="s">
        <v>356</v>
      </c>
      <c r="J981" t="s">
        <v>1895</v>
      </c>
    </row>
    <row r="982" spans="1:10" x14ac:dyDescent="0.3">
      <c r="A982" s="1">
        <v>45631</v>
      </c>
      <c r="B982" t="s">
        <v>1334</v>
      </c>
      <c r="C982" t="s">
        <v>1335</v>
      </c>
      <c r="D982" s="2">
        <v>0</v>
      </c>
      <c r="E982" s="2">
        <v>68</v>
      </c>
      <c r="F982" s="2">
        <v>207563.31</v>
      </c>
      <c r="G982" s="2" t="str">
        <f t="shared" si="15"/>
        <v>05-12-2024 ACH C- ASHOK.LEYLTD IDV25-ALLIN300476402</v>
      </c>
      <c r="H982" s="2" t="s">
        <v>1911</v>
      </c>
      <c r="I982" t="s">
        <v>367</v>
      </c>
      <c r="J982" t="s">
        <v>1896</v>
      </c>
    </row>
    <row r="983" spans="1:10" x14ac:dyDescent="0.3">
      <c r="A983" s="1">
        <v>45631</v>
      </c>
      <c r="B983" t="s">
        <v>1336</v>
      </c>
      <c r="C983" t="s">
        <v>1337</v>
      </c>
      <c r="D983" s="2">
        <v>0</v>
      </c>
      <c r="E983" s="2">
        <v>102</v>
      </c>
      <c r="F983" s="2">
        <v>207665.31</v>
      </c>
      <c r="G983" s="2" t="str">
        <f t="shared" si="15"/>
        <v>05-12-2024 BALRAMPUR DIV 24 2500000000000002274884</v>
      </c>
      <c r="H983" s="2" t="s">
        <v>1911</v>
      </c>
      <c r="I983" t="s">
        <v>367</v>
      </c>
      <c r="J983" t="s">
        <v>1896</v>
      </c>
    </row>
    <row r="984" spans="1:10" x14ac:dyDescent="0.3">
      <c r="A984" s="1">
        <v>45631</v>
      </c>
      <c r="B984" t="s">
        <v>125</v>
      </c>
      <c r="C984" t="s">
        <v>1333</v>
      </c>
      <c r="D984" s="2">
        <v>298.66000000000003</v>
      </c>
      <c r="E984" s="2">
        <v>0</v>
      </c>
      <c r="F984" s="2">
        <v>207495.31</v>
      </c>
      <c r="G984" s="2" t="str">
        <f t="shared" si="15"/>
        <v>05-12-2024 NET PI TO HSL SEC A/C 347707-00602340029392</v>
      </c>
      <c r="H984" s="2" t="s">
        <v>1911</v>
      </c>
      <c r="I984" t="s">
        <v>361</v>
      </c>
      <c r="J984" t="s">
        <v>1896</v>
      </c>
    </row>
    <row r="985" spans="1:10" x14ac:dyDescent="0.3">
      <c r="A985" s="1">
        <v>45631</v>
      </c>
      <c r="B985" t="s">
        <v>125</v>
      </c>
      <c r="C985" t="s">
        <v>1338</v>
      </c>
      <c r="D985" s="2">
        <v>13648.11</v>
      </c>
      <c r="E985" s="2">
        <v>0</v>
      </c>
      <c r="F985" s="2">
        <v>194017.2</v>
      </c>
      <c r="G985" s="2" t="str">
        <f t="shared" si="15"/>
        <v>05-12-2024 NET PI TO HSL SEC A/C 347707-00602340029392</v>
      </c>
      <c r="H985" s="2" t="s">
        <v>1911</v>
      </c>
      <c r="I985" t="s">
        <v>361</v>
      </c>
      <c r="J985" t="s">
        <v>1896</v>
      </c>
    </row>
    <row r="986" spans="1:10" x14ac:dyDescent="0.3">
      <c r="A986" s="1">
        <v>45631</v>
      </c>
      <c r="B986" t="s">
        <v>566</v>
      </c>
      <c r="C986" t="s">
        <v>7</v>
      </c>
      <c r="D986" s="2">
        <v>200</v>
      </c>
      <c r="E986" s="2">
        <v>0</v>
      </c>
      <c r="F986" s="2">
        <v>519216.3</v>
      </c>
      <c r="G986" s="2" t="str">
        <f t="shared" si="15"/>
        <v>05-12-2024 UPI/P2M/067098404212/H L DHATRAK AND SON  /Petrol/Yes Bank Ltd</v>
      </c>
      <c r="H986" s="2" t="s">
        <v>1911</v>
      </c>
      <c r="I986" t="s">
        <v>356</v>
      </c>
      <c r="J986" t="s">
        <v>1895</v>
      </c>
    </row>
    <row r="987" spans="1:10" x14ac:dyDescent="0.3">
      <c r="A987" s="1">
        <v>45632</v>
      </c>
      <c r="B987" t="s">
        <v>1342</v>
      </c>
      <c r="C987" t="s">
        <v>1343</v>
      </c>
      <c r="D987" s="2">
        <v>0</v>
      </c>
      <c r="E987" s="2">
        <v>119</v>
      </c>
      <c r="F987" s="2">
        <v>199733.88</v>
      </c>
      <c r="G987" s="2" t="str">
        <f t="shared" si="15"/>
        <v>06-12-2024 ACH C- POWER FINANCE CORPOR-18313486</v>
      </c>
      <c r="H987" s="2" t="s">
        <v>1911</v>
      </c>
      <c r="I987" t="s">
        <v>367</v>
      </c>
      <c r="J987" t="s">
        <v>1896</v>
      </c>
    </row>
    <row r="988" spans="1:10" x14ac:dyDescent="0.3">
      <c r="A988" s="1">
        <v>45632</v>
      </c>
      <c r="B988" t="s">
        <v>1339</v>
      </c>
      <c r="C988" t="s">
        <v>1340</v>
      </c>
      <c r="D988" s="2">
        <v>0</v>
      </c>
      <c r="E988" s="2">
        <v>5912.62</v>
      </c>
      <c r="F988" s="2">
        <v>199929.82</v>
      </c>
      <c r="G988" s="2" t="str">
        <f t="shared" si="15"/>
        <v>06-12-2024 FT- 588386762-50200085415108 - HDFC SECURITIES LTD-CLIENT DSCNB A/C -</v>
      </c>
      <c r="H988" s="2" t="s">
        <v>1911</v>
      </c>
      <c r="I988" t="s">
        <v>1876</v>
      </c>
      <c r="J988" t="s">
        <v>1896</v>
      </c>
    </row>
    <row r="989" spans="1:10" x14ac:dyDescent="0.3">
      <c r="A989" s="1">
        <v>45632</v>
      </c>
      <c r="B989" t="s">
        <v>125</v>
      </c>
      <c r="C989" t="s">
        <v>1341</v>
      </c>
      <c r="D989" s="2">
        <v>314.94</v>
      </c>
      <c r="E989" s="2">
        <v>0</v>
      </c>
      <c r="F989" s="2">
        <v>199614.88</v>
      </c>
      <c r="G989" s="2" t="str">
        <f t="shared" si="15"/>
        <v>06-12-2024 NET PI TO HSL SEC A/C 347707-00602340029392</v>
      </c>
      <c r="H989" s="2" t="s">
        <v>1911</v>
      </c>
      <c r="I989" t="s">
        <v>361</v>
      </c>
      <c r="J989" t="s">
        <v>1896</v>
      </c>
    </row>
    <row r="990" spans="1:10" x14ac:dyDescent="0.3">
      <c r="A990" s="1">
        <v>45632</v>
      </c>
      <c r="B990" t="s">
        <v>128</v>
      </c>
      <c r="C990" t="s">
        <v>1344</v>
      </c>
      <c r="D990" s="2">
        <v>0</v>
      </c>
      <c r="E990" s="2">
        <v>1579.51</v>
      </c>
      <c r="F990" s="2">
        <v>201313.39</v>
      </c>
      <c r="G990" s="2" t="str">
        <f t="shared" si="15"/>
        <v>06-12-2024 NET PO FROM HSL A/C 347707-50200085415108</v>
      </c>
      <c r="H990" s="2" t="s">
        <v>1911</v>
      </c>
      <c r="I990" t="s">
        <v>361</v>
      </c>
      <c r="J990" t="s">
        <v>1896</v>
      </c>
    </row>
    <row r="991" spans="1:10" x14ac:dyDescent="0.3">
      <c r="A991" s="1">
        <v>45632</v>
      </c>
      <c r="B991" t="s">
        <v>567</v>
      </c>
      <c r="C991" t="s">
        <v>7</v>
      </c>
      <c r="D991" s="2">
        <v>26643</v>
      </c>
      <c r="E991" s="2">
        <v>0</v>
      </c>
      <c r="F991" s="2">
        <v>492573.3</v>
      </c>
      <c r="G991" s="2" t="str">
        <f t="shared" si="15"/>
        <v>06-12-2024 NBSM/84701389/NIVA BUPA HEALTH INSURANCE COMPANY</v>
      </c>
      <c r="H991" s="2" t="s">
        <v>1911</v>
      </c>
      <c r="I991" t="s">
        <v>1867</v>
      </c>
      <c r="J991" t="s">
        <v>1895</v>
      </c>
    </row>
    <row r="992" spans="1:10" x14ac:dyDescent="0.3">
      <c r="A992" s="1">
        <v>45632</v>
      </c>
      <c r="B992" t="s">
        <v>568</v>
      </c>
      <c r="C992" t="s">
        <v>7</v>
      </c>
      <c r="D992" s="2">
        <v>400</v>
      </c>
      <c r="E992" s="2">
        <v>0</v>
      </c>
      <c r="F992" s="2">
        <v>492173.3</v>
      </c>
      <c r="G992" s="2" t="str">
        <f t="shared" si="15"/>
        <v>06-12-2024 UPI/P2M/182300635569/SANGITA RAJENDRA MUTH/Teeth/Yes Bank Ltd</v>
      </c>
      <c r="H992" s="2" t="s">
        <v>1911</v>
      </c>
      <c r="I992" t="s">
        <v>356</v>
      </c>
      <c r="J992" t="s">
        <v>1895</v>
      </c>
    </row>
    <row r="993" spans="1:11" x14ac:dyDescent="0.3">
      <c r="A993" s="1">
        <v>45634</v>
      </c>
      <c r="B993" t="s">
        <v>758</v>
      </c>
      <c r="C993" t="s">
        <v>778</v>
      </c>
      <c r="D993" s="2">
        <v>0</v>
      </c>
      <c r="E993" s="2">
        <v>25000</v>
      </c>
      <c r="F993" s="2">
        <v>-25791.37</v>
      </c>
      <c r="G993" s="2" t="str">
        <f t="shared" si="15"/>
        <v>08-12-2024    BY TRANSFER-INB Payment towards loan repayment--</v>
      </c>
      <c r="H993" s="2" t="s">
        <v>1911</v>
      </c>
      <c r="I993" t="s">
        <v>1842</v>
      </c>
      <c r="J993" t="s">
        <v>1897</v>
      </c>
      <c r="K993" t="s">
        <v>1913</v>
      </c>
    </row>
    <row r="994" spans="1:11" x14ac:dyDescent="0.3">
      <c r="A994" s="1">
        <v>45634</v>
      </c>
      <c r="B994" t="s">
        <v>752</v>
      </c>
      <c r="C994" t="s">
        <v>1811</v>
      </c>
      <c r="D994" s="2">
        <v>25000</v>
      </c>
      <c r="E994" s="2">
        <v>0</v>
      </c>
      <c r="F994" s="2">
        <v>8068.36</v>
      </c>
      <c r="G994" s="2" t="str">
        <f t="shared" si="15"/>
        <v>08-12-2024    TO TRANSFER-INB Payment towards loan repayment--</v>
      </c>
      <c r="H994" s="2" t="s">
        <v>1911</v>
      </c>
      <c r="I994" t="s">
        <v>1906</v>
      </c>
      <c r="J994" t="s">
        <v>1899</v>
      </c>
      <c r="K994" t="s">
        <v>1913</v>
      </c>
    </row>
    <row r="995" spans="1:11" x14ac:dyDescent="0.3">
      <c r="A995" s="1">
        <v>45634</v>
      </c>
      <c r="B995" t="s">
        <v>1744</v>
      </c>
      <c r="C995" t="s">
        <v>1810</v>
      </c>
      <c r="D995" s="2">
        <v>3327</v>
      </c>
      <c r="E995" s="2">
        <v>0</v>
      </c>
      <c r="F995" s="2">
        <v>33068.36</v>
      </c>
      <c r="G995" s="2" t="str">
        <f t="shared" si="15"/>
        <v>08-12-2024    TO TRANSFER-INB SBICARD FOR BILLDESK      SBICARD Payments--</v>
      </c>
      <c r="H995" s="2" t="s">
        <v>1911</v>
      </c>
      <c r="I995" t="s">
        <v>1838</v>
      </c>
      <c r="J995" t="s">
        <v>1899</v>
      </c>
    </row>
    <row r="996" spans="1:11" x14ac:dyDescent="0.3">
      <c r="A996" s="1">
        <v>45635</v>
      </c>
      <c r="B996" t="s">
        <v>1243</v>
      </c>
      <c r="C996" t="s">
        <v>1346</v>
      </c>
      <c r="D996" s="2">
        <v>20000</v>
      </c>
      <c r="E996" s="2">
        <v>0</v>
      </c>
      <c r="F996" s="2">
        <v>180347.72</v>
      </c>
      <c r="G996" s="2" t="str">
        <f t="shared" si="15"/>
        <v>09-12-2024 ATW-512967XXXXXX1000-S1ANRS37-KOTA</v>
      </c>
      <c r="H996" s="2" t="s">
        <v>1911</v>
      </c>
      <c r="I996" t="s">
        <v>366</v>
      </c>
      <c r="J996" t="s">
        <v>1896</v>
      </c>
    </row>
    <row r="997" spans="1:11" x14ac:dyDescent="0.3">
      <c r="A997" s="1">
        <v>45635</v>
      </c>
      <c r="B997" t="s">
        <v>8</v>
      </c>
      <c r="C997" t="s">
        <v>7</v>
      </c>
      <c r="D997" s="2">
        <v>704.46</v>
      </c>
      <c r="E997" s="2">
        <v>0</v>
      </c>
      <c r="F997" s="2">
        <v>491468.84</v>
      </c>
      <c r="G997" s="2" t="str">
        <f t="shared" si="15"/>
        <v>09-12-2024 BRN-PYMT-CARD-4111460000883615</v>
      </c>
      <c r="H997" s="2" t="s">
        <v>1911</v>
      </c>
      <c r="I997" t="s">
        <v>1877</v>
      </c>
      <c r="J997" t="s">
        <v>1895</v>
      </c>
    </row>
    <row r="998" spans="1:11" x14ac:dyDescent="0.3">
      <c r="A998" s="1">
        <v>45635</v>
      </c>
      <c r="B998" t="s">
        <v>125</v>
      </c>
      <c r="C998" t="s">
        <v>1345</v>
      </c>
      <c r="D998" s="2">
        <v>965.67</v>
      </c>
      <c r="E998" s="2">
        <v>0</v>
      </c>
      <c r="F998" s="2">
        <v>200347.72</v>
      </c>
      <c r="G998" s="2" t="str">
        <f t="shared" si="15"/>
        <v>09-12-2024 NET PI TO HSL SEC A/C 347707-00602340029392</v>
      </c>
      <c r="H998" s="2" t="s">
        <v>1911</v>
      </c>
      <c r="I998" t="s">
        <v>361</v>
      </c>
      <c r="J998" t="s">
        <v>1896</v>
      </c>
    </row>
    <row r="999" spans="1:11" x14ac:dyDescent="0.3">
      <c r="A999" s="1">
        <v>45635</v>
      </c>
      <c r="B999" t="s">
        <v>125</v>
      </c>
      <c r="C999" t="s">
        <v>1347</v>
      </c>
      <c r="D999" s="2">
        <v>925.98</v>
      </c>
      <c r="E999" s="2">
        <v>0</v>
      </c>
      <c r="F999" s="2">
        <v>179421.74</v>
      </c>
      <c r="G999" s="2" t="str">
        <f t="shared" si="15"/>
        <v>09-12-2024 NET PI TO HSL SEC A/C 347707-00602340029392</v>
      </c>
      <c r="H999" s="2" t="s">
        <v>1911</v>
      </c>
      <c r="I999" t="s">
        <v>361</v>
      </c>
      <c r="J999" t="s">
        <v>1896</v>
      </c>
    </row>
    <row r="1000" spans="1:11" x14ac:dyDescent="0.3">
      <c r="A1000" s="1">
        <v>45636</v>
      </c>
      <c r="B1000" t="s">
        <v>125</v>
      </c>
      <c r="C1000" t="s">
        <v>1349</v>
      </c>
      <c r="D1000" s="2">
        <v>321.56</v>
      </c>
      <c r="E1000" s="2">
        <v>0</v>
      </c>
      <c r="F1000" s="2">
        <v>169100.18</v>
      </c>
      <c r="G1000" s="2" t="str">
        <f t="shared" si="15"/>
        <v>10-12-2024 NET PI TO HSL SEC A/C 347707-00602340029392</v>
      </c>
      <c r="H1000" s="2" t="s">
        <v>1911</v>
      </c>
      <c r="I1000" t="s">
        <v>361</v>
      </c>
      <c r="J1000" t="s">
        <v>1896</v>
      </c>
    </row>
    <row r="1001" spans="1:11" x14ac:dyDescent="0.3">
      <c r="A1001" s="1">
        <v>45636</v>
      </c>
      <c r="B1001" t="s">
        <v>125</v>
      </c>
      <c r="C1001" t="s">
        <v>1350</v>
      </c>
      <c r="D1001" s="2">
        <v>4116.51</v>
      </c>
      <c r="E1001" s="2">
        <v>0</v>
      </c>
      <c r="F1001" s="2">
        <v>164983.67000000001</v>
      </c>
      <c r="G1001" s="2" t="str">
        <f t="shared" si="15"/>
        <v>10-12-2024 NET PI TO HSL SEC A/C 347707-00602340029392</v>
      </c>
      <c r="H1001" s="2" t="s">
        <v>1911</v>
      </c>
      <c r="I1001" t="s">
        <v>361</v>
      </c>
      <c r="J1001" t="s">
        <v>1896</v>
      </c>
    </row>
    <row r="1002" spans="1:11" x14ac:dyDescent="0.3">
      <c r="A1002" s="1">
        <v>45636</v>
      </c>
      <c r="B1002" t="s">
        <v>146</v>
      </c>
      <c r="C1002" t="s">
        <v>1348</v>
      </c>
      <c r="D1002" s="2">
        <v>10000</v>
      </c>
      <c r="E1002" s="2">
        <v>0</v>
      </c>
      <c r="F1002" s="2">
        <v>169421.74</v>
      </c>
      <c r="G1002" s="2" t="str">
        <f t="shared" si="15"/>
        <v>10-12-2024 ACH D- INDIAN CLEARING CORP-P25847605X05</v>
      </c>
      <c r="H1002" s="2" t="s">
        <v>1911</v>
      </c>
      <c r="I1002" t="s">
        <v>1854</v>
      </c>
      <c r="J1002" t="s">
        <v>1896</v>
      </c>
    </row>
    <row r="1003" spans="1:11" x14ac:dyDescent="0.3">
      <c r="A1003" s="1">
        <v>45636</v>
      </c>
      <c r="B1003" t="s">
        <v>569</v>
      </c>
      <c r="C1003" t="s">
        <v>7</v>
      </c>
      <c r="D1003" s="2">
        <v>3000</v>
      </c>
      <c r="E1003" s="2">
        <v>0</v>
      </c>
      <c r="F1003" s="2">
        <v>488468.84</v>
      </c>
      <c r="G1003" s="2" t="str">
        <f t="shared" si="15"/>
        <v>10-12-2024 UPI/P2M/889812720453/BPCL Ufill 2         /Diesal/Yes Bank Ltd</v>
      </c>
      <c r="H1003" s="2" t="s">
        <v>1911</v>
      </c>
      <c r="I1003" t="s">
        <v>356</v>
      </c>
      <c r="J1003" t="s">
        <v>1895</v>
      </c>
    </row>
    <row r="1004" spans="1:11" x14ac:dyDescent="0.3">
      <c r="A1004" s="1">
        <v>45637</v>
      </c>
      <c r="B1004" t="s">
        <v>1351</v>
      </c>
      <c r="C1004" t="s">
        <v>1352</v>
      </c>
      <c r="D1004" s="2">
        <v>0</v>
      </c>
      <c r="E1004" s="2">
        <v>32653.81</v>
      </c>
      <c r="F1004" s="2">
        <v>197637.48</v>
      </c>
      <c r="G1004" s="2" t="str">
        <f t="shared" si="15"/>
        <v>11-12-2024 FT- 589820264-50200085415108 - HDFC SECURITIES LTD-CLIENT DSCNB A/C -</v>
      </c>
      <c r="H1004" s="2" t="s">
        <v>1911</v>
      </c>
      <c r="I1004" t="s">
        <v>1876</v>
      </c>
      <c r="J1004" t="s">
        <v>1896</v>
      </c>
    </row>
    <row r="1005" spans="1:11" x14ac:dyDescent="0.3">
      <c r="A1005" s="1">
        <v>45637</v>
      </c>
      <c r="B1005" t="s">
        <v>125</v>
      </c>
      <c r="C1005" t="s">
        <v>1353</v>
      </c>
      <c r="D1005" s="2">
        <v>320.08999999999997</v>
      </c>
      <c r="E1005" s="2">
        <v>0</v>
      </c>
      <c r="F1005" s="2">
        <v>197317.39</v>
      </c>
      <c r="G1005" s="2" t="str">
        <f t="shared" si="15"/>
        <v>11-12-2024 NET PI TO HSL SEC A/C 347707-00602340029392</v>
      </c>
      <c r="H1005" s="2" t="s">
        <v>1911</v>
      </c>
      <c r="I1005" t="s">
        <v>361</v>
      </c>
      <c r="J1005" t="s">
        <v>1896</v>
      </c>
    </row>
    <row r="1006" spans="1:11" x14ac:dyDescent="0.3">
      <c r="A1006" s="1">
        <v>45637</v>
      </c>
      <c r="B1006" t="s">
        <v>125</v>
      </c>
      <c r="C1006" t="s">
        <v>1354</v>
      </c>
      <c r="D1006" s="2">
        <v>45070.71</v>
      </c>
      <c r="E1006" s="2">
        <v>0</v>
      </c>
      <c r="F1006" s="2">
        <v>152246.68</v>
      </c>
      <c r="G1006" s="2" t="str">
        <f t="shared" si="15"/>
        <v>11-12-2024 NET PI TO HSL SEC A/C 347707-00602340029392</v>
      </c>
      <c r="H1006" s="2" t="s">
        <v>1911</v>
      </c>
      <c r="I1006" t="s">
        <v>361</v>
      </c>
      <c r="J1006" t="s">
        <v>1896</v>
      </c>
    </row>
    <row r="1007" spans="1:11" x14ac:dyDescent="0.3">
      <c r="A1007" s="1">
        <v>45638</v>
      </c>
      <c r="B1007" t="s">
        <v>125</v>
      </c>
      <c r="C1007" t="s">
        <v>1355</v>
      </c>
      <c r="D1007" s="2">
        <v>307.8</v>
      </c>
      <c r="E1007" s="2">
        <v>0</v>
      </c>
      <c r="F1007" s="2">
        <v>151938.88</v>
      </c>
      <c r="G1007" s="2" t="str">
        <f t="shared" si="15"/>
        <v>12-12-2024 NET PI TO HSL SEC A/C 347707-00602340029392</v>
      </c>
      <c r="H1007" s="2" t="s">
        <v>1911</v>
      </c>
      <c r="I1007" t="s">
        <v>361</v>
      </c>
      <c r="J1007" t="s">
        <v>1896</v>
      </c>
    </row>
    <row r="1008" spans="1:11" x14ac:dyDescent="0.3">
      <c r="A1008" s="1">
        <v>45638</v>
      </c>
      <c r="B1008" t="s">
        <v>125</v>
      </c>
      <c r="C1008" t="s">
        <v>1356</v>
      </c>
      <c r="D1008" s="2">
        <v>15229.75</v>
      </c>
      <c r="E1008" s="2">
        <v>0</v>
      </c>
      <c r="F1008" s="2">
        <v>136709.13</v>
      </c>
      <c r="G1008" s="2" t="str">
        <f t="shared" si="15"/>
        <v>12-12-2024 NET PI TO HSL SEC A/C 347707-00602340029392</v>
      </c>
      <c r="H1008" s="2" t="s">
        <v>1911</v>
      </c>
      <c r="I1008" t="s">
        <v>361</v>
      </c>
      <c r="J1008" t="s">
        <v>1896</v>
      </c>
    </row>
    <row r="1009" spans="1:10" x14ac:dyDescent="0.3">
      <c r="A1009" s="1">
        <v>45639</v>
      </c>
      <c r="B1009" t="s">
        <v>1358</v>
      </c>
      <c r="C1009" t="s">
        <v>140</v>
      </c>
      <c r="D1009" s="2">
        <v>0</v>
      </c>
      <c r="E1009" s="2">
        <v>20000</v>
      </c>
      <c r="F1009" s="2">
        <v>156373.06</v>
      </c>
      <c r="G1009" s="2" t="str">
        <f t="shared" si="15"/>
        <v>13-12-2024 CASH DEPOSIT BY - SEFL - VISHWAKARMA CIRCLE</v>
      </c>
      <c r="H1009" s="2" t="s">
        <v>1911</v>
      </c>
      <c r="I1009" t="s">
        <v>355</v>
      </c>
      <c r="J1009" t="s">
        <v>1896</v>
      </c>
    </row>
    <row r="1010" spans="1:10" x14ac:dyDescent="0.3">
      <c r="A1010" s="1">
        <v>45639</v>
      </c>
      <c r="B1010" t="s">
        <v>125</v>
      </c>
      <c r="C1010" t="s">
        <v>1357</v>
      </c>
      <c r="D1010" s="2">
        <v>336.07</v>
      </c>
      <c r="E1010" s="2">
        <v>0</v>
      </c>
      <c r="F1010" s="2">
        <v>136373.06</v>
      </c>
      <c r="G1010" s="2" t="str">
        <f t="shared" si="15"/>
        <v>13-12-2024 NET PI TO HSL SEC A/C 347707-00602340029392</v>
      </c>
      <c r="H1010" s="2" t="s">
        <v>1911</v>
      </c>
      <c r="I1010" t="s">
        <v>361</v>
      </c>
      <c r="J1010" t="s">
        <v>1896</v>
      </c>
    </row>
    <row r="1011" spans="1:10" x14ac:dyDescent="0.3">
      <c r="A1011" s="1">
        <v>45639</v>
      </c>
      <c r="B1011" t="s">
        <v>125</v>
      </c>
      <c r="C1011" t="s">
        <v>1359</v>
      </c>
      <c r="D1011" s="2">
        <v>27834.66</v>
      </c>
      <c r="E1011" s="2">
        <v>0</v>
      </c>
      <c r="F1011" s="2">
        <v>128538.4</v>
      </c>
      <c r="G1011" s="2" t="str">
        <f t="shared" si="15"/>
        <v>13-12-2024 NET PI TO HSL SEC A/C 347707-00602340029392</v>
      </c>
      <c r="H1011" s="2" t="s">
        <v>1911</v>
      </c>
      <c r="I1011" t="s">
        <v>361</v>
      </c>
      <c r="J1011" t="s">
        <v>1896</v>
      </c>
    </row>
    <row r="1012" spans="1:10" x14ac:dyDescent="0.3">
      <c r="A1012" s="1">
        <v>45639</v>
      </c>
      <c r="B1012" t="s">
        <v>125</v>
      </c>
      <c r="C1012" t="s">
        <v>1360</v>
      </c>
      <c r="D1012" s="2">
        <v>1197.8699999999999</v>
      </c>
      <c r="E1012" s="2">
        <v>0</v>
      </c>
      <c r="F1012" s="2">
        <v>127340.53</v>
      </c>
      <c r="G1012" s="2" t="str">
        <f t="shared" si="15"/>
        <v>13-12-2024 NET PI TO HSL SEC A/C 347707-00602340029392</v>
      </c>
      <c r="H1012" s="2" t="s">
        <v>1911</v>
      </c>
      <c r="I1012" t="s">
        <v>361</v>
      </c>
      <c r="J1012" t="s">
        <v>1896</v>
      </c>
    </row>
    <row r="1013" spans="1:10" x14ac:dyDescent="0.3">
      <c r="A1013" s="1">
        <v>45640</v>
      </c>
      <c r="B1013" t="s">
        <v>570</v>
      </c>
      <c r="C1013" t="s">
        <v>7</v>
      </c>
      <c r="D1013" s="2">
        <v>1000</v>
      </c>
      <c r="E1013" s="2">
        <v>0</v>
      </c>
      <c r="F1013" s="2">
        <v>487468.84</v>
      </c>
      <c r="G1013" s="2" t="str">
        <f t="shared" si="15"/>
        <v>14-12-2024 UPI/P2M/924924576624/PhonePe              /Paymen/AXIS BANK</v>
      </c>
      <c r="H1013" s="2" t="s">
        <v>1911</v>
      </c>
      <c r="I1013" t="s">
        <v>356</v>
      </c>
      <c r="J1013" t="s">
        <v>1895</v>
      </c>
    </row>
    <row r="1014" spans="1:10" x14ac:dyDescent="0.3">
      <c r="A1014" s="1">
        <v>45642</v>
      </c>
      <c r="B1014" t="s">
        <v>125</v>
      </c>
      <c r="C1014" t="s">
        <v>1362</v>
      </c>
      <c r="D1014" s="2">
        <v>1006.95</v>
      </c>
      <c r="E1014" s="2">
        <v>0</v>
      </c>
      <c r="F1014" s="2">
        <v>116333.58</v>
      </c>
      <c r="G1014" s="2" t="str">
        <f t="shared" si="15"/>
        <v>16-12-2024 NET PI TO HSL SEC A/C 347707-00602340029392</v>
      </c>
      <c r="H1014" s="2" t="s">
        <v>1911</v>
      </c>
      <c r="I1014" t="s">
        <v>361</v>
      </c>
      <c r="J1014" t="s">
        <v>1896</v>
      </c>
    </row>
    <row r="1015" spans="1:10" x14ac:dyDescent="0.3">
      <c r="A1015" s="1">
        <v>45642</v>
      </c>
      <c r="B1015" t="s">
        <v>125</v>
      </c>
      <c r="C1015" t="s">
        <v>1363</v>
      </c>
      <c r="D1015" s="2">
        <v>55.1</v>
      </c>
      <c r="E1015" s="2">
        <v>0</v>
      </c>
      <c r="F1015" s="2">
        <v>116278.48</v>
      </c>
      <c r="G1015" s="2" t="str">
        <f t="shared" ref="G1015:G1078" si="16">TEXT(A1015,"DD")&amp;"-"&amp;TEXT(A1015,"MM")&amp;"-"&amp;TEXT(A1015,"YYYY")&amp;" "&amp;B1015</f>
        <v>16-12-2024 NET PI TO HSL SEC A/C 347707-00602340029392</v>
      </c>
      <c r="H1015" s="2" t="s">
        <v>1911</v>
      </c>
      <c r="I1015" t="s">
        <v>361</v>
      </c>
      <c r="J1015" t="s">
        <v>1896</v>
      </c>
    </row>
    <row r="1016" spans="1:10" x14ac:dyDescent="0.3">
      <c r="A1016" s="1">
        <v>45642</v>
      </c>
      <c r="B1016" t="s">
        <v>146</v>
      </c>
      <c r="C1016" t="s">
        <v>1361</v>
      </c>
      <c r="D1016" s="2">
        <v>10000</v>
      </c>
      <c r="E1016" s="2">
        <v>0</v>
      </c>
      <c r="F1016" s="2">
        <v>117340.53</v>
      </c>
      <c r="G1016" s="2" t="str">
        <f t="shared" si="16"/>
        <v>16-12-2024 ACH D- INDIAN CLEARING CORP-P25847605X05</v>
      </c>
      <c r="H1016" s="2" t="s">
        <v>1911</v>
      </c>
      <c r="I1016" t="s">
        <v>1854</v>
      </c>
      <c r="J1016" t="s">
        <v>1896</v>
      </c>
    </row>
    <row r="1017" spans="1:10" x14ac:dyDescent="0.3">
      <c r="A1017" s="1">
        <v>45643</v>
      </c>
      <c r="B1017" t="s">
        <v>1365</v>
      </c>
      <c r="C1017" t="s">
        <v>140</v>
      </c>
      <c r="D1017" s="2">
        <v>460.2</v>
      </c>
      <c r="E1017" s="2">
        <v>0</v>
      </c>
      <c r="F1017" s="2">
        <v>115482.65</v>
      </c>
      <c r="G1017" s="2" t="str">
        <f t="shared" si="16"/>
        <v>17-12-2024 DEPOSITORY CHARGES NOV24 - 40227714</v>
      </c>
      <c r="H1017" s="2" t="s">
        <v>1911</v>
      </c>
      <c r="I1017" t="s">
        <v>362</v>
      </c>
      <c r="J1017" t="s">
        <v>1896</v>
      </c>
    </row>
    <row r="1018" spans="1:10" x14ac:dyDescent="0.3">
      <c r="A1018" s="1">
        <v>45643</v>
      </c>
      <c r="B1018" t="s">
        <v>571</v>
      </c>
      <c r="C1018" t="s">
        <v>7</v>
      </c>
      <c r="D1018" s="2">
        <v>990</v>
      </c>
      <c r="E1018" s="2">
        <v>0</v>
      </c>
      <c r="F1018" s="2">
        <v>486478.84</v>
      </c>
      <c r="G1018" s="2" t="str">
        <f t="shared" si="16"/>
        <v>17-12-2024 NBSM/85989775/CALCUTTA ELECTRIC SUPPLY CORPO(BILL</v>
      </c>
      <c r="H1018" s="2" t="s">
        <v>1911</v>
      </c>
      <c r="I1018" t="s">
        <v>357</v>
      </c>
      <c r="J1018" t="s">
        <v>1895</v>
      </c>
    </row>
    <row r="1019" spans="1:10" x14ac:dyDescent="0.3">
      <c r="A1019" s="1">
        <v>45643</v>
      </c>
      <c r="B1019" t="s">
        <v>125</v>
      </c>
      <c r="C1019" t="s">
        <v>1364</v>
      </c>
      <c r="D1019" s="2">
        <v>335.63</v>
      </c>
      <c r="E1019" s="2">
        <v>0</v>
      </c>
      <c r="F1019" s="2">
        <v>115942.85</v>
      </c>
      <c r="G1019" s="2" t="str">
        <f t="shared" si="16"/>
        <v>17-12-2024 NET PI TO HSL SEC A/C 347707-00602340029392</v>
      </c>
      <c r="H1019" s="2" t="s">
        <v>1911</v>
      </c>
      <c r="I1019" t="s">
        <v>361</v>
      </c>
      <c r="J1019" t="s">
        <v>1896</v>
      </c>
    </row>
    <row r="1020" spans="1:10" x14ac:dyDescent="0.3">
      <c r="A1020" s="1">
        <v>45643</v>
      </c>
      <c r="B1020" t="s">
        <v>1812</v>
      </c>
      <c r="C1020" t="s">
        <v>1813</v>
      </c>
      <c r="D1020" s="2">
        <v>165</v>
      </c>
      <c r="E1020" s="2">
        <v>0</v>
      </c>
      <c r="F1020" s="2">
        <v>7903.36</v>
      </c>
      <c r="G1020" s="2" t="str">
        <f t="shared" si="16"/>
        <v>17-12-2024    TO TRANSFER-INB DOITC--</v>
      </c>
      <c r="H1020" s="2" t="s">
        <v>1911</v>
      </c>
      <c r="I1020" t="s">
        <v>1844</v>
      </c>
      <c r="J1020" t="s">
        <v>1899</v>
      </c>
    </row>
    <row r="1021" spans="1:10" x14ac:dyDescent="0.3">
      <c r="A1021" s="1">
        <v>45644</v>
      </c>
      <c r="B1021" t="s">
        <v>1366</v>
      </c>
      <c r="C1021" t="s">
        <v>1367</v>
      </c>
      <c r="D1021" s="2">
        <v>0</v>
      </c>
      <c r="E1021" s="2">
        <v>29870.53</v>
      </c>
      <c r="F1021" s="2">
        <v>145353.18</v>
      </c>
      <c r="G1021" s="2" t="str">
        <f t="shared" si="16"/>
        <v>18-12-2024 FT- 591975268-50200085415108 - HDFC SECURITIES LTD-CLIENT DSCNB A/C -</v>
      </c>
      <c r="H1021" s="2" t="s">
        <v>1911</v>
      </c>
      <c r="I1021" t="s">
        <v>1876</v>
      </c>
      <c r="J1021" t="s">
        <v>1896</v>
      </c>
    </row>
    <row r="1022" spans="1:10" x14ac:dyDescent="0.3">
      <c r="A1022" s="1">
        <v>45644</v>
      </c>
      <c r="B1022" t="s">
        <v>125</v>
      </c>
      <c r="C1022" t="s">
        <v>1368</v>
      </c>
      <c r="D1022" s="2">
        <v>335.63</v>
      </c>
      <c r="E1022" s="2">
        <v>0</v>
      </c>
      <c r="F1022" s="2">
        <v>145017.54999999999</v>
      </c>
      <c r="G1022" s="2" t="str">
        <f t="shared" si="16"/>
        <v>18-12-2024 NET PI TO HSL SEC A/C 347707-00602340029392</v>
      </c>
      <c r="H1022" s="2" t="s">
        <v>1911</v>
      </c>
      <c r="I1022" t="s">
        <v>361</v>
      </c>
      <c r="J1022" t="s">
        <v>1896</v>
      </c>
    </row>
    <row r="1023" spans="1:10" x14ac:dyDescent="0.3">
      <c r="A1023" s="1">
        <v>45644</v>
      </c>
      <c r="B1023" t="s">
        <v>125</v>
      </c>
      <c r="C1023" t="s">
        <v>1369</v>
      </c>
      <c r="D1023" s="2">
        <v>17310.400000000001</v>
      </c>
      <c r="E1023" s="2">
        <v>0</v>
      </c>
      <c r="F1023" s="2">
        <v>127707.15</v>
      </c>
      <c r="G1023" s="2" t="str">
        <f t="shared" si="16"/>
        <v>18-12-2024 NET PI TO HSL SEC A/C 347707-00602340029392</v>
      </c>
      <c r="H1023" s="2" t="s">
        <v>1911</v>
      </c>
      <c r="I1023" t="s">
        <v>361</v>
      </c>
      <c r="J1023" t="s">
        <v>1896</v>
      </c>
    </row>
    <row r="1024" spans="1:10" x14ac:dyDescent="0.3">
      <c r="A1024" s="1">
        <v>45645</v>
      </c>
      <c r="B1024" t="s">
        <v>125</v>
      </c>
      <c r="C1024" t="s">
        <v>1370</v>
      </c>
      <c r="D1024" s="2">
        <v>318.44</v>
      </c>
      <c r="E1024" s="2">
        <v>0</v>
      </c>
      <c r="F1024" s="2">
        <v>127388.71</v>
      </c>
      <c r="G1024" s="2" t="str">
        <f t="shared" si="16"/>
        <v>19-12-2024 NET PI TO HSL SEC A/C 347707-00602340029392</v>
      </c>
      <c r="H1024" s="2" t="s">
        <v>1911</v>
      </c>
      <c r="I1024" t="s">
        <v>361</v>
      </c>
      <c r="J1024" t="s">
        <v>1896</v>
      </c>
    </row>
    <row r="1025" spans="1:11" x14ac:dyDescent="0.3">
      <c r="A1025" s="1">
        <v>45645</v>
      </c>
      <c r="B1025" t="s">
        <v>125</v>
      </c>
      <c r="C1025" t="s">
        <v>1371</v>
      </c>
      <c r="D1025" s="2">
        <v>12702.77</v>
      </c>
      <c r="E1025" s="2">
        <v>0</v>
      </c>
      <c r="F1025" s="2">
        <v>114685.94</v>
      </c>
      <c r="G1025" s="2" t="str">
        <f t="shared" si="16"/>
        <v>19-12-2024 NET PI TO HSL SEC A/C 347707-00602340029392</v>
      </c>
      <c r="H1025" s="2" t="s">
        <v>1911</v>
      </c>
      <c r="I1025" t="s">
        <v>361</v>
      </c>
      <c r="J1025" t="s">
        <v>1896</v>
      </c>
    </row>
    <row r="1026" spans="1:11" x14ac:dyDescent="0.3">
      <c r="A1026" s="1">
        <v>45645</v>
      </c>
      <c r="B1026" t="s">
        <v>125</v>
      </c>
      <c r="C1026" t="s">
        <v>1372</v>
      </c>
      <c r="D1026" s="2">
        <v>10870.99</v>
      </c>
      <c r="E1026" s="2">
        <v>0</v>
      </c>
      <c r="F1026" s="2">
        <v>103814.95</v>
      </c>
      <c r="G1026" s="2" t="str">
        <f t="shared" si="16"/>
        <v>19-12-2024 NET PI TO HSL SEC A/C 347707-00602340029392</v>
      </c>
      <c r="H1026" s="2" t="s">
        <v>1911</v>
      </c>
      <c r="I1026" t="s">
        <v>361</v>
      </c>
      <c r="J1026" t="s">
        <v>1896</v>
      </c>
    </row>
    <row r="1027" spans="1:11" x14ac:dyDescent="0.3">
      <c r="A1027" s="1">
        <v>45645</v>
      </c>
      <c r="B1027" t="s">
        <v>572</v>
      </c>
      <c r="C1027" t="s">
        <v>7</v>
      </c>
      <c r="D1027" s="2">
        <v>100</v>
      </c>
      <c r="E1027" s="2">
        <v>0</v>
      </c>
      <c r="F1027" s="2">
        <v>486378.84</v>
      </c>
      <c r="G1027" s="2" t="str">
        <f t="shared" si="16"/>
        <v>19-12-2024 UPI/P2M/501455550022/MUKESH GOYAL         /Kirana/ICICI Bank</v>
      </c>
      <c r="H1027" s="2" t="s">
        <v>1911</v>
      </c>
      <c r="I1027" t="s">
        <v>356</v>
      </c>
      <c r="J1027" t="s">
        <v>1895</v>
      </c>
    </row>
    <row r="1028" spans="1:11" x14ac:dyDescent="0.3">
      <c r="A1028" s="1">
        <v>45646</v>
      </c>
      <c r="B1028" t="s">
        <v>573</v>
      </c>
      <c r="C1028" t="s">
        <v>7</v>
      </c>
      <c r="D1028" s="2">
        <v>200000</v>
      </c>
      <c r="E1028" s="2">
        <v>0</v>
      </c>
      <c r="F1028" s="2">
        <v>286378.84000000003</v>
      </c>
      <c r="G1028" s="2" t="str">
        <f t="shared" si="16"/>
        <v>20-12-2024 NEFT/IR/AXOIR35504678280/Ajay Gupta/HDFC BANK/Transfer from Axis Bank</v>
      </c>
      <c r="H1028" s="2" t="s">
        <v>1911</v>
      </c>
      <c r="I1028" t="s">
        <v>1908</v>
      </c>
      <c r="J1028" t="s">
        <v>1895</v>
      </c>
      <c r="K1028" t="s">
        <v>1913</v>
      </c>
    </row>
    <row r="1029" spans="1:11" x14ac:dyDescent="0.3">
      <c r="A1029" s="1">
        <v>45646</v>
      </c>
      <c r="B1029" t="s">
        <v>1375</v>
      </c>
      <c r="C1029" t="s">
        <v>1376</v>
      </c>
      <c r="D1029" s="2">
        <v>0</v>
      </c>
      <c r="E1029" s="2">
        <v>200000</v>
      </c>
      <c r="F1029" s="2">
        <v>293814.95</v>
      </c>
      <c r="G1029" s="2" t="str">
        <f t="shared" si="16"/>
        <v>20-12-2024 NEFT CR-UTIB0002656-AJAY KUMAR GUPTA-AJAY GUPTA-AXOIR35504678280</v>
      </c>
      <c r="H1029" s="2" t="s">
        <v>1911</v>
      </c>
      <c r="I1029" t="s">
        <v>1907</v>
      </c>
      <c r="J1029" t="s">
        <v>1896</v>
      </c>
      <c r="K1029" t="s">
        <v>1913</v>
      </c>
    </row>
    <row r="1030" spans="1:11" x14ac:dyDescent="0.3">
      <c r="A1030" s="1">
        <v>45646</v>
      </c>
      <c r="B1030" t="s">
        <v>1377</v>
      </c>
      <c r="C1030" t="s">
        <v>1378</v>
      </c>
      <c r="D1030" s="2">
        <v>0</v>
      </c>
      <c r="E1030" s="2">
        <v>200000</v>
      </c>
      <c r="F1030" s="2">
        <v>493814.95</v>
      </c>
      <c r="G1030" s="2" t="str">
        <f t="shared" si="16"/>
        <v>20-12-2024 NEFT CR-SBIN0011669-MR AJAY KUMAR GUPTA-AJAY KUMAR GUPTA-SBIN224355793030</v>
      </c>
      <c r="H1030" s="2" t="s">
        <v>1911</v>
      </c>
      <c r="I1030" t="s">
        <v>1906</v>
      </c>
      <c r="J1030" t="s">
        <v>1896</v>
      </c>
      <c r="K1030" t="s">
        <v>1913</v>
      </c>
    </row>
    <row r="1031" spans="1:11" x14ac:dyDescent="0.3">
      <c r="A1031" s="1">
        <v>45646</v>
      </c>
      <c r="B1031" t="s">
        <v>779</v>
      </c>
      <c r="C1031" t="s">
        <v>780</v>
      </c>
      <c r="D1031" s="2">
        <v>200000</v>
      </c>
      <c r="E1031" s="2">
        <v>0</v>
      </c>
      <c r="F1031" s="2">
        <v>-225791.37</v>
      </c>
      <c r="G1031" s="2" t="str">
        <f t="shared" si="16"/>
        <v>20-12-2024    TO TRANSFER-INB NEFT UTR NO: SBIN224355793030--Ajay Kumar Gupta</v>
      </c>
      <c r="H1031" s="2" t="s">
        <v>1911</v>
      </c>
      <c r="I1031" t="s">
        <v>1908</v>
      </c>
      <c r="J1031" t="s">
        <v>1897</v>
      </c>
      <c r="K1031" t="s">
        <v>1913</v>
      </c>
    </row>
    <row r="1032" spans="1:11" x14ac:dyDescent="0.3">
      <c r="A1032" s="1">
        <v>45646</v>
      </c>
      <c r="B1032" t="s">
        <v>125</v>
      </c>
      <c r="C1032" t="s">
        <v>1379</v>
      </c>
      <c r="D1032" s="2">
        <v>330.39</v>
      </c>
      <c r="E1032" s="2">
        <v>0</v>
      </c>
      <c r="F1032" s="2">
        <v>493484.56</v>
      </c>
      <c r="G1032" s="2" t="str">
        <f t="shared" si="16"/>
        <v>20-12-2024 NET PI TO HSL SEC A/C 347707-00602340029392</v>
      </c>
      <c r="H1032" s="2" t="s">
        <v>1911</v>
      </c>
      <c r="I1032" t="s">
        <v>361</v>
      </c>
      <c r="J1032" t="s">
        <v>1896</v>
      </c>
    </row>
    <row r="1033" spans="1:11" x14ac:dyDescent="0.3">
      <c r="A1033" s="1">
        <v>45646</v>
      </c>
      <c r="B1033" t="s">
        <v>125</v>
      </c>
      <c r="C1033" t="s">
        <v>1380</v>
      </c>
      <c r="D1033" s="2">
        <v>21424.53</v>
      </c>
      <c r="E1033" s="2">
        <v>0</v>
      </c>
      <c r="F1033" s="2">
        <v>472060.03</v>
      </c>
      <c r="G1033" s="2" t="str">
        <f t="shared" si="16"/>
        <v>20-12-2024 NET PI TO HSL SEC A/C 347707-00602340029392</v>
      </c>
      <c r="H1033" s="2" t="s">
        <v>1911</v>
      </c>
      <c r="I1033" t="s">
        <v>361</v>
      </c>
      <c r="J1033" t="s">
        <v>1896</v>
      </c>
    </row>
    <row r="1034" spans="1:11" x14ac:dyDescent="0.3">
      <c r="A1034" s="1">
        <v>45646</v>
      </c>
      <c r="B1034" t="s">
        <v>1373</v>
      </c>
      <c r="C1034" t="s">
        <v>1374</v>
      </c>
      <c r="D1034" s="2">
        <v>10000</v>
      </c>
      <c r="E1034" s="2">
        <v>0</v>
      </c>
      <c r="F1034" s="2">
        <v>93814.95</v>
      </c>
      <c r="G1034" s="2" t="str">
        <f t="shared" si="16"/>
        <v>20-12-2024 ACH D- TP ACH INDIANESIGN-1658585245</v>
      </c>
      <c r="H1034" s="2" t="s">
        <v>1911</v>
      </c>
      <c r="I1034" t="s">
        <v>1854</v>
      </c>
      <c r="J1034" t="s">
        <v>1896</v>
      </c>
    </row>
    <row r="1035" spans="1:11" x14ac:dyDescent="0.3">
      <c r="A1035" s="1">
        <v>45647</v>
      </c>
      <c r="B1035" t="s">
        <v>574</v>
      </c>
      <c r="C1035" t="s">
        <v>7</v>
      </c>
      <c r="D1035" s="2">
        <v>1</v>
      </c>
      <c r="E1035" s="2">
        <v>0</v>
      </c>
      <c r="F1035" s="2">
        <v>286377.84000000003</v>
      </c>
      <c r="G1035" s="2" t="str">
        <f t="shared" si="16"/>
        <v>21-12-2024 UPI/P2A/823552035835/SHAM JAGDISHRAM VISHN/Paymen/State Bank Of India</v>
      </c>
      <c r="H1035" s="2" t="s">
        <v>1911</v>
      </c>
      <c r="I1035" t="s">
        <v>356</v>
      </c>
      <c r="J1035" t="s">
        <v>1895</v>
      </c>
    </row>
    <row r="1036" spans="1:11" x14ac:dyDescent="0.3">
      <c r="A1036" s="1">
        <v>45648</v>
      </c>
      <c r="B1036" t="s">
        <v>575</v>
      </c>
      <c r="C1036" t="s">
        <v>7</v>
      </c>
      <c r="D1036" s="2">
        <v>21000</v>
      </c>
      <c r="E1036" s="2">
        <v>0</v>
      </c>
      <c r="F1036" s="2">
        <v>265377.84000000003</v>
      </c>
      <c r="G1036" s="2" t="str">
        <f t="shared" si="16"/>
        <v>22-12-2024 UPI/P2A/707518459880/SHAM JAGDISHRAM VISHN/Paymen/State Bank Of India</v>
      </c>
      <c r="H1036" s="2" t="s">
        <v>1911</v>
      </c>
      <c r="I1036" t="s">
        <v>1934</v>
      </c>
      <c r="J1036" t="s">
        <v>1895</v>
      </c>
    </row>
    <row r="1037" spans="1:11" x14ac:dyDescent="0.3">
      <c r="A1037" s="1">
        <v>45649</v>
      </c>
      <c r="B1037" t="s">
        <v>125</v>
      </c>
      <c r="C1037" t="s">
        <v>1383</v>
      </c>
      <c r="D1037" s="2">
        <v>995.01</v>
      </c>
      <c r="E1037" s="2">
        <v>0</v>
      </c>
      <c r="F1037" s="2">
        <v>121065.02</v>
      </c>
      <c r="G1037" s="2" t="str">
        <f t="shared" si="16"/>
        <v>23-12-2024 NET PI TO HSL SEC A/C 347707-00602340029392</v>
      </c>
      <c r="H1037" s="2" t="s">
        <v>1911</v>
      </c>
      <c r="I1037" t="s">
        <v>361</v>
      </c>
      <c r="J1037" t="s">
        <v>1896</v>
      </c>
    </row>
    <row r="1038" spans="1:11" x14ac:dyDescent="0.3">
      <c r="A1038" s="1">
        <v>45649</v>
      </c>
      <c r="B1038" t="s">
        <v>1381</v>
      </c>
      <c r="C1038" t="s">
        <v>1382</v>
      </c>
      <c r="D1038" s="2">
        <v>350000</v>
      </c>
      <c r="E1038" s="2">
        <v>0</v>
      </c>
      <c r="F1038" s="2">
        <v>122060.03</v>
      </c>
      <c r="G1038" s="2" t="str">
        <f t="shared" si="16"/>
        <v>23-12-2024 CHQ PAID-MICR CTS-RK-SHRI DHA</v>
      </c>
      <c r="H1038" s="2" t="s">
        <v>1911</v>
      </c>
      <c r="I1038" t="s">
        <v>1938</v>
      </c>
      <c r="J1038" t="s">
        <v>1896</v>
      </c>
    </row>
    <row r="1039" spans="1:11" x14ac:dyDescent="0.3">
      <c r="A1039" s="1">
        <v>45649</v>
      </c>
      <c r="B1039" t="s">
        <v>576</v>
      </c>
      <c r="C1039" t="s">
        <v>7</v>
      </c>
      <c r="D1039" s="2">
        <v>1</v>
      </c>
      <c r="E1039" s="2">
        <v>0</v>
      </c>
      <c r="F1039" s="2">
        <v>265376.84000000003</v>
      </c>
      <c r="G1039" s="2" t="str">
        <f t="shared" si="16"/>
        <v>23-12-2024 UPI/P2A/890549885068/Archit  Gupta        /Paymen/State Bank Of India</v>
      </c>
      <c r="H1039" s="2" t="s">
        <v>1911</v>
      </c>
      <c r="I1039" t="s">
        <v>356</v>
      </c>
      <c r="J1039" t="s">
        <v>1895</v>
      </c>
    </row>
    <row r="1040" spans="1:11" x14ac:dyDescent="0.3">
      <c r="A1040" s="1">
        <v>45650</v>
      </c>
      <c r="B1040" t="s">
        <v>1384</v>
      </c>
      <c r="C1040" t="s">
        <v>1385</v>
      </c>
      <c r="D1040" s="2">
        <v>0</v>
      </c>
      <c r="E1040" s="2">
        <v>4488.34</v>
      </c>
      <c r="F1040" s="2">
        <v>125553.36</v>
      </c>
      <c r="G1040" s="2" t="str">
        <f t="shared" si="16"/>
        <v>24-12-2024 FT- 593876868-50200085415108 - HDFC SECURITIES LTD-CLIENT DSCNB A/C -</v>
      </c>
      <c r="H1040" s="2" t="s">
        <v>1911</v>
      </c>
      <c r="I1040" t="s">
        <v>1876</v>
      </c>
      <c r="J1040" t="s">
        <v>1896</v>
      </c>
    </row>
    <row r="1041" spans="1:10" x14ac:dyDescent="0.3">
      <c r="A1041" s="1">
        <v>45650</v>
      </c>
      <c r="B1041" t="s">
        <v>125</v>
      </c>
      <c r="C1041" t="s">
        <v>1386</v>
      </c>
      <c r="D1041" s="2">
        <v>331.67</v>
      </c>
      <c r="E1041" s="2">
        <v>0</v>
      </c>
      <c r="F1041" s="2">
        <v>125221.69</v>
      </c>
      <c r="G1041" s="2" t="str">
        <f t="shared" si="16"/>
        <v>24-12-2024 NET PI TO HSL SEC A/C 347707-00602340029392</v>
      </c>
      <c r="H1041" s="2" t="s">
        <v>1911</v>
      </c>
      <c r="I1041" t="s">
        <v>361</v>
      </c>
      <c r="J1041" t="s">
        <v>1896</v>
      </c>
    </row>
    <row r="1042" spans="1:10" x14ac:dyDescent="0.3">
      <c r="A1042" s="1">
        <v>45650</v>
      </c>
      <c r="B1042" t="s">
        <v>125</v>
      </c>
      <c r="C1042" t="s">
        <v>1387</v>
      </c>
      <c r="D1042" s="2">
        <v>1.08</v>
      </c>
      <c r="E1042" s="2">
        <v>0</v>
      </c>
      <c r="F1042" s="2">
        <v>125220.61</v>
      </c>
      <c r="G1042" s="2" t="str">
        <f t="shared" si="16"/>
        <v>24-12-2024 NET PI TO HSL SEC A/C 347707-00602340029392</v>
      </c>
      <c r="H1042" s="2" t="s">
        <v>1911</v>
      </c>
      <c r="I1042" t="s">
        <v>361</v>
      </c>
      <c r="J1042" t="s">
        <v>1896</v>
      </c>
    </row>
    <row r="1043" spans="1:10" x14ac:dyDescent="0.3">
      <c r="A1043" s="1">
        <v>45651</v>
      </c>
      <c r="B1043" t="s">
        <v>1729</v>
      </c>
      <c r="D1043" s="2">
        <v>0</v>
      </c>
      <c r="E1043" s="2">
        <v>251</v>
      </c>
      <c r="F1043" s="2">
        <v>8154.36</v>
      </c>
      <c r="G1043" s="2" t="str">
        <f t="shared" si="16"/>
        <v>25-12-2024    CREDIT INTEREST---</v>
      </c>
      <c r="H1043" s="2" t="s">
        <v>1911</v>
      </c>
      <c r="I1043" t="s">
        <v>370</v>
      </c>
      <c r="J1043" t="s">
        <v>1899</v>
      </c>
    </row>
    <row r="1044" spans="1:10" x14ac:dyDescent="0.3">
      <c r="A1044" s="1">
        <v>45651</v>
      </c>
      <c r="B1044" t="s">
        <v>1729</v>
      </c>
      <c r="D1044" s="2">
        <v>0</v>
      </c>
      <c r="E1044" s="2">
        <v>47</v>
      </c>
      <c r="F1044" s="8">
        <v>7068</v>
      </c>
      <c r="G1044" s="2" t="str">
        <f t="shared" si="16"/>
        <v>25-12-2024    CREDIT INTEREST---</v>
      </c>
      <c r="H1044" s="2" t="s">
        <v>1911</v>
      </c>
      <c r="I1044" t="s">
        <v>370</v>
      </c>
      <c r="J1044" t="s">
        <v>1902</v>
      </c>
    </row>
    <row r="1045" spans="1:10" x14ac:dyDescent="0.3">
      <c r="A1045" s="1">
        <v>45651</v>
      </c>
      <c r="B1045" t="s">
        <v>577</v>
      </c>
      <c r="C1045" t="s">
        <v>7</v>
      </c>
      <c r="D1045" s="2">
        <v>220</v>
      </c>
      <c r="E1045" s="2">
        <v>0</v>
      </c>
      <c r="F1045" s="2">
        <v>265156.84000000003</v>
      </c>
      <c r="G1045" s="2" t="str">
        <f t="shared" si="16"/>
        <v>25-12-2024 NBSM/86977017/Maha Electricity(BILLDESK)/</v>
      </c>
      <c r="H1045" s="2" t="s">
        <v>1911</v>
      </c>
      <c r="I1045" t="s">
        <v>357</v>
      </c>
      <c r="J1045" t="s">
        <v>1895</v>
      </c>
    </row>
    <row r="1046" spans="1:10" x14ac:dyDescent="0.3">
      <c r="A1046" s="1">
        <v>45651</v>
      </c>
      <c r="B1046" t="s">
        <v>1388</v>
      </c>
      <c r="C1046" t="s">
        <v>1389</v>
      </c>
      <c r="D1046" s="2">
        <v>20000</v>
      </c>
      <c r="E1046" s="2">
        <v>0</v>
      </c>
      <c r="F1046" s="2">
        <v>105220.61</v>
      </c>
      <c r="G1046" s="2" t="str">
        <f t="shared" si="16"/>
        <v>25-12-2024 01671000060094-TPT-BORROW FROM AKG-SUNITA GUPTA</v>
      </c>
      <c r="H1046" s="2" t="s">
        <v>1911</v>
      </c>
      <c r="I1046" t="s">
        <v>1852</v>
      </c>
      <c r="J1046" t="s">
        <v>1896</v>
      </c>
    </row>
    <row r="1047" spans="1:10" x14ac:dyDescent="0.3">
      <c r="A1047" s="1">
        <v>45652</v>
      </c>
      <c r="B1047" t="s">
        <v>125</v>
      </c>
      <c r="C1047" t="s">
        <v>1390</v>
      </c>
      <c r="D1047" s="2">
        <v>666.54</v>
      </c>
      <c r="E1047" s="2">
        <v>0</v>
      </c>
      <c r="F1047" s="2">
        <v>104554.07</v>
      </c>
      <c r="G1047" s="2" t="str">
        <f t="shared" si="16"/>
        <v>26-12-2024 NET PI TO HSL SEC A/C 347707-00602340029392</v>
      </c>
      <c r="H1047" s="2" t="s">
        <v>1911</v>
      </c>
      <c r="I1047" t="s">
        <v>361</v>
      </c>
      <c r="J1047" t="s">
        <v>1896</v>
      </c>
    </row>
    <row r="1048" spans="1:10" x14ac:dyDescent="0.3">
      <c r="A1048" s="1">
        <v>45652</v>
      </c>
      <c r="B1048" t="s">
        <v>125</v>
      </c>
      <c r="C1048" t="s">
        <v>1391</v>
      </c>
      <c r="D1048" s="2">
        <v>1637.2</v>
      </c>
      <c r="E1048" s="2">
        <v>0</v>
      </c>
      <c r="F1048" s="2">
        <v>102916.87</v>
      </c>
      <c r="G1048" s="2" t="str">
        <f t="shared" si="16"/>
        <v>26-12-2024 NET PI TO HSL SEC A/C 347707-00602340029392</v>
      </c>
      <c r="H1048" s="2" t="s">
        <v>1911</v>
      </c>
      <c r="I1048" t="s">
        <v>361</v>
      </c>
      <c r="J1048" t="s">
        <v>1896</v>
      </c>
    </row>
    <row r="1049" spans="1:10" x14ac:dyDescent="0.3">
      <c r="A1049" s="1">
        <v>45652</v>
      </c>
      <c r="B1049" t="s">
        <v>578</v>
      </c>
      <c r="C1049" t="s">
        <v>7</v>
      </c>
      <c r="D1049" s="2">
        <v>18896</v>
      </c>
      <c r="E1049" s="2">
        <v>0</v>
      </c>
      <c r="F1049" s="2">
        <v>246260.84</v>
      </c>
      <c r="G1049" s="2" t="str">
        <f t="shared" si="16"/>
        <v>26-12-2024 UPI/P2M/495993933753/ABHINDANCLOTHMERCHANT/Saree/YES BANK LIMITED YBS</v>
      </c>
      <c r="H1049" s="2" t="s">
        <v>1911</v>
      </c>
      <c r="I1049" t="s">
        <v>1925</v>
      </c>
      <c r="J1049" t="s">
        <v>1895</v>
      </c>
    </row>
    <row r="1050" spans="1:10" x14ac:dyDescent="0.3">
      <c r="A1050" s="1">
        <v>45653</v>
      </c>
      <c r="B1050" t="s">
        <v>125</v>
      </c>
      <c r="C1050" t="s">
        <v>1392</v>
      </c>
      <c r="D1050" s="2">
        <v>332.69</v>
      </c>
      <c r="E1050" s="2">
        <v>0</v>
      </c>
      <c r="F1050" s="2">
        <v>102584.18</v>
      </c>
      <c r="G1050" s="2" t="str">
        <f t="shared" si="16"/>
        <v>27-12-2024 NET PI TO HSL SEC A/C 347707-00602340029392</v>
      </c>
      <c r="H1050" s="2" t="s">
        <v>1911</v>
      </c>
      <c r="I1050" t="s">
        <v>361</v>
      </c>
      <c r="J1050" t="s">
        <v>1896</v>
      </c>
    </row>
    <row r="1051" spans="1:10" x14ac:dyDescent="0.3">
      <c r="A1051" s="1">
        <v>45653</v>
      </c>
      <c r="B1051" t="s">
        <v>125</v>
      </c>
      <c r="C1051" t="s">
        <v>1394</v>
      </c>
      <c r="D1051" s="2">
        <v>4089.87</v>
      </c>
      <c r="E1051" s="2">
        <v>0</v>
      </c>
      <c r="F1051" s="2">
        <v>99170.44</v>
      </c>
      <c r="G1051" s="2" t="str">
        <f t="shared" si="16"/>
        <v>27-12-2024 NET PI TO HSL SEC A/C 347707-00602340029392</v>
      </c>
      <c r="H1051" s="2" t="s">
        <v>1911</v>
      </c>
      <c r="I1051" t="s">
        <v>361</v>
      </c>
      <c r="J1051" t="s">
        <v>1896</v>
      </c>
    </row>
    <row r="1052" spans="1:10" x14ac:dyDescent="0.3">
      <c r="A1052" s="1">
        <v>45653</v>
      </c>
      <c r="B1052" t="s">
        <v>345</v>
      </c>
      <c r="C1052" t="s">
        <v>1393</v>
      </c>
      <c r="D1052" s="2">
        <v>0</v>
      </c>
      <c r="E1052" s="2">
        <v>676.13</v>
      </c>
      <c r="F1052" s="2">
        <v>103260.31</v>
      </c>
      <c r="G1052" s="2" t="str">
        <f t="shared" si="16"/>
        <v>27-12-2024 00012050001396HLY INT-IN0020220110</v>
      </c>
      <c r="H1052" s="2" t="s">
        <v>1911</v>
      </c>
      <c r="I1052" t="s">
        <v>369</v>
      </c>
      <c r="J1052" t="s">
        <v>1896</v>
      </c>
    </row>
    <row r="1053" spans="1:10" x14ac:dyDescent="0.3">
      <c r="A1053" s="1">
        <v>45656</v>
      </c>
      <c r="B1053" t="s">
        <v>125</v>
      </c>
      <c r="C1053" t="s">
        <v>1395</v>
      </c>
      <c r="D1053" s="2">
        <v>993.69</v>
      </c>
      <c r="E1053" s="2">
        <v>0</v>
      </c>
      <c r="F1053" s="2">
        <v>98176.75</v>
      </c>
      <c r="G1053" s="2" t="str">
        <f t="shared" si="16"/>
        <v>30-12-2024 NET PI TO HSL SEC A/C 347707-00602340029392</v>
      </c>
      <c r="H1053" s="2" t="s">
        <v>1911</v>
      </c>
      <c r="I1053" t="s">
        <v>361</v>
      </c>
      <c r="J1053" t="s">
        <v>1896</v>
      </c>
    </row>
    <row r="1054" spans="1:10" x14ac:dyDescent="0.3">
      <c r="A1054" s="1">
        <v>45657</v>
      </c>
      <c r="B1054" t="s">
        <v>754</v>
      </c>
      <c r="D1054" s="2">
        <v>992</v>
      </c>
      <c r="E1054" s="2">
        <v>0</v>
      </c>
      <c r="F1054" s="2">
        <v>-226783.37</v>
      </c>
      <c r="G1054" s="2" t="str">
        <f t="shared" si="16"/>
        <v>31-12-2024    DEBIT INTEREST---</v>
      </c>
      <c r="H1054" s="2" t="s">
        <v>1911</v>
      </c>
      <c r="I1054" t="s">
        <v>1915</v>
      </c>
      <c r="J1054" t="s">
        <v>1897</v>
      </c>
    </row>
    <row r="1055" spans="1:10" x14ac:dyDescent="0.3">
      <c r="A1055" s="1">
        <v>45657</v>
      </c>
      <c r="B1055" t="s">
        <v>1400</v>
      </c>
      <c r="C1055" t="s">
        <v>140</v>
      </c>
      <c r="D1055" s="2">
        <v>0</v>
      </c>
      <c r="E1055" s="2">
        <v>1556</v>
      </c>
      <c r="F1055" s="2">
        <v>142828.18</v>
      </c>
      <c r="G1055" s="2" t="str">
        <f t="shared" si="16"/>
        <v>31-12-2024 INTEREST PAID TILL 31-DEC-2024</v>
      </c>
      <c r="H1055" s="2" t="s">
        <v>1911</v>
      </c>
      <c r="I1055" t="s">
        <v>370</v>
      </c>
      <c r="J1055" t="s">
        <v>1896</v>
      </c>
    </row>
    <row r="1056" spans="1:10" x14ac:dyDescent="0.3">
      <c r="A1056" s="1">
        <v>45657</v>
      </c>
      <c r="B1056" t="s">
        <v>1396</v>
      </c>
      <c r="C1056" t="s">
        <v>1397</v>
      </c>
      <c r="D1056" s="2">
        <v>0</v>
      </c>
      <c r="E1056" s="2">
        <v>47253.9</v>
      </c>
      <c r="F1056" s="2">
        <v>145430.65</v>
      </c>
      <c r="G1056" s="2" t="str">
        <f t="shared" si="16"/>
        <v>31-12-2024 FT- 595651309-50200085415108 - HDFC SECURITIES LTD-CLIENT DSCNB A/C -</v>
      </c>
      <c r="H1056" s="2" t="s">
        <v>1911</v>
      </c>
      <c r="I1056" t="s">
        <v>1876</v>
      </c>
      <c r="J1056" t="s">
        <v>1896</v>
      </c>
    </row>
    <row r="1057" spans="1:11" x14ac:dyDescent="0.3">
      <c r="A1057" s="1">
        <v>45657</v>
      </c>
      <c r="B1057" t="s">
        <v>125</v>
      </c>
      <c r="C1057" t="s">
        <v>1398</v>
      </c>
      <c r="D1057" s="2">
        <v>331.23</v>
      </c>
      <c r="E1057" s="2">
        <v>0</v>
      </c>
      <c r="F1057" s="2">
        <v>145099.42000000001</v>
      </c>
      <c r="G1057" s="2" t="str">
        <f t="shared" si="16"/>
        <v>31-12-2024 NET PI TO HSL SEC A/C 347707-00602340029392</v>
      </c>
      <c r="H1057" s="2" t="s">
        <v>1911</v>
      </c>
      <c r="I1057" t="s">
        <v>361</v>
      </c>
      <c r="J1057" t="s">
        <v>1896</v>
      </c>
    </row>
    <row r="1058" spans="1:11" x14ac:dyDescent="0.3">
      <c r="A1058" s="1">
        <v>45657</v>
      </c>
      <c r="B1058" t="s">
        <v>125</v>
      </c>
      <c r="C1058" t="s">
        <v>1399</v>
      </c>
      <c r="D1058" s="2">
        <v>3827.24</v>
      </c>
      <c r="E1058" s="2">
        <v>0</v>
      </c>
      <c r="F1058" s="2">
        <v>141272.18</v>
      </c>
      <c r="G1058" s="2" t="str">
        <f t="shared" si="16"/>
        <v>31-12-2024 NET PI TO HSL SEC A/C 347707-00602340029392</v>
      </c>
      <c r="H1058" s="2" t="s">
        <v>1911</v>
      </c>
      <c r="I1058" t="s">
        <v>361</v>
      </c>
      <c r="J1058" t="s">
        <v>1896</v>
      </c>
    </row>
    <row r="1059" spans="1:11" x14ac:dyDescent="0.3">
      <c r="A1059" s="1">
        <v>45658</v>
      </c>
      <c r="B1059" t="s">
        <v>579</v>
      </c>
      <c r="C1059" t="s">
        <v>7</v>
      </c>
      <c r="D1059" s="2">
        <v>0</v>
      </c>
      <c r="E1059" s="2">
        <v>1532</v>
      </c>
      <c r="F1059" s="2">
        <v>247792.84</v>
      </c>
      <c r="G1059" s="2" t="str">
        <f t="shared" si="16"/>
        <v>01-01-2025 SB:910010047943167:Int.Pd:01-10-2024 to 31-12-2024</v>
      </c>
      <c r="H1059" s="2" t="s">
        <v>1911</v>
      </c>
      <c r="I1059" t="s">
        <v>370</v>
      </c>
      <c r="J1059" t="s">
        <v>1895</v>
      </c>
    </row>
    <row r="1060" spans="1:11" x14ac:dyDescent="0.3">
      <c r="A1060" s="1">
        <v>45658</v>
      </c>
      <c r="B1060" t="s">
        <v>125</v>
      </c>
      <c r="C1060" t="s">
        <v>1401</v>
      </c>
      <c r="D1060" s="2">
        <v>346.7</v>
      </c>
      <c r="E1060" s="2">
        <v>0</v>
      </c>
      <c r="F1060" s="2">
        <v>142481.48000000001</v>
      </c>
      <c r="G1060" s="2" t="str">
        <f t="shared" si="16"/>
        <v>01-01-2025 NET PI TO HSL SEC A/C 347707-00602340029392</v>
      </c>
      <c r="H1060" s="2" t="s">
        <v>1911</v>
      </c>
      <c r="I1060" t="s">
        <v>361</v>
      </c>
      <c r="J1060" t="s">
        <v>1896</v>
      </c>
    </row>
    <row r="1061" spans="1:11" x14ac:dyDescent="0.3">
      <c r="A1061" s="1">
        <v>45658</v>
      </c>
      <c r="B1061" t="s">
        <v>1402</v>
      </c>
      <c r="C1061" t="s">
        <v>1403</v>
      </c>
      <c r="D1061" s="2">
        <v>0</v>
      </c>
      <c r="E1061" s="2">
        <v>1668472</v>
      </c>
      <c r="F1061" s="2">
        <v>1810953.48</v>
      </c>
      <c r="G1061" s="2" t="str">
        <f t="shared" si="16"/>
        <v>01-01-2025 NEFT CR-SBIN0000539-SBI LIFE INSURANCE CO LTD-AJAY GUPTA-SBIN225001763168</v>
      </c>
      <c r="H1061" s="2" t="s">
        <v>1911</v>
      </c>
      <c r="I1061" t="s">
        <v>1865</v>
      </c>
      <c r="J1061" t="s">
        <v>1896</v>
      </c>
    </row>
    <row r="1062" spans="1:11" x14ac:dyDescent="0.3">
      <c r="A1062" s="1">
        <v>45659</v>
      </c>
      <c r="B1062" t="s">
        <v>1411</v>
      </c>
      <c r="C1062" t="s">
        <v>1412</v>
      </c>
      <c r="D1062" s="2">
        <v>750</v>
      </c>
      <c r="E1062" s="2">
        <v>0</v>
      </c>
      <c r="F1062" s="2">
        <v>1490215.85</v>
      </c>
      <c r="G1062" s="2" t="str">
        <f t="shared" si="16"/>
        <v>02-01-2025 SC BILLING WITH GST : LOCKER CASA ACCOUNT LEVEL SC CHARGE 775</v>
      </c>
      <c r="H1062" s="2" t="s">
        <v>1911</v>
      </c>
      <c r="I1062" t="s">
        <v>365</v>
      </c>
      <c r="J1062" t="s">
        <v>1896</v>
      </c>
    </row>
    <row r="1063" spans="1:11" x14ac:dyDescent="0.3">
      <c r="A1063" s="1">
        <v>45659</v>
      </c>
      <c r="B1063" t="s">
        <v>1414</v>
      </c>
      <c r="C1063" t="s">
        <v>1412</v>
      </c>
      <c r="D1063" s="2">
        <v>67.5</v>
      </c>
      <c r="E1063" s="2">
        <v>0</v>
      </c>
      <c r="F1063" s="2">
        <v>1490080.85</v>
      </c>
      <c r="G1063" s="2" t="str">
        <f t="shared" si="16"/>
        <v>02-01-2025 SGST-LOCKER CASA ACCOUNT LEVEL SC CHARGE 775-NCB2500254959919</v>
      </c>
      <c r="H1063" s="2" t="s">
        <v>1911</v>
      </c>
      <c r="I1063" t="s">
        <v>365</v>
      </c>
      <c r="J1063" t="s">
        <v>1896</v>
      </c>
    </row>
    <row r="1064" spans="1:11" x14ac:dyDescent="0.3">
      <c r="A1064" s="1">
        <v>45659</v>
      </c>
      <c r="B1064" t="s">
        <v>1408</v>
      </c>
      <c r="C1064" t="s">
        <v>1409</v>
      </c>
      <c r="D1064" s="2">
        <v>225000</v>
      </c>
      <c r="E1064" s="2">
        <v>0</v>
      </c>
      <c r="F1064" s="2">
        <v>1491312.55</v>
      </c>
      <c r="G1064" s="2" t="str">
        <f t="shared" si="16"/>
        <v>02-01-2025 RTGS DR-SBIN0011669-AJAY KUMAR GUPTA-NETBANK, MUM-HDFCR52025010276679796-TRF FRM AJAY HDFC</v>
      </c>
      <c r="H1064" s="2" t="s">
        <v>1911</v>
      </c>
      <c r="I1064" t="s">
        <v>1906</v>
      </c>
      <c r="J1064" t="s">
        <v>1896</v>
      </c>
      <c r="K1064" t="s">
        <v>1913</v>
      </c>
    </row>
    <row r="1065" spans="1:11" x14ac:dyDescent="0.3">
      <c r="A1065" s="1">
        <v>45659</v>
      </c>
      <c r="B1065" t="s">
        <v>781</v>
      </c>
      <c r="C1065" t="s">
        <v>782</v>
      </c>
      <c r="D1065" s="2">
        <v>0</v>
      </c>
      <c r="E1065" s="2">
        <v>225000</v>
      </c>
      <c r="F1065" s="2">
        <v>-1783.37</v>
      </c>
      <c r="G1065" s="2" t="str">
        <f t="shared" si="16"/>
        <v>02-01-2025    BY TRANSFER-RTGS UTR NO: HDFCR52025010276679796--AJAY KUMAR GUPTA</v>
      </c>
      <c r="H1065" s="2" t="s">
        <v>1911</v>
      </c>
      <c r="I1065" t="s">
        <v>1908</v>
      </c>
      <c r="J1065" t="s">
        <v>1897</v>
      </c>
      <c r="K1065" t="s">
        <v>1913</v>
      </c>
    </row>
    <row r="1066" spans="1:11" x14ac:dyDescent="0.3">
      <c r="A1066" s="1">
        <v>45659</v>
      </c>
      <c r="B1066" t="s">
        <v>1404</v>
      </c>
      <c r="C1066" t="s">
        <v>1405</v>
      </c>
      <c r="D1066" s="2">
        <v>0</v>
      </c>
      <c r="E1066" s="2">
        <v>5359.07</v>
      </c>
      <c r="F1066" s="2">
        <v>1816312.55</v>
      </c>
      <c r="G1066" s="2" t="str">
        <f t="shared" si="16"/>
        <v>02-01-2025 FT- 596468384-50200085415108 - HDFC SECURITIES LTD-CLIENT DSCNB A/C -</v>
      </c>
      <c r="H1066" s="2" t="s">
        <v>1911</v>
      </c>
      <c r="I1066" t="s">
        <v>1876</v>
      </c>
      <c r="J1066" t="s">
        <v>1896</v>
      </c>
    </row>
    <row r="1067" spans="1:11" x14ac:dyDescent="0.3">
      <c r="A1067" s="1">
        <v>45659</v>
      </c>
      <c r="B1067" t="s">
        <v>125</v>
      </c>
      <c r="C1067" t="s">
        <v>1410</v>
      </c>
      <c r="D1067" s="2">
        <v>346.7</v>
      </c>
      <c r="E1067" s="2">
        <v>0</v>
      </c>
      <c r="F1067" s="2">
        <v>1490965.85</v>
      </c>
      <c r="G1067" s="2" t="str">
        <f t="shared" si="16"/>
        <v>02-01-2025 NET PI TO HSL SEC A/C 347707-00602340029392</v>
      </c>
      <c r="H1067" s="2" t="s">
        <v>1911</v>
      </c>
      <c r="I1067" t="s">
        <v>361</v>
      </c>
      <c r="J1067" t="s">
        <v>1896</v>
      </c>
    </row>
    <row r="1068" spans="1:11" x14ac:dyDescent="0.3">
      <c r="A1068" s="1">
        <v>45659</v>
      </c>
      <c r="B1068" t="s">
        <v>125</v>
      </c>
      <c r="C1068" t="s">
        <v>1419</v>
      </c>
      <c r="D1068" s="2">
        <v>63492.639999999999</v>
      </c>
      <c r="E1068" s="2">
        <v>0</v>
      </c>
      <c r="F1068" s="2">
        <v>1226588.21</v>
      </c>
      <c r="G1068" s="2" t="str">
        <f t="shared" si="16"/>
        <v>02-01-2025 NET PI TO HSL SEC A/C 347707-00602340029392</v>
      </c>
      <c r="H1068" s="2" t="s">
        <v>1911</v>
      </c>
      <c r="I1068" t="s">
        <v>361</v>
      </c>
      <c r="J1068" t="s">
        <v>1896</v>
      </c>
    </row>
    <row r="1069" spans="1:11" x14ac:dyDescent="0.3">
      <c r="A1069" s="1">
        <v>45659</v>
      </c>
      <c r="B1069" t="s">
        <v>1413</v>
      </c>
      <c r="C1069" t="s">
        <v>1412</v>
      </c>
      <c r="D1069" s="2">
        <v>67.5</v>
      </c>
      <c r="E1069" s="2">
        <v>0</v>
      </c>
      <c r="F1069" s="2">
        <v>1490148.35</v>
      </c>
      <c r="G1069" s="2" t="str">
        <f t="shared" si="16"/>
        <v>02-01-2025 CGST-LOCKER CASA ACCOUNT LEVEL SC CHARGE 775-NCB2500254959919</v>
      </c>
      <c r="H1069" s="2" t="s">
        <v>1911</v>
      </c>
      <c r="I1069" t="s">
        <v>1860</v>
      </c>
      <c r="J1069" t="s">
        <v>1896</v>
      </c>
    </row>
    <row r="1070" spans="1:11" x14ac:dyDescent="0.3">
      <c r="A1070" s="1">
        <v>45659</v>
      </c>
      <c r="B1070" t="s">
        <v>1406</v>
      </c>
      <c r="C1070" t="s">
        <v>1407</v>
      </c>
      <c r="D1070" s="2">
        <v>100000</v>
      </c>
      <c r="E1070" s="2">
        <v>0</v>
      </c>
      <c r="F1070" s="2">
        <v>1716312.55</v>
      </c>
      <c r="G1070" s="2" t="str">
        <f t="shared" si="16"/>
        <v>02-01-2025 50100128155413-TPT-TRANSFER FROM AJAY-AAYUSH KUMAR GUPTA</v>
      </c>
      <c r="H1070" s="2" t="s">
        <v>1911</v>
      </c>
      <c r="I1070" t="s">
        <v>1857</v>
      </c>
      <c r="J1070" t="s">
        <v>1896</v>
      </c>
    </row>
    <row r="1071" spans="1:11" x14ac:dyDescent="0.3">
      <c r="A1071" s="1">
        <v>45659</v>
      </c>
      <c r="B1071" t="s">
        <v>1415</v>
      </c>
      <c r="C1071" t="s">
        <v>1416</v>
      </c>
      <c r="D1071" s="2">
        <v>100000</v>
      </c>
      <c r="E1071" s="2">
        <v>0</v>
      </c>
      <c r="F1071" s="2">
        <v>1390080.85</v>
      </c>
      <c r="G1071" s="2" t="str">
        <f t="shared" si="16"/>
        <v>02-01-2025 50100542230922-TPT-TRANSFER FROM AJAY-ARCHIT GUPTA</v>
      </c>
      <c r="H1071" s="2" t="s">
        <v>1911</v>
      </c>
      <c r="I1071" t="s">
        <v>368</v>
      </c>
      <c r="J1071" t="s">
        <v>1896</v>
      </c>
    </row>
    <row r="1072" spans="1:11" x14ac:dyDescent="0.3">
      <c r="A1072" s="1">
        <v>45659</v>
      </c>
      <c r="B1072" t="s">
        <v>1417</v>
      </c>
      <c r="C1072" t="s">
        <v>1418</v>
      </c>
      <c r="D1072" s="2">
        <v>100000</v>
      </c>
      <c r="E1072" s="2">
        <v>0</v>
      </c>
      <c r="F1072" s="2">
        <v>1290080.8500000001</v>
      </c>
      <c r="G1072" s="2" t="str">
        <f t="shared" si="16"/>
        <v>02-01-2025 01671000060094-TPT-TRANSFER FROM AJAY-SUNITA GUPTA</v>
      </c>
      <c r="H1072" s="2" t="s">
        <v>1911</v>
      </c>
      <c r="I1072" t="s">
        <v>1852</v>
      </c>
      <c r="J1072" t="s">
        <v>1896</v>
      </c>
    </row>
    <row r="1073" spans="1:10" x14ac:dyDescent="0.3">
      <c r="A1073" s="1">
        <v>45660</v>
      </c>
      <c r="B1073" t="s">
        <v>125</v>
      </c>
      <c r="C1073" t="s">
        <v>1420</v>
      </c>
      <c r="D1073" s="2">
        <v>325.99</v>
      </c>
      <c r="E1073" s="2">
        <v>0</v>
      </c>
      <c r="F1073" s="2">
        <v>1226262.22</v>
      </c>
      <c r="G1073" s="2" t="str">
        <f t="shared" si="16"/>
        <v>03-01-2025 NET PI TO HSL SEC A/C 347707-00602340029392</v>
      </c>
      <c r="H1073" s="2" t="s">
        <v>1911</v>
      </c>
      <c r="I1073" t="s">
        <v>361</v>
      </c>
      <c r="J1073" t="s">
        <v>1896</v>
      </c>
    </row>
    <row r="1074" spans="1:10" x14ac:dyDescent="0.3">
      <c r="A1074" s="1">
        <v>45660</v>
      </c>
      <c r="B1074" t="s">
        <v>125</v>
      </c>
      <c r="C1074" t="s">
        <v>1421</v>
      </c>
      <c r="D1074" s="2">
        <v>3304.04</v>
      </c>
      <c r="E1074" s="2">
        <v>0</v>
      </c>
      <c r="F1074" s="2">
        <v>1222958.18</v>
      </c>
      <c r="G1074" s="2" t="str">
        <f t="shared" si="16"/>
        <v>03-01-2025 NET PI TO HSL SEC A/C 347707-00602340029392</v>
      </c>
      <c r="H1074" s="2" t="s">
        <v>1911</v>
      </c>
      <c r="I1074" t="s">
        <v>361</v>
      </c>
      <c r="J1074" t="s">
        <v>1896</v>
      </c>
    </row>
    <row r="1075" spans="1:10" x14ac:dyDescent="0.3">
      <c r="A1075" s="1">
        <v>45663</v>
      </c>
      <c r="B1075" t="s">
        <v>125</v>
      </c>
      <c r="C1075" t="s">
        <v>1422</v>
      </c>
      <c r="D1075" s="2">
        <v>988.56</v>
      </c>
      <c r="E1075" s="2">
        <v>0</v>
      </c>
      <c r="F1075" s="2">
        <v>1221969.6200000001</v>
      </c>
      <c r="G1075" s="2" t="str">
        <f t="shared" si="16"/>
        <v>06-01-2025 NET PI TO HSL SEC A/C 347707-00602340029392</v>
      </c>
      <c r="H1075" s="2" t="s">
        <v>1911</v>
      </c>
      <c r="I1075" t="s">
        <v>361</v>
      </c>
      <c r="J1075" t="s">
        <v>1896</v>
      </c>
    </row>
    <row r="1076" spans="1:10" x14ac:dyDescent="0.3">
      <c r="A1076" s="1">
        <v>45663</v>
      </c>
      <c r="B1076" t="s">
        <v>125</v>
      </c>
      <c r="C1076" t="s">
        <v>1426</v>
      </c>
      <c r="D1076" s="2">
        <v>34319.339999999997</v>
      </c>
      <c r="E1076" s="2">
        <v>0</v>
      </c>
      <c r="F1076" s="2">
        <v>1137775.28</v>
      </c>
      <c r="G1076" s="2" t="str">
        <f t="shared" si="16"/>
        <v>06-01-2025 NET PI TO HSL SEC A/C 347707-00602340029392</v>
      </c>
      <c r="H1076" s="2" t="s">
        <v>1911</v>
      </c>
      <c r="I1076" t="s">
        <v>361</v>
      </c>
      <c r="J1076" t="s">
        <v>1896</v>
      </c>
    </row>
    <row r="1077" spans="1:10" x14ac:dyDescent="0.3">
      <c r="A1077" s="1">
        <v>45663</v>
      </c>
      <c r="B1077" t="s">
        <v>1424</v>
      </c>
      <c r="C1077" t="s">
        <v>1425</v>
      </c>
      <c r="D1077" s="2">
        <v>50000</v>
      </c>
      <c r="E1077" s="2">
        <v>0</v>
      </c>
      <c r="F1077" s="2">
        <v>1172094.6200000001</v>
      </c>
      <c r="G1077" s="2" t="str">
        <f t="shared" si="16"/>
        <v>06-01-2025 NEFT DR-CBIN0281641-MEGHA GUPTA-NETBANK, MUM-N006253497214304-EVENT DECORATION</v>
      </c>
      <c r="H1077" s="2" t="s">
        <v>1911</v>
      </c>
      <c r="I1077" t="s">
        <v>1873</v>
      </c>
      <c r="J1077" t="s">
        <v>1896</v>
      </c>
    </row>
    <row r="1078" spans="1:10" x14ac:dyDescent="0.3">
      <c r="A1078" s="1">
        <v>45663</v>
      </c>
      <c r="B1078" t="s">
        <v>580</v>
      </c>
      <c r="C1078" t="s">
        <v>7</v>
      </c>
      <c r="D1078" s="2">
        <v>10000</v>
      </c>
      <c r="E1078" s="2">
        <v>0</v>
      </c>
      <c r="F1078" s="2">
        <v>237792.84</v>
      </c>
      <c r="G1078" s="2" t="str">
        <f t="shared" si="16"/>
        <v>06-01-2025 UPI/P2A/739639307503/ASHOK KUMAR GAUTAM   /Paymen/State Bank Of India</v>
      </c>
      <c r="H1078" s="2" t="s">
        <v>1911</v>
      </c>
      <c r="I1078" t="s">
        <v>1942</v>
      </c>
      <c r="J1078" t="s">
        <v>1895</v>
      </c>
    </row>
    <row r="1079" spans="1:10" x14ac:dyDescent="0.3">
      <c r="A1079" s="1">
        <v>45663</v>
      </c>
      <c r="B1079" t="s">
        <v>833</v>
      </c>
      <c r="C1079" t="s">
        <v>1423</v>
      </c>
      <c r="D1079" s="2">
        <v>0</v>
      </c>
      <c r="E1079" s="2">
        <v>125</v>
      </c>
      <c r="F1079" s="2">
        <v>1222094.6200000001</v>
      </c>
      <c r="G1079" s="2" t="str">
        <f t="shared" ref="G1079:G1142" si="17">TEXT(A1079,"DD")&amp;"-"&amp;TEXT(A1079,"MM")&amp;"-"&amp;TEXT(A1079,"YYYY")&amp;" "&amp;B1079</f>
        <v>06-01-2025 00012050001396HLY INT-IN0020200377</v>
      </c>
      <c r="H1079" s="2" t="s">
        <v>1911</v>
      </c>
      <c r="I1079" t="s">
        <v>369</v>
      </c>
      <c r="J1079" t="s">
        <v>1896</v>
      </c>
    </row>
    <row r="1080" spans="1:10" x14ac:dyDescent="0.3">
      <c r="A1080" s="1">
        <v>45664</v>
      </c>
      <c r="B1080" t="s">
        <v>8</v>
      </c>
      <c r="C1080" t="s">
        <v>7</v>
      </c>
      <c r="D1080" s="2">
        <v>65557.460000000006</v>
      </c>
      <c r="E1080" s="2">
        <v>0</v>
      </c>
      <c r="F1080" s="2">
        <v>172235.38</v>
      </c>
      <c r="G1080" s="2" t="str">
        <f t="shared" si="17"/>
        <v>07-01-2025 BRN-PYMT-CARD-4111460000883615</v>
      </c>
      <c r="H1080" s="2" t="s">
        <v>1911</v>
      </c>
      <c r="I1080" t="s">
        <v>1877</v>
      </c>
      <c r="J1080" t="s">
        <v>1895</v>
      </c>
    </row>
    <row r="1081" spans="1:10" x14ac:dyDescent="0.3">
      <c r="A1081" s="1">
        <v>45664</v>
      </c>
      <c r="B1081" t="s">
        <v>125</v>
      </c>
      <c r="C1081" t="s">
        <v>1427</v>
      </c>
      <c r="D1081" s="2">
        <v>317.29000000000002</v>
      </c>
      <c r="E1081" s="2">
        <v>0</v>
      </c>
      <c r="F1081" s="2">
        <v>1137457.99</v>
      </c>
      <c r="G1081" s="2" t="str">
        <f t="shared" si="17"/>
        <v>07-01-2025 NET PI TO HSL SEC A/C 347707-00602340029392</v>
      </c>
      <c r="H1081" s="2" t="s">
        <v>1911</v>
      </c>
      <c r="I1081" t="s">
        <v>361</v>
      </c>
      <c r="J1081" t="s">
        <v>1896</v>
      </c>
    </row>
    <row r="1082" spans="1:10" x14ac:dyDescent="0.3">
      <c r="A1082" s="1">
        <v>45665</v>
      </c>
      <c r="B1082" t="s">
        <v>1428</v>
      </c>
      <c r="C1082" t="s">
        <v>1429</v>
      </c>
      <c r="D1082" s="2">
        <v>0</v>
      </c>
      <c r="E1082" s="2">
        <v>5465.93</v>
      </c>
      <c r="F1082" s="2">
        <v>1142923.92</v>
      </c>
      <c r="G1082" s="2" t="str">
        <f t="shared" si="17"/>
        <v>08-01-2025 FT- 598456188-50200085415108 - HDFC SECURITIES LTD-CLIENT DSCNB A/C -</v>
      </c>
      <c r="H1082" s="2" t="s">
        <v>1911</v>
      </c>
      <c r="I1082" t="s">
        <v>1876</v>
      </c>
      <c r="J1082" t="s">
        <v>1896</v>
      </c>
    </row>
    <row r="1083" spans="1:10" x14ac:dyDescent="0.3">
      <c r="A1083" s="1">
        <v>45665</v>
      </c>
      <c r="B1083" t="s">
        <v>125</v>
      </c>
      <c r="C1083" t="s">
        <v>1430</v>
      </c>
      <c r="D1083" s="2">
        <v>331.3</v>
      </c>
      <c r="E1083" s="2">
        <v>0</v>
      </c>
      <c r="F1083" s="2">
        <v>1142592.6200000001</v>
      </c>
      <c r="G1083" s="2" t="str">
        <f t="shared" si="17"/>
        <v>08-01-2025 NET PI TO HSL SEC A/C 347707-00602340029392</v>
      </c>
      <c r="H1083" s="2" t="s">
        <v>1911</v>
      </c>
      <c r="I1083" t="s">
        <v>361</v>
      </c>
      <c r="J1083" t="s">
        <v>1896</v>
      </c>
    </row>
    <row r="1084" spans="1:10" x14ac:dyDescent="0.3">
      <c r="A1084" s="1">
        <v>45665</v>
      </c>
      <c r="B1084" t="s">
        <v>125</v>
      </c>
      <c r="C1084" t="s">
        <v>1431</v>
      </c>
      <c r="D1084" s="2">
        <v>10229.68</v>
      </c>
      <c r="E1084" s="2">
        <v>0</v>
      </c>
      <c r="F1084" s="2">
        <v>1132362.94</v>
      </c>
      <c r="G1084" s="2" t="str">
        <f t="shared" si="17"/>
        <v>08-01-2025 NET PI TO HSL SEC A/C 347707-00602340029392</v>
      </c>
      <c r="H1084" s="2" t="s">
        <v>1911</v>
      </c>
      <c r="I1084" t="s">
        <v>361</v>
      </c>
      <c r="J1084" t="s">
        <v>1896</v>
      </c>
    </row>
    <row r="1085" spans="1:10" x14ac:dyDescent="0.3">
      <c r="A1085" s="1">
        <v>45666</v>
      </c>
      <c r="B1085" t="s">
        <v>1243</v>
      </c>
      <c r="C1085" t="s">
        <v>1432</v>
      </c>
      <c r="D1085" s="2">
        <v>20000</v>
      </c>
      <c r="E1085" s="2">
        <v>0</v>
      </c>
      <c r="F1085" s="2">
        <v>1112362.94</v>
      </c>
      <c r="G1085" s="2" t="str">
        <f t="shared" si="17"/>
        <v>09-01-2025 ATW-512967XXXXXX1000-S1ANRS37-KOTA</v>
      </c>
      <c r="H1085" s="2" t="s">
        <v>1911</v>
      </c>
      <c r="I1085" t="s">
        <v>366</v>
      </c>
      <c r="J1085" t="s">
        <v>1896</v>
      </c>
    </row>
    <row r="1086" spans="1:10" x14ac:dyDescent="0.3">
      <c r="A1086" s="1">
        <v>45666</v>
      </c>
      <c r="B1086" t="s">
        <v>125</v>
      </c>
      <c r="C1086" t="s">
        <v>1433</v>
      </c>
      <c r="D1086" s="2">
        <v>329.6</v>
      </c>
      <c r="E1086" s="2">
        <v>0</v>
      </c>
      <c r="F1086" s="2">
        <v>1112033.3400000001</v>
      </c>
      <c r="G1086" s="2" t="str">
        <f t="shared" si="17"/>
        <v>09-01-2025 NET PI TO HSL SEC A/C 347707-00602340029392</v>
      </c>
      <c r="H1086" s="2" t="s">
        <v>1911</v>
      </c>
      <c r="I1086" t="s">
        <v>361</v>
      </c>
      <c r="J1086" t="s">
        <v>1896</v>
      </c>
    </row>
    <row r="1087" spans="1:10" x14ac:dyDescent="0.3">
      <c r="A1087" s="1">
        <v>45666</v>
      </c>
      <c r="B1087" t="s">
        <v>125</v>
      </c>
      <c r="C1087" t="s">
        <v>1434</v>
      </c>
      <c r="D1087" s="2">
        <v>13033.56</v>
      </c>
      <c r="E1087" s="2">
        <v>0</v>
      </c>
      <c r="F1087" s="2">
        <v>1098999.78</v>
      </c>
      <c r="G1087" s="2" t="str">
        <f t="shared" si="17"/>
        <v>09-01-2025 NET PI TO HSL SEC A/C 347707-00602340029392</v>
      </c>
      <c r="H1087" s="2" t="s">
        <v>1911</v>
      </c>
      <c r="I1087" t="s">
        <v>361</v>
      </c>
      <c r="J1087" t="s">
        <v>1896</v>
      </c>
    </row>
    <row r="1088" spans="1:10" x14ac:dyDescent="0.3">
      <c r="A1088" s="1">
        <v>45666</v>
      </c>
      <c r="B1088" t="s">
        <v>581</v>
      </c>
      <c r="C1088" t="s">
        <v>7</v>
      </c>
      <c r="D1088" s="2">
        <v>22550</v>
      </c>
      <c r="E1088" s="2">
        <v>0</v>
      </c>
      <c r="F1088" s="2">
        <v>149685.38</v>
      </c>
      <c r="G1088" s="2" t="str">
        <f t="shared" si="17"/>
        <v>09-01-2025 UPI/P2M/486948949155/HEMANT GUPTA         /Minera/ICICI Bank</v>
      </c>
      <c r="H1088" s="2" t="s">
        <v>1911</v>
      </c>
      <c r="I1088" t="s">
        <v>1936</v>
      </c>
      <c r="J1088" t="s">
        <v>1895</v>
      </c>
    </row>
    <row r="1089" spans="1:10" x14ac:dyDescent="0.3">
      <c r="A1089" s="1">
        <v>45666</v>
      </c>
      <c r="B1089" t="s">
        <v>582</v>
      </c>
      <c r="C1089" t="s">
        <v>7</v>
      </c>
      <c r="D1089" s="2">
        <v>2118</v>
      </c>
      <c r="E1089" s="2">
        <v>0</v>
      </c>
      <c r="F1089" s="2">
        <v>147567.38</v>
      </c>
      <c r="G1089" s="2" t="str">
        <f t="shared" si="17"/>
        <v>09-01-2025 UPI/P2M/100845864825/THE CAKE WALK        /Cold c/HDFC BANK LTD</v>
      </c>
      <c r="H1089" s="2" t="s">
        <v>1911</v>
      </c>
      <c r="I1089" t="s">
        <v>356</v>
      </c>
      <c r="J1089" t="s">
        <v>1895</v>
      </c>
    </row>
    <row r="1090" spans="1:10" x14ac:dyDescent="0.3">
      <c r="A1090" s="1">
        <v>45666</v>
      </c>
      <c r="B1090" t="s">
        <v>583</v>
      </c>
      <c r="C1090" t="s">
        <v>7</v>
      </c>
      <c r="D1090" s="2">
        <v>2800</v>
      </c>
      <c r="E1090" s="2">
        <v>0</v>
      </c>
      <c r="F1090" s="2">
        <v>144767.38</v>
      </c>
      <c r="G1090" s="2" t="str">
        <f t="shared" si="17"/>
        <v>09-01-2025 UPI/P2M/447597180051/SIMLA BAKERY         /Cokkie/HDFC BANK LTD</v>
      </c>
      <c r="H1090" s="2" t="s">
        <v>1911</v>
      </c>
      <c r="I1090" t="s">
        <v>356</v>
      </c>
      <c r="J1090" t="s">
        <v>1895</v>
      </c>
    </row>
    <row r="1091" spans="1:10" x14ac:dyDescent="0.3">
      <c r="A1091" s="1">
        <v>45666</v>
      </c>
      <c r="B1091" t="s">
        <v>584</v>
      </c>
      <c r="C1091" t="s">
        <v>7</v>
      </c>
      <c r="D1091" s="2">
        <v>260</v>
      </c>
      <c r="E1091" s="2">
        <v>0</v>
      </c>
      <c r="F1091" s="2">
        <v>144507.38</v>
      </c>
      <c r="G1091" s="2" t="str">
        <f t="shared" si="17"/>
        <v>09-01-2025 UPI/P2M/397116112633/FARUKH BHAI PATASE   /Patash/YES BANK LIMITED YBS</v>
      </c>
      <c r="H1091" s="2" t="s">
        <v>1911</v>
      </c>
      <c r="I1091" t="s">
        <v>356</v>
      </c>
      <c r="J1091" t="s">
        <v>1895</v>
      </c>
    </row>
    <row r="1092" spans="1:10" x14ac:dyDescent="0.3">
      <c r="A1092" s="1">
        <v>45666</v>
      </c>
      <c r="B1092" t="s">
        <v>585</v>
      </c>
      <c r="C1092" t="s">
        <v>7</v>
      </c>
      <c r="D1092" s="2">
        <v>22</v>
      </c>
      <c r="E1092" s="2">
        <v>0</v>
      </c>
      <c r="F1092" s="2">
        <v>144485.38</v>
      </c>
      <c r="G1092" s="2" t="str">
        <f t="shared" si="17"/>
        <v>09-01-2025 UPI/P2M/023550415752/Muralidhar           /Pan/Yes Bank Ltd</v>
      </c>
      <c r="H1092" s="2" t="s">
        <v>1911</v>
      </c>
      <c r="I1092" t="s">
        <v>356</v>
      </c>
      <c r="J1092" t="s">
        <v>1895</v>
      </c>
    </row>
    <row r="1093" spans="1:10" x14ac:dyDescent="0.3">
      <c r="A1093" s="1">
        <v>45666</v>
      </c>
      <c r="B1093" t="s">
        <v>586</v>
      </c>
      <c r="C1093" t="s">
        <v>7</v>
      </c>
      <c r="D1093" s="2">
        <v>1480</v>
      </c>
      <c r="E1093" s="2">
        <v>0</v>
      </c>
      <c r="F1093" s="2">
        <v>143005.38</v>
      </c>
      <c r="G1093" s="2" t="str">
        <f t="shared" si="17"/>
        <v>09-01-2025 UPI/P2M/888618426191/SAGAR TRADERS        /238462/Kotak Mahindra Bank</v>
      </c>
      <c r="H1093" s="2" t="s">
        <v>1911</v>
      </c>
      <c r="I1093" t="s">
        <v>356</v>
      </c>
      <c r="J1093" t="s">
        <v>1895</v>
      </c>
    </row>
    <row r="1094" spans="1:10" x14ac:dyDescent="0.3">
      <c r="A1094" s="1">
        <v>45666</v>
      </c>
      <c r="B1094" t="s">
        <v>587</v>
      </c>
      <c r="C1094" t="s">
        <v>7</v>
      </c>
      <c r="D1094" s="2">
        <v>1000</v>
      </c>
      <c r="E1094" s="2">
        <v>0</v>
      </c>
      <c r="F1094" s="2">
        <v>142005.38</v>
      </c>
      <c r="G1094" s="2" t="str">
        <f t="shared" si="17"/>
        <v>09-01-2025 UPI/P2A/810503628810/MEENA  RATHOR        /Paymen/State Bank Of India</v>
      </c>
      <c r="H1094" s="2" t="s">
        <v>1911</v>
      </c>
      <c r="I1094" t="s">
        <v>356</v>
      </c>
      <c r="J1094" t="s">
        <v>1895</v>
      </c>
    </row>
    <row r="1095" spans="1:10" x14ac:dyDescent="0.3">
      <c r="A1095" s="1">
        <v>45667</v>
      </c>
      <c r="B1095" t="s">
        <v>125</v>
      </c>
      <c r="C1095" t="s">
        <v>1437</v>
      </c>
      <c r="D1095" s="2">
        <v>324.95999999999998</v>
      </c>
      <c r="E1095" s="2">
        <v>0</v>
      </c>
      <c r="F1095" s="2">
        <v>1088674.82</v>
      </c>
      <c r="G1095" s="2" t="str">
        <f t="shared" si="17"/>
        <v>10-01-2025 NET PI TO HSL SEC A/C 347707-00602340029392</v>
      </c>
      <c r="H1095" s="2" t="s">
        <v>1911</v>
      </c>
      <c r="I1095" t="s">
        <v>361</v>
      </c>
      <c r="J1095" t="s">
        <v>1896</v>
      </c>
    </row>
    <row r="1096" spans="1:10" x14ac:dyDescent="0.3">
      <c r="A1096" s="1">
        <v>45667</v>
      </c>
      <c r="B1096" t="s">
        <v>125</v>
      </c>
      <c r="C1096" t="s">
        <v>1438</v>
      </c>
      <c r="D1096" s="2">
        <v>25075.26</v>
      </c>
      <c r="E1096" s="2">
        <v>0</v>
      </c>
      <c r="F1096" s="2">
        <v>1063599.56</v>
      </c>
      <c r="G1096" s="2" t="str">
        <f t="shared" si="17"/>
        <v>10-01-2025 NET PI TO HSL SEC A/C 347707-00602340029392</v>
      </c>
      <c r="H1096" s="2" t="s">
        <v>1911</v>
      </c>
      <c r="I1096" t="s">
        <v>361</v>
      </c>
      <c r="J1096" t="s">
        <v>1896</v>
      </c>
    </row>
    <row r="1097" spans="1:10" x14ac:dyDescent="0.3">
      <c r="A1097" s="1">
        <v>45667</v>
      </c>
      <c r="B1097" t="s">
        <v>1435</v>
      </c>
      <c r="C1097" t="s">
        <v>1436</v>
      </c>
      <c r="D1097" s="2">
        <v>10000</v>
      </c>
      <c r="E1097" s="2">
        <v>0</v>
      </c>
      <c r="F1097" s="2">
        <v>1088999.78</v>
      </c>
      <c r="G1097" s="2" t="str">
        <f t="shared" si="17"/>
        <v>10-01-2025 ACH D- TP ACH INDIANESIGN-1684745949</v>
      </c>
      <c r="H1097" s="2" t="s">
        <v>1911</v>
      </c>
      <c r="I1097" t="s">
        <v>1854</v>
      </c>
      <c r="J1097" t="s">
        <v>1896</v>
      </c>
    </row>
    <row r="1098" spans="1:10" x14ac:dyDescent="0.3">
      <c r="A1098" s="1">
        <v>45667</v>
      </c>
      <c r="B1098" t="s">
        <v>588</v>
      </c>
      <c r="C1098" t="s">
        <v>7</v>
      </c>
      <c r="D1098" s="2">
        <v>3000</v>
      </c>
      <c r="E1098" s="2">
        <v>0</v>
      </c>
      <c r="F1098" s="2">
        <v>139005.38</v>
      </c>
      <c r="G1098" s="2" t="str">
        <f t="shared" si="17"/>
        <v>10-01-2025 UPI/P2A/475758229856/GITA  DEVI           /Sherwa/YES BANK LIMITED YBS</v>
      </c>
      <c r="H1098" s="2" t="s">
        <v>1911</v>
      </c>
      <c r="I1098" t="s">
        <v>356</v>
      </c>
      <c r="J1098" t="s">
        <v>1895</v>
      </c>
    </row>
    <row r="1099" spans="1:10" x14ac:dyDescent="0.3">
      <c r="A1099" s="1">
        <v>45668</v>
      </c>
      <c r="B1099" t="s">
        <v>589</v>
      </c>
      <c r="C1099" t="s">
        <v>7</v>
      </c>
      <c r="D1099" s="2">
        <v>1</v>
      </c>
      <c r="E1099" s="2">
        <v>0</v>
      </c>
      <c r="F1099" s="2">
        <v>139004.38</v>
      </c>
      <c r="G1099" s="2" t="str">
        <f t="shared" si="17"/>
        <v>11-01-2025 UPI/P2A/121238278306/MOHIT AGARWAL        /Paymen/ICICI Bank</v>
      </c>
      <c r="H1099" s="2" t="s">
        <v>1911</v>
      </c>
      <c r="I1099" t="s">
        <v>356</v>
      </c>
      <c r="J1099" t="s">
        <v>1895</v>
      </c>
    </row>
    <row r="1100" spans="1:10" x14ac:dyDescent="0.3">
      <c r="A1100" s="1">
        <v>45668</v>
      </c>
      <c r="B1100" t="s">
        <v>590</v>
      </c>
      <c r="C1100" t="s">
        <v>7</v>
      </c>
      <c r="D1100" s="2">
        <v>50000</v>
      </c>
      <c r="E1100" s="2">
        <v>0</v>
      </c>
      <c r="F1100" s="2">
        <v>89004.38</v>
      </c>
      <c r="G1100" s="2" t="str">
        <f t="shared" si="17"/>
        <v>11-01-2025 UPI/P2A/884426499709/MOHIT AGARWAL        /Paymen/ICICI Bank</v>
      </c>
      <c r="H1100" s="2" t="s">
        <v>1911</v>
      </c>
      <c r="I1100" t="s">
        <v>1923</v>
      </c>
      <c r="J1100" t="s">
        <v>1895</v>
      </c>
    </row>
    <row r="1101" spans="1:10" x14ac:dyDescent="0.3">
      <c r="A1101" s="1">
        <v>45668</v>
      </c>
      <c r="B1101" t="s">
        <v>591</v>
      </c>
      <c r="C1101" t="s">
        <v>7</v>
      </c>
      <c r="D1101" s="2">
        <v>20000</v>
      </c>
      <c r="E1101" s="2">
        <v>0</v>
      </c>
      <c r="F1101" s="2">
        <v>69004.38</v>
      </c>
      <c r="G1101" s="2" t="str">
        <f t="shared" si="17"/>
        <v>11-01-2025 UPI/P2M/381499265841/HARSH  SAMSUKHA      /Dispos/Yes Bank Ltd</v>
      </c>
      <c r="H1101" s="2" t="s">
        <v>1911</v>
      </c>
      <c r="I1101" t="s">
        <v>1929</v>
      </c>
      <c r="J1101" t="s">
        <v>1895</v>
      </c>
    </row>
    <row r="1102" spans="1:10" x14ac:dyDescent="0.3">
      <c r="A1102" s="1">
        <v>45668</v>
      </c>
      <c r="B1102" t="s">
        <v>592</v>
      </c>
      <c r="C1102" t="s">
        <v>7</v>
      </c>
      <c r="D1102" s="2">
        <v>3190</v>
      </c>
      <c r="E1102" s="2">
        <v>0</v>
      </c>
      <c r="F1102" s="2">
        <v>65814.38</v>
      </c>
      <c r="G1102" s="2" t="str">
        <f t="shared" si="17"/>
        <v>11-01-2025 UPI/P2M/831492851749/SHRI MAHAVEER JAIN KI/215226/Kotak Mahindra Bank</v>
      </c>
      <c r="H1102" s="2" t="s">
        <v>1911</v>
      </c>
      <c r="I1102" t="s">
        <v>356</v>
      </c>
      <c r="J1102" t="s">
        <v>1895</v>
      </c>
    </row>
    <row r="1103" spans="1:10" x14ac:dyDescent="0.3">
      <c r="A1103" s="1">
        <v>45668</v>
      </c>
      <c r="B1103" t="s">
        <v>593</v>
      </c>
      <c r="C1103" t="s">
        <v>7</v>
      </c>
      <c r="D1103" s="2">
        <v>1660</v>
      </c>
      <c r="E1103" s="2">
        <v>0</v>
      </c>
      <c r="F1103" s="2">
        <v>64154.38</v>
      </c>
      <c r="G1103" s="2" t="str">
        <f t="shared" si="17"/>
        <v>11-01-2025 UPI/P2A/450212461136/MEENA  RATHOR        /Paymen/State Bank Of India</v>
      </c>
      <c r="H1103" s="2" t="s">
        <v>1911</v>
      </c>
      <c r="I1103" t="s">
        <v>356</v>
      </c>
      <c r="J1103" t="s">
        <v>1895</v>
      </c>
    </row>
    <row r="1104" spans="1:10" x14ac:dyDescent="0.3">
      <c r="A1104" s="1">
        <v>45670</v>
      </c>
      <c r="B1104" t="s">
        <v>1442</v>
      </c>
      <c r="C1104" t="s">
        <v>140</v>
      </c>
      <c r="D1104" s="2">
        <v>330.4</v>
      </c>
      <c r="E1104" s="2">
        <v>0</v>
      </c>
      <c r="F1104" s="2">
        <v>1032321.07</v>
      </c>
      <c r="G1104" s="2" t="str">
        <f t="shared" si="17"/>
        <v>13-01-2025 DEPOSITORY CHARGES DEC24 - 40227714</v>
      </c>
      <c r="H1104" s="2" t="s">
        <v>1911</v>
      </c>
      <c r="I1104" t="s">
        <v>362</v>
      </c>
      <c r="J1104" t="s">
        <v>1896</v>
      </c>
    </row>
    <row r="1105" spans="1:10" x14ac:dyDescent="0.3">
      <c r="A1105" s="1">
        <v>45670</v>
      </c>
      <c r="B1105" t="s">
        <v>125</v>
      </c>
      <c r="C1105" t="s">
        <v>1441</v>
      </c>
      <c r="D1105" s="2">
        <v>948.09</v>
      </c>
      <c r="E1105" s="2">
        <v>0</v>
      </c>
      <c r="F1105" s="2">
        <v>1032651.47</v>
      </c>
      <c r="G1105" s="2" t="str">
        <f t="shared" si="17"/>
        <v>13-01-2025 NET PI TO HSL SEC A/C 347707-00602340029392</v>
      </c>
      <c r="H1105" s="2" t="s">
        <v>1911</v>
      </c>
      <c r="I1105" t="s">
        <v>361</v>
      </c>
      <c r="J1105" t="s">
        <v>1896</v>
      </c>
    </row>
    <row r="1106" spans="1:10" x14ac:dyDescent="0.3">
      <c r="A1106" s="1">
        <v>45670</v>
      </c>
      <c r="B1106" t="s">
        <v>125</v>
      </c>
      <c r="C1106" t="s">
        <v>1443</v>
      </c>
      <c r="D1106" s="2">
        <v>28859.26</v>
      </c>
      <c r="E1106" s="2">
        <v>0</v>
      </c>
      <c r="F1106" s="2">
        <v>1003461.81</v>
      </c>
      <c r="G1106" s="2" t="str">
        <f t="shared" si="17"/>
        <v>13-01-2025 NET PI TO HSL SEC A/C 347707-00602340029392</v>
      </c>
      <c r="H1106" s="2" t="s">
        <v>1911</v>
      </c>
      <c r="I1106" t="s">
        <v>361</v>
      </c>
      <c r="J1106" t="s">
        <v>1896</v>
      </c>
    </row>
    <row r="1107" spans="1:10" x14ac:dyDescent="0.3">
      <c r="A1107" s="1">
        <v>45670</v>
      </c>
      <c r="B1107" t="s">
        <v>1439</v>
      </c>
      <c r="C1107" t="s">
        <v>1440</v>
      </c>
      <c r="D1107" s="2">
        <v>30000</v>
      </c>
      <c r="E1107" s="2">
        <v>0</v>
      </c>
      <c r="F1107" s="2">
        <v>1033599.56</v>
      </c>
      <c r="G1107" s="2" t="str">
        <f t="shared" si="17"/>
        <v>13-01-2025 CHQ PAID-MICR CTS-RK-SHRI KHANDELWAL VES</v>
      </c>
      <c r="H1107" s="2" t="s">
        <v>1911</v>
      </c>
      <c r="I1107" t="s">
        <v>1938</v>
      </c>
      <c r="J1107" t="s">
        <v>1896</v>
      </c>
    </row>
    <row r="1108" spans="1:10" x14ac:dyDescent="0.3">
      <c r="A1108" s="1">
        <v>45671</v>
      </c>
      <c r="B1108" t="s">
        <v>125</v>
      </c>
      <c r="C1108" t="s">
        <v>1444</v>
      </c>
      <c r="D1108" s="2">
        <v>305.75</v>
      </c>
      <c r="E1108" s="2">
        <v>0</v>
      </c>
      <c r="F1108" s="2">
        <v>1003156.06</v>
      </c>
      <c r="G1108" s="2" t="str">
        <f t="shared" si="17"/>
        <v>14-01-2025 NET PI TO HSL SEC A/C 347707-00602340029392</v>
      </c>
      <c r="H1108" s="2" t="s">
        <v>1911</v>
      </c>
      <c r="I1108" t="s">
        <v>361</v>
      </c>
      <c r="J1108" t="s">
        <v>1896</v>
      </c>
    </row>
    <row r="1109" spans="1:10" x14ac:dyDescent="0.3">
      <c r="A1109" s="1">
        <v>45672</v>
      </c>
      <c r="B1109" t="s">
        <v>1243</v>
      </c>
      <c r="C1109" t="s">
        <v>1445</v>
      </c>
      <c r="D1109" s="2">
        <v>20000</v>
      </c>
      <c r="E1109" s="2">
        <v>0</v>
      </c>
      <c r="F1109" s="2">
        <v>983156.06</v>
      </c>
      <c r="G1109" s="2" t="str">
        <f t="shared" si="17"/>
        <v>15-01-2025 ATW-512967XXXXXX1000-S1ANRS37-KOTA</v>
      </c>
      <c r="H1109" s="2" t="s">
        <v>1911</v>
      </c>
      <c r="I1109" t="s">
        <v>366</v>
      </c>
      <c r="J1109" t="s">
        <v>1896</v>
      </c>
    </row>
    <row r="1110" spans="1:10" x14ac:dyDescent="0.3">
      <c r="A1110" s="1">
        <v>45672</v>
      </c>
      <c r="B1110" t="s">
        <v>1446</v>
      </c>
      <c r="C1110" t="s">
        <v>1447</v>
      </c>
      <c r="D1110" s="2">
        <v>0</v>
      </c>
      <c r="E1110" s="2">
        <v>19544.7</v>
      </c>
      <c r="F1110" s="2">
        <v>1002700.76</v>
      </c>
      <c r="G1110" s="2" t="str">
        <f t="shared" si="17"/>
        <v>15-01-2025 FT- 600816172-50200085415108 - HDFC SECURITIES LTD-CLIENT DSCNB A/C -</v>
      </c>
      <c r="H1110" s="2" t="s">
        <v>1911</v>
      </c>
      <c r="I1110" t="s">
        <v>1876</v>
      </c>
      <c r="J1110" t="s">
        <v>1896</v>
      </c>
    </row>
    <row r="1111" spans="1:10" x14ac:dyDescent="0.3">
      <c r="A1111" s="1">
        <v>45672</v>
      </c>
      <c r="B1111" t="s">
        <v>125</v>
      </c>
      <c r="C1111" t="s">
        <v>1450</v>
      </c>
      <c r="D1111" s="2">
        <v>305.75</v>
      </c>
      <c r="E1111" s="2">
        <v>0</v>
      </c>
      <c r="F1111" s="2">
        <v>992395.01</v>
      </c>
      <c r="G1111" s="2" t="str">
        <f t="shared" si="17"/>
        <v>15-01-2025 NET PI TO HSL SEC A/C 347707-00602340029392</v>
      </c>
      <c r="H1111" s="2" t="s">
        <v>1911</v>
      </c>
      <c r="I1111" t="s">
        <v>361</v>
      </c>
      <c r="J1111" t="s">
        <v>1896</v>
      </c>
    </row>
    <row r="1112" spans="1:10" x14ac:dyDescent="0.3">
      <c r="A1112" s="1">
        <v>45672</v>
      </c>
      <c r="B1112" t="s">
        <v>1448</v>
      </c>
      <c r="C1112" t="s">
        <v>1449</v>
      </c>
      <c r="D1112" s="2">
        <v>10000</v>
      </c>
      <c r="E1112" s="2">
        <v>0</v>
      </c>
      <c r="F1112" s="2">
        <v>992700.76</v>
      </c>
      <c r="G1112" s="2" t="str">
        <f t="shared" si="17"/>
        <v>15-01-2025 ACH D- TP ACH INDIANESIGN-1689190105</v>
      </c>
      <c r="H1112" s="2" t="s">
        <v>1911</v>
      </c>
      <c r="I1112" t="s">
        <v>1854</v>
      </c>
      <c r="J1112" t="s">
        <v>1896</v>
      </c>
    </row>
    <row r="1113" spans="1:10" x14ac:dyDescent="0.3">
      <c r="A1113" s="1">
        <v>45673</v>
      </c>
      <c r="B1113" t="s">
        <v>1451</v>
      </c>
      <c r="C1113" t="s">
        <v>1452</v>
      </c>
      <c r="D1113" s="2">
        <v>0</v>
      </c>
      <c r="E1113" s="2">
        <v>6281.73</v>
      </c>
      <c r="F1113" s="2">
        <v>998676.74</v>
      </c>
      <c r="G1113" s="2" t="str">
        <f t="shared" si="17"/>
        <v>16-01-2025 FT- 601267109-50200085415108 - HDFC SECURITIES LTD-CLIENT DSCNB A/C -</v>
      </c>
      <c r="H1113" s="2" t="s">
        <v>1911</v>
      </c>
      <c r="I1113" t="s">
        <v>1876</v>
      </c>
      <c r="J1113" t="s">
        <v>1896</v>
      </c>
    </row>
    <row r="1114" spans="1:10" x14ac:dyDescent="0.3">
      <c r="A1114" s="1">
        <v>45673</v>
      </c>
      <c r="B1114" t="s">
        <v>125</v>
      </c>
      <c r="C1114" t="s">
        <v>1453</v>
      </c>
      <c r="D1114" s="2">
        <v>312.70999999999998</v>
      </c>
      <c r="E1114" s="2">
        <v>0</v>
      </c>
      <c r="F1114" s="2">
        <v>998364.03</v>
      </c>
      <c r="G1114" s="2" t="str">
        <f t="shared" si="17"/>
        <v>16-01-2025 NET PI TO HSL SEC A/C 347707-00602340029392</v>
      </c>
      <c r="H1114" s="2" t="s">
        <v>1911</v>
      </c>
      <c r="I1114" t="s">
        <v>361</v>
      </c>
      <c r="J1114" t="s">
        <v>1896</v>
      </c>
    </row>
    <row r="1115" spans="1:10" x14ac:dyDescent="0.3">
      <c r="A1115" s="1">
        <v>45674</v>
      </c>
      <c r="B1115" t="s">
        <v>1243</v>
      </c>
      <c r="C1115" t="s">
        <v>1457</v>
      </c>
      <c r="D1115" s="2">
        <v>20000</v>
      </c>
      <c r="E1115" s="2">
        <v>0</v>
      </c>
      <c r="F1115" s="2">
        <v>986865.73</v>
      </c>
      <c r="G1115" s="2" t="str">
        <f t="shared" si="17"/>
        <v>17-01-2025 ATW-512967XXXXXX1000-S1ANRS37-KOTA</v>
      </c>
      <c r="H1115" s="2" t="s">
        <v>1911</v>
      </c>
      <c r="I1115" t="s">
        <v>366</v>
      </c>
      <c r="J1115" t="s">
        <v>1896</v>
      </c>
    </row>
    <row r="1116" spans="1:10" x14ac:dyDescent="0.3">
      <c r="A1116" s="1">
        <v>45674</v>
      </c>
      <c r="B1116" t="s">
        <v>1454</v>
      </c>
      <c r="C1116" t="s">
        <v>1455</v>
      </c>
      <c r="D1116" s="2">
        <v>0</v>
      </c>
      <c r="E1116" s="2">
        <v>8816.65</v>
      </c>
      <c r="F1116" s="2">
        <v>1007180.68</v>
      </c>
      <c r="G1116" s="2" t="str">
        <f t="shared" si="17"/>
        <v>17-01-2025 FT- 601643152-50200085415108 - HDFC SECURITIES LTD-CLIENT DSCNB A/C -</v>
      </c>
      <c r="H1116" s="2" t="s">
        <v>1911</v>
      </c>
      <c r="I1116" t="s">
        <v>1876</v>
      </c>
      <c r="J1116" t="s">
        <v>1896</v>
      </c>
    </row>
    <row r="1117" spans="1:10" x14ac:dyDescent="0.3">
      <c r="A1117" s="1">
        <v>45674</v>
      </c>
      <c r="B1117" t="s">
        <v>125</v>
      </c>
      <c r="C1117" t="s">
        <v>1456</v>
      </c>
      <c r="D1117" s="2">
        <v>314.95</v>
      </c>
      <c r="E1117" s="2">
        <v>0</v>
      </c>
      <c r="F1117" s="2">
        <v>1006865.73</v>
      </c>
      <c r="G1117" s="2" t="str">
        <f t="shared" si="17"/>
        <v>17-01-2025 NET PI TO HSL SEC A/C 347707-00602340029392</v>
      </c>
      <c r="H1117" s="2" t="s">
        <v>1911</v>
      </c>
      <c r="I1117" t="s">
        <v>361</v>
      </c>
      <c r="J1117" t="s">
        <v>1896</v>
      </c>
    </row>
    <row r="1118" spans="1:10" x14ac:dyDescent="0.3">
      <c r="A1118" s="1">
        <v>45674</v>
      </c>
      <c r="B1118" t="s">
        <v>125</v>
      </c>
      <c r="C1118" t="s">
        <v>1458</v>
      </c>
      <c r="D1118" s="2">
        <v>1135</v>
      </c>
      <c r="E1118" s="2">
        <v>0</v>
      </c>
      <c r="F1118" s="2">
        <v>985730.73</v>
      </c>
      <c r="G1118" s="2" t="str">
        <f t="shared" si="17"/>
        <v>17-01-2025 NET PI TO HSL SEC A/C 347707-00602340029392</v>
      </c>
      <c r="H1118" s="2" t="s">
        <v>1911</v>
      </c>
      <c r="I1118" t="s">
        <v>361</v>
      </c>
      <c r="J1118" t="s">
        <v>1896</v>
      </c>
    </row>
    <row r="1119" spans="1:10" x14ac:dyDescent="0.3">
      <c r="A1119" s="1">
        <v>45675</v>
      </c>
      <c r="B1119" t="s">
        <v>594</v>
      </c>
      <c r="C1119" t="s">
        <v>7</v>
      </c>
      <c r="D1119" s="2">
        <v>24600</v>
      </c>
      <c r="E1119" s="2">
        <v>0</v>
      </c>
      <c r="F1119" s="2">
        <v>39554.379999999997</v>
      </c>
      <c r="G1119" s="2" t="str">
        <f t="shared" si="17"/>
        <v>18-01-2025 UPI/P2M/374116497912/HOTEL SQUARE 36      /Square/YES BANK LIMITED YBS</v>
      </c>
      <c r="H1119" s="2" t="s">
        <v>1911</v>
      </c>
      <c r="I1119" t="s">
        <v>1935</v>
      </c>
      <c r="J1119" t="s">
        <v>1895</v>
      </c>
    </row>
    <row r="1120" spans="1:10" x14ac:dyDescent="0.3">
      <c r="A1120" s="1">
        <v>45675</v>
      </c>
      <c r="B1120" t="s">
        <v>868</v>
      </c>
      <c r="C1120" t="s">
        <v>1459</v>
      </c>
      <c r="D1120" s="2">
        <v>0</v>
      </c>
      <c r="E1120" s="2">
        <v>1196.5</v>
      </c>
      <c r="F1120" s="2">
        <v>986927.23</v>
      </c>
      <c r="G1120" s="2" t="str">
        <f t="shared" si="17"/>
        <v>18-01-2025 00012050001396HLY INT-IN0020210236</v>
      </c>
      <c r="H1120" s="2" t="s">
        <v>1911</v>
      </c>
      <c r="I1120" t="s">
        <v>369</v>
      </c>
      <c r="J1120" t="s">
        <v>1896</v>
      </c>
    </row>
    <row r="1121" spans="1:11" x14ac:dyDescent="0.3">
      <c r="A1121" s="1">
        <v>45676</v>
      </c>
      <c r="B1121" t="s">
        <v>595</v>
      </c>
      <c r="C1121" t="s">
        <v>7</v>
      </c>
      <c r="D1121" s="2">
        <v>0</v>
      </c>
      <c r="E1121" s="2">
        <v>100000</v>
      </c>
      <c r="F1121" s="2">
        <v>139554.38</v>
      </c>
      <c r="G1121" s="2" t="str">
        <f t="shared" si="17"/>
        <v>19-01-2025 NEFT/SBIN525019049622/Mr  AJAY KUMAR GUPTA/STATE BANK OF INDIA//ATTN//INB//EXPENSES</v>
      </c>
      <c r="H1121" s="2" t="s">
        <v>1911</v>
      </c>
      <c r="I1121" t="s">
        <v>1906</v>
      </c>
      <c r="J1121" t="s">
        <v>1895</v>
      </c>
      <c r="K1121" t="s">
        <v>1913</v>
      </c>
    </row>
    <row r="1122" spans="1:11" x14ac:dyDescent="0.3">
      <c r="A1122" s="1">
        <v>45676</v>
      </c>
      <c r="B1122" t="s">
        <v>783</v>
      </c>
      <c r="C1122" t="s">
        <v>784</v>
      </c>
      <c r="D1122" s="2">
        <v>100000</v>
      </c>
      <c r="E1122" s="2">
        <v>0</v>
      </c>
      <c r="F1122" s="2">
        <v>-101783.37</v>
      </c>
      <c r="G1122" s="2" t="str">
        <f t="shared" si="17"/>
        <v>19-01-2025    TO TRANSFER-INB NEFT UTR NO: SBIN525019049622--AJAY KUMAR GUPTA</v>
      </c>
      <c r="H1122" s="2" t="s">
        <v>1911</v>
      </c>
      <c r="I1122" t="s">
        <v>1907</v>
      </c>
      <c r="J1122" t="s">
        <v>1897</v>
      </c>
      <c r="K1122" t="s">
        <v>1913</v>
      </c>
    </row>
    <row r="1123" spans="1:11" x14ac:dyDescent="0.3">
      <c r="A1123" s="1">
        <v>45676</v>
      </c>
      <c r="B1123" t="s">
        <v>596</v>
      </c>
      <c r="C1123" t="s">
        <v>7</v>
      </c>
      <c r="D1123" s="2">
        <v>250</v>
      </c>
      <c r="E1123" s="2">
        <v>0</v>
      </c>
      <c r="F1123" s="2">
        <v>139304.38</v>
      </c>
      <c r="G1123" s="2" t="str">
        <f t="shared" si="17"/>
        <v>19-01-2025 UPI/P2M/822148393854/MANOJ  DADICH        /Car wa/YES BANK LIMITED YBS</v>
      </c>
      <c r="H1123" s="2" t="s">
        <v>1911</v>
      </c>
      <c r="I1123" t="s">
        <v>356</v>
      </c>
      <c r="J1123" t="s">
        <v>1895</v>
      </c>
    </row>
    <row r="1124" spans="1:11" x14ac:dyDescent="0.3">
      <c r="A1124" s="1">
        <v>45677</v>
      </c>
      <c r="B1124" t="s">
        <v>125</v>
      </c>
      <c r="C1124" t="s">
        <v>1465</v>
      </c>
      <c r="D1124" s="2">
        <v>953.04</v>
      </c>
      <c r="E1124" s="2">
        <v>0</v>
      </c>
      <c r="F1124" s="2">
        <v>975974.19</v>
      </c>
      <c r="G1124" s="2" t="str">
        <f t="shared" si="17"/>
        <v>20-01-2025 NET PI TO HSL SEC A/C 347707-00602340029392</v>
      </c>
      <c r="H1124" s="2" t="s">
        <v>1911</v>
      </c>
      <c r="I1124" t="s">
        <v>361</v>
      </c>
      <c r="J1124" t="s">
        <v>1896</v>
      </c>
    </row>
    <row r="1125" spans="1:11" x14ac:dyDescent="0.3">
      <c r="A1125" s="1">
        <v>45677</v>
      </c>
      <c r="B1125" t="s">
        <v>1460</v>
      </c>
      <c r="C1125" t="s">
        <v>1461</v>
      </c>
      <c r="D1125" s="2">
        <v>200000</v>
      </c>
      <c r="E1125" s="2">
        <v>0</v>
      </c>
      <c r="F1125" s="2">
        <v>786927.23</v>
      </c>
      <c r="G1125" s="2" t="str">
        <f t="shared" si="17"/>
        <v>20-01-2025 CHQ PAID-MICR CTS-RK SALAI BRA</v>
      </c>
      <c r="H1125" s="2" t="s">
        <v>1941</v>
      </c>
      <c r="I1125" t="s">
        <v>1938</v>
      </c>
      <c r="J1125" t="s">
        <v>1896</v>
      </c>
    </row>
    <row r="1126" spans="1:11" x14ac:dyDescent="0.3">
      <c r="A1126" s="1">
        <v>45677</v>
      </c>
      <c r="B1126" t="s">
        <v>1464</v>
      </c>
      <c r="C1126" t="s">
        <v>1461</v>
      </c>
      <c r="D1126" s="2">
        <v>0</v>
      </c>
      <c r="E1126" s="2">
        <v>200000</v>
      </c>
      <c r="F1126" s="2">
        <v>976927.23</v>
      </c>
      <c r="G1126" s="2" t="str">
        <f t="shared" si="17"/>
        <v>20-01-2025 I/W CHQ RET-DRAWER SIGNATURE DIFFERS</v>
      </c>
      <c r="H1126" s="2" t="s">
        <v>1941</v>
      </c>
      <c r="I1126" t="s">
        <v>1938</v>
      </c>
      <c r="J1126" t="s">
        <v>1896</v>
      </c>
    </row>
    <row r="1127" spans="1:11" x14ac:dyDescent="0.3">
      <c r="A1127" s="1">
        <v>45677</v>
      </c>
      <c r="B1127" t="s">
        <v>1462</v>
      </c>
      <c r="C1127" t="s">
        <v>1463</v>
      </c>
      <c r="D1127" s="2">
        <v>10000</v>
      </c>
      <c r="E1127" s="2">
        <v>0</v>
      </c>
      <c r="F1127" s="2">
        <v>776927.23</v>
      </c>
      <c r="G1127" s="2" t="str">
        <f t="shared" si="17"/>
        <v>20-01-2025 ACH D- TP ACH INDIANESIGN-1690565591</v>
      </c>
      <c r="H1127" s="2" t="s">
        <v>1911</v>
      </c>
      <c r="I1127" t="s">
        <v>1854</v>
      </c>
      <c r="J1127" t="s">
        <v>1896</v>
      </c>
    </row>
    <row r="1128" spans="1:11" x14ac:dyDescent="0.3">
      <c r="A1128" s="1">
        <v>45677</v>
      </c>
      <c r="B1128" t="s">
        <v>874</v>
      </c>
      <c r="C1128" t="s">
        <v>1466</v>
      </c>
      <c r="D1128" s="2">
        <v>0</v>
      </c>
      <c r="E1128" s="2">
        <v>300.44</v>
      </c>
      <c r="F1128" s="2">
        <v>976274.63</v>
      </c>
      <c r="G1128" s="2" t="str">
        <f t="shared" si="17"/>
        <v>20-01-2025 00012050001396HLY INT-IN0020210111</v>
      </c>
      <c r="H1128" s="2" t="s">
        <v>1911</v>
      </c>
      <c r="I1128" t="s">
        <v>369</v>
      </c>
      <c r="J1128" t="s">
        <v>1896</v>
      </c>
    </row>
    <row r="1129" spans="1:11" x14ac:dyDescent="0.3">
      <c r="A1129" s="1">
        <v>45678</v>
      </c>
      <c r="B1129" t="s">
        <v>1467</v>
      </c>
      <c r="C1129" t="s">
        <v>1468</v>
      </c>
      <c r="D1129" s="2">
        <v>0</v>
      </c>
      <c r="E1129" s="2">
        <v>1047.2</v>
      </c>
      <c r="F1129" s="2">
        <v>977321.83</v>
      </c>
      <c r="G1129" s="2" t="str">
        <f t="shared" si="17"/>
        <v>21-01-2025 FT- 602471279-50200085415108 - HDFC SECURITIES LTD-CLIENT DSCNB A/C -</v>
      </c>
      <c r="H1129" s="2" t="s">
        <v>1911</v>
      </c>
      <c r="I1129" t="s">
        <v>1876</v>
      </c>
      <c r="J1129" t="s">
        <v>1896</v>
      </c>
    </row>
    <row r="1130" spans="1:11" x14ac:dyDescent="0.3">
      <c r="A1130" s="1">
        <v>45678</v>
      </c>
      <c r="B1130" t="s">
        <v>125</v>
      </c>
      <c r="C1130" t="s">
        <v>1469</v>
      </c>
      <c r="D1130" s="2">
        <v>317.68</v>
      </c>
      <c r="E1130" s="2">
        <v>0</v>
      </c>
      <c r="F1130" s="2">
        <v>977004.15</v>
      </c>
      <c r="G1130" s="2" t="str">
        <f t="shared" si="17"/>
        <v>21-01-2025 NET PI TO HSL SEC A/C 347707-00602340029392</v>
      </c>
      <c r="H1130" s="2" t="s">
        <v>1911</v>
      </c>
      <c r="I1130" t="s">
        <v>361</v>
      </c>
      <c r="J1130" t="s">
        <v>1896</v>
      </c>
    </row>
    <row r="1131" spans="1:11" x14ac:dyDescent="0.3">
      <c r="A1131" s="1">
        <v>45678</v>
      </c>
      <c r="B1131" t="s">
        <v>125</v>
      </c>
      <c r="C1131" t="s">
        <v>1470</v>
      </c>
      <c r="D1131" s="2">
        <v>7915.59</v>
      </c>
      <c r="E1131" s="2">
        <v>0</v>
      </c>
      <c r="F1131" s="2">
        <v>969088.56</v>
      </c>
      <c r="G1131" s="2" t="str">
        <f t="shared" si="17"/>
        <v>21-01-2025 NET PI TO HSL SEC A/C 347707-00602340029392</v>
      </c>
      <c r="H1131" s="2" t="s">
        <v>1911</v>
      </c>
      <c r="I1131" t="s">
        <v>361</v>
      </c>
      <c r="J1131" t="s">
        <v>1896</v>
      </c>
    </row>
    <row r="1132" spans="1:11" x14ac:dyDescent="0.3">
      <c r="A1132" s="1">
        <v>45679</v>
      </c>
      <c r="B1132" t="s">
        <v>599</v>
      </c>
      <c r="C1132" t="s">
        <v>7</v>
      </c>
      <c r="D1132" s="2">
        <v>0</v>
      </c>
      <c r="E1132" s="2">
        <v>100000</v>
      </c>
      <c r="F1132" s="2">
        <v>164304.38</v>
      </c>
      <c r="G1132" s="2" t="str">
        <f t="shared" si="17"/>
        <v>22-01-2025 NEFT/SBIN325022604106/Mr  AJAY KUMAR GUPTA/STATE BANK OF INDIA//ATTN//INB//MARRIAGE EXPENSES</v>
      </c>
      <c r="H1132" s="2" t="s">
        <v>1911</v>
      </c>
      <c r="I1132" t="s">
        <v>1842</v>
      </c>
      <c r="J1132" t="s">
        <v>1895</v>
      </c>
      <c r="K1132" t="s">
        <v>1913</v>
      </c>
    </row>
    <row r="1133" spans="1:11" x14ac:dyDescent="0.3">
      <c r="A1133" s="1">
        <v>45679</v>
      </c>
      <c r="B1133" t="s">
        <v>758</v>
      </c>
      <c r="C1133" t="s">
        <v>785</v>
      </c>
      <c r="D1133" s="2">
        <v>0</v>
      </c>
      <c r="E1133" s="2">
        <v>75000</v>
      </c>
      <c r="F1133" s="2">
        <v>-26783.37</v>
      </c>
      <c r="G1133" s="2" t="str">
        <f t="shared" si="17"/>
        <v>22-01-2025    BY TRANSFER-INB Payment towards loan repayment--</v>
      </c>
      <c r="H1133" s="2" t="s">
        <v>1911</v>
      </c>
      <c r="I1133" t="s">
        <v>1842</v>
      </c>
      <c r="J1133" t="s">
        <v>1897</v>
      </c>
      <c r="K1133" t="s">
        <v>1913</v>
      </c>
    </row>
    <row r="1134" spans="1:11" x14ac:dyDescent="0.3">
      <c r="A1134" s="1">
        <v>45679</v>
      </c>
      <c r="B1134" t="s">
        <v>1816</v>
      </c>
      <c r="C1134" t="s">
        <v>1817</v>
      </c>
      <c r="D1134" s="2">
        <v>100000</v>
      </c>
      <c r="E1134" s="2">
        <v>0</v>
      </c>
      <c r="F1134" s="2">
        <v>108154.36</v>
      </c>
      <c r="G1134" s="2" t="str">
        <f t="shared" si="17"/>
        <v>22-01-2025    TO TRANSFER-INB NEFT UTR NO: SBIN325022604106--AJAY KUMAR GUPTA</v>
      </c>
      <c r="H1134" s="2" t="s">
        <v>1911</v>
      </c>
      <c r="I1134" t="s">
        <v>1907</v>
      </c>
      <c r="J1134" t="s">
        <v>1899</v>
      </c>
      <c r="K1134" t="s">
        <v>1913</v>
      </c>
    </row>
    <row r="1135" spans="1:11" x14ac:dyDescent="0.3">
      <c r="A1135" s="1">
        <v>45679</v>
      </c>
      <c r="B1135" t="s">
        <v>752</v>
      </c>
      <c r="C1135" t="s">
        <v>1818</v>
      </c>
      <c r="D1135" s="2">
        <v>75000</v>
      </c>
      <c r="E1135" s="2">
        <v>0</v>
      </c>
      <c r="F1135" s="2">
        <v>33154.36</v>
      </c>
      <c r="G1135" s="2" t="str">
        <f t="shared" si="17"/>
        <v>22-01-2025    TO TRANSFER-INB Payment towards loan repayment--</v>
      </c>
      <c r="H1135" s="2" t="s">
        <v>1911</v>
      </c>
      <c r="I1135" t="s">
        <v>1906</v>
      </c>
      <c r="J1135" t="s">
        <v>1899</v>
      </c>
      <c r="K1135" t="s">
        <v>1913</v>
      </c>
    </row>
    <row r="1136" spans="1:11" x14ac:dyDescent="0.3">
      <c r="A1136" s="1">
        <v>45679</v>
      </c>
      <c r="B1136" t="s">
        <v>125</v>
      </c>
      <c r="C1136" t="s">
        <v>1471</v>
      </c>
      <c r="D1136" s="2">
        <v>315.24</v>
      </c>
      <c r="E1136" s="2">
        <v>0</v>
      </c>
      <c r="F1136" s="2">
        <v>968773.32</v>
      </c>
      <c r="G1136" s="2" t="str">
        <f t="shared" si="17"/>
        <v>22-01-2025 NET PI TO HSL SEC A/C 347707-00602340029392</v>
      </c>
      <c r="H1136" s="2" t="s">
        <v>1911</v>
      </c>
      <c r="I1136" t="s">
        <v>361</v>
      </c>
      <c r="J1136" t="s">
        <v>1896</v>
      </c>
    </row>
    <row r="1137" spans="1:14" x14ac:dyDescent="0.3">
      <c r="A1137" s="1">
        <v>45679</v>
      </c>
      <c r="B1137" t="s">
        <v>125</v>
      </c>
      <c r="C1137" t="s">
        <v>1474</v>
      </c>
      <c r="D1137" s="2">
        <v>7000.88</v>
      </c>
      <c r="E1137" s="2">
        <v>0</v>
      </c>
      <c r="F1137" s="2">
        <v>894772.44</v>
      </c>
      <c r="G1137" s="2" t="str">
        <f t="shared" si="17"/>
        <v>22-01-2025 NET PI TO HSL SEC A/C 347707-00602340029392</v>
      </c>
      <c r="H1137" s="2" t="s">
        <v>1911</v>
      </c>
      <c r="I1137" t="s">
        <v>361</v>
      </c>
      <c r="J1137" t="s">
        <v>1896</v>
      </c>
    </row>
    <row r="1138" spans="1:14" x14ac:dyDescent="0.3">
      <c r="A1138" s="1">
        <v>45679</v>
      </c>
      <c r="B1138" t="s">
        <v>1814</v>
      </c>
      <c r="C1138" t="s">
        <v>1815</v>
      </c>
      <c r="D1138" s="2">
        <v>0</v>
      </c>
      <c r="E1138" s="2">
        <v>200000</v>
      </c>
      <c r="F1138" s="2">
        <v>208154.36</v>
      </c>
      <c r="G1138" s="2" t="str">
        <f t="shared" si="17"/>
        <v>22-01-2025    BY TRANSFER-NEFT*UBIN0905666*001855406547*AJAY KUMAR GUPTA HUF--</v>
      </c>
      <c r="H1138" s="2" t="s">
        <v>1911</v>
      </c>
      <c r="I1138" t="s">
        <v>1840</v>
      </c>
      <c r="J1138" t="s">
        <v>1899</v>
      </c>
    </row>
    <row r="1139" spans="1:14" x14ac:dyDescent="0.3">
      <c r="A1139" s="1">
        <v>45679</v>
      </c>
      <c r="B1139" t="s">
        <v>1472</v>
      </c>
      <c r="C1139" t="s">
        <v>1473</v>
      </c>
      <c r="D1139" s="2">
        <v>67000</v>
      </c>
      <c r="E1139" s="2">
        <v>0</v>
      </c>
      <c r="F1139" s="2">
        <v>901773.32</v>
      </c>
      <c r="G1139" s="2" t="str">
        <f t="shared" si="17"/>
        <v>22-01-2025 NEFT DR-CBIN0281641-MEGHA GUPTA-NETBANK, MUM-HDFCN52025012216906963-EXPENSES RETURNED</v>
      </c>
      <c r="H1139" s="2" t="s">
        <v>1911</v>
      </c>
      <c r="I1139" t="s">
        <v>1873</v>
      </c>
      <c r="J1139" t="s">
        <v>1896</v>
      </c>
    </row>
    <row r="1140" spans="1:14" x14ac:dyDescent="0.3">
      <c r="A1140" s="1">
        <v>45679</v>
      </c>
      <c r="B1140" t="s">
        <v>597</v>
      </c>
      <c r="C1140" t="s">
        <v>7</v>
      </c>
      <c r="D1140" s="2">
        <v>10000</v>
      </c>
      <c r="E1140" s="2">
        <v>0</v>
      </c>
      <c r="F1140" s="2">
        <v>129304.38</v>
      </c>
      <c r="G1140" s="2" t="str">
        <f t="shared" si="17"/>
        <v>22-01-2025 UPI/P2A/453478894324/Miss. MEGHA  GUPTA   /Makeup/CENTRAL BANK OF INDI</v>
      </c>
      <c r="H1140" s="2" t="s">
        <v>1911</v>
      </c>
      <c r="I1140" t="s">
        <v>1927</v>
      </c>
      <c r="J1140" t="s">
        <v>1895</v>
      </c>
    </row>
    <row r="1141" spans="1:14" x14ac:dyDescent="0.3">
      <c r="A1141" s="1">
        <v>45679</v>
      </c>
      <c r="B1141" t="s">
        <v>598</v>
      </c>
      <c r="C1141" t="s">
        <v>7</v>
      </c>
      <c r="D1141" s="2">
        <v>65000</v>
      </c>
      <c r="E1141" s="2">
        <v>0</v>
      </c>
      <c r="F1141" s="2">
        <v>64304.38</v>
      </c>
      <c r="G1141" s="2" t="str">
        <f t="shared" si="17"/>
        <v>22-01-2025 UPI/P2A/147274521379/Akash Bhartiya       /Displa/BANK OF BARODA</v>
      </c>
      <c r="H1141" s="2" t="s">
        <v>1911</v>
      </c>
      <c r="I1141" t="s">
        <v>1921</v>
      </c>
      <c r="J1141" t="s">
        <v>1895</v>
      </c>
    </row>
    <row r="1142" spans="1:14" x14ac:dyDescent="0.3">
      <c r="A1142" s="1">
        <v>45680</v>
      </c>
      <c r="B1142" t="s">
        <v>750</v>
      </c>
      <c r="C1142" t="s">
        <v>751</v>
      </c>
      <c r="D1142" s="2">
        <v>0</v>
      </c>
      <c r="E1142" s="2">
        <v>26595</v>
      </c>
      <c r="F1142" s="2">
        <v>-188.37</v>
      </c>
      <c r="G1142" s="2" t="str">
        <f t="shared" si="17"/>
        <v>23-01-2025    DEPOSIT TRANSFER---</v>
      </c>
      <c r="H1142" s="2" t="s">
        <v>1911</v>
      </c>
      <c r="I1142" t="s">
        <v>1842</v>
      </c>
      <c r="J1142" t="s">
        <v>1897</v>
      </c>
      <c r="K1142" t="s">
        <v>1913</v>
      </c>
    </row>
    <row r="1143" spans="1:14" x14ac:dyDescent="0.3">
      <c r="A1143" s="1">
        <v>45680</v>
      </c>
      <c r="B1143" t="s">
        <v>748</v>
      </c>
      <c r="C1143" t="s">
        <v>788</v>
      </c>
      <c r="D1143" s="2">
        <v>30000</v>
      </c>
      <c r="E1143" s="2">
        <v>0</v>
      </c>
      <c r="F1143" s="2">
        <v>-105188.37</v>
      </c>
      <c r="G1143" s="2" t="str">
        <f t="shared" ref="G1143:G1206" si="18">TEXT(A1143,"DD")&amp;"-"&amp;TEXT(A1143,"MM")&amp;"-"&amp;TEXT(A1143,"YYYY")&amp;" "&amp;B1143</f>
        <v>23-01-2025    TO TRANSFER-INB Deposit / Investment--</v>
      </c>
      <c r="H1143" s="2" t="s">
        <v>1911</v>
      </c>
      <c r="I1143" t="s">
        <v>1842</v>
      </c>
      <c r="J1143" t="s">
        <v>1897</v>
      </c>
      <c r="K1143" t="s">
        <v>1913</v>
      </c>
    </row>
    <row r="1144" spans="1:14" x14ac:dyDescent="0.3">
      <c r="A1144" s="1">
        <v>45680</v>
      </c>
      <c r="B1144" t="s">
        <v>1734</v>
      </c>
      <c r="C1144" t="s">
        <v>1735</v>
      </c>
      <c r="D1144" s="2">
        <v>26595</v>
      </c>
      <c r="E1144" s="2">
        <v>0</v>
      </c>
      <c r="F1144" s="2">
        <v>6559.36</v>
      </c>
      <c r="G1144" s="2" t="str">
        <f t="shared" si="18"/>
        <v>23-01-2025    WITHDRAWAL TRANSFER---</v>
      </c>
      <c r="H1144" s="2" t="s">
        <v>1911</v>
      </c>
      <c r="I1144" t="s">
        <v>1906</v>
      </c>
      <c r="J1144" t="s">
        <v>1899</v>
      </c>
      <c r="K1144" t="s">
        <v>1913</v>
      </c>
    </row>
    <row r="1145" spans="1:14" x14ac:dyDescent="0.3">
      <c r="A1145" s="1">
        <v>45680</v>
      </c>
      <c r="B1145" t="s">
        <v>1727</v>
      </c>
      <c r="C1145" t="s">
        <v>1819</v>
      </c>
      <c r="D1145" s="2">
        <v>0</v>
      </c>
      <c r="E1145" s="2">
        <v>30000</v>
      </c>
      <c r="F1145" s="2">
        <v>36559.360000000001</v>
      </c>
      <c r="G1145" s="2" t="str">
        <f t="shared" si="18"/>
        <v>23-01-2025    BY TRANSFER-INB Deposit / Investment--</v>
      </c>
      <c r="H1145" s="2" t="s">
        <v>1911</v>
      </c>
      <c r="I1145" t="s">
        <v>1906</v>
      </c>
      <c r="J1145" t="s">
        <v>1899</v>
      </c>
      <c r="K1145" t="s">
        <v>1913</v>
      </c>
    </row>
    <row r="1146" spans="1:14" x14ac:dyDescent="0.3">
      <c r="A1146" s="1">
        <v>45680</v>
      </c>
      <c r="B1146" t="s">
        <v>125</v>
      </c>
      <c r="C1146" t="s">
        <v>1475</v>
      </c>
      <c r="D1146" s="2">
        <v>312.74</v>
      </c>
      <c r="E1146" s="2">
        <v>0</v>
      </c>
      <c r="F1146" s="2">
        <v>894459.7</v>
      </c>
      <c r="G1146" s="2" t="str">
        <f t="shared" si="18"/>
        <v>23-01-2025 NET PI TO HSL SEC A/C 347707-00602340029392</v>
      </c>
      <c r="H1146" s="2" t="s">
        <v>1911</v>
      </c>
      <c r="I1146" t="s">
        <v>361</v>
      </c>
      <c r="J1146" t="s">
        <v>1896</v>
      </c>
    </row>
    <row r="1147" spans="1:14" x14ac:dyDescent="0.3">
      <c r="A1147" s="1">
        <v>45680</v>
      </c>
      <c r="B1147" t="s">
        <v>786</v>
      </c>
      <c r="C1147" t="s">
        <v>787</v>
      </c>
      <c r="D1147" s="2">
        <v>75000</v>
      </c>
      <c r="E1147" s="2">
        <v>0</v>
      </c>
      <c r="F1147" s="2">
        <v>-75188.37</v>
      </c>
      <c r="G1147" s="2" t="str">
        <f t="shared" si="18"/>
        <v>23-01-2025    TO TRANSFER-INB Krisna Lawns payment--</v>
      </c>
      <c r="H1147" s="2" t="s">
        <v>1911</v>
      </c>
      <c r="I1147" t="s">
        <v>1851</v>
      </c>
      <c r="J1147" t="s">
        <v>1897</v>
      </c>
      <c r="M1147" s="24"/>
      <c r="N1147" s="24"/>
    </row>
    <row r="1148" spans="1:14" x14ac:dyDescent="0.3">
      <c r="A1148" s="1">
        <v>45680</v>
      </c>
      <c r="B1148" t="s">
        <v>1476</v>
      </c>
      <c r="C1148" t="s">
        <v>1477</v>
      </c>
      <c r="D1148" s="2">
        <v>200000</v>
      </c>
      <c r="E1148" s="2">
        <v>0</v>
      </c>
      <c r="F1148" s="2">
        <v>694459.7</v>
      </c>
      <c r="G1148" s="2" t="str">
        <f t="shared" si="18"/>
        <v>23-01-2025 RTGS DR-BARB0BRGBXX-MEDATWAL VESHNEY SAMAJ SEWA SAMITI-NETBANK, MUM-HDFCR52025012383393527-PACHOTRA METADWAL</v>
      </c>
      <c r="H1148" s="2" t="s">
        <v>1911</v>
      </c>
      <c r="I1148" t="s">
        <v>1853</v>
      </c>
      <c r="J1148" t="s">
        <v>1896</v>
      </c>
    </row>
    <row r="1149" spans="1:14" x14ac:dyDescent="0.3">
      <c r="A1149" s="1">
        <v>45680</v>
      </c>
      <c r="B1149" t="s">
        <v>600</v>
      </c>
      <c r="C1149" t="s">
        <v>7</v>
      </c>
      <c r="D1149" s="2">
        <v>50000</v>
      </c>
      <c r="E1149" s="2">
        <v>0</v>
      </c>
      <c r="F1149" s="2">
        <v>114304.38</v>
      </c>
      <c r="G1149" s="2" t="str">
        <f t="shared" si="18"/>
        <v>23-01-2025 UPI/P2A/725580195673/MOHIT AGARWAL        /Paymen/ICICI Bank</v>
      </c>
      <c r="H1149" s="2" t="s">
        <v>1911</v>
      </c>
      <c r="I1149" t="s">
        <v>1923</v>
      </c>
      <c r="J1149" t="s">
        <v>1895</v>
      </c>
    </row>
    <row r="1150" spans="1:14" x14ac:dyDescent="0.3">
      <c r="A1150" s="1">
        <v>45680</v>
      </c>
      <c r="B1150" t="s">
        <v>601</v>
      </c>
      <c r="C1150" t="s">
        <v>7</v>
      </c>
      <c r="D1150" s="2">
        <v>45000</v>
      </c>
      <c r="E1150" s="2">
        <v>0</v>
      </c>
      <c r="F1150" s="2">
        <v>69304.38</v>
      </c>
      <c r="G1150" s="2" t="str">
        <f t="shared" si="18"/>
        <v>23-01-2025 UPI/P2A/905754606394/SANTOSH KUMAR        /Paymen/Punjab National Bank</v>
      </c>
      <c r="H1150" s="2" t="s">
        <v>1911</v>
      </c>
      <c r="I1150" t="s">
        <v>1922</v>
      </c>
      <c r="J1150" t="s">
        <v>1895</v>
      </c>
    </row>
    <row r="1151" spans="1:14" x14ac:dyDescent="0.3">
      <c r="A1151" s="1">
        <v>45681</v>
      </c>
      <c r="B1151" t="s">
        <v>603</v>
      </c>
      <c r="C1151" t="s">
        <v>7</v>
      </c>
      <c r="D1151" s="2">
        <v>20000</v>
      </c>
      <c r="E1151" s="2">
        <v>0</v>
      </c>
      <c r="F1151" s="2">
        <v>45131.6</v>
      </c>
      <c r="G1151" s="2" t="str">
        <f t="shared" si="18"/>
        <v>24-01-2025 ATM-CASH-AXIS/APRH22806/353/240125/KOTA</v>
      </c>
      <c r="H1151" s="2" t="s">
        <v>1911</v>
      </c>
      <c r="I1151" t="s">
        <v>354</v>
      </c>
      <c r="J1151" t="s">
        <v>1895</v>
      </c>
    </row>
    <row r="1152" spans="1:14" x14ac:dyDescent="0.3">
      <c r="A1152" s="1">
        <v>45681</v>
      </c>
      <c r="B1152" t="s">
        <v>1820</v>
      </c>
      <c r="D1152" s="2">
        <v>20000</v>
      </c>
      <c r="E1152" s="2">
        <v>0</v>
      </c>
      <c r="F1152" s="2">
        <v>16559.36</v>
      </c>
      <c r="G1152" s="2" t="str">
        <f t="shared" si="18"/>
        <v>24-01-2025    ATM WDL-ATM CASH 390   +SBI ATM              KOTA--</v>
      </c>
      <c r="H1152" s="2" t="s">
        <v>1911</v>
      </c>
      <c r="I1152" t="s">
        <v>366</v>
      </c>
      <c r="J1152" t="s">
        <v>1899</v>
      </c>
    </row>
    <row r="1153" spans="1:11" x14ac:dyDescent="0.3">
      <c r="A1153" s="1">
        <v>45681</v>
      </c>
      <c r="B1153" t="s">
        <v>602</v>
      </c>
      <c r="C1153" t="s">
        <v>7</v>
      </c>
      <c r="D1153" s="2">
        <v>4172.78</v>
      </c>
      <c r="E1153" s="2">
        <v>0</v>
      </c>
      <c r="F1153" s="2">
        <v>65131.6</v>
      </c>
      <c r="G1153" s="2" t="str">
        <f t="shared" si="18"/>
        <v>24-01-2025 Rent for 2024-25:-Locker No:47</v>
      </c>
      <c r="H1153" s="2" t="s">
        <v>1911</v>
      </c>
      <c r="I1153" t="s">
        <v>365</v>
      </c>
      <c r="J1153" t="s">
        <v>1895</v>
      </c>
    </row>
    <row r="1154" spans="1:11" x14ac:dyDescent="0.3">
      <c r="A1154" s="1">
        <v>45681</v>
      </c>
      <c r="B1154" t="s">
        <v>604</v>
      </c>
      <c r="C1154" t="s">
        <v>7</v>
      </c>
      <c r="D1154" s="2">
        <v>140</v>
      </c>
      <c r="E1154" s="2">
        <v>0</v>
      </c>
      <c r="F1154" s="2">
        <v>44991.6</v>
      </c>
      <c r="G1154" s="2" t="str">
        <f t="shared" si="18"/>
        <v>24-01-2025 NBSM/90785776/Maha Electricity(BILLDESK)/</v>
      </c>
      <c r="H1154" s="2" t="s">
        <v>1911</v>
      </c>
      <c r="I1154" t="s">
        <v>357</v>
      </c>
      <c r="J1154" t="s">
        <v>1895</v>
      </c>
    </row>
    <row r="1155" spans="1:11" x14ac:dyDescent="0.3">
      <c r="A1155" s="1">
        <v>45681</v>
      </c>
      <c r="B1155" t="s">
        <v>1478</v>
      </c>
      <c r="C1155" t="s">
        <v>1479</v>
      </c>
      <c r="D1155" s="2">
        <v>0</v>
      </c>
      <c r="E1155" s="2">
        <v>9546.35</v>
      </c>
      <c r="F1155" s="2">
        <v>704006.05</v>
      </c>
      <c r="G1155" s="2" t="str">
        <f t="shared" si="18"/>
        <v>24-01-2025 FT- 603761570-50200085415108 - HDFC SECURITIES LTD-CLIENT DSCNB A/C -</v>
      </c>
      <c r="H1155" s="2" t="s">
        <v>1911</v>
      </c>
      <c r="I1155" t="s">
        <v>1876</v>
      </c>
      <c r="J1155" t="s">
        <v>1896</v>
      </c>
    </row>
    <row r="1156" spans="1:11" x14ac:dyDescent="0.3">
      <c r="A1156" s="1">
        <v>45681</v>
      </c>
      <c r="B1156" t="s">
        <v>125</v>
      </c>
      <c r="C1156" t="s">
        <v>1480</v>
      </c>
      <c r="D1156" s="2">
        <v>312.74</v>
      </c>
      <c r="E1156" s="2">
        <v>0</v>
      </c>
      <c r="F1156" s="2">
        <v>703693.31</v>
      </c>
      <c r="G1156" s="2" t="str">
        <f t="shared" si="18"/>
        <v>24-01-2025 NET PI TO HSL SEC A/C 347707-00602340029392</v>
      </c>
      <c r="H1156" s="2" t="s">
        <v>1911</v>
      </c>
      <c r="I1156" t="s">
        <v>361</v>
      </c>
      <c r="J1156" t="s">
        <v>1896</v>
      </c>
    </row>
    <row r="1157" spans="1:11" x14ac:dyDescent="0.3">
      <c r="A1157" s="1">
        <v>45681</v>
      </c>
      <c r="B1157" t="s">
        <v>1483</v>
      </c>
      <c r="C1157" t="s">
        <v>1484</v>
      </c>
      <c r="D1157" s="2">
        <v>75000</v>
      </c>
      <c r="E1157" s="2">
        <v>0</v>
      </c>
      <c r="F1157" s="2">
        <v>528693.31000000006</v>
      </c>
      <c r="G1157" s="2" t="str">
        <f t="shared" si="18"/>
        <v>24-01-2025 NEFT DR-COSB0000909-RAMCHANDANI UMESH SUNDARDAS-NETBANK, MUM-HDFCN52025012421830104-KRISHNA LAWN PAYME</v>
      </c>
      <c r="H1157" s="2" t="s">
        <v>1911</v>
      </c>
      <c r="I1157" t="s">
        <v>1940</v>
      </c>
      <c r="J1157" t="s">
        <v>1896</v>
      </c>
    </row>
    <row r="1158" spans="1:11" x14ac:dyDescent="0.3">
      <c r="A1158" s="1">
        <v>45681</v>
      </c>
      <c r="B1158" t="s">
        <v>1481</v>
      </c>
      <c r="C1158" t="s">
        <v>1482</v>
      </c>
      <c r="D1158" s="2">
        <v>100000</v>
      </c>
      <c r="E1158" s="2">
        <v>0</v>
      </c>
      <c r="F1158" s="2">
        <v>603693.31000000006</v>
      </c>
      <c r="G1158" s="2" t="str">
        <f t="shared" si="18"/>
        <v>24-01-2025 UPI-SAGAR TRADERS-0793731A0167326.BQR@KOTAK-KKBK0003731-293492852550-2384624A</v>
      </c>
      <c r="H1158" s="2" t="s">
        <v>1911</v>
      </c>
      <c r="I1158" t="s">
        <v>1924</v>
      </c>
      <c r="J1158" t="s">
        <v>1896</v>
      </c>
    </row>
    <row r="1159" spans="1:11" x14ac:dyDescent="0.3">
      <c r="A1159" s="1">
        <v>45682</v>
      </c>
      <c r="B1159" t="s">
        <v>605</v>
      </c>
      <c r="C1159" t="s">
        <v>7</v>
      </c>
      <c r="D1159" s="2">
        <v>20000</v>
      </c>
      <c r="E1159" s="2">
        <v>0</v>
      </c>
      <c r="F1159" s="2">
        <v>24991.599999999999</v>
      </c>
      <c r="G1159" s="2" t="str">
        <f t="shared" si="18"/>
        <v>25-01-2025 UPI/P2A/549721815858/CHETAN GUPTA         /Tant H/BANK OF INDIA</v>
      </c>
      <c r="H1159" s="2" t="s">
        <v>1911</v>
      </c>
      <c r="I1159" t="s">
        <v>1923</v>
      </c>
      <c r="J1159" t="s">
        <v>1895</v>
      </c>
    </row>
    <row r="1160" spans="1:11" x14ac:dyDescent="0.3">
      <c r="A1160" s="1">
        <v>45682</v>
      </c>
      <c r="B1160" t="s">
        <v>606</v>
      </c>
      <c r="C1160" t="s">
        <v>7</v>
      </c>
      <c r="D1160" s="2">
        <v>7000</v>
      </c>
      <c r="E1160" s="2">
        <v>0</v>
      </c>
      <c r="F1160" s="2">
        <v>17991.599999999999</v>
      </c>
      <c r="G1160" s="2" t="str">
        <f t="shared" si="18"/>
        <v>25-01-2025 UPI/P2A/855116648767/ALOK KUMAR GUPTA     /Paymen/HDFC BANK LTD</v>
      </c>
      <c r="H1160" s="2" t="s">
        <v>1911</v>
      </c>
      <c r="I1160" t="s">
        <v>1930</v>
      </c>
      <c r="J1160" t="s">
        <v>1895</v>
      </c>
    </row>
    <row r="1161" spans="1:11" x14ac:dyDescent="0.3">
      <c r="A1161" s="1">
        <v>45683</v>
      </c>
      <c r="B1161" t="s">
        <v>609</v>
      </c>
      <c r="C1161" t="s">
        <v>7</v>
      </c>
      <c r="D1161" s="2">
        <v>0</v>
      </c>
      <c r="E1161" s="2">
        <v>100000</v>
      </c>
      <c r="F1161" s="2">
        <v>110283.6</v>
      </c>
      <c r="G1161" s="2" t="str">
        <f t="shared" si="18"/>
        <v>26-01-2025 NEFT/SBIN125026569973/Mr  AJAY KUMAR GUPTA/STATE BANK OF INDIA//ATTN//INB//EXPENSES</v>
      </c>
      <c r="H1161" s="2" t="s">
        <v>1911</v>
      </c>
      <c r="I1161" t="s">
        <v>1906</v>
      </c>
      <c r="J1161" t="s">
        <v>1895</v>
      </c>
      <c r="K1161" t="s">
        <v>1913</v>
      </c>
    </row>
    <row r="1162" spans="1:11" x14ac:dyDescent="0.3">
      <c r="A1162" s="1">
        <v>45683</v>
      </c>
      <c r="B1162" t="s">
        <v>789</v>
      </c>
      <c r="C1162" t="s">
        <v>790</v>
      </c>
      <c r="D1162" s="2">
        <v>100000</v>
      </c>
      <c r="E1162" s="2">
        <v>0</v>
      </c>
      <c r="F1162" s="2">
        <v>-205188.37</v>
      </c>
      <c r="G1162" s="2" t="str">
        <f t="shared" si="18"/>
        <v>26-01-2025    TO TRANSFER-INB NEFT UTR NO: SBIN125026569973--AJAY KUMAR GUPTA</v>
      </c>
      <c r="H1162" s="2" t="s">
        <v>1911</v>
      </c>
      <c r="I1162" t="s">
        <v>1907</v>
      </c>
      <c r="J1162" t="s">
        <v>1897</v>
      </c>
      <c r="K1162" t="s">
        <v>1913</v>
      </c>
    </row>
    <row r="1163" spans="1:11" x14ac:dyDescent="0.3">
      <c r="A1163" s="1">
        <v>45683</v>
      </c>
      <c r="B1163" t="s">
        <v>1485</v>
      </c>
      <c r="C1163" t="s">
        <v>1486</v>
      </c>
      <c r="D1163" s="2">
        <v>200000</v>
      </c>
      <c r="E1163" s="2">
        <v>0</v>
      </c>
      <c r="F1163" s="2">
        <v>328693.31</v>
      </c>
      <c r="G1163" s="2" t="str">
        <f t="shared" si="18"/>
        <v>26-01-2025 NEFT DR-ICIC0006879-PRABHULAL SHARMA HALWAI AND CATERS-NETBANK, MUM-HDFCN52025012622856942-HALWAI JI</v>
      </c>
      <c r="H1163" s="2" t="s">
        <v>1911</v>
      </c>
      <c r="I1163" t="s">
        <v>1939</v>
      </c>
      <c r="J1163" t="s">
        <v>1896</v>
      </c>
    </row>
    <row r="1164" spans="1:11" x14ac:dyDescent="0.3">
      <c r="A1164" s="1">
        <v>45683</v>
      </c>
      <c r="B1164" t="s">
        <v>607</v>
      </c>
      <c r="C1164" t="s">
        <v>7</v>
      </c>
      <c r="D1164" s="2">
        <v>7678</v>
      </c>
      <c r="E1164" s="2">
        <v>0</v>
      </c>
      <c r="F1164" s="2">
        <v>10313.6</v>
      </c>
      <c r="G1164" s="2" t="str">
        <f t="shared" si="18"/>
        <v>26-01-2025 UPI/P2M/538625339934/HARSH  SAMSUKHA      /Dispos/YES BANK LIMITED YBS</v>
      </c>
      <c r="H1164" s="2" t="s">
        <v>1911</v>
      </c>
      <c r="I1164" t="s">
        <v>1929</v>
      </c>
      <c r="J1164" t="s">
        <v>1895</v>
      </c>
    </row>
    <row r="1165" spans="1:11" x14ac:dyDescent="0.3">
      <c r="A1165" s="1">
        <v>45683</v>
      </c>
      <c r="B1165" t="s">
        <v>608</v>
      </c>
      <c r="C1165" t="s">
        <v>7</v>
      </c>
      <c r="D1165" s="2">
        <v>30</v>
      </c>
      <c r="E1165" s="2">
        <v>0</v>
      </c>
      <c r="F1165" s="2">
        <v>10283.6</v>
      </c>
      <c r="G1165" s="2" t="str">
        <f t="shared" si="18"/>
        <v>26-01-2025 UPI/P2M/298648752047/Guru Dashmesh Dudh Da/Milk/YES BANK LIMITED YBS</v>
      </c>
      <c r="H1165" s="2" t="s">
        <v>1911</v>
      </c>
      <c r="I1165" t="s">
        <v>356</v>
      </c>
      <c r="J1165" t="s">
        <v>1895</v>
      </c>
    </row>
    <row r="1166" spans="1:11" x14ac:dyDescent="0.3">
      <c r="A1166" s="1">
        <v>45684</v>
      </c>
      <c r="B1166" t="s">
        <v>1487</v>
      </c>
      <c r="C1166" t="s">
        <v>1488</v>
      </c>
      <c r="D1166" s="2">
        <v>0</v>
      </c>
      <c r="E1166" s="2">
        <v>25473.59</v>
      </c>
      <c r="F1166" s="2">
        <v>354166.9</v>
      </c>
      <c r="G1166" s="2" t="str">
        <f t="shared" si="18"/>
        <v>27-01-2025 FT- 604200359-50200085415108 - HDFC SECURITIES LTD-CLIENT DSCNB A/C -</v>
      </c>
      <c r="H1166" s="2" t="s">
        <v>1911</v>
      </c>
      <c r="I1166" t="s">
        <v>1876</v>
      </c>
      <c r="J1166" t="s">
        <v>1896</v>
      </c>
    </row>
    <row r="1167" spans="1:11" x14ac:dyDescent="0.3">
      <c r="A1167" s="1">
        <v>45684</v>
      </c>
      <c r="B1167" t="s">
        <v>125</v>
      </c>
      <c r="C1167" t="s">
        <v>1489</v>
      </c>
      <c r="D1167" s="2">
        <v>948.42</v>
      </c>
      <c r="E1167" s="2">
        <v>0</v>
      </c>
      <c r="F1167" s="2">
        <v>353218.48</v>
      </c>
      <c r="G1167" s="2" t="str">
        <f t="shared" si="18"/>
        <v>27-01-2025 NET PI TO HSL SEC A/C 347707-00602340029392</v>
      </c>
      <c r="H1167" s="2" t="s">
        <v>1911</v>
      </c>
      <c r="I1167" t="s">
        <v>361</v>
      </c>
      <c r="J1167" t="s">
        <v>1896</v>
      </c>
    </row>
    <row r="1168" spans="1:11" x14ac:dyDescent="0.3">
      <c r="A1168" s="1">
        <v>45684</v>
      </c>
      <c r="B1168" t="s">
        <v>125</v>
      </c>
      <c r="C1168" t="s">
        <v>1493</v>
      </c>
      <c r="D1168" s="2">
        <v>25750.79</v>
      </c>
      <c r="E1168" s="2">
        <v>0</v>
      </c>
      <c r="F1168" s="2">
        <v>380637.69</v>
      </c>
      <c r="G1168" s="2" t="str">
        <f t="shared" si="18"/>
        <v>27-01-2025 NET PI TO HSL SEC A/C 347707-00602340029392</v>
      </c>
      <c r="H1168" s="2" t="s">
        <v>1911</v>
      </c>
      <c r="I1168" t="s">
        <v>361</v>
      </c>
      <c r="J1168" t="s">
        <v>1896</v>
      </c>
    </row>
    <row r="1169" spans="1:10" x14ac:dyDescent="0.3">
      <c r="A1169" s="1">
        <v>45685</v>
      </c>
      <c r="B1169" t="s">
        <v>1724</v>
      </c>
      <c r="C1169" t="s">
        <v>1725</v>
      </c>
      <c r="D1169" s="2">
        <v>0</v>
      </c>
      <c r="E1169" s="2">
        <v>205</v>
      </c>
      <c r="F1169" s="2">
        <v>4471</v>
      </c>
      <c r="G1169" s="2" t="str">
        <f t="shared" si="18"/>
        <v>28-01-2025    BY TRANSFER-TRANSFER FROM--</v>
      </c>
      <c r="H1169" s="2" t="s">
        <v>1911</v>
      </c>
      <c r="I1169" t="s">
        <v>370</v>
      </c>
      <c r="J1169" t="s">
        <v>1900</v>
      </c>
    </row>
    <row r="1170" spans="1:10" x14ac:dyDescent="0.3">
      <c r="A1170" s="1">
        <v>45685</v>
      </c>
      <c r="B1170" t="s">
        <v>1726</v>
      </c>
      <c r="D1170" s="2">
        <v>100</v>
      </c>
      <c r="E1170" s="2">
        <v>0</v>
      </c>
      <c r="F1170" s="2">
        <v>4371</v>
      </c>
      <c r="G1170" s="2" t="str">
        <f t="shared" si="18"/>
        <v>28-01-2025    CASH WITHDRAWAL-CASH WITHDRAWAL SELF--</v>
      </c>
      <c r="H1170" s="2" t="s">
        <v>1911</v>
      </c>
      <c r="I1170" t="s">
        <v>1836</v>
      </c>
      <c r="J1170" t="s">
        <v>1900</v>
      </c>
    </row>
    <row r="1171" spans="1:10" x14ac:dyDescent="0.3">
      <c r="A1171" s="1">
        <v>45685</v>
      </c>
      <c r="B1171" t="s">
        <v>125</v>
      </c>
      <c r="C1171" t="s">
        <v>1494</v>
      </c>
      <c r="D1171" s="2">
        <v>293.85000000000002</v>
      </c>
      <c r="E1171" s="2">
        <v>0</v>
      </c>
      <c r="F1171" s="2">
        <v>380343.84</v>
      </c>
      <c r="G1171" s="2" t="str">
        <f t="shared" si="18"/>
        <v>28-01-2025 NET PI TO HSL SEC A/C 347707-00602340029392</v>
      </c>
      <c r="H1171" s="2" t="s">
        <v>1911</v>
      </c>
      <c r="I1171" t="s">
        <v>361</v>
      </c>
      <c r="J1171" t="s">
        <v>1896</v>
      </c>
    </row>
    <row r="1172" spans="1:10" x14ac:dyDescent="0.3">
      <c r="A1172" s="1">
        <v>45685</v>
      </c>
      <c r="B1172" t="s">
        <v>125</v>
      </c>
      <c r="C1172" t="s">
        <v>1495</v>
      </c>
      <c r="D1172" s="2">
        <v>3016.36</v>
      </c>
      <c r="E1172" s="2">
        <v>0</v>
      </c>
      <c r="F1172" s="2">
        <v>377327.48</v>
      </c>
      <c r="G1172" s="2" t="str">
        <f t="shared" si="18"/>
        <v>28-01-2025 NET PI TO HSL SEC A/C 347707-00602340029392</v>
      </c>
      <c r="H1172" s="2" t="s">
        <v>1911</v>
      </c>
      <c r="I1172" t="s">
        <v>361</v>
      </c>
      <c r="J1172" t="s">
        <v>1896</v>
      </c>
    </row>
    <row r="1173" spans="1:10" x14ac:dyDescent="0.3">
      <c r="A1173" s="1">
        <v>45685</v>
      </c>
      <c r="B1173" t="s">
        <v>1490</v>
      </c>
      <c r="C1173" t="s">
        <v>1491</v>
      </c>
      <c r="D1173" s="2">
        <v>0</v>
      </c>
      <c r="E1173" s="2">
        <v>26440</v>
      </c>
      <c r="F1173" s="2">
        <v>379658.48</v>
      </c>
      <c r="G1173" s="2" t="str">
        <f t="shared" si="18"/>
        <v>28-01-2025 CHQ DEP - MICR 8 CLEARING - TALWANDI - K: MEDATWAL VESHEY SAMAJ SEWA SAMITI :BARODA RAJ GRAMIN BANK</v>
      </c>
      <c r="H1173" s="2" t="s">
        <v>1911</v>
      </c>
      <c r="I1173" t="s">
        <v>1853</v>
      </c>
      <c r="J1173" t="s">
        <v>1896</v>
      </c>
    </row>
    <row r="1174" spans="1:10" x14ac:dyDescent="0.3">
      <c r="A1174" s="1">
        <v>45685</v>
      </c>
      <c r="B1174" t="s">
        <v>1490</v>
      </c>
      <c r="C1174" t="s">
        <v>1492</v>
      </c>
      <c r="D1174" s="2">
        <v>0</v>
      </c>
      <c r="E1174" s="2">
        <v>26730</v>
      </c>
      <c r="F1174" s="2">
        <v>406388.47999999998</v>
      </c>
      <c r="G1174" s="2" t="str">
        <f t="shared" si="18"/>
        <v>28-01-2025 CHQ DEP - MICR 8 CLEARING - TALWANDI - K: MEDATWAL VESHEY SAMAJ SEWA SAMITI :BARODA RAJ GRAMIN BANK</v>
      </c>
      <c r="H1174" s="2" t="s">
        <v>1911</v>
      </c>
      <c r="I1174" t="s">
        <v>1853</v>
      </c>
      <c r="J1174" t="s">
        <v>1896</v>
      </c>
    </row>
    <row r="1175" spans="1:10" x14ac:dyDescent="0.3">
      <c r="A1175" s="1">
        <v>45685</v>
      </c>
      <c r="B1175" t="s">
        <v>610</v>
      </c>
      <c r="C1175" t="s">
        <v>7</v>
      </c>
      <c r="D1175" s="2">
        <v>70</v>
      </c>
      <c r="E1175" s="2">
        <v>0</v>
      </c>
      <c r="F1175" s="2">
        <v>110213.6</v>
      </c>
      <c r="G1175" s="2" t="str">
        <f t="shared" si="18"/>
        <v>28-01-2025 UPI/P2M/696274900422/Hemant Prajapati     /Vegita/YES BANK LIMITED YBS</v>
      </c>
      <c r="H1175" s="2" t="s">
        <v>1911</v>
      </c>
      <c r="I1175" t="s">
        <v>356</v>
      </c>
      <c r="J1175" t="s">
        <v>1895</v>
      </c>
    </row>
    <row r="1176" spans="1:10" x14ac:dyDescent="0.3">
      <c r="A1176" s="1">
        <v>45685</v>
      </c>
      <c r="B1176" t="s">
        <v>1722</v>
      </c>
      <c r="C1176" t="s">
        <v>1723</v>
      </c>
      <c r="D1176" s="2">
        <v>4266</v>
      </c>
      <c r="E1176" s="2">
        <v>0</v>
      </c>
      <c r="F1176" s="2">
        <v>0</v>
      </c>
      <c r="G1176" s="2" t="str">
        <f t="shared" si="18"/>
        <v>28-01-2025    TO TRANSFER-TRANSFER TO--</v>
      </c>
      <c r="H1176" s="2" t="s">
        <v>1911</v>
      </c>
      <c r="I1176" t="s">
        <v>1901</v>
      </c>
      <c r="J1176" t="s">
        <v>1900</v>
      </c>
    </row>
    <row r="1177" spans="1:10" x14ac:dyDescent="0.3">
      <c r="A1177" s="1">
        <v>45685</v>
      </c>
      <c r="B1177" t="s">
        <v>1724</v>
      </c>
      <c r="D1177" s="2"/>
      <c r="E1177" s="2">
        <v>4266</v>
      </c>
      <c r="F1177" s="2">
        <f>E1177</f>
        <v>4266</v>
      </c>
      <c r="G1177" s="2" t="str">
        <f t="shared" si="18"/>
        <v>28-01-2025    BY TRANSFER-TRANSFER FROM--</v>
      </c>
      <c r="H1177" s="2" t="s">
        <v>1911</v>
      </c>
      <c r="I1177" t="s">
        <v>1901</v>
      </c>
      <c r="J1177" t="s">
        <v>1900</v>
      </c>
    </row>
    <row r="1178" spans="1:10" x14ac:dyDescent="0.3">
      <c r="A1178" s="1">
        <v>45686</v>
      </c>
      <c r="B1178" t="s">
        <v>125</v>
      </c>
      <c r="C1178" t="s">
        <v>1496</v>
      </c>
      <c r="D1178" s="2">
        <v>292.77999999999997</v>
      </c>
      <c r="E1178" s="2">
        <v>0</v>
      </c>
      <c r="F1178" s="2">
        <v>377034.7</v>
      </c>
      <c r="G1178" s="2" t="str">
        <f t="shared" si="18"/>
        <v>29-01-2025 NET PI TO HSL SEC A/C 347707-00602340029392</v>
      </c>
      <c r="H1178" s="2" t="s">
        <v>1911</v>
      </c>
      <c r="I1178" t="s">
        <v>361</v>
      </c>
      <c r="J1178" t="s">
        <v>1896</v>
      </c>
    </row>
    <row r="1179" spans="1:10" x14ac:dyDescent="0.3">
      <c r="A1179" s="1">
        <v>45687</v>
      </c>
      <c r="B1179" t="s">
        <v>1502</v>
      </c>
      <c r="C1179" t="s">
        <v>1461</v>
      </c>
      <c r="D1179" s="2">
        <v>59</v>
      </c>
      <c r="E1179" s="2">
        <v>0</v>
      </c>
      <c r="F1179" s="2">
        <v>378666.23</v>
      </c>
      <c r="G1179" s="2" t="str">
        <f t="shared" si="18"/>
        <v>30-01-2025 CHQ RETURN CHGS INCL GST 200125-MIR2503033654855</v>
      </c>
      <c r="H1179" s="2" t="s">
        <v>1911</v>
      </c>
      <c r="I1179" t="s">
        <v>365</v>
      </c>
      <c r="J1179" t="s">
        <v>1896</v>
      </c>
    </row>
    <row r="1180" spans="1:10" x14ac:dyDescent="0.3">
      <c r="A1180" s="1">
        <v>45687</v>
      </c>
      <c r="B1180" t="s">
        <v>1497</v>
      </c>
      <c r="C1180" t="s">
        <v>1498</v>
      </c>
      <c r="D1180" s="2">
        <v>0</v>
      </c>
      <c r="E1180" s="2">
        <v>21983.31</v>
      </c>
      <c r="F1180" s="2">
        <v>399018.01</v>
      </c>
      <c r="G1180" s="2" t="str">
        <f t="shared" si="18"/>
        <v>30-01-2025 FT- 605547892-50200085415108 - HDFC SECURITIES LTD-CLIENT DSCNB A/C -</v>
      </c>
      <c r="H1180" s="2" t="s">
        <v>1911</v>
      </c>
      <c r="I1180" t="s">
        <v>1876</v>
      </c>
      <c r="J1180" t="s">
        <v>1896</v>
      </c>
    </row>
    <row r="1181" spans="1:10" x14ac:dyDescent="0.3">
      <c r="A1181" s="1">
        <v>45687</v>
      </c>
      <c r="B1181" t="s">
        <v>125</v>
      </c>
      <c r="C1181" t="s">
        <v>1501</v>
      </c>
      <c r="D1181" s="2">
        <v>292.77999999999997</v>
      </c>
      <c r="E1181" s="2">
        <v>0</v>
      </c>
      <c r="F1181" s="2">
        <v>378725.23</v>
      </c>
      <c r="G1181" s="2" t="str">
        <f t="shared" si="18"/>
        <v>30-01-2025 NET PI TO HSL SEC A/C 347707-00602340029392</v>
      </c>
      <c r="H1181" s="2" t="s">
        <v>1911</v>
      </c>
      <c r="I1181" t="s">
        <v>361</v>
      </c>
      <c r="J1181" t="s">
        <v>1896</v>
      </c>
    </row>
    <row r="1182" spans="1:10" x14ac:dyDescent="0.3">
      <c r="A1182" s="1">
        <v>45687</v>
      </c>
      <c r="B1182" t="s">
        <v>125</v>
      </c>
      <c r="C1182" t="s">
        <v>1503</v>
      </c>
      <c r="D1182" s="2">
        <v>4485.84</v>
      </c>
      <c r="E1182" s="2">
        <v>0</v>
      </c>
      <c r="F1182" s="2">
        <v>374180.39</v>
      </c>
      <c r="G1182" s="2" t="str">
        <f t="shared" si="18"/>
        <v>30-01-2025 NET PI TO HSL SEC A/C 347707-00602340029392</v>
      </c>
      <c r="H1182" s="2" t="s">
        <v>1911</v>
      </c>
      <c r="I1182" t="s">
        <v>361</v>
      </c>
      <c r="J1182" t="s">
        <v>1896</v>
      </c>
    </row>
    <row r="1183" spans="1:10" x14ac:dyDescent="0.3">
      <c r="A1183" s="1">
        <v>45687</v>
      </c>
      <c r="B1183" t="s">
        <v>611</v>
      </c>
      <c r="C1183" t="s">
        <v>7</v>
      </c>
      <c r="D1183" s="2">
        <v>2600</v>
      </c>
      <c r="E1183" s="2">
        <v>0</v>
      </c>
      <c r="F1183" s="2">
        <v>107613.6</v>
      </c>
      <c r="G1183" s="2" t="str">
        <f t="shared" si="18"/>
        <v>30-01-2025 UPI/P2A/210811652427/RAMBILAS  MEENA      /Diesal/State Bank Of India</v>
      </c>
      <c r="H1183" s="2" t="s">
        <v>1911</v>
      </c>
      <c r="I1183" t="s">
        <v>356</v>
      </c>
      <c r="J1183" t="s">
        <v>1895</v>
      </c>
    </row>
    <row r="1184" spans="1:10" x14ac:dyDescent="0.3">
      <c r="A1184" s="1">
        <v>45687</v>
      </c>
      <c r="B1184" t="s">
        <v>1499</v>
      </c>
      <c r="C1184" t="s">
        <v>1500</v>
      </c>
      <c r="D1184" s="2">
        <v>20000</v>
      </c>
      <c r="E1184" s="2">
        <v>0</v>
      </c>
      <c r="F1184" s="2">
        <v>379018.01</v>
      </c>
      <c r="G1184" s="2" t="str">
        <f t="shared" si="18"/>
        <v>30-01-2025 UPI-XXXXXX0094-HDFC0000001-810561957614-PAYMENT FROM PHONE</v>
      </c>
      <c r="H1184" s="2" t="s">
        <v>1911</v>
      </c>
      <c r="I1184" t="s">
        <v>1852</v>
      </c>
      <c r="J1184" t="s">
        <v>1896</v>
      </c>
    </row>
    <row r="1185" spans="1:11" x14ac:dyDescent="0.3">
      <c r="A1185" s="1">
        <v>45688</v>
      </c>
      <c r="B1185" t="s">
        <v>754</v>
      </c>
      <c r="D1185" s="2">
        <v>623</v>
      </c>
      <c r="E1185" s="2">
        <v>0</v>
      </c>
      <c r="F1185" s="2">
        <v>-205811.37</v>
      </c>
      <c r="G1185" s="2" t="str">
        <f t="shared" si="18"/>
        <v>31-01-2025    DEBIT INTEREST---</v>
      </c>
      <c r="H1185" s="2" t="s">
        <v>1911</v>
      </c>
      <c r="I1185" t="s">
        <v>1915</v>
      </c>
      <c r="J1185" t="s">
        <v>1897</v>
      </c>
    </row>
    <row r="1186" spans="1:11" x14ac:dyDescent="0.3">
      <c r="A1186" s="1">
        <v>45688</v>
      </c>
      <c r="B1186" t="s">
        <v>125</v>
      </c>
      <c r="C1186" t="s">
        <v>1504</v>
      </c>
      <c r="D1186" s="2">
        <v>299.01</v>
      </c>
      <c r="E1186" s="2">
        <v>0</v>
      </c>
      <c r="F1186" s="2">
        <v>373881.38</v>
      </c>
      <c r="G1186" s="2" t="str">
        <f t="shared" si="18"/>
        <v>31-01-2025 NET PI TO HSL SEC A/C 347707-00602340029392</v>
      </c>
      <c r="H1186" s="2" t="s">
        <v>1911</v>
      </c>
      <c r="I1186" t="s">
        <v>361</v>
      </c>
      <c r="J1186" t="s">
        <v>1896</v>
      </c>
    </row>
    <row r="1187" spans="1:11" x14ac:dyDescent="0.3">
      <c r="A1187" s="1">
        <v>45689</v>
      </c>
      <c r="B1187" t="s">
        <v>612</v>
      </c>
      <c r="C1187" t="s">
        <v>7</v>
      </c>
      <c r="D1187" s="2">
        <v>390</v>
      </c>
      <c r="E1187" s="2">
        <v>0</v>
      </c>
      <c r="F1187" s="2">
        <v>107223.6</v>
      </c>
      <c r="G1187" s="2" t="str">
        <f t="shared" si="18"/>
        <v>01-02-2025 UPI/P2M/479813190657/Shubham Filling Stati/Patrol/YES BANK LIMITED YBS</v>
      </c>
      <c r="H1187" s="2" t="s">
        <v>1911</v>
      </c>
      <c r="I1187" t="s">
        <v>356</v>
      </c>
      <c r="J1187" t="s">
        <v>1895</v>
      </c>
    </row>
    <row r="1188" spans="1:11" x14ac:dyDescent="0.3">
      <c r="A1188" s="1">
        <v>45689</v>
      </c>
      <c r="B1188" t="s">
        <v>613</v>
      </c>
      <c r="C1188" t="s">
        <v>7</v>
      </c>
      <c r="D1188" s="2">
        <v>9971</v>
      </c>
      <c r="E1188" s="2">
        <v>0</v>
      </c>
      <c r="F1188" s="2">
        <v>97252.6</v>
      </c>
      <c r="G1188" s="2" t="str">
        <f t="shared" si="18"/>
        <v>01-02-2025 UPI/P2M/768768289981/Safexpress           /Paymen/YES BANK LIMITED YBS</v>
      </c>
      <c r="H1188" s="2" t="s">
        <v>1911</v>
      </c>
      <c r="I1188" t="s">
        <v>1928</v>
      </c>
      <c r="J1188" t="s">
        <v>1895</v>
      </c>
    </row>
    <row r="1189" spans="1:11" x14ac:dyDescent="0.3">
      <c r="A1189" s="1">
        <v>45689</v>
      </c>
      <c r="B1189" t="s">
        <v>614</v>
      </c>
      <c r="C1189" t="s">
        <v>7</v>
      </c>
      <c r="D1189" s="2">
        <v>53000</v>
      </c>
      <c r="E1189" s="2">
        <v>0</v>
      </c>
      <c r="F1189" s="2">
        <v>44252.6</v>
      </c>
      <c r="G1189" s="2" t="str">
        <f t="shared" si="18"/>
        <v>01-02-2025 UPI/P2M/791517319758/ABHINDANCLOTHMERCHANT/Cloth/YES BANK LIMITED YBS</v>
      </c>
      <c r="H1189" s="2" t="s">
        <v>1911</v>
      </c>
      <c r="I1189" t="s">
        <v>1925</v>
      </c>
      <c r="J1189" t="s">
        <v>1895</v>
      </c>
    </row>
    <row r="1190" spans="1:11" x14ac:dyDescent="0.3">
      <c r="A1190" s="1">
        <v>45690</v>
      </c>
      <c r="B1190" t="s">
        <v>615</v>
      </c>
      <c r="C1190" t="s">
        <v>7</v>
      </c>
      <c r="D1190" s="2">
        <v>1145.2</v>
      </c>
      <c r="E1190" s="2">
        <v>0</v>
      </c>
      <c r="F1190" s="2">
        <v>43107.4</v>
      </c>
      <c r="G1190" s="2" t="str">
        <f t="shared" si="18"/>
        <v>02-02-2025 UPI/P2M/142375254738/Reliance BP Mobility /Paymen/YES BANK LIMITED YBS</v>
      </c>
      <c r="H1190" s="2" t="s">
        <v>1911</v>
      </c>
      <c r="I1190" t="s">
        <v>356</v>
      </c>
      <c r="J1190" t="s">
        <v>1895</v>
      </c>
    </row>
    <row r="1191" spans="1:11" x14ac:dyDescent="0.3">
      <c r="A1191" s="1">
        <v>45691</v>
      </c>
      <c r="B1191" t="s">
        <v>616</v>
      </c>
      <c r="C1191" t="s">
        <v>7</v>
      </c>
      <c r="D1191" s="2">
        <v>0</v>
      </c>
      <c r="E1191" s="2">
        <v>100000</v>
      </c>
      <c r="F1191" s="2">
        <v>143107.4</v>
      </c>
      <c r="G1191" s="2" t="str">
        <f t="shared" si="18"/>
        <v>03-02-2025 NEFT/HDFCH00039019500/AJAY KUMAR GUPTA/HDFC BANK/0001Transfer from Axis</v>
      </c>
      <c r="H1191" s="2" t="s">
        <v>1911</v>
      </c>
      <c r="I1191" t="s">
        <v>1908</v>
      </c>
      <c r="J1191" t="s">
        <v>1895</v>
      </c>
      <c r="K1191" t="s">
        <v>1913</v>
      </c>
    </row>
    <row r="1192" spans="1:11" x14ac:dyDescent="0.3">
      <c r="A1192" s="1">
        <v>45691</v>
      </c>
      <c r="B1192" t="s">
        <v>1509</v>
      </c>
      <c r="C1192" t="s">
        <v>1510</v>
      </c>
      <c r="D1192" s="2">
        <v>100000</v>
      </c>
      <c r="E1192" s="2">
        <v>0</v>
      </c>
      <c r="F1192" s="2">
        <v>286574.68</v>
      </c>
      <c r="G1192" s="2" t="str">
        <f t="shared" si="18"/>
        <v>03-02-2025 NEFT DR-UTIB0001538-AJAY KUMAR GUPTA-NETBANK, MUM-HDFCN52025020337913160-TRANSFER FROM AXIS</v>
      </c>
      <c r="H1192" s="2" t="s">
        <v>1911</v>
      </c>
      <c r="I1192" t="s">
        <v>1907</v>
      </c>
      <c r="J1192" t="s">
        <v>1896</v>
      </c>
      <c r="K1192" t="s">
        <v>1913</v>
      </c>
    </row>
    <row r="1193" spans="1:11" x14ac:dyDescent="0.3">
      <c r="A1193" s="1">
        <v>45691</v>
      </c>
      <c r="B1193" t="s">
        <v>1505</v>
      </c>
      <c r="C1193" t="s">
        <v>1506</v>
      </c>
      <c r="D1193" s="2">
        <v>0</v>
      </c>
      <c r="E1193" s="2">
        <v>12694.3</v>
      </c>
      <c r="F1193" s="2">
        <v>386575.68</v>
      </c>
      <c r="G1193" s="2" t="str">
        <f t="shared" si="18"/>
        <v>03-02-2025 FT- 606594741-50200085415108 - HDFC SECURITIES LTD-CLIENT DSCNB A/C -</v>
      </c>
      <c r="H1193" s="2" t="s">
        <v>1911</v>
      </c>
      <c r="I1193" t="s">
        <v>1876</v>
      </c>
      <c r="J1193" t="s">
        <v>1896</v>
      </c>
    </row>
    <row r="1194" spans="1:11" x14ac:dyDescent="0.3">
      <c r="A1194" s="1">
        <v>45691</v>
      </c>
      <c r="B1194" t="s">
        <v>125</v>
      </c>
      <c r="C1194" t="s">
        <v>1511</v>
      </c>
      <c r="D1194" s="2">
        <v>6162.28</v>
      </c>
      <c r="E1194" s="2">
        <v>0</v>
      </c>
      <c r="F1194" s="2">
        <v>280412.40000000002</v>
      </c>
      <c r="G1194" s="2" t="str">
        <f t="shared" si="18"/>
        <v>03-02-2025 NET PI TO HSL SEC A/C 347707-00602340029392</v>
      </c>
      <c r="H1194" s="2" t="s">
        <v>1911</v>
      </c>
      <c r="I1194" t="s">
        <v>361</v>
      </c>
      <c r="J1194" t="s">
        <v>1896</v>
      </c>
    </row>
    <row r="1195" spans="1:11" x14ac:dyDescent="0.3">
      <c r="A1195" s="1">
        <v>45691</v>
      </c>
      <c r="B1195" t="s">
        <v>125</v>
      </c>
      <c r="C1195" t="s">
        <v>1512</v>
      </c>
      <c r="D1195" s="2">
        <v>17788.16</v>
      </c>
      <c r="E1195" s="2">
        <v>0</v>
      </c>
      <c r="F1195" s="2">
        <v>262624.24</v>
      </c>
      <c r="G1195" s="2" t="str">
        <f t="shared" si="18"/>
        <v>03-02-2025 NET PI TO HSL SEC A/C 347707-00602340029392</v>
      </c>
      <c r="H1195" s="2" t="s">
        <v>1911</v>
      </c>
      <c r="I1195" t="s">
        <v>361</v>
      </c>
      <c r="J1195" t="s">
        <v>1896</v>
      </c>
    </row>
    <row r="1196" spans="1:11" x14ac:dyDescent="0.3">
      <c r="A1196" s="1">
        <v>45691</v>
      </c>
      <c r="B1196" t="s">
        <v>1507</v>
      </c>
      <c r="C1196" t="s">
        <v>1508</v>
      </c>
      <c r="D1196" s="2">
        <v>1</v>
      </c>
      <c r="E1196" s="2">
        <v>0</v>
      </c>
      <c r="F1196" s="2">
        <v>386574.68</v>
      </c>
      <c r="G1196" s="2" t="str">
        <f t="shared" si="18"/>
        <v>03-02-2025 UPI-ARCHIT  GUPTA-8668331033@YBL-SBIN0011669-755080999685-PAYMENT FROM PHONE</v>
      </c>
      <c r="H1196" s="2" t="s">
        <v>1911</v>
      </c>
      <c r="I1196" t="s">
        <v>356</v>
      </c>
      <c r="J1196" t="s">
        <v>1896</v>
      </c>
    </row>
    <row r="1197" spans="1:11" x14ac:dyDescent="0.3">
      <c r="A1197" s="1">
        <v>45692</v>
      </c>
      <c r="B1197" t="s">
        <v>125</v>
      </c>
      <c r="C1197" t="s">
        <v>1513</v>
      </c>
      <c r="D1197" s="2">
        <v>295.32</v>
      </c>
      <c r="E1197" s="2">
        <v>0</v>
      </c>
      <c r="F1197" s="2">
        <v>262328.92</v>
      </c>
      <c r="G1197" s="2" t="str">
        <f t="shared" si="18"/>
        <v>04-02-2025 NET PI TO HSL SEC A/C 347707-00602340029392</v>
      </c>
      <c r="H1197" s="2" t="s">
        <v>1911</v>
      </c>
      <c r="I1197" t="s">
        <v>361</v>
      </c>
      <c r="J1197" t="s">
        <v>1896</v>
      </c>
    </row>
    <row r="1198" spans="1:11" x14ac:dyDescent="0.3">
      <c r="A1198" s="1">
        <v>45692</v>
      </c>
      <c r="B1198" t="s">
        <v>125</v>
      </c>
      <c r="C1198" t="s">
        <v>1514</v>
      </c>
      <c r="D1198" s="2">
        <v>12866.08</v>
      </c>
      <c r="E1198" s="2">
        <v>0</v>
      </c>
      <c r="F1198" s="2">
        <v>249462.84</v>
      </c>
      <c r="G1198" s="2" t="str">
        <f t="shared" si="18"/>
        <v>04-02-2025 NET PI TO HSL SEC A/C 347707-00602340029392</v>
      </c>
      <c r="H1198" s="2" t="s">
        <v>1911</v>
      </c>
      <c r="I1198" t="s">
        <v>361</v>
      </c>
      <c r="J1198" t="s">
        <v>1896</v>
      </c>
    </row>
    <row r="1199" spans="1:11" x14ac:dyDescent="0.3">
      <c r="A1199" s="1">
        <v>45692</v>
      </c>
      <c r="B1199" t="s">
        <v>1515</v>
      </c>
      <c r="C1199" t="s">
        <v>1516</v>
      </c>
      <c r="D1199" s="2">
        <v>50000</v>
      </c>
      <c r="E1199" s="2">
        <v>0</v>
      </c>
      <c r="F1199" s="2">
        <v>199462.84</v>
      </c>
      <c r="G1199" s="2" t="str">
        <f t="shared" si="18"/>
        <v>04-02-2025 UPI-ABHINDANCLOTHMERCHAN-Q071476561@YBL-YESB0YBLUPI-333619442621-CLOTH PURCHASED</v>
      </c>
      <c r="H1199" s="2" t="s">
        <v>1911</v>
      </c>
      <c r="I1199" t="s">
        <v>1933</v>
      </c>
      <c r="J1199" t="s">
        <v>1896</v>
      </c>
    </row>
    <row r="1200" spans="1:11" x14ac:dyDescent="0.3">
      <c r="A1200" s="1">
        <v>45693</v>
      </c>
      <c r="B1200" t="s">
        <v>125</v>
      </c>
      <c r="C1200" t="s">
        <v>1517</v>
      </c>
      <c r="D1200" s="2">
        <v>300.49</v>
      </c>
      <c r="E1200" s="2">
        <v>0</v>
      </c>
      <c r="F1200" s="2">
        <v>199162.35</v>
      </c>
      <c r="G1200" s="2" t="str">
        <f t="shared" si="18"/>
        <v>05-02-2025 NET PI TO HSL SEC A/C 347707-00602340029392</v>
      </c>
      <c r="H1200" s="2" t="s">
        <v>1911</v>
      </c>
      <c r="I1200" t="s">
        <v>361</v>
      </c>
      <c r="J1200" t="s">
        <v>1896</v>
      </c>
    </row>
    <row r="1201" spans="1:10" x14ac:dyDescent="0.3">
      <c r="A1201" s="1">
        <v>45693</v>
      </c>
      <c r="B1201" t="s">
        <v>125</v>
      </c>
      <c r="C1201" t="s">
        <v>1518</v>
      </c>
      <c r="D1201" s="2">
        <v>50636.33</v>
      </c>
      <c r="E1201" s="2">
        <v>0</v>
      </c>
      <c r="F1201" s="2">
        <v>148526.01999999999</v>
      </c>
      <c r="G1201" s="2" t="str">
        <f t="shared" si="18"/>
        <v>05-02-2025 NET PI TO HSL SEC A/C 347707-00602340029392</v>
      </c>
      <c r="H1201" s="2" t="s">
        <v>1911</v>
      </c>
      <c r="I1201" t="s">
        <v>361</v>
      </c>
      <c r="J1201" t="s">
        <v>1896</v>
      </c>
    </row>
    <row r="1202" spans="1:10" x14ac:dyDescent="0.3">
      <c r="A1202" s="1">
        <v>45693</v>
      </c>
      <c r="B1202" t="s">
        <v>617</v>
      </c>
      <c r="C1202" t="s">
        <v>7</v>
      </c>
      <c r="D1202" s="2">
        <v>475</v>
      </c>
      <c r="E1202" s="2">
        <v>0</v>
      </c>
      <c r="F1202" s="2">
        <v>142632.4</v>
      </c>
      <c r="G1202" s="2" t="str">
        <f t="shared" si="18"/>
        <v>05-02-2025 UPI/P2A/988445570201/ANITA PRAVIN ASWALE  /Paymen/Punjab National Bank</v>
      </c>
      <c r="H1202" s="2" t="s">
        <v>1911</v>
      </c>
      <c r="I1202" t="s">
        <v>356</v>
      </c>
      <c r="J1202" t="s">
        <v>1895</v>
      </c>
    </row>
    <row r="1203" spans="1:10" x14ac:dyDescent="0.3">
      <c r="A1203" s="1">
        <v>45694</v>
      </c>
      <c r="B1203" t="s">
        <v>1519</v>
      </c>
      <c r="C1203" t="s">
        <v>1520</v>
      </c>
      <c r="D1203" s="2">
        <v>0</v>
      </c>
      <c r="E1203" s="2">
        <v>74689.87</v>
      </c>
      <c r="F1203" s="2">
        <v>223215.89</v>
      </c>
      <c r="G1203" s="2" t="str">
        <f t="shared" si="18"/>
        <v>06-02-2025 FT- 607948138-50200085415108 - HDFC SECURITIES LTD-CLIENT DSCNB A/C -</v>
      </c>
      <c r="H1203" s="2" t="s">
        <v>1911</v>
      </c>
      <c r="I1203" t="s">
        <v>1876</v>
      </c>
      <c r="J1203" t="s">
        <v>1896</v>
      </c>
    </row>
    <row r="1204" spans="1:10" x14ac:dyDescent="0.3">
      <c r="A1204" s="1">
        <v>45694</v>
      </c>
      <c r="B1204" t="s">
        <v>125</v>
      </c>
      <c r="C1204" t="s">
        <v>1521</v>
      </c>
      <c r="D1204" s="2">
        <v>300.83999999999997</v>
      </c>
      <c r="E1204" s="2">
        <v>0</v>
      </c>
      <c r="F1204" s="2">
        <v>222915.05</v>
      </c>
      <c r="G1204" s="2" t="str">
        <f t="shared" si="18"/>
        <v>06-02-2025 NET PI TO HSL SEC A/C 347707-00602340029392</v>
      </c>
      <c r="H1204" s="2" t="s">
        <v>1911</v>
      </c>
      <c r="I1204" t="s">
        <v>361</v>
      </c>
      <c r="J1204" t="s">
        <v>1896</v>
      </c>
    </row>
    <row r="1205" spans="1:10" x14ac:dyDescent="0.3">
      <c r="A1205" s="1">
        <v>45694</v>
      </c>
      <c r="B1205" t="s">
        <v>125</v>
      </c>
      <c r="C1205" t="s">
        <v>1524</v>
      </c>
      <c r="D1205" s="2">
        <v>53403.44</v>
      </c>
      <c r="E1205" s="2">
        <v>0</v>
      </c>
      <c r="F1205" s="2">
        <v>166361.60999999999</v>
      </c>
      <c r="G1205" s="2" t="str">
        <f t="shared" si="18"/>
        <v>06-02-2025 NET PI TO HSL SEC A/C 347707-00602340029392</v>
      </c>
      <c r="H1205" s="2" t="s">
        <v>1911</v>
      </c>
      <c r="I1205" t="s">
        <v>361</v>
      </c>
      <c r="J1205" t="s">
        <v>1896</v>
      </c>
    </row>
    <row r="1206" spans="1:10" x14ac:dyDescent="0.3">
      <c r="A1206" s="1">
        <v>45694</v>
      </c>
      <c r="B1206" t="s">
        <v>618</v>
      </c>
      <c r="C1206" t="s">
        <v>7</v>
      </c>
      <c r="D1206" s="2">
        <v>39000</v>
      </c>
      <c r="E1206" s="2">
        <v>0</v>
      </c>
      <c r="F1206" s="2">
        <v>103632.4</v>
      </c>
      <c r="G1206" s="2" t="str">
        <f t="shared" si="18"/>
        <v>06-02-2025 UPI/P2A/208644801626/SHAM JAGDISHRAM VISHN/Paymen/State Bank Of India</v>
      </c>
      <c r="H1206" s="2" t="s">
        <v>1911</v>
      </c>
      <c r="I1206" t="s">
        <v>1934</v>
      </c>
      <c r="J1206" t="s">
        <v>1895</v>
      </c>
    </row>
    <row r="1207" spans="1:10" x14ac:dyDescent="0.3">
      <c r="A1207" s="1">
        <v>45694</v>
      </c>
      <c r="B1207" t="s">
        <v>1522</v>
      </c>
      <c r="C1207" t="s">
        <v>1523</v>
      </c>
      <c r="D1207" s="2">
        <v>3150</v>
      </c>
      <c r="E1207" s="2">
        <v>0</v>
      </c>
      <c r="F1207" s="2">
        <v>219765.05</v>
      </c>
      <c r="G1207" s="2" t="str">
        <f t="shared" ref="G1207:G1270" si="19">TEXT(A1207,"DD")&amp;"-"&amp;TEXT(A1207,"MM")&amp;"-"&amp;TEXT(A1207,"YYYY")&amp;" "&amp;B1207</f>
        <v>06-02-2025 UPI-SURAJ DILIP KATKADE-8805393241@AXL-SBIN0011669-555655207214-DIESAL</v>
      </c>
      <c r="H1207" s="2" t="s">
        <v>1911</v>
      </c>
      <c r="I1207" t="s">
        <v>356</v>
      </c>
      <c r="J1207" t="s">
        <v>1896</v>
      </c>
    </row>
    <row r="1208" spans="1:10" x14ac:dyDescent="0.3">
      <c r="A1208" s="1">
        <v>45695</v>
      </c>
      <c r="B1208" t="s">
        <v>8</v>
      </c>
      <c r="C1208" t="s">
        <v>7</v>
      </c>
      <c r="D1208" s="2">
        <v>59521.82</v>
      </c>
      <c r="E1208" s="2">
        <v>0</v>
      </c>
      <c r="F1208" s="2">
        <v>44110.58</v>
      </c>
      <c r="G1208" s="2" t="str">
        <f t="shared" si="19"/>
        <v>07-02-2025 BRN-PYMT-CARD-4111460000883615</v>
      </c>
      <c r="H1208" s="2" t="s">
        <v>1911</v>
      </c>
      <c r="I1208" t="s">
        <v>1877</v>
      </c>
      <c r="J1208" t="s">
        <v>1895</v>
      </c>
    </row>
    <row r="1209" spans="1:10" x14ac:dyDescent="0.3">
      <c r="A1209" s="1">
        <v>45695</v>
      </c>
      <c r="B1209" t="s">
        <v>1525</v>
      </c>
      <c r="C1209" t="s">
        <v>1526</v>
      </c>
      <c r="D1209" s="2">
        <v>0</v>
      </c>
      <c r="E1209" s="2">
        <v>33629.800000000003</v>
      </c>
      <c r="F1209" s="2">
        <v>199991.41</v>
      </c>
      <c r="G1209" s="2" t="str">
        <f t="shared" si="19"/>
        <v>07-02-2025 FT- 608352094-50200085415108 - HDFC SECURITIES LTD-CLIENT DSCNB A/C -</v>
      </c>
      <c r="H1209" s="2" t="s">
        <v>1911</v>
      </c>
      <c r="I1209" t="s">
        <v>1876</v>
      </c>
      <c r="J1209" t="s">
        <v>1896</v>
      </c>
    </row>
    <row r="1210" spans="1:10" x14ac:dyDescent="0.3">
      <c r="A1210" s="1">
        <v>45695</v>
      </c>
      <c r="B1210" t="s">
        <v>125</v>
      </c>
      <c r="C1210" t="s">
        <v>1527</v>
      </c>
      <c r="D1210" s="2">
        <v>299.35000000000002</v>
      </c>
      <c r="E1210" s="2">
        <v>0</v>
      </c>
      <c r="F1210" s="2">
        <v>199692.06</v>
      </c>
      <c r="G1210" s="2" t="str">
        <f t="shared" si="19"/>
        <v>07-02-2025 NET PI TO HSL SEC A/C 347707-00602340029392</v>
      </c>
      <c r="H1210" s="2" t="s">
        <v>1911</v>
      </c>
      <c r="I1210" t="s">
        <v>361</v>
      </c>
      <c r="J1210" t="s">
        <v>1896</v>
      </c>
    </row>
    <row r="1211" spans="1:10" x14ac:dyDescent="0.3">
      <c r="A1211" s="1">
        <v>45695</v>
      </c>
      <c r="B1211" t="s">
        <v>125</v>
      </c>
      <c r="C1211" t="s">
        <v>1528</v>
      </c>
      <c r="D1211" s="2">
        <v>2444.31</v>
      </c>
      <c r="E1211" s="2">
        <v>0</v>
      </c>
      <c r="F1211" s="2">
        <v>197247.75</v>
      </c>
      <c r="G1211" s="2" t="str">
        <f t="shared" si="19"/>
        <v>07-02-2025 NET PI TO HSL SEC A/C 347707-00602340029392</v>
      </c>
      <c r="H1211" s="2" t="s">
        <v>1911</v>
      </c>
      <c r="I1211" t="s">
        <v>361</v>
      </c>
      <c r="J1211" t="s">
        <v>1896</v>
      </c>
    </row>
    <row r="1212" spans="1:10" x14ac:dyDescent="0.3">
      <c r="A1212" s="1">
        <v>45696</v>
      </c>
      <c r="B1212" t="s">
        <v>708</v>
      </c>
      <c r="D1212" s="2">
        <v>0</v>
      </c>
      <c r="E1212" s="2">
        <v>118</v>
      </c>
      <c r="F1212" s="2">
        <v>17163</v>
      </c>
      <c r="G1212" s="2" t="str">
        <f t="shared" si="19"/>
        <v>08-02-2025 662113100016699:SBInt.Pd:01-11-2024 to 31-01-2025</v>
      </c>
      <c r="H1212" s="2" t="s">
        <v>1911</v>
      </c>
      <c r="I1212" t="s">
        <v>370</v>
      </c>
      <c r="J1212" t="s">
        <v>1898</v>
      </c>
    </row>
    <row r="1213" spans="1:10" x14ac:dyDescent="0.3">
      <c r="A1213" s="1">
        <v>45697</v>
      </c>
      <c r="B1213" t="s">
        <v>619</v>
      </c>
      <c r="C1213" t="s">
        <v>7</v>
      </c>
      <c r="D1213" s="2">
        <v>260</v>
      </c>
      <c r="E1213" s="2">
        <v>0</v>
      </c>
      <c r="F1213" s="2">
        <v>43850.58</v>
      </c>
      <c r="G1213" s="2" t="str">
        <f t="shared" si="19"/>
        <v>09-02-2025 UPI/P2M/316768219267/Mr Asaram Narayan Dol/Vegita/YES BANK LIMITED YBS</v>
      </c>
      <c r="H1213" s="2" t="s">
        <v>1911</v>
      </c>
      <c r="I1213" t="s">
        <v>356</v>
      </c>
      <c r="J1213" t="s">
        <v>1895</v>
      </c>
    </row>
    <row r="1214" spans="1:10" x14ac:dyDescent="0.3">
      <c r="A1214" s="1">
        <v>45697</v>
      </c>
      <c r="B1214" t="s">
        <v>620</v>
      </c>
      <c r="C1214" t="s">
        <v>7</v>
      </c>
      <c r="D1214" s="2">
        <v>160</v>
      </c>
      <c r="E1214" s="2">
        <v>0</v>
      </c>
      <c r="F1214" s="2">
        <v>43690.58</v>
      </c>
      <c r="G1214" s="2" t="str">
        <f t="shared" si="19"/>
        <v>09-02-2025 UPI/P2M/010237370524/Krishna Sagar        /Dahi/YES BANK LIMITED YBS</v>
      </c>
      <c r="H1214" s="2" t="s">
        <v>1911</v>
      </c>
      <c r="I1214" t="s">
        <v>356</v>
      </c>
      <c r="J1214" t="s">
        <v>1895</v>
      </c>
    </row>
    <row r="1215" spans="1:10" x14ac:dyDescent="0.3">
      <c r="A1215" s="1">
        <v>45697</v>
      </c>
      <c r="B1215" t="s">
        <v>621</v>
      </c>
      <c r="C1215" t="s">
        <v>7</v>
      </c>
      <c r="D1215" s="2">
        <v>80</v>
      </c>
      <c r="E1215" s="2">
        <v>0</v>
      </c>
      <c r="F1215" s="2">
        <v>43610.58</v>
      </c>
      <c r="G1215" s="2" t="str">
        <f t="shared" si="19"/>
        <v>09-02-2025 UPI/P2M/403345810267/SHIVBHOLA VEGETABLE E/Viguta/YES BANK LIMITED YBS</v>
      </c>
      <c r="H1215" s="2" t="s">
        <v>1911</v>
      </c>
      <c r="I1215" t="s">
        <v>356</v>
      </c>
      <c r="J1215" t="s">
        <v>1895</v>
      </c>
    </row>
    <row r="1216" spans="1:10" x14ac:dyDescent="0.3">
      <c r="A1216" s="1">
        <v>45697</v>
      </c>
      <c r="B1216" t="s">
        <v>622</v>
      </c>
      <c r="C1216" t="s">
        <v>7</v>
      </c>
      <c r="D1216" s="2">
        <v>480</v>
      </c>
      <c r="E1216" s="2">
        <v>0</v>
      </c>
      <c r="F1216" s="2">
        <v>43130.58</v>
      </c>
      <c r="G1216" s="2" t="str">
        <f t="shared" si="19"/>
        <v>09-02-2025 UPI/P2M/805752692115/VISHWANATH NIVRUTI VA/Fruits/YES BANK LIMITED YBS</v>
      </c>
      <c r="H1216" s="2" t="s">
        <v>1911</v>
      </c>
      <c r="I1216" t="s">
        <v>356</v>
      </c>
      <c r="J1216" t="s">
        <v>1895</v>
      </c>
    </row>
    <row r="1217" spans="1:11" x14ac:dyDescent="0.3">
      <c r="A1217" s="1">
        <v>45698</v>
      </c>
      <c r="B1217" t="s">
        <v>1534</v>
      </c>
      <c r="C1217" t="s">
        <v>1535</v>
      </c>
      <c r="D1217" s="2">
        <v>0</v>
      </c>
      <c r="E1217" s="2">
        <v>10.5</v>
      </c>
      <c r="F1217" s="2">
        <v>284082.69</v>
      </c>
      <c r="G1217" s="2" t="str">
        <f t="shared" si="19"/>
        <v>10-02-2025 ACH C- SPIL  INT 2024 25-168045</v>
      </c>
      <c r="H1217" s="2" t="s">
        <v>1911</v>
      </c>
      <c r="I1217" t="s">
        <v>367</v>
      </c>
      <c r="J1217" t="s">
        <v>1896</v>
      </c>
    </row>
    <row r="1218" spans="1:11" x14ac:dyDescent="0.3">
      <c r="A1218" s="1">
        <v>45698</v>
      </c>
      <c r="B1218" t="s">
        <v>1529</v>
      </c>
      <c r="C1218" t="s">
        <v>1530</v>
      </c>
      <c r="D1218" s="2">
        <v>0</v>
      </c>
      <c r="E1218" s="2">
        <v>97719.88</v>
      </c>
      <c r="F1218" s="2">
        <v>294967.63</v>
      </c>
      <c r="G1218" s="2" t="str">
        <f t="shared" si="19"/>
        <v>10-02-2025 FT- 608789986-50200085415108 - HDFC SECURITIES LTD-CLIENT DSCNB A/C -</v>
      </c>
      <c r="H1218" s="2" t="s">
        <v>1911</v>
      </c>
      <c r="I1218" t="s">
        <v>1876</v>
      </c>
      <c r="J1218" t="s">
        <v>1896</v>
      </c>
    </row>
    <row r="1219" spans="1:11" x14ac:dyDescent="0.3">
      <c r="A1219" s="1">
        <v>45698</v>
      </c>
      <c r="B1219" t="s">
        <v>125</v>
      </c>
      <c r="C1219" t="s">
        <v>1533</v>
      </c>
      <c r="D1219" s="2">
        <v>895.44</v>
      </c>
      <c r="E1219" s="2">
        <v>0</v>
      </c>
      <c r="F1219" s="2">
        <v>284072.19</v>
      </c>
      <c r="G1219" s="2" t="str">
        <f t="shared" si="19"/>
        <v>10-02-2025 NET PI TO HSL SEC A/C 347707-00602340029392</v>
      </c>
      <c r="H1219" s="2" t="s">
        <v>1911</v>
      </c>
      <c r="I1219" t="s">
        <v>361</v>
      </c>
      <c r="J1219" t="s">
        <v>1896</v>
      </c>
    </row>
    <row r="1220" spans="1:11" x14ac:dyDescent="0.3">
      <c r="A1220" s="1">
        <v>45698</v>
      </c>
      <c r="B1220" t="s">
        <v>1531</v>
      </c>
      <c r="C1220" t="s">
        <v>1532</v>
      </c>
      <c r="D1220" s="2">
        <v>10000</v>
      </c>
      <c r="E1220" s="2">
        <v>0</v>
      </c>
      <c r="F1220" s="2">
        <v>284967.63</v>
      </c>
      <c r="G1220" s="2" t="str">
        <f t="shared" si="19"/>
        <v>10-02-2025 ACH D- TP ACH INDIANESIGN-1715026141</v>
      </c>
      <c r="H1220" s="2" t="s">
        <v>1911</v>
      </c>
      <c r="I1220" t="s">
        <v>1854</v>
      </c>
      <c r="J1220" t="s">
        <v>1896</v>
      </c>
    </row>
    <row r="1221" spans="1:11" x14ac:dyDescent="0.3">
      <c r="A1221" s="1">
        <v>45698</v>
      </c>
      <c r="B1221" t="s">
        <v>623</v>
      </c>
      <c r="C1221" t="s">
        <v>7</v>
      </c>
      <c r="D1221" s="2">
        <v>7000</v>
      </c>
      <c r="E1221" s="2">
        <v>0</v>
      </c>
      <c r="F1221" s="2">
        <v>36130.58</v>
      </c>
      <c r="G1221" s="2" t="str">
        <f t="shared" si="19"/>
        <v>10-02-2025 UPI/P2A/660082192758/KIRTI ANIL NANDODE   /Paymen/State Bank Of India</v>
      </c>
      <c r="H1221" s="2" t="s">
        <v>1911</v>
      </c>
      <c r="I1221" t="s">
        <v>1927</v>
      </c>
      <c r="J1221" t="s">
        <v>1895</v>
      </c>
    </row>
    <row r="1222" spans="1:11" x14ac:dyDescent="0.3">
      <c r="A1222" s="1">
        <v>45699</v>
      </c>
      <c r="B1222" t="s">
        <v>125</v>
      </c>
      <c r="C1222" t="s">
        <v>1536</v>
      </c>
      <c r="D1222" s="2">
        <v>12285.2</v>
      </c>
      <c r="E1222" s="2">
        <v>0</v>
      </c>
      <c r="F1222" s="2">
        <v>271797.49</v>
      </c>
      <c r="G1222" s="2" t="str">
        <f t="shared" si="19"/>
        <v>11-02-2025 NET PI TO HSL SEC A/C 347707-00602340029392</v>
      </c>
      <c r="H1222" s="2" t="s">
        <v>1911</v>
      </c>
      <c r="I1222" t="s">
        <v>361</v>
      </c>
      <c r="J1222" t="s">
        <v>1896</v>
      </c>
    </row>
    <row r="1223" spans="1:11" x14ac:dyDescent="0.3">
      <c r="A1223" s="1">
        <v>45699</v>
      </c>
      <c r="B1223" t="s">
        <v>125</v>
      </c>
      <c r="C1223" t="s">
        <v>1537</v>
      </c>
      <c r="D1223" s="2">
        <v>294.11</v>
      </c>
      <c r="E1223" s="2">
        <v>0</v>
      </c>
      <c r="F1223" s="2">
        <v>271503.38</v>
      </c>
      <c r="G1223" s="2" t="str">
        <f t="shared" si="19"/>
        <v>11-02-2025 NET PI TO HSL SEC A/C 347707-00602340029392</v>
      </c>
      <c r="H1223" s="2" t="s">
        <v>1911</v>
      </c>
      <c r="I1223" t="s">
        <v>361</v>
      </c>
      <c r="J1223" t="s">
        <v>1896</v>
      </c>
    </row>
    <row r="1224" spans="1:11" x14ac:dyDescent="0.3">
      <c r="A1224" s="1">
        <v>45699</v>
      </c>
      <c r="B1224" t="s">
        <v>125</v>
      </c>
      <c r="C1224" t="s">
        <v>1538</v>
      </c>
      <c r="D1224" s="2">
        <v>25519.3</v>
      </c>
      <c r="E1224" s="2">
        <v>0</v>
      </c>
      <c r="F1224" s="2">
        <v>245984.08</v>
      </c>
      <c r="G1224" s="2" t="str">
        <f t="shared" si="19"/>
        <v>11-02-2025 NET PI TO HSL SEC A/C 347707-00602340029392</v>
      </c>
      <c r="H1224" s="2" t="s">
        <v>1911</v>
      </c>
      <c r="I1224" t="s">
        <v>361</v>
      </c>
      <c r="J1224" t="s">
        <v>1896</v>
      </c>
    </row>
    <row r="1225" spans="1:11" x14ac:dyDescent="0.3">
      <c r="A1225" s="1">
        <v>45699</v>
      </c>
      <c r="B1225" t="s">
        <v>624</v>
      </c>
      <c r="C1225" t="s">
        <v>7</v>
      </c>
      <c r="D1225" s="2">
        <v>1500</v>
      </c>
      <c r="E1225" s="2">
        <v>0</v>
      </c>
      <c r="F1225" s="2">
        <v>34630.58</v>
      </c>
      <c r="G1225" s="2" t="str">
        <f t="shared" si="19"/>
        <v>11-02-2025 UPI/P2A/167436098133/ARBAJ  SHAIKH        /Paymen/Kotak Mahindra Bank</v>
      </c>
      <c r="H1225" s="2" t="s">
        <v>1911</v>
      </c>
      <c r="I1225" t="s">
        <v>356</v>
      </c>
      <c r="J1225" t="s">
        <v>1895</v>
      </c>
    </row>
    <row r="1226" spans="1:11" x14ac:dyDescent="0.3">
      <c r="A1226" s="1">
        <v>45699</v>
      </c>
      <c r="B1226" t="s">
        <v>625</v>
      </c>
      <c r="C1226" t="s">
        <v>7</v>
      </c>
      <c r="D1226" s="2">
        <v>2120</v>
      </c>
      <c r="E1226" s="2">
        <v>0</v>
      </c>
      <c r="F1226" s="2">
        <v>32510.58</v>
      </c>
      <c r="G1226" s="2" t="str">
        <f t="shared" si="19"/>
        <v>11-02-2025 UPI/P2A/409533532892/TEJU BAI BADOLIYA    /Car/INDIAN OVERSEAS BANK</v>
      </c>
      <c r="H1226" s="2" t="s">
        <v>1911</v>
      </c>
      <c r="I1226" t="s">
        <v>356</v>
      </c>
      <c r="J1226" t="s">
        <v>1895</v>
      </c>
    </row>
    <row r="1227" spans="1:11" x14ac:dyDescent="0.3">
      <c r="A1227" s="1">
        <v>45700</v>
      </c>
      <c r="B1227" t="s">
        <v>1540</v>
      </c>
      <c r="C1227" t="s">
        <v>1541</v>
      </c>
      <c r="D1227" s="2">
        <v>0</v>
      </c>
      <c r="E1227" s="2">
        <v>820</v>
      </c>
      <c r="F1227" s="2">
        <v>246515.63</v>
      </c>
      <c r="G1227" s="2" t="str">
        <f t="shared" si="19"/>
        <v>12-02-2025 ACH C- HOUSING AND URBAN DE-760694</v>
      </c>
      <c r="H1227" s="2" t="s">
        <v>1911</v>
      </c>
      <c r="I1227" t="s">
        <v>367</v>
      </c>
      <c r="J1227" t="s">
        <v>1896</v>
      </c>
    </row>
    <row r="1228" spans="1:11" x14ac:dyDescent="0.3">
      <c r="A1228" s="1">
        <v>45700</v>
      </c>
      <c r="B1228" t="s">
        <v>125</v>
      </c>
      <c r="C1228" t="s">
        <v>1539</v>
      </c>
      <c r="D1228" s="2">
        <v>288.45</v>
      </c>
      <c r="E1228" s="2">
        <v>0</v>
      </c>
      <c r="F1228" s="2">
        <v>245695.63</v>
      </c>
      <c r="G1228" s="2" t="str">
        <f t="shared" si="19"/>
        <v>12-02-2025 NET PI TO HSL SEC A/C 347707-00602340029392</v>
      </c>
      <c r="H1228" s="2" t="s">
        <v>1911</v>
      </c>
      <c r="I1228" t="s">
        <v>361</v>
      </c>
      <c r="J1228" t="s">
        <v>1896</v>
      </c>
    </row>
    <row r="1229" spans="1:11" x14ac:dyDescent="0.3">
      <c r="A1229" s="1">
        <v>45700</v>
      </c>
      <c r="B1229" t="s">
        <v>125</v>
      </c>
      <c r="C1229" t="s">
        <v>1542</v>
      </c>
      <c r="D1229" s="2">
        <v>1268.8</v>
      </c>
      <c r="E1229" s="2">
        <v>0</v>
      </c>
      <c r="F1229" s="2">
        <v>245246.83</v>
      </c>
      <c r="G1229" s="2" t="str">
        <f t="shared" si="19"/>
        <v>12-02-2025 NET PI TO HSL SEC A/C 347707-00602340029392</v>
      </c>
      <c r="H1229" s="2" t="s">
        <v>1911</v>
      </c>
      <c r="I1229" t="s">
        <v>361</v>
      </c>
      <c r="J1229" t="s">
        <v>1896</v>
      </c>
    </row>
    <row r="1230" spans="1:11" x14ac:dyDescent="0.3">
      <c r="A1230" s="1">
        <v>45700</v>
      </c>
      <c r="B1230" t="s">
        <v>626</v>
      </c>
      <c r="C1230" t="s">
        <v>7</v>
      </c>
      <c r="D1230" s="2">
        <v>5000</v>
      </c>
      <c r="E1230" s="2">
        <v>0</v>
      </c>
      <c r="F1230" s="2">
        <v>27510.58</v>
      </c>
      <c r="G1230" s="2" t="str">
        <f t="shared" si="19"/>
        <v>12-02-2025 UPI/P2A/182422888841/SANTOSH KUMAR        /Paymen/Punjab National Bank</v>
      </c>
      <c r="H1230" s="2" t="s">
        <v>1911</v>
      </c>
      <c r="I1230" t="s">
        <v>356</v>
      </c>
      <c r="J1230" t="s">
        <v>1895</v>
      </c>
    </row>
    <row r="1231" spans="1:11" x14ac:dyDescent="0.3">
      <c r="A1231" s="1">
        <v>45701</v>
      </c>
      <c r="B1231" t="s">
        <v>1547</v>
      </c>
      <c r="C1231" t="s">
        <v>1548</v>
      </c>
      <c r="D1231" s="2">
        <v>0</v>
      </c>
      <c r="E1231" s="2">
        <v>100000</v>
      </c>
      <c r="F1231" s="2">
        <v>127303.14</v>
      </c>
      <c r="G1231" s="2" t="str">
        <f t="shared" si="19"/>
        <v>13-02-2025 NEFT CR-SBIN0011669-MR  AJAY  KUMAR  GUPTA-AJAY KUMAR GUPTA-SBINN52025021308456920</v>
      </c>
      <c r="H1231" s="2" t="s">
        <v>1911</v>
      </c>
      <c r="I1231" t="s">
        <v>1906</v>
      </c>
      <c r="J1231" t="s">
        <v>1896</v>
      </c>
      <c r="K1231" t="s">
        <v>1913</v>
      </c>
    </row>
    <row r="1232" spans="1:11" x14ac:dyDescent="0.3">
      <c r="A1232" s="1">
        <v>45701</v>
      </c>
      <c r="B1232" t="s">
        <v>752</v>
      </c>
      <c r="C1232" t="s">
        <v>791</v>
      </c>
      <c r="D1232" s="2">
        <v>15000</v>
      </c>
      <c r="E1232" s="2">
        <v>0</v>
      </c>
      <c r="F1232" s="2">
        <v>-220811.37</v>
      </c>
      <c r="G1232" s="2" t="str">
        <f t="shared" si="19"/>
        <v>13-02-2025    TO TRANSFER-INB Payment towards loan repayment--</v>
      </c>
      <c r="H1232" s="2" t="s">
        <v>1911</v>
      </c>
      <c r="I1232" t="s">
        <v>1842</v>
      </c>
      <c r="J1232" t="s">
        <v>1897</v>
      </c>
      <c r="K1232" t="s">
        <v>1913</v>
      </c>
    </row>
    <row r="1233" spans="1:11" x14ac:dyDescent="0.3">
      <c r="A1233" s="1">
        <v>45701</v>
      </c>
      <c r="B1233" t="s">
        <v>792</v>
      </c>
      <c r="C1233" t="s">
        <v>793</v>
      </c>
      <c r="D1233" s="2">
        <v>100000</v>
      </c>
      <c r="E1233" s="2">
        <v>0</v>
      </c>
      <c r="F1233" s="2">
        <v>-320811.37</v>
      </c>
      <c r="G1233" s="2" t="str">
        <f t="shared" si="19"/>
        <v>13-02-2025    TO TRANSFER-INB NEFT UTR NO: SBIN125044291463--Ajay Kumar Gupta</v>
      </c>
      <c r="H1233" s="2" t="s">
        <v>1911</v>
      </c>
      <c r="I1233" t="s">
        <v>1908</v>
      </c>
      <c r="J1233" t="s">
        <v>1897</v>
      </c>
      <c r="K1233" t="s">
        <v>1913</v>
      </c>
    </row>
    <row r="1234" spans="1:11" x14ac:dyDescent="0.3">
      <c r="A1234" s="1">
        <v>45701</v>
      </c>
      <c r="B1234" t="s">
        <v>758</v>
      </c>
      <c r="C1234" t="s">
        <v>1821</v>
      </c>
      <c r="D1234" s="2">
        <v>0</v>
      </c>
      <c r="E1234" s="2">
        <v>15000</v>
      </c>
      <c r="F1234" s="2">
        <v>31559.360000000001</v>
      </c>
      <c r="G1234" s="2" t="str">
        <f t="shared" si="19"/>
        <v>13-02-2025    BY TRANSFER-INB Payment towards loan repayment--</v>
      </c>
      <c r="H1234" s="2" t="s">
        <v>1911</v>
      </c>
      <c r="I1234" t="s">
        <v>1906</v>
      </c>
      <c r="J1234" t="s">
        <v>1899</v>
      </c>
      <c r="K1234" t="s">
        <v>1913</v>
      </c>
    </row>
    <row r="1235" spans="1:11" x14ac:dyDescent="0.3">
      <c r="A1235" s="1">
        <v>45701</v>
      </c>
      <c r="B1235" t="s">
        <v>125</v>
      </c>
      <c r="C1235" t="s">
        <v>1545</v>
      </c>
      <c r="D1235" s="2">
        <v>289.92</v>
      </c>
      <c r="E1235" s="2">
        <v>0</v>
      </c>
      <c r="F1235" s="2">
        <v>44956.91</v>
      </c>
      <c r="G1235" s="2" t="str">
        <f t="shared" si="19"/>
        <v>13-02-2025 NET PI TO HSL SEC A/C 347707-00602340029392</v>
      </c>
      <c r="H1235" s="2" t="s">
        <v>1911</v>
      </c>
      <c r="I1235" t="s">
        <v>361</v>
      </c>
      <c r="J1235" t="s">
        <v>1896</v>
      </c>
    </row>
    <row r="1236" spans="1:11" x14ac:dyDescent="0.3">
      <c r="A1236" s="1">
        <v>45701</v>
      </c>
      <c r="B1236" t="s">
        <v>125</v>
      </c>
      <c r="C1236" t="s">
        <v>1546</v>
      </c>
      <c r="D1236" s="2">
        <v>17653.77</v>
      </c>
      <c r="E1236" s="2">
        <v>0</v>
      </c>
      <c r="F1236" s="2">
        <v>27303.14</v>
      </c>
      <c r="G1236" s="2" t="str">
        <f t="shared" si="19"/>
        <v>13-02-2025 NET PI TO HSL SEC A/C 347707-00602340029392</v>
      </c>
      <c r="H1236" s="2" t="s">
        <v>1911</v>
      </c>
      <c r="I1236" t="s">
        <v>361</v>
      </c>
      <c r="J1236" t="s">
        <v>1896</v>
      </c>
    </row>
    <row r="1237" spans="1:11" x14ac:dyDescent="0.3">
      <c r="A1237" s="1">
        <v>45701</v>
      </c>
      <c r="B1237" t="s">
        <v>1543</v>
      </c>
      <c r="C1237" t="s">
        <v>1544</v>
      </c>
      <c r="D1237" s="2">
        <v>200000</v>
      </c>
      <c r="E1237" s="2">
        <v>0</v>
      </c>
      <c r="F1237" s="2">
        <v>45246.83</v>
      </c>
      <c r="G1237" s="2" t="str">
        <f t="shared" si="19"/>
        <v>13-02-2025 NEFT DR-ICIC0006879-PRABHULAL SHARMA HALWAI AND CATERS-NETBANK, MUM-HDFCN52025021360441967-FOOD PAYMENT</v>
      </c>
      <c r="H1237" s="2" t="s">
        <v>1911</v>
      </c>
      <c r="I1237" t="s">
        <v>1939</v>
      </c>
      <c r="J1237" t="s">
        <v>1896</v>
      </c>
    </row>
    <row r="1238" spans="1:11" x14ac:dyDescent="0.3">
      <c r="A1238" s="1">
        <v>45701</v>
      </c>
      <c r="B1238" t="s">
        <v>1822</v>
      </c>
      <c r="C1238" t="s">
        <v>1823</v>
      </c>
      <c r="D1238" s="2">
        <v>0</v>
      </c>
      <c r="E1238" s="2">
        <v>200000</v>
      </c>
      <c r="F1238" s="2">
        <v>231559.36</v>
      </c>
      <c r="G1238" s="2" t="str">
        <f t="shared" si="19"/>
        <v>13-02-2025    BY TRANSFER-NEFT*UBIN0905666*001897480327*AJAY KUMAR GUPTA HUF--</v>
      </c>
      <c r="H1238" s="2" t="s">
        <v>1911</v>
      </c>
      <c r="I1238" t="s">
        <v>1840</v>
      </c>
      <c r="J1238" t="s">
        <v>1899</v>
      </c>
    </row>
    <row r="1239" spans="1:11" x14ac:dyDescent="0.3">
      <c r="A1239" s="1">
        <v>45702</v>
      </c>
      <c r="B1239" t="s">
        <v>750</v>
      </c>
      <c r="C1239" t="s">
        <v>751</v>
      </c>
      <c r="D1239" s="2">
        <v>0</v>
      </c>
      <c r="E1239" s="2">
        <v>26595</v>
      </c>
      <c r="F1239" s="2">
        <v>-294216.37</v>
      </c>
      <c r="G1239" s="2" t="str">
        <f t="shared" si="19"/>
        <v>14-02-2025    DEPOSIT TRANSFER---</v>
      </c>
      <c r="H1239" s="2" t="s">
        <v>1911</v>
      </c>
      <c r="I1239" t="s">
        <v>1842</v>
      </c>
      <c r="J1239" t="s">
        <v>1897</v>
      </c>
      <c r="K1239" t="s">
        <v>1913</v>
      </c>
    </row>
    <row r="1240" spans="1:11" x14ac:dyDescent="0.3">
      <c r="A1240" s="1">
        <v>45702</v>
      </c>
      <c r="B1240" t="s">
        <v>758</v>
      </c>
      <c r="C1240" t="s">
        <v>794</v>
      </c>
      <c r="D1240" s="2">
        <v>0</v>
      </c>
      <c r="E1240" s="2">
        <v>175000</v>
      </c>
      <c r="F1240" s="2">
        <v>-119216.37</v>
      </c>
      <c r="G1240" s="2" t="str">
        <f t="shared" si="19"/>
        <v>14-02-2025    BY TRANSFER-INB Payment towards loan repayment--</v>
      </c>
      <c r="H1240" s="2" t="s">
        <v>1911</v>
      </c>
      <c r="I1240" t="s">
        <v>1842</v>
      </c>
      <c r="J1240" t="s">
        <v>1897</v>
      </c>
      <c r="K1240" t="s">
        <v>1913</v>
      </c>
    </row>
    <row r="1241" spans="1:11" x14ac:dyDescent="0.3">
      <c r="A1241" s="1">
        <v>45702</v>
      </c>
      <c r="B1241" t="s">
        <v>1734</v>
      </c>
      <c r="C1241" t="s">
        <v>1735</v>
      </c>
      <c r="D1241" s="2">
        <v>26595</v>
      </c>
      <c r="E1241" s="2">
        <v>0</v>
      </c>
      <c r="F1241" s="2">
        <v>204964.36</v>
      </c>
      <c r="G1241" s="2" t="str">
        <f t="shared" si="19"/>
        <v>14-02-2025    WITHDRAWAL TRANSFER---</v>
      </c>
      <c r="H1241" s="2" t="s">
        <v>1911</v>
      </c>
      <c r="I1241" t="s">
        <v>1906</v>
      </c>
      <c r="J1241" t="s">
        <v>1899</v>
      </c>
      <c r="K1241" t="s">
        <v>1913</v>
      </c>
    </row>
    <row r="1242" spans="1:11" x14ac:dyDescent="0.3">
      <c r="A1242" s="1">
        <v>45702</v>
      </c>
      <c r="B1242" t="s">
        <v>752</v>
      </c>
      <c r="C1242" t="s">
        <v>1824</v>
      </c>
      <c r="D1242" s="2">
        <v>175000</v>
      </c>
      <c r="E1242" s="2">
        <v>0</v>
      </c>
      <c r="F1242" s="2">
        <v>29964.36</v>
      </c>
      <c r="G1242" s="2" t="str">
        <f t="shared" si="19"/>
        <v>14-02-2025    TO TRANSFER-INB Payment towards loan repayment--</v>
      </c>
      <c r="H1242" s="2" t="s">
        <v>1911</v>
      </c>
      <c r="I1242" t="s">
        <v>1906</v>
      </c>
      <c r="J1242" t="s">
        <v>1899</v>
      </c>
      <c r="K1242" t="s">
        <v>1913</v>
      </c>
    </row>
    <row r="1243" spans="1:11" x14ac:dyDescent="0.3">
      <c r="A1243" s="1">
        <v>45702</v>
      </c>
      <c r="B1243" t="s">
        <v>1554</v>
      </c>
      <c r="C1243" t="s">
        <v>140</v>
      </c>
      <c r="D1243" s="2">
        <v>365.8</v>
      </c>
      <c r="E1243" s="2">
        <v>0</v>
      </c>
      <c r="F1243" s="2">
        <v>126938.71</v>
      </c>
      <c r="G1243" s="2" t="str">
        <f t="shared" si="19"/>
        <v>14-02-2025 DEPOSITORY CHARGES JAN25 - 40227714</v>
      </c>
      <c r="H1243" s="2" t="s">
        <v>1911</v>
      </c>
      <c r="I1243" t="s">
        <v>362</v>
      </c>
      <c r="J1243" t="s">
        <v>1896</v>
      </c>
    </row>
    <row r="1244" spans="1:11" x14ac:dyDescent="0.3">
      <c r="A1244" s="1">
        <v>45702</v>
      </c>
      <c r="B1244" t="s">
        <v>1549</v>
      </c>
      <c r="C1244" t="s">
        <v>1550</v>
      </c>
      <c r="D1244" s="2">
        <v>0</v>
      </c>
      <c r="E1244" s="2">
        <v>210</v>
      </c>
      <c r="F1244" s="2">
        <v>127513.14</v>
      </c>
      <c r="G1244" s="2" t="str">
        <f t="shared" si="19"/>
        <v>14-02-2025 DR LAL PATHLDIV24 2500000000000000008370</v>
      </c>
      <c r="H1244" s="2" t="s">
        <v>1911</v>
      </c>
      <c r="I1244" t="s">
        <v>367</v>
      </c>
      <c r="J1244" t="s">
        <v>1896</v>
      </c>
    </row>
    <row r="1245" spans="1:11" x14ac:dyDescent="0.3">
      <c r="A1245" s="1">
        <v>45702</v>
      </c>
      <c r="B1245" t="s">
        <v>1551</v>
      </c>
      <c r="C1245" t="s">
        <v>1552</v>
      </c>
      <c r="D1245" s="2">
        <v>0</v>
      </c>
      <c r="E1245" s="2">
        <v>75</v>
      </c>
      <c r="F1245" s="2">
        <v>127588.14</v>
      </c>
      <c r="G1245" s="2" t="str">
        <f t="shared" si="19"/>
        <v>14-02-2025 1402017408 MOTILAL OSWAL FIN INT DIV2425</v>
      </c>
      <c r="H1245" s="2" t="s">
        <v>1911</v>
      </c>
      <c r="I1245" t="s">
        <v>367</v>
      </c>
      <c r="J1245" t="s">
        <v>1896</v>
      </c>
    </row>
    <row r="1246" spans="1:11" x14ac:dyDescent="0.3">
      <c r="A1246" s="1">
        <v>45702</v>
      </c>
      <c r="B1246" t="s">
        <v>125</v>
      </c>
      <c r="C1246" t="s">
        <v>1553</v>
      </c>
      <c r="D1246" s="2">
        <v>283.63</v>
      </c>
      <c r="E1246" s="2">
        <v>0</v>
      </c>
      <c r="F1246" s="2">
        <v>127304.51</v>
      </c>
      <c r="G1246" s="2" t="str">
        <f t="shared" si="19"/>
        <v>14-02-2025 NET PI TO HSL SEC A/C 347707-00602340029392</v>
      </c>
      <c r="H1246" s="2" t="s">
        <v>1911</v>
      </c>
      <c r="I1246" t="s">
        <v>361</v>
      </c>
      <c r="J1246" t="s">
        <v>1896</v>
      </c>
    </row>
    <row r="1247" spans="1:11" x14ac:dyDescent="0.3">
      <c r="A1247" s="1">
        <v>45702</v>
      </c>
      <c r="B1247" t="s">
        <v>125</v>
      </c>
      <c r="C1247" t="s">
        <v>1557</v>
      </c>
      <c r="D1247" s="2">
        <v>12389.92</v>
      </c>
      <c r="E1247" s="2">
        <v>0</v>
      </c>
      <c r="F1247" s="2">
        <v>14548.79</v>
      </c>
      <c r="G1247" s="2" t="str">
        <f t="shared" si="19"/>
        <v>14-02-2025 NET PI TO HSL SEC A/C 347707-00602340029392</v>
      </c>
      <c r="H1247" s="2" t="s">
        <v>1911</v>
      </c>
      <c r="I1247" t="s">
        <v>361</v>
      </c>
      <c r="J1247" t="s">
        <v>1896</v>
      </c>
    </row>
    <row r="1248" spans="1:11" x14ac:dyDescent="0.3">
      <c r="A1248" s="1">
        <v>45702</v>
      </c>
      <c r="B1248" t="s">
        <v>1555</v>
      </c>
      <c r="C1248" t="s">
        <v>1556</v>
      </c>
      <c r="D1248" s="2">
        <v>100000</v>
      </c>
      <c r="E1248" s="2">
        <v>0</v>
      </c>
      <c r="F1248" s="2">
        <v>26938.71</v>
      </c>
      <c r="G1248" s="2" t="str">
        <f t="shared" si="19"/>
        <v>14-02-2025 NEFT DR-ICIC0006879-PRABHULAL SHARMA HALWAI AND CATERS-NETBANK, MUM-HDFCN52025021463104183-FOOD EXP MARRIAGE</v>
      </c>
      <c r="H1248" s="2" t="s">
        <v>1911</v>
      </c>
      <c r="I1248" t="s">
        <v>1939</v>
      </c>
      <c r="J1248" t="s">
        <v>1896</v>
      </c>
    </row>
    <row r="1249" spans="1:10" x14ac:dyDescent="0.3">
      <c r="A1249" s="1">
        <v>45705</v>
      </c>
      <c r="B1249" t="s">
        <v>1561</v>
      </c>
      <c r="C1249" t="s">
        <v>1562</v>
      </c>
      <c r="D1249" s="2">
        <v>0</v>
      </c>
      <c r="E1249" s="2">
        <v>462.5</v>
      </c>
      <c r="F1249" s="2">
        <v>4128.51</v>
      </c>
      <c r="G1249" s="2" t="str">
        <f t="shared" si="19"/>
        <v>17-02-2025 ACH C- SHRIRAM.FINLTD I2DV2-STFIN3004764</v>
      </c>
      <c r="H1249" s="2" t="s">
        <v>1911</v>
      </c>
      <c r="I1249" t="s">
        <v>367</v>
      </c>
      <c r="J1249" t="s">
        <v>1896</v>
      </c>
    </row>
    <row r="1250" spans="1:10" x14ac:dyDescent="0.3">
      <c r="A1250" s="1">
        <v>45705</v>
      </c>
      <c r="B1250" t="s">
        <v>125</v>
      </c>
      <c r="C1250" t="s">
        <v>1560</v>
      </c>
      <c r="D1250" s="2">
        <v>882.78</v>
      </c>
      <c r="E1250" s="2">
        <v>0</v>
      </c>
      <c r="F1250" s="2">
        <v>3666.01</v>
      </c>
      <c r="G1250" s="2" t="str">
        <f t="shared" si="19"/>
        <v>17-02-2025 NET PI TO HSL SEC A/C 347707-00602340029392</v>
      </c>
      <c r="H1250" s="2" t="s">
        <v>1911</v>
      </c>
      <c r="I1250" t="s">
        <v>361</v>
      </c>
      <c r="J1250" t="s">
        <v>1896</v>
      </c>
    </row>
    <row r="1251" spans="1:10" x14ac:dyDescent="0.3">
      <c r="A1251" s="1">
        <v>45705</v>
      </c>
      <c r="B1251" t="s">
        <v>1558</v>
      </c>
      <c r="C1251" t="s">
        <v>1559</v>
      </c>
      <c r="D1251" s="2">
        <v>10000</v>
      </c>
      <c r="E1251" s="2">
        <v>0</v>
      </c>
      <c r="F1251" s="2">
        <v>4548.79</v>
      </c>
      <c r="G1251" s="2" t="str">
        <f t="shared" si="19"/>
        <v>17-02-2025 ACH D- TP ACH INDIANESIGN-1720685375</v>
      </c>
      <c r="H1251" s="2" t="s">
        <v>1911</v>
      </c>
      <c r="I1251" t="s">
        <v>1854</v>
      </c>
      <c r="J1251" t="s">
        <v>1896</v>
      </c>
    </row>
    <row r="1252" spans="1:10" x14ac:dyDescent="0.3">
      <c r="A1252" s="1">
        <v>45705</v>
      </c>
      <c r="B1252" t="s">
        <v>627</v>
      </c>
      <c r="C1252" t="s">
        <v>7</v>
      </c>
      <c r="D1252" s="2">
        <v>30</v>
      </c>
      <c r="E1252" s="2">
        <v>0</v>
      </c>
      <c r="F1252" s="2">
        <v>27480.58</v>
      </c>
      <c r="G1252" s="2" t="str">
        <f t="shared" si="19"/>
        <v>17-02-2025 UPI/P2M/232961964074/S UYIKKATTAN         /Idli/YES BANK LIMITED YBS</v>
      </c>
      <c r="H1252" s="2" t="s">
        <v>1911</v>
      </c>
      <c r="I1252" t="s">
        <v>356</v>
      </c>
      <c r="J1252" t="s">
        <v>1895</v>
      </c>
    </row>
    <row r="1253" spans="1:10" x14ac:dyDescent="0.3">
      <c r="A1253" s="1">
        <v>45706</v>
      </c>
      <c r="B1253" t="s">
        <v>1567</v>
      </c>
      <c r="C1253" t="s">
        <v>1568</v>
      </c>
      <c r="D1253" s="2">
        <v>0</v>
      </c>
      <c r="E1253" s="2">
        <v>52.5</v>
      </c>
      <c r="F1253" s="2">
        <v>57236.86</v>
      </c>
      <c r="G1253" s="2" t="str">
        <f t="shared" si="19"/>
        <v>18-02-2025 ACH C- NTPC-2-INT DIV 24-25-NT3101250171</v>
      </c>
      <c r="H1253" s="2" t="s">
        <v>1911</v>
      </c>
      <c r="I1253" t="s">
        <v>367</v>
      </c>
      <c r="J1253" t="s">
        <v>1896</v>
      </c>
    </row>
    <row r="1254" spans="1:10" x14ac:dyDescent="0.3">
      <c r="A1254" s="1">
        <v>45706</v>
      </c>
      <c r="B1254" t="s">
        <v>1563</v>
      </c>
      <c r="C1254" t="s">
        <v>1564</v>
      </c>
      <c r="D1254" s="2">
        <v>0</v>
      </c>
      <c r="E1254" s="2">
        <v>40187.160000000003</v>
      </c>
      <c r="F1254" s="2">
        <v>44315.67</v>
      </c>
      <c r="G1254" s="2" t="str">
        <f t="shared" si="19"/>
        <v>18-02-2025 FT- 611615340-50200085415108 - HDFC SECURITIES LTD-CLIENT DSCNB A/C -</v>
      </c>
      <c r="H1254" s="2" t="s">
        <v>1911</v>
      </c>
      <c r="I1254" t="s">
        <v>1876</v>
      </c>
      <c r="J1254" t="s">
        <v>1896</v>
      </c>
    </row>
    <row r="1255" spans="1:10" x14ac:dyDescent="0.3">
      <c r="A1255" s="1">
        <v>45706</v>
      </c>
      <c r="B1255" t="s">
        <v>1565</v>
      </c>
      <c r="C1255" t="s">
        <v>1566</v>
      </c>
      <c r="D1255" s="2">
        <v>0</v>
      </c>
      <c r="E1255" s="2">
        <v>12868.69</v>
      </c>
      <c r="F1255" s="2">
        <v>57184.36</v>
      </c>
      <c r="G1255" s="2" t="str">
        <f t="shared" si="19"/>
        <v>18-02-2025 FT- 611592707-50200085415108 - HDFC SECURITIES LTD-CLIENT DSCNB A/C -</v>
      </c>
      <c r="H1255" s="2" t="s">
        <v>1911</v>
      </c>
      <c r="I1255" t="s">
        <v>1876</v>
      </c>
      <c r="J1255" t="s">
        <v>1896</v>
      </c>
    </row>
    <row r="1256" spans="1:10" x14ac:dyDescent="0.3">
      <c r="A1256" s="1">
        <v>45706</v>
      </c>
      <c r="B1256" t="s">
        <v>125</v>
      </c>
      <c r="C1256" t="s">
        <v>1569</v>
      </c>
      <c r="D1256" s="2">
        <v>294.26</v>
      </c>
      <c r="E1256" s="2">
        <v>0</v>
      </c>
      <c r="F1256" s="2">
        <v>56942.6</v>
      </c>
      <c r="G1256" s="2" t="str">
        <f t="shared" si="19"/>
        <v>18-02-2025 NET PI TO HSL SEC A/C 347707-00602340029392</v>
      </c>
      <c r="H1256" s="2" t="s">
        <v>1911</v>
      </c>
      <c r="I1256" t="s">
        <v>361</v>
      </c>
      <c r="J1256" t="s">
        <v>1896</v>
      </c>
    </row>
    <row r="1257" spans="1:10" x14ac:dyDescent="0.3">
      <c r="A1257" s="1">
        <v>45706</v>
      </c>
      <c r="B1257" t="s">
        <v>125</v>
      </c>
      <c r="C1257" t="s">
        <v>1570</v>
      </c>
      <c r="D1257" s="2">
        <v>1157.9000000000001</v>
      </c>
      <c r="E1257" s="2">
        <v>0</v>
      </c>
      <c r="F1257" s="2">
        <v>55784.7</v>
      </c>
      <c r="G1257" s="2" t="str">
        <f t="shared" si="19"/>
        <v>18-02-2025 NET PI TO HSL SEC A/C 347707-00602340029392</v>
      </c>
      <c r="H1257" s="2" t="s">
        <v>1911</v>
      </c>
      <c r="I1257" t="s">
        <v>361</v>
      </c>
      <c r="J1257" t="s">
        <v>1896</v>
      </c>
    </row>
    <row r="1258" spans="1:10" x14ac:dyDescent="0.3">
      <c r="A1258" s="1">
        <v>45707</v>
      </c>
      <c r="B1258" t="s">
        <v>125</v>
      </c>
      <c r="C1258" t="s">
        <v>1571</v>
      </c>
      <c r="D1258" s="2">
        <v>283.58999999999997</v>
      </c>
      <c r="E1258" s="2">
        <v>0</v>
      </c>
      <c r="F1258" s="2">
        <v>55501.11</v>
      </c>
      <c r="G1258" s="2" t="str">
        <f t="shared" si="19"/>
        <v>19-02-2025 NET PI TO HSL SEC A/C 347707-00602340029392</v>
      </c>
      <c r="H1258" s="2" t="s">
        <v>1911</v>
      </c>
      <c r="I1258" t="s">
        <v>361</v>
      </c>
      <c r="J1258" t="s">
        <v>1896</v>
      </c>
    </row>
    <row r="1259" spans="1:10" x14ac:dyDescent="0.3">
      <c r="A1259" s="1">
        <v>45707</v>
      </c>
      <c r="B1259" t="s">
        <v>628</v>
      </c>
      <c r="C1259" t="s">
        <v>7</v>
      </c>
      <c r="D1259" s="2">
        <v>160</v>
      </c>
      <c r="E1259" s="2">
        <v>0</v>
      </c>
      <c r="F1259" s="2">
        <v>27320.58</v>
      </c>
      <c r="G1259" s="2" t="str">
        <f t="shared" si="19"/>
        <v>19-02-2025 UPI/P2M/310540453643/KUNAL EAKNATH MAKUNE /Milk/YES BANK LIMITED YBS</v>
      </c>
      <c r="H1259" s="2" t="s">
        <v>1911</v>
      </c>
      <c r="I1259" t="s">
        <v>356</v>
      </c>
      <c r="J1259" t="s">
        <v>1895</v>
      </c>
    </row>
    <row r="1260" spans="1:10" x14ac:dyDescent="0.3">
      <c r="A1260" s="1">
        <v>45708</v>
      </c>
      <c r="B1260" t="s">
        <v>1572</v>
      </c>
      <c r="C1260" t="s">
        <v>1573</v>
      </c>
      <c r="D1260" s="2">
        <v>0</v>
      </c>
      <c r="E1260" s="2">
        <v>39010.29</v>
      </c>
      <c r="F1260" s="2">
        <v>94511.4</v>
      </c>
      <c r="G1260" s="2" t="str">
        <f t="shared" si="19"/>
        <v>20-02-2025 FT- 612419130-50200085415108 - HDFC SECURITIES LTD-CLIENT DSCNB A/C -</v>
      </c>
      <c r="H1260" s="2" t="s">
        <v>1911</v>
      </c>
      <c r="I1260" t="s">
        <v>1876</v>
      </c>
      <c r="J1260" t="s">
        <v>1896</v>
      </c>
    </row>
    <row r="1261" spans="1:10" x14ac:dyDescent="0.3">
      <c r="A1261" s="1">
        <v>45708</v>
      </c>
      <c r="B1261" t="s">
        <v>1574</v>
      </c>
      <c r="C1261" t="s">
        <v>1575</v>
      </c>
      <c r="D1261" s="2">
        <v>0</v>
      </c>
      <c r="E1261" s="2">
        <v>7037.97</v>
      </c>
      <c r="F1261" s="2">
        <v>101549.37</v>
      </c>
      <c r="G1261" s="2" t="str">
        <f t="shared" si="19"/>
        <v>20-02-2025 FT- 612379894-50200085415108 - HDFC SECURITIES LTD-CLIENT DSCNB A/C -</v>
      </c>
      <c r="H1261" s="2" t="s">
        <v>1911</v>
      </c>
      <c r="I1261" t="s">
        <v>1876</v>
      </c>
      <c r="J1261" t="s">
        <v>1896</v>
      </c>
    </row>
    <row r="1262" spans="1:10" x14ac:dyDescent="0.3">
      <c r="A1262" s="1">
        <v>45708</v>
      </c>
      <c r="B1262" t="s">
        <v>125</v>
      </c>
      <c r="C1262" t="s">
        <v>1578</v>
      </c>
      <c r="D1262" s="2">
        <v>283.58999999999997</v>
      </c>
      <c r="E1262" s="2">
        <v>0</v>
      </c>
      <c r="F1262" s="2">
        <v>91265.78</v>
      </c>
      <c r="G1262" s="2" t="str">
        <f t="shared" si="19"/>
        <v>20-02-2025 NET PI TO HSL SEC A/C 347707-00602340029392</v>
      </c>
      <c r="H1262" s="2" t="s">
        <v>1911</v>
      </c>
      <c r="I1262" t="s">
        <v>361</v>
      </c>
      <c r="J1262" t="s">
        <v>1896</v>
      </c>
    </row>
    <row r="1263" spans="1:10" x14ac:dyDescent="0.3">
      <c r="A1263" s="1">
        <v>45708</v>
      </c>
      <c r="B1263" t="s">
        <v>1576</v>
      </c>
      <c r="C1263" t="s">
        <v>1577</v>
      </c>
      <c r="D1263" s="2">
        <v>10000</v>
      </c>
      <c r="E1263" s="2">
        <v>0</v>
      </c>
      <c r="F1263" s="2">
        <v>91549.37</v>
      </c>
      <c r="G1263" s="2" t="str">
        <f t="shared" si="19"/>
        <v>20-02-2025 ACH D- TP ACH INDIANESIGN-1722902216</v>
      </c>
      <c r="H1263" s="2" t="s">
        <v>1911</v>
      </c>
      <c r="I1263" t="s">
        <v>1854</v>
      </c>
      <c r="J1263" t="s">
        <v>1896</v>
      </c>
    </row>
    <row r="1264" spans="1:10" x14ac:dyDescent="0.3">
      <c r="A1264" s="1">
        <v>45708</v>
      </c>
      <c r="B1264" t="s">
        <v>795</v>
      </c>
      <c r="C1264" t="s">
        <v>796</v>
      </c>
      <c r="D1264" s="2">
        <v>100000</v>
      </c>
      <c r="E1264" s="2">
        <v>0</v>
      </c>
      <c r="F1264" s="2">
        <v>-219216.37</v>
      </c>
      <c r="G1264" s="2" t="str">
        <f t="shared" si="19"/>
        <v>20-02-2025    TO TRANSFER-INB borrow--</v>
      </c>
      <c r="H1264" s="2" t="s">
        <v>1911</v>
      </c>
      <c r="I1264" t="s">
        <v>1852</v>
      </c>
      <c r="J1264" t="s">
        <v>1897</v>
      </c>
    </row>
    <row r="1265" spans="1:11" x14ac:dyDescent="0.3">
      <c r="A1265" s="1">
        <v>45709</v>
      </c>
      <c r="B1265" t="s">
        <v>1579</v>
      </c>
      <c r="C1265" t="s">
        <v>1580</v>
      </c>
      <c r="D1265" s="2">
        <v>0</v>
      </c>
      <c r="E1265" s="2">
        <v>25497.89</v>
      </c>
      <c r="F1265" s="2">
        <v>116763.67</v>
      </c>
      <c r="G1265" s="2" t="str">
        <f t="shared" si="19"/>
        <v>21-02-2025 FT- 612779762-50200085415108 - HDFC SECURITIES LTD-CLIENT DSCNB A/C -</v>
      </c>
      <c r="H1265" s="2" t="s">
        <v>1911</v>
      </c>
      <c r="I1265" t="s">
        <v>1876</v>
      </c>
      <c r="J1265" t="s">
        <v>1896</v>
      </c>
    </row>
    <row r="1266" spans="1:11" x14ac:dyDescent="0.3">
      <c r="A1266" s="1">
        <v>45709</v>
      </c>
      <c r="B1266" t="s">
        <v>125</v>
      </c>
      <c r="C1266" t="s">
        <v>1581</v>
      </c>
      <c r="D1266" s="2">
        <v>286.08999999999997</v>
      </c>
      <c r="E1266" s="2">
        <v>0</v>
      </c>
      <c r="F1266" s="2">
        <v>116477.58</v>
      </c>
      <c r="G1266" s="2" t="str">
        <f t="shared" si="19"/>
        <v>21-02-2025 NET PI TO HSL SEC A/C 347707-00602340029392</v>
      </c>
      <c r="H1266" s="2" t="s">
        <v>1911</v>
      </c>
      <c r="I1266" t="s">
        <v>361</v>
      </c>
      <c r="J1266" t="s">
        <v>1896</v>
      </c>
    </row>
    <row r="1267" spans="1:11" x14ac:dyDescent="0.3">
      <c r="A1267" s="1">
        <v>45709</v>
      </c>
      <c r="B1267" t="s">
        <v>982</v>
      </c>
      <c r="C1267" t="s">
        <v>1582</v>
      </c>
      <c r="D1267" s="2">
        <v>0</v>
      </c>
      <c r="E1267" s="2">
        <v>1174.31</v>
      </c>
      <c r="F1267" s="2">
        <v>117651.89</v>
      </c>
      <c r="G1267" s="2" t="str">
        <f t="shared" si="19"/>
        <v>21-02-2025 00012050001396HLY INT-IN0020230184</v>
      </c>
      <c r="H1267" s="2" t="s">
        <v>1911</v>
      </c>
      <c r="I1267" t="s">
        <v>369</v>
      </c>
      <c r="J1267" t="s">
        <v>1896</v>
      </c>
    </row>
    <row r="1268" spans="1:11" x14ac:dyDescent="0.3">
      <c r="A1268" s="1">
        <v>45711</v>
      </c>
      <c r="B1268" t="s">
        <v>797</v>
      </c>
      <c r="C1268" t="s">
        <v>798</v>
      </c>
      <c r="D1268" s="2">
        <v>50000</v>
      </c>
      <c r="E1268" s="2">
        <v>0</v>
      </c>
      <c r="F1268" s="2">
        <v>-269216.37</v>
      </c>
      <c r="G1268" s="2" t="str">
        <f t="shared" si="19"/>
        <v>23-02-2025    TO TRANSFER-INB Expenses--</v>
      </c>
      <c r="H1268" s="2" t="s">
        <v>1911</v>
      </c>
      <c r="I1268" t="s">
        <v>1842</v>
      </c>
      <c r="J1268" t="s">
        <v>1897</v>
      </c>
      <c r="K1268" t="s">
        <v>1913</v>
      </c>
    </row>
    <row r="1269" spans="1:11" x14ac:dyDescent="0.3">
      <c r="A1269" s="1">
        <v>45711</v>
      </c>
      <c r="B1269" t="s">
        <v>1825</v>
      </c>
      <c r="C1269" t="s">
        <v>1826</v>
      </c>
      <c r="D1269" s="2">
        <v>0</v>
      </c>
      <c r="E1269" s="2">
        <v>50000</v>
      </c>
      <c r="F1269" s="2">
        <v>79964.36</v>
      </c>
      <c r="G1269" s="2" t="str">
        <f t="shared" si="19"/>
        <v>23-02-2025    BY TRANSFER-INB Expenses--</v>
      </c>
      <c r="H1269" s="2" t="s">
        <v>1911</v>
      </c>
      <c r="I1269" t="s">
        <v>1906</v>
      </c>
      <c r="J1269" t="s">
        <v>1899</v>
      </c>
      <c r="K1269" t="s">
        <v>1913</v>
      </c>
    </row>
    <row r="1270" spans="1:11" x14ac:dyDescent="0.3">
      <c r="A1270" s="1">
        <v>45711</v>
      </c>
      <c r="B1270" t="s">
        <v>1744</v>
      </c>
      <c r="C1270" t="s">
        <v>1827</v>
      </c>
      <c r="D1270" s="2">
        <v>46787</v>
      </c>
      <c r="E1270" s="2">
        <v>0</v>
      </c>
      <c r="F1270" s="2">
        <v>33177.360000000001</v>
      </c>
      <c r="G1270" s="2" t="str">
        <f t="shared" si="19"/>
        <v>23-02-2025    TO TRANSFER-INB SBICARD FOR BILLDESK      SBICARD Payments--</v>
      </c>
      <c r="H1270" s="2" t="s">
        <v>1911</v>
      </c>
      <c r="I1270" t="s">
        <v>1838</v>
      </c>
      <c r="J1270" t="s">
        <v>1899</v>
      </c>
    </row>
    <row r="1271" spans="1:11" x14ac:dyDescent="0.3">
      <c r="A1271" s="1">
        <v>45711</v>
      </c>
      <c r="B1271" t="s">
        <v>630</v>
      </c>
      <c r="C1271" t="s">
        <v>7</v>
      </c>
      <c r="D1271" s="2">
        <v>1440</v>
      </c>
      <c r="E1271" s="2">
        <v>0</v>
      </c>
      <c r="F1271" s="2">
        <v>25860.58</v>
      </c>
      <c r="G1271" s="2" t="str">
        <f t="shared" ref="G1271:G1334" si="20">TEXT(A1271,"DD")&amp;"-"&amp;TEXT(A1271,"MM")&amp;"-"&amp;TEXT(A1271,"YYYY")&amp;" "&amp;B1271</f>
        <v>23-02-2025 NBSM/94289804/Maha Electricity(BILLDESK)/</v>
      </c>
      <c r="H1271" s="2" t="s">
        <v>1911</v>
      </c>
      <c r="I1271" t="s">
        <v>357</v>
      </c>
      <c r="J1271" t="s">
        <v>1895</v>
      </c>
    </row>
    <row r="1272" spans="1:11" x14ac:dyDescent="0.3">
      <c r="A1272" s="1">
        <v>45711</v>
      </c>
      <c r="B1272" t="s">
        <v>629</v>
      </c>
      <c r="C1272" t="s">
        <v>7</v>
      </c>
      <c r="D1272" s="2">
        <v>20</v>
      </c>
      <c r="E1272" s="2">
        <v>0</v>
      </c>
      <c r="F1272" s="2">
        <v>27300.58</v>
      </c>
      <c r="G1272" s="2" t="str">
        <f t="shared" si="20"/>
        <v>23-02-2025 UPI/P2M/942850828473/SARITA AJAY GUPTA    /Water/YES BANK LIMITED YBS</v>
      </c>
      <c r="H1272" s="2" t="s">
        <v>1911</v>
      </c>
      <c r="I1272" t="s">
        <v>356</v>
      </c>
      <c r="J1272" t="s">
        <v>1895</v>
      </c>
    </row>
    <row r="1273" spans="1:11" x14ac:dyDescent="0.3">
      <c r="A1273" s="1">
        <v>45712</v>
      </c>
      <c r="B1273" t="s">
        <v>1583</v>
      </c>
      <c r="C1273" t="s">
        <v>1584</v>
      </c>
      <c r="D1273" s="2">
        <v>0</v>
      </c>
      <c r="E1273" s="2">
        <v>9114.42</v>
      </c>
      <c r="F1273" s="2">
        <v>126766.31</v>
      </c>
      <c r="G1273" s="2" t="str">
        <f t="shared" si="20"/>
        <v>24-02-2025 FT- 613199172-50200085415108 - HDFC SECURITIES LTD-CLIENT DSCNB A/C -</v>
      </c>
      <c r="H1273" s="2" t="s">
        <v>1911</v>
      </c>
      <c r="I1273" t="s">
        <v>1876</v>
      </c>
      <c r="J1273" t="s">
        <v>1896</v>
      </c>
    </row>
    <row r="1274" spans="1:11" x14ac:dyDescent="0.3">
      <c r="A1274" s="1">
        <v>45712</v>
      </c>
      <c r="B1274" t="s">
        <v>125</v>
      </c>
      <c r="C1274" t="s">
        <v>1585</v>
      </c>
      <c r="D1274" s="2">
        <v>885.54</v>
      </c>
      <c r="E1274" s="2">
        <v>0</v>
      </c>
      <c r="F1274" s="2">
        <v>125880.77</v>
      </c>
      <c r="G1274" s="2" t="str">
        <f t="shared" si="20"/>
        <v>24-02-2025 NET PI TO HSL SEC A/C 347707-00602340029392</v>
      </c>
      <c r="H1274" s="2" t="s">
        <v>1911</v>
      </c>
      <c r="I1274" t="s">
        <v>361</v>
      </c>
      <c r="J1274" t="s">
        <v>1896</v>
      </c>
    </row>
    <row r="1275" spans="1:11" x14ac:dyDescent="0.3">
      <c r="A1275" s="1">
        <v>45712</v>
      </c>
      <c r="B1275" t="s">
        <v>125</v>
      </c>
      <c r="C1275" t="s">
        <v>1586</v>
      </c>
      <c r="D1275" s="2">
        <v>12915.07</v>
      </c>
      <c r="E1275" s="2">
        <v>0</v>
      </c>
      <c r="F1275" s="2">
        <v>112965.7</v>
      </c>
      <c r="G1275" s="2" t="str">
        <f t="shared" si="20"/>
        <v>24-02-2025 NET PI TO HSL SEC A/C 347707-00602340029392</v>
      </c>
      <c r="H1275" s="2" t="s">
        <v>1911</v>
      </c>
      <c r="I1275" t="s">
        <v>361</v>
      </c>
      <c r="J1275" t="s">
        <v>1896</v>
      </c>
    </row>
    <row r="1276" spans="1:11" x14ac:dyDescent="0.3">
      <c r="A1276" s="1">
        <v>45712</v>
      </c>
      <c r="B1276" t="s">
        <v>631</v>
      </c>
      <c r="C1276" t="s">
        <v>7</v>
      </c>
      <c r="D1276" s="2">
        <v>105</v>
      </c>
      <c r="E1276" s="2">
        <v>0</v>
      </c>
      <c r="F1276" s="2">
        <v>25755.58</v>
      </c>
      <c r="G1276" s="2" t="str">
        <f t="shared" si="20"/>
        <v>24-02-2025 UPI/P2M/261391481618/AMUL FRESH MART AND  /Atta/YES BANK LIMITED YBS</v>
      </c>
      <c r="H1276" s="2" t="s">
        <v>1911</v>
      </c>
      <c r="I1276" t="s">
        <v>356</v>
      </c>
      <c r="J1276" t="s">
        <v>1895</v>
      </c>
    </row>
    <row r="1277" spans="1:11" x14ac:dyDescent="0.3">
      <c r="A1277" s="1">
        <v>45712</v>
      </c>
      <c r="B1277" t="s">
        <v>632</v>
      </c>
      <c r="C1277" t="s">
        <v>7</v>
      </c>
      <c r="D1277" s="2">
        <v>1000</v>
      </c>
      <c r="E1277" s="2">
        <v>0</v>
      </c>
      <c r="F1277" s="2">
        <v>24755.58</v>
      </c>
      <c r="G1277" s="2" t="str">
        <f t="shared" si="20"/>
        <v>24-02-2025 UPI/P2M/616140693008/APOLLO HOSPITALS ENTE/Dr vis/HDFC BANK LTD</v>
      </c>
      <c r="H1277" s="2" t="s">
        <v>1911</v>
      </c>
      <c r="I1277" t="s">
        <v>356</v>
      </c>
      <c r="J1277" t="s">
        <v>1895</v>
      </c>
    </row>
    <row r="1278" spans="1:11" x14ac:dyDescent="0.3">
      <c r="A1278" s="1">
        <v>45712</v>
      </c>
      <c r="B1278" t="s">
        <v>633</v>
      </c>
      <c r="C1278" t="s">
        <v>7</v>
      </c>
      <c r="D1278" s="2">
        <v>1154.55</v>
      </c>
      <c r="E1278" s="2">
        <v>0</v>
      </c>
      <c r="F1278" s="2">
        <v>23601.03</v>
      </c>
      <c r="G1278" s="2" t="str">
        <f t="shared" si="20"/>
        <v>24-02-2025 UPI/P2M/157189543512/APOLLO PHARMACIES LIM/Paymen/YES BANK LIMITED YBS</v>
      </c>
      <c r="H1278" s="2" t="s">
        <v>1911</v>
      </c>
      <c r="I1278" t="s">
        <v>356</v>
      </c>
      <c r="J1278" t="s">
        <v>1895</v>
      </c>
    </row>
    <row r="1279" spans="1:11" x14ac:dyDescent="0.3">
      <c r="A1279" s="1">
        <v>45712</v>
      </c>
      <c r="B1279" t="s">
        <v>634</v>
      </c>
      <c r="C1279" t="s">
        <v>7</v>
      </c>
      <c r="D1279" s="2">
        <v>1550</v>
      </c>
      <c r="E1279" s="2">
        <v>0</v>
      </c>
      <c r="F1279" s="2">
        <v>22051.03</v>
      </c>
      <c r="G1279" s="2" t="str">
        <f t="shared" si="20"/>
        <v>24-02-2025 UPI/P2M/518859246573/NEW NILESH MEDICAL AN/Dr bhi/YES BANK LIMITED YBS</v>
      </c>
      <c r="H1279" s="2" t="s">
        <v>1911</v>
      </c>
      <c r="I1279" t="s">
        <v>356</v>
      </c>
      <c r="J1279" t="s">
        <v>1895</v>
      </c>
    </row>
    <row r="1280" spans="1:11" x14ac:dyDescent="0.3">
      <c r="A1280" s="1">
        <v>45713</v>
      </c>
      <c r="B1280" t="s">
        <v>125</v>
      </c>
      <c r="C1280" t="s">
        <v>1587</v>
      </c>
      <c r="D1280" s="2">
        <v>293.82</v>
      </c>
      <c r="E1280" s="2">
        <v>0</v>
      </c>
      <c r="F1280" s="2">
        <v>112671.88</v>
      </c>
      <c r="G1280" s="2" t="str">
        <f t="shared" si="20"/>
        <v>25-02-2025 NET PI TO HSL SEC A/C 347707-00602340029392</v>
      </c>
      <c r="H1280" s="2" t="s">
        <v>1911</v>
      </c>
      <c r="I1280" t="s">
        <v>361</v>
      </c>
      <c r="J1280" t="s">
        <v>1896</v>
      </c>
    </row>
    <row r="1281" spans="1:10" x14ac:dyDescent="0.3">
      <c r="A1281" s="1">
        <v>45713</v>
      </c>
      <c r="B1281" t="s">
        <v>635</v>
      </c>
      <c r="C1281" t="s">
        <v>7</v>
      </c>
      <c r="D1281" s="2">
        <v>5</v>
      </c>
      <c r="E1281" s="2">
        <v>0</v>
      </c>
      <c r="F1281" s="2">
        <v>22046.03</v>
      </c>
      <c r="G1281" s="2" t="str">
        <f t="shared" si="20"/>
        <v>25-02-2025 UPI/P2M/432597447159/SAJID NABIYAR KHAN   /Photoc/YES BANK LIMITED YBS</v>
      </c>
      <c r="H1281" s="2" t="s">
        <v>1911</v>
      </c>
      <c r="I1281" t="s">
        <v>356</v>
      </c>
      <c r="J1281" t="s">
        <v>1895</v>
      </c>
    </row>
    <row r="1282" spans="1:10" x14ac:dyDescent="0.3">
      <c r="A1282" s="1">
        <v>45713</v>
      </c>
      <c r="B1282" t="s">
        <v>636</v>
      </c>
      <c r="C1282" t="s">
        <v>7</v>
      </c>
      <c r="D1282" s="2">
        <v>7</v>
      </c>
      <c r="E1282" s="2">
        <v>0</v>
      </c>
      <c r="F1282" s="2">
        <v>22039.03</v>
      </c>
      <c r="G1282" s="2" t="str">
        <f t="shared" si="20"/>
        <v>25-02-2025 UPI/P2M/095557910791/SAJID NABIYAR KHAN   /Photoc/YES BANK LIMITED YBS</v>
      </c>
      <c r="H1282" s="2" t="s">
        <v>1911</v>
      </c>
      <c r="I1282" t="s">
        <v>356</v>
      </c>
      <c r="J1282" t="s">
        <v>1895</v>
      </c>
    </row>
    <row r="1283" spans="1:10" x14ac:dyDescent="0.3">
      <c r="A1283" s="1">
        <v>45714</v>
      </c>
      <c r="B1283" t="s">
        <v>125</v>
      </c>
      <c r="C1283" t="s">
        <v>1588</v>
      </c>
      <c r="D1283" s="2">
        <v>9616.15</v>
      </c>
      <c r="E1283" s="2">
        <v>0</v>
      </c>
      <c r="F1283" s="2">
        <v>103055.73</v>
      </c>
      <c r="G1283" s="2" t="str">
        <f t="shared" si="20"/>
        <v>26-02-2025 NET PI TO HSL SEC A/C 347707-00602340029392</v>
      </c>
      <c r="H1283" s="2" t="s">
        <v>1911</v>
      </c>
      <c r="I1283" t="s">
        <v>361</v>
      </c>
      <c r="J1283" t="s">
        <v>1896</v>
      </c>
    </row>
    <row r="1284" spans="1:10" x14ac:dyDescent="0.3">
      <c r="A1284" s="1">
        <v>45715</v>
      </c>
      <c r="B1284" t="s">
        <v>125</v>
      </c>
      <c r="C1284" t="s">
        <v>1589</v>
      </c>
      <c r="D1284" s="2">
        <v>580.79999999999995</v>
      </c>
      <c r="E1284" s="2">
        <v>0</v>
      </c>
      <c r="F1284" s="2">
        <v>102474.93</v>
      </c>
      <c r="G1284" s="2" t="str">
        <f t="shared" si="20"/>
        <v>27-02-2025 NET PI TO HSL SEC A/C 347707-00602340029392</v>
      </c>
      <c r="H1284" s="2" t="s">
        <v>1911</v>
      </c>
      <c r="I1284" t="s">
        <v>361</v>
      </c>
      <c r="J1284" t="s">
        <v>1896</v>
      </c>
    </row>
    <row r="1285" spans="1:10" x14ac:dyDescent="0.3">
      <c r="A1285" s="1">
        <v>45715</v>
      </c>
      <c r="B1285" t="s">
        <v>125</v>
      </c>
      <c r="C1285" t="s">
        <v>1590</v>
      </c>
      <c r="D1285" s="2">
        <v>35481.760000000002</v>
      </c>
      <c r="E1285" s="2">
        <v>0</v>
      </c>
      <c r="F1285" s="2">
        <v>66993.17</v>
      </c>
      <c r="G1285" s="2" t="str">
        <f t="shared" si="20"/>
        <v>27-02-2025 NET PI TO HSL SEC A/C 347707-00602340029392</v>
      </c>
      <c r="H1285" s="2" t="s">
        <v>1911</v>
      </c>
      <c r="I1285" t="s">
        <v>361</v>
      </c>
      <c r="J1285" t="s">
        <v>1896</v>
      </c>
    </row>
    <row r="1286" spans="1:10" x14ac:dyDescent="0.3">
      <c r="A1286" s="1">
        <v>45715</v>
      </c>
      <c r="B1286" t="s">
        <v>637</v>
      </c>
      <c r="C1286" t="s">
        <v>7</v>
      </c>
      <c r="D1286" s="2">
        <v>155</v>
      </c>
      <c r="E1286" s="2">
        <v>0</v>
      </c>
      <c r="F1286" s="2">
        <v>21884.03</v>
      </c>
      <c r="G1286" s="2" t="str">
        <f t="shared" si="20"/>
        <v>27-02-2025 UPI/P2A/963095578840/DINESH KUMAR J       /Harwar/BANK OF BARODA</v>
      </c>
      <c r="H1286" s="2" t="s">
        <v>1911</v>
      </c>
      <c r="I1286" t="s">
        <v>356</v>
      </c>
      <c r="J1286" t="s">
        <v>1895</v>
      </c>
    </row>
    <row r="1287" spans="1:10" x14ac:dyDescent="0.3">
      <c r="A1287" s="1">
        <v>45715</v>
      </c>
      <c r="B1287" t="s">
        <v>638</v>
      </c>
      <c r="C1287" t="s">
        <v>7</v>
      </c>
      <c r="D1287" s="2">
        <v>2650</v>
      </c>
      <c r="E1287" s="2">
        <v>0</v>
      </c>
      <c r="F1287" s="2">
        <v>19234.03</v>
      </c>
      <c r="G1287" s="2" t="str">
        <f t="shared" si="20"/>
        <v>27-02-2025 UPI/P2M/834643330451/New Prakash Home appl/Gas ch/YES BANK LIMITED YBS</v>
      </c>
      <c r="H1287" s="2" t="s">
        <v>1911</v>
      </c>
      <c r="I1287" t="s">
        <v>356</v>
      </c>
      <c r="J1287" t="s">
        <v>1895</v>
      </c>
    </row>
    <row r="1288" spans="1:10" x14ac:dyDescent="0.3">
      <c r="A1288" s="1">
        <v>45716</v>
      </c>
      <c r="B1288" t="s">
        <v>754</v>
      </c>
      <c r="D1288" s="2">
        <v>1686</v>
      </c>
      <c r="E1288" s="2">
        <v>0</v>
      </c>
      <c r="F1288" s="2">
        <v>-270902.37</v>
      </c>
      <c r="G1288" s="2" t="str">
        <f t="shared" si="20"/>
        <v>28-02-2025    DEBIT INTEREST---</v>
      </c>
      <c r="H1288" s="2" t="s">
        <v>1911</v>
      </c>
      <c r="I1288" t="s">
        <v>1915</v>
      </c>
      <c r="J1288" t="s">
        <v>1897</v>
      </c>
    </row>
    <row r="1289" spans="1:10" x14ac:dyDescent="0.3">
      <c r="A1289" s="1">
        <v>45716</v>
      </c>
      <c r="B1289" t="s">
        <v>1594</v>
      </c>
      <c r="C1289" t="s">
        <v>1595</v>
      </c>
      <c r="D1289" s="2">
        <v>0</v>
      </c>
      <c r="E1289" s="2">
        <v>360</v>
      </c>
      <c r="F1289" s="2">
        <v>47071.53</v>
      </c>
      <c r="G1289" s="2" t="str">
        <f t="shared" si="20"/>
        <v>28-02-2025 ACH C- APOLLO HOS IDIV2025-AHLIN30047640</v>
      </c>
      <c r="H1289" s="2" t="s">
        <v>1911</v>
      </c>
      <c r="I1289" t="s">
        <v>367</v>
      </c>
      <c r="J1289" t="s">
        <v>1896</v>
      </c>
    </row>
    <row r="1290" spans="1:10" x14ac:dyDescent="0.3">
      <c r="A1290" s="1">
        <v>45716</v>
      </c>
      <c r="B1290" t="s">
        <v>125</v>
      </c>
      <c r="C1290" t="s">
        <v>1593</v>
      </c>
      <c r="D1290" s="2">
        <v>281.64</v>
      </c>
      <c r="E1290" s="2">
        <v>0</v>
      </c>
      <c r="F1290" s="2">
        <v>46711.53</v>
      </c>
      <c r="G1290" s="2" t="str">
        <f t="shared" si="20"/>
        <v>28-02-2025 NET PI TO HSL SEC A/C 347707-00602340029392</v>
      </c>
      <c r="H1290" s="2" t="s">
        <v>1911</v>
      </c>
      <c r="I1290" t="s">
        <v>361</v>
      </c>
      <c r="J1290" t="s">
        <v>1896</v>
      </c>
    </row>
    <row r="1291" spans="1:10" x14ac:dyDescent="0.3">
      <c r="A1291" s="1">
        <v>45716</v>
      </c>
      <c r="B1291" t="s">
        <v>1591</v>
      </c>
      <c r="C1291" t="s">
        <v>1592</v>
      </c>
      <c r="D1291" s="2">
        <v>20000</v>
      </c>
      <c r="E1291" s="2">
        <v>0</v>
      </c>
      <c r="F1291" s="2">
        <v>46993.17</v>
      </c>
      <c r="G1291" s="2" t="str">
        <f t="shared" si="20"/>
        <v>28-02-2025 50100542230922-TPT-BORROW BY ARCHIT-ARCHIT GUPTA</v>
      </c>
      <c r="H1291" s="2" t="s">
        <v>1911</v>
      </c>
      <c r="I1291" t="s">
        <v>368</v>
      </c>
      <c r="J1291" t="s">
        <v>1896</v>
      </c>
    </row>
    <row r="1292" spans="1:10" x14ac:dyDescent="0.3">
      <c r="A1292" s="1">
        <v>45716</v>
      </c>
      <c r="B1292" t="s">
        <v>1022</v>
      </c>
      <c r="C1292" t="s">
        <v>1596</v>
      </c>
      <c r="D1292" s="2">
        <v>0</v>
      </c>
      <c r="E1292" s="2">
        <v>584.66</v>
      </c>
      <c r="F1292" s="2">
        <v>47656.19</v>
      </c>
      <c r="G1292" s="2" t="str">
        <f t="shared" si="20"/>
        <v>28-02-2025 00012050001396HLY INT-IN0020220078</v>
      </c>
      <c r="H1292" s="2" t="s">
        <v>1911</v>
      </c>
      <c r="I1292" t="s">
        <v>369</v>
      </c>
      <c r="J1292" t="s">
        <v>1896</v>
      </c>
    </row>
    <row r="1293" spans="1:10" x14ac:dyDescent="0.3">
      <c r="A1293" s="1">
        <v>45717</v>
      </c>
      <c r="B1293" t="s">
        <v>125</v>
      </c>
      <c r="C1293" t="s">
        <v>1597</v>
      </c>
      <c r="D1293" s="2">
        <v>18598.099999999999</v>
      </c>
      <c r="E1293" s="2">
        <v>0</v>
      </c>
      <c r="F1293" s="2">
        <v>29058.09</v>
      </c>
      <c r="G1293" s="2" t="str">
        <f t="shared" si="20"/>
        <v>01-03-2025 NET PI TO HSL SEC A/C 347707-00602340029392</v>
      </c>
      <c r="H1293" s="2" t="s">
        <v>1911</v>
      </c>
      <c r="I1293" t="s">
        <v>361</v>
      </c>
      <c r="J1293" t="s">
        <v>1896</v>
      </c>
    </row>
    <row r="1294" spans="1:10" x14ac:dyDescent="0.3">
      <c r="A1294" s="1">
        <v>45717</v>
      </c>
      <c r="B1294" t="s">
        <v>639</v>
      </c>
      <c r="C1294" t="s">
        <v>7</v>
      </c>
      <c r="D1294" s="2">
        <v>70</v>
      </c>
      <c r="E1294" s="2">
        <v>0</v>
      </c>
      <c r="F1294" s="2">
        <v>19164.03</v>
      </c>
      <c r="G1294" s="2" t="str">
        <f t="shared" si="20"/>
        <v>01-03-2025 UPI/P2M/885276156241/SRI KRISHNA ENTERPRIS/Vada/YES BANK LIMITED YBS</v>
      </c>
      <c r="H1294" s="2" t="s">
        <v>1911</v>
      </c>
      <c r="I1294" t="s">
        <v>356</v>
      </c>
      <c r="J1294" t="s">
        <v>1895</v>
      </c>
    </row>
    <row r="1295" spans="1:10" x14ac:dyDescent="0.3">
      <c r="A1295" s="1">
        <v>45717</v>
      </c>
      <c r="B1295" t="s">
        <v>1598</v>
      </c>
      <c r="C1295" t="s">
        <v>1599</v>
      </c>
      <c r="D1295" s="2">
        <v>5000</v>
      </c>
      <c r="E1295" s="2">
        <v>0</v>
      </c>
      <c r="F1295" s="2">
        <v>24058.09</v>
      </c>
      <c r="G1295" s="2" t="str">
        <f t="shared" si="20"/>
        <v>01-03-2025 UPI-ARCHIT GUPTA-ARCHIT4801-1@OKAXIS-UTIB0000115-567135260142-ARCHIT EXPENSES</v>
      </c>
      <c r="H1295" s="2" t="s">
        <v>1911</v>
      </c>
      <c r="I1295" t="s">
        <v>356</v>
      </c>
      <c r="J1295" t="s">
        <v>1896</v>
      </c>
    </row>
    <row r="1296" spans="1:10" x14ac:dyDescent="0.3">
      <c r="A1296" s="1">
        <v>45717</v>
      </c>
      <c r="B1296" t="s">
        <v>1600</v>
      </c>
      <c r="C1296" t="s">
        <v>1601</v>
      </c>
      <c r="D1296" s="2">
        <v>0</v>
      </c>
      <c r="E1296" s="2">
        <v>1700</v>
      </c>
      <c r="F1296" s="2">
        <v>25758.09</v>
      </c>
      <c r="G1296" s="2" t="str">
        <f t="shared" si="20"/>
        <v>01-03-2025 UPI-ARCHIT GUPTA-ARCHIT4801-1@OKAXIS-UTIB0000115-506076580209-UPI</v>
      </c>
      <c r="H1296" s="2" t="s">
        <v>1911</v>
      </c>
      <c r="I1296" t="s">
        <v>356</v>
      </c>
      <c r="J1296" t="s">
        <v>1896</v>
      </c>
    </row>
    <row r="1297" spans="1:11" x14ac:dyDescent="0.3">
      <c r="A1297" s="1">
        <v>45718</v>
      </c>
      <c r="B1297" t="s">
        <v>1602</v>
      </c>
      <c r="C1297" t="s">
        <v>1603</v>
      </c>
      <c r="D1297" s="2">
        <v>0</v>
      </c>
      <c r="E1297" s="2">
        <v>100000</v>
      </c>
      <c r="F1297" s="2">
        <v>125758.09</v>
      </c>
      <c r="G1297" s="2" t="str">
        <f t="shared" si="20"/>
        <v>02-03-2025 NEFT CR-SBIN0011669-MR  AJAY  KUMAR  GUPTA-AJAY KUMAR GUPTA-SBINN52025030238227988</v>
      </c>
      <c r="H1297" s="2" t="s">
        <v>1911</v>
      </c>
      <c r="I1297" t="s">
        <v>1906</v>
      </c>
      <c r="J1297" t="s">
        <v>1896</v>
      </c>
      <c r="K1297" t="s">
        <v>1913</v>
      </c>
    </row>
    <row r="1298" spans="1:11" x14ac:dyDescent="0.3">
      <c r="A1298" s="1">
        <v>45718</v>
      </c>
      <c r="B1298" t="s">
        <v>750</v>
      </c>
      <c r="C1298" t="s">
        <v>751</v>
      </c>
      <c r="D1298" s="2">
        <v>0</v>
      </c>
      <c r="E1298" s="2">
        <v>26595</v>
      </c>
      <c r="F1298" s="2">
        <v>-244307.37</v>
      </c>
      <c r="G1298" s="2" t="str">
        <f t="shared" si="20"/>
        <v>02-03-2025    DEPOSIT TRANSFER---</v>
      </c>
      <c r="H1298" s="2" t="s">
        <v>1911</v>
      </c>
      <c r="I1298" t="s">
        <v>1842</v>
      </c>
      <c r="J1298" t="s">
        <v>1897</v>
      </c>
      <c r="K1298" t="s">
        <v>1913</v>
      </c>
    </row>
    <row r="1299" spans="1:11" x14ac:dyDescent="0.3">
      <c r="A1299" s="1">
        <v>45718</v>
      </c>
      <c r="B1299" t="s">
        <v>799</v>
      </c>
      <c r="C1299" t="s">
        <v>800</v>
      </c>
      <c r="D1299" s="2">
        <v>100000</v>
      </c>
      <c r="E1299" s="2">
        <v>0</v>
      </c>
      <c r="F1299" s="2">
        <v>-344307.37</v>
      </c>
      <c r="G1299" s="2" t="str">
        <f t="shared" si="20"/>
        <v>02-03-2025    TO TRANSFER-INB NEFT UTR NO: SBIN325061523432--Ajay Kumar Gupta</v>
      </c>
      <c r="H1299" s="2" t="s">
        <v>1911</v>
      </c>
      <c r="I1299" t="s">
        <v>1908</v>
      </c>
      <c r="J1299" t="s">
        <v>1897</v>
      </c>
      <c r="K1299" t="s">
        <v>1913</v>
      </c>
    </row>
    <row r="1300" spans="1:11" x14ac:dyDescent="0.3">
      <c r="A1300" s="1">
        <v>45718</v>
      </c>
      <c r="B1300" t="s">
        <v>1734</v>
      </c>
      <c r="C1300" t="s">
        <v>1735</v>
      </c>
      <c r="D1300" s="2">
        <v>26595</v>
      </c>
      <c r="E1300" s="2">
        <v>0</v>
      </c>
      <c r="F1300" s="2">
        <v>6582.36</v>
      </c>
      <c r="G1300" s="2" t="str">
        <f t="shared" si="20"/>
        <v>02-03-2025    WITHDRAWAL TRANSFER---</v>
      </c>
      <c r="H1300" s="2" t="s">
        <v>1911</v>
      </c>
      <c r="I1300" t="s">
        <v>1906</v>
      </c>
      <c r="J1300" t="s">
        <v>1899</v>
      </c>
      <c r="K1300" t="s">
        <v>1913</v>
      </c>
    </row>
    <row r="1301" spans="1:11" x14ac:dyDescent="0.3">
      <c r="A1301" s="1">
        <v>45718</v>
      </c>
      <c r="B1301" t="s">
        <v>1605</v>
      </c>
      <c r="C1301" t="s">
        <v>1606</v>
      </c>
      <c r="D1301" s="2">
        <v>25000</v>
      </c>
      <c r="E1301" s="2">
        <v>0</v>
      </c>
      <c r="F1301" s="2">
        <v>75758.09</v>
      </c>
      <c r="G1301" s="2" t="str">
        <f t="shared" si="20"/>
        <v>02-03-2025 50100128155413-TPT-BORROW FROM AAYUSH-AAYUSH KUMAR GUPTA</v>
      </c>
      <c r="H1301" s="2" t="s">
        <v>1911</v>
      </c>
      <c r="I1301" t="s">
        <v>1857</v>
      </c>
      <c r="J1301" t="s">
        <v>1896</v>
      </c>
    </row>
    <row r="1302" spans="1:11" x14ac:dyDescent="0.3">
      <c r="A1302" s="1">
        <v>45718</v>
      </c>
      <c r="B1302" t="s">
        <v>1607</v>
      </c>
      <c r="C1302" t="s">
        <v>1608</v>
      </c>
      <c r="D1302" s="2">
        <v>25000</v>
      </c>
      <c r="E1302" s="2">
        <v>0</v>
      </c>
      <c r="F1302" s="2">
        <v>50758.09</v>
      </c>
      <c r="G1302" s="2" t="str">
        <f t="shared" si="20"/>
        <v>02-03-2025 50100542230922-TPT-BORROW FROM ARCHIT-ARCHIT GUPTA</v>
      </c>
      <c r="H1302" s="2" t="s">
        <v>1911</v>
      </c>
      <c r="I1302" t="s">
        <v>368</v>
      </c>
      <c r="J1302" t="s">
        <v>1896</v>
      </c>
    </row>
    <row r="1303" spans="1:11" x14ac:dyDescent="0.3">
      <c r="A1303" s="1">
        <v>45718</v>
      </c>
      <c r="B1303" t="s">
        <v>979</v>
      </c>
      <c r="C1303" t="s">
        <v>1604</v>
      </c>
      <c r="D1303" s="2">
        <v>25000</v>
      </c>
      <c r="E1303" s="2">
        <v>0</v>
      </c>
      <c r="F1303" s="2">
        <v>100758.09</v>
      </c>
      <c r="G1303" s="2" t="str">
        <f t="shared" si="20"/>
        <v>02-03-2025 01671000060094-TPT-BORROW FROM SUNITA-SUNITA GUPTA</v>
      </c>
      <c r="H1303" s="2" t="s">
        <v>1911</v>
      </c>
      <c r="I1303" t="s">
        <v>1852</v>
      </c>
      <c r="J1303" t="s">
        <v>1896</v>
      </c>
    </row>
    <row r="1304" spans="1:11" x14ac:dyDescent="0.3">
      <c r="A1304" s="1">
        <v>45719</v>
      </c>
      <c r="B1304" t="s">
        <v>1609</v>
      </c>
      <c r="C1304" t="s">
        <v>1610</v>
      </c>
      <c r="D1304" s="2">
        <v>0</v>
      </c>
      <c r="E1304" s="2">
        <v>600</v>
      </c>
      <c r="F1304" s="2">
        <v>51358.09</v>
      </c>
      <c r="G1304" s="2" t="str">
        <f t="shared" si="20"/>
        <v>03-03-2025 ACH C- ENGINEERS INDIA LIMI-353220</v>
      </c>
      <c r="H1304" s="2" t="s">
        <v>1911</v>
      </c>
      <c r="I1304" t="s">
        <v>367</v>
      </c>
      <c r="J1304" t="s">
        <v>1896</v>
      </c>
    </row>
    <row r="1305" spans="1:11" x14ac:dyDescent="0.3">
      <c r="A1305" s="1">
        <v>45719</v>
      </c>
      <c r="B1305" t="s">
        <v>125</v>
      </c>
      <c r="C1305" t="s">
        <v>1611</v>
      </c>
      <c r="D1305" s="2">
        <v>825.06</v>
      </c>
      <c r="E1305" s="2">
        <v>0</v>
      </c>
      <c r="F1305" s="2">
        <v>50533.03</v>
      </c>
      <c r="G1305" s="2" t="str">
        <f t="shared" si="20"/>
        <v>03-03-2025 NET PI TO HSL SEC A/C 347707-00602340029392</v>
      </c>
      <c r="H1305" s="2" t="s">
        <v>1911</v>
      </c>
      <c r="I1305" t="s">
        <v>361</v>
      </c>
      <c r="J1305" t="s">
        <v>1896</v>
      </c>
    </row>
    <row r="1306" spans="1:11" x14ac:dyDescent="0.3">
      <c r="A1306" s="1">
        <v>45719</v>
      </c>
      <c r="B1306" t="s">
        <v>640</v>
      </c>
      <c r="C1306" t="s">
        <v>7</v>
      </c>
      <c r="D1306" s="2">
        <v>366</v>
      </c>
      <c r="E1306" s="2">
        <v>0</v>
      </c>
      <c r="F1306" s="2">
        <v>18798.03</v>
      </c>
      <c r="G1306" s="2" t="str">
        <f t="shared" si="20"/>
        <v>03-03-2025 UPI/P2M/214106742165/VINAYAKA VEGETABLES  /Vegita/AXIS BANK</v>
      </c>
      <c r="H1306" s="2" t="s">
        <v>1911</v>
      </c>
      <c r="I1306" t="s">
        <v>356</v>
      </c>
      <c r="J1306" t="s">
        <v>1895</v>
      </c>
    </row>
    <row r="1307" spans="1:11" x14ac:dyDescent="0.3">
      <c r="A1307" s="1">
        <v>45719</v>
      </c>
      <c r="B1307" t="s">
        <v>641</v>
      </c>
      <c r="C1307" t="s">
        <v>7</v>
      </c>
      <c r="D1307" s="2">
        <v>300</v>
      </c>
      <c r="E1307" s="2">
        <v>0</v>
      </c>
      <c r="F1307" s="2">
        <v>18498.03</v>
      </c>
      <c r="G1307" s="2" t="str">
        <f t="shared" si="20"/>
        <v>03-03-2025 UPI/P2A/600339130234/ANITA PRAVIN ASWALE  /Paymen/Punjab National Bank</v>
      </c>
      <c r="H1307" s="2" t="s">
        <v>1911</v>
      </c>
      <c r="I1307" t="s">
        <v>356</v>
      </c>
      <c r="J1307" t="s">
        <v>1895</v>
      </c>
    </row>
    <row r="1308" spans="1:11" x14ac:dyDescent="0.3">
      <c r="A1308" s="1">
        <v>45720</v>
      </c>
      <c r="B1308" t="s">
        <v>1612</v>
      </c>
      <c r="C1308" t="s">
        <v>1613</v>
      </c>
      <c r="D1308" s="2">
        <v>0</v>
      </c>
      <c r="E1308" s="2">
        <v>321.93</v>
      </c>
      <c r="F1308" s="2">
        <v>50854.96</v>
      </c>
      <c r="G1308" s="2" t="str">
        <f t="shared" si="20"/>
        <v>04-03-2025 FT- 615553647-50200085415108 - HDFC SECURITIES LTD-CLIENT DSCNB A/C -</v>
      </c>
      <c r="H1308" s="2" t="s">
        <v>1911</v>
      </c>
      <c r="I1308" t="s">
        <v>1876</v>
      </c>
      <c r="J1308" t="s">
        <v>1896</v>
      </c>
    </row>
    <row r="1309" spans="1:11" x14ac:dyDescent="0.3">
      <c r="A1309" s="1">
        <v>45720</v>
      </c>
      <c r="B1309" t="s">
        <v>125</v>
      </c>
      <c r="C1309" t="s">
        <v>1614</v>
      </c>
      <c r="D1309" s="2">
        <v>275.02</v>
      </c>
      <c r="E1309" s="2">
        <v>0</v>
      </c>
      <c r="F1309" s="2">
        <v>50579.94</v>
      </c>
      <c r="G1309" s="2" t="str">
        <f t="shared" si="20"/>
        <v>04-03-2025 NET PI TO HSL SEC A/C 347707-00602340029392</v>
      </c>
      <c r="H1309" s="2" t="s">
        <v>1911</v>
      </c>
      <c r="I1309" t="s">
        <v>361</v>
      </c>
      <c r="J1309" t="s">
        <v>1896</v>
      </c>
    </row>
    <row r="1310" spans="1:11" x14ac:dyDescent="0.3">
      <c r="A1310" s="1">
        <v>45720</v>
      </c>
      <c r="B1310" t="s">
        <v>125</v>
      </c>
      <c r="C1310" t="s">
        <v>1615</v>
      </c>
      <c r="D1310" s="2">
        <v>1613.64</v>
      </c>
      <c r="E1310" s="2">
        <v>0</v>
      </c>
      <c r="F1310" s="2">
        <v>48966.3</v>
      </c>
      <c r="G1310" s="2" t="str">
        <f t="shared" si="20"/>
        <v>04-03-2025 NET PI TO HSL SEC A/C 347707-00602340029392</v>
      </c>
      <c r="H1310" s="2" t="s">
        <v>1911</v>
      </c>
      <c r="I1310" t="s">
        <v>361</v>
      </c>
      <c r="J1310" t="s">
        <v>1896</v>
      </c>
    </row>
    <row r="1311" spans="1:11" x14ac:dyDescent="0.3">
      <c r="A1311" s="1">
        <v>45721</v>
      </c>
      <c r="B1311" t="s">
        <v>1617</v>
      </c>
      <c r="C1311" t="s">
        <v>1618</v>
      </c>
      <c r="D1311" s="2">
        <v>0</v>
      </c>
      <c r="E1311" s="2">
        <v>150000</v>
      </c>
      <c r="F1311" s="2">
        <v>198691.74</v>
      </c>
      <c r="G1311" s="2" t="str">
        <f t="shared" si="20"/>
        <v>05-03-2025 NEFT CR-SBIN0011669-MR  AJAY  KUMAR  GUPTA-AJAY KUMAR GUPTA-SBINN52025030544527008</v>
      </c>
      <c r="H1311" s="2" t="s">
        <v>1911</v>
      </c>
      <c r="I1311" t="s">
        <v>1906</v>
      </c>
      <c r="J1311" t="s">
        <v>1896</v>
      </c>
      <c r="K1311" t="s">
        <v>1913</v>
      </c>
    </row>
    <row r="1312" spans="1:11" x14ac:dyDescent="0.3">
      <c r="A1312" s="1">
        <v>45721</v>
      </c>
      <c r="B1312" t="s">
        <v>801</v>
      </c>
      <c r="C1312" t="s">
        <v>802</v>
      </c>
      <c r="D1312" s="2">
        <v>150000</v>
      </c>
      <c r="E1312" s="2">
        <v>0</v>
      </c>
      <c r="F1312" s="2">
        <v>-494307.37</v>
      </c>
      <c r="G1312" s="2" t="str">
        <f t="shared" si="20"/>
        <v>05-03-2025    TO TRANSFER-INB NEFT UTR NO: SBIN225064656380--Ajay Kumar Gupta</v>
      </c>
      <c r="H1312" s="2" t="s">
        <v>1911</v>
      </c>
      <c r="I1312" t="s">
        <v>1908</v>
      </c>
      <c r="J1312" t="s">
        <v>1897</v>
      </c>
      <c r="K1312" t="s">
        <v>1913</v>
      </c>
    </row>
    <row r="1313" spans="1:10" x14ac:dyDescent="0.3">
      <c r="A1313" s="1">
        <v>45721</v>
      </c>
      <c r="B1313" t="s">
        <v>125</v>
      </c>
      <c r="C1313" t="s">
        <v>1616</v>
      </c>
      <c r="D1313" s="2">
        <v>274.56</v>
      </c>
      <c r="E1313" s="2">
        <v>0</v>
      </c>
      <c r="F1313" s="2">
        <v>48691.74</v>
      </c>
      <c r="G1313" s="2" t="str">
        <f t="shared" si="20"/>
        <v>05-03-2025 NET PI TO HSL SEC A/C 347707-00602340029392</v>
      </c>
      <c r="H1313" s="2" t="s">
        <v>1911</v>
      </c>
      <c r="I1313" t="s">
        <v>361</v>
      </c>
      <c r="J1313" t="s">
        <v>1896</v>
      </c>
    </row>
    <row r="1314" spans="1:10" x14ac:dyDescent="0.3">
      <c r="A1314" s="1">
        <v>45721</v>
      </c>
      <c r="B1314" t="s">
        <v>1619</v>
      </c>
      <c r="C1314" t="s">
        <v>1620</v>
      </c>
      <c r="D1314" s="2">
        <v>150000</v>
      </c>
      <c r="E1314" s="2">
        <v>0</v>
      </c>
      <c r="F1314" s="2">
        <v>48691.74</v>
      </c>
      <c r="G1314" s="2" t="str">
        <f t="shared" si="20"/>
        <v>05-03-2025 50100128155413-TPT-BORROW BY AAYUSH-AAYUSH KUMAR GUPTA</v>
      </c>
      <c r="H1314" s="2" t="s">
        <v>1911</v>
      </c>
      <c r="I1314" t="s">
        <v>1857</v>
      </c>
      <c r="J1314" t="s">
        <v>1896</v>
      </c>
    </row>
    <row r="1315" spans="1:10" x14ac:dyDescent="0.3">
      <c r="A1315" s="1">
        <v>45721</v>
      </c>
      <c r="B1315" t="s">
        <v>642</v>
      </c>
      <c r="C1315" t="s">
        <v>7</v>
      </c>
      <c r="D1315" s="2">
        <v>60</v>
      </c>
      <c r="E1315" s="2">
        <v>0</v>
      </c>
      <c r="F1315" s="2">
        <v>18438.03</v>
      </c>
      <c r="G1315" s="2" t="str">
        <f t="shared" si="20"/>
        <v>05-03-2025 UPI/P2M/873830070242/VISHWANATH SHETTY    /Coffe/YES BANK LIMITED YBS</v>
      </c>
      <c r="H1315" s="2" t="s">
        <v>1911</v>
      </c>
      <c r="I1315" t="s">
        <v>356</v>
      </c>
      <c r="J1315" t="s">
        <v>1895</v>
      </c>
    </row>
    <row r="1316" spans="1:10" x14ac:dyDescent="0.3">
      <c r="A1316" s="1">
        <v>45721</v>
      </c>
      <c r="B1316" t="s">
        <v>643</v>
      </c>
      <c r="C1316" t="s">
        <v>7</v>
      </c>
      <c r="D1316" s="2">
        <v>650</v>
      </c>
      <c r="E1316" s="2">
        <v>0</v>
      </c>
      <c r="F1316" s="2">
        <v>17788.03</v>
      </c>
      <c r="G1316" s="2" t="str">
        <f t="shared" si="20"/>
        <v>05-03-2025 UPI/P2M/162753754107/Mr. MUTHAIYA S       /Biscui/YES BANK LIMITED YBS</v>
      </c>
      <c r="H1316" s="2" t="s">
        <v>1911</v>
      </c>
      <c r="I1316" t="s">
        <v>356</v>
      </c>
      <c r="J1316" t="s">
        <v>1895</v>
      </c>
    </row>
    <row r="1317" spans="1:10" x14ac:dyDescent="0.3">
      <c r="A1317" s="1">
        <v>45722</v>
      </c>
      <c r="B1317" t="s">
        <v>1626</v>
      </c>
      <c r="C1317" t="s">
        <v>1627</v>
      </c>
      <c r="D1317" s="2">
        <v>10000</v>
      </c>
      <c r="E1317" s="2">
        <v>0</v>
      </c>
      <c r="F1317" s="2">
        <v>55272.31</v>
      </c>
      <c r="G1317" s="2" t="str">
        <f t="shared" si="20"/>
        <v>06-03-2025 ATW-512967XXXXXX1000-S1AWBL29-BANGALORE</v>
      </c>
      <c r="H1317" s="2" t="s">
        <v>1911</v>
      </c>
      <c r="I1317" t="s">
        <v>366</v>
      </c>
      <c r="J1317" t="s">
        <v>1896</v>
      </c>
    </row>
    <row r="1318" spans="1:10" x14ac:dyDescent="0.3">
      <c r="A1318" s="1">
        <v>45722</v>
      </c>
      <c r="B1318" t="s">
        <v>1623</v>
      </c>
      <c r="C1318" t="s">
        <v>1624</v>
      </c>
      <c r="D1318" s="2">
        <v>0</v>
      </c>
      <c r="E1318" s="2">
        <v>575</v>
      </c>
      <c r="F1318" s="2">
        <v>65546.87</v>
      </c>
      <c r="G1318" s="2" t="str">
        <f t="shared" si="20"/>
        <v>06-03-2025 ACH C- SJVN LTD-1354068</v>
      </c>
      <c r="H1318" s="2" t="s">
        <v>1911</v>
      </c>
      <c r="I1318" t="s">
        <v>367</v>
      </c>
      <c r="J1318" t="s">
        <v>1896</v>
      </c>
    </row>
    <row r="1319" spans="1:10" x14ac:dyDescent="0.3">
      <c r="A1319" s="1">
        <v>45722</v>
      </c>
      <c r="B1319" t="s">
        <v>1628</v>
      </c>
      <c r="C1319" t="s">
        <v>1629</v>
      </c>
      <c r="D1319" s="2">
        <v>0</v>
      </c>
      <c r="E1319" s="2">
        <v>200</v>
      </c>
      <c r="F1319" s="2">
        <v>55472.31</v>
      </c>
      <c r="G1319" s="2" t="str">
        <f t="shared" si="20"/>
        <v>06-03-2025 ACH C- ADVANI HOTELS AND RE-065233300025</v>
      </c>
      <c r="H1319" s="2" t="s">
        <v>1911</v>
      </c>
      <c r="I1319" t="s">
        <v>367</v>
      </c>
      <c r="J1319" t="s">
        <v>1896</v>
      </c>
    </row>
    <row r="1320" spans="1:10" x14ac:dyDescent="0.3">
      <c r="A1320" s="1">
        <v>45722</v>
      </c>
      <c r="B1320" t="s">
        <v>1621</v>
      </c>
      <c r="C1320" t="s">
        <v>1622</v>
      </c>
      <c r="D1320" s="2">
        <v>0</v>
      </c>
      <c r="E1320" s="2">
        <v>16280.13</v>
      </c>
      <c r="F1320" s="2">
        <v>64971.87</v>
      </c>
      <c r="G1320" s="2" t="str">
        <f t="shared" si="20"/>
        <v>06-03-2025 FT- 616343159-50200085415108 - HDFC SECURITIES LTD-CLIENT DSCNB A/C -</v>
      </c>
      <c r="H1320" s="2" t="s">
        <v>1911</v>
      </c>
      <c r="I1320" t="s">
        <v>1876</v>
      </c>
      <c r="J1320" t="s">
        <v>1896</v>
      </c>
    </row>
    <row r="1321" spans="1:10" x14ac:dyDescent="0.3">
      <c r="A1321" s="1">
        <v>45722</v>
      </c>
      <c r="B1321" t="s">
        <v>125</v>
      </c>
      <c r="C1321" t="s">
        <v>1625</v>
      </c>
      <c r="D1321" s="2">
        <v>274.56</v>
      </c>
      <c r="E1321" s="2">
        <v>0</v>
      </c>
      <c r="F1321" s="2">
        <v>65272.31</v>
      </c>
      <c r="G1321" s="2" t="str">
        <f t="shared" si="20"/>
        <v>06-03-2025 NET PI TO HSL SEC A/C 347707-00602340029392</v>
      </c>
      <c r="H1321" s="2" t="s">
        <v>1911</v>
      </c>
      <c r="I1321" t="s">
        <v>361</v>
      </c>
      <c r="J1321" t="s">
        <v>1896</v>
      </c>
    </row>
    <row r="1322" spans="1:10" x14ac:dyDescent="0.3">
      <c r="A1322" s="1">
        <v>45722</v>
      </c>
      <c r="B1322" t="s">
        <v>125</v>
      </c>
      <c r="C1322" t="s">
        <v>1630</v>
      </c>
      <c r="D1322" s="2">
        <v>8445.89</v>
      </c>
      <c r="E1322" s="2">
        <v>0</v>
      </c>
      <c r="F1322" s="2">
        <v>47026.42</v>
      </c>
      <c r="G1322" s="2" t="str">
        <f t="shared" si="20"/>
        <v>06-03-2025 NET PI TO HSL SEC A/C 347707-00602340029392</v>
      </c>
      <c r="H1322" s="2" t="s">
        <v>1911</v>
      </c>
      <c r="I1322" t="s">
        <v>361</v>
      </c>
      <c r="J1322" t="s">
        <v>1896</v>
      </c>
    </row>
    <row r="1323" spans="1:10" x14ac:dyDescent="0.3">
      <c r="A1323" s="1">
        <v>45723</v>
      </c>
      <c r="B1323" t="s">
        <v>1634</v>
      </c>
      <c r="C1323" t="s">
        <v>1635</v>
      </c>
      <c r="D1323" s="2">
        <v>0</v>
      </c>
      <c r="E1323" s="2">
        <v>17.5</v>
      </c>
      <c r="F1323" s="2">
        <v>70939.09</v>
      </c>
      <c r="G1323" s="2" t="str">
        <f t="shared" si="20"/>
        <v>07-03-2025 ACH C- KOEL INT DIV 2024 25-44679</v>
      </c>
      <c r="H1323" s="2" t="s">
        <v>1911</v>
      </c>
      <c r="I1323" t="s">
        <v>367</v>
      </c>
      <c r="J1323" t="s">
        <v>1896</v>
      </c>
    </row>
    <row r="1324" spans="1:10" x14ac:dyDescent="0.3">
      <c r="A1324" s="1">
        <v>45723</v>
      </c>
      <c r="B1324" t="s">
        <v>1631</v>
      </c>
      <c r="C1324" t="s">
        <v>1632</v>
      </c>
      <c r="D1324" s="2">
        <v>0</v>
      </c>
      <c r="E1324" s="2">
        <v>24172.52</v>
      </c>
      <c r="F1324" s="2">
        <v>71198.94</v>
      </c>
      <c r="G1324" s="2" t="str">
        <f t="shared" si="20"/>
        <v>07-03-2025 FT- 616728150-50200085415108 - HDFC SECURITIES LTD-CLIENT DSCNB A/C -</v>
      </c>
      <c r="H1324" s="2" t="s">
        <v>1911</v>
      </c>
      <c r="I1324" t="s">
        <v>1876</v>
      </c>
      <c r="J1324" t="s">
        <v>1896</v>
      </c>
    </row>
    <row r="1325" spans="1:10" x14ac:dyDescent="0.3">
      <c r="A1325" s="1">
        <v>45723</v>
      </c>
      <c r="B1325" t="s">
        <v>125</v>
      </c>
      <c r="C1325" t="s">
        <v>1633</v>
      </c>
      <c r="D1325" s="2">
        <v>277.35000000000002</v>
      </c>
      <c r="E1325" s="2">
        <v>0</v>
      </c>
      <c r="F1325" s="2">
        <v>70921.59</v>
      </c>
      <c r="G1325" s="2" t="str">
        <f t="shared" si="20"/>
        <v>07-03-2025 NET PI TO HSL SEC A/C 347707-00602340029392</v>
      </c>
      <c r="H1325" s="2" t="s">
        <v>1911</v>
      </c>
      <c r="I1325" t="s">
        <v>361</v>
      </c>
      <c r="J1325" t="s">
        <v>1896</v>
      </c>
    </row>
    <row r="1326" spans="1:10" x14ac:dyDescent="0.3">
      <c r="A1326" s="1">
        <v>45723</v>
      </c>
      <c r="B1326" t="s">
        <v>125</v>
      </c>
      <c r="C1326" t="s">
        <v>1637</v>
      </c>
      <c r="D1326" s="2">
        <v>10601.98</v>
      </c>
      <c r="E1326" s="2">
        <v>0</v>
      </c>
      <c r="F1326" s="2">
        <v>60928.61</v>
      </c>
      <c r="G1326" s="2" t="str">
        <f t="shared" si="20"/>
        <v>07-03-2025 NET PI TO HSL SEC A/C 347707-00602340029392</v>
      </c>
      <c r="H1326" s="2" t="s">
        <v>1911</v>
      </c>
      <c r="I1326" t="s">
        <v>361</v>
      </c>
      <c r="J1326" t="s">
        <v>1896</v>
      </c>
    </row>
    <row r="1327" spans="1:10" x14ac:dyDescent="0.3">
      <c r="A1327" s="1">
        <v>45723</v>
      </c>
      <c r="B1327" t="s">
        <v>1058</v>
      </c>
      <c r="C1327" t="s">
        <v>1636</v>
      </c>
      <c r="D1327" s="2">
        <v>0</v>
      </c>
      <c r="E1327" s="2">
        <v>591.5</v>
      </c>
      <c r="F1327" s="2">
        <v>71530.59</v>
      </c>
      <c r="G1327" s="2" t="str">
        <f t="shared" si="20"/>
        <v>07-03-2025 00012050001396HLY INT-IN0020210145</v>
      </c>
      <c r="H1327" s="2" t="s">
        <v>1911</v>
      </c>
      <c r="I1327" t="s">
        <v>369</v>
      </c>
      <c r="J1327" t="s">
        <v>1896</v>
      </c>
    </row>
    <row r="1328" spans="1:10" x14ac:dyDescent="0.3">
      <c r="A1328" s="1">
        <v>45724</v>
      </c>
      <c r="B1328" t="s">
        <v>1638</v>
      </c>
      <c r="C1328" t="s">
        <v>1639</v>
      </c>
      <c r="D1328" s="2">
        <v>0</v>
      </c>
      <c r="E1328" s="2">
        <v>45000</v>
      </c>
      <c r="F1328" s="2">
        <v>105928.61</v>
      </c>
      <c r="G1328" s="2" t="str">
        <f t="shared" si="20"/>
        <v>08-03-2025 50100128155413-TPT-MNY RTN TO AKG-AAYUSH KUMAR GUPTA</v>
      </c>
      <c r="H1328" s="2" t="s">
        <v>1911</v>
      </c>
      <c r="I1328" t="s">
        <v>1856</v>
      </c>
      <c r="J1328" t="s">
        <v>1896</v>
      </c>
    </row>
    <row r="1329" spans="1:11" x14ac:dyDescent="0.3">
      <c r="A1329" s="1">
        <v>45724</v>
      </c>
      <c r="B1329" t="s">
        <v>803</v>
      </c>
      <c r="C1329" t="s">
        <v>804</v>
      </c>
      <c r="D1329" s="2">
        <v>32000</v>
      </c>
      <c r="E1329" s="2">
        <v>0</v>
      </c>
      <c r="F1329" s="2">
        <v>-526307.37</v>
      </c>
      <c r="G1329" s="2" t="str">
        <f t="shared" si="20"/>
        <v>08-03-2025    TO TRANSFER-INB borrow from Sunita--</v>
      </c>
      <c r="H1329" s="2" t="s">
        <v>1911</v>
      </c>
      <c r="I1329" t="s">
        <v>364</v>
      </c>
      <c r="J1329" t="s">
        <v>1897</v>
      </c>
    </row>
    <row r="1330" spans="1:11" x14ac:dyDescent="0.3">
      <c r="A1330" s="1">
        <v>45724</v>
      </c>
      <c r="B1330" t="s">
        <v>644</v>
      </c>
      <c r="C1330" t="s">
        <v>7</v>
      </c>
      <c r="D1330" s="2">
        <v>100</v>
      </c>
      <c r="E1330" s="2">
        <v>0</v>
      </c>
      <c r="F1330" s="2">
        <v>17688.03</v>
      </c>
      <c r="G1330" s="2" t="str">
        <f t="shared" si="20"/>
        <v>08-03-2025 UPI/P2M/458624394329/Mr. RAMESH PUNDLIK CH/Hair c/YES BANK LIMITED YBS</v>
      </c>
      <c r="H1330" s="2" t="s">
        <v>1911</v>
      </c>
      <c r="I1330" t="s">
        <v>356</v>
      </c>
      <c r="J1330" t="s">
        <v>1895</v>
      </c>
    </row>
    <row r="1331" spans="1:11" x14ac:dyDescent="0.3">
      <c r="A1331" s="1">
        <v>45724</v>
      </c>
      <c r="B1331" t="s">
        <v>645</v>
      </c>
      <c r="C1331" t="s">
        <v>7</v>
      </c>
      <c r="D1331" s="2">
        <v>240</v>
      </c>
      <c r="E1331" s="2">
        <v>0</v>
      </c>
      <c r="F1331" s="2">
        <v>17448.03</v>
      </c>
      <c r="G1331" s="2" t="str">
        <f t="shared" si="20"/>
        <v>08-03-2025 UPI/P2M/207360387247/SURAJ MUNILAL YADAV  /Pay to/FEDERAL BANK</v>
      </c>
      <c r="H1331" s="2" t="s">
        <v>1911</v>
      </c>
      <c r="I1331" t="s">
        <v>356</v>
      </c>
      <c r="J1331" t="s">
        <v>1895</v>
      </c>
    </row>
    <row r="1332" spans="1:11" x14ac:dyDescent="0.3">
      <c r="A1332" s="1">
        <v>45724</v>
      </c>
      <c r="B1332" t="s">
        <v>646</v>
      </c>
      <c r="C1332" t="s">
        <v>7</v>
      </c>
      <c r="D1332" s="2">
        <v>50</v>
      </c>
      <c r="E1332" s="2">
        <v>0</v>
      </c>
      <c r="F1332" s="2">
        <v>17398.03</v>
      </c>
      <c r="G1332" s="2" t="str">
        <f t="shared" si="20"/>
        <v>08-03-2025 UPI/P2M/635964367029/MANISH HEMANT AMLE   /Kirana/YES BANK LIMITED YBS</v>
      </c>
      <c r="H1332" s="2" t="s">
        <v>1911</v>
      </c>
      <c r="I1332" t="s">
        <v>356</v>
      </c>
      <c r="J1332" t="s">
        <v>1895</v>
      </c>
    </row>
    <row r="1333" spans="1:11" x14ac:dyDescent="0.3">
      <c r="A1333" s="1">
        <v>45724</v>
      </c>
      <c r="B1333" t="s">
        <v>647</v>
      </c>
      <c r="C1333" t="s">
        <v>7</v>
      </c>
      <c r="D1333" s="2">
        <v>41</v>
      </c>
      <c r="E1333" s="2">
        <v>0</v>
      </c>
      <c r="F1333" s="2">
        <v>17357.03</v>
      </c>
      <c r="G1333" s="2" t="str">
        <f t="shared" si="20"/>
        <v>08-03-2025 UPI/P2M/313330957300/MR DIY               /Comb/HDFC BANK LTD</v>
      </c>
      <c r="H1333" s="2" t="s">
        <v>1911</v>
      </c>
      <c r="I1333" t="s">
        <v>356</v>
      </c>
      <c r="J1333" t="s">
        <v>1895</v>
      </c>
    </row>
    <row r="1334" spans="1:11" x14ac:dyDescent="0.3">
      <c r="A1334" s="1">
        <v>45725</v>
      </c>
      <c r="B1334" t="s">
        <v>648</v>
      </c>
      <c r="C1334" t="s">
        <v>7</v>
      </c>
      <c r="D1334" s="2">
        <v>140</v>
      </c>
      <c r="E1334" s="2">
        <v>0</v>
      </c>
      <c r="F1334" s="2">
        <v>17217.03</v>
      </c>
      <c r="G1334" s="2" t="str">
        <f t="shared" si="20"/>
        <v>09-03-2025 UPI/P2M/262418949124/SAVITA MANIK BHALERAO/Fruits/YES BANK LIMITED YBS</v>
      </c>
      <c r="H1334" s="2" t="s">
        <v>1911</v>
      </c>
      <c r="I1334" t="s">
        <v>356</v>
      </c>
      <c r="J1334" t="s">
        <v>1895</v>
      </c>
    </row>
    <row r="1335" spans="1:11" x14ac:dyDescent="0.3">
      <c r="A1335" s="1">
        <v>45725</v>
      </c>
      <c r="B1335" t="s">
        <v>649</v>
      </c>
      <c r="C1335" t="s">
        <v>7</v>
      </c>
      <c r="D1335" s="2">
        <v>531</v>
      </c>
      <c r="E1335" s="2">
        <v>0</v>
      </c>
      <c r="F1335" s="2">
        <v>16686.03</v>
      </c>
      <c r="G1335" s="2" t="str">
        <f t="shared" ref="G1335:G1398" si="21">TEXT(A1335,"DD")&amp;"-"&amp;TEXT(A1335,"MM")&amp;"-"&amp;TEXT(A1335,"YYYY")&amp;" "&amp;B1335</f>
        <v>09-03-2025 UPI/P2M/249761583182/FTA HSRP Solutions Pr/Pay/HDFC BANK LTD</v>
      </c>
      <c r="H1335" s="2" t="s">
        <v>1911</v>
      </c>
      <c r="I1335" t="s">
        <v>356</v>
      </c>
      <c r="J1335" t="s">
        <v>1895</v>
      </c>
    </row>
    <row r="1336" spans="1:11" x14ac:dyDescent="0.3">
      <c r="A1336" s="1">
        <v>45725</v>
      </c>
      <c r="B1336" t="s">
        <v>650</v>
      </c>
      <c r="C1336" t="s">
        <v>7</v>
      </c>
      <c r="D1336" s="2">
        <v>879.1</v>
      </c>
      <c r="E1336" s="2">
        <v>0</v>
      </c>
      <c r="F1336" s="2">
        <v>15806.93</v>
      </c>
      <c r="G1336" s="2" t="str">
        <f t="shared" si="21"/>
        <v>09-03-2025 UPI/P2M/300099497535/FTA HSRP Solutions Pr/Pay/HDFC BANK LTD</v>
      </c>
      <c r="H1336" s="2" t="s">
        <v>1911</v>
      </c>
      <c r="I1336" t="s">
        <v>356</v>
      </c>
      <c r="J1336" t="s">
        <v>1895</v>
      </c>
    </row>
    <row r="1337" spans="1:11" x14ac:dyDescent="0.3">
      <c r="A1337" s="1">
        <v>45726</v>
      </c>
      <c r="B1337" t="s">
        <v>652</v>
      </c>
      <c r="C1337" t="s">
        <v>7</v>
      </c>
      <c r="D1337" s="2">
        <v>0</v>
      </c>
      <c r="E1337" s="2">
        <v>50000</v>
      </c>
      <c r="F1337" s="2">
        <v>55057.87</v>
      </c>
      <c r="G1337" s="2" t="str">
        <f t="shared" si="21"/>
        <v>10-03-2025 NEFT/HDFCH00110998774/AJAY KUMAR GUPTA/HDFC BANK/0001Expences</v>
      </c>
      <c r="H1337" s="2" t="s">
        <v>1911</v>
      </c>
      <c r="I1337" t="s">
        <v>1908</v>
      </c>
      <c r="J1337" t="s">
        <v>1895</v>
      </c>
      <c r="K1337" t="s">
        <v>1913</v>
      </c>
    </row>
    <row r="1338" spans="1:11" x14ac:dyDescent="0.3">
      <c r="A1338" s="1">
        <v>45726</v>
      </c>
      <c r="B1338" t="s">
        <v>1642</v>
      </c>
      <c r="C1338" t="s">
        <v>1643</v>
      </c>
      <c r="D1338" s="2">
        <v>50000</v>
      </c>
      <c r="E1338" s="2">
        <v>0</v>
      </c>
      <c r="F1338" s="2">
        <v>45928.61</v>
      </c>
      <c r="G1338" s="2" t="str">
        <f t="shared" si="21"/>
        <v>10-03-2025 NEFT DR-UTIB0001538-AJAY KUMAR GUPTA-NETBANK, MUM-HDFCN52025031008116303-EXPENCES</v>
      </c>
      <c r="H1338" s="2" t="s">
        <v>1911</v>
      </c>
      <c r="I1338" t="s">
        <v>1907</v>
      </c>
      <c r="J1338" t="s">
        <v>1896</v>
      </c>
      <c r="K1338" t="s">
        <v>1913</v>
      </c>
    </row>
    <row r="1339" spans="1:11" x14ac:dyDescent="0.3">
      <c r="A1339" s="1">
        <v>45726</v>
      </c>
      <c r="B1339" t="s">
        <v>8</v>
      </c>
      <c r="C1339" t="s">
        <v>7</v>
      </c>
      <c r="D1339" s="2">
        <v>10669.06</v>
      </c>
      <c r="E1339" s="2">
        <v>0</v>
      </c>
      <c r="F1339" s="2">
        <v>5057.87</v>
      </c>
      <c r="G1339" s="2" t="str">
        <f t="shared" si="21"/>
        <v>10-03-2025 BRN-PYMT-CARD-4111460000883615</v>
      </c>
      <c r="H1339" s="2" t="s">
        <v>1911</v>
      </c>
      <c r="I1339" t="s">
        <v>1877</v>
      </c>
      <c r="J1339" t="s">
        <v>1895</v>
      </c>
    </row>
    <row r="1340" spans="1:11" x14ac:dyDescent="0.3">
      <c r="A1340" s="1">
        <v>45726</v>
      </c>
      <c r="B1340" t="s">
        <v>125</v>
      </c>
      <c r="C1340" t="s">
        <v>1644</v>
      </c>
      <c r="D1340" s="2">
        <v>855.57</v>
      </c>
      <c r="E1340" s="2">
        <v>0</v>
      </c>
      <c r="F1340" s="2">
        <v>45073.04</v>
      </c>
      <c r="G1340" s="2" t="str">
        <f t="shared" si="21"/>
        <v>10-03-2025 NET PI TO HSL SEC A/C 347707-00602340029392</v>
      </c>
      <c r="H1340" s="2" t="s">
        <v>1911</v>
      </c>
      <c r="I1340" t="s">
        <v>361</v>
      </c>
      <c r="J1340" t="s">
        <v>1896</v>
      </c>
    </row>
    <row r="1341" spans="1:11" x14ac:dyDescent="0.3">
      <c r="A1341" s="1">
        <v>45726</v>
      </c>
      <c r="B1341" t="s">
        <v>125</v>
      </c>
      <c r="C1341" t="s">
        <v>1647</v>
      </c>
      <c r="D1341" s="2">
        <v>12828.48</v>
      </c>
      <c r="E1341" s="2">
        <v>0</v>
      </c>
      <c r="F1341" s="2">
        <v>32663.87</v>
      </c>
      <c r="G1341" s="2" t="str">
        <f t="shared" si="21"/>
        <v>10-03-2025 NET PI TO HSL SEC A/C 347707-00602340029392</v>
      </c>
      <c r="H1341" s="2" t="s">
        <v>1911</v>
      </c>
      <c r="I1341" t="s">
        <v>361</v>
      </c>
      <c r="J1341" t="s">
        <v>1896</v>
      </c>
    </row>
    <row r="1342" spans="1:11" x14ac:dyDescent="0.3">
      <c r="A1342" s="1">
        <v>45726</v>
      </c>
      <c r="B1342" t="s">
        <v>1640</v>
      </c>
      <c r="C1342" t="s">
        <v>1641</v>
      </c>
      <c r="D1342" s="2">
        <v>10000</v>
      </c>
      <c r="E1342" s="2">
        <v>0</v>
      </c>
      <c r="F1342" s="2">
        <v>95928.61</v>
      </c>
      <c r="G1342" s="2" t="str">
        <f t="shared" si="21"/>
        <v>10-03-2025 ACH D- TP ACH INDIANESIGN-1746642266</v>
      </c>
      <c r="H1342" s="2" t="s">
        <v>1911</v>
      </c>
      <c r="I1342" t="s">
        <v>1854</v>
      </c>
      <c r="J1342" t="s">
        <v>1896</v>
      </c>
    </row>
    <row r="1343" spans="1:11" x14ac:dyDescent="0.3">
      <c r="A1343" s="1">
        <v>45726</v>
      </c>
      <c r="B1343" t="s">
        <v>651</v>
      </c>
      <c r="C1343" t="s">
        <v>7</v>
      </c>
      <c r="D1343" s="2">
        <v>80</v>
      </c>
      <c r="E1343" s="2">
        <v>0</v>
      </c>
      <c r="F1343" s="2">
        <v>15726.93</v>
      </c>
      <c r="G1343" s="2" t="str">
        <f t="shared" si="21"/>
        <v>10-03-2025 UPI/P2M/859073118065/KUNAL EAKNATH MAKUNE /Milk/YES BANK LIMITED YBS</v>
      </c>
      <c r="H1343" s="2" t="s">
        <v>1911</v>
      </c>
      <c r="I1343" t="s">
        <v>356</v>
      </c>
      <c r="J1343" t="s">
        <v>1895</v>
      </c>
    </row>
    <row r="1344" spans="1:11" x14ac:dyDescent="0.3">
      <c r="A1344" s="1">
        <v>45726</v>
      </c>
      <c r="B1344" t="s">
        <v>1056</v>
      </c>
      <c r="C1344" t="s">
        <v>1645</v>
      </c>
      <c r="D1344" s="2">
        <v>0</v>
      </c>
      <c r="E1344" s="2">
        <v>127.93</v>
      </c>
      <c r="F1344" s="2">
        <v>45200.97</v>
      </c>
      <c r="G1344" s="2" t="str">
        <f t="shared" si="21"/>
        <v>10-03-2025 00012050001396HLY INT-IN0020200195</v>
      </c>
      <c r="H1344" s="2" t="s">
        <v>1911</v>
      </c>
      <c r="I1344" t="s">
        <v>369</v>
      </c>
      <c r="J1344" t="s">
        <v>1896</v>
      </c>
    </row>
    <row r="1345" spans="1:11" x14ac:dyDescent="0.3">
      <c r="A1345" s="1">
        <v>45726</v>
      </c>
      <c r="B1345" t="s">
        <v>1054</v>
      </c>
      <c r="C1345" t="s">
        <v>1646</v>
      </c>
      <c r="D1345" s="2">
        <v>0</v>
      </c>
      <c r="E1345" s="2">
        <v>291.38</v>
      </c>
      <c r="F1345" s="2">
        <v>45492.35</v>
      </c>
      <c r="G1345" s="2" t="str">
        <f t="shared" si="21"/>
        <v>10-03-2025 00012050001396HLY INT-IN0020200427</v>
      </c>
      <c r="H1345" s="2" t="s">
        <v>1911</v>
      </c>
      <c r="I1345" t="s">
        <v>369</v>
      </c>
      <c r="J1345" t="s">
        <v>1896</v>
      </c>
    </row>
    <row r="1346" spans="1:11" x14ac:dyDescent="0.3">
      <c r="A1346" s="1">
        <v>45727</v>
      </c>
      <c r="B1346" t="s">
        <v>1649</v>
      </c>
      <c r="C1346" t="s">
        <v>1650</v>
      </c>
      <c r="D1346" s="2">
        <v>0</v>
      </c>
      <c r="E1346" s="2">
        <v>206.5</v>
      </c>
      <c r="F1346" s="2">
        <v>32576.69</v>
      </c>
      <c r="G1346" s="2" t="str">
        <f t="shared" si="21"/>
        <v>11-03-2025 ACH C- POWER FINANCE CORPOR-19527881</v>
      </c>
      <c r="H1346" s="2" t="s">
        <v>1911</v>
      </c>
      <c r="I1346" t="s">
        <v>367</v>
      </c>
      <c r="J1346" t="s">
        <v>1896</v>
      </c>
    </row>
    <row r="1347" spans="1:11" x14ac:dyDescent="0.3">
      <c r="A1347" s="1">
        <v>45727</v>
      </c>
      <c r="B1347" t="s">
        <v>125</v>
      </c>
      <c r="C1347" t="s">
        <v>1648</v>
      </c>
      <c r="D1347" s="2">
        <v>293.68</v>
      </c>
      <c r="E1347" s="2">
        <v>0</v>
      </c>
      <c r="F1347" s="2">
        <v>32370.19</v>
      </c>
      <c r="G1347" s="2" t="str">
        <f t="shared" si="21"/>
        <v>11-03-2025 NET PI TO HSL SEC A/C 347707-00602340029392</v>
      </c>
      <c r="H1347" s="2" t="s">
        <v>1911</v>
      </c>
      <c r="I1347" t="s">
        <v>361</v>
      </c>
      <c r="J1347" t="s">
        <v>1896</v>
      </c>
    </row>
    <row r="1348" spans="1:11" x14ac:dyDescent="0.3">
      <c r="A1348" s="1">
        <v>45727</v>
      </c>
      <c r="B1348" t="s">
        <v>125</v>
      </c>
      <c r="C1348" t="s">
        <v>1651</v>
      </c>
      <c r="D1348" s="2">
        <v>5570.88</v>
      </c>
      <c r="E1348" s="2">
        <v>0</v>
      </c>
      <c r="F1348" s="2">
        <v>27005.81</v>
      </c>
      <c r="G1348" s="2" t="str">
        <f t="shared" si="21"/>
        <v>11-03-2025 NET PI TO HSL SEC A/C 347707-00602340029392</v>
      </c>
      <c r="H1348" s="2" t="s">
        <v>1911</v>
      </c>
      <c r="I1348" t="s">
        <v>361</v>
      </c>
      <c r="J1348" t="s">
        <v>1896</v>
      </c>
    </row>
    <row r="1349" spans="1:11" x14ac:dyDescent="0.3">
      <c r="A1349" s="1">
        <v>45728</v>
      </c>
      <c r="B1349" t="s">
        <v>125</v>
      </c>
      <c r="C1349" t="s">
        <v>1652</v>
      </c>
      <c r="D1349" s="2">
        <v>291.7</v>
      </c>
      <c r="E1349" s="2">
        <v>0</v>
      </c>
      <c r="F1349" s="2">
        <v>26714.11</v>
      </c>
      <c r="G1349" s="2" t="str">
        <f t="shared" si="21"/>
        <v>12-03-2025 NET PI TO HSL SEC A/C 347707-00602340029392</v>
      </c>
      <c r="H1349" s="2" t="s">
        <v>1911</v>
      </c>
      <c r="I1349" t="s">
        <v>361</v>
      </c>
      <c r="J1349" t="s">
        <v>1896</v>
      </c>
    </row>
    <row r="1350" spans="1:11" x14ac:dyDescent="0.3">
      <c r="A1350" s="1">
        <v>45728</v>
      </c>
      <c r="B1350" t="s">
        <v>125</v>
      </c>
      <c r="C1350" t="s">
        <v>1653</v>
      </c>
      <c r="D1350" s="2">
        <v>5749.35</v>
      </c>
      <c r="E1350" s="2">
        <v>0</v>
      </c>
      <c r="F1350" s="2">
        <v>20964.759999999998</v>
      </c>
      <c r="G1350" s="2" t="str">
        <f t="shared" si="21"/>
        <v>12-03-2025 NET PI TO HSL SEC A/C 347707-00602340029392</v>
      </c>
      <c r="H1350" s="2" t="s">
        <v>1911</v>
      </c>
      <c r="I1350" t="s">
        <v>361</v>
      </c>
      <c r="J1350" t="s">
        <v>1896</v>
      </c>
    </row>
    <row r="1351" spans="1:11" x14ac:dyDescent="0.3">
      <c r="A1351" s="1">
        <v>45728</v>
      </c>
      <c r="B1351" t="s">
        <v>653</v>
      </c>
      <c r="C1351" t="s">
        <v>7</v>
      </c>
      <c r="D1351" s="2">
        <v>1646.52</v>
      </c>
      <c r="E1351" s="2">
        <v>0</v>
      </c>
      <c r="F1351" s="2">
        <v>53411.35</v>
      </c>
      <c r="G1351" s="2" t="str">
        <f t="shared" si="21"/>
        <v>12-03-2025 UPI/P2M/707367681017/APOLLO PHARMACY      /Paymen/YES BANK LIMITED YBS</v>
      </c>
      <c r="H1351" s="2" t="s">
        <v>1911</v>
      </c>
      <c r="I1351" t="s">
        <v>356</v>
      </c>
      <c r="J1351" t="s">
        <v>1895</v>
      </c>
    </row>
    <row r="1352" spans="1:11" x14ac:dyDescent="0.3">
      <c r="A1352" s="1">
        <v>45729</v>
      </c>
      <c r="B1352" t="s">
        <v>125</v>
      </c>
      <c r="C1352" t="s">
        <v>1654</v>
      </c>
      <c r="D1352" s="2">
        <v>289.64999999999998</v>
      </c>
      <c r="E1352" s="2">
        <v>0</v>
      </c>
      <c r="F1352" s="2">
        <v>20675.11</v>
      </c>
      <c r="G1352" s="2" t="str">
        <f t="shared" si="21"/>
        <v>13-03-2025 NET PI TO HSL SEC A/C 347707-00602340029392</v>
      </c>
      <c r="H1352" s="2" t="s">
        <v>1911</v>
      </c>
      <c r="I1352" t="s">
        <v>361</v>
      </c>
      <c r="J1352" t="s">
        <v>1896</v>
      </c>
    </row>
    <row r="1353" spans="1:11" x14ac:dyDescent="0.3">
      <c r="A1353" s="1">
        <v>45729</v>
      </c>
      <c r="B1353" t="s">
        <v>125</v>
      </c>
      <c r="C1353" t="s">
        <v>1655</v>
      </c>
      <c r="D1353" s="2">
        <v>20321.11</v>
      </c>
      <c r="E1353" s="2">
        <v>0</v>
      </c>
      <c r="F1353" s="2">
        <v>354</v>
      </c>
      <c r="G1353" s="2" t="str">
        <f t="shared" si="21"/>
        <v>13-03-2025 NET PI TO HSL SEC A/C 347707-00602340029392</v>
      </c>
      <c r="H1353" s="2" t="s">
        <v>1911</v>
      </c>
      <c r="I1353" t="s">
        <v>361</v>
      </c>
      <c r="J1353" t="s">
        <v>1896</v>
      </c>
    </row>
    <row r="1354" spans="1:11" x14ac:dyDescent="0.3">
      <c r="A1354" s="1">
        <v>45730</v>
      </c>
      <c r="B1354" t="s">
        <v>654</v>
      </c>
      <c r="C1354" t="s">
        <v>7</v>
      </c>
      <c r="D1354" s="2">
        <v>30</v>
      </c>
      <c r="E1354" s="2">
        <v>0</v>
      </c>
      <c r="F1354" s="2">
        <v>53381.35</v>
      </c>
      <c r="G1354" s="2" t="str">
        <f t="shared" si="21"/>
        <v>14-03-2025 UPI/P2M/583524342737/Jayram P phad        /Mixer/YES BANK LIMITED YBS</v>
      </c>
      <c r="H1354" s="2" t="s">
        <v>1911</v>
      </c>
      <c r="I1354" t="s">
        <v>356</v>
      </c>
      <c r="J1354" t="s">
        <v>1895</v>
      </c>
    </row>
    <row r="1355" spans="1:11" x14ac:dyDescent="0.3">
      <c r="A1355" s="1">
        <v>45730</v>
      </c>
      <c r="B1355" t="s">
        <v>655</v>
      </c>
      <c r="C1355" t="s">
        <v>7</v>
      </c>
      <c r="D1355" s="2">
        <v>40</v>
      </c>
      <c r="E1355" s="2">
        <v>0</v>
      </c>
      <c r="F1355" s="2">
        <v>53341.35</v>
      </c>
      <c r="G1355" s="2" t="str">
        <f t="shared" si="21"/>
        <v>14-03-2025 UPI/P2M/467049009580/Sachin Verma         /Water/YES BANK LIMITED YBS</v>
      </c>
      <c r="H1355" s="2" t="s">
        <v>1911</v>
      </c>
      <c r="I1355" t="s">
        <v>356</v>
      </c>
      <c r="J1355" t="s">
        <v>1895</v>
      </c>
    </row>
    <row r="1356" spans="1:11" x14ac:dyDescent="0.3">
      <c r="A1356" s="1">
        <v>45730</v>
      </c>
      <c r="B1356" t="s">
        <v>656</v>
      </c>
      <c r="C1356" t="s">
        <v>7</v>
      </c>
      <c r="D1356" s="2">
        <v>70</v>
      </c>
      <c r="E1356" s="2">
        <v>0</v>
      </c>
      <c r="F1356" s="2">
        <v>53271.35</v>
      </c>
      <c r="G1356" s="2" t="str">
        <f t="shared" si="21"/>
        <v>14-03-2025 UPI/P2M/067588575275/UMESH TELHI GUPTA    /Vegita/YES BANK LIMITED YBS</v>
      </c>
      <c r="H1356" s="2" t="s">
        <v>1911</v>
      </c>
      <c r="I1356" t="s">
        <v>356</v>
      </c>
      <c r="J1356" t="s">
        <v>1895</v>
      </c>
    </row>
    <row r="1357" spans="1:11" x14ac:dyDescent="0.3">
      <c r="A1357" s="1">
        <v>45730</v>
      </c>
      <c r="B1357" t="s">
        <v>657</v>
      </c>
      <c r="C1357" t="s">
        <v>7</v>
      </c>
      <c r="D1357" s="2">
        <v>9</v>
      </c>
      <c r="E1357" s="2">
        <v>0</v>
      </c>
      <c r="F1357" s="2">
        <v>53262.35</v>
      </c>
      <c r="G1357" s="2" t="str">
        <f t="shared" si="21"/>
        <v>14-03-2025 UPI/P2M/131436771812/MANISH HEMANT AMLE   /Archit/YES BANK LIMITED YBS</v>
      </c>
      <c r="H1357" s="2" t="s">
        <v>1911</v>
      </c>
      <c r="I1357" t="s">
        <v>356</v>
      </c>
      <c r="J1357" t="s">
        <v>1895</v>
      </c>
    </row>
    <row r="1358" spans="1:11" x14ac:dyDescent="0.3">
      <c r="A1358" s="1">
        <v>45731</v>
      </c>
      <c r="B1358" t="s">
        <v>658</v>
      </c>
      <c r="C1358" t="s">
        <v>7</v>
      </c>
      <c r="D1358" s="2">
        <v>21000</v>
      </c>
      <c r="E1358" s="2">
        <v>0</v>
      </c>
      <c r="F1358" s="2">
        <v>32262.35</v>
      </c>
      <c r="G1358" s="2" t="str">
        <f t="shared" si="21"/>
        <v>15-03-2025 INB/96661049/INTERNET TAX PAYMENT/</v>
      </c>
      <c r="H1358" s="2" t="s">
        <v>1911</v>
      </c>
      <c r="I1358" t="s">
        <v>1869</v>
      </c>
      <c r="J1358" t="s">
        <v>1895</v>
      </c>
    </row>
    <row r="1359" spans="1:11" x14ac:dyDescent="0.3">
      <c r="A1359" s="1">
        <v>45731</v>
      </c>
      <c r="B1359" t="s">
        <v>1656</v>
      </c>
      <c r="C1359" t="s">
        <v>1657</v>
      </c>
      <c r="D1359" s="2">
        <v>0</v>
      </c>
      <c r="E1359" s="2">
        <v>50000</v>
      </c>
      <c r="F1359" s="2">
        <v>50354</v>
      </c>
      <c r="G1359" s="2" t="str">
        <f t="shared" si="21"/>
        <v>15-03-2025 NEFT CR-SBIN0011669-MR  AJAY  KUMAR  GUPTA-AJAY KUMAR GUPTA-SBINN52025031564007830</v>
      </c>
      <c r="H1359" s="2" t="s">
        <v>1911</v>
      </c>
      <c r="I1359" t="s">
        <v>1906</v>
      </c>
      <c r="J1359" t="s">
        <v>1896</v>
      </c>
      <c r="K1359" t="s">
        <v>1913</v>
      </c>
    </row>
    <row r="1360" spans="1:11" x14ac:dyDescent="0.3">
      <c r="A1360" s="1">
        <v>45731</v>
      </c>
      <c r="B1360" t="s">
        <v>805</v>
      </c>
      <c r="C1360" t="s">
        <v>806</v>
      </c>
      <c r="D1360" s="2">
        <v>50000</v>
      </c>
      <c r="E1360" s="2">
        <v>0</v>
      </c>
      <c r="F1360" s="2">
        <v>-576307.37</v>
      </c>
      <c r="G1360" s="2" t="str">
        <f t="shared" si="21"/>
        <v>15-03-2025    TO TRANSFER-INB NEFT UTR NO: SBIN425074407492--Ajay Kumar Gupta</v>
      </c>
      <c r="H1360" s="2" t="s">
        <v>1911</v>
      </c>
      <c r="I1360" t="s">
        <v>1908</v>
      </c>
      <c r="J1360" t="s">
        <v>1897</v>
      </c>
      <c r="K1360" t="s">
        <v>1913</v>
      </c>
    </row>
    <row r="1361" spans="1:11" x14ac:dyDescent="0.3">
      <c r="A1361" s="1">
        <v>45731</v>
      </c>
      <c r="B1361" t="s">
        <v>1658</v>
      </c>
      <c r="C1361" t="s">
        <v>140</v>
      </c>
      <c r="D1361" s="2">
        <v>767</v>
      </c>
      <c r="E1361" s="2">
        <v>0</v>
      </c>
      <c r="F1361" s="2">
        <v>49587</v>
      </c>
      <c r="G1361" s="2" t="str">
        <f t="shared" si="21"/>
        <v>15-03-2025 DEPOSITORY CHARGES FEB25 - 40227714</v>
      </c>
      <c r="H1361" s="2" t="s">
        <v>1911</v>
      </c>
      <c r="I1361" t="s">
        <v>362</v>
      </c>
      <c r="J1361" t="s">
        <v>1896</v>
      </c>
    </row>
    <row r="1362" spans="1:11" x14ac:dyDescent="0.3">
      <c r="A1362" s="1">
        <v>45731</v>
      </c>
      <c r="B1362" t="s">
        <v>659</v>
      </c>
      <c r="C1362" t="s">
        <v>7</v>
      </c>
      <c r="D1362" s="2">
        <v>33</v>
      </c>
      <c r="E1362" s="2">
        <v>0</v>
      </c>
      <c r="F1362" s="2">
        <v>32229.35</v>
      </c>
      <c r="G1362" s="2" t="str">
        <f t="shared" si="21"/>
        <v>15-03-2025 UPI/P2M/881983905907/MEDPLUS ASHOKAMARG   /Medice/HDFC BANK LTD</v>
      </c>
      <c r="H1362" s="2" t="s">
        <v>1911</v>
      </c>
      <c r="I1362" t="s">
        <v>356</v>
      </c>
      <c r="J1362" t="s">
        <v>1895</v>
      </c>
    </row>
    <row r="1363" spans="1:11" x14ac:dyDescent="0.3">
      <c r="A1363" s="1">
        <v>45731</v>
      </c>
      <c r="B1363" t="s">
        <v>660</v>
      </c>
      <c r="C1363" t="s">
        <v>7</v>
      </c>
      <c r="D1363" s="2">
        <v>20</v>
      </c>
      <c r="E1363" s="2">
        <v>0</v>
      </c>
      <c r="F1363" s="2">
        <v>32209.35</v>
      </c>
      <c r="G1363" s="2" t="str">
        <f t="shared" si="21"/>
        <v>15-03-2025 UPI/P2M/322332023866/JEET PHARMACY AND MIN/Medice/AXIS BANK</v>
      </c>
      <c r="H1363" s="2" t="s">
        <v>1911</v>
      </c>
      <c r="I1363" t="s">
        <v>356</v>
      </c>
      <c r="J1363" t="s">
        <v>1895</v>
      </c>
    </row>
    <row r="1364" spans="1:11" x14ac:dyDescent="0.3">
      <c r="A1364" s="1">
        <v>45733</v>
      </c>
      <c r="B1364" t="s">
        <v>752</v>
      </c>
      <c r="C1364" t="s">
        <v>807</v>
      </c>
      <c r="D1364" s="2">
        <v>30000</v>
      </c>
      <c r="E1364" s="2">
        <v>0</v>
      </c>
      <c r="F1364" s="2">
        <v>-606307.37</v>
      </c>
      <c r="G1364" s="2" t="str">
        <f t="shared" si="21"/>
        <v>17-03-2025    TO TRANSFER-INB Payment towards loan repayment--</v>
      </c>
      <c r="H1364" s="2" t="s">
        <v>1911</v>
      </c>
      <c r="I1364" t="s">
        <v>1842</v>
      </c>
      <c r="J1364" t="s">
        <v>1897</v>
      </c>
      <c r="K1364" t="s">
        <v>1913</v>
      </c>
    </row>
    <row r="1365" spans="1:11" x14ac:dyDescent="0.3">
      <c r="A1365" s="1">
        <v>45733</v>
      </c>
      <c r="B1365" t="s">
        <v>758</v>
      </c>
      <c r="C1365" t="s">
        <v>1828</v>
      </c>
      <c r="D1365" s="2">
        <v>0</v>
      </c>
      <c r="E1365" s="2">
        <v>30000</v>
      </c>
      <c r="F1365" s="2">
        <v>36582.36</v>
      </c>
      <c r="G1365" s="2" t="str">
        <f t="shared" si="21"/>
        <v>17-03-2025    BY TRANSFER-INB Payment towards loan repayment--</v>
      </c>
      <c r="H1365" s="2" t="s">
        <v>1911</v>
      </c>
      <c r="I1365" t="s">
        <v>1906</v>
      </c>
      <c r="J1365" t="s">
        <v>1899</v>
      </c>
      <c r="K1365" t="s">
        <v>1913</v>
      </c>
    </row>
    <row r="1366" spans="1:11" x14ac:dyDescent="0.3">
      <c r="A1366" s="1">
        <v>45733</v>
      </c>
      <c r="B1366" t="s">
        <v>1659</v>
      </c>
      <c r="C1366" t="s">
        <v>1660</v>
      </c>
      <c r="D1366" s="2">
        <v>0</v>
      </c>
      <c r="E1366" s="2">
        <v>49073.86</v>
      </c>
      <c r="F1366" s="2">
        <v>98660.86</v>
      </c>
      <c r="G1366" s="2" t="str">
        <f t="shared" si="21"/>
        <v>17-03-2025 FT- 618942481-50200085415108 - HDFC SECURITIES LTD-CLIENT DSCNB A/C -</v>
      </c>
      <c r="H1366" s="2" t="s">
        <v>1911</v>
      </c>
      <c r="I1366" t="s">
        <v>1876</v>
      </c>
      <c r="J1366" t="s">
        <v>1896</v>
      </c>
    </row>
    <row r="1367" spans="1:11" x14ac:dyDescent="0.3">
      <c r="A1367" s="1">
        <v>45733</v>
      </c>
      <c r="B1367" t="s">
        <v>125</v>
      </c>
      <c r="C1367" t="s">
        <v>1663</v>
      </c>
      <c r="D1367" s="2">
        <v>1129.6400000000001</v>
      </c>
      <c r="E1367" s="2">
        <v>0</v>
      </c>
      <c r="F1367" s="2">
        <v>87531.22</v>
      </c>
      <c r="G1367" s="2" t="str">
        <f t="shared" si="21"/>
        <v>17-03-2025 NET PI TO HSL SEC A/C 347707-00602340029392</v>
      </c>
      <c r="H1367" s="2" t="s">
        <v>1911</v>
      </c>
      <c r="I1367" t="s">
        <v>361</v>
      </c>
      <c r="J1367" t="s">
        <v>1896</v>
      </c>
    </row>
    <row r="1368" spans="1:11" x14ac:dyDescent="0.3">
      <c r="A1368" s="1">
        <v>45733</v>
      </c>
      <c r="B1368" t="s">
        <v>125</v>
      </c>
      <c r="C1368" t="s">
        <v>1664</v>
      </c>
      <c r="D1368" s="2">
        <v>44172.98</v>
      </c>
      <c r="E1368" s="2">
        <v>0</v>
      </c>
      <c r="F1368" s="2">
        <v>43358.239999999998</v>
      </c>
      <c r="G1368" s="2" t="str">
        <f t="shared" si="21"/>
        <v>17-03-2025 NET PI TO HSL SEC A/C 347707-00602340029392</v>
      </c>
      <c r="H1368" s="2" t="s">
        <v>1911</v>
      </c>
      <c r="I1368" t="s">
        <v>361</v>
      </c>
      <c r="J1368" t="s">
        <v>1896</v>
      </c>
    </row>
    <row r="1369" spans="1:11" x14ac:dyDescent="0.3">
      <c r="A1369" s="1">
        <v>45733</v>
      </c>
      <c r="B1369" t="s">
        <v>1661</v>
      </c>
      <c r="C1369" t="s">
        <v>1662</v>
      </c>
      <c r="D1369" s="2">
        <v>10000</v>
      </c>
      <c r="E1369" s="2">
        <v>0</v>
      </c>
      <c r="F1369" s="2">
        <v>88660.86</v>
      </c>
      <c r="G1369" s="2" t="str">
        <f t="shared" si="21"/>
        <v>17-03-2025 ACH D- TP ACH INDIANESIGN-1752680360</v>
      </c>
      <c r="H1369" s="2" t="s">
        <v>1911</v>
      </c>
      <c r="I1369" t="s">
        <v>1854</v>
      </c>
      <c r="J1369" t="s">
        <v>1896</v>
      </c>
    </row>
    <row r="1370" spans="1:11" x14ac:dyDescent="0.3">
      <c r="A1370" s="1">
        <v>45733</v>
      </c>
      <c r="B1370" t="s">
        <v>661</v>
      </c>
      <c r="C1370" t="s">
        <v>7</v>
      </c>
      <c r="D1370" s="2">
        <v>709.3</v>
      </c>
      <c r="E1370" s="2">
        <v>0</v>
      </c>
      <c r="F1370" s="2">
        <v>31500.05</v>
      </c>
      <c r="G1370" s="2" t="str">
        <f t="shared" si="21"/>
        <v>17-03-2025 UPI/P2M/620519360109/APOLLO PHARMACY      /Paymen/YES BANK LIMITED YBS</v>
      </c>
      <c r="H1370" s="2" t="s">
        <v>1911</v>
      </c>
      <c r="I1370" t="s">
        <v>356</v>
      </c>
      <c r="J1370" t="s">
        <v>1895</v>
      </c>
    </row>
    <row r="1371" spans="1:11" x14ac:dyDescent="0.3">
      <c r="A1371" s="1">
        <v>45734</v>
      </c>
      <c r="B1371" t="s">
        <v>663</v>
      </c>
      <c r="C1371" t="s">
        <v>7</v>
      </c>
      <c r="D1371" s="2">
        <v>0</v>
      </c>
      <c r="E1371" s="2">
        <v>500</v>
      </c>
      <c r="F1371" s="2">
        <v>31920.05</v>
      </c>
      <c r="G1371" s="2" t="str">
        <f t="shared" si="21"/>
        <v>18-03-2025 NEFT/HDFCH00127971025/CARE HEALTH INS LTD DISBURS/HDFC BANK/0001A0946202</v>
      </c>
      <c r="H1371" s="2" t="s">
        <v>1911</v>
      </c>
      <c r="I1371" t="s">
        <v>1866</v>
      </c>
      <c r="J1371" t="s">
        <v>1895</v>
      </c>
    </row>
    <row r="1372" spans="1:11" x14ac:dyDescent="0.3">
      <c r="A1372" s="1">
        <v>45734</v>
      </c>
      <c r="B1372" t="s">
        <v>1665</v>
      </c>
      <c r="C1372" t="s">
        <v>1666</v>
      </c>
      <c r="D1372" s="2">
        <v>0</v>
      </c>
      <c r="E1372" s="2">
        <v>69763.539999999994</v>
      </c>
      <c r="F1372" s="2">
        <v>113121.78</v>
      </c>
      <c r="G1372" s="2" t="str">
        <f t="shared" si="21"/>
        <v>18-03-2025 FT- 619408708-50200085415108 - HDFC SECURITIES LTD-CLIENT DSCNB A/C -</v>
      </c>
      <c r="H1372" s="2" t="s">
        <v>1911</v>
      </c>
      <c r="I1372" t="s">
        <v>1876</v>
      </c>
      <c r="J1372" t="s">
        <v>1896</v>
      </c>
    </row>
    <row r="1373" spans="1:11" x14ac:dyDescent="0.3">
      <c r="A1373" s="1">
        <v>45734</v>
      </c>
      <c r="B1373" t="s">
        <v>125</v>
      </c>
      <c r="C1373" t="s">
        <v>1667</v>
      </c>
      <c r="D1373" s="2">
        <v>263.38</v>
      </c>
      <c r="E1373" s="2">
        <v>0</v>
      </c>
      <c r="F1373" s="2">
        <v>112858.4</v>
      </c>
      <c r="G1373" s="2" t="str">
        <f t="shared" si="21"/>
        <v>18-03-2025 NET PI TO HSL SEC A/C 347707-00602340029392</v>
      </c>
      <c r="H1373" s="2" t="s">
        <v>1911</v>
      </c>
      <c r="I1373" t="s">
        <v>361</v>
      </c>
      <c r="J1373" t="s">
        <v>1896</v>
      </c>
    </row>
    <row r="1374" spans="1:11" x14ac:dyDescent="0.3">
      <c r="A1374" s="1">
        <v>45734</v>
      </c>
      <c r="B1374" t="s">
        <v>125</v>
      </c>
      <c r="C1374" t="s">
        <v>1668</v>
      </c>
      <c r="D1374" s="2">
        <v>101966.79</v>
      </c>
      <c r="E1374" s="2">
        <v>0</v>
      </c>
      <c r="F1374" s="2">
        <v>10891.61</v>
      </c>
      <c r="G1374" s="2" t="str">
        <f t="shared" si="21"/>
        <v>18-03-2025 NET PI TO HSL SEC A/C 347707-00602340029392</v>
      </c>
      <c r="H1374" s="2" t="s">
        <v>1911</v>
      </c>
      <c r="I1374" t="s">
        <v>361</v>
      </c>
      <c r="J1374" t="s">
        <v>1896</v>
      </c>
    </row>
    <row r="1375" spans="1:11" x14ac:dyDescent="0.3">
      <c r="A1375" s="1">
        <v>45734</v>
      </c>
      <c r="B1375" t="s">
        <v>662</v>
      </c>
      <c r="C1375" t="s">
        <v>7</v>
      </c>
      <c r="D1375" s="2">
        <v>80</v>
      </c>
      <c r="E1375" s="2">
        <v>0</v>
      </c>
      <c r="F1375" s="2">
        <v>31420.05</v>
      </c>
      <c r="G1375" s="2" t="str">
        <f t="shared" si="21"/>
        <v>18-03-2025 UPI/P2M/412081039348/KUNAL EAKNATH MAKUNE /Milk/YES BANK LIMITED YBS</v>
      </c>
      <c r="H1375" s="2" t="s">
        <v>1911</v>
      </c>
      <c r="I1375" t="s">
        <v>356</v>
      </c>
      <c r="J1375" t="s">
        <v>1895</v>
      </c>
    </row>
    <row r="1376" spans="1:11" x14ac:dyDescent="0.3">
      <c r="A1376" s="1">
        <v>45735</v>
      </c>
      <c r="B1376" t="s">
        <v>1669</v>
      </c>
      <c r="C1376" t="s">
        <v>1670</v>
      </c>
      <c r="D1376" s="2">
        <v>0</v>
      </c>
      <c r="E1376" s="2">
        <v>3306.85</v>
      </c>
      <c r="F1376" s="2">
        <v>14198.46</v>
      </c>
      <c r="G1376" s="2" t="str">
        <f t="shared" si="21"/>
        <v>19-03-2025 FT- 619738780-50200085415108 - HDFC SECURITIES LTD-CLIENT DSCNB A/C -</v>
      </c>
      <c r="H1376" s="2" t="s">
        <v>1911</v>
      </c>
      <c r="I1376" t="s">
        <v>1876</v>
      </c>
      <c r="J1376" t="s">
        <v>1896</v>
      </c>
    </row>
    <row r="1377" spans="1:10" x14ac:dyDescent="0.3">
      <c r="A1377" s="1">
        <v>45735</v>
      </c>
      <c r="B1377" t="s">
        <v>125</v>
      </c>
      <c r="C1377" t="s">
        <v>1671</v>
      </c>
      <c r="D1377" s="2">
        <v>268.74</v>
      </c>
      <c r="E1377" s="2">
        <v>0</v>
      </c>
      <c r="F1377" s="2">
        <v>13929.72</v>
      </c>
      <c r="G1377" s="2" t="str">
        <f t="shared" si="21"/>
        <v>19-03-2025 NET PI TO HSL SEC A/C 347707-00602340029392</v>
      </c>
      <c r="H1377" s="2" t="s">
        <v>1911</v>
      </c>
      <c r="I1377" t="s">
        <v>361</v>
      </c>
      <c r="J1377" t="s">
        <v>1896</v>
      </c>
    </row>
    <row r="1378" spans="1:10" x14ac:dyDescent="0.3">
      <c r="A1378" s="1">
        <v>45735</v>
      </c>
      <c r="B1378" t="s">
        <v>664</v>
      </c>
      <c r="C1378" t="s">
        <v>7</v>
      </c>
      <c r="D1378" s="2">
        <v>50</v>
      </c>
      <c r="E1378" s="2">
        <v>0</v>
      </c>
      <c r="F1378" s="2">
        <v>31870.05</v>
      </c>
      <c r="G1378" s="2" t="str">
        <f t="shared" si="21"/>
        <v>19-03-2025 UPI/P2A/301497761896/Nan Babu             /Tea/AIRTEL PAYMENTS BANK</v>
      </c>
      <c r="H1378" s="2" t="s">
        <v>1911</v>
      </c>
      <c r="I1378" t="s">
        <v>356</v>
      </c>
      <c r="J1378" t="s">
        <v>1895</v>
      </c>
    </row>
    <row r="1379" spans="1:10" x14ac:dyDescent="0.3">
      <c r="A1379" s="1">
        <v>45735</v>
      </c>
      <c r="B1379" t="s">
        <v>665</v>
      </c>
      <c r="C1379" t="s">
        <v>7</v>
      </c>
      <c r="D1379" s="2">
        <v>160</v>
      </c>
      <c r="E1379" s="2">
        <v>0</v>
      </c>
      <c r="F1379" s="2">
        <v>31710.05</v>
      </c>
      <c r="G1379" s="2" t="str">
        <f t="shared" si="21"/>
        <v>19-03-2025 UPI/P2A/455869680512/BHAUSAHEB MOTIRAM GAR/Vegita/BANK OF INDIA</v>
      </c>
      <c r="H1379" s="2" t="s">
        <v>1911</v>
      </c>
      <c r="I1379" t="s">
        <v>356</v>
      </c>
      <c r="J1379" t="s">
        <v>1895</v>
      </c>
    </row>
    <row r="1380" spans="1:10" x14ac:dyDescent="0.3">
      <c r="A1380" s="1">
        <v>45736</v>
      </c>
      <c r="B1380" t="s">
        <v>1672</v>
      </c>
      <c r="C1380" t="s">
        <v>1673</v>
      </c>
      <c r="D1380" s="2">
        <v>0</v>
      </c>
      <c r="E1380" s="2">
        <v>26459.17</v>
      </c>
      <c r="F1380" s="2">
        <v>40388.89</v>
      </c>
      <c r="G1380" s="2" t="str">
        <f t="shared" si="21"/>
        <v>20-03-2025 FT- 620112545-50200085415108 - HDFC SECURITIES LTD-CLIENT DSCNB A/C -</v>
      </c>
      <c r="H1380" s="2" t="s">
        <v>1911</v>
      </c>
      <c r="I1380" t="s">
        <v>1876</v>
      </c>
      <c r="J1380" t="s">
        <v>1896</v>
      </c>
    </row>
    <row r="1381" spans="1:10" x14ac:dyDescent="0.3">
      <c r="A1381" s="1">
        <v>45736</v>
      </c>
      <c r="B1381" t="s">
        <v>1674</v>
      </c>
      <c r="C1381" t="s">
        <v>1675</v>
      </c>
      <c r="D1381" s="2">
        <v>0</v>
      </c>
      <c r="E1381" s="2">
        <v>71880.27</v>
      </c>
      <c r="F1381" s="2">
        <v>112269.16</v>
      </c>
      <c r="G1381" s="2" t="str">
        <f t="shared" si="21"/>
        <v>20-03-2025 FT- 620146632-50200085415108 - HDFC SECURITIES LTD-CLIENT DSCNB A/C -</v>
      </c>
      <c r="H1381" s="2" t="s">
        <v>1911</v>
      </c>
      <c r="I1381" t="s">
        <v>1876</v>
      </c>
      <c r="J1381" t="s">
        <v>1896</v>
      </c>
    </row>
    <row r="1382" spans="1:10" x14ac:dyDescent="0.3">
      <c r="A1382" s="1">
        <v>45736</v>
      </c>
      <c r="B1382" t="s">
        <v>125</v>
      </c>
      <c r="C1382" t="s">
        <v>1679</v>
      </c>
      <c r="D1382" s="2">
        <v>354.86</v>
      </c>
      <c r="E1382" s="2">
        <v>0</v>
      </c>
      <c r="F1382" s="2">
        <v>26914.3</v>
      </c>
      <c r="G1382" s="2" t="str">
        <f t="shared" si="21"/>
        <v>20-03-2025 NET PI TO HSL SEC A/C 347707-00602340029392</v>
      </c>
      <c r="H1382" s="2" t="s">
        <v>1911</v>
      </c>
      <c r="I1382" t="s">
        <v>361</v>
      </c>
      <c r="J1382" t="s">
        <v>1896</v>
      </c>
    </row>
    <row r="1383" spans="1:10" x14ac:dyDescent="0.3">
      <c r="A1383" s="1">
        <v>45736</v>
      </c>
      <c r="B1383" t="s">
        <v>1676</v>
      </c>
      <c r="C1383" t="s">
        <v>1677</v>
      </c>
      <c r="D1383" s="2">
        <v>10000</v>
      </c>
      <c r="E1383" s="2">
        <v>0</v>
      </c>
      <c r="F1383" s="2">
        <v>102269.16</v>
      </c>
      <c r="G1383" s="2" t="str">
        <f t="shared" si="21"/>
        <v>20-03-2025 ACH D- TP ACH INDIANESIGN-1754493794</v>
      </c>
      <c r="H1383" s="2" t="s">
        <v>1911</v>
      </c>
      <c r="I1383" t="s">
        <v>1854</v>
      </c>
      <c r="J1383" t="s">
        <v>1896</v>
      </c>
    </row>
    <row r="1384" spans="1:10" x14ac:dyDescent="0.3">
      <c r="A1384" s="1">
        <v>45736</v>
      </c>
      <c r="B1384" t="s">
        <v>979</v>
      </c>
      <c r="C1384" t="s">
        <v>1678</v>
      </c>
      <c r="D1384" s="2">
        <v>75000</v>
      </c>
      <c r="E1384" s="2">
        <v>0</v>
      </c>
      <c r="F1384" s="2">
        <v>27269.16</v>
      </c>
      <c r="G1384" s="2" t="str">
        <f t="shared" si="21"/>
        <v>20-03-2025 01671000060094-TPT-BORROW FROM SUNITA-SUNITA GUPTA</v>
      </c>
      <c r="H1384" s="2" t="s">
        <v>1911</v>
      </c>
      <c r="I1384" t="s">
        <v>1852</v>
      </c>
      <c r="J1384" t="s">
        <v>1896</v>
      </c>
    </row>
    <row r="1385" spans="1:10" x14ac:dyDescent="0.3">
      <c r="A1385" s="1">
        <v>45736</v>
      </c>
      <c r="B1385" t="s">
        <v>666</v>
      </c>
      <c r="C1385" t="s">
        <v>7</v>
      </c>
      <c r="D1385" s="2">
        <v>50</v>
      </c>
      <c r="E1385" s="2">
        <v>0</v>
      </c>
      <c r="F1385" s="2">
        <v>31660.05</v>
      </c>
      <c r="G1385" s="2" t="str">
        <f t="shared" si="21"/>
        <v>20-03-2025 UPI/P2M/066260560812/SHIVBHOLA VEGETABLE E/Fruit/YES BANK LIMITED YBS</v>
      </c>
      <c r="H1385" s="2" t="s">
        <v>1911</v>
      </c>
      <c r="I1385" t="s">
        <v>356</v>
      </c>
      <c r="J1385" t="s">
        <v>1895</v>
      </c>
    </row>
    <row r="1386" spans="1:10" x14ac:dyDescent="0.3">
      <c r="A1386" s="1">
        <v>45736</v>
      </c>
      <c r="B1386" t="s">
        <v>667</v>
      </c>
      <c r="C1386" t="s">
        <v>7</v>
      </c>
      <c r="D1386" s="2">
        <v>110</v>
      </c>
      <c r="E1386" s="2">
        <v>0</v>
      </c>
      <c r="F1386" s="2">
        <v>31550.05</v>
      </c>
      <c r="G1386" s="2" t="str">
        <f t="shared" si="21"/>
        <v>20-03-2025 UPI/P2M/733721579147/SURAJ MUNILAL YADAV  /Pay to/FEDERAL BANK</v>
      </c>
      <c r="H1386" s="2" t="s">
        <v>1911</v>
      </c>
      <c r="I1386" t="s">
        <v>356</v>
      </c>
      <c r="J1386" t="s">
        <v>1895</v>
      </c>
    </row>
    <row r="1387" spans="1:10" x14ac:dyDescent="0.3">
      <c r="A1387" s="1">
        <v>45736</v>
      </c>
      <c r="B1387" t="s">
        <v>668</v>
      </c>
      <c r="C1387" t="s">
        <v>7</v>
      </c>
      <c r="D1387" s="2">
        <v>160</v>
      </c>
      <c r="E1387" s="2">
        <v>0</v>
      </c>
      <c r="F1387" s="2">
        <v>31390.05</v>
      </c>
      <c r="G1387" s="2" t="str">
        <f t="shared" si="21"/>
        <v>20-03-2025 UPI/P2A/743191786294/BHAUSAHEB MOTIRAM GAR/Vegita/BANK OF INDIA</v>
      </c>
      <c r="H1387" s="2" t="s">
        <v>1911</v>
      </c>
      <c r="I1387" t="s">
        <v>356</v>
      </c>
      <c r="J1387" t="s">
        <v>1895</v>
      </c>
    </row>
    <row r="1388" spans="1:10" x14ac:dyDescent="0.3">
      <c r="A1388" s="1">
        <v>45736</v>
      </c>
      <c r="B1388" t="s">
        <v>1104</v>
      </c>
      <c r="C1388" t="s">
        <v>1680</v>
      </c>
      <c r="D1388" s="2">
        <v>0</v>
      </c>
      <c r="E1388" s="2">
        <v>2221.13</v>
      </c>
      <c r="F1388" s="2">
        <v>29135.43</v>
      </c>
      <c r="G1388" s="2" t="str">
        <f t="shared" si="21"/>
        <v>20-03-2025 00012050001396HLY INT-IN0020230093</v>
      </c>
      <c r="H1388" s="2" t="s">
        <v>1911</v>
      </c>
      <c r="I1388" t="s">
        <v>369</v>
      </c>
      <c r="J1388" t="s">
        <v>1896</v>
      </c>
    </row>
    <row r="1389" spans="1:10" x14ac:dyDescent="0.3">
      <c r="A1389" s="1">
        <v>45737</v>
      </c>
      <c r="B1389" t="s">
        <v>125</v>
      </c>
      <c r="C1389" t="s">
        <v>1681</v>
      </c>
      <c r="D1389" s="2">
        <v>28781.43</v>
      </c>
      <c r="E1389" s="2">
        <v>0</v>
      </c>
      <c r="F1389" s="2">
        <v>354</v>
      </c>
      <c r="G1389" s="2" t="str">
        <f t="shared" si="21"/>
        <v>21-03-2025 NET PI TO HSL SEC A/C 347707-00602340029392</v>
      </c>
      <c r="H1389" s="2" t="s">
        <v>1911</v>
      </c>
      <c r="I1389" t="s">
        <v>361</v>
      </c>
      <c r="J1389" t="s">
        <v>1896</v>
      </c>
    </row>
    <row r="1390" spans="1:10" x14ac:dyDescent="0.3">
      <c r="A1390" s="1">
        <v>45737</v>
      </c>
      <c r="B1390" t="s">
        <v>125</v>
      </c>
      <c r="C1390" t="s">
        <v>1684</v>
      </c>
      <c r="D1390" s="2">
        <v>20000</v>
      </c>
      <c r="E1390" s="2">
        <v>0</v>
      </c>
      <c r="F1390" s="2">
        <v>354</v>
      </c>
      <c r="G1390" s="2" t="str">
        <f t="shared" si="21"/>
        <v>21-03-2025 NET PI TO HSL SEC A/C 347707-00602340029392</v>
      </c>
      <c r="H1390" s="2" t="s">
        <v>1911</v>
      </c>
      <c r="I1390" t="s">
        <v>361</v>
      </c>
      <c r="J1390" t="s">
        <v>1896</v>
      </c>
    </row>
    <row r="1391" spans="1:10" x14ac:dyDescent="0.3">
      <c r="A1391" s="1">
        <v>45737</v>
      </c>
      <c r="B1391" t="s">
        <v>128</v>
      </c>
      <c r="C1391" t="s">
        <v>1685</v>
      </c>
      <c r="D1391" s="2">
        <v>0</v>
      </c>
      <c r="E1391" s="2">
        <v>10537.39</v>
      </c>
      <c r="F1391" s="2">
        <v>10891.39</v>
      </c>
      <c r="G1391" s="2" t="str">
        <f t="shared" si="21"/>
        <v>21-03-2025 NET PO FROM HSL A/C 347707-50200085415108</v>
      </c>
      <c r="H1391" s="2" t="s">
        <v>1911</v>
      </c>
      <c r="I1391" t="s">
        <v>361</v>
      </c>
      <c r="J1391" t="s">
        <v>1896</v>
      </c>
    </row>
    <row r="1392" spans="1:10" x14ac:dyDescent="0.3">
      <c r="A1392" s="1">
        <v>45737</v>
      </c>
      <c r="B1392" t="s">
        <v>1682</v>
      </c>
      <c r="C1392" t="s">
        <v>1683</v>
      </c>
      <c r="D1392" s="2">
        <v>0</v>
      </c>
      <c r="E1392" s="2">
        <v>20000</v>
      </c>
      <c r="F1392" s="2">
        <v>20354</v>
      </c>
      <c r="G1392" s="2" t="str">
        <f t="shared" si="21"/>
        <v>21-03-2025 50100128155413-TPT-MNY RETURN BY AAYUSH TO AJAY-AAYUSH KUMAR GUPTA</v>
      </c>
      <c r="H1392" s="2" t="s">
        <v>1911</v>
      </c>
      <c r="I1392" t="s">
        <v>1856</v>
      </c>
      <c r="J1392" t="s">
        <v>1896</v>
      </c>
    </row>
    <row r="1393" spans="1:11" x14ac:dyDescent="0.3">
      <c r="A1393" s="1">
        <v>45737</v>
      </c>
      <c r="B1393" t="s">
        <v>669</v>
      </c>
      <c r="C1393" t="s">
        <v>7</v>
      </c>
      <c r="D1393" s="2">
        <v>1224</v>
      </c>
      <c r="E1393" s="2">
        <v>0</v>
      </c>
      <c r="F1393" s="2">
        <v>30166.05</v>
      </c>
      <c r="G1393" s="2" t="str">
        <f t="shared" si="21"/>
        <v>21-03-2025 UPI/P2M/523023347162/AANCHAL ENTERPRISES  /Printo/YES BANK LIMITED YBS</v>
      </c>
      <c r="H1393" s="2" t="s">
        <v>1911</v>
      </c>
      <c r="I1393" t="s">
        <v>356</v>
      </c>
      <c r="J1393" t="s">
        <v>1895</v>
      </c>
    </row>
    <row r="1394" spans="1:11" x14ac:dyDescent="0.3">
      <c r="A1394" s="1">
        <v>45737</v>
      </c>
      <c r="B1394" t="s">
        <v>670</v>
      </c>
      <c r="C1394" t="s">
        <v>7</v>
      </c>
      <c r="D1394" s="2">
        <v>50</v>
      </c>
      <c r="E1394" s="2">
        <v>0</v>
      </c>
      <c r="F1394" s="2">
        <v>30116.05</v>
      </c>
      <c r="G1394" s="2" t="str">
        <f t="shared" si="21"/>
        <v>21-03-2025 UPI/P2M/975404230489/Krishna Sagar        /Bread/YES BANK LIMITED YBS</v>
      </c>
      <c r="H1394" s="2" t="s">
        <v>1911</v>
      </c>
      <c r="I1394" t="s">
        <v>356</v>
      </c>
      <c r="J1394" t="s">
        <v>1895</v>
      </c>
    </row>
    <row r="1395" spans="1:11" x14ac:dyDescent="0.3">
      <c r="A1395" s="1">
        <v>45738</v>
      </c>
      <c r="B1395" t="s">
        <v>671</v>
      </c>
      <c r="C1395" t="s">
        <v>7</v>
      </c>
      <c r="D1395" s="2">
        <v>10000</v>
      </c>
      <c r="E1395" s="2">
        <v>0</v>
      </c>
      <c r="F1395" s="2">
        <v>20116.05</v>
      </c>
      <c r="G1395" s="2" t="str">
        <f t="shared" si="21"/>
        <v>22-03-2025 ATM-CASH-AXIS/BPRH265601/7571/220325/NASHIK</v>
      </c>
      <c r="H1395" s="2" t="s">
        <v>1911</v>
      </c>
      <c r="I1395" t="s">
        <v>354</v>
      </c>
      <c r="J1395" t="s">
        <v>1895</v>
      </c>
    </row>
    <row r="1396" spans="1:11" x14ac:dyDescent="0.3">
      <c r="A1396" s="1">
        <v>45739</v>
      </c>
      <c r="B1396" t="s">
        <v>709</v>
      </c>
      <c r="D1396" s="2">
        <v>0</v>
      </c>
      <c r="E1396" s="2">
        <v>1000</v>
      </c>
      <c r="F1396" s="2">
        <v>18163</v>
      </c>
      <c r="G1396" s="2" t="str">
        <f t="shared" si="21"/>
        <v>23-03-2025 NEFT/SBIN225082665764/SBIN/Mr AJAY KUMAR GUPTA</v>
      </c>
      <c r="H1396" s="2" t="s">
        <v>1911</v>
      </c>
      <c r="I1396" t="s">
        <v>1842</v>
      </c>
      <c r="J1396" t="s">
        <v>1898</v>
      </c>
      <c r="K1396" t="s">
        <v>1913</v>
      </c>
    </row>
    <row r="1397" spans="1:11" x14ac:dyDescent="0.3">
      <c r="A1397" s="1">
        <v>45739</v>
      </c>
      <c r="B1397" t="s">
        <v>748</v>
      </c>
      <c r="C1397" t="s">
        <v>1829</v>
      </c>
      <c r="D1397" s="2">
        <v>1000</v>
      </c>
      <c r="E1397" s="2">
        <v>0</v>
      </c>
      <c r="F1397" s="2">
        <v>35582.36</v>
      </c>
      <c r="G1397" s="2" t="str">
        <f t="shared" si="21"/>
        <v>23-03-2025    TO TRANSFER-INB Deposit / Investment--</v>
      </c>
      <c r="H1397" s="2" t="s">
        <v>1911</v>
      </c>
      <c r="I1397" t="s">
        <v>1909</v>
      </c>
      <c r="J1397" t="s">
        <v>1899</v>
      </c>
      <c r="K1397" t="s">
        <v>1913</v>
      </c>
    </row>
    <row r="1398" spans="1:11" x14ac:dyDescent="0.3">
      <c r="A1398" s="1">
        <v>45739</v>
      </c>
      <c r="B1398" t="s">
        <v>1830</v>
      </c>
      <c r="C1398" t="s">
        <v>1831</v>
      </c>
      <c r="D1398" s="2">
        <v>1000</v>
      </c>
      <c r="E1398" s="2">
        <v>0</v>
      </c>
      <c r="F1398" s="2">
        <v>34582.36</v>
      </c>
      <c r="G1398" s="2" t="str">
        <f t="shared" si="21"/>
        <v>23-03-2025    TO TRANSFER-INB NEFT UTR NO: SBIN225082665764--NRI Ajay</v>
      </c>
      <c r="H1398" s="2" t="s">
        <v>1911</v>
      </c>
      <c r="I1398" t="s">
        <v>1910</v>
      </c>
      <c r="J1398" t="s">
        <v>1899</v>
      </c>
      <c r="K1398" t="s">
        <v>1913</v>
      </c>
    </row>
    <row r="1399" spans="1:11" x14ac:dyDescent="0.3">
      <c r="A1399" s="1">
        <v>45739</v>
      </c>
      <c r="B1399" t="s">
        <v>1727</v>
      </c>
      <c r="C1399" t="s">
        <v>1728</v>
      </c>
      <c r="D1399" s="2">
        <v>0</v>
      </c>
      <c r="E1399" s="2">
        <v>1000</v>
      </c>
      <c r="F1399" s="2">
        <v>5371</v>
      </c>
      <c r="G1399" s="2" t="str">
        <f t="shared" ref="G1399:G1444" si="22">TEXT(A1399,"DD")&amp;"-"&amp;TEXT(A1399,"MM")&amp;"-"&amp;TEXT(A1399,"YYYY")&amp;" "&amp;B1399</f>
        <v>23-03-2025    BY TRANSFER-INB Deposit / Investment--</v>
      </c>
      <c r="H1399" s="2" t="s">
        <v>1911</v>
      </c>
      <c r="I1399" t="s">
        <v>1842</v>
      </c>
      <c r="J1399" t="s">
        <v>1900</v>
      </c>
      <c r="K1399" t="s">
        <v>1913</v>
      </c>
    </row>
    <row r="1400" spans="1:11" x14ac:dyDescent="0.3">
      <c r="A1400" s="1">
        <v>45740</v>
      </c>
      <c r="B1400" t="s">
        <v>758</v>
      </c>
      <c r="C1400" t="s">
        <v>808</v>
      </c>
      <c r="D1400" s="2">
        <v>0</v>
      </c>
      <c r="E1400" s="2">
        <v>100000</v>
      </c>
      <c r="F1400" s="2">
        <v>-506307.37</v>
      </c>
      <c r="G1400" s="2" t="str">
        <f t="shared" si="22"/>
        <v>24-03-2025    BY TRANSFER-INB Payment towards loan repayment--</v>
      </c>
      <c r="H1400" s="2" t="s">
        <v>1911</v>
      </c>
      <c r="I1400" t="s">
        <v>1842</v>
      </c>
      <c r="J1400" t="s">
        <v>1897</v>
      </c>
      <c r="K1400" t="s">
        <v>1913</v>
      </c>
    </row>
    <row r="1401" spans="1:11" x14ac:dyDescent="0.3">
      <c r="A1401" s="1">
        <v>45740</v>
      </c>
      <c r="B1401" t="s">
        <v>752</v>
      </c>
      <c r="C1401" t="s">
        <v>1833</v>
      </c>
      <c r="D1401" s="2">
        <v>100000</v>
      </c>
      <c r="E1401" s="2">
        <v>0</v>
      </c>
      <c r="F1401" s="2">
        <v>38172.9</v>
      </c>
      <c r="G1401" s="2" t="str">
        <f t="shared" si="22"/>
        <v>24-03-2025    TO TRANSFER-INB Payment towards loan repayment--</v>
      </c>
      <c r="H1401" s="2" t="s">
        <v>1911</v>
      </c>
      <c r="I1401" t="s">
        <v>1906</v>
      </c>
      <c r="J1401" t="s">
        <v>1899</v>
      </c>
      <c r="K1401" t="s">
        <v>1913</v>
      </c>
    </row>
    <row r="1402" spans="1:11" x14ac:dyDescent="0.3">
      <c r="A1402" s="1">
        <v>45740</v>
      </c>
      <c r="B1402" t="s">
        <v>1744</v>
      </c>
      <c r="C1402" t="s">
        <v>1834</v>
      </c>
      <c r="D1402" s="2">
        <v>17324</v>
      </c>
      <c r="E1402" s="2">
        <v>0</v>
      </c>
      <c r="F1402" s="2">
        <v>20848.900000000001</v>
      </c>
      <c r="G1402" s="2" t="str">
        <f t="shared" si="22"/>
        <v>24-03-2025    TO TRANSFER-INB SBICARD FOR BILLDESK      SBICARD Payments--</v>
      </c>
      <c r="H1402" s="2" t="s">
        <v>1911</v>
      </c>
      <c r="I1402" t="s">
        <v>1838</v>
      </c>
      <c r="J1402" t="s">
        <v>1899</v>
      </c>
    </row>
    <row r="1403" spans="1:11" x14ac:dyDescent="0.3">
      <c r="A1403" s="1">
        <v>45740</v>
      </c>
      <c r="B1403" t="s">
        <v>672</v>
      </c>
      <c r="C1403" t="s">
        <v>7</v>
      </c>
      <c r="D1403" s="2">
        <v>2040</v>
      </c>
      <c r="E1403" s="2">
        <v>0</v>
      </c>
      <c r="F1403" s="2">
        <v>18076.05</v>
      </c>
      <c r="G1403" s="2" t="str">
        <f t="shared" si="22"/>
        <v>24-03-2025 NBSM/97812265/MAHARASHTRA STATE ELECTRICITY DISTR</v>
      </c>
      <c r="H1403" s="2" t="s">
        <v>1911</v>
      </c>
      <c r="I1403" t="s">
        <v>357</v>
      </c>
      <c r="J1403" t="s">
        <v>1895</v>
      </c>
    </row>
    <row r="1404" spans="1:11" x14ac:dyDescent="0.3">
      <c r="A1404" s="1">
        <v>45740</v>
      </c>
      <c r="B1404" t="s">
        <v>1686</v>
      </c>
      <c r="C1404" t="s">
        <v>1687</v>
      </c>
      <c r="D1404" s="2">
        <v>0</v>
      </c>
      <c r="E1404" s="2">
        <v>48764.92</v>
      </c>
      <c r="F1404" s="2">
        <v>59656.31</v>
      </c>
      <c r="G1404" s="2" t="str">
        <f t="shared" si="22"/>
        <v>24-03-2025 FT- 620918034-50200085415108 - HDFC SECURITIES LTD-CLIENT DSCNB A/C -</v>
      </c>
      <c r="H1404" s="2" t="s">
        <v>1911</v>
      </c>
      <c r="I1404" t="s">
        <v>1876</v>
      </c>
      <c r="J1404" t="s">
        <v>1896</v>
      </c>
    </row>
    <row r="1405" spans="1:11" x14ac:dyDescent="0.3">
      <c r="A1405" s="1">
        <v>45740</v>
      </c>
      <c r="B1405" t="s">
        <v>125</v>
      </c>
      <c r="C1405" t="s">
        <v>1688</v>
      </c>
      <c r="D1405" s="2">
        <v>1106.55</v>
      </c>
      <c r="E1405" s="2">
        <v>0</v>
      </c>
      <c r="F1405" s="2">
        <v>58549.760000000002</v>
      </c>
      <c r="G1405" s="2" t="str">
        <f t="shared" si="22"/>
        <v>24-03-2025 NET PI TO HSL SEC A/C 347707-00602340029392</v>
      </c>
      <c r="H1405" s="2" t="s">
        <v>1911</v>
      </c>
      <c r="I1405" t="s">
        <v>361</v>
      </c>
      <c r="J1405" t="s">
        <v>1896</v>
      </c>
    </row>
    <row r="1406" spans="1:11" x14ac:dyDescent="0.3">
      <c r="A1406" s="1">
        <v>45740</v>
      </c>
      <c r="B1406" t="s">
        <v>1740</v>
      </c>
      <c r="C1406" t="s">
        <v>1832</v>
      </c>
      <c r="D1406" s="2">
        <v>0</v>
      </c>
      <c r="E1406" s="2">
        <v>103590.54</v>
      </c>
      <c r="F1406" s="2">
        <v>138172.9</v>
      </c>
      <c r="G1406" s="2" t="str">
        <f t="shared" si="22"/>
        <v>24-03-2025    BY TRANSFER-INB -For 19260165--</v>
      </c>
      <c r="H1406" s="2" t="s">
        <v>1911</v>
      </c>
      <c r="I1406" t="s">
        <v>1887</v>
      </c>
      <c r="J1406" t="s">
        <v>1899</v>
      </c>
    </row>
    <row r="1407" spans="1:11" x14ac:dyDescent="0.3">
      <c r="A1407" s="1">
        <v>45740</v>
      </c>
      <c r="B1407" t="s">
        <v>673</v>
      </c>
      <c r="C1407" t="s">
        <v>7</v>
      </c>
      <c r="D1407" s="2">
        <v>50</v>
      </c>
      <c r="E1407" s="2">
        <v>0</v>
      </c>
      <c r="F1407" s="2">
        <v>18026.05</v>
      </c>
      <c r="G1407" s="2" t="str">
        <f t="shared" si="22"/>
        <v>24-03-2025 UPI/P2M/465258362030/KUNAL EAKNATH MAKUNE /Milk/YES BANK LIMITED YBS</v>
      </c>
      <c r="H1407" s="2" t="s">
        <v>1911</v>
      </c>
      <c r="I1407" t="s">
        <v>356</v>
      </c>
      <c r="J1407" t="s">
        <v>1895</v>
      </c>
    </row>
    <row r="1408" spans="1:11" x14ac:dyDescent="0.3">
      <c r="A1408" s="1">
        <v>45741</v>
      </c>
      <c r="B1408" t="s">
        <v>1729</v>
      </c>
      <c r="D1408" s="2">
        <v>0</v>
      </c>
      <c r="E1408" s="2">
        <v>129</v>
      </c>
      <c r="F1408" s="2">
        <v>20977.9</v>
      </c>
      <c r="G1408" s="2" t="str">
        <f t="shared" si="22"/>
        <v>25-03-2025    CREDIT INTEREST---</v>
      </c>
      <c r="H1408" s="2" t="s">
        <v>1911</v>
      </c>
      <c r="I1408" t="s">
        <v>370</v>
      </c>
      <c r="J1408" t="s">
        <v>1899</v>
      </c>
    </row>
    <row r="1409" spans="1:10" x14ac:dyDescent="0.3">
      <c r="A1409" s="1">
        <v>45741</v>
      </c>
      <c r="B1409" t="s">
        <v>1729</v>
      </c>
      <c r="D1409" s="2">
        <v>0</v>
      </c>
      <c r="E1409" s="2">
        <v>19</v>
      </c>
      <c r="F1409" s="2">
        <v>5390</v>
      </c>
      <c r="G1409" s="2" t="str">
        <f t="shared" si="22"/>
        <v>25-03-2025    CREDIT INTEREST---</v>
      </c>
      <c r="H1409" s="2" t="s">
        <v>1911</v>
      </c>
      <c r="I1409" t="s">
        <v>370</v>
      </c>
      <c r="J1409" t="s">
        <v>1900</v>
      </c>
    </row>
    <row r="1410" spans="1:10" x14ac:dyDescent="0.3">
      <c r="A1410" s="1">
        <v>45741</v>
      </c>
      <c r="B1410" t="s">
        <v>1729</v>
      </c>
      <c r="D1410" s="2">
        <v>0</v>
      </c>
      <c r="E1410" s="2">
        <v>47</v>
      </c>
      <c r="F1410" s="8">
        <v>7115</v>
      </c>
      <c r="G1410" s="2" t="str">
        <f t="shared" si="22"/>
        <v>25-03-2025    CREDIT INTEREST---</v>
      </c>
      <c r="H1410" s="2" t="s">
        <v>1911</v>
      </c>
      <c r="I1410" t="s">
        <v>370</v>
      </c>
      <c r="J1410" t="s">
        <v>1902</v>
      </c>
    </row>
    <row r="1411" spans="1:10" x14ac:dyDescent="0.3">
      <c r="A1411" s="1">
        <v>45741</v>
      </c>
      <c r="B1411" t="s">
        <v>1689</v>
      </c>
      <c r="C1411" t="s">
        <v>1690</v>
      </c>
      <c r="D1411" s="2">
        <v>0</v>
      </c>
      <c r="E1411" s="2">
        <v>9643.35</v>
      </c>
      <c r="F1411" s="2">
        <v>68193.11</v>
      </c>
      <c r="G1411" s="2" t="str">
        <f t="shared" si="22"/>
        <v>25-03-2025 FT- 621374011-50200085415108 - HDFC SECURITIES LTD-CLIENT DSCNB A/C -</v>
      </c>
      <c r="H1411" s="2" t="s">
        <v>1911</v>
      </c>
      <c r="I1411" t="s">
        <v>1876</v>
      </c>
      <c r="J1411" t="s">
        <v>1896</v>
      </c>
    </row>
    <row r="1412" spans="1:10" x14ac:dyDescent="0.3">
      <c r="A1412" s="1">
        <v>45741</v>
      </c>
      <c r="B1412" t="s">
        <v>1691</v>
      </c>
      <c r="C1412" t="s">
        <v>1692</v>
      </c>
      <c r="D1412" s="2">
        <v>0</v>
      </c>
      <c r="E1412" s="2">
        <v>17329.54</v>
      </c>
      <c r="F1412" s="2">
        <v>85522.65</v>
      </c>
      <c r="G1412" s="2" t="str">
        <f t="shared" si="22"/>
        <v>25-03-2025 FT- 621339324-50200085415108 - HDFC SECURITIES LTD-CLIENT DSCNB A/C -</v>
      </c>
      <c r="H1412" s="2" t="s">
        <v>1911</v>
      </c>
      <c r="I1412" t="s">
        <v>1876</v>
      </c>
      <c r="J1412" t="s">
        <v>1896</v>
      </c>
    </row>
    <row r="1413" spans="1:10" x14ac:dyDescent="0.3">
      <c r="A1413" s="1">
        <v>45741</v>
      </c>
      <c r="B1413" t="s">
        <v>125</v>
      </c>
      <c r="C1413" t="s">
        <v>1693</v>
      </c>
      <c r="D1413" s="2">
        <v>385.06</v>
      </c>
      <c r="E1413" s="2">
        <v>0</v>
      </c>
      <c r="F1413" s="2">
        <v>85137.59</v>
      </c>
      <c r="G1413" s="2" t="str">
        <f t="shared" si="22"/>
        <v>25-03-2025 NET PI TO HSL SEC A/C 347707-00602340029392</v>
      </c>
      <c r="H1413" s="2" t="s">
        <v>1911</v>
      </c>
      <c r="I1413" t="s">
        <v>361</v>
      </c>
      <c r="J1413" t="s">
        <v>1896</v>
      </c>
    </row>
    <row r="1414" spans="1:10" x14ac:dyDescent="0.3">
      <c r="A1414" s="1">
        <v>45741</v>
      </c>
      <c r="B1414" t="s">
        <v>125</v>
      </c>
      <c r="C1414" t="s">
        <v>1694</v>
      </c>
      <c r="D1414" s="2">
        <v>21360.78</v>
      </c>
      <c r="E1414" s="2">
        <v>0</v>
      </c>
      <c r="F1414" s="2">
        <v>63776.81</v>
      </c>
      <c r="G1414" s="2" t="str">
        <f t="shared" si="22"/>
        <v>25-03-2025 NET PI TO HSL SEC A/C 347707-00602340029392</v>
      </c>
      <c r="H1414" s="2" t="s">
        <v>1911</v>
      </c>
      <c r="I1414" t="s">
        <v>361</v>
      </c>
      <c r="J1414" t="s">
        <v>1896</v>
      </c>
    </row>
    <row r="1415" spans="1:10" x14ac:dyDescent="0.3">
      <c r="A1415" s="1">
        <v>45741</v>
      </c>
      <c r="B1415" t="s">
        <v>674</v>
      </c>
      <c r="C1415" t="s">
        <v>7</v>
      </c>
      <c r="D1415" s="2">
        <v>800</v>
      </c>
      <c r="E1415" s="2">
        <v>0</v>
      </c>
      <c r="F1415" s="2">
        <v>17226.05</v>
      </c>
      <c r="G1415" s="2" t="str">
        <f t="shared" si="22"/>
        <v>25-03-2025 UPI/P2A/080889426369/HARSHA DEEPAK BALWANI/Cake/AXIS BANK</v>
      </c>
      <c r="H1415" s="2" t="s">
        <v>1911</v>
      </c>
      <c r="I1415" t="s">
        <v>356</v>
      </c>
      <c r="J1415" t="s">
        <v>1895</v>
      </c>
    </row>
    <row r="1416" spans="1:10" x14ac:dyDescent="0.3">
      <c r="A1416" s="1">
        <v>45741</v>
      </c>
      <c r="B1416" t="s">
        <v>675</v>
      </c>
      <c r="C1416" t="s">
        <v>7</v>
      </c>
      <c r="D1416" s="2">
        <v>358</v>
      </c>
      <c r="E1416" s="2">
        <v>0</v>
      </c>
      <c r="F1416" s="2">
        <v>16868.05</v>
      </c>
      <c r="G1416" s="2" t="str">
        <f t="shared" si="22"/>
        <v>25-03-2025 UPI/P2M/508965712118/JEET PHARMACY AND MIN/Medice/AXIS BANK</v>
      </c>
      <c r="H1416" s="2" t="s">
        <v>1911</v>
      </c>
      <c r="I1416" t="s">
        <v>356</v>
      </c>
      <c r="J1416" t="s">
        <v>1895</v>
      </c>
    </row>
    <row r="1417" spans="1:10" x14ac:dyDescent="0.3">
      <c r="A1417" s="1">
        <v>45742</v>
      </c>
      <c r="B1417" t="s">
        <v>1695</v>
      </c>
      <c r="C1417" t="s">
        <v>1696</v>
      </c>
      <c r="D1417" s="2">
        <v>0</v>
      </c>
      <c r="E1417" s="2">
        <v>895.37</v>
      </c>
      <c r="F1417" s="2">
        <v>64672.18</v>
      </c>
      <c r="G1417" s="2" t="str">
        <f t="shared" si="22"/>
        <v>26-03-2025 FT- 621797766-50200085415108 - HDFC SECURITIES LTD-CLIENT DSCNB A/C -</v>
      </c>
      <c r="H1417" s="2" t="s">
        <v>1911</v>
      </c>
      <c r="I1417" t="s">
        <v>1876</v>
      </c>
      <c r="J1417" t="s">
        <v>1896</v>
      </c>
    </row>
    <row r="1418" spans="1:10" x14ac:dyDescent="0.3">
      <c r="A1418" s="1">
        <v>45742</v>
      </c>
      <c r="B1418" t="s">
        <v>125</v>
      </c>
      <c r="C1418" t="s">
        <v>1697</v>
      </c>
      <c r="D1418" s="2">
        <v>385.35</v>
      </c>
      <c r="E1418" s="2">
        <v>0</v>
      </c>
      <c r="F1418" s="2">
        <v>64286.83</v>
      </c>
      <c r="G1418" s="2" t="str">
        <f t="shared" si="22"/>
        <v>26-03-2025 NET PI TO HSL SEC A/C 347707-00602340029392</v>
      </c>
      <c r="H1418" s="2" t="s">
        <v>1911</v>
      </c>
      <c r="I1418" t="s">
        <v>361</v>
      </c>
      <c r="J1418" t="s">
        <v>1896</v>
      </c>
    </row>
    <row r="1419" spans="1:10" x14ac:dyDescent="0.3">
      <c r="A1419" s="1">
        <v>45742</v>
      </c>
      <c r="B1419" t="s">
        <v>125</v>
      </c>
      <c r="C1419" t="s">
        <v>1698</v>
      </c>
      <c r="D1419" s="2">
        <v>33262.089999999997</v>
      </c>
      <c r="E1419" s="2">
        <v>0</v>
      </c>
      <c r="F1419" s="2">
        <v>31024.74</v>
      </c>
      <c r="G1419" s="2" t="str">
        <f t="shared" si="22"/>
        <v>26-03-2025 NET PI TO HSL SEC A/C 347707-00602340029392</v>
      </c>
      <c r="H1419" s="2" t="s">
        <v>1911</v>
      </c>
      <c r="I1419" t="s">
        <v>361</v>
      </c>
      <c r="J1419" t="s">
        <v>1896</v>
      </c>
    </row>
    <row r="1420" spans="1:10" x14ac:dyDescent="0.3">
      <c r="A1420" s="1">
        <v>45742</v>
      </c>
      <c r="B1420" t="s">
        <v>125</v>
      </c>
      <c r="C1420" t="s">
        <v>1699</v>
      </c>
      <c r="D1420" s="2">
        <v>2964.7</v>
      </c>
      <c r="E1420" s="2">
        <v>0</v>
      </c>
      <c r="F1420" s="2">
        <v>28060.04</v>
      </c>
      <c r="G1420" s="2" t="str">
        <f t="shared" si="22"/>
        <v>26-03-2025 NET PI TO HSL SEC A/C 347707-00602340029392</v>
      </c>
      <c r="H1420" s="2" t="s">
        <v>1911</v>
      </c>
      <c r="I1420" t="s">
        <v>361</v>
      </c>
      <c r="J1420" t="s">
        <v>1896</v>
      </c>
    </row>
    <row r="1421" spans="1:10" x14ac:dyDescent="0.3">
      <c r="A1421" s="1">
        <v>45742</v>
      </c>
      <c r="B1421" t="s">
        <v>676</v>
      </c>
      <c r="C1421" t="s">
        <v>7</v>
      </c>
      <c r="D1421" s="2">
        <v>5000</v>
      </c>
      <c r="E1421" s="2">
        <v>0</v>
      </c>
      <c r="F1421" s="2">
        <v>11868.05</v>
      </c>
      <c r="G1421" s="2" t="str">
        <f t="shared" si="22"/>
        <v>26-03-2025 UPI/P2A/017859867839/ARCHIT GUPTA         /Paymen/AXIS BANK</v>
      </c>
      <c r="H1421" s="2" t="s">
        <v>1911</v>
      </c>
      <c r="I1421" t="s">
        <v>368</v>
      </c>
      <c r="J1421" t="s">
        <v>1895</v>
      </c>
    </row>
    <row r="1422" spans="1:10" x14ac:dyDescent="0.3">
      <c r="A1422" s="1">
        <v>45742</v>
      </c>
      <c r="B1422" t="s">
        <v>677</v>
      </c>
      <c r="C1422" t="s">
        <v>7</v>
      </c>
      <c r="D1422" s="2">
        <v>105</v>
      </c>
      <c r="E1422" s="2">
        <v>0</v>
      </c>
      <c r="F1422" s="2">
        <v>11763.05</v>
      </c>
      <c r="G1422" s="2" t="str">
        <f t="shared" si="22"/>
        <v>26-03-2025 UPI/P2M/116157079650/VISHWANATH NIVRUTI VA/Fruits/YES BANK LIMITED YBS</v>
      </c>
      <c r="H1422" s="2" t="s">
        <v>1911</v>
      </c>
      <c r="I1422" t="s">
        <v>356</v>
      </c>
      <c r="J1422" t="s">
        <v>1895</v>
      </c>
    </row>
    <row r="1423" spans="1:10" x14ac:dyDescent="0.3">
      <c r="A1423" s="1">
        <v>45743</v>
      </c>
      <c r="B1423" t="s">
        <v>125</v>
      </c>
      <c r="C1423" t="s">
        <v>1700</v>
      </c>
      <c r="D1423" s="2">
        <v>383.08</v>
      </c>
      <c r="E1423" s="2">
        <v>0</v>
      </c>
      <c r="F1423" s="2">
        <v>27676.959999999999</v>
      </c>
      <c r="G1423" s="2" t="str">
        <f t="shared" si="22"/>
        <v>27-03-2025 NET PI TO HSL SEC A/C 347707-00602340029392</v>
      </c>
      <c r="H1423" s="2" t="s">
        <v>1911</v>
      </c>
      <c r="I1423" t="s">
        <v>361</v>
      </c>
      <c r="J1423" t="s">
        <v>1896</v>
      </c>
    </row>
    <row r="1424" spans="1:10" x14ac:dyDescent="0.3">
      <c r="A1424" s="1">
        <v>45743</v>
      </c>
      <c r="B1424" t="s">
        <v>1701</v>
      </c>
      <c r="C1424" t="s">
        <v>1702</v>
      </c>
      <c r="D1424" s="2">
        <v>0</v>
      </c>
      <c r="E1424" s="2">
        <v>512.76</v>
      </c>
      <c r="F1424" s="2">
        <v>28189.72</v>
      </c>
      <c r="G1424" s="2" t="str">
        <f t="shared" si="22"/>
        <v>27-03-2025 FT- NI EQUITY HYBRID FUND SEG 1 RED AC - HD99 129572496 41196088676 40092989</v>
      </c>
      <c r="H1424" s="2" t="s">
        <v>1911</v>
      </c>
      <c r="I1424" t="s">
        <v>1884</v>
      </c>
      <c r="J1424" t="s">
        <v>1896</v>
      </c>
    </row>
    <row r="1425" spans="1:11" x14ac:dyDescent="0.3">
      <c r="A1425" s="1">
        <v>45743</v>
      </c>
      <c r="B1425" t="s">
        <v>678</v>
      </c>
      <c r="C1425" t="s">
        <v>7</v>
      </c>
      <c r="D1425" s="2">
        <v>94.98</v>
      </c>
      <c r="E1425" s="2">
        <v>0</v>
      </c>
      <c r="F1425" s="2">
        <v>11668.07</v>
      </c>
      <c r="G1425" s="2" t="str">
        <f t="shared" si="22"/>
        <v>27-03-2025 UPI/P2M/286782331644/WELLNESS FOREVER MEDI/Paymen/YES BANK LIMITED YBS</v>
      </c>
      <c r="H1425" s="2" t="s">
        <v>1911</v>
      </c>
      <c r="I1425" t="s">
        <v>356</v>
      </c>
      <c r="J1425" t="s">
        <v>1895</v>
      </c>
    </row>
    <row r="1426" spans="1:11" x14ac:dyDescent="0.3">
      <c r="A1426" s="1">
        <v>45744</v>
      </c>
      <c r="B1426" t="s">
        <v>1705</v>
      </c>
      <c r="C1426" t="s">
        <v>1706</v>
      </c>
      <c r="D1426" s="2">
        <v>0</v>
      </c>
      <c r="E1426" s="2">
        <v>420</v>
      </c>
      <c r="F1426" s="2">
        <v>54406.71</v>
      </c>
      <c r="G1426" s="2" t="str">
        <f t="shared" si="22"/>
        <v>28-03-2025 ACH C- HUDCO LTD-HD1403250116228</v>
      </c>
      <c r="H1426" s="2" t="s">
        <v>1911</v>
      </c>
      <c r="I1426" t="s">
        <v>367</v>
      </c>
      <c r="J1426" t="s">
        <v>1896</v>
      </c>
    </row>
    <row r="1427" spans="1:11" x14ac:dyDescent="0.3">
      <c r="A1427" s="1">
        <v>45744</v>
      </c>
      <c r="B1427" t="s">
        <v>1703</v>
      </c>
      <c r="C1427" t="s">
        <v>1704</v>
      </c>
      <c r="D1427" s="2">
        <v>0</v>
      </c>
      <c r="E1427" s="2">
        <v>25796.99</v>
      </c>
      <c r="F1427" s="2">
        <v>53986.71</v>
      </c>
      <c r="G1427" s="2" t="str">
        <f t="shared" si="22"/>
        <v>28-03-2025 FT- 622602920-50200085415108 - HDFC SECURITIES LTD-CLIENT DSCNB A/C -</v>
      </c>
      <c r="H1427" s="2" t="s">
        <v>1911</v>
      </c>
      <c r="I1427" t="s">
        <v>1876</v>
      </c>
      <c r="J1427" t="s">
        <v>1896</v>
      </c>
    </row>
    <row r="1428" spans="1:11" x14ac:dyDescent="0.3">
      <c r="A1428" s="1">
        <v>45744</v>
      </c>
      <c r="B1428" t="s">
        <v>125</v>
      </c>
      <c r="C1428" t="s">
        <v>1707</v>
      </c>
      <c r="D1428" s="2">
        <v>413.72</v>
      </c>
      <c r="E1428" s="2">
        <v>0</v>
      </c>
      <c r="F1428" s="2">
        <v>53992.99</v>
      </c>
      <c r="G1428" s="2" t="str">
        <f t="shared" si="22"/>
        <v>28-03-2025 NET PI TO HSL SEC A/C 347707-00602340029392</v>
      </c>
      <c r="H1428" s="2" t="s">
        <v>1911</v>
      </c>
      <c r="I1428" t="s">
        <v>361</v>
      </c>
      <c r="J1428" t="s">
        <v>1896</v>
      </c>
    </row>
    <row r="1429" spans="1:11" x14ac:dyDescent="0.3">
      <c r="A1429" s="1">
        <v>45744</v>
      </c>
      <c r="B1429" t="s">
        <v>125</v>
      </c>
      <c r="C1429" t="s">
        <v>1708</v>
      </c>
      <c r="D1429" s="2">
        <v>24553.9</v>
      </c>
      <c r="E1429" s="2">
        <v>0</v>
      </c>
      <c r="F1429" s="2">
        <v>29439.09</v>
      </c>
      <c r="G1429" s="2" t="str">
        <f t="shared" si="22"/>
        <v>28-03-2025 NET PI TO HSL SEC A/C 347707-00602340029392</v>
      </c>
      <c r="H1429" s="2" t="s">
        <v>1911</v>
      </c>
      <c r="I1429" t="s">
        <v>361</v>
      </c>
      <c r="J1429" t="s">
        <v>1896</v>
      </c>
    </row>
    <row r="1430" spans="1:11" x14ac:dyDescent="0.3">
      <c r="A1430" s="1">
        <v>45744</v>
      </c>
      <c r="B1430" t="s">
        <v>679</v>
      </c>
      <c r="C1430" t="s">
        <v>7</v>
      </c>
      <c r="D1430" s="2">
        <v>60</v>
      </c>
      <c r="E1430" s="2">
        <v>0</v>
      </c>
      <c r="F1430" s="2">
        <v>11608.07</v>
      </c>
      <c r="G1430" s="2" t="str">
        <f t="shared" si="22"/>
        <v>28-03-2025 UPI/P2M/408910321377/BHARAT SHIVAJI SALVE /Veguta/INDUSIND BANK LIMITE</v>
      </c>
      <c r="H1430" s="2" t="s">
        <v>1911</v>
      </c>
      <c r="I1430" t="s">
        <v>356</v>
      </c>
      <c r="J1430" t="s">
        <v>1895</v>
      </c>
    </row>
    <row r="1431" spans="1:11" x14ac:dyDescent="0.3">
      <c r="A1431" s="1">
        <v>45744</v>
      </c>
      <c r="B1431" t="s">
        <v>680</v>
      </c>
      <c r="C1431" t="s">
        <v>7</v>
      </c>
      <c r="D1431" s="2">
        <v>40</v>
      </c>
      <c r="E1431" s="2">
        <v>0</v>
      </c>
      <c r="F1431" s="2">
        <v>11568.07</v>
      </c>
      <c r="G1431" s="2" t="str">
        <f t="shared" si="22"/>
        <v>28-03-2025 UPI/P2M/705945865829/SURAJ MUNILAL YADAV  /Pay to/FEDERAL BANK</v>
      </c>
      <c r="H1431" s="2" t="s">
        <v>1911</v>
      </c>
      <c r="I1431" t="s">
        <v>356</v>
      </c>
      <c r="J1431" t="s">
        <v>1895</v>
      </c>
    </row>
    <row r="1432" spans="1:11" x14ac:dyDescent="0.3">
      <c r="A1432" s="1">
        <v>45744</v>
      </c>
      <c r="B1432" t="s">
        <v>681</v>
      </c>
      <c r="C1432" t="s">
        <v>7</v>
      </c>
      <c r="D1432" s="2">
        <v>15</v>
      </c>
      <c r="E1432" s="2">
        <v>0</v>
      </c>
      <c r="F1432" s="2">
        <v>11553.07</v>
      </c>
      <c r="G1432" s="2" t="str">
        <f t="shared" si="22"/>
        <v>28-03-2025 UPI/P2M/394962992891/AMOL SANTU DHONN     /Fruit/YES BANK LIMITED YBS</v>
      </c>
      <c r="H1432" s="2" t="s">
        <v>1911</v>
      </c>
      <c r="I1432" t="s">
        <v>356</v>
      </c>
      <c r="J1432" t="s">
        <v>1895</v>
      </c>
    </row>
    <row r="1433" spans="1:11" x14ac:dyDescent="0.3">
      <c r="A1433" s="1">
        <v>45744</v>
      </c>
      <c r="B1433" t="s">
        <v>682</v>
      </c>
      <c r="C1433" t="s">
        <v>7</v>
      </c>
      <c r="D1433" s="2">
        <v>50</v>
      </c>
      <c r="E1433" s="2">
        <v>0</v>
      </c>
      <c r="F1433" s="2">
        <v>11503.07</v>
      </c>
      <c r="G1433" s="2" t="str">
        <f t="shared" si="22"/>
        <v>28-03-2025 UPI/P2M/069282805330/KUNAL EAKNATH MAKUNE /Milk/YES BANK LIMITED YBS</v>
      </c>
      <c r="H1433" s="2" t="s">
        <v>1911</v>
      </c>
      <c r="I1433" t="s">
        <v>356</v>
      </c>
      <c r="J1433" t="s">
        <v>1895</v>
      </c>
    </row>
    <row r="1434" spans="1:11" x14ac:dyDescent="0.3">
      <c r="A1434" s="1">
        <v>45744</v>
      </c>
      <c r="B1434" t="s">
        <v>683</v>
      </c>
      <c r="C1434" t="s">
        <v>7</v>
      </c>
      <c r="D1434" s="2">
        <v>175</v>
      </c>
      <c r="E1434" s="2">
        <v>0</v>
      </c>
      <c r="F1434" s="2">
        <v>11328.07</v>
      </c>
      <c r="G1434" s="2" t="str">
        <f t="shared" si="22"/>
        <v>28-03-2025 UPI/P2M/941423325380/JEET PHARMACY AND MIN/Medice/AXIS BANK</v>
      </c>
      <c r="H1434" s="2" t="s">
        <v>1911</v>
      </c>
      <c r="I1434" t="s">
        <v>356</v>
      </c>
      <c r="J1434" t="s">
        <v>1895</v>
      </c>
    </row>
    <row r="1435" spans="1:11" x14ac:dyDescent="0.3">
      <c r="A1435" s="1">
        <v>45745</v>
      </c>
      <c r="B1435" t="s">
        <v>1711</v>
      </c>
      <c r="C1435" t="s">
        <v>1712</v>
      </c>
      <c r="D1435" s="2">
        <v>295</v>
      </c>
      <c r="E1435" s="2">
        <v>0</v>
      </c>
      <c r="F1435" s="2">
        <v>29350.59</v>
      </c>
      <c r="G1435" s="2" t="str">
        <f t="shared" si="22"/>
        <v>29-03-2025 ISAQMC-JUL-SEP24-101236 070325-MIR2508870990132</v>
      </c>
      <c r="H1435" s="2" t="s">
        <v>1911</v>
      </c>
      <c r="I1435" t="s">
        <v>365</v>
      </c>
      <c r="J1435" t="s">
        <v>1896</v>
      </c>
    </row>
    <row r="1436" spans="1:11" x14ac:dyDescent="0.3">
      <c r="A1436" s="1">
        <v>45745</v>
      </c>
      <c r="B1436" t="s">
        <v>1709</v>
      </c>
      <c r="C1436" t="s">
        <v>1710</v>
      </c>
      <c r="D1436" s="2">
        <v>0</v>
      </c>
      <c r="E1436" s="2">
        <v>206.5</v>
      </c>
      <c r="F1436" s="2">
        <v>29645.59</v>
      </c>
      <c r="G1436" s="2" t="str">
        <f t="shared" si="22"/>
        <v>29-03-2025 ACH C- POWER FINANCE CORPOR-20826452</v>
      </c>
      <c r="H1436" s="2" t="s">
        <v>1911</v>
      </c>
      <c r="I1436" t="s">
        <v>367</v>
      </c>
      <c r="J1436" t="s">
        <v>1896</v>
      </c>
    </row>
    <row r="1437" spans="1:11" x14ac:dyDescent="0.3">
      <c r="A1437" s="1">
        <v>45746</v>
      </c>
      <c r="B1437" t="s">
        <v>752</v>
      </c>
      <c r="C1437" t="s">
        <v>809</v>
      </c>
      <c r="D1437" s="2">
        <v>25000</v>
      </c>
      <c r="E1437" s="2">
        <v>0</v>
      </c>
      <c r="F1437" s="2">
        <v>-531307.37</v>
      </c>
      <c r="G1437" s="2" t="str">
        <f t="shared" si="22"/>
        <v>30-03-2025    TO TRANSFER-INB Payment towards loan repayment--</v>
      </c>
      <c r="H1437" s="2" t="s">
        <v>1911</v>
      </c>
      <c r="I1437" t="s">
        <v>1842</v>
      </c>
      <c r="J1437" t="s">
        <v>1897</v>
      </c>
      <c r="K1437" t="s">
        <v>1913</v>
      </c>
    </row>
    <row r="1438" spans="1:11" x14ac:dyDescent="0.3">
      <c r="A1438" s="1">
        <v>45746</v>
      </c>
      <c r="B1438" t="s">
        <v>758</v>
      </c>
      <c r="C1438" t="s">
        <v>1835</v>
      </c>
      <c r="D1438" s="2">
        <v>0</v>
      </c>
      <c r="E1438" s="2">
        <v>25000</v>
      </c>
      <c r="F1438" s="2">
        <v>45977.9</v>
      </c>
      <c r="G1438" s="2" t="str">
        <f t="shared" si="22"/>
        <v>30-03-2025    BY TRANSFER-INB Payment towards loan repayment--</v>
      </c>
      <c r="H1438" s="2" t="s">
        <v>1911</v>
      </c>
      <c r="I1438" t="s">
        <v>1906</v>
      </c>
      <c r="J1438" t="s">
        <v>1899</v>
      </c>
      <c r="K1438" t="s">
        <v>1913</v>
      </c>
    </row>
    <row r="1439" spans="1:11" x14ac:dyDescent="0.3">
      <c r="A1439" s="1">
        <v>45746</v>
      </c>
      <c r="B1439" t="s">
        <v>1713</v>
      </c>
      <c r="C1439" t="s">
        <v>1714</v>
      </c>
      <c r="D1439" s="2">
        <v>15000</v>
      </c>
      <c r="E1439" s="2">
        <v>0</v>
      </c>
      <c r="F1439" s="2">
        <v>14350.59</v>
      </c>
      <c r="G1439" s="2" t="str">
        <f t="shared" si="22"/>
        <v>30-03-2025 50200107580335-TPT-SOCIETY MAINTENANCE CHARGE-ISHWAR PARADISE CO OP HSG SOCIETY LTD</v>
      </c>
      <c r="H1439" s="2" t="s">
        <v>1911</v>
      </c>
      <c r="I1439" t="s">
        <v>1858</v>
      </c>
      <c r="J1439" t="s">
        <v>1896</v>
      </c>
    </row>
    <row r="1440" spans="1:11" x14ac:dyDescent="0.3">
      <c r="A1440" s="1">
        <v>45746</v>
      </c>
      <c r="B1440" t="s">
        <v>684</v>
      </c>
      <c r="C1440" t="s">
        <v>7</v>
      </c>
      <c r="D1440" s="2">
        <v>30</v>
      </c>
      <c r="E1440" s="2">
        <v>0</v>
      </c>
      <c r="F1440" s="2">
        <v>11298.07</v>
      </c>
      <c r="G1440" s="2" t="str">
        <f t="shared" si="22"/>
        <v>30-03-2025 UPI/P2M/894384860287/AMOL SANTU DHONN     /Fruits/YES BANK LIMITED YBS</v>
      </c>
      <c r="H1440" s="2" t="s">
        <v>1911</v>
      </c>
      <c r="I1440" t="s">
        <v>356</v>
      </c>
      <c r="J1440" t="s">
        <v>1895</v>
      </c>
    </row>
    <row r="1441" spans="1:10" x14ac:dyDescent="0.3">
      <c r="A1441" s="1">
        <v>45747</v>
      </c>
      <c r="B1441" t="s">
        <v>1905</v>
      </c>
      <c r="C1441" t="s">
        <v>140</v>
      </c>
      <c r="D1441" s="2">
        <v>0</v>
      </c>
      <c r="E1441">
        <v>2742</v>
      </c>
      <c r="F1441" s="8">
        <v>17092.59</v>
      </c>
      <c r="G1441" s="2" t="str">
        <f t="shared" si="22"/>
        <v>31-03-2025 INTEREST PAID TILL 31-MAR-2025</v>
      </c>
      <c r="H1441" s="2" t="s">
        <v>1911</v>
      </c>
      <c r="I1441" t="s">
        <v>370</v>
      </c>
      <c r="J1441" t="s">
        <v>1896</v>
      </c>
    </row>
    <row r="1442" spans="1:10" x14ac:dyDescent="0.3">
      <c r="A1442" s="1">
        <v>45747</v>
      </c>
      <c r="B1442" t="s">
        <v>685</v>
      </c>
      <c r="C1442" t="s">
        <v>7</v>
      </c>
      <c r="D1442" s="2">
        <v>50</v>
      </c>
      <c r="E1442" s="2">
        <v>0</v>
      </c>
      <c r="F1442" s="2">
        <v>11248.07</v>
      </c>
      <c r="G1442" s="2" t="str">
        <f t="shared" si="22"/>
        <v>31-03-2025 UPI/P2M/144613817533/BHARAT SHIVAJI SALVE /Fruits/INDUSIND BANK LIMITE</v>
      </c>
      <c r="H1442" s="2" t="s">
        <v>1911</v>
      </c>
      <c r="I1442" t="s">
        <v>356</v>
      </c>
      <c r="J1442" t="s">
        <v>1895</v>
      </c>
    </row>
    <row r="1443" spans="1:10" x14ac:dyDescent="0.3">
      <c r="A1443" s="1">
        <v>45747</v>
      </c>
      <c r="B1443" t="s">
        <v>686</v>
      </c>
      <c r="C1443" t="s">
        <v>7</v>
      </c>
      <c r="D1443" s="2">
        <v>50</v>
      </c>
      <c r="E1443" s="2">
        <v>0</v>
      </c>
      <c r="F1443" s="2">
        <v>11198.07</v>
      </c>
      <c r="G1443" s="2" t="str">
        <f t="shared" si="22"/>
        <v>31-03-2025 UPI/P2M/645912733108/KRUSHIKESH P BHADANE /Zaeda/YES BANK LIMITED YBS</v>
      </c>
      <c r="H1443" s="2" t="s">
        <v>1911</v>
      </c>
      <c r="I1443" t="s">
        <v>356</v>
      </c>
      <c r="J1443" t="s">
        <v>1895</v>
      </c>
    </row>
    <row r="1444" spans="1:10" x14ac:dyDescent="0.3">
      <c r="A1444" s="1">
        <v>45748</v>
      </c>
      <c r="B1444" t="s">
        <v>1904</v>
      </c>
      <c r="C1444" t="s">
        <v>7</v>
      </c>
      <c r="D1444" s="2">
        <v>0</v>
      </c>
      <c r="E1444">
        <v>494</v>
      </c>
      <c r="F1444" s="8">
        <v>11692.07</v>
      </c>
      <c r="G1444" s="2" t="str">
        <f t="shared" si="22"/>
        <v>01-04-2025 SB:910010047943167:Int.Pd:01-01-2025 to 31-03-2025</v>
      </c>
      <c r="H1444" s="2" t="s">
        <v>1911</v>
      </c>
      <c r="I1444" t="s">
        <v>370</v>
      </c>
      <c r="J1444" t="s">
        <v>1895</v>
      </c>
    </row>
    <row r="1445" spans="1:10" x14ac:dyDescent="0.3">
      <c r="D1445" s="24"/>
      <c r="F1445" s="2"/>
    </row>
    <row r="1446" spans="1:10" x14ac:dyDescent="0.3">
      <c r="F1446" s="8"/>
    </row>
  </sheetData>
  <autoFilter ref="A4:N1444" xr:uid="{5F687708-0099-4A5E-A2F1-6EDFB40E6CA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E9EF-E28D-4AEB-9186-6652E5408A72}">
  <dimension ref="A1:J26"/>
  <sheetViews>
    <sheetView workbookViewId="0">
      <selection activeCell="C20" sqref="C20"/>
    </sheetView>
  </sheetViews>
  <sheetFormatPr defaultRowHeight="14.4" x14ac:dyDescent="0.3"/>
  <cols>
    <col min="1" max="2" width="9.6640625" bestFit="1" customWidth="1"/>
    <col min="3" max="3" width="42.44140625" bestFit="1" customWidth="1"/>
  </cols>
  <sheetData>
    <row r="1" spans="1:2" x14ac:dyDescent="0.3">
      <c r="A1" t="s">
        <v>715</v>
      </c>
      <c r="B1" t="s">
        <v>716</v>
      </c>
    </row>
    <row r="2" spans="1:2" x14ac:dyDescent="0.3">
      <c r="A2" t="s">
        <v>717</v>
      </c>
      <c r="B2" t="s">
        <v>718</v>
      </c>
    </row>
    <row r="3" spans="1:2" x14ac:dyDescent="0.3">
      <c r="A3" t="s">
        <v>719</v>
      </c>
      <c r="B3" t="s">
        <v>720</v>
      </c>
    </row>
    <row r="4" spans="1:2" x14ac:dyDescent="0.3">
      <c r="A4" t="s">
        <v>719</v>
      </c>
      <c r="B4" t="s">
        <v>721</v>
      </c>
    </row>
    <row r="5" spans="1:2" x14ac:dyDescent="0.3">
      <c r="A5" t="s">
        <v>719</v>
      </c>
      <c r="B5" t="s">
        <v>722</v>
      </c>
    </row>
    <row r="6" spans="1:2" x14ac:dyDescent="0.3">
      <c r="A6" t="s">
        <v>723</v>
      </c>
      <c r="B6" s="7">
        <v>45747</v>
      </c>
    </row>
    <row r="7" spans="1:2" x14ac:dyDescent="0.3">
      <c r="A7" t="s">
        <v>724</v>
      </c>
      <c r="B7" t="s">
        <v>1715</v>
      </c>
    </row>
    <row r="8" spans="1:2" x14ac:dyDescent="0.3">
      <c r="A8" t="s">
        <v>726</v>
      </c>
      <c r="B8" t="s">
        <v>1716</v>
      </c>
    </row>
    <row r="9" spans="1:2" x14ac:dyDescent="0.3">
      <c r="A9" t="s">
        <v>728</v>
      </c>
      <c r="B9" t="s">
        <v>1717</v>
      </c>
    </row>
    <row r="10" spans="1:2" x14ac:dyDescent="0.3">
      <c r="A10" t="s">
        <v>730</v>
      </c>
      <c r="B10">
        <v>0</v>
      </c>
    </row>
    <row r="11" spans="1:2" x14ac:dyDescent="0.3">
      <c r="A11" t="s">
        <v>731</v>
      </c>
      <c r="B11">
        <v>2.7</v>
      </c>
    </row>
    <row r="12" spans="1:2" x14ac:dyDescent="0.3">
      <c r="A12" t="s">
        <v>1718</v>
      </c>
      <c r="B12">
        <v>0</v>
      </c>
    </row>
    <row r="13" spans="1:2" x14ac:dyDescent="0.3">
      <c r="A13" t="s">
        <v>732</v>
      </c>
      <c r="B13" t="s">
        <v>733</v>
      </c>
    </row>
    <row r="14" spans="1:2" x14ac:dyDescent="0.3">
      <c r="A14" t="s">
        <v>734</v>
      </c>
      <c r="B14" t="s">
        <v>1719</v>
      </c>
    </row>
    <row r="15" spans="1:2" x14ac:dyDescent="0.3">
      <c r="A15" t="s">
        <v>1720</v>
      </c>
    </row>
    <row r="16" spans="1:2" x14ac:dyDescent="0.3">
      <c r="A16" t="s">
        <v>736</v>
      </c>
      <c r="B16" t="s">
        <v>1721</v>
      </c>
    </row>
    <row r="17" spans="1:10" x14ac:dyDescent="0.3">
      <c r="A17" t="s">
        <v>738</v>
      </c>
      <c r="B17" t="s">
        <v>739</v>
      </c>
    </row>
    <row r="18" spans="1:10" x14ac:dyDescent="0.3">
      <c r="A18" t="s">
        <v>740</v>
      </c>
      <c r="B18" s="5">
        <v>4266</v>
      </c>
    </row>
    <row r="19" spans="1:10" x14ac:dyDescent="0.3">
      <c r="A19" t="s">
        <v>741</v>
      </c>
      <c r="B19" s="7">
        <v>45383</v>
      </c>
    </row>
    <row r="20" spans="1:10" x14ac:dyDescent="0.3">
      <c r="A20" t="s">
        <v>742</v>
      </c>
      <c r="B20" s="7">
        <v>45747</v>
      </c>
    </row>
    <row r="21" spans="1:10" x14ac:dyDescent="0.3">
      <c r="A21" t="s">
        <v>698</v>
      </c>
      <c r="B21" t="s">
        <v>743</v>
      </c>
      <c r="C21" t="s">
        <v>699</v>
      </c>
      <c r="D21" t="s">
        <v>744</v>
      </c>
      <c r="E21" t="s">
        <v>745</v>
      </c>
      <c r="F21" t="s">
        <v>746</v>
      </c>
      <c r="G21" t="s">
        <v>747</v>
      </c>
      <c r="H21" t="s">
        <v>119</v>
      </c>
    </row>
    <row r="22" spans="1:10" x14ac:dyDescent="0.3">
      <c r="A22" s="7">
        <v>45685</v>
      </c>
      <c r="B22" s="7">
        <v>45685</v>
      </c>
      <c r="C22" t="s">
        <v>1722</v>
      </c>
      <c r="D22" t="s">
        <v>1723</v>
      </c>
      <c r="E22" s="2">
        <v>4266</v>
      </c>
      <c r="F22" s="2">
        <v>0</v>
      </c>
      <c r="G22" s="2">
        <v>0</v>
      </c>
    </row>
    <row r="23" spans="1:10" x14ac:dyDescent="0.3">
      <c r="A23" s="7">
        <v>45685</v>
      </c>
      <c r="B23" s="7">
        <v>45685</v>
      </c>
      <c r="C23" t="s">
        <v>1724</v>
      </c>
      <c r="D23" t="s">
        <v>1725</v>
      </c>
      <c r="E23" s="2">
        <v>0</v>
      </c>
      <c r="F23" s="2">
        <v>4471</v>
      </c>
      <c r="G23" s="2">
        <v>4471</v>
      </c>
      <c r="J23" s="8">
        <f>F23-E22</f>
        <v>205</v>
      </c>
    </row>
    <row r="24" spans="1:10" x14ac:dyDescent="0.3">
      <c r="A24" s="7">
        <v>45685</v>
      </c>
      <c r="B24" s="7">
        <v>45685</v>
      </c>
      <c r="C24" t="s">
        <v>1726</v>
      </c>
      <c r="E24" s="2">
        <v>100</v>
      </c>
      <c r="F24" s="2">
        <v>0</v>
      </c>
      <c r="G24" s="2">
        <v>4371</v>
      </c>
      <c r="H24" t="s">
        <v>1836</v>
      </c>
    </row>
    <row r="25" spans="1:10" x14ac:dyDescent="0.3">
      <c r="A25" s="7">
        <v>45739</v>
      </c>
      <c r="B25" s="7">
        <v>45739</v>
      </c>
      <c r="C25" t="s">
        <v>1727</v>
      </c>
      <c r="D25" t="s">
        <v>1728</v>
      </c>
      <c r="E25" s="2">
        <v>0</v>
      </c>
      <c r="F25" s="2">
        <v>1000</v>
      </c>
      <c r="G25" s="2">
        <v>5371</v>
      </c>
      <c r="H25" t="s">
        <v>372</v>
      </c>
    </row>
    <row r="26" spans="1:10" x14ac:dyDescent="0.3">
      <c r="A26" s="7">
        <v>45741</v>
      </c>
      <c r="B26" s="7">
        <v>45741</v>
      </c>
      <c r="C26" t="s">
        <v>1729</v>
      </c>
      <c r="E26" s="2">
        <v>0</v>
      </c>
      <c r="F26" s="2">
        <v>19</v>
      </c>
      <c r="G26" s="2">
        <v>5390</v>
      </c>
      <c r="H26" t="s">
        <v>370</v>
      </c>
    </row>
  </sheetData>
  <autoFilter ref="A21:H26" xr:uid="{EF98E9EF-E28D-4AEB-9186-6652E5408A7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AXIS</vt:lpstr>
      <vt:lpstr>HDFC</vt:lpstr>
      <vt:lpstr>SBI CA</vt:lpstr>
      <vt:lpstr>BOI</vt:lpstr>
      <vt:lpstr>SBI SB Nsk</vt:lpstr>
      <vt:lpstr>Contra Summary</vt:lpstr>
      <vt:lpstr>Conso</vt:lpstr>
      <vt:lpstr>SBI SB Kota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Archit Gupta</dc:creator>
  <cp:lastModifiedBy>Archit Gupta</cp:lastModifiedBy>
  <dcterms:created xsi:type="dcterms:W3CDTF">2024-07-04T04:31:16Z</dcterms:created>
  <dcterms:modified xsi:type="dcterms:W3CDTF">2025-08-23T08:37:40Z</dcterms:modified>
</cp:coreProperties>
</file>