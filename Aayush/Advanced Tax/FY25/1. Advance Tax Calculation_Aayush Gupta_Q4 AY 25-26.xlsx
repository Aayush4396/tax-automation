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rchit\Returns\Aayush Gupta\31.03.2025\Advance Tax\Q4\"/>
    </mc:Choice>
  </mc:AlternateContent>
  <xr:revisionPtr revIDLastSave="0" documentId="13_ncr:1_{5C867E85-4ED8-49B5-9BA2-87636372971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Q2" sheetId="2" r:id="rId1"/>
    <sheet name="Q3" sheetId="1" r:id="rId2"/>
    <sheet name="Q4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Print_Area" localSheetId="0">'Q2'!$A$1:$G$45</definedName>
    <definedName name="_xlnm.Print_Area" localSheetId="1">'Q3'!$A$1:$G$47</definedName>
    <definedName name="_xlnm.Print_Area" localSheetId="2">'Q4'!$S$5:$V$16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3" l="1"/>
  <c r="U11" i="3"/>
  <c r="K61" i="3"/>
  <c r="K62" i="3"/>
  <c r="K60" i="3"/>
  <c r="J60" i="3"/>
  <c r="L60" i="3" s="1"/>
  <c r="J61" i="3"/>
  <c r="L61" i="3" s="1"/>
  <c r="I61" i="3"/>
  <c r="I62" i="3"/>
  <c r="I60" i="3"/>
  <c r="C29" i="3"/>
  <c r="C7" i="3"/>
  <c r="D29" i="3"/>
  <c r="D28" i="3"/>
  <c r="E28" i="3" s="1"/>
  <c r="U10" i="3" s="1"/>
  <c r="D23" i="3"/>
  <c r="D22" i="3"/>
  <c r="D18" i="3"/>
  <c r="D17" i="3"/>
  <c r="E29" i="3" l="1"/>
  <c r="G29" i="3" s="1"/>
  <c r="C23" i="3"/>
  <c r="C22" i="3"/>
  <c r="C21" i="3"/>
  <c r="C18" i="3"/>
  <c r="C17" i="3"/>
  <c r="C16" i="3"/>
  <c r="H10" i="3" l="1"/>
  <c r="C6" i="3"/>
  <c r="H6" i="3"/>
  <c r="C49" i="3"/>
  <c r="C37" i="3"/>
  <c r="E23" i="3"/>
  <c r="G23" i="3" s="1"/>
  <c r="E21" i="3"/>
  <c r="G21" i="3" s="1"/>
  <c r="E16" i="3"/>
  <c r="M5" i="3"/>
  <c r="M4" i="3"/>
  <c r="D20" i="1"/>
  <c r="D19" i="1"/>
  <c r="D15" i="1"/>
  <c r="D14" i="1"/>
  <c r="C18" i="1"/>
  <c r="C19" i="1"/>
  <c r="C20" i="1"/>
  <c r="C15" i="1"/>
  <c r="C13" i="1"/>
  <c r="C14" i="1"/>
  <c r="U9" i="3" l="1"/>
  <c r="C9" i="3"/>
  <c r="E22" i="3"/>
  <c r="G22" i="3" s="1"/>
  <c r="E18" i="3"/>
  <c r="E17" i="3"/>
  <c r="G16" i="3"/>
  <c r="C41" i="2"/>
  <c r="C29" i="2"/>
  <c r="K6" i="2" s="1"/>
  <c r="C20" i="2"/>
  <c r="E20" i="2" s="1"/>
  <c r="C19" i="2"/>
  <c r="E19" i="2" s="1"/>
  <c r="G19" i="2" s="1"/>
  <c r="C18" i="2"/>
  <c r="E18" i="2" s="1"/>
  <c r="G18" i="2" s="1"/>
  <c r="D15" i="2"/>
  <c r="C15" i="2"/>
  <c r="D14" i="2"/>
  <c r="C14" i="2"/>
  <c r="E14" i="2" s="1"/>
  <c r="G14" i="2" s="1"/>
  <c r="D13" i="2"/>
  <c r="C13" i="2"/>
  <c r="E13" i="2" s="1"/>
  <c r="C8" i="2"/>
  <c r="M5" i="2"/>
  <c r="M4" i="2"/>
  <c r="C41" i="1"/>
  <c r="D13" i="1"/>
  <c r="G17" i="3" l="1"/>
  <c r="D65" i="3"/>
  <c r="C65" i="3"/>
  <c r="U7" i="3" s="1"/>
  <c r="C62" i="3"/>
  <c r="C60" i="3"/>
  <c r="J62" i="3" s="1"/>
  <c r="L62" i="3" s="1"/>
  <c r="L63" i="3" s="1"/>
  <c r="C64" i="3" s="1"/>
  <c r="D64" i="3"/>
  <c r="K6" i="3"/>
  <c r="C61" i="3"/>
  <c r="D66" i="3"/>
  <c r="C31" i="3"/>
  <c r="C39" i="3" s="1"/>
  <c r="M6" i="3"/>
  <c r="M11" i="3" s="1"/>
  <c r="C63" i="3"/>
  <c r="C41" i="3"/>
  <c r="G18" i="3"/>
  <c r="C66" i="3" s="1"/>
  <c r="U8" i="3" s="1"/>
  <c r="E15" i="2"/>
  <c r="G15" i="2" s="1"/>
  <c r="G20" i="2"/>
  <c r="C33" i="2"/>
  <c r="G13" i="2"/>
  <c r="C22" i="2"/>
  <c r="C31" i="2" s="1"/>
  <c r="C38" i="2"/>
  <c r="M6" i="2"/>
  <c r="M10" i="2" s="1"/>
  <c r="K10" i="2"/>
  <c r="M5" i="1"/>
  <c r="M4" i="1"/>
  <c r="C8" i="1"/>
  <c r="C29" i="1"/>
  <c r="K6" i="1" s="1"/>
  <c r="D67" i="3" l="1"/>
  <c r="D68" i="3" s="1"/>
  <c r="M12" i="3"/>
  <c r="C45" i="3"/>
  <c r="C43" i="3"/>
  <c r="K11" i="3"/>
  <c r="C46" i="3"/>
  <c r="C52" i="1"/>
  <c r="C35" i="2"/>
  <c r="C49" i="2" s="1"/>
  <c r="C37" i="2"/>
  <c r="C39" i="2" s="1"/>
  <c r="C43" i="2" s="1"/>
  <c r="C45" i="2" s="1"/>
  <c r="M11" i="2"/>
  <c r="K10" i="1"/>
  <c r="M6" i="1"/>
  <c r="M10" i="1" s="1"/>
  <c r="C47" i="3" l="1"/>
  <c r="C51" i="3" s="1"/>
  <c r="C37" i="1"/>
  <c r="C56" i="1"/>
  <c r="M11" i="1"/>
  <c r="E19" i="1"/>
  <c r="G19" i="1" s="1"/>
  <c r="E20" i="1"/>
  <c r="E18" i="1"/>
  <c r="G18" i="1" s="1"/>
  <c r="E14" i="1"/>
  <c r="E15" i="1"/>
  <c r="E13" i="1"/>
  <c r="C53" i="3" l="1"/>
  <c r="C55" i="3" s="1"/>
  <c r="G15" i="1"/>
  <c r="C58" i="1" s="1"/>
  <c r="C53" i="1"/>
  <c r="G14" i="1"/>
  <c r="C57" i="1" s="1"/>
  <c r="C54" i="1"/>
  <c r="G20" i="1"/>
  <c r="C33" i="1"/>
  <c r="C22" i="1"/>
  <c r="G13" i="1"/>
  <c r="C38" i="1" l="1"/>
  <c r="C39" i="1" s="1"/>
  <c r="C55" i="1"/>
  <c r="C31" i="1"/>
  <c r="C35" i="1" s="1"/>
  <c r="C43" i="1" l="1"/>
  <c r="C45" i="1" s="1"/>
  <c r="C47" i="1" s="1"/>
</calcChain>
</file>

<file path=xl/sharedStrings.xml><?xml version="1.0" encoding="utf-8"?>
<sst xmlns="http://schemas.openxmlformats.org/spreadsheetml/2006/main" count="149" uniqueCount="60">
  <si>
    <t>HDFC</t>
  </si>
  <si>
    <t>Before 22.07.2024</t>
  </si>
  <si>
    <t>After 22.07.2024</t>
  </si>
  <si>
    <t>LTCG</t>
  </si>
  <si>
    <t>SPEC</t>
  </si>
  <si>
    <t>STCG</t>
  </si>
  <si>
    <t>Tax Rate</t>
  </si>
  <si>
    <t>CG</t>
  </si>
  <si>
    <t>Other Income</t>
  </si>
  <si>
    <t>Bank Interest</t>
  </si>
  <si>
    <t>Dividend</t>
  </si>
  <si>
    <t>FDR Interest</t>
  </si>
  <si>
    <t>GTI</t>
  </si>
  <si>
    <t>LTCG Rebate</t>
  </si>
  <si>
    <t>Total Income</t>
  </si>
  <si>
    <t>Total CG</t>
  </si>
  <si>
    <t>FY 2024-25</t>
  </si>
  <si>
    <t>HEC @4%</t>
  </si>
  <si>
    <t>Aayush Gupta</t>
  </si>
  <si>
    <t>Income From Salary</t>
  </si>
  <si>
    <t>Gross Salary</t>
  </si>
  <si>
    <t>Std Dedn</t>
  </si>
  <si>
    <t>6-9</t>
  </si>
  <si>
    <t>9-12</t>
  </si>
  <si>
    <t>12-15</t>
  </si>
  <si>
    <t>&gt;15</t>
  </si>
  <si>
    <t>0-3</t>
  </si>
  <si>
    <t>3-7</t>
  </si>
  <si>
    <t>less TDS</t>
  </si>
  <si>
    <t>Total Tax</t>
  </si>
  <si>
    <t>Zerodha</t>
  </si>
  <si>
    <t>Tax on CG</t>
  </si>
  <si>
    <t>Income of CG</t>
  </si>
  <si>
    <t>Tax on Salary + IFOS</t>
  </si>
  <si>
    <t>Q3</t>
  </si>
  <si>
    <t>Advance Tax 75%</t>
  </si>
  <si>
    <t>Q2</t>
  </si>
  <si>
    <t>Advance Tax 45%</t>
  </si>
  <si>
    <t>Slab</t>
  </si>
  <si>
    <t>Tax on Slab</t>
  </si>
  <si>
    <t>Tax on STCG</t>
  </si>
  <si>
    <t>Tax on LTCG</t>
  </si>
  <si>
    <t>Less Advance Tax Already paid</t>
  </si>
  <si>
    <t>Advance Tax to be paid</t>
  </si>
  <si>
    <t>Q4</t>
  </si>
  <si>
    <t>Gross Salary Tibil</t>
  </si>
  <si>
    <t>Gross Salary Mphasis</t>
  </si>
  <si>
    <t>Equity</t>
  </si>
  <si>
    <t>Mutual Funds</t>
  </si>
  <si>
    <t>Debt Purchase after 01.04.2023</t>
  </si>
  <si>
    <t>Ramah</t>
  </si>
  <si>
    <t>SLAB</t>
  </si>
  <si>
    <t>Short Term profit Equity After 22.07.2024</t>
  </si>
  <si>
    <t>Advance Tax 100%</t>
  </si>
  <si>
    <t>To be paid</t>
  </si>
  <si>
    <t>On Debt</t>
  </si>
  <si>
    <t>On IFOS</t>
  </si>
  <si>
    <t>Advance Tax Already Paid</t>
  </si>
  <si>
    <t>Total Tax to be paid</t>
  </si>
  <si>
    <t>Tax to be Paid before 15.03.2025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</si>
</sst>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2" fillId="0" borderId="0" xfId="0" applyNumberFormat="1" applyFont="1"/>
    <xf numFmtId="0" fontId="2" fillId="0" borderId="0" xfId="0" applyFont="1"/>
    <xf numFmtId="164" fontId="2" fillId="0" borderId="0" xfId="1" applyNumberFormat="1" applyFont="1"/>
    <xf numFmtId="164" fontId="1" fillId="0" borderId="0" xfId="1" applyNumberFormat="1" applyFont="1"/>
    <xf numFmtId="0" fontId="0" fillId="0" borderId="0" xfId="0" quotePrefix="1"/>
    <xf numFmtId="14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2\Aayush_HDFC_2554606_CapitalGainLoss_Details_for_Equity.xlsx" TargetMode="External"/><Relationship Id="rId1" Type="http://schemas.openxmlformats.org/officeDocument/2006/relationships/externalLinkPath" Target="/Archit/Returns/Aayush%20Gupta/31.03.2025/Advance%20Tax/Q2/Aayush_HDFC_2554606_CapitalGainLoss_Details_for_Equ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2\taxpnl-LE1860-2024_2025-Q1-Q2.xlsx" TargetMode="External"/><Relationship Id="rId1" Type="http://schemas.openxmlformats.org/officeDocument/2006/relationships/externalLinkPath" Target="/Archit/Returns/Aayush%20Gupta/31.03.2025/Advance%20Tax/Q2/taxpnl-LE1860-2024_2025-Q1-Q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3\Aayush_2554606_CapitalGainLoss_Details_for_Equity.xlsx" TargetMode="External"/><Relationship Id="rId1" Type="http://schemas.openxmlformats.org/officeDocument/2006/relationships/externalLinkPath" Target="/Archit/Returns/Aayush%20Gupta/31.03.2025/Advance%20Tax/Q3/Aayush_2554606_CapitalGainLoss_Details_for_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3\taxpnl-LE1860-2024_2025-Q1-Q3.xlsx" TargetMode="External"/><Relationship Id="rId1" Type="http://schemas.openxmlformats.org/officeDocument/2006/relationships/externalLinkPath" Target="/Archit/Returns/Aayush%20Gupta/31.03.2025/Advance%20Tax/Q3/taxpnl-LE1860-2024_2025-Q1-Q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4\Aayush_HDFC%20Sec%202554606_CapitalGainLoss_Details_for_Equity%20(1).xlsx" TargetMode="External"/><Relationship Id="rId1" Type="http://schemas.openxmlformats.org/officeDocument/2006/relationships/externalLinkPath" Target="Aayush_HDFC%20Sec%202554606_CapitalGainLoss_Details_for_Equit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4\taxpnl-LE1860-2024_2025-Q1-Q4.xlsx" TargetMode="External"/><Relationship Id="rId1" Type="http://schemas.openxmlformats.org/officeDocument/2006/relationships/externalLinkPath" Target="taxpnl-LE1860-2024_2025-Q1-Q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chit\Returns\Aayush%20Gupta\31.03.2025\Advance%20Tax\Q4\AAYUSH_KUMAR_GUPTA_Mutal%20Fund.xlsx" TargetMode="External"/><Relationship Id="rId1" Type="http://schemas.openxmlformats.org/officeDocument/2006/relationships/externalLinkPath" Target="AAYUSH_KUMAR_GUPTA_Mutal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54606"/>
    </sheetNames>
    <sheetDataSet>
      <sheetData sheetId="0">
        <row r="6">
          <cell r="Q6">
            <v>0</v>
          </cell>
          <cell r="R6">
            <v>0</v>
          </cell>
        </row>
        <row r="7">
          <cell r="Q7">
            <v>25505.640000000003</v>
          </cell>
          <cell r="R7">
            <v>7066.29</v>
          </cell>
        </row>
        <row r="8">
          <cell r="Q8">
            <v>68253.219999999987</v>
          </cell>
          <cell r="R8">
            <v>36747.860000000008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ewise Exits from 2024-04-01"/>
      <sheetName val="Equity"/>
      <sheetName val="Mutual Funds"/>
      <sheetName val="F&amp;O"/>
      <sheetName val="Currency"/>
      <sheetName val="Commodity"/>
      <sheetName val="Other Debits and Credits"/>
      <sheetName val="Open Positions as of 2024-09-10"/>
      <sheetName val="Open Positions as of 2024-04-01"/>
      <sheetName val="Equity Dividends"/>
      <sheetName val="Ledger Balances"/>
    </sheetNames>
    <sheetDataSet>
      <sheetData sheetId="0" refreshError="1"/>
      <sheetData sheetId="1">
        <row r="15">
          <cell r="C15">
            <v>0</v>
          </cell>
        </row>
        <row r="16">
          <cell r="C16">
            <v>2064.4</v>
          </cell>
        </row>
        <row r="17">
          <cell r="C17">
            <v>3724.78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54606"/>
    </sheetNames>
    <sheetDataSet>
      <sheetData sheetId="0">
        <row r="6">
          <cell r="Q6">
            <v>0</v>
          </cell>
          <cell r="R6">
            <v>0</v>
          </cell>
        </row>
        <row r="7">
          <cell r="Q7">
            <v>25505.640000000003</v>
          </cell>
          <cell r="R7">
            <v>383.48999999999978</v>
          </cell>
        </row>
        <row r="8">
          <cell r="Q8">
            <v>68253.219999999987</v>
          </cell>
          <cell r="R8">
            <v>129527.47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ewise Exits from 2024-04-01"/>
      <sheetName val="Equity"/>
      <sheetName val="Mutual Funds"/>
      <sheetName val="F&amp;O"/>
      <sheetName val="Currency"/>
      <sheetName val="Commodity"/>
      <sheetName val="Other Debits and Credits"/>
      <sheetName val="Open Positions as of 2024-12-01"/>
      <sheetName val="Open Positions as of 2024-04-01"/>
      <sheetName val="Equity Dividends"/>
      <sheetName val="Ledger Balances"/>
    </sheetNames>
    <sheetDataSet>
      <sheetData sheetId="0">
        <row r="16">
          <cell r="P16">
            <v>2064.4</v>
          </cell>
          <cell r="Q16">
            <v>0</v>
          </cell>
        </row>
        <row r="17">
          <cell r="P17">
            <v>3724.7799999999997</v>
          </cell>
          <cell r="Q17">
            <v>17139.150000000001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54606"/>
    </sheetNames>
    <sheetDataSet>
      <sheetData sheetId="0">
        <row r="6">
          <cell r="Q6">
            <v>0</v>
          </cell>
          <cell r="R6">
            <v>0</v>
          </cell>
        </row>
        <row r="7">
          <cell r="Q7">
            <v>25505.640000000003</v>
          </cell>
          <cell r="R7">
            <v>-7951.7500000000018</v>
          </cell>
        </row>
        <row r="8">
          <cell r="Q8">
            <v>68253.219999999987</v>
          </cell>
          <cell r="R8">
            <v>131092.25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ewise Exits from 2024-04-01"/>
      <sheetName val="Equity"/>
      <sheetName val="Mutual Funds"/>
      <sheetName val="F&amp;O"/>
      <sheetName val="Currency"/>
      <sheetName val="Commodity"/>
      <sheetName val="Other Debits and Credits"/>
      <sheetName val="Open Positions as of 2025-03-11"/>
      <sheetName val="Open Positions as of 2024-04-01"/>
      <sheetName val="Equity Dividends"/>
      <sheetName val="Ledger Balances"/>
    </sheetNames>
    <sheetDataSet>
      <sheetData sheetId="0">
        <row r="16">
          <cell r="P16">
            <v>2064.4</v>
          </cell>
          <cell r="Q16">
            <v>-124.2</v>
          </cell>
        </row>
        <row r="17">
          <cell r="P17">
            <v>3724.7799999999997</v>
          </cell>
          <cell r="Q17">
            <v>36603.9</v>
          </cell>
        </row>
      </sheetData>
      <sheetData sheetId="1" refreshError="1"/>
      <sheetData sheetId="2">
        <row r="15">
          <cell r="C15">
            <v>18.673200000000001</v>
          </cell>
        </row>
        <row r="19">
          <cell r="C19">
            <v>310.83139999999997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AYUSH KUMAR GUPTA"/>
    </sheetNames>
    <sheetDataSet>
      <sheetData sheetId="0">
        <row r="26">
          <cell r="Q26">
            <v>1991.98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C698-C1A2-463D-96F5-AA04A6A6C2E2}">
  <dimension ref="B1:M49"/>
  <sheetViews>
    <sheetView view="pageBreakPreview" zoomScaleNormal="100" zoomScaleSheetLayoutView="100" workbookViewId="0"/>
  </sheetViews>
  <sheetFormatPr defaultRowHeight="14.4" x14ac:dyDescent="0.3"/>
  <cols>
    <col min="1" max="1" width="4.5546875" customWidth="1"/>
    <col min="2" max="3" width="16.21875" bestFit="1" customWidth="1"/>
    <col min="4" max="5" width="11.33203125" bestFit="1" customWidth="1"/>
    <col min="13" max="13" width="10" bestFit="1" customWidth="1"/>
  </cols>
  <sheetData>
    <row r="1" spans="2:13" x14ac:dyDescent="0.3">
      <c r="B1" s="6" t="s">
        <v>18</v>
      </c>
    </row>
    <row r="2" spans="2:13" x14ac:dyDescent="0.3">
      <c r="B2" s="6" t="s">
        <v>16</v>
      </c>
    </row>
    <row r="3" spans="2:13" x14ac:dyDescent="0.3">
      <c r="B3" s="6" t="s">
        <v>36</v>
      </c>
    </row>
    <row r="4" spans="2:13" x14ac:dyDescent="0.3">
      <c r="J4" s="9" t="s">
        <v>26</v>
      </c>
      <c r="K4">
        <v>300000</v>
      </c>
      <c r="L4">
        <v>0</v>
      </c>
      <c r="M4">
        <f>K4*L4</f>
        <v>0</v>
      </c>
    </row>
    <row r="5" spans="2:13" x14ac:dyDescent="0.3">
      <c r="B5" s="6" t="s">
        <v>19</v>
      </c>
      <c r="J5" s="9" t="s">
        <v>27</v>
      </c>
      <c r="K5">
        <v>400000</v>
      </c>
      <c r="L5" s="3">
        <v>0.05</v>
      </c>
      <c r="M5">
        <f t="shared" ref="M5:M6" si="0">K5*L5</f>
        <v>20000</v>
      </c>
    </row>
    <row r="6" spans="2:13" x14ac:dyDescent="0.3">
      <c r="B6" s="6" t="s">
        <v>20</v>
      </c>
      <c r="C6">
        <v>878400</v>
      </c>
      <c r="J6" s="9" t="s">
        <v>22</v>
      </c>
      <c r="K6" s="2">
        <f>C29+C8-SUM(K4:K5)</f>
        <v>133700</v>
      </c>
      <c r="L6" s="3">
        <v>0.1</v>
      </c>
      <c r="M6">
        <f t="shared" si="0"/>
        <v>13370</v>
      </c>
    </row>
    <row r="7" spans="2:13" x14ac:dyDescent="0.3">
      <c r="B7" s="6" t="s">
        <v>21</v>
      </c>
      <c r="C7">
        <v>-75000</v>
      </c>
      <c r="J7" s="9" t="s">
        <v>23</v>
      </c>
    </row>
    <row r="8" spans="2:13" x14ac:dyDescent="0.3">
      <c r="C8" s="6">
        <f>SUM(C6:C7)</f>
        <v>803400</v>
      </c>
      <c r="J8" s="9" t="s">
        <v>24</v>
      </c>
    </row>
    <row r="9" spans="2:13" x14ac:dyDescent="0.3">
      <c r="J9" t="s">
        <v>25</v>
      </c>
    </row>
    <row r="10" spans="2:13" x14ac:dyDescent="0.3">
      <c r="K10">
        <f>SUM(K4:K9)</f>
        <v>833700</v>
      </c>
      <c r="M10">
        <f>SUM(M4:M9)</f>
        <v>33370</v>
      </c>
    </row>
    <row r="11" spans="2:13" x14ac:dyDescent="0.3">
      <c r="C11" s="6" t="s">
        <v>0</v>
      </c>
      <c r="D11" s="6" t="s">
        <v>30</v>
      </c>
      <c r="E11" s="6" t="s">
        <v>15</v>
      </c>
      <c r="F11" s="6" t="s">
        <v>6</v>
      </c>
      <c r="M11" s="7">
        <f>M10*1.04</f>
        <v>34704.800000000003</v>
      </c>
    </row>
    <row r="12" spans="2:13" x14ac:dyDescent="0.3">
      <c r="B12" t="s">
        <v>1</v>
      </c>
      <c r="M12">
        <v>31553.600000000002</v>
      </c>
    </row>
    <row r="13" spans="2:13" x14ac:dyDescent="0.3">
      <c r="B13" t="s">
        <v>4</v>
      </c>
      <c r="C13" s="1">
        <f>'[1]2554606'!Q6</f>
        <v>0</v>
      </c>
      <c r="D13" s="1">
        <f>[2]Equity!C15</f>
        <v>0</v>
      </c>
      <c r="E13" s="1">
        <f>SUM(C13:D13)</f>
        <v>0</v>
      </c>
      <c r="F13" s="3">
        <v>0.15</v>
      </c>
      <c r="G13" s="2">
        <f>E13*F13</f>
        <v>0</v>
      </c>
    </row>
    <row r="14" spans="2:13" x14ac:dyDescent="0.3">
      <c r="B14" t="s">
        <v>5</v>
      </c>
      <c r="C14" s="1">
        <f>'[1]2554606'!Q7</f>
        <v>25505.640000000003</v>
      </c>
      <c r="D14" s="1">
        <f>[2]Equity!C16</f>
        <v>2064.4</v>
      </c>
      <c r="E14" s="1">
        <f>SUM(C14:D14)</f>
        <v>27570.040000000005</v>
      </c>
      <c r="F14" s="3">
        <v>0.15</v>
      </c>
      <c r="G14" s="2">
        <f t="shared" ref="G14:G15" si="1">E14*F14</f>
        <v>4135.5060000000003</v>
      </c>
    </row>
    <row r="15" spans="2:13" x14ac:dyDescent="0.3">
      <c r="B15" t="s">
        <v>3</v>
      </c>
      <c r="C15" s="1">
        <f>'[1]2554606'!Q8</f>
        <v>68253.219999999987</v>
      </c>
      <c r="D15" s="1">
        <f>[2]Equity!C17</f>
        <v>3724.78</v>
      </c>
      <c r="E15" s="1">
        <f>SUM(C15:D15)</f>
        <v>71977.999999999985</v>
      </c>
      <c r="F15" s="3">
        <v>0.1</v>
      </c>
      <c r="G15" s="2">
        <f t="shared" si="1"/>
        <v>7197.7999999999993</v>
      </c>
    </row>
    <row r="16" spans="2:13" x14ac:dyDescent="0.3">
      <c r="E16" s="1"/>
    </row>
    <row r="17" spans="2:8" x14ac:dyDescent="0.3">
      <c r="B17" t="s">
        <v>2</v>
      </c>
      <c r="E17" s="1"/>
    </row>
    <row r="18" spans="2:8" x14ac:dyDescent="0.3">
      <c r="B18" t="s">
        <v>4</v>
      </c>
      <c r="C18" s="1">
        <f>'[1]2554606'!R6</f>
        <v>0</v>
      </c>
      <c r="D18" s="1">
        <v>0</v>
      </c>
      <c r="E18" s="1">
        <f>SUM(C18:D18)</f>
        <v>0</v>
      </c>
      <c r="F18" s="3">
        <v>0.2</v>
      </c>
      <c r="G18" s="2">
        <f t="shared" ref="G18:G20" si="2">E18*F18</f>
        <v>0</v>
      </c>
    </row>
    <row r="19" spans="2:8" x14ac:dyDescent="0.3">
      <c r="B19" t="s">
        <v>5</v>
      </c>
      <c r="C19" s="1">
        <f>'[1]2554606'!R7</f>
        <v>7066.29</v>
      </c>
      <c r="D19" s="1">
        <v>0</v>
      </c>
      <c r="E19" s="1">
        <f>SUM(C19:D19)</f>
        <v>7066.29</v>
      </c>
      <c r="F19" s="3">
        <v>0.2</v>
      </c>
      <c r="G19" s="2">
        <f t="shared" si="2"/>
        <v>1413.258</v>
      </c>
      <c r="H19" s="2"/>
    </row>
    <row r="20" spans="2:8" x14ac:dyDescent="0.3">
      <c r="B20" t="s">
        <v>3</v>
      </c>
      <c r="C20" s="1">
        <f>'[1]2554606'!R8</f>
        <v>36747.860000000008</v>
      </c>
      <c r="D20" s="1">
        <v>0</v>
      </c>
      <c r="E20" s="1">
        <f>SUM(C20:D20)</f>
        <v>36747.860000000008</v>
      </c>
      <c r="F20" s="4">
        <v>0.125</v>
      </c>
      <c r="G20" s="2">
        <f t="shared" si="2"/>
        <v>4593.482500000001</v>
      </c>
      <c r="H20" s="2"/>
    </row>
    <row r="21" spans="2:8" x14ac:dyDescent="0.3">
      <c r="E21" s="2"/>
    </row>
    <row r="22" spans="2:8" x14ac:dyDescent="0.3">
      <c r="B22" s="6" t="s">
        <v>7</v>
      </c>
      <c r="C22" s="5">
        <f>SUM(E13:E20)</f>
        <v>143362.19</v>
      </c>
    </row>
    <row r="25" spans="2:8" x14ac:dyDescent="0.3">
      <c r="B25" s="6" t="s">
        <v>8</v>
      </c>
    </row>
    <row r="26" spans="2:8" x14ac:dyDescent="0.3">
      <c r="B26" t="s">
        <v>9</v>
      </c>
      <c r="C26" s="1">
        <v>10000</v>
      </c>
    </row>
    <row r="27" spans="2:8" x14ac:dyDescent="0.3">
      <c r="B27" t="s">
        <v>10</v>
      </c>
      <c r="C27" s="1">
        <v>20000</v>
      </c>
    </row>
    <row r="28" spans="2:8" x14ac:dyDescent="0.3">
      <c r="B28" t="s">
        <v>11</v>
      </c>
      <c r="C28" s="1">
        <v>300</v>
      </c>
    </row>
    <row r="29" spans="2:8" x14ac:dyDescent="0.3">
      <c r="C29" s="7">
        <f>SUM(C26:C28)</f>
        <v>30300</v>
      </c>
    </row>
    <row r="31" spans="2:8" x14ac:dyDescent="0.3">
      <c r="B31" s="6" t="s">
        <v>12</v>
      </c>
      <c r="C31" s="5">
        <f>C22+C29+C8</f>
        <v>977062.19</v>
      </c>
    </row>
    <row r="33" spans="2:10" x14ac:dyDescent="0.3">
      <c r="B33" t="s">
        <v>13</v>
      </c>
      <c r="C33" s="1">
        <f>MAX(-125000,-(E20+E15))</f>
        <v>-108725.85999999999</v>
      </c>
    </row>
    <row r="34" spans="2:10" x14ac:dyDescent="0.3">
      <c r="E34" s="2"/>
    </row>
    <row r="35" spans="2:10" x14ac:dyDescent="0.3">
      <c r="B35" t="s">
        <v>14</v>
      </c>
      <c r="C35" s="5">
        <f>SUM(C31:C33)</f>
        <v>868336.33</v>
      </c>
    </row>
    <row r="36" spans="2:10" x14ac:dyDescent="0.3">
      <c r="C36" s="5"/>
    </row>
    <row r="37" spans="2:10" x14ac:dyDescent="0.3">
      <c r="B37" t="s">
        <v>33</v>
      </c>
      <c r="C37" s="8">
        <f>M10</f>
        <v>33370</v>
      </c>
    </row>
    <row r="38" spans="2:10" x14ac:dyDescent="0.3">
      <c r="B38" t="s">
        <v>31</v>
      </c>
      <c r="C38" s="8">
        <f>G19+G14</f>
        <v>5548.7640000000001</v>
      </c>
      <c r="H38" s="2"/>
      <c r="J38" s="2"/>
    </row>
    <row r="39" spans="2:10" x14ac:dyDescent="0.3">
      <c r="B39" t="s">
        <v>17</v>
      </c>
      <c r="C39" s="8">
        <f>SUM(C37:C38)*1.04</f>
        <v>40475.514560000003</v>
      </c>
    </row>
    <row r="40" spans="2:10" x14ac:dyDescent="0.3">
      <c r="C40" s="8"/>
    </row>
    <row r="41" spans="2:10" x14ac:dyDescent="0.3">
      <c r="B41" t="s">
        <v>28</v>
      </c>
      <c r="C41" s="8">
        <f>-M12</f>
        <v>-31553.600000000002</v>
      </c>
    </row>
    <row r="42" spans="2:10" x14ac:dyDescent="0.3">
      <c r="C42" s="8"/>
    </row>
    <row r="43" spans="2:10" x14ac:dyDescent="0.3">
      <c r="B43" t="s">
        <v>29</v>
      </c>
      <c r="C43" s="7">
        <f>SUM(C39:C41)</f>
        <v>8921.9145600000011</v>
      </c>
    </row>
    <row r="44" spans="2:10" x14ac:dyDescent="0.3">
      <c r="C44" s="8"/>
    </row>
    <row r="45" spans="2:10" x14ac:dyDescent="0.3">
      <c r="B45" s="6" t="s">
        <v>37</v>
      </c>
      <c r="C45" s="7">
        <f>C43*0.45</f>
        <v>4014.8615520000008</v>
      </c>
    </row>
    <row r="49" spans="2:3" x14ac:dyDescent="0.3">
      <c r="B49" t="s">
        <v>32</v>
      </c>
      <c r="C49" s="2">
        <f>C35-C8-C29</f>
        <v>34636.329999999958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view="pageBreakPreview" zoomScaleNormal="100" zoomScaleSheetLayoutView="100" workbookViewId="0">
      <selection activeCell="B1" sqref="B1"/>
    </sheetView>
  </sheetViews>
  <sheetFormatPr defaultRowHeight="14.4" x14ac:dyDescent="0.3"/>
  <cols>
    <col min="1" max="1" width="4.5546875" customWidth="1"/>
    <col min="2" max="2" width="26" bestFit="1" customWidth="1"/>
    <col min="3" max="3" width="16.21875" bestFit="1" customWidth="1"/>
    <col min="4" max="5" width="11.33203125" bestFit="1" customWidth="1"/>
    <col min="13" max="13" width="10" bestFit="1" customWidth="1"/>
  </cols>
  <sheetData>
    <row r="1" spans="2:13" x14ac:dyDescent="0.3">
      <c r="B1" s="6" t="s">
        <v>18</v>
      </c>
    </row>
    <row r="2" spans="2:13" x14ac:dyDescent="0.3">
      <c r="B2" s="6" t="s">
        <v>16</v>
      </c>
    </row>
    <row r="3" spans="2:13" x14ac:dyDescent="0.3">
      <c r="B3" s="6" t="s">
        <v>34</v>
      </c>
    </row>
    <row r="4" spans="2:13" x14ac:dyDescent="0.3">
      <c r="J4" s="9" t="s">
        <v>26</v>
      </c>
      <c r="K4">
        <v>300000</v>
      </c>
      <c r="L4">
        <v>0</v>
      </c>
      <c r="M4">
        <f>K4*L4</f>
        <v>0</v>
      </c>
    </row>
    <row r="5" spans="2:13" x14ac:dyDescent="0.3">
      <c r="B5" s="6" t="s">
        <v>19</v>
      </c>
      <c r="J5" s="9" t="s">
        <v>27</v>
      </c>
      <c r="K5">
        <v>400000</v>
      </c>
      <c r="L5" s="3">
        <v>0.05</v>
      </c>
      <c r="M5">
        <f t="shared" ref="M5:M6" si="0">K5*L5</f>
        <v>20000</v>
      </c>
    </row>
    <row r="6" spans="2:13" x14ac:dyDescent="0.3">
      <c r="B6" s="6" t="s">
        <v>20</v>
      </c>
      <c r="C6">
        <v>878400</v>
      </c>
      <c r="J6" s="9" t="s">
        <v>22</v>
      </c>
      <c r="K6" s="2">
        <f>C29+C8-SUM(K4:K5)</f>
        <v>133700</v>
      </c>
      <c r="L6" s="3">
        <v>0.1</v>
      </c>
      <c r="M6">
        <f t="shared" si="0"/>
        <v>13370</v>
      </c>
    </row>
    <row r="7" spans="2:13" x14ac:dyDescent="0.3">
      <c r="B7" s="6" t="s">
        <v>21</v>
      </c>
      <c r="C7">
        <v>-75000</v>
      </c>
      <c r="J7" s="9" t="s">
        <v>23</v>
      </c>
    </row>
    <row r="8" spans="2:13" x14ac:dyDescent="0.3">
      <c r="C8" s="6">
        <f>SUM(C6:C7)</f>
        <v>803400</v>
      </c>
      <c r="J8" s="9" t="s">
        <v>24</v>
      </c>
    </row>
    <row r="9" spans="2:13" x14ac:dyDescent="0.3">
      <c r="J9" t="s">
        <v>25</v>
      </c>
    </row>
    <row r="10" spans="2:13" x14ac:dyDescent="0.3">
      <c r="K10">
        <f>SUM(K4:K9)</f>
        <v>833700</v>
      </c>
      <c r="M10">
        <f>SUM(M4:M9)</f>
        <v>33370</v>
      </c>
    </row>
    <row r="11" spans="2:13" x14ac:dyDescent="0.3">
      <c r="C11" s="6" t="s">
        <v>0</v>
      </c>
      <c r="D11" s="6" t="s">
        <v>30</v>
      </c>
      <c r="E11" s="6" t="s">
        <v>15</v>
      </c>
      <c r="F11" s="6" t="s">
        <v>6</v>
      </c>
      <c r="M11" s="7">
        <f>M10*1.04</f>
        <v>34704.800000000003</v>
      </c>
    </row>
    <row r="12" spans="2:13" x14ac:dyDescent="0.3">
      <c r="B12" t="s">
        <v>1</v>
      </c>
      <c r="M12" s="1">
        <v>31553.600000000002</v>
      </c>
    </row>
    <row r="13" spans="2:13" x14ac:dyDescent="0.3">
      <c r="B13" t="s">
        <v>4</v>
      </c>
      <c r="C13" s="1">
        <f>'[3]2554606'!Q6</f>
        <v>0</v>
      </c>
      <c r="D13" s="1">
        <f>[2]Equity!C15</f>
        <v>0</v>
      </c>
      <c r="E13" s="1">
        <f>SUM(C13:D13)</f>
        <v>0</v>
      </c>
      <c r="F13" s="3">
        <v>0.15</v>
      </c>
      <c r="G13" s="2">
        <f>E13*F13</f>
        <v>0</v>
      </c>
    </row>
    <row r="14" spans="2:13" x14ac:dyDescent="0.3">
      <c r="B14" t="s">
        <v>5</v>
      </c>
      <c r="C14" s="1">
        <f>'[3]2554606'!Q7</f>
        <v>25505.640000000003</v>
      </c>
      <c r="D14" s="1">
        <f>'[4]Tradewise Exits from 2024-04-01'!P16</f>
        <v>2064.4</v>
      </c>
      <c r="E14" s="1">
        <f>SUM(C14:D14)</f>
        <v>27570.040000000005</v>
      </c>
      <c r="F14" s="3">
        <v>0.15</v>
      </c>
      <c r="G14" s="2">
        <f t="shared" ref="G14:G15" si="1">E14*F14</f>
        <v>4135.5060000000003</v>
      </c>
    </row>
    <row r="15" spans="2:13" x14ac:dyDescent="0.3">
      <c r="B15" t="s">
        <v>3</v>
      </c>
      <c r="C15" s="1">
        <f>'[3]2554606'!Q8</f>
        <v>68253.219999999987</v>
      </c>
      <c r="D15" s="1">
        <f>'[4]Tradewise Exits from 2024-04-01'!P17</f>
        <v>3724.7799999999997</v>
      </c>
      <c r="E15" s="1">
        <f>SUM(C15:D15)</f>
        <v>71977.999999999985</v>
      </c>
      <c r="F15" s="3">
        <v>0.1</v>
      </c>
      <c r="G15" s="2">
        <f t="shared" si="1"/>
        <v>7197.7999999999993</v>
      </c>
    </row>
    <row r="16" spans="2:13" x14ac:dyDescent="0.3">
      <c r="E16" s="1"/>
    </row>
    <row r="17" spans="2:8" x14ac:dyDescent="0.3">
      <c r="B17" t="s">
        <v>2</v>
      </c>
      <c r="E17" s="1"/>
    </row>
    <row r="18" spans="2:8" x14ac:dyDescent="0.3">
      <c r="B18" t="s">
        <v>4</v>
      </c>
      <c r="C18" s="1">
        <f>'[3]2554606'!R6</f>
        <v>0</v>
      </c>
      <c r="D18" s="1">
        <v>0</v>
      </c>
      <c r="E18" s="1">
        <f>SUM(C18:D18)</f>
        <v>0</v>
      </c>
      <c r="F18" s="3">
        <v>0.2</v>
      </c>
      <c r="G18" s="2">
        <f t="shared" ref="G18:G20" si="2">E18*F18</f>
        <v>0</v>
      </c>
    </row>
    <row r="19" spans="2:8" x14ac:dyDescent="0.3">
      <c r="B19" t="s">
        <v>5</v>
      </c>
      <c r="C19" s="1">
        <f>'[3]2554606'!R7</f>
        <v>383.48999999999978</v>
      </c>
      <c r="D19" s="1">
        <f>'[4]Tradewise Exits from 2024-04-01'!Q16</f>
        <v>0</v>
      </c>
      <c r="E19" s="1">
        <f>SUM(C19:D19)</f>
        <v>383.48999999999978</v>
      </c>
      <c r="F19" s="3">
        <v>0.2</v>
      </c>
      <c r="G19" s="2">
        <f t="shared" si="2"/>
        <v>76.697999999999965</v>
      </c>
      <c r="H19" s="2"/>
    </row>
    <row r="20" spans="2:8" x14ac:dyDescent="0.3">
      <c r="B20" t="s">
        <v>3</v>
      </c>
      <c r="C20" s="1">
        <f>'[3]2554606'!R8</f>
        <v>129527.47</v>
      </c>
      <c r="D20" s="1">
        <f>'[4]Tradewise Exits from 2024-04-01'!Q17</f>
        <v>17139.150000000001</v>
      </c>
      <c r="E20" s="1">
        <f>SUM(C20:D20)</f>
        <v>146666.62</v>
      </c>
      <c r="F20" s="4">
        <v>0.125</v>
      </c>
      <c r="G20" s="2">
        <f t="shared" si="2"/>
        <v>18333.327499999999</v>
      </c>
      <c r="H20" s="2"/>
    </row>
    <row r="21" spans="2:8" x14ac:dyDescent="0.3">
      <c r="E21" s="2"/>
    </row>
    <row r="22" spans="2:8" x14ac:dyDescent="0.3">
      <c r="B22" s="6" t="s">
        <v>7</v>
      </c>
      <c r="C22" s="5">
        <f>SUM(E13:E20)</f>
        <v>246598.15</v>
      </c>
    </row>
    <row r="25" spans="2:8" x14ac:dyDescent="0.3">
      <c r="B25" s="6" t="s">
        <v>8</v>
      </c>
    </row>
    <row r="26" spans="2:8" x14ac:dyDescent="0.3">
      <c r="B26" t="s">
        <v>9</v>
      </c>
      <c r="C26" s="1">
        <v>10000</v>
      </c>
    </row>
    <row r="27" spans="2:8" x14ac:dyDescent="0.3">
      <c r="B27" t="s">
        <v>10</v>
      </c>
      <c r="C27" s="1">
        <v>20000</v>
      </c>
    </row>
    <row r="28" spans="2:8" x14ac:dyDescent="0.3">
      <c r="B28" t="s">
        <v>11</v>
      </c>
      <c r="C28" s="1">
        <v>300</v>
      </c>
    </row>
    <row r="29" spans="2:8" x14ac:dyDescent="0.3">
      <c r="C29" s="7">
        <f>SUM(C26:C28)</f>
        <v>30300</v>
      </c>
    </row>
    <row r="31" spans="2:8" x14ac:dyDescent="0.3">
      <c r="B31" s="6" t="s">
        <v>12</v>
      </c>
      <c r="C31" s="5">
        <f>C22+C29+C8</f>
        <v>1080298.1499999999</v>
      </c>
    </row>
    <row r="33" spans="2:10" x14ac:dyDescent="0.3">
      <c r="B33" t="s">
        <v>13</v>
      </c>
      <c r="C33" s="1">
        <f>MAX(-125000,-(E20+E15))</f>
        <v>-125000</v>
      </c>
    </row>
    <row r="34" spans="2:10" x14ac:dyDescent="0.3">
      <c r="E34" s="2"/>
    </row>
    <row r="35" spans="2:10" x14ac:dyDescent="0.3">
      <c r="B35" t="s">
        <v>14</v>
      </c>
      <c r="C35" s="5">
        <f>SUM(C31:C33)</f>
        <v>955298.14999999991</v>
      </c>
    </row>
    <row r="36" spans="2:10" x14ac:dyDescent="0.3">
      <c r="C36" s="5"/>
    </row>
    <row r="37" spans="2:10" x14ac:dyDescent="0.3">
      <c r="B37" t="s">
        <v>33</v>
      </c>
      <c r="C37" s="8">
        <f>M10</f>
        <v>33370</v>
      </c>
    </row>
    <row r="38" spans="2:10" x14ac:dyDescent="0.3">
      <c r="B38" t="s">
        <v>31</v>
      </c>
      <c r="C38" s="8">
        <f>SUM(C57:C58)</f>
        <v>14118.3315</v>
      </c>
      <c r="H38" s="2"/>
      <c r="J38" s="2"/>
    </row>
    <row r="39" spans="2:10" x14ac:dyDescent="0.3">
      <c r="B39" t="s">
        <v>17</v>
      </c>
      <c r="C39" s="8">
        <f>SUM(C37:C38)*1.04</f>
        <v>49387.864760000004</v>
      </c>
    </row>
    <row r="40" spans="2:10" x14ac:dyDescent="0.3">
      <c r="C40" s="8"/>
    </row>
    <row r="41" spans="2:10" x14ac:dyDescent="0.3">
      <c r="B41" t="s">
        <v>28</v>
      </c>
      <c r="C41" s="8">
        <f>-M12</f>
        <v>-31553.600000000002</v>
      </c>
    </row>
    <row r="42" spans="2:10" x14ac:dyDescent="0.3">
      <c r="C42" s="8"/>
    </row>
    <row r="43" spans="2:10" x14ac:dyDescent="0.3">
      <c r="B43" t="s">
        <v>29</v>
      </c>
      <c r="C43" s="7">
        <f>SUM(C39:C41)</f>
        <v>17834.264760000002</v>
      </c>
    </row>
    <row r="44" spans="2:10" x14ac:dyDescent="0.3">
      <c r="C44" s="8"/>
    </row>
    <row r="45" spans="2:10" x14ac:dyDescent="0.3">
      <c r="B45" s="6" t="s">
        <v>35</v>
      </c>
      <c r="C45" s="7">
        <f>C43*0.75</f>
        <v>13375.69857</v>
      </c>
    </row>
    <row r="46" spans="2:10" x14ac:dyDescent="0.3">
      <c r="B46" t="s">
        <v>42</v>
      </c>
      <c r="C46" s="1">
        <v>-4000</v>
      </c>
    </row>
    <row r="47" spans="2:10" x14ac:dyDescent="0.3">
      <c r="B47" s="6" t="s">
        <v>43</v>
      </c>
      <c r="C47" s="7">
        <f>SUM(C45:C46)</f>
        <v>9375.6985700000005</v>
      </c>
    </row>
    <row r="48" spans="2:10" x14ac:dyDescent="0.3">
      <c r="B48" s="6"/>
      <c r="C48" s="7"/>
    </row>
    <row r="49" spans="2:3" x14ac:dyDescent="0.3">
      <c r="B49" s="6"/>
      <c r="C49" s="7"/>
    </row>
    <row r="50" spans="2:3" x14ac:dyDescent="0.3">
      <c r="B50" s="6"/>
      <c r="C50" s="7"/>
    </row>
    <row r="51" spans="2:3" x14ac:dyDescent="0.3">
      <c r="B51" s="6"/>
      <c r="C51" s="7"/>
    </row>
    <row r="52" spans="2:3" x14ac:dyDescent="0.3">
      <c r="B52" t="s">
        <v>38</v>
      </c>
      <c r="C52" s="2">
        <f>C8+C29</f>
        <v>833700</v>
      </c>
    </row>
    <row r="53" spans="2:3" x14ac:dyDescent="0.3">
      <c r="B53" t="s">
        <v>3</v>
      </c>
      <c r="C53" s="2">
        <f>E15+E20</f>
        <v>218644.62</v>
      </c>
    </row>
    <row r="54" spans="2:3" x14ac:dyDescent="0.3">
      <c r="B54" t="s">
        <v>5</v>
      </c>
      <c r="C54" s="2">
        <f>E14+E19</f>
        <v>27953.530000000006</v>
      </c>
    </row>
    <row r="55" spans="2:3" x14ac:dyDescent="0.3">
      <c r="C55" s="2">
        <f>SUM(C52:C54)</f>
        <v>1080298.1500000001</v>
      </c>
    </row>
    <row r="56" spans="2:3" x14ac:dyDescent="0.3">
      <c r="B56" s="6" t="s">
        <v>39</v>
      </c>
      <c r="C56" s="5">
        <f>M10</f>
        <v>33370</v>
      </c>
    </row>
    <row r="57" spans="2:3" x14ac:dyDescent="0.3">
      <c r="B57" t="s">
        <v>40</v>
      </c>
      <c r="C57" s="2">
        <f>G14+G19</f>
        <v>4212.2040000000006</v>
      </c>
    </row>
    <row r="58" spans="2:3" x14ac:dyDescent="0.3">
      <c r="B58" t="s">
        <v>41</v>
      </c>
      <c r="C58" s="2">
        <f>G15+(E20-125000)*12.5%</f>
        <v>9906.1274999999987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76BD-BB9E-43EB-93B2-4FF4CB683959}">
  <dimension ref="B1:U68"/>
  <sheetViews>
    <sheetView tabSelected="1" view="pageBreakPreview" topLeftCell="C1" zoomScaleNormal="100" zoomScaleSheetLayoutView="100" workbookViewId="0">
      <selection activeCell="T13" sqref="T13"/>
    </sheetView>
  </sheetViews>
  <sheetFormatPr defaultRowHeight="14.4" x14ac:dyDescent="0.3"/>
  <cols>
    <col min="1" max="1" width="4.5546875" customWidth="1"/>
    <col min="2" max="2" width="35.21875" bestFit="1" customWidth="1"/>
    <col min="3" max="6" width="9.88671875" customWidth="1"/>
    <col min="8" max="8" width="10.33203125" bestFit="1" customWidth="1"/>
    <col min="10" max="10" width="11.33203125" bestFit="1" customWidth="1"/>
    <col min="13" max="13" width="10" bestFit="1" customWidth="1"/>
    <col min="20" max="20" width="28.33203125" bestFit="1" customWidth="1"/>
  </cols>
  <sheetData>
    <row r="1" spans="2:21" x14ac:dyDescent="0.3">
      <c r="B1" s="6" t="s">
        <v>18</v>
      </c>
    </row>
    <row r="2" spans="2:21" x14ac:dyDescent="0.3">
      <c r="B2" s="6" t="s">
        <v>16</v>
      </c>
    </row>
    <row r="3" spans="2:21" x14ac:dyDescent="0.3">
      <c r="B3" s="6" t="s">
        <v>44</v>
      </c>
    </row>
    <row r="4" spans="2:21" ht="9" customHeight="1" x14ac:dyDescent="0.3">
      <c r="J4" s="9" t="s">
        <v>26</v>
      </c>
      <c r="K4">
        <v>300000</v>
      </c>
      <c r="L4">
        <v>0</v>
      </c>
      <c r="M4">
        <f>K4*L4</f>
        <v>0</v>
      </c>
    </row>
    <row r="5" spans="2:21" x14ac:dyDescent="0.3">
      <c r="B5" s="6" t="s">
        <v>19</v>
      </c>
      <c r="H5">
        <v>73200</v>
      </c>
      <c r="J5" s="9" t="s">
        <v>27</v>
      </c>
      <c r="K5">
        <v>400000</v>
      </c>
      <c r="L5" s="3">
        <v>0.05</v>
      </c>
      <c r="M5">
        <f t="shared" ref="M5:M6" si="0">K5*L5</f>
        <v>20000</v>
      </c>
    </row>
    <row r="6" spans="2:21" x14ac:dyDescent="0.3">
      <c r="B6" s="6" t="s">
        <v>45</v>
      </c>
      <c r="C6">
        <f>878400/12*11+26000</f>
        <v>831200</v>
      </c>
      <c r="H6">
        <f>H5*11/31</f>
        <v>25974.193548387098</v>
      </c>
      <c r="J6" s="9" t="s">
        <v>22</v>
      </c>
      <c r="K6" s="2">
        <f>C37+C9+D28-SUM(K4:K5)</f>
        <v>157710.83140000002</v>
      </c>
      <c r="L6" s="3">
        <v>0.1</v>
      </c>
      <c r="M6">
        <f t="shared" si="0"/>
        <v>15771.083140000002</v>
      </c>
      <c r="T6" s="6" t="s">
        <v>54</v>
      </c>
    </row>
    <row r="7" spans="2:21" x14ac:dyDescent="0.3">
      <c r="B7" s="6" t="s">
        <v>46</v>
      </c>
      <c r="C7">
        <f>ROUNDUP(104650*21/31,-1)</f>
        <v>70900</v>
      </c>
      <c r="J7" s="9"/>
      <c r="K7" s="2"/>
      <c r="L7" s="3"/>
      <c r="T7" t="s">
        <v>5</v>
      </c>
      <c r="U7" s="2">
        <f>C65</f>
        <v>3326.2441400000002</v>
      </c>
    </row>
    <row r="8" spans="2:21" x14ac:dyDescent="0.3">
      <c r="B8" s="6" t="s">
        <v>21</v>
      </c>
      <c r="C8">
        <v>-75000</v>
      </c>
      <c r="H8" s="10">
        <v>45727</v>
      </c>
      <c r="J8" s="9" t="s">
        <v>23</v>
      </c>
      <c r="T8" t="s">
        <v>3</v>
      </c>
      <c r="U8" s="2">
        <f>C66</f>
        <v>12534.818749999999</v>
      </c>
    </row>
    <row r="9" spans="2:21" x14ac:dyDescent="0.3">
      <c r="C9" s="6">
        <f>SUM(C6:C8)</f>
        <v>827100</v>
      </c>
      <c r="H9" s="10">
        <v>45747</v>
      </c>
      <c r="J9" s="9" t="s">
        <v>24</v>
      </c>
      <c r="T9" t="s">
        <v>56</v>
      </c>
      <c r="U9" s="2">
        <f>C37*0.3</f>
        <v>9090</v>
      </c>
    </row>
    <row r="10" spans="2:21" x14ac:dyDescent="0.3">
      <c r="H10">
        <f>H9+1-H8</f>
        <v>21</v>
      </c>
      <c r="J10" t="s">
        <v>25</v>
      </c>
      <c r="T10" t="s">
        <v>55</v>
      </c>
      <c r="U10" s="2">
        <f>E28*0.3</f>
        <v>93.249419999999986</v>
      </c>
    </row>
    <row r="11" spans="2:21" x14ac:dyDescent="0.3">
      <c r="K11">
        <f>SUM(K4:K10)</f>
        <v>857710.83140000002</v>
      </c>
      <c r="M11">
        <f>SUM(M4:M10)</f>
        <v>35771.083140000002</v>
      </c>
      <c r="T11" s="6" t="s">
        <v>58</v>
      </c>
      <c r="U11" s="5">
        <f>SUM(U7:U10)*1.04</f>
        <v>26046.084802400001</v>
      </c>
    </row>
    <row r="12" spans="2:21" x14ac:dyDescent="0.3">
      <c r="C12" s="6" t="s">
        <v>0</v>
      </c>
      <c r="D12" s="6" t="s">
        <v>30</v>
      </c>
      <c r="E12" s="6" t="s">
        <v>15</v>
      </c>
      <c r="F12" s="6" t="s">
        <v>6</v>
      </c>
      <c r="M12" s="7">
        <f>M11*1.04</f>
        <v>37201.926465600001</v>
      </c>
      <c r="T12" t="s">
        <v>57</v>
      </c>
      <c r="U12" s="8">
        <v>-4000</v>
      </c>
    </row>
    <row r="13" spans="2:21" x14ac:dyDescent="0.3">
      <c r="C13" s="6"/>
      <c r="D13" s="6"/>
      <c r="E13" s="6"/>
      <c r="F13" s="6"/>
      <c r="M13" s="1">
        <v>31553.600000000002</v>
      </c>
      <c r="T13" t="s">
        <v>59</v>
      </c>
      <c r="U13" s="7">
        <f>SUM(U11:U12)</f>
        <v>22046.084802400001</v>
      </c>
    </row>
    <row r="14" spans="2:21" x14ac:dyDescent="0.3">
      <c r="B14" s="6" t="s">
        <v>47</v>
      </c>
      <c r="C14" s="6"/>
      <c r="D14" s="6"/>
      <c r="E14" s="6"/>
      <c r="F14" s="6"/>
    </row>
    <row r="15" spans="2:21" x14ac:dyDescent="0.3">
      <c r="B15" t="s">
        <v>1</v>
      </c>
    </row>
    <row r="16" spans="2:21" x14ac:dyDescent="0.3">
      <c r="B16" t="s">
        <v>4</v>
      </c>
      <c r="C16" s="1">
        <f>'[5]2554606'!$Q$6</f>
        <v>0</v>
      </c>
      <c r="D16" s="1"/>
      <c r="E16" s="1">
        <f>SUM(C16:D16)</f>
        <v>0</v>
      </c>
      <c r="F16" s="3">
        <v>0.15</v>
      </c>
      <c r="G16" s="2">
        <f>E16*F16</f>
        <v>0</v>
      </c>
    </row>
    <row r="17" spans="2:8" x14ac:dyDescent="0.3">
      <c r="B17" t="s">
        <v>5</v>
      </c>
      <c r="C17" s="1">
        <f>'[5]2554606'!$Q$7</f>
        <v>25505.640000000003</v>
      </c>
      <c r="D17" s="1">
        <f>'[6]Tradewise Exits from 2024-04-01'!$P$16</f>
        <v>2064.4</v>
      </c>
      <c r="E17" s="1">
        <f>SUM(C17:D17)</f>
        <v>27570.040000000005</v>
      </c>
      <c r="F17" s="3">
        <v>0.15</v>
      </c>
      <c r="G17" s="2">
        <f t="shared" ref="G17:G18" si="1">E17*F17</f>
        <v>4135.5060000000003</v>
      </c>
    </row>
    <row r="18" spans="2:8" x14ac:dyDescent="0.3">
      <c r="B18" t="s">
        <v>3</v>
      </c>
      <c r="C18" s="1">
        <f>'[5]2554606'!$Q$8</f>
        <v>68253.219999999987</v>
      </c>
      <c r="D18" s="1">
        <f>'[6]Tradewise Exits from 2024-04-01'!$P$17</f>
        <v>3724.7799999999997</v>
      </c>
      <c r="E18" s="1">
        <f>SUM(C18:D18)</f>
        <v>71977.999999999985</v>
      </c>
      <c r="F18" s="3">
        <v>0.1</v>
      </c>
      <c r="G18" s="2">
        <f t="shared" si="1"/>
        <v>7197.7999999999993</v>
      </c>
    </row>
    <row r="19" spans="2:8" x14ac:dyDescent="0.3">
      <c r="E19" s="1"/>
    </row>
    <row r="20" spans="2:8" x14ac:dyDescent="0.3">
      <c r="B20" t="s">
        <v>2</v>
      </c>
      <c r="E20" s="1"/>
    </row>
    <row r="21" spans="2:8" x14ac:dyDescent="0.3">
      <c r="B21" t="s">
        <v>4</v>
      </c>
      <c r="C21" s="1">
        <f>'[5]2554606'!$R$6</f>
        <v>0</v>
      </c>
      <c r="D21" s="1"/>
      <c r="E21" s="1">
        <f>SUM(C21:D21)</f>
        <v>0</v>
      </c>
      <c r="F21" s="3">
        <v>0.2</v>
      </c>
      <c r="G21" s="2">
        <f t="shared" ref="G21:G23" si="2">E21*F21</f>
        <v>0</v>
      </c>
    </row>
    <row r="22" spans="2:8" x14ac:dyDescent="0.3">
      <c r="B22" t="s">
        <v>5</v>
      </c>
      <c r="C22" s="1">
        <f>'[5]2554606'!$R$7</f>
        <v>-7951.7500000000018</v>
      </c>
      <c r="D22" s="1">
        <f>'[6]Tradewise Exits from 2024-04-01'!$Q$16</f>
        <v>-124.2</v>
      </c>
      <c r="E22" s="1">
        <f>SUM(C22:D22)</f>
        <v>-8075.9500000000016</v>
      </c>
      <c r="F22" s="3">
        <v>0.2</v>
      </c>
      <c r="G22" s="2">
        <f t="shared" si="2"/>
        <v>-1615.1900000000005</v>
      </c>
      <c r="H22" s="2"/>
    </row>
    <row r="23" spans="2:8" x14ac:dyDescent="0.3">
      <c r="B23" t="s">
        <v>3</v>
      </c>
      <c r="C23" s="1">
        <f>'[5]2554606'!$R$8</f>
        <v>131092.25</v>
      </c>
      <c r="D23" s="1">
        <f>'[6]Tradewise Exits from 2024-04-01'!$Q$17</f>
        <v>36603.9</v>
      </c>
      <c r="E23" s="1">
        <f>SUM(C23:D23)</f>
        <v>167696.15</v>
      </c>
      <c r="F23" s="4">
        <v>0.125</v>
      </c>
      <c r="G23" s="2">
        <f t="shared" si="2"/>
        <v>20962.018749999999</v>
      </c>
      <c r="H23" s="2"/>
    </row>
    <row r="24" spans="2:8" x14ac:dyDescent="0.3">
      <c r="E24" s="2"/>
    </row>
    <row r="25" spans="2:8" x14ac:dyDescent="0.3">
      <c r="E25" s="2"/>
    </row>
    <row r="26" spans="2:8" x14ac:dyDescent="0.3">
      <c r="B26" s="6" t="s">
        <v>48</v>
      </c>
      <c r="E26" s="2"/>
    </row>
    <row r="27" spans="2:8" x14ac:dyDescent="0.3">
      <c r="C27" s="6" t="s">
        <v>50</v>
      </c>
      <c r="D27" s="6" t="s">
        <v>30</v>
      </c>
      <c r="E27" s="5" t="s">
        <v>15</v>
      </c>
      <c r="F27" s="6" t="s">
        <v>6</v>
      </c>
    </row>
    <row r="28" spans="2:8" x14ac:dyDescent="0.3">
      <c r="B28" t="s">
        <v>49</v>
      </c>
      <c r="C28" s="1">
        <v>0</v>
      </c>
      <c r="D28" s="1">
        <f>'[6]Mutual Funds'!$C$19</f>
        <v>310.83139999999997</v>
      </c>
      <c r="E28" s="1">
        <f>SUM(C28:D28)</f>
        <v>310.83139999999997</v>
      </c>
      <c r="F28" t="s">
        <v>51</v>
      </c>
      <c r="G28" s="2"/>
    </row>
    <row r="29" spans="2:8" x14ac:dyDescent="0.3">
      <c r="B29" t="s">
        <v>52</v>
      </c>
      <c r="C29" s="1">
        <f>'[7]AAYUSH KUMAR GUPTA'!$Q$26</f>
        <v>1991.98</v>
      </c>
      <c r="D29" s="1">
        <f>'[6]Mutual Funds'!$C$15</f>
        <v>18.673200000000001</v>
      </c>
      <c r="E29" s="1">
        <f>SUM(C29:D29)</f>
        <v>2010.6532</v>
      </c>
      <c r="F29" s="3">
        <v>0.2</v>
      </c>
      <c r="G29" s="2">
        <f t="shared" ref="G29" si="3">E29*F29</f>
        <v>402.13064000000003</v>
      </c>
    </row>
    <row r="30" spans="2:8" x14ac:dyDescent="0.3">
      <c r="E30" s="2"/>
    </row>
    <row r="31" spans="2:8" x14ac:dyDescent="0.3">
      <c r="B31" s="6" t="s">
        <v>7</v>
      </c>
      <c r="C31" s="5">
        <f>SUM(E16:E29)</f>
        <v>261489.72459999999</v>
      </c>
    </row>
    <row r="32" spans="2:8" x14ac:dyDescent="0.3">
      <c r="B32" s="6"/>
      <c r="C32" s="5"/>
    </row>
    <row r="33" spans="2:10" x14ac:dyDescent="0.3">
      <c r="B33" s="6" t="s">
        <v>8</v>
      </c>
    </row>
    <row r="34" spans="2:10" x14ac:dyDescent="0.3">
      <c r="B34" t="s">
        <v>9</v>
      </c>
      <c r="C34" s="1">
        <v>10000</v>
      </c>
    </row>
    <row r="35" spans="2:10" x14ac:dyDescent="0.3">
      <c r="B35" t="s">
        <v>10</v>
      </c>
      <c r="C35" s="1">
        <v>20000</v>
      </c>
    </row>
    <row r="36" spans="2:10" x14ac:dyDescent="0.3">
      <c r="B36" t="s">
        <v>11</v>
      </c>
      <c r="C36" s="1">
        <v>300</v>
      </c>
    </row>
    <row r="37" spans="2:10" x14ac:dyDescent="0.3">
      <c r="C37" s="7">
        <f>SUM(C34:C36)</f>
        <v>30300</v>
      </c>
    </row>
    <row r="39" spans="2:10" x14ac:dyDescent="0.3">
      <c r="B39" s="6" t="s">
        <v>12</v>
      </c>
      <c r="C39" s="5">
        <f>C31+C37+C9</f>
        <v>1118889.7245999998</v>
      </c>
    </row>
    <row r="41" spans="2:10" x14ac:dyDescent="0.3">
      <c r="B41" t="s">
        <v>13</v>
      </c>
      <c r="C41" s="1">
        <f>MAX(-125000,-(E23+E18))</f>
        <v>-125000</v>
      </c>
    </row>
    <row r="42" spans="2:10" x14ac:dyDescent="0.3">
      <c r="E42" s="2"/>
    </row>
    <row r="43" spans="2:10" x14ac:dyDescent="0.3">
      <c r="B43" t="s">
        <v>14</v>
      </c>
      <c r="C43" s="5">
        <f>SUM(C39:C41)</f>
        <v>993889.72459999984</v>
      </c>
    </row>
    <row r="44" spans="2:10" x14ac:dyDescent="0.3">
      <c r="C44" s="5"/>
    </row>
    <row r="45" spans="2:10" x14ac:dyDescent="0.3">
      <c r="B45" t="s">
        <v>33</v>
      </c>
      <c r="C45" s="8">
        <f>M11</f>
        <v>35771.083140000002</v>
      </c>
    </row>
    <row r="46" spans="2:10" x14ac:dyDescent="0.3">
      <c r="B46" t="s">
        <v>31</v>
      </c>
      <c r="C46" s="8">
        <f>SUM(C65:C66)</f>
        <v>15861.062889999999</v>
      </c>
      <c r="H46" s="2"/>
      <c r="J46" s="2"/>
    </row>
    <row r="47" spans="2:10" x14ac:dyDescent="0.3">
      <c r="B47" t="s">
        <v>17</v>
      </c>
      <c r="C47" s="8">
        <f>SUM(C45:C46)*1.04</f>
        <v>53697.431871200002</v>
      </c>
    </row>
    <row r="48" spans="2:10" x14ac:dyDescent="0.3">
      <c r="C48" s="8"/>
    </row>
    <row r="49" spans="2:12" x14ac:dyDescent="0.3">
      <c r="B49" t="s">
        <v>28</v>
      </c>
      <c r="C49" s="8">
        <f>-M13</f>
        <v>-31553.600000000002</v>
      </c>
    </row>
    <row r="50" spans="2:12" x14ac:dyDescent="0.3">
      <c r="C50" s="8"/>
    </row>
    <row r="51" spans="2:12" x14ac:dyDescent="0.3">
      <c r="B51" t="s">
        <v>29</v>
      </c>
      <c r="C51" s="7">
        <f>SUM(C47:C49)</f>
        <v>22143.8318712</v>
      </c>
    </row>
    <row r="52" spans="2:12" x14ac:dyDescent="0.3">
      <c r="C52" s="8"/>
    </row>
    <row r="53" spans="2:12" x14ac:dyDescent="0.3">
      <c r="B53" s="6" t="s">
        <v>53</v>
      </c>
      <c r="C53" s="7">
        <f>C51</f>
        <v>22143.8318712</v>
      </c>
    </row>
    <row r="54" spans="2:12" x14ac:dyDescent="0.3">
      <c r="B54" t="s">
        <v>42</v>
      </c>
      <c r="C54" s="1">
        <v>-4000</v>
      </c>
    </row>
    <row r="55" spans="2:12" x14ac:dyDescent="0.3">
      <c r="B55" s="6" t="s">
        <v>43</v>
      </c>
      <c r="C55" s="7">
        <f>SUM(C53:C54)</f>
        <v>18143.8318712</v>
      </c>
    </row>
    <row r="56" spans="2:12" x14ac:dyDescent="0.3">
      <c r="B56" s="6"/>
      <c r="C56" s="7"/>
    </row>
    <row r="57" spans="2:12" x14ac:dyDescent="0.3">
      <c r="B57" s="6"/>
      <c r="C57" s="7"/>
    </row>
    <row r="58" spans="2:12" x14ac:dyDescent="0.3">
      <c r="B58" s="6"/>
      <c r="C58" s="7"/>
    </row>
    <row r="59" spans="2:12" x14ac:dyDescent="0.3">
      <c r="B59" s="6"/>
      <c r="C59" s="7"/>
    </row>
    <row r="60" spans="2:12" x14ac:dyDescent="0.3">
      <c r="B60" t="s">
        <v>38</v>
      </c>
      <c r="C60" s="2">
        <f>C9+C37+E28</f>
        <v>857710.83140000002</v>
      </c>
      <c r="I60" t="str">
        <f t="shared" ref="I60:K61" si="4">J4</f>
        <v>0-3</v>
      </c>
      <c r="J60" s="1">
        <f t="shared" si="4"/>
        <v>300000</v>
      </c>
      <c r="K60" s="11">
        <f t="shared" si="4"/>
        <v>0</v>
      </c>
      <c r="L60" s="2">
        <f>J60*K60</f>
        <v>0</v>
      </c>
    </row>
    <row r="61" spans="2:12" x14ac:dyDescent="0.3">
      <c r="B61" t="s">
        <v>3</v>
      </c>
      <c r="C61" s="2">
        <f>E18+E23</f>
        <v>239674.14999999997</v>
      </c>
      <c r="I61" t="str">
        <f t="shared" si="4"/>
        <v>3-7</v>
      </c>
      <c r="J61" s="1">
        <f t="shared" si="4"/>
        <v>400000</v>
      </c>
      <c r="K61" s="11">
        <f t="shared" si="4"/>
        <v>0.05</v>
      </c>
      <c r="L61" s="2">
        <f t="shared" ref="L61:L62" si="5">J61*K61</f>
        <v>20000</v>
      </c>
    </row>
    <row r="62" spans="2:12" x14ac:dyDescent="0.3">
      <c r="B62" t="s">
        <v>5</v>
      </c>
      <c r="C62" s="2">
        <f>E17+E22+E29</f>
        <v>21504.743200000004</v>
      </c>
      <c r="I62" t="str">
        <f>J6</f>
        <v>6-9</v>
      </c>
      <c r="J62" s="1">
        <f>C60-SUM(J60:J61)</f>
        <v>157710.83140000002</v>
      </c>
      <c r="K62" s="11">
        <f t="shared" ref="K62" si="6">L6</f>
        <v>0.1</v>
      </c>
      <c r="L62" s="2">
        <f t="shared" si="5"/>
        <v>15771.083140000002</v>
      </c>
    </row>
    <row r="63" spans="2:12" x14ac:dyDescent="0.3">
      <c r="C63" s="2">
        <f>SUM(C60:C62)</f>
        <v>1118889.7245999998</v>
      </c>
      <c r="D63" s="2"/>
      <c r="L63" s="2">
        <f>SUM(L60:L62)</f>
        <v>35771.083140000002</v>
      </c>
    </row>
    <row r="64" spans="2:12" x14ac:dyDescent="0.3">
      <c r="B64" s="6" t="s">
        <v>39</v>
      </c>
      <c r="C64" s="5">
        <f>L63</f>
        <v>35771.083140000002</v>
      </c>
      <c r="D64" s="2">
        <f>C9+E28+C37</f>
        <v>857710.83140000002</v>
      </c>
    </row>
    <row r="65" spans="2:4" x14ac:dyDescent="0.3">
      <c r="B65" t="s">
        <v>40</v>
      </c>
      <c r="C65" s="2">
        <f>(E17+E22)*15%+G29</f>
        <v>3326.2441400000002</v>
      </c>
      <c r="D65" s="2">
        <f>E17+E22+E29</f>
        <v>21504.743200000004</v>
      </c>
    </row>
    <row r="66" spans="2:4" x14ac:dyDescent="0.3">
      <c r="B66" t="s">
        <v>41</v>
      </c>
      <c r="C66" s="2">
        <f>G18+(E23-125000)*12.5%</f>
        <v>12534.818749999999</v>
      </c>
      <c r="D66" s="2">
        <f>E18+E23</f>
        <v>239674.14999999997</v>
      </c>
    </row>
    <row r="67" spans="2:4" x14ac:dyDescent="0.3">
      <c r="D67" s="2">
        <f>SUM(D64:D66)</f>
        <v>1118889.7246000001</v>
      </c>
    </row>
    <row r="68" spans="2:4" x14ac:dyDescent="0.3">
      <c r="D68" s="2">
        <f>C63-D67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Q2</vt:lpstr>
      <vt:lpstr>Q3</vt:lpstr>
      <vt:lpstr>Q4</vt:lpstr>
      <vt:lpstr>'Q2'!Print_Area</vt:lpstr>
      <vt:lpstr>'Q3'!Print_Area</vt:lpstr>
      <vt:lpstr>'Q4'!Print_Area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2015-06-05T18:17:20Z</dcterms:created>
  <dcterms:modified xsi:type="dcterms:W3CDTF">2025-03-12T17:20:57Z</dcterms:modified>
</cp:coreProperties>
</file>