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Archit\Returns\Aayush Gupta\31.03.2026\Advance Tax\Q4 15.03.2026\"/>
    </mc:Choice>
  </mc:AlternateContent>
  <xr:revisionPtr revIDLastSave="0" documentId="13_ncr:1_{3FCFE927-D6FE-4D41-8CA5-A52B7D1351C4}" xr6:coauthVersionLast="47" xr6:coauthVersionMax="47" xr10:uidLastSave="{00000000-0000-0000-0000-000000000000}"/>
  <bookViews>
    <workbookView xWindow="-108" yWindow="-108" windowWidth="23256" windowHeight="13896" activeTab="1" xr2:uid="{1B43A585-8123-41E0-B179-040EB8BA07EF}"/>
  </bookViews>
  <sheets>
    <sheet name="Sheet1" sheetId="4" r:id="rId1"/>
    <sheet name="COI" sheetId="1" r:id="rId2"/>
    <sheet name="Professional Fees" sheetId="2" r:id="rId3"/>
    <sheet name="Dividend" sheetId="3" r:id="rId4"/>
  </sheets>
  <externalReferences>
    <externalReference r:id="rId5"/>
    <externalReference r:id="rId6"/>
    <externalReference r:id="rId7"/>
    <externalReference r:id="rId8"/>
    <externalReference r:id="rId9"/>
    <externalReference r:id="rId10"/>
  </externalReferences>
  <definedNames>
    <definedName name="_xlnm._FilterDatabase" localSheetId="3" hidden="1">Dividend!$G$5:$J$66</definedName>
    <definedName name="_xlnm.Print_Area" localSheetId="1">COI!$A$1:$F$79</definedName>
  </definedNames>
  <calcPr calcId="191029"/>
  <pivotCaches>
    <pivotCache cacheId="0"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7" i="1" l="1"/>
  <c r="P38" i="1"/>
  <c r="P39" i="1"/>
  <c r="P40" i="1"/>
  <c r="M38" i="1"/>
  <c r="M37" i="1"/>
  <c r="H38" i="1"/>
  <c r="I38" i="1" s="1"/>
  <c r="H37" i="1"/>
  <c r="I37" i="1" s="1"/>
  <c r="M39" i="1"/>
  <c r="J37" i="1" l="1"/>
  <c r="K37" i="1" s="1"/>
  <c r="J38" i="1"/>
  <c r="K38" i="1" s="1"/>
  <c r="O38" i="1"/>
  <c r="O37" i="1"/>
  <c r="O39" i="1" l="1"/>
  <c r="C37" i="1" s="1"/>
  <c r="H13" i="1" l="1"/>
  <c r="H12" i="1"/>
  <c r="H11" i="1"/>
  <c r="H14" i="1"/>
  <c r="C22" i="1" l="1"/>
  <c r="C20" i="1"/>
  <c r="C15" i="1"/>
  <c r="C29" i="1"/>
  <c r="C26" i="1"/>
  <c r="C19" i="1"/>
  <c r="C14" i="1"/>
  <c r="C16" i="1"/>
  <c r="C21" i="1"/>
  <c r="D5" i="1"/>
  <c r="H21" i="1" l="1"/>
  <c r="D56" i="1"/>
  <c r="E56" i="1" s="1"/>
  <c r="D6" i="1" l="1"/>
  <c r="H15" i="1" l="1"/>
  <c r="H16" i="1" s="1"/>
  <c r="H19" i="1"/>
  <c r="H20" i="1" s="1"/>
  <c r="C66" i="1"/>
  <c r="D66" i="1" s="1"/>
  <c r="D11" i="1"/>
  <c r="D62" i="1"/>
  <c r="D61" i="1"/>
  <c r="E75" i="1"/>
  <c r="E74" i="1"/>
  <c r="E73" i="1"/>
  <c r="E69" i="1"/>
  <c r="E70" i="1"/>
  <c r="C36" i="1" l="1"/>
  <c r="D32" i="1" s="1"/>
  <c r="I5" i="1"/>
  <c r="I2" i="1"/>
  <c r="C65" i="1" l="1"/>
  <c r="D65" i="1" s="1"/>
  <c r="C46" i="1"/>
  <c r="C42" i="1"/>
  <c r="Q7" i="3" l="1"/>
  <c r="N45" i="3"/>
  <c r="O6" i="3"/>
  <c r="O27" i="3"/>
  <c r="O38" i="3"/>
  <c r="O16" i="3"/>
  <c r="O31" i="3"/>
  <c r="O37" i="3"/>
  <c r="O32" i="3"/>
  <c r="O45" i="3"/>
  <c r="O39" i="3"/>
  <c r="O36" i="3"/>
  <c r="O20" i="3"/>
  <c r="O26" i="3"/>
  <c r="O18" i="3"/>
  <c r="O13" i="3"/>
  <c r="O17" i="3"/>
  <c r="O34" i="3"/>
  <c r="O11" i="3"/>
  <c r="O35" i="3"/>
  <c r="O40" i="3"/>
  <c r="O15" i="3"/>
  <c r="O21" i="3"/>
  <c r="O23" i="3"/>
  <c r="O30" i="3"/>
  <c r="O22" i="3"/>
  <c r="O29" i="3"/>
  <c r="O24" i="3"/>
  <c r="O7" i="3"/>
  <c r="O10" i="3"/>
  <c r="O41" i="3"/>
  <c r="O8" i="3"/>
  <c r="O44" i="3"/>
  <c r="O12" i="3"/>
  <c r="O25" i="3"/>
  <c r="O33" i="3"/>
  <c r="O42" i="3"/>
  <c r="O28" i="3"/>
  <c r="O14" i="3"/>
  <c r="O9" i="3"/>
  <c r="R9" i="3" s="1"/>
  <c r="O19" i="3"/>
  <c r="O43" i="3"/>
  <c r="R14" i="3"/>
  <c r="R19" i="3"/>
  <c r="I1" i="3"/>
  <c r="N31" i="3"/>
  <c r="N37" i="3"/>
  <c r="N32" i="3"/>
  <c r="N34" i="3"/>
  <c r="N11" i="3"/>
  <c r="N35" i="3"/>
  <c r="N10" i="3"/>
  <c r="N41" i="3"/>
  <c r="N8" i="3"/>
  <c r="N43" i="3"/>
  <c r="N19" i="3" l="1"/>
  <c r="P19" i="3" s="1"/>
  <c r="N7" i="3"/>
  <c r="N17" i="3"/>
  <c r="N16" i="3"/>
  <c r="N9" i="3"/>
  <c r="N24" i="3"/>
  <c r="N13" i="3"/>
  <c r="N38" i="3"/>
  <c r="N14" i="3"/>
  <c r="S14" i="3" s="1"/>
  <c r="N29" i="3"/>
  <c r="N6" i="3"/>
  <c r="N27" i="3"/>
  <c r="N28" i="3"/>
  <c r="P28" i="3" s="1"/>
  <c r="N22" i="3"/>
  <c r="N18" i="3"/>
  <c r="N42" i="3"/>
  <c r="N30" i="3"/>
  <c r="N26" i="3"/>
  <c r="N33" i="3"/>
  <c r="N23" i="3"/>
  <c r="N20" i="3"/>
  <c r="N25" i="3"/>
  <c r="N21" i="3"/>
  <c r="N36" i="3"/>
  <c r="N12" i="3"/>
  <c r="N15" i="3"/>
  <c r="N39" i="3"/>
  <c r="N44" i="3"/>
  <c r="N40" i="3"/>
  <c r="P9" i="3"/>
  <c r="S9" i="3"/>
  <c r="R28" i="3"/>
  <c r="S28" i="3"/>
  <c r="C76" i="1"/>
  <c r="E76" i="1" s="1"/>
  <c r="C77" i="1" l="1"/>
  <c r="E77" i="1" s="1"/>
  <c r="S19" i="3"/>
  <c r="P14" i="3"/>
  <c r="C43" i="1" l="1"/>
  <c r="E83" i="1"/>
  <c r="E84" i="1"/>
  <c r="E85" i="1"/>
  <c r="E86" i="1"/>
  <c r="E87" i="1"/>
  <c r="E82" i="1"/>
  <c r="C88" i="1"/>
  <c r="D88" i="1"/>
  <c r="E88" i="1" l="1"/>
  <c r="E5" i="1"/>
  <c r="E9" i="1" s="1"/>
  <c r="D42" i="1"/>
  <c r="D46" i="1" l="1"/>
  <c r="S27" i="3"/>
  <c r="S38" i="3"/>
  <c r="S16" i="3"/>
  <c r="S31" i="3"/>
  <c r="S37" i="3"/>
  <c r="S32" i="3"/>
  <c r="S45" i="3"/>
  <c r="S39" i="3"/>
  <c r="S36" i="3"/>
  <c r="S20" i="3"/>
  <c r="S26" i="3"/>
  <c r="S18" i="3"/>
  <c r="S6" i="3"/>
  <c r="S13" i="3"/>
  <c r="S17" i="3"/>
  <c r="S34" i="3"/>
  <c r="S11" i="3"/>
  <c r="S35" i="3"/>
  <c r="S40" i="3"/>
  <c r="S15" i="3"/>
  <c r="S21" i="3"/>
  <c r="S23" i="3"/>
  <c r="S30" i="3"/>
  <c r="S22" i="3"/>
  <c r="S29" i="3"/>
  <c r="S24" i="3"/>
  <c r="S7" i="3"/>
  <c r="S10" i="3"/>
  <c r="S41" i="3"/>
  <c r="S8" i="3"/>
  <c r="S44" i="3"/>
  <c r="S12" i="3"/>
  <c r="S25" i="3"/>
  <c r="S33" i="3"/>
  <c r="R45" i="3"/>
  <c r="R39" i="3"/>
  <c r="R36" i="3"/>
  <c r="R20" i="3"/>
  <c r="R26" i="3"/>
  <c r="R18" i="3"/>
  <c r="R6" i="3"/>
  <c r="R13" i="3"/>
  <c r="R17" i="3"/>
  <c r="R34" i="3"/>
  <c r="R11" i="3"/>
  <c r="R35" i="3"/>
  <c r="R40" i="3"/>
  <c r="R15" i="3"/>
  <c r="R21" i="3"/>
  <c r="R23" i="3"/>
  <c r="R30" i="3"/>
  <c r="R22" i="3"/>
  <c r="R29" i="3"/>
  <c r="R24" i="3"/>
  <c r="R7" i="3"/>
  <c r="R10" i="3"/>
  <c r="R41" i="3"/>
  <c r="R8" i="3"/>
  <c r="R44" i="3"/>
  <c r="R12" i="3"/>
  <c r="R25" i="3"/>
  <c r="R33" i="3"/>
  <c r="Q4" i="3"/>
  <c r="Q2" i="3" s="1"/>
  <c r="P27" i="3"/>
  <c r="R27" i="3"/>
  <c r="P38" i="3"/>
  <c r="R38" i="3"/>
  <c r="P16" i="3"/>
  <c r="R16" i="3"/>
  <c r="P31" i="3"/>
  <c r="R31" i="3"/>
  <c r="P37" i="3"/>
  <c r="R37" i="3"/>
  <c r="P32" i="3"/>
  <c r="R32" i="3"/>
  <c r="P45" i="3"/>
  <c r="P39" i="3"/>
  <c r="P36" i="3"/>
  <c r="P20" i="3"/>
  <c r="P26" i="3"/>
  <c r="P18" i="3"/>
  <c r="P6" i="3"/>
  <c r="P13" i="3"/>
  <c r="P17" i="3"/>
  <c r="P34" i="3"/>
  <c r="P11" i="3"/>
  <c r="P35" i="3"/>
  <c r="P40" i="3"/>
  <c r="P15" i="3"/>
  <c r="P21" i="3"/>
  <c r="P23" i="3"/>
  <c r="P30" i="3"/>
  <c r="P22" i="3"/>
  <c r="P29" i="3"/>
  <c r="P24" i="3"/>
  <c r="P7" i="3"/>
  <c r="P10" i="3"/>
  <c r="P41" i="3"/>
  <c r="P8" i="3"/>
  <c r="P44" i="3"/>
  <c r="P12" i="3"/>
  <c r="P25" i="3"/>
  <c r="P33" i="3"/>
  <c r="D1" i="3"/>
  <c r="N4" i="3" l="1"/>
  <c r="P42" i="3" l="1"/>
  <c r="R42" i="3"/>
  <c r="S42" i="3"/>
  <c r="S43" i="3"/>
  <c r="R43" i="3"/>
  <c r="R4" i="3" s="1"/>
  <c r="P43" i="3"/>
  <c r="O4" i="3"/>
  <c r="S4" i="3" l="1"/>
  <c r="H32" i="1" s="1"/>
  <c r="H33" i="1" s="1"/>
  <c r="H34" i="1" s="1"/>
  <c r="P4" i="3"/>
  <c r="U3" i="2"/>
  <c r="W3" i="2"/>
  <c r="X3" i="2"/>
  <c r="U4" i="2"/>
  <c r="W4" i="2"/>
  <c r="X4" i="2"/>
  <c r="W5" i="2"/>
  <c r="X5" i="2"/>
  <c r="U6" i="2"/>
  <c r="W6" i="2"/>
  <c r="X6" i="2"/>
  <c r="B7" i="2"/>
  <c r="C7" i="2"/>
  <c r="D7" i="2"/>
  <c r="W7" i="2"/>
  <c r="E32" i="1" l="1"/>
  <c r="I6" i="1"/>
  <c r="I4" i="1"/>
  <c r="D64" i="1"/>
  <c r="Q32" i="1" l="1"/>
  <c r="Q33" i="1" s="1"/>
  <c r="I9" i="1"/>
  <c r="I7" i="1"/>
  <c r="D8" i="1" s="1"/>
  <c r="D9" i="1" s="1"/>
  <c r="E11" i="1"/>
  <c r="D39" i="1" l="1"/>
  <c r="D48" i="1" s="1"/>
  <c r="C63" i="1" s="1"/>
  <c r="C67" i="1" s="1"/>
  <c r="E39" i="1"/>
  <c r="C72" i="1" l="1"/>
  <c r="E72" i="1" s="1"/>
  <c r="E71" i="1"/>
  <c r="D63" i="1"/>
  <c r="D79" i="1" s="1"/>
  <c r="E48" i="1"/>
  <c r="Q34" i="1" l="1"/>
  <c r="R34" i="1" s="1"/>
  <c r="C79" i="1"/>
  <c r="E79" i="1"/>
  <c r="D50" i="1"/>
  <c r="D51" i="1" s="1"/>
  <c r="D52" i="1" s="1"/>
  <c r="D54" i="1" l="1"/>
  <c r="D58" i="1" s="1"/>
  <c r="E50" i="1"/>
  <c r="E51" i="1" s="1"/>
  <c r="E52" i="1" s="1"/>
  <c r="E54" i="1" l="1"/>
  <c r="E58" i="1" s="1"/>
  <c r="E101" i="1" s="1"/>
  <c r="E103" i="1" s="1"/>
</calcChain>
</file>

<file path=xl/sharedStrings.xml><?xml version="1.0" encoding="utf-8"?>
<sst xmlns="http://schemas.openxmlformats.org/spreadsheetml/2006/main" count="571" uniqueCount="273">
  <si>
    <t>COI</t>
  </si>
  <si>
    <t>Aayush Gupta</t>
  </si>
  <si>
    <t>OLD</t>
  </si>
  <si>
    <t>NEW</t>
  </si>
  <si>
    <t>Salary</t>
  </si>
  <si>
    <t>Professional Tax</t>
  </si>
  <si>
    <t>STD Dedn</t>
  </si>
  <si>
    <t>Capital Gains</t>
  </si>
  <si>
    <t>STCG</t>
  </si>
  <si>
    <t>LTCG</t>
  </si>
  <si>
    <t>Gross Total Income</t>
  </si>
  <si>
    <t>U/S 80C</t>
  </si>
  <si>
    <t>U/S 80D</t>
  </si>
  <si>
    <t>Net Total Income</t>
  </si>
  <si>
    <t>Tax</t>
  </si>
  <si>
    <t>Cess</t>
  </si>
  <si>
    <t>Total Tax</t>
  </si>
  <si>
    <t>TDS</t>
  </si>
  <si>
    <t>Old</t>
  </si>
  <si>
    <t>0-2,50,000</t>
  </si>
  <si>
    <t>2,50,001-5,00,000</t>
  </si>
  <si>
    <t>5,00,001-10,00,000</t>
  </si>
  <si>
    <t>&gt;1000001</t>
  </si>
  <si>
    <t>New</t>
  </si>
  <si>
    <t>HRA</t>
  </si>
  <si>
    <t>Professional Fees from JSW</t>
  </si>
  <si>
    <t>Professional Fees from LINCOLN ELECTRI</t>
  </si>
  <si>
    <t>Professional Fees from Fluxgen</t>
  </si>
  <si>
    <t>Professional Fees from Dr. Reddys</t>
  </si>
  <si>
    <t>Deductions Under Chapter VI</t>
  </si>
  <si>
    <t xml:space="preserve">Basic </t>
  </si>
  <si>
    <t>Net amount received in bank</t>
  </si>
  <si>
    <t>Narration</t>
  </si>
  <si>
    <t>SBI</t>
  </si>
  <si>
    <t>TX Date</t>
  </si>
  <si>
    <t>Particulars</t>
  </si>
  <si>
    <t>Ref</t>
  </si>
  <si>
    <t>DR</t>
  </si>
  <si>
    <t>CR</t>
  </si>
  <si>
    <t>Kya hai?</t>
  </si>
  <si>
    <t>Grand Total</t>
  </si>
  <si>
    <t>Sum of CR</t>
  </si>
  <si>
    <t>Rebate U/S 87A</t>
  </si>
  <si>
    <t>Advance Tax</t>
  </si>
  <si>
    <t>IFOS</t>
  </si>
  <si>
    <t>Interest From Saving Bank A/c</t>
  </si>
  <si>
    <t xml:space="preserve">Dividend From Shares </t>
  </si>
  <si>
    <t>HDFC</t>
  </si>
  <si>
    <t>ALEMBIC PHARMACEUTICALS LIMITED</t>
  </si>
  <si>
    <t>INE901L01018</t>
  </si>
  <si>
    <t>APOLLO HOSPITALS ENTER. L</t>
  </si>
  <si>
    <t>INE437A01024</t>
  </si>
  <si>
    <t>BANK OF BARODA</t>
  </si>
  <si>
    <t>INE028A01039</t>
  </si>
  <si>
    <t>BIRLASOFT LIMITED</t>
  </si>
  <si>
    <t>INE836A01035</t>
  </si>
  <si>
    <t>GARWARE TECHNICAL FIBRES LIMITED</t>
  </si>
  <si>
    <t>INE276A01018</t>
  </si>
  <si>
    <t>HDFC BANK LTD</t>
  </si>
  <si>
    <t>INE040A01034</t>
  </si>
  <si>
    <t>ICICI BANK LTD.</t>
  </si>
  <si>
    <t>INE090A01021</t>
  </si>
  <si>
    <t>INDIAMART INTERMESH LIMITED</t>
  </si>
  <si>
    <t>INE933S01016</t>
  </si>
  <si>
    <t>INFOSYS LTD</t>
  </si>
  <si>
    <t>INE009A01021</t>
  </si>
  <si>
    <t>KPIT TECHNOLOGIES LIMITED</t>
  </si>
  <si>
    <t>INE04I401011</t>
  </si>
  <si>
    <t>LTI MINDTREE LIMITED</t>
  </si>
  <si>
    <t>INE214T01019</t>
  </si>
  <si>
    <t>MAHINDRA &amp; MAHINDRA LTD</t>
  </si>
  <si>
    <t>INE101A01026</t>
  </si>
  <si>
    <t>N G L FINE-CHEM LIMITED</t>
  </si>
  <si>
    <t>INE887E01022</t>
  </si>
  <si>
    <t>NATIONAL ALUMINIUM COMPANY LIMITED</t>
  </si>
  <si>
    <t>INE139A01034</t>
  </si>
  <si>
    <t>Oracle Financial Services Software Ltd.</t>
  </si>
  <si>
    <t>INE881D01027</t>
  </si>
  <si>
    <t>POWER FINANCE CORPORATION LTD.</t>
  </si>
  <si>
    <t>INE134E01011</t>
  </si>
  <si>
    <t>POWER MECH PROJECTS LIMITED</t>
  </si>
  <si>
    <t>INE211R01019</t>
  </si>
  <si>
    <t>SONA BLW PRECISION FORGINGS LIMITED</t>
  </si>
  <si>
    <t>INE073K01018</t>
  </si>
  <si>
    <t>STATE BANK OF INDIA</t>
  </si>
  <si>
    <t>INE062A01020</t>
  </si>
  <si>
    <t>TATA CONSULTANCY SERVICES LIMITED</t>
  </si>
  <si>
    <t>INE467B01029</t>
  </si>
  <si>
    <t>Name of Share</t>
  </si>
  <si>
    <t>ISIN</t>
  </si>
  <si>
    <t>Value of Dividend</t>
  </si>
  <si>
    <t>From which Account</t>
  </si>
  <si>
    <t>ACH C- ORACLEFINANCIALSER-00000000000000</t>
  </si>
  <si>
    <t xml:space="preserve">   BULK POSTING-ACHCr NACH00000000006422 LAURUS LABS LI--</t>
  </si>
  <si>
    <t>ACH C- NGLFINECHEMLIMITE-0000IN301549528</t>
  </si>
  <si>
    <t xml:space="preserve">   BULK POSTING-ACHCr HDFC01346000011215 CHAMBAL FERTIL--</t>
  </si>
  <si>
    <t xml:space="preserve">   BULK POSTING-ACHCr IBKL00249000010274 ITC LIMITED--</t>
  </si>
  <si>
    <t>Narration from Bank</t>
  </si>
  <si>
    <t>Amount received in Bank</t>
  </si>
  <si>
    <t xml:space="preserve">Bank </t>
  </si>
  <si>
    <t>Name of share</t>
  </si>
  <si>
    <t>From Banks</t>
  </si>
  <si>
    <t>LAURUSLABS</t>
  </si>
  <si>
    <t>INE947Q01028</t>
  </si>
  <si>
    <t>ITC</t>
  </si>
  <si>
    <t>INE154A01025</t>
  </si>
  <si>
    <t>KIRLFER</t>
  </si>
  <si>
    <t>INE884B01025</t>
  </si>
  <si>
    <t>CAMS</t>
  </si>
  <si>
    <t>INE596I01012</t>
  </si>
  <si>
    <t>RELIANCE</t>
  </si>
  <si>
    <t>INE002A01018</t>
  </si>
  <si>
    <t>CHAMBLFERT</t>
  </si>
  <si>
    <t>INE085A01013</t>
  </si>
  <si>
    <t>CDSL</t>
  </si>
  <si>
    <t>INE736A01011</t>
  </si>
  <si>
    <t>Zerodha</t>
  </si>
  <si>
    <t>From Broker</t>
  </si>
  <si>
    <t>Diff</t>
  </si>
  <si>
    <t>As per AIS</t>
  </si>
  <si>
    <t xml:space="preserve"> Dividend as per Broker's statement</t>
  </si>
  <si>
    <t>Dividend as per Bank Statement</t>
  </si>
  <si>
    <t>Dividend income to show</t>
  </si>
  <si>
    <t>Which Bank account</t>
  </si>
  <si>
    <t>Net Tax Payable / (Refund)</t>
  </si>
  <si>
    <t>PF Deducted by employee</t>
  </si>
  <si>
    <t>ULIP Policies</t>
  </si>
  <si>
    <t>AXIS</t>
  </si>
  <si>
    <t>KOTAK</t>
  </si>
  <si>
    <t>SBM BANK (INDIA) LTD</t>
  </si>
  <si>
    <t>Income from FD</t>
  </si>
  <si>
    <t>As per Bank Statements</t>
  </si>
  <si>
    <t xml:space="preserve">    Basic Salary</t>
  </si>
  <si>
    <t xml:space="preserve">    HRA</t>
  </si>
  <si>
    <t xml:space="preserve">    50% of Basic</t>
  </si>
  <si>
    <t xml:space="preserve">    Actual Paid</t>
  </si>
  <si>
    <t xml:space="preserve">    Minimum of above 3</t>
  </si>
  <si>
    <t xml:space="preserve">    Actual rent paid less  than 10% of the salary</t>
  </si>
  <si>
    <t>LTIM</t>
  </si>
  <si>
    <t>NESTLE</t>
  </si>
  <si>
    <t>NTPC</t>
  </si>
  <si>
    <t>INE239A01024</t>
  </si>
  <si>
    <t>INE733E01010</t>
  </si>
  <si>
    <t>Jupiter / Federal</t>
  </si>
  <si>
    <t>BAJAJ AUTO LTD</t>
  </si>
  <si>
    <t>INE917I01010</t>
  </si>
  <si>
    <t>BANK OF INDIA</t>
  </si>
  <si>
    <t>INE084A01016</t>
  </si>
  <si>
    <t>CLEAN SCIENCE &amp; TECHNOLOGY LIMITED</t>
  </si>
  <si>
    <t>INE227W01023</t>
  </si>
  <si>
    <t>CYIENT LIMITED</t>
  </si>
  <si>
    <t>INE136B01020</t>
  </si>
  <si>
    <t>DATA PATTERNS (INDIA) LTD</t>
  </si>
  <si>
    <t>INE0IX101010</t>
  </si>
  <si>
    <t>HERO MOTOCORP LIMITED</t>
  </si>
  <si>
    <t>INE158A01026</t>
  </si>
  <si>
    <t>KALPATARU PROJECTS INTERNATIONAL LIMITED</t>
  </si>
  <si>
    <t>INE220B01022</t>
  </si>
  <si>
    <t>OLECTRA GREENTECH LIMITED</t>
  </si>
  <si>
    <t>INE260D01016</t>
  </si>
  <si>
    <t>POLYCAB INDIA LIMITED</t>
  </si>
  <si>
    <t>INE455K01017</t>
  </si>
  <si>
    <t>UNION BANK OF INDIA</t>
  </si>
  <si>
    <t>INE692A01016</t>
  </si>
  <si>
    <t>ACH C- TCSFINDIV040624-1679357</t>
  </si>
  <si>
    <t>ACH C- STATE BANK OF INDIA-2503654</t>
  </si>
  <si>
    <t>ACH C- IIL FINAL 2023 24-115130</t>
  </si>
  <si>
    <t>ACH C- LTIMIN FINAL 2023 24-370802</t>
  </si>
  <si>
    <t xml:space="preserve">   BULK POSTING-ACHCr NACH00000000060732 LTIMIN FINAL 2--</t>
  </si>
  <si>
    <t>ACH C- INFOSYS LIMITED-41593907</t>
  </si>
  <si>
    <t>ACH C- BANK OF INDIA - EQUI-BOI0FIN02024</t>
  </si>
  <si>
    <t>ACH C- SONA BLW PRECISION F-000000000000</t>
  </si>
  <si>
    <t>ACH C- POLYCAB INDIA LTD-000000000000017</t>
  </si>
  <si>
    <t>ACH C- KPIL FNLDIV 2023 24-58389</t>
  </si>
  <si>
    <t>ACH C- BAJAJ AUTO LIMITED-4275088</t>
  </si>
  <si>
    <t>ACH C- CYIENTLIMITED-4808639</t>
  </si>
  <si>
    <t>ACH C- BOB DIVIDEND FY23-24-10918798</t>
  </si>
  <si>
    <t xml:space="preserve">   BULK POSTING-ACHCr ICIC02860000005377 CAMSL FINALDIV--</t>
  </si>
  <si>
    <t>ALEMBIC PHAR DIV232400000000000000014101</t>
  </si>
  <si>
    <t>ACH C- MAHINDRA  AND MAHIND-50551869</t>
  </si>
  <si>
    <t>BIRLASOFT LT DIV232400000000000000051054</t>
  </si>
  <si>
    <t>ACH C- TCS1STINTDIV050824-1609744</t>
  </si>
  <si>
    <t>ACH C- UNION BANK OF INDIA-2499286</t>
  </si>
  <si>
    <t xml:space="preserve">   BULK POSTING-ACHCr HDFC00781000009637 NESTLE INDIA L--</t>
  </si>
  <si>
    <t>0708513379 HDFC BANK DIV 23 24 00636771</t>
  </si>
  <si>
    <t xml:space="preserve">   BULK POSTING-ACHCr NACH00000000020087 CDSL FNLDIV 20--</t>
  </si>
  <si>
    <t xml:space="preserve">   BULK POSTING-ACHCr ICIC02860000005377 CAMS Int Div 2--</t>
  </si>
  <si>
    <t>ACH C- DATAPATTERN FNLDIV24-127791</t>
  </si>
  <si>
    <t>ACH C- KPIT TECHNOLOGIES-3703960</t>
  </si>
  <si>
    <t>ACH C- RELIANCE INDUSTRIES-242544357</t>
  </si>
  <si>
    <t xml:space="preserve">   BULK POSTING-C24914540661     43004001104RELIANCE INDUSTRIES LI--</t>
  </si>
  <si>
    <t>ACH C- ICICI BANK LTD.-7826787</t>
  </si>
  <si>
    <t>ACH C- POWER FINANCE CORPOR-15115327</t>
  </si>
  <si>
    <t>ACH C- APOLLO HOS FDIV2024-AHLIN30154952</t>
  </si>
  <si>
    <t>ACH C- POWER FINANCE CORPOR-16612094</t>
  </si>
  <si>
    <t>CLEAN SCIEN DIV23 2400000000000000034830</t>
  </si>
  <si>
    <t>GARWARE TEC DIV23 2400000000000000008368</t>
  </si>
  <si>
    <t>ACH C- POWER MECH PROJECTS-829185</t>
  </si>
  <si>
    <t>ACH C- OLECTRA GREENTECH LT-000000110962</t>
  </si>
  <si>
    <t xml:space="preserve">   BULK POSTING-ACHCr HDFC01281000011076 KFILFNL2023202--</t>
  </si>
  <si>
    <t>ACH C- NATIONAL ALUMINIUM C-NAT0FIN02024</t>
  </si>
  <si>
    <t>ACH C- TCS2NDINTDIV051124-1598352</t>
  </si>
  <si>
    <t>ACH C- LTIMIN INT 2024 25-322604</t>
  </si>
  <si>
    <t>BIRLASOFT L DIV24 2500000000000000060419</t>
  </si>
  <si>
    <t>NACH-ECS-CR-NTPC-INT DIV 24-25-NT0211242619813</t>
  </si>
  <si>
    <t>NACH-ECS-CR-CAMS 2ND INT 2024 25-280473</t>
  </si>
  <si>
    <t>ACH C- CYIENTLIMITED-5007587</t>
  </si>
  <si>
    <t>NACH-ECS-CR-CHAMBAL FERTILISERSA-8160012081600772</t>
  </si>
  <si>
    <t>ACH C- NATIONAL ALUMINIUM C-NAT0INT02025</t>
  </si>
  <si>
    <t>ACH C- TCS3INTSPLDIV030225-1569454</t>
  </si>
  <si>
    <t>ACH C- SONABLWPRECISION-0000000000000334</t>
  </si>
  <si>
    <t>ACH C- KPIT TECHNOLOGIES-4334072</t>
  </si>
  <si>
    <t>NACH-ECS-CR-NTPC-2-INT DIV 24-25-NT3101252613078</t>
  </si>
  <si>
    <t>NACH-ECS-CR-CAMS 3INTDIV 24 25-305528</t>
  </si>
  <si>
    <t>ACH C- HEROMOTOCORPLTD-00000000000007576</t>
  </si>
  <si>
    <t>NACH-10-CR-NESTLEINDIALTD-00000000000000194591</t>
  </si>
  <si>
    <t>ACH C- APOLLO HOS IDIV2025-AHLIN30154952</t>
  </si>
  <si>
    <t>NACH-10-CR-KFILINTDIV2425-00000000000000127654</t>
  </si>
  <si>
    <t>NACH-ECS-CR-ITC LIMITED-1855762</t>
  </si>
  <si>
    <t>Interest From Income Tax Refund</t>
  </si>
  <si>
    <t>0-4,00,000</t>
  </si>
  <si>
    <t>4,00,001-8,00,000</t>
  </si>
  <si>
    <t>8,00,001-12,00,000</t>
  </si>
  <si>
    <t>12,00,001-16,00,000</t>
  </si>
  <si>
    <t>16,00,001-20,00,000</t>
  </si>
  <si>
    <t>&gt;24,00,001</t>
  </si>
  <si>
    <t>20,00,001-24,00,000</t>
  </si>
  <si>
    <t>FY 2025-26</t>
  </si>
  <si>
    <t>Mphasis</t>
  </si>
  <si>
    <t>HDFC MF</t>
  </si>
  <si>
    <t>Ramah MF</t>
  </si>
  <si>
    <t>Sl.</t>
  </si>
  <si>
    <t>Date of Sale</t>
  </si>
  <si>
    <t>Tax Rate</t>
  </si>
  <si>
    <t>Period of holding</t>
  </si>
  <si>
    <t>LTCG / STCG</t>
  </si>
  <si>
    <t>(a)</t>
  </si>
  <si>
    <t>(b)</t>
  </si>
  <si>
    <t>(c)</t>
  </si>
  <si>
    <t>(d)</t>
  </si>
  <si>
    <t>(e)</t>
  </si>
  <si>
    <t>(f)</t>
  </si>
  <si>
    <t>(g)</t>
  </si>
  <si>
    <t>Before 01.04.2023</t>
  </si>
  <si>
    <t>On or after 01.04.2023</t>
  </si>
  <si>
    <t>Before 01.04.2025</t>
  </si>
  <si>
    <t>On or after 01.04.2025</t>
  </si>
  <si>
    <t>On or after  01.04.2025</t>
  </si>
  <si>
    <t>More than 36 months</t>
  </si>
  <si>
    <t>Less than 36 months</t>
  </si>
  <si>
    <t>More than 12 months</t>
  </si>
  <si>
    <t>Less than 12 months</t>
  </si>
  <si>
    <t>NA</t>
  </si>
  <si>
    <t>20% with indexation</t>
  </si>
  <si>
    <t>Slab Rates</t>
  </si>
  <si>
    <t>12.5% without Indexation</t>
  </si>
  <si>
    <t>Applicable slab rates</t>
  </si>
  <si>
    <t>5. The taxation on Gold ETFs is not as straightforward as it seems. It varies depending on the date of investment and the date of redemption. There has been a history of changes in the tax treatment of Gold ETFs over time. Tax rates may vary depending on the applicable rules at the time of redemption and any future changes in tax regulations. It can be summarized in the table below:</t>
  </si>
  <si>
    <t>Debt Oriented MF</t>
  </si>
  <si>
    <t>Purchase before 01.04.2023</t>
  </si>
  <si>
    <t>Purchase after 01.04.2023</t>
  </si>
  <si>
    <t>Slab</t>
  </si>
  <si>
    <t>Tax on LTCG</t>
  </si>
  <si>
    <t>Freelancing Income</t>
  </si>
  <si>
    <r>
      <t>Date of investment</t>
    </r>
    <r>
      <rPr>
        <b/>
        <sz val="11"/>
        <color theme="0"/>
        <rFont val="Calibri"/>
        <family val="2"/>
        <scheme val="minor"/>
      </rPr>
      <t xml:space="preserve"> in Gold ETF</t>
    </r>
  </si>
  <si>
    <t>Ramah</t>
  </si>
  <si>
    <t>HDFC Equity</t>
  </si>
  <si>
    <t>Income</t>
  </si>
  <si>
    <t>Withholding Tax @0.1%</t>
  </si>
  <si>
    <t>Service Fees@10%</t>
  </si>
  <si>
    <t>GST on Service Fees</t>
  </si>
  <si>
    <t>Total Expenses</t>
  </si>
  <si>
    <t>Withdrawal Charges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</si>
</sst>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_ * #,##0_ ;_ * \-#,##0_ ;_ * &quot;-&quot;??_ ;_ @_ "/>
    <numFmt numFmtId="165" formatCode="_ * #,##0.0_ ;_ * \-#,##0.0_ ;_ * &quot;-&quot;?_ ;_ @_ "/>
    <numFmt numFmtId="166" formatCode="0.0%"/>
  </numFmts>
  <fonts count="10" x14ac:knownFonts="1">
    <font>
      <sz val="11"/>
      <color theme="1"/>
      <name val="Calibri"/>
      <family val="2"/>
      <scheme val="minor"/>
    </font>
    <font>
      <sz val="11"/>
      <color theme="1"/>
      <name val="Calibri"/>
      <family val="2"/>
      <scheme val="minor"/>
    </font>
    <font>
      <b/>
      <sz val="11"/>
      <color theme="1"/>
      <name val="Calibri"/>
      <family val="2"/>
      <scheme val="minor"/>
    </font>
    <font>
      <b/>
      <sz val="10"/>
      <name val="Arial"/>
      <family val="2"/>
    </font>
    <font>
      <sz val="10"/>
      <name val="Arial"/>
      <family val="2"/>
    </font>
    <font>
      <sz val="11"/>
      <name val="Calibri"/>
      <family val="2"/>
    </font>
    <font>
      <u/>
      <sz val="11"/>
      <color theme="10"/>
      <name val="Calibri"/>
      <family val="2"/>
      <scheme val="minor"/>
    </font>
    <font>
      <b/>
      <sz val="11"/>
      <name val="Arial"/>
      <family val="2"/>
    </font>
    <font>
      <sz val="8"/>
      <color rgb="FF333333"/>
      <name val="Arial"/>
      <family val="2"/>
    </font>
    <font>
      <b/>
      <sz val="11"/>
      <color theme="0"/>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0" tint="-0.249977111117893"/>
        <bgColor indexed="64"/>
      </patternFill>
    </fill>
    <fill>
      <patternFill patternType="solid">
        <fgColor rgb="FF92D050"/>
        <bgColor indexed="64"/>
      </patternFill>
    </fill>
  </fills>
  <borders count="3">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0" fontId="1" fillId="0" borderId="0"/>
    <xf numFmtId="0" fontId="6" fillId="0" borderId="0" applyNumberFormat="0" applyFill="0" applyBorder="0" applyAlignment="0" applyProtection="0"/>
  </cellStyleXfs>
  <cellXfs count="46">
    <xf numFmtId="0" fontId="0" fillId="0" borderId="0" xfId="0"/>
    <xf numFmtId="0" fontId="3" fillId="0" borderId="0" xfId="0" applyFont="1"/>
    <xf numFmtId="164" fontId="3" fillId="0" borderId="0" xfId="1" applyNumberFormat="1" applyFont="1"/>
    <xf numFmtId="164" fontId="0" fillId="0" borderId="0" xfId="1" applyNumberFormat="1" applyFont="1"/>
    <xf numFmtId="0" fontId="4" fillId="0" borderId="0" xfId="0" applyFont="1"/>
    <xf numFmtId="164" fontId="0" fillId="0" borderId="0" xfId="0" applyNumberFormat="1"/>
    <xf numFmtId="164" fontId="4" fillId="0" borderId="0" xfId="1" applyNumberFormat="1" applyFont="1"/>
    <xf numFmtId="3" fontId="4" fillId="0" borderId="0" xfId="0" applyNumberFormat="1" applyFont="1"/>
    <xf numFmtId="3" fontId="3" fillId="0" borderId="0" xfId="0" applyNumberFormat="1" applyFont="1"/>
    <xf numFmtId="43" fontId="0" fillId="0" borderId="0" xfId="1" applyFont="1"/>
    <xf numFmtId="0" fontId="2" fillId="0" borderId="0" xfId="0" applyFont="1"/>
    <xf numFmtId="14" fontId="5" fillId="0" borderId="0" xfId="0" applyNumberFormat="1" applyFont="1" applyAlignment="1">
      <alignment horizontal="center" vertical="center"/>
    </xf>
    <xf numFmtId="0" fontId="5" fillId="0" borderId="0" xfId="0" applyFont="1" applyAlignment="1">
      <alignment horizontal="left" vertical="center"/>
    </xf>
    <xf numFmtId="43" fontId="5" fillId="0" borderId="0" xfId="1" applyFont="1" applyAlignment="1">
      <alignment horizontal="center" vertical="center"/>
    </xf>
    <xf numFmtId="0" fontId="1" fillId="0" borderId="0" xfId="2"/>
    <xf numFmtId="0" fontId="0" fillId="0" borderId="0" xfId="0" applyAlignment="1">
      <alignment horizontal="left"/>
    </xf>
    <xf numFmtId="0" fontId="0" fillId="0" borderId="0" xfId="0" pivotButton="1"/>
    <xf numFmtId="43" fontId="0" fillId="0" borderId="0" xfId="0" applyNumberFormat="1"/>
    <xf numFmtId="0" fontId="2" fillId="2" borderId="1" xfId="0" applyFont="1" applyFill="1" applyBorder="1"/>
    <xf numFmtId="0" fontId="2" fillId="2" borderId="0" xfId="0" applyFont="1" applyFill="1"/>
    <xf numFmtId="0" fontId="2" fillId="2" borderId="0" xfId="0" applyFont="1" applyFill="1" applyAlignment="1">
      <alignment horizontal="center" vertical="center" wrapText="1"/>
    </xf>
    <xf numFmtId="3" fontId="0" fillId="0" borderId="0" xfId="0" applyNumberFormat="1"/>
    <xf numFmtId="0" fontId="0" fillId="0" borderId="0" xfId="2" applyFont="1"/>
    <xf numFmtId="165" fontId="0" fillId="0" borderId="0" xfId="0" applyNumberFormat="1"/>
    <xf numFmtId="164" fontId="0" fillId="0" borderId="0" xfId="1" applyNumberFormat="1" applyFont="1" applyFill="1"/>
    <xf numFmtId="164" fontId="0" fillId="0" borderId="2" xfId="1" applyNumberFormat="1" applyFont="1" applyBorder="1"/>
    <xf numFmtId="164" fontId="2" fillId="0" borderId="2" xfId="1" applyNumberFormat="1" applyFont="1" applyBorder="1"/>
    <xf numFmtId="0" fontId="2" fillId="0" borderId="2" xfId="0" applyFont="1" applyBorder="1"/>
    <xf numFmtId="0" fontId="2" fillId="0" borderId="2" xfId="0" applyFont="1" applyBorder="1" applyAlignment="1">
      <alignment wrapText="1"/>
    </xf>
    <xf numFmtId="0" fontId="4" fillId="0" borderId="2" xfId="0" applyFont="1" applyBorder="1"/>
    <xf numFmtId="0" fontId="3" fillId="0" borderId="2" xfId="0" applyFont="1" applyBorder="1"/>
    <xf numFmtId="164" fontId="0" fillId="0" borderId="2" xfId="0" applyNumberFormat="1" applyBorder="1"/>
    <xf numFmtId="0" fontId="4" fillId="0" borderId="2" xfId="0" applyFont="1" applyBorder="1" applyAlignment="1">
      <alignment wrapText="1"/>
    </xf>
    <xf numFmtId="164" fontId="2" fillId="0" borderId="0" xfId="1" applyNumberFormat="1" applyFont="1"/>
    <xf numFmtId="0" fontId="2" fillId="2" borderId="0" xfId="0" applyFont="1" applyFill="1" applyAlignment="1">
      <alignment wrapText="1"/>
    </xf>
    <xf numFmtId="10" fontId="0" fillId="0" borderId="0" xfId="0" applyNumberFormat="1"/>
    <xf numFmtId="0" fontId="7" fillId="0" borderId="0" xfId="0" applyFont="1"/>
    <xf numFmtId="0" fontId="8" fillId="0" borderId="0" xfId="0" applyFont="1"/>
    <xf numFmtId="0" fontId="6" fillId="0" borderId="0" xfId="3"/>
    <xf numFmtId="0" fontId="2" fillId="0" borderId="0" xfId="0" applyFont="1" applyAlignment="1">
      <alignment wrapText="1"/>
    </xf>
    <xf numFmtId="0" fontId="0" fillId="3" borderId="0" xfId="0" applyFill="1"/>
    <xf numFmtId="166" fontId="0" fillId="0" borderId="0" xfId="0" applyNumberFormat="1"/>
    <xf numFmtId="4" fontId="0" fillId="0" borderId="0" xfId="0" applyNumberFormat="1"/>
    <xf numFmtId="164" fontId="0" fillId="4" borderId="0" xfId="1" applyNumberFormat="1" applyFont="1" applyFill="1"/>
    <xf numFmtId="9" fontId="0" fillId="0" borderId="0" xfId="0" applyNumberFormat="1"/>
    <xf numFmtId="164" fontId="2" fillId="0" borderId="0" xfId="0" applyNumberFormat="1" applyFont="1"/>
  </cellXfs>
  <cellStyles count="4">
    <cellStyle name="Comma" xfId="1" builtinId="3"/>
    <cellStyle name="Hyperlink" xfId="3" builtinId="8"/>
    <cellStyle name="Normal" xfId="0" builtinId="0"/>
    <cellStyle name="Normal 2" xfId="2" xr:uid="{6EDAAB44-D9E3-4047-B011-5AE933AED2D6}"/>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pivotCacheDefinition" Target="pivotCache/pivotCacheDefinition1.xml"/><Relationship Id="rId5" Type="http://schemas.openxmlformats.org/officeDocument/2006/relationships/externalLink" Target="externalLinks/externalLink1.xml"/><Relationship Id="rId15" Type="http://schemas.microsoft.com/office/2017/10/relationships/person" Target="persons/person.xml"/><Relationship Id="rId10"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373380</xdr:colOff>
      <xdr:row>0</xdr:row>
      <xdr:rowOff>0</xdr:rowOff>
    </xdr:from>
    <xdr:to>
      <xdr:col>10</xdr:col>
      <xdr:colOff>533400</xdr:colOff>
      <xdr:row>27</xdr:row>
      <xdr:rowOff>21866</xdr:rowOff>
    </xdr:to>
    <xdr:pic>
      <xdr:nvPicPr>
        <xdr:cNvPr id="2" name="Picture 1">
          <a:extLst>
            <a:ext uri="{FF2B5EF4-FFF2-40B4-BE49-F238E27FC236}">
              <a16:creationId xmlns:a16="http://schemas.microsoft.com/office/drawing/2014/main" id="{1C4F00C7-BC26-D379-5124-465DBB26B807}"/>
            </a:ext>
          </a:extLst>
        </xdr:cNvPr>
        <xdr:cNvPicPr>
          <a:picLocks noChangeAspect="1"/>
        </xdr:cNvPicPr>
      </xdr:nvPicPr>
      <xdr:blipFill>
        <a:blip xmlns:r="http://schemas.openxmlformats.org/officeDocument/2006/relationships" r:embed="rId1"/>
        <a:stretch>
          <a:fillRect/>
        </a:stretch>
      </xdr:blipFill>
      <xdr:spPr>
        <a:xfrm>
          <a:off x="982980" y="0"/>
          <a:ext cx="5646420" cy="514250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31.03.2025/Salary/Salary%20Slip%20Summary.xlsx" TargetMode="External"/><Relationship Id="rId2" Type="http://schemas.openxmlformats.org/officeDocument/2006/relationships/externalLinkPath" Target="file:///D:\Archit\Returns\Aayush%20Gupta\31.03.2025\Salary\Salary%20Slip%20Summary.xlsx" TargetMode="External"/><Relationship Id="rId1" Type="http://schemas.openxmlformats.org/officeDocument/2006/relationships/externalLinkPath" Target="/Archit/Returns/Aayush%20Gupta/31.03.2025/Salary/Salary%20Slip%20Summary.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Salary/Salary.xlsx" TargetMode="External"/><Relationship Id="rId2" Type="http://schemas.openxmlformats.org/officeDocument/2006/relationships/externalLinkPath" Target="file:///D:\Archit\Returns\Aayush%20Gupta\31.03.2026\Salary\Salary.xlsx" TargetMode="External"/><Relationship Id="rId1" Type="http://schemas.openxmlformats.org/officeDocument/2006/relationships/externalLinkPath" Target="/Archit/Returns/Aayush%20Gupta/31.03.2026/Salary/Salary.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D:\Archit\Returns\Aayush%20Gupta\31.03.2026\Advance%20Tax\Q4%2015.03.2026\CG\2554606_CapitalGainLoss_Details_for_MutualFund%20(1).xlsx" TargetMode="External"/><Relationship Id="rId1" Type="http://schemas.openxmlformats.org/officeDocument/2006/relationships/externalLinkPath" Target="CG/2554606_CapitalGainLoss_Details_for_MutualFund%20(1).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D:\Archit\Returns\Aayush%20Gupta\31.03.2026\Advance%20Tax\Q4%2015.03.2026\CG\2554606_CapitalGainLoss_Details_for_Equity%20(2).xlsx" TargetMode="External"/><Relationship Id="rId1" Type="http://schemas.openxmlformats.org/officeDocument/2006/relationships/externalLinkPath" Target="CG/2554606_CapitalGainLoss_Details_for_Equity%20(2).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D:\Archit\Returns\Aayush%20Gupta\31.03.2026\Advance%20Tax\Q4%2015.03.2026\CG\taxpnl-LE1860-2025_2026-Q1-Q4.xlsx" TargetMode="External"/><Relationship Id="rId1" Type="http://schemas.openxmlformats.org/officeDocument/2006/relationships/externalLinkPath" Target="CG/taxpnl-LE1860-2025_2026-Q1-Q4.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D:\Archit\Returns\Aayush%20Gupta\31.03.2026\Advance%20Tax\Q4%2015.03.2026\CG\Ramah.xlsx" TargetMode="External"/><Relationship Id="rId1" Type="http://schemas.openxmlformats.org/officeDocument/2006/relationships/externalLinkPath" Target="CG/Rama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1"/>
    </sheetNames>
    <sheetDataSet>
      <sheetData sheetId="0">
        <row r="23">
          <cell r="E23">
            <v>46667</v>
          </cell>
        </row>
        <row r="25">
          <cell r="K25">
            <v>25046</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2"/>
      <sheetName val="Sheet1"/>
    </sheetNames>
    <sheetDataSet>
      <sheetData sheetId="0"/>
      <sheetData sheetId="1">
        <row r="22">
          <cell r="O22">
            <v>2500</v>
          </cell>
        </row>
        <row r="23">
          <cell r="O23">
            <v>31803</v>
          </cell>
        </row>
        <row r="30">
          <cell r="O30">
            <v>1305572</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2554606"/>
    </sheetNames>
    <sheetDataSet>
      <sheetData sheetId="0">
        <row r="20">
          <cell r="M20">
            <v>0</v>
          </cell>
          <cell r="N20">
            <v>61429.919999999998</v>
          </cell>
          <cell r="O20" t="str">
            <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2554606"/>
    </sheetNames>
    <sheetDataSet>
      <sheetData sheetId="0">
        <row r="122">
          <cell r="L122">
            <v>0</v>
          </cell>
          <cell r="M122">
            <v>5206.63</v>
          </cell>
          <cell r="N122">
            <v>115664.91</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radewise Exits from 2025-04-01"/>
      <sheetName val="Equity and Non Equity"/>
      <sheetName val="Mutual Funds"/>
      <sheetName val="F&amp;O"/>
      <sheetName val="Currency"/>
      <sheetName val="Commodity"/>
      <sheetName val="Other Debits and Credits"/>
      <sheetName val="Open Positions as of 2026-03-03"/>
      <sheetName val="Open Positions as of 2025-04-01"/>
      <sheetName val="Equity Dividends"/>
      <sheetName val="Ledger Balances"/>
    </sheetNames>
    <sheetDataSet>
      <sheetData sheetId="0">
        <row r="2">
          <cell r="Y2">
            <v>2250.7799999999943</v>
          </cell>
        </row>
        <row r="3">
          <cell r="Y3">
            <v>10328.335000000003</v>
          </cell>
        </row>
        <row r="4">
          <cell r="Y4">
            <v>2174.04</v>
          </cell>
        </row>
        <row r="5">
          <cell r="Y5">
            <v>4818</v>
          </cell>
        </row>
        <row r="6">
          <cell r="Y6">
            <v>19571.154999999999</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amily Summary"/>
      <sheetName val="AAYUSH KUMAR GUPTA"/>
    </sheetNames>
    <sheetDataSet>
      <sheetData sheetId="0" refreshError="1"/>
      <sheetData sheetId="1">
        <row r="27">
          <cell r="R27">
            <v>14933.24</v>
          </cell>
        </row>
      </sheetData>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chit Gupta" refreshedDate="45462.412461921296" createdVersion="8" refreshedVersion="8" minRefreshableVersion="3" recordCount="11" xr:uid="{556355C3-19CD-40E4-A141-1CA918ECF4D9}">
  <cacheSource type="worksheet">
    <worksheetSource ref="A3:B11" sheet="COI"/>
  </cacheSource>
  <cacheFields count="7">
    <cacheField name="TX Date" numFmtId="14">
      <sharedItems containsSemiMixedTypes="0" containsNonDate="0" containsDate="1" containsString="0" minDate="2023-07-03T00:00:00" maxDate="2024-03-02T00:00:00"/>
    </cacheField>
    <cacheField name="Particulars" numFmtId="0">
      <sharedItems/>
    </cacheField>
    <cacheField name="Ref" numFmtId="0">
      <sharedItems/>
    </cacheField>
    <cacheField name="DR" numFmtId="43">
      <sharedItems containsSemiMixedTypes="0" containsString="0" containsNumber="1" containsInteger="1" minValue="0" maxValue="0"/>
    </cacheField>
    <cacheField name="CR" numFmtId="43">
      <sharedItems containsSemiMixedTypes="0" containsString="0" containsNumber="1" minValue="4526" maxValue="34112"/>
    </cacheField>
    <cacheField name="Kya hai?" numFmtId="0">
      <sharedItems count="4">
        <s v="Professional Fees from JSW"/>
        <s v="Professional Fees from LINCOLN ELECTRI"/>
        <s v="Professional Fees from Fluxgen"/>
        <s v="Professional Fees from Dr. Reddys"/>
      </sharedItems>
    </cacheField>
    <cacheField name="Account No"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d v="2023-07-03T00:00:00"/>
    <s v="   BY TRANSFER-FUD TR FR JSW STEEL LTD--"/>
    <s v="TRANSFER FROM 11083986061                         "/>
    <n v="0"/>
    <n v="10000"/>
    <x v="0"/>
    <s v="SBI"/>
  </r>
  <r>
    <d v="2023-10-03T00:00:00"/>
    <s v="NFT/LINCOLN ELECTRI/23A300420OM40K93/BANK_x000a_OF AM"/>
    <s v="TFR"/>
    <n v="0"/>
    <n v="20161.29"/>
    <x v="1"/>
    <s v="Jupiter"/>
  </r>
  <r>
    <d v="2023-10-05T00:00:00"/>
    <s v="   BY TRANSFER-INB--"/>
    <s v="CTY9105340               TRANSFER FROM 42201368247"/>
    <n v="0"/>
    <n v="32500"/>
    <x v="2"/>
    <s v="SBI"/>
  </r>
  <r>
    <d v="2023-10-06T00:00:00"/>
    <s v="   BY TRANSFER-NEFT*HDFC0000001*N279232675295291*fluxgen sustaina--"/>
    <s v="TRANSFER FROM 4697176044305"/>
    <n v="0"/>
    <n v="4526"/>
    <x v="2"/>
    <s v="SBI"/>
  </r>
  <r>
    <d v="2023-10-27T00:00:00"/>
    <s v="NFT/LINCOLN ELECTRI/23AR65620QK11X91/BANK_x000a_OF AM"/>
    <s v="TFR"/>
    <n v="0"/>
    <n v="9166.66"/>
    <x v="1"/>
    <s v="Jupiter"/>
  </r>
  <r>
    <d v="2023-10-31T00:00:00"/>
    <s v="NFT/DR REDDYS LABOR/CITIN23446568003/CITI"/>
    <s v="TFR"/>
    <n v="0"/>
    <n v="34112"/>
    <x v="3"/>
    <s v="Jupiter"/>
  </r>
  <r>
    <d v="2023-11-02T00:00:00"/>
    <s v="   BY TRANSFER-INB--"/>
    <s v="CTZ2995224               TRANSFER FROM 42201368247"/>
    <n v="0"/>
    <n v="25000"/>
    <x v="2"/>
    <s v="SBI"/>
  </r>
  <r>
    <d v="2023-11-30T00:00:00"/>
    <s v="NFT/DR REDDYS LABOR/CITIN23461192319/CITI"/>
    <s v="TFR"/>
    <n v="0"/>
    <n v="22500"/>
    <x v="3"/>
    <s v="Jupiter"/>
  </r>
  <r>
    <d v="2023-12-30T00:00:00"/>
    <s v="NFT/DR REDDYS LABOR/CITIN23476712141/CITI"/>
    <s v="TFR"/>
    <n v="0"/>
    <n v="22500"/>
    <x v="3"/>
    <s v="Jupiter"/>
  </r>
  <r>
    <d v="2024-01-31T00:00:00"/>
    <s v="NFT/DR REDDYS LABOR/CITIN24416493217/CITI"/>
    <s v="TFR"/>
    <n v="0"/>
    <n v="22500"/>
    <x v="3"/>
    <s v="Jupiter"/>
  </r>
  <r>
    <d v="2024-03-01T00:00:00"/>
    <s v="NFT/DR REDDYS LABOR/CITIN24432370705/CITI"/>
    <s v="TFR"/>
    <n v="0"/>
    <n v="22500"/>
    <x v="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07C601-ABF0-4292-862E-B04F31D19C2D}"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P2:Q7" firstHeaderRow="1" firstDataRow="1" firstDataCol="1"/>
  <pivotFields count="7">
    <pivotField compact="0" numFmtId="14" outline="0" showAll="0" defaultSubtotal="0"/>
    <pivotField compact="0" outline="0" showAll="0" defaultSubtotal="0"/>
    <pivotField compact="0" outline="0" showAll="0" defaultSubtotal="0"/>
    <pivotField compact="0" numFmtId="43" outline="0" showAll="0" defaultSubtotal="0"/>
    <pivotField dataField="1" compact="0" numFmtId="43" outline="0" showAll="0" defaultSubtotal="0"/>
    <pivotField axis="axisRow" compact="0" outline="0" showAll="0" defaultSubtotal="0">
      <items count="4">
        <item x="3"/>
        <item x="2"/>
        <item x="0"/>
        <item x="1"/>
      </items>
    </pivotField>
    <pivotField compact="0" outline="0" showAll="0" defaultSubtotal="0"/>
  </pivotFields>
  <rowFields count="1">
    <field x="5"/>
  </rowFields>
  <rowItems count="5">
    <i>
      <x/>
    </i>
    <i>
      <x v="1"/>
    </i>
    <i>
      <x v="2"/>
    </i>
    <i>
      <x v="3"/>
    </i>
    <i t="grand">
      <x/>
    </i>
  </rowItems>
  <colItems count="1">
    <i/>
  </colItems>
  <dataFields count="1">
    <dataField name="Sum of CR"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33591-0077-4D51-9EAF-5B945A3A324F}">
  <dimension ref="B1:W9"/>
  <sheetViews>
    <sheetView topLeftCell="G1" workbookViewId="0">
      <selection activeCell="R9" sqref="R9"/>
    </sheetView>
  </sheetViews>
  <sheetFormatPr defaultRowHeight="14.4" x14ac:dyDescent="0.3"/>
  <cols>
    <col min="19" max="19" width="19.77734375" bestFit="1" customWidth="1"/>
    <col min="20" max="20" width="20.21875" bestFit="1" customWidth="1"/>
    <col min="21" max="21" width="18.77734375" bestFit="1" customWidth="1"/>
    <col min="22" max="22" width="11.33203125" bestFit="1" customWidth="1"/>
    <col min="23" max="23" width="22.21875" bestFit="1" customWidth="1"/>
  </cols>
  <sheetData>
    <row r="1" spans="2:23" x14ac:dyDescent="0.3">
      <c r="R1" t="s">
        <v>257</v>
      </c>
    </row>
    <row r="2" spans="2:23" ht="28.8" x14ac:dyDescent="0.3">
      <c r="R2" s="39" t="s">
        <v>231</v>
      </c>
      <c r="S2" s="39" t="s">
        <v>264</v>
      </c>
      <c r="T2" s="39" t="s">
        <v>232</v>
      </c>
      <c r="U2" s="39" t="s">
        <v>234</v>
      </c>
      <c r="V2" s="39" t="s">
        <v>235</v>
      </c>
      <c r="W2" s="39" t="s">
        <v>233</v>
      </c>
    </row>
    <row r="3" spans="2:23" x14ac:dyDescent="0.3">
      <c r="B3" s="37"/>
      <c r="R3" s="40" t="s">
        <v>236</v>
      </c>
      <c r="S3" s="40" t="s">
        <v>243</v>
      </c>
      <c r="T3" s="40" t="s">
        <v>245</v>
      </c>
      <c r="U3" s="40" t="s">
        <v>248</v>
      </c>
      <c r="V3" s="40" t="s">
        <v>9</v>
      </c>
      <c r="W3" s="40" t="s">
        <v>253</v>
      </c>
    </row>
    <row r="4" spans="2:23" x14ac:dyDescent="0.3">
      <c r="R4" s="40" t="s">
        <v>237</v>
      </c>
      <c r="S4" s="40" t="s">
        <v>243</v>
      </c>
      <c r="T4" s="40" t="s">
        <v>245</v>
      </c>
      <c r="U4" s="40" t="s">
        <v>249</v>
      </c>
      <c r="V4" s="40" t="s">
        <v>8</v>
      </c>
      <c r="W4" s="40" t="s">
        <v>254</v>
      </c>
    </row>
    <row r="5" spans="2:23" x14ac:dyDescent="0.3">
      <c r="B5" s="38"/>
      <c r="R5" t="s">
        <v>238</v>
      </c>
      <c r="S5" t="s">
        <v>243</v>
      </c>
      <c r="T5" t="s">
        <v>247</v>
      </c>
      <c r="U5" t="s">
        <v>250</v>
      </c>
      <c r="V5" t="s">
        <v>9</v>
      </c>
      <c r="W5" t="s">
        <v>255</v>
      </c>
    </row>
    <row r="6" spans="2:23" x14ac:dyDescent="0.3">
      <c r="B6" s="37"/>
      <c r="R6" t="s">
        <v>239</v>
      </c>
      <c r="S6" t="s">
        <v>244</v>
      </c>
      <c r="T6" t="s">
        <v>247</v>
      </c>
      <c r="U6" t="s">
        <v>251</v>
      </c>
      <c r="V6" t="s">
        <v>8</v>
      </c>
      <c r="W6" t="s">
        <v>256</v>
      </c>
    </row>
    <row r="7" spans="2:23" x14ac:dyDescent="0.3">
      <c r="R7" s="40" t="s">
        <v>240</v>
      </c>
      <c r="S7" s="40" t="s">
        <v>244</v>
      </c>
      <c r="T7" s="40" t="s">
        <v>245</v>
      </c>
      <c r="U7" s="40" t="s">
        <v>252</v>
      </c>
      <c r="V7" s="40" t="s">
        <v>252</v>
      </c>
      <c r="W7" s="40" t="s">
        <v>256</v>
      </c>
    </row>
    <row r="8" spans="2:23" x14ac:dyDescent="0.3">
      <c r="R8" s="40" t="s">
        <v>241</v>
      </c>
      <c r="S8" s="40" t="s">
        <v>246</v>
      </c>
      <c r="T8" s="40" t="s">
        <v>245</v>
      </c>
      <c r="U8" s="40" t="s">
        <v>251</v>
      </c>
      <c r="V8" s="40" t="s">
        <v>8</v>
      </c>
      <c r="W8" s="40" t="s">
        <v>256</v>
      </c>
    </row>
    <row r="9" spans="2:23" x14ac:dyDescent="0.3">
      <c r="R9" t="s">
        <v>242</v>
      </c>
      <c r="S9" t="s">
        <v>246</v>
      </c>
      <c r="T9" t="s">
        <v>247</v>
      </c>
      <c r="U9" t="s">
        <v>250</v>
      </c>
      <c r="V9" t="s">
        <v>9</v>
      </c>
      <c r="W9" t="s">
        <v>255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5625F-D5DD-43B3-B3EB-FC94C9EAE51F}">
  <dimension ref="A2:R103"/>
  <sheetViews>
    <sheetView tabSelected="1" view="pageBreakPreview" zoomScaleNormal="100" zoomScaleSheetLayoutView="100" workbookViewId="0"/>
  </sheetViews>
  <sheetFormatPr defaultRowHeight="14.4" x14ac:dyDescent="0.3"/>
  <cols>
    <col min="2" max="2" width="25.88671875" bestFit="1" customWidth="1"/>
    <col min="3" max="3" width="18.44140625" customWidth="1"/>
    <col min="4" max="4" width="11.88671875" bestFit="1" customWidth="1"/>
    <col min="5" max="5" width="11.77734375" bestFit="1" customWidth="1"/>
    <col min="8" max="8" width="20.109375" customWidth="1"/>
    <col min="9" max="9" width="19.88671875" bestFit="1" customWidth="1"/>
    <col min="10" max="10" width="9.88671875" bestFit="1" customWidth="1"/>
    <col min="17" max="17" width="12.33203125" bestFit="1" customWidth="1"/>
    <col min="18" max="18" width="9" bestFit="1" customWidth="1"/>
  </cols>
  <sheetData>
    <row r="2" spans="1:9" x14ac:dyDescent="0.3">
      <c r="A2" s="1" t="s">
        <v>0</v>
      </c>
      <c r="B2" s="1" t="s">
        <v>1</v>
      </c>
      <c r="C2" s="2" t="s">
        <v>227</v>
      </c>
      <c r="D2" s="3"/>
      <c r="E2" s="3"/>
      <c r="H2" s="29" t="s">
        <v>132</v>
      </c>
      <c r="I2" s="25">
        <f>[1]Sheet1!$E$23*12</f>
        <v>560004</v>
      </c>
    </row>
    <row r="3" spans="1:9" x14ac:dyDescent="0.3">
      <c r="A3" s="1"/>
      <c r="C3" s="3"/>
      <c r="D3" s="2" t="s">
        <v>2</v>
      </c>
      <c r="E3" s="2" t="s">
        <v>3</v>
      </c>
      <c r="H3" s="30" t="s">
        <v>133</v>
      </c>
      <c r="I3" s="25"/>
    </row>
    <row r="4" spans="1:9" x14ac:dyDescent="0.3">
      <c r="B4" s="36" t="s">
        <v>4</v>
      </c>
      <c r="C4" s="3"/>
      <c r="H4" s="29" t="s">
        <v>134</v>
      </c>
      <c r="I4" s="25">
        <f>I2/2</f>
        <v>280002</v>
      </c>
    </row>
    <row r="5" spans="1:9" x14ac:dyDescent="0.3">
      <c r="B5" s="4" t="s">
        <v>228</v>
      </c>
      <c r="C5" s="3"/>
      <c r="D5" s="3">
        <f>[2]Sheet1!$O$30</f>
        <v>1305572</v>
      </c>
      <c r="E5" s="3">
        <f>D5</f>
        <v>1305572</v>
      </c>
      <c r="H5" s="29" t="s">
        <v>135</v>
      </c>
      <c r="I5" s="25">
        <f>23000*12</f>
        <v>276000</v>
      </c>
    </row>
    <row r="6" spans="1:9" ht="27" x14ac:dyDescent="0.3">
      <c r="B6" s="4" t="s">
        <v>5</v>
      </c>
      <c r="C6" s="3"/>
      <c r="D6" s="3">
        <f>-[2]Sheet1!$O$22</f>
        <v>-2500</v>
      </c>
      <c r="E6" s="3">
        <v>0</v>
      </c>
      <c r="H6" s="32" t="s">
        <v>137</v>
      </c>
      <c r="I6" s="25">
        <f>I5-I2*0.1</f>
        <v>219999.6</v>
      </c>
    </row>
    <row r="7" spans="1:9" x14ac:dyDescent="0.3">
      <c r="B7" t="s">
        <v>6</v>
      </c>
      <c r="C7" s="3"/>
      <c r="D7" s="3">
        <v>-50000</v>
      </c>
      <c r="E7" s="3">
        <v>-75000</v>
      </c>
      <c r="H7" s="29" t="s">
        <v>136</v>
      </c>
      <c r="I7" s="31">
        <f>MIN(I6,I5,I4)</f>
        <v>219999.6</v>
      </c>
    </row>
    <row r="8" spans="1:9" x14ac:dyDescent="0.3">
      <c r="B8" t="s">
        <v>24</v>
      </c>
      <c r="C8" s="3"/>
      <c r="D8" s="3">
        <f>-I7</f>
        <v>-219999.6</v>
      </c>
      <c r="E8" s="3">
        <v>0</v>
      </c>
    </row>
    <row r="9" spans="1:9" x14ac:dyDescent="0.3">
      <c r="C9" s="3"/>
      <c r="D9" s="33">
        <f>MAX(SUM(D5:D8),0)</f>
        <v>1033072.4</v>
      </c>
      <c r="E9" s="33">
        <f>MAX(SUM(E5:E8),0)</f>
        <v>1230572</v>
      </c>
      <c r="G9" s="5"/>
      <c r="I9" s="5">
        <f>E9+E32</f>
        <v>1298498.5512000001</v>
      </c>
    </row>
    <row r="10" spans="1:9" x14ac:dyDescent="0.3">
      <c r="C10" s="3"/>
      <c r="D10" s="3"/>
      <c r="E10" s="3"/>
    </row>
    <row r="11" spans="1:9" x14ac:dyDescent="0.3">
      <c r="B11" s="36" t="s">
        <v>7</v>
      </c>
      <c r="C11" s="3"/>
      <c r="D11" s="3">
        <f>MAX(SUM(C19:C22,C26),0)+MAX(SUM(C14:C16),0)+MAX(C29,0)</f>
        <v>216805.85500000001</v>
      </c>
      <c r="E11" s="3">
        <f>D11</f>
        <v>216805.85500000001</v>
      </c>
      <c r="G11" t="s">
        <v>266</v>
      </c>
      <c r="H11" s="5">
        <f>SUM('[4]2554606'!$L$122:$N$122)</f>
        <v>120871.54000000001</v>
      </c>
    </row>
    <row r="12" spans="1:9" x14ac:dyDescent="0.3">
      <c r="B12" s="4"/>
      <c r="C12" s="3"/>
      <c r="D12" s="3"/>
      <c r="E12" s="3"/>
      <c r="G12" t="s">
        <v>229</v>
      </c>
      <c r="H12" s="5">
        <f>SUM('[3]2554606'!$M$20:$O$20)</f>
        <v>61429.919999999998</v>
      </c>
    </row>
    <row r="13" spans="1:9" x14ac:dyDescent="0.3">
      <c r="B13" s="1" t="s">
        <v>8</v>
      </c>
      <c r="C13" s="3"/>
      <c r="D13" s="3"/>
      <c r="E13" s="3"/>
      <c r="G13" t="s">
        <v>116</v>
      </c>
      <c r="H13" s="5">
        <f>'[5]Tradewise Exits from 2025-04-01'!$Y$6</f>
        <v>19571.154999999999</v>
      </c>
    </row>
    <row r="14" spans="1:9" x14ac:dyDescent="0.3">
      <c r="B14" s="4" t="s">
        <v>47</v>
      </c>
      <c r="C14" s="43">
        <f>'[4]2554606'!M122</f>
        <v>5206.63</v>
      </c>
      <c r="D14" s="3"/>
      <c r="E14" s="3"/>
      <c r="G14" t="s">
        <v>265</v>
      </c>
      <c r="H14" s="5">
        <f>'[6]AAYUSH KUMAR GUPTA'!$R$27</f>
        <v>14933.24</v>
      </c>
    </row>
    <row r="15" spans="1:9" x14ac:dyDescent="0.3">
      <c r="B15" s="4" t="s">
        <v>116</v>
      </c>
      <c r="C15" s="43">
        <f>'[5]Tradewise Exits from 2025-04-01'!$Y$2</f>
        <v>2250.7799999999943</v>
      </c>
      <c r="D15" s="3"/>
      <c r="E15" s="3"/>
      <c r="H15" s="5">
        <f>SUM(H11:H14)</f>
        <v>216805.85500000001</v>
      </c>
      <c r="I15" s="3"/>
    </row>
    <row r="16" spans="1:9" x14ac:dyDescent="0.3">
      <c r="B16" s="4" t="s">
        <v>229</v>
      </c>
      <c r="C16" s="43">
        <f>'[3]2554606'!$M$20</f>
        <v>0</v>
      </c>
      <c r="D16" s="3"/>
      <c r="E16" s="3"/>
      <c r="H16" s="45">
        <f>SUM(C14:C29)-H15</f>
        <v>0</v>
      </c>
    </row>
    <row r="17" spans="2:18" x14ac:dyDescent="0.3">
      <c r="B17" s="4"/>
      <c r="C17" s="3"/>
      <c r="D17" s="3"/>
      <c r="E17" s="3"/>
    </row>
    <row r="18" spans="2:18" x14ac:dyDescent="0.3">
      <c r="B18" s="1" t="s">
        <v>9</v>
      </c>
      <c r="C18" s="3"/>
      <c r="D18" s="3"/>
      <c r="E18" s="3"/>
    </row>
    <row r="19" spans="2:18" x14ac:dyDescent="0.3">
      <c r="B19" s="4" t="s">
        <v>47</v>
      </c>
      <c r="C19" s="43">
        <f>'[4]2554606'!N122</f>
        <v>115664.91</v>
      </c>
      <c r="D19" s="3"/>
      <c r="E19" s="3"/>
      <c r="H19" s="5">
        <f>SUM(C19:C26)-125000</f>
        <v>79530.445000000007</v>
      </c>
      <c r="I19" s="3"/>
    </row>
    <row r="20" spans="2:18" x14ac:dyDescent="0.3">
      <c r="B20" s="4" t="s">
        <v>116</v>
      </c>
      <c r="C20" s="43">
        <f>'[5]Tradewise Exits from 2025-04-01'!$Y$3</f>
        <v>10328.335000000003</v>
      </c>
      <c r="D20" s="3"/>
      <c r="E20" s="3"/>
      <c r="G20" t="s">
        <v>262</v>
      </c>
      <c r="H20" s="5">
        <f>H19*12.5%</f>
        <v>9941.3056250000009</v>
      </c>
    </row>
    <row r="21" spans="2:18" x14ac:dyDescent="0.3">
      <c r="B21" s="4" t="s">
        <v>229</v>
      </c>
      <c r="C21" s="43">
        <f>'[3]2554606'!$N$20</f>
        <v>61429.919999999998</v>
      </c>
      <c r="D21" s="3"/>
      <c r="E21" s="3"/>
      <c r="G21" t="s">
        <v>263</v>
      </c>
      <c r="H21" s="5">
        <f>30000*15%*1.04</f>
        <v>4680</v>
      </c>
    </row>
    <row r="22" spans="2:18" x14ac:dyDescent="0.3">
      <c r="B22" s="4" t="s">
        <v>230</v>
      </c>
      <c r="C22" s="43">
        <f>'[6]AAYUSH KUMAR GUPTA'!$R$27</f>
        <v>14933.24</v>
      </c>
      <c r="D22" s="3"/>
      <c r="E22" s="3"/>
    </row>
    <row r="23" spans="2:18" x14ac:dyDescent="0.3">
      <c r="B23" s="4"/>
      <c r="C23" s="3"/>
      <c r="D23" s="3"/>
      <c r="E23" s="3"/>
    </row>
    <row r="24" spans="2:18" x14ac:dyDescent="0.3">
      <c r="B24" s="1" t="s">
        <v>258</v>
      </c>
      <c r="C24" s="3"/>
      <c r="D24" s="3"/>
      <c r="E24" s="3"/>
    </row>
    <row r="25" spans="2:18" x14ac:dyDescent="0.3">
      <c r="B25" s="1" t="s">
        <v>259</v>
      </c>
      <c r="C25" s="3"/>
      <c r="D25" s="3"/>
      <c r="E25" s="3"/>
    </row>
    <row r="26" spans="2:18" x14ac:dyDescent="0.3">
      <c r="B26" s="4" t="s">
        <v>9</v>
      </c>
      <c r="C26" s="43">
        <f>'[5]Tradewise Exits from 2025-04-01'!$Y$4</f>
        <v>2174.04</v>
      </c>
      <c r="D26" s="3"/>
      <c r="E26" s="3"/>
      <c r="G26" s="41">
        <v>0.125</v>
      </c>
    </row>
    <row r="27" spans="2:18" x14ac:dyDescent="0.3">
      <c r="B27" s="4" t="s">
        <v>8</v>
      </c>
      <c r="C27" s="3"/>
      <c r="D27" s="3"/>
      <c r="E27" s="3"/>
      <c r="G27" t="s">
        <v>261</v>
      </c>
    </row>
    <row r="28" spans="2:18" x14ac:dyDescent="0.3">
      <c r="C28" s="3"/>
      <c r="D28" s="3"/>
      <c r="E28" s="3"/>
    </row>
    <row r="29" spans="2:18" x14ac:dyDescent="0.3">
      <c r="B29" s="1" t="s">
        <v>260</v>
      </c>
      <c r="C29" s="43">
        <f>'[5]Tradewise Exits from 2025-04-01'!$Y$5</f>
        <v>4818</v>
      </c>
      <c r="D29" s="3"/>
      <c r="E29" s="3"/>
      <c r="G29" t="s">
        <v>261</v>
      </c>
    </row>
    <row r="30" spans="2:18" x14ac:dyDescent="0.3">
      <c r="B30" s="4"/>
      <c r="C30" s="3"/>
      <c r="D30" s="3"/>
      <c r="E30" s="3"/>
    </row>
    <row r="31" spans="2:18" x14ac:dyDescent="0.3">
      <c r="B31" s="4"/>
      <c r="C31" s="3"/>
      <c r="D31" s="3"/>
      <c r="E31" s="3"/>
    </row>
    <row r="32" spans="2:18" x14ac:dyDescent="0.3">
      <c r="B32" s="36" t="s">
        <v>44</v>
      </c>
      <c r="C32" s="3"/>
      <c r="D32" s="3">
        <f>SUM(C33:C38)</f>
        <v>67926.551200000002</v>
      </c>
      <c r="E32" s="3">
        <f>D32</f>
        <v>67926.551200000002</v>
      </c>
      <c r="H32" s="5">
        <f>D32*15%*1.04</f>
        <v>10596.5419872</v>
      </c>
      <c r="Q32" s="3">
        <f>E9+E32+C29</f>
        <v>1303316.5512000001</v>
      </c>
      <c r="R32" s="3"/>
    </row>
    <row r="33" spans="2:18" x14ac:dyDescent="0.3">
      <c r="B33" s="4" t="s">
        <v>45</v>
      </c>
      <c r="C33" s="3">
        <v>10000</v>
      </c>
      <c r="D33" s="3"/>
      <c r="E33" s="3"/>
      <c r="H33" s="5">
        <f>SUM(H20:H32)</f>
        <v>25217.847612199999</v>
      </c>
      <c r="Q33" s="3">
        <f>ROUNDUP(IF(Q32&gt;2400000,(300000+(Q32-2400000)*30%),IF(Q32&gt;2000000,200000+(Q32-2000000)*25%,IF(Q32&gt;1600000,120000+(Q32-1600000)*20%,IF(Q32&gt;1200000,60000+(Q32-1200000)*15%,IF(Q32&gt;800000,20000+(Q32-800000)*10%,IF(Q32&gt;400000,(Q32-400000)*5%,0)))))),0)</f>
        <v>75498</v>
      </c>
      <c r="R33" s="3"/>
    </row>
    <row r="34" spans="2:18" x14ac:dyDescent="0.3">
      <c r="B34" s="4" t="s">
        <v>130</v>
      </c>
      <c r="C34" s="24">
        <v>500</v>
      </c>
      <c r="D34" s="3"/>
      <c r="E34" s="3"/>
      <c r="H34" s="5">
        <f>H33*0.75</f>
        <v>18913.385709149999</v>
      </c>
      <c r="Q34" s="3">
        <f>ROUND(SUM(E69:E72),0)</f>
        <v>75497</v>
      </c>
      <c r="R34" s="3">
        <f>Q34-Q33</f>
        <v>-1</v>
      </c>
    </row>
    <row r="35" spans="2:18" x14ac:dyDescent="0.3">
      <c r="B35" s="4" t="s">
        <v>219</v>
      </c>
      <c r="C35" s="43">
        <v>210</v>
      </c>
      <c r="D35" s="3"/>
      <c r="E35" s="3"/>
    </row>
    <row r="36" spans="2:18" x14ac:dyDescent="0.3">
      <c r="B36" s="4" t="s">
        <v>46</v>
      </c>
      <c r="C36" s="3">
        <f>ROUNDUP(Dividend!S4*1.1,-3)</f>
        <v>31000</v>
      </c>
      <c r="D36" s="3"/>
      <c r="E36" s="3"/>
      <c r="H36" t="s">
        <v>267</v>
      </c>
      <c r="I36" t="s">
        <v>268</v>
      </c>
      <c r="J36" t="s">
        <v>269</v>
      </c>
      <c r="K36" t="s">
        <v>270</v>
      </c>
      <c r="L36" t="s">
        <v>272</v>
      </c>
      <c r="M36" t="s">
        <v>271</v>
      </c>
    </row>
    <row r="37" spans="2:18" x14ac:dyDescent="0.3">
      <c r="B37" s="4" t="s">
        <v>263</v>
      </c>
      <c r="C37" s="43">
        <f>O39</f>
        <v>26216.551199999998</v>
      </c>
      <c r="D37" s="3"/>
      <c r="E37" s="3"/>
      <c r="G37" s="17"/>
      <c r="H37" s="3">
        <f>225</f>
        <v>225</v>
      </c>
      <c r="I37" s="17">
        <f>ROUND(H37*0.1%,2)</f>
        <v>0.23</v>
      </c>
      <c r="J37" s="17">
        <f>H37*10%</f>
        <v>22.5</v>
      </c>
      <c r="K37" s="9">
        <f>J37*18%</f>
        <v>4.05</v>
      </c>
      <c r="L37" s="9">
        <v>0.99</v>
      </c>
      <c r="M37" s="5">
        <f>SUM(I37:L37)</f>
        <v>27.77</v>
      </c>
      <c r="N37" s="3">
        <v>88.2</v>
      </c>
      <c r="O37" s="3">
        <f>(H37-M37)*N37</f>
        <v>17395.685999999998</v>
      </c>
      <c r="P37">
        <f>H37*N37</f>
        <v>19845</v>
      </c>
    </row>
    <row r="38" spans="2:18" x14ac:dyDescent="0.3">
      <c r="B38" s="4"/>
      <c r="C38" s="3"/>
      <c r="D38" s="3"/>
      <c r="E38" s="3"/>
      <c r="H38" s="3">
        <f>112</f>
        <v>112</v>
      </c>
      <c r="I38" s="17">
        <f>ROUND(H38*0.1%,2)</f>
        <v>0.11</v>
      </c>
      <c r="J38" s="17">
        <f>H38*10%</f>
        <v>11.200000000000001</v>
      </c>
      <c r="K38" s="9">
        <f>J38*18%</f>
        <v>2.016</v>
      </c>
      <c r="L38" s="9">
        <v>0.99</v>
      </c>
      <c r="M38" s="5">
        <f>SUM(I38:L38)</f>
        <v>14.316000000000001</v>
      </c>
      <c r="N38" s="3">
        <v>90.3</v>
      </c>
      <c r="O38" s="3">
        <f>(H38-M38)*N38</f>
        <v>8820.8652000000002</v>
      </c>
      <c r="P38">
        <f>H38*N38</f>
        <v>10113.6</v>
      </c>
    </row>
    <row r="39" spans="2:18" x14ac:dyDescent="0.3">
      <c r="B39" s="4" t="s">
        <v>10</v>
      </c>
      <c r="C39" s="3"/>
      <c r="D39" s="2">
        <f>SUM(D9:D38)</f>
        <v>1317804.8062000002</v>
      </c>
      <c r="E39" s="2">
        <f>SUM(E9:E38)</f>
        <v>1515304.4062000001</v>
      </c>
      <c r="H39" s="3"/>
      <c r="I39" s="3"/>
      <c r="M39" s="5">
        <f t="shared" ref="M38:M39" si="0">SUM(I39:K39)</f>
        <v>0</v>
      </c>
      <c r="O39" s="5">
        <f>SUM(O37:O38)</f>
        <v>26216.551199999998</v>
      </c>
      <c r="P39" s="5">
        <f>SUM(P37:P38)</f>
        <v>29958.6</v>
      </c>
    </row>
    <row r="40" spans="2:18" x14ac:dyDescent="0.3">
      <c r="C40" s="3"/>
      <c r="D40" s="3"/>
      <c r="E40" s="3"/>
      <c r="I40" s="44"/>
      <c r="K40" s="9"/>
      <c r="L40" s="9"/>
      <c r="M40" s="9"/>
      <c r="P40" s="5">
        <f>P39-O39</f>
        <v>3742.0488000000005</v>
      </c>
    </row>
    <row r="41" spans="2:18" x14ac:dyDescent="0.3">
      <c r="B41" s="4" t="s">
        <v>29</v>
      </c>
      <c r="C41" s="3"/>
      <c r="D41" s="3"/>
      <c r="E41" s="3"/>
      <c r="I41" s="35"/>
      <c r="K41" s="9"/>
      <c r="L41" s="9"/>
      <c r="M41" s="9"/>
    </row>
    <row r="42" spans="2:18" x14ac:dyDescent="0.3">
      <c r="B42" s="4" t="s">
        <v>11</v>
      </c>
      <c r="C42">
        <f>128000+122488+102250+50000</f>
        <v>402738</v>
      </c>
      <c r="D42" s="3">
        <f>MIN(SUM(C42:C44),150000)</f>
        <v>150000</v>
      </c>
      <c r="E42" s="3">
        <v>0</v>
      </c>
      <c r="K42" s="9"/>
      <c r="L42" s="9"/>
      <c r="M42" s="9"/>
    </row>
    <row r="43" spans="2:18" x14ac:dyDescent="0.3">
      <c r="B43" s="4" t="s">
        <v>125</v>
      </c>
      <c r="C43" s="3">
        <f>[1]Sheet1!K25</f>
        <v>25046</v>
      </c>
      <c r="D43" s="3"/>
      <c r="E43" s="3"/>
    </row>
    <row r="44" spans="2:18" x14ac:dyDescent="0.3">
      <c r="B44" s="4" t="s">
        <v>126</v>
      </c>
      <c r="C44" s="3"/>
      <c r="D44" s="3"/>
      <c r="E44" s="3"/>
    </row>
    <row r="45" spans="2:18" x14ac:dyDescent="0.3">
      <c r="B45" s="4"/>
      <c r="C45" s="3"/>
      <c r="D45" s="3"/>
      <c r="E45" s="3"/>
    </row>
    <row r="46" spans="2:18" x14ac:dyDescent="0.3">
      <c r="B46" s="4" t="s">
        <v>12</v>
      </c>
      <c r="C46" s="3">
        <f>11240</f>
        <v>11240</v>
      </c>
      <c r="D46" s="3">
        <f>MIN(C46,25000)</f>
        <v>11240</v>
      </c>
      <c r="E46" s="3">
        <v>0</v>
      </c>
    </row>
    <row r="47" spans="2:18" x14ac:dyDescent="0.3">
      <c r="B47" s="4"/>
      <c r="C47" s="3"/>
      <c r="D47" s="3"/>
      <c r="E47" s="3"/>
    </row>
    <row r="48" spans="2:18" x14ac:dyDescent="0.3">
      <c r="B48" s="4" t="s">
        <v>13</v>
      </c>
      <c r="C48" s="3"/>
      <c r="D48" s="2">
        <f>D39-D42-D46</f>
        <v>1156564.8062000002</v>
      </c>
      <c r="E48" s="2">
        <f>E39-E42-E46</f>
        <v>1515304.4062000001</v>
      </c>
    </row>
    <row r="49" spans="2:9" x14ac:dyDescent="0.3">
      <c r="B49" s="4"/>
      <c r="C49" s="3"/>
      <c r="D49" s="3"/>
      <c r="E49" s="3"/>
    </row>
    <row r="50" spans="2:9" x14ac:dyDescent="0.3">
      <c r="B50" s="1" t="s">
        <v>14</v>
      </c>
      <c r="C50" s="3"/>
      <c r="D50" s="3">
        <f>D79</f>
        <v>111371.61068500005</v>
      </c>
      <c r="E50" s="3">
        <f>E79</f>
        <v>85453.703125000029</v>
      </c>
    </row>
    <row r="51" spans="2:9" x14ac:dyDescent="0.3">
      <c r="B51" s="4" t="s">
        <v>15</v>
      </c>
      <c r="C51" s="3"/>
      <c r="D51" s="3">
        <f>D50*4%</f>
        <v>4454.8644274000026</v>
      </c>
      <c r="E51" s="3">
        <f>E50*4%</f>
        <v>3418.1481250000011</v>
      </c>
      <c r="F51" s="5"/>
    </row>
    <row r="52" spans="2:9" x14ac:dyDescent="0.3">
      <c r="B52" s="1" t="s">
        <v>16</v>
      </c>
      <c r="C52" s="3"/>
      <c r="D52" s="2">
        <f>SUM(D50:D51)</f>
        <v>115826.47511240005</v>
      </c>
      <c r="E52" s="2">
        <f>SUM(E50:E51)</f>
        <v>88871.851250000036</v>
      </c>
    </row>
    <row r="53" spans="2:9" x14ac:dyDescent="0.3">
      <c r="B53" s="4"/>
      <c r="C53" s="3"/>
      <c r="D53" s="3"/>
      <c r="E53" s="3"/>
    </row>
    <row r="54" spans="2:9" x14ac:dyDescent="0.3">
      <c r="B54" s="4" t="s">
        <v>42</v>
      </c>
      <c r="C54" s="3"/>
      <c r="D54" s="3">
        <f>-IF(D48&lt;500000,MIN(D52,12500),0)</f>
        <v>0</v>
      </c>
      <c r="E54" s="3">
        <f>-IF(E48&lt;700000,MIN(E52,25000),0)</f>
        <v>0</v>
      </c>
    </row>
    <row r="55" spans="2:9" x14ac:dyDescent="0.3">
      <c r="B55" s="4" t="s">
        <v>43</v>
      </c>
      <c r="C55" s="3"/>
      <c r="D55" s="3">
        <v>0</v>
      </c>
      <c r="E55" s="3">
        <v>0</v>
      </c>
      <c r="I55" s="5"/>
    </row>
    <row r="56" spans="2:9" x14ac:dyDescent="0.3">
      <c r="B56" s="4" t="s">
        <v>17</v>
      </c>
      <c r="C56" s="3"/>
      <c r="D56" s="6">
        <f>-[2]Sheet1!$O$23</f>
        <v>-31803</v>
      </c>
      <c r="E56" s="6">
        <f>D56</f>
        <v>-31803</v>
      </c>
      <c r="I56" s="5"/>
    </row>
    <row r="57" spans="2:9" x14ac:dyDescent="0.3">
      <c r="C57" s="3"/>
      <c r="D57" s="3"/>
      <c r="E57" s="3"/>
      <c r="H57" s="5"/>
    </row>
    <row r="58" spans="2:9" x14ac:dyDescent="0.3">
      <c r="B58" s="1" t="s">
        <v>124</v>
      </c>
      <c r="C58" s="3"/>
      <c r="D58" s="2">
        <f>ROUND(SUM(D52:D56),0)</f>
        <v>84023</v>
      </c>
      <c r="E58" s="2">
        <f>ROUND(SUM(E52:E56),0)</f>
        <v>57069</v>
      </c>
      <c r="H58" s="17"/>
    </row>
    <row r="59" spans="2:9" x14ac:dyDescent="0.3">
      <c r="C59" s="3"/>
      <c r="D59" s="3"/>
      <c r="E59" s="3"/>
    </row>
    <row r="60" spans="2:9" x14ac:dyDescent="0.3">
      <c r="B60" s="1" t="s">
        <v>18</v>
      </c>
      <c r="C60" s="3"/>
      <c r="D60" s="3"/>
      <c r="E60" s="3"/>
    </row>
    <row r="61" spans="2:9" x14ac:dyDescent="0.3">
      <c r="B61" s="4" t="s">
        <v>19</v>
      </c>
      <c r="C61" s="3">
        <v>250000</v>
      </c>
      <c r="D61" s="3">
        <f>C61*F61</f>
        <v>0</v>
      </c>
      <c r="E61" s="3">
        <v>0</v>
      </c>
      <c r="F61" s="35">
        <v>0</v>
      </c>
    </row>
    <row r="62" spans="2:9" x14ac:dyDescent="0.3">
      <c r="B62" s="4" t="s">
        <v>20</v>
      </c>
      <c r="C62" s="3">
        <v>250000</v>
      </c>
      <c r="D62" s="3">
        <f>C62*F62</f>
        <v>12500</v>
      </c>
      <c r="E62" s="3">
        <v>0</v>
      </c>
      <c r="F62" s="35">
        <v>0.05</v>
      </c>
      <c r="H62" s="5"/>
    </row>
    <row r="63" spans="2:9" x14ac:dyDescent="0.3">
      <c r="B63" s="4" t="s">
        <v>21</v>
      </c>
      <c r="C63" s="3">
        <f>MAX(D48-D11+C29,0)-C61-C62</f>
        <v>444576.95120000024</v>
      </c>
      <c r="D63" s="3">
        <f>C63*F63</f>
        <v>88915.390240000052</v>
      </c>
      <c r="E63" s="3">
        <v>0</v>
      </c>
      <c r="F63" s="35">
        <v>0.2</v>
      </c>
      <c r="G63" s="5"/>
    </row>
    <row r="64" spans="2:9" x14ac:dyDescent="0.3">
      <c r="B64" s="7" t="s">
        <v>22</v>
      </c>
      <c r="C64" s="3">
        <v>0</v>
      </c>
      <c r="D64" s="3">
        <f>C64*F64%</f>
        <v>0</v>
      </c>
      <c r="E64" s="3">
        <v>0</v>
      </c>
      <c r="F64" s="35">
        <v>0.3</v>
      </c>
      <c r="H64" s="5"/>
    </row>
    <row r="65" spans="2:9" x14ac:dyDescent="0.3">
      <c r="B65" s="7" t="s">
        <v>8</v>
      </c>
      <c r="C65" s="3">
        <f>SUM(C14:C16)</f>
        <v>7457.4099999999944</v>
      </c>
      <c r="D65" s="3">
        <f>MAX(C65,0)*F65%</f>
        <v>14.91481999999999</v>
      </c>
      <c r="E65" s="3">
        <v>0</v>
      </c>
      <c r="F65" s="35">
        <v>0.2</v>
      </c>
      <c r="H65" s="5"/>
    </row>
    <row r="66" spans="2:9" x14ac:dyDescent="0.3">
      <c r="B66" s="7" t="s">
        <v>9</v>
      </c>
      <c r="C66" s="3">
        <f>SUM(C19:C22,C26)</f>
        <v>204530.44500000001</v>
      </c>
      <c r="D66" s="3">
        <f>MAX((C66-125000),0)*F66</f>
        <v>9941.3056250000009</v>
      </c>
      <c r="E66" s="3"/>
      <c r="F66" s="35">
        <v>0.125</v>
      </c>
    </row>
    <row r="67" spans="2:9" x14ac:dyDescent="0.3">
      <c r="B67" s="7"/>
      <c r="C67" s="5">
        <f>SUM(C61:C66)-D48</f>
        <v>0</v>
      </c>
      <c r="D67" s="3"/>
      <c r="E67" s="3"/>
    </row>
    <row r="68" spans="2:9" x14ac:dyDescent="0.3">
      <c r="B68" s="8" t="s">
        <v>23</v>
      </c>
      <c r="C68" s="3"/>
      <c r="D68" s="3"/>
      <c r="E68" s="3"/>
    </row>
    <row r="69" spans="2:9" x14ac:dyDescent="0.3">
      <c r="B69" s="4" t="s">
        <v>220</v>
      </c>
      <c r="C69" s="3">
        <v>400000</v>
      </c>
      <c r="D69" s="3">
        <v>0</v>
      </c>
      <c r="E69" s="3">
        <f t="shared" ref="E69:E75" si="1">C69*F69</f>
        <v>0</v>
      </c>
      <c r="F69" s="35">
        <v>0</v>
      </c>
    </row>
    <row r="70" spans="2:9" x14ac:dyDescent="0.3">
      <c r="B70" s="4" t="s">
        <v>221</v>
      </c>
      <c r="C70" s="3">
        <v>400000</v>
      </c>
      <c r="D70" s="3">
        <v>0</v>
      </c>
      <c r="E70" s="3">
        <f t="shared" si="1"/>
        <v>20000</v>
      </c>
      <c r="F70" s="35">
        <v>0.05</v>
      </c>
      <c r="H70" s="5"/>
    </row>
    <row r="71" spans="2:9" x14ac:dyDescent="0.3">
      <c r="B71" s="4" t="s">
        <v>222</v>
      </c>
      <c r="C71" s="3">
        <v>400000</v>
      </c>
      <c r="D71" s="3">
        <v>0</v>
      </c>
      <c r="E71" s="3">
        <f t="shared" si="1"/>
        <v>40000</v>
      </c>
      <c r="F71" s="35">
        <v>0.1</v>
      </c>
    </row>
    <row r="72" spans="2:9" x14ac:dyDescent="0.3">
      <c r="B72" s="4" t="s">
        <v>223</v>
      </c>
      <c r="C72" s="3">
        <f>E39-E11-C69-C70+C29-C71</f>
        <v>103316.5512000001</v>
      </c>
      <c r="D72" s="3">
        <v>0</v>
      </c>
      <c r="E72" s="3">
        <f t="shared" si="1"/>
        <v>15497.482680000016</v>
      </c>
      <c r="F72" s="35">
        <v>0.15</v>
      </c>
      <c r="H72" s="5"/>
      <c r="I72" s="5"/>
    </row>
    <row r="73" spans="2:9" x14ac:dyDescent="0.3">
      <c r="B73" s="4" t="s">
        <v>224</v>
      </c>
      <c r="C73" s="3">
        <v>0</v>
      </c>
      <c r="D73" s="3">
        <v>0</v>
      </c>
      <c r="E73" s="3">
        <f t="shared" si="1"/>
        <v>0</v>
      </c>
      <c r="F73" s="35">
        <v>0.2</v>
      </c>
      <c r="H73" s="5"/>
      <c r="I73" s="5"/>
    </row>
    <row r="74" spans="2:9" x14ac:dyDescent="0.3">
      <c r="B74" s="4" t="s">
        <v>226</v>
      </c>
      <c r="C74" s="3">
        <v>0</v>
      </c>
      <c r="D74" s="3">
        <v>0</v>
      </c>
      <c r="E74" s="3">
        <f t="shared" si="1"/>
        <v>0</v>
      </c>
      <c r="F74" s="35">
        <v>0.25</v>
      </c>
      <c r="H74" s="5"/>
      <c r="I74" s="5"/>
    </row>
    <row r="75" spans="2:9" x14ac:dyDescent="0.3">
      <c r="B75" s="7" t="s">
        <v>225</v>
      </c>
      <c r="C75" s="3">
        <v>0</v>
      </c>
      <c r="D75" s="3">
        <v>0</v>
      </c>
      <c r="E75" s="3">
        <f t="shared" si="1"/>
        <v>0</v>
      </c>
      <c r="F75" s="35">
        <v>0.3</v>
      </c>
    </row>
    <row r="76" spans="2:9" x14ac:dyDescent="0.3">
      <c r="B76" s="7" t="s">
        <v>8</v>
      </c>
      <c r="C76" s="3">
        <f>C65</f>
        <v>7457.4099999999944</v>
      </c>
      <c r="D76" s="3">
        <v>0</v>
      </c>
      <c r="E76" s="3">
        <f>MAX(C76,0)*F76%</f>
        <v>14.91481999999999</v>
      </c>
      <c r="F76" s="35">
        <v>0.2</v>
      </c>
    </row>
    <row r="77" spans="2:9" x14ac:dyDescent="0.3">
      <c r="B77" s="7" t="s">
        <v>9</v>
      </c>
      <c r="C77" s="3">
        <f>C66</f>
        <v>204530.44500000001</v>
      </c>
      <c r="D77" s="3">
        <v>0</v>
      </c>
      <c r="E77" s="3">
        <f>MAX((C77-125000),0)*F77</f>
        <v>9941.3056250000009</v>
      </c>
      <c r="F77" s="35">
        <v>0.125</v>
      </c>
      <c r="H77" s="5"/>
      <c r="I77" s="5"/>
    </row>
    <row r="78" spans="2:9" x14ac:dyDescent="0.3">
      <c r="B78" s="7"/>
      <c r="C78" s="3"/>
      <c r="D78" s="3"/>
      <c r="E78" s="3"/>
      <c r="H78" s="5"/>
      <c r="I78" s="5"/>
    </row>
    <row r="79" spans="2:9" x14ac:dyDescent="0.3">
      <c r="B79" s="1" t="s">
        <v>16</v>
      </c>
      <c r="C79" s="2">
        <f>SUM(C69:C77)-E48</f>
        <v>0</v>
      </c>
      <c r="D79" s="2">
        <f>SUM(D61:D77)</f>
        <v>111371.61068500005</v>
      </c>
      <c r="E79" s="2">
        <f>SUM(E61:E77)</f>
        <v>85453.703125000029</v>
      </c>
      <c r="H79" s="5"/>
      <c r="I79" s="5"/>
    </row>
    <row r="80" spans="2:9" x14ac:dyDescent="0.3">
      <c r="E80" s="42"/>
      <c r="F80" s="5"/>
    </row>
    <row r="81" spans="2:6" x14ac:dyDescent="0.3">
      <c r="C81" s="5" t="s">
        <v>119</v>
      </c>
      <c r="D81" s="5" t="s">
        <v>131</v>
      </c>
      <c r="F81" s="5"/>
    </row>
    <row r="82" spans="2:6" x14ac:dyDescent="0.3">
      <c r="B82" t="s">
        <v>33</v>
      </c>
      <c r="C82" s="3"/>
      <c r="D82" s="3"/>
      <c r="E82" s="3">
        <f t="shared" ref="E82:E87" si="2">MAX(C82,D82)</f>
        <v>0</v>
      </c>
    </row>
    <row r="83" spans="2:6" x14ac:dyDescent="0.3">
      <c r="B83" t="s">
        <v>47</v>
      </c>
      <c r="C83" s="3"/>
      <c r="D83" s="3"/>
      <c r="E83" s="3">
        <f t="shared" si="2"/>
        <v>0</v>
      </c>
    </row>
    <row r="84" spans="2:6" x14ac:dyDescent="0.3">
      <c r="B84" t="s">
        <v>127</v>
      </c>
      <c r="C84" s="3"/>
      <c r="D84" s="3"/>
      <c r="E84" s="3">
        <f t="shared" si="2"/>
        <v>0</v>
      </c>
    </row>
    <row r="85" spans="2:6" x14ac:dyDescent="0.3">
      <c r="B85" t="s">
        <v>143</v>
      </c>
      <c r="C85" s="3"/>
      <c r="D85" s="3"/>
      <c r="E85" s="3">
        <f t="shared" si="2"/>
        <v>0</v>
      </c>
    </row>
    <row r="86" spans="2:6" x14ac:dyDescent="0.3">
      <c r="B86" t="s">
        <v>128</v>
      </c>
      <c r="C86" s="3"/>
      <c r="D86" s="3"/>
      <c r="E86" s="3">
        <f t="shared" si="2"/>
        <v>0</v>
      </c>
    </row>
    <row r="87" spans="2:6" x14ac:dyDescent="0.3">
      <c r="B87" t="s">
        <v>129</v>
      </c>
      <c r="C87" s="3"/>
      <c r="D87" s="3"/>
      <c r="E87" s="3">
        <f t="shared" si="2"/>
        <v>0</v>
      </c>
    </row>
    <row r="88" spans="2:6" x14ac:dyDescent="0.3">
      <c r="C88" s="33">
        <f>SUM(C82:C87)</f>
        <v>0</v>
      </c>
      <c r="D88" s="33">
        <f>SUM(D82:D87)</f>
        <v>0</v>
      </c>
      <c r="E88" s="33">
        <f>SUM(E82:E87)</f>
        <v>0</v>
      </c>
    </row>
    <row r="101" spans="5:5" x14ac:dyDescent="0.3">
      <c r="E101" s="3">
        <f>E58</f>
        <v>57069</v>
      </c>
    </row>
    <row r="102" spans="5:5" x14ac:dyDescent="0.3">
      <c r="E102" s="3">
        <v>-35000</v>
      </c>
    </row>
    <row r="103" spans="5:5" x14ac:dyDescent="0.3">
      <c r="E103" s="33">
        <f>SUM(E101:E102)</f>
        <v>22069</v>
      </c>
    </row>
  </sheetData>
  <pageMargins left="0.7" right="0.7" top="0.75" bottom="0.75" header="0.3" footer="0.3"/>
  <pageSetup scale="6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AA418-5FBF-4771-B832-64492FED6FA4}">
  <dimension ref="A1:X13"/>
  <sheetViews>
    <sheetView workbookViewId="0"/>
  </sheetViews>
  <sheetFormatPr defaultRowHeight="14.4" x14ac:dyDescent="0.3"/>
  <cols>
    <col min="1" max="1" width="44.88671875" bestFit="1" customWidth="1"/>
    <col min="2" max="2" width="11.33203125" bestFit="1" customWidth="1"/>
    <col min="3" max="3" width="10" bestFit="1" customWidth="1"/>
    <col min="4" max="4" width="15.88671875" customWidth="1"/>
    <col min="8" max="8" width="10.33203125" bestFit="1" customWidth="1"/>
    <col min="9" max="9" width="47.88671875" bestFit="1" customWidth="1"/>
    <col min="10" max="10" width="47.88671875" customWidth="1"/>
    <col min="11" max="11" width="12" bestFit="1" customWidth="1"/>
    <col min="12" max="12" width="13.109375" bestFit="1" customWidth="1"/>
    <col min="13" max="13" width="12.5546875" bestFit="1" customWidth="1"/>
    <col min="14" max="14" width="9.77734375" bestFit="1" customWidth="1"/>
    <col min="16" max="16" width="35.21875" bestFit="1" customWidth="1"/>
    <col min="17" max="17" width="10" bestFit="1" customWidth="1"/>
    <col min="20" max="20" width="44.88671875" bestFit="1" customWidth="1"/>
  </cols>
  <sheetData>
    <row r="1" spans="1:24" x14ac:dyDescent="0.3">
      <c r="D1" s="5"/>
      <c r="E1" s="5"/>
      <c r="L1" s="5"/>
    </row>
    <row r="2" spans="1:24" ht="28.8" x14ac:dyDescent="0.3">
      <c r="A2" s="27" t="s">
        <v>32</v>
      </c>
      <c r="B2" s="27" t="s">
        <v>30</v>
      </c>
      <c r="C2" s="27" t="s">
        <v>17</v>
      </c>
      <c r="D2" s="28" t="s">
        <v>31</v>
      </c>
      <c r="H2" s="14" t="s">
        <v>34</v>
      </c>
      <c r="I2" t="s">
        <v>35</v>
      </c>
      <c r="J2" s="14" t="s">
        <v>36</v>
      </c>
      <c r="K2" s="14" t="s">
        <v>37</v>
      </c>
      <c r="L2" t="s">
        <v>38</v>
      </c>
      <c r="M2" s="15" t="s">
        <v>32</v>
      </c>
      <c r="N2" s="22" t="s">
        <v>123</v>
      </c>
      <c r="P2" s="16" t="s">
        <v>39</v>
      </c>
      <c r="Q2" t="s">
        <v>41</v>
      </c>
      <c r="T2" s="10" t="s">
        <v>32</v>
      </c>
      <c r="U2" s="10" t="s">
        <v>30</v>
      </c>
      <c r="V2" s="10" t="s">
        <v>17</v>
      </c>
      <c r="W2" s="10" t="s">
        <v>31</v>
      </c>
    </row>
    <row r="3" spans="1:24" x14ac:dyDescent="0.3">
      <c r="A3" s="29" t="s">
        <v>28</v>
      </c>
      <c r="B3" s="25">
        <v>137910</v>
      </c>
      <c r="C3" s="25">
        <v>13791</v>
      </c>
      <c r="D3" s="25">
        <v>124119</v>
      </c>
      <c r="F3" s="5"/>
      <c r="G3" s="23"/>
      <c r="H3" s="11"/>
      <c r="J3" s="12"/>
      <c r="K3" s="13"/>
      <c r="L3" s="13"/>
      <c r="M3" s="12"/>
      <c r="P3" t="s">
        <v>28</v>
      </c>
      <c r="Q3">
        <v>124112</v>
      </c>
      <c r="T3" s="4" t="s">
        <v>28</v>
      </c>
      <c r="U3" s="3">
        <f>25000*4+37910</f>
        <v>137910</v>
      </c>
      <c r="V3" s="3">
        <v>13791</v>
      </c>
      <c r="W3" s="3">
        <f>U3-V3</f>
        <v>124119</v>
      </c>
      <c r="X3" s="5">
        <f>Q3-W3</f>
        <v>-7</v>
      </c>
    </row>
    <row r="4" spans="1:24" x14ac:dyDescent="0.3">
      <c r="A4" s="29" t="s">
        <v>27</v>
      </c>
      <c r="B4" s="25">
        <v>62026</v>
      </c>
      <c r="C4" s="25">
        <v>0</v>
      </c>
      <c r="D4" s="25">
        <v>62026</v>
      </c>
      <c r="H4" s="11"/>
      <c r="J4" s="12"/>
      <c r="K4" s="13"/>
      <c r="L4" s="13"/>
      <c r="M4" s="12"/>
      <c r="P4" t="s">
        <v>27</v>
      </c>
      <c r="Q4">
        <v>62026</v>
      </c>
      <c r="T4" s="4" t="s">
        <v>27</v>
      </c>
      <c r="U4" s="3">
        <f>32500+25000+4526</f>
        <v>62026</v>
      </c>
      <c r="V4" s="9">
        <v>0</v>
      </c>
      <c r="W4" s="3">
        <f>U4-V4</f>
        <v>62026</v>
      </c>
      <c r="X4" s="5">
        <f>Q4-W4</f>
        <v>0</v>
      </c>
    </row>
    <row r="5" spans="1:24" x14ac:dyDescent="0.3">
      <c r="A5" s="29" t="s">
        <v>25</v>
      </c>
      <c r="B5" s="25">
        <v>10000</v>
      </c>
      <c r="C5" s="25">
        <v>0</v>
      </c>
      <c r="D5" s="25">
        <v>10000</v>
      </c>
      <c r="G5" s="23"/>
      <c r="H5" s="11"/>
      <c r="J5" s="12"/>
      <c r="K5" s="13"/>
      <c r="L5" s="13"/>
      <c r="M5" s="12"/>
      <c r="P5" t="s">
        <v>25</v>
      </c>
      <c r="Q5">
        <v>10000</v>
      </c>
      <c r="T5" s="4" t="s">
        <v>25</v>
      </c>
      <c r="U5" s="3">
        <v>10000</v>
      </c>
      <c r="V5" s="9">
        <v>0</v>
      </c>
      <c r="W5" s="3">
        <f>U5-V5</f>
        <v>10000</v>
      </c>
      <c r="X5" s="5">
        <f>Q5-W5</f>
        <v>0</v>
      </c>
    </row>
    <row r="6" spans="1:24" x14ac:dyDescent="0.3">
      <c r="A6" s="29" t="s">
        <v>26</v>
      </c>
      <c r="B6" s="25">
        <v>29327.95</v>
      </c>
      <c r="C6" s="25">
        <v>0</v>
      </c>
      <c r="D6" s="25">
        <v>29327.95</v>
      </c>
      <c r="H6" s="11"/>
      <c r="J6" s="12"/>
      <c r="K6" s="13"/>
      <c r="L6" s="13"/>
      <c r="M6" s="12"/>
      <c r="P6" t="s">
        <v>26</v>
      </c>
      <c r="Q6">
        <v>29327.95</v>
      </c>
      <c r="T6" s="4" t="s">
        <v>26</v>
      </c>
      <c r="U6" s="3">
        <f>20161.29+9166.66</f>
        <v>29327.95</v>
      </c>
      <c r="V6" s="9">
        <v>0</v>
      </c>
      <c r="W6" s="3">
        <f>U6-V6</f>
        <v>29327.95</v>
      </c>
      <c r="X6" s="5">
        <f>Q6-W6</f>
        <v>0</v>
      </c>
    </row>
    <row r="7" spans="1:24" x14ac:dyDescent="0.3">
      <c r="A7" s="29"/>
      <c r="B7" s="26">
        <f>SUM(B3:B6)</f>
        <v>239263.95</v>
      </c>
      <c r="C7" s="26">
        <f>SUM(C3:C6)</f>
        <v>13791</v>
      </c>
      <c r="D7" s="26">
        <f>SUM(D3:D6)</f>
        <v>225472.95</v>
      </c>
      <c r="H7" s="11"/>
      <c r="J7" s="12"/>
      <c r="K7" s="13"/>
      <c r="L7" s="13"/>
      <c r="M7" s="12"/>
      <c r="P7" t="s">
        <v>40</v>
      </c>
      <c r="Q7">
        <v>225465.95</v>
      </c>
      <c r="T7" s="4"/>
      <c r="U7" s="3"/>
      <c r="V7" s="9"/>
      <c r="W7" s="3">
        <f>U7-V7</f>
        <v>0</v>
      </c>
    </row>
    <row r="8" spans="1:24" x14ac:dyDescent="0.3">
      <c r="A8" s="4"/>
      <c r="B8" s="3"/>
      <c r="C8" s="9"/>
      <c r="D8" s="3"/>
      <c r="H8" s="11"/>
      <c r="J8" s="12"/>
      <c r="K8" s="13"/>
      <c r="L8" s="13"/>
      <c r="M8" s="12"/>
    </row>
    <row r="9" spans="1:24" x14ac:dyDescent="0.3">
      <c r="A9" s="4"/>
      <c r="B9" s="3"/>
      <c r="C9" s="3"/>
      <c r="D9" s="3"/>
      <c r="H9" s="11"/>
      <c r="J9" s="12"/>
      <c r="K9" s="13"/>
      <c r="L9" s="13"/>
      <c r="M9" s="12"/>
    </row>
    <row r="10" spans="1:24" x14ac:dyDescent="0.3">
      <c r="B10" s="5"/>
      <c r="H10" s="11"/>
      <c r="J10" s="12"/>
      <c r="K10" s="13"/>
      <c r="L10" s="13"/>
      <c r="M10" s="12"/>
    </row>
    <row r="11" spans="1:24" x14ac:dyDescent="0.3">
      <c r="H11" s="11"/>
      <c r="J11" s="12"/>
      <c r="K11" s="13"/>
      <c r="L11" s="13"/>
      <c r="M11" s="12"/>
    </row>
    <row r="12" spans="1:24" x14ac:dyDescent="0.3">
      <c r="H12" s="11"/>
      <c r="J12" s="12"/>
      <c r="K12" s="13"/>
      <c r="L12" s="13"/>
      <c r="M12" s="12"/>
    </row>
    <row r="13" spans="1:24" x14ac:dyDescent="0.3">
      <c r="H13" s="11"/>
      <c r="J13" s="12"/>
      <c r="K13" s="13"/>
      <c r="L13" s="13"/>
      <c r="M13" s="1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F2D93-2F57-4D03-BF60-63C4D4B629A1}">
  <dimension ref="B1:S66"/>
  <sheetViews>
    <sheetView workbookViewId="0"/>
  </sheetViews>
  <sheetFormatPr defaultRowHeight="14.4" x14ac:dyDescent="0.3"/>
  <cols>
    <col min="2" max="2" width="40.77734375" customWidth="1"/>
    <col min="3" max="3" width="12.77734375" customWidth="1"/>
    <col min="4" max="6" width="8.88671875" customWidth="1"/>
    <col min="7" max="7" width="41" customWidth="1"/>
    <col min="8" max="8" width="30.88671875" customWidth="1"/>
    <col min="9" max="12" width="8.88671875" customWidth="1"/>
    <col min="13" max="13" width="40.77734375" bestFit="1" customWidth="1"/>
    <col min="14" max="14" width="21.5546875" bestFit="1" customWidth="1"/>
    <col min="15" max="15" width="21.44140625" customWidth="1"/>
    <col min="16" max="17" width="9" bestFit="1" customWidth="1"/>
    <col min="18" max="18" width="9.88671875" bestFit="1" customWidth="1"/>
    <col min="19" max="19" width="15.109375" customWidth="1"/>
  </cols>
  <sheetData>
    <row r="1" spans="2:19" x14ac:dyDescent="0.3">
      <c r="B1" s="10" t="s">
        <v>117</v>
      </c>
      <c r="D1" s="3">
        <f>SUBTOTAL(9,D6:D1048576)</f>
        <v>27412.85</v>
      </c>
      <c r="G1" s="10" t="s">
        <v>101</v>
      </c>
      <c r="H1" s="5"/>
      <c r="I1" s="3">
        <f>SUBTOTAL(9,I6:I1048576)</f>
        <v>27432.85</v>
      </c>
      <c r="Q1" s="21">
        <v>26411</v>
      </c>
    </row>
    <row r="2" spans="2:19" x14ac:dyDescent="0.3">
      <c r="B2" s="10"/>
      <c r="G2" s="10"/>
      <c r="M2" s="10"/>
      <c r="Q2" s="5">
        <f>Q1-Q4</f>
        <v>0</v>
      </c>
    </row>
    <row r="3" spans="2:19" x14ac:dyDescent="0.3">
      <c r="B3" s="10"/>
      <c r="G3" s="10"/>
      <c r="P3" s="5"/>
      <c r="Q3" s="21"/>
      <c r="R3" s="5"/>
    </row>
    <row r="4" spans="2:19" x14ac:dyDescent="0.3">
      <c r="B4" s="10"/>
      <c r="G4" s="10"/>
      <c r="N4" s="3">
        <f t="shared" ref="N4:S4" si="0">SUBTOTAL(9,N6:N1048576)</f>
        <v>27432.85</v>
      </c>
      <c r="O4" s="3">
        <f t="shared" si="0"/>
        <v>27412.85</v>
      </c>
      <c r="P4" s="3">
        <f t="shared" si="0"/>
        <v>20</v>
      </c>
      <c r="Q4" s="3">
        <f t="shared" si="0"/>
        <v>26411</v>
      </c>
      <c r="R4" s="3">
        <f t="shared" si="0"/>
        <v>1001.85</v>
      </c>
      <c r="S4" s="3">
        <f t="shared" si="0"/>
        <v>27435.35</v>
      </c>
    </row>
    <row r="5" spans="2:19" ht="28.8" x14ac:dyDescent="0.3">
      <c r="B5" s="18" t="s">
        <v>88</v>
      </c>
      <c r="C5" s="18" t="s">
        <v>89</v>
      </c>
      <c r="D5" s="18" t="s">
        <v>90</v>
      </c>
      <c r="E5" s="18" t="s">
        <v>91</v>
      </c>
      <c r="G5" s="18" t="s">
        <v>97</v>
      </c>
      <c r="H5" s="18" t="s">
        <v>100</v>
      </c>
      <c r="I5" s="18" t="s">
        <v>98</v>
      </c>
      <c r="J5" s="18" t="s">
        <v>99</v>
      </c>
      <c r="L5" s="18" t="s">
        <v>89</v>
      </c>
      <c r="M5" s="18" t="s">
        <v>100</v>
      </c>
      <c r="N5" s="20" t="s">
        <v>120</v>
      </c>
      <c r="O5" s="20" t="s">
        <v>121</v>
      </c>
      <c r="P5" s="19" t="s">
        <v>118</v>
      </c>
      <c r="Q5" s="34" t="s">
        <v>119</v>
      </c>
      <c r="R5" s="19" t="s">
        <v>118</v>
      </c>
      <c r="S5" s="20" t="s">
        <v>122</v>
      </c>
    </row>
    <row r="6" spans="2:19" x14ac:dyDescent="0.3">
      <c r="B6" t="s">
        <v>102</v>
      </c>
      <c r="C6" t="s">
        <v>103</v>
      </c>
      <c r="D6" s="3">
        <v>16</v>
      </c>
      <c r="E6" t="s">
        <v>116</v>
      </c>
      <c r="G6" t="s">
        <v>92</v>
      </c>
      <c r="H6" t="s">
        <v>76</v>
      </c>
      <c r="I6" s="3">
        <v>1440</v>
      </c>
      <c r="J6" t="s">
        <v>47</v>
      </c>
      <c r="L6" t="s">
        <v>53</v>
      </c>
      <c r="M6" t="s">
        <v>52</v>
      </c>
      <c r="N6" s="3">
        <f t="shared" ref="N6:N45" si="1">SUMIFS($I:$I,$H:$H,M6)</f>
        <v>3040</v>
      </c>
      <c r="O6" s="3">
        <f t="shared" ref="O6:O45" si="2">SUMIFS($D:$D,$B:$B,M6)</f>
        <v>3040</v>
      </c>
      <c r="P6" s="3">
        <f t="shared" ref="P6:P45" si="3">N6-O6</f>
        <v>0</v>
      </c>
      <c r="Q6" s="3">
        <v>3040</v>
      </c>
      <c r="R6" s="3">
        <f t="shared" ref="R6:R45" si="4">O6-Q6</f>
        <v>0</v>
      </c>
      <c r="S6" s="3">
        <f t="shared" ref="S6:S45" si="5">MAX(N6,O6,Q6)</f>
        <v>3040</v>
      </c>
    </row>
    <row r="7" spans="2:19" x14ac:dyDescent="0.3">
      <c r="B7" t="s">
        <v>104</v>
      </c>
      <c r="C7" t="s">
        <v>105</v>
      </c>
      <c r="D7" s="3">
        <v>280</v>
      </c>
      <c r="E7" t="s">
        <v>116</v>
      </c>
      <c r="G7" t="s">
        <v>93</v>
      </c>
      <c r="H7" t="s">
        <v>102</v>
      </c>
      <c r="I7" s="3">
        <v>16</v>
      </c>
      <c r="J7" t="s">
        <v>33</v>
      </c>
      <c r="L7" t="s">
        <v>69</v>
      </c>
      <c r="M7" t="s">
        <v>68</v>
      </c>
      <c r="N7" s="3">
        <f t="shared" si="1"/>
        <v>2420</v>
      </c>
      <c r="O7" s="3">
        <f t="shared" si="2"/>
        <v>2420</v>
      </c>
      <c r="P7" s="3">
        <f t="shared" si="3"/>
        <v>0</v>
      </c>
      <c r="Q7" s="3">
        <f>2465-45</f>
        <v>2420</v>
      </c>
      <c r="R7" s="3">
        <f t="shared" si="4"/>
        <v>0</v>
      </c>
      <c r="S7" s="3">
        <f t="shared" si="5"/>
        <v>2420</v>
      </c>
    </row>
    <row r="8" spans="2:19" x14ac:dyDescent="0.3">
      <c r="B8" t="s">
        <v>138</v>
      </c>
      <c r="C8" t="s">
        <v>69</v>
      </c>
      <c r="D8" s="3">
        <v>45</v>
      </c>
      <c r="E8" t="s">
        <v>116</v>
      </c>
      <c r="G8" t="s">
        <v>164</v>
      </c>
      <c r="H8" t="s">
        <v>86</v>
      </c>
      <c r="I8" s="3">
        <v>448</v>
      </c>
      <c r="J8" t="s">
        <v>47</v>
      </c>
      <c r="L8" t="s">
        <v>75</v>
      </c>
      <c r="M8" t="s">
        <v>74</v>
      </c>
      <c r="N8" s="3">
        <f t="shared" si="1"/>
        <v>2200</v>
      </c>
      <c r="O8" s="3">
        <f t="shared" si="2"/>
        <v>2200</v>
      </c>
      <c r="P8" s="3">
        <f t="shared" si="3"/>
        <v>0</v>
      </c>
      <c r="Q8" s="3">
        <v>2200</v>
      </c>
      <c r="R8" s="3">
        <f t="shared" si="4"/>
        <v>0</v>
      </c>
      <c r="S8" s="3">
        <f t="shared" si="5"/>
        <v>2200</v>
      </c>
    </row>
    <row r="9" spans="2:19" x14ac:dyDescent="0.3">
      <c r="B9" t="s">
        <v>108</v>
      </c>
      <c r="C9" t="s">
        <v>109</v>
      </c>
      <c r="D9" s="3">
        <v>1297.5</v>
      </c>
      <c r="E9" t="s">
        <v>116</v>
      </c>
      <c r="G9" t="s">
        <v>165</v>
      </c>
      <c r="H9" t="s">
        <v>84</v>
      </c>
      <c r="I9" s="3">
        <v>1370</v>
      </c>
      <c r="J9" t="s">
        <v>47</v>
      </c>
      <c r="L9" t="s">
        <v>87</v>
      </c>
      <c r="M9" t="s">
        <v>86</v>
      </c>
      <c r="N9" s="3">
        <f t="shared" si="1"/>
        <v>1726</v>
      </c>
      <c r="O9" s="3">
        <f t="shared" si="2"/>
        <v>1726</v>
      </c>
      <c r="P9" s="3">
        <f t="shared" si="3"/>
        <v>0</v>
      </c>
      <c r="Q9" s="3">
        <v>1726</v>
      </c>
      <c r="R9" s="3">
        <f t="shared" si="4"/>
        <v>0</v>
      </c>
      <c r="S9" s="3">
        <f t="shared" si="5"/>
        <v>1726</v>
      </c>
    </row>
    <row r="10" spans="2:19" x14ac:dyDescent="0.3">
      <c r="B10" t="s">
        <v>114</v>
      </c>
      <c r="C10" t="s">
        <v>115</v>
      </c>
      <c r="D10" s="3">
        <v>110</v>
      </c>
      <c r="E10" t="s">
        <v>116</v>
      </c>
      <c r="G10" t="s">
        <v>166</v>
      </c>
      <c r="H10" t="s">
        <v>62</v>
      </c>
      <c r="I10" s="3">
        <v>160</v>
      </c>
      <c r="J10" t="s">
        <v>47</v>
      </c>
      <c r="L10" t="s">
        <v>71</v>
      </c>
      <c r="M10" t="s">
        <v>70</v>
      </c>
      <c r="N10" s="3">
        <f t="shared" si="1"/>
        <v>1582.5</v>
      </c>
      <c r="O10" s="3">
        <f t="shared" si="2"/>
        <v>1582.5</v>
      </c>
      <c r="P10" s="3">
        <f t="shared" si="3"/>
        <v>0</v>
      </c>
      <c r="Q10" s="3">
        <v>1583</v>
      </c>
      <c r="R10" s="3">
        <f t="shared" si="4"/>
        <v>-0.5</v>
      </c>
      <c r="S10" s="3">
        <f t="shared" si="5"/>
        <v>1583</v>
      </c>
    </row>
    <row r="11" spans="2:19" x14ac:dyDescent="0.3">
      <c r="B11" t="s">
        <v>139</v>
      </c>
      <c r="C11" t="s">
        <v>141</v>
      </c>
      <c r="D11" s="3">
        <v>51</v>
      </c>
      <c r="E11" t="s">
        <v>116</v>
      </c>
      <c r="G11" t="s">
        <v>167</v>
      </c>
      <c r="H11" t="s">
        <v>68</v>
      </c>
      <c r="I11" s="3">
        <v>1800</v>
      </c>
      <c r="J11" t="s">
        <v>47</v>
      </c>
      <c r="L11" t="s">
        <v>151</v>
      </c>
      <c r="M11" t="s">
        <v>150</v>
      </c>
      <c r="N11" s="3">
        <f t="shared" si="1"/>
        <v>1500</v>
      </c>
      <c r="O11" s="3">
        <f t="shared" si="2"/>
        <v>1500</v>
      </c>
      <c r="P11" s="3">
        <f t="shared" si="3"/>
        <v>0</v>
      </c>
      <c r="Q11" s="3">
        <v>600</v>
      </c>
      <c r="R11" s="3">
        <f t="shared" si="4"/>
        <v>900</v>
      </c>
      <c r="S11" s="3">
        <f t="shared" si="5"/>
        <v>1500</v>
      </c>
    </row>
    <row r="12" spans="2:19" x14ac:dyDescent="0.3">
      <c r="B12" t="s">
        <v>112</v>
      </c>
      <c r="C12" t="s">
        <v>113</v>
      </c>
      <c r="D12" s="3">
        <v>40</v>
      </c>
      <c r="E12" t="s">
        <v>116</v>
      </c>
      <c r="G12" t="s">
        <v>168</v>
      </c>
      <c r="H12" t="s">
        <v>138</v>
      </c>
      <c r="I12" s="3">
        <v>45</v>
      </c>
      <c r="J12" t="s">
        <v>33</v>
      </c>
      <c r="L12" t="s">
        <v>77</v>
      </c>
      <c r="M12" t="s">
        <v>76</v>
      </c>
      <c r="N12" s="3">
        <f t="shared" si="1"/>
        <v>1440</v>
      </c>
      <c r="O12" s="3">
        <f t="shared" si="2"/>
        <v>1440</v>
      </c>
      <c r="P12" s="3">
        <f t="shared" si="3"/>
        <v>0</v>
      </c>
      <c r="Q12" s="3">
        <v>1440</v>
      </c>
      <c r="R12" s="3">
        <f t="shared" si="4"/>
        <v>0</v>
      </c>
      <c r="S12" s="3">
        <f t="shared" si="5"/>
        <v>1440</v>
      </c>
    </row>
    <row r="13" spans="2:19" x14ac:dyDescent="0.3">
      <c r="B13" t="s">
        <v>110</v>
      </c>
      <c r="C13" t="s">
        <v>111</v>
      </c>
      <c r="D13" s="3">
        <v>30</v>
      </c>
      <c r="E13" t="s">
        <v>116</v>
      </c>
      <c r="G13" t="s">
        <v>169</v>
      </c>
      <c r="H13" t="s">
        <v>64</v>
      </c>
      <c r="I13" s="3">
        <v>700</v>
      </c>
      <c r="J13" t="s">
        <v>47</v>
      </c>
      <c r="L13" t="s">
        <v>147</v>
      </c>
      <c r="M13" t="s">
        <v>146</v>
      </c>
      <c r="N13" s="3">
        <f t="shared" si="1"/>
        <v>1400</v>
      </c>
      <c r="O13" s="3">
        <f t="shared" si="2"/>
        <v>1400</v>
      </c>
      <c r="P13" s="3">
        <f t="shared" si="3"/>
        <v>0</v>
      </c>
      <c r="Q13" s="3">
        <v>1400</v>
      </c>
      <c r="R13" s="3">
        <f t="shared" si="4"/>
        <v>0</v>
      </c>
      <c r="S13" s="3">
        <f t="shared" si="5"/>
        <v>1400</v>
      </c>
    </row>
    <row r="14" spans="2:19" x14ac:dyDescent="0.3">
      <c r="B14" t="s">
        <v>106</v>
      </c>
      <c r="C14" t="s">
        <v>107</v>
      </c>
      <c r="D14" s="3">
        <v>110</v>
      </c>
      <c r="E14" t="s">
        <v>116</v>
      </c>
      <c r="G14" t="s">
        <v>170</v>
      </c>
      <c r="H14" t="s">
        <v>146</v>
      </c>
      <c r="I14" s="3">
        <v>1400</v>
      </c>
      <c r="J14" t="s">
        <v>47</v>
      </c>
      <c r="L14" t="s">
        <v>85</v>
      </c>
      <c r="M14" t="s">
        <v>84</v>
      </c>
      <c r="N14" s="3">
        <f t="shared" si="1"/>
        <v>1370</v>
      </c>
      <c r="O14" s="3">
        <f t="shared" si="2"/>
        <v>1370</v>
      </c>
      <c r="P14" s="3">
        <f t="shared" si="3"/>
        <v>0</v>
      </c>
      <c r="Q14" s="3">
        <v>1370</v>
      </c>
      <c r="R14" s="3">
        <f t="shared" si="4"/>
        <v>0</v>
      </c>
      <c r="S14" s="3">
        <f t="shared" si="5"/>
        <v>1370</v>
      </c>
    </row>
    <row r="15" spans="2:19" x14ac:dyDescent="0.3">
      <c r="B15" t="s">
        <v>140</v>
      </c>
      <c r="C15" t="s">
        <v>142</v>
      </c>
      <c r="D15" s="3">
        <v>5</v>
      </c>
      <c r="E15" t="s">
        <v>116</v>
      </c>
      <c r="G15" t="s">
        <v>171</v>
      </c>
      <c r="H15" t="s">
        <v>82</v>
      </c>
      <c r="I15" s="3">
        <v>107.1</v>
      </c>
      <c r="J15" t="s">
        <v>47</v>
      </c>
      <c r="L15" t="s">
        <v>59</v>
      </c>
      <c r="M15" t="s">
        <v>58</v>
      </c>
      <c r="N15" s="3">
        <f t="shared" si="1"/>
        <v>1365</v>
      </c>
      <c r="O15" s="3">
        <f t="shared" si="2"/>
        <v>1365</v>
      </c>
      <c r="P15" s="3">
        <f t="shared" si="3"/>
        <v>0</v>
      </c>
      <c r="Q15" s="3">
        <v>1365</v>
      </c>
      <c r="R15" s="3">
        <f t="shared" si="4"/>
        <v>0</v>
      </c>
      <c r="S15" s="3">
        <f t="shared" si="5"/>
        <v>1365</v>
      </c>
    </row>
    <row r="16" spans="2:19" x14ac:dyDescent="0.3">
      <c r="B16" t="s">
        <v>48</v>
      </c>
      <c r="C16" t="s">
        <v>49</v>
      </c>
      <c r="D16" s="3">
        <v>715</v>
      </c>
      <c r="E16" t="s">
        <v>47</v>
      </c>
      <c r="G16" t="s">
        <v>172</v>
      </c>
      <c r="H16" t="s">
        <v>160</v>
      </c>
      <c r="I16" s="3">
        <v>390</v>
      </c>
      <c r="J16" t="s">
        <v>47</v>
      </c>
      <c r="L16" t="s">
        <v>109</v>
      </c>
      <c r="M16" t="s">
        <v>108</v>
      </c>
      <c r="N16" s="3">
        <f t="shared" si="1"/>
        <v>1297.5</v>
      </c>
      <c r="O16" s="3">
        <f t="shared" si="2"/>
        <v>1297.5</v>
      </c>
      <c r="P16" s="3">
        <f t="shared" si="3"/>
        <v>0</v>
      </c>
      <c r="Q16" s="3">
        <v>1298</v>
      </c>
      <c r="R16" s="3">
        <f t="shared" si="4"/>
        <v>-0.5</v>
      </c>
      <c r="S16" s="3">
        <f t="shared" si="5"/>
        <v>1298</v>
      </c>
    </row>
    <row r="17" spans="2:19" x14ac:dyDescent="0.3">
      <c r="B17" t="s">
        <v>50</v>
      </c>
      <c r="C17" t="s">
        <v>51</v>
      </c>
      <c r="D17" s="3">
        <v>321</v>
      </c>
      <c r="E17" t="s">
        <v>47</v>
      </c>
      <c r="G17" t="s">
        <v>173</v>
      </c>
      <c r="H17" t="s">
        <v>156</v>
      </c>
      <c r="I17" s="3">
        <v>200</v>
      </c>
      <c r="J17" t="s">
        <v>47</v>
      </c>
      <c r="L17" t="s">
        <v>55</v>
      </c>
      <c r="M17" t="s">
        <v>54</v>
      </c>
      <c r="N17" s="3">
        <f t="shared" si="1"/>
        <v>1037.5</v>
      </c>
      <c r="O17" s="3">
        <f t="shared" si="2"/>
        <v>1037.5</v>
      </c>
      <c r="P17" s="3">
        <f t="shared" si="3"/>
        <v>0</v>
      </c>
      <c r="Q17" s="3">
        <v>1038</v>
      </c>
      <c r="R17" s="3">
        <f t="shared" si="4"/>
        <v>-0.5</v>
      </c>
      <c r="S17" s="3">
        <f t="shared" si="5"/>
        <v>1038</v>
      </c>
    </row>
    <row r="18" spans="2:19" x14ac:dyDescent="0.3">
      <c r="B18" t="s">
        <v>144</v>
      </c>
      <c r="C18" t="s">
        <v>145</v>
      </c>
      <c r="D18" s="3">
        <v>880</v>
      </c>
      <c r="E18" t="s">
        <v>47</v>
      </c>
      <c r="G18" t="s">
        <v>174</v>
      </c>
      <c r="H18" t="s">
        <v>144</v>
      </c>
      <c r="I18" s="3">
        <v>880</v>
      </c>
      <c r="J18" t="s">
        <v>47</v>
      </c>
      <c r="L18" t="s">
        <v>145</v>
      </c>
      <c r="M18" t="s">
        <v>144</v>
      </c>
      <c r="N18" s="3">
        <f t="shared" si="1"/>
        <v>880</v>
      </c>
      <c r="O18" s="3">
        <f t="shared" si="2"/>
        <v>880</v>
      </c>
      <c r="P18" s="3">
        <f t="shared" si="3"/>
        <v>0</v>
      </c>
      <c r="Q18" s="3">
        <v>880</v>
      </c>
      <c r="R18" s="3">
        <f t="shared" si="4"/>
        <v>0</v>
      </c>
      <c r="S18" s="3">
        <f t="shared" si="5"/>
        <v>880</v>
      </c>
    </row>
    <row r="19" spans="2:19" x14ac:dyDescent="0.3">
      <c r="B19" t="s">
        <v>52</v>
      </c>
      <c r="C19" t="s">
        <v>53</v>
      </c>
      <c r="D19" s="3">
        <v>3040</v>
      </c>
      <c r="E19" t="s">
        <v>47</v>
      </c>
      <c r="G19" t="s">
        <v>175</v>
      </c>
      <c r="H19" t="s">
        <v>150</v>
      </c>
      <c r="I19" s="3">
        <v>900</v>
      </c>
      <c r="J19" t="s">
        <v>47</v>
      </c>
      <c r="L19" t="s">
        <v>163</v>
      </c>
      <c r="M19" t="s">
        <v>162</v>
      </c>
      <c r="N19" s="3">
        <f t="shared" si="1"/>
        <v>720</v>
      </c>
      <c r="O19" s="3">
        <f t="shared" si="2"/>
        <v>720</v>
      </c>
      <c r="P19" s="3">
        <f t="shared" si="3"/>
        <v>0</v>
      </c>
      <c r="Q19" s="3">
        <v>720</v>
      </c>
      <c r="R19" s="3">
        <f t="shared" si="4"/>
        <v>0</v>
      </c>
      <c r="S19" s="3">
        <f t="shared" si="5"/>
        <v>720</v>
      </c>
    </row>
    <row r="20" spans="2:19" x14ac:dyDescent="0.3">
      <c r="B20" t="s">
        <v>146</v>
      </c>
      <c r="C20" t="s">
        <v>147</v>
      </c>
      <c r="D20" s="3">
        <v>1400</v>
      </c>
      <c r="E20" t="s">
        <v>47</v>
      </c>
      <c r="G20" t="s">
        <v>176</v>
      </c>
      <c r="H20" t="s">
        <v>52</v>
      </c>
      <c r="I20" s="3">
        <v>3040</v>
      </c>
      <c r="J20" t="s">
        <v>47</v>
      </c>
      <c r="L20" t="s">
        <v>49</v>
      </c>
      <c r="M20" t="s">
        <v>48</v>
      </c>
      <c r="N20" s="3">
        <f t="shared" si="1"/>
        <v>715</v>
      </c>
      <c r="O20" s="3">
        <f t="shared" si="2"/>
        <v>715</v>
      </c>
      <c r="P20" s="3">
        <f t="shared" si="3"/>
        <v>0</v>
      </c>
      <c r="Q20" s="3">
        <v>715</v>
      </c>
      <c r="R20" s="3">
        <f t="shared" si="4"/>
        <v>0</v>
      </c>
      <c r="S20" s="3">
        <f t="shared" si="5"/>
        <v>715</v>
      </c>
    </row>
    <row r="21" spans="2:19" x14ac:dyDescent="0.3">
      <c r="B21" t="s">
        <v>54</v>
      </c>
      <c r="C21" t="s">
        <v>55</v>
      </c>
      <c r="D21" s="3">
        <v>1037.5</v>
      </c>
      <c r="E21" t="s">
        <v>47</v>
      </c>
      <c r="G21" t="s">
        <v>177</v>
      </c>
      <c r="H21" t="s">
        <v>108</v>
      </c>
      <c r="I21" s="3">
        <v>346.5</v>
      </c>
      <c r="J21" t="s">
        <v>33</v>
      </c>
      <c r="L21" t="s">
        <v>155</v>
      </c>
      <c r="M21" t="s">
        <v>154</v>
      </c>
      <c r="N21" s="3">
        <f t="shared" si="1"/>
        <v>700</v>
      </c>
      <c r="O21" s="3">
        <f t="shared" si="2"/>
        <v>700</v>
      </c>
      <c r="P21" s="3">
        <f t="shared" si="3"/>
        <v>0</v>
      </c>
      <c r="Q21" s="3">
        <v>700</v>
      </c>
      <c r="R21" s="3">
        <f t="shared" si="4"/>
        <v>0</v>
      </c>
      <c r="S21" s="3">
        <f t="shared" si="5"/>
        <v>700</v>
      </c>
    </row>
    <row r="22" spans="2:19" x14ac:dyDescent="0.3">
      <c r="B22" t="s">
        <v>148</v>
      </c>
      <c r="C22" t="s">
        <v>149</v>
      </c>
      <c r="D22" s="3">
        <v>75</v>
      </c>
      <c r="E22" t="s">
        <v>47</v>
      </c>
      <c r="G22" t="s">
        <v>178</v>
      </c>
      <c r="H22" t="s">
        <v>48</v>
      </c>
      <c r="I22" s="3">
        <v>715</v>
      </c>
      <c r="J22" t="s">
        <v>47</v>
      </c>
      <c r="L22" t="s">
        <v>65</v>
      </c>
      <c r="M22" t="s">
        <v>64</v>
      </c>
      <c r="N22" s="3">
        <f t="shared" si="1"/>
        <v>700</v>
      </c>
      <c r="O22" s="3">
        <f t="shared" si="2"/>
        <v>700</v>
      </c>
      <c r="P22" s="3">
        <f t="shared" si="3"/>
        <v>0</v>
      </c>
      <c r="Q22" s="3">
        <v>700</v>
      </c>
      <c r="R22" s="3">
        <f t="shared" si="4"/>
        <v>0</v>
      </c>
      <c r="S22" s="3">
        <f t="shared" si="5"/>
        <v>700</v>
      </c>
    </row>
    <row r="23" spans="2:19" x14ac:dyDescent="0.3">
      <c r="B23" t="s">
        <v>150</v>
      </c>
      <c r="C23" t="s">
        <v>151</v>
      </c>
      <c r="D23" s="3">
        <v>1500</v>
      </c>
      <c r="E23" t="s">
        <v>47</v>
      </c>
      <c r="G23" t="s">
        <v>96</v>
      </c>
      <c r="H23" t="s">
        <v>104</v>
      </c>
      <c r="I23" s="3">
        <v>150</v>
      </c>
      <c r="J23" t="s">
        <v>33</v>
      </c>
      <c r="L23" t="s">
        <v>61</v>
      </c>
      <c r="M23" t="s">
        <v>60</v>
      </c>
      <c r="N23" s="3">
        <f t="shared" si="1"/>
        <v>550</v>
      </c>
      <c r="O23" s="3">
        <f t="shared" si="2"/>
        <v>550</v>
      </c>
      <c r="P23" s="3">
        <f t="shared" si="3"/>
        <v>0</v>
      </c>
      <c r="Q23" s="3">
        <v>550</v>
      </c>
      <c r="R23" s="3">
        <f t="shared" si="4"/>
        <v>0</v>
      </c>
      <c r="S23" s="3">
        <f t="shared" si="5"/>
        <v>550</v>
      </c>
    </row>
    <row r="24" spans="2:19" x14ac:dyDescent="0.3">
      <c r="B24" t="s">
        <v>152</v>
      </c>
      <c r="C24" t="s">
        <v>153</v>
      </c>
      <c r="D24" s="3">
        <v>65</v>
      </c>
      <c r="E24" t="s">
        <v>47</v>
      </c>
      <c r="G24" t="s">
        <v>179</v>
      </c>
      <c r="H24" t="s">
        <v>70</v>
      </c>
      <c r="I24" s="3">
        <v>1582.5</v>
      </c>
      <c r="J24" t="s">
        <v>47</v>
      </c>
      <c r="L24" t="s">
        <v>67</v>
      </c>
      <c r="M24" t="s">
        <v>66</v>
      </c>
      <c r="N24" s="3">
        <f t="shared" si="1"/>
        <v>417.5</v>
      </c>
      <c r="O24" s="3">
        <f t="shared" si="2"/>
        <v>417.5</v>
      </c>
      <c r="P24" s="3">
        <f t="shared" si="3"/>
        <v>0</v>
      </c>
      <c r="Q24" s="3">
        <v>418</v>
      </c>
      <c r="R24" s="3">
        <f t="shared" si="4"/>
        <v>-0.5</v>
      </c>
      <c r="S24" s="3">
        <f t="shared" si="5"/>
        <v>418</v>
      </c>
    </row>
    <row r="25" spans="2:19" x14ac:dyDescent="0.3">
      <c r="B25" t="s">
        <v>56</v>
      </c>
      <c r="C25" t="s">
        <v>57</v>
      </c>
      <c r="D25" s="3">
        <v>39</v>
      </c>
      <c r="E25" t="s">
        <v>47</v>
      </c>
      <c r="G25" t="s">
        <v>180</v>
      </c>
      <c r="H25" t="s">
        <v>54</v>
      </c>
      <c r="I25" s="3">
        <v>600</v>
      </c>
      <c r="J25" t="s">
        <v>47</v>
      </c>
      <c r="L25" t="s">
        <v>161</v>
      </c>
      <c r="M25" t="s">
        <v>160</v>
      </c>
      <c r="N25" s="3">
        <f t="shared" si="1"/>
        <v>390</v>
      </c>
      <c r="O25" s="3">
        <f t="shared" si="2"/>
        <v>390</v>
      </c>
      <c r="P25" s="3">
        <f t="shared" si="3"/>
        <v>0</v>
      </c>
      <c r="Q25" s="3">
        <v>390</v>
      </c>
      <c r="R25" s="3">
        <f t="shared" si="4"/>
        <v>0</v>
      </c>
      <c r="S25" s="3">
        <f t="shared" si="5"/>
        <v>390</v>
      </c>
    </row>
    <row r="26" spans="2:19" x14ac:dyDescent="0.3">
      <c r="B26" t="s">
        <v>58</v>
      </c>
      <c r="C26" t="s">
        <v>59</v>
      </c>
      <c r="D26" s="3">
        <v>1365</v>
      </c>
      <c r="E26" t="s">
        <v>47</v>
      </c>
      <c r="G26" t="s">
        <v>181</v>
      </c>
      <c r="H26" t="s">
        <v>86</v>
      </c>
      <c r="I26" s="3">
        <v>160</v>
      </c>
      <c r="J26" t="s">
        <v>47</v>
      </c>
      <c r="L26" t="s">
        <v>51</v>
      </c>
      <c r="M26" t="s">
        <v>50</v>
      </c>
      <c r="N26" s="3">
        <f t="shared" si="1"/>
        <v>321</v>
      </c>
      <c r="O26" s="3">
        <f t="shared" si="2"/>
        <v>321</v>
      </c>
      <c r="P26" s="3">
        <f t="shared" si="3"/>
        <v>0</v>
      </c>
      <c r="Q26" s="3">
        <v>321</v>
      </c>
      <c r="R26" s="3">
        <f t="shared" si="4"/>
        <v>0</v>
      </c>
      <c r="S26" s="3">
        <f t="shared" si="5"/>
        <v>321</v>
      </c>
    </row>
    <row r="27" spans="2:19" x14ac:dyDescent="0.3">
      <c r="B27" t="s">
        <v>154</v>
      </c>
      <c r="C27" t="s">
        <v>155</v>
      </c>
      <c r="D27" s="3">
        <v>700</v>
      </c>
      <c r="E27" t="s">
        <v>47</v>
      </c>
      <c r="G27" t="s">
        <v>182</v>
      </c>
      <c r="H27" t="s">
        <v>162</v>
      </c>
      <c r="I27" s="3">
        <v>720</v>
      </c>
      <c r="J27" t="s">
        <v>47</v>
      </c>
      <c r="L27" t="s">
        <v>105</v>
      </c>
      <c r="M27" t="s">
        <v>104</v>
      </c>
      <c r="N27" s="3">
        <f t="shared" si="1"/>
        <v>280</v>
      </c>
      <c r="O27" s="3">
        <f t="shared" si="2"/>
        <v>280</v>
      </c>
      <c r="P27" s="3">
        <f t="shared" si="3"/>
        <v>0</v>
      </c>
      <c r="Q27" s="3">
        <v>280</v>
      </c>
      <c r="R27" s="3">
        <f t="shared" si="4"/>
        <v>0</v>
      </c>
      <c r="S27" s="3">
        <f t="shared" si="5"/>
        <v>280</v>
      </c>
    </row>
    <row r="28" spans="2:19" x14ac:dyDescent="0.3">
      <c r="B28" t="s">
        <v>60</v>
      </c>
      <c r="C28" t="s">
        <v>61</v>
      </c>
      <c r="D28" s="3">
        <v>550</v>
      </c>
      <c r="E28" t="s">
        <v>47</v>
      </c>
      <c r="G28" t="s">
        <v>183</v>
      </c>
      <c r="H28" t="s">
        <v>139</v>
      </c>
      <c r="I28" s="3">
        <v>22.5</v>
      </c>
      <c r="J28" t="s">
        <v>33</v>
      </c>
      <c r="L28" t="s">
        <v>83</v>
      </c>
      <c r="M28" t="s">
        <v>82</v>
      </c>
      <c r="N28" s="3">
        <f t="shared" si="1"/>
        <v>251.1</v>
      </c>
      <c r="O28" s="3">
        <f t="shared" si="2"/>
        <v>251.1</v>
      </c>
      <c r="P28" s="3">
        <f t="shared" si="3"/>
        <v>0</v>
      </c>
      <c r="Q28" s="3">
        <v>251</v>
      </c>
      <c r="R28" s="3">
        <f t="shared" si="4"/>
        <v>9.9999999999994316E-2</v>
      </c>
      <c r="S28" s="3">
        <f t="shared" si="5"/>
        <v>251.1</v>
      </c>
    </row>
    <row r="29" spans="2:19" x14ac:dyDescent="0.3">
      <c r="B29" t="s">
        <v>62</v>
      </c>
      <c r="C29" t="s">
        <v>63</v>
      </c>
      <c r="D29" s="3">
        <v>160</v>
      </c>
      <c r="E29" t="s">
        <v>47</v>
      </c>
      <c r="G29" t="s">
        <v>184</v>
      </c>
      <c r="H29" t="s">
        <v>58</v>
      </c>
      <c r="I29" s="3">
        <v>1365</v>
      </c>
      <c r="J29" t="s">
        <v>47</v>
      </c>
      <c r="L29" t="s">
        <v>157</v>
      </c>
      <c r="M29" t="s">
        <v>156</v>
      </c>
      <c r="N29" s="3">
        <f t="shared" si="1"/>
        <v>200</v>
      </c>
      <c r="O29" s="3">
        <f t="shared" si="2"/>
        <v>200</v>
      </c>
      <c r="P29" s="3">
        <f t="shared" si="3"/>
        <v>0</v>
      </c>
      <c r="Q29" s="3">
        <v>200</v>
      </c>
      <c r="R29" s="3">
        <f t="shared" si="4"/>
        <v>0</v>
      </c>
      <c r="S29" s="3">
        <f t="shared" si="5"/>
        <v>200</v>
      </c>
    </row>
    <row r="30" spans="2:19" x14ac:dyDescent="0.3">
      <c r="B30" t="s">
        <v>64</v>
      </c>
      <c r="C30" t="s">
        <v>65</v>
      </c>
      <c r="D30" s="3">
        <v>700</v>
      </c>
      <c r="E30" t="s">
        <v>47</v>
      </c>
      <c r="G30" t="s">
        <v>185</v>
      </c>
      <c r="H30" t="s">
        <v>114</v>
      </c>
      <c r="I30" s="3">
        <v>110</v>
      </c>
      <c r="J30" t="s">
        <v>33</v>
      </c>
      <c r="L30" t="s">
        <v>63</v>
      </c>
      <c r="M30" t="s">
        <v>62</v>
      </c>
      <c r="N30" s="3">
        <f t="shared" si="1"/>
        <v>160</v>
      </c>
      <c r="O30" s="3">
        <f t="shared" si="2"/>
        <v>160</v>
      </c>
      <c r="P30" s="3">
        <f t="shared" si="3"/>
        <v>0</v>
      </c>
      <c r="Q30" s="3">
        <v>160</v>
      </c>
      <c r="R30" s="3">
        <f t="shared" si="4"/>
        <v>0</v>
      </c>
      <c r="S30" s="3">
        <f t="shared" si="5"/>
        <v>160</v>
      </c>
    </row>
    <row r="31" spans="2:19" x14ac:dyDescent="0.3">
      <c r="B31" t="s">
        <v>156</v>
      </c>
      <c r="C31" t="s">
        <v>157</v>
      </c>
      <c r="D31" s="3">
        <v>200</v>
      </c>
      <c r="E31" t="s">
        <v>47</v>
      </c>
      <c r="G31" t="s">
        <v>186</v>
      </c>
      <c r="H31" t="s">
        <v>108</v>
      </c>
      <c r="I31" s="3">
        <v>231</v>
      </c>
      <c r="J31" t="s">
        <v>33</v>
      </c>
      <c r="L31" t="s">
        <v>115</v>
      </c>
      <c r="M31" t="s">
        <v>114</v>
      </c>
      <c r="N31" s="3">
        <f t="shared" si="1"/>
        <v>110</v>
      </c>
      <c r="O31" s="3">
        <f t="shared" si="2"/>
        <v>110</v>
      </c>
      <c r="P31" s="3">
        <f t="shared" si="3"/>
        <v>0</v>
      </c>
      <c r="Q31" s="3">
        <v>110</v>
      </c>
      <c r="R31" s="3">
        <f t="shared" si="4"/>
        <v>0</v>
      </c>
      <c r="S31" s="3">
        <f t="shared" si="5"/>
        <v>110</v>
      </c>
    </row>
    <row r="32" spans="2:19" x14ac:dyDescent="0.3">
      <c r="B32" t="s">
        <v>66</v>
      </c>
      <c r="C32" t="s">
        <v>67</v>
      </c>
      <c r="D32" s="3">
        <v>417.5</v>
      </c>
      <c r="E32" t="s">
        <v>47</v>
      </c>
      <c r="G32" t="s">
        <v>187</v>
      </c>
      <c r="H32" t="s">
        <v>152</v>
      </c>
      <c r="I32" s="3">
        <v>65</v>
      </c>
      <c r="J32" t="s">
        <v>47</v>
      </c>
      <c r="L32" t="s">
        <v>107</v>
      </c>
      <c r="M32" t="s">
        <v>106</v>
      </c>
      <c r="N32" s="3">
        <f t="shared" si="1"/>
        <v>110</v>
      </c>
      <c r="O32" s="3">
        <f t="shared" si="2"/>
        <v>110</v>
      </c>
      <c r="P32" s="3">
        <f t="shared" si="3"/>
        <v>0</v>
      </c>
      <c r="Q32" s="3"/>
      <c r="R32" s="3">
        <f t="shared" si="4"/>
        <v>110</v>
      </c>
      <c r="S32" s="3">
        <f t="shared" si="5"/>
        <v>110</v>
      </c>
    </row>
    <row r="33" spans="2:19" x14ac:dyDescent="0.3">
      <c r="B33" t="s">
        <v>68</v>
      </c>
      <c r="C33" t="s">
        <v>69</v>
      </c>
      <c r="D33" s="3">
        <v>2420</v>
      </c>
      <c r="E33" t="s">
        <v>47</v>
      </c>
      <c r="G33" t="s">
        <v>188</v>
      </c>
      <c r="H33" t="s">
        <v>66</v>
      </c>
      <c r="I33" s="3">
        <v>230</v>
      </c>
      <c r="J33" t="s">
        <v>47</v>
      </c>
      <c r="L33" t="s">
        <v>79</v>
      </c>
      <c r="M33" t="s">
        <v>78</v>
      </c>
      <c r="N33" s="3">
        <f t="shared" si="1"/>
        <v>103.5</v>
      </c>
      <c r="O33" s="3">
        <f t="shared" si="2"/>
        <v>103.5</v>
      </c>
      <c r="P33" s="3">
        <f t="shared" si="3"/>
        <v>0</v>
      </c>
      <c r="Q33" s="3">
        <v>104</v>
      </c>
      <c r="R33" s="3">
        <f t="shared" si="4"/>
        <v>-0.5</v>
      </c>
      <c r="S33" s="3">
        <f t="shared" si="5"/>
        <v>104</v>
      </c>
    </row>
    <row r="34" spans="2:19" x14ac:dyDescent="0.3">
      <c r="B34" t="s">
        <v>70</v>
      </c>
      <c r="C34" t="s">
        <v>71</v>
      </c>
      <c r="D34" s="3">
        <v>1582.5</v>
      </c>
      <c r="E34" t="s">
        <v>47</v>
      </c>
      <c r="G34" t="s">
        <v>189</v>
      </c>
      <c r="H34" t="s">
        <v>110</v>
      </c>
      <c r="I34" s="3">
        <v>20</v>
      </c>
      <c r="J34" t="s">
        <v>47</v>
      </c>
      <c r="L34" t="s">
        <v>149</v>
      </c>
      <c r="M34" t="s">
        <v>148</v>
      </c>
      <c r="N34" s="3">
        <f t="shared" si="1"/>
        <v>75</v>
      </c>
      <c r="O34" s="3">
        <f t="shared" si="2"/>
        <v>75</v>
      </c>
      <c r="P34" s="3">
        <f t="shared" si="3"/>
        <v>0</v>
      </c>
      <c r="Q34" s="3">
        <v>75</v>
      </c>
      <c r="R34" s="3">
        <f t="shared" si="4"/>
        <v>0</v>
      </c>
      <c r="S34" s="3">
        <f t="shared" si="5"/>
        <v>75</v>
      </c>
    </row>
    <row r="35" spans="2:19" x14ac:dyDescent="0.3">
      <c r="B35" t="s">
        <v>72</v>
      </c>
      <c r="C35" t="s">
        <v>73</v>
      </c>
      <c r="D35" s="3">
        <v>26.25</v>
      </c>
      <c r="E35" t="s">
        <v>47</v>
      </c>
      <c r="G35" t="s">
        <v>190</v>
      </c>
      <c r="H35" t="s">
        <v>110</v>
      </c>
      <c r="I35" s="3">
        <v>30</v>
      </c>
      <c r="J35" t="s">
        <v>33</v>
      </c>
      <c r="L35" t="s">
        <v>153</v>
      </c>
      <c r="M35" t="s">
        <v>152</v>
      </c>
      <c r="N35" s="3">
        <f t="shared" si="1"/>
        <v>65</v>
      </c>
      <c r="O35" s="3">
        <f t="shared" si="2"/>
        <v>65</v>
      </c>
      <c r="P35" s="3">
        <f t="shared" si="3"/>
        <v>0</v>
      </c>
      <c r="Q35" s="3">
        <v>65</v>
      </c>
      <c r="R35" s="3">
        <f t="shared" si="4"/>
        <v>0</v>
      </c>
      <c r="S35" s="3">
        <f t="shared" si="5"/>
        <v>65</v>
      </c>
    </row>
    <row r="36" spans="2:19" x14ac:dyDescent="0.3">
      <c r="B36" t="s">
        <v>74</v>
      </c>
      <c r="C36" t="s">
        <v>75</v>
      </c>
      <c r="D36" s="3">
        <v>2200</v>
      </c>
      <c r="E36" t="s">
        <v>47</v>
      </c>
      <c r="G36" t="s">
        <v>94</v>
      </c>
      <c r="H36" t="s">
        <v>72</v>
      </c>
      <c r="I36" s="3">
        <v>26.25</v>
      </c>
      <c r="J36" t="s">
        <v>47</v>
      </c>
      <c r="L36" t="s">
        <v>141</v>
      </c>
      <c r="M36" t="s">
        <v>139</v>
      </c>
      <c r="N36" s="3">
        <f t="shared" si="1"/>
        <v>51</v>
      </c>
      <c r="O36" s="3">
        <f t="shared" si="2"/>
        <v>51</v>
      </c>
      <c r="P36" s="3">
        <f t="shared" si="3"/>
        <v>0</v>
      </c>
      <c r="Q36" s="3">
        <v>51</v>
      </c>
      <c r="R36" s="3">
        <f t="shared" si="4"/>
        <v>0</v>
      </c>
      <c r="S36" s="3">
        <f t="shared" si="5"/>
        <v>51</v>
      </c>
    </row>
    <row r="37" spans="2:19" x14ac:dyDescent="0.3">
      <c r="B37" t="s">
        <v>158</v>
      </c>
      <c r="C37" t="s">
        <v>159</v>
      </c>
      <c r="D37" s="3">
        <v>14</v>
      </c>
      <c r="E37" t="s">
        <v>47</v>
      </c>
      <c r="G37" t="s">
        <v>191</v>
      </c>
      <c r="H37" t="s">
        <v>60</v>
      </c>
      <c r="I37" s="3">
        <v>550</v>
      </c>
      <c r="J37" t="s">
        <v>47</v>
      </c>
      <c r="L37" t="s">
        <v>111</v>
      </c>
      <c r="M37" t="s">
        <v>110</v>
      </c>
      <c r="N37" s="3">
        <f t="shared" si="1"/>
        <v>50</v>
      </c>
      <c r="O37" s="3">
        <f t="shared" si="2"/>
        <v>30</v>
      </c>
      <c r="P37" s="3">
        <f t="shared" si="3"/>
        <v>20</v>
      </c>
      <c r="Q37" s="3">
        <v>50</v>
      </c>
      <c r="R37" s="3">
        <f t="shared" si="4"/>
        <v>-20</v>
      </c>
      <c r="S37" s="3">
        <f t="shared" si="5"/>
        <v>50</v>
      </c>
    </row>
    <row r="38" spans="2:19" x14ac:dyDescent="0.3">
      <c r="B38" t="s">
        <v>76</v>
      </c>
      <c r="C38" t="s">
        <v>77</v>
      </c>
      <c r="D38" s="3">
        <v>1440</v>
      </c>
      <c r="E38" t="s">
        <v>47</v>
      </c>
      <c r="G38" t="s">
        <v>95</v>
      </c>
      <c r="H38" t="s">
        <v>112</v>
      </c>
      <c r="I38" s="3">
        <v>15</v>
      </c>
      <c r="J38" t="s">
        <v>33</v>
      </c>
      <c r="L38" t="s">
        <v>69</v>
      </c>
      <c r="M38" t="s">
        <v>138</v>
      </c>
      <c r="N38" s="3">
        <f t="shared" si="1"/>
        <v>45</v>
      </c>
      <c r="O38" s="3">
        <f t="shared" si="2"/>
        <v>45</v>
      </c>
      <c r="P38" s="3">
        <f t="shared" si="3"/>
        <v>0</v>
      </c>
      <c r="Q38" s="3">
        <v>45</v>
      </c>
      <c r="R38" s="3">
        <f t="shared" si="4"/>
        <v>0</v>
      </c>
      <c r="S38" s="3">
        <f t="shared" si="5"/>
        <v>45</v>
      </c>
    </row>
    <row r="39" spans="2:19" x14ac:dyDescent="0.3">
      <c r="B39" t="s">
        <v>160</v>
      </c>
      <c r="C39" t="s">
        <v>161</v>
      </c>
      <c r="D39" s="3">
        <v>390</v>
      </c>
      <c r="E39" t="s">
        <v>47</v>
      </c>
      <c r="G39" t="s">
        <v>192</v>
      </c>
      <c r="H39" t="s">
        <v>78</v>
      </c>
      <c r="I39" s="3">
        <v>58.5</v>
      </c>
      <c r="J39" t="s">
        <v>47</v>
      </c>
      <c r="L39" t="s">
        <v>113</v>
      </c>
      <c r="M39" t="s">
        <v>112</v>
      </c>
      <c r="N39" s="3">
        <f t="shared" si="1"/>
        <v>40</v>
      </c>
      <c r="O39" s="3">
        <f t="shared" si="2"/>
        <v>40</v>
      </c>
      <c r="P39" s="3">
        <f t="shared" si="3"/>
        <v>0</v>
      </c>
      <c r="Q39" s="3">
        <v>40</v>
      </c>
      <c r="R39" s="3">
        <f t="shared" si="4"/>
        <v>0</v>
      </c>
      <c r="S39" s="3">
        <f t="shared" si="5"/>
        <v>40</v>
      </c>
    </row>
    <row r="40" spans="2:19" x14ac:dyDescent="0.3">
      <c r="B40" t="s">
        <v>78</v>
      </c>
      <c r="C40" t="s">
        <v>79</v>
      </c>
      <c r="D40" s="3">
        <v>103.5</v>
      </c>
      <c r="E40" t="s">
        <v>47</v>
      </c>
      <c r="G40" t="s">
        <v>193</v>
      </c>
      <c r="H40" t="s">
        <v>50</v>
      </c>
      <c r="I40" s="3">
        <v>150</v>
      </c>
      <c r="J40" t="s">
        <v>47</v>
      </c>
      <c r="L40" t="s">
        <v>57</v>
      </c>
      <c r="M40" t="s">
        <v>56</v>
      </c>
      <c r="N40" s="3">
        <f t="shared" si="1"/>
        <v>39</v>
      </c>
      <c r="O40" s="3">
        <f t="shared" si="2"/>
        <v>39</v>
      </c>
      <c r="P40" s="3">
        <f t="shared" si="3"/>
        <v>0</v>
      </c>
      <c r="Q40" s="3">
        <v>39</v>
      </c>
      <c r="R40" s="3">
        <f t="shared" si="4"/>
        <v>0</v>
      </c>
      <c r="S40" s="3">
        <f t="shared" si="5"/>
        <v>39</v>
      </c>
    </row>
    <row r="41" spans="2:19" x14ac:dyDescent="0.3">
      <c r="B41" t="s">
        <v>80</v>
      </c>
      <c r="C41" t="s">
        <v>81</v>
      </c>
      <c r="D41" s="3">
        <v>20</v>
      </c>
      <c r="E41" t="s">
        <v>47</v>
      </c>
      <c r="G41" t="s">
        <v>194</v>
      </c>
      <c r="H41" t="s">
        <v>78</v>
      </c>
      <c r="I41" s="3">
        <v>45</v>
      </c>
      <c r="J41" t="s">
        <v>47</v>
      </c>
      <c r="L41" t="s">
        <v>73</v>
      </c>
      <c r="M41" t="s">
        <v>72</v>
      </c>
      <c r="N41" s="3">
        <f t="shared" si="1"/>
        <v>26.25</v>
      </c>
      <c r="O41" s="3">
        <f t="shared" si="2"/>
        <v>26.25</v>
      </c>
      <c r="P41" s="3">
        <f t="shared" si="3"/>
        <v>0</v>
      </c>
      <c r="Q41" s="3">
        <v>26</v>
      </c>
      <c r="R41" s="3">
        <f t="shared" si="4"/>
        <v>0.25</v>
      </c>
      <c r="S41" s="3">
        <f t="shared" si="5"/>
        <v>26.25</v>
      </c>
    </row>
    <row r="42" spans="2:19" x14ac:dyDescent="0.3">
      <c r="B42" t="s">
        <v>82</v>
      </c>
      <c r="C42" t="s">
        <v>83</v>
      </c>
      <c r="D42" s="3">
        <v>251.1</v>
      </c>
      <c r="E42" t="s">
        <v>47</v>
      </c>
      <c r="G42" t="s">
        <v>195</v>
      </c>
      <c r="H42" t="s">
        <v>148</v>
      </c>
      <c r="I42" s="3">
        <v>75</v>
      </c>
      <c r="J42" t="s">
        <v>47</v>
      </c>
      <c r="L42" t="s">
        <v>81</v>
      </c>
      <c r="M42" t="s">
        <v>80</v>
      </c>
      <c r="N42" s="3">
        <f t="shared" si="1"/>
        <v>20</v>
      </c>
      <c r="O42" s="3">
        <f t="shared" si="2"/>
        <v>20</v>
      </c>
      <c r="P42" s="3">
        <f t="shared" si="3"/>
        <v>0</v>
      </c>
      <c r="Q42" s="3">
        <v>20</v>
      </c>
      <c r="R42" s="3">
        <f t="shared" si="4"/>
        <v>0</v>
      </c>
      <c r="S42" s="3">
        <f t="shared" si="5"/>
        <v>20</v>
      </c>
    </row>
    <row r="43" spans="2:19" x14ac:dyDescent="0.3">
      <c r="B43" t="s">
        <v>84</v>
      </c>
      <c r="C43" t="s">
        <v>85</v>
      </c>
      <c r="D43" s="3">
        <v>1370</v>
      </c>
      <c r="E43" t="s">
        <v>47</v>
      </c>
      <c r="G43" t="s">
        <v>196</v>
      </c>
      <c r="H43" t="s">
        <v>56</v>
      </c>
      <c r="I43" s="3">
        <v>39</v>
      </c>
      <c r="J43" t="s">
        <v>47</v>
      </c>
      <c r="L43" t="s">
        <v>103</v>
      </c>
      <c r="M43" t="s">
        <v>102</v>
      </c>
      <c r="N43" s="3">
        <f t="shared" si="1"/>
        <v>16</v>
      </c>
      <c r="O43" s="3">
        <f t="shared" si="2"/>
        <v>16</v>
      </c>
      <c r="P43" s="3">
        <f t="shared" si="3"/>
        <v>0</v>
      </c>
      <c r="Q43" s="3">
        <v>16</v>
      </c>
      <c r="R43" s="3">
        <f t="shared" si="4"/>
        <v>0</v>
      </c>
      <c r="S43" s="3">
        <f t="shared" si="5"/>
        <v>16</v>
      </c>
    </row>
    <row r="44" spans="2:19" x14ac:dyDescent="0.3">
      <c r="B44" t="s">
        <v>86</v>
      </c>
      <c r="C44" t="s">
        <v>87</v>
      </c>
      <c r="D44" s="3">
        <v>1726</v>
      </c>
      <c r="E44" t="s">
        <v>47</v>
      </c>
      <c r="G44" t="s">
        <v>197</v>
      </c>
      <c r="H44" t="s">
        <v>80</v>
      </c>
      <c r="I44" s="3">
        <v>20</v>
      </c>
      <c r="J44" t="s">
        <v>47</v>
      </c>
      <c r="L44" t="s">
        <v>159</v>
      </c>
      <c r="M44" t="s">
        <v>158</v>
      </c>
      <c r="N44" s="3">
        <f t="shared" si="1"/>
        <v>14</v>
      </c>
      <c r="O44" s="3">
        <f t="shared" si="2"/>
        <v>14</v>
      </c>
      <c r="P44" s="3">
        <f t="shared" si="3"/>
        <v>0</v>
      </c>
      <c r="Q44" s="3"/>
      <c r="R44" s="3">
        <f t="shared" si="4"/>
        <v>14</v>
      </c>
      <c r="S44" s="3">
        <f t="shared" si="5"/>
        <v>14</v>
      </c>
    </row>
    <row r="45" spans="2:19" x14ac:dyDescent="0.3">
      <c r="B45" t="s">
        <v>162</v>
      </c>
      <c r="C45" t="s">
        <v>163</v>
      </c>
      <c r="D45" s="3">
        <v>720</v>
      </c>
      <c r="E45" t="s">
        <v>47</v>
      </c>
      <c r="G45" t="s">
        <v>198</v>
      </c>
      <c r="H45" t="s">
        <v>158</v>
      </c>
      <c r="I45" s="3">
        <v>14</v>
      </c>
      <c r="J45" t="s">
        <v>47</v>
      </c>
      <c r="L45" t="s">
        <v>142</v>
      </c>
      <c r="M45" t="s">
        <v>140</v>
      </c>
      <c r="N45" s="3">
        <f t="shared" si="1"/>
        <v>5</v>
      </c>
      <c r="O45" s="3">
        <f t="shared" si="2"/>
        <v>5</v>
      </c>
      <c r="P45" s="3">
        <f t="shared" si="3"/>
        <v>0</v>
      </c>
      <c r="Q45" s="3">
        <v>5</v>
      </c>
      <c r="R45" s="3">
        <f t="shared" si="4"/>
        <v>0</v>
      </c>
      <c r="S45" s="3">
        <f t="shared" si="5"/>
        <v>5</v>
      </c>
    </row>
    <row r="46" spans="2:19" x14ac:dyDescent="0.3">
      <c r="G46" t="s">
        <v>199</v>
      </c>
      <c r="H46" t="s">
        <v>106</v>
      </c>
      <c r="I46" s="3">
        <v>50</v>
      </c>
      <c r="J46" t="s">
        <v>33</v>
      </c>
      <c r="N46" s="3"/>
      <c r="O46" s="3"/>
      <c r="P46" s="3"/>
      <c r="R46" s="3"/>
      <c r="S46" s="3"/>
    </row>
    <row r="47" spans="2:19" x14ac:dyDescent="0.3">
      <c r="G47" t="s">
        <v>200</v>
      </c>
      <c r="H47" t="s">
        <v>74</v>
      </c>
      <c r="I47" s="3">
        <v>400</v>
      </c>
      <c r="J47" t="s">
        <v>47</v>
      </c>
    </row>
    <row r="48" spans="2:19" x14ac:dyDescent="0.3">
      <c r="G48" t="s">
        <v>201</v>
      </c>
      <c r="H48" t="s">
        <v>86</v>
      </c>
      <c r="I48" s="3">
        <v>130</v>
      </c>
      <c r="J48" t="s">
        <v>47</v>
      </c>
    </row>
    <row r="49" spans="4:10" x14ac:dyDescent="0.3">
      <c r="G49" t="s">
        <v>202</v>
      </c>
      <c r="H49" t="s">
        <v>68</v>
      </c>
      <c r="I49" s="3">
        <v>620</v>
      </c>
      <c r="J49" t="s">
        <v>47</v>
      </c>
    </row>
    <row r="50" spans="4:10" x14ac:dyDescent="0.3">
      <c r="G50" t="s">
        <v>203</v>
      </c>
      <c r="H50" t="s">
        <v>54</v>
      </c>
      <c r="I50" s="3">
        <v>437.5</v>
      </c>
      <c r="J50" t="s">
        <v>47</v>
      </c>
    </row>
    <row r="51" spans="4:10" x14ac:dyDescent="0.3">
      <c r="G51" t="s">
        <v>204</v>
      </c>
      <c r="H51" t="s">
        <v>140</v>
      </c>
      <c r="I51" s="3">
        <v>2.5</v>
      </c>
      <c r="J51" t="s">
        <v>128</v>
      </c>
    </row>
    <row r="52" spans="4:10" x14ac:dyDescent="0.3">
      <c r="G52" t="s">
        <v>205</v>
      </c>
      <c r="H52" t="s">
        <v>108</v>
      </c>
      <c r="I52" s="3">
        <v>475</v>
      </c>
      <c r="J52" t="s">
        <v>128</v>
      </c>
    </row>
    <row r="53" spans="4:10" x14ac:dyDescent="0.3">
      <c r="G53" t="s">
        <v>206</v>
      </c>
      <c r="H53" t="s">
        <v>150</v>
      </c>
      <c r="I53" s="3">
        <v>600</v>
      </c>
      <c r="J53" t="s">
        <v>47</v>
      </c>
    </row>
    <row r="54" spans="4:10" x14ac:dyDescent="0.3">
      <c r="G54" t="s">
        <v>207</v>
      </c>
      <c r="H54" t="s">
        <v>112</v>
      </c>
      <c r="I54" s="3">
        <v>25</v>
      </c>
      <c r="J54" t="s">
        <v>128</v>
      </c>
    </row>
    <row r="55" spans="4:10" x14ac:dyDescent="0.3">
      <c r="G55" t="s">
        <v>208</v>
      </c>
      <c r="H55" t="s">
        <v>74</v>
      </c>
      <c r="I55" s="3">
        <v>800</v>
      </c>
      <c r="J55" t="s">
        <v>47</v>
      </c>
    </row>
    <row r="56" spans="4:10" x14ac:dyDescent="0.3">
      <c r="G56" t="s">
        <v>209</v>
      </c>
      <c r="H56" t="s">
        <v>86</v>
      </c>
      <c r="I56" s="3">
        <v>988</v>
      </c>
      <c r="J56" t="s">
        <v>47</v>
      </c>
    </row>
    <row r="57" spans="4:10" x14ac:dyDescent="0.3">
      <c r="D57" s="3"/>
      <c r="G57" t="s">
        <v>210</v>
      </c>
      <c r="H57" t="s">
        <v>82</v>
      </c>
      <c r="I57" s="3">
        <v>144</v>
      </c>
      <c r="J57" t="s">
        <v>47</v>
      </c>
    </row>
    <row r="58" spans="4:10" x14ac:dyDescent="0.3">
      <c r="D58" s="3"/>
      <c r="G58" t="s">
        <v>211</v>
      </c>
      <c r="H58" t="s">
        <v>66</v>
      </c>
      <c r="I58" s="3">
        <v>187.5</v>
      </c>
      <c r="J58" t="s">
        <v>47</v>
      </c>
    </row>
    <row r="59" spans="4:10" x14ac:dyDescent="0.3">
      <c r="D59" s="3"/>
      <c r="G59" t="s">
        <v>212</v>
      </c>
      <c r="H59" t="s">
        <v>140</v>
      </c>
      <c r="I59" s="3">
        <v>2.5</v>
      </c>
      <c r="J59" t="s">
        <v>128</v>
      </c>
    </row>
    <row r="60" spans="4:10" x14ac:dyDescent="0.3">
      <c r="G60" t="s">
        <v>213</v>
      </c>
      <c r="H60" t="s">
        <v>108</v>
      </c>
      <c r="I60" s="3">
        <v>245</v>
      </c>
      <c r="J60" t="s">
        <v>128</v>
      </c>
    </row>
    <row r="61" spans="4:10" x14ac:dyDescent="0.3">
      <c r="G61" t="s">
        <v>214</v>
      </c>
      <c r="H61" t="s">
        <v>154</v>
      </c>
      <c r="I61" s="3">
        <v>700</v>
      </c>
      <c r="J61" t="s">
        <v>47</v>
      </c>
    </row>
    <row r="62" spans="4:10" x14ac:dyDescent="0.3">
      <c r="G62" t="s">
        <v>215</v>
      </c>
      <c r="H62" t="s">
        <v>139</v>
      </c>
      <c r="I62" s="3">
        <v>28.5</v>
      </c>
      <c r="J62" t="s">
        <v>128</v>
      </c>
    </row>
    <row r="63" spans="4:10" x14ac:dyDescent="0.3">
      <c r="G63" t="s">
        <v>216</v>
      </c>
      <c r="H63" t="s">
        <v>50</v>
      </c>
      <c r="I63" s="3">
        <v>171</v>
      </c>
      <c r="J63" t="s">
        <v>47</v>
      </c>
    </row>
    <row r="64" spans="4:10" x14ac:dyDescent="0.3">
      <c r="G64" t="s">
        <v>217</v>
      </c>
      <c r="H64" t="s">
        <v>106</v>
      </c>
      <c r="I64" s="3">
        <v>60</v>
      </c>
      <c r="J64" t="s">
        <v>128</v>
      </c>
    </row>
    <row r="65" spans="7:10" x14ac:dyDescent="0.3">
      <c r="G65" t="s">
        <v>208</v>
      </c>
      <c r="H65" t="s">
        <v>74</v>
      </c>
      <c r="I65" s="3">
        <v>1000</v>
      </c>
      <c r="J65" t="s">
        <v>47</v>
      </c>
    </row>
    <row r="66" spans="7:10" x14ac:dyDescent="0.3">
      <c r="G66" t="s">
        <v>218</v>
      </c>
      <c r="H66" t="s">
        <v>104</v>
      </c>
      <c r="I66" s="3">
        <v>130</v>
      </c>
      <c r="J66" t="s">
        <v>128</v>
      </c>
    </row>
  </sheetData>
  <autoFilter ref="G5:J66" xr:uid="{7B4F2D93-2F57-4D03-BF60-63C4D4B629A1}"/>
  <conditionalFormatting sqref="H7">
    <cfRule type="duplicateValues" dxfId="2" priority="3"/>
  </conditionalFormatting>
  <conditionalFormatting sqref="L6:L45">
    <cfRule type="duplicateValues" dxfId="1" priority="13"/>
  </conditionalFormatting>
  <conditionalFormatting sqref="M6:M46">
    <cfRule type="duplicateValues" dxfId="0" priority="10"/>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Sheet1</vt:lpstr>
      <vt:lpstr>COI</vt:lpstr>
      <vt:lpstr>Professional Fees</vt:lpstr>
      <vt:lpstr>Dividend</vt:lpstr>
      <vt:lpstr>COI!Print_Area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Archit Gupta</dc:creator>
  <cp:lastModifiedBy>ARCHIT GUPTA</cp:lastModifiedBy>
  <cp:lastPrinted>2024-06-19T15:35:49Z</cp:lastPrinted>
  <dcterms:created xsi:type="dcterms:W3CDTF">2024-06-19T04:11:13Z</dcterms:created>
  <dcterms:modified xsi:type="dcterms:W3CDTF">2026-03-13T16:30:39Z</dcterms:modified>
</cp:coreProperties>
</file>