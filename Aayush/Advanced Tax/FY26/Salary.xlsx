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rchit\Returns\Aayush Gupta\31.03.2026\Salary\"/>
    </mc:Choice>
  </mc:AlternateContent>
  <xr:revisionPtr revIDLastSave="0" documentId="13_ncr:1_{692EBC74-CECF-4D89-ABBB-18A366B695D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2" l="1"/>
  <c r="O30" i="1"/>
  <c r="Q35" i="1"/>
  <c r="C16" i="1" a="1"/>
  <c r="C16" i="1" s="1"/>
  <c r="C11" i="1" a="1"/>
  <c r="F11" i="1" s="1"/>
  <c r="O20" i="2"/>
  <c r="N20" i="2"/>
  <c r="M20" i="2"/>
  <c r="L20" i="2"/>
  <c r="J20" i="2"/>
  <c r="H20" i="2"/>
  <c r="G20" i="2"/>
  <c r="F20" i="2"/>
  <c r="E20" i="2"/>
  <c r="K12" i="2"/>
  <c r="K13" i="2"/>
  <c r="K14" i="2"/>
  <c r="K15" i="2"/>
  <c r="K16" i="2"/>
  <c r="K17" i="2"/>
  <c r="K19" i="2"/>
  <c r="K11" i="2"/>
  <c r="K9" i="2"/>
  <c r="K8" i="2"/>
  <c r="K10" i="2"/>
  <c r="C23" i="1" a="1"/>
  <c r="C23" i="1" s="1"/>
  <c r="C22" i="1" a="1"/>
  <c r="C22" i="1" s="1"/>
  <c r="C21" i="1" a="1"/>
  <c r="D21" i="1" s="1"/>
  <c r="F21" i="1"/>
  <c r="C8" i="2"/>
  <c r="P19" i="2"/>
  <c r="B9" i="2"/>
  <c r="C9" i="2" s="1"/>
  <c r="D9" i="2" s="1"/>
  <c r="P9" i="2"/>
  <c r="P10" i="2"/>
  <c r="P11" i="2"/>
  <c r="P12" i="2"/>
  <c r="P13" i="2"/>
  <c r="P14" i="2"/>
  <c r="P15" i="2"/>
  <c r="P16" i="2"/>
  <c r="P17" i="2"/>
  <c r="P18" i="2"/>
  <c r="P8" i="2"/>
  <c r="P20" i="2" l="1"/>
  <c r="I20" i="2"/>
  <c r="K18" i="2"/>
  <c r="K20" i="2" s="1"/>
  <c r="C11" i="1"/>
  <c r="E21" i="1"/>
  <c r="N11" i="1"/>
  <c r="E11" i="1"/>
  <c r="D11" i="1"/>
  <c r="J21" i="1"/>
  <c r="I21" i="1"/>
  <c r="H21" i="1"/>
  <c r="G21" i="1"/>
  <c r="M11" i="1"/>
  <c r="L11" i="1"/>
  <c r="K11" i="1"/>
  <c r="J11" i="1"/>
  <c r="I11" i="1"/>
  <c r="H11" i="1"/>
  <c r="G11" i="1"/>
  <c r="C21" i="1"/>
  <c r="L21" i="1"/>
  <c r="K21" i="1"/>
  <c r="M21" i="1"/>
  <c r="N23" i="1"/>
  <c r="M23" i="1"/>
  <c r="K23" i="1"/>
  <c r="J23" i="1"/>
  <c r="I23" i="1"/>
  <c r="H23" i="1"/>
  <c r="G23" i="1"/>
  <c r="F23" i="1"/>
  <c r="E23" i="1"/>
  <c r="D23" i="1"/>
  <c r="L23" i="1"/>
  <c r="C24" i="1"/>
  <c r="N21" i="1"/>
  <c r="G22" i="1"/>
  <c r="M22" i="1"/>
  <c r="L22" i="1"/>
  <c r="K22" i="1"/>
  <c r="J22" i="1"/>
  <c r="I22" i="1"/>
  <c r="H22" i="1"/>
  <c r="F22" i="1"/>
  <c r="E22" i="1"/>
  <c r="D22" i="1"/>
  <c r="N22" i="1"/>
  <c r="N16" i="1"/>
  <c r="M16" i="1"/>
  <c r="L16" i="1"/>
  <c r="K16" i="1"/>
  <c r="J16" i="1"/>
  <c r="I16" i="1"/>
  <c r="H16" i="1"/>
  <c r="G16" i="1"/>
  <c r="F16" i="1"/>
  <c r="E16" i="1"/>
  <c r="D16" i="1"/>
  <c r="D8" i="2"/>
  <c r="G8" i="2" s="1"/>
  <c r="B10" i="2"/>
  <c r="E9" i="2"/>
  <c r="F9" i="2"/>
  <c r="G9" i="2"/>
  <c r="H9" i="2"/>
  <c r="O16" i="1" l="1"/>
  <c r="G24" i="1"/>
  <c r="O11" i="1"/>
  <c r="E24" i="1"/>
  <c r="F24" i="1"/>
  <c r="L24" i="1"/>
  <c r="D24" i="1"/>
  <c r="F8" i="2"/>
  <c r="H24" i="1"/>
  <c r="E8" i="2"/>
  <c r="I24" i="1"/>
  <c r="H8" i="2"/>
  <c r="Q8" i="2" s="1"/>
  <c r="J24" i="1"/>
  <c r="K24" i="1"/>
  <c r="M24" i="1"/>
  <c r="N24" i="1"/>
  <c r="D7" i="1" a="1"/>
  <c r="O23" i="1"/>
  <c r="C10" i="2"/>
  <c r="D10" i="2" s="1"/>
  <c r="B11" i="2"/>
  <c r="Q9" i="2"/>
  <c r="D7" i="1" l="1"/>
  <c r="D10" i="1"/>
  <c r="D9" i="1"/>
  <c r="D8" i="1"/>
  <c r="C7" i="1" a="1"/>
  <c r="C11" i="2"/>
  <c r="D11" i="2" s="1"/>
  <c r="B12" i="2"/>
  <c r="H10" i="2"/>
  <c r="E10" i="2"/>
  <c r="F10" i="2"/>
  <c r="G10" i="2"/>
  <c r="D12" i="1" l="1"/>
  <c r="E7" i="1" a="1"/>
  <c r="C7" i="1"/>
  <c r="C10" i="1"/>
  <c r="C9" i="1"/>
  <c r="C8" i="1"/>
  <c r="Q10" i="2"/>
  <c r="C12" i="2"/>
  <c r="D12" i="2" s="1"/>
  <c r="B13" i="2"/>
  <c r="F11" i="2"/>
  <c r="E11" i="2"/>
  <c r="H11" i="2"/>
  <c r="G11" i="2"/>
  <c r="Q11" i="2" s="1"/>
  <c r="C12" i="1" l="1"/>
  <c r="F7" i="1" a="1"/>
  <c r="E7" i="1"/>
  <c r="E10" i="1"/>
  <c r="E9" i="1"/>
  <c r="E8" i="1"/>
  <c r="C13" i="2"/>
  <c r="D13" i="2" s="1"/>
  <c r="B14" i="2"/>
  <c r="G12" i="2"/>
  <c r="E12" i="2"/>
  <c r="F12" i="2"/>
  <c r="H12" i="2"/>
  <c r="Q12" i="2" s="1"/>
  <c r="E12" i="1" l="1"/>
  <c r="G7" i="1" a="1"/>
  <c r="F7" i="1"/>
  <c r="F8" i="1"/>
  <c r="F9" i="1"/>
  <c r="F10" i="1"/>
  <c r="C14" i="2"/>
  <c r="D14" i="2" s="1"/>
  <c r="B15" i="2"/>
  <c r="H13" i="2"/>
  <c r="E13" i="2"/>
  <c r="G13" i="2"/>
  <c r="F13" i="2"/>
  <c r="F12" i="1" l="1"/>
  <c r="H7" i="1" a="1"/>
  <c r="G8" i="1"/>
  <c r="G7" i="1"/>
  <c r="G10" i="1"/>
  <c r="G9" i="1"/>
  <c r="Q13" i="2"/>
  <c r="C15" i="2"/>
  <c r="D15" i="2" s="1"/>
  <c r="B16" i="2"/>
  <c r="E14" i="2"/>
  <c r="F14" i="2"/>
  <c r="G14" i="2"/>
  <c r="H14" i="2"/>
  <c r="G12" i="1" l="1"/>
  <c r="I7" i="1" a="1"/>
  <c r="H7" i="1"/>
  <c r="H8" i="1"/>
  <c r="H9" i="1"/>
  <c r="H10" i="1"/>
  <c r="Q14" i="2"/>
  <c r="C16" i="2"/>
  <c r="B17" i="2"/>
  <c r="E15" i="2"/>
  <c r="F15" i="2"/>
  <c r="G15" i="2"/>
  <c r="H15" i="2"/>
  <c r="H12" i="1" l="1"/>
  <c r="J7" i="1" a="1"/>
  <c r="I7" i="1"/>
  <c r="I8" i="1"/>
  <c r="I9" i="1"/>
  <c r="I10" i="1"/>
  <c r="Q15" i="2"/>
  <c r="C17" i="2"/>
  <c r="D17" i="2" s="1"/>
  <c r="B18" i="2"/>
  <c r="D16" i="2"/>
  <c r="I12" i="1" l="1"/>
  <c r="J7" i="1"/>
  <c r="J8" i="1"/>
  <c r="J10" i="1"/>
  <c r="J9" i="1"/>
  <c r="G16" i="2"/>
  <c r="F16" i="2"/>
  <c r="E16" i="2"/>
  <c r="H16" i="2"/>
  <c r="B19" i="2"/>
  <c r="C19" i="2" s="1"/>
  <c r="D19" i="2" s="1"/>
  <c r="C18" i="2"/>
  <c r="D18" i="2" s="1"/>
  <c r="H17" i="2"/>
  <c r="E17" i="2"/>
  <c r="L7" i="1" s="1" a="1"/>
  <c r="F17" i="2"/>
  <c r="G17" i="2"/>
  <c r="J12" i="1" l="1"/>
  <c r="L7" i="1"/>
  <c r="L9" i="1"/>
  <c r="L10" i="1"/>
  <c r="L8" i="1"/>
  <c r="K7" i="1" a="1"/>
  <c r="Q17" i="2"/>
  <c r="G18" i="2"/>
  <c r="E18" i="2"/>
  <c r="F18" i="2"/>
  <c r="H18" i="2"/>
  <c r="E19" i="2"/>
  <c r="F19" i="2"/>
  <c r="G19" i="2"/>
  <c r="H19" i="2"/>
  <c r="Q16" i="2"/>
  <c r="L12" i="1" l="1"/>
  <c r="N7" i="1" a="1"/>
  <c r="M7" i="1" a="1"/>
  <c r="K7" i="1"/>
  <c r="K9" i="1"/>
  <c r="K10" i="1"/>
  <c r="K8" i="1"/>
  <c r="Q19" i="2"/>
  <c r="Q18" i="2"/>
  <c r="Q20" i="2" s="1"/>
  <c r="K12" i="1" l="1"/>
  <c r="M7" i="1"/>
  <c r="M9" i="1"/>
  <c r="M8" i="1"/>
  <c r="M10" i="1"/>
  <c r="N8" i="1"/>
  <c r="O8" i="1" s="1"/>
  <c r="N7" i="1"/>
  <c r="N10" i="1"/>
  <c r="N9" i="1"/>
  <c r="O9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N15" i="1" s="1"/>
  <c r="N20" i="1" s="1"/>
  <c r="V28" i="1"/>
  <c r="V29" i="1"/>
  <c r="V30" i="1"/>
  <c r="V31" i="1"/>
  <c r="V32" i="1"/>
  <c r="V33" i="1"/>
  <c r="V27" i="1"/>
  <c r="D17" i="1"/>
  <c r="E17" i="1"/>
  <c r="F17" i="1"/>
  <c r="G17" i="1"/>
  <c r="H17" i="1"/>
  <c r="I17" i="1"/>
  <c r="J17" i="1"/>
  <c r="K17" i="1"/>
  <c r="L17" i="1"/>
  <c r="M17" i="1"/>
  <c r="N17" i="1"/>
  <c r="C17" i="1"/>
  <c r="O15" i="1"/>
  <c r="O20" i="1" s="1"/>
  <c r="C15" i="1"/>
  <c r="C20" i="1" s="1"/>
  <c r="B15" i="1"/>
  <c r="B20" i="1" s="1"/>
  <c r="O27" i="1"/>
  <c r="O28" i="1" s="1"/>
  <c r="D28" i="1"/>
  <c r="E28" i="1"/>
  <c r="F28" i="1"/>
  <c r="G28" i="1"/>
  <c r="H28" i="1"/>
  <c r="I28" i="1"/>
  <c r="J28" i="1"/>
  <c r="K28" i="1"/>
  <c r="L28" i="1"/>
  <c r="M28" i="1"/>
  <c r="N28" i="1"/>
  <c r="C28" i="1"/>
  <c r="O22" i="1"/>
  <c r="O21" i="1"/>
  <c r="O17" i="1"/>
  <c r="N12" i="1" l="1"/>
  <c r="N30" i="1" s="1"/>
  <c r="M12" i="1"/>
  <c r="O24" i="1"/>
  <c r="O10" i="1"/>
  <c r="I30" i="1"/>
  <c r="C30" i="1"/>
  <c r="O7" i="1"/>
  <c r="O12" i="1" s="1"/>
  <c r="H30" i="1"/>
  <c r="K30" i="1"/>
  <c r="J30" i="1"/>
  <c r="G30" i="1"/>
  <c r="F30" i="1"/>
  <c r="E30" i="1"/>
  <c r="D30" i="1"/>
  <c r="M30" i="1"/>
  <c r="L30" i="1"/>
  <c r="E15" i="1"/>
  <c r="E20" i="1" s="1"/>
  <c r="D15" i="1"/>
  <c r="D20" i="1" s="1"/>
  <c r="I15" i="1"/>
  <c r="I20" i="1" s="1"/>
  <c r="H15" i="1"/>
  <c r="H20" i="1" s="1"/>
  <c r="G15" i="1"/>
  <c r="G20" i="1" s="1"/>
  <c r="F15" i="1"/>
  <c r="F20" i="1" s="1"/>
  <c r="M15" i="1"/>
  <c r="M20" i="1" s="1"/>
  <c r="L15" i="1"/>
  <c r="L20" i="1" s="1"/>
  <c r="K15" i="1"/>
  <c r="K20" i="1" s="1"/>
  <c r="J15" i="1"/>
  <c r="J20" i="1" s="1"/>
  <c r="O32" i="1" l="1"/>
  <c r="Q36" i="1" s="1"/>
  <c r="O33" i="1" l="1"/>
  <c r="O36" i="1" s="1"/>
  <c r="O34" i="1" l="1"/>
  <c r="O35" i="1" s="1"/>
  <c r="O37" i="1" s="1"/>
  <c r="O38" i="1" s="1"/>
  <c r="O39" i="1" s="1"/>
</calcChain>
</file>

<file path=xl/sharedStrings.xml><?xml version="1.0" encoding="utf-8"?>
<sst xmlns="http://schemas.openxmlformats.org/spreadsheetml/2006/main" count="60" uniqueCount="49">
  <si>
    <t>Basic Pay</t>
  </si>
  <si>
    <t>HRA</t>
  </si>
  <si>
    <t>Special Allowance</t>
  </si>
  <si>
    <t>LTA</t>
  </si>
  <si>
    <t>Total</t>
  </si>
  <si>
    <t>PFM</t>
  </si>
  <si>
    <t>Variable Pay</t>
  </si>
  <si>
    <t>B) Deduction</t>
  </si>
  <si>
    <t>Provident Fund</t>
  </si>
  <si>
    <t>Prof Tax</t>
  </si>
  <si>
    <t>C) Perquisites</t>
  </si>
  <si>
    <t>A) Taxable Income</t>
  </si>
  <si>
    <t xml:space="preserve">    (i) Monthly Income</t>
  </si>
  <si>
    <t xml:space="preserve">    (ii) Adhoc Income</t>
  </si>
  <si>
    <t>Pay Items</t>
  </si>
  <si>
    <t>0-4</t>
  </si>
  <si>
    <t>4-8</t>
  </si>
  <si>
    <t>8-12</t>
  </si>
  <si>
    <t>12-16</t>
  </si>
  <si>
    <t>16-20</t>
  </si>
  <si>
    <t>20-24</t>
  </si>
  <si>
    <t>&gt;24</t>
  </si>
  <si>
    <t>Tax</t>
  </si>
  <si>
    <t>Rebate</t>
  </si>
  <si>
    <t>Net Tax</t>
  </si>
  <si>
    <t>Standard Deduction</t>
  </si>
  <si>
    <t>Net Income</t>
  </si>
  <si>
    <t>Salary structure</t>
  </si>
  <si>
    <t>FY 2025-26</t>
  </si>
  <si>
    <t>HEC</t>
  </si>
  <si>
    <t>Total TDS Payable</t>
  </si>
  <si>
    <t>D) Gross Salary (A+B+C)</t>
  </si>
  <si>
    <t>MPHASIS LIMITED</t>
  </si>
  <si>
    <t xml:space="preserve"> WTMC 3 BLOCK B 1ST FLOOR, BAGMANE WORLD</t>
  </si>
  <si>
    <t xml:space="preserve"> TECHNOLOGY, MARTHAHALLI OUTER RING RD,</t>
  </si>
  <si>
    <t xml:space="preserve"> DODDENEKUNDI, BENGALURU, KARNATAKA - 560048</t>
  </si>
  <si>
    <t>Month</t>
  </si>
  <si>
    <t>Total Days</t>
  </si>
  <si>
    <t>Present Days</t>
  </si>
  <si>
    <t>Basic</t>
  </si>
  <si>
    <t>Other Earnings</t>
  </si>
  <si>
    <t>Gross Salary</t>
  </si>
  <si>
    <t>PF Employee</t>
  </si>
  <si>
    <t>Medical Insurance Premium</t>
  </si>
  <si>
    <t>PT</t>
  </si>
  <si>
    <t>TDS</t>
  </si>
  <si>
    <t>Deductions</t>
  </si>
  <si>
    <t>Net Salary</t>
  </si>
  <si>
    <t>Marginal 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</si>
</sst>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17" fontId="2" fillId="0" borderId="0" xfId="0" applyNumberFormat="1" applyFont="1"/>
    <xf numFmtId="0" fontId="2" fillId="0" borderId="0" xfId="0" applyFont="1"/>
    <xf numFmtId="164" fontId="0" fillId="0" borderId="0" xfId="1" applyNumberFormat="1" applyFont="1"/>
    <xf numFmtId="164" fontId="2" fillId="0" borderId="0" xfId="1" applyNumberFormat="1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3" fontId="0" fillId="0" borderId="0" xfId="0" applyNumberFormat="1"/>
    <xf numFmtId="0" fontId="0" fillId="0" borderId="0" xfId="0" quotePrefix="1"/>
    <xf numFmtId="9" fontId="0" fillId="0" borderId="0" xfId="0" applyNumberFormat="1"/>
    <xf numFmtId="164" fontId="2" fillId="0" borderId="0" xfId="0" applyNumberFormat="1" applyFont="1"/>
    <xf numFmtId="164" fontId="0" fillId="0" borderId="0" xfId="1" applyNumberFormat="1" applyFont="1" applyFill="1" applyBorder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" fontId="0" fillId="0" borderId="8" xfId="0" applyNumberFormat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0" fillId="0" borderId="14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0" applyNumberFormat="1" applyBorder="1"/>
    <xf numFmtId="164" fontId="0" fillId="3" borderId="11" xfId="1" applyNumberFormat="1" applyFont="1" applyFill="1" applyBorder="1"/>
    <xf numFmtId="164" fontId="0" fillId="3" borderId="13" xfId="1" applyNumberFormat="1" applyFont="1" applyFill="1" applyBorder="1"/>
    <xf numFmtId="164" fontId="0" fillId="3" borderId="12" xfId="1" applyNumberFormat="1" applyFont="1" applyFill="1" applyBorder="1"/>
    <xf numFmtId="164" fontId="0" fillId="3" borderId="14" xfId="1" applyNumberFormat="1" applyFont="1" applyFill="1" applyBorder="1"/>
    <xf numFmtId="164" fontId="0" fillId="0" borderId="13" xfId="1" applyNumberFormat="1" applyFont="1" applyFill="1" applyBorder="1"/>
    <xf numFmtId="164" fontId="0" fillId="3" borderId="8" xfId="1" applyNumberFormat="1" applyFont="1" applyFill="1" applyBorder="1"/>
    <xf numFmtId="164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46AB-DF8C-4EB4-9B99-4FA0B749E3E1}">
  <dimension ref="B3:Q22"/>
  <sheetViews>
    <sheetView showGridLines="0" workbookViewId="0">
      <selection activeCell="O21" sqref="O21"/>
    </sheetView>
  </sheetViews>
  <sheetFormatPr defaultRowHeight="14.4" x14ac:dyDescent="0.3"/>
  <cols>
    <col min="3" max="4" width="7.77734375" customWidth="1"/>
    <col min="5" max="6" width="10.44140625" bestFit="1" customWidth="1"/>
    <col min="7" max="7" width="9" bestFit="1" customWidth="1"/>
    <col min="8" max="8" width="9.88671875" bestFit="1" customWidth="1"/>
    <col min="9" max="10" width="9.88671875" customWidth="1"/>
    <col min="11" max="11" width="9.88671875" bestFit="1" customWidth="1"/>
    <col min="12" max="12" width="9.6640625" customWidth="1"/>
    <col min="13" max="13" width="9" customWidth="1"/>
    <col min="14" max="14" width="9" bestFit="1" customWidth="1"/>
    <col min="15" max="15" width="10.33203125" bestFit="1" customWidth="1"/>
    <col min="16" max="16" width="10.44140625" customWidth="1"/>
    <col min="17" max="17" width="9.88671875" bestFit="1" customWidth="1"/>
  </cols>
  <sheetData>
    <row r="3" spans="2:17" x14ac:dyDescent="0.3">
      <c r="B3" s="2" t="s">
        <v>32</v>
      </c>
      <c r="M3" s="12"/>
      <c r="O3" s="13"/>
    </row>
    <row r="4" spans="2:17" x14ac:dyDescent="0.3">
      <c r="B4" s="2" t="s">
        <v>33</v>
      </c>
      <c r="M4" s="12"/>
      <c r="O4" s="13"/>
    </row>
    <row r="5" spans="2:17" x14ac:dyDescent="0.3">
      <c r="B5" s="2" t="s">
        <v>34</v>
      </c>
      <c r="M5" s="12"/>
      <c r="O5" s="13"/>
    </row>
    <row r="6" spans="2:17" ht="15" thickBot="1" x14ac:dyDescent="0.35">
      <c r="B6" s="2" t="s">
        <v>35</v>
      </c>
      <c r="M6" s="5"/>
      <c r="O6" s="13"/>
    </row>
    <row r="7" spans="2:17" ht="58.2" thickBot="1" x14ac:dyDescent="0.35">
      <c r="B7" s="14" t="s">
        <v>36</v>
      </c>
      <c r="C7" s="15" t="s">
        <v>37</v>
      </c>
      <c r="D7" s="16" t="s">
        <v>38</v>
      </c>
      <c r="E7" s="17" t="s">
        <v>39</v>
      </c>
      <c r="F7" s="18" t="s">
        <v>1</v>
      </c>
      <c r="G7" s="18" t="s">
        <v>3</v>
      </c>
      <c r="H7" s="18" t="s">
        <v>2</v>
      </c>
      <c r="I7" s="18" t="s">
        <v>6</v>
      </c>
      <c r="J7" s="18" t="s">
        <v>40</v>
      </c>
      <c r="K7" s="19" t="s">
        <v>41</v>
      </c>
      <c r="L7" s="17" t="s">
        <v>42</v>
      </c>
      <c r="M7" s="18" t="s">
        <v>43</v>
      </c>
      <c r="N7" s="18" t="s">
        <v>44</v>
      </c>
      <c r="O7" s="18" t="s">
        <v>45</v>
      </c>
      <c r="P7" s="20" t="s">
        <v>46</v>
      </c>
      <c r="Q7" s="14" t="s">
        <v>47</v>
      </c>
    </row>
    <row r="8" spans="2:17" x14ac:dyDescent="0.3">
      <c r="B8" s="21">
        <v>45748</v>
      </c>
      <c r="C8" s="26">
        <f>EOMONTH(B8,0)-B8+1</f>
        <v>30</v>
      </c>
      <c r="D8" s="27">
        <f>C8</f>
        <v>30</v>
      </c>
      <c r="E8" s="28">
        <f t="shared" ref="E8:H19" si="0">ROUND(E$22*$D8/$C8,0)</f>
        <v>46667</v>
      </c>
      <c r="F8" s="28">
        <f t="shared" si="0"/>
        <v>23333</v>
      </c>
      <c r="G8" s="28">
        <f t="shared" si="0"/>
        <v>3000</v>
      </c>
      <c r="H8" s="28">
        <f t="shared" si="0"/>
        <v>31650</v>
      </c>
      <c r="I8" s="30">
        <v>0</v>
      </c>
      <c r="J8" s="31">
        <v>0</v>
      </c>
      <c r="K8" s="29">
        <f t="shared" ref="K8:K9" si="1">SUM(E8:J8)</f>
        <v>104650</v>
      </c>
      <c r="L8" s="28">
        <v>5600</v>
      </c>
      <c r="M8" s="30">
        <v>0</v>
      </c>
      <c r="N8" s="30">
        <v>200</v>
      </c>
      <c r="O8" s="30">
        <v>0</v>
      </c>
      <c r="P8" s="31">
        <f t="shared" ref="P8" si="2">SUM(L8:O8)</f>
        <v>5800</v>
      </c>
      <c r="Q8" s="33">
        <f t="shared" ref="Q8" si="3">K8-P8</f>
        <v>98850</v>
      </c>
    </row>
    <row r="9" spans="2:17" x14ac:dyDescent="0.3">
      <c r="B9" s="21">
        <f>EOMONTH(B8,0)+1</f>
        <v>45778</v>
      </c>
      <c r="C9" s="26">
        <f t="shared" ref="C9:C19" si="4">EOMONTH(B9,0)-B9+1</f>
        <v>31</v>
      </c>
      <c r="D9" s="27">
        <f t="shared" ref="D9:D19" si="5">C9</f>
        <v>31</v>
      </c>
      <c r="E9" s="28">
        <f t="shared" si="0"/>
        <v>46667</v>
      </c>
      <c r="F9" s="28">
        <f t="shared" si="0"/>
        <v>23333</v>
      </c>
      <c r="G9" s="28">
        <f t="shared" si="0"/>
        <v>3000</v>
      </c>
      <c r="H9" s="28">
        <f t="shared" si="0"/>
        <v>31650</v>
      </c>
      <c r="I9" s="30">
        <v>3698</v>
      </c>
      <c r="J9" s="31">
        <v>0</v>
      </c>
      <c r="K9" s="29">
        <f t="shared" si="1"/>
        <v>108348</v>
      </c>
      <c r="L9" s="28">
        <v>5600</v>
      </c>
      <c r="M9" s="30">
        <v>0</v>
      </c>
      <c r="N9" s="30">
        <v>200</v>
      </c>
      <c r="O9" s="30">
        <v>0</v>
      </c>
      <c r="P9" s="31">
        <f t="shared" ref="P9:P18" si="6">SUM(L9:O9)</f>
        <v>5800</v>
      </c>
      <c r="Q9" s="33">
        <f t="shared" ref="Q9:Q18" si="7">K9-P9</f>
        <v>102548</v>
      </c>
    </row>
    <row r="10" spans="2:17" x14ac:dyDescent="0.3">
      <c r="B10" s="21">
        <f t="shared" ref="B10:B18" si="8">EOMONTH(B9,0)+1</f>
        <v>45809</v>
      </c>
      <c r="C10" s="26">
        <f t="shared" si="4"/>
        <v>30</v>
      </c>
      <c r="D10" s="27">
        <f t="shared" si="5"/>
        <v>30</v>
      </c>
      <c r="E10" s="28">
        <f t="shared" si="0"/>
        <v>46667</v>
      </c>
      <c r="F10" s="28">
        <f t="shared" si="0"/>
        <v>23333</v>
      </c>
      <c r="G10" s="28">
        <f t="shared" si="0"/>
        <v>3000</v>
      </c>
      <c r="H10" s="28">
        <f t="shared" si="0"/>
        <v>31650</v>
      </c>
      <c r="I10" s="30">
        <v>0</v>
      </c>
      <c r="J10" s="31">
        <v>1000</v>
      </c>
      <c r="K10" s="29">
        <f>SUM(E10:J10)</f>
        <v>105650</v>
      </c>
      <c r="L10" s="28">
        <v>5600</v>
      </c>
      <c r="M10" s="30">
        <v>0</v>
      </c>
      <c r="N10" s="30">
        <v>200</v>
      </c>
      <c r="O10" s="30">
        <v>0</v>
      </c>
      <c r="P10" s="31">
        <f t="shared" si="6"/>
        <v>5800</v>
      </c>
      <c r="Q10" s="33">
        <f t="shared" si="7"/>
        <v>99850</v>
      </c>
    </row>
    <row r="11" spans="2:17" x14ac:dyDescent="0.3">
      <c r="B11" s="21">
        <f t="shared" si="8"/>
        <v>45839</v>
      </c>
      <c r="C11" s="26">
        <f t="shared" si="4"/>
        <v>31</v>
      </c>
      <c r="D11" s="27">
        <f t="shared" si="5"/>
        <v>31</v>
      </c>
      <c r="E11" s="28">
        <f t="shared" si="0"/>
        <v>46667</v>
      </c>
      <c r="F11" s="28">
        <f t="shared" si="0"/>
        <v>23333</v>
      </c>
      <c r="G11" s="28">
        <f t="shared" si="0"/>
        <v>3000</v>
      </c>
      <c r="H11" s="28">
        <f t="shared" si="0"/>
        <v>31650</v>
      </c>
      <c r="I11" s="30">
        <v>0</v>
      </c>
      <c r="J11" s="31">
        <v>1000</v>
      </c>
      <c r="K11" s="29">
        <f>SUM(E11:J11)</f>
        <v>105650</v>
      </c>
      <c r="L11" s="28">
        <v>5600</v>
      </c>
      <c r="M11" s="30">
        <v>0</v>
      </c>
      <c r="N11" s="30">
        <v>200</v>
      </c>
      <c r="O11" s="30">
        <v>0</v>
      </c>
      <c r="P11" s="31">
        <f t="shared" si="6"/>
        <v>5800</v>
      </c>
      <c r="Q11" s="33">
        <f t="shared" si="7"/>
        <v>99850</v>
      </c>
    </row>
    <row r="12" spans="2:17" x14ac:dyDescent="0.3">
      <c r="B12" s="21">
        <f t="shared" si="8"/>
        <v>45870</v>
      </c>
      <c r="C12" s="26">
        <f t="shared" si="4"/>
        <v>31</v>
      </c>
      <c r="D12" s="27">
        <f t="shared" si="5"/>
        <v>31</v>
      </c>
      <c r="E12" s="28">
        <f t="shared" si="0"/>
        <v>46667</v>
      </c>
      <c r="F12" s="28">
        <f t="shared" si="0"/>
        <v>23333</v>
      </c>
      <c r="G12" s="28">
        <f t="shared" si="0"/>
        <v>3000</v>
      </c>
      <c r="H12" s="28">
        <f t="shared" si="0"/>
        <v>31650</v>
      </c>
      <c r="I12" s="30">
        <v>16511</v>
      </c>
      <c r="J12" s="31">
        <v>0</v>
      </c>
      <c r="K12" s="29">
        <f t="shared" ref="K12:K19" si="9">SUM(E12:J12)</f>
        <v>121161</v>
      </c>
      <c r="L12" s="28">
        <v>5600</v>
      </c>
      <c r="M12" s="30">
        <v>0</v>
      </c>
      <c r="N12" s="30">
        <v>200</v>
      </c>
      <c r="O12" s="30">
        <v>2121</v>
      </c>
      <c r="P12" s="31">
        <f t="shared" si="6"/>
        <v>7921</v>
      </c>
      <c r="Q12" s="33">
        <f t="shared" si="7"/>
        <v>113240</v>
      </c>
    </row>
    <row r="13" spans="2:17" x14ac:dyDescent="0.3">
      <c r="B13" s="21">
        <f t="shared" si="8"/>
        <v>45901</v>
      </c>
      <c r="C13" s="26">
        <f t="shared" si="4"/>
        <v>30</v>
      </c>
      <c r="D13" s="27">
        <f t="shared" si="5"/>
        <v>30</v>
      </c>
      <c r="E13" s="28">
        <f t="shared" si="0"/>
        <v>46667</v>
      </c>
      <c r="F13" s="28">
        <f t="shared" si="0"/>
        <v>23333</v>
      </c>
      <c r="G13" s="28">
        <f t="shared" si="0"/>
        <v>3000</v>
      </c>
      <c r="H13" s="28">
        <f t="shared" si="0"/>
        <v>31650</v>
      </c>
      <c r="I13" s="30">
        <v>0</v>
      </c>
      <c r="J13" s="31">
        <v>0</v>
      </c>
      <c r="K13" s="29">
        <f t="shared" si="9"/>
        <v>104650</v>
      </c>
      <c r="L13" s="28">
        <v>5600</v>
      </c>
      <c r="M13" s="30">
        <v>0</v>
      </c>
      <c r="N13" s="30">
        <v>200</v>
      </c>
      <c r="O13" s="30">
        <v>145</v>
      </c>
      <c r="P13" s="31">
        <f t="shared" si="6"/>
        <v>5945</v>
      </c>
      <c r="Q13" s="33">
        <f t="shared" si="7"/>
        <v>98705</v>
      </c>
    </row>
    <row r="14" spans="2:17" x14ac:dyDescent="0.3">
      <c r="B14" s="21">
        <f t="shared" si="8"/>
        <v>45931</v>
      </c>
      <c r="C14" s="26">
        <f t="shared" si="4"/>
        <v>31</v>
      </c>
      <c r="D14" s="27">
        <f t="shared" si="5"/>
        <v>31</v>
      </c>
      <c r="E14" s="28">
        <f t="shared" si="0"/>
        <v>46667</v>
      </c>
      <c r="F14" s="28">
        <f t="shared" si="0"/>
        <v>23333</v>
      </c>
      <c r="G14" s="28">
        <f t="shared" si="0"/>
        <v>3000</v>
      </c>
      <c r="H14" s="28">
        <f t="shared" si="0"/>
        <v>31650</v>
      </c>
      <c r="I14" s="30">
        <v>0</v>
      </c>
      <c r="J14" s="31">
        <v>0</v>
      </c>
      <c r="K14" s="29">
        <f t="shared" si="9"/>
        <v>104650</v>
      </c>
      <c r="L14" s="28">
        <v>5600</v>
      </c>
      <c r="M14" s="30">
        <v>0</v>
      </c>
      <c r="N14" s="30">
        <v>200</v>
      </c>
      <c r="O14" s="30">
        <v>145</v>
      </c>
      <c r="P14" s="31">
        <f t="shared" si="6"/>
        <v>5945</v>
      </c>
      <c r="Q14" s="33">
        <f t="shared" si="7"/>
        <v>98705</v>
      </c>
    </row>
    <row r="15" spans="2:17" x14ac:dyDescent="0.3">
      <c r="B15" s="21">
        <f t="shared" si="8"/>
        <v>45962</v>
      </c>
      <c r="C15" s="26">
        <f t="shared" si="4"/>
        <v>30</v>
      </c>
      <c r="D15" s="27">
        <f t="shared" si="5"/>
        <v>30</v>
      </c>
      <c r="E15" s="22">
        <f t="shared" si="0"/>
        <v>46667</v>
      </c>
      <c r="F15" s="22">
        <f t="shared" si="0"/>
        <v>23333</v>
      </c>
      <c r="G15" s="22">
        <f t="shared" si="0"/>
        <v>3000</v>
      </c>
      <c r="H15" s="22">
        <f t="shared" si="0"/>
        <v>31650</v>
      </c>
      <c r="I15" s="23">
        <v>14000</v>
      </c>
      <c r="J15" s="24">
        <v>0</v>
      </c>
      <c r="K15" s="32">
        <f t="shared" si="9"/>
        <v>118650</v>
      </c>
      <c r="L15" s="22">
        <v>5600</v>
      </c>
      <c r="M15" s="23">
        <v>0</v>
      </c>
      <c r="N15" s="23">
        <v>200</v>
      </c>
      <c r="O15" s="23">
        <v>4802</v>
      </c>
      <c r="P15" s="24">
        <f t="shared" si="6"/>
        <v>10602</v>
      </c>
      <c r="Q15" s="25">
        <f t="shared" si="7"/>
        <v>108048</v>
      </c>
    </row>
    <row r="16" spans="2:17" x14ac:dyDescent="0.3">
      <c r="B16" s="21">
        <f t="shared" si="8"/>
        <v>45992</v>
      </c>
      <c r="C16" s="26">
        <f t="shared" si="4"/>
        <v>31</v>
      </c>
      <c r="D16" s="27">
        <f t="shared" si="5"/>
        <v>31</v>
      </c>
      <c r="E16" s="22">
        <f t="shared" si="0"/>
        <v>46667</v>
      </c>
      <c r="F16" s="22">
        <f t="shared" si="0"/>
        <v>23333</v>
      </c>
      <c r="G16" s="22">
        <f t="shared" si="0"/>
        <v>3000</v>
      </c>
      <c r="H16" s="22">
        <f t="shared" si="0"/>
        <v>31650</v>
      </c>
      <c r="I16" s="23">
        <v>0</v>
      </c>
      <c r="J16" s="24">
        <v>0</v>
      </c>
      <c r="K16" s="32">
        <f t="shared" si="9"/>
        <v>104650</v>
      </c>
      <c r="L16" s="22">
        <v>5600</v>
      </c>
      <c r="M16" s="23">
        <v>0</v>
      </c>
      <c r="N16" s="23">
        <v>200</v>
      </c>
      <c r="O16" s="23">
        <v>2620</v>
      </c>
      <c r="P16" s="24">
        <f t="shared" si="6"/>
        <v>8420</v>
      </c>
      <c r="Q16" s="25">
        <f t="shared" si="7"/>
        <v>96230</v>
      </c>
    </row>
    <row r="17" spans="2:17" x14ac:dyDescent="0.3">
      <c r="B17" s="21">
        <f t="shared" si="8"/>
        <v>46023</v>
      </c>
      <c r="C17" s="26">
        <f t="shared" si="4"/>
        <v>31</v>
      </c>
      <c r="D17" s="27">
        <f t="shared" si="5"/>
        <v>31</v>
      </c>
      <c r="E17" s="22">
        <f t="shared" si="0"/>
        <v>46667</v>
      </c>
      <c r="F17" s="22">
        <f t="shared" si="0"/>
        <v>23333</v>
      </c>
      <c r="G17" s="22">
        <f t="shared" si="0"/>
        <v>3000</v>
      </c>
      <c r="H17" s="22">
        <f t="shared" si="0"/>
        <v>31650</v>
      </c>
      <c r="I17" s="23">
        <v>0</v>
      </c>
      <c r="J17" s="24">
        <v>0</v>
      </c>
      <c r="K17" s="32">
        <f t="shared" si="9"/>
        <v>104650</v>
      </c>
      <c r="L17" s="22">
        <v>5600</v>
      </c>
      <c r="M17" s="23">
        <v>0</v>
      </c>
      <c r="N17" s="23">
        <v>200</v>
      </c>
      <c r="O17" s="23">
        <v>2619</v>
      </c>
      <c r="P17" s="24">
        <f t="shared" si="6"/>
        <v>8419</v>
      </c>
      <c r="Q17" s="25">
        <f t="shared" si="7"/>
        <v>96231</v>
      </c>
    </row>
    <row r="18" spans="2:17" x14ac:dyDescent="0.3">
      <c r="B18" s="21">
        <f t="shared" si="8"/>
        <v>46054</v>
      </c>
      <c r="C18" s="26">
        <f t="shared" si="4"/>
        <v>28</v>
      </c>
      <c r="D18" s="27">
        <f t="shared" si="5"/>
        <v>28</v>
      </c>
      <c r="E18" s="22">
        <f t="shared" si="0"/>
        <v>46667</v>
      </c>
      <c r="F18" s="22">
        <f t="shared" si="0"/>
        <v>23333</v>
      </c>
      <c r="G18" s="22">
        <f t="shared" si="0"/>
        <v>3000</v>
      </c>
      <c r="H18" s="22">
        <f t="shared" si="0"/>
        <v>31650</v>
      </c>
      <c r="I18" s="23">
        <v>13563</v>
      </c>
      <c r="J18" s="24">
        <v>0</v>
      </c>
      <c r="K18" s="32">
        <f t="shared" si="9"/>
        <v>118213</v>
      </c>
      <c r="L18" s="22">
        <v>5600</v>
      </c>
      <c r="M18" s="23">
        <v>0</v>
      </c>
      <c r="N18" s="23">
        <v>300</v>
      </c>
      <c r="O18" s="23">
        <v>10733</v>
      </c>
      <c r="P18" s="24">
        <f t="shared" si="6"/>
        <v>16633</v>
      </c>
      <c r="Q18" s="25">
        <f t="shared" si="7"/>
        <v>101580</v>
      </c>
    </row>
    <row r="19" spans="2:17" x14ac:dyDescent="0.3">
      <c r="B19" s="21">
        <f t="shared" ref="B19" si="10">EOMONTH(B18,0)+1</f>
        <v>46082</v>
      </c>
      <c r="C19" s="26">
        <f t="shared" si="4"/>
        <v>31</v>
      </c>
      <c r="D19" s="27">
        <f t="shared" si="5"/>
        <v>31</v>
      </c>
      <c r="E19" s="22">
        <f t="shared" si="0"/>
        <v>46667</v>
      </c>
      <c r="F19" s="22">
        <f t="shared" si="0"/>
        <v>23333</v>
      </c>
      <c r="G19" s="22">
        <f t="shared" si="0"/>
        <v>3000</v>
      </c>
      <c r="H19" s="22">
        <f t="shared" si="0"/>
        <v>31650</v>
      </c>
      <c r="I19" s="23">
        <v>0</v>
      </c>
      <c r="J19" s="24">
        <v>0</v>
      </c>
      <c r="K19" s="32">
        <f t="shared" si="9"/>
        <v>104650</v>
      </c>
      <c r="L19" s="22">
        <v>5600</v>
      </c>
      <c r="M19" s="23">
        <v>0</v>
      </c>
      <c r="N19" s="23">
        <v>200</v>
      </c>
      <c r="O19" s="23">
        <v>8618</v>
      </c>
      <c r="P19" s="24">
        <f t="shared" ref="P19" si="11">SUM(L19:O19)</f>
        <v>14418</v>
      </c>
      <c r="Q19" s="25">
        <f t="shared" ref="Q19" si="12">K19-P19</f>
        <v>90232</v>
      </c>
    </row>
    <row r="20" spans="2:17" x14ac:dyDescent="0.3">
      <c r="E20" s="5">
        <f t="shared" ref="E20:J20" si="13">SUM(E8:E19)</f>
        <v>560004</v>
      </c>
      <c r="F20" s="5">
        <f t="shared" si="13"/>
        <v>279996</v>
      </c>
      <c r="G20" s="5">
        <f t="shared" si="13"/>
        <v>36000</v>
      </c>
      <c r="H20" s="5">
        <f t="shared" si="13"/>
        <v>379800</v>
      </c>
      <c r="I20" s="5">
        <f t="shared" si="13"/>
        <v>47772</v>
      </c>
      <c r="J20" s="5">
        <f t="shared" si="13"/>
        <v>2000</v>
      </c>
      <c r="K20" s="5">
        <f t="shared" ref="K20:Q20" si="14">SUM(K8:K19)</f>
        <v>1305572</v>
      </c>
      <c r="L20" s="5">
        <f t="shared" si="14"/>
        <v>67200</v>
      </c>
      <c r="M20" s="5">
        <f t="shared" si="14"/>
        <v>0</v>
      </c>
      <c r="N20" s="5">
        <f t="shared" si="14"/>
        <v>2500</v>
      </c>
      <c r="O20" s="5">
        <f t="shared" si="14"/>
        <v>31803</v>
      </c>
      <c r="P20" s="5">
        <f t="shared" si="14"/>
        <v>101503</v>
      </c>
      <c r="Q20" s="5">
        <f t="shared" si="14"/>
        <v>1204069</v>
      </c>
    </row>
    <row r="21" spans="2:17" x14ac:dyDescent="0.3">
      <c r="O21" s="5">
        <v>31803</v>
      </c>
    </row>
    <row r="22" spans="2:17" x14ac:dyDescent="0.3">
      <c r="E22">
        <v>46667</v>
      </c>
      <c r="F22">
        <v>23333</v>
      </c>
      <c r="G22">
        <v>3000</v>
      </c>
      <c r="H22">
        <v>31650</v>
      </c>
      <c r="O22" s="5">
        <f>O20-O21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0"/>
  <sheetViews>
    <sheetView tabSelected="1" topLeftCell="A31" workbookViewId="0">
      <selection activeCell="O39" sqref="O39"/>
    </sheetView>
  </sheetViews>
  <sheetFormatPr defaultRowHeight="14.4" x14ac:dyDescent="0.3"/>
  <cols>
    <col min="2" max="2" width="19.21875" bestFit="1" customWidth="1"/>
    <col min="4" max="4" width="11" bestFit="1" customWidth="1"/>
    <col min="15" max="15" width="10" bestFit="1" customWidth="1"/>
    <col min="16" max="17" width="9.77734375" bestFit="1" customWidth="1"/>
  </cols>
  <sheetData>
    <row r="1" spans="2:16" x14ac:dyDescent="0.3">
      <c r="B1" s="2" t="s">
        <v>27</v>
      </c>
    </row>
    <row r="2" spans="2:16" x14ac:dyDescent="0.3">
      <c r="B2" s="2" t="s">
        <v>28</v>
      </c>
    </row>
    <row r="4" spans="2:16" x14ac:dyDescent="0.3">
      <c r="B4" s="2" t="s">
        <v>11</v>
      </c>
    </row>
    <row r="5" spans="2:16" x14ac:dyDescent="0.3">
      <c r="B5" s="2" t="s">
        <v>12</v>
      </c>
    </row>
    <row r="6" spans="2:16" x14ac:dyDescent="0.3">
      <c r="B6" s="2" t="s">
        <v>14</v>
      </c>
      <c r="C6" s="1">
        <v>45748</v>
      </c>
      <c r="D6" s="1">
        <f>EOMONTH(C6,0)+1</f>
        <v>45778</v>
      </c>
      <c r="E6" s="1">
        <f t="shared" ref="E6:N6" si="0">EOMONTH(D6,0)+1</f>
        <v>45809</v>
      </c>
      <c r="F6" s="1">
        <f t="shared" si="0"/>
        <v>45839</v>
      </c>
      <c r="G6" s="1">
        <f t="shared" si="0"/>
        <v>45870</v>
      </c>
      <c r="H6" s="1">
        <f t="shared" si="0"/>
        <v>45901</v>
      </c>
      <c r="I6" s="1">
        <f t="shared" si="0"/>
        <v>45931</v>
      </c>
      <c r="J6" s="1">
        <f t="shared" si="0"/>
        <v>45962</v>
      </c>
      <c r="K6" s="1">
        <f t="shared" si="0"/>
        <v>45992</v>
      </c>
      <c r="L6" s="1">
        <f t="shared" si="0"/>
        <v>46023</v>
      </c>
      <c r="M6" s="1">
        <f t="shared" si="0"/>
        <v>46054</v>
      </c>
      <c r="N6" s="1">
        <f t="shared" si="0"/>
        <v>46082</v>
      </c>
      <c r="O6" s="1" t="s">
        <v>4</v>
      </c>
    </row>
    <row r="7" spans="2:16" x14ac:dyDescent="0.3">
      <c r="B7" t="s">
        <v>0</v>
      </c>
      <c r="C7" s="3">
        <f t="array" ref="C7:C10">TRANSPOSE(Sheet2!E8:H8)</f>
        <v>46667</v>
      </c>
      <c r="D7" s="3">
        <f t="array" ref="D7:D10">TRANSPOSE(Sheet2!E9:H9)</f>
        <v>46667</v>
      </c>
      <c r="E7" s="3">
        <f t="array" ref="E7:E10">TRANSPOSE(Sheet2!E10:H10)</f>
        <v>46667</v>
      </c>
      <c r="F7" s="3">
        <f t="array" ref="F7:F10">TRANSPOSE(Sheet2!E11:H11)</f>
        <v>46667</v>
      </c>
      <c r="G7" s="3">
        <f t="array" ref="G7:G10">TRANSPOSE(Sheet2!E12:H12)</f>
        <v>46667</v>
      </c>
      <c r="H7" s="3">
        <f t="array" ref="H7:H10">TRANSPOSE(Sheet2!E13:H13)</f>
        <v>46667</v>
      </c>
      <c r="I7" s="3">
        <f t="array" ref="I7:I10">TRANSPOSE(Sheet2!E14:H14)</f>
        <v>46667</v>
      </c>
      <c r="J7" s="3">
        <f t="array" ref="J7:J10">TRANSPOSE(Sheet2!E15:H15)</f>
        <v>46667</v>
      </c>
      <c r="K7" s="3">
        <f t="array" ref="K7:K10">TRANSPOSE(Sheet2!E16:H16)</f>
        <v>46667</v>
      </c>
      <c r="L7" s="3">
        <f t="array" ref="L7:L10">TRANSPOSE(Sheet2!E17:H17)</f>
        <v>46667</v>
      </c>
      <c r="M7" s="3">
        <f t="array" ref="M7:M10">TRANSPOSE(Sheet2!E18:H18)</f>
        <v>46667</v>
      </c>
      <c r="N7" s="3">
        <f t="array" ref="N7:N10">TRANSPOSE(Sheet2!E19:H19)</f>
        <v>46667</v>
      </c>
      <c r="O7" s="4">
        <f>SUM(C7:N7)</f>
        <v>560004</v>
      </c>
    </row>
    <row r="8" spans="2:16" x14ac:dyDescent="0.3">
      <c r="B8" t="s">
        <v>1</v>
      </c>
      <c r="C8" s="3">
        <v>23333</v>
      </c>
      <c r="D8" s="3">
        <v>23333</v>
      </c>
      <c r="E8" s="3">
        <v>23333</v>
      </c>
      <c r="F8" s="3">
        <v>23333</v>
      </c>
      <c r="G8" s="3">
        <v>23333</v>
      </c>
      <c r="H8" s="3">
        <v>23333</v>
      </c>
      <c r="I8" s="3">
        <v>23333</v>
      </c>
      <c r="J8" s="3">
        <v>23333</v>
      </c>
      <c r="K8" s="3">
        <v>23333</v>
      </c>
      <c r="L8" s="3">
        <v>23333</v>
      </c>
      <c r="M8" s="3">
        <v>23333</v>
      </c>
      <c r="N8" s="3">
        <v>23333</v>
      </c>
      <c r="O8" s="4">
        <f t="shared" ref="O8:O11" si="1">SUM(C8:N8)</f>
        <v>279996</v>
      </c>
    </row>
    <row r="9" spans="2:16" x14ac:dyDescent="0.3">
      <c r="B9" t="s">
        <v>2</v>
      </c>
      <c r="C9" s="3">
        <v>3000</v>
      </c>
      <c r="D9" s="3">
        <v>3000</v>
      </c>
      <c r="E9" s="3">
        <v>3000</v>
      </c>
      <c r="F9" s="3">
        <v>3000</v>
      </c>
      <c r="G9" s="3">
        <v>3000</v>
      </c>
      <c r="H9" s="3">
        <v>3000</v>
      </c>
      <c r="I9" s="3">
        <v>3000</v>
      </c>
      <c r="J9" s="3">
        <v>3000</v>
      </c>
      <c r="K9" s="3">
        <v>3000</v>
      </c>
      <c r="L9" s="3">
        <v>3000</v>
      </c>
      <c r="M9" s="3">
        <v>3000</v>
      </c>
      <c r="N9" s="3">
        <v>3000</v>
      </c>
      <c r="O9" s="4">
        <f t="shared" si="1"/>
        <v>36000</v>
      </c>
    </row>
    <row r="10" spans="2:16" x14ac:dyDescent="0.3">
      <c r="B10" t="s">
        <v>3</v>
      </c>
      <c r="C10" s="3">
        <v>31650</v>
      </c>
      <c r="D10" s="3">
        <v>31650</v>
      </c>
      <c r="E10" s="3">
        <v>31650</v>
      </c>
      <c r="F10" s="3">
        <v>31650</v>
      </c>
      <c r="G10" s="3">
        <v>31650</v>
      </c>
      <c r="H10" s="3">
        <v>31650</v>
      </c>
      <c r="I10" s="3">
        <v>31650</v>
      </c>
      <c r="J10" s="3">
        <v>31650</v>
      </c>
      <c r="K10" s="3">
        <v>31650</v>
      </c>
      <c r="L10" s="3">
        <v>31650</v>
      </c>
      <c r="M10" s="3">
        <v>31650</v>
      </c>
      <c r="N10" s="3">
        <v>31650</v>
      </c>
      <c r="O10" s="4">
        <f t="shared" si="1"/>
        <v>379800</v>
      </c>
    </row>
    <row r="11" spans="2:16" x14ac:dyDescent="0.3">
      <c r="B11" t="s">
        <v>40</v>
      </c>
      <c r="C11" s="3">
        <f t="array" ref="C11:N11">TRANSPOSE(Sheet2!J8:J19)</f>
        <v>0</v>
      </c>
      <c r="D11" s="3">
        <v>0</v>
      </c>
      <c r="E11" s="3">
        <v>1000</v>
      </c>
      <c r="F11" s="3">
        <v>1000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4">
        <f t="shared" si="1"/>
        <v>2000</v>
      </c>
    </row>
    <row r="12" spans="2:16" x14ac:dyDescent="0.3">
      <c r="B12" s="2" t="s">
        <v>4</v>
      </c>
      <c r="C12" s="4">
        <f>SUM(C7:C11)</f>
        <v>104650</v>
      </c>
      <c r="D12" s="4">
        <f t="shared" ref="D12:O12" si="2">SUM(D7:D11)</f>
        <v>104650</v>
      </c>
      <c r="E12" s="4">
        <f t="shared" si="2"/>
        <v>105650</v>
      </c>
      <c r="F12" s="4">
        <f t="shared" si="2"/>
        <v>105650</v>
      </c>
      <c r="G12" s="4">
        <f t="shared" si="2"/>
        <v>104650</v>
      </c>
      <c r="H12" s="4">
        <f t="shared" si="2"/>
        <v>104650</v>
      </c>
      <c r="I12" s="4">
        <f t="shared" si="2"/>
        <v>104650</v>
      </c>
      <c r="J12" s="4">
        <f t="shared" si="2"/>
        <v>104650</v>
      </c>
      <c r="K12" s="4">
        <f t="shared" si="2"/>
        <v>104650</v>
      </c>
      <c r="L12" s="4">
        <f t="shared" si="2"/>
        <v>104650</v>
      </c>
      <c r="M12" s="4">
        <f t="shared" si="2"/>
        <v>104650</v>
      </c>
      <c r="N12" s="4">
        <f t="shared" si="2"/>
        <v>104650</v>
      </c>
      <c r="O12" s="4">
        <f t="shared" si="2"/>
        <v>1257800</v>
      </c>
      <c r="P12" s="5"/>
    </row>
    <row r="13" spans="2:16" x14ac:dyDescent="0.3">
      <c r="D13" s="7"/>
    </row>
    <row r="14" spans="2:16" x14ac:dyDescent="0.3">
      <c r="B14" s="2" t="s">
        <v>13</v>
      </c>
      <c r="D14" s="3"/>
      <c r="E14" s="6"/>
      <c r="F14" s="8"/>
    </row>
    <row r="15" spans="2:16" x14ac:dyDescent="0.3">
      <c r="B15" s="2" t="str">
        <f>B6</f>
        <v>Pay Items</v>
      </c>
      <c r="C15" s="1">
        <f t="shared" ref="C15:O15" si="3">C6</f>
        <v>45748</v>
      </c>
      <c r="D15" s="1">
        <f t="shared" si="3"/>
        <v>45778</v>
      </c>
      <c r="E15" s="1">
        <f t="shared" si="3"/>
        <v>45809</v>
      </c>
      <c r="F15" s="1">
        <f t="shared" si="3"/>
        <v>45839</v>
      </c>
      <c r="G15" s="1">
        <f t="shared" si="3"/>
        <v>45870</v>
      </c>
      <c r="H15" s="1">
        <f t="shared" si="3"/>
        <v>45901</v>
      </c>
      <c r="I15" s="1">
        <f t="shared" si="3"/>
        <v>45931</v>
      </c>
      <c r="J15" s="1">
        <f t="shared" si="3"/>
        <v>45962</v>
      </c>
      <c r="K15" s="1">
        <f t="shared" si="3"/>
        <v>45992</v>
      </c>
      <c r="L15" s="1">
        <f t="shared" si="3"/>
        <v>46023</v>
      </c>
      <c r="M15" s="1">
        <f t="shared" si="3"/>
        <v>46054</v>
      </c>
      <c r="N15" s="1">
        <f t="shared" si="3"/>
        <v>46082</v>
      </c>
      <c r="O15" s="1" t="str">
        <f t="shared" si="3"/>
        <v>Total</v>
      </c>
    </row>
    <row r="16" spans="2:16" x14ac:dyDescent="0.3">
      <c r="B16" t="s">
        <v>6</v>
      </c>
      <c r="C16" s="3">
        <f t="array" ref="C16:N16">TRANSPOSE(Sheet2!I8:I19)</f>
        <v>0</v>
      </c>
      <c r="D16" s="3">
        <v>3698</v>
      </c>
      <c r="E16" s="3">
        <v>0</v>
      </c>
      <c r="F16" s="3">
        <v>0</v>
      </c>
      <c r="G16" s="3">
        <v>16511</v>
      </c>
      <c r="H16" s="3">
        <v>0</v>
      </c>
      <c r="I16" s="3">
        <v>0</v>
      </c>
      <c r="J16" s="3">
        <v>14000</v>
      </c>
      <c r="K16" s="3">
        <v>0</v>
      </c>
      <c r="L16" s="3">
        <v>0</v>
      </c>
      <c r="M16" s="3">
        <v>13563</v>
      </c>
      <c r="N16" s="3">
        <v>0</v>
      </c>
      <c r="O16" s="4">
        <f>SUM(C16:N16)</f>
        <v>47772</v>
      </c>
    </row>
    <row r="17" spans="2:24" x14ac:dyDescent="0.3">
      <c r="B17" s="2" t="s">
        <v>4</v>
      </c>
      <c r="C17" s="4">
        <f>SUM(C16:C16)</f>
        <v>0</v>
      </c>
      <c r="D17" s="4">
        <f t="shared" ref="D17:O17" si="4">SUM(D16:D16)</f>
        <v>3698</v>
      </c>
      <c r="E17" s="4">
        <f t="shared" si="4"/>
        <v>0</v>
      </c>
      <c r="F17" s="4">
        <f t="shared" si="4"/>
        <v>0</v>
      </c>
      <c r="G17" s="4">
        <f t="shared" si="4"/>
        <v>16511</v>
      </c>
      <c r="H17" s="4">
        <f t="shared" si="4"/>
        <v>0</v>
      </c>
      <c r="I17" s="4">
        <f t="shared" si="4"/>
        <v>0</v>
      </c>
      <c r="J17" s="4">
        <f t="shared" si="4"/>
        <v>14000</v>
      </c>
      <c r="K17" s="4">
        <f t="shared" si="4"/>
        <v>0</v>
      </c>
      <c r="L17" s="4">
        <f t="shared" si="4"/>
        <v>0</v>
      </c>
      <c r="M17" s="4">
        <f t="shared" si="4"/>
        <v>13563</v>
      </c>
      <c r="N17" s="4">
        <f t="shared" si="4"/>
        <v>0</v>
      </c>
      <c r="O17" s="4">
        <f t="shared" si="4"/>
        <v>47772</v>
      </c>
    </row>
    <row r="19" spans="2:24" x14ac:dyDescent="0.3">
      <c r="B19" s="2" t="s">
        <v>7</v>
      </c>
    </row>
    <row r="20" spans="2:24" x14ac:dyDescent="0.3">
      <c r="B20" s="2" t="str">
        <f>B15</f>
        <v>Pay Items</v>
      </c>
      <c r="C20" s="1">
        <f t="shared" ref="C20:O20" si="5">C15</f>
        <v>45748</v>
      </c>
      <c r="D20" s="1">
        <f t="shared" si="5"/>
        <v>45778</v>
      </c>
      <c r="E20" s="1">
        <f t="shared" si="5"/>
        <v>45809</v>
      </c>
      <c r="F20" s="1">
        <f t="shared" si="5"/>
        <v>45839</v>
      </c>
      <c r="G20" s="1">
        <f t="shared" si="5"/>
        <v>45870</v>
      </c>
      <c r="H20" s="1">
        <f t="shared" si="5"/>
        <v>45901</v>
      </c>
      <c r="I20" s="1">
        <f t="shared" si="5"/>
        <v>45931</v>
      </c>
      <c r="J20" s="1">
        <f t="shared" si="5"/>
        <v>45962</v>
      </c>
      <c r="K20" s="1">
        <f t="shared" si="5"/>
        <v>45992</v>
      </c>
      <c r="L20" s="1">
        <f t="shared" si="5"/>
        <v>46023</v>
      </c>
      <c r="M20" s="1">
        <f t="shared" si="5"/>
        <v>46054</v>
      </c>
      <c r="N20" s="1">
        <f t="shared" si="5"/>
        <v>46082</v>
      </c>
      <c r="O20" s="1" t="str">
        <f t="shared" si="5"/>
        <v>Total</v>
      </c>
    </row>
    <row r="21" spans="2:24" x14ac:dyDescent="0.3">
      <c r="B21" t="s">
        <v>8</v>
      </c>
      <c r="C21" s="3">
        <f t="array" ref="C21:N21">TRANSPOSE(Sheet2!L8:L19)</f>
        <v>5600</v>
      </c>
      <c r="D21" s="3">
        <v>5600</v>
      </c>
      <c r="E21" s="3">
        <v>5600</v>
      </c>
      <c r="F21" s="3">
        <v>5600</v>
      </c>
      <c r="G21" s="3">
        <v>5600</v>
      </c>
      <c r="H21" s="3">
        <v>5600</v>
      </c>
      <c r="I21" s="3">
        <v>5600</v>
      </c>
      <c r="J21" s="3">
        <v>5600</v>
      </c>
      <c r="K21" s="3">
        <v>5600</v>
      </c>
      <c r="L21" s="3">
        <v>5600</v>
      </c>
      <c r="M21" s="3">
        <v>5600</v>
      </c>
      <c r="N21" s="3">
        <v>5600</v>
      </c>
      <c r="O21" s="4">
        <f>SUM(C21:N21)</f>
        <v>67200</v>
      </c>
    </row>
    <row r="22" spans="2:24" x14ac:dyDescent="0.3">
      <c r="B22" t="s">
        <v>9</v>
      </c>
      <c r="C22" s="3">
        <f t="array" ref="C22:N22">TRANSPOSE(Sheet2!N8:N19)</f>
        <v>200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300</v>
      </c>
      <c r="N22" s="3">
        <v>200</v>
      </c>
      <c r="O22" s="4">
        <f>SUM(C22:N22)</f>
        <v>2500</v>
      </c>
    </row>
    <row r="23" spans="2:24" x14ac:dyDescent="0.3">
      <c r="B23" t="s">
        <v>45</v>
      </c>
      <c r="C23" s="3">
        <f t="array" ref="C23:N23">TRANSPOSE(Sheet2!O8:O19)</f>
        <v>0</v>
      </c>
      <c r="D23" s="3">
        <v>0</v>
      </c>
      <c r="E23" s="3">
        <v>0</v>
      </c>
      <c r="F23" s="3">
        <v>0</v>
      </c>
      <c r="G23" s="3">
        <v>2121</v>
      </c>
      <c r="H23" s="3">
        <v>145</v>
      </c>
      <c r="I23" s="3">
        <v>145</v>
      </c>
      <c r="J23" s="3">
        <v>4802</v>
      </c>
      <c r="K23" s="3">
        <v>2620</v>
      </c>
      <c r="L23" s="3">
        <v>2619</v>
      </c>
      <c r="M23" s="3">
        <v>10733</v>
      </c>
      <c r="N23" s="3">
        <v>8618</v>
      </c>
      <c r="O23" s="4">
        <f>SUM(C23:N23)</f>
        <v>31803</v>
      </c>
      <c r="P23" s="5"/>
      <c r="Q23" s="5"/>
    </row>
    <row r="24" spans="2:24" x14ac:dyDescent="0.3">
      <c r="B24" s="2" t="s">
        <v>4</v>
      </c>
      <c r="C24" s="4">
        <f t="shared" ref="C24:O24" si="6">SUM(C21:C23)</f>
        <v>5800</v>
      </c>
      <c r="D24" s="4">
        <f t="shared" si="6"/>
        <v>5800</v>
      </c>
      <c r="E24" s="4">
        <f t="shared" si="6"/>
        <v>5800</v>
      </c>
      <c r="F24" s="4">
        <f t="shared" si="6"/>
        <v>5800</v>
      </c>
      <c r="G24" s="4">
        <f t="shared" si="6"/>
        <v>7921</v>
      </c>
      <c r="H24" s="4">
        <f t="shared" si="6"/>
        <v>5945</v>
      </c>
      <c r="I24" s="4">
        <f t="shared" si="6"/>
        <v>5945</v>
      </c>
      <c r="J24" s="4">
        <f t="shared" si="6"/>
        <v>10602</v>
      </c>
      <c r="K24" s="4">
        <f t="shared" si="6"/>
        <v>8420</v>
      </c>
      <c r="L24" s="4">
        <f t="shared" si="6"/>
        <v>8419</v>
      </c>
      <c r="M24" s="4">
        <f t="shared" si="6"/>
        <v>16633</v>
      </c>
      <c r="N24" s="4">
        <f t="shared" si="6"/>
        <v>14418</v>
      </c>
      <c r="O24" s="4">
        <f t="shared" si="6"/>
        <v>101503</v>
      </c>
      <c r="Q24" s="8"/>
    </row>
    <row r="26" spans="2:24" x14ac:dyDescent="0.3">
      <c r="B26" s="2" t="s">
        <v>10</v>
      </c>
    </row>
    <row r="27" spans="2:24" x14ac:dyDescent="0.3">
      <c r="B27" t="s">
        <v>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4">
        <f>SUM(C27:N27)</f>
        <v>0</v>
      </c>
      <c r="S27" s="9" t="s">
        <v>15</v>
      </c>
      <c r="T27">
        <v>400000</v>
      </c>
      <c r="U27" s="10">
        <v>0</v>
      </c>
      <c r="V27">
        <f>T27*U27</f>
        <v>0</v>
      </c>
    </row>
    <row r="28" spans="2:24" x14ac:dyDescent="0.3">
      <c r="B28" t="s">
        <v>4</v>
      </c>
      <c r="C28" s="4">
        <f>SUM(C27)</f>
        <v>0</v>
      </c>
      <c r="D28" s="4">
        <f t="shared" ref="D28:O28" si="7">SUM(D27)</f>
        <v>0</v>
      </c>
      <c r="E28" s="4">
        <f t="shared" si="7"/>
        <v>0</v>
      </c>
      <c r="F28" s="4">
        <f t="shared" si="7"/>
        <v>0</v>
      </c>
      <c r="G28" s="4">
        <f t="shared" si="7"/>
        <v>0</v>
      </c>
      <c r="H28" s="4">
        <f t="shared" si="7"/>
        <v>0</v>
      </c>
      <c r="I28" s="4">
        <f t="shared" si="7"/>
        <v>0</v>
      </c>
      <c r="J28" s="4">
        <f t="shared" si="7"/>
        <v>0</v>
      </c>
      <c r="K28" s="4">
        <f t="shared" si="7"/>
        <v>0</v>
      </c>
      <c r="L28" s="4">
        <f t="shared" si="7"/>
        <v>0</v>
      </c>
      <c r="M28" s="4">
        <f t="shared" si="7"/>
        <v>0</v>
      </c>
      <c r="N28" s="4">
        <f t="shared" si="7"/>
        <v>0</v>
      </c>
      <c r="O28" s="4">
        <f t="shared" si="7"/>
        <v>0</v>
      </c>
      <c r="S28" s="9" t="s">
        <v>16</v>
      </c>
      <c r="T28">
        <v>400000</v>
      </c>
      <c r="U28" s="10">
        <v>0.05</v>
      </c>
      <c r="V28">
        <f t="shared" ref="V28:V33" si="8">T28*U28</f>
        <v>20000</v>
      </c>
    </row>
    <row r="29" spans="2:24" x14ac:dyDescent="0.3">
      <c r="S29" s="9" t="s">
        <v>17</v>
      </c>
      <c r="T29">
        <v>400000</v>
      </c>
      <c r="U29" s="10">
        <v>0.1</v>
      </c>
      <c r="V29">
        <f t="shared" si="8"/>
        <v>40000</v>
      </c>
    </row>
    <row r="30" spans="2:24" x14ac:dyDescent="0.3">
      <c r="B30" s="2" t="s">
        <v>31</v>
      </c>
      <c r="C30" s="5">
        <f t="shared" ref="C30:N30" si="9">C12+C17</f>
        <v>104650</v>
      </c>
      <c r="D30" s="5">
        <f t="shared" si="9"/>
        <v>108348</v>
      </c>
      <c r="E30" s="5">
        <f t="shared" si="9"/>
        <v>105650</v>
      </c>
      <c r="F30" s="5">
        <f t="shared" si="9"/>
        <v>105650</v>
      </c>
      <c r="G30" s="5">
        <f t="shared" si="9"/>
        <v>121161</v>
      </c>
      <c r="H30" s="5">
        <f t="shared" si="9"/>
        <v>104650</v>
      </c>
      <c r="I30" s="5">
        <f t="shared" si="9"/>
        <v>104650</v>
      </c>
      <c r="J30" s="5">
        <f t="shared" si="9"/>
        <v>118650</v>
      </c>
      <c r="K30" s="5">
        <f t="shared" si="9"/>
        <v>104650</v>
      </c>
      <c r="L30" s="5">
        <f t="shared" si="9"/>
        <v>104650</v>
      </c>
      <c r="M30" s="5">
        <f t="shared" si="9"/>
        <v>118213</v>
      </c>
      <c r="N30" s="5">
        <f t="shared" si="9"/>
        <v>104650</v>
      </c>
      <c r="O30" s="34">
        <f>O12+O17</f>
        <v>1305572</v>
      </c>
      <c r="P30" s="5"/>
      <c r="Q30" s="5"/>
      <c r="S30" s="9" t="s">
        <v>18</v>
      </c>
      <c r="T30">
        <v>400000</v>
      </c>
      <c r="U30" s="10">
        <v>0.15</v>
      </c>
      <c r="V30">
        <f t="shared" si="8"/>
        <v>60000</v>
      </c>
      <c r="W30" s="5"/>
    </row>
    <row r="31" spans="2:24" x14ac:dyDescent="0.3">
      <c r="B31" t="s">
        <v>25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34">
        <v>-75000</v>
      </c>
      <c r="S31" s="9" t="s">
        <v>19</v>
      </c>
      <c r="T31">
        <v>400000</v>
      </c>
      <c r="U31" s="10">
        <v>0.2</v>
      </c>
      <c r="V31">
        <f t="shared" si="8"/>
        <v>80000</v>
      </c>
      <c r="X31" s="5"/>
    </row>
    <row r="32" spans="2:24" x14ac:dyDescent="0.3">
      <c r="B32" t="s">
        <v>26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34">
        <f>SUM(O30:O31)</f>
        <v>1230572</v>
      </c>
      <c r="P32" s="5"/>
      <c r="S32" s="9" t="s">
        <v>20</v>
      </c>
      <c r="T32">
        <v>400000</v>
      </c>
      <c r="U32" s="10">
        <v>0.25</v>
      </c>
      <c r="V32">
        <f t="shared" si="8"/>
        <v>100000</v>
      </c>
    </row>
    <row r="33" spans="2:22" x14ac:dyDescent="0.3">
      <c r="B33" t="s">
        <v>22</v>
      </c>
      <c r="O33" s="3">
        <f>ROUNDUP(IF(O32&gt;2400000,(300000+(O32-2400000)*30%),IF(O32&gt;2000000,200000+(O32-2000000)*25%,IF(O32&gt;1600000,120000+(O32-1600000)*20%,IF(O32&gt;1200000,60000+(O32-1200000)*15%,IF(O32&gt;800000,20000+(O32-800000)*10%,IF(O32&gt;400000,(O32-400000)*5%,0)))))),0)</f>
        <v>64586</v>
      </c>
      <c r="Q33">
        <v>70589</v>
      </c>
      <c r="S33" t="s">
        <v>21</v>
      </c>
      <c r="U33" s="10">
        <v>0.3</v>
      </c>
      <c r="V33">
        <f t="shared" si="8"/>
        <v>0</v>
      </c>
    </row>
    <row r="34" spans="2:22" x14ac:dyDescent="0.3">
      <c r="B34" t="s">
        <v>23</v>
      </c>
      <c r="O34" s="5">
        <f>-IF(O32&lt;1200000,MIN(O33,60000),0)</f>
        <v>0</v>
      </c>
      <c r="Q34">
        <v>1200000</v>
      </c>
    </row>
    <row r="35" spans="2:22" x14ac:dyDescent="0.3">
      <c r="B35" t="s">
        <v>24</v>
      </c>
      <c r="N35" s="2"/>
      <c r="O35" s="5">
        <f>SUM(O33:O34)</f>
        <v>64586</v>
      </c>
      <c r="Q35">
        <f>SUM(Q33:Q34)</f>
        <v>1270589</v>
      </c>
    </row>
    <row r="36" spans="2:22" x14ac:dyDescent="0.3">
      <c r="B36" t="s">
        <v>48</v>
      </c>
      <c r="N36" s="2"/>
      <c r="O36" s="5">
        <f>-IF(O33&gt;(O32-1200000),O33-(O32-1200000),0)</f>
        <v>-34014</v>
      </c>
      <c r="Q36" s="5">
        <f>Q35-O32</f>
        <v>40017</v>
      </c>
    </row>
    <row r="37" spans="2:22" x14ac:dyDescent="0.3">
      <c r="B37" t="s">
        <v>24</v>
      </c>
      <c r="N37" s="2"/>
      <c r="O37" s="5">
        <f>SUM(O35:O36)</f>
        <v>30572</v>
      </c>
    </row>
    <row r="38" spans="2:22" x14ac:dyDescent="0.3">
      <c r="B38" t="s">
        <v>29</v>
      </c>
      <c r="N38" s="10">
        <v>0.04</v>
      </c>
      <c r="O38" s="5">
        <f>O37*N38</f>
        <v>1222.8800000000001</v>
      </c>
    </row>
    <row r="39" spans="2:22" x14ac:dyDescent="0.3">
      <c r="B39" s="2" t="s">
        <v>30</v>
      </c>
      <c r="O39" s="11">
        <f>SUM(O37:O38)</f>
        <v>31794.880000000001</v>
      </c>
    </row>
    <row r="40" spans="2:22" x14ac:dyDescent="0.3">
      <c r="O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2015-06-05T18:17:20Z</dcterms:created>
  <dcterms:modified xsi:type="dcterms:W3CDTF">2026-03-13T16:29:21Z</dcterms:modified>
</cp:coreProperties>
</file>