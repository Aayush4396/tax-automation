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filterPrivacy="1" defaultThemeVersion="124226"/>
  <xr:revisionPtr revIDLastSave="0" documentId="13_ncr:1_{557AE14E-292B-4B10-BDC7-8A3D85AD65E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ummary" sheetId="1" r:id="rId1"/>
    <sheet name="Scheme_Level_Summary" sheetId="2" r:id="rId2"/>
    <sheet name="Trasaction_Details" sheetId="3" r:id="rId3"/>
  </sheets>
  <definedNames>
    <definedName name="_xlnm._FilterDatabase" localSheetId="2" hidden="1">Trasaction_Details!$A$6:$Z$72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G5" i="3"/>
  <c r="H5" i="3"/>
  <c r="K5" i="3"/>
  <c r="M5" i="3"/>
  <c r="N5" i="3"/>
  <c r="Q5" i="3"/>
  <c r="R5" i="3"/>
</calcChain>
</file>

<file path=xl/sharedStrings.xml><?xml version="1.0" encoding="utf-8"?>
<sst xmlns="http://schemas.openxmlformats.org/spreadsheetml/2006/main" count="553" uniqueCount="97">
  <si>
    <r>
      <t xml:space="preserve">Outflow
</t>
    </r>
    <r>
      <rPr>
        <b/>
        <sz val="8"/>
        <color indexed="12"/>
        <rFont val="Trebuchet MS"/>
        <charset val="1"/>
      </rPr>
      <t>Amount</t>
    </r>
  </si>
  <si>
    <r>
      <t>Name:</t>
    </r>
    <r>
      <rPr>
        <sz val="10"/>
        <color indexed="8"/>
        <rFont val="Trebuchet MS"/>
        <charset val="1"/>
      </rPr>
      <t>AAYUSH KUMAR GUPTA</t>
    </r>
  </si>
  <si>
    <r>
      <t>pan   :</t>
    </r>
    <r>
      <rPr>
        <sz val="10"/>
        <color indexed="8"/>
        <rFont val="Trebuchet MS"/>
        <charset val="1"/>
      </rPr>
      <t>BRGPG8066G</t>
    </r>
  </si>
  <si>
    <r>
      <t xml:space="preserve">  </t>
    </r>
    <r>
      <rPr>
        <b/>
        <sz val="8"/>
        <color indexed="8"/>
        <rFont val="Trebuchet MS"/>
        <charset val="1"/>
      </rPr>
      <t>Mirae Asset Mutual Fund</t>
    </r>
  </si>
  <si>
    <r>
      <t xml:space="preserve">     </t>
    </r>
    <r>
      <rPr>
        <b/>
        <sz val="8"/>
        <color indexed="8"/>
        <rFont val="Trebuchet MS"/>
        <charset val="1"/>
      </rPr>
      <t>79921832103</t>
    </r>
  </si>
  <si>
    <r>
      <t xml:space="preserve">  </t>
    </r>
    <r>
      <rPr>
        <b/>
        <sz val="8"/>
        <color indexed="8"/>
        <rFont val="Trebuchet MS"/>
        <charset val="1"/>
      </rPr>
      <t>Mirae Asset Large Cap Fund - Regular Plan IDCW ( INF769K01028)</t>
    </r>
  </si>
  <si>
    <r>
      <t xml:space="preserve">  </t>
    </r>
    <r>
      <rPr>
        <b/>
        <sz val="8"/>
        <color indexed="8"/>
        <rFont val="Trebuchet MS"/>
        <charset val="1"/>
      </rPr>
      <t>INVESCO MUTUAL FUND</t>
    </r>
  </si>
  <si>
    <r>
      <t xml:space="preserve">     </t>
    </r>
    <r>
      <rPr>
        <b/>
        <sz val="8"/>
        <color indexed="8"/>
        <rFont val="Trebuchet MS"/>
        <charset val="1"/>
      </rPr>
      <t>3102041601</t>
    </r>
  </si>
  <si>
    <r>
      <t xml:space="preserve">  </t>
    </r>
    <r>
      <rPr>
        <b/>
        <sz val="8"/>
        <color indexed="8"/>
        <rFont val="Trebuchet MS"/>
        <charset val="1"/>
      </rPr>
      <t xml:space="preserve">Invesco India Large &amp; Mid Cap Fund - Regular Growth INF205K01247 </t>
    </r>
  </si>
  <si>
    <r>
      <t xml:space="preserve">  </t>
    </r>
    <r>
      <rPr>
        <b/>
        <sz val="8"/>
        <color indexed="8"/>
        <rFont val="Trebuchet MS"/>
        <charset val="1"/>
      </rPr>
      <t xml:space="preserve">Invesco India Focused Fund - Regular Plan - Growth INF205KA1189 </t>
    </r>
  </si>
  <si>
    <r>
      <t xml:space="preserve">     </t>
    </r>
    <r>
      <rPr>
        <b/>
        <sz val="8"/>
        <color indexed="8"/>
        <rFont val="Trebuchet MS"/>
        <charset val="1"/>
      </rPr>
      <t>2104118234</t>
    </r>
  </si>
  <si>
    <r>
      <t xml:space="preserve">  </t>
    </r>
    <r>
      <rPr>
        <b/>
        <sz val="8"/>
        <color indexed="8"/>
        <rFont val="Trebuchet MS"/>
        <charset val="1"/>
      </rPr>
      <t xml:space="preserve">Invesco India Multicap Fund - Regular Growth INF205K01DN2 </t>
    </r>
  </si>
  <si>
    <t>Capital Gain / Loss – Overall Summary</t>
  </si>
  <si>
    <t>Summary Of Capital Gains</t>
  </si>
  <si>
    <t>01/04 to 15/06</t>
  </si>
  <si>
    <t>16/06 to 15/09</t>
  </si>
  <si>
    <t>16/09 to 15/12</t>
  </si>
  <si>
    <t>16/12 to 15/03</t>
  </si>
  <si>
    <t>16/03 to 31/03</t>
  </si>
  <si>
    <t>Total</t>
  </si>
  <si>
    <t>Short Term Capital Gain</t>
  </si>
  <si>
    <t>Full Value Consideration</t>
  </si>
  <si>
    <t>Cost of Acquisition</t>
  </si>
  <si>
    <t>Short Term Capital Gain/Loss</t>
  </si>
  <si>
    <t>Long Term Capital Gain with Indexation</t>
  </si>
  <si>
    <t>Fair Market Value Of capital asset as per section 55(2)(ac)</t>
  </si>
  <si>
    <t>LongTermWithIndex-CapitalGain/Loss</t>
  </si>
  <si>
    <t>Long Term Capital Gain without Indexation</t>
  </si>
  <si>
    <t>LongTermWithOutIndex-CapitalGain/Loss</t>
  </si>
  <si>
    <t>Capital Gain / Loss – Scheme level</t>
  </si>
  <si>
    <t>Scheme Name</t>
  </si>
  <si>
    <t>Count</t>
  </si>
  <si>
    <t>Net Value</t>
  </si>
  <si>
    <t>Fair Market NAV</t>
  </si>
  <si>
    <t>Fair Market Value</t>
  </si>
  <si>
    <t>Short Gain</t>
  </si>
  <si>
    <t>Long Gain With Index</t>
  </si>
  <si>
    <t>Long Gain Without Index</t>
  </si>
  <si>
    <t>Mirae Asset Large Cap Fund - Regular Plan IDCW ( INF769K01028)</t>
  </si>
  <si>
    <t>71160.31</t>
  </si>
  <si>
    <t>47091.93</t>
  </si>
  <si>
    <t>0</t>
  </si>
  <si>
    <t>0.00</t>
  </si>
  <si>
    <t>24068.38</t>
  </si>
  <si>
    <t xml:space="preserve">Invesco India Focused Fund - Regular Plan - Growth INF205KA1189 </t>
  </si>
  <si>
    <t>74145.30</t>
  </si>
  <si>
    <t>66700.18</t>
  </si>
  <si>
    <t>7445.12</t>
  </si>
  <si>
    <t xml:space="preserve">Invesco India Large &amp; Mid Cap Fund - Regular Growth INF205K01247 </t>
  </si>
  <si>
    <t>66700.85</t>
  </si>
  <si>
    <t>33000.02</t>
  </si>
  <si>
    <t>33.6</t>
  </si>
  <si>
    <t>33700.83</t>
  </si>
  <si>
    <t xml:space="preserve">Invesco India Multicap Fund - Regular Growth INF205K01DN2 </t>
  </si>
  <si>
    <t>117706.30</t>
  </si>
  <si>
    <t>57358.68</t>
  </si>
  <si>
    <t>51.57</t>
  </si>
  <si>
    <t>60347.62</t>
  </si>
  <si>
    <t>Section A :Subscriptions</t>
  </si>
  <si>
    <t>Section B : Outflows</t>
  </si>
  <si>
    <t>Section C : Gains/Losses</t>
  </si>
  <si>
    <t xml:space="preserve">Fund </t>
  </si>
  <si>
    <t xml:space="preserve"> Fund Name</t>
  </si>
  <si>
    <t>Folio Number</t>
  </si>
  <si>
    <t>Trxn.Type</t>
  </si>
  <si>
    <t>Date</t>
  </si>
  <si>
    <t>Current Units</t>
  </si>
  <si>
    <t>Source Scheme units</t>
  </si>
  <si>
    <t>Original Purchase Cost</t>
  </si>
  <si>
    <t>Original Cost Amount</t>
  </si>
  <si>
    <t> Grandfathered
 NAV as on 31/01/2018</t>
  </si>
  <si>
    <t>GrandFathered Cost Value</t>
  </si>
  <si>
    <t>IT Applicable
NAV</t>
  </si>
  <si>
    <t>IT Applicable
Cost Value</t>
  </si>
  <si>
    <t>Units</t>
  </si>
  <si>
    <t>Amount</t>
  </si>
  <si>
    <t>Price</t>
  </si>
  <si>
    <t>Tax Perc</t>
  </si>
  <si>
    <t>Tax</t>
  </si>
  <si>
    <t>Short Term</t>
  </si>
  <si>
    <t>Indexed Cost</t>
  </si>
  <si>
    <t>Long Term With Index</t>
  </si>
  <si>
    <t>Long Term Without Index</t>
  </si>
  <si>
    <t>117</t>
  </si>
  <si>
    <t>Systematic Investment</t>
  </si>
  <si>
    <t>Lateral Shift Out</t>
  </si>
  <si>
    <t>Div. Reinvestment</t>
  </si>
  <si>
    <t>120</t>
  </si>
  <si>
    <t>Lateral Shift In</t>
  </si>
  <si>
    <t>Redemption</t>
  </si>
  <si>
    <t xml:space="preserve">120 </t>
  </si>
  <si>
    <t>Demat Transfer In</t>
  </si>
  <si>
    <t>Mirae Asset Large Cap Fund- DR</t>
  </si>
  <si>
    <t>Name in Sheet</t>
  </si>
  <si>
    <t>Invesco India Growth Opportunities Fund GR</t>
  </si>
  <si>
    <t>Invesco India Focused Fund - Regular Plan</t>
  </si>
  <si>
    <t>INVESCO INDIA MULTICAP FUND - GROWTH -- (SIP)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</si>
</sst>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00;\(0.0000\)"/>
    <numFmt numFmtId="165" formatCode="[$-10409]0.0000;\(0.0000\);&quot;0&quot;"/>
  </numFmts>
  <fonts count="8" x14ac:knownFonts="1">
    <font>
      <sz val="10"/>
      <name val="Arial"/>
    </font>
    <font>
      <b/>
      <sz val="10"/>
      <color indexed="9"/>
      <name val="Trebuchet MS"/>
      <charset val="1"/>
    </font>
    <font>
      <b/>
      <sz val="8"/>
      <color indexed="12"/>
      <name val="Trebuchet MS"/>
      <charset val="1"/>
    </font>
    <font>
      <sz val="8"/>
      <color indexed="8"/>
      <name val="Trebuchet MS"/>
      <charset val="1"/>
    </font>
    <font>
      <b/>
      <sz val="8"/>
      <color indexed="8"/>
      <name val="Trebuchet MS"/>
      <charset val="1"/>
    </font>
    <font>
      <sz val="10"/>
      <color indexed="8"/>
      <name val="Trebuchet MS"/>
      <charset val="1"/>
    </font>
    <font>
      <b/>
      <sz val="10"/>
      <color indexed="8"/>
      <name val="Arial"/>
      <charset val="1"/>
    </font>
    <font>
      <b/>
      <sz val="9"/>
      <color indexed="8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3"/>
        <bgColor indexed="0"/>
      </patternFill>
    </fill>
    <fill>
      <patternFill patternType="solid">
        <fgColor indexed="12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rgb="FF92D050"/>
        <bgColor indexed="0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ashed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4" xfId="0" applyFont="1" applyFill="1" applyBorder="1" applyAlignment="1" applyProtection="1">
      <alignment horizontal="center" vertical="top" wrapText="1" readingOrder="1"/>
      <protection locked="0"/>
    </xf>
    <xf numFmtId="0" fontId="3" fillId="3" borderId="5" xfId="0" applyFont="1" applyFill="1" applyBorder="1" applyAlignment="1" applyProtection="1">
      <alignment vertical="center" wrapText="1" readingOrder="1"/>
      <protection locked="0"/>
    </xf>
    <xf numFmtId="0" fontId="3" fillId="3" borderId="6" xfId="0" applyFont="1" applyFill="1" applyBorder="1" applyAlignment="1" applyProtection="1">
      <alignment horizontal="right" vertical="center" wrapText="1" readingOrder="1"/>
      <protection locked="0"/>
    </xf>
    <xf numFmtId="0" fontId="3" fillId="3" borderId="7" xfId="0" applyFont="1" applyFill="1" applyBorder="1" applyAlignment="1" applyProtection="1">
      <alignment horizontal="right" vertical="center" wrapText="1" readingOrder="1"/>
      <protection locked="0"/>
    </xf>
    <xf numFmtId="0" fontId="4" fillId="3" borderId="8" xfId="0" applyFont="1" applyFill="1" applyBorder="1" applyAlignment="1" applyProtection="1">
      <alignment horizontal="right" vertical="center" wrapText="1" readingOrder="1"/>
      <protection locked="0"/>
    </xf>
    <xf numFmtId="0" fontId="3" fillId="0" borderId="5" xfId="0" applyFont="1" applyBorder="1" applyAlignment="1" applyProtection="1">
      <alignment vertical="center" wrapText="1" readingOrder="1"/>
      <protection locked="0"/>
    </xf>
    <xf numFmtId="0" fontId="3" fillId="0" borderId="6" xfId="0" applyFont="1" applyBorder="1" applyAlignment="1" applyProtection="1">
      <alignment horizontal="right" vertical="center" wrapText="1" readingOrder="1"/>
      <protection locked="0"/>
    </xf>
    <xf numFmtId="0" fontId="3" fillId="0" borderId="7" xfId="0" applyFont="1" applyBorder="1" applyAlignment="1" applyProtection="1">
      <alignment horizontal="right" vertical="center" wrapText="1" readingOrder="1"/>
      <protection locked="0"/>
    </xf>
    <xf numFmtId="0" fontId="4" fillId="0" borderId="8" xfId="0" applyFont="1" applyBorder="1" applyAlignment="1" applyProtection="1">
      <alignment horizontal="right" vertical="center" wrapText="1" readingOrder="1"/>
      <protection locked="0"/>
    </xf>
    <xf numFmtId="0" fontId="2" fillId="2" borderId="1" xfId="0" applyFont="1" applyFill="1" applyBorder="1" applyAlignment="1" applyProtection="1">
      <alignment horizontal="center" vertical="center" wrapText="1" readingOrder="1"/>
      <protection locked="0"/>
    </xf>
    <xf numFmtId="0" fontId="3" fillId="0" borderId="5" xfId="0" applyFont="1" applyBorder="1" applyAlignment="1" applyProtection="1">
      <alignment horizontal="left" vertical="center" wrapText="1" readingOrder="1"/>
      <protection locked="0"/>
    </xf>
    <xf numFmtId="0" fontId="3" fillId="0" borderId="9" xfId="0" applyFont="1" applyBorder="1" applyAlignment="1" applyProtection="1">
      <alignment horizontal="right" vertical="top" wrapText="1" readingOrder="1"/>
      <protection locked="0"/>
    </xf>
    <xf numFmtId="0" fontId="3" fillId="0" borderId="10" xfId="0" applyFont="1" applyBorder="1" applyAlignment="1" applyProtection="1">
      <alignment horizontal="right" vertical="top" wrapText="1" readingOrder="1"/>
      <protection locked="0"/>
    </xf>
    <xf numFmtId="0" fontId="3" fillId="0" borderId="11" xfId="0" applyFont="1" applyBorder="1" applyAlignment="1" applyProtection="1">
      <alignment horizontal="right" vertical="top" wrapText="1" readingOrder="1"/>
      <protection locked="0"/>
    </xf>
    <xf numFmtId="0" fontId="4" fillId="5" borderId="1" xfId="0" applyFont="1" applyFill="1" applyBorder="1" applyAlignment="1" applyProtection="1">
      <alignment horizontal="center" vertical="top" wrapText="1" readingOrder="1"/>
      <protection locked="0"/>
    </xf>
    <xf numFmtId="0" fontId="4" fillId="5" borderId="1" xfId="0" applyFont="1" applyFill="1" applyBorder="1" applyAlignment="1" applyProtection="1">
      <alignment horizontal="right" vertical="top" wrapText="1" readingOrder="1"/>
      <protection locked="0"/>
    </xf>
    <xf numFmtId="0" fontId="5" fillId="0" borderId="12" xfId="0" applyFont="1" applyBorder="1" applyAlignment="1" applyProtection="1">
      <alignment horizontal="left" vertical="center" wrapText="1" readingOrder="1"/>
      <protection locked="0"/>
    </xf>
    <xf numFmtId="0" fontId="1" fillId="0" borderId="0" xfId="0" applyFont="1" applyAlignment="1" applyProtection="1">
      <alignment horizontal="center" vertical="center" wrapText="1" readingOrder="1"/>
      <protection locked="0"/>
    </xf>
    <xf numFmtId="0" fontId="2" fillId="2" borderId="16" xfId="0" applyFont="1" applyFill="1" applyBorder="1" applyAlignment="1" applyProtection="1">
      <alignment horizontal="center" vertical="center" wrapText="1" readingOrder="1"/>
      <protection locked="0"/>
    </xf>
    <xf numFmtId="0" fontId="0" fillId="0" borderId="14" xfId="0" applyBorder="1" applyAlignment="1" applyProtection="1">
      <alignment vertical="top" wrapText="1"/>
      <protection locked="0"/>
    </xf>
    <xf numFmtId="0" fontId="7" fillId="0" borderId="14" xfId="0" applyFont="1" applyBorder="1" applyAlignment="1" applyProtection="1">
      <alignment horizontal="center" vertical="center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1" fillId="4" borderId="1" xfId="0" applyFont="1" applyFill="1" applyBorder="1" applyAlignment="1" applyProtection="1">
      <alignment horizontal="center" vertical="top" wrapText="1" readingOrder="1"/>
      <protection locked="0"/>
    </xf>
    <xf numFmtId="0" fontId="6" fillId="0" borderId="13" xfId="0" applyFont="1" applyBorder="1" applyAlignment="1" applyProtection="1">
      <alignment horizontal="left" vertical="center" wrapText="1" readingOrder="1"/>
      <protection locked="0"/>
    </xf>
    <xf numFmtId="0" fontId="0" fillId="0" borderId="14" xfId="0" applyBorder="1" applyAlignment="1" applyProtection="1">
      <alignment vertical="top" wrapText="1"/>
      <protection locked="0"/>
    </xf>
    <xf numFmtId="0" fontId="0" fillId="0" borderId="15" xfId="0" applyBorder="1" applyAlignment="1" applyProtection="1">
      <alignment vertical="top" wrapText="1"/>
      <protection locked="0"/>
    </xf>
    <xf numFmtId="0" fontId="7" fillId="0" borderId="15" xfId="0" applyFont="1" applyBorder="1" applyAlignment="1" applyProtection="1">
      <alignment horizontal="center" vertical="center" wrapText="1" readingOrder="1"/>
      <protection locked="0"/>
    </xf>
    <xf numFmtId="0" fontId="7" fillId="0" borderId="14" xfId="0" applyFont="1" applyBorder="1" applyAlignment="1" applyProtection="1">
      <alignment horizontal="center" vertical="center" wrapText="1" readingOrder="1"/>
      <protection locked="0"/>
    </xf>
    <xf numFmtId="0" fontId="6" fillId="0" borderId="17" xfId="0" applyFont="1" applyBorder="1" applyAlignment="1" applyProtection="1">
      <alignment horizontal="left" vertical="center" wrapText="1" readingOrder="1"/>
      <protection locked="0"/>
    </xf>
    <xf numFmtId="0" fontId="4" fillId="6" borderId="16" xfId="0" applyFont="1" applyFill="1" applyBorder="1" applyAlignment="1" applyProtection="1">
      <alignment horizontal="center" vertical="center" readingOrder="1"/>
      <protection locked="0"/>
    </xf>
    <xf numFmtId="0" fontId="4" fillId="6" borderId="16" xfId="0" applyFont="1" applyFill="1" applyBorder="1" applyAlignment="1" applyProtection="1">
      <alignment vertical="center" readingOrder="1"/>
      <protection locked="0"/>
    </xf>
    <xf numFmtId="14" fontId="4" fillId="6" borderId="1" xfId="0" applyNumberFormat="1" applyFont="1" applyFill="1" applyBorder="1" applyAlignment="1" applyProtection="1">
      <alignment vertical="center" readingOrder="1"/>
      <protection locked="0"/>
    </xf>
    <xf numFmtId="0" fontId="4" fillId="6" borderId="16" xfId="0" applyNumberFormat="1" applyFont="1" applyFill="1" applyBorder="1" applyAlignment="1" applyProtection="1">
      <alignment horizontal="right" vertical="center" readingOrder="1"/>
      <protection locked="0"/>
    </xf>
    <xf numFmtId="0" fontId="4" fillId="6" borderId="1" xfId="0" applyFont="1" applyFill="1" applyBorder="1" applyAlignment="1" applyProtection="1">
      <alignment horizontal="right" vertical="center" readingOrder="1"/>
      <protection locked="0"/>
    </xf>
    <xf numFmtId="164" fontId="4" fillId="6" borderId="1" xfId="0" applyNumberFormat="1" applyFont="1" applyFill="1" applyBorder="1" applyAlignment="1" applyProtection="1">
      <alignment horizontal="right" vertical="center" readingOrder="1"/>
      <protection locked="0"/>
    </xf>
    <xf numFmtId="0" fontId="4" fillId="6" borderId="1" xfId="0" applyNumberFormat="1" applyFont="1" applyFill="1" applyBorder="1" applyAlignment="1" applyProtection="1">
      <alignment horizontal="right" vertical="center" readingOrder="1"/>
      <protection locked="0"/>
    </xf>
    <xf numFmtId="165" fontId="4" fillId="6" borderId="1" xfId="0" applyNumberFormat="1" applyFont="1" applyFill="1" applyBorder="1" applyAlignment="1" applyProtection="1">
      <alignment horizontal="right" vertical="center" readingOrder="1"/>
      <protection locked="0"/>
    </xf>
    <xf numFmtId="14" fontId="4" fillId="6" borderId="16" xfId="0" applyNumberFormat="1" applyFont="1" applyFill="1" applyBorder="1" applyAlignment="1" applyProtection="1">
      <alignment vertical="center" readingOrder="1"/>
      <protection locked="0"/>
    </xf>
    <xf numFmtId="0" fontId="4" fillId="6" borderId="16" xfId="0" applyFont="1" applyFill="1" applyBorder="1" applyAlignment="1" applyProtection="1">
      <alignment horizontal="right" vertical="center" readingOrder="1"/>
      <protection locked="0"/>
    </xf>
    <xf numFmtId="0" fontId="0" fillId="7" borderId="0" xfId="0" applyFill="1" applyAlignment="1"/>
    <xf numFmtId="0" fontId="2" fillId="2" borderId="18" xfId="0" applyFont="1" applyFill="1" applyBorder="1" applyAlignment="1" applyProtection="1">
      <alignment horizontal="center" vertical="center" wrapText="1" readingOrder="1"/>
      <protection locked="0"/>
    </xf>
  </cellXfs>
  <cellStyles count="1"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0080"/>
      <rgbColor rgb="006495ED"/>
      <rgbColor rgb="00A52A2A"/>
      <rgbColor rgb="00FFFFFF"/>
      <rgbColor rgb="00D3D3D3"/>
      <rgbColor rgb="00F0E68C"/>
      <rgbColor rgb="00F5F5F5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8"/>
  <sheetViews>
    <sheetView showGridLines="0" topLeftCell="B2" workbookViewId="0">
      <selection activeCell="C8" sqref="C8"/>
    </sheetView>
  </sheetViews>
  <sheetFormatPr defaultRowHeight="13.2" x14ac:dyDescent="0.25"/>
  <cols>
    <col min="1" max="1" width="0" hidden="1" customWidth="1"/>
    <col min="2" max="2" width="38" customWidth="1"/>
    <col min="3" max="3" width="16.33203125" customWidth="1"/>
    <col min="4" max="4" width="15" customWidth="1"/>
    <col min="5" max="5" width="14.88671875" customWidth="1"/>
    <col min="6" max="6" width="12.44140625" customWidth="1"/>
    <col min="7" max="7" width="13.44140625" customWidth="1"/>
    <col min="8" max="8" width="12.33203125" customWidth="1"/>
    <col min="9" max="9" width="0" hidden="1" customWidth="1"/>
    <col min="10" max="10" width="255" customWidth="1"/>
  </cols>
  <sheetData>
    <row r="1" spans="2:8" ht="0.45" customHeight="1" x14ac:dyDescent="0.25"/>
    <row r="2" spans="2:8" ht="17.100000000000001" customHeight="1" x14ac:dyDescent="0.25">
      <c r="B2" s="22" t="s">
        <v>12</v>
      </c>
      <c r="C2" s="23"/>
      <c r="D2" s="23"/>
      <c r="E2" s="23"/>
      <c r="F2" s="23"/>
      <c r="G2" s="23"/>
      <c r="H2" s="24"/>
    </row>
    <row r="3" spans="2:8" ht="11.1" customHeight="1" x14ac:dyDescent="0.25">
      <c r="B3" s="22"/>
      <c r="C3" s="23"/>
      <c r="D3" s="23"/>
      <c r="E3" s="23"/>
      <c r="F3" s="23"/>
      <c r="G3" s="23"/>
      <c r="H3" s="24"/>
    </row>
    <row r="4" spans="2:8" x14ac:dyDescent="0.25"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</row>
    <row r="5" spans="2:8" x14ac:dyDescent="0.25">
      <c r="B5" s="2" t="s">
        <v>20</v>
      </c>
      <c r="C5" s="3"/>
      <c r="D5" s="4"/>
      <c r="E5" s="4"/>
      <c r="F5" s="4"/>
      <c r="G5" s="4"/>
      <c r="H5" s="5"/>
    </row>
    <row r="6" spans="2:8" x14ac:dyDescent="0.25">
      <c r="B6" s="6" t="s">
        <v>21</v>
      </c>
      <c r="C6" s="7">
        <v>0</v>
      </c>
      <c r="D6" s="8">
        <v>0</v>
      </c>
      <c r="E6" s="8">
        <v>0</v>
      </c>
      <c r="F6" s="8">
        <v>0</v>
      </c>
      <c r="G6" s="8">
        <v>74145.3</v>
      </c>
      <c r="H6" s="9">
        <v>74145.3</v>
      </c>
    </row>
    <row r="7" spans="2:8" x14ac:dyDescent="0.25">
      <c r="B7" s="6" t="s">
        <v>22</v>
      </c>
      <c r="C7" s="7">
        <v>0</v>
      </c>
      <c r="D7" s="8">
        <v>0</v>
      </c>
      <c r="E7" s="8">
        <v>0</v>
      </c>
      <c r="F7" s="8">
        <v>0</v>
      </c>
      <c r="G7" s="8">
        <v>66700.179999999993</v>
      </c>
      <c r="H7" s="9">
        <v>66700.179999999993</v>
      </c>
    </row>
    <row r="8" spans="2:8" x14ac:dyDescent="0.25">
      <c r="B8" s="6" t="s">
        <v>23</v>
      </c>
      <c r="C8" s="7">
        <v>0</v>
      </c>
      <c r="D8" s="8">
        <v>0</v>
      </c>
      <c r="E8" s="8">
        <v>0</v>
      </c>
      <c r="F8" s="8">
        <v>0</v>
      </c>
      <c r="G8" s="8">
        <v>7445.12</v>
      </c>
      <c r="H8" s="9">
        <v>7445.12</v>
      </c>
    </row>
    <row r="9" spans="2:8" x14ac:dyDescent="0.25">
      <c r="B9" s="2" t="s">
        <v>24</v>
      </c>
      <c r="C9" s="3"/>
      <c r="D9" s="4"/>
      <c r="E9" s="4"/>
      <c r="F9" s="4"/>
      <c r="G9" s="4"/>
      <c r="H9" s="5"/>
    </row>
    <row r="10" spans="2:8" ht="24" x14ac:dyDescent="0.25">
      <c r="B10" s="6" t="s">
        <v>25</v>
      </c>
      <c r="C10" s="7">
        <v>0</v>
      </c>
      <c r="D10" s="8">
        <v>0</v>
      </c>
      <c r="E10" s="8">
        <v>0</v>
      </c>
      <c r="F10" s="8">
        <v>0</v>
      </c>
      <c r="G10" s="8">
        <v>33284.410000000003</v>
      </c>
      <c r="H10" s="9">
        <v>33284.410000000003</v>
      </c>
    </row>
    <row r="11" spans="2:8" x14ac:dyDescent="0.25">
      <c r="B11" s="6" t="s">
        <v>21</v>
      </c>
      <c r="C11" s="7">
        <v>0</v>
      </c>
      <c r="D11" s="8">
        <v>0</v>
      </c>
      <c r="E11" s="8">
        <v>0</v>
      </c>
      <c r="F11" s="8">
        <v>0</v>
      </c>
      <c r="G11" s="8">
        <v>0</v>
      </c>
      <c r="H11" s="9"/>
    </row>
    <row r="12" spans="2:8" x14ac:dyDescent="0.25">
      <c r="B12" s="6" t="s">
        <v>22</v>
      </c>
      <c r="C12" s="7">
        <v>0</v>
      </c>
      <c r="D12" s="8">
        <v>0</v>
      </c>
      <c r="E12" s="8">
        <v>0</v>
      </c>
      <c r="F12" s="8">
        <v>0</v>
      </c>
      <c r="G12" s="8">
        <v>0</v>
      </c>
      <c r="H12" s="9"/>
    </row>
    <row r="13" spans="2:8" x14ac:dyDescent="0.25">
      <c r="B13" s="6" t="s">
        <v>26</v>
      </c>
      <c r="C13" s="7">
        <v>0</v>
      </c>
      <c r="D13" s="8">
        <v>0</v>
      </c>
      <c r="E13" s="8">
        <v>0</v>
      </c>
      <c r="F13" s="8">
        <v>0</v>
      </c>
      <c r="G13" s="8">
        <v>0</v>
      </c>
      <c r="H13" s="9"/>
    </row>
    <row r="14" spans="2:8" x14ac:dyDescent="0.25">
      <c r="B14" s="2" t="s">
        <v>27</v>
      </c>
      <c r="C14" s="3"/>
      <c r="D14" s="4"/>
      <c r="E14" s="4"/>
      <c r="F14" s="4"/>
      <c r="G14" s="4"/>
      <c r="H14" s="5"/>
    </row>
    <row r="15" spans="2:8" ht="24" x14ac:dyDescent="0.25">
      <c r="B15" s="6" t="s">
        <v>25</v>
      </c>
      <c r="C15" s="7">
        <v>0</v>
      </c>
      <c r="D15" s="8">
        <v>0</v>
      </c>
      <c r="E15" s="8">
        <v>0</v>
      </c>
      <c r="F15" s="8">
        <v>0</v>
      </c>
      <c r="G15" s="8">
        <v>33284.410000000003</v>
      </c>
      <c r="H15" s="9">
        <v>33284.410000000003</v>
      </c>
    </row>
    <row r="16" spans="2:8" x14ac:dyDescent="0.25">
      <c r="B16" s="6" t="s">
        <v>21</v>
      </c>
      <c r="C16" s="7">
        <v>0</v>
      </c>
      <c r="D16" s="8">
        <v>0</v>
      </c>
      <c r="E16" s="8">
        <v>137861.16</v>
      </c>
      <c r="F16" s="8">
        <v>0</v>
      </c>
      <c r="G16" s="8">
        <v>117706.3</v>
      </c>
      <c r="H16" s="9">
        <v>255567.46</v>
      </c>
    </row>
    <row r="17" spans="2:8" x14ac:dyDescent="0.25">
      <c r="B17" s="6" t="s">
        <v>22</v>
      </c>
      <c r="C17" s="7">
        <v>0</v>
      </c>
      <c r="D17" s="8">
        <v>0</v>
      </c>
      <c r="E17" s="8">
        <v>80091.95</v>
      </c>
      <c r="F17" s="8">
        <v>0</v>
      </c>
      <c r="G17" s="8">
        <v>57358.68</v>
      </c>
      <c r="H17" s="9">
        <v>137450.63</v>
      </c>
    </row>
    <row r="18" spans="2:8" x14ac:dyDescent="0.25">
      <c r="B18" s="6" t="s">
        <v>28</v>
      </c>
      <c r="C18" s="7">
        <v>0</v>
      </c>
      <c r="D18" s="8">
        <v>0</v>
      </c>
      <c r="E18" s="8">
        <v>57769.21</v>
      </c>
      <c r="F18" s="8">
        <v>0</v>
      </c>
      <c r="G18" s="8">
        <v>60347.62</v>
      </c>
      <c r="H18" s="9">
        <v>118116.83</v>
      </c>
    </row>
  </sheetData>
  <mergeCells count="2">
    <mergeCell ref="B2:H2"/>
    <mergeCell ref="B3:H3"/>
  </mergeCells>
  <phoneticPr fontId="0" type="noConversion"/>
  <pageMargins left="0.19685039370078741" right="0.19685039370078741" top="0.19685039370078741" bottom="0.19685039370078741" header="0.19685039370078741" footer="0.19685039370078741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1"/>
  <sheetViews>
    <sheetView showGridLines="0" topLeftCell="B1" workbookViewId="0"/>
  </sheetViews>
  <sheetFormatPr defaultRowHeight="13.2" x14ac:dyDescent="0.25"/>
  <cols>
    <col min="1" max="1" width="0" hidden="1" customWidth="1"/>
    <col min="2" max="2" width="38" customWidth="1"/>
    <col min="3" max="3" width="9.33203125" customWidth="1"/>
    <col min="4" max="4" width="12.88671875" customWidth="1"/>
    <col min="5" max="5" width="11.6640625" customWidth="1"/>
    <col min="6" max="6" width="12.6640625" customWidth="1"/>
    <col min="7" max="7" width="17" customWidth="1"/>
    <col min="8" max="8" width="14.44140625" customWidth="1"/>
    <col min="9" max="9" width="20.44140625" customWidth="1"/>
    <col min="10" max="10" width="19.5546875" customWidth="1"/>
    <col min="11" max="11" width="255" customWidth="1"/>
  </cols>
  <sheetData>
    <row r="1" spans="2:10" ht="6.9" customHeight="1" x14ac:dyDescent="0.25"/>
    <row r="2" spans="2:10" ht="1.35" customHeight="1" x14ac:dyDescent="0.25"/>
    <row r="3" spans="2:10" ht="17.100000000000001" customHeight="1" x14ac:dyDescent="0.25">
      <c r="B3" s="25" t="s">
        <v>29</v>
      </c>
      <c r="C3" s="23"/>
      <c r="D3" s="23"/>
      <c r="E3" s="23"/>
      <c r="F3" s="23"/>
      <c r="G3" s="23"/>
      <c r="H3" s="23"/>
      <c r="I3" s="23"/>
      <c r="J3" s="24"/>
    </row>
    <row r="4" spans="2:10" ht="9.6" customHeight="1" x14ac:dyDescent="0.25">
      <c r="B4" s="25"/>
      <c r="C4" s="23"/>
      <c r="D4" s="23"/>
      <c r="E4" s="23"/>
      <c r="F4" s="23"/>
      <c r="G4" s="23"/>
      <c r="H4" s="23"/>
      <c r="I4" s="23"/>
      <c r="J4" s="24"/>
    </row>
    <row r="5" spans="2:10" ht="24" x14ac:dyDescent="0.25">
      <c r="B5" s="10" t="s">
        <v>30</v>
      </c>
      <c r="C5" s="10" t="s">
        <v>31</v>
      </c>
      <c r="D5" s="10" t="s">
        <v>0</v>
      </c>
      <c r="E5" s="10" t="s">
        <v>32</v>
      </c>
      <c r="F5" s="10" t="s">
        <v>33</v>
      </c>
      <c r="G5" s="10" t="s">
        <v>34</v>
      </c>
      <c r="H5" s="10" t="s">
        <v>35</v>
      </c>
      <c r="I5" s="10" t="s">
        <v>36</v>
      </c>
      <c r="J5" s="10" t="s">
        <v>37</v>
      </c>
    </row>
    <row r="6" spans="2:10" ht="24" x14ac:dyDescent="0.25">
      <c r="B6" s="11" t="s">
        <v>38</v>
      </c>
      <c r="C6" s="12">
        <v>15</v>
      </c>
      <c r="D6" s="13" t="s">
        <v>39</v>
      </c>
      <c r="E6" s="13" t="s">
        <v>40</v>
      </c>
      <c r="F6" s="13" t="s">
        <v>41</v>
      </c>
      <c r="G6" s="13">
        <v>0</v>
      </c>
      <c r="H6" s="13" t="s">
        <v>42</v>
      </c>
      <c r="I6" s="13" t="s">
        <v>42</v>
      </c>
      <c r="J6" s="14" t="s">
        <v>43</v>
      </c>
    </row>
    <row r="7" spans="2:10" ht="24" x14ac:dyDescent="0.25">
      <c r="B7" s="11" t="s">
        <v>44</v>
      </c>
      <c r="C7" s="12">
        <v>22</v>
      </c>
      <c r="D7" s="13" t="s">
        <v>45</v>
      </c>
      <c r="E7" s="13" t="s">
        <v>46</v>
      </c>
      <c r="F7" s="13"/>
      <c r="G7" s="13">
        <v>0</v>
      </c>
      <c r="H7" s="13" t="s">
        <v>47</v>
      </c>
      <c r="I7" s="13" t="s">
        <v>42</v>
      </c>
      <c r="J7" s="14" t="s">
        <v>42</v>
      </c>
    </row>
    <row r="8" spans="2:10" ht="24" x14ac:dyDescent="0.25">
      <c r="B8" s="11" t="s">
        <v>48</v>
      </c>
      <c r="C8" s="12">
        <v>11</v>
      </c>
      <c r="D8" s="13" t="s">
        <v>49</v>
      </c>
      <c r="E8" s="13" t="s">
        <v>50</v>
      </c>
      <c r="F8" s="13" t="s">
        <v>51</v>
      </c>
      <c r="G8" s="13">
        <v>0</v>
      </c>
      <c r="H8" s="13" t="s">
        <v>42</v>
      </c>
      <c r="I8" s="13" t="s">
        <v>42</v>
      </c>
      <c r="J8" s="14" t="s">
        <v>52</v>
      </c>
    </row>
    <row r="9" spans="2:10" ht="24" x14ac:dyDescent="0.25">
      <c r="B9" s="11" t="s">
        <v>53</v>
      </c>
      <c r="C9" s="12">
        <v>18</v>
      </c>
      <c r="D9" s="13" t="s">
        <v>54</v>
      </c>
      <c r="E9" s="13" t="s">
        <v>55</v>
      </c>
      <c r="F9" s="13" t="s">
        <v>56</v>
      </c>
      <c r="G9" s="13">
        <v>33284.410000000003</v>
      </c>
      <c r="H9" s="13" t="s">
        <v>42</v>
      </c>
      <c r="I9" s="13" t="s">
        <v>42</v>
      </c>
      <c r="J9" s="14" t="s">
        <v>57</v>
      </c>
    </row>
    <row r="10" spans="2:10" x14ac:dyDescent="0.25">
      <c r="B10" s="15" t="s">
        <v>19</v>
      </c>
      <c r="C10" s="16"/>
      <c r="D10" s="16">
        <v>329712.76</v>
      </c>
      <c r="E10" s="16">
        <v>204150.81</v>
      </c>
      <c r="F10" s="16"/>
      <c r="G10" s="16">
        <v>33284.410000000003</v>
      </c>
      <c r="H10" s="16">
        <v>7445.12</v>
      </c>
      <c r="I10" s="16">
        <v>0</v>
      </c>
      <c r="J10" s="16">
        <v>118116.83</v>
      </c>
    </row>
    <row r="11" spans="2:10" ht="409.6" hidden="1" customHeight="1" x14ac:dyDescent="0.25"/>
  </sheetData>
  <mergeCells count="2">
    <mergeCell ref="B3:J3"/>
    <mergeCell ref="B4:J4"/>
  </mergeCells>
  <phoneticPr fontId="0" type="noConversion"/>
  <pageMargins left="0.19685039370078741" right="0.19685039370078741" top="0.19685039370078741" bottom="0.19685039370078741" header="0.19685039370078741" footer="0.19685039370078741"/>
  <pageSetup paperSize="9" orientation="portrait" horizontalDpi="0" verticalDpi="0"/>
  <headerFooter alignWithMargins="0"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4"/>
  <sheetViews>
    <sheetView showGridLines="0" tabSelected="1" topLeftCell="N5" workbookViewId="0">
      <selection activeCell="Y6" sqref="Y6"/>
    </sheetView>
  </sheetViews>
  <sheetFormatPr defaultRowHeight="13.2" x14ac:dyDescent="0.25"/>
  <cols>
    <col min="1" max="1" width="30" customWidth="1"/>
    <col min="2" max="2" width="23.33203125" customWidth="1"/>
    <col min="3" max="3" width="13.44140625" customWidth="1"/>
    <col min="4" max="4" width="21.44140625" customWidth="1"/>
    <col min="5" max="5" width="26.5546875" customWidth="1"/>
    <col min="6" max="6" width="12.6640625" customWidth="1"/>
    <col min="7" max="7" width="13.88671875" customWidth="1"/>
    <col min="8" max="8" width="19" customWidth="1"/>
    <col min="9" max="9" width="20" customWidth="1"/>
    <col min="10" max="10" width="19" customWidth="1"/>
    <col min="11" max="11" width="20.33203125" customWidth="1"/>
    <col min="12" max="12" width="22.6640625" customWidth="1"/>
    <col min="13" max="13" width="12.109375" customWidth="1"/>
    <col min="14" max="14" width="14.5546875" customWidth="1"/>
    <col min="15" max="15" width="20.6640625" customWidth="1"/>
    <col min="16" max="16" width="16.88671875" customWidth="1"/>
    <col min="17" max="17" width="14.6640625" customWidth="1"/>
    <col min="18" max="18" width="14.5546875" customWidth="1"/>
    <col min="19" max="19" width="12.109375" customWidth="1"/>
    <col min="20" max="20" width="12.88671875" customWidth="1"/>
    <col min="21" max="21" width="13.5546875" customWidth="1"/>
    <col min="22" max="22" width="15.44140625" customWidth="1"/>
    <col min="23" max="23" width="18.6640625" customWidth="1"/>
    <col min="24" max="24" width="16.6640625" customWidth="1"/>
    <col min="25" max="25" width="17.44140625" customWidth="1"/>
  </cols>
  <sheetData>
    <row r="1" spans="1:26" ht="12.75" customHeight="1" x14ac:dyDescent="0.25"/>
    <row r="2" spans="1:26" ht="14.4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6" ht="14.4" x14ac:dyDescent="0.2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6" ht="17.100000000000001" customHeight="1" x14ac:dyDescent="0.25">
      <c r="A4" s="26"/>
      <c r="B4" s="27"/>
      <c r="C4" s="27"/>
      <c r="D4" s="28"/>
      <c r="E4" s="29" t="s">
        <v>58</v>
      </c>
      <c r="F4" s="27"/>
      <c r="G4" s="27"/>
      <c r="H4" s="27"/>
      <c r="I4" s="27"/>
      <c r="J4" s="27"/>
      <c r="K4" s="27"/>
      <c r="L4" s="27"/>
      <c r="M4" s="27"/>
      <c r="N4" s="28"/>
      <c r="O4" s="29" t="s">
        <v>59</v>
      </c>
      <c r="P4" s="27"/>
      <c r="Q4" s="27"/>
      <c r="R4" s="27"/>
      <c r="S4" s="27"/>
      <c r="T4" s="27"/>
      <c r="U4" s="28"/>
      <c r="V4" s="30" t="s">
        <v>60</v>
      </c>
      <c r="W4" s="27"/>
      <c r="X4" s="27"/>
      <c r="Y4" s="27"/>
    </row>
    <row r="5" spans="1:26" ht="17.100000000000001" customHeight="1" x14ac:dyDescent="0.25">
      <c r="A5" s="31"/>
      <c r="B5" s="20"/>
      <c r="C5" s="20"/>
      <c r="D5" s="20"/>
      <c r="E5" s="21"/>
      <c r="F5" s="20"/>
      <c r="G5" s="20">
        <f>SUBTOTAL(9,G7:G72)</f>
        <v>8127.0300000000016</v>
      </c>
      <c r="H5" s="20">
        <f>SUBTOTAL(9,H7:H72)</f>
        <v>8127.0300000000016</v>
      </c>
      <c r="I5" s="20"/>
      <c r="J5" s="20">
        <f>SUBTOTAL(9,J7:J72)</f>
        <v>200788.60000000006</v>
      </c>
      <c r="K5" s="20">
        <f>SUBTOTAL(9,K7:K72)</f>
        <v>0</v>
      </c>
      <c r="L5" s="20"/>
      <c r="M5" s="20">
        <f>SUBTOTAL(9,M7:M72)</f>
        <v>1990.877999999999</v>
      </c>
      <c r="N5" s="20">
        <f>SUBTOTAL(9,N7:N72)</f>
        <v>204150.81000000003</v>
      </c>
      <c r="O5" s="21"/>
      <c r="P5" s="20"/>
      <c r="Q5" s="20">
        <f>SUBTOTAL(9,Q7:Q72)</f>
        <v>8127.0300000000016</v>
      </c>
      <c r="R5" s="20">
        <f>SUBTOTAL(9,R7:R72)</f>
        <v>329712.76</v>
      </c>
      <c r="S5" s="20"/>
      <c r="T5" s="20"/>
      <c r="U5" s="20"/>
      <c r="V5" s="21"/>
      <c r="W5" s="20"/>
      <c r="X5" s="20"/>
      <c r="Y5" s="20"/>
    </row>
    <row r="6" spans="1:26" ht="24" x14ac:dyDescent="0.25">
      <c r="A6" s="19" t="s">
        <v>61</v>
      </c>
      <c r="B6" s="19" t="s">
        <v>62</v>
      </c>
      <c r="C6" s="19" t="s">
        <v>63</v>
      </c>
      <c r="D6" s="19" t="s">
        <v>30</v>
      </c>
      <c r="E6" s="19" t="s">
        <v>64</v>
      </c>
      <c r="F6" s="19" t="s">
        <v>65</v>
      </c>
      <c r="G6" s="19" t="s">
        <v>66</v>
      </c>
      <c r="H6" s="19" t="s">
        <v>67</v>
      </c>
      <c r="I6" s="19" t="s">
        <v>68</v>
      </c>
      <c r="J6" s="19" t="s">
        <v>69</v>
      </c>
      <c r="K6" s="19" t="s">
        <v>70</v>
      </c>
      <c r="L6" s="19" t="s">
        <v>71</v>
      </c>
      <c r="M6" s="19" t="s">
        <v>72</v>
      </c>
      <c r="N6" s="19" t="s">
        <v>73</v>
      </c>
      <c r="O6" s="19" t="s">
        <v>64</v>
      </c>
      <c r="P6" s="19" t="s">
        <v>65</v>
      </c>
      <c r="Q6" s="19" t="s">
        <v>74</v>
      </c>
      <c r="R6" s="19" t="s">
        <v>75</v>
      </c>
      <c r="S6" s="19" t="s">
        <v>76</v>
      </c>
      <c r="T6" s="19" t="s">
        <v>77</v>
      </c>
      <c r="U6" s="19" t="s">
        <v>78</v>
      </c>
      <c r="V6" s="10" t="s">
        <v>79</v>
      </c>
      <c r="W6" s="10" t="s">
        <v>80</v>
      </c>
      <c r="X6" s="10" t="s">
        <v>81</v>
      </c>
      <c r="Y6" s="10" t="s">
        <v>82</v>
      </c>
      <c r="Z6" s="43" t="s">
        <v>93</v>
      </c>
    </row>
    <row r="7" spans="1:26" s="42" customFormat="1" x14ac:dyDescent="0.25">
      <c r="A7" s="32" t="s">
        <v>83</v>
      </c>
      <c r="B7" s="33" t="s">
        <v>3</v>
      </c>
      <c r="C7" s="33" t="s">
        <v>4</v>
      </c>
      <c r="D7" s="33" t="s">
        <v>5</v>
      </c>
      <c r="E7" s="33" t="s">
        <v>84</v>
      </c>
      <c r="F7" s="34">
        <v>44250</v>
      </c>
      <c r="G7" s="35">
        <v>139.59899999999999</v>
      </c>
      <c r="H7" s="35">
        <v>139.59899999999999</v>
      </c>
      <c r="I7" s="36">
        <v>21.489000000000001</v>
      </c>
      <c r="J7" s="36">
        <v>2999.99</v>
      </c>
      <c r="K7" s="37">
        <v>0</v>
      </c>
      <c r="L7" s="38">
        <v>0</v>
      </c>
      <c r="M7" s="39">
        <v>21.489000000000001</v>
      </c>
      <c r="N7" s="38">
        <v>2999.99</v>
      </c>
      <c r="O7" s="33" t="s">
        <v>85</v>
      </c>
      <c r="P7" s="40">
        <v>45265</v>
      </c>
      <c r="Q7" s="35">
        <v>139.59899999999999</v>
      </c>
      <c r="R7" s="35">
        <v>3894.67</v>
      </c>
      <c r="S7" s="35">
        <v>27.899000000000001</v>
      </c>
      <c r="T7" s="41"/>
      <c r="U7" s="36"/>
      <c r="V7" s="38">
        <v>0</v>
      </c>
      <c r="W7" s="38">
        <v>0</v>
      </c>
      <c r="X7" s="38">
        <v>0</v>
      </c>
      <c r="Y7" s="38">
        <v>894.68</v>
      </c>
      <c r="Z7" s="42" t="s">
        <v>92</v>
      </c>
    </row>
    <row r="8" spans="1:26" s="42" customFormat="1" x14ac:dyDescent="0.25">
      <c r="A8" s="32" t="s">
        <v>83</v>
      </c>
      <c r="B8" s="33" t="s">
        <v>3</v>
      </c>
      <c r="C8" s="33" t="s">
        <v>4</v>
      </c>
      <c r="D8" s="33" t="s">
        <v>5</v>
      </c>
      <c r="E8" s="33" t="s">
        <v>84</v>
      </c>
      <c r="F8" s="34">
        <v>44278</v>
      </c>
      <c r="G8" s="35">
        <v>138.779</v>
      </c>
      <c r="H8" s="35">
        <v>138.779</v>
      </c>
      <c r="I8" s="36">
        <v>21.616</v>
      </c>
      <c r="J8" s="36">
        <v>3000</v>
      </c>
      <c r="K8" s="37">
        <v>0</v>
      </c>
      <c r="L8" s="38">
        <v>0</v>
      </c>
      <c r="M8" s="39">
        <v>21.616</v>
      </c>
      <c r="N8" s="38">
        <v>3000</v>
      </c>
      <c r="O8" s="33" t="s">
        <v>85</v>
      </c>
      <c r="P8" s="40">
        <v>45265</v>
      </c>
      <c r="Q8" s="35">
        <v>138.779</v>
      </c>
      <c r="R8" s="35">
        <v>3871.8</v>
      </c>
      <c r="S8" s="35">
        <v>27.899000000000001</v>
      </c>
      <c r="T8" s="41"/>
      <c r="U8" s="36"/>
      <c r="V8" s="38">
        <v>0</v>
      </c>
      <c r="W8" s="38">
        <v>0</v>
      </c>
      <c r="X8" s="38">
        <v>0</v>
      </c>
      <c r="Y8" s="38">
        <v>871.8</v>
      </c>
      <c r="Z8" s="42" t="s">
        <v>92</v>
      </c>
    </row>
    <row r="9" spans="1:26" s="42" customFormat="1" x14ac:dyDescent="0.25">
      <c r="A9" s="32" t="s">
        <v>83</v>
      </c>
      <c r="B9" s="33" t="s">
        <v>3</v>
      </c>
      <c r="C9" s="33" t="s">
        <v>4</v>
      </c>
      <c r="D9" s="33" t="s">
        <v>5</v>
      </c>
      <c r="E9" s="33" t="s">
        <v>86</v>
      </c>
      <c r="F9" s="34">
        <v>44278</v>
      </c>
      <c r="G9" s="35">
        <v>255.017</v>
      </c>
      <c r="H9" s="35">
        <v>255.017</v>
      </c>
      <c r="I9" s="36">
        <v>19.966000000000001</v>
      </c>
      <c r="J9" s="36">
        <v>5091.92</v>
      </c>
      <c r="K9" s="37">
        <v>0</v>
      </c>
      <c r="L9" s="38">
        <v>0</v>
      </c>
      <c r="M9" s="39">
        <v>19.966000000000001</v>
      </c>
      <c r="N9" s="38">
        <v>5091.92</v>
      </c>
      <c r="O9" s="33" t="s">
        <v>85</v>
      </c>
      <c r="P9" s="40">
        <v>45265</v>
      </c>
      <c r="Q9" s="35">
        <v>255.017</v>
      </c>
      <c r="R9" s="35">
        <v>7114.72</v>
      </c>
      <c r="S9" s="35">
        <v>27.899000000000001</v>
      </c>
      <c r="T9" s="41"/>
      <c r="U9" s="36"/>
      <c r="V9" s="38">
        <v>0</v>
      </c>
      <c r="W9" s="38">
        <v>0</v>
      </c>
      <c r="X9" s="38">
        <v>0</v>
      </c>
      <c r="Y9" s="38">
        <v>2022.8</v>
      </c>
      <c r="Z9" s="42" t="s">
        <v>92</v>
      </c>
    </row>
    <row r="10" spans="1:26" s="42" customFormat="1" x14ac:dyDescent="0.25">
      <c r="A10" s="32" t="s">
        <v>83</v>
      </c>
      <c r="B10" s="33" t="s">
        <v>3</v>
      </c>
      <c r="C10" s="33" t="s">
        <v>4</v>
      </c>
      <c r="D10" s="33" t="s">
        <v>5</v>
      </c>
      <c r="E10" s="33" t="s">
        <v>84</v>
      </c>
      <c r="F10" s="34">
        <v>43944</v>
      </c>
      <c r="G10" s="35">
        <v>216.26300000000001</v>
      </c>
      <c r="H10" s="35">
        <v>216.26300000000001</v>
      </c>
      <c r="I10" s="36">
        <v>13.872</v>
      </c>
      <c r="J10" s="36">
        <v>3000</v>
      </c>
      <c r="K10" s="37">
        <v>0</v>
      </c>
      <c r="L10" s="38">
        <v>0</v>
      </c>
      <c r="M10" s="39">
        <v>13.872</v>
      </c>
      <c r="N10" s="38">
        <v>3000</v>
      </c>
      <c r="O10" s="33" t="s">
        <v>85</v>
      </c>
      <c r="P10" s="40">
        <v>45265</v>
      </c>
      <c r="Q10" s="35">
        <v>216.26300000000001</v>
      </c>
      <c r="R10" s="35">
        <v>6033.52</v>
      </c>
      <c r="S10" s="35">
        <v>27.899000000000001</v>
      </c>
      <c r="T10" s="41"/>
      <c r="U10" s="36"/>
      <c r="V10" s="38">
        <v>0</v>
      </c>
      <c r="W10" s="38">
        <v>0</v>
      </c>
      <c r="X10" s="38">
        <v>0</v>
      </c>
      <c r="Y10" s="38">
        <v>3033.52</v>
      </c>
      <c r="Z10" s="42" t="s">
        <v>92</v>
      </c>
    </row>
    <row r="11" spans="1:26" s="42" customFormat="1" x14ac:dyDescent="0.25">
      <c r="A11" s="32" t="s">
        <v>83</v>
      </c>
      <c r="B11" s="33" t="s">
        <v>3</v>
      </c>
      <c r="C11" s="33" t="s">
        <v>4</v>
      </c>
      <c r="D11" s="33" t="s">
        <v>5</v>
      </c>
      <c r="E11" s="33" t="s">
        <v>84</v>
      </c>
      <c r="F11" s="34">
        <v>44309</v>
      </c>
      <c r="G11" s="35">
        <v>155.328</v>
      </c>
      <c r="H11" s="35">
        <v>155.328</v>
      </c>
      <c r="I11" s="36">
        <v>19.312999999999999</v>
      </c>
      <c r="J11" s="36">
        <v>3000</v>
      </c>
      <c r="K11" s="37">
        <v>0</v>
      </c>
      <c r="L11" s="38">
        <v>0</v>
      </c>
      <c r="M11" s="39">
        <v>19.312999999999999</v>
      </c>
      <c r="N11" s="38">
        <v>3000</v>
      </c>
      <c r="O11" s="33" t="s">
        <v>85</v>
      </c>
      <c r="P11" s="40">
        <v>45265</v>
      </c>
      <c r="Q11" s="35">
        <v>155.328</v>
      </c>
      <c r="R11" s="35">
        <v>4333.5</v>
      </c>
      <c r="S11" s="35">
        <v>27.899000000000001</v>
      </c>
      <c r="T11" s="41"/>
      <c r="U11" s="36"/>
      <c r="V11" s="38">
        <v>0</v>
      </c>
      <c r="W11" s="38">
        <v>0</v>
      </c>
      <c r="X11" s="38">
        <v>0</v>
      </c>
      <c r="Y11" s="38">
        <v>1333.5</v>
      </c>
      <c r="Z11" s="42" t="s">
        <v>92</v>
      </c>
    </row>
    <row r="12" spans="1:26" s="42" customFormat="1" x14ac:dyDescent="0.25">
      <c r="A12" s="32" t="s">
        <v>83</v>
      </c>
      <c r="B12" s="33" t="s">
        <v>3</v>
      </c>
      <c r="C12" s="33" t="s">
        <v>4</v>
      </c>
      <c r="D12" s="33" t="s">
        <v>5</v>
      </c>
      <c r="E12" s="33" t="s">
        <v>84</v>
      </c>
      <c r="F12" s="34">
        <v>44005</v>
      </c>
      <c r="G12" s="35">
        <v>195.14699999999999</v>
      </c>
      <c r="H12" s="35">
        <v>195.14699999999999</v>
      </c>
      <c r="I12" s="36">
        <v>15.372999999999999</v>
      </c>
      <c r="J12" s="36">
        <v>2999.99</v>
      </c>
      <c r="K12" s="37">
        <v>0</v>
      </c>
      <c r="L12" s="38">
        <v>0</v>
      </c>
      <c r="M12" s="39">
        <v>15.372999999999999</v>
      </c>
      <c r="N12" s="38">
        <v>2999.99</v>
      </c>
      <c r="O12" s="33" t="s">
        <v>85</v>
      </c>
      <c r="P12" s="40">
        <v>45265</v>
      </c>
      <c r="Q12" s="35">
        <v>195.14699999999999</v>
      </c>
      <c r="R12" s="35">
        <v>5444.41</v>
      </c>
      <c r="S12" s="35">
        <v>27.899000000000001</v>
      </c>
      <c r="T12" s="41"/>
      <c r="U12" s="36"/>
      <c r="V12" s="38">
        <v>0</v>
      </c>
      <c r="W12" s="38">
        <v>0</v>
      </c>
      <c r="X12" s="38">
        <v>0</v>
      </c>
      <c r="Y12" s="38">
        <v>2444.42</v>
      </c>
      <c r="Z12" s="42" t="s">
        <v>92</v>
      </c>
    </row>
    <row r="13" spans="1:26" s="42" customFormat="1" x14ac:dyDescent="0.25">
      <c r="A13" s="32" t="s">
        <v>83</v>
      </c>
      <c r="B13" s="33" t="s">
        <v>3</v>
      </c>
      <c r="C13" s="33" t="s">
        <v>4</v>
      </c>
      <c r="D13" s="33" t="s">
        <v>5</v>
      </c>
      <c r="E13" s="33" t="s">
        <v>84</v>
      </c>
      <c r="F13" s="34">
        <v>44370</v>
      </c>
      <c r="G13" s="35">
        <v>140.87799999999999</v>
      </c>
      <c r="H13" s="35">
        <v>140.87799999999999</v>
      </c>
      <c r="I13" s="36">
        <v>21.294</v>
      </c>
      <c r="J13" s="36">
        <v>3000.01</v>
      </c>
      <c r="K13" s="37">
        <v>0</v>
      </c>
      <c r="L13" s="38">
        <v>0</v>
      </c>
      <c r="M13" s="39">
        <v>21.294</v>
      </c>
      <c r="N13" s="38">
        <v>3000.01</v>
      </c>
      <c r="O13" s="33" t="s">
        <v>85</v>
      </c>
      <c r="P13" s="40">
        <v>45265</v>
      </c>
      <c r="Q13" s="35">
        <v>140.87799999999999</v>
      </c>
      <c r="R13" s="35">
        <v>3930.34</v>
      </c>
      <c r="S13" s="35">
        <v>27.899000000000001</v>
      </c>
      <c r="T13" s="41"/>
      <c r="U13" s="36"/>
      <c r="V13" s="38">
        <v>0</v>
      </c>
      <c r="W13" s="38">
        <v>0</v>
      </c>
      <c r="X13" s="38">
        <v>0</v>
      </c>
      <c r="Y13" s="38">
        <v>930.33</v>
      </c>
      <c r="Z13" s="42" t="s">
        <v>92</v>
      </c>
    </row>
    <row r="14" spans="1:26" s="42" customFormat="1" x14ac:dyDescent="0.25">
      <c r="A14" s="32" t="s">
        <v>83</v>
      </c>
      <c r="B14" s="33" t="s">
        <v>3</v>
      </c>
      <c r="C14" s="33" t="s">
        <v>4</v>
      </c>
      <c r="D14" s="33" t="s">
        <v>5</v>
      </c>
      <c r="E14" s="33" t="s">
        <v>84</v>
      </c>
      <c r="F14" s="34">
        <v>44035</v>
      </c>
      <c r="G14" s="35">
        <v>181.67699999999999</v>
      </c>
      <c r="H14" s="35">
        <v>181.67699999999999</v>
      </c>
      <c r="I14" s="36">
        <v>16.512</v>
      </c>
      <c r="J14" s="36">
        <v>3000</v>
      </c>
      <c r="K14" s="37">
        <v>0</v>
      </c>
      <c r="L14" s="38">
        <v>0</v>
      </c>
      <c r="M14" s="39">
        <v>16.512</v>
      </c>
      <c r="N14" s="38">
        <v>3000</v>
      </c>
      <c r="O14" s="33" t="s">
        <v>85</v>
      </c>
      <c r="P14" s="40">
        <v>45265</v>
      </c>
      <c r="Q14" s="35">
        <v>181.67699999999999</v>
      </c>
      <c r="R14" s="35">
        <v>5068.6099999999997</v>
      </c>
      <c r="S14" s="35">
        <v>27.899000000000001</v>
      </c>
      <c r="T14" s="41"/>
      <c r="U14" s="36"/>
      <c r="V14" s="38">
        <v>0</v>
      </c>
      <c r="W14" s="38">
        <v>0</v>
      </c>
      <c r="X14" s="38">
        <v>0</v>
      </c>
      <c r="Y14" s="38">
        <v>2068.61</v>
      </c>
      <c r="Z14" s="42" t="s">
        <v>92</v>
      </c>
    </row>
    <row r="15" spans="1:26" s="42" customFormat="1" x14ac:dyDescent="0.25">
      <c r="A15" s="32" t="s">
        <v>83</v>
      </c>
      <c r="B15" s="33" t="s">
        <v>3</v>
      </c>
      <c r="C15" s="33" t="s">
        <v>4</v>
      </c>
      <c r="D15" s="33" t="s">
        <v>5</v>
      </c>
      <c r="E15" s="33" t="s">
        <v>84</v>
      </c>
      <c r="F15" s="34">
        <v>44097</v>
      </c>
      <c r="G15" s="35">
        <v>180.79</v>
      </c>
      <c r="H15" s="35">
        <v>180.79</v>
      </c>
      <c r="I15" s="36">
        <v>16.593</v>
      </c>
      <c r="J15" s="36">
        <v>3000</v>
      </c>
      <c r="K15" s="37">
        <v>0</v>
      </c>
      <c r="L15" s="38">
        <v>0</v>
      </c>
      <c r="M15" s="39">
        <v>16.593</v>
      </c>
      <c r="N15" s="38">
        <v>3000</v>
      </c>
      <c r="O15" s="33" t="s">
        <v>85</v>
      </c>
      <c r="P15" s="40">
        <v>45265</v>
      </c>
      <c r="Q15" s="35">
        <v>180.79</v>
      </c>
      <c r="R15" s="35">
        <v>5043.8599999999997</v>
      </c>
      <c r="S15" s="35">
        <v>27.899000000000001</v>
      </c>
      <c r="T15" s="41"/>
      <c r="U15" s="36"/>
      <c r="V15" s="38">
        <v>0</v>
      </c>
      <c r="W15" s="38">
        <v>0</v>
      </c>
      <c r="X15" s="38">
        <v>0</v>
      </c>
      <c r="Y15" s="38">
        <v>2043.86</v>
      </c>
      <c r="Z15" s="42" t="s">
        <v>92</v>
      </c>
    </row>
    <row r="16" spans="1:26" s="42" customFormat="1" x14ac:dyDescent="0.25">
      <c r="A16" s="32" t="s">
        <v>83</v>
      </c>
      <c r="B16" s="33" t="s">
        <v>3</v>
      </c>
      <c r="C16" s="33" t="s">
        <v>4</v>
      </c>
      <c r="D16" s="33" t="s">
        <v>5</v>
      </c>
      <c r="E16" s="33" t="s">
        <v>84</v>
      </c>
      <c r="F16" s="34">
        <v>44127</v>
      </c>
      <c r="G16" s="35">
        <v>169.97300000000001</v>
      </c>
      <c r="H16" s="35">
        <v>169.97300000000001</v>
      </c>
      <c r="I16" s="36">
        <v>17.649000000000001</v>
      </c>
      <c r="J16" s="36">
        <v>3000</v>
      </c>
      <c r="K16" s="37">
        <v>0</v>
      </c>
      <c r="L16" s="38">
        <v>0</v>
      </c>
      <c r="M16" s="39">
        <v>17.649000000000001</v>
      </c>
      <c r="N16" s="38">
        <v>3000</v>
      </c>
      <c r="O16" s="33" t="s">
        <v>85</v>
      </c>
      <c r="P16" s="40">
        <v>45265</v>
      </c>
      <c r="Q16" s="35">
        <v>169.97300000000001</v>
      </c>
      <c r="R16" s="35">
        <v>4742.08</v>
      </c>
      <c r="S16" s="35">
        <v>27.899000000000001</v>
      </c>
      <c r="T16" s="41"/>
      <c r="U16" s="36"/>
      <c r="V16" s="38">
        <v>0</v>
      </c>
      <c r="W16" s="38">
        <v>0</v>
      </c>
      <c r="X16" s="38">
        <v>0</v>
      </c>
      <c r="Y16" s="38">
        <v>1742.08</v>
      </c>
      <c r="Z16" s="42" t="s">
        <v>92</v>
      </c>
    </row>
    <row r="17" spans="1:26" s="42" customFormat="1" x14ac:dyDescent="0.25">
      <c r="A17" s="32" t="s">
        <v>83</v>
      </c>
      <c r="B17" s="33" t="s">
        <v>3</v>
      </c>
      <c r="C17" s="33" t="s">
        <v>4</v>
      </c>
      <c r="D17" s="33" t="s">
        <v>5</v>
      </c>
      <c r="E17" s="33" t="s">
        <v>84</v>
      </c>
      <c r="F17" s="34">
        <v>44158</v>
      </c>
      <c r="G17" s="35">
        <v>159.35499999999999</v>
      </c>
      <c r="H17" s="35">
        <v>159.35499999999999</v>
      </c>
      <c r="I17" s="36">
        <v>18.824999999999999</v>
      </c>
      <c r="J17" s="36">
        <v>3000.01</v>
      </c>
      <c r="K17" s="37">
        <v>0</v>
      </c>
      <c r="L17" s="38">
        <v>0</v>
      </c>
      <c r="M17" s="39">
        <v>18.824999999999999</v>
      </c>
      <c r="N17" s="38">
        <v>3000.01</v>
      </c>
      <c r="O17" s="33" t="s">
        <v>85</v>
      </c>
      <c r="P17" s="40">
        <v>45265</v>
      </c>
      <c r="Q17" s="35">
        <v>159.35499999999999</v>
      </c>
      <c r="R17" s="35">
        <v>4445.8500000000004</v>
      </c>
      <c r="S17" s="35">
        <v>27.899000000000001</v>
      </c>
      <c r="T17" s="41"/>
      <c r="U17" s="36"/>
      <c r="V17" s="38">
        <v>0</v>
      </c>
      <c r="W17" s="38">
        <v>0</v>
      </c>
      <c r="X17" s="38">
        <v>0</v>
      </c>
      <c r="Y17" s="38">
        <v>1445.84</v>
      </c>
      <c r="Z17" s="42" t="s">
        <v>92</v>
      </c>
    </row>
    <row r="18" spans="1:26" s="42" customFormat="1" x14ac:dyDescent="0.25">
      <c r="A18" s="32" t="s">
        <v>83</v>
      </c>
      <c r="B18" s="33" t="s">
        <v>3</v>
      </c>
      <c r="C18" s="33" t="s">
        <v>4</v>
      </c>
      <c r="D18" s="33" t="s">
        <v>5</v>
      </c>
      <c r="E18" s="33" t="s">
        <v>84</v>
      </c>
      <c r="F18" s="34">
        <v>44188</v>
      </c>
      <c r="G18" s="35">
        <v>151.922</v>
      </c>
      <c r="H18" s="35">
        <v>151.922</v>
      </c>
      <c r="I18" s="36">
        <v>19.745999999999999</v>
      </c>
      <c r="J18" s="36">
        <v>3000</v>
      </c>
      <c r="K18" s="37">
        <v>0</v>
      </c>
      <c r="L18" s="38">
        <v>0</v>
      </c>
      <c r="M18" s="39">
        <v>19.745999999999999</v>
      </c>
      <c r="N18" s="38">
        <v>3000</v>
      </c>
      <c r="O18" s="33" t="s">
        <v>85</v>
      </c>
      <c r="P18" s="40">
        <v>45265</v>
      </c>
      <c r="Q18" s="35">
        <v>151.922</v>
      </c>
      <c r="R18" s="35">
        <v>4238.47</v>
      </c>
      <c r="S18" s="35">
        <v>27.899000000000001</v>
      </c>
      <c r="T18" s="41"/>
      <c r="U18" s="36"/>
      <c r="V18" s="38">
        <v>0</v>
      </c>
      <c r="W18" s="38">
        <v>0</v>
      </c>
      <c r="X18" s="38">
        <v>0</v>
      </c>
      <c r="Y18" s="38">
        <v>1238.47</v>
      </c>
      <c r="Z18" s="42" t="s">
        <v>92</v>
      </c>
    </row>
    <row r="19" spans="1:26" s="42" customFormat="1" x14ac:dyDescent="0.25">
      <c r="A19" s="32" t="s">
        <v>83</v>
      </c>
      <c r="B19" s="33" t="s">
        <v>3</v>
      </c>
      <c r="C19" s="33" t="s">
        <v>4</v>
      </c>
      <c r="D19" s="33" t="s">
        <v>5</v>
      </c>
      <c r="E19" s="33" t="s">
        <v>84</v>
      </c>
      <c r="F19" s="34">
        <v>44340</v>
      </c>
      <c r="G19" s="35">
        <v>146.54900000000001</v>
      </c>
      <c r="H19" s="35">
        <v>146.54900000000001</v>
      </c>
      <c r="I19" s="36">
        <v>20.47</v>
      </c>
      <c r="J19" s="36">
        <v>3000.01</v>
      </c>
      <c r="K19" s="37">
        <v>0</v>
      </c>
      <c r="L19" s="38">
        <v>0</v>
      </c>
      <c r="M19" s="39">
        <v>20.47</v>
      </c>
      <c r="N19" s="38">
        <v>3000.01</v>
      </c>
      <c r="O19" s="33" t="s">
        <v>85</v>
      </c>
      <c r="P19" s="40">
        <v>45265</v>
      </c>
      <c r="Q19" s="35">
        <v>146.54900000000001</v>
      </c>
      <c r="R19" s="35">
        <v>4088.57</v>
      </c>
      <c r="S19" s="35">
        <v>27.899000000000001</v>
      </c>
      <c r="T19" s="41"/>
      <c r="U19" s="36"/>
      <c r="V19" s="38">
        <v>0</v>
      </c>
      <c r="W19" s="38">
        <v>0</v>
      </c>
      <c r="X19" s="38">
        <v>0</v>
      </c>
      <c r="Y19" s="38">
        <v>1088.56</v>
      </c>
      <c r="Z19" s="42" t="s">
        <v>92</v>
      </c>
    </row>
    <row r="20" spans="1:26" s="42" customFormat="1" x14ac:dyDescent="0.25">
      <c r="A20" s="32" t="s">
        <v>83</v>
      </c>
      <c r="B20" s="33" t="s">
        <v>3</v>
      </c>
      <c r="C20" s="33" t="s">
        <v>4</v>
      </c>
      <c r="D20" s="33" t="s">
        <v>5</v>
      </c>
      <c r="E20" s="33" t="s">
        <v>84</v>
      </c>
      <c r="F20" s="34">
        <v>44067</v>
      </c>
      <c r="G20" s="35">
        <v>174.959</v>
      </c>
      <c r="H20" s="35">
        <v>174.959</v>
      </c>
      <c r="I20" s="36">
        <v>17.146000000000001</v>
      </c>
      <c r="J20" s="36">
        <v>3000</v>
      </c>
      <c r="K20" s="37">
        <v>0</v>
      </c>
      <c r="L20" s="38">
        <v>0</v>
      </c>
      <c r="M20" s="39">
        <v>17.146000000000001</v>
      </c>
      <c r="N20" s="38">
        <v>3000</v>
      </c>
      <c r="O20" s="33" t="s">
        <v>85</v>
      </c>
      <c r="P20" s="40">
        <v>45265</v>
      </c>
      <c r="Q20" s="35">
        <v>174.959</v>
      </c>
      <c r="R20" s="35">
        <v>4881.18</v>
      </c>
      <c r="S20" s="35">
        <v>27.899000000000001</v>
      </c>
      <c r="T20" s="41"/>
      <c r="U20" s="36"/>
      <c r="V20" s="38">
        <v>0</v>
      </c>
      <c r="W20" s="38">
        <v>0</v>
      </c>
      <c r="X20" s="38">
        <v>0</v>
      </c>
      <c r="Y20" s="38">
        <v>1881.18</v>
      </c>
      <c r="Z20" s="42" t="s">
        <v>92</v>
      </c>
    </row>
    <row r="21" spans="1:26" s="42" customFormat="1" x14ac:dyDescent="0.25">
      <c r="A21" s="32" t="s">
        <v>83</v>
      </c>
      <c r="B21" s="33" t="s">
        <v>3</v>
      </c>
      <c r="C21" s="33" t="s">
        <v>4</v>
      </c>
      <c r="D21" s="33" t="s">
        <v>5</v>
      </c>
      <c r="E21" s="33" t="s">
        <v>84</v>
      </c>
      <c r="F21" s="34">
        <v>44221</v>
      </c>
      <c r="G21" s="35">
        <v>144.404</v>
      </c>
      <c r="H21" s="35">
        <v>144.404</v>
      </c>
      <c r="I21" s="36">
        <v>20.774000000000001</v>
      </c>
      <c r="J21" s="36">
        <v>3000</v>
      </c>
      <c r="K21" s="37">
        <v>0</v>
      </c>
      <c r="L21" s="38">
        <v>0</v>
      </c>
      <c r="M21" s="39">
        <v>20.774000000000001</v>
      </c>
      <c r="N21" s="38">
        <v>3000</v>
      </c>
      <c r="O21" s="33" t="s">
        <v>85</v>
      </c>
      <c r="P21" s="40">
        <v>45265</v>
      </c>
      <c r="Q21" s="35">
        <v>144.404</v>
      </c>
      <c r="R21" s="35">
        <v>4028.73</v>
      </c>
      <c r="S21" s="35">
        <v>27.899000000000001</v>
      </c>
      <c r="T21" s="41"/>
      <c r="U21" s="36"/>
      <c r="V21" s="38">
        <v>0</v>
      </c>
      <c r="W21" s="38">
        <v>0</v>
      </c>
      <c r="X21" s="38">
        <v>0</v>
      </c>
      <c r="Y21" s="38">
        <v>1028.73</v>
      </c>
      <c r="Z21" s="42" t="s">
        <v>92</v>
      </c>
    </row>
    <row r="22" spans="1:26" s="42" customFormat="1" x14ac:dyDescent="0.25">
      <c r="A22" s="32" t="s">
        <v>87</v>
      </c>
      <c r="B22" s="33" t="s">
        <v>6</v>
      </c>
      <c r="C22" s="33" t="s">
        <v>7</v>
      </c>
      <c r="D22" s="33" t="s">
        <v>8</v>
      </c>
      <c r="E22" s="33" t="s">
        <v>84</v>
      </c>
      <c r="F22" s="34">
        <v>43850</v>
      </c>
      <c r="G22" s="35">
        <v>81.081000000000003</v>
      </c>
      <c r="H22" s="35">
        <v>81.081000000000003</v>
      </c>
      <c r="I22" s="36">
        <v>37</v>
      </c>
      <c r="J22" s="36">
        <v>3000</v>
      </c>
      <c r="K22" s="37">
        <v>0</v>
      </c>
      <c r="L22" s="38">
        <v>0</v>
      </c>
      <c r="M22" s="39">
        <v>37</v>
      </c>
      <c r="N22" s="38">
        <v>3000</v>
      </c>
      <c r="O22" s="33" t="s">
        <v>85</v>
      </c>
      <c r="P22" s="40">
        <v>45265</v>
      </c>
      <c r="Q22" s="35">
        <v>81.081000000000003</v>
      </c>
      <c r="R22" s="35">
        <v>5474.59</v>
      </c>
      <c r="S22" s="35">
        <v>67.52</v>
      </c>
      <c r="T22" s="41"/>
      <c r="U22" s="36"/>
      <c r="V22" s="38">
        <v>0</v>
      </c>
      <c r="W22" s="38">
        <v>0</v>
      </c>
      <c r="X22" s="38">
        <v>0</v>
      </c>
      <c r="Y22" s="38">
        <v>2474.59</v>
      </c>
      <c r="Z22" s="42" t="s">
        <v>94</v>
      </c>
    </row>
    <row r="23" spans="1:26" s="42" customFormat="1" x14ac:dyDescent="0.25">
      <c r="A23" s="32" t="s">
        <v>87</v>
      </c>
      <c r="B23" s="33" t="s">
        <v>6</v>
      </c>
      <c r="C23" s="33" t="s">
        <v>7</v>
      </c>
      <c r="D23" s="33" t="s">
        <v>8</v>
      </c>
      <c r="E23" s="33" t="s">
        <v>84</v>
      </c>
      <c r="F23" s="34">
        <v>43881</v>
      </c>
      <c r="G23" s="35">
        <v>79.766000000000005</v>
      </c>
      <c r="H23" s="35">
        <v>79.766000000000005</v>
      </c>
      <c r="I23" s="36">
        <v>37.61</v>
      </c>
      <c r="J23" s="36">
        <v>3000</v>
      </c>
      <c r="K23" s="37">
        <v>0</v>
      </c>
      <c r="L23" s="38">
        <v>0</v>
      </c>
      <c r="M23" s="39">
        <v>37.61</v>
      </c>
      <c r="N23" s="38">
        <v>3000</v>
      </c>
      <c r="O23" s="33" t="s">
        <v>85</v>
      </c>
      <c r="P23" s="40">
        <v>45265</v>
      </c>
      <c r="Q23" s="35">
        <v>79.766000000000005</v>
      </c>
      <c r="R23" s="35">
        <v>5385.8</v>
      </c>
      <c r="S23" s="35">
        <v>67.52</v>
      </c>
      <c r="T23" s="41"/>
      <c r="U23" s="36"/>
      <c r="V23" s="38">
        <v>0</v>
      </c>
      <c r="W23" s="38">
        <v>0</v>
      </c>
      <c r="X23" s="38">
        <v>0</v>
      </c>
      <c r="Y23" s="38">
        <v>2385.8000000000002</v>
      </c>
      <c r="Z23" s="42" t="s">
        <v>94</v>
      </c>
    </row>
    <row r="24" spans="1:26" s="42" customFormat="1" x14ac:dyDescent="0.25">
      <c r="A24" s="32" t="s">
        <v>87</v>
      </c>
      <c r="B24" s="33" t="s">
        <v>6</v>
      </c>
      <c r="C24" s="33" t="s">
        <v>7</v>
      </c>
      <c r="D24" s="33" t="s">
        <v>8</v>
      </c>
      <c r="E24" s="33" t="s">
        <v>84</v>
      </c>
      <c r="F24" s="34">
        <v>43910</v>
      </c>
      <c r="G24" s="35">
        <v>107.411</v>
      </c>
      <c r="H24" s="35">
        <v>107.411</v>
      </c>
      <c r="I24" s="36">
        <v>27.93</v>
      </c>
      <c r="J24" s="36">
        <v>2999.99</v>
      </c>
      <c r="K24" s="37">
        <v>0</v>
      </c>
      <c r="L24" s="38">
        <v>0</v>
      </c>
      <c r="M24" s="39">
        <v>27.93</v>
      </c>
      <c r="N24" s="38">
        <v>2999.99</v>
      </c>
      <c r="O24" s="33" t="s">
        <v>85</v>
      </c>
      <c r="P24" s="40">
        <v>45265</v>
      </c>
      <c r="Q24" s="35">
        <v>107.411</v>
      </c>
      <c r="R24" s="35">
        <v>7252.39</v>
      </c>
      <c r="S24" s="35">
        <v>67.52</v>
      </c>
      <c r="T24" s="41"/>
      <c r="U24" s="36"/>
      <c r="V24" s="38">
        <v>0</v>
      </c>
      <c r="W24" s="38">
        <v>0</v>
      </c>
      <c r="X24" s="38">
        <v>0</v>
      </c>
      <c r="Y24" s="38">
        <v>4252.3999999999996</v>
      </c>
      <c r="Z24" s="42" t="s">
        <v>94</v>
      </c>
    </row>
    <row r="25" spans="1:26" s="42" customFormat="1" x14ac:dyDescent="0.25">
      <c r="A25" s="32" t="s">
        <v>87</v>
      </c>
      <c r="B25" s="33" t="s">
        <v>6</v>
      </c>
      <c r="C25" s="33" t="s">
        <v>7</v>
      </c>
      <c r="D25" s="33" t="s">
        <v>8</v>
      </c>
      <c r="E25" s="33" t="s">
        <v>84</v>
      </c>
      <c r="F25" s="34">
        <v>43941</v>
      </c>
      <c r="G25" s="35">
        <v>103.057</v>
      </c>
      <c r="H25" s="35">
        <v>103.057</v>
      </c>
      <c r="I25" s="36">
        <v>29.11</v>
      </c>
      <c r="J25" s="36">
        <v>2999.99</v>
      </c>
      <c r="K25" s="37">
        <v>0</v>
      </c>
      <c r="L25" s="38">
        <v>0</v>
      </c>
      <c r="M25" s="39">
        <v>29.11</v>
      </c>
      <c r="N25" s="38">
        <v>2999.99</v>
      </c>
      <c r="O25" s="33" t="s">
        <v>85</v>
      </c>
      <c r="P25" s="40">
        <v>45265</v>
      </c>
      <c r="Q25" s="35">
        <v>103.057</v>
      </c>
      <c r="R25" s="35">
        <v>6958.41</v>
      </c>
      <c r="S25" s="35">
        <v>67.52</v>
      </c>
      <c r="T25" s="41"/>
      <c r="U25" s="36"/>
      <c r="V25" s="38">
        <v>0</v>
      </c>
      <c r="W25" s="38">
        <v>0</v>
      </c>
      <c r="X25" s="38">
        <v>0</v>
      </c>
      <c r="Y25" s="38">
        <v>3958.42</v>
      </c>
      <c r="Z25" s="42" t="s">
        <v>94</v>
      </c>
    </row>
    <row r="26" spans="1:26" s="42" customFormat="1" x14ac:dyDescent="0.25">
      <c r="A26" s="32" t="s">
        <v>87</v>
      </c>
      <c r="B26" s="33" t="s">
        <v>6</v>
      </c>
      <c r="C26" s="33" t="s">
        <v>7</v>
      </c>
      <c r="D26" s="33" t="s">
        <v>8</v>
      </c>
      <c r="E26" s="33" t="s">
        <v>84</v>
      </c>
      <c r="F26" s="34">
        <v>44032</v>
      </c>
      <c r="G26" s="35">
        <v>90.905000000000001</v>
      </c>
      <c r="H26" s="35">
        <v>90.905000000000001</v>
      </c>
      <c r="I26" s="36">
        <v>33</v>
      </c>
      <c r="J26" s="36">
        <v>2999.87</v>
      </c>
      <c r="K26" s="37">
        <v>0</v>
      </c>
      <c r="L26" s="38">
        <v>0</v>
      </c>
      <c r="M26" s="39">
        <v>33</v>
      </c>
      <c r="N26" s="38">
        <v>3000.02</v>
      </c>
      <c r="O26" s="33" t="s">
        <v>85</v>
      </c>
      <c r="P26" s="40">
        <v>45265</v>
      </c>
      <c r="Q26" s="35">
        <v>90.905000000000001</v>
      </c>
      <c r="R26" s="35">
        <v>6137.91</v>
      </c>
      <c r="S26" s="35">
        <v>67.52</v>
      </c>
      <c r="T26" s="41"/>
      <c r="U26" s="36"/>
      <c r="V26" s="38">
        <v>0</v>
      </c>
      <c r="W26" s="38">
        <v>0</v>
      </c>
      <c r="X26" s="38">
        <v>0</v>
      </c>
      <c r="Y26" s="38">
        <v>3137.89</v>
      </c>
      <c r="Z26" s="42" t="s">
        <v>94</v>
      </c>
    </row>
    <row r="27" spans="1:26" s="42" customFormat="1" x14ac:dyDescent="0.25">
      <c r="A27" s="32" t="s">
        <v>87</v>
      </c>
      <c r="B27" s="33" t="s">
        <v>6</v>
      </c>
      <c r="C27" s="33" t="s">
        <v>7</v>
      </c>
      <c r="D27" s="33" t="s">
        <v>8</v>
      </c>
      <c r="E27" s="33" t="s">
        <v>84</v>
      </c>
      <c r="F27" s="34">
        <v>43697</v>
      </c>
      <c r="G27" s="35">
        <v>91.742999999999995</v>
      </c>
      <c r="H27" s="35">
        <v>91.742999999999995</v>
      </c>
      <c r="I27" s="36">
        <v>32.700000000000003</v>
      </c>
      <c r="J27" s="36">
        <v>3000</v>
      </c>
      <c r="K27" s="37">
        <v>0</v>
      </c>
      <c r="L27" s="38">
        <v>0</v>
      </c>
      <c r="M27" s="39">
        <v>32.700000000000003</v>
      </c>
      <c r="N27" s="38">
        <v>3000</v>
      </c>
      <c r="O27" s="33" t="s">
        <v>85</v>
      </c>
      <c r="P27" s="40">
        <v>45265</v>
      </c>
      <c r="Q27" s="35">
        <v>91.742999999999995</v>
      </c>
      <c r="R27" s="35">
        <v>6194.49</v>
      </c>
      <c r="S27" s="35">
        <v>67.52</v>
      </c>
      <c r="T27" s="41"/>
      <c r="U27" s="36"/>
      <c r="V27" s="38">
        <v>0</v>
      </c>
      <c r="W27" s="38">
        <v>0</v>
      </c>
      <c r="X27" s="38">
        <v>0</v>
      </c>
      <c r="Y27" s="38">
        <v>3194.49</v>
      </c>
      <c r="Z27" s="42" t="s">
        <v>94</v>
      </c>
    </row>
    <row r="28" spans="1:26" s="42" customFormat="1" x14ac:dyDescent="0.25">
      <c r="A28" s="32" t="s">
        <v>87</v>
      </c>
      <c r="B28" s="33" t="s">
        <v>6</v>
      </c>
      <c r="C28" s="33" t="s">
        <v>7</v>
      </c>
      <c r="D28" s="33" t="s">
        <v>8</v>
      </c>
      <c r="E28" s="33" t="s">
        <v>84</v>
      </c>
      <c r="F28" s="34">
        <v>43728</v>
      </c>
      <c r="G28" s="35">
        <v>88.313000000000002</v>
      </c>
      <c r="H28" s="35">
        <v>88.313000000000002</v>
      </c>
      <c r="I28" s="36">
        <v>33.97</v>
      </c>
      <c r="J28" s="36">
        <v>2999.99</v>
      </c>
      <c r="K28" s="37">
        <v>0</v>
      </c>
      <c r="L28" s="38">
        <v>0</v>
      </c>
      <c r="M28" s="39">
        <v>33.97</v>
      </c>
      <c r="N28" s="38">
        <v>2999.99</v>
      </c>
      <c r="O28" s="33" t="s">
        <v>85</v>
      </c>
      <c r="P28" s="40">
        <v>45265</v>
      </c>
      <c r="Q28" s="35">
        <v>88.313000000000002</v>
      </c>
      <c r="R28" s="35">
        <v>5962.89</v>
      </c>
      <c r="S28" s="35">
        <v>67.52</v>
      </c>
      <c r="T28" s="41"/>
      <c r="U28" s="36"/>
      <c r="V28" s="38">
        <v>0</v>
      </c>
      <c r="W28" s="38">
        <v>0</v>
      </c>
      <c r="X28" s="38">
        <v>0</v>
      </c>
      <c r="Y28" s="38">
        <v>2962.9</v>
      </c>
      <c r="Z28" s="42" t="s">
        <v>94</v>
      </c>
    </row>
    <row r="29" spans="1:26" s="42" customFormat="1" x14ac:dyDescent="0.25">
      <c r="A29" s="32" t="s">
        <v>87</v>
      </c>
      <c r="B29" s="33" t="s">
        <v>6</v>
      </c>
      <c r="C29" s="33" t="s">
        <v>7</v>
      </c>
      <c r="D29" s="33" t="s">
        <v>8</v>
      </c>
      <c r="E29" s="33" t="s">
        <v>84</v>
      </c>
      <c r="F29" s="34">
        <v>43789</v>
      </c>
      <c r="G29" s="35">
        <v>82.988</v>
      </c>
      <c r="H29" s="35">
        <v>82.988</v>
      </c>
      <c r="I29" s="36">
        <v>36.15</v>
      </c>
      <c r="J29" s="36">
        <v>3000.02</v>
      </c>
      <c r="K29" s="37">
        <v>0</v>
      </c>
      <c r="L29" s="38">
        <v>0</v>
      </c>
      <c r="M29" s="39">
        <v>36.15</v>
      </c>
      <c r="N29" s="38">
        <v>3000.02</v>
      </c>
      <c r="O29" s="33" t="s">
        <v>85</v>
      </c>
      <c r="P29" s="40">
        <v>45265</v>
      </c>
      <c r="Q29" s="35">
        <v>82.988</v>
      </c>
      <c r="R29" s="35">
        <v>5603.35</v>
      </c>
      <c r="S29" s="35">
        <v>67.52</v>
      </c>
      <c r="T29" s="41"/>
      <c r="U29" s="36"/>
      <c r="V29" s="38">
        <v>0</v>
      </c>
      <c r="W29" s="38">
        <v>0</v>
      </c>
      <c r="X29" s="38">
        <v>0</v>
      </c>
      <c r="Y29" s="38">
        <v>2603.33</v>
      </c>
      <c r="Z29" s="42" t="s">
        <v>94</v>
      </c>
    </row>
    <row r="30" spans="1:26" s="42" customFormat="1" x14ac:dyDescent="0.25">
      <c r="A30" s="32" t="s">
        <v>87</v>
      </c>
      <c r="B30" s="33" t="s">
        <v>6</v>
      </c>
      <c r="C30" s="33" t="s">
        <v>7</v>
      </c>
      <c r="D30" s="33" t="s">
        <v>8</v>
      </c>
      <c r="E30" s="33" t="s">
        <v>84</v>
      </c>
      <c r="F30" s="34">
        <v>43819</v>
      </c>
      <c r="G30" s="35">
        <v>82.644999999999996</v>
      </c>
      <c r="H30" s="35">
        <v>82.644999999999996</v>
      </c>
      <c r="I30" s="36">
        <v>36.299999999999997</v>
      </c>
      <c r="J30" s="36">
        <v>3000.01</v>
      </c>
      <c r="K30" s="37">
        <v>0</v>
      </c>
      <c r="L30" s="38">
        <v>0</v>
      </c>
      <c r="M30" s="39">
        <v>36.299999999999997</v>
      </c>
      <c r="N30" s="38">
        <v>3000.01</v>
      </c>
      <c r="O30" s="33" t="s">
        <v>85</v>
      </c>
      <c r="P30" s="40">
        <v>45265</v>
      </c>
      <c r="Q30" s="35">
        <v>82.644999999999996</v>
      </c>
      <c r="R30" s="35">
        <v>5580.19</v>
      </c>
      <c r="S30" s="35">
        <v>67.52</v>
      </c>
      <c r="T30" s="41"/>
      <c r="U30" s="36"/>
      <c r="V30" s="38">
        <v>0</v>
      </c>
      <c r="W30" s="38">
        <v>0</v>
      </c>
      <c r="X30" s="38">
        <v>0</v>
      </c>
      <c r="Y30" s="38">
        <v>2580.1799999999998</v>
      </c>
      <c r="Z30" s="42" t="s">
        <v>94</v>
      </c>
    </row>
    <row r="31" spans="1:26" s="42" customFormat="1" x14ac:dyDescent="0.25">
      <c r="A31" s="32" t="s">
        <v>87</v>
      </c>
      <c r="B31" s="33" t="s">
        <v>6</v>
      </c>
      <c r="C31" s="33" t="s">
        <v>7</v>
      </c>
      <c r="D31" s="33" t="s">
        <v>8</v>
      </c>
      <c r="E31" s="33" t="s">
        <v>84</v>
      </c>
      <c r="F31" s="34">
        <v>44004</v>
      </c>
      <c r="G31" s="35">
        <v>95.117000000000004</v>
      </c>
      <c r="H31" s="35">
        <v>95.117000000000004</v>
      </c>
      <c r="I31" s="36">
        <v>31.54</v>
      </c>
      <c r="J31" s="36">
        <v>2999.99</v>
      </c>
      <c r="K31" s="37">
        <v>0</v>
      </c>
      <c r="L31" s="38">
        <v>0</v>
      </c>
      <c r="M31" s="39">
        <v>31.54</v>
      </c>
      <c r="N31" s="38">
        <v>2999.99</v>
      </c>
      <c r="O31" s="33" t="s">
        <v>85</v>
      </c>
      <c r="P31" s="40">
        <v>45265</v>
      </c>
      <c r="Q31" s="35">
        <v>95.117000000000004</v>
      </c>
      <c r="R31" s="35">
        <v>6422.3</v>
      </c>
      <c r="S31" s="35">
        <v>67.52</v>
      </c>
      <c r="T31" s="41"/>
      <c r="U31" s="36"/>
      <c r="V31" s="38">
        <v>0</v>
      </c>
      <c r="W31" s="38">
        <v>0</v>
      </c>
      <c r="X31" s="38">
        <v>0</v>
      </c>
      <c r="Y31" s="38">
        <v>3422.31</v>
      </c>
      <c r="Z31" s="42" t="s">
        <v>94</v>
      </c>
    </row>
    <row r="32" spans="1:26" s="42" customFormat="1" x14ac:dyDescent="0.25">
      <c r="A32" s="32" t="s">
        <v>87</v>
      </c>
      <c r="B32" s="33" t="s">
        <v>6</v>
      </c>
      <c r="C32" s="33" t="s">
        <v>7</v>
      </c>
      <c r="D32" s="33" t="s">
        <v>8</v>
      </c>
      <c r="E32" s="33" t="s">
        <v>84</v>
      </c>
      <c r="F32" s="34">
        <v>43760</v>
      </c>
      <c r="G32" s="35">
        <v>84.841999999999999</v>
      </c>
      <c r="H32" s="35">
        <v>84.841999999999999</v>
      </c>
      <c r="I32" s="36">
        <v>35.36</v>
      </c>
      <c r="J32" s="36">
        <v>3000.01</v>
      </c>
      <c r="K32" s="37">
        <v>0</v>
      </c>
      <c r="L32" s="38">
        <v>0</v>
      </c>
      <c r="M32" s="39">
        <v>35.36</v>
      </c>
      <c r="N32" s="38">
        <v>3000.01</v>
      </c>
      <c r="O32" s="33" t="s">
        <v>85</v>
      </c>
      <c r="P32" s="40">
        <v>45265</v>
      </c>
      <c r="Q32" s="35">
        <v>84.841999999999999</v>
      </c>
      <c r="R32" s="35">
        <v>5728.53</v>
      </c>
      <c r="S32" s="35">
        <v>67.52</v>
      </c>
      <c r="T32" s="41"/>
      <c r="U32" s="36"/>
      <c r="V32" s="38">
        <v>0</v>
      </c>
      <c r="W32" s="38">
        <v>0</v>
      </c>
      <c r="X32" s="38">
        <v>0</v>
      </c>
      <c r="Y32" s="38">
        <v>2728.52</v>
      </c>
      <c r="Z32" s="42" t="s">
        <v>94</v>
      </c>
    </row>
    <row r="33" spans="1:26" s="42" customFormat="1" x14ac:dyDescent="0.25">
      <c r="A33" s="32" t="s">
        <v>87</v>
      </c>
      <c r="B33" s="33" t="s">
        <v>6</v>
      </c>
      <c r="C33" s="33" t="s">
        <v>7</v>
      </c>
      <c r="D33" s="33" t="s">
        <v>9</v>
      </c>
      <c r="E33" s="33" t="s">
        <v>88</v>
      </c>
      <c r="F33" s="34">
        <v>45267</v>
      </c>
      <c r="G33" s="35">
        <v>32.143999999999998</v>
      </c>
      <c r="H33" s="35">
        <v>32.143999999999998</v>
      </c>
      <c r="I33" s="36">
        <v>19.27</v>
      </c>
      <c r="J33" s="36">
        <v>619.41</v>
      </c>
      <c r="K33" s="37">
        <v>0</v>
      </c>
      <c r="L33" s="38">
        <v>0</v>
      </c>
      <c r="M33" s="39">
        <v>19.27</v>
      </c>
      <c r="N33" s="38">
        <v>619.44000000000005</v>
      </c>
      <c r="O33" s="33" t="s">
        <v>89</v>
      </c>
      <c r="P33" s="40">
        <v>45369</v>
      </c>
      <c r="Q33" s="35">
        <v>32.143999999999998</v>
      </c>
      <c r="R33" s="35">
        <v>694.95</v>
      </c>
      <c r="S33" s="35">
        <v>21.62</v>
      </c>
      <c r="T33" s="41"/>
      <c r="U33" s="36"/>
      <c r="V33" s="38">
        <v>75.510000000000005</v>
      </c>
      <c r="W33" s="38">
        <v>0</v>
      </c>
      <c r="X33" s="38">
        <v>0</v>
      </c>
      <c r="Y33" s="38">
        <v>0</v>
      </c>
      <c r="Z33" s="42" t="s">
        <v>95</v>
      </c>
    </row>
    <row r="34" spans="1:26" s="42" customFormat="1" x14ac:dyDescent="0.25">
      <c r="A34" s="32" t="s">
        <v>87</v>
      </c>
      <c r="B34" s="33" t="s">
        <v>6</v>
      </c>
      <c r="C34" s="33" t="s">
        <v>7</v>
      </c>
      <c r="D34" s="33" t="s">
        <v>9</v>
      </c>
      <c r="E34" s="33" t="s">
        <v>88</v>
      </c>
      <c r="F34" s="34">
        <v>45267</v>
      </c>
      <c r="G34" s="35">
        <v>289.29500000000002</v>
      </c>
      <c r="H34" s="35">
        <v>289.29500000000002</v>
      </c>
      <c r="I34" s="36">
        <v>19.27</v>
      </c>
      <c r="J34" s="36">
        <v>5574.71</v>
      </c>
      <c r="K34" s="37">
        <v>0</v>
      </c>
      <c r="L34" s="38">
        <v>0</v>
      </c>
      <c r="M34" s="39">
        <v>19.27</v>
      </c>
      <c r="N34" s="38">
        <v>5574.99</v>
      </c>
      <c r="O34" s="33" t="s">
        <v>89</v>
      </c>
      <c r="P34" s="40">
        <v>45369</v>
      </c>
      <c r="Q34" s="35">
        <v>289.29500000000002</v>
      </c>
      <c r="R34" s="35">
        <v>6190.91</v>
      </c>
      <c r="S34" s="35">
        <v>21.4</v>
      </c>
      <c r="T34" s="41"/>
      <c r="U34" s="36"/>
      <c r="V34" s="38">
        <v>615.91999999999996</v>
      </c>
      <c r="W34" s="38">
        <v>0</v>
      </c>
      <c r="X34" s="38">
        <v>0</v>
      </c>
      <c r="Y34" s="38">
        <v>0</v>
      </c>
      <c r="Z34" s="42" t="s">
        <v>95</v>
      </c>
    </row>
    <row r="35" spans="1:26" s="42" customFormat="1" x14ac:dyDescent="0.25">
      <c r="A35" s="32" t="s">
        <v>87</v>
      </c>
      <c r="B35" s="33" t="s">
        <v>6</v>
      </c>
      <c r="C35" s="33" t="s">
        <v>7</v>
      </c>
      <c r="D35" s="33" t="s">
        <v>9</v>
      </c>
      <c r="E35" s="33" t="s">
        <v>88</v>
      </c>
      <c r="F35" s="34">
        <v>45267</v>
      </c>
      <c r="G35" s="35">
        <v>30.942</v>
      </c>
      <c r="H35" s="35">
        <v>30.942</v>
      </c>
      <c r="I35" s="36">
        <v>19.27</v>
      </c>
      <c r="J35" s="36">
        <v>596.25</v>
      </c>
      <c r="K35" s="37">
        <v>0</v>
      </c>
      <c r="L35" s="38">
        <v>0</v>
      </c>
      <c r="M35" s="39">
        <v>19.27</v>
      </c>
      <c r="N35" s="38">
        <v>596.28</v>
      </c>
      <c r="O35" s="33" t="s">
        <v>89</v>
      </c>
      <c r="P35" s="40">
        <v>45369</v>
      </c>
      <c r="Q35" s="35">
        <v>30.942</v>
      </c>
      <c r="R35" s="35">
        <v>668.97</v>
      </c>
      <c r="S35" s="35">
        <v>21.62</v>
      </c>
      <c r="T35" s="41"/>
      <c r="U35" s="36"/>
      <c r="V35" s="38">
        <v>72.69</v>
      </c>
      <c r="W35" s="38">
        <v>0</v>
      </c>
      <c r="X35" s="38">
        <v>0</v>
      </c>
      <c r="Y35" s="38">
        <v>0</v>
      </c>
      <c r="Z35" s="42" t="s">
        <v>95</v>
      </c>
    </row>
    <row r="36" spans="1:26" s="42" customFormat="1" x14ac:dyDescent="0.25">
      <c r="A36" s="32" t="s">
        <v>87</v>
      </c>
      <c r="B36" s="33" t="s">
        <v>6</v>
      </c>
      <c r="C36" s="33" t="s">
        <v>7</v>
      </c>
      <c r="D36" s="33" t="s">
        <v>9</v>
      </c>
      <c r="E36" s="33" t="s">
        <v>88</v>
      </c>
      <c r="F36" s="34">
        <v>45267</v>
      </c>
      <c r="G36" s="35">
        <v>278.47800000000001</v>
      </c>
      <c r="H36" s="35">
        <v>278.47800000000001</v>
      </c>
      <c r="I36" s="36">
        <v>19.27</v>
      </c>
      <c r="J36" s="36">
        <v>5366.27</v>
      </c>
      <c r="K36" s="37">
        <v>0</v>
      </c>
      <c r="L36" s="38">
        <v>0</v>
      </c>
      <c r="M36" s="39">
        <v>19.27</v>
      </c>
      <c r="N36" s="38">
        <v>5366.54</v>
      </c>
      <c r="O36" s="33" t="s">
        <v>89</v>
      </c>
      <c r="P36" s="40">
        <v>45369</v>
      </c>
      <c r="Q36" s="35">
        <v>278.47800000000001</v>
      </c>
      <c r="R36" s="35">
        <v>5959.43</v>
      </c>
      <c r="S36" s="35">
        <v>21.4</v>
      </c>
      <c r="T36" s="41"/>
      <c r="U36" s="36"/>
      <c r="V36" s="38">
        <v>592.89</v>
      </c>
      <c r="W36" s="38">
        <v>0</v>
      </c>
      <c r="X36" s="38">
        <v>0</v>
      </c>
      <c r="Y36" s="38">
        <v>0</v>
      </c>
      <c r="Z36" s="42" t="s">
        <v>95</v>
      </c>
    </row>
    <row r="37" spans="1:26" s="42" customFormat="1" x14ac:dyDescent="0.25">
      <c r="A37" s="32" t="s">
        <v>87</v>
      </c>
      <c r="B37" s="33" t="s">
        <v>6</v>
      </c>
      <c r="C37" s="33" t="s">
        <v>7</v>
      </c>
      <c r="D37" s="33" t="s">
        <v>9</v>
      </c>
      <c r="E37" s="33" t="s">
        <v>88</v>
      </c>
      <c r="F37" s="34">
        <v>45267</v>
      </c>
      <c r="G37" s="35">
        <v>29.725999999999999</v>
      </c>
      <c r="H37" s="35">
        <v>29.725999999999999</v>
      </c>
      <c r="I37" s="36">
        <v>19.27</v>
      </c>
      <c r="J37" s="36">
        <v>572.82000000000005</v>
      </c>
      <c r="K37" s="37">
        <v>0</v>
      </c>
      <c r="L37" s="38">
        <v>0</v>
      </c>
      <c r="M37" s="39">
        <v>19.27</v>
      </c>
      <c r="N37" s="38">
        <v>572.85</v>
      </c>
      <c r="O37" s="33" t="s">
        <v>89</v>
      </c>
      <c r="P37" s="40">
        <v>45369</v>
      </c>
      <c r="Q37" s="35">
        <v>29.725999999999999</v>
      </c>
      <c r="R37" s="35">
        <v>642.67999999999995</v>
      </c>
      <c r="S37" s="35">
        <v>21.62</v>
      </c>
      <c r="T37" s="41"/>
      <c r="U37" s="36"/>
      <c r="V37" s="38">
        <v>69.83</v>
      </c>
      <c r="W37" s="38">
        <v>0</v>
      </c>
      <c r="X37" s="38">
        <v>0</v>
      </c>
      <c r="Y37" s="38">
        <v>0</v>
      </c>
      <c r="Z37" s="42" t="s">
        <v>95</v>
      </c>
    </row>
    <row r="38" spans="1:26" s="42" customFormat="1" x14ac:dyDescent="0.25">
      <c r="A38" s="32" t="s">
        <v>87</v>
      </c>
      <c r="B38" s="33" t="s">
        <v>6</v>
      </c>
      <c r="C38" s="33" t="s">
        <v>7</v>
      </c>
      <c r="D38" s="33" t="s">
        <v>9</v>
      </c>
      <c r="E38" s="33" t="s">
        <v>88</v>
      </c>
      <c r="F38" s="34">
        <v>45267</v>
      </c>
      <c r="G38" s="35">
        <v>267.53300000000002</v>
      </c>
      <c r="H38" s="35">
        <v>267.53300000000002</v>
      </c>
      <c r="I38" s="36">
        <v>19.27</v>
      </c>
      <c r="J38" s="36">
        <v>5155.3599999999997</v>
      </c>
      <c r="K38" s="37">
        <v>0</v>
      </c>
      <c r="L38" s="38">
        <v>0</v>
      </c>
      <c r="M38" s="39">
        <v>19.27</v>
      </c>
      <c r="N38" s="38">
        <v>5155.62</v>
      </c>
      <c r="O38" s="33" t="s">
        <v>89</v>
      </c>
      <c r="P38" s="40">
        <v>45369</v>
      </c>
      <c r="Q38" s="35">
        <v>267.53300000000002</v>
      </c>
      <c r="R38" s="35">
        <v>5725.21</v>
      </c>
      <c r="S38" s="35">
        <v>21.4</v>
      </c>
      <c r="T38" s="41"/>
      <c r="U38" s="36"/>
      <c r="V38" s="38">
        <v>569.59</v>
      </c>
      <c r="W38" s="38">
        <v>0</v>
      </c>
      <c r="X38" s="38">
        <v>0</v>
      </c>
      <c r="Y38" s="38">
        <v>0</v>
      </c>
      <c r="Z38" s="42" t="s">
        <v>95</v>
      </c>
    </row>
    <row r="39" spans="1:26" s="42" customFormat="1" x14ac:dyDescent="0.25">
      <c r="A39" s="32" t="s">
        <v>87</v>
      </c>
      <c r="B39" s="33" t="s">
        <v>6</v>
      </c>
      <c r="C39" s="33" t="s">
        <v>7</v>
      </c>
      <c r="D39" s="33" t="s">
        <v>9</v>
      </c>
      <c r="E39" s="33" t="s">
        <v>88</v>
      </c>
      <c r="F39" s="34">
        <v>45267</v>
      </c>
      <c r="G39" s="35">
        <v>29.076000000000001</v>
      </c>
      <c r="H39" s="35">
        <v>29.076000000000001</v>
      </c>
      <c r="I39" s="36">
        <v>19.27</v>
      </c>
      <c r="J39" s="36">
        <v>560.29</v>
      </c>
      <c r="K39" s="37">
        <v>0</v>
      </c>
      <c r="L39" s="38">
        <v>0</v>
      </c>
      <c r="M39" s="39">
        <v>19.27</v>
      </c>
      <c r="N39" s="38">
        <v>560.32000000000005</v>
      </c>
      <c r="O39" s="33" t="s">
        <v>89</v>
      </c>
      <c r="P39" s="40">
        <v>45369</v>
      </c>
      <c r="Q39" s="35">
        <v>29.076000000000001</v>
      </c>
      <c r="R39" s="35">
        <v>628.62</v>
      </c>
      <c r="S39" s="35">
        <v>21.62</v>
      </c>
      <c r="T39" s="41"/>
      <c r="U39" s="36"/>
      <c r="V39" s="38">
        <v>68.3</v>
      </c>
      <c r="W39" s="38">
        <v>0</v>
      </c>
      <c r="X39" s="38">
        <v>0</v>
      </c>
      <c r="Y39" s="38">
        <v>0</v>
      </c>
      <c r="Z39" s="42" t="s">
        <v>95</v>
      </c>
    </row>
    <row r="40" spans="1:26" s="42" customFormat="1" x14ac:dyDescent="0.25">
      <c r="A40" s="32" t="s">
        <v>87</v>
      </c>
      <c r="B40" s="33" t="s">
        <v>6</v>
      </c>
      <c r="C40" s="33" t="s">
        <v>7</v>
      </c>
      <c r="D40" s="33" t="s">
        <v>9</v>
      </c>
      <c r="E40" s="33" t="s">
        <v>88</v>
      </c>
      <c r="F40" s="34">
        <v>45267</v>
      </c>
      <c r="G40" s="35">
        <v>261.68700000000001</v>
      </c>
      <c r="H40" s="35">
        <v>261.68700000000001</v>
      </c>
      <c r="I40" s="36">
        <v>19.27</v>
      </c>
      <c r="J40" s="36">
        <v>5042.71</v>
      </c>
      <c r="K40" s="37">
        <v>0</v>
      </c>
      <c r="L40" s="38">
        <v>0</v>
      </c>
      <c r="M40" s="39">
        <v>19.27</v>
      </c>
      <c r="N40" s="38">
        <v>5042.96</v>
      </c>
      <c r="O40" s="33" t="s">
        <v>89</v>
      </c>
      <c r="P40" s="40">
        <v>45369</v>
      </c>
      <c r="Q40" s="35">
        <v>261.68700000000001</v>
      </c>
      <c r="R40" s="35">
        <v>5600.1</v>
      </c>
      <c r="S40" s="35">
        <v>21.4</v>
      </c>
      <c r="T40" s="41"/>
      <c r="U40" s="36"/>
      <c r="V40" s="38">
        <v>557.14</v>
      </c>
      <c r="W40" s="38">
        <v>0</v>
      </c>
      <c r="X40" s="38">
        <v>0</v>
      </c>
      <c r="Y40" s="38">
        <v>0</v>
      </c>
      <c r="Z40" s="42" t="s">
        <v>95</v>
      </c>
    </row>
    <row r="41" spans="1:26" s="42" customFormat="1" x14ac:dyDescent="0.25">
      <c r="A41" s="32" t="s">
        <v>87</v>
      </c>
      <c r="B41" s="33" t="s">
        <v>6</v>
      </c>
      <c r="C41" s="33" t="s">
        <v>7</v>
      </c>
      <c r="D41" s="33" t="s">
        <v>9</v>
      </c>
      <c r="E41" s="33" t="s">
        <v>88</v>
      </c>
      <c r="F41" s="34">
        <v>45267</v>
      </c>
      <c r="G41" s="35">
        <v>28.956</v>
      </c>
      <c r="H41" s="35">
        <v>28.956</v>
      </c>
      <c r="I41" s="36">
        <v>19.27</v>
      </c>
      <c r="J41" s="36">
        <v>557.98</v>
      </c>
      <c r="K41" s="37">
        <v>0</v>
      </c>
      <c r="L41" s="38">
        <v>0</v>
      </c>
      <c r="M41" s="39">
        <v>19.27</v>
      </c>
      <c r="N41" s="38">
        <v>558.01</v>
      </c>
      <c r="O41" s="33" t="s">
        <v>89</v>
      </c>
      <c r="P41" s="40">
        <v>45369</v>
      </c>
      <c r="Q41" s="35">
        <v>28.956</v>
      </c>
      <c r="R41" s="35">
        <v>626.03</v>
      </c>
      <c r="S41" s="35">
        <v>21.62</v>
      </c>
      <c r="T41" s="41"/>
      <c r="U41" s="36"/>
      <c r="V41" s="38">
        <v>68.02</v>
      </c>
      <c r="W41" s="38">
        <v>0</v>
      </c>
      <c r="X41" s="38">
        <v>0</v>
      </c>
      <c r="Y41" s="38">
        <v>0</v>
      </c>
      <c r="Z41" s="42" t="s">
        <v>95</v>
      </c>
    </row>
    <row r="42" spans="1:26" s="42" customFormat="1" x14ac:dyDescent="0.25">
      <c r="A42" s="32" t="s">
        <v>87</v>
      </c>
      <c r="B42" s="33" t="s">
        <v>6</v>
      </c>
      <c r="C42" s="33" t="s">
        <v>7</v>
      </c>
      <c r="D42" s="33" t="s">
        <v>9</v>
      </c>
      <c r="E42" s="33" t="s">
        <v>88</v>
      </c>
      <c r="F42" s="34">
        <v>45267</v>
      </c>
      <c r="G42" s="35">
        <v>260.60500000000002</v>
      </c>
      <c r="H42" s="35">
        <v>260.60500000000002</v>
      </c>
      <c r="I42" s="36">
        <v>19.27</v>
      </c>
      <c r="J42" s="36">
        <v>5021.8599999999997</v>
      </c>
      <c r="K42" s="37">
        <v>0</v>
      </c>
      <c r="L42" s="38">
        <v>0</v>
      </c>
      <c r="M42" s="39">
        <v>19.27</v>
      </c>
      <c r="N42" s="38">
        <v>5022.1099999999997</v>
      </c>
      <c r="O42" s="33" t="s">
        <v>89</v>
      </c>
      <c r="P42" s="40">
        <v>45369</v>
      </c>
      <c r="Q42" s="35">
        <v>260.60500000000002</v>
      </c>
      <c r="R42" s="35">
        <v>5576.95</v>
      </c>
      <c r="S42" s="35">
        <v>21.4</v>
      </c>
      <c r="T42" s="41"/>
      <c r="U42" s="36"/>
      <c r="V42" s="38">
        <v>554.84</v>
      </c>
      <c r="W42" s="38">
        <v>0</v>
      </c>
      <c r="X42" s="38">
        <v>0</v>
      </c>
      <c r="Y42" s="38">
        <v>0</v>
      </c>
      <c r="Z42" s="42" t="s">
        <v>95</v>
      </c>
    </row>
    <row r="43" spans="1:26" s="42" customFormat="1" x14ac:dyDescent="0.25">
      <c r="A43" s="32" t="s">
        <v>87</v>
      </c>
      <c r="B43" s="33" t="s">
        <v>6</v>
      </c>
      <c r="C43" s="33" t="s">
        <v>7</v>
      </c>
      <c r="D43" s="33" t="s">
        <v>9</v>
      </c>
      <c r="E43" s="33" t="s">
        <v>88</v>
      </c>
      <c r="F43" s="34">
        <v>45267</v>
      </c>
      <c r="G43" s="35">
        <v>28.408000000000001</v>
      </c>
      <c r="H43" s="35">
        <v>28.408000000000001</v>
      </c>
      <c r="I43" s="36">
        <v>19.27</v>
      </c>
      <c r="J43" s="36">
        <v>547.41999999999996</v>
      </c>
      <c r="K43" s="37">
        <v>0</v>
      </c>
      <c r="L43" s="38">
        <v>0</v>
      </c>
      <c r="M43" s="39">
        <v>19.27</v>
      </c>
      <c r="N43" s="38">
        <v>547.45000000000005</v>
      </c>
      <c r="O43" s="33" t="s">
        <v>89</v>
      </c>
      <c r="P43" s="40">
        <v>45369</v>
      </c>
      <c r="Q43" s="35">
        <v>28.408000000000001</v>
      </c>
      <c r="R43" s="35">
        <v>614.17999999999995</v>
      </c>
      <c r="S43" s="35">
        <v>21.62</v>
      </c>
      <c r="T43" s="41"/>
      <c r="U43" s="36"/>
      <c r="V43" s="38">
        <v>66.73</v>
      </c>
      <c r="W43" s="38">
        <v>0</v>
      </c>
      <c r="X43" s="38">
        <v>0</v>
      </c>
      <c r="Y43" s="38">
        <v>0</v>
      </c>
      <c r="Z43" s="42" t="s">
        <v>95</v>
      </c>
    </row>
    <row r="44" spans="1:26" s="42" customFormat="1" x14ac:dyDescent="0.25">
      <c r="A44" s="32" t="s">
        <v>87</v>
      </c>
      <c r="B44" s="33" t="s">
        <v>6</v>
      </c>
      <c r="C44" s="33" t="s">
        <v>7</v>
      </c>
      <c r="D44" s="33" t="s">
        <v>9</v>
      </c>
      <c r="E44" s="33" t="s">
        <v>88</v>
      </c>
      <c r="F44" s="34">
        <v>45267</v>
      </c>
      <c r="G44" s="35">
        <v>255.67500000000001</v>
      </c>
      <c r="H44" s="35">
        <v>255.67500000000001</v>
      </c>
      <c r="I44" s="36">
        <v>19.27</v>
      </c>
      <c r="J44" s="36">
        <v>4926.8599999999997</v>
      </c>
      <c r="K44" s="37">
        <v>0</v>
      </c>
      <c r="L44" s="38">
        <v>0</v>
      </c>
      <c r="M44" s="39">
        <v>19.27</v>
      </c>
      <c r="N44" s="38">
        <v>4927.1099999999997</v>
      </c>
      <c r="O44" s="33" t="s">
        <v>89</v>
      </c>
      <c r="P44" s="40">
        <v>45369</v>
      </c>
      <c r="Q44" s="35">
        <v>255.67500000000001</v>
      </c>
      <c r="R44" s="35">
        <v>5471.44</v>
      </c>
      <c r="S44" s="35">
        <v>21.4</v>
      </c>
      <c r="T44" s="41"/>
      <c r="U44" s="36"/>
      <c r="V44" s="38">
        <v>544.33000000000004</v>
      </c>
      <c r="W44" s="38">
        <v>0</v>
      </c>
      <c r="X44" s="38">
        <v>0</v>
      </c>
      <c r="Y44" s="38">
        <v>0</v>
      </c>
      <c r="Z44" s="42" t="s">
        <v>95</v>
      </c>
    </row>
    <row r="45" spans="1:26" s="42" customFormat="1" x14ac:dyDescent="0.25">
      <c r="A45" s="32" t="s">
        <v>87</v>
      </c>
      <c r="B45" s="33" t="s">
        <v>6</v>
      </c>
      <c r="C45" s="33" t="s">
        <v>7</v>
      </c>
      <c r="D45" s="33" t="s">
        <v>9</v>
      </c>
      <c r="E45" s="33" t="s">
        <v>88</v>
      </c>
      <c r="F45" s="34">
        <v>45267</v>
      </c>
      <c r="G45" s="35">
        <v>27.948</v>
      </c>
      <c r="H45" s="35">
        <v>27.948</v>
      </c>
      <c r="I45" s="36">
        <v>19.27</v>
      </c>
      <c r="J45" s="36">
        <v>538.55999999999995</v>
      </c>
      <c r="K45" s="37">
        <v>0</v>
      </c>
      <c r="L45" s="38">
        <v>0</v>
      </c>
      <c r="M45" s="39">
        <v>19.27</v>
      </c>
      <c r="N45" s="38">
        <v>538.59</v>
      </c>
      <c r="O45" s="33" t="s">
        <v>89</v>
      </c>
      <c r="P45" s="40">
        <v>45369</v>
      </c>
      <c r="Q45" s="35">
        <v>27.948</v>
      </c>
      <c r="R45" s="35">
        <v>604.24</v>
      </c>
      <c r="S45" s="35">
        <v>21.62</v>
      </c>
      <c r="T45" s="41"/>
      <c r="U45" s="36"/>
      <c r="V45" s="38">
        <v>65.650000000000006</v>
      </c>
      <c r="W45" s="38">
        <v>0</v>
      </c>
      <c r="X45" s="38">
        <v>0</v>
      </c>
      <c r="Y45" s="38">
        <v>0</v>
      </c>
      <c r="Z45" s="42" t="s">
        <v>95</v>
      </c>
    </row>
    <row r="46" spans="1:26" s="42" customFormat="1" x14ac:dyDescent="0.25">
      <c r="A46" s="32" t="s">
        <v>87</v>
      </c>
      <c r="B46" s="33" t="s">
        <v>6</v>
      </c>
      <c r="C46" s="33" t="s">
        <v>7</v>
      </c>
      <c r="D46" s="33" t="s">
        <v>9</v>
      </c>
      <c r="E46" s="33" t="s">
        <v>88</v>
      </c>
      <c r="F46" s="34">
        <v>45267</v>
      </c>
      <c r="G46" s="35">
        <v>251.52699999999999</v>
      </c>
      <c r="H46" s="35">
        <v>251.52699999999999</v>
      </c>
      <c r="I46" s="36">
        <v>19.27</v>
      </c>
      <c r="J46" s="36">
        <v>4846.93</v>
      </c>
      <c r="K46" s="37">
        <v>0</v>
      </c>
      <c r="L46" s="38">
        <v>0</v>
      </c>
      <c r="M46" s="39">
        <v>19.27</v>
      </c>
      <c r="N46" s="38">
        <v>4847.17</v>
      </c>
      <c r="O46" s="33" t="s">
        <v>89</v>
      </c>
      <c r="P46" s="40">
        <v>45369</v>
      </c>
      <c r="Q46" s="35">
        <v>251.52699999999999</v>
      </c>
      <c r="R46" s="35">
        <v>5382.68</v>
      </c>
      <c r="S46" s="35">
        <v>21.4</v>
      </c>
      <c r="T46" s="41"/>
      <c r="U46" s="36"/>
      <c r="V46" s="38">
        <v>535.51</v>
      </c>
      <c r="W46" s="38">
        <v>0</v>
      </c>
      <c r="X46" s="38">
        <v>0</v>
      </c>
      <c r="Y46" s="38">
        <v>0</v>
      </c>
      <c r="Z46" s="42" t="s">
        <v>95</v>
      </c>
    </row>
    <row r="47" spans="1:26" s="42" customFormat="1" x14ac:dyDescent="0.25">
      <c r="A47" s="32" t="s">
        <v>87</v>
      </c>
      <c r="B47" s="33" t="s">
        <v>6</v>
      </c>
      <c r="C47" s="33" t="s">
        <v>7</v>
      </c>
      <c r="D47" s="33" t="s">
        <v>9</v>
      </c>
      <c r="E47" s="33" t="s">
        <v>88</v>
      </c>
      <c r="F47" s="34">
        <v>45267</v>
      </c>
      <c r="G47" s="35">
        <v>37.633000000000003</v>
      </c>
      <c r="H47" s="35">
        <v>37.633000000000003</v>
      </c>
      <c r="I47" s="36">
        <v>19.27</v>
      </c>
      <c r="J47" s="36">
        <v>725.19</v>
      </c>
      <c r="K47" s="37">
        <v>0</v>
      </c>
      <c r="L47" s="38">
        <v>0</v>
      </c>
      <c r="M47" s="39">
        <v>19.27</v>
      </c>
      <c r="N47" s="38">
        <v>725.23</v>
      </c>
      <c r="O47" s="33" t="s">
        <v>89</v>
      </c>
      <c r="P47" s="40">
        <v>45369</v>
      </c>
      <c r="Q47" s="35">
        <v>37.633000000000003</v>
      </c>
      <c r="R47" s="35">
        <v>813.63</v>
      </c>
      <c r="S47" s="35">
        <v>21.62</v>
      </c>
      <c r="T47" s="41"/>
      <c r="U47" s="36"/>
      <c r="V47" s="38">
        <v>88.4</v>
      </c>
      <c r="W47" s="38">
        <v>0</v>
      </c>
      <c r="X47" s="38">
        <v>0</v>
      </c>
      <c r="Y47" s="38">
        <v>0</v>
      </c>
      <c r="Z47" s="42" t="s">
        <v>95</v>
      </c>
    </row>
    <row r="48" spans="1:26" s="42" customFormat="1" x14ac:dyDescent="0.25">
      <c r="A48" s="32" t="s">
        <v>87</v>
      </c>
      <c r="B48" s="33" t="s">
        <v>6</v>
      </c>
      <c r="C48" s="33" t="s">
        <v>7</v>
      </c>
      <c r="D48" s="33" t="s">
        <v>9</v>
      </c>
      <c r="E48" s="33" t="s">
        <v>88</v>
      </c>
      <c r="F48" s="34">
        <v>45267</v>
      </c>
      <c r="G48" s="35">
        <v>338.70100000000002</v>
      </c>
      <c r="H48" s="35">
        <v>338.70100000000002</v>
      </c>
      <c r="I48" s="36">
        <v>19.27</v>
      </c>
      <c r="J48" s="36">
        <v>6526.77</v>
      </c>
      <c r="K48" s="37">
        <v>0</v>
      </c>
      <c r="L48" s="38">
        <v>0</v>
      </c>
      <c r="M48" s="39">
        <v>19.27</v>
      </c>
      <c r="N48" s="38">
        <v>6527.1</v>
      </c>
      <c r="O48" s="33" t="s">
        <v>89</v>
      </c>
      <c r="P48" s="40">
        <v>45369</v>
      </c>
      <c r="Q48" s="35">
        <v>338.70100000000002</v>
      </c>
      <c r="R48" s="35">
        <v>7248.2</v>
      </c>
      <c r="S48" s="35">
        <v>21.4</v>
      </c>
      <c r="T48" s="41"/>
      <c r="U48" s="36"/>
      <c r="V48" s="38">
        <v>721.1</v>
      </c>
      <c r="W48" s="38">
        <v>0</v>
      </c>
      <c r="X48" s="38">
        <v>0</v>
      </c>
      <c r="Y48" s="38">
        <v>0</v>
      </c>
      <c r="Z48" s="42" t="s">
        <v>95</v>
      </c>
    </row>
    <row r="49" spans="1:26" s="42" customFormat="1" x14ac:dyDescent="0.25">
      <c r="A49" s="32" t="s">
        <v>87</v>
      </c>
      <c r="B49" s="33" t="s">
        <v>6</v>
      </c>
      <c r="C49" s="33" t="s">
        <v>7</v>
      </c>
      <c r="D49" s="33" t="s">
        <v>9</v>
      </c>
      <c r="E49" s="33" t="s">
        <v>88</v>
      </c>
      <c r="F49" s="34">
        <v>45267</v>
      </c>
      <c r="G49" s="35">
        <v>36.107999999999997</v>
      </c>
      <c r="H49" s="35">
        <v>36.107999999999997</v>
      </c>
      <c r="I49" s="36">
        <v>19.27</v>
      </c>
      <c r="J49" s="36">
        <v>695.8</v>
      </c>
      <c r="K49" s="37">
        <v>0</v>
      </c>
      <c r="L49" s="38">
        <v>0</v>
      </c>
      <c r="M49" s="39">
        <v>19.27</v>
      </c>
      <c r="N49" s="38">
        <v>695.83</v>
      </c>
      <c r="O49" s="33" t="s">
        <v>89</v>
      </c>
      <c r="P49" s="40">
        <v>45369</v>
      </c>
      <c r="Q49" s="35">
        <v>36.107999999999997</v>
      </c>
      <c r="R49" s="35">
        <v>780.65</v>
      </c>
      <c r="S49" s="35">
        <v>21.62</v>
      </c>
      <c r="T49" s="41"/>
      <c r="U49" s="36"/>
      <c r="V49" s="38">
        <v>84.82</v>
      </c>
      <c r="W49" s="38">
        <v>0</v>
      </c>
      <c r="X49" s="38">
        <v>0</v>
      </c>
      <c r="Y49" s="38">
        <v>0</v>
      </c>
      <c r="Z49" s="42" t="s">
        <v>95</v>
      </c>
    </row>
    <row r="50" spans="1:26" s="42" customFormat="1" x14ac:dyDescent="0.25">
      <c r="A50" s="32" t="s">
        <v>87</v>
      </c>
      <c r="B50" s="33" t="s">
        <v>6</v>
      </c>
      <c r="C50" s="33" t="s">
        <v>7</v>
      </c>
      <c r="D50" s="33" t="s">
        <v>9</v>
      </c>
      <c r="E50" s="33" t="s">
        <v>88</v>
      </c>
      <c r="F50" s="34">
        <v>45267</v>
      </c>
      <c r="G50" s="35">
        <v>324.971</v>
      </c>
      <c r="H50" s="35">
        <v>324.971</v>
      </c>
      <c r="I50" s="36">
        <v>19.27</v>
      </c>
      <c r="J50" s="36">
        <v>6262.19</v>
      </c>
      <c r="K50" s="37">
        <v>0</v>
      </c>
      <c r="L50" s="38">
        <v>0</v>
      </c>
      <c r="M50" s="39">
        <v>19.27</v>
      </c>
      <c r="N50" s="38">
        <v>6262.5</v>
      </c>
      <c r="O50" s="33" t="s">
        <v>89</v>
      </c>
      <c r="P50" s="40">
        <v>45369</v>
      </c>
      <c r="Q50" s="35">
        <v>324.971</v>
      </c>
      <c r="R50" s="35">
        <v>6954.38</v>
      </c>
      <c r="S50" s="35">
        <v>21.4</v>
      </c>
      <c r="T50" s="41"/>
      <c r="U50" s="36"/>
      <c r="V50" s="38">
        <v>691.88</v>
      </c>
      <c r="W50" s="38">
        <v>0</v>
      </c>
      <c r="X50" s="38">
        <v>0</v>
      </c>
      <c r="Y50" s="38">
        <v>0</v>
      </c>
      <c r="Z50" s="42" t="s">
        <v>95</v>
      </c>
    </row>
    <row r="51" spans="1:26" s="42" customFormat="1" x14ac:dyDescent="0.25">
      <c r="A51" s="32" t="s">
        <v>87</v>
      </c>
      <c r="B51" s="33" t="s">
        <v>6</v>
      </c>
      <c r="C51" s="33" t="s">
        <v>7</v>
      </c>
      <c r="D51" s="33" t="s">
        <v>9</v>
      </c>
      <c r="E51" s="33" t="s">
        <v>88</v>
      </c>
      <c r="F51" s="34">
        <v>45267</v>
      </c>
      <c r="G51" s="35">
        <v>33.326000000000001</v>
      </c>
      <c r="H51" s="35">
        <v>33.326000000000001</v>
      </c>
      <c r="I51" s="36">
        <v>19.27</v>
      </c>
      <c r="J51" s="36">
        <v>642.19000000000005</v>
      </c>
      <c r="K51" s="37">
        <v>0</v>
      </c>
      <c r="L51" s="38">
        <v>0</v>
      </c>
      <c r="M51" s="39">
        <v>19.27</v>
      </c>
      <c r="N51" s="38">
        <v>642.22</v>
      </c>
      <c r="O51" s="33" t="s">
        <v>89</v>
      </c>
      <c r="P51" s="40">
        <v>45369</v>
      </c>
      <c r="Q51" s="35">
        <v>33.326000000000001</v>
      </c>
      <c r="R51" s="35">
        <v>720.51</v>
      </c>
      <c r="S51" s="35">
        <v>21.62</v>
      </c>
      <c r="T51" s="41"/>
      <c r="U51" s="36"/>
      <c r="V51" s="38">
        <v>78.290000000000006</v>
      </c>
      <c r="W51" s="38">
        <v>0</v>
      </c>
      <c r="X51" s="38">
        <v>0</v>
      </c>
      <c r="Y51" s="38">
        <v>0</v>
      </c>
      <c r="Z51" s="42" t="s">
        <v>95</v>
      </c>
    </row>
    <row r="52" spans="1:26" s="42" customFormat="1" x14ac:dyDescent="0.25">
      <c r="A52" s="32" t="s">
        <v>87</v>
      </c>
      <c r="B52" s="33" t="s">
        <v>6</v>
      </c>
      <c r="C52" s="33" t="s">
        <v>7</v>
      </c>
      <c r="D52" s="33" t="s">
        <v>9</v>
      </c>
      <c r="E52" s="33" t="s">
        <v>88</v>
      </c>
      <c r="F52" s="34">
        <v>45267</v>
      </c>
      <c r="G52" s="35">
        <v>299.93400000000003</v>
      </c>
      <c r="H52" s="35">
        <v>299.93400000000003</v>
      </c>
      <c r="I52" s="36">
        <v>19.27</v>
      </c>
      <c r="J52" s="36">
        <v>5779.73</v>
      </c>
      <c r="K52" s="37">
        <v>0</v>
      </c>
      <c r="L52" s="38">
        <v>0</v>
      </c>
      <c r="M52" s="39">
        <v>19.27</v>
      </c>
      <c r="N52" s="38">
        <v>5780.02</v>
      </c>
      <c r="O52" s="33" t="s">
        <v>89</v>
      </c>
      <c r="P52" s="40">
        <v>45369</v>
      </c>
      <c r="Q52" s="35">
        <v>299.93400000000003</v>
      </c>
      <c r="R52" s="35">
        <v>6418.59</v>
      </c>
      <c r="S52" s="35">
        <v>21.4</v>
      </c>
      <c r="T52" s="41"/>
      <c r="U52" s="36"/>
      <c r="V52" s="38">
        <v>638.57000000000005</v>
      </c>
      <c r="W52" s="38">
        <v>0</v>
      </c>
      <c r="X52" s="38">
        <v>0</v>
      </c>
      <c r="Y52" s="38">
        <v>0</v>
      </c>
      <c r="Z52" s="42" t="s">
        <v>95</v>
      </c>
    </row>
    <row r="53" spans="1:26" s="42" customFormat="1" x14ac:dyDescent="0.25">
      <c r="A53" s="32" t="s">
        <v>87</v>
      </c>
      <c r="B53" s="33" t="s">
        <v>6</v>
      </c>
      <c r="C53" s="33" t="s">
        <v>7</v>
      </c>
      <c r="D53" s="33" t="s">
        <v>9</v>
      </c>
      <c r="E53" s="33" t="s">
        <v>88</v>
      </c>
      <c r="F53" s="34">
        <v>45267</v>
      </c>
      <c r="G53" s="35">
        <v>31.85</v>
      </c>
      <c r="H53" s="35">
        <v>31.85</v>
      </c>
      <c r="I53" s="36">
        <v>19.27</v>
      </c>
      <c r="J53" s="36">
        <v>613.75</v>
      </c>
      <c r="K53" s="37">
        <v>0</v>
      </c>
      <c r="L53" s="38">
        <v>0</v>
      </c>
      <c r="M53" s="39">
        <v>19.27</v>
      </c>
      <c r="N53" s="38">
        <v>613.78</v>
      </c>
      <c r="O53" s="33" t="s">
        <v>89</v>
      </c>
      <c r="P53" s="40">
        <v>45369</v>
      </c>
      <c r="Q53" s="35">
        <v>31.85</v>
      </c>
      <c r="R53" s="35">
        <v>688.6</v>
      </c>
      <c r="S53" s="35">
        <v>21.62</v>
      </c>
      <c r="T53" s="41"/>
      <c r="U53" s="36"/>
      <c r="V53" s="38">
        <v>74.819999999999993</v>
      </c>
      <c r="W53" s="38">
        <v>0</v>
      </c>
      <c r="X53" s="38">
        <v>0</v>
      </c>
      <c r="Y53" s="38">
        <v>0</v>
      </c>
      <c r="Z53" s="42" t="s">
        <v>95</v>
      </c>
    </row>
    <row r="54" spans="1:26" s="42" customFormat="1" x14ac:dyDescent="0.25">
      <c r="A54" s="32" t="s">
        <v>87</v>
      </c>
      <c r="B54" s="33" t="s">
        <v>6</v>
      </c>
      <c r="C54" s="33" t="s">
        <v>7</v>
      </c>
      <c r="D54" s="33" t="s">
        <v>9</v>
      </c>
      <c r="E54" s="33" t="s">
        <v>88</v>
      </c>
      <c r="F54" s="34">
        <v>45267</v>
      </c>
      <c r="G54" s="35">
        <v>286.65199999999999</v>
      </c>
      <c r="H54" s="35">
        <v>286.65199999999999</v>
      </c>
      <c r="I54" s="36">
        <v>19.27</v>
      </c>
      <c r="J54" s="36">
        <v>5523.78</v>
      </c>
      <c r="K54" s="37">
        <v>0</v>
      </c>
      <c r="L54" s="38">
        <v>0</v>
      </c>
      <c r="M54" s="39">
        <v>19.27</v>
      </c>
      <c r="N54" s="38">
        <v>5524.06</v>
      </c>
      <c r="O54" s="33" t="s">
        <v>89</v>
      </c>
      <c r="P54" s="40">
        <v>45369</v>
      </c>
      <c r="Q54" s="35">
        <v>286.65199999999999</v>
      </c>
      <c r="R54" s="35">
        <v>6134.35</v>
      </c>
      <c r="S54" s="35">
        <v>21.4</v>
      </c>
      <c r="T54" s="41"/>
      <c r="U54" s="36"/>
      <c r="V54" s="38">
        <v>610.29</v>
      </c>
      <c r="W54" s="38">
        <v>0</v>
      </c>
      <c r="X54" s="38">
        <v>0</v>
      </c>
      <c r="Y54" s="38">
        <v>0</v>
      </c>
      <c r="Z54" s="42" t="s">
        <v>95</v>
      </c>
    </row>
    <row r="55" spans="1:26" s="42" customFormat="1" x14ac:dyDescent="0.25">
      <c r="A55" s="32" t="s">
        <v>90</v>
      </c>
      <c r="B55" s="33" t="s">
        <v>6</v>
      </c>
      <c r="C55" s="33" t="s">
        <v>10</v>
      </c>
      <c r="D55" s="33" t="s">
        <v>11</v>
      </c>
      <c r="E55" s="33" t="s">
        <v>91</v>
      </c>
      <c r="F55" s="34">
        <v>43103</v>
      </c>
      <c r="G55" s="35">
        <v>56.731999999999999</v>
      </c>
      <c r="H55" s="35">
        <v>56.731999999999999</v>
      </c>
      <c r="I55" s="36">
        <v>52.88</v>
      </c>
      <c r="J55" s="36">
        <v>2999.99</v>
      </c>
      <c r="K55" s="37">
        <v>0</v>
      </c>
      <c r="L55" s="38">
        <v>2925.67</v>
      </c>
      <c r="M55" s="39">
        <v>52.88</v>
      </c>
      <c r="N55" s="38">
        <v>2999.99</v>
      </c>
      <c r="O55" s="33" t="s">
        <v>89</v>
      </c>
      <c r="P55" s="40">
        <v>45369</v>
      </c>
      <c r="Q55" s="35">
        <v>56.731999999999999</v>
      </c>
      <c r="R55" s="35">
        <v>5923.39</v>
      </c>
      <c r="S55" s="35">
        <v>104.41</v>
      </c>
      <c r="T55" s="41"/>
      <c r="U55" s="36"/>
      <c r="V55" s="38">
        <v>0</v>
      </c>
      <c r="W55" s="38">
        <v>0</v>
      </c>
      <c r="X55" s="38">
        <v>0</v>
      </c>
      <c r="Y55" s="38">
        <v>2923.4</v>
      </c>
      <c r="Z55" s="42" t="s">
        <v>96</v>
      </c>
    </row>
    <row r="56" spans="1:26" s="42" customFormat="1" x14ac:dyDescent="0.25">
      <c r="A56" s="32" t="s">
        <v>90</v>
      </c>
      <c r="B56" s="33" t="s">
        <v>6</v>
      </c>
      <c r="C56" s="33" t="s">
        <v>10</v>
      </c>
      <c r="D56" s="33" t="s">
        <v>11</v>
      </c>
      <c r="E56" s="33" t="s">
        <v>91</v>
      </c>
      <c r="F56" s="34">
        <v>42828</v>
      </c>
      <c r="G56" s="35">
        <v>70.522000000000006</v>
      </c>
      <c r="H56" s="35">
        <v>70.522000000000006</v>
      </c>
      <c r="I56" s="36">
        <v>42.54</v>
      </c>
      <c r="J56" s="36">
        <v>3000.01</v>
      </c>
      <c r="K56" s="37">
        <v>0</v>
      </c>
      <c r="L56" s="38">
        <v>3636.82</v>
      </c>
      <c r="M56" s="39">
        <v>51.57</v>
      </c>
      <c r="N56" s="38">
        <v>3636.82</v>
      </c>
      <c r="O56" s="33" t="s">
        <v>89</v>
      </c>
      <c r="P56" s="40">
        <v>45369</v>
      </c>
      <c r="Q56" s="35">
        <v>70.522000000000006</v>
      </c>
      <c r="R56" s="35">
        <v>7363.2</v>
      </c>
      <c r="S56" s="35">
        <v>104.41</v>
      </c>
      <c r="T56" s="41"/>
      <c r="U56" s="36"/>
      <c r="V56" s="38">
        <v>0</v>
      </c>
      <c r="W56" s="38">
        <v>0</v>
      </c>
      <c r="X56" s="38">
        <v>0</v>
      </c>
      <c r="Y56" s="38">
        <v>3726.38</v>
      </c>
      <c r="Z56" s="42" t="s">
        <v>96</v>
      </c>
    </row>
    <row r="57" spans="1:26" s="42" customFormat="1" x14ac:dyDescent="0.25">
      <c r="A57" s="32" t="s">
        <v>90</v>
      </c>
      <c r="B57" s="33" t="s">
        <v>6</v>
      </c>
      <c r="C57" s="33" t="s">
        <v>10</v>
      </c>
      <c r="D57" s="33" t="s">
        <v>11</v>
      </c>
      <c r="E57" s="33" t="s">
        <v>91</v>
      </c>
      <c r="F57" s="34">
        <v>43193</v>
      </c>
      <c r="G57" s="35">
        <v>60.728999999999999</v>
      </c>
      <c r="H57" s="35">
        <v>60.728999999999999</v>
      </c>
      <c r="I57" s="36">
        <v>49.4</v>
      </c>
      <c r="J57" s="36">
        <v>3000.01</v>
      </c>
      <c r="K57" s="37">
        <v>0</v>
      </c>
      <c r="L57" s="38">
        <v>0</v>
      </c>
      <c r="M57" s="39">
        <v>49.4</v>
      </c>
      <c r="N57" s="38">
        <v>3000.01</v>
      </c>
      <c r="O57" s="33" t="s">
        <v>89</v>
      </c>
      <c r="P57" s="40">
        <v>45369</v>
      </c>
      <c r="Q57" s="35">
        <v>60.728999999999999</v>
      </c>
      <c r="R57" s="35">
        <v>6340.71</v>
      </c>
      <c r="S57" s="35">
        <v>104.41</v>
      </c>
      <c r="T57" s="41"/>
      <c r="U57" s="36"/>
      <c r="V57" s="38">
        <v>0</v>
      </c>
      <c r="W57" s="38">
        <v>0</v>
      </c>
      <c r="X57" s="38">
        <v>0</v>
      </c>
      <c r="Y57" s="38">
        <v>3340.7</v>
      </c>
      <c r="Z57" s="42" t="s">
        <v>96</v>
      </c>
    </row>
    <row r="58" spans="1:26" s="42" customFormat="1" x14ac:dyDescent="0.25">
      <c r="A58" s="32" t="s">
        <v>90</v>
      </c>
      <c r="B58" s="33" t="s">
        <v>6</v>
      </c>
      <c r="C58" s="33" t="s">
        <v>10</v>
      </c>
      <c r="D58" s="33" t="s">
        <v>11</v>
      </c>
      <c r="E58" s="33" t="s">
        <v>91</v>
      </c>
      <c r="F58" s="34">
        <v>42858</v>
      </c>
      <c r="G58" s="35">
        <v>67.430999999999997</v>
      </c>
      <c r="H58" s="35">
        <v>67.430999999999997</v>
      </c>
      <c r="I58" s="36">
        <v>44.49</v>
      </c>
      <c r="J58" s="36">
        <v>3000.01</v>
      </c>
      <c r="K58" s="37">
        <v>0</v>
      </c>
      <c r="L58" s="38">
        <v>3477.42</v>
      </c>
      <c r="M58" s="39">
        <v>51.57</v>
      </c>
      <c r="N58" s="38">
        <v>3477.42</v>
      </c>
      <c r="O58" s="33" t="s">
        <v>89</v>
      </c>
      <c r="P58" s="40">
        <v>45369</v>
      </c>
      <c r="Q58" s="35">
        <v>67.430999999999997</v>
      </c>
      <c r="R58" s="35">
        <v>7040.47</v>
      </c>
      <c r="S58" s="35">
        <v>104.41</v>
      </c>
      <c r="T58" s="41"/>
      <c r="U58" s="36"/>
      <c r="V58" s="38">
        <v>0</v>
      </c>
      <c r="W58" s="38">
        <v>0</v>
      </c>
      <c r="X58" s="38">
        <v>0</v>
      </c>
      <c r="Y58" s="38">
        <v>3563.05</v>
      </c>
      <c r="Z58" s="42" t="s">
        <v>96</v>
      </c>
    </row>
    <row r="59" spans="1:26" s="42" customFormat="1" x14ac:dyDescent="0.25">
      <c r="A59" s="32" t="s">
        <v>90</v>
      </c>
      <c r="B59" s="33" t="s">
        <v>6</v>
      </c>
      <c r="C59" s="33" t="s">
        <v>10</v>
      </c>
      <c r="D59" s="33" t="s">
        <v>11</v>
      </c>
      <c r="E59" s="33" t="s">
        <v>91</v>
      </c>
      <c r="F59" s="34">
        <v>43223</v>
      </c>
      <c r="G59" s="35">
        <v>59.265000000000001</v>
      </c>
      <c r="H59" s="35">
        <v>59.265000000000001</v>
      </c>
      <c r="I59" s="36">
        <v>50.62</v>
      </c>
      <c r="J59" s="36">
        <v>2999.99</v>
      </c>
      <c r="K59" s="37">
        <v>0</v>
      </c>
      <c r="L59" s="38">
        <v>0</v>
      </c>
      <c r="M59" s="39">
        <v>50.62</v>
      </c>
      <c r="N59" s="38">
        <v>2999.99</v>
      </c>
      <c r="O59" s="33" t="s">
        <v>89</v>
      </c>
      <c r="P59" s="40">
        <v>45369</v>
      </c>
      <c r="Q59" s="35">
        <v>59.265000000000001</v>
      </c>
      <c r="R59" s="35">
        <v>6187.86</v>
      </c>
      <c r="S59" s="35">
        <v>104.41</v>
      </c>
      <c r="T59" s="41"/>
      <c r="U59" s="36"/>
      <c r="V59" s="38">
        <v>0</v>
      </c>
      <c r="W59" s="38">
        <v>0</v>
      </c>
      <c r="X59" s="38">
        <v>0</v>
      </c>
      <c r="Y59" s="38">
        <v>3187.87</v>
      </c>
      <c r="Z59" s="42" t="s">
        <v>96</v>
      </c>
    </row>
    <row r="60" spans="1:26" s="42" customFormat="1" x14ac:dyDescent="0.25">
      <c r="A60" s="32" t="s">
        <v>90</v>
      </c>
      <c r="B60" s="33" t="s">
        <v>6</v>
      </c>
      <c r="C60" s="33" t="s">
        <v>10</v>
      </c>
      <c r="D60" s="33" t="s">
        <v>11</v>
      </c>
      <c r="E60" s="33" t="s">
        <v>91</v>
      </c>
      <c r="F60" s="34">
        <v>42919</v>
      </c>
      <c r="G60" s="35">
        <v>67.659000000000006</v>
      </c>
      <c r="H60" s="35">
        <v>67.659000000000006</v>
      </c>
      <c r="I60" s="36">
        <v>44.34</v>
      </c>
      <c r="J60" s="36">
        <v>3000</v>
      </c>
      <c r="K60" s="37">
        <v>0</v>
      </c>
      <c r="L60" s="38">
        <v>3489.17</v>
      </c>
      <c r="M60" s="39">
        <v>51.57</v>
      </c>
      <c r="N60" s="38">
        <v>3489.17</v>
      </c>
      <c r="O60" s="33" t="s">
        <v>89</v>
      </c>
      <c r="P60" s="40">
        <v>45369</v>
      </c>
      <c r="Q60" s="35">
        <v>67.659000000000006</v>
      </c>
      <c r="R60" s="35">
        <v>7064.28</v>
      </c>
      <c r="S60" s="35">
        <v>104.41</v>
      </c>
      <c r="T60" s="41"/>
      <c r="U60" s="36"/>
      <c r="V60" s="38">
        <v>0</v>
      </c>
      <c r="W60" s="38">
        <v>0</v>
      </c>
      <c r="X60" s="38">
        <v>0</v>
      </c>
      <c r="Y60" s="38">
        <v>3575.11</v>
      </c>
      <c r="Z60" s="42" t="s">
        <v>96</v>
      </c>
    </row>
    <row r="61" spans="1:26" s="42" customFormat="1" x14ac:dyDescent="0.25">
      <c r="A61" s="32" t="s">
        <v>90</v>
      </c>
      <c r="B61" s="33" t="s">
        <v>6</v>
      </c>
      <c r="C61" s="33" t="s">
        <v>10</v>
      </c>
      <c r="D61" s="33" t="s">
        <v>11</v>
      </c>
      <c r="E61" s="33" t="s">
        <v>84</v>
      </c>
      <c r="F61" s="34">
        <v>43284</v>
      </c>
      <c r="G61" s="35">
        <v>62.487000000000002</v>
      </c>
      <c r="H61" s="35">
        <v>62.487000000000002</v>
      </c>
      <c r="I61" s="36">
        <v>48.01</v>
      </c>
      <c r="J61" s="36">
        <v>3000</v>
      </c>
      <c r="K61" s="37">
        <v>0</v>
      </c>
      <c r="L61" s="38">
        <v>0</v>
      </c>
      <c r="M61" s="39">
        <v>48.01</v>
      </c>
      <c r="N61" s="38">
        <v>3000</v>
      </c>
      <c r="O61" s="33" t="s">
        <v>89</v>
      </c>
      <c r="P61" s="40">
        <v>45369</v>
      </c>
      <c r="Q61" s="35">
        <v>62.487000000000002</v>
      </c>
      <c r="R61" s="35">
        <v>6524.27</v>
      </c>
      <c r="S61" s="35">
        <v>104.41</v>
      </c>
      <c r="T61" s="41"/>
      <c r="U61" s="36"/>
      <c r="V61" s="38">
        <v>0</v>
      </c>
      <c r="W61" s="38">
        <v>0</v>
      </c>
      <c r="X61" s="38">
        <v>0</v>
      </c>
      <c r="Y61" s="38">
        <v>3524.27</v>
      </c>
      <c r="Z61" s="42" t="s">
        <v>96</v>
      </c>
    </row>
    <row r="62" spans="1:26" s="42" customFormat="1" x14ac:dyDescent="0.25">
      <c r="A62" s="32" t="s">
        <v>90</v>
      </c>
      <c r="B62" s="33" t="s">
        <v>6</v>
      </c>
      <c r="C62" s="33" t="s">
        <v>10</v>
      </c>
      <c r="D62" s="33" t="s">
        <v>11</v>
      </c>
      <c r="E62" s="33" t="s">
        <v>91</v>
      </c>
      <c r="F62" s="34">
        <v>42950</v>
      </c>
      <c r="G62" s="35">
        <v>65.846999999999994</v>
      </c>
      <c r="H62" s="35">
        <v>65.846999999999994</v>
      </c>
      <c r="I62" s="36">
        <v>45.56</v>
      </c>
      <c r="J62" s="36">
        <v>2999.99</v>
      </c>
      <c r="K62" s="37">
        <v>0</v>
      </c>
      <c r="L62" s="38">
        <v>3395.73</v>
      </c>
      <c r="M62" s="39">
        <v>51.57</v>
      </c>
      <c r="N62" s="38">
        <v>3395.73</v>
      </c>
      <c r="O62" s="33" t="s">
        <v>89</v>
      </c>
      <c r="P62" s="40">
        <v>45369</v>
      </c>
      <c r="Q62" s="35">
        <v>65.846999999999994</v>
      </c>
      <c r="R62" s="35">
        <v>6875.09</v>
      </c>
      <c r="S62" s="35">
        <v>104.41</v>
      </c>
      <c r="T62" s="41"/>
      <c r="U62" s="36"/>
      <c r="V62" s="38">
        <v>0</v>
      </c>
      <c r="W62" s="38">
        <v>0</v>
      </c>
      <c r="X62" s="38">
        <v>0</v>
      </c>
      <c r="Y62" s="38">
        <v>3479.36</v>
      </c>
      <c r="Z62" s="42" t="s">
        <v>96</v>
      </c>
    </row>
    <row r="63" spans="1:26" s="42" customFormat="1" x14ac:dyDescent="0.25">
      <c r="A63" s="32" t="s">
        <v>90</v>
      </c>
      <c r="B63" s="33" t="s">
        <v>6</v>
      </c>
      <c r="C63" s="33" t="s">
        <v>10</v>
      </c>
      <c r="D63" s="33" t="s">
        <v>11</v>
      </c>
      <c r="E63" s="33" t="s">
        <v>84</v>
      </c>
      <c r="F63" s="34">
        <v>43315</v>
      </c>
      <c r="G63" s="35">
        <v>59.618000000000002</v>
      </c>
      <c r="H63" s="35">
        <v>59.618000000000002</v>
      </c>
      <c r="I63" s="36">
        <v>50.32</v>
      </c>
      <c r="J63" s="36">
        <v>2999.98</v>
      </c>
      <c r="K63" s="37">
        <v>0</v>
      </c>
      <c r="L63" s="38">
        <v>0</v>
      </c>
      <c r="M63" s="39">
        <v>50.32</v>
      </c>
      <c r="N63" s="38">
        <v>2999.98</v>
      </c>
      <c r="O63" s="33" t="s">
        <v>89</v>
      </c>
      <c r="P63" s="40">
        <v>45369</v>
      </c>
      <c r="Q63" s="35">
        <v>59.618000000000002</v>
      </c>
      <c r="R63" s="35">
        <v>6224.72</v>
      </c>
      <c r="S63" s="35">
        <v>104.41</v>
      </c>
      <c r="T63" s="41"/>
      <c r="U63" s="36"/>
      <c r="V63" s="38">
        <v>0</v>
      </c>
      <c r="W63" s="38">
        <v>0</v>
      </c>
      <c r="X63" s="38">
        <v>0</v>
      </c>
      <c r="Y63" s="38">
        <v>3224.74</v>
      </c>
      <c r="Z63" s="42" t="s">
        <v>96</v>
      </c>
    </row>
    <row r="64" spans="1:26" s="42" customFormat="1" x14ac:dyDescent="0.25">
      <c r="A64" s="32" t="s">
        <v>90</v>
      </c>
      <c r="B64" s="33" t="s">
        <v>6</v>
      </c>
      <c r="C64" s="33" t="s">
        <v>10</v>
      </c>
      <c r="D64" s="33" t="s">
        <v>11</v>
      </c>
      <c r="E64" s="33" t="s">
        <v>84</v>
      </c>
      <c r="F64" s="34">
        <v>43346</v>
      </c>
      <c r="G64" s="35">
        <v>57.493000000000002</v>
      </c>
      <c r="H64" s="35">
        <v>57.493000000000002</v>
      </c>
      <c r="I64" s="36">
        <v>52.18</v>
      </c>
      <c r="J64" s="36">
        <v>2999.98</v>
      </c>
      <c r="K64" s="37">
        <v>0</v>
      </c>
      <c r="L64" s="38">
        <v>0</v>
      </c>
      <c r="M64" s="39">
        <v>52.18</v>
      </c>
      <c r="N64" s="38">
        <v>2999.98</v>
      </c>
      <c r="O64" s="33" t="s">
        <v>89</v>
      </c>
      <c r="P64" s="40">
        <v>45369</v>
      </c>
      <c r="Q64" s="35">
        <v>57.493000000000002</v>
      </c>
      <c r="R64" s="35">
        <v>6002.83</v>
      </c>
      <c r="S64" s="35">
        <v>104.41</v>
      </c>
      <c r="T64" s="41"/>
      <c r="U64" s="36"/>
      <c r="V64" s="38">
        <v>0</v>
      </c>
      <c r="W64" s="38">
        <v>0</v>
      </c>
      <c r="X64" s="38">
        <v>0</v>
      </c>
      <c r="Y64" s="38">
        <v>3002.85</v>
      </c>
      <c r="Z64" s="42" t="s">
        <v>96</v>
      </c>
    </row>
    <row r="65" spans="1:26" s="42" customFormat="1" x14ac:dyDescent="0.25">
      <c r="A65" s="32" t="s">
        <v>90</v>
      </c>
      <c r="B65" s="33" t="s">
        <v>6</v>
      </c>
      <c r="C65" s="33" t="s">
        <v>10</v>
      </c>
      <c r="D65" s="33" t="s">
        <v>11</v>
      </c>
      <c r="E65" s="33" t="s">
        <v>91</v>
      </c>
      <c r="F65" s="34">
        <v>43011</v>
      </c>
      <c r="G65" s="35">
        <v>64.558000000000007</v>
      </c>
      <c r="H65" s="35">
        <v>64.558000000000007</v>
      </c>
      <c r="I65" s="36">
        <v>46.47</v>
      </c>
      <c r="J65" s="36">
        <v>3000.01</v>
      </c>
      <c r="K65" s="37">
        <v>0</v>
      </c>
      <c r="L65" s="38">
        <v>3329.26</v>
      </c>
      <c r="M65" s="39">
        <v>51.57</v>
      </c>
      <c r="N65" s="38">
        <v>3329.26</v>
      </c>
      <c r="O65" s="33" t="s">
        <v>89</v>
      </c>
      <c r="P65" s="40">
        <v>45369</v>
      </c>
      <c r="Q65" s="35">
        <v>64.558000000000007</v>
      </c>
      <c r="R65" s="35">
        <v>6740.5</v>
      </c>
      <c r="S65" s="35">
        <v>104.41</v>
      </c>
      <c r="T65" s="41"/>
      <c r="U65" s="36"/>
      <c r="V65" s="38">
        <v>0</v>
      </c>
      <c r="W65" s="38">
        <v>0</v>
      </c>
      <c r="X65" s="38">
        <v>0</v>
      </c>
      <c r="Y65" s="38">
        <v>3411.24</v>
      </c>
      <c r="Z65" s="42" t="s">
        <v>96</v>
      </c>
    </row>
    <row r="66" spans="1:26" s="42" customFormat="1" x14ac:dyDescent="0.25">
      <c r="A66" s="32" t="s">
        <v>90</v>
      </c>
      <c r="B66" s="33" t="s">
        <v>6</v>
      </c>
      <c r="C66" s="33" t="s">
        <v>10</v>
      </c>
      <c r="D66" s="33" t="s">
        <v>11</v>
      </c>
      <c r="E66" s="33" t="s">
        <v>91</v>
      </c>
      <c r="F66" s="34">
        <v>43042</v>
      </c>
      <c r="G66" s="35">
        <v>60.338000000000001</v>
      </c>
      <c r="H66" s="35">
        <v>60.338000000000001</v>
      </c>
      <c r="I66" s="36">
        <v>49.72</v>
      </c>
      <c r="J66" s="36">
        <v>3000.01</v>
      </c>
      <c r="K66" s="37">
        <v>0</v>
      </c>
      <c r="L66" s="38">
        <v>3111.63</v>
      </c>
      <c r="M66" s="39">
        <v>51.57</v>
      </c>
      <c r="N66" s="38">
        <v>3111.63</v>
      </c>
      <c r="O66" s="33" t="s">
        <v>89</v>
      </c>
      <c r="P66" s="40">
        <v>45369</v>
      </c>
      <c r="Q66" s="35">
        <v>60.338000000000001</v>
      </c>
      <c r="R66" s="35">
        <v>6299.89</v>
      </c>
      <c r="S66" s="35">
        <v>104.41</v>
      </c>
      <c r="T66" s="41"/>
      <c r="U66" s="36"/>
      <c r="V66" s="38">
        <v>0</v>
      </c>
      <c r="W66" s="38">
        <v>0</v>
      </c>
      <c r="X66" s="38">
        <v>0</v>
      </c>
      <c r="Y66" s="38">
        <v>3188.26</v>
      </c>
      <c r="Z66" s="42" t="s">
        <v>96</v>
      </c>
    </row>
    <row r="67" spans="1:26" s="42" customFormat="1" x14ac:dyDescent="0.25">
      <c r="A67" s="32" t="s">
        <v>90</v>
      </c>
      <c r="B67" s="33" t="s">
        <v>6</v>
      </c>
      <c r="C67" s="33" t="s">
        <v>10</v>
      </c>
      <c r="D67" s="33" t="s">
        <v>11</v>
      </c>
      <c r="E67" s="33" t="s">
        <v>84</v>
      </c>
      <c r="F67" s="34">
        <v>43255</v>
      </c>
      <c r="G67" s="35">
        <v>60.84</v>
      </c>
      <c r="H67" s="35">
        <v>60.84</v>
      </c>
      <c r="I67" s="36">
        <v>49.31</v>
      </c>
      <c r="J67" s="36">
        <v>3000.02</v>
      </c>
      <c r="K67" s="37">
        <v>0</v>
      </c>
      <c r="L67" s="38">
        <v>0</v>
      </c>
      <c r="M67" s="39">
        <v>49.31</v>
      </c>
      <c r="N67" s="38">
        <v>3000.02</v>
      </c>
      <c r="O67" s="33" t="s">
        <v>89</v>
      </c>
      <c r="P67" s="40">
        <v>45369</v>
      </c>
      <c r="Q67" s="35">
        <v>60.84</v>
      </c>
      <c r="R67" s="35">
        <v>6352.3</v>
      </c>
      <c r="S67" s="35">
        <v>104.41</v>
      </c>
      <c r="T67" s="41"/>
      <c r="U67" s="36"/>
      <c r="V67" s="38">
        <v>0</v>
      </c>
      <c r="W67" s="38">
        <v>0</v>
      </c>
      <c r="X67" s="38">
        <v>0</v>
      </c>
      <c r="Y67" s="38">
        <v>3352.28</v>
      </c>
      <c r="Z67" s="42" t="s">
        <v>96</v>
      </c>
    </row>
    <row r="68" spans="1:26" s="42" customFormat="1" x14ac:dyDescent="0.25">
      <c r="A68" s="32" t="s">
        <v>90</v>
      </c>
      <c r="B68" s="33" t="s">
        <v>6</v>
      </c>
      <c r="C68" s="33" t="s">
        <v>10</v>
      </c>
      <c r="D68" s="33" t="s">
        <v>11</v>
      </c>
      <c r="E68" s="33" t="s">
        <v>91</v>
      </c>
      <c r="F68" s="34">
        <v>42982</v>
      </c>
      <c r="G68" s="35">
        <v>65.260000000000005</v>
      </c>
      <c r="H68" s="35">
        <v>65.260000000000005</v>
      </c>
      <c r="I68" s="36">
        <v>45.97</v>
      </c>
      <c r="J68" s="36">
        <v>3000</v>
      </c>
      <c r="K68" s="37">
        <v>0</v>
      </c>
      <c r="L68" s="38">
        <v>3365.46</v>
      </c>
      <c r="M68" s="39">
        <v>51.57</v>
      </c>
      <c r="N68" s="38">
        <v>3365.46</v>
      </c>
      <c r="O68" s="33" t="s">
        <v>89</v>
      </c>
      <c r="P68" s="40">
        <v>45369</v>
      </c>
      <c r="Q68" s="35">
        <v>65.260000000000005</v>
      </c>
      <c r="R68" s="35">
        <v>6813.8</v>
      </c>
      <c r="S68" s="35">
        <v>104.41</v>
      </c>
      <c r="T68" s="41"/>
      <c r="U68" s="36"/>
      <c r="V68" s="38">
        <v>0</v>
      </c>
      <c r="W68" s="38">
        <v>0</v>
      </c>
      <c r="X68" s="38">
        <v>0</v>
      </c>
      <c r="Y68" s="38">
        <v>3448.34</v>
      </c>
      <c r="Z68" s="42" t="s">
        <v>96</v>
      </c>
    </row>
    <row r="69" spans="1:26" s="42" customFormat="1" x14ac:dyDescent="0.25">
      <c r="A69" s="32" t="s">
        <v>90</v>
      </c>
      <c r="B69" s="33" t="s">
        <v>6</v>
      </c>
      <c r="C69" s="33" t="s">
        <v>10</v>
      </c>
      <c r="D69" s="33" t="s">
        <v>11</v>
      </c>
      <c r="E69" s="33" t="s">
        <v>91</v>
      </c>
      <c r="F69" s="34">
        <v>43073</v>
      </c>
      <c r="G69" s="35">
        <v>59.69</v>
      </c>
      <c r="H69" s="35">
        <v>59.69</v>
      </c>
      <c r="I69" s="36">
        <v>50.26</v>
      </c>
      <c r="J69" s="36">
        <v>3000.02</v>
      </c>
      <c r="K69" s="37">
        <v>0</v>
      </c>
      <c r="L69" s="38">
        <v>3078.21</v>
      </c>
      <c r="M69" s="39">
        <v>51.57</v>
      </c>
      <c r="N69" s="38">
        <v>3078.21</v>
      </c>
      <c r="O69" s="33" t="s">
        <v>89</v>
      </c>
      <c r="P69" s="40">
        <v>45369</v>
      </c>
      <c r="Q69" s="35">
        <v>59.69</v>
      </c>
      <c r="R69" s="35">
        <v>6232.23</v>
      </c>
      <c r="S69" s="35">
        <v>104.41</v>
      </c>
      <c r="T69" s="41"/>
      <c r="U69" s="36"/>
      <c r="V69" s="38">
        <v>0</v>
      </c>
      <c r="W69" s="38">
        <v>0</v>
      </c>
      <c r="X69" s="38">
        <v>0</v>
      </c>
      <c r="Y69" s="38">
        <v>3154.02</v>
      </c>
      <c r="Z69" s="42" t="s">
        <v>96</v>
      </c>
    </row>
    <row r="70" spans="1:26" s="42" customFormat="1" x14ac:dyDescent="0.25">
      <c r="A70" s="32" t="s">
        <v>90</v>
      </c>
      <c r="B70" s="33" t="s">
        <v>6</v>
      </c>
      <c r="C70" s="33" t="s">
        <v>10</v>
      </c>
      <c r="D70" s="33" t="s">
        <v>11</v>
      </c>
      <c r="E70" s="33" t="s">
        <v>91</v>
      </c>
      <c r="F70" s="34">
        <v>43136</v>
      </c>
      <c r="G70" s="35">
        <v>60.155999999999999</v>
      </c>
      <c r="H70" s="35">
        <v>60.155999999999999</v>
      </c>
      <c r="I70" s="36">
        <v>49.87</v>
      </c>
      <c r="J70" s="36">
        <v>2999.98</v>
      </c>
      <c r="K70" s="37">
        <v>0</v>
      </c>
      <c r="L70" s="38">
        <v>0</v>
      </c>
      <c r="M70" s="39">
        <v>49.87</v>
      </c>
      <c r="N70" s="38">
        <v>2999.98</v>
      </c>
      <c r="O70" s="33" t="s">
        <v>89</v>
      </c>
      <c r="P70" s="40">
        <v>45369</v>
      </c>
      <c r="Q70" s="35">
        <v>60.155999999999999</v>
      </c>
      <c r="R70" s="35">
        <v>6280.89</v>
      </c>
      <c r="S70" s="35">
        <v>104.41</v>
      </c>
      <c r="T70" s="41"/>
      <c r="U70" s="36"/>
      <c r="V70" s="38">
        <v>0</v>
      </c>
      <c r="W70" s="38">
        <v>0</v>
      </c>
      <c r="X70" s="38">
        <v>0</v>
      </c>
      <c r="Y70" s="38">
        <v>3280.91</v>
      </c>
      <c r="Z70" s="42" t="s">
        <v>96</v>
      </c>
    </row>
    <row r="71" spans="1:26" s="42" customFormat="1" x14ac:dyDescent="0.25">
      <c r="A71" s="32" t="s">
        <v>90</v>
      </c>
      <c r="B71" s="33" t="s">
        <v>6</v>
      </c>
      <c r="C71" s="33" t="s">
        <v>10</v>
      </c>
      <c r="D71" s="33" t="s">
        <v>11</v>
      </c>
      <c r="E71" s="33" t="s">
        <v>91</v>
      </c>
      <c r="F71" s="34">
        <v>43164</v>
      </c>
      <c r="G71" s="35">
        <v>61.337000000000003</v>
      </c>
      <c r="H71" s="35">
        <v>61.337000000000003</v>
      </c>
      <c r="I71" s="36">
        <v>48.91</v>
      </c>
      <c r="J71" s="36">
        <v>2999.99</v>
      </c>
      <c r="K71" s="37">
        <v>0</v>
      </c>
      <c r="L71" s="38">
        <v>0</v>
      </c>
      <c r="M71" s="39">
        <v>48.91</v>
      </c>
      <c r="N71" s="38">
        <v>2999.99</v>
      </c>
      <c r="O71" s="33" t="s">
        <v>89</v>
      </c>
      <c r="P71" s="40">
        <v>45369</v>
      </c>
      <c r="Q71" s="35">
        <v>61.337000000000003</v>
      </c>
      <c r="R71" s="35">
        <v>6404.2</v>
      </c>
      <c r="S71" s="35">
        <v>104.41</v>
      </c>
      <c r="T71" s="41"/>
      <c r="U71" s="36"/>
      <c r="V71" s="38">
        <v>0</v>
      </c>
      <c r="W71" s="38">
        <v>0</v>
      </c>
      <c r="X71" s="38">
        <v>0</v>
      </c>
      <c r="Y71" s="38">
        <v>3404.21</v>
      </c>
      <c r="Z71" s="42" t="s">
        <v>96</v>
      </c>
    </row>
    <row r="72" spans="1:26" s="42" customFormat="1" x14ac:dyDescent="0.25">
      <c r="A72" s="32" t="s">
        <v>90</v>
      </c>
      <c r="B72" s="33" t="s">
        <v>6</v>
      </c>
      <c r="C72" s="33" t="s">
        <v>10</v>
      </c>
      <c r="D72" s="33" t="s">
        <v>11</v>
      </c>
      <c r="E72" s="33" t="s">
        <v>91</v>
      </c>
      <c r="F72" s="34">
        <v>42891</v>
      </c>
      <c r="G72" s="35">
        <v>67.385000000000005</v>
      </c>
      <c r="H72" s="35">
        <v>67.385000000000005</v>
      </c>
      <c r="I72" s="36">
        <v>44.52</v>
      </c>
      <c r="J72" s="36">
        <v>2999.98</v>
      </c>
      <c r="K72" s="37">
        <v>0</v>
      </c>
      <c r="L72" s="38">
        <v>3475.04</v>
      </c>
      <c r="M72" s="39">
        <v>51.57</v>
      </c>
      <c r="N72" s="38">
        <v>3475.04</v>
      </c>
      <c r="O72" s="33" t="s">
        <v>89</v>
      </c>
      <c r="P72" s="40">
        <v>45369</v>
      </c>
      <c r="Q72" s="35">
        <v>67.385000000000005</v>
      </c>
      <c r="R72" s="35">
        <v>7035.67</v>
      </c>
      <c r="S72" s="35">
        <v>104.41</v>
      </c>
      <c r="T72" s="41"/>
      <c r="U72" s="36"/>
      <c r="V72" s="38">
        <v>0</v>
      </c>
      <c r="W72" s="38">
        <v>0</v>
      </c>
      <c r="X72" s="38">
        <v>0</v>
      </c>
      <c r="Y72" s="38">
        <v>3560.63</v>
      </c>
      <c r="Z72" s="42" t="s">
        <v>96</v>
      </c>
    </row>
    <row r="73" spans="1:26" ht="171.6" customHeight="1" x14ac:dyDescent="0.25"/>
    <row r="74" spans="1:26" ht="132.15" customHeight="1" x14ac:dyDescent="0.25"/>
  </sheetData>
  <autoFilter ref="A6:Z72" xr:uid="{00000000-0001-0000-0200-000000000000}"/>
  <mergeCells count="4">
    <mergeCell ref="A4:D4"/>
    <mergeCell ref="E4:N4"/>
    <mergeCell ref="O4:U4"/>
    <mergeCell ref="V4:Y4"/>
  </mergeCells>
  <phoneticPr fontId="0" type="noConversion"/>
  <pageMargins left="0.19685039370078741" right="0.19685039370078741" top="0.19685039370078741" bottom="0.19685039370078741" header="0.19685039370078741" footer="0.19685039370078741"/>
  <pageSetup paperSize="9"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Scheme_Level_Summary</vt:lpstr>
      <vt:lpstr>Trasaction_Details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2024-05-20T14:50:08Z</dcterms:created>
  <dcterms:modified xsi:type="dcterms:W3CDTF">2024-05-24T17:07:14Z</dcterms:modified>
</cp:coreProperties>
</file>