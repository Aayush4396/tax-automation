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3_ncr:1_{D4CD9F2F-20FD-48A5-A289-937904AAD2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dewise Exits from 2023-04-01" sheetId="1" r:id="rId1"/>
    <sheet name="Equity" sheetId="2" r:id="rId2"/>
    <sheet name="Mutual Funds" sheetId="3" r:id="rId3"/>
    <sheet name="F&amp;O" sheetId="4" r:id="rId4"/>
    <sheet name="Currency" sheetId="5" r:id="rId5"/>
    <sheet name="Commodity" sheetId="6" r:id="rId6"/>
    <sheet name="Other Debits and Credits" sheetId="7" r:id="rId7"/>
    <sheet name="Open Positions as of 2024-03-31" sheetId="8" r:id="rId8"/>
    <sheet name="Open Positions as of 2023-04-01" sheetId="9" r:id="rId9"/>
    <sheet name="Equity Dividends" sheetId="10" r:id="rId10"/>
    <sheet name="Ledger Balances" sheetId="11" r:id="rId11"/>
  </sheets>
  <definedNames>
    <definedName name="_xlnm._FilterDatabase" localSheetId="9" hidden="1">'Equity Dividends'!$B$15:$G$40</definedName>
    <definedName name="_xlnm._FilterDatabase" localSheetId="0" hidden="1">'Tradewise Exits from 2023-04-01'!$B$15:$Q$80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7" i="2" l="1"/>
  <c r="P14" i="1"/>
  <c r="O14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16" i="1"/>
  <c r="O23" i="1"/>
  <c r="O24" i="1"/>
  <c r="O25" i="1"/>
  <c r="O26" i="1"/>
  <c r="O27" i="1"/>
  <c r="O28" i="1"/>
  <c r="O35" i="1"/>
  <c r="O47" i="1"/>
  <c r="O48" i="1"/>
  <c r="O49" i="1"/>
  <c r="O50" i="1"/>
  <c r="O51" i="1"/>
  <c r="O52" i="1"/>
  <c r="O59" i="1"/>
  <c r="O71" i="1"/>
  <c r="Q24" i="1"/>
  <c r="Q25" i="1"/>
  <c r="Q26" i="1"/>
  <c r="Q27" i="1"/>
  <c r="Q28" i="1"/>
  <c r="Q36" i="1"/>
  <c r="O36" i="1" s="1"/>
  <c r="Q37" i="1"/>
  <c r="O37" i="1" s="1"/>
  <c r="Q48" i="1"/>
  <c r="Q49" i="1"/>
  <c r="Q50" i="1"/>
  <c r="Q51" i="1"/>
  <c r="Q52" i="1"/>
  <c r="Q60" i="1"/>
  <c r="O60" i="1" s="1"/>
  <c r="Q61" i="1"/>
  <c r="O61" i="1" s="1"/>
  <c r="Q62" i="1"/>
  <c r="O62" i="1" s="1"/>
  <c r="Q63" i="1"/>
  <c r="O63" i="1" s="1"/>
  <c r="N17" i="1"/>
  <c r="Q17" i="1" s="1"/>
  <c r="O17" i="1" s="1"/>
  <c r="N18" i="1"/>
  <c r="Q18" i="1" s="1"/>
  <c r="O18" i="1" s="1"/>
  <c r="N19" i="1"/>
  <c r="Q19" i="1" s="1"/>
  <c r="O19" i="1" s="1"/>
  <c r="N20" i="1"/>
  <c r="Q20" i="1" s="1"/>
  <c r="O20" i="1" s="1"/>
  <c r="N21" i="1"/>
  <c r="Q21" i="1" s="1"/>
  <c r="O21" i="1" s="1"/>
  <c r="N22" i="1"/>
  <c r="Q22" i="1" s="1"/>
  <c r="O22" i="1" s="1"/>
  <c r="N23" i="1"/>
  <c r="Q23" i="1" s="1"/>
  <c r="N24" i="1"/>
  <c r="N25" i="1"/>
  <c r="N26" i="1"/>
  <c r="N27" i="1"/>
  <c r="N28" i="1"/>
  <c r="N29" i="1"/>
  <c r="Q29" i="1" s="1"/>
  <c r="O29" i="1" s="1"/>
  <c r="N30" i="1"/>
  <c r="Q30" i="1" s="1"/>
  <c r="O30" i="1" s="1"/>
  <c r="N31" i="1"/>
  <c r="Q31" i="1" s="1"/>
  <c r="O31" i="1" s="1"/>
  <c r="N32" i="1"/>
  <c r="Q32" i="1" s="1"/>
  <c r="O32" i="1" s="1"/>
  <c r="N33" i="1"/>
  <c r="Q33" i="1" s="1"/>
  <c r="O33" i="1" s="1"/>
  <c r="N34" i="1"/>
  <c r="Q34" i="1" s="1"/>
  <c r="O34" i="1" s="1"/>
  <c r="N35" i="1"/>
  <c r="Q35" i="1" s="1"/>
  <c r="N36" i="1"/>
  <c r="N37" i="1"/>
  <c r="N38" i="1"/>
  <c r="Q38" i="1" s="1"/>
  <c r="O38" i="1" s="1"/>
  <c r="N39" i="1"/>
  <c r="Q39" i="1" s="1"/>
  <c r="O39" i="1" s="1"/>
  <c r="N40" i="1"/>
  <c r="Q40" i="1" s="1"/>
  <c r="O40" i="1" s="1"/>
  <c r="N41" i="1"/>
  <c r="Q41" i="1" s="1"/>
  <c r="O41" i="1" s="1"/>
  <c r="N42" i="1"/>
  <c r="Q42" i="1" s="1"/>
  <c r="O42" i="1" s="1"/>
  <c r="N43" i="1"/>
  <c r="Q43" i="1" s="1"/>
  <c r="O43" i="1" s="1"/>
  <c r="N44" i="1"/>
  <c r="Q44" i="1" s="1"/>
  <c r="O44" i="1" s="1"/>
  <c r="N45" i="1"/>
  <c r="Q45" i="1" s="1"/>
  <c r="O45" i="1" s="1"/>
  <c r="N46" i="1"/>
  <c r="Q46" i="1" s="1"/>
  <c r="O46" i="1" s="1"/>
  <c r="N47" i="1"/>
  <c r="Q47" i="1" s="1"/>
  <c r="N48" i="1"/>
  <c r="N49" i="1"/>
  <c r="N50" i="1"/>
  <c r="N51" i="1"/>
  <c r="N52" i="1"/>
  <c r="N53" i="1"/>
  <c r="Q53" i="1" s="1"/>
  <c r="O53" i="1" s="1"/>
  <c r="N54" i="1"/>
  <c r="Q54" i="1" s="1"/>
  <c r="O54" i="1" s="1"/>
  <c r="N55" i="1"/>
  <c r="Q55" i="1" s="1"/>
  <c r="O55" i="1" s="1"/>
  <c r="N56" i="1"/>
  <c r="Q56" i="1" s="1"/>
  <c r="O56" i="1" s="1"/>
  <c r="N57" i="1"/>
  <c r="Q57" i="1" s="1"/>
  <c r="O57" i="1" s="1"/>
  <c r="N58" i="1"/>
  <c r="Q58" i="1" s="1"/>
  <c r="O58" i="1" s="1"/>
  <c r="N59" i="1"/>
  <c r="Q59" i="1" s="1"/>
  <c r="N60" i="1"/>
  <c r="N61" i="1"/>
  <c r="N62" i="1"/>
  <c r="N63" i="1"/>
  <c r="N64" i="1"/>
  <c r="Q64" i="1" s="1"/>
  <c r="O64" i="1" s="1"/>
  <c r="N65" i="1"/>
  <c r="Q65" i="1" s="1"/>
  <c r="O65" i="1" s="1"/>
  <c r="N66" i="1"/>
  <c r="Q66" i="1" s="1"/>
  <c r="O66" i="1" s="1"/>
  <c r="N67" i="1"/>
  <c r="Q67" i="1" s="1"/>
  <c r="O67" i="1" s="1"/>
  <c r="N68" i="1"/>
  <c r="Q68" i="1" s="1"/>
  <c r="O68" i="1" s="1"/>
  <c r="N69" i="1"/>
  <c r="Q69" i="1" s="1"/>
  <c r="O69" i="1" s="1"/>
  <c r="N70" i="1"/>
  <c r="Q70" i="1" s="1"/>
  <c r="O70" i="1" s="1"/>
  <c r="N71" i="1"/>
  <c r="Q71" i="1" s="1"/>
  <c r="N72" i="1"/>
  <c r="Q72" i="1" s="1"/>
  <c r="O72" i="1" s="1"/>
  <c r="N73" i="1"/>
  <c r="Q73" i="1" s="1"/>
  <c r="O73" i="1" s="1"/>
  <c r="N74" i="1"/>
  <c r="Q74" i="1" s="1"/>
  <c r="O74" i="1" s="1"/>
  <c r="N75" i="1"/>
  <c r="Q75" i="1" s="1"/>
  <c r="O75" i="1" s="1"/>
  <c r="N76" i="1"/>
  <c r="Q76" i="1" s="1"/>
  <c r="O76" i="1" s="1"/>
  <c r="N77" i="1"/>
  <c r="Q77" i="1" s="1"/>
  <c r="O77" i="1" s="1"/>
  <c r="N78" i="1"/>
  <c r="Q78" i="1" s="1"/>
  <c r="O78" i="1" s="1"/>
  <c r="N79" i="1"/>
  <c r="Q79" i="1" s="1"/>
  <c r="O79" i="1" s="1"/>
  <c r="N80" i="1"/>
  <c r="Q80" i="1" s="1"/>
  <c r="O80" i="1" s="1"/>
  <c r="N16" i="1"/>
  <c r="Q16" i="1" s="1"/>
  <c r="O16" i="1" s="1"/>
</calcChain>
</file>

<file path=xl/sharedStrings.xml><?xml version="1.0" encoding="utf-8"?>
<sst xmlns="http://schemas.openxmlformats.org/spreadsheetml/2006/main" count="862" uniqueCount="249">
  <si>
    <t>Client ID</t>
  </si>
  <si>
    <t>LE1860</t>
  </si>
  <si>
    <t>Client Name</t>
  </si>
  <si>
    <t>AAYUSH KUMAR GUPTA</t>
  </si>
  <si>
    <t>PAN</t>
  </si>
  <si>
    <t>BRGPG8066G</t>
  </si>
  <si>
    <t>Tradewise Exits from 2023-04-01 to 2024-03-31</t>
  </si>
  <si>
    <t>Equity</t>
  </si>
  <si>
    <t>Symbol</t>
  </si>
  <si>
    <t>ISIN</t>
  </si>
  <si>
    <t>Entry Date</t>
  </si>
  <si>
    <t>Exit Date</t>
  </si>
  <si>
    <t>Quantity</t>
  </si>
  <si>
    <t>Buy Value</t>
  </si>
  <si>
    <t>Sell Value</t>
  </si>
  <si>
    <t>Profit</t>
  </si>
  <si>
    <t>Period of Holding</t>
  </si>
  <si>
    <t>Fair Market Value</t>
  </si>
  <si>
    <t>Taxable Profit</t>
  </si>
  <si>
    <t>Turnover</t>
  </si>
  <si>
    <t>NIFTYBEES</t>
  </si>
  <si>
    <t>INF204KB14I2</t>
  </si>
  <si>
    <t>2021-07-08</t>
  </si>
  <si>
    <t>2023-06-21</t>
  </si>
  <si>
    <t>ICICINV20</t>
  </si>
  <si>
    <t>INF109KC11V0</t>
  </si>
  <si>
    <t>2021-07-09</t>
  </si>
  <si>
    <t>2023-06-23</t>
  </si>
  <si>
    <t>2021-09-01</t>
  </si>
  <si>
    <t>FINPIPE</t>
  </si>
  <si>
    <t>INE183A01024</t>
  </si>
  <si>
    <t>2021-09-16</t>
  </si>
  <si>
    <t>2023-05-03</t>
  </si>
  <si>
    <t>ORIENTCEM</t>
  </si>
  <si>
    <t>INE876N01018</t>
  </si>
  <si>
    <t>2023-08-24</t>
  </si>
  <si>
    <t>DEVYANI</t>
  </si>
  <si>
    <t>INE872J01023</t>
  </si>
  <si>
    <t>2021-09-27</t>
  </si>
  <si>
    <t>2023-05-25</t>
  </si>
  <si>
    <t>IDEA</t>
  </si>
  <si>
    <t>INE669E01016</t>
  </si>
  <si>
    <t>2021-09-28</t>
  </si>
  <si>
    <t>2023-08-25</t>
  </si>
  <si>
    <t>LIQUIDBEES</t>
  </si>
  <si>
    <t>INF732E01037</t>
  </si>
  <si>
    <t>2021-10-04</t>
  </si>
  <si>
    <t>2021-10-11</t>
  </si>
  <si>
    <t>2021-10-18</t>
  </si>
  <si>
    <t>2021-10-25</t>
  </si>
  <si>
    <t>2021-11-01</t>
  </si>
  <si>
    <t>RSIL</t>
  </si>
  <si>
    <t>INE758E01017</t>
  </si>
  <si>
    <t>2021-11-04</t>
  </si>
  <si>
    <t>2023-08-28</t>
  </si>
  <si>
    <t>2021-11-08</t>
  </si>
  <si>
    <t>2021-11-10</t>
  </si>
  <si>
    <t>2021-11-15</t>
  </si>
  <si>
    <t>2021-12-06</t>
  </si>
  <si>
    <t>SAGCEM</t>
  </si>
  <si>
    <t>INE229C01021</t>
  </si>
  <si>
    <t>2021-12-16</t>
  </si>
  <si>
    <t>2023-08-11</t>
  </si>
  <si>
    <t>2022-01-03</t>
  </si>
  <si>
    <t>VEDL</t>
  </si>
  <si>
    <t>INE205A01025</t>
  </si>
  <si>
    <t>2022-02-09</t>
  </si>
  <si>
    <t>2023-11-07</t>
  </si>
  <si>
    <t>2022-02-25</t>
  </si>
  <si>
    <t>FINOLEXIND</t>
  </si>
  <si>
    <t>2022-03-04</t>
  </si>
  <si>
    <t>2022-03-30</t>
  </si>
  <si>
    <t>SBICARD</t>
  </si>
  <si>
    <t>INE018E01016</t>
  </si>
  <si>
    <t>2023-05-29</t>
  </si>
  <si>
    <t>2022-03-31</t>
  </si>
  <si>
    <t>2022-04-06</t>
  </si>
  <si>
    <t>2022-08-01</t>
  </si>
  <si>
    <t>2022-08-04</t>
  </si>
  <si>
    <t>2022-08-23</t>
  </si>
  <si>
    <t>2022-08-26</t>
  </si>
  <si>
    <t>2022-09-21</t>
  </si>
  <si>
    <t>2022-09-22</t>
  </si>
  <si>
    <t>2022-09-26</t>
  </si>
  <si>
    <t>2022-11-01</t>
  </si>
  <si>
    <t>2022-11-02</t>
  </si>
  <si>
    <t>2022-11-28</t>
  </si>
  <si>
    <t>2023-02-20</t>
  </si>
  <si>
    <t>2023-02-23</t>
  </si>
  <si>
    <t>2023-04-05</t>
  </si>
  <si>
    <t>2023-04-06</t>
  </si>
  <si>
    <t>2023-05-05</t>
  </si>
  <si>
    <t>2023-05-26</t>
  </si>
  <si>
    <t>2023-05-30</t>
  </si>
  <si>
    <t>Equity - Buyback</t>
  </si>
  <si>
    <t>Non-Taxable Profit</t>
  </si>
  <si>
    <t>CHAMBLFERT</t>
  </si>
  <si>
    <t>INE085A01013</t>
  </si>
  <si>
    <t>2024-02-06</t>
  </si>
  <si>
    <t>Mutual Funds</t>
  </si>
  <si>
    <t>Long Term Profit</t>
  </si>
  <si>
    <t>F&amp;O</t>
  </si>
  <si>
    <t>Currency</t>
  </si>
  <si>
    <t>Commodity</t>
  </si>
  <si>
    <t>Taxpnl Statement for Equity from 2023-04-01 to 2024-03-31</t>
  </si>
  <si>
    <t>Realized Profit Breakdown</t>
  </si>
  <si>
    <t>Intraday/Speculative profit</t>
  </si>
  <si>
    <t>Short Term profit</t>
  </si>
  <si>
    <t>Long Term profit</t>
  </si>
  <si>
    <t>Turnover Breakdown</t>
  </si>
  <si>
    <t>Intraday/Speculative turnover</t>
  </si>
  <si>
    <t>Charges</t>
  </si>
  <si>
    <t>Account Head</t>
  </si>
  <si>
    <t>Amount</t>
  </si>
  <si>
    <t>IPFT</t>
  </si>
  <si>
    <t>Brokerage - Z</t>
  </si>
  <si>
    <t>Exchange Transaction Charges - Z</t>
  </si>
  <si>
    <t>Central GST - Z</t>
  </si>
  <si>
    <t>Integrated GST - Z</t>
  </si>
  <si>
    <t>Securities Transaction Tax - Z</t>
  </si>
  <si>
    <t>SEBI Turnover Fees - Z</t>
  </si>
  <si>
    <t>Stamp Duty - Z</t>
  </si>
  <si>
    <t>Clearing Charges - Z</t>
  </si>
  <si>
    <t>State GST - Z</t>
  </si>
  <si>
    <t>Other Charges</t>
  </si>
  <si>
    <t>Other Credits &amp; Debits</t>
  </si>
  <si>
    <t>Intraday</t>
  </si>
  <si>
    <t>Realized P&amp;L</t>
  </si>
  <si>
    <t>Brokerage</t>
  </si>
  <si>
    <t>SEBI Charges</t>
  </si>
  <si>
    <t>SGST</t>
  </si>
  <si>
    <t>IGST</t>
  </si>
  <si>
    <t>CGST</t>
  </si>
  <si>
    <t>Stamp Duty</t>
  </si>
  <si>
    <t>STT</t>
  </si>
  <si>
    <t>Exchange Transaction Charges</t>
  </si>
  <si>
    <t>Short Term Trades</t>
  </si>
  <si>
    <t>Long Term Trades</t>
  </si>
  <si>
    <t>Taxpnl Statement for Mutual Funds from 2023-04-01 to 2024-03-31</t>
  </si>
  <si>
    <t>Short Term profit Equity</t>
  </si>
  <si>
    <t>Long Term profit Equity</t>
  </si>
  <si>
    <t>Short Term profit Debt</t>
  </si>
  <si>
    <t>Long Term profit Debt</t>
  </si>
  <si>
    <t>Debt - Purchases post 2023-04-01</t>
  </si>
  <si>
    <t>Short Term Trades Equity</t>
  </si>
  <si>
    <t>Long Term Trades Equity</t>
  </si>
  <si>
    <t>Short Term Trades Debt</t>
  </si>
  <si>
    <t>Long Term Trades Debt</t>
  </si>
  <si>
    <t>Taxpnl Statement for F&amp;O from 2023-04-01 to 2024-03-31</t>
  </si>
  <si>
    <t>Options Realized Profit</t>
  </si>
  <si>
    <t>Futures Realized Profit</t>
  </si>
  <si>
    <t>Options Turnover</t>
  </si>
  <si>
    <t>Futures Turnover</t>
  </si>
  <si>
    <t>Options</t>
  </si>
  <si>
    <t>Futures</t>
  </si>
  <si>
    <t>Taxpnl Statement for Currency from 2023-04-01 to 2024-03-31</t>
  </si>
  <si>
    <t>Taxpnl Statement for Commodity from 2023-04-01 to 2024-03-31</t>
  </si>
  <si>
    <t>Other Debits and Credits for all segments from 2023-04-01 to 2024-03-31</t>
  </si>
  <si>
    <t>Particulars</t>
  </si>
  <si>
    <t>Posting Date</t>
  </si>
  <si>
    <t>Debit</t>
  </si>
  <si>
    <t>Credit</t>
  </si>
  <si>
    <t>AMC for Demat Account for 01-09-2022 to 30-11-2022</t>
  </si>
  <si>
    <t>DP Charges for Sale of FINPIPE on 03/05/2023</t>
  </si>
  <si>
    <t>AMC for Demat Account for 01-12-2022 to 01-03-2023</t>
  </si>
  <si>
    <t>2023-05-15</t>
  </si>
  <si>
    <t>DP Charges for Sale of DEVYANI on 25/05/2023</t>
  </si>
  <si>
    <t>DP Charges for Sale of SBICARD on 29/05/2023</t>
  </si>
  <si>
    <t>DPCharges for Sale of LIQUIDBEES on 21/06/2023</t>
  </si>
  <si>
    <t>DP Charges for Sale of NIFTYBEES on 21/06/2023</t>
  </si>
  <si>
    <t>DP Charges for Sale of ICICINV20 on 23/06/2023</t>
  </si>
  <si>
    <t>AMC for Demat Account for 02-03-2023 to 31-05-2023</t>
  </si>
  <si>
    <t>2023-08-09</t>
  </si>
  <si>
    <t>DP Charges for Sale of SAGCEM on 11/08/2023</t>
  </si>
  <si>
    <t>DP Charges for Sale of ORIENTCEM on 24/08/2023</t>
  </si>
  <si>
    <t>DP Charges for Sale of IDEA on 25/08/2023</t>
  </si>
  <si>
    <t>DP Charges for Sale of JIOFIN on 28/08/2023</t>
  </si>
  <si>
    <t>AMC for Demat Account for 01-06-2023 to 30-08-2023</t>
  </si>
  <si>
    <t>2023-10-02</t>
  </si>
  <si>
    <t>DP Charges for Sale of VEDL on 07/11/2023</t>
  </si>
  <si>
    <t>AMC for Demat Account for 31-08-2023 to 29-11-2023</t>
  </si>
  <si>
    <t>2024-01-01</t>
  </si>
  <si>
    <t>Buyback Order Placement charge for Chambal Fertilisers and Chemicals Limited</t>
  </si>
  <si>
    <t>2024-01-30</t>
  </si>
  <si>
    <t>Reversal of Buyback Order Placement charge for CHAMBAL FERTILISERS AND CHEMICALS LIMITED</t>
  </si>
  <si>
    <t>2024-01-31</t>
  </si>
  <si>
    <t>AMC for Demat Account for 30-11-2023 to 28-02-2024</t>
  </si>
  <si>
    <t>2024-03-31</t>
  </si>
  <si>
    <t/>
  </si>
  <si>
    <t>Open Positions for F&amp;O</t>
  </si>
  <si>
    <t>Trade Date</t>
  </si>
  <si>
    <t>Exchange</t>
  </si>
  <si>
    <t>Instrument Type</t>
  </si>
  <si>
    <t>Open Quantity</t>
  </si>
  <si>
    <t>Average Price</t>
  </si>
  <si>
    <t>Previous Closing Price</t>
  </si>
  <si>
    <t>Unrealized Profit</t>
  </si>
  <si>
    <t>Open Positions for Currency</t>
  </si>
  <si>
    <t>Open Positions for Commodity</t>
  </si>
  <si>
    <t>Equity Dividends from 2023-04-01 to 2024-03-31</t>
  </si>
  <si>
    <t>Date</t>
  </si>
  <si>
    <t>Dividend Per Share</t>
  </si>
  <si>
    <t>Net Dividend Amount</t>
  </si>
  <si>
    <t>LAURUSLABS</t>
  </si>
  <si>
    <t>INE947Q01028</t>
  </si>
  <si>
    <t>2023-05-10</t>
  </si>
  <si>
    <t>ITC</t>
  </si>
  <si>
    <t>INE154A01025</t>
  </si>
  <si>
    <t>SAGCEM6</t>
  </si>
  <si>
    <t>2023-06-20</t>
  </si>
  <si>
    <t>KIRLFER</t>
  </si>
  <si>
    <t>INE884B01025</t>
  </si>
  <si>
    <t>2023-07-14</t>
  </si>
  <si>
    <t>2023-07-25</t>
  </si>
  <si>
    <t>ROUTE</t>
  </si>
  <si>
    <t>INE450U01017</t>
  </si>
  <si>
    <t>2023-08-04</t>
  </si>
  <si>
    <t>CAMS</t>
  </si>
  <si>
    <t>INE596I01012</t>
  </si>
  <si>
    <t>2023-08-14</t>
  </si>
  <si>
    <t>IRCTC</t>
  </si>
  <si>
    <t>INE335Y01020</t>
  </si>
  <si>
    <t>2023-08-18</t>
  </si>
  <si>
    <t>RELIANCE</t>
  </si>
  <si>
    <t>INE002A01018</t>
  </si>
  <si>
    <t>2023-08-21</t>
  </si>
  <si>
    <t>CDSL</t>
  </si>
  <si>
    <t>INE736A01011</t>
  </si>
  <si>
    <t>2023-09-06</t>
  </si>
  <si>
    <t>2023-11-02</t>
  </si>
  <si>
    <t>2023-11-03</t>
  </si>
  <si>
    <t>2023-11-15</t>
  </si>
  <si>
    <t>2023-11-17</t>
  </si>
  <si>
    <t>2024-02-01</t>
  </si>
  <si>
    <t>2024-02-08</t>
  </si>
  <si>
    <t>2024-02-16</t>
  </si>
  <si>
    <t>2024-03-15</t>
  </si>
  <si>
    <t>Total Dividend Amount</t>
  </si>
  <si>
    <t>Dividends are credited directly to your registered bank account</t>
  </si>
  <si>
    <t>Ledger Balances from 2023-04-01 to 2024-03-31</t>
  </si>
  <si>
    <t>Zerodha</t>
  </si>
  <si>
    <t>Opening Balance</t>
  </si>
  <si>
    <t>Closing Balance</t>
  </si>
  <si>
    <t>Zerodha Commodities Pvt Ltd</t>
  </si>
  <si>
    <t>No. of days</t>
  </si>
  <si>
    <t>LT/ ST</t>
  </si>
  <si>
    <t>LT</t>
  </si>
  <si>
    <t>ST</t>
  </si>
  <si>
    <t>Not to take, as it is Exempt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</si>
</sst>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137160</xdr:colOff>
      <xdr:row>1</xdr:row>
      <xdr:rowOff>0</xdr:rowOff>
    </xdr:from>
    <xdr:to>
      <xdr:col>0</xdr:col>
      <xdr:colOff>1280160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09"/>
  <sheetViews>
    <sheetView showGridLines="0" tabSelected="1" topLeftCell="E1" workbookViewId="0">
      <selection activeCell="P14" sqref="P14"/>
    </sheetView>
  </sheetViews>
  <sheetFormatPr defaultColWidth="15" defaultRowHeight="14.4" x14ac:dyDescent="0.3"/>
  <cols>
    <col min="1" max="1" width="2" customWidth="1"/>
    <col min="2" max="2" width="22" customWidth="1"/>
  </cols>
  <sheetData>
    <row r="1" spans="2:17" ht="12" customHeight="1" x14ac:dyDescent="0.3"/>
    <row r="7" spans="2:17" x14ac:dyDescent="0.3">
      <c r="B7" s="2" t="s">
        <v>0</v>
      </c>
      <c r="C7" s="2" t="s">
        <v>1</v>
      </c>
    </row>
    <row r="8" spans="2:17" x14ac:dyDescent="0.3">
      <c r="B8" s="2" t="s">
        <v>2</v>
      </c>
      <c r="C8" s="2" t="s">
        <v>3</v>
      </c>
    </row>
    <row r="9" spans="2:17" x14ac:dyDescent="0.3">
      <c r="B9" s="2" t="s">
        <v>4</v>
      </c>
      <c r="C9" s="2" t="s">
        <v>5</v>
      </c>
    </row>
    <row r="11" spans="2:17" x14ac:dyDescent="0.3">
      <c r="B11" s="2" t="s">
        <v>6</v>
      </c>
    </row>
    <row r="13" spans="2:17" x14ac:dyDescent="0.3">
      <c r="B13" s="2" t="s">
        <v>7</v>
      </c>
      <c r="O13">
        <v>308</v>
      </c>
    </row>
    <row r="14" spans="2:17" x14ac:dyDescent="0.3">
      <c r="O14" s="3">
        <f>SUBTOTAL(9,O16:O80)</f>
        <v>1439.3059000000003</v>
      </c>
      <c r="P14" s="3">
        <f>SUBTOTAL(9,P16:P80)</f>
        <v>-1038.49</v>
      </c>
    </row>
    <row r="15" spans="2:17" x14ac:dyDescent="0.3">
      <c r="B15" s="2" t="s">
        <v>8</v>
      </c>
      <c r="C15" s="2" t="s">
        <v>9</v>
      </c>
      <c r="D15" s="2" t="s">
        <v>10</v>
      </c>
      <c r="E15" s="2" t="s">
        <v>11</v>
      </c>
      <c r="F15" s="2" t="s">
        <v>12</v>
      </c>
      <c r="G15" s="2" t="s">
        <v>13</v>
      </c>
      <c r="H15" s="2" t="s">
        <v>14</v>
      </c>
      <c r="I15" s="2" t="s">
        <v>15</v>
      </c>
      <c r="J15" s="2" t="s">
        <v>16</v>
      </c>
      <c r="K15" s="2" t="s">
        <v>17</v>
      </c>
      <c r="L15" s="2" t="s">
        <v>18</v>
      </c>
      <c r="M15" s="2" t="s">
        <v>19</v>
      </c>
      <c r="N15" s="2" t="s">
        <v>244</v>
      </c>
      <c r="O15" s="2" t="s">
        <v>246</v>
      </c>
      <c r="P15" s="2" t="s">
        <v>247</v>
      </c>
      <c r="Q15" s="2" t="s">
        <v>245</v>
      </c>
    </row>
    <row r="16" spans="2:17" x14ac:dyDescent="0.3">
      <c r="B16" t="s">
        <v>20</v>
      </c>
      <c r="C16" t="s">
        <v>21</v>
      </c>
      <c r="D16" t="s">
        <v>22</v>
      </c>
      <c r="E16" t="s">
        <v>23</v>
      </c>
      <c r="F16" s="1">
        <v>3</v>
      </c>
      <c r="G16" s="1">
        <v>509.25</v>
      </c>
      <c r="H16" s="1">
        <v>619.98</v>
      </c>
      <c r="I16" s="1">
        <v>110.73</v>
      </c>
      <c r="J16">
        <v>713</v>
      </c>
      <c r="K16" s="1">
        <v>0</v>
      </c>
      <c r="L16" s="1">
        <v>110.73</v>
      </c>
      <c r="M16" s="1">
        <v>0</v>
      </c>
      <c r="N16">
        <f>E16-D16</f>
        <v>713</v>
      </c>
      <c r="O16">
        <f>IF(Q16="LT",I16,0)</f>
        <v>110.73</v>
      </c>
      <c r="P16">
        <f>IF(Q16="ST",I16,0)</f>
        <v>0</v>
      </c>
      <c r="Q16" t="str">
        <f>IF(N16&gt;365,"LT","ST")</f>
        <v>LT</v>
      </c>
    </row>
    <row r="17" spans="2:17" x14ac:dyDescent="0.3">
      <c r="B17" t="s">
        <v>24</v>
      </c>
      <c r="C17" t="s">
        <v>25</v>
      </c>
      <c r="D17" t="s">
        <v>26</v>
      </c>
      <c r="E17" t="s">
        <v>27</v>
      </c>
      <c r="F17" s="1">
        <v>2</v>
      </c>
      <c r="G17" s="1">
        <v>169.58</v>
      </c>
      <c r="H17" s="1">
        <v>210.9</v>
      </c>
      <c r="I17" s="1">
        <v>41.32</v>
      </c>
      <c r="J17">
        <v>714</v>
      </c>
      <c r="K17" s="1">
        <v>0</v>
      </c>
      <c r="L17" s="1">
        <v>41.32</v>
      </c>
      <c r="M17" s="1">
        <v>0</v>
      </c>
      <c r="N17">
        <f t="shared" ref="N17:N80" si="0">E17-D17</f>
        <v>714</v>
      </c>
      <c r="O17">
        <f t="shared" ref="O17:O80" si="1">IF(Q17="LT",I17,0)</f>
        <v>41.32</v>
      </c>
      <c r="P17">
        <f t="shared" ref="P17:P80" si="2">IF(Q17="ST",I17,0)</f>
        <v>0</v>
      </c>
      <c r="Q17" t="str">
        <f t="shared" ref="Q17:Q80" si="3">IF(N17&gt;365,"LT","ST")</f>
        <v>LT</v>
      </c>
    </row>
    <row r="18" spans="2:17" x14ac:dyDescent="0.3">
      <c r="B18" t="s">
        <v>24</v>
      </c>
      <c r="C18" t="s">
        <v>25</v>
      </c>
      <c r="D18" t="s">
        <v>26</v>
      </c>
      <c r="E18" t="s">
        <v>27</v>
      </c>
      <c r="F18" s="1">
        <v>25</v>
      </c>
      <c r="G18" s="1">
        <v>2119.75</v>
      </c>
      <c r="H18" s="1">
        <v>2635.75</v>
      </c>
      <c r="I18" s="1">
        <v>516</v>
      </c>
      <c r="J18">
        <v>714</v>
      </c>
      <c r="K18" s="1">
        <v>0</v>
      </c>
      <c r="L18" s="1">
        <v>516</v>
      </c>
      <c r="M18" s="1">
        <v>0</v>
      </c>
      <c r="N18">
        <f t="shared" si="0"/>
        <v>714</v>
      </c>
      <c r="O18">
        <f t="shared" si="1"/>
        <v>516</v>
      </c>
      <c r="P18">
        <f t="shared" si="2"/>
        <v>0</v>
      </c>
      <c r="Q18" t="str">
        <f t="shared" si="3"/>
        <v>LT</v>
      </c>
    </row>
    <row r="19" spans="2:17" x14ac:dyDescent="0.3">
      <c r="B19" t="s">
        <v>24</v>
      </c>
      <c r="C19" t="s">
        <v>25</v>
      </c>
      <c r="D19" t="s">
        <v>28</v>
      </c>
      <c r="E19" t="s">
        <v>27</v>
      </c>
      <c r="F19" s="1">
        <v>1</v>
      </c>
      <c r="G19" s="1">
        <v>93.55</v>
      </c>
      <c r="H19" s="1">
        <v>105.5</v>
      </c>
      <c r="I19" s="1">
        <v>11.95</v>
      </c>
      <c r="J19">
        <v>660</v>
      </c>
      <c r="K19" s="1">
        <v>0</v>
      </c>
      <c r="L19" s="1">
        <v>11.95</v>
      </c>
      <c r="M19" s="1">
        <v>0</v>
      </c>
      <c r="N19">
        <f t="shared" si="0"/>
        <v>660</v>
      </c>
      <c r="O19">
        <f t="shared" si="1"/>
        <v>11.95</v>
      </c>
      <c r="P19">
        <f t="shared" si="2"/>
        <v>0</v>
      </c>
      <c r="Q19" t="str">
        <f t="shared" si="3"/>
        <v>LT</v>
      </c>
    </row>
    <row r="20" spans="2:17" x14ac:dyDescent="0.3">
      <c r="B20" t="s">
        <v>29</v>
      </c>
      <c r="C20" t="s">
        <v>30</v>
      </c>
      <c r="D20" t="s">
        <v>31</v>
      </c>
      <c r="E20" t="s">
        <v>32</v>
      </c>
      <c r="F20" s="1">
        <v>10</v>
      </c>
      <c r="G20" s="1">
        <v>1954</v>
      </c>
      <c r="H20" s="1">
        <v>1740</v>
      </c>
      <c r="I20" s="1">
        <v>-214</v>
      </c>
      <c r="J20">
        <v>594</v>
      </c>
      <c r="K20" s="1">
        <v>0</v>
      </c>
      <c r="L20" s="1">
        <v>-214</v>
      </c>
      <c r="M20" s="1">
        <v>0</v>
      </c>
      <c r="N20">
        <f t="shared" si="0"/>
        <v>594</v>
      </c>
      <c r="O20">
        <f t="shared" si="1"/>
        <v>-214</v>
      </c>
      <c r="P20">
        <f t="shared" si="2"/>
        <v>0</v>
      </c>
      <c r="Q20" t="str">
        <f t="shared" si="3"/>
        <v>LT</v>
      </c>
    </row>
    <row r="21" spans="2:17" x14ac:dyDescent="0.3">
      <c r="B21" t="s">
        <v>33</v>
      </c>
      <c r="C21" t="s">
        <v>34</v>
      </c>
      <c r="D21" t="s">
        <v>31</v>
      </c>
      <c r="E21" t="s">
        <v>35</v>
      </c>
      <c r="F21" s="1">
        <v>9</v>
      </c>
      <c r="G21" s="1">
        <v>1481.85</v>
      </c>
      <c r="H21" s="1">
        <v>1727.55</v>
      </c>
      <c r="I21" s="1">
        <v>245.7</v>
      </c>
      <c r="J21">
        <v>707</v>
      </c>
      <c r="K21" s="1">
        <v>0</v>
      </c>
      <c r="L21" s="1">
        <v>245.7</v>
      </c>
      <c r="M21" s="1">
        <v>0</v>
      </c>
      <c r="N21">
        <f t="shared" si="0"/>
        <v>707</v>
      </c>
      <c r="O21">
        <f t="shared" si="1"/>
        <v>245.7</v>
      </c>
      <c r="P21">
        <f t="shared" si="2"/>
        <v>0</v>
      </c>
      <c r="Q21" t="str">
        <f t="shared" si="3"/>
        <v>LT</v>
      </c>
    </row>
    <row r="22" spans="2:17" x14ac:dyDescent="0.3">
      <c r="B22" t="s">
        <v>33</v>
      </c>
      <c r="C22" t="s">
        <v>34</v>
      </c>
      <c r="D22" t="s">
        <v>31</v>
      </c>
      <c r="E22" t="s">
        <v>35</v>
      </c>
      <c r="F22" s="1">
        <v>6</v>
      </c>
      <c r="G22" s="1">
        <v>988.2</v>
      </c>
      <c r="H22" s="1">
        <v>1151.7</v>
      </c>
      <c r="I22" s="1">
        <v>163.5</v>
      </c>
      <c r="J22">
        <v>707</v>
      </c>
      <c r="K22" s="1">
        <v>0</v>
      </c>
      <c r="L22" s="1">
        <v>163.5</v>
      </c>
      <c r="M22" s="1">
        <v>0</v>
      </c>
      <c r="N22">
        <f t="shared" si="0"/>
        <v>707</v>
      </c>
      <c r="O22">
        <f t="shared" si="1"/>
        <v>163.5</v>
      </c>
      <c r="P22">
        <f t="shared" si="2"/>
        <v>0</v>
      </c>
      <c r="Q22" t="str">
        <f t="shared" si="3"/>
        <v>LT</v>
      </c>
    </row>
    <row r="23" spans="2:17" x14ac:dyDescent="0.3">
      <c r="B23" t="s">
        <v>36</v>
      </c>
      <c r="C23" t="s">
        <v>37</v>
      </c>
      <c r="D23" t="s">
        <v>38</v>
      </c>
      <c r="E23" t="s">
        <v>39</v>
      </c>
      <c r="F23" s="1">
        <v>5</v>
      </c>
      <c r="G23" s="1">
        <v>595.25</v>
      </c>
      <c r="H23" s="1">
        <v>915.25</v>
      </c>
      <c r="I23" s="1">
        <v>320</v>
      </c>
      <c r="J23">
        <v>605</v>
      </c>
      <c r="K23" s="1">
        <v>0</v>
      </c>
      <c r="L23" s="1">
        <v>320</v>
      </c>
      <c r="M23" s="1">
        <v>0</v>
      </c>
      <c r="N23">
        <f t="shared" si="0"/>
        <v>605</v>
      </c>
      <c r="O23">
        <f t="shared" si="1"/>
        <v>320</v>
      </c>
      <c r="P23">
        <f t="shared" si="2"/>
        <v>0</v>
      </c>
      <c r="Q23" t="str">
        <f t="shared" si="3"/>
        <v>LT</v>
      </c>
    </row>
    <row r="24" spans="2:17" x14ac:dyDescent="0.3">
      <c r="B24" t="s">
        <v>40</v>
      </c>
      <c r="C24" t="s">
        <v>41</v>
      </c>
      <c r="D24" t="s">
        <v>42</v>
      </c>
      <c r="E24" t="s">
        <v>43</v>
      </c>
      <c r="F24" s="1">
        <v>10</v>
      </c>
      <c r="G24" s="1">
        <v>110</v>
      </c>
      <c r="H24" s="1">
        <v>84.5</v>
      </c>
      <c r="I24" s="1">
        <v>-25.5</v>
      </c>
      <c r="J24">
        <v>696</v>
      </c>
      <c r="K24" s="1">
        <v>0</v>
      </c>
      <c r="L24" s="1">
        <v>-25.5</v>
      </c>
      <c r="M24" s="1">
        <v>0</v>
      </c>
      <c r="N24">
        <f t="shared" si="0"/>
        <v>696</v>
      </c>
      <c r="O24">
        <f t="shared" si="1"/>
        <v>-25.5</v>
      </c>
      <c r="P24">
        <f t="shared" si="2"/>
        <v>0</v>
      </c>
      <c r="Q24" t="str">
        <f t="shared" si="3"/>
        <v>LT</v>
      </c>
    </row>
    <row r="25" spans="2:17" x14ac:dyDescent="0.3">
      <c r="B25" t="s">
        <v>44</v>
      </c>
      <c r="C25" t="s">
        <v>45</v>
      </c>
      <c r="D25" t="s">
        <v>46</v>
      </c>
      <c r="E25" t="s">
        <v>23</v>
      </c>
      <c r="F25" s="1">
        <v>1.2999999999999999E-2</v>
      </c>
      <c r="G25" s="1">
        <v>13</v>
      </c>
      <c r="H25" s="1">
        <v>13</v>
      </c>
      <c r="I25" s="1">
        <v>0</v>
      </c>
      <c r="J25">
        <v>625</v>
      </c>
      <c r="K25" s="1">
        <v>0</v>
      </c>
      <c r="L25" s="1">
        <v>0</v>
      </c>
      <c r="M25" s="1">
        <v>0</v>
      </c>
      <c r="N25">
        <f t="shared" si="0"/>
        <v>625</v>
      </c>
      <c r="O25">
        <f t="shared" si="1"/>
        <v>0</v>
      </c>
      <c r="P25">
        <f t="shared" si="2"/>
        <v>0</v>
      </c>
      <c r="Q25" t="str">
        <f t="shared" si="3"/>
        <v>LT</v>
      </c>
    </row>
    <row r="26" spans="2:17" x14ac:dyDescent="0.3">
      <c r="B26" t="s">
        <v>44</v>
      </c>
      <c r="C26" t="s">
        <v>45</v>
      </c>
      <c r="D26" t="s">
        <v>47</v>
      </c>
      <c r="E26" t="s">
        <v>23</v>
      </c>
      <c r="F26" s="1">
        <v>1E-3</v>
      </c>
      <c r="G26" s="1">
        <v>0</v>
      </c>
      <c r="H26" s="1">
        <v>1</v>
      </c>
      <c r="I26" s="1">
        <v>1</v>
      </c>
      <c r="J26">
        <v>618</v>
      </c>
      <c r="K26" s="1">
        <v>0</v>
      </c>
      <c r="L26" s="1">
        <v>1</v>
      </c>
      <c r="M26" s="1">
        <v>0</v>
      </c>
      <c r="N26">
        <f t="shared" si="0"/>
        <v>618</v>
      </c>
      <c r="O26">
        <f t="shared" si="1"/>
        <v>1</v>
      </c>
      <c r="P26">
        <f t="shared" si="2"/>
        <v>0</v>
      </c>
      <c r="Q26" t="str">
        <f t="shared" si="3"/>
        <v>LT</v>
      </c>
    </row>
    <row r="27" spans="2:17" x14ac:dyDescent="0.3">
      <c r="B27" t="s">
        <v>44</v>
      </c>
      <c r="C27" t="s">
        <v>45</v>
      </c>
      <c r="D27" t="s">
        <v>48</v>
      </c>
      <c r="E27" t="s">
        <v>23</v>
      </c>
      <c r="F27" s="1">
        <v>1E-3</v>
      </c>
      <c r="G27" s="1">
        <v>0</v>
      </c>
      <c r="H27" s="1">
        <v>1</v>
      </c>
      <c r="I27" s="1">
        <v>1</v>
      </c>
      <c r="J27">
        <v>611</v>
      </c>
      <c r="K27" s="1">
        <v>0</v>
      </c>
      <c r="L27" s="1">
        <v>1</v>
      </c>
      <c r="M27" s="1">
        <v>0</v>
      </c>
      <c r="N27">
        <f t="shared" si="0"/>
        <v>611</v>
      </c>
      <c r="O27">
        <f t="shared" si="1"/>
        <v>1</v>
      </c>
      <c r="P27">
        <f t="shared" si="2"/>
        <v>0</v>
      </c>
      <c r="Q27" t="str">
        <f t="shared" si="3"/>
        <v>LT</v>
      </c>
    </row>
    <row r="28" spans="2:17" x14ac:dyDescent="0.3">
      <c r="B28" t="s">
        <v>44</v>
      </c>
      <c r="C28" t="s">
        <v>45</v>
      </c>
      <c r="D28" t="s">
        <v>49</v>
      </c>
      <c r="E28" t="s">
        <v>23</v>
      </c>
      <c r="F28" s="1">
        <v>1E-3</v>
      </c>
      <c r="G28" s="1">
        <v>0</v>
      </c>
      <c r="H28" s="1">
        <v>1</v>
      </c>
      <c r="I28" s="1">
        <v>1</v>
      </c>
      <c r="J28">
        <v>604</v>
      </c>
      <c r="K28" s="1">
        <v>0</v>
      </c>
      <c r="L28" s="1">
        <v>1</v>
      </c>
      <c r="M28" s="1">
        <v>0</v>
      </c>
      <c r="N28">
        <f t="shared" si="0"/>
        <v>604</v>
      </c>
      <c r="O28">
        <f t="shared" si="1"/>
        <v>1</v>
      </c>
      <c r="P28">
        <f t="shared" si="2"/>
        <v>0</v>
      </c>
      <c r="Q28" t="str">
        <f t="shared" si="3"/>
        <v>LT</v>
      </c>
    </row>
    <row r="29" spans="2:17" x14ac:dyDescent="0.3">
      <c r="B29" t="s">
        <v>44</v>
      </c>
      <c r="C29" t="s">
        <v>45</v>
      </c>
      <c r="D29" t="s">
        <v>50</v>
      </c>
      <c r="E29" t="s">
        <v>23</v>
      </c>
      <c r="F29" s="1">
        <v>1E-3</v>
      </c>
      <c r="G29" s="1">
        <v>0</v>
      </c>
      <c r="H29" s="1">
        <v>1</v>
      </c>
      <c r="I29" s="1">
        <v>1</v>
      </c>
      <c r="J29">
        <v>597</v>
      </c>
      <c r="K29" s="1">
        <v>0</v>
      </c>
      <c r="L29" s="1">
        <v>1</v>
      </c>
      <c r="M29" s="1">
        <v>0</v>
      </c>
      <c r="N29">
        <f t="shared" si="0"/>
        <v>597</v>
      </c>
      <c r="O29">
        <f t="shared" si="1"/>
        <v>1</v>
      </c>
      <c r="P29">
        <f t="shared" si="2"/>
        <v>0</v>
      </c>
      <c r="Q29" t="str">
        <f t="shared" si="3"/>
        <v>LT</v>
      </c>
    </row>
    <row r="30" spans="2:17" x14ac:dyDescent="0.3">
      <c r="B30" t="s">
        <v>51</v>
      </c>
      <c r="C30" t="s">
        <v>52</v>
      </c>
      <c r="D30" t="s">
        <v>53</v>
      </c>
      <c r="E30" t="s">
        <v>54</v>
      </c>
      <c r="F30" s="1">
        <v>1</v>
      </c>
      <c r="G30" s="1">
        <v>116.9532</v>
      </c>
      <c r="H30" s="1">
        <v>222</v>
      </c>
      <c r="I30" s="1">
        <v>105.0468</v>
      </c>
      <c r="J30">
        <v>662</v>
      </c>
      <c r="K30" s="1">
        <v>0</v>
      </c>
      <c r="L30" s="1">
        <v>105.0468</v>
      </c>
      <c r="M30" s="1">
        <v>0</v>
      </c>
      <c r="N30">
        <f t="shared" si="0"/>
        <v>662</v>
      </c>
      <c r="O30">
        <f t="shared" si="1"/>
        <v>105.0468</v>
      </c>
      <c r="P30">
        <f t="shared" si="2"/>
        <v>0</v>
      </c>
      <c r="Q30" t="str">
        <f t="shared" si="3"/>
        <v>LT</v>
      </c>
    </row>
    <row r="31" spans="2:17" x14ac:dyDescent="0.3">
      <c r="B31" t="s">
        <v>44</v>
      </c>
      <c r="C31" t="s">
        <v>45</v>
      </c>
      <c r="D31" t="s">
        <v>55</v>
      </c>
      <c r="E31" t="s">
        <v>23</v>
      </c>
      <c r="F31" s="1">
        <v>2E-3</v>
      </c>
      <c r="G31" s="1">
        <v>0</v>
      </c>
      <c r="H31" s="1">
        <v>2</v>
      </c>
      <c r="I31" s="1">
        <v>2</v>
      </c>
      <c r="J31">
        <v>590</v>
      </c>
      <c r="K31" s="1">
        <v>0</v>
      </c>
      <c r="L31" s="1">
        <v>2</v>
      </c>
      <c r="M31" s="1">
        <v>0</v>
      </c>
      <c r="N31">
        <f t="shared" si="0"/>
        <v>590</v>
      </c>
      <c r="O31">
        <f t="shared" si="1"/>
        <v>2</v>
      </c>
      <c r="P31">
        <f t="shared" si="2"/>
        <v>0</v>
      </c>
      <c r="Q31" t="str">
        <f t="shared" si="3"/>
        <v>LT</v>
      </c>
    </row>
    <row r="32" spans="2:17" x14ac:dyDescent="0.3">
      <c r="B32" t="s">
        <v>20</v>
      </c>
      <c r="C32" t="s">
        <v>21</v>
      </c>
      <c r="D32" t="s">
        <v>56</v>
      </c>
      <c r="E32" t="s">
        <v>23</v>
      </c>
      <c r="F32" s="1">
        <v>1</v>
      </c>
      <c r="G32" s="1">
        <v>194</v>
      </c>
      <c r="H32" s="1">
        <v>206.66</v>
      </c>
      <c r="I32" s="1">
        <v>12.66</v>
      </c>
      <c r="J32">
        <v>588</v>
      </c>
      <c r="K32" s="1">
        <v>0</v>
      </c>
      <c r="L32" s="1">
        <v>12.66</v>
      </c>
      <c r="M32" s="1">
        <v>0</v>
      </c>
      <c r="N32">
        <f t="shared" si="0"/>
        <v>588</v>
      </c>
      <c r="O32">
        <f t="shared" si="1"/>
        <v>12.66</v>
      </c>
      <c r="P32">
        <f t="shared" si="2"/>
        <v>0</v>
      </c>
      <c r="Q32" t="str">
        <f t="shared" si="3"/>
        <v>LT</v>
      </c>
    </row>
    <row r="33" spans="2:17" x14ac:dyDescent="0.3">
      <c r="B33" t="s">
        <v>20</v>
      </c>
      <c r="C33" t="s">
        <v>21</v>
      </c>
      <c r="D33" t="s">
        <v>56</v>
      </c>
      <c r="E33" t="s">
        <v>23</v>
      </c>
      <c r="F33" s="1">
        <v>2</v>
      </c>
      <c r="G33" s="1">
        <v>388</v>
      </c>
      <c r="H33" s="1">
        <v>413.32</v>
      </c>
      <c r="I33" s="1">
        <v>25.32</v>
      </c>
      <c r="J33">
        <v>588</v>
      </c>
      <c r="K33" s="1">
        <v>0</v>
      </c>
      <c r="L33" s="1">
        <v>25.32</v>
      </c>
      <c r="M33" s="1">
        <v>0</v>
      </c>
      <c r="N33">
        <f t="shared" si="0"/>
        <v>588</v>
      </c>
      <c r="O33">
        <f t="shared" si="1"/>
        <v>25.32</v>
      </c>
      <c r="P33">
        <f t="shared" si="2"/>
        <v>0</v>
      </c>
      <c r="Q33" t="str">
        <f t="shared" si="3"/>
        <v>LT</v>
      </c>
    </row>
    <row r="34" spans="2:17" x14ac:dyDescent="0.3">
      <c r="B34" t="s">
        <v>44</v>
      </c>
      <c r="C34" t="s">
        <v>45</v>
      </c>
      <c r="D34" t="s">
        <v>57</v>
      </c>
      <c r="E34" t="s">
        <v>23</v>
      </c>
      <c r="F34" s="1">
        <v>1E-3</v>
      </c>
      <c r="G34" s="1">
        <v>0</v>
      </c>
      <c r="H34" s="1">
        <v>1</v>
      </c>
      <c r="I34" s="1">
        <v>1</v>
      </c>
      <c r="J34">
        <v>583</v>
      </c>
      <c r="K34" s="1">
        <v>0</v>
      </c>
      <c r="L34" s="1">
        <v>1</v>
      </c>
      <c r="M34" s="1">
        <v>0</v>
      </c>
      <c r="N34">
        <f t="shared" si="0"/>
        <v>583</v>
      </c>
      <c r="O34">
        <f t="shared" si="1"/>
        <v>1</v>
      </c>
      <c r="P34">
        <f t="shared" si="2"/>
        <v>0</v>
      </c>
      <c r="Q34" t="str">
        <f t="shared" si="3"/>
        <v>LT</v>
      </c>
    </row>
    <row r="35" spans="2:17" x14ac:dyDescent="0.3">
      <c r="B35" t="s">
        <v>51</v>
      </c>
      <c r="C35" t="s">
        <v>52</v>
      </c>
      <c r="D35" t="s">
        <v>58</v>
      </c>
      <c r="E35" t="s">
        <v>54</v>
      </c>
      <c r="F35" s="1">
        <v>1</v>
      </c>
      <c r="G35" s="1">
        <v>111.1009</v>
      </c>
      <c r="H35" s="1">
        <v>222</v>
      </c>
      <c r="I35" s="1">
        <v>110.8991</v>
      </c>
      <c r="J35">
        <v>630</v>
      </c>
      <c r="K35" s="1">
        <v>0</v>
      </c>
      <c r="L35" s="1">
        <v>110.8991</v>
      </c>
      <c r="M35" s="1">
        <v>0</v>
      </c>
      <c r="N35">
        <f t="shared" si="0"/>
        <v>630</v>
      </c>
      <c r="O35">
        <f t="shared" si="1"/>
        <v>110.8991</v>
      </c>
      <c r="P35">
        <f t="shared" si="2"/>
        <v>0</v>
      </c>
      <c r="Q35" t="str">
        <f t="shared" si="3"/>
        <v>LT</v>
      </c>
    </row>
    <row r="36" spans="2:17" x14ac:dyDescent="0.3">
      <c r="B36" t="s">
        <v>59</v>
      </c>
      <c r="C36" t="s">
        <v>60</v>
      </c>
      <c r="D36" t="s">
        <v>61</v>
      </c>
      <c r="E36" t="s">
        <v>62</v>
      </c>
      <c r="F36" s="1">
        <v>3</v>
      </c>
      <c r="G36" s="1">
        <v>775.8</v>
      </c>
      <c r="H36" s="1">
        <v>749.25</v>
      </c>
      <c r="I36" s="1">
        <v>-26.55</v>
      </c>
      <c r="J36">
        <v>603</v>
      </c>
      <c r="K36" s="1">
        <v>0</v>
      </c>
      <c r="L36" s="1">
        <v>-26.55</v>
      </c>
      <c r="M36" s="1">
        <v>0</v>
      </c>
      <c r="N36">
        <f t="shared" si="0"/>
        <v>603</v>
      </c>
      <c r="O36">
        <f t="shared" si="1"/>
        <v>-26.55</v>
      </c>
      <c r="P36">
        <f t="shared" si="2"/>
        <v>0</v>
      </c>
      <c r="Q36" t="str">
        <f t="shared" si="3"/>
        <v>LT</v>
      </c>
    </row>
    <row r="37" spans="2:17" x14ac:dyDescent="0.3">
      <c r="B37" t="s">
        <v>59</v>
      </c>
      <c r="C37" t="s">
        <v>60</v>
      </c>
      <c r="D37" t="s">
        <v>61</v>
      </c>
      <c r="E37" t="s">
        <v>62</v>
      </c>
      <c r="F37" s="1">
        <v>5</v>
      </c>
      <c r="G37" s="1">
        <v>1294.75</v>
      </c>
      <c r="H37" s="1">
        <v>1248.75</v>
      </c>
      <c r="I37" s="1">
        <v>-46</v>
      </c>
      <c r="J37">
        <v>603</v>
      </c>
      <c r="K37" s="1">
        <v>0</v>
      </c>
      <c r="L37" s="1">
        <v>-46</v>
      </c>
      <c r="M37" s="1">
        <v>0</v>
      </c>
      <c r="N37">
        <f t="shared" si="0"/>
        <v>603</v>
      </c>
      <c r="O37">
        <f t="shared" si="1"/>
        <v>-46</v>
      </c>
      <c r="P37">
        <f t="shared" si="2"/>
        <v>0</v>
      </c>
      <c r="Q37" t="str">
        <f t="shared" si="3"/>
        <v>LT</v>
      </c>
    </row>
    <row r="38" spans="2:17" x14ac:dyDescent="0.3">
      <c r="B38" t="s">
        <v>44</v>
      </c>
      <c r="C38" t="s">
        <v>45</v>
      </c>
      <c r="D38" t="s">
        <v>63</v>
      </c>
      <c r="E38" t="s">
        <v>23</v>
      </c>
      <c r="F38" s="1">
        <v>0.98</v>
      </c>
      <c r="G38" s="1">
        <v>980</v>
      </c>
      <c r="H38" s="1">
        <v>980</v>
      </c>
      <c r="I38" s="1">
        <v>0</v>
      </c>
      <c r="J38">
        <v>534</v>
      </c>
      <c r="K38" s="1">
        <v>0</v>
      </c>
      <c r="L38" s="1">
        <v>0</v>
      </c>
      <c r="M38" s="1">
        <v>0</v>
      </c>
      <c r="N38">
        <f t="shared" si="0"/>
        <v>534</v>
      </c>
      <c r="O38">
        <f t="shared" si="1"/>
        <v>0</v>
      </c>
      <c r="P38">
        <f t="shared" si="2"/>
        <v>0</v>
      </c>
      <c r="Q38" t="str">
        <f t="shared" si="3"/>
        <v>LT</v>
      </c>
    </row>
    <row r="39" spans="2:17" x14ac:dyDescent="0.3">
      <c r="B39" t="s">
        <v>64</v>
      </c>
      <c r="C39" t="s">
        <v>65</v>
      </c>
      <c r="D39" t="s">
        <v>66</v>
      </c>
      <c r="E39" t="s">
        <v>67</v>
      </c>
      <c r="F39" s="1">
        <v>1</v>
      </c>
      <c r="G39" s="1">
        <v>371.5</v>
      </c>
      <c r="H39" s="1">
        <v>235.9</v>
      </c>
      <c r="I39" s="1">
        <v>-135.6</v>
      </c>
      <c r="J39">
        <v>636</v>
      </c>
      <c r="K39" s="1">
        <v>0</v>
      </c>
      <c r="L39" s="1">
        <v>-135.6</v>
      </c>
      <c r="M39" s="1">
        <v>0</v>
      </c>
      <c r="N39">
        <f t="shared" si="0"/>
        <v>636</v>
      </c>
      <c r="O39">
        <f t="shared" si="1"/>
        <v>-135.6</v>
      </c>
      <c r="P39">
        <f t="shared" si="2"/>
        <v>0</v>
      </c>
      <c r="Q39" t="str">
        <f t="shared" si="3"/>
        <v>LT</v>
      </c>
    </row>
    <row r="40" spans="2:17" x14ac:dyDescent="0.3">
      <c r="B40" t="s">
        <v>64</v>
      </c>
      <c r="C40" t="s">
        <v>65</v>
      </c>
      <c r="D40" t="s">
        <v>66</v>
      </c>
      <c r="E40" t="s">
        <v>67</v>
      </c>
      <c r="F40" s="1">
        <v>1</v>
      </c>
      <c r="G40" s="1">
        <v>370</v>
      </c>
      <c r="H40" s="1">
        <v>235.9</v>
      </c>
      <c r="I40" s="1">
        <v>-134.1</v>
      </c>
      <c r="J40">
        <v>636</v>
      </c>
      <c r="K40" s="1">
        <v>0</v>
      </c>
      <c r="L40" s="1">
        <v>-134.1</v>
      </c>
      <c r="M40" s="1">
        <v>0</v>
      </c>
      <c r="N40">
        <f t="shared" si="0"/>
        <v>636</v>
      </c>
      <c r="O40">
        <f t="shared" si="1"/>
        <v>-134.1</v>
      </c>
      <c r="P40">
        <f t="shared" si="2"/>
        <v>0</v>
      </c>
      <c r="Q40" t="str">
        <f t="shared" si="3"/>
        <v>LT</v>
      </c>
    </row>
    <row r="41" spans="2:17" x14ac:dyDescent="0.3">
      <c r="B41" t="s">
        <v>64</v>
      </c>
      <c r="C41" t="s">
        <v>65</v>
      </c>
      <c r="D41" t="s">
        <v>66</v>
      </c>
      <c r="E41" t="s">
        <v>67</v>
      </c>
      <c r="F41" s="1">
        <v>1</v>
      </c>
      <c r="G41" s="1">
        <v>365</v>
      </c>
      <c r="H41" s="1">
        <v>235.9</v>
      </c>
      <c r="I41" s="1">
        <v>-129.1</v>
      </c>
      <c r="J41">
        <v>636</v>
      </c>
      <c r="K41" s="1">
        <v>0</v>
      </c>
      <c r="L41" s="1">
        <v>-129.1</v>
      </c>
      <c r="M41" s="1">
        <v>0</v>
      </c>
      <c r="N41">
        <f t="shared" si="0"/>
        <v>636</v>
      </c>
      <c r="O41">
        <f t="shared" si="1"/>
        <v>-129.1</v>
      </c>
      <c r="P41">
        <f t="shared" si="2"/>
        <v>0</v>
      </c>
      <c r="Q41" t="str">
        <f t="shared" si="3"/>
        <v>LT</v>
      </c>
    </row>
    <row r="42" spans="2:17" x14ac:dyDescent="0.3">
      <c r="B42" t="s">
        <v>40</v>
      </c>
      <c r="C42" t="s">
        <v>41</v>
      </c>
      <c r="D42" t="s">
        <v>68</v>
      </c>
      <c r="E42" t="s">
        <v>43</v>
      </c>
      <c r="F42" s="1">
        <v>10</v>
      </c>
      <c r="G42" s="1">
        <v>102</v>
      </c>
      <c r="H42" s="1">
        <v>84.5</v>
      </c>
      <c r="I42" s="1">
        <v>-17.5</v>
      </c>
      <c r="J42">
        <v>546</v>
      </c>
      <c r="K42" s="1">
        <v>0</v>
      </c>
      <c r="L42" s="1">
        <v>-17.5</v>
      </c>
      <c r="M42" s="1">
        <v>0</v>
      </c>
      <c r="N42">
        <f t="shared" si="0"/>
        <v>546</v>
      </c>
      <c r="O42">
        <f t="shared" si="1"/>
        <v>-17.5</v>
      </c>
      <c r="P42">
        <f t="shared" si="2"/>
        <v>0</v>
      </c>
      <c r="Q42" t="str">
        <f t="shared" si="3"/>
        <v>LT</v>
      </c>
    </row>
    <row r="43" spans="2:17" x14ac:dyDescent="0.3">
      <c r="B43" t="s">
        <v>69</v>
      </c>
      <c r="C43" t="s">
        <v>30</v>
      </c>
      <c r="D43" t="s">
        <v>70</v>
      </c>
      <c r="E43" t="s">
        <v>32</v>
      </c>
      <c r="F43" s="1">
        <v>1</v>
      </c>
      <c r="G43" s="1">
        <v>150</v>
      </c>
      <c r="H43" s="1">
        <v>174</v>
      </c>
      <c r="I43" s="1">
        <v>24</v>
      </c>
      <c r="J43">
        <v>425</v>
      </c>
      <c r="K43" s="1">
        <v>0</v>
      </c>
      <c r="L43" s="1">
        <v>24</v>
      </c>
      <c r="M43" s="1">
        <v>0</v>
      </c>
      <c r="N43">
        <f t="shared" si="0"/>
        <v>425</v>
      </c>
      <c r="O43">
        <f t="shared" si="1"/>
        <v>24</v>
      </c>
      <c r="P43">
        <f t="shared" si="2"/>
        <v>0</v>
      </c>
      <c r="Q43" t="str">
        <f t="shared" si="3"/>
        <v>LT</v>
      </c>
    </row>
    <row r="44" spans="2:17" x14ac:dyDescent="0.3">
      <c r="B44" t="s">
        <v>29</v>
      </c>
      <c r="C44" t="s">
        <v>30</v>
      </c>
      <c r="D44" t="s">
        <v>71</v>
      </c>
      <c r="E44" t="s">
        <v>32</v>
      </c>
      <c r="F44" s="1">
        <v>8</v>
      </c>
      <c r="G44" s="1">
        <v>1246.8</v>
      </c>
      <c r="H44" s="1">
        <v>1392</v>
      </c>
      <c r="I44" s="1">
        <v>145.19999999999999</v>
      </c>
      <c r="J44">
        <v>399</v>
      </c>
      <c r="K44" s="1">
        <v>0</v>
      </c>
      <c r="L44" s="1">
        <v>145.19999999999999</v>
      </c>
      <c r="M44" s="1">
        <v>0</v>
      </c>
      <c r="N44">
        <f t="shared" si="0"/>
        <v>399</v>
      </c>
      <c r="O44">
        <f t="shared" si="1"/>
        <v>145.19999999999999</v>
      </c>
      <c r="P44">
        <f t="shared" si="2"/>
        <v>0</v>
      </c>
      <c r="Q44" t="str">
        <f t="shared" si="3"/>
        <v>LT</v>
      </c>
    </row>
    <row r="45" spans="2:17" x14ac:dyDescent="0.3">
      <c r="B45" t="s">
        <v>72</v>
      </c>
      <c r="C45" t="s">
        <v>73</v>
      </c>
      <c r="D45" t="s">
        <v>71</v>
      </c>
      <c r="E45" t="s">
        <v>74</v>
      </c>
      <c r="F45" s="1">
        <v>4</v>
      </c>
      <c r="G45" s="1">
        <v>3472</v>
      </c>
      <c r="H45" s="1">
        <v>3640</v>
      </c>
      <c r="I45" s="1">
        <v>168</v>
      </c>
      <c r="J45">
        <v>425</v>
      </c>
      <c r="K45" s="1">
        <v>0</v>
      </c>
      <c r="L45" s="1">
        <v>168</v>
      </c>
      <c r="M45" s="1">
        <v>0</v>
      </c>
      <c r="N45">
        <f t="shared" si="0"/>
        <v>425</v>
      </c>
      <c r="O45">
        <f t="shared" si="1"/>
        <v>168</v>
      </c>
      <c r="P45">
        <f t="shared" si="2"/>
        <v>0</v>
      </c>
      <c r="Q45" t="str">
        <f t="shared" si="3"/>
        <v>LT</v>
      </c>
    </row>
    <row r="46" spans="2:17" x14ac:dyDescent="0.3">
      <c r="B46" t="s">
        <v>59</v>
      </c>
      <c r="C46" t="s">
        <v>60</v>
      </c>
      <c r="D46" t="s">
        <v>71</v>
      </c>
      <c r="E46" t="s">
        <v>62</v>
      </c>
      <c r="F46" s="1">
        <v>3</v>
      </c>
      <c r="G46" s="1">
        <v>767.1</v>
      </c>
      <c r="H46" s="1">
        <v>749.25</v>
      </c>
      <c r="I46" s="1">
        <v>-17.850000000000001</v>
      </c>
      <c r="J46">
        <v>499</v>
      </c>
      <c r="K46" s="1">
        <v>0</v>
      </c>
      <c r="L46" s="1">
        <v>-17.850000000000001</v>
      </c>
      <c r="M46" s="1">
        <v>0</v>
      </c>
      <c r="N46">
        <f t="shared" si="0"/>
        <v>499</v>
      </c>
      <c r="O46">
        <f t="shared" si="1"/>
        <v>-17.850000000000001</v>
      </c>
      <c r="P46">
        <f t="shared" si="2"/>
        <v>0</v>
      </c>
      <c r="Q46" t="str">
        <f t="shared" si="3"/>
        <v>LT</v>
      </c>
    </row>
    <row r="47" spans="2:17" x14ac:dyDescent="0.3">
      <c r="B47" t="s">
        <v>33</v>
      </c>
      <c r="C47" t="s">
        <v>34</v>
      </c>
      <c r="D47" t="s">
        <v>71</v>
      </c>
      <c r="E47" t="s">
        <v>35</v>
      </c>
      <c r="F47" s="1">
        <v>4</v>
      </c>
      <c r="G47" s="1">
        <v>585.79999999999995</v>
      </c>
      <c r="H47" s="1">
        <v>767.8</v>
      </c>
      <c r="I47" s="1">
        <v>182</v>
      </c>
      <c r="J47">
        <v>512</v>
      </c>
      <c r="K47" s="1">
        <v>0</v>
      </c>
      <c r="L47" s="1">
        <v>182</v>
      </c>
      <c r="M47" s="1">
        <v>0</v>
      </c>
      <c r="N47">
        <f t="shared" si="0"/>
        <v>512</v>
      </c>
      <c r="O47">
        <f t="shared" si="1"/>
        <v>182</v>
      </c>
      <c r="P47">
        <f t="shared" si="2"/>
        <v>0</v>
      </c>
      <c r="Q47" t="str">
        <f t="shared" si="3"/>
        <v>LT</v>
      </c>
    </row>
    <row r="48" spans="2:17" x14ac:dyDescent="0.3">
      <c r="B48" t="s">
        <v>40</v>
      </c>
      <c r="C48" t="s">
        <v>41</v>
      </c>
      <c r="D48" t="s">
        <v>75</v>
      </c>
      <c r="E48" t="s">
        <v>43</v>
      </c>
      <c r="F48" s="1">
        <v>10</v>
      </c>
      <c r="G48" s="1">
        <v>97</v>
      </c>
      <c r="H48" s="1">
        <v>84.5</v>
      </c>
      <c r="I48" s="1">
        <v>-12.5</v>
      </c>
      <c r="J48">
        <v>512</v>
      </c>
      <c r="K48" s="1">
        <v>0</v>
      </c>
      <c r="L48" s="1">
        <v>-12.5</v>
      </c>
      <c r="M48" s="1">
        <v>0</v>
      </c>
      <c r="N48">
        <f t="shared" si="0"/>
        <v>512</v>
      </c>
      <c r="O48">
        <f t="shared" si="1"/>
        <v>-12.5</v>
      </c>
      <c r="P48">
        <f t="shared" si="2"/>
        <v>0</v>
      </c>
      <c r="Q48" t="str">
        <f t="shared" si="3"/>
        <v>LT</v>
      </c>
    </row>
    <row r="49" spans="2:17" x14ac:dyDescent="0.3">
      <c r="B49" t="s">
        <v>29</v>
      </c>
      <c r="C49" t="s">
        <v>30</v>
      </c>
      <c r="D49" t="s">
        <v>76</v>
      </c>
      <c r="E49" t="s">
        <v>32</v>
      </c>
      <c r="F49" s="1">
        <v>1</v>
      </c>
      <c r="G49" s="1">
        <v>166.45</v>
      </c>
      <c r="H49" s="1">
        <v>174</v>
      </c>
      <c r="I49" s="1">
        <v>7.55</v>
      </c>
      <c r="J49">
        <v>392</v>
      </c>
      <c r="K49" s="1">
        <v>0</v>
      </c>
      <c r="L49" s="1">
        <v>7.55</v>
      </c>
      <c r="M49" s="1">
        <v>0</v>
      </c>
      <c r="N49">
        <f t="shared" si="0"/>
        <v>392</v>
      </c>
      <c r="O49">
        <f t="shared" si="1"/>
        <v>7.55</v>
      </c>
      <c r="P49">
        <f t="shared" si="2"/>
        <v>0</v>
      </c>
      <c r="Q49" t="str">
        <f t="shared" si="3"/>
        <v>LT</v>
      </c>
    </row>
    <row r="50" spans="2:17" x14ac:dyDescent="0.3">
      <c r="B50" t="s">
        <v>33</v>
      </c>
      <c r="C50" t="s">
        <v>34</v>
      </c>
      <c r="D50" t="s">
        <v>76</v>
      </c>
      <c r="E50" t="s">
        <v>35</v>
      </c>
      <c r="F50" s="1">
        <v>1</v>
      </c>
      <c r="G50" s="1">
        <v>151.69999999999999</v>
      </c>
      <c r="H50" s="1">
        <v>191.95</v>
      </c>
      <c r="I50" s="1">
        <v>40.25</v>
      </c>
      <c r="J50">
        <v>505</v>
      </c>
      <c r="K50" s="1">
        <v>0</v>
      </c>
      <c r="L50" s="1">
        <v>40.25</v>
      </c>
      <c r="M50" s="1">
        <v>0</v>
      </c>
      <c r="N50">
        <f t="shared" si="0"/>
        <v>505</v>
      </c>
      <c r="O50">
        <f t="shared" si="1"/>
        <v>40.25</v>
      </c>
      <c r="P50">
        <f t="shared" si="2"/>
        <v>0</v>
      </c>
      <c r="Q50" t="str">
        <f t="shared" si="3"/>
        <v>LT</v>
      </c>
    </row>
    <row r="51" spans="2:17" x14ac:dyDescent="0.3">
      <c r="B51" t="s">
        <v>40</v>
      </c>
      <c r="C51" t="s">
        <v>41</v>
      </c>
      <c r="D51" t="s">
        <v>77</v>
      </c>
      <c r="E51" t="s">
        <v>43</v>
      </c>
      <c r="F51" s="1">
        <v>14</v>
      </c>
      <c r="G51" s="1">
        <v>124.32</v>
      </c>
      <c r="H51" s="1">
        <v>118.3</v>
      </c>
      <c r="I51" s="1">
        <v>-6.02</v>
      </c>
      <c r="J51">
        <v>389</v>
      </c>
      <c r="K51" s="1">
        <v>0</v>
      </c>
      <c r="L51" s="1">
        <v>-6.02</v>
      </c>
      <c r="M51" s="1">
        <v>0</v>
      </c>
      <c r="N51">
        <f t="shared" si="0"/>
        <v>389</v>
      </c>
      <c r="O51">
        <f t="shared" si="1"/>
        <v>-6.02</v>
      </c>
      <c r="P51">
        <f t="shared" si="2"/>
        <v>0</v>
      </c>
      <c r="Q51" t="str">
        <f t="shared" si="3"/>
        <v>LT</v>
      </c>
    </row>
    <row r="52" spans="2:17" x14ac:dyDescent="0.3">
      <c r="B52" t="s">
        <v>40</v>
      </c>
      <c r="C52" t="s">
        <v>41</v>
      </c>
      <c r="D52" t="s">
        <v>78</v>
      </c>
      <c r="E52" t="s">
        <v>43</v>
      </c>
      <c r="F52" s="1">
        <v>16</v>
      </c>
      <c r="G52" s="1">
        <v>138.4</v>
      </c>
      <c r="H52" s="1">
        <v>135.19999999999999</v>
      </c>
      <c r="I52" s="1">
        <v>-3.2</v>
      </c>
      <c r="J52">
        <v>386</v>
      </c>
      <c r="K52" s="1">
        <v>0</v>
      </c>
      <c r="L52" s="1">
        <v>-3.2</v>
      </c>
      <c r="M52" s="1">
        <v>0</v>
      </c>
      <c r="N52">
        <f t="shared" si="0"/>
        <v>386</v>
      </c>
      <c r="O52">
        <f t="shared" si="1"/>
        <v>-3.2</v>
      </c>
      <c r="P52">
        <f t="shared" si="2"/>
        <v>0</v>
      </c>
      <c r="Q52" t="str">
        <f t="shared" si="3"/>
        <v>LT</v>
      </c>
    </row>
    <row r="53" spans="2:17" x14ac:dyDescent="0.3">
      <c r="B53" t="s">
        <v>64</v>
      </c>
      <c r="C53" t="s">
        <v>65</v>
      </c>
      <c r="D53" t="s">
        <v>78</v>
      </c>
      <c r="E53" t="s">
        <v>67</v>
      </c>
      <c r="F53" s="1">
        <v>2</v>
      </c>
      <c r="G53" s="1">
        <v>500</v>
      </c>
      <c r="H53" s="1">
        <v>471.8</v>
      </c>
      <c r="I53" s="1">
        <v>-28.2</v>
      </c>
      <c r="J53">
        <v>460</v>
      </c>
      <c r="K53" s="1">
        <v>0</v>
      </c>
      <c r="L53" s="1">
        <v>-28.2</v>
      </c>
      <c r="M53" s="1">
        <v>0</v>
      </c>
      <c r="N53">
        <f t="shared" si="0"/>
        <v>460</v>
      </c>
      <c r="O53">
        <f t="shared" si="1"/>
        <v>-28.2</v>
      </c>
      <c r="P53">
        <f t="shared" si="2"/>
        <v>0</v>
      </c>
      <c r="Q53" t="str">
        <f t="shared" si="3"/>
        <v>LT</v>
      </c>
    </row>
    <row r="54" spans="2:17" x14ac:dyDescent="0.3">
      <c r="B54" t="s">
        <v>40</v>
      </c>
      <c r="C54" t="s">
        <v>41</v>
      </c>
      <c r="D54" t="s">
        <v>79</v>
      </c>
      <c r="E54" t="s">
        <v>43</v>
      </c>
      <c r="F54" s="1">
        <v>10</v>
      </c>
      <c r="G54" s="1">
        <v>86.2</v>
      </c>
      <c r="H54" s="1">
        <v>84.5</v>
      </c>
      <c r="I54" s="1">
        <v>-1.7</v>
      </c>
      <c r="J54">
        <v>367</v>
      </c>
      <c r="K54" s="1">
        <v>0</v>
      </c>
      <c r="L54" s="1">
        <v>-1.7</v>
      </c>
      <c r="M54" s="1">
        <v>0</v>
      </c>
      <c r="N54">
        <f t="shared" si="0"/>
        <v>367</v>
      </c>
      <c r="O54">
        <f t="shared" si="1"/>
        <v>-1.7</v>
      </c>
      <c r="P54">
        <f t="shared" si="2"/>
        <v>0</v>
      </c>
      <c r="Q54" t="str">
        <f t="shared" si="3"/>
        <v>LT</v>
      </c>
    </row>
    <row r="55" spans="2:17" x14ac:dyDescent="0.3">
      <c r="B55" t="s">
        <v>59</v>
      </c>
      <c r="C55" t="s">
        <v>60</v>
      </c>
      <c r="D55" t="s">
        <v>80</v>
      </c>
      <c r="E55" t="s">
        <v>62</v>
      </c>
      <c r="F55" s="1">
        <v>1</v>
      </c>
      <c r="G55" s="1">
        <v>205.8</v>
      </c>
      <c r="H55" s="1">
        <v>249.75</v>
      </c>
      <c r="I55" s="1">
        <v>43.95</v>
      </c>
      <c r="J55">
        <v>350</v>
      </c>
      <c r="K55" s="1">
        <v>0</v>
      </c>
      <c r="L55" s="1">
        <v>43.95</v>
      </c>
      <c r="M55" s="1">
        <v>0</v>
      </c>
      <c r="N55">
        <f t="shared" si="0"/>
        <v>350</v>
      </c>
      <c r="O55">
        <f t="shared" si="1"/>
        <v>0</v>
      </c>
      <c r="P55">
        <f t="shared" si="2"/>
        <v>43.95</v>
      </c>
      <c r="Q55" t="str">
        <f t="shared" si="3"/>
        <v>ST</v>
      </c>
    </row>
    <row r="56" spans="2:17" x14ac:dyDescent="0.3">
      <c r="B56" t="s">
        <v>59</v>
      </c>
      <c r="C56" t="s">
        <v>60</v>
      </c>
      <c r="D56" t="s">
        <v>80</v>
      </c>
      <c r="E56" t="s">
        <v>62</v>
      </c>
      <c r="F56" s="1">
        <v>3</v>
      </c>
      <c r="G56" s="1">
        <v>617.4</v>
      </c>
      <c r="H56" s="1">
        <v>749.1</v>
      </c>
      <c r="I56" s="1">
        <v>131.69999999999999</v>
      </c>
      <c r="J56">
        <v>350</v>
      </c>
      <c r="K56" s="1">
        <v>0</v>
      </c>
      <c r="L56" s="1">
        <v>131.69999999999999</v>
      </c>
      <c r="M56" s="1">
        <v>0</v>
      </c>
      <c r="N56">
        <f t="shared" si="0"/>
        <v>350</v>
      </c>
      <c r="O56">
        <f t="shared" si="1"/>
        <v>0</v>
      </c>
      <c r="P56">
        <f t="shared" si="2"/>
        <v>131.69999999999999</v>
      </c>
      <c r="Q56" t="str">
        <f t="shared" si="3"/>
        <v>ST</v>
      </c>
    </row>
    <row r="57" spans="2:17" x14ac:dyDescent="0.3">
      <c r="B57" t="s">
        <v>40</v>
      </c>
      <c r="C57" t="s">
        <v>41</v>
      </c>
      <c r="D57" t="s">
        <v>81</v>
      </c>
      <c r="E57" t="s">
        <v>43</v>
      </c>
      <c r="F57" s="1">
        <v>2</v>
      </c>
      <c r="G57" s="1">
        <v>18.22</v>
      </c>
      <c r="H57" s="1">
        <v>16.899999999999999</v>
      </c>
      <c r="I57" s="1">
        <v>-1.32</v>
      </c>
      <c r="J57">
        <v>338</v>
      </c>
      <c r="K57" s="1">
        <v>0</v>
      </c>
      <c r="L57" s="1">
        <v>-1.32</v>
      </c>
      <c r="M57" s="1">
        <v>0</v>
      </c>
      <c r="N57">
        <f t="shared" si="0"/>
        <v>338</v>
      </c>
      <c r="O57">
        <f t="shared" si="1"/>
        <v>0</v>
      </c>
      <c r="P57">
        <f t="shared" si="2"/>
        <v>-1.32</v>
      </c>
      <c r="Q57" t="str">
        <f t="shared" si="3"/>
        <v>ST</v>
      </c>
    </row>
    <row r="58" spans="2:17" x14ac:dyDescent="0.3">
      <c r="B58" t="s">
        <v>29</v>
      </c>
      <c r="C58" t="s">
        <v>30</v>
      </c>
      <c r="D58" t="s">
        <v>82</v>
      </c>
      <c r="E58" t="s">
        <v>32</v>
      </c>
      <c r="F58" s="1">
        <v>5</v>
      </c>
      <c r="G58" s="1">
        <v>736.5</v>
      </c>
      <c r="H58" s="1">
        <v>870</v>
      </c>
      <c r="I58" s="1">
        <v>133.5</v>
      </c>
      <c r="J58">
        <v>223</v>
      </c>
      <c r="K58" s="1">
        <v>0</v>
      </c>
      <c r="L58" s="1">
        <v>133.5</v>
      </c>
      <c r="M58" s="1">
        <v>0</v>
      </c>
      <c r="N58">
        <f t="shared" si="0"/>
        <v>223</v>
      </c>
      <c r="O58">
        <f t="shared" si="1"/>
        <v>0</v>
      </c>
      <c r="P58">
        <f t="shared" si="2"/>
        <v>133.5</v>
      </c>
      <c r="Q58" t="str">
        <f t="shared" si="3"/>
        <v>ST</v>
      </c>
    </row>
    <row r="59" spans="2:17" x14ac:dyDescent="0.3">
      <c r="B59" t="s">
        <v>40</v>
      </c>
      <c r="C59" t="s">
        <v>41</v>
      </c>
      <c r="D59" t="s">
        <v>82</v>
      </c>
      <c r="E59" t="s">
        <v>43</v>
      </c>
      <c r="F59" s="1">
        <v>8</v>
      </c>
      <c r="G59" s="1">
        <v>73.2</v>
      </c>
      <c r="H59" s="1">
        <v>67.599999999999994</v>
      </c>
      <c r="I59" s="1">
        <v>-5.6</v>
      </c>
      <c r="J59">
        <v>337</v>
      </c>
      <c r="K59" s="1">
        <v>0</v>
      </c>
      <c r="L59" s="1">
        <v>-5.6</v>
      </c>
      <c r="M59" s="1">
        <v>0</v>
      </c>
      <c r="N59">
        <f t="shared" si="0"/>
        <v>337</v>
      </c>
      <c r="O59">
        <f t="shared" si="1"/>
        <v>0</v>
      </c>
      <c r="P59">
        <f t="shared" si="2"/>
        <v>-5.6</v>
      </c>
      <c r="Q59" t="str">
        <f t="shared" si="3"/>
        <v>ST</v>
      </c>
    </row>
    <row r="60" spans="2:17" x14ac:dyDescent="0.3">
      <c r="B60" t="s">
        <v>40</v>
      </c>
      <c r="C60" t="s">
        <v>41</v>
      </c>
      <c r="D60" t="s">
        <v>83</v>
      </c>
      <c r="E60" t="s">
        <v>43</v>
      </c>
      <c r="F60" s="1">
        <v>8</v>
      </c>
      <c r="G60" s="1">
        <v>72</v>
      </c>
      <c r="H60" s="1">
        <v>67.599999999999994</v>
      </c>
      <c r="I60" s="1">
        <v>-4.4000000000000004</v>
      </c>
      <c r="J60">
        <v>333</v>
      </c>
      <c r="K60" s="1">
        <v>0</v>
      </c>
      <c r="L60" s="1">
        <v>-4.4000000000000004</v>
      </c>
      <c r="M60" s="1">
        <v>0</v>
      </c>
      <c r="N60">
        <f t="shared" si="0"/>
        <v>333</v>
      </c>
      <c r="O60">
        <f t="shared" si="1"/>
        <v>0</v>
      </c>
      <c r="P60">
        <f t="shared" si="2"/>
        <v>-4.4000000000000004</v>
      </c>
      <c r="Q60" t="str">
        <f t="shared" si="3"/>
        <v>ST</v>
      </c>
    </row>
    <row r="61" spans="2:17" x14ac:dyDescent="0.3">
      <c r="B61" t="s">
        <v>33</v>
      </c>
      <c r="C61" t="s">
        <v>34</v>
      </c>
      <c r="D61" t="s">
        <v>84</v>
      </c>
      <c r="E61" t="s">
        <v>35</v>
      </c>
      <c r="F61" s="1">
        <v>1</v>
      </c>
      <c r="G61" s="1">
        <v>128.85</v>
      </c>
      <c r="H61" s="1">
        <v>191.95</v>
      </c>
      <c r="I61" s="1">
        <v>63.1</v>
      </c>
      <c r="J61">
        <v>296</v>
      </c>
      <c r="K61" s="1">
        <v>0</v>
      </c>
      <c r="L61" s="1">
        <v>63.1</v>
      </c>
      <c r="M61" s="1">
        <v>0</v>
      </c>
      <c r="N61">
        <f t="shared" si="0"/>
        <v>296</v>
      </c>
      <c r="O61">
        <f t="shared" si="1"/>
        <v>0</v>
      </c>
      <c r="P61">
        <f t="shared" si="2"/>
        <v>63.1</v>
      </c>
      <c r="Q61" t="str">
        <f t="shared" si="3"/>
        <v>ST</v>
      </c>
    </row>
    <row r="62" spans="2:17" x14ac:dyDescent="0.3">
      <c r="B62" t="s">
        <v>33</v>
      </c>
      <c r="C62" t="s">
        <v>34</v>
      </c>
      <c r="D62" t="s">
        <v>84</v>
      </c>
      <c r="E62" t="s">
        <v>35</v>
      </c>
      <c r="F62" s="1">
        <v>1</v>
      </c>
      <c r="G62" s="1">
        <v>128.80000000000001</v>
      </c>
      <c r="H62" s="1">
        <v>191.95</v>
      </c>
      <c r="I62" s="1">
        <v>63.15</v>
      </c>
      <c r="J62">
        <v>296</v>
      </c>
      <c r="K62" s="1">
        <v>0</v>
      </c>
      <c r="L62" s="1">
        <v>63.15</v>
      </c>
      <c r="M62" s="1">
        <v>0</v>
      </c>
      <c r="N62">
        <f t="shared" si="0"/>
        <v>296</v>
      </c>
      <c r="O62">
        <f t="shared" si="1"/>
        <v>0</v>
      </c>
      <c r="P62">
        <f t="shared" si="2"/>
        <v>63.15</v>
      </c>
      <c r="Q62" t="str">
        <f t="shared" si="3"/>
        <v>ST</v>
      </c>
    </row>
    <row r="63" spans="2:17" x14ac:dyDescent="0.3">
      <c r="B63" t="s">
        <v>40</v>
      </c>
      <c r="C63" t="s">
        <v>41</v>
      </c>
      <c r="D63" t="s">
        <v>85</v>
      </c>
      <c r="E63" t="s">
        <v>43</v>
      </c>
      <c r="F63" s="1">
        <v>12</v>
      </c>
      <c r="G63" s="1">
        <v>103.2</v>
      </c>
      <c r="H63" s="1">
        <v>101.4</v>
      </c>
      <c r="I63" s="1">
        <v>-1.8</v>
      </c>
      <c r="J63">
        <v>296</v>
      </c>
      <c r="K63" s="1">
        <v>0</v>
      </c>
      <c r="L63" s="1">
        <v>-1.8</v>
      </c>
      <c r="M63" s="1">
        <v>0</v>
      </c>
      <c r="N63">
        <f t="shared" si="0"/>
        <v>296</v>
      </c>
      <c r="O63">
        <f t="shared" si="1"/>
        <v>0</v>
      </c>
      <c r="P63">
        <f t="shared" si="2"/>
        <v>-1.8</v>
      </c>
      <c r="Q63" t="str">
        <f t="shared" si="3"/>
        <v>ST</v>
      </c>
    </row>
    <row r="64" spans="2:17" x14ac:dyDescent="0.3">
      <c r="B64" t="s">
        <v>64</v>
      </c>
      <c r="C64" t="s">
        <v>65</v>
      </c>
      <c r="D64" t="s">
        <v>86</v>
      </c>
      <c r="E64" t="s">
        <v>67</v>
      </c>
      <c r="F64" s="1">
        <v>5</v>
      </c>
      <c r="G64" s="1">
        <v>1550</v>
      </c>
      <c r="H64" s="1">
        <v>1179.5</v>
      </c>
      <c r="I64" s="1">
        <v>-370.5</v>
      </c>
      <c r="J64">
        <v>344</v>
      </c>
      <c r="K64" s="1">
        <v>0</v>
      </c>
      <c r="L64" s="1">
        <v>-370.5</v>
      </c>
      <c r="M64" s="1">
        <v>0</v>
      </c>
      <c r="N64">
        <f t="shared" si="0"/>
        <v>344</v>
      </c>
      <c r="O64">
        <f t="shared" si="1"/>
        <v>0</v>
      </c>
      <c r="P64">
        <f t="shared" si="2"/>
        <v>-370.5</v>
      </c>
      <c r="Q64" t="str">
        <f t="shared" si="3"/>
        <v>ST</v>
      </c>
    </row>
    <row r="65" spans="2:17" x14ac:dyDescent="0.3">
      <c r="B65" t="s">
        <v>40</v>
      </c>
      <c r="C65" t="s">
        <v>41</v>
      </c>
      <c r="D65" t="s">
        <v>87</v>
      </c>
      <c r="E65" t="s">
        <v>43</v>
      </c>
      <c r="F65" s="1">
        <v>20</v>
      </c>
      <c r="G65" s="1">
        <v>138.6</v>
      </c>
      <c r="H65" s="1">
        <v>169</v>
      </c>
      <c r="I65" s="1">
        <v>30.4</v>
      </c>
      <c r="J65">
        <v>186</v>
      </c>
      <c r="K65" s="1">
        <v>0</v>
      </c>
      <c r="L65" s="1">
        <v>30.4</v>
      </c>
      <c r="M65" s="1">
        <v>0</v>
      </c>
      <c r="N65">
        <f t="shared" si="0"/>
        <v>186</v>
      </c>
      <c r="O65">
        <f t="shared" si="1"/>
        <v>0</v>
      </c>
      <c r="P65">
        <f t="shared" si="2"/>
        <v>30.4</v>
      </c>
      <c r="Q65" t="str">
        <f t="shared" si="3"/>
        <v>ST</v>
      </c>
    </row>
    <row r="66" spans="2:17" x14ac:dyDescent="0.3">
      <c r="B66" t="s">
        <v>40</v>
      </c>
      <c r="C66" t="s">
        <v>41</v>
      </c>
      <c r="D66" t="s">
        <v>88</v>
      </c>
      <c r="E66" t="s">
        <v>43</v>
      </c>
      <c r="F66" s="1">
        <v>30</v>
      </c>
      <c r="G66" s="1">
        <v>203.1</v>
      </c>
      <c r="H66" s="1">
        <v>253.5</v>
      </c>
      <c r="I66" s="1">
        <v>50.4</v>
      </c>
      <c r="J66">
        <v>183</v>
      </c>
      <c r="K66" s="1">
        <v>0</v>
      </c>
      <c r="L66" s="1">
        <v>50.4</v>
      </c>
      <c r="M66" s="1">
        <v>0</v>
      </c>
      <c r="N66">
        <f t="shared" si="0"/>
        <v>183</v>
      </c>
      <c r="O66">
        <f t="shared" si="1"/>
        <v>0</v>
      </c>
      <c r="P66">
        <f t="shared" si="2"/>
        <v>50.4</v>
      </c>
      <c r="Q66" t="str">
        <f t="shared" si="3"/>
        <v>ST</v>
      </c>
    </row>
    <row r="67" spans="2:17" x14ac:dyDescent="0.3">
      <c r="B67" t="s">
        <v>64</v>
      </c>
      <c r="C67" t="s">
        <v>65</v>
      </c>
      <c r="D67" t="s">
        <v>89</v>
      </c>
      <c r="E67" t="s">
        <v>67</v>
      </c>
      <c r="F67" s="1">
        <v>2</v>
      </c>
      <c r="G67" s="1">
        <v>564.4</v>
      </c>
      <c r="H67" s="1">
        <v>471.8</v>
      </c>
      <c r="I67" s="1">
        <v>-92.6</v>
      </c>
      <c r="J67">
        <v>216</v>
      </c>
      <c r="K67" s="1">
        <v>0</v>
      </c>
      <c r="L67" s="1">
        <v>-92.6</v>
      </c>
      <c r="M67" s="1">
        <v>0</v>
      </c>
      <c r="N67">
        <f t="shared" si="0"/>
        <v>216</v>
      </c>
      <c r="O67">
        <f t="shared" si="1"/>
        <v>0</v>
      </c>
      <c r="P67">
        <f t="shared" si="2"/>
        <v>-92.6</v>
      </c>
      <c r="Q67" t="str">
        <f t="shared" si="3"/>
        <v>ST</v>
      </c>
    </row>
    <row r="68" spans="2:17" x14ac:dyDescent="0.3">
      <c r="B68" t="s">
        <v>64</v>
      </c>
      <c r="C68" t="s">
        <v>65</v>
      </c>
      <c r="D68" t="s">
        <v>89</v>
      </c>
      <c r="E68" t="s">
        <v>67</v>
      </c>
      <c r="F68" s="1">
        <v>5</v>
      </c>
      <c r="G68" s="1">
        <v>1433.5</v>
      </c>
      <c r="H68" s="1">
        <v>1179.5</v>
      </c>
      <c r="I68" s="1">
        <v>-254</v>
      </c>
      <c r="J68">
        <v>216</v>
      </c>
      <c r="K68" s="1">
        <v>0</v>
      </c>
      <c r="L68" s="1">
        <v>-254</v>
      </c>
      <c r="M68" s="1">
        <v>0</v>
      </c>
      <c r="N68">
        <f t="shared" si="0"/>
        <v>216</v>
      </c>
      <c r="O68">
        <f t="shared" si="1"/>
        <v>0</v>
      </c>
      <c r="P68">
        <f t="shared" si="2"/>
        <v>-254</v>
      </c>
      <c r="Q68" t="str">
        <f t="shared" si="3"/>
        <v>ST</v>
      </c>
    </row>
    <row r="69" spans="2:17" x14ac:dyDescent="0.3">
      <c r="B69" t="s">
        <v>40</v>
      </c>
      <c r="C69" t="s">
        <v>41</v>
      </c>
      <c r="D69" t="s">
        <v>90</v>
      </c>
      <c r="E69" t="s">
        <v>43</v>
      </c>
      <c r="F69" s="1">
        <v>10</v>
      </c>
      <c r="G69" s="1">
        <v>62.5</v>
      </c>
      <c r="H69" s="1">
        <v>84.5</v>
      </c>
      <c r="I69" s="1">
        <v>22</v>
      </c>
      <c r="J69">
        <v>141</v>
      </c>
      <c r="K69" s="1">
        <v>0</v>
      </c>
      <c r="L69" s="1">
        <v>22</v>
      </c>
      <c r="M69" s="1">
        <v>0</v>
      </c>
      <c r="N69">
        <f t="shared" si="0"/>
        <v>141</v>
      </c>
      <c r="O69">
        <f t="shared" si="1"/>
        <v>0</v>
      </c>
      <c r="P69">
        <f t="shared" si="2"/>
        <v>22</v>
      </c>
      <c r="Q69" t="str">
        <f t="shared" si="3"/>
        <v>ST</v>
      </c>
    </row>
    <row r="70" spans="2:17" x14ac:dyDescent="0.3">
      <c r="B70" t="s">
        <v>40</v>
      </c>
      <c r="C70" t="s">
        <v>41</v>
      </c>
      <c r="D70" t="s">
        <v>90</v>
      </c>
      <c r="E70" t="s">
        <v>43</v>
      </c>
      <c r="F70" s="1">
        <v>4</v>
      </c>
      <c r="G70" s="1">
        <v>24.8</v>
      </c>
      <c r="H70" s="1">
        <v>33.799999999999997</v>
      </c>
      <c r="I70" s="1">
        <v>9</v>
      </c>
      <c r="J70">
        <v>141</v>
      </c>
      <c r="K70" s="1">
        <v>0</v>
      </c>
      <c r="L70" s="1">
        <v>9</v>
      </c>
      <c r="M70" s="1">
        <v>0</v>
      </c>
      <c r="N70">
        <f t="shared" si="0"/>
        <v>141</v>
      </c>
      <c r="O70">
        <f t="shared" si="1"/>
        <v>0</v>
      </c>
      <c r="P70">
        <f t="shared" si="2"/>
        <v>9</v>
      </c>
      <c r="Q70" t="str">
        <f t="shared" si="3"/>
        <v>ST</v>
      </c>
    </row>
    <row r="71" spans="2:17" x14ac:dyDescent="0.3">
      <c r="B71" t="s">
        <v>64</v>
      </c>
      <c r="C71" t="s">
        <v>65</v>
      </c>
      <c r="D71" t="s">
        <v>90</v>
      </c>
      <c r="E71" t="s">
        <v>67</v>
      </c>
      <c r="F71" s="1">
        <v>5</v>
      </c>
      <c r="G71" s="1">
        <v>1334.75</v>
      </c>
      <c r="H71" s="1">
        <v>1179.5</v>
      </c>
      <c r="I71" s="1">
        <v>-155.25</v>
      </c>
      <c r="J71">
        <v>215</v>
      </c>
      <c r="K71" s="1">
        <v>0</v>
      </c>
      <c r="L71" s="1">
        <v>-155.25</v>
      </c>
      <c r="M71" s="1">
        <v>0</v>
      </c>
      <c r="N71">
        <f t="shared" si="0"/>
        <v>215</v>
      </c>
      <c r="O71">
        <f t="shared" si="1"/>
        <v>0</v>
      </c>
      <c r="P71">
        <f t="shared" si="2"/>
        <v>-155.25</v>
      </c>
      <c r="Q71" t="str">
        <f t="shared" si="3"/>
        <v>ST</v>
      </c>
    </row>
    <row r="72" spans="2:17" x14ac:dyDescent="0.3">
      <c r="B72" t="s">
        <v>64</v>
      </c>
      <c r="C72" t="s">
        <v>65</v>
      </c>
      <c r="D72" t="s">
        <v>90</v>
      </c>
      <c r="E72" t="s">
        <v>67</v>
      </c>
      <c r="F72" s="1">
        <v>5</v>
      </c>
      <c r="G72" s="1">
        <v>1338</v>
      </c>
      <c r="H72" s="1">
        <v>1179.5</v>
      </c>
      <c r="I72" s="1">
        <v>-158.5</v>
      </c>
      <c r="J72">
        <v>215</v>
      </c>
      <c r="K72" s="1">
        <v>0</v>
      </c>
      <c r="L72" s="1">
        <v>-158.5</v>
      </c>
      <c r="M72" s="1">
        <v>0</v>
      </c>
      <c r="N72">
        <f t="shared" si="0"/>
        <v>215</v>
      </c>
      <c r="O72">
        <f t="shared" si="1"/>
        <v>0</v>
      </c>
      <c r="P72">
        <f t="shared" si="2"/>
        <v>-158.5</v>
      </c>
      <c r="Q72" t="str">
        <f t="shared" si="3"/>
        <v>ST</v>
      </c>
    </row>
    <row r="73" spans="2:17" x14ac:dyDescent="0.3">
      <c r="B73" t="s">
        <v>33</v>
      </c>
      <c r="C73" t="s">
        <v>34</v>
      </c>
      <c r="D73" t="s">
        <v>32</v>
      </c>
      <c r="E73" t="s">
        <v>35</v>
      </c>
      <c r="F73" s="1">
        <v>8</v>
      </c>
      <c r="G73" s="1">
        <v>992</v>
      </c>
      <c r="H73" s="1">
        <v>1535.6</v>
      </c>
      <c r="I73" s="1">
        <v>543.6</v>
      </c>
      <c r="J73">
        <v>113</v>
      </c>
      <c r="K73" s="1">
        <v>0</v>
      </c>
      <c r="L73" s="1">
        <v>543.6</v>
      </c>
      <c r="M73" s="1">
        <v>0</v>
      </c>
      <c r="N73">
        <f t="shared" si="0"/>
        <v>113</v>
      </c>
      <c r="O73">
        <f t="shared" si="1"/>
        <v>0</v>
      </c>
      <c r="P73">
        <f t="shared" si="2"/>
        <v>543.6</v>
      </c>
      <c r="Q73" t="str">
        <f t="shared" si="3"/>
        <v>ST</v>
      </c>
    </row>
    <row r="74" spans="2:17" x14ac:dyDescent="0.3">
      <c r="B74" t="s">
        <v>40</v>
      </c>
      <c r="C74" t="s">
        <v>41</v>
      </c>
      <c r="D74" t="s">
        <v>91</v>
      </c>
      <c r="E74" t="s">
        <v>43</v>
      </c>
      <c r="F74" s="1">
        <v>36</v>
      </c>
      <c r="G74" s="1">
        <v>249.12</v>
      </c>
      <c r="H74" s="1">
        <v>304.2</v>
      </c>
      <c r="I74" s="1">
        <v>55.08</v>
      </c>
      <c r="J74">
        <v>112</v>
      </c>
      <c r="K74" s="1">
        <v>0</v>
      </c>
      <c r="L74" s="1">
        <v>55.08</v>
      </c>
      <c r="M74" s="1">
        <v>0</v>
      </c>
      <c r="N74">
        <f t="shared" si="0"/>
        <v>112</v>
      </c>
      <c r="O74">
        <f t="shared" si="1"/>
        <v>0</v>
      </c>
      <c r="P74">
        <f t="shared" si="2"/>
        <v>55.08</v>
      </c>
      <c r="Q74" t="str">
        <f t="shared" si="3"/>
        <v>ST</v>
      </c>
    </row>
    <row r="75" spans="2:17" x14ac:dyDescent="0.3">
      <c r="B75" t="s">
        <v>64</v>
      </c>
      <c r="C75" t="s">
        <v>65</v>
      </c>
      <c r="D75" t="s">
        <v>91</v>
      </c>
      <c r="E75" t="s">
        <v>67</v>
      </c>
      <c r="F75" s="1">
        <v>1</v>
      </c>
      <c r="G75" s="1">
        <v>275</v>
      </c>
      <c r="H75" s="1">
        <v>235.9</v>
      </c>
      <c r="I75" s="1">
        <v>-39.1</v>
      </c>
      <c r="J75">
        <v>186</v>
      </c>
      <c r="K75" s="1">
        <v>0</v>
      </c>
      <c r="L75" s="1">
        <v>-39.1</v>
      </c>
      <c r="M75" s="1">
        <v>0</v>
      </c>
      <c r="N75">
        <f t="shared" si="0"/>
        <v>186</v>
      </c>
      <c r="O75">
        <f t="shared" si="1"/>
        <v>0</v>
      </c>
      <c r="P75">
        <f t="shared" si="2"/>
        <v>-39.1</v>
      </c>
      <c r="Q75" t="str">
        <f t="shared" si="3"/>
        <v>ST</v>
      </c>
    </row>
    <row r="76" spans="2:17" x14ac:dyDescent="0.3">
      <c r="B76" t="s">
        <v>64</v>
      </c>
      <c r="C76" t="s">
        <v>65</v>
      </c>
      <c r="D76" t="s">
        <v>39</v>
      </c>
      <c r="E76" t="s">
        <v>67</v>
      </c>
      <c r="F76" s="1">
        <v>2</v>
      </c>
      <c r="G76" s="1">
        <v>590</v>
      </c>
      <c r="H76" s="1">
        <v>471.8</v>
      </c>
      <c r="I76" s="1">
        <v>-118.2</v>
      </c>
      <c r="J76">
        <v>166</v>
      </c>
      <c r="K76" s="1">
        <v>0</v>
      </c>
      <c r="L76" s="1">
        <v>-118.2</v>
      </c>
      <c r="M76" s="1">
        <v>0</v>
      </c>
      <c r="N76">
        <f t="shared" si="0"/>
        <v>166</v>
      </c>
      <c r="O76">
        <f t="shared" si="1"/>
        <v>0</v>
      </c>
      <c r="P76">
        <f t="shared" si="2"/>
        <v>-118.2</v>
      </c>
      <c r="Q76" t="str">
        <f t="shared" si="3"/>
        <v>ST</v>
      </c>
    </row>
    <row r="77" spans="2:17" x14ac:dyDescent="0.3">
      <c r="B77" t="s">
        <v>64</v>
      </c>
      <c r="C77" t="s">
        <v>65</v>
      </c>
      <c r="D77" t="s">
        <v>92</v>
      </c>
      <c r="E77" t="s">
        <v>67</v>
      </c>
      <c r="F77" s="1">
        <v>1</v>
      </c>
      <c r="G77" s="1">
        <v>296.95</v>
      </c>
      <c r="H77" s="1">
        <v>235.9</v>
      </c>
      <c r="I77" s="1">
        <v>-61.05</v>
      </c>
      <c r="J77">
        <v>165</v>
      </c>
      <c r="K77" s="1">
        <v>0</v>
      </c>
      <c r="L77" s="1">
        <v>-61.05</v>
      </c>
      <c r="M77" s="1">
        <v>0</v>
      </c>
      <c r="N77">
        <f t="shared" si="0"/>
        <v>165</v>
      </c>
      <c r="O77">
        <f t="shared" si="1"/>
        <v>0</v>
      </c>
      <c r="P77">
        <f t="shared" si="2"/>
        <v>-61.05</v>
      </c>
      <c r="Q77" t="str">
        <f t="shared" si="3"/>
        <v>ST</v>
      </c>
    </row>
    <row r="78" spans="2:17" x14ac:dyDescent="0.3">
      <c r="B78" t="s">
        <v>64</v>
      </c>
      <c r="C78" t="s">
        <v>65</v>
      </c>
      <c r="D78" t="s">
        <v>93</v>
      </c>
      <c r="E78" t="s">
        <v>67</v>
      </c>
      <c r="F78" s="1">
        <v>5</v>
      </c>
      <c r="G78" s="1">
        <v>1416</v>
      </c>
      <c r="H78" s="1">
        <v>1179.5</v>
      </c>
      <c r="I78" s="1">
        <v>-236.5</v>
      </c>
      <c r="J78">
        <v>161</v>
      </c>
      <c r="K78" s="1">
        <v>0</v>
      </c>
      <c r="L78" s="1">
        <v>-236.5</v>
      </c>
      <c r="M78" s="1">
        <v>0</v>
      </c>
      <c r="N78">
        <f t="shared" si="0"/>
        <v>161</v>
      </c>
      <c r="O78">
        <f t="shared" si="1"/>
        <v>0</v>
      </c>
      <c r="P78">
        <f t="shared" si="2"/>
        <v>-236.5</v>
      </c>
      <c r="Q78" t="str">
        <f t="shared" si="3"/>
        <v>ST</v>
      </c>
    </row>
    <row r="79" spans="2:17" x14ac:dyDescent="0.3">
      <c r="B79" t="s">
        <v>64</v>
      </c>
      <c r="C79" t="s">
        <v>65</v>
      </c>
      <c r="D79" t="s">
        <v>93</v>
      </c>
      <c r="E79" t="s">
        <v>67</v>
      </c>
      <c r="F79" s="1">
        <v>5</v>
      </c>
      <c r="G79" s="1">
        <v>1424.5</v>
      </c>
      <c r="H79" s="1">
        <v>1179.5</v>
      </c>
      <c r="I79" s="1">
        <v>-245</v>
      </c>
      <c r="J79">
        <v>161</v>
      </c>
      <c r="K79" s="1">
        <v>0</v>
      </c>
      <c r="L79" s="1">
        <v>-245</v>
      </c>
      <c r="M79" s="1">
        <v>0</v>
      </c>
      <c r="N79">
        <f t="shared" si="0"/>
        <v>161</v>
      </c>
      <c r="O79">
        <f t="shared" si="1"/>
        <v>0</v>
      </c>
      <c r="P79">
        <f t="shared" si="2"/>
        <v>-245</v>
      </c>
      <c r="Q79" t="str">
        <f t="shared" si="3"/>
        <v>ST</v>
      </c>
    </row>
    <row r="80" spans="2:17" x14ac:dyDescent="0.3">
      <c r="B80" t="s">
        <v>64</v>
      </c>
      <c r="C80" t="s">
        <v>65</v>
      </c>
      <c r="D80" t="s">
        <v>93</v>
      </c>
      <c r="E80" t="s">
        <v>67</v>
      </c>
      <c r="F80" s="1">
        <v>9</v>
      </c>
      <c r="G80" s="1">
        <v>2563.65</v>
      </c>
      <c r="H80" s="1">
        <v>2123.1</v>
      </c>
      <c r="I80" s="1">
        <v>-440.55</v>
      </c>
      <c r="J80">
        <v>161</v>
      </c>
      <c r="K80" s="1">
        <v>0</v>
      </c>
      <c r="L80" s="1">
        <v>-440.55</v>
      </c>
      <c r="M80" s="1">
        <v>0</v>
      </c>
      <c r="N80">
        <f t="shared" si="0"/>
        <v>161</v>
      </c>
      <c r="O80">
        <f t="shared" si="1"/>
        <v>0</v>
      </c>
      <c r="P80">
        <f t="shared" si="2"/>
        <v>-440.55</v>
      </c>
      <c r="Q80" t="str">
        <f t="shared" si="3"/>
        <v>ST</v>
      </c>
    </row>
    <row r="83" spans="2:16" x14ac:dyDescent="0.3">
      <c r="B83" s="2" t="s">
        <v>94</v>
      </c>
    </row>
    <row r="85" spans="2:16" x14ac:dyDescent="0.3">
      <c r="B85" s="2" t="s">
        <v>8</v>
      </c>
      <c r="C85" s="2" t="s">
        <v>9</v>
      </c>
      <c r="D85" s="2" t="s">
        <v>10</v>
      </c>
      <c r="E85" s="2" t="s">
        <v>11</v>
      </c>
      <c r="F85" s="2" t="s">
        <v>12</v>
      </c>
      <c r="G85" s="2" t="s">
        <v>13</v>
      </c>
      <c r="H85" s="2" t="s">
        <v>14</v>
      </c>
      <c r="I85" s="2" t="s">
        <v>15</v>
      </c>
      <c r="J85" s="2" t="s">
        <v>16</v>
      </c>
      <c r="K85" s="2" t="s">
        <v>17</v>
      </c>
      <c r="L85" s="2" t="s">
        <v>95</v>
      </c>
      <c r="M85" s="2" t="s">
        <v>19</v>
      </c>
    </row>
    <row r="86" spans="2:16" x14ac:dyDescent="0.3">
      <c r="B86" t="s">
        <v>96</v>
      </c>
      <c r="C86" t="s">
        <v>97</v>
      </c>
      <c r="D86" t="s">
        <v>22</v>
      </c>
      <c r="E86" t="s">
        <v>98</v>
      </c>
      <c r="F86" s="1">
        <v>2</v>
      </c>
      <c r="G86" s="1">
        <v>592</v>
      </c>
      <c r="H86" s="1">
        <v>900</v>
      </c>
      <c r="I86" s="1">
        <v>308</v>
      </c>
      <c r="J86">
        <v>943</v>
      </c>
      <c r="K86" s="1">
        <v>0</v>
      </c>
      <c r="L86" s="1">
        <v>308</v>
      </c>
      <c r="M86" s="1">
        <v>0</v>
      </c>
    </row>
    <row r="89" spans="2:16" x14ac:dyDescent="0.3">
      <c r="B89" s="2" t="s">
        <v>99</v>
      </c>
    </row>
    <row r="91" spans="2:16" x14ac:dyDescent="0.3">
      <c r="B91" s="2" t="s">
        <v>8</v>
      </c>
      <c r="C91" s="2" t="s">
        <v>9</v>
      </c>
      <c r="D91" s="2" t="s">
        <v>10</v>
      </c>
      <c r="E91" s="2" t="s">
        <v>11</v>
      </c>
      <c r="F91" s="2" t="s">
        <v>12</v>
      </c>
      <c r="G91" s="2" t="s">
        <v>13</v>
      </c>
      <c r="H91" s="2" t="s">
        <v>14</v>
      </c>
      <c r="I91" s="2" t="s">
        <v>15</v>
      </c>
      <c r="J91" s="2" t="s">
        <v>16</v>
      </c>
      <c r="K91" s="2" t="s">
        <v>17</v>
      </c>
      <c r="L91" s="2" t="s">
        <v>100</v>
      </c>
      <c r="M91" s="2" t="s">
        <v>18</v>
      </c>
      <c r="N91" s="2" t="s">
        <v>19</v>
      </c>
      <c r="O91" s="2"/>
      <c r="P91" s="2"/>
    </row>
    <row r="95" spans="2:16" x14ac:dyDescent="0.3">
      <c r="B95" s="2" t="s">
        <v>101</v>
      </c>
    </row>
    <row r="97" spans="2:9" x14ac:dyDescent="0.3">
      <c r="B97" s="2" t="s">
        <v>8</v>
      </c>
      <c r="C97" s="2" t="s">
        <v>10</v>
      </c>
      <c r="D97" s="2" t="s">
        <v>11</v>
      </c>
      <c r="E97" s="2" t="s">
        <v>12</v>
      </c>
      <c r="F97" s="2" t="s">
        <v>13</v>
      </c>
      <c r="G97" s="2" t="s">
        <v>14</v>
      </c>
      <c r="H97" s="2" t="s">
        <v>15</v>
      </c>
      <c r="I97" s="2" t="s">
        <v>19</v>
      </c>
    </row>
    <row r="101" spans="2:9" x14ac:dyDescent="0.3">
      <c r="B101" s="2" t="s">
        <v>102</v>
      </c>
    </row>
    <row r="103" spans="2:9" x14ac:dyDescent="0.3">
      <c r="B103" s="2" t="s">
        <v>8</v>
      </c>
      <c r="C103" s="2" t="s">
        <v>10</v>
      </c>
      <c r="D103" s="2" t="s">
        <v>11</v>
      </c>
      <c r="E103" s="2" t="s">
        <v>12</v>
      </c>
      <c r="F103" s="2" t="s">
        <v>13</v>
      </c>
      <c r="G103" s="2" t="s">
        <v>14</v>
      </c>
      <c r="H103" s="2" t="s">
        <v>15</v>
      </c>
      <c r="I103" s="2" t="s">
        <v>19</v>
      </c>
    </row>
    <row r="107" spans="2:9" x14ac:dyDescent="0.3">
      <c r="B107" s="2" t="s">
        <v>103</v>
      </c>
    </row>
    <row r="109" spans="2:9" x14ac:dyDescent="0.3">
      <c r="B109" s="2" t="s">
        <v>8</v>
      </c>
      <c r="C109" s="2" t="s">
        <v>10</v>
      </c>
      <c r="D109" s="2" t="s">
        <v>11</v>
      </c>
      <c r="E109" s="2" t="s">
        <v>12</v>
      </c>
      <c r="F109" s="2" t="s">
        <v>13</v>
      </c>
      <c r="G109" s="2" t="s">
        <v>14</v>
      </c>
      <c r="H109" s="2" t="s">
        <v>15</v>
      </c>
      <c r="I109" s="2" t="s">
        <v>19</v>
      </c>
    </row>
  </sheetData>
  <autoFilter ref="B15:Q80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5"/>
  <sheetViews>
    <sheetView showGridLines="0" topLeftCell="A44" workbookViewId="0">
      <selection activeCell="F67" sqref="F67"/>
    </sheetView>
  </sheetViews>
  <sheetFormatPr defaultColWidth="15" defaultRowHeight="14.4" x14ac:dyDescent="0.3"/>
  <cols>
    <col min="1" max="1" width="23.109375" bestFit="1" customWidth="1"/>
    <col min="2" max="2" width="22" customWidth="1"/>
  </cols>
  <sheetData>
    <row r="1" spans="2:3" ht="12" customHeight="1" x14ac:dyDescent="0.3"/>
    <row r="7" spans="2:3" x14ac:dyDescent="0.3">
      <c r="B7" s="2" t="s">
        <v>0</v>
      </c>
      <c r="C7" s="2" t="s">
        <v>1</v>
      </c>
    </row>
    <row r="8" spans="2:3" x14ac:dyDescent="0.3">
      <c r="B8" s="2" t="s">
        <v>2</v>
      </c>
      <c r="C8" s="2" t="s">
        <v>3</v>
      </c>
    </row>
    <row r="9" spans="2:3" x14ac:dyDescent="0.3">
      <c r="B9" s="2" t="s">
        <v>4</v>
      </c>
      <c r="C9" s="2" t="s">
        <v>5</v>
      </c>
    </row>
    <row r="11" spans="2:3" x14ac:dyDescent="0.3">
      <c r="B11" s="2" t="s">
        <v>104</v>
      </c>
    </row>
    <row r="13" spans="2:3" x14ac:dyDescent="0.3">
      <c r="B13" s="2" t="s">
        <v>105</v>
      </c>
    </row>
    <row r="15" spans="2:3" x14ac:dyDescent="0.3">
      <c r="B15" t="s">
        <v>106</v>
      </c>
      <c r="C15" s="1">
        <v>0</v>
      </c>
    </row>
    <row r="16" spans="2:3" x14ac:dyDescent="0.3">
      <c r="B16" t="s">
        <v>107</v>
      </c>
      <c r="C16" s="1">
        <v>-1038.49</v>
      </c>
    </row>
    <row r="17" spans="2:3" x14ac:dyDescent="0.3">
      <c r="B17" t="s">
        <v>108</v>
      </c>
      <c r="C17" s="1">
        <v>1747.3059000000001</v>
      </c>
    </row>
    <row r="20" spans="2:3" x14ac:dyDescent="0.3">
      <c r="B20" s="2" t="s">
        <v>109</v>
      </c>
    </row>
    <row r="22" spans="2:3" x14ac:dyDescent="0.3">
      <c r="B22" t="s">
        <v>110</v>
      </c>
      <c r="C22" s="1">
        <v>0</v>
      </c>
    </row>
    <row r="25" spans="2:3" x14ac:dyDescent="0.3">
      <c r="B25" s="2" t="s">
        <v>111</v>
      </c>
    </row>
    <row r="27" spans="2:3" x14ac:dyDescent="0.3">
      <c r="B27" s="2" t="s">
        <v>112</v>
      </c>
      <c r="C27" s="2" t="s">
        <v>113</v>
      </c>
    </row>
    <row r="28" spans="2:3" x14ac:dyDescent="0.3">
      <c r="B28" t="s">
        <v>114</v>
      </c>
      <c r="C28" s="1">
        <v>4.07E-2</v>
      </c>
    </row>
    <row r="29" spans="2:3" x14ac:dyDescent="0.3">
      <c r="B29" t="s">
        <v>115</v>
      </c>
      <c r="C29" s="1">
        <v>0.32</v>
      </c>
    </row>
    <row r="30" spans="2:3" x14ac:dyDescent="0.3">
      <c r="B30" t="s">
        <v>116</v>
      </c>
      <c r="C30" s="1">
        <v>4.5926999999999998</v>
      </c>
    </row>
    <row r="31" spans="2:3" x14ac:dyDescent="0.3">
      <c r="B31" t="s">
        <v>117</v>
      </c>
      <c r="C31" s="1">
        <v>0</v>
      </c>
    </row>
    <row r="32" spans="2:3" x14ac:dyDescent="0.3">
      <c r="B32" t="s">
        <v>118</v>
      </c>
      <c r="C32" s="1">
        <v>0.91239999999999999</v>
      </c>
    </row>
    <row r="33" spans="2:14" x14ac:dyDescent="0.3">
      <c r="B33" t="s">
        <v>119</v>
      </c>
      <c r="C33" s="1">
        <v>126</v>
      </c>
    </row>
    <row r="34" spans="2:14" x14ac:dyDescent="0.3">
      <c r="B34" t="s">
        <v>120</v>
      </c>
      <c r="C34" s="1">
        <v>0.13070000000000001</v>
      </c>
    </row>
    <row r="35" spans="2:14" x14ac:dyDescent="0.3">
      <c r="B35" t="s">
        <v>121</v>
      </c>
      <c r="C35" s="1">
        <v>10</v>
      </c>
    </row>
    <row r="36" spans="2:14" x14ac:dyDescent="0.3">
      <c r="B36" t="s">
        <v>122</v>
      </c>
      <c r="C36" s="1">
        <v>0</v>
      </c>
    </row>
    <row r="37" spans="2:14" x14ac:dyDescent="0.3">
      <c r="B37" t="s">
        <v>123</v>
      </c>
      <c r="C37" s="1">
        <v>0</v>
      </c>
    </row>
    <row r="40" spans="2:14" x14ac:dyDescent="0.3">
      <c r="B40" s="2" t="s">
        <v>124</v>
      </c>
    </row>
    <row r="42" spans="2:14" x14ac:dyDescent="0.3">
      <c r="B42" t="s">
        <v>125</v>
      </c>
      <c r="C42" s="1">
        <v>-699.74</v>
      </c>
    </row>
    <row r="45" spans="2:14" x14ac:dyDescent="0.3">
      <c r="B45" s="2" t="s">
        <v>126</v>
      </c>
    </row>
    <row r="47" spans="2:14" x14ac:dyDescent="0.3">
      <c r="B47" s="2" t="s">
        <v>8</v>
      </c>
      <c r="C47" s="2" t="s">
        <v>12</v>
      </c>
      <c r="D47" s="2" t="s">
        <v>13</v>
      </c>
      <c r="E47" s="2" t="s">
        <v>14</v>
      </c>
      <c r="F47" s="2" t="s">
        <v>127</v>
      </c>
      <c r="G47" s="2" t="s">
        <v>128</v>
      </c>
      <c r="H47" s="2" t="s">
        <v>129</v>
      </c>
      <c r="I47" s="2" t="s">
        <v>130</v>
      </c>
      <c r="J47" s="2" t="s">
        <v>131</v>
      </c>
      <c r="K47" s="2" t="s">
        <v>132</v>
      </c>
      <c r="L47" s="2" t="s">
        <v>133</v>
      </c>
      <c r="M47" s="2" t="s">
        <v>134</v>
      </c>
      <c r="N47" s="2" t="s">
        <v>135</v>
      </c>
    </row>
    <row r="51" spans="2:14" x14ac:dyDescent="0.3">
      <c r="B51" s="2" t="s">
        <v>136</v>
      </c>
    </row>
    <row r="53" spans="2:14" x14ac:dyDescent="0.3">
      <c r="B53" s="2" t="s">
        <v>8</v>
      </c>
      <c r="C53" s="2" t="s">
        <v>12</v>
      </c>
      <c r="D53" s="2" t="s">
        <v>13</v>
      </c>
      <c r="E53" s="2" t="s">
        <v>14</v>
      </c>
      <c r="F53" s="2" t="s">
        <v>127</v>
      </c>
      <c r="G53" s="2" t="s">
        <v>128</v>
      </c>
      <c r="H53" s="2" t="s">
        <v>129</v>
      </c>
      <c r="I53" s="2" t="s">
        <v>130</v>
      </c>
      <c r="J53" s="2" t="s">
        <v>131</v>
      </c>
      <c r="K53" s="2" t="s">
        <v>132</v>
      </c>
      <c r="L53" s="2" t="s">
        <v>133</v>
      </c>
      <c r="M53" s="2" t="s">
        <v>134</v>
      </c>
      <c r="N53" s="2" t="s">
        <v>135</v>
      </c>
    </row>
    <row r="54" spans="2:14" x14ac:dyDescent="0.3">
      <c r="B54" t="s">
        <v>64</v>
      </c>
      <c r="C54" s="1">
        <v>45</v>
      </c>
      <c r="D54" s="1">
        <v>12786.75</v>
      </c>
      <c r="E54" s="1">
        <v>10615.5</v>
      </c>
      <c r="F54" s="1">
        <v>-2171.25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pans="2:14" x14ac:dyDescent="0.3">
      <c r="B55" t="s">
        <v>29</v>
      </c>
      <c r="C55" s="1">
        <v>5</v>
      </c>
      <c r="D55" s="1">
        <v>736.5</v>
      </c>
      <c r="E55" s="1">
        <v>870</v>
      </c>
      <c r="F55" s="1">
        <v>133.5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2:14" x14ac:dyDescent="0.3">
      <c r="B56" t="s">
        <v>40</v>
      </c>
      <c r="C56" s="1">
        <v>130</v>
      </c>
      <c r="D56" s="1">
        <v>944.74</v>
      </c>
      <c r="E56" s="1">
        <v>1098.5</v>
      </c>
      <c r="F56" s="1">
        <v>153.76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 spans="2:14" x14ac:dyDescent="0.3">
      <c r="B57" t="s">
        <v>59</v>
      </c>
      <c r="C57" s="1">
        <v>4</v>
      </c>
      <c r="D57" s="1">
        <v>823.2</v>
      </c>
      <c r="E57" s="1">
        <v>998.85</v>
      </c>
      <c r="F57" s="1">
        <v>175.65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2:14" x14ac:dyDescent="0.3">
      <c r="B58" t="s">
        <v>33</v>
      </c>
      <c r="C58" s="1">
        <v>10</v>
      </c>
      <c r="D58" s="1">
        <v>1249.6500000000001</v>
      </c>
      <c r="E58" s="1">
        <v>1919.5</v>
      </c>
      <c r="F58" s="1">
        <v>669.85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61" spans="2:14" x14ac:dyDescent="0.3">
      <c r="B61" s="2" t="s">
        <v>137</v>
      </c>
    </row>
    <row r="63" spans="2:14" x14ac:dyDescent="0.3">
      <c r="B63" s="2" t="s">
        <v>8</v>
      </c>
      <c r="C63" s="2" t="s">
        <v>12</v>
      </c>
      <c r="D63" s="2" t="s">
        <v>13</v>
      </c>
      <c r="E63" s="2" t="s">
        <v>14</v>
      </c>
      <c r="F63" s="2" t="s">
        <v>127</v>
      </c>
      <c r="G63" s="2" t="s">
        <v>128</v>
      </c>
      <c r="H63" s="2" t="s">
        <v>129</v>
      </c>
      <c r="I63" s="2" t="s">
        <v>130</v>
      </c>
      <c r="J63" s="2" t="s">
        <v>131</v>
      </c>
      <c r="K63" s="2" t="s">
        <v>132</v>
      </c>
      <c r="L63" s="2" t="s">
        <v>133</v>
      </c>
      <c r="M63" s="2" t="s">
        <v>134</v>
      </c>
      <c r="N63" s="2" t="s">
        <v>135</v>
      </c>
    </row>
    <row r="64" spans="2:14" x14ac:dyDescent="0.3">
      <c r="B64" t="s">
        <v>64</v>
      </c>
      <c r="C64" s="1">
        <v>5</v>
      </c>
      <c r="D64" s="1">
        <v>1606.5</v>
      </c>
      <c r="E64" s="1">
        <v>1179.5</v>
      </c>
      <c r="F64" s="1">
        <v>-427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</row>
    <row r="65" spans="1:14" x14ac:dyDescent="0.3">
      <c r="B65" t="s">
        <v>44</v>
      </c>
      <c r="C65" s="1">
        <v>1</v>
      </c>
      <c r="D65" s="1">
        <v>993</v>
      </c>
      <c r="E65" s="1">
        <v>1000</v>
      </c>
      <c r="F65" s="1">
        <v>7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</row>
    <row r="66" spans="1:14" x14ac:dyDescent="0.3">
      <c r="B66" t="s">
        <v>29</v>
      </c>
      <c r="C66" s="1">
        <v>20</v>
      </c>
      <c r="D66" s="1">
        <v>3517.25</v>
      </c>
      <c r="E66" s="1">
        <v>3480</v>
      </c>
      <c r="F66" s="1">
        <v>-37.25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</row>
    <row r="67" spans="1:14" x14ac:dyDescent="0.3">
      <c r="A67" t="s">
        <v>248</v>
      </c>
      <c r="B67" t="s">
        <v>96</v>
      </c>
      <c r="C67" s="1">
        <v>2</v>
      </c>
      <c r="D67" s="1">
        <v>592</v>
      </c>
      <c r="E67" s="1">
        <v>900</v>
      </c>
      <c r="F67" s="1">
        <f>308</f>
        <v>308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</row>
    <row r="68" spans="1:14" x14ac:dyDescent="0.3">
      <c r="B68" t="s">
        <v>24</v>
      </c>
      <c r="C68" s="1">
        <v>28</v>
      </c>
      <c r="D68" s="1">
        <v>2382.88</v>
      </c>
      <c r="E68" s="1">
        <v>2952.15</v>
      </c>
      <c r="F68" s="1">
        <v>569.27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</row>
    <row r="69" spans="1:14" x14ac:dyDescent="0.3">
      <c r="B69" t="s">
        <v>36</v>
      </c>
      <c r="C69" s="1">
        <v>5</v>
      </c>
      <c r="D69" s="1">
        <v>595.25</v>
      </c>
      <c r="E69" s="1">
        <v>915.25</v>
      </c>
      <c r="F69" s="1">
        <v>320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</row>
    <row r="70" spans="1:14" x14ac:dyDescent="0.3">
      <c r="B70" t="s">
        <v>20</v>
      </c>
      <c r="C70" s="1">
        <v>6</v>
      </c>
      <c r="D70" s="1">
        <v>1091.25</v>
      </c>
      <c r="E70" s="1">
        <v>1239.96</v>
      </c>
      <c r="F70" s="1">
        <v>148.71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</row>
    <row r="71" spans="1:14" x14ac:dyDescent="0.3">
      <c r="B71" t="s">
        <v>40</v>
      </c>
      <c r="C71" s="1">
        <v>70</v>
      </c>
      <c r="D71" s="1">
        <v>657.92</v>
      </c>
      <c r="E71" s="1">
        <v>591.5</v>
      </c>
      <c r="F71" s="1">
        <v>-66.42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</row>
    <row r="72" spans="1:14" x14ac:dyDescent="0.3">
      <c r="B72" t="s">
        <v>72</v>
      </c>
      <c r="C72" s="1">
        <v>4</v>
      </c>
      <c r="D72" s="1">
        <v>3472</v>
      </c>
      <c r="E72" s="1">
        <v>3640</v>
      </c>
      <c r="F72" s="1">
        <v>168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 x14ac:dyDescent="0.3">
      <c r="B73" t="s">
        <v>59</v>
      </c>
      <c r="C73" s="1">
        <v>11</v>
      </c>
      <c r="D73" s="1">
        <v>2837.65</v>
      </c>
      <c r="E73" s="1">
        <v>2747.25</v>
      </c>
      <c r="F73" s="1">
        <v>-90.4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 x14ac:dyDescent="0.3">
      <c r="B74" t="s">
        <v>51</v>
      </c>
      <c r="C74" s="1">
        <v>2</v>
      </c>
      <c r="D74" s="1">
        <v>228.05410000000001</v>
      </c>
      <c r="E74" s="1">
        <v>444</v>
      </c>
      <c r="F74" s="1">
        <v>215.94589999999999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</row>
    <row r="75" spans="1:14" x14ac:dyDescent="0.3">
      <c r="B75" t="s">
        <v>33</v>
      </c>
      <c r="C75" s="1">
        <v>20</v>
      </c>
      <c r="D75" s="1">
        <v>3207.55</v>
      </c>
      <c r="E75" s="1">
        <v>3839</v>
      </c>
      <c r="F75" s="1">
        <v>631.45000000000005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59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0</v>
      </c>
      <c r="C7" s="2" t="s">
        <v>1</v>
      </c>
    </row>
    <row r="8" spans="2:3" x14ac:dyDescent="0.3">
      <c r="B8" s="2" t="s">
        <v>2</v>
      </c>
      <c r="C8" s="2" t="s">
        <v>3</v>
      </c>
    </row>
    <row r="9" spans="2:3" x14ac:dyDescent="0.3">
      <c r="B9" s="2" t="s">
        <v>4</v>
      </c>
      <c r="C9" s="2" t="s">
        <v>5</v>
      </c>
    </row>
    <row r="11" spans="2:3" x14ac:dyDescent="0.3">
      <c r="B11" s="2" t="s">
        <v>138</v>
      </c>
    </row>
    <row r="13" spans="2:3" x14ac:dyDescent="0.3">
      <c r="B13" s="2" t="s">
        <v>105</v>
      </c>
    </row>
    <row r="15" spans="2:3" x14ac:dyDescent="0.3">
      <c r="B15" t="s">
        <v>139</v>
      </c>
      <c r="C15" s="1">
        <v>0</v>
      </c>
    </row>
    <row r="16" spans="2:3" x14ac:dyDescent="0.3">
      <c r="B16" t="s">
        <v>140</v>
      </c>
      <c r="C16" s="1">
        <v>0</v>
      </c>
    </row>
    <row r="17" spans="2:3" x14ac:dyDescent="0.3">
      <c r="B17" t="s">
        <v>141</v>
      </c>
      <c r="C17" s="1">
        <v>0</v>
      </c>
    </row>
    <row r="18" spans="2:3" x14ac:dyDescent="0.3">
      <c r="B18" t="s">
        <v>142</v>
      </c>
      <c r="C18" s="1">
        <v>0</v>
      </c>
    </row>
    <row r="19" spans="2:3" x14ac:dyDescent="0.3">
      <c r="B19" t="s">
        <v>143</v>
      </c>
      <c r="C19" s="1">
        <v>0</v>
      </c>
    </row>
    <row r="22" spans="2:3" x14ac:dyDescent="0.3">
      <c r="B22" s="2" t="s">
        <v>111</v>
      </c>
    </row>
    <row r="24" spans="2:3" x14ac:dyDescent="0.3">
      <c r="B24" s="2" t="s">
        <v>112</v>
      </c>
      <c r="C24" s="2" t="s">
        <v>113</v>
      </c>
    </row>
    <row r="28" spans="2:3" x14ac:dyDescent="0.3">
      <c r="B28" s="2" t="s">
        <v>124</v>
      </c>
    </row>
    <row r="30" spans="2:3" x14ac:dyDescent="0.3">
      <c r="B30" t="s">
        <v>125</v>
      </c>
      <c r="C30" s="1">
        <v>0</v>
      </c>
    </row>
    <row r="33" spans="2:6" x14ac:dyDescent="0.3">
      <c r="B33" s="2" t="s">
        <v>144</v>
      </c>
    </row>
    <row r="35" spans="2:6" x14ac:dyDescent="0.3">
      <c r="B35" s="2" t="s">
        <v>8</v>
      </c>
      <c r="C35" s="2" t="s">
        <v>12</v>
      </c>
      <c r="D35" s="2" t="s">
        <v>13</v>
      </c>
      <c r="E35" s="2" t="s">
        <v>14</v>
      </c>
      <c r="F35" s="2" t="s">
        <v>127</v>
      </c>
    </row>
    <row r="39" spans="2:6" x14ac:dyDescent="0.3">
      <c r="B39" s="2" t="s">
        <v>145</v>
      </c>
    </row>
    <row r="41" spans="2:6" x14ac:dyDescent="0.3">
      <c r="B41" s="2" t="s">
        <v>8</v>
      </c>
      <c r="C41" s="2" t="s">
        <v>12</v>
      </c>
      <c r="D41" s="2" t="s">
        <v>13</v>
      </c>
      <c r="E41" s="2" t="s">
        <v>14</v>
      </c>
      <c r="F41" s="2" t="s">
        <v>127</v>
      </c>
    </row>
    <row r="45" spans="2:6" x14ac:dyDescent="0.3">
      <c r="B45" s="2" t="s">
        <v>146</v>
      </c>
    </row>
    <row r="47" spans="2:6" x14ac:dyDescent="0.3">
      <c r="B47" s="2" t="s">
        <v>8</v>
      </c>
      <c r="C47" s="2" t="s">
        <v>12</v>
      </c>
      <c r="D47" s="2" t="s">
        <v>13</v>
      </c>
      <c r="E47" s="2" t="s">
        <v>14</v>
      </c>
      <c r="F47" s="2" t="s">
        <v>127</v>
      </c>
    </row>
    <row r="51" spans="2:6" x14ac:dyDescent="0.3">
      <c r="B51" s="2" t="s">
        <v>147</v>
      </c>
    </row>
    <row r="53" spans="2:6" x14ac:dyDescent="0.3">
      <c r="B53" s="2" t="s">
        <v>8</v>
      </c>
      <c r="C53" s="2" t="s">
        <v>12</v>
      </c>
      <c r="D53" s="2" t="s">
        <v>13</v>
      </c>
      <c r="E53" s="2" t="s">
        <v>14</v>
      </c>
      <c r="F53" s="2" t="s">
        <v>127</v>
      </c>
    </row>
    <row r="57" spans="2:6" x14ac:dyDescent="0.3">
      <c r="B57" s="2" t="s">
        <v>143</v>
      </c>
    </row>
    <row r="59" spans="2:6" x14ac:dyDescent="0.3">
      <c r="B59" s="2" t="s">
        <v>8</v>
      </c>
      <c r="C59" s="2" t="s">
        <v>12</v>
      </c>
      <c r="D59" s="2" t="s">
        <v>13</v>
      </c>
      <c r="E59" s="2" t="s">
        <v>14</v>
      </c>
      <c r="F59" s="2" t="s">
        <v>127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44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0</v>
      </c>
      <c r="C7" s="2" t="s">
        <v>1</v>
      </c>
    </row>
    <row r="8" spans="2:3" x14ac:dyDescent="0.3">
      <c r="B8" s="2" t="s">
        <v>2</v>
      </c>
      <c r="C8" s="2" t="s">
        <v>3</v>
      </c>
    </row>
    <row r="9" spans="2:3" x14ac:dyDescent="0.3">
      <c r="B9" s="2" t="s">
        <v>4</v>
      </c>
      <c r="C9" s="2" t="s">
        <v>5</v>
      </c>
    </row>
    <row r="11" spans="2:3" x14ac:dyDescent="0.3">
      <c r="B11" s="2" t="s">
        <v>148</v>
      </c>
    </row>
    <row r="13" spans="2:3" x14ac:dyDescent="0.3">
      <c r="B13" s="2" t="s">
        <v>105</v>
      </c>
    </row>
    <row r="15" spans="2:3" x14ac:dyDescent="0.3">
      <c r="B15" t="s">
        <v>149</v>
      </c>
      <c r="C15" s="1">
        <v>0</v>
      </c>
    </row>
    <row r="16" spans="2:3" x14ac:dyDescent="0.3">
      <c r="B16" t="s">
        <v>150</v>
      </c>
      <c r="C16" s="1">
        <v>0</v>
      </c>
    </row>
    <row r="19" spans="2:3" x14ac:dyDescent="0.3">
      <c r="B19" s="2" t="s">
        <v>109</v>
      </c>
    </row>
    <row r="21" spans="2:3" x14ac:dyDescent="0.3">
      <c r="B21" t="s">
        <v>151</v>
      </c>
      <c r="C21" s="1">
        <v>0</v>
      </c>
    </row>
    <row r="22" spans="2:3" x14ac:dyDescent="0.3">
      <c r="B22" t="s">
        <v>152</v>
      </c>
      <c r="C22" s="1">
        <v>0</v>
      </c>
    </row>
    <row r="25" spans="2:3" x14ac:dyDescent="0.3">
      <c r="B25" s="2" t="s">
        <v>111</v>
      </c>
    </row>
    <row r="27" spans="2:3" x14ac:dyDescent="0.3">
      <c r="B27" s="2" t="s">
        <v>112</v>
      </c>
      <c r="C27" s="2" t="s">
        <v>113</v>
      </c>
    </row>
    <row r="31" spans="2:3" x14ac:dyDescent="0.3">
      <c r="B31" s="2" t="s">
        <v>124</v>
      </c>
    </row>
    <row r="33" spans="2:14" x14ac:dyDescent="0.3">
      <c r="B33" t="s">
        <v>125</v>
      </c>
      <c r="C33" s="1">
        <v>0</v>
      </c>
    </row>
    <row r="36" spans="2:14" x14ac:dyDescent="0.3">
      <c r="B36" s="2" t="s">
        <v>153</v>
      </c>
    </row>
    <row r="38" spans="2:14" x14ac:dyDescent="0.3">
      <c r="B38" s="2" t="s">
        <v>8</v>
      </c>
      <c r="C38" s="2" t="s">
        <v>12</v>
      </c>
      <c r="D38" s="2" t="s">
        <v>13</v>
      </c>
      <c r="E38" s="2" t="s">
        <v>14</v>
      </c>
      <c r="F38" s="2" t="s">
        <v>127</v>
      </c>
      <c r="G38" s="2" t="s">
        <v>128</v>
      </c>
      <c r="H38" s="2" t="s">
        <v>129</v>
      </c>
      <c r="I38" s="2" t="s">
        <v>130</v>
      </c>
      <c r="J38" s="2" t="s">
        <v>131</v>
      </c>
      <c r="K38" s="2" t="s">
        <v>132</v>
      </c>
      <c r="L38" s="2" t="s">
        <v>133</v>
      </c>
      <c r="M38" s="2" t="s">
        <v>134</v>
      </c>
      <c r="N38" s="2" t="s">
        <v>135</v>
      </c>
    </row>
    <row r="42" spans="2:14" x14ac:dyDescent="0.3">
      <c r="B42" s="2" t="s">
        <v>154</v>
      </c>
    </row>
    <row r="44" spans="2:14" x14ac:dyDescent="0.3">
      <c r="B44" s="2" t="s">
        <v>8</v>
      </c>
      <c r="C44" s="2" t="s">
        <v>12</v>
      </c>
      <c r="D44" s="2" t="s">
        <v>13</v>
      </c>
      <c r="E44" s="2" t="s">
        <v>14</v>
      </c>
      <c r="F44" s="2" t="s">
        <v>127</v>
      </c>
      <c r="G44" s="2" t="s">
        <v>128</v>
      </c>
      <c r="H44" s="2" t="s">
        <v>129</v>
      </c>
      <c r="I44" s="2" t="s">
        <v>130</v>
      </c>
      <c r="J44" s="2" t="s">
        <v>131</v>
      </c>
      <c r="K44" s="2" t="s">
        <v>132</v>
      </c>
      <c r="L44" s="2" t="s">
        <v>133</v>
      </c>
      <c r="M44" s="2" t="s">
        <v>134</v>
      </c>
      <c r="N44" s="2" t="s">
        <v>135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44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0</v>
      </c>
      <c r="C7" s="2" t="s">
        <v>1</v>
      </c>
    </row>
    <row r="8" spans="2:3" x14ac:dyDescent="0.3">
      <c r="B8" s="2" t="s">
        <v>2</v>
      </c>
      <c r="C8" s="2" t="s">
        <v>3</v>
      </c>
    </row>
    <row r="9" spans="2:3" x14ac:dyDescent="0.3">
      <c r="B9" s="2" t="s">
        <v>4</v>
      </c>
      <c r="C9" s="2" t="s">
        <v>5</v>
      </c>
    </row>
    <row r="11" spans="2:3" x14ac:dyDescent="0.3">
      <c r="B11" s="2" t="s">
        <v>155</v>
      </c>
    </row>
    <row r="13" spans="2:3" x14ac:dyDescent="0.3">
      <c r="B13" s="2" t="s">
        <v>105</v>
      </c>
    </row>
    <row r="15" spans="2:3" x14ac:dyDescent="0.3">
      <c r="B15" t="s">
        <v>149</v>
      </c>
      <c r="C15" s="1">
        <v>0</v>
      </c>
    </row>
    <row r="16" spans="2:3" x14ac:dyDescent="0.3">
      <c r="B16" t="s">
        <v>150</v>
      </c>
      <c r="C16" s="1">
        <v>0</v>
      </c>
    </row>
    <row r="19" spans="2:3" x14ac:dyDescent="0.3">
      <c r="B19" s="2" t="s">
        <v>109</v>
      </c>
    </row>
    <row r="21" spans="2:3" x14ac:dyDescent="0.3">
      <c r="B21" t="s">
        <v>151</v>
      </c>
      <c r="C21" s="1">
        <v>0</v>
      </c>
    </row>
    <row r="22" spans="2:3" x14ac:dyDescent="0.3">
      <c r="B22" t="s">
        <v>152</v>
      </c>
      <c r="C22" s="1">
        <v>0</v>
      </c>
    </row>
    <row r="25" spans="2:3" x14ac:dyDescent="0.3">
      <c r="B25" s="2" t="s">
        <v>111</v>
      </c>
    </row>
    <row r="27" spans="2:3" x14ac:dyDescent="0.3">
      <c r="B27" s="2" t="s">
        <v>112</v>
      </c>
      <c r="C27" s="2" t="s">
        <v>113</v>
      </c>
    </row>
    <row r="31" spans="2:3" x14ac:dyDescent="0.3">
      <c r="B31" s="2" t="s">
        <v>124</v>
      </c>
    </row>
    <row r="33" spans="2:14" x14ac:dyDescent="0.3">
      <c r="B33" t="s">
        <v>125</v>
      </c>
      <c r="C33" s="1">
        <v>0</v>
      </c>
    </row>
    <row r="36" spans="2:14" x14ac:dyDescent="0.3">
      <c r="B36" s="2" t="s">
        <v>153</v>
      </c>
    </row>
    <row r="38" spans="2:14" x14ac:dyDescent="0.3">
      <c r="B38" s="2" t="s">
        <v>8</v>
      </c>
      <c r="C38" s="2" t="s">
        <v>12</v>
      </c>
      <c r="D38" s="2" t="s">
        <v>13</v>
      </c>
      <c r="E38" s="2" t="s">
        <v>14</v>
      </c>
      <c r="F38" s="2" t="s">
        <v>127</v>
      </c>
      <c r="G38" s="2" t="s">
        <v>128</v>
      </c>
      <c r="H38" s="2" t="s">
        <v>129</v>
      </c>
      <c r="I38" s="2" t="s">
        <v>130</v>
      </c>
      <c r="J38" s="2" t="s">
        <v>131</v>
      </c>
      <c r="K38" s="2" t="s">
        <v>132</v>
      </c>
      <c r="L38" s="2" t="s">
        <v>133</v>
      </c>
      <c r="M38" s="2" t="s">
        <v>134</v>
      </c>
      <c r="N38" s="2" t="s">
        <v>135</v>
      </c>
    </row>
    <row r="42" spans="2:14" x14ac:dyDescent="0.3">
      <c r="B42" s="2" t="s">
        <v>154</v>
      </c>
    </row>
    <row r="44" spans="2:14" x14ac:dyDescent="0.3">
      <c r="B44" s="2" t="s">
        <v>8</v>
      </c>
      <c r="C44" s="2" t="s">
        <v>12</v>
      </c>
      <c r="D44" s="2" t="s">
        <v>13</v>
      </c>
      <c r="E44" s="2" t="s">
        <v>14</v>
      </c>
      <c r="F44" s="2" t="s">
        <v>127</v>
      </c>
      <c r="G44" s="2" t="s">
        <v>128</v>
      </c>
      <c r="H44" s="2" t="s">
        <v>129</v>
      </c>
      <c r="I44" s="2" t="s">
        <v>130</v>
      </c>
      <c r="J44" s="2" t="s">
        <v>131</v>
      </c>
      <c r="K44" s="2" t="s">
        <v>132</v>
      </c>
      <c r="L44" s="2" t="s">
        <v>133</v>
      </c>
      <c r="M44" s="2" t="s">
        <v>134</v>
      </c>
      <c r="N44" s="2" t="s">
        <v>135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44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0</v>
      </c>
      <c r="C7" s="2" t="s">
        <v>1</v>
      </c>
    </row>
    <row r="8" spans="2:3" x14ac:dyDescent="0.3">
      <c r="B8" s="2" t="s">
        <v>2</v>
      </c>
      <c r="C8" s="2" t="s">
        <v>3</v>
      </c>
    </row>
    <row r="9" spans="2:3" x14ac:dyDescent="0.3">
      <c r="B9" s="2" t="s">
        <v>4</v>
      </c>
      <c r="C9" s="2" t="s">
        <v>5</v>
      </c>
    </row>
    <row r="11" spans="2:3" x14ac:dyDescent="0.3">
      <c r="B11" s="2" t="s">
        <v>156</v>
      </c>
    </row>
    <row r="13" spans="2:3" x14ac:dyDescent="0.3">
      <c r="B13" s="2" t="s">
        <v>105</v>
      </c>
    </row>
    <row r="15" spans="2:3" x14ac:dyDescent="0.3">
      <c r="B15" t="s">
        <v>149</v>
      </c>
      <c r="C15" s="1">
        <v>0</v>
      </c>
    </row>
    <row r="16" spans="2:3" x14ac:dyDescent="0.3">
      <c r="B16" t="s">
        <v>150</v>
      </c>
      <c r="C16" s="1">
        <v>0</v>
      </c>
    </row>
    <row r="19" spans="2:3" x14ac:dyDescent="0.3">
      <c r="B19" s="2" t="s">
        <v>109</v>
      </c>
    </row>
    <row r="21" spans="2:3" x14ac:dyDescent="0.3">
      <c r="B21" t="s">
        <v>151</v>
      </c>
      <c r="C21" s="1">
        <v>0</v>
      </c>
    </row>
    <row r="22" spans="2:3" x14ac:dyDescent="0.3">
      <c r="B22" t="s">
        <v>152</v>
      </c>
      <c r="C22" s="1">
        <v>0</v>
      </c>
    </row>
    <row r="25" spans="2:3" x14ac:dyDescent="0.3">
      <c r="B25" s="2" t="s">
        <v>111</v>
      </c>
    </row>
    <row r="27" spans="2:3" x14ac:dyDescent="0.3">
      <c r="B27" s="2" t="s">
        <v>112</v>
      </c>
      <c r="C27" s="2" t="s">
        <v>113</v>
      </c>
    </row>
    <row r="31" spans="2:3" x14ac:dyDescent="0.3">
      <c r="B31" s="2" t="s">
        <v>124</v>
      </c>
    </row>
    <row r="33" spans="2:14" x14ac:dyDescent="0.3">
      <c r="B33" t="s">
        <v>125</v>
      </c>
      <c r="C33" s="1">
        <v>0</v>
      </c>
    </row>
    <row r="36" spans="2:14" x14ac:dyDescent="0.3">
      <c r="B36" s="2" t="s">
        <v>153</v>
      </c>
    </row>
    <row r="38" spans="2:14" x14ac:dyDescent="0.3">
      <c r="B38" s="2" t="s">
        <v>8</v>
      </c>
      <c r="C38" s="2" t="s">
        <v>12</v>
      </c>
      <c r="D38" s="2" t="s">
        <v>13</v>
      </c>
      <c r="E38" s="2" t="s">
        <v>14</v>
      </c>
      <c r="F38" s="2" t="s">
        <v>127</v>
      </c>
      <c r="G38" s="2" t="s">
        <v>128</v>
      </c>
      <c r="H38" s="2" t="s">
        <v>129</v>
      </c>
      <c r="I38" s="2" t="s">
        <v>130</v>
      </c>
      <c r="J38" s="2" t="s">
        <v>131</v>
      </c>
      <c r="K38" s="2" t="s">
        <v>132</v>
      </c>
      <c r="L38" s="2" t="s">
        <v>133</v>
      </c>
      <c r="M38" s="2" t="s">
        <v>134</v>
      </c>
      <c r="N38" s="2" t="s">
        <v>135</v>
      </c>
    </row>
    <row r="42" spans="2:14" x14ac:dyDescent="0.3">
      <c r="B42" s="2" t="s">
        <v>154</v>
      </c>
    </row>
    <row r="44" spans="2:14" x14ac:dyDescent="0.3">
      <c r="B44" s="2" t="s">
        <v>8</v>
      </c>
      <c r="C44" s="2" t="s">
        <v>12</v>
      </c>
      <c r="D44" s="2" t="s">
        <v>13</v>
      </c>
      <c r="E44" s="2" t="s">
        <v>14</v>
      </c>
      <c r="F44" s="2" t="s">
        <v>127</v>
      </c>
      <c r="G44" s="2" t="s">
        <v>128</v>
      </c>
      <c r="H44" s="2" t="s">
        <v>129</v>
      </c>
      <c r="I44" s="2" t="s">
        <v>130</v>
      </c>
      <c r="J44" s="2" t="s">
        <v>131</v>
      </c>
      <c r="K44" s="2" t="s">
        <v>132</v>
      </c>
      <c r="L44" s="2" t="s">
        <v>133</v>
      </c>
      <c r="M44" s="2" t="s">
        <v>134</v>
      </c>
      <c r="N44" s="2" t="s">
        <v>135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57"/>
  <sheetViews>
    <sheetView showGridLines="0" workbookViewId="0"/>
  </sheetViews>
  <sheetFormatPr defaultColWidth="15" defaultRowHeight="14.4" x14ac:dyDescent="0.3"/>
  <cols>
    <col min="1" max="1" width="2" customWidth="1"/>
    <col min="2" max="2" width="45" customWidth="1"/>
  </cols>
  <sheetData>
    <row r="1" spans="2:5" ht="12" customHeight="1" x14ac:dyDescent="0.3"/>
    <row r="7" spans="2:5" x14ac:dyDescent="0.3">
      <c r="B7" s="2" t="s">
        <v>0</v>
      </c>
      <c r="C7" s="2" t="s">
        <v>1</v>
      </c>
    </row>
    <row r="8" spans="2:5" x14ac:dyDescent="0.3">
      <c r="B8" s="2" t="s">
        <v>2</v>
      </c>
      <c r="C8" s="2" t="s">
        <v>3</v>
      </c>
    </row>
    <row r="9" spans="2:5" x14ac:dyDescent="0.3">
      <c r="B9" s="2" t="s">
        <v>4</v>
      </c>
      <c r="C9" s="2" t="s">
        <v>5</v>
      </c>
    </row>
    <row r="11" spans="2:5" x14ac:dyDescent="0.3">
      <c r="B11" s="2" t="s">
        <v>157</v>
      </c>
    </row>
    <row r="13" spans="2:5" x14ac:dyDescent="0.3">
      <c r="B13" s="2" t="s">
        <v>7</v>
      </c>
    </row>
    <row r="15" spans="2:5" x14ac:dyDescent="0.3">
      <c r="B15" s="2" t="s">
        <v>158</v>
      </c>
      <c r="C15" s="2" t="s">
        <v>159</v>
      </c>
      <c r="D15" s="2" t="s">
        <v>160</v>
      </c>
      <c r="E15" s="2" t="s">
        <v>161</v>
      </c>
    </row>
    <row r="16" spans="2:5" x14ac:dyDescent="0.3">
      <c r="B16" t="s">
        <v>162</v>
      </c>
      <c r="C16" t="s">
        <v>90</v>
      </c>
      <c r="D16" s="1">
        <v>88.5</v>
      </c>
      <c r="E16" s="1">
        <v>0</v>
      </c>
    </row>
    <row r="17" spans="2:5" x14ac:dyDescent="0.3">
      <c r="B17" t="s">
        <v>163</v>
      </c>
      <c r="C17" t="s">
        <v>32</v>
      </c>
      <c r="D17" s="1">
        <v>15.93</v>
      </c>
      <c r="E17" s="1">
        <v>0</v>
      </c>
    </row>
    <row r="18" spans="2:5" x14ac:dyDescent="0.3">
      <c r="B18" t="s">
        <v>164</v>
      </c>
      <c r="C18" t="s">
        <v>165</v>
      </c>
      <c r="D18" s="1">
        <v>88.5</v>
      </c>
      <c r="E18" s="1">
        <v>0</v>
      </c>
    </row>
    <row r="19" spans="2:5" x14ac:dyDescent="0.3">
      <c r="B19" t="s">
        <v>166</v>
      </c>
      <c r="C19" t="s">
        <v>39</v>
      </c>
      <c r="D19" s="1">
        <v>15.93</v>
      </c>
      <c r="E19" s="1">
        <v>0</v>
      </c>
    </row>
    <row r="20" spans="2:5" x14ac:dyDescent="0.3">
      <c r="B20" t="s">
        <v>167</v>
      </c>
      <c r="C20" t="s">
        <v>74</v>
      </c>
      <c r="D20" s="1">
        <v>15.93</v>
      </c>
      <c r="E20" s="1">
        <v>0</v>
      </c>
    </row>
    <row r="21" spans="2:5" x14ac:dyDescent="0.3">
      <c r="B21" t="s">
        <v>168</v>
      </c>
      <c r="C21" t="s">
        <v>23</v>
      </c>
      <c r="D21" s="1">
        <v>9.44</v>
      </c>
      <c r="E21" s="1">
        <v>0</v>
      </c>
    </row>
    <row r="22" spans="2:5" x14ac:dyDescent="0.3">
      <c r="B22" t="s">
        <v>169</v>
      </c>
      <c r="C22" t="s">
        <v>23</v>
      </c>
      <c r="D22" s="1">
        <v>15.93</v>
      </c>
      <c r="E22" s="1">
        <v>0</v>
      </c>
    </row>
    <row r="23" spans="2:5" x14ac:dyDescent="0.3">
      <c r="B23" t="s">
        <v>170</v>
      </c>
      <c r="C23" t="s">
        <v>27</v>
      </c>
      <c r="D23" s="1">
        <v>15.93</v>
      </c>
      <c r="E23" s="1">
        <v>0</v>
      </c>
    </row>
    <row r="24" spans="2:5" x14ac:dyDescent="0.3">
      <c r="B24" t="s">
        <v>171</v>
      </c>
      <c r="C24" t="s">
        <v>172</v>
      </c>
      <c r="D24" s="1">
        <v>88.5</v>
      </c>
      <c r="E24" s="1">
        <v>0</v>
      </c>
    </row>
    <row r="25" spans="2:5" x14ac:dyDescent="0.3">
      <c r="B25" t="s">
        <v>173</v>
      </c>
      <c r="C25" t="s">
        <v>62</v>
      </c>
      <c r="D25" s="1">
        <v>15.93</v>
      </c>
      <c r="E25" s="1">
        <v>0</v>
      </c>
    </row>
    <row r="26" spans="2:5" x14ac:dyDescent="0.3">
      <c r="B26" t="s">
        <v>174</v>
      </c>
      <c r="C26" t="s">
        <v>35</v>
      </c>
      <c r="D26" s="1">
        <v>15.93</v>
      </c>
      <c r="E26" s="1">
        <v>0</v>
      </c>
    </row>
    <row r="27" spans="2:5" x14ac:dyDescent="0.3">
      <c r="B27" t="s">
        <v>175</v>
      </c>
      <c r="C27" t="s">
        <v>43</v>
      </c>
      <c r="D27" s="1">
        <v>15.93</v>
      </c>
      <c r="E27" s="1">
        <v>0</v>
      </c>
    </row>
    <row r="28" spans="2:5" x14ac:dyDescent="0.3">
      <c r="B28" t="s">
        <v>176</v>
      </c>
      <c r="C28" t="s">
        <v>54</v>
      </c>
      <c r="D28" s="1">
        <v>15.93</v>
      </c>
      <c r="E28" s="1">
        <v>0</v>
      </c>
    </row>
    <row r="29" spans="2:5" x14ac:dyDescent="0.3">
      <c r="B29" t="s">
        <v>177</v>
      </c>
      <c r="C29" t="s">
        <v>178</v>
      </c>
      <c r="D29" s="1">
        <v>88.5</v>
      </c>
      <c r="E29" s="1">
        <v>0</v>
      </c>
    </row>
    <row r="30" spans="2:5" x14ac:dyDescent="0.3">
      <c r="B30" t="s">
        <v>179</v>
      </c>
      <c r="C30" t="s">
        <v>67</v>
      </c>
      <c r="D30" s="1">
        <v>15.93</v>
      </c>
      <c r="E30" s="1">
        <v>0</v>
      </c>
    </row>
    <row r="31" spans="2:5" x14ac:dyDescent="0.3">
      <c r="B31" t="s">
        <v>180</v>
      </c>
      <c r="C31" t="s">
        <v>181</v>
      </c>
      <c r="D31" s="1">
        <v>88.5</v>
      </c>
      <c r="E31" s="1">
        <v>0</v>
      </c>
    </row>
    <row r="32" spans="2:5" x14ac:dyDescent="0.3">
      <c r="B32" t="s">
        <v>182</v>
      </c>
      <c r="C32" t="s">
        <v>183</v>
      </c>
      <c r="D32" s="1">
        <v>23.6</v>
      </c>
      <c r="E32" s="1">
        <v>0</v>
      </c>
    </row>
    <row r="33" spans="2:5" x14ac:dyDescent="0.3">
      <c r="B33" t="s">
        <v>184</v>
      </c>
      <c r="C33" t="s">
        <v>185</v>
      </c>
      <c r="D33" s="1">
        <v>0</v>
      </c>
      <c r="E33" s="1">
        <v>23.6</v>
      </c>
    </row>
    <row r="34" spans="2:5" x14ac:dyDescent="0.3">
      <c r="B34" t="s">
        <v>186</v>
      </c>
      <c r="C34" t="s">
        <v>187</v>
      </c>
      <c r="D34" s="1">
        <v>88.5</v>
      </c>
      <c r="E34" s="1">
        <v>0</v>
      </c>
    </row>
    <row r="37" spans="2:5" x14ac:dyDescent="0.3">
      <c r="B37" s="2" t="s">
        <v>99</v>
      </c>
    </row>
    <row r="39" spans="2:5" x14ac:dyDescent="0.3">
      <c r="B39" s="2" t="s">
        <v>158</v>
      </c>
      <c r="C39" s="2" t="s">
        <v>159</v>
      </c>
      <c r="D39" s="2" t="s">
        <v>160</v>
      </c>
      <c r="E39" s="2" t="s">
        <v>161</v>
      </c>
    </row>
    <row r="43" spans="2:5" x14ac:dyDescent="0.3">
      <c r="B43" s="2" t="s">
        <v>101</v>
      </c>
    </row>
    <row r="45" spans="2:5" x14ac:dyDescent="0.3">
      <c r="B45" s="2" t="s">
        <v>158</v>
      </c>
      <c r="C45" s="2" t="s">
        <v>159</v>
      </c>
      <c r="D45" s="2" t="s">
        <v>160</v>
      </c>
      <c r="E45" s="2" t="s">
        <v>161</v>
      </c>
    </row>
    <row r="49" spans="2:5" x14ac:dyDescent="0.3">
      <c r="B49" s="2" t="s">
        <v>102</v>
      </c>
    </row>
    <row r="51" spans="2:5" x14ac:dyDescent="0.3">
      <c r="B51" s="2" t="s">
        <v>158</v>
      </c>
      <c r="C51" s="2" t="s">
        <v>159</v>
      </c>
      <c r="D51" s="2" t="s">
        <v>160</v>
      </c>
      <c r="E51" s="2" t="s">
        <v>161</v>
      </c>
    </row>
    <row r="55" spans="2:5" x14ac:dyDescent="0.3">
      <c r="B55" s="2" t="s">
        <v>103</v>
      </c>
    </row>
    <row r="57" spans="2:5" x14ac:dyDescent="0.3">
      <c r="B57" s="2" t="s">
        <v>158</v>
      </c>
      <c r="C57" s="2" t="s">
        <v>159</v>
      </c>
      <c r="D57" s="2" t="s">
        <v>160</v>
      </c>
      <c r="E57" s="2" t="s">
        <v>161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27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9" ht="12" customHeight="1" x14ac:dyDescent="0.3"/>
    <row r="7" spans="2:9" x14ac:dyDescent="0.3">
      <c r="B7" s="2" t="s">
        <v>0</v>
      </c>
      <c r="C7" s="2" t="s">
        <v>1</v>
      </c>
    </row>
    <row r="8" spans="2:9" x14ac:dyDescent="0.3">
      <c r="B8" s="2" t="s">
        <v>2</v>
      </c>
      <c r="C8" s="2" t="s">
        <v>3</v>
      </c>
    </row>
    <row r="9" spans="2:9" x14ac:dyDescent="0.3">
      <c r="B9" s="2" t="s">
        <v>4</v>
      </c>
      <c r="C9" s="2" t="s">
        <v>5</v>
      </c>
    </row>
    <row r="11" spans="2:9" x14ac:dyDescent="0.3">
      <c r="B11" s="2" t="s">
        <v>188</v>
      </c>
    </row>
    <row r="13" spans="2:9" x14ac:dyDescent="0.3">
      <c r="B13" s="2" t="s">
        <v>189</v>
      </c>
    </row>
    <row r="15" spans="2:9" x14ac:dyDescent="0.3">
      <c r="B15" s="2" t="s">
        <v>8</v>
      </c>
      <c r="C15" s="2" t="s">
        <v>190</v>
      </c>
      <c r="D15" s="2" t="s">
        <v>191</v>
      </c>
      <c r="E15" s="2" t="s">
        <v>192</v>
      </c>
      <c r="F15" s="2" t="s">
        <v>193</v>
      </c>
      <c r="G15" s="2" t="s">
        <v>194</v>
      </c>
      <c r="H15" s="2" t="s">
        <v>195</v>
      </c>
      <c r="I15" s="2" t="s">
        <v>196</v>
      </c>
    </row>
    <row r="19" spans="2:9" x14ac:dyDescent="0.3">
      <c r="B19" s="2" t="s">
        <v>197</v>
      </c>
    </row>
    <row r="21" spans="2:9" x14ac:dyDescent="0.3">
      <c r="B21" s="2" t="s">
        <v>8</v>
      </c>
      <c r="C21" s="2" t="s">
        <v>190</v>
      </c>
      <c r="D21" s="2" t="s">
        <v>191</v>
      </c>
      <c r="E21" s="2" t="s">
        <v>192</v>
      </c>
      <c r="F21" s="2" t="s">
        <v>193</v>
      </c>
      <c r="G21" s="2" t="s">
        <v>194</v>
      </c>
      <c r="H21" s="2" t="s">
        <v>195</v>
      </c>
      <c r="I21" s="2" t="s">
        <v>196</v>
      </c>
    </row>
    <row r="25" spans="2:9" x14ac:dyDescent="0.3">
      <c r="B25" s="2" t="s">
        <v>198</v>
      </c>
    </row>
    <row r="27" spans="2:9" x14ac:dyDescent="0.3">
      <c r="B27" s="2" t="s">
        <v>8</v>
      </c>
      <c r="C27" s="2" t="s">
        <v>190</v>
      </c>
      <c r="D27" s="2" t="s">
        <v>191</v>
      </c>
      <c r="E27" s="2" t="s">
        <v>192</v>
      </c>
      <c r="F27" s="2" t="s">
        <v>193</v>
      </c>
      <c r="G27" s="2" t="s">
        <v>194</v>
      </c>
      <c r="H27" s="2" t="s">
        <v>195</v>
      </c>
      <c r="I27" s="2" t="s">
        <v>196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27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9" ht="12" customHeight="1" x14ac:dyDescent="0.3"/>
    <row r="7" spans="2:9" x14ac:dyDescent="0.3">
      <c r="B7" s="2" t="s">
        <v>0</v>
      </c>
      <c r="C7" s="2" t="s">
        <v>1</v>
      </c>
    </row>
    <row r="8" spans="2:9" x14ac:dyDescent="0.3">
      <c r="B8" s="2" t="s">
        <v>2</v>
      </c>
      <c r="C8" s="2" t="s">
        <v>3</v>
      </c>
    </row>
    <row r="9" spans="2:9" x14ac:dyDescent="0.3">
      <c r="B9" s="2" t="s">
        <v>4</v>
      </c>
      <c r="C9" s="2" t="s">
        <v>5</v>
      </c>
    </row>
    <row r="11" spans="2:9" x14ac:dyDescent="0.3">
      <c r="B11" s="2" t="s">
        <v>188</v>
      </c>
    </row>
    <row r="13" spans="2:9" x14ac:dyDescent="0.3">
      <c r="B13" s="2" t="s">
        <v>189</v>
      </c>
    </row>
    <row r="15" spans="2:9" x14ac:dyDescent="0.3">
      <c r="B15" s="2" t="s">
        <v>8</v>
      </c>
      <c r="C15" s="2" t="s">
        <v>190</v>
      </c>
      <c r="D15" s="2" t="s">
        <v>191</v>
      </c>
      <c r="E15" s="2" t="s">
        <v>192</v>
      </c>
      <c r="F15" s="2" t="s">
        <v>193</v>
      </c>
      <c r="G15" s="2" t="s">
        <v>194</v>
      </c>
      <c r="H15" s="2" t="s">
        <v>195</v>
      </c>
      <c r="I15" s="2" t="s">
        <v>196</v>
      </c>
    </row>
    <row r="19" spans="2:9" x14ac:dyDescent="0.3">
      <c r="B19" s="2" t="s">
        <v>197</v>
      </c>
    </row>
    <row r="21" spans="2:9" x14ac:dyDescent="0.3">
      <c r="B21" s="2" t="s">
        <v>8</v>
      </c>
      <c r="C21" s="2" t="s">
        <v>190</v>
      </c>
      <c r="D21" s="2" t="s">
        <v>191</v>
      </c>
      <c r="E21" s="2" t="s">
        <v>192</v>
      </c>
      <c r="F21" s="2" t="s">
        <v>193</v>
      </c>
      <c r="G21" s="2" t="s">
        <v>194</v>
      </c>
      <c r="H21" s="2" t="s">
        <v>195</v>
      </c>
      <c r="I21" s="2" t="s">
        <v>196</v>
      </c>
    </row>
    <row r="25" spans="2:9" x14ac:dyDescent="0.3">
      <c r="B25" s="2" t="s">
        <v>198</v>
      </c>
    </row>
    <row r="27" spans="2:9" x14ac:dyDescent="0.3">
      <c r="B27" s="2" t="s">
        <v>8</v>
      </c>
      <c r="C27" s="2" t="s">
        <v>190</v>
      </c>
      <c r="D27" s="2" t="s">
        <v>191</v>
      </c>
      <c r="E27" s="2" t="s">
        <v>192</v>
      </c>
      <c r="F27" s="2" t="s">
        <v>193</v>
      </c>
      <c r="G27" s="2" t="s">
        <v>194</v>
      </c>
      <c r="H27" s="2" t="s">
        <v>195</v>
      </c>
      <c r="I27" s="2" t="s">
        <v>196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44"/>
  <sheetViews>
    <sheetView showGridLines="0" topLeftCell="A10" workbookViewId="0">
      <selection activeCell="E20" sqref="E20"/>
    </sheetView>
  </sheetViews>
  <sheetFormatPr defaultColWidth="15" defaultRowHeight="14.4" x14ac:dyDescent="0.3"/>
  <cols>
    <col min="1" max="1" width="2" customWidth="1"/>
    <col min="2" max="2" width="22" customWidth="1"/>
  </cols>
  <sheetData>
    <row r="1" spans="2:7" ht="12" customHeight="1" x14ac:dyDescent="0.3"/>
    <row r="7" spans="2:7" x14ac:dyDescent="0.3">
      <c r="B7" s="2" t="s">
        <v>0</v>
      </c>
      <c r="C7" s="2" t="s">
        <v>1</v>
      </c>
    </row>
    <row r="8" spans="2:7" x14ac:dyDescent="0.3">
      <c r="B8" s="2" t="s">
        <v>2</v>
      </c>
      <c r="C8" s="2" t="s">
        <v>3</v>
      </c>
    </row>
    <row r="9" spans="2:7" x14ac:dyDescent="0.3">
      <c r="B9" s="2" t="s">
        <v>4</v>
      </c>
      <c r="C9" s="2" t="s">
        <v>5</v>
      </c>
    </row>
    <row r="11" spans="2:7" x14ac:dyDescent="0.3">
      <c r="B11" s="2" t="s">
        <v>199</v>
      </c>
    </row>
    <row r="13" spans="2:7" x14ac:dyDescent="0.3">
      <c r="B13" s="2" t="s">
        <v>188</v>
      </c>
    </row>
    <row r="15" spans="2:7" x14ac:dyDescent="0.3">
      <c r="B15" s="2" t="s">
        <v>8</v>
      </c>
      <c r="C15" s="2" t="s">
        <v>9</v>
      </c>
      <c r="D15" s="2" t="s">
        <v>200</v>
      </c>
      <c r="E15" s="2" t="s">
        <v>12</v>
      </c>
      <c r="F15" s="2" t="s">
        <v>201</v>
      </c>
      <c r="G15" s="2" t="s">
        <v>202</v>
      </c>
    </row>
    <row r="16" spans="2:7" x14ac:dyDescent="0.3">
      <c r="B16" t="s">
        <v>64</v>
      </c>
      <c r="C16" t="s">
        <v>65</v>
      </c>
      <c r="D16" t="s">
        <v>90</v>
      </c>
      <c r="E16" s="1">
        <v>17</v>
      </c>
      <c r="F16" s="1">
        <v>20.5</v>
      </c>
      <c r="G16" s="1">
        <v>348.5</v>
      </c>
    </row>
    <row r="17" spans="2:7" x14ac:dyDescent="0.3">
      <c r="B17" t="s">
        <v>203</v>
      </c>
      <c r="C17" t="s">
        <v>204</v>
      </c>
      <c r="D17" t="s">
        <v>205</v>
      </c>
      <c r="E17" s="1">
        <v>25</v>
      </c>
      <c r="F17" s="1">
        <v>1.2</v>
      </c>
      <c r="G17" s="1">
        <v>30</v>
      </c>
    </row>
    <row r="18" spans="2:7" x14ac:dyDescent="0.3">
      <c r="B18" t="s">
        <v>206</v>
      </c>
      <c r="C18" t="s">
        <v>207</v>
      </c>
      <c r="D18" t="s">
        <v>93</v>
      </c>
      <c r="E18" s="1">
        <v>10</v>
      </c>
      <c r="F18" s="1">
        <v>2.75</v>
      </c>
      <c r="G18" s="1">
        <v>27.5</v>
      </c>
    </row>
    <row r="19" spans="2:7" x14ac:dyDescent="0.3">
      <c r="B19" t="s">
        <v>206</v>
      </c>
      <c r="C19" t="s">
        <v>207</v>
      </c>
      <c r="D19" t="s">
        <v>93</v>
      </c>
      <c r="E19" s="1">
        <v>10</v>
      </c>
      <c r="F19" s="1">
        <v>6.75</v>
      </c>
      <c r="G19" s="1">
        <v>67.5</v>
      </c>
    </row>
    <row r="20" spans="2:7" x14ac:dyDescent="0.3">
      <c r="B20" t="s">
        <v>64</v>
      </c>
      <c r="C20" t="s">
        <v>65</v>
      </c>
      <c r="D20" t="s">
        <v>93</v>
      </c>
      <c r="E20" s="1">
        <v>31</v>
      </c>
      <c r="F20" s="1">
        <v>18.5</v>
      </c>
      <c r="G20" s="1">
        <v>573.5</v>
      </c>
    </row>
    <row r="21" spans="2:7" x14ac:dyDescent="0.3">
      <c r="B21" t="s">
        <v>208</v>
      </c>
      <c r="C21" t="s">
        <v>60</v>
      </c>
      <c r="D21" t="s">
        <v>209</v>
      </c>
      <c r="E21" s="1">
        <v>15</v>
      </c>
      <c r="F21" s="1">
        <v>0.7</v>
      </c>
      <c r="G21" s="1">
        <v>10.5</v>
      </c>
    </row>
    <row r="22" spans="2:7" x14ac:dyDescent="0.3">
      <c r="B22" t="s">
        <v>210</v>
      </c>
      <c r="C22" t="s">
        <v>211</v>
      </c>
      <c r="D22" t="s">
        <v>212</v>
      </c>
      <c r="E22" s="1">
        <v>20</v>
      </c>
      <c r="F22" s="1">
        <v>3</v>
      </c>
      <c r="G22" s="1">
        <v>60</v>
      </c>
    </row>
    <row r="23" spans="2:7" x14ac:dyDescent="0.3">
      <c r="B23" t="s">
        <v>33</v>
      </c>
      <c r="C23" t="s">
        <v>34</v>
      </c>
      <c r="D23" t="s">
        <v>213</v>
      </c>
      <c r="E23" s="1">
        <v>30</v>
      </c>
      <c r="F23" s="1">
        <v>1</v>
      </c>
      <c r="G23" s="1">
        <v>30</v>
      </c>
    </row>
    <row r="24" spans="2:7" x14ac:dyDescent="0.3">
      <c r="B24" t="s">
        <v>214</v>
      </c>
      <c r="C24" t="s">
        <v>215</v>
      </c>
      <c r="D24" t="s">
        <v>216</v>
      </c>
      <c r="E24" s="1">
        <v>2</v>
      </c>
      <c r="F24" s="1">
        <v>3</v>
      </c>
      <c r="G24" s="1">
        <v>6</v>
      </c>
    </row>
    <row r="25" spans="2:7" x14ac:dyDescent="0.3">
      <c r="B25" t="s">
        <v>217</v>
      </c>
      <c r="C25" t="s">
        <v>218</v>
      </c>
      <c r="D25" t="s">
        <v>219</v>
      </c>
      <c r="E25" s="1">
        <v>3</v>
      </c>
      <c r="F25" s="1">
        <v>8</v>
      </c>
      <c r="G25" s="1">
        <v>24</v>
      </c>
    </row>
    <row r="26" spans="2:7" x14ac:dyDescent="0.3">
      <c r="B26" t="s">
        <v>217</v>
      </c>
      <c r="C26" t="s">
        <v>218</v>
      </c>
      <c r="D26" t="s">
        <v>219</v>
      </c>
      <c r="E26" s="1">
        <v>3</v>
      </c>
      <c r="F26" s="1">
        <v>12</v>
      </c>
      <c r="G26" s="1">
        <v>36</v>
      </c>
    </row>
    <row r="27" spans="2:7" x14ac:dyDescent="0.3">
      <c r="B27" t="s">
        <v>220</v>
      </c>
      <c r="C27" t="s">
        <v>221</v>
      </c>
      <c r="D27" t="s">
        <v>222</v>
      </c>
      <c r="E27" s="1">
        <v>5</v>
      </c>
      <c r="F27" s="1">
        <v>2</v>
      </c>
      <c r="G27" s="1">
        <v>10</v>
      </c>
    </row>
    <row r="28" spans="2:7" x14ac:dyDescent="0.3">
      <c r="B28" t="s">
        <v>223</v>
      </c>
      <c r="C28" t="s">
        <v>224</v>
      </c>
      <c r="D28" t="s">
        <v>225</v>
      </c>
      <c r="E28" s="1">
        <v>2</v>
      </c>
      <c r="F28" s="1">
        <v>9</v>
      </c>
      <c r="G28" s="1">
        <v>18</v>
      </c>
    </row>
    <row r="29" spans="2:7" x14ac:dyDescent="0.3">
      <c r="B29" t="s">
        <v>96</v>
      </c>
      <c r="C29" t="s">
        <v>97</v>
      </c>
      <c r="D29" t="s">
        <v>225</v>
      </c>
      <c r="E29" s="1">
        <v>10</v>
      </c>
      <c r="F29" s="1">
        <v>3</v>
      </c>
      <c r="G29" s="1">
        <v>30</v>
      </c>
    </row>
    <row r="30" spans="2:7" x14ac:dyDescent="0.3">
      <c r="B30" t="s">
        <v>226</v>
      </c>
      <c r="C30" t="s">
        <v>227</v>
      </c>
      <c r="D30" t="s">
        <v>43</v>
      </c>
      <c r="E30" s="1">
        <v>5</v>
      </c>
      <c r="F30" s="1">
        <v>16</v>
      </c>
      <c r="G30" s="1">
        <v>80</v>
      </c>
    </row>
    <row r="31" spans="2:7" x14ac:dyDescent="0.3">
      <c r="B31" t="s">
        <v>214</v>
      </c>
      <c r="C31" t="s">
        <v>215</v>
      </c>
      <c r="D31" t="s">
        <v>228</v>
      </c>
      <c r="E31" s="1">
        <v>2</v>
      </c>
      <c r="F31" s="1">
        <v>2</v>
      </c>
      <c r="G31" s="1">
        <v>4</v>
      </c>
    </row>
    <row r="32" spans="2:7" x14ac:dyDescent="0.3">
      <c r="B32" t="s">
        <v>203</v>
      </c>
      <c r="C32" t="s">
        <v>204</v>
      </c>
      <c r="D32" t="s">
        <v>229</v>
      </c>
      <c r="E32" s="1">
        <v>40</v>
      </c>
      <c r="F32" s="1">
        <v>0.4</v>
      </c>
      <c r="G32" s="1">
        <v>16</v>
      </c>
    </row>
    <row r="33" spans="2:7" x14ac:dyDescent="0.3">
      <c r="B33" t="s">
        <v>214</v>
      </c>
      <c r="C33" t="s">
        <v>215</v>
      </c>
      <c r="D33" t="s">
        <v>230</v>
      </c>
      <c r="E33" s="1">
        <v>2</v>
      </c>
      <c r="F33" s="1">
        <v>3</v>
      </c>
      <c r="G33" s="1">
        <v>6</v>
      </c>
    </row>
    <row r="34" spans="2:7" x14ac:dyDescent="0.3">
      <c r="B34" t="s">
        <v>96</v>
      </c>
      <c r="C34" t="s">
        <v>97</v>
      </c>
      <c r="D34" t="s">
        <v>231</v>
      </c>
      <c r="E34" s="1">
        <v>10</v>
      </c>
      <c r="F34" s="1">
        <v>4.5</v>
      </c>
      <c r="G34" s="1">
        <v>45</v>
      </c>
    </row>
    <row r="35" spans="2:7" x14ac:dyDescent="0.3">
      <c r="B35" t="s">
        <v>217</v>
      </c>
      <c r="C35" t="s">
        <v>218</v>
      </c>
      <c r="D35" t="s">
        <v>232</v>
      </c>
      <c r="E35" s="1">
        <v>19</v>
      </c>
      <c r="F35" s="1">
        <v>10</v>
      </c>
      <c r="G35" s="1">
        <v>190</v>
      </c>
    </row>
    <row r="36" spans="2:7" x14ac:dyDescent="0.3">
      <c r="B36" t="s">
        <v>220</v>
      </c>
      <c r="C36" t="s">
        <v>221</v>
      </c>
      <c r="D36" t="s">
        <v>232</v>
      </c>
      <c r="E36" s="1">
        <v>5</v>
      </c>
      <c r="F36" s="1">
        <v>2.5</v>
      </c>
      <c r="G36" s="1">
        <v>12.5</v>
      </c>
    </row>
    <row r="37" spans="2:7" x14ac:dyDescent="0.3">
      <c r="B37" t="s">
        <v>214</v>
      </c>
      <c r="C37" t="s">
        <v>215</v>
      </c>
      <c r="D37" t="s">
        <v>233</v>
      </c>
      <c r="E37" s="1">
        <v>2</v>
      </c>
      <c r="F37" s="1">
        <v>3</v>
      </c>
      <c r="G37" s="1">
        <v>6</v>
      </c>
    </row>
    <row r="38" spans="2:7" x14ac:dyDescent="0.3">
      <c r="B38" t="s">
        <v>206</v>
      </c>
      <c r="C38" t="s">
        <v>207</v>
      </c>
      <c r="D38" t="s">
        <v>234</v>
      </c>
      <c r="E38" s="1">
        <v>20</v>
      </c>
      <c r="F38" s="1">
        <v>6.25</v>
      </c>
      <c r="G38" s="1">
        <v>125</v>
      </c>
    </row>
    <row r="39" spans="2:7" x14ac:dyDescent="0.3">
      <c r="B39" t="s">
        <v>217</v>
      </c>
      <c r="C39" t="s">
        <v>218</v>
      </c>
      <c r="D39" t="s">
        <v>235</v>
      </c>
      <c r="E39" s="1">
        <v>20</v>
      </c>
      <c r="F39" s="1">
        <v>12</v>
      </c>
      <c r="G39" s="1">
        <v>240</v>
      </c>
    </row>
    <row r="40" spans="2:7" x14ac:dyDescent="0.3">
      <c r="B40" t="s">
        <v>210</v>
      </c>
      <c r="C40" t="s">
        <v>211</v>
      </c>
      <c r="D40" t="s">
        <v>236</v>
      </c>
      <c r="E40" s="1">
        <v>20</v>
      </c>
      <c r="F40" s="1">
        <v>3</v>
      </c>
      <c r="G40" s="1">
        <v>60</v>
      </c>
    </row>
    <row r="41" spans="2:7" x14ac:dyDescent="0.3">
      <c r="B41" t="s">
        <v>237</v>
      </c>
      <c r="C41" t="s">
        <v>188</v>
      </c>
      <c r="D41" t="s">
        <v>188</v>
      </c>
      <c r="E41" t="s">
        <v>188</v>
      </c>
      <c r="F41" t="s">
        <v>188</v>
      </c>
      <c r="G41" s="1">
        <v>2056</v>
      </c>
    </row>
    <row r="44" spans="2:7" x14ac:dyDescent="0.3">
      <c r="B44" s="2" t="s">
        <v>238</v>
      </c>
    </row>
  </sheetData>
  <autoFilter ref="B15:G40" xr:uid="{00000000-0001-0000-0900-000000000000}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C22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0</v>
      </c>
      <c r="C7" s="2" t="s">
        <v>1</v>
      </c>
    </row>
    <row r="8" spans="2:3" x14ac:dyDescent="0.3">
      <c r="B8" s="2" t="s">
        <v>2</v>
      </c>
      <c r="C8" s="2" t="s">
        <v>3</v>
      </c>
    </row>
    <row r="9" spans="2:3" x14ac:dyDescent="0.3">
      <c r="B9" s="2" t="s">
        <v>4</v>
      </c>
      <c r="C9" s="2" t="s">
        <v>5</v>
      </c>
    </row>
    <row r="11" spans="2:3" x14ac:dyDescent="0.3">
      <c r="B11" s="2" t="s">
        <v>239</v>
      </c>
    </row>
    <row r="13" spans="2:3" x14ac:dyDescent="0.3">
      <c r="B13" s="2" t="s">
        <v>240</v>
      </c>
    </row>
    <row r="15" spans="2:3" x14ac:dyDescent="0.3">
      <c r="B15" t="s">
        <v>241</v>
      </c>
      <c r="C15" s="1">
        <v>-176.9982</v>
      </c>
    </row>
    <row r="16" spans="2:3" x14ac:dyDescent="0.3">
      <c r="B16" t="s">
        <v>242</v>
      </c>
      <c r="C16" s="1">
        <v>11.495200000000001</v>
      </c>
    </row>
    <row r="19" spans="2:3" x14ac:dyDescent="0.3">
      <c r="B19" s="2" t="s">
        <v>243</v>
      </c>
    </row>
    <row r="21" spans="2:3" x14ac:dyDescent="0.3">
      <c r="B21" t="s">
        <v>241</v>
      </c>
      <c r="C21" s="1">
        <v>0</v>
      </c>
    </row>
    <row r="22" spans="2:3" x14ac:dyDescent="0.3">
      <c r="B22" t="s">
        <v>242</v>
      </c>
      <c r="C22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Tradewise Exits from 2023-04-01</vt:lpstr>
      <vt:lpstr>Equity</vt:lpstr>
      <vt:lpstr>Mutual Funds</vt:lpstr>
      <vt:lpstr>F&amp;O</vt:lpstr>
      <vt:lpstr>Currency</vt:lpstr>
      <vt:lpstr>Commodity</vt:lpstr>
      <vt:lpstr>Other Debits and Credits</vt:lpstr>
      <vt:lpstr>Open Positions as of 2024-03-31</vt:lpstr>
      <vt:lpstr>Open Positions as of 2023-04-01</vt:lpstr>
      <vt:lpstr>Equity Dividends</vt:lpstr>
      <vt:lpstr>Ledger Balances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2024-06-21T17:35:05Z</dcterms:modified>
</cp:coreProperties>
</file>