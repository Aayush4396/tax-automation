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filterPrivacy="1" defaultThemeVersion="124226"/>
  <xr:revisionPtr revIDLastSave="0" documentId="13_ncr:1_{093D43E5-53F1-4631-96A9-F6786EA37F2E}"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 name="Mirea Large cap" sheetId="3" r:id="rId3"/>
  </sheets>
  <definedNames>
    <definedName name="_xlnm._FilterDatabase" localSheetId="0" hidden="1">Sheet1!$A$3:$Q$118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1" l="1"/>
  <c r="G34" i="1"/>
  <c r="E77" i="1"/>
  <c r="E104" i="1"/>
  <c r="E112" i="1"/>
  <c r="E101" i="1"/>
  <c r="E95" i="1"/>
  <c r="E74" i="1"/>
  <c r="E17" i="1"/>
  <c r="E63" i="1"/>
  <c r="E41" i="1"/>
  <c r="F100" i="1" l="1"/>
  <c r="E98" i="1"/>
  <c r="F14" i="3"/>
  <c r="G14" i="3" s="1"/>
  <c r="I92" i="1"/>
  <c r="I71" i="1"/>
  <c r="E66" i="1"/>
  <c r="I57" i="1"/>
  <c r="E60" i="1"/>
  <c r="I48" i="1"/>
  <c r="E44" i="1"/>
  <c r="I38" i="1"/>
  <c r="I34" i="1"/>
  <c r="I23" i="1"/>
  <c r="I14" i="1"/>
  <c r="L124" i="1" l="1"/>
  <c r="G14" i="1"/>
  <c r="F50" i="1"/>
  <c r="L50" i="1"/>
  <c r="M36" i="1" l="1"/>
  <c r="J46" i="1" l="1"/>
  <c r="G48" i="1"/>
  <c r="M46" i="1" s="1"/>
  <c r="E38" i="1" l="1"/>
  <c r="F38" i="1" s="1"/>
  <c r="E14" i="1"/>
  <c r="F14" i="1" s="1"/>
  <c r="G109" i="1" l="1"/>
  <c r="E109" i="1"/>
  <c r="F109" i="1" l="1"/>
  <c r="G92" i="1"/>
  <c r="M79" i="1" s="1"/>
  <c r="E92" i="1"/>
  <c r="F92" i="1" l="1"/>
  <c r="F91" i="1" l="1"/>
  <c r="F70" i="1"/>
  <c r="F36" i="1"/>
  <c r="F33" i="1"/>
  <c r="F12" i="1"/>
  <c r="M6" i="1" l="1"/>
  <c r="G71" i="1"/>
  <c r="M68" i="1" s="1"/>
  <c r="E71" i="1"/>
  <c r="M25" i="1"/>
  <c r="E34" i="1"/>
  <c r="G57" i="1"/>
  <c r="M53" i="1" s="1"/>
  <c r="E57" i="1"/>
  <c r="G118" i="1"/>
  <c r="E118" i="1"/>
  <c r="E23" i="1"/>
  <c r="G23" i="1"/>
  <c r="M19" i="1" s="1"/>
  <c r="F23" i="1" l="1"/>
  <c r="F57" i="1"/>
  <c r="F71" i="1"/>
  <c r="F118" i="1"/>
  <c r="F34" i="1"/>
</calcChain>
</file>

<file path=xl/sharedStrings.xml><?xml version="1.0" encoding="utf-8"?>
<sst xmlns="http://schemas.openxmlformats.org/spreadsheetml/2006/main" count="226" uniqueCount="77">
  <si>
    <t>Sr no</t>
  </si>
  <si>
    <t>MUTUAL FUND NAME</t>
  </si>
  <si>
    <t>DATE OF PURCHASE</t>
  </si>
  <si>
    <t>TRANSACTION UNITS</t>
  </si>
  <si>
    <t>TRANSACTION NAV</t>
  </si>
  <si>
    <t>TRANSACTION AMOUNT</t>
  </si>
  <si>
    <t>DATE OF SALE</t>
  </si>
  <si>
    <t>BROKER</t>
  </si>
  <si>
    <t>Year 2018-19</t>
  </si>
  <si>
    <t>HDFC Sec</t>
  </si>
  <si>
    <t>Year 19-20</t>
  </si>
  <si>
    <t>Year 2017-18</t>
  </si>
  <si>
    <t>DSP BLACKROCK MICRO CAP FUND - REGULAR PLAN - GROWTH</t>
  </si>
  <si>
    <t>2016-17</t>
  </si>
  <si>
    <t>UTI CORE EQUITY FUND - GROWTH PLAN -- (SIP)</t>
  </si>
  <si>
    <t>2015-16</t>
  </si>
  <si>
    <t>INVESCO INDIA MULTICAP FUND - GROWTH -- (SIP)</t>
  </si>
  <si>
    <t>Invesco India Growth Opportunities Fund GR</t>
  </si>
  <si>
    <t>Mirae Asset Large Cap Fund- DR</t>
  </si>
  <si>
    <t>Aditya Birla Sun Life Digital India Fund GR</t>
  </si>
  <si>
    <t>ICICI Pru Pharma Healthcare &amp; Diagnostic Fund Growth</t>
  </si>
  <si>
    <t>Kotak Flexicap Fund GR</t>
  </si>
  <si>
    <t>HDFC Bank</t>
  </si>
  <si>
    <t>Total</t>
  </si>
  <si>
    <t xml:space="preserve"> </t>
  </si>
  <si>
    <t>TATA DIGITAL INDIA FUND-REGULAR PLAN-GROWTH -- (SIP)</t>
  </si>
  <si>
    <t>Year 2021-22</t>
  </si>
  <si>
    <t>ICICI Prudential Exports and Services Fund GR</t>
  </si>
  <si>
    <t>Balance</t>
  </si>
  <si>
    <t>Year 2022-23</t>
  </si>
  <si>
    <t>Total Profit</t>
  </si>
  <si>
    <t>ST  Capital gain</t>
  </si>
  <si>
    <t>LT Capital Gain</t>
  </si>
  <si>
    <t>Year 2019-20</t>
  </si>
  <si>
    <t>Year 2023-24</t>
  </si>
  <si>
    <t>ICICI PRUDENTIAL VALUE DISCOVERY GROWTH</t>
  </si>
  <si>
    <t>KOTAK GLOBAL INNOVATION FUND OF FUND-REGULAR PLAN</t>
  </si>
  <si>
    <t>Invesco India Focused Fund - Regular Plan</t>
  </si>
  <si>
    <t>2024-02-29</t>
  </si>
  <si>
    <t>Tata Mid Cap Growth Fund - Regular Plan</t>
  </si>
  <si>
    <t>Ramah</t>
  </si>
  <si>
    <t>2023-12-07</t>
  </si>
  <si>
    <t>Nippon India Multi Cap Fund</t>
  </si>
  <si>
    <t>Mirae Asset Multicap Fund - Regular Plan</t>
  </si>
  <si>
    <t>Kotak Emerging Equity Fund - Regular Plan</t>
  </si>
  <si>
    <t>2024-03-22</t>
  </si>
  <si>
    <t>ITI Flexi Cap Fund - Regular Plan</t>
  </si>
  <si>
    <t>2024-03-20</t>
  </si>
  <si>
    <t>2023-10-11</t>
  </si>
  <si>
    <t>ICICI Prudential Multi-Asset Fund</t>
  </si>
  <si>
    <t>2024-03-28</t>
  </si>
  <si>
    <t>Canara Robeco Small Cap Fund - Regular Plan</t>
  </si>
  <si>
    <t>Profit</t>
  </si>
  <si>
    <t>Aayush Mutual Fund transactions summary details year 2023-24</t>
  </si>
  <si>
    <t>Nippon India Small cap direct growth plan</t>
  </si>
  <si>
    <t>KFIN</t>
  </si>
  <si>
    <t>Systematic Investment (1/121)</t>
  </si>
  <si>
    <t>*** Stamp Duty ***</t>
  </si>
  <si>
    <t>***Updation of KYC***</t>
  </si>
  <si>
    <t>Systematic Investment (1)</t>
  </si>
  <si>
    <r>
      <rPr>
        <b/>
        <sz val="12"/>
        <rFont val="Trebuchet MS"/>
        <family val="2"/>
      </rPr>
      <t xml:space="preserve">Closing Unit Balance: 68.495                       NAV on 31-Mar-2024: INR 107.338          Total Cost Value: 7,000.00                           </t>
    </r>
    <r>
      <rPr>
        <b/>
        <vertAlign val="superscript"/>
        <sz val="12"/>
        <rFont val="Trebuchet MS"/>
        <family val="2"/>
      </rPr>
      <t xml:space="preserve">Market Value on 31-Mar-2024: INR 7,352.12
</t>
    </r>
    <r>
      <rPr>
        <sz val="12"/>
        <rFont val="Trebuchet MS"/>
        <family val="2"/>
      </rPr>
      <t>Entry Load: Nil and Exit Load :  For SWP 15% of the units allotted (including Switch-in/STP-in) on or before completion of 365 days from the date of allotment of units is NIL. Any redemption in excess of such limit, on FIFO basis, or other redemptionsof investor who have not opted for SWP(Inc Switch out, STP out) and If redeemed within 1 year (365 Days) from the date of allotment Exit load is 1%  and after 365 days from the date of allotment Exit load is NIL .</t>
    </r>
  </si>
  <si>
    <t>Amount</t>
  </si>
  <si>
    <t>Units</t>
  </si>
  <si>
    <t>NAV</t>
  </si>
  <si>
    <t>Mirae Asset Large Cap Fund - Direct Plan</t>
  </si>
  <si>
    <t>CAMS</t>
  </si>
  <si>
    <t>Navi Nasdaq 100 Fund of Fund - Direct - Growth (Non-Demat)</t>
  </si>
  <si>
    <t>quant Small Cap Fund - Direct Plan Growth</t>
  </si>
  <si>
    <t>CAMs</t>
  </si>
  <si>
    <t>Aditya Birla Sun Life Digital India Fund - Growth-Regular Plan  (formerly known as ABSL New Millennium Fund), ISIN : INF209K01140</t>
  </si>
  <si>
    <t>ICICI Prudential Pharma Healthcare and Diagnostics (P.H.D) Fund Growth, ISIN : INF109KC1GE9</t>
  </si>
  <si>
    <t>ICICI Prudential Exports and Services - Growth (formerly ICICI Prudential Exports and Other Services), ISIN : INF109K01BB5</t>
  </si>
  <si>
    <t>Kotak Flexicap Fund - Growth (Regular Plan) (Erstwhile Kotak Standard Multicap Fund - Gr), ISIN : INF174K01336</t>
  </si>
  <si>
    <t xml:space="preserve">  Mirae Asset Large Cap Fund - Regular Plan IDCW ( INF769K01028)</t>
  </si>
  <si>
    <t xml:space="preserve">  Invesco India Large &amp; Mid Cap Fund - Regular Growth INF205K01247 </t>
  </si>
  <si>
    <t xml:space="preserve">  Invesco India Focused Fund - Regular Plan - Growth INF205KA1189 </t>
  </si>
  <si>
    <t xml:space="preserve">  Invesco India Multicap Fund - Regular Growth INF205K01DN2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</si>
</sst>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409]dd/mmm/yy;@"/>
    <numFmt numFmtId="165" formatCode="[$-409]d/mmm/yy;@"/>
    <numFmt numFmtId="166" formatCode="dd\.mm\.yyyy;@"/>
    <numFmt numFmtId="167" formatCode="0.000"/>
    <numFmt numFmtId="168" formatCode="dd/mm/yyyy;@"/>
    <numFmt numFmtId="169" formatCode="###0.00;###0.00"/>
    <numFmt numFmtId="170" formatCode="#,##0.000"/>
    <numFmt numFmtId="171" formatCode="0.000000"/>
    <numFmt numFmtId="172" formatCode="0.0000"/>
    <numFmt numFmtId="173" formatCode="dd\-mmm\-yyyy;@"/>
  </numFmts>
  <fonts count="24" x14ac:knownFonts="1">
    <font>
      <sz val="11"/>
      <color theme="1"/>
      <name val="Calibri"/>
      <family val="2"/>
      <scheme val="minor"/>
    </font>
    <font>
      <sz val="12"/>
      <name val="Times New Roman"/>
      <family val="1"/>
    </font>
    <font>
      <b/>
      <sz val="13"/>
      <color theme="1"/>
      <name val="Arial"/>
      <family val="2"/>
    </font>
    <font>
      <b/>
      <sz val="13"/>
      <color rgb="FF000000"/>
      <name val="Times New Roman"/>
      <family val="1"/>
    </font>
    <font>
      <sz val="12"/>
      <name val="Arial"/>
      <family val="2"/>
    </font>
    <font>
      <sz val="12"/>
      <color theme="1"/>
      <name val="Arial"/>
      <family val="2"/>
    </font>
    <font>
      <sz val="12"/>
      <color rgb="FF333333"/>
      <name val="Arial"/>
      <family val="2"/>
    </font>
    <font>
      <sz val="12"/>
      <color rgb="FF000000"/>
      <name val="Times New Roman"/>
      <family val="1"/>
    </font>
    <font>
      <sz val="12"/>
      <color theme="1"/>
      <name val="Times New Roman"/>
      <family val="1"/>
    </font>
    <font>
      <sz val="12"/>
      <color theme="1"/>
      <name val="Calibri"/>
      <family val="2"/>
      <scheme val="minor"/>
    </font>
    <font>
      <sz val="12"/>
      <color rgb="FF000000"/>
      <name val="Arial"/>
      <family val="2"/>
    </font>
    <font>
      <u/>
      <sz val="12"/>
      <color theme="1"/>
      <name val="Arial"/>
      <family val="2"/>
    </font>
    <font>
      <b/>
      <sz val="12"/>
      <color theme="1"/>
      <name val="Arial"/>
      <family val="2"/>
    </font>
    <font>
      <b/>
      <sz val="12"/>
      <color theme="1"/>
      <name val="Calibri"/>
      <family val="2"/>
      <scheme val="minor"/>
    </font>
    <font>
      <b/>
      <u/>
      <sz val="12"/>
      <color theme="1"/>
      <name val="Arial"/>
      <family val="2"/>
    </font>
    <font>
      <b/>
      <sz val="12"/>
      <color rgb="FF000000"/>
      <name val="Times New Roman"/>
      <family val="1"/>
    </font>
    <font>
      <sz val="12"/>
      <color rgb="FF000000"/>
      <name val="Trebuchet MS"/>
      <family val="2"/>
    </font>
    <font>
      <sz val="6.5"/>
      <color rgb="FF000000"/>
      <name val="Trebuchet MS"/>
      <family val="2"/>
    </font>
    <font>
      <i/>
      <sz val="12"/>
      <name val="Arial"/>
      <family val="2"/>
    </font>
    <font>
      <b/>
      <sz val="12"/>
      <name val="Trebuchet MS"/>
      <family val="2"/>
    </font>
    <font>
      <b/>
      <vertAlign val="superscript"/>
      <sz val="12"/>
      <name val="Trebuchet MS"/>
      <family val="2"/>
    </font>
    <font>
      <sz val="12"/>
      <name val="Trebuchet MS"/>
      <family val="2"/>
    </font>
    <font>
      <b/>
      <sz val="12"/>
      <color theme="1"/>
      <name val="Times New Roman"/>
      <family val="1"/>
    </font>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D2D2D2"/>
      </patternFill>
    </fill>
    <fill>
      <patternFill patternType="solid">
        <fgColor rgb="FF92D050"/>
        <bgColor indexed="64"/>
      </patternFill>
    </fill>
  </fills>
  <borders count="29">
    <border>
      <left/>
      <right/>
      <top/>
      <bottom/>
      <diagonal/>
    </border>
    <border>
      <left style="thick">
        <color indexed="64"/>
      </left>
      <right/>
      <top style="thick">
        <color indexed="64"/>
      </top>
      <bottom/>
      <diagonal/>
    </border>
    <border>
      <left style="thick">
        <color indexed="64"/>
      </left>
      <right style="thick">
        <color indexed="64"/>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2">
    <xf numFmtId="0" fontId="0" fillId="0" borderId="0"/>
    <xf numFmtId="43" fontId="23" fillId="0" borderId="0" applyFont="0" applyFill="0" applyBorder="0" applyAlignment="0" applyProtection="0"/>
  </cellStyleXfs>
  <cellXfs count="249">
    <xf numFmtId="0" fontId="0" fillId="0" borderId="0" xfId="0"/>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166" fontId="5" fillId="0" borderId="7"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165" fontId="5" fillId="0" borderId="9" xfId="0" applyNumberFormat="1" applyFont="1" applyBorder="1" applyAlignment="1">
      <alignment horizontal="center" vertical="center" wrapText="1"/>
    </xf>
    <xf numFmtId="2" fontId="5" fillId="0" borderId="9" xfId="0" applyNumberFormat="1" applyFont="1" applyBorder="1" applyAlignment="1">
      <alignment horizontal="center" vertical="center" wrapText="1"/>
    </xf>
    <xf numFmtId="167" fontId="9" fillId="0" borderId="12" xfId="0" applyNumberFormat="1" applyFont="1" applyBorder="1" applyAlignment="1">
      <alignment horizontal="center" vertical="center" wrapText="1"/>
    </xf>
    <xf numFmtId="2" fontId="9" fillId="0" borderId="12" xfId="0" applyNumberFormat="1" applyFont="1" applyBorder="1" applyAlignment="1">
      <alignment horizontal="center" vertical="center" wrapText="1"/>
    </xf>
    <xf numFmtId="1" fontId="9" fillId="0" borderId="12" xfId="0" applyNumberFormat="1" applyFont="1" applyBorder="1" applyAlignment="1">
      <alignment horizontal="center" vertical="center" wrapText="1"/>
    </xf>
    <xf numFmtId="4" fontId="5" fillId="0" borderId="12" xfId="0" applyNumberFormat="1" applyFont="1" applyBorder="1" applyAlignment="1">
      <alignment horizontal="center" vertical="center" wrapText="1" shrinkToFit="1"/>
    </xf>
    <xf numFmtId="167" fontId="9"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2" fontId="9" fillId="0" borderId="7" xfId="0" applyNumberFormat="1" applyFont="1" applyBorder="1" applyAlignment="1">
      <alignment horizontal="center" vertical="center" wrapText="1"/>
    </xf>
    <xf numFmtId="170" fontId="5" fillId="0" borderId="7" xfId="0" applyNumberFormat="1" applyFont="1" applyBorder="1" applyAlignment="1">
      <alignment horizontal="center" vertical="center" wrapText="1" shrinkToFit="1"/>
    </xf>
    <xf numFmtId="171" fontId="5" fillId="0" borderId="7" xfId="0" applyNumberFormat="1" applyFont="1" applyBorder="1" applyAlignment="1">
      <alignment horizontal="center" vertical="center" wrapText="1" shrinkToFit="1"/>
    </xf>
    <xf numFmtId="4" fontId="5" fillId="0" borderId="7" xfId="0" applyNumberFormat="1" applyFont="1" applyBorder="1" applyAlignment="1">
      <alignment horizontal="center" vertical="center" wrapText="1" shrinkToFit="1"/>
    </xf>
    <xf numFmtId="15" fontId="9" fillId="0" borderId="7" xfId="0" applyNumberFormat="1" applyFont="1" applyBorder="1" applyAlignment="1">
      <alignment horizontal="center" vertical="center" wrapText="1"/>
    </xf>
    <xf numFmtId="166" fontId="6" fillId="0" borderId="7" xfId="0" applyNumberFormat="1" applyFont="1" applyBorder="1" applyAlignment="1">
      <alignment horizontal="center" vertical="center" wrapText="1" shrinkToFit="1"/>
    </xf>
    <xf numFmtId="0" fontId="10" fillId="0" borderId="7" xfId="0" applyFont="1" applyBorder="1" applyAlignment="1">
      <alignment horizontal="center" vertical="center" wrapText="1"/>
    </xf>
    <xf numFmtId="166" fontId="5" fillId="0" borderId="9"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165" fontId="5"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0" fontId="5" fillId="0" borderId="13" xfId="0" applyFont="1" applyBorder="1" applyAlignment="1">
      <alignment horizontal="center" vertical="center" wrapText="1"/>
    </xf>
    <xf numFmtId="0" fontId="5" fillId="0" borderId="15" xfId="0" applyFont="1" applyBorder="1" applyAlignment="1">
      <alignment horizontal="center" vertical="center" wrapText="1"/>
    </xf>
    <xf numFmtId="164" fontId="5" fillId="0" borderId="0" xfId="0" applyNumberFormat="1" applyFont="1" applyAlignment="1">
      <alignment horizontal="center" vertical="center" wrapText="1"/>
    </xf>
    <xf numFmtId="0" fontId="9" fillId="0" borderId="12" xfId="0" applyFont="1" applyBorder="1" applyAlignment="1">
      <alignment horizontal="center" vertical="center" wrapText="1"/>
    </xf>
    <xf numFmtId="2" fontId="9" fillId="0" borderId="9" xfId="0" applyNumberFormat="1" applyFont="1" applyBorder="1" applyAlignment="1">
      <alignment horizontal="center" vertical="center" wrapText="1"/>
    </xf>
    <xf numFmtId="0" fontId="9" fillId="0" borderId="9" xfId="0" applyFont="1" applyBorder="1" applyAlignment="1">
      <alignment horizontal="center" vertical="center" wrapText="1"/>
    </xf>
    <xf numFmtId="2" fontId="9" fillId="0" borderId="0" xfId="0" applyNumberFormat="1" applyFont="1" applyAlignment="1">
      <alignment horizontal="center" vertical="center" wrapText="1"/>
    </xf>
    <xf numFmtId="0" fontId="9" fillId="0" borderId="0" xfId="0" applyFont="1" applyAlignment="1">
      <alignment horizontal="center" vertical="center" wrapText="1"/>
    </xf>
    <xf numFmtId="164" fontId="5" fillId="0" borderId="9" xfId="0" applyNumberFormat="1" applyFont="1" applyBorder="1" applyAlignment="1">
      <alignment horizontal="center" vertical="center" wrapText="1"/>
    </xf>
    <xf numFmtId="166" fontId="5" fillId="0" borderId="12" xfId="0" applyNumberFormat="1" applyFont="1" applyBorder="1" applyAlignment="1">
      <alignment horizontal="center" vertical="center" wrapText="1"/>
    </xf>
    <xf numFmtId="1" fontId="5" fillId="0" borderId="12" xfId="0" applyNumberFormat="1" applyFont="1" applyBorder="1" applyAlignment="1">
      <alignment horizontal="center" vertical="center" wrapText="1"/>
    </xf>
    <xf numFmtId="1" fontId="5" fillId="0" borderId="7" xfId="0" applyNumberFormat="1" applyFont="1" applyBorder="1" applyAlignment="1">
      <alignment horizontal="center" vertical="center" wrapText="1"/>
    </xf>
    <xf numFmtId="169" fontId="5" fillId="0" borderId="9" xfId="0" applyNumberFormat="1" applyFont="1" applyBorder="1" applyAlignment="1">
      <alignment horizontal="center" vertical="center" wrapText="1"/>
    </xf>
    <xf numFmtId="1" fontId="11" fillId="0" borderId="9" xfId="0" applyNumberFormat="1" applyFont="1" applyBorder="1" applyAlignment="1">
      <alignment horizontal="center" vertical="center" wrapText="1"/>
    </xf>
    <xf numFmtId="169" fontId="5" fillId="0" borderId="0" xfId="0" applyNumberFormat="1" applyFont="1" applyAlignment="1">
      <alignment horizontal="center" vertical="center" wrapText="1"/>
    </xf>
    <xf numFmtId="1" fontId="11" fillId="0" borderId="0" xfId="0" applyNumberFormat="1" applyFont="1" applyAlignment="1">
      <alignment horizontal="center" vertical="center" wrapText="1"/>
    </xf>
    <xf numFmtId="2" fontId="11" fillId="0" borderId="0" xfId="0" applyNumberFormat="1" applyFont="1" applyAlignment="1">
      <alignment horizontal="center" vertical="center" wrapText="1"/>
    </xf>
    <xf numFmtId="2" fontId="5" fillId="0" borderId="12" xfId="0" applyNumberFormat="1" applyFont="1" applyBorder="1" applyAlignment="1">
      <alignment horizontal="center" vertical="center" wrapText="1"/>
    </xf>
    <xf numFmtId="0" fontId="8" fillId="0" borderId="12" xfId="0" applyFont="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vertical="center" wrapText="1"/>
    </xf>
    <xf numFmtId="15" fontId="9" fillId="0" borderId="12" xfId="0" applyNumberFormat="1" applyFont="1" applyBorder="1" applyAlignment="1">
      <alignment horizontal="center" vertical="center" wrapText="1"/>
    </xf>
    <xf numFmtId="167" fontId="5" fillId="0" borderId="0" xfId="0" applyNumberFormat="1" applyFont="1" applyAlignment="1">
      <alignment horizontal="center" vertical="center" wrapText="1"/>
    </xf>
    <xf numFmtId="2" fontId="5" fillId="0" borderId="11" xfId="0" applyNumberFormat="1" applyFont="1" applyBorder="1" applyAlignment="1">
      <alignment horizontal="center" vertical="center" wrapText="1"/>
    </xf>
    <xf numFmtId="2" fontId="5" fillId="0" borderId="13" xfId="0" applyNumberFormat="1" applyFont="1" applyBorder="1" applyAlignment="1">
      <alignment horizontal="center" vertical="center" wrapText="1"/>
    </xf>
    <xf numFmtId="2" fontId="5" fillId="0" borderId="14" xfId="0" applyNumberFormat="1" applyFont="1" applyBorder="1" applyAlignment="1">
      <alignment horizontal="center" vertical="center" wrapText="1"/>
    </xf>
    <xf numFmtId="2" fontId="5" fillId="0" borderId="15" xfId="0" applyNumberFormat="1" applyFont="1" applyBorder="1" applyAlignment="1">
      <alignment horizontal="center" vertical="center" wrapText="1"/>
    </xf>
    <xf numFmtId="0" fontId="9" fillId="0" borderId="0" xfId="0" applyFont="1" applyAlignment="1">
      <alignment vertical="center" wrapText="1"/>
    </xf>
    <xf numFmtId="0" fontId="7" fillId="0" borderId="12" xfId="0" applyFont="1" applyBorder="1" applyAlignment="1">
      <alignment horizontal="center" vertical="center" wrapText="1"/>
    </xf>
    <xf numFmtId="0" fontId="9" fillId="0" borderId="12" xfId="0" applyFont="1" applyBorder="1" applyAlignment="1">
      <alignment vertical="center" wrapText="1"/>
    </xf>
    <xf numFmtId="0" fontId="7" fillId="0" borderId="12" xfId="0" applyFont="1" applyBorder="1" applyAlignment="1">
      <alignment horizontal="right" vertical="center" wrapText="1"/>
    </xf>
    <xf numFmtId="0" fontId="7" fillId="0" borderId="12" xfId="0" applyFont="1" applyBorder="1" applyAlignment="1">
      <alignment vertical="center" wrapText="1"/>
    </xf>
    <xf numFmtId="168" fontId="6" fillId="0" borderId="9" xfId="0" applyNumberFormat="1" applyFont="1" applyBorder="1" applyAlignment="1">
      <alignment horizontal="left" vertical="center" wrapText="1" shrinkToFit="1"/>
    </xf>
    <xf numFmtId="0" fontId="9" fillId="0" borderId="9" xfId="0" applyFont="1" applyBorder="1" applyAlignment="1">
      <alignment horizontal="left" vertical="center" wrapText="1"/>
    </xf>
    <xf numFmtId="0" fontId="9" fillId="0" borderId="9" xfId="0" applyFont="1" applyBorder="1" applyAlignment="1">
      <alignment vertical="center" wrapText="1"/>
    </xf>
    <xf numFmtId="4" fontId="9" fillId="0" borderId="9" xfId="0" applyNumberFormat="1" applyFont="1" applyBorder="1" applyAlignment="1">
      <alignment horizontal="center" vertical="center" wrapText="1"/>
    </xf>
    <xf numFmtId="0" fontId="4" fillId="0" borderId="12" xfId="0" applyFont="1" applyBorder="1" applyAlignment="1">
      <alignment horizontal="center" vertical="center" wrapText="1"/>
    </xf>
    <xf numFmtId="172" fontId="4" fillId="0" borderId="12" xfId="0" applyNumberFormat="1" applyFont="1" applyBorder="1" applyAlignment="1">
      <alignment horizontal="center" vertical="center" wrapText="1"/>
    </xf>
    <xf numFmtId="0" fontId="1" fillId="0" borderId="7" xfId="0" applyFont="1" applyBorder="1" applyAlignment="1">
      <alignment horizontal="center" vertical="center" wrapText="1"/>
    </xf>
    <xf numFmtId="172" fontId="1" fillId="0" borderId="7" xfId="0" applyNumberFormat="1" applyFont="1" applyBorder="1" applyAlignment="1">
      <alignment horizontal="center" vertical="center" wrapText="1"/>
    </xf>
    <xf numFmtId="0" fontId="1" fillId="0" borderId="12" xfId="0" applyFont="1" applyBorder="1" applyAlignment="1">
      <alignment horizontal="center" vertical="center" wrapText="1"/>
    </xf>
    <xf numFmtId="2" fontId="9" fillId="0" borderId="12" xfId="0" applyNumberFormat="1" applyFont="1" applyBorder="1" applyAlignment="1">
      <alignment vertical="center" wrapText="1"/>
    </xf>
    <xf numFmtId="168" fontId="6" fillId="0" borderId="12" xfId="0" applyNumberFormat="1" applyFont="1" applyBorder="1" applyAlignment="1">
      <alignment horizontal="center" vertical="center" wrapText="1" shrinkToFit="1"/>
    </xf>
    <xf numFmtId="2" fontId="12" fillId="2" borderId="9" xfId="0" applyNumberFormat="1" applyFont="1" applyFill="1" applyBorder="1" applyAlignment="1">
      <alignment horizontal="center" vertical="center" wrapText="1"/>
    </xf>
    <xf numFmtId="169" fontId="12" fillId="2" borderId="9" xfId="0" applyNumberFormat="1" applyFont="1" applyFill="1" applyBorder="1" applyAlignment="1">
      <alignment horizontal="center" vertical="center" wrapText="1"/>
    </xf>
    <xf numFmtId="0" fontId="12" fillId="2" borderId="9" xfId="0" applyFont="1" applyFill="1" applyBorder="1" applyAlignment="1">
      <alignment horizontal="center" vertical="center" wrapText="1"/>
    </xf>
    <xf numFmtId="2" fontId="12" fillId="0" borderId="9" xfId="0" applyNumberFormat="1" applyFont="1" applyBorder="1" applyAlignment="1">
      <alignment horizontal="center" vertical="center" wrapText="1"/>
    </xf>
    <xf numFmtId="2" fontId="13" fillId="2" borderId="9" xfId="0" applyNumberFormat="1" applyFont="1" applyFill="1" applyBorder="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wrapText="1"/>
    </xf>
    <xf numFmtId="4" fontId="9" fillId="0" borderId="0" xfId="0" applyNumberFormat="1" applyFont="1" applyAlignment="1">
      <alignment horizontal="center" vertical="center" wrapText="1"/>
    </xf>
    <xf numFmtId="2" fontId="12" fillId="0" borderId="0" xfId="0" applyNumberFormat="1" applyFont="1" applyAlignment="1">
      <alignment horizontal="center" vertical="center" wrapText="1"/>
    </xf>
    <xf numFmtId="165" fontId="5" fillId="0" borderId="12" xfId="0" applyNumberFormat="1" applyFont="1" applyBorder="1" applyAlignment="1">
      <alignment horizontal="center" vertical="center" wrapText="1"/>
    </xf>
    <xf numFmtId="2" fontId="12" fillId="0" borderId="12" xfId="0" applyNumberFormat="1" applyFont="1" applyBorder="1" applyAlignment="1">
      <alignment horizontal="center" vertical="center" wrapText="1"/>
    </xf>
    <xf numFmtId="4" fontId="9" fillId="0" borderId="12" xfId="0" applyNumberFormat="1" applyFont="1" applyBorder="1" applyAlignment="1">
      <alignment horizontal="center" vertical="center" wrapText="1"/>
    </xf>
    <xf numFmtId="173" fontId="16" fillId="0" borderId="0" xfId="0" applyNumberFormat="1" applyFont="1" applyAlignment="1">
      <alignment horizontal="left" vertical="top" shrinkToFit="1"/>
    </xf>
    <xf numFmtId="0" fontId="9" fillId="0" borderId="0" xfId="0" applyFont="1"/>
    <xf numFmtId="167" fontId="16" fillId="0" borderId="0" xfId="0" applyNumberFormat="1" applyFont="1" applyAlignment="1">
      <alignment vertical="top" shrinkToFit="1"/>
    </xf>
    <xf numFmtId="0" fontId="9" fillId="0" borderId="0" xfId="0" applyFont="1" applyAlignment="1">
      <alignment wrapText="1"/>
    </xf>
    <xf numFmtId="0" fontId="4" fillId="0" borderId="0" xfId="0" applyFont="1" applyAlignment="1">
      <alignment horizontal="left" vertical="top" wrapText="1"/>
    </xf>
    <xf numFmtId="167" fontId="16" fillId="0" borderId="0" xfId="0" applyNumberFormat="1" applyFont="1" applyAlignment="1">
      <alignment horizontal="left" vertical="top" indent="1" shrinkToFit="1"/>
    </xf>
    <xf numFmtId="167" fontId="16" fillId="0" borderId="0" xfId="0" applyNumberFormat="1" applyFont="1" applyAlignment="1">
      <alignment horizontal="right" vertical="top" shrinkToFit="1"/>
    </xf>
    <xf numFmtId="2" fontId="16" fillId="0" borderId="0" xfId="0" applyNumberFormat="1" applyFont="1" applyAlignment="1">
      <alignment vertical="top" shrinkToFit="1"/>
    </xf>
    <xf numFmtId="4" fontId="16" fillId="0" borderId="0" xfId="0" applyNumberFormat="1" applyFont="1" applyAlignment="1">
      <alignment vertical="top" shrinkToFit="1"/>
    </xf>
    <xf numFmtId="2" fontId="16" fillId="0" borderId="0" xfId="0" applyNumberFormat="1" applyFont="1" applyAlignment="1">
      <alignment horizontal="right" vertical="top" indent="1" shrinkToFit="1"/>
    </xf>
    <xf numFmtId="164" fontId="5" fillId="0" borderId="12" xfId="0" applyNumberFormat="1" applyFont="1" applyBorder="1" applyAlignment="1">
      <alignment horizontal="center" vertical="center" wrapText="1"/>
    </xf>
    <xf numFmtId="4" fontId="16" fillId="2" borderId="0" xfId="0" applyNumberFormat="1" applyFont="1" applyFill="1" applyAlignment="1">
      <alignment horizontal="right" vertical="top" indent="1" shrinkToFit="1"/>
    </xf>
    <xf numFmtId="167" fontId="16" fillId="2" borderId="0" xfId="0" applyNumberFormat="1" applyFont="1" applyFill="1" applyAlignment="1">
      <alignment vertical="top" shrinkToFit="1"/>
    </xf>
    <xf numFmtId="167" fontId="16" fillId="2" borderId="0" xfId="0" applyNumberFormat="1" applyFont="1" applyFill="1" applyAlignment="1">
      <alignment horizontal="left" vertical="top" indent="1" shrinkToFit="1"/>
    </xf>
    <xf numFmtId="15" fontId="5" fillId="0" borderId="12" xfId="0" applyNumberFormat="1" applyFont="1" applyBorder="1" applyAlignment="1">
      <alignment horizontal="center" vertical="center" wrapText="1"/>
    </xf>
    <xf numFmtId="0" fontId="0" fillId="0" borderId="12" xfId="0" applyBorder="1" applyAlignment="1">
      <alignment horizontal="left" wrapText="1"/>
    </xf>
    <xf numFmtId="2" fontId="17" fillId="0" borderId="9" xfId="0" applyNumberFormat="1" applyFont="1" applyBorder="1" applyAlignment="1">
      <alignment horizontal="right" vertical="top" indent="1" shrinkToFit="1"/>
    </xf>
    <xf numFmtId="0" fontId="13" fillId="0" borderId="12" xfId="0" applyFont="1" applyBorder="1" applyAlignment="1">
      <alignment horizontal="center" vertical="center" wrapText="1"/>
    </xf>
    <xf numFmtId="0" fontId="22" fillId="2" borderId="9" xfId="0" applyFont="1" applyFill="1" applyBorder="1" applyAlignment="1">
      <alignment horizontal="center" vertical="center" wrapText="1"/>
    </xf>
    <xf numFmtId="167" fontId="0" fillId="0" borderId="12" xfId="0" applyNumberFormat="1" applyBorder="1" applyAlignment="1">
      <alignment horizontal="center" wrapText="1"/>
    </xf>
    <xf numFmtId="167" fontId="12" fillId="2" borderId="9" xfId="0" applyNumberFormat="1" applyFont="1" applyFill="1" applyBorder="1" applyAlignment="1">
      <alignment horizontal="center" vertical="center" wrapText="1"/>
    </xf>
    <xf numFmtId="0" fontId="5" fillId="0" borderId="28" xfId="0" applyFont="1" applyBorder="1" applyAlignment="1">
      <alignment horizontal="center" vertical="center" wrapText="1"/>
    </xf>
    <xf numFmtId="0" fontId="0" fillId="0" borderId="12" xfId="0" applyBorder="1" applyAlignment="1">
      <alignment horizontal="center"/>
    </xf>
    <xf numFmtId="0" fontId="0" fillId="0" borderId="13" xfId="0" applyBorder="1"/>
    <xf numFmtId="0" fontId="0" fillId="0" borderId="12" xfId="0" applyBorder="1"/>
    <xf numFmtId="0" fontId="5" fillId="0" borderId="21" xfId="0" applyFont="1" applyBorder="1" applyAlignment="1">
      <alignment horizontal="center" vertical="center" wrapText="1"/>
    </xf>
    <xf numFmtId="0" fontId="5" fillId="0" borderId="23"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0" borderId="2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5" xfId="0" applyNumberFormat="1" applyFont="1" applyBorder="1" applyAlignment="1">
      <alignment horizontal="center" vertical="center" wrapText="1"/>
    </xf>
    <xf numFmtId="0" fontId="2" fillId="2" borderId="1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5" fillId="0" borderId="11"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5"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3"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164" fontId="2" fillId="0" borderId="2"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5" fontId="2" fillId="0" borderId="2" xfId="0" applyNumberFormat="1" applyFont="1" applyBorder="1" applyAlignment="1">
      <alignment horizontal="center" vertical="center" wrapText="1"/>
    </xf>
    <xf numFmtId="165" fontId="2" fillId="0" borderId="5" xfId="0" applyNumberFormat="1" applyFont="1" applyBorder="1" applyAlignment="1">
      <alignment horizontal="center" vertical="center" wrapText="1"/>
    </xf>
    <xf numFmtId="0" fontId="4" fillId="0" borderId="0" xfId="0" applyFont="1" applyAlignment="1">
      <alignment horizontal="left" vertical="top" wrapText="1"/>
    </xf>
    <xf numFmtId="167" fontId="16" fillId="0" borderId="0" xfId="0" applyNumberFormat="1" applyFont="1" applyAlignment="1">
      <alignment horizontal="left" vertical="top" indent="2" shrinkToFit="1"/>
    </xf>
    <xf numFmtId="167" fontId="16" fillId="0" borderId="0" xfId="0" applyNumberFormat="1" applyFont="1" applyAlignment="1">
      <alignment horizontal="right" vertical="top" shrinkToFit="1"/>
    </xf>
    <xf numFmtId="0" fontId="18" fillId="0" borderId="0" xfId="0" applyFont="1" applyAlignment="1">
      <alignment horizontal="left" vertical="top" wrapText="1"/>
    </xf>
    <xf numFmtId="0" fontId="9" fillId="0" borderId="0" xfId="0" applyFont="1" applyAlignment="1">
      <alignment horizontal="left" wrapText="1"/>
    </xf>
    <xf numFmtId="167" fontId="16" fillId="0" borderId="0" xfId="0" applyNumberFormat="1" applyFont="1" applyAlignment="1">
      <alignment horizontal="left" vertical="top" indent="1" shrinkToFit="1"/>
    </xf>
    <xf numFmtId="0" fontId="9" fillId="3" borderId="0" xfId="0" applyFont="1" applyFill="1" applyAlignment="1">
      <alignment horizontal="left" vertical="top" wrapText="1"/>
    </xf>
    <xf numFmtId="14" fontId="1" fillId="0" borderId="12" xfId="0" applyNumberFormat="1" applyFont="1" applyBorder="1" applyAlignment="1">
      <alignment horizontal="center" vertical="center" wrapText="1"/>
    </xf>
    <xf numFmtId="0" fontId="5" fillId="4" borderId="0" xfId="0" applyFont="1" applyFill="1" applyAlignment="1">
      <alignment horizontal="center" vertical="center" wrapText="1"/>
    </xf>
    <xf numFmtId="168" fontId="6" fillId="4" borderId="12" xfId="0" applyNumberFormat="1" applyFont="1" applyFill="1" applyBorder="1" applyAlignment="1">
      <alignment horizontal="left" vertical="center" wrapText="1" shrinkToFit="1"/>
    </xf>
    <xf numFmtId="167" fontId="6" fillId="4" borderId="12" xfId="0" applyNumberFormat="1" applyFont="1" applyFill="1" applyBorder="1" applyAlignment="1">
      <alignment horizontal="center" vertical="center" wrapText="1" shrinkToFit="1"/>
    </xf>
    <xf numFmtId="171" fontId="6" fillId="4" borderId="12" xfId="0" applyNumberFormat="1" applyFont="1" applyFill="1" applyBorder="1" applyAlignment="1">
      <alignment horizontal="center" vertical="center" wrapText="1" shrinkToFit="1"/>
    </xf>
    <xf numFmtId="4" fontId="6" fillId="4" borderId="12" xfId="0" applyNumberFormat="1" applyFont="1" applyFill="1" applyBorder="1" applyAlignment="1">
      <alignment horizontal="center" vertical="center" wrapText="1" shrinkToFit="1"/>
    </xf>
    <xf numFmtId="14" fontId="7" fillId="4" borderId="12" xfId="0" applyNumberFormat="1"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5" fillId="4" borderId="12" xfId="0" applyFont="1" applyFill="1" applyBorder="1" applyAlignment="1">
      <alignment horizontal="center" vertical="center" wrapText="1"/>
    </xf>
    <xf numFmtId="4" fontId="5" fillId="4" borderId="12" xfId="0" applyNumberFormat="1" applyFont="1" applyFill="1" applyBorder="1" applyAlignment="1">
      <alignment horizontal="center" vertical="center" wrapText="1"/>
    </xf>
    <xf numFmtId="168" fontId="6" fillId="4" borderId="7" xfId="0" applyNumberFormat="1" applyFont="1" applyFill="1" applyBorder="1" applyAlignment="1">
      <alignment horizontal="left" vertical="center" wrapText="1" shrinkToFit="1"/>
    </xf>
    <xf numFmtId="167" fontId="6" fillId="4" borderId="7" xfId="0" applyNumberFormat="1" applyFont="1" applyFill="1" applyBorder="1" applyAlignment="1">
      <alignment horizontal="center" vertical="center" wrapText="1" shrinkToFit="1"/>
    </xf>
    <xf numFmtId="171" fontId="6" fillId="4" borderId="7" xfId="0" applyNumberFormat="1" applyFont="1" applyFill="1" applyBorder="1" applyAlignment="1">
      <alignment horizontal="center" vertical="center" wrapText="1" shrinkToFit="1"/>
    </xf>
    <xf numFmtId="4" fontId="6" fillId="4" borderId="7" xfId="0" applyNumberFormat="1" applyFont="1" applyFill="1" applyBorder="1" applyAlignment="1">
      <alignment horizontal="center" vertical="center" wrapText="1" shrinkToFit="1"/>
    </xf>
    <xf numFmtId="0" fontId="8" fillId="4" borderId="7"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5" fillId="4" borderId="0" xfId="0" applyFont="1" applyFill="1" applyAlignment="1">
      <alignment horizontal="left" vertical="center"/>
    </xf>
    <xf numFmtId="0" fontId="5"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2" fillId="4" borderId="7" xfId="0" applyFont="1" applyFill="1" applyBorder="1" applyAlignment="1">
      <alignment horizontal="center" vertical="center" wrapText="1"/>
    </xf>
    <xf numFmtId="166" fontId="5" fillId="4" borderId="7" xfId="0" applyNumberFormat="1"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2" fillId="4" borderId="9" xfId="0" applyFont="1" applyFill="1" applyBorder="1" applyAlignment="1">
      <alignment horizontal="center" vertical="center" wrapText="1"/>
    </xf>
    <xf numFmtId="165" fontId="5" fillId="4" borderId="9" xfId="0" applyNumberFormat="1" applyFont="1" applyFill="1" applyBorder="1" applyAlignment="1">
      <alignment horizontal="center" vertical="center" wrapText="1"/>
    </xf>
    <xf numFmtId="2" fontId="12" fillId="4" borderId="9" xfId="0" applyNumberFormat="1" applyFont="1" applyFill="1" applyBorder="1" applyAlignment="1">
      <alignment horizontal="center" vertical="center" wrapText="1"/>
    </xf>
    <xf numFmtId="0" fontId="5" fillId="4" borderId="9" xfId="0" applyFont="1" applyFill="1" applyBorder="1" applyAlignment="1">
      <alignment horizontal="center" vertical="center" wrapText="1"/>
    </xf>
    <xf numFmtId="4" fontId="5" fillId="4" borderId="9" xfId="0" applyNumberFormat="1" applyFont="1" applyFill="1" applyBorder="1" applyAlignment="1">
      <alignment horizontal="center" vertical="center" wrapText="1"/>
    </xf>
    <xf numFmtId="0" fontId="5" fillId="4" borderId="15" xfId="0" applyFont="1" applyFill="1" applyBorder="1" applyAlignment="1">
      <alignment horizontal="center" vertical="center" wrapText="1"/>
    </xf>
    <xf numFmtId="0" fontId="7" fillId="4" borderId="12" xfId="0" applyFont="1" applyFill="1" applyBorder="1" applyAlignment="1">
      <alignment vertical="center" wrapText="1"/>
    </xf>
    <xf numFmtId="0" fontId="7" fillId="4" borderId="13" xfId="0" applyFont="1" applyFill="1" applyBorder="1" applyAlignment="1">
      <alignment vertical="center" wrapText="1"/>
    </xf>
    <xf numFmtId="0" fontId="5" fillId="4" borderId="12" xfId="0" applyFont="1" applyFill="1" applyBorder="1" applyAlignment="1">
      <alignment vertical="center" wrapText="1"/>
    </xf>
    <xf numFmtId="4" fontId="5" fillId="4" borderId="12" xfId="0" applyNumberFormat="1" applyFont="1" applyFill="1" applyBorder="1" applyAlignment="1">
      <alignment vertical="center" wrapText="1"/>
    </xf>
    <xf numFmtId="4" fontId="13" fillId="4" borderId="9" xfId="0" applyNumberFormat="1" applyFont="1" applyFill="1" applyBorder="1" applyAlignment="1">
      <alignment horizontal="center" vertical="center" wrapText="1"/>
    </xf>
    <xf numFmtId="4" fontId="7" fillId="4" borderId="9" xfId="0" applyNumberFormat="1" applyFont="1" applyFill="1" applyBorder="1" applyAlignment="1">
      <alignment horizontal="center" vertical="center" wrapText="1"/>
    </xf>
    <xf numFmtId="4" fontId="9" fillId="4" borderId="9" xfId="0" applyNumberFormat="1" applyFont="1" applyFill="1" applyBorder="1" applyAlignment="1">
      <alignment horizontal="center" vertical="center" wrapText="1"/>
    </xf>
    <xf numFmtId="166" fontId="5" fillId="4" borderId="9" xfId="0" applyNumberFormat="1" applyFont="1" applyFill="1" applyBorder="1" applyAlignment="1">
      <alignment horizontal="center" vertical="center" wrapText="1"/>
    </xf>
    <xf numFmtId="0" fontId="12" fillId="4" borderId="9"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12" xfId="0" applyFont="1" applyFill="1" applyBorder="1" applyAlignment="1">
      <alignment horizontal="left" vertical="center" wrapText="1"/>
    </xf>
    <xf numFmtId="0" fontId="8" fillId="4" borderId="12" xfId="0" applyFont="1" applyFill="1" applyBorder="1" applyAlignment="1">
      <alignment vertical="center" wrapText="1"/>
    </xf>
    <xf numFmtId="2" fontId="5" fillId="4" borderId="12" xfId="0" applyNumberFormat="1" applyFont="1" applyFill="1" applyBorder="1" applyAlignment="1">
      <alignment horizontal="center" vertical="center" wrapText="1"/>
    </xf>
    <xf numFmtId="0" fontId="5" fillId="4" borderId="16"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9" fillId="4" borderId="7" xfId="0" applyFont="1" applyFill="1" applyBorder="1" applyAlignment="1">
      <alignment horizontal="left" vertical="center" wrapText="1"/>
    </xf>
    <xf numFmtId="0" fontId="9" fillId="4" borderId="7" xfId="0" applyFont="1" applyFill="1" applyBorder="1" applyAlignment="1">
      <alignment vertical="center" wrapText="1"/>
    </xf>
    <xf numFmtId="2" fontId="5" fillId="4" borderId="7" xfId="0" applyNumberFormat="1"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5" fillId="4" borderId="9" xfId="0" applyFont="1" applyFill="1" applyBorder="1" applyAlignment="1">
      <alignment horizontal="left" vertical="center" wrapText="1"/>
    </xf>
    <xf numFmtId="0" fontId="5" fillId="4" borderId="9" xfId="0" applyFont="1" applyFill="1" applyBorder="1" applyAlignment="1">
      <alignment vertical="center" wrapText="1"/>
    </xf>
    <xf numFmtId="2" fontId="5" fillId="4" borderId="9" xfId="0" applyNumberFormat="1" applyFont="1" applyFill="1" applyBorder="1" applyAlignment="1">
      <alignment horizontal="center" vertical="center" wrapText="1"/>
    </xf>
    <xf numFmtId="0" fontId="5" fillId="4" borderId="17" xfId="0" applyFont="1" applyFill="1" applyBorder="1" applyAlignment="1">
      <alignment horizontal="center" vertical="center" wrapText="1"/>
    </xf>
    <xf numFmtId="2" fontId="6" fillId="4" borderId="12" xfId="0" applyNumberFormat="1" applyFont="1" applyFill="1" applyBorder="1" applyAlignment="1">
      <alignment horizontal="center" vertical="center" wrapText="1" shrinkToFit="1"/>
    </xf>
    <xf numFmtId="2" fontId="7" fillId="4" borderId="12" xfId="0" applyNumberFormat="1" applyFont="1" applyFill="1" applyBorder="1" applyAlignment="1">
      <alignment horizontal="right" vertical="center" wrapText="1"/>
    </xf>
    <xf numFmtId="2" fontId="6" fillId="4" borderId="7" xfId="0" applyNumberFormat="1" applyFont="1" applyFill="1" applyBorder="1" applyAlignment="1">
      <alignment horizontal="center" vertical="center" wrapText="1" shrinkToFit="1"/>
    </xf>
    <xf numFmtId="43" fontId="5" fillId="4" borderId="7" xfId="1" applyFont="1" applyFill="1" applyBorder="1" applyAlignment="1">
      <alignment horizontal="center" vertical="center" wrapText="1"/>
    </xf>
    <xf numFmtId="2" fontId="8" fillId="4" borderId="7" xfId="0" applyNumberFormat="1" applyFont="1" applyFill="1" applyBorder="1" applyAlignment="1">
      <alignment horizontal="center" vertical="center" wrapText="1"/>
    </xf>
    <xf numFmtId="0" fontId="7" fillId="4" borderId="12" xfId="0" applyFont="1" applyFill="1" applyBorder="1" applyAlignment="1">
      <alignment horizontal="right" vertical="center" wrapText="1"/>
    </xf>
    <xf numFmtId="14" fontId="7" fillId="4" borderId="7" xfId="0" applyNumberFormat="1" applyFont="1" applyFill="1" applyBorder="1" applyAlignment="1">
      <alignment horizontal="left" vertical="center" wrapText="1"/>
    </xf>
    <xf numFmtId="0" fontId="7" fillId="4" borderId="7" xfId="0" applyFont="1" applyFill="1" applyBorder="1" applyAlignment="1">
      <alignment horizontal="center" vertical="center" wrapText="1"/>
    </xf>
    <xf numFmtId="165" fontId="5" fillId="4" borderId="7" xfId="0" applyNumberFormat="1" applyFont="1" applyFill="1" applyBorder="1" applyAlignment="1">
      <alignment horizontal="center" vertical="center" wrapText="1"/>
    </xf>
    <xf numFmtId="0" fontId="5" fillId="4" borderId="12" xfId="0" applyFont="1" applyFill="1" applyBorder="1" applyAlignment="1">
      <alignment horizontal="left" vertical="center" wrapText="1"/>
    </xf>
    <xf numFmtId="0" fontId="7" fillId="4" borderId="7" xfId="0" applyFont="1" applyFill="1" applyBorder="1" applyAlignment="1">
      <alignment horizontal="left" vertical="center" wrapText="1"/>
    </xf>
    <xf numFmtId="4" fontId="9" fillId="4" borderId="7" xfId="0" applyNumberFormat="1" applyFont="1" applyFill="1" applyBorder="1" applyAlignment="1">
      <alignment horizontal="center" vertical="center" wrapText="1"/>
    </xf>
    <xf numFmtId="0" fontId="7" fillId="4" borderId="9" xfId="0" applyFont="1" applyFill="1" applyBorder="1" applyAlignment="1">
      <alignment horizontal="left" vertical="center" wrapText="1"/>
    </xf>
    <xf numFmtId="2" fontId="13" fillId="4" borderId="9" xfId="0" applyNumberFormat="1" applyFont="1" applyFill="1" applyBorder="1" applyAlignment="1">
      <alignment horizontal="center" vertical="center" wrapText="1"/>
    </xf>
    <xf numFmtId="2" fontId="9" fillId="4" borderId="9" xfId="0" applyNumberFormat="1" applyFont="1" applyFill="1" applyBorder="1" applyAlignment="1">
      <alignment horizontal="center" vertical="center" wrapText="1"/>
    </xf>
    <xf numFmtId="0" fontId="7"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2" fontId="7" fillId="4" borderId="12" xfId="0" applyNumberFormat="1"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7" fillId="4" borderId="9" xfId="0" applyFont="1" applyFill="1" applyBorder="1" applyAlignment="1">
      <alignment horizontal="center" vertical="center" wrapText="1"/>
    </xf>
    <xf numFmtId="2" fontId="15" fillId="4" borderId="9" xfId="0" applyNumberFormat="1" applyFont="1" applyFill="1" applyBorder="1" applyAlignment="1">
      <alignment horizontal="center" vertical="center" wrapText="1"/>
    </xf>
    <xf numFmtId="2" fontId="7" fillId="4" borderId="9" xfId="0" applyNumberFormat="1" applyFont="1" applyFill="1" applyBorder="1" applyAlignment="1">
      <alignment horizontal="center" vertical="center" wrapText="1"/>
    </xf>
    <xf numFmtId="0" fontId="7" fillId="4" borderId="9" xfId="0" applyFont="1" applyFill="1" applyBorder="1" applyAlignment="1">
      <alignment vertical="center" wrapText="1"/>
    </xf>
    <xf numFmtId="0" fontId="7" fillId="4" borderId="17" xfId="0" applyFont="1" applyFill="1" applyBorder="1" applyAlignment="1">
      <alignment horizontal="center" vertical="center" wrapText="1"/>
    </xf>
    <xf numFmtId="167" fontId="9" fillId="4" borderId="12" xfId="0" applyNumberFormat="1" applyFont="1" applyFill="1" applyBorder="1" applyAlignment="1">
      <alignment horizontal="center" vertical="center" wrapText="1"/>
    </xf>
    <xf numFmtId="0" fontId="9" fillId="4" borderId="12" xfId="0" applyFont="1" applyFill="1" applyBorder="1" applyAlignment="1">
      <alignment horizontal="center" vertical="center" wrapText="1"/>
    </xf>
    <xf numFmtId="2" fontId="9" fillId="4" borderId="12" xfId="0" applyNumberFormat="1" applyFont="1" applyFill="1" applyBorder="1" applyAlignment="1">
      <alignment horizontal="center" vertical="center" wrapText="1"/>
    </xf>
    <xf numFmtId="15" fontId="9" fillId="4" borderId="12" xfId="0" applyNumberFormat="1" applyFont="1" applyFill="1" applyBorder="1" applyAlignment="1">
      <alignment horizontal="center" vertical="center" wrapText="1"/>
    </xf>
    <xf numFmtId="2" fontId="1" fillId="4" borderId="12" xfId="0" applyNumberFormat="1" applyFont="1" applyFill="1" applyBorder="1" applyAlignment="1">
      <alignment horizontal="right" vertical="center" wrapText="1"/>
    </xf>
    <xf numFmtId="2" fontId="5" fillId="4" borderId="12" xfId="0" applyNumberFormat="1" applyFont="1" applyFill="1" applyBorder="1" applyAlignment="1">
      <alignment horizontal="center" vertical="center" wrapText="1" shrinkToFit="1"/>
    </xf>
    <xf numFmtId="15" fontId="9" fillId="4" borderId="7" xfId="0" applyNumberFormat="1" applyFont="1" applyFill="1" applyBorder="1" applyAlignment="1">
      <alignment horizontal="center" vertical="center" wrapText="1"/>
    </xf>
    <xf numFmtId="2" fontId="9" fillId="4" borderId="7" xfId="0" applyNumberFormat="1" applyFont="1" applyFill="1" applyBorder="1" applyAlignment="1">
      <alignment horizontal="center" vertical="center" wrapText="1"/>
    </xf>
    <xf numFmtId="167" fontId="9" fillId="4" borderId="7" xfId="0" applyNumberFormat="1" applyFont="1" applyFill="1" applyBorder="1" applyAlignment="1">
      <alignment horizontal="center" vertical="center" wrapText="1"/>
    </xf>
    <xf numFmtId="171" fontId="5" fillId="4" borderId="7" xfId="0" applyNumberFormat="1" applyFont="1" applyFill="1" applyBorder="1" applyAlignment="1">
      <alignment horizontal="center" vertical="center" wrapText="1" shrinkToFit="1"/>
    </xf>
    <xf numFmtId="4" fontId="5" fillId="4" borderId="7" xfId="0" applyNumberFormat="1" applyFont="1" applyFill="1" applyBorder="1" applyAlignment="1">
      <alignment horizontal="center" vertical="center" wrapText="1" shrinkToFit="1"/>
    </xf>
    <xf numFmtId="0" fontId="9" fillId="4" borderId="9" xfId="0" applyFont="1" applyFill="1" applyBorder="1" applyAlignment="1">
      <alignment horizontal="center" vertical="center" wrapText="1"/>
    </xf>
    <xf numFmtId="167" fontId="5" fillId="4" borderId="9" xfId="0" applyNumberFormat="1" applyFont="1" applyFill="1" applyBorder="1" applyAlignment="1">
      <alignment horizontal="center" vertical="center" wrapText="1"/>
    </xf>
    <xf numFmtId="2" fontId="14" fillId="4" borderId="9" xfId="0" applyNumberFormat="1" applyFont="1" applyFill="1" applyBorder="1" applyAlignment="1">
      <alignment horizontal="center" vertical="center" wrapText="1"/>
    </xf>
    <xf numFmtId="43" fontId="5" fillId="0" borderId="12" xfId="1" applyFont="1" applyBorder="1" applyAlignment="1">
      <alignment horizontal="center" vertical="center" wrapText="1" shrinkToFit="1"/>
    </xf>
  </cellXfs>
  <cellStyles count="2">
    <cellStyle name="Comma" xfId="1" builtinId="3"/>
    <cellStyle name="Normal" xfId="0" builtinId="0"/>
  </cellStyles>
  <dxfs count="1">
    <dxf>
      <fill>
        <patternFill patternType="solid">
          <fgColor rgb="FF92D050"/>
          <bgColor rgb="FF00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0</xdr:colOff>
      <xdr:row>35</xdr:row>
      <xdr:rowOff>0</xdr:rowOff>
    </xdr:from>
    <xdr:ext cx="9525" cy="76200"/>
    <xdr:sp macro="" textlink="">
      <xdr:nvSpPr>
        <xdr:cNvPr id="2" name="Shape 17">
          <a:extLst>
            <a:ext uri="{FF2B5EF4-FFF2-40B4-BE49-F238E27FC236}">
              <a16:creationId xmlns:a16="http://schemas.microsoft.com/office/drawing/2014/main" id="{00000000-0008-0000-0000-000002000000}"/>
            </a:ext>
          </a:extLst>
        </xdr:cNvPr>
        <xdr:cNvSpPr>
          <a:spLocks/>
        </xdr:cNvSpPr>
      </xdr:nvSpPr>
      <xdr:spPr bwMode="auto">
        <a:xfrm>
          <a:off x="1990725" y="2143125"/>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5</xdr:col>
      <xdr:colOff>0</xdr:colOff>
      <xdr:row>35</xdr:row>
      <xdr:rowOff>0</xdr:rowOff>
    </xdr:from>
    <xdr:ext cx="9525" cy="76200"/>
    <xdr:sp macro="" textlink="">
      <xdr:nvSpPr>
        <xdr:cNvPr id="3" name="Shape 18">
          <a:extLst>
            <a:ext uri="{FF2B5EF4-FFF2-40B4-BE49-F238E27FC236}">
              <a16:creationId xmlns:a16="http://schemas.microsoft.com/office/drawing/2014/main" id="{00000000-0008-0000-0000-000003000000}"/>
            </a:ext>
          </a:extLst>
        </xdr:cNvPr>
        <xdr:cNvSpPr>
          <a:spLocks/>
        </xdr:cNvSpPr>
      </xdr:nvSpPr>
      <xdr:spPr bwMode="auto">
        <a:xfrm>
          <a:off x="4810125" y="2143125"/>
          <a:ext cx="9525" cy="76200"/>
        </a:xfrm>
        <a:custGeom>
          <a:avLst/>
          <a:gdLst>
            <a:gd name="T0" fmla="*/ 9080 w 9525"/>
            <a:gd name="T1" fmla="*/ 81356 h 81915"/>
            <a:gd name="T2" fmla="*/ 0 w 9525"/>
            <a:gd name="T3" fmla="*/ 81356 h 81915"/>
            <a:gd name="T4" fmla="*/ 0 w 9525"/>
            <a:gd name="T5" fmla="*/ 0 h 81915"/>
            <a:gd name="T6" fmla="*/ 9080 w 9525"/>
            <a:gd name="T7" fmla="*/ 0 h 81915"/>
            <a:gd name="T8" fmla="*/ 9080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80" y="81356"/>
              </a:moveTo>
              <a:lnTo>
                <a:pt x="0" y="81356"/>
              </a:lnTo>
              <a:lnTo>
                <a:pt x="0" y="0"/>
              </a:lnTo>
              <a:lnTo>
                <a:pt x="9080" y="0"/>
              </a:lnTo>
              <a:lnTo>
                <a:pt x="9080"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5</xdr:col>
      <xdr:colOff>0</xdr:colOff>
      <xdr:row>35</xdr:row>
      <xdr:rowOff>0</xdr:rowOff>
    </xdr:from>
    <xdr:ext cx="9525" cy="76200"/>
    <xdr:sp macro="" textlink="">
      <xdr:nvSpPr>
        <xdr:cNvPr id="4" name="Shape 19">
          <a:extLst>
            <a:ext uri="{FF2B5EF4-FFF2-40B4-BE49-F238E27FC236}">
              <a16:creationId xmlns:a16="http://schemas.microsoft.com/office/drawing/2014/main" id="{00000000-0008-0000-0000-000004000000}"/>
            </a:ext>
          </a:extLst>
        </xdr:cNvPr>
        <xdr:cNvSpPr>
          <a:spLocks/>
        </xdr:cNvSpPr>
      </xdr:nvSpPr>
      <xdr:spPr bwMode="auto">
        <a:xfrm>
          <a:off x="4810125" y="2143125"/>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2</xdr:col>
      <xdr:colOff>0</xdr:colOff>
      <xdr:row>35</xdr:row>
      <xdr:rowOff>0</xdr:rowOff>
    </xdr:from>
    <xdr:ext cx="9525" cy="76200"/>
    <xdr:sp macro="" textlink="">
      <xdr:nvSpPr>
        <xdr:cNvPr id="5" name="Shape 17">
          <a:extLst>
            <a:ext uri="{FF2B5EF4-FFF2-40B4-BE49-F238E27FC236}">
              <a16:creationId xmlns:a16="http://schemas.microsoft.com/office/drawing/2014/main" id="{00000000-0008-0000-0000-000005000000}"/>
            </a:ext>
          </a:extLst>
        </xdr:cNvPr>
        <xdr:cNvSpPr>
          <a:spLocks/>
        </xdr:cNvSpPr>
      </xdr:nvSpPr>
      <xdr:spPr bwMode="auto">
        <a:xfrm>
          <a:off x="3918857" y="29568321"/>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4</xdr:col>
      <xdr:colOff>0</xdr:colOff>
      <xdr:row>38</xdr:row>
      <xdr:rowOff>552450</xdr:rowOff>
    </xdr:from>
    <xdr:ext cx="9525" cy="76200"/>
    <xdr:sp macro="" textlink="">
      <xdr:nvSpPr>
        <xdr:cNvPr id="6" name="Shape 17">
          <a:extLst>
            <a:ext uri="{FF2B5EF4-FFF2-40B4-BE49-F238E27FC236}">
              <a16:creationId xmlns:a16="http://schemas.microsoft.com/office/drawing/2014/main" id="{00000000-0008-0000-0000-000006000000}"/>
            </a:ext>
          </a:extLst>
        </xdr:cNvPr>
        <xdr:cNvSpPr>
          <a:spLocks/>
        </xdr:cNvSpPr>
      </xdr:nvSpPr>
      <xdr:spPr bwMode="auto">
        <a:xfrm>
          <a:off x="4109357" y="25256218"/>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5</xdr:col>
      <xdr:colOff>0</xdr:colOff>
      <xdr:row>38</xdr:row>
      <xdr:rowOff>552450</xdr:rowOff>
    </xdr:from>
    <xdr:ext cx="9525" cy="76200"/>
    <xdr:sp macro="" textlink="">
      <xdr:nvSpPr>
        <xdr:cNvPr id="7" name="Shape 18">
          <a:extLst>
            <a:ext uri="{FF2B5EF4-FFF2-40B4-BE49-F238E27FC236}">
              <a16:creationId xmlns:a16="http://schemas.microsoft.com/office/drawing/2014/main" id="{00000000-0008-0000-0000-000007000000}"/>
            </a:ext>
          </a:extLst>
        </xdr:cNvPr>
        <xdr:cNvSpPr>
          <a:spLocks/>
        </xdr:cNvSpPr>
      </xdr:nvSpPr>
      <xdr:spPr bwMode="auto">
        <a:xfrm>
          <a:off x="5075464" y="25256218"/>
          <a:ext cx="9525" cy="76200"/>
        </a:xfrm>
        <a:custGeom>
          <a:avLst/>
          <a:gdLst>
            <a:gd name="T0" fmla="*/ 9080 w 9525"/>
            <a:gd name="T1" fmla="*/ 81356 h 81915"/>
            <a:gd name="T2" fmla="*/ 0 w 9525"/>
            <a:gd name="T3" fmla="*/ 81356 h 81915"/>
            <a:gd name="T4" fmla="*/ 0 w 9525"/>
            <a:gd name="T5" fmla="*/ 0 h 81915"/>
            <a:gd name="T6" fmla="*/ 9080 w 9525"/>
            <a:gd name="T7" fmla="*/ 0 h 81915"/>
            <a:gd name="T8" fmla="*/ 9080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80" y="81356"/>
              </a:moveTo>
              <a:lnTo>
                <a:pt x="0" y="81356"/>
              </a:lnTo>
              <a:lnTo>
                <a:pt x="0" y="0"/>
              </a:lnTo>
              <a:lnTo>
                <a:pt x="9080" y="0"/>
              </a:lnTo>
              <a:lnTo>
                <a:pt x="9080"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5</xdr:col>
      <xdr:colOff>0</xdr:colOff>
      <xdr:row>38</xdr:row>
      <xdr:rowOff>552450</xdr:rowOff>
    </xdr:from>
    <xdr:ext cx="9525" cy="76200"/>
    <xdr:sp macro="" textlink="">
      <xdr:nvSpPr>
        <xdr:cNvPr id="8" name="Shape 19">
          <a:extLst>
            <a:ext uri="{FF2B5EF4-FFF2-40B4-BE49-F238E27FC236}">
              <a16:creationId xmlns:a16="http://schemas.microsoft.com/office/drawing/2014/main" id="{00000000-0008-0000-0000-000008000000}"/>
            </a:ext>
          </a:extLst>
        </xdr:cNvPr>
        <xdr:cNvSpPr>
          <a:spLocks/>
        </xdr:cNvSpPr>
      </xdr:nvSpPr>
      <xdr:spPr bwMode="auto">
        <a:xfrm>
          <a:off x="5075464" y="25256218"/>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2</xdr:col>
      <xdr:colOff>0</xdr:colOff>
      <xdr:row>38</xdr:row>
      <xdr:rowOff>552450</xdr:rowOff>
    </xdr:from>
    <xdr:ext cx="9525" cy="76200"/>
    <xdr:sp macro="" textlink="">
      <xdr:nvSpPr>
        <xdr:cNvPr id="9" name="Shape 17">
          <a:extLst>
            <a:ext uri="{FF2B5EF4-FFF2-40B4-BE49-F238E27FC236}">
              <a16:creationId xmlns:a16="http://schemas.microsoft.com/office/drawing/2014/main" id="{00000000-0008-0000-0000-000009000000}"/>
            </a:ext>
          </a:extLst>
        </xdr:cNvPr>
        <xdr:cNvSpPr>
          <a:spLocks/>
        </xdr:cNvSpPr>
      </xdr:nvSpPr>
      <xdr:spPr bwMode="auto">
        <a:xfrm>
          <a:off x="1020536" y="25256218"/>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4</xdr:col>
      <xdr:colOff>0</xdr:colOff>
      <xdr:row>61</xdr:row>
      <xdr:rowOff>0</xdr:rowOff>
    </xdr:from>
    <xdr:ext cx="9525" cy="76200"/>
    <xdr:sp macro="" textlink="">
      <xdr:nvSpPr>
        <xdr:cNvPr id="10" name="Shape 17">
          <a:extLst>
            <a:ext uri="{FF2B5EF4-FFF2-40B4-BE49-F238E27FC236}">
              <a16:creationId xmlns:a16="http://schemas.microsoft.com/office/drawing/2014/main" id="{00000000-0008-0000-0000-00000A000000}"/>
            </a:ext>
          </a:extLst>
        </xdr:cNvPr>
        <xdr:cNvSpPr>
          <a:spLocks/>
        </xdr:cNvSpPr>
      </xdr:nvSpPr>
      <xdr:spPr bwMode="auto">
        <a:xfrm>
          <a:off x="4109357" y="25256218"/>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5</xdr:col>
      <xdr:colOff>0</xdr:colOff>
      <xdr:row>61</xdr:row>
      <xdr:rowOff>0</xdr:rowOff>
    </xdr:from>
    <xdr:ext cx="9525" cy="76200"/>
    <xdr:sp macro="" textlink="">
      <xdr:nvSpPr>
        <xdr:cNvPr id="11" name="Shape 18">
          <a:extLst>
            <a:ext uri="{FF2B5EF4-FFF2-40B4-BE49-F238E27FC236}">
              <a16:creationId xmlns:a16="http://schemas.microsoft.com/office/drawing/2014/main" id="{00000000-0008-0000-0000-00000B000000}"/>
            </a:ext>
          </a:extLst>
        </xdr:cNvPr>
        <xdr:cNvSpPr>
          <a:spLocks/>
        </xdr:cNvSpPr>
      </xdr:nvSpPr>
      <xdr:spPr bwMode="auto">
        <a:xfrm>
          <a:off x="5075464" y="25256218"/>
          <a:ext cx="9525" cy="76200"/>
        </a:xfrm>
        <a:custGeom>
          <a:avLst/>
          <a:gdLst>
            <a:gd name="T0" fmla="*/ 9080 w 9525"/>
            <a:gd name="T1" fmla="*/ 81356 h 81915"/>
            <a:gd name="T2" fmla="*/ 0 w 9525"/>
            <a:gd name="T3" fmla="*/ 81356 h 81915"/>
            <a:gd name="T4" fmla="*/ 0 w 9525"/>
            <a:gd name="T5" fmla="*/ 0 h 81915"/>
            <a:gd name="T6" fmla="*/ 9080 w 9525"/>
            <a:gd name="T7" fmla="*/ 0 h 81915"/>
            <a:gd name="T8" fmla="*/ 9080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80" y="81356"/>
              </a:moveTo>
              <a:lnTo>
                <a:pt x="0" y="81356"/>
              </a:lnTo>
              <a:lnTo>
                <a:pt x="0" y="0"/>
              </a:lnTo>
              <a:lnTo>
                <a:pt x="9080" y="0"/>
              </a:lnTo>
              <a:lnTo>
                <a:pt x="9080"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5</xdr:col>
      <xdr:colOff>0</xdr:colOff>
      <xdr:row>61</xdr:row>
      <xdr:rowOff>0</xdr:rowOff>
    </xdr:from>
    <xdr:ext cx="9525" cy="76200"/>
    <xdr:sp macro="" textlink="">
      <xdr:nvSpPr>
        <xdr:cNvPr id="12" name="Shape 19">
          <a:extLst>
            <a:ext uri="{FF2B5EF4-FFF2-40B4-BE49-F238E27FC236}">
              <a16:creationId xmlns:a16="http://schemas.microsoft.com/office/drawing/2014/main" id="{00000000-0008-0000-0000-00000C000000}"/>
            </a:ext>
          </a:extLst>
        </xdr:cNvPr>
        <xdr:cNvSpPr>
          <a:spLocks/>
        </xdr:cNvSpPr>
      </xdr:nvSpPr>
      <xdr:spPr bwMode="auto">
        <a:xfrm>
          <a:off x="5075464" y="25256218"/>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2</xdr:col>
      <xdr:colOff>0</xdr:colOff>
      <xdr:row>61</xdr:row>
      <xdr:rowOff>0</xdr:rowOff>
    </xdr:from>
    <xdr:ext cx="9525" cy="76200"/>
    <xdr:sp macro="" textlink="">
      <xdr:nvSpPr>
        <xdr:cNvPr id="13" name="Shape 17">
          <a:extLst>
            <a:ext uri="{FF2B5EF4-FFF2-40B4-BE49-F238E27FC236}">
              <a16:creationId xmlns:a16="http://schemas.microsoft.com/office/drawing/2014/main" id="{00000000-0008-0000-0000-00000D000000}"/>
            </a:ext>
          </a:extLst>
        </xdr:cNvPr>
        <xdr:cNvSpPr>
          <a:spLocks/>
        </xdr:cNvSpPr>
      </xdr:nvSpPr>
      <xdr:spPr bwMode="auto">
        <a:xfrm>
          <a:off x="1020536" y="25256218"/>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10</xdr:col>
      <xdr:colOff>0</xdr:colOff>
      <xdr:row>35</xdr:row>
      <xdr:rowOff>552450</xdr:rowOff>
    </xdr:from>
    <xdr:ext cx="9525" cy="76200"/>
    <xdr:sp macro="" textlink="">
      <xdr:nvSpPr>
        <xdr:cNvPr id="14" name="Shape 18">
          <a:extLst>
            <a:ext uri="{FF2B5EF4-FFF2-40B4-BE49-F238E27FC236}">
              <a16:creationId xmlns:a16="http://schemas.microsoft.com/office/drawing/2014/main" id="{00000000-0008-0000-0000-00000E000000}"/>
            </a:ext>
          </a:extLst>
        </xdr:cNvPr>
        <xdr:cNvSpPr>
          <a:spLocks/>
        </xdr:cNvSpPr>
      </xdr:nvSpPr>
      <xdr:spPr bwMode="auto">
        <a:xfrm>
          <a:off x="6096000" y="11670846"/>
          <a:ext cx="9525" cy="76200"/>
        </a:xfrm>
        <a:custGeom>
          <a:avLst/>
          <a:gdLst>
            <a:gd name="T0" fmla="*/ 9080 w 9525"/>
            <a:gd name="T1" fmla="*/ 81356 h 81915"/>
            <a:gd name="T2" fmla="*/ 0 w 9525"/>
            <a:gd name="T3" fmla="*/ 81356 h 81915"/>
            <a:gd name="T4" fmla="*/ 0 w 9525"/>
            <a:gd name="T5" fmla="*/ 0 h 81915"/>
            <a:gd name="T6" fmla="*/ 9080 w 9525"/>
            <a:gd name="T7" fmla="*/ 0 h 81915"/>
            <a:gd name="T8" fmla="*/ 9080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80" y="81356"/>
              </a:moveTo>
              <a:lnTo>
                <a:pt x="0" y="81356"/>
              </a:lnTo>
              <a:lnTo>
                <a:pt x="0" y="0"/>
              </a:lnTo>
              <a:lnTo>
                <a:pt x="9080" y="0"/>
              </a:lnTo>
              <a:lnTo>
                <a:pt x="9080"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oneCellAnchor>
    <xdr:from>
      <xdr:col>10</xdr:col>
      <xdr:colOff>0</xdr:colOff>
      <xdr:row>35</xdr:row>
      <xdr:rowOff>552450</xdr:rowOff>
    </xdr:from>
    <xdr:ext cx="9525" cy="76200"/>
    <xdr:sp macro="" textlink="">
      <xdr:nvSpPr>
        <xdr:cNvPr id="15" name="Shape 19">
          <a:extLst>
            <a:ext uri="{FF2B5EF4-FFF2-40B4-BE49-F238E27FC236}">
              <a16:creationId xmlns:a16="http://schemas.microsoft.com/office/drawing/2014/main" id="{00000000-0008-0000-0000-00000F000000}"/>
            </a:ext>
          </a:extLst>
        </xdr:cNvPr>
        <xdr:cNvSpPr>
          <a:spLocks/>
        </xdr:cNvSpPr>
      </xdr:nvSpPr>
      <xdr:spPr bwMode="auto">
        <a:xfrm>
          <a:off x="6096000" y="11670846"/>
          <a:ext cx="9525" cy="76200"/>
        </a:xfrm>
        <a:custGeom>
          <a:avLst/>
          <a:gdLst>
            <a:gd name="T0" fmla="*/ 9029 w 9525"/>
            <a:gd name="T1" fmla="*/ 81356 h 81915"/>
            <a:gd name="T2" fmla="*/ 0 w 9525"/>
            <a:gd name="T3" fmla="*/ 81356 h 81915"/>
            <a:gd name="T4" fmla="*/ 0 w 9525"/>
            <a:gd name="T5" fmla="*/ 0 h 81915"/>
            <a:gd name="T6" fmla="*/ 9029 w 9525"/>
            <a:gd name="T7" fmla="*/ 0 h 81915"/>
            <a:gd name="T8" fmla="*/ 9029 w 9525"/>
            <a:gd name="T9" fmla="*/ 81356 h 81915"/>
            <a:gd name="T10" fmla="*/ 0 w 9525"/>
            <a:gd name="T11" fmla="*/ 0 h 81915"/>
            <a:gd name="T12" fmla="*/ 9525 w 9525"/>
            <a:gd name="T13" fmla="*/ 81915 h 81915"/>
          </a:gdLst>
          <a:ahLst/>
          <a:cxnLst>
            <a:cxn ang="0">
              <a:pos x="T0" y="T1"/>
            </a:cxn>
            <a:cxn ang="0">
              <a:pos x="T2" y="T3"/>
            </a:cxn>
            <a:cxn ang="0">
              <a:pos x="T4" y="T5"/>
            </a:cxn>
            <a:cxn ang="0">
              <a:pos x="T6" y="T7"/>
            </a:cxn>
            <a:cxn ang="0">
              <a:pos x="T8" y="T9"/>
            </a:cxn>
          </a:cxnLst>
          <a:rect l="T10" t="T11" r="T12" b="T13"/>
          <a:pathLst>
            <a:path w="9525" h="81915">
              <a:moveTo>
                <a:pt x="9029" y="81356"/>
              </a:moveTo>
              <a:lnTo>
                <a:pt x="0" y="81356"/>
              </a:lnTo>
              <a:lnTo>
                <a:pt x="0" y="0"/>
              </a:lnTo>
              <a:lnTo>
                <a:pt x="9029" y="0"/>
              </a:lnTo>
              <a:lnTo>
                <a:pt x="9029" y="81356"/>
              </a:lnTo>
              <a:close/>
            </a:path>
          </a:pathLst>
        </a:custGeom>
        <a:solidFill>
          <a:srgbClr val="CDD1DE"/>
        </a:solidFill>
        <a:ln>
          <a:noFill/>
        </a:ln>
        <a:extLst>
          <a:ext uri="{91240B29-F687-4F45-9708-019B960494DF}">
            <a14:hiddenLine xmlns:a14="http://schemas.microsoft.com/office/drawing/2010/main" w="9525">
              <a:solidFill>
                <a:srgbClr val="000000"/>
              </a:solidFill>
              <a:round/>
              <a:headEnd/>
              <a:tailEnd/>
            </a14:hiddenLine>
          </a:ext>
        </a:extLst>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5"/>
  <sheetViews>
    <sheetView tabSelected="1" topLeftCell="B1" zoomScale="70" zoomScaleNormal="70" workbookViewId="0">
      <pane ySplit="4" topLeftCell="A5" activePane="bottomLeft" state="frozen"/>
      <selection pane="bottomLeft" activeCell="P5" sqref="P5"/>
    </sheetView>
  </sheetViews>
  <sheetFormatPr defaultColWidth="9.109375" defaultRowHeight="16.8" x14ac:dyDescent="0.3"/>
  <cols>
    <col min="1" max="1" width="9.109375" style="2"/>
    <col min="2" max="2" width="6.109375" style="2" bestFit="1" customWidth="1"/>
    <col min="3" max="3" width="37" style="1" customWidth="1"/>
    <col min="4" max="4" width="20.6640625" style="2" customWidth="1"/>
    <col min="5" max="5" width="18.44140625" style="25" customWidth="1"/>
    <col min="6" max="6" width="19.44140625" style="2" customWidth="1"/>
    <col min="7" max="7" width="18.109375" style="2" customWidth="1"/>
    <col min="8" max="8" width="18.88671875" style="2" customWidth="1"/>
    <col min="9" max="9" width="19.109375" style="25" customWidth="1"/>
    <col min="10" max="10" width="21" style="2" customWidth="1"/>
    <col min="11" max="13" width="19.33203125" style="25" customWidth="1"/>
    <col min="14" max="14" width="16.6640625" style="2" customWidth="1"/>
    <col min="15" max="15" width="14.5546875" style="2" bestFit="1" customWidth="1"/>
    <col min="16" max="16" width="14.5546875" style="2" customWidth="1"/>
    <col min="17" max="16384" width="9.109375" style="2"/>
  </cols>
  <sheetData>
    <row r="1" spans="1:17" ht="31.5" customHeight="1" thickBot="1" x14ac:dyDescent="0.35"/>
    <row r="2" spans="1:17" ht="29.25" customHeight="1" thickBot="1" x14ac:dyDescent="0.35">
      <c r="B2" s="108" t="s">
        <v>53</v>
      </c>
      <c r="C2" s="109"/>
      <c r="D2" s="109"/>
      <c r="E2" s="109"/>
      <c r="F2" s="109"/>
      <c r="G2" s="109"/>
      <c r="H2" s="109"/>
      <c r="I2" s="109"/>
      <c r="J2" s="109"/>
      <c r="K2" s="109"/>
      <c r="L2" s="109"/>
      <c r="M2" s="109"/>
      <c r="N2" s="110"/>
    </row>
    <row r="3" spans="1:17" ht="23.25" customHeight="1" thickTop="1" x14ac:dyDescent="0.3">
      <c r="B3" s="130" t="s">
        <v>0</v>
      </c>
      <c r="C3" s="134" t="s">
        <v>1</v>
      </c>
      <c r="D3" s="136" t="s">
        <v>2</v>
      </c>
      <c r="E3" s="132" t="s">
        <v>3</v>
      </c>
      <c r="F3" s="132" t="s">
        <v>4</v>
      </c>
      <c r="G3" s="115" t="s">
        <v>5</v>
      </c>
      <c r="H3" s="138" t="s">
        <v>6</v>
      </c>
      <c r="I3" s="134" t="s">
        <v>3</v>
      </c>
      <c r="J3" s="134" t="s">
        <v>4</v>
      </c>
      <c r="K3" s="115" t="s">
        <v>5</v>
      </c>
      <c r="L3" s="115" t="s">
        <v>31</v>
      </c>
      <c r="M3" s="115" t="s">
        <v>32</v>
      </c>
      <c r="N3" s="132" t="s">
        <v>7</v>
      </c>
    </row>
    <row r="4" spans="1:17" ht="23.25" customHeight="1" thickBot="1" x14ac:dyDescent="0.35">
      <c r="B4" s="131"/>
      <c r="C4" s="135"/>
      <c r="D4" s="137"/>
      <c r="E4" s="133"/>
      <c r="F4" s="133"/>
      <c r="G4" s="116"/>
      <c r="H4" s="139"/>
      <c r="I4" s="135"/>
      <c r="J4" s="135"/>
      <c r="K4" s="116"/>
      <c r="L4" s="116"/>
      <c r="M4" s="116"/>
      <c r="N4" s="133"/>
    </row>
    <row r="5" spans="1:17" ht="10.5" customHeight="1" thickTop="1" thickBot="1" x14ac:dyDescent="0.35">
      <c r="D5" s="28"/>
      <c r="E5" s="2"/>
      <c r="G5" s="25"/>
      <c r="H5" s="24"/>
      <c r="I5" s="2"/>
    </row>
    <row r="6" spans="1:17" s="148" customFormat="1" ht="23.25" customHeight="1" x14ac:dyDescent="0.3">
      <c r="B6" s="165">
        <v>1</v>
      </c>
      <c r="C6" s="166" t="s">
        <v>19</v>
      </c>
      <c r="D6" s="149">
        <v>44114</v>
      </c>
      <c r="E6" s="150">
        <v>39.716999999999999</v>
      </c>
      <c r="F6" s="151">
        <v>75.53</v>
      </c>
      <c r="G6" s="152">
        <v>3000</v>
      </c>
      <c r="H6" s="153">
        <v>45265</v>
      </c>
      <c r="I6" s="154">
        <v>802.57399999999996</v>
      </c>
      <c r="J6" s="155">
        <v>147.76849999999999</v>
      </c>
      <c r="K6" s="154">
        <v>118595.14</v>
      </c>
      <c r="L6" s="156"/>
      <c r="M6" s="157">
        <f>K6-G14</f>
        <v>26595.14</v>
      </c>
      <c r="N6" s="167" t="s">
        <v>40</v>
      </c>
      <c r="P6" s="148" t="s">
        <v>65</v>
      </c>
      <c r="Q6" s="164" t="s">
        <v>69</v>
      </c>
    </row>
    <row r="7" spans="1:17" s="148" customFormat="1" ht="23.25" customHeight="1" x14ac:dyDescent="0.3">
      <c r="B7" s="168"/>
      <c r="C7" s="169"/>
      <c r="D7" s="158">
        <v>44145</v>
      </c>
      <c r="E7" s="159">
        <v>39.854999999999997</v>
      </c>
      <c r="F7" s="160">
        <v>75.27</v>
      </c>
      <c r="G7" s="161">
        <v>3000</v>
      </c>
      <c r="H7" s="170"/>
      <c r="I7" s="171"/>
      <c r="J7" s="171"/>
      <c r="K7" s="171"/>
      <c r="L7" s="171"/>
      <c r="M7" s="171"/>
      <c r="N7" s="172"/>
      <c r="P7" s="148" t="s">
        <v>65</v>
      </c>
      <c r="Q7" s="164" t="s">
        <v>69</v>
      </c>
    </row>
    <row r="8" spans="1:17" s="148" customFormat="1" ht="23.25" customHeight="1" x14ac:dyDescent="0.3">
      <c r="B8" s="168"/>
      <c r="C8" s="169"/>
      <c r="D8" s="158">
        <v>44175</v>
      </c>
      <c r="E8" s="159">
        <v>37.186999999999998</v>
      </c>
      <c r="F8" s="160">
        <v>80.67</v>
      </c>
      <c r="G8" s="161">
        <v>3000</v>
      </c>
      <c r="H8" s="170"/>
      <c r="I8" s="171"/>
      <c r="J8" s="171"/>
      <c r="K8" s="171"/>
      <c r="L8" s="171"/>
      <c r="M8" s="171"/>
      <c r="N8" s="172"/>
      <c r="P8" s="148" t="s">
        <v>65</v>
      </c>
      <c r="Q8" s="164" t="s">
        <v>69</v>
      </c>
    </row>
    <row r="9" spans="1:17" s="148" customFormat="1" ht="23.25" customHeight="1" x14ac:dyDescent="0.3">
      <c r="B9" s="168"/>
      <c r="C9" s="169"/>
      <c r="D9" s="158">
        <v>44206</v>
      </c>
      <c r="E9" s="159">
        <v>31.879000000000001</v>
      </c>
      <c r="F9" s="160">
        <v>94.1</v>
      </c>
      <c r="G9" s="161">
        <v>3000</v>
      </c>
      <c r="H9" s="170"/>
      <c r="I9" s="171"/>
      <c r="J9" s="171"/>
      <c r="K9" s="171"/>
      <c r="L9" s="171"/>
      <c r="M9" s="171"/>
      <c r="N9" s="172"/>
      <c r="P9" s="148" t="s">
        <v>65</v>
      </c>
      <c r="Q9" s="164" t="s">
        <v>69</v>
      </c>
    </row>
    <row r="10" spans="1:17" s="148" customFormat="1" ht="23.25" customHeight="1" x14ac:dyDescent="0.3">
      <c r="B10" s="168"/>
      <c r="C10" s="169"/>
      <c r="D10" s="158">
        <v>44237</v>
      </c>
      <c r="E10" s="159">
        <v>32.441000000000003</v>
      </c>
      <c r="F10" s="160">
        <v>92.47</v>
      </c>
      <c r="G10" s="161">
        <v>3000</v>
      </c>
      <c r="H10" s="170"/>
      <c r="I10" s="171"/>
      <c r="J10" s="171"/>
      <c r="K10" s="171"/>
      <c r="L10" s="171"/>
      <c r="M10" s="171"/>
      <c r="N10" s="172"/>
      <c r="P10" s="148" t="s">
        <v>65</v>
      </c>
      <c r="Q10" s="164" t="s">
        <v>69</v>
      </c>
    </row>
    <row r="11" spans="1:17" s="148" customFormat="1" ht="23.25" customHeight="1" x14ac:dyDescent="0.3">
      <c r="B11" s="168"/>
      <c r="C11" s="169"/>
      <c r="D11" s="158">
        <v>44265</v>
      </c>
      <c r="E11" s="159">
        <v>30.739000000000001</v>
      </c>
      <c r="F11" s="160">
        <v>97.59</v>
      </c>
      <c r="G11" s="161">
        <v>3000</v>
      </c>
      <c r="H11" s="170"/>
      <c r="I11" s="171"/>
      <c r="J11" s="171"/>
      <c r="K11" s="171"/>
      <c r="L11" s="171"/>
      <c r="M11" s="171"/>
      <c r="N11" s="172"/>
      <c r="P11" s="148" t="s">
        <v>65</v>
      </c>
      <c r="Q11" s="164" t="s">
        <v>69</v>
      </c>
    </row>
    <row r="12" spans="1:17" s="148" customFormat="1" ht="23.25" customHeight="1" x14ac:dyDescent="0.3">
      <c r="B12" s="168"/>
      <c r="C12" s="169"/>
      <c r="D12" s="158" t="s">
        <v>26</v>
      </c>
      <c r="E12" s="162">
        <v>475.00099999999998</v>
      </c>
      <c r="F12" s="162">
        <f>G12/E12</f>
        <v>126.31552354626622</v>
      </c>
      <c r="G12" s="162">
        <v>60000</v>
      </c>
      <c r="H12" s="170"/>
      <c r="I12" s="171"/>
      <c r="J12" s="171"/>
      <c r="K12" s="171"/>
      <c r="L12" s="171"/>
      <c r="M12" s="171"/>
      <c r="N12" s="172"/>
      <c r="P12" s="148" t="s">
        <v>65</v>
      </c>
      <c r="Q12" s="164" t="s">
        <v>69</v>
      </c>
    </row>
    <row r="13" spans="1:17" s="148" customFormat="1" ht="23.25" customHeight="1" x14ac:dyDescent="0.3">
      <c r="B13" s="168"/>
      <c r="C13" s="169"/>
      <c r="D13" s="158" t="s">
        <v>29</v>
      </c>
      <c r="E13" s="162">
        <v>115.755</v>
      </c>
      <c r="F13" s="163">
        <v>120.94509956373375</v>
      </c>
      <c r="G13" s="163">
        <v>14000</v>
      </c>
      <c r="H13" s="170"/>
      <c r="I13" s="171"/>
      <c r="J13" s="171"/>
      <c r="K13" s="171"/>
      <c r="L13" s="171"/>
      <c r="M13" s="171"/>
      <c r="N13" s="172"/>
      <c r="P13" s="148" t="s">
        <v>65</v>
      </c>
      <c r="Q13" s="164" t="s">
        <v>69</v>
      </c>
    </row>
    <row r="14" spans="1:17" s="148" customFormat="1" ht="23.25" customHeight="1" thickBot="1" x14ac:dyDescent="0.35">
      <c r="B14" s="173"/>
      <c r="C14" s="174"/>
      <c r="D14" s="175" t="s">
        <v>23</v>
      </c>
      <c r="E14" s="176">
        <f>SUM(E6:E13)</f>
        <v>802.57399999999996</v>
      </c>
      <c r="F14" s="177">
        <f>G14/E14</f>
        <v>114.6311741970211</v>
      </c>
      <c r="G14" s="178">
        <f>SUM(G6:G13)</f>
        <v>92000</v>
      </c>
      <c r="H14" s="175"/>
      <c r="I14" s="176">
        <f>SUM(I6:I13)</f>
        <v>802.57399999999996</v>
      </c>
      <c r="J14" s="177"/>
      <c r="K14" s="177"/>
      <c r="L14" s="177"/>
      <c r="M14" s="177"/>
      <c r="N14" s="179"/>
      <c r="P14" s="148" t="s">
        <v>65</v>
      </c>
      <c r="Q14" s="164" t="s">
        <v>69</v>
      </c>
    </row>
    <row r="15" spans="1:17" ht="7.5" customHeight="1" thickBot="1" x14ac:dyDescent="0.35"/>
    <row r="16" spans="1:17" ht="23.25" customHeight="1" x14ac:dyDescent="0.3">
      <c r="A16" s="53"/>
      <c r="B16" s="113">
        <v>2</v>
      </c>
      <c r="C16" s="111" t="s">
        <v>51</v>
      </c>
      <c r="D16" s="54" t="s">
        <v>50</v>
      </c>
      <c r="E16" s="29">
        <v>1109.623</v>
      </c>
      <c r="F16" s="10">
        <v>31.542244528096479</v>
      </c>
      <c r="G16" s="55">
        <v>35000</v>
      </c>
      <c r="H16" s="3"/>
      <c r="I16" s="3"/>
      <c r="J16" s="3"/>
      <c r="K16" s="43"/>
      <c r="L16" s="43"/>
      <c r="M16" s="43"/>
      <c r="N16" s="26" t="s">
        <v>40</v>
      </c>
    </row>
    <row r="17" spans="2:17" ht="23.25" customHeight="1" thickBot="1" x14ac:dyDescent="0.35">
      <c r="B17" s="114"/>
      <c r="C17" s="112"/>
      <c r="D17" s="6"/>
      <c r="E17" s="69">
        <f>SUM(E16)</f>
        <v>1109.623</v>
      </c>
      <c r="F17" s="72" t="s">
        <v>24</v>
      </c>
      <c r="G17" s="6"/>
      <c r="H17" s="6"/>
      <c r="I17" s="8"/>
      <c r="J17" s="6"/>
      <c r="K17" s="8"/>
      <c r="L17" s="8"/>
      <c r="M17" s="8"/>
      <c r="N17" s="27"/>
    </row>
    <row r="18" spans="2:17" ht="8.25" customHeight="1" thickBot="1" x14ac:dyDescent="0.35"/>
    <row r="19" spans="2:17" ht="23.25" customHeight="1" x14ac:dyDescent="0.3">
      <c r="B19" s="120">
        <v>3</v>
      </c>
      <c r="C19" s="117" t="s">
        <v>12</v>
      </c>
      <c r="D19" s="9" t="s">
        <v>13</v>
      </c>
      <c r="E19" s="10">
        <v>593.62399999999991</v>
      </c>
      <c r="F19" s="10">
        <v>50.537040281390247</v>
      </c>
      <c r="G19" s="11">
        <v>30000</v>
      </c>
      <c r="H19" s="147">
        <v>45369</v>
      </c>
      <c r="I19" s="66">
        <v>1911.82</v>
      </c>
      <c r="J19" s="66">
        <v>153.4725</v>
      </c>
      <c r="K19" s="66">
        <v>293412</v>
      </c>
      <c r="L19" s="248">
        <v>0</v>
      </c>
      <c r="M19" s="12">
        <f>K19-G23</f>
        <v>185412</v>
      </c>
      <c r="N19" s="122" t="s">
        <v>40</v>
      </c>
    </row>
    <row r="20" spans="2:17" ht="23.25" customHeight="1" x14ac:dyDescent="0.3">
      <c r="B20" s="127"/>
      <c r="C20" s="118"/>
      <c r="D20" s="13" t="s">
        <v>11</v>
      </c>
      <c r="E20" s="14">
        <v>568.58699999999999</v>
      </c>
      <c r="F20" s="15">
        <v>63.314848914941777</v>
      </c>
      <c r="G20" s="14">
        <v>36000</v>
      </c>
      <c r="H20" s="4"/>
      <c r="I20" s="16"/>
      <c r="J20" s="17"/>
      <c r="K20" s="18"/>
      <c r="L20" s="18"/>
      <c r="M20" s="18"/>
      <c r="N20" s="126"/>
    </row>
    <row r="21" spans="2:17" ht="23.25" customHeight="1" x14ac:dyDescent="0.3">
      <c r="B21" s="127"/>
      <c r="C21" s="118"/>
      <c r="D21" s="19" t="s">
        <v>8</v>
      </c>
      <c r="E21" s="15">
        <v>638.904</v>
      </c>
      <c r="F21" s="15">
        <v>56.346493369895946</v>
      </c>
      <c r="G21" s="14">
        <v>36000</v>
      </c>
      <c r="H21" s="20"/>
      <c r="I21" s="21"/>
      <c r="J21" s="21"/>
      <c r="K21" s="21"/>
      <c r="L21" s="21"/>
      <c r="M21" s="21"/>
      <c r="N21" s="126"/>
    </row>
    <row r="22" spans="2:17" ht="23.25" customHeight="1" x14ac:dyDescent="0.3">
      <c r="B22" s="127"/>
      <c r="C22" s="118"/>
      <c r="D22" s="14" t="s">
        <v>10</v>
      </c>
      <c r="E22" s="15">
        <v>110.705</v>
      </c>
      <c r="F22" s="15">
        <v>54.198094033693152</v>
      </c>
      <c r="G22" s="14">
        <v>6000</v>
      </c>
      <c r="H22" s="20"/>
      <c r="I22" s="21"/>
      <c r="J22" s="21"/>
      <c r="K22" s="21"/>
      <c r="L22" s="21"/>
      <c r="M22" s="21"/>
      <c r="N22" s="126"/>
    </row>
    <row r="23" spans="2:17" ht="23.25" customHeight="1" thickBot="1" x14ac:dyDescent="0.35">
      <c r="B23" s="121"/>
      <c r="C23" s="119"/>
      <c r="D23" s="38" t="s">
        <v>23</v>
      </c>
      <c r="E23" s="70">
        <f>SUM(E19:E22)</f>
        <v>1911.8199999999997</v>
      </c>
      <c r="F23" s="38">
        <f>G23/E23</f>
        <v>56.490673808203709</v>
      </c>
      <c r="G23" s="39">
        <f>SUM(G19:G22)</f>
        <v>108000</v>
      </c>
      <c r="H23" s="22"/>
      <c r="I23" s="71">
        <f>SUM(I19:I22)</f>
        <v>1911.82</v>
      </c>
      <c r="J23" s="6"/>
      <c r="K23" s="6"/>
      <c r="L23" s="6"/>
      <c r="M23" s="6"/>
      <c r="N23" s="123"/>
    </row>
    <row r="24" spans="2:17" ht="9" customHeight="1" thickBot="1" x14ac:dyDescent="0.35">
      <c r="D24" s="40"/>
      <c r="E24" s="40"/>
      <c r="F24" s="40"/>
      <c r="G24" s="41"/>
      <c r="H24" s="23"/>
      <c r="I24" s="2"/>
      <c r="K24" s="2"/>
      <c r="L24" s="2"/>
      <c r="M24" s="2"/>
    </row>
    <row r="25" spans="2:17" s="148" customFormat="1" ht="23.25" customHeight="1" x14ac:dyDescent="0.3">
      <c r="B25" s="165">
        <v>4</v>
      </c>
      <c r="C25" s="166" t="s">
        <v>20</v>
      </c>
      <c r="D25" s="149">
        <v>44232</v>
      </c>
      <c r="E25" s="150">
        <v>84.646000000000001</v>
      </c>
      <c r="F25" s="151">
        <v>17.72</v>
      </c>
      <c r="G25" s="152">
        <v>1500</v>
      </c>
      <c r="H25" s="153">
        <v>45265</v>
      </c>
      <c r="I25" s="180">
        <v>3078.2809999999999</v>
      </c>
      <c r="J25" s="181">
        <v>26.099699999999999</v>
      </c>
      <c r="K25" s="180">
        <v>80342.33</v>
      </c>
      <c r="L25" s="182">
        <v>0</v>
      </c>
      <c r="M25" s="183">
        <f>K25-G34</f>
        <v>20342.330000000002</v>
      </c>
      <c r="N25" s="167" t="s">
        <v>40</v>
      </c>
      <c r="P25" s="148" t="s">
        <v>65</v>
      </c>
      <c r="Q25" s="164" t="s">
        <v>70</v>
      </c>
    </row>
    <row r="26" spans="2:17" s="148" customFormat="1" ht="23.25" customHeight="1" x14ac:dyDescent="0.3">
      <c r="B26" s="168"/>
      <c r="C26" s="169"/>
      <c r="D26" s="158">
        <v>44239</v>
      </c>
      <c r="E26" s="159">
        <v>84.837999999999994</v>
      </c>
      <c r="F26" s="160">
        <v>17.68</v>
      </c>
      <c r="G26" s="161">
        <v>1500</v>
      </c>
      <c r="H26" s="170"/>
      <c r="I26" s="171"/>
      <c r="J26" s="171"/>
      <c r="K26" s="171"/>
      <c r="L26" s="171"/>
      <c r="M26" s="171"/>
      <c r="N26" s="172"/>
      <c r="P26" s="148" t="s">
        <v>65</v>
      </c>
      <c r="Q26" s="164" t="s">
        <v>70</v>
      </c>
    </row>
    <row r="27" spans="2:17" s="148" customFormat="1" ht="23.25" customHeight="1" x14ac:dyDescent="0.3">
      <c r="B27" s="168"/>
      <c r="C27" s="169"/>
      <c r="D27" s="158">
        <v>44246</v>
      </c>
      <c r="E27" s="159">
        <v>86.400999999999996</v>
      </c>
      <c r="F27" s="160">
        <v>17.36</v>
      </c>
      <c r="G27" s="161">
        <v>1500</v>
      </c>
      <c r="H27" s="170"/>
      <c r="I27" s="171"/>
      <c r="J27" s="171"/>
      <c r="K27" s="171"/>
      <c r="L27" s="171"/>
      <c r="M27" s="171"/>
      <c r="N27" s="172"/>
      <c r="P27" s="148" t="s">
        <v>65</v>
      </c>
      <c r="Q27" s="164" t="s">
        <v>70</v>
      </c>
    </row>
    <row r="28" spans="2:17" s="148" customFormat="1" ht="23.25" customHeight="1" x14ac:dyDescent="0.3">
      <c r="B28" s="168"/>
      <c r="C28" s="169"/>
      <c r="D28" s="158">
        <v>44253</v>
      </c>
      <c r="E28" s="159">
        <v>88.126999999999995</v>
      </c>
      <c r="F28" s="160">
        <v>17.02</v>
      </c>
      <c r="G28" s="161">
        <v>1500</v>
      </c>
      <c r="H28" s="170"/>
      <c r="I28" s="171"/>
      <c r="J28" s="171"/>
      <c r="K28" s="171"/>
      <c r="L28" s="171"/>
      <c r="M28" s="171"/>
      <c r="N28" s="172"/>
      <c r="P28" s="148" t="s">
        <v>65</v>
      </c>
      <c r="Q28" s="164" t="s">
        <v>70</v>
      </c>
    </row>
    <row r="29" spans="2:17" s="148" customFormat="1" ht="23.25" customHeight="1" x14ac:dyDescent="0.3">
      <c r="B29" s="168"/>
      <c r="C29" s="169"/>
      <c r="D29" s="158">
        <v>44260</v>
      </c>
      <c r="E29" s="159">
        <v>86.450999999999993</v>
      </c>
      <c r="F29" s="160">
        <v>17.350000000000001</v>
      </c>
      <c r="G29" s="161">
        <v>1500</v>
      </c>
      <c r="H29" s="170"/>
      <c r="I29" s="171"/>
      <c r="J29" s="171"/>
      <c r="K29" s="171"/>
      <c r="L29" s="171"/>
      <c r="M29" s="171"/>
      <c r="N29" s="172"/>
      <c r="P29" s="148" t="s">
        <v>65</v>
      </c>
      <c r="Q29" s="164" t="s">
        <v>70</v>
      </c>
    </row>
    <row r="30" spans="2:17" s="148" customFormat="1" ht="23.25" customHeight="1" x14ac:dyDescent="0.3">
      <c r="B30" s="168"/>
      <c r="C30" s="169"/>
      <c r="D30" s="158">
        <v>44267</v>
      </c>
      <c r="E30" s="159">
        <v>86.004999999999995</v>
      </c>
      <c r="F30" s="160">
        <v>17.440000000000001</v>
      </c>
      <c r="G30" s="161">
        <v>1500</v>
      </c>
      <c r="H30" s="170"/>
      <c r="I30" s="171"/>
      <c r="J30" s="171"/>
      <c r="K30" s="171"/>
      <c r="L30" s="171"/>
      <c r="M30" s="171"/>
      <c r="N30" s="172"/>
      <c r="P30" s="148" t="s">
        <v>65</v>
      </c>
      <c r="Q30" s="164" t="s">
        <v>70</v>
      </c>
    </row>
    <row r="31" spans="2:17" s="148" customFormat="1" ht="23.25" customHeight="1" x14ac:dyDescent="0.3">
      <c r="B31" s="168"/>
      <c r="C31" s="169"/>
      <c r="D31" s="158">
        <v>44274</v>
      </c>
      <c r="E31" s="159">
        <v>89.816000000000003</v>
      </c>
      <c r="F31" s="160">
        <v>16.7</v>
      </c>
      <c r="G31" s="161">
        <v>1500</v>
      </c>
      <c r="H31" s="170"/>
      <c r="I31" s="171"/>
      <c r="J31" s="171"/>
      <c r="K31" s="171"/>
      <c r="L31" s="171"/>
      <c r="M31" s="171"/>
      <c r="N31" s="172"/>
      <c r="P31" s="148" t="s">
        <v>65</v>
      </c>
      <c r="Q31" s="164" t="s">
        <v>70</v>
      </c>
    </row>
    <row r="32" spans="2:17" s="148" customFormat="1" ht="23.25" customHeight="1" x14ac:dyDescent="0.3">
      <c r="B32" s="168"/>
      <c r="C32" s="169"/>
      <c r="D32" s="158">
        <v>44281</v>
      </c>
      <c r="E32" s="159">
        <v>88.700999999999993</v>
      </c>
      <c r="F32" s="160">
        <v>16.91</v>
      </c>
      <c r="G32" s="161">
        <v>1500</v>
      </c>
      <c r="H32" s="170"/>
      <c r="I32" s="171"/>
      <c r="J32" s="171"/>
      <c r="K32" s="171"/>
      <c r="L32" s="171"/>
      <c r="M32" s="171"/>
      <c r="N32" s="172"/>
      <c r="P32" s="148" t="s">
        <v>65</v>
      </c>
      <c r="Q32" s="164" t="s">
        <v>70</v>
      </c>
    </row>
    <row r="33" spans="1:17" s="148" customFormat="1" ht="23.25" customHeight="1" x14ac:dyDescent="0.3">
      <c r="B33" s="168"/>
      <c r="C33" s="169"/>
      <c r="D33" s="158" t="s">
        <v>26</v>
      </c>
      <c r="E33" s="162">
        <v>2383.2959999999998</v>
      </c>
      <c r="F33" s="162">
        <f>G33/E33</f>
        <v>20.140175622331427</v>
      </c>
      <c r="G33" s="162">
        <v>48000</v>
      </c>
      <c r="H33" s="170"/>
      <c r="I33" s="171"/>
      <c r="J33" s="171"/>
      <c r="K33" s="171"/>
      <c r="L33" s="171"/>
      <c r="M33" s="171"/>
      <c r="N33" s="172"/>
      <c r="P33" s="148" t="s">
        <v>65</v>
      </c>
      <c r="Q33" s="164" t="s">
        <v>70</v>
      </c>
    </row>
    <row r="34" spans="1:17" s="148" customFormat="1" ht="23.25" customHeight="1" thickBot="1" x14ac:dyDescent="0.35">
      <c r="B34" s="173"/>
      <c r="C34" s="174"/>
      <c r="D34" s="175" t="s">
        <v>23</v>
      </c>
      <c r="E34" s="184">
        <f>SUM(E25:E33)</f>
        <v>3078.2809999999999</v>
      </c>
      <c r="F34" s="185">
        <f>G34/E34</f>
        <v>19.491397958795833</v>
      </c>
      <c r="G34" s="186">
        <f>SUM(G25:G33)</f>
        <v>60000</v>
      </c>
      <c r="H34" s="187"/>
      <c r="I34" s="188">
        <f>SUM(I25:I33)</f>
        <v>3078.2809999999999</v>
      </c>
      <c r="J34" s="177"/>
      <c r="K34" s="177"/>
      <c r="L34" s="177"/>
      <c r="M34" s="177"/>
      <c r="N34" s="179"/>
      <c r="P34" s="148" t="s">
        <v>65</v>
      </c>
      <c r="Q34" s="164" t="s">
        <v>70</v>
      </c>
    </row>
    <row r="35" spans="1:17" ht="8.25" customHeight="1" thickBot="1" x14ac:dyDescent="0.35">
      <c r="D35" s="24"/>
      <c r="H35" s="24"/>
      <c r="K35" s="2"/>
      <c r="L35" s="2"/>
      <c r="M35" s="2"/>
    </row>
    <row r="36" spans="1:17" s="148" customFormat="1" ht="23.25" customHeight="1" x14ac:dyDescent="0.3">
      <c r="B36" s="189">
        <v>5</v>
      </c>
      <c r="C36" s="190" t="s">
        <v>27</v>
      </c>
      <c r="D36" s="149" t="s">
        <v>26</v>
      </c>
      <c r="E36" s="191">
        <v>387.815</v>
      </c>
      <c r="F36" s="192">
        <f>G36/E36</f>
        <v>85.092118664827296</v>
      </c>
      <c r="G36" s="193">
        <v>33000</v>
      </c>
      <c r="H36" s="153">
        <v>45265</v>
      </c>
      <c r="I36" s="154">
        <v>618.17100000000005</v>
      </c>
      <c r="J36" s="155">
        <v>121.4588</v>
      </c>
      <c r="K36" s="154">
        <v>75082.289999999994</v>
      </c>
      <c r="L36" s="194"/>
      <c r="M36" s="194">
        <f>K36-G38</f>
        <v>21082.289999999994</v>
      </c>
      <c r="N36" s="195" t="s">
        <v>40</v>
      </c>
      <c r="P36" s="148" t="s">
        <v>65</v>
      </c>
      <c r="Q36" s="164" t="s">
        <v>71</v>
      </c>
    </row>
    <row r="37" spans="1:17" s="148" customFormat="1" ht="23.25" customHeight="1" x14ac:dyDescent="0.3">
      <c r="B37" s="196"/>
      <c r="C37" s="197"/>
      <c r="D37" s="158" t="s">
        <v>29</v>
      </c>
      <c r="E37" s="162">
        <v>230.35599999999999</v>
      </c>
      <c r="F37" s="198">
        <v>91.163242980430297</v>
      </c>
      <c r="G37" s="199">
        <v>21000</v>
      </c>
      <c r="H37" s="171"/>
      <c r="I37" s="200"/>
      <c r="J37" s="171"/>
      <c r="K37" s="200"/>
      <c r="L37" s="200"/>
      <c r="M37" s="200"/>
      <c r="N37" s="201"/>
      <c r="P37" s="148" t="s">
        <v>65</v>
      </c>
      <c r="Q37" s="164" t="s">
        <v>71</v>
      </c>
    </row>
    <row r="38" spans="1:17" s="148" customFormat="1" ht="23.25" customHeight="1" thickBot="1" x14ac:dyDescent="0.35">
      <c r="B38" s="202"/>
      <c r="C38" s="203"/>
      <c r="D38" s="177"/>
      <c r="E38" s="176">
        <f>SUM(E36:E37)</f>
        <v>618.17100000000005</v>
      </c>
      <c r="F38" s="204">
        <f>G38/E38</f>
        <v>87.354469879693482</v>
      </c>
      <c r="G38" s="205">
        <f>SUM(G36:G37)</f>
        <v>54000</v>
      </c>
      <c r="H38" s="177"/>
      <c r="I38" s="176">
        <f>SUM(I36:I37)</f>
        <v>618.17100000000005</v>
      </c>
      <c r="J38" s="177"/>
      <c r="K38" s="206"/>
      <c r="L38" s="206"/>
      <c r="M38" s="206"/>
      <c r="N38" s="207"/>
      <c r="P38" s="148" t="s">
        <v>65</v>
      </c>
      <c r="Q38" s="164" t="s">
        <v>71</v>
      </c>
    </row>
    <row r="39" spans="1:17" ht="7.5" customHeight="1" thickBot="1" x14ac:dyDescent="0.35">
      <c r="F39" s="45"/>
      <c r="G39" s="46"/>
    </row>
    <row r="40" spans="1:17" ht="23.25" customHeight="1" x14ac:dyDescent="0.3">
      <c r="B40" s="120">
        <v>6</v>
      </c>
      <c r="C40" s="117" t="s">
        <v>35</v>
      </c>
      <c r="D40" s="54" t="s">
        <v>48</v>
      </c>
      <c r="E40" s="98">
        <v>89.262</v>
      </c>
      <c r="F40" s="55">
        <v>313.68331428827497</v>
      </c>
      <c r="G40" s="55">
        <v>28000</v>
      </c>
      <c r="H40" s="44"/>
      <c r="I40" s="44"/>
      <c r="J40" s="3"/>
      <c r="K40" s="43"/>
      <c r="L40" s="43"/>
      <c r="M40" s="43"/>
      <c r="N40" s="122" t="s">
        <v>40</v>
      </c>
    </row>
    <row r="41" spans="1:17" ht="23.25" customHeight="1" thickBot="1" x14ac:dyDescent="0.35">
      <c r="B41" s="121"/>
      <c r="C41" s="119"/>
      <c r="D41" s="58"/>
      <c r="E41" s="99">
        <f>SUM(E40)</f>
        <v>89.262</v>
      </c>
      <c r="F41" s="59"/>
      <c r="G41" s="60"/>
      <c r="H41" s="6"/>
      <c r="I41" s="8"/>
      <c r="J41" s="6"/>
      <c r="K41" s="8"/>
      <c r="L41" s="8"/>
      <c r="M41" s="8"/>
      <c r="N41" s="123"/>
    </row>
    <row r="42" spans="1:17" ht="7.5" customHeight="1" thickBot="1" x14ac:dyDescent="0.35">
      <c r="D42" s="40"/>
      <c r="E42" s="40"/>
      <c r="F42" s="40"/>
      <c r="G42" s="41"/>
      <c r="H42" s="23"/>
      <c r="I42" s="2"/>
      <c r="K42" s="2"/>
      <c r="L42" s="2"/>
      <c r="M42" s="2"/>
    </row>
    <row r="43" spans="1:17" ht="23.25" customHeight="1" x14ac:dyDescent="0.3">
      <c r="A43" s="53"/>
      <c r="B43" s="113">
        <v>7</v>
      </c>
      <c r="C43" s="111" t="s">
        <v>49</v>
      </c>
      <c r="D43" s="54" t="s">
        <v>41</v>
      </c>
      <c r="E43" s="10">
        <v>266.495</v>
      </c>
      <c r="F43" s="67">
        <v>583.18861517101629</v>
      </c>
      <c r="G43" s="67">
        <v>155416.84999999998</v>
      </c>
      <c r="H43" s="3"/>
      <c r="I43" s="3"/>
      <c r="J43" s="3"/>
      <c r="K43" s="3"/>
      <c r="L43" s="3"/>
      <c r="M43" s="3"/>
      <c r="N43" s="26" t="s">
        <v>40</v>
      </c>
    </row>
    <row r="44" spans="1:17" ht="23.25" customHeight="1" thickBot="1" x14ac:dyDescent="0.35">
      <c r="B44" s="114"/>
      <c r="C44" s="112"/>
      <c r="D44" s="38"/>
      <c r="E44" s="70">
        <f>SUM(E43)</f>
        <v>266.495</v>
      </c>
      <c r="F44" s="38"/>
      <c r="G44" s="39"/>
      <c r="H44" s="22"/>
      <c r="I44" s="6"/>
      <c r="J44" s="6"/>
      <c r="K44" s="6"/>
      <c r="L44" s="6"/>
      <c r="M44" s="6"/>
      <c r="N44" s="27"/>
    </row>
    <row r="45" spans="1:17" ht="8.25" customHeight="1" thickBot="1" x14ac:dyDescent="0.35">
      <c r="D45" s="40"/>
      <c r="E45" s="40"/>
      <c r="F45" s="40"/>
      <c r="G45" s="41"/>
      <c r="H45" s="23"/>
      <c r="I45" s="2"/>
      <c r="K45" s="2"/>
      <c r="L45" s="2"/>
      <c r="M45" s="2"/>
    </row>
    <row r="46" spans="1:17" s="148" customFormat="1" ht="23.25" customHeight="1" x14ac:dyDescent="0.3">
      <c r="B46" s="165">
        <v>8</v>
      </c>
      <c r="C46" s="166" t="s">
        <v>16</v>
      </c>
      <c r="D46" s="234" t="s">
        <v>11</v>
      </c>
      <c r="E46" s="235">
        <v>766.91499999999996</v>
      </c>
      <c r="F46" s="236">
        <v>46.941316834329754</v>
      </c>
      <c r="G46" s="235">
        <v>36000</v>
      </c>
      <c r="H46" s="237">
        <v>45369</v>
      </c>
      <c r="I46" s="238">
        <v>1127.347</v>
      </c>
      <c r="J46" s="239">
        <f>K46/I46</f>
        <v>104.40999976049966</v>
      </c>
      <c r="K46" s="238">
        <v>117706.3</v>
      </c>
      <c r="L46" s="238">
        <v>0</v>
      </c>
      <c r="M46" s="238">
        <f>K46-G48</f>
        <v>63706.3</v>
      </c>
      <c r="N46" s="167" t="s">
        <v>40</v>
      </c>
      <c r="P46" s="164" t="s">
        <v>55</v>
      </c>
      <c r="Q46" s="164" t="s">
        <v>76</v>
      </c>
    </row>
    <row r="47" spans="1:17" s="148" customFormat="1" ht="23.25" customHeight="1" x14ac:dyDescent="0.3">
      <c r="B47" s="168"/>
      <c r="C47" s="169"/>
      <c r="D47" s="240" t="s">
        <v>8</v>
      </c>
      <c r="E47" s="241">
        <v>360.43200000000002</v>
      </c>
      <c r="F47" s="241">
        <v>49.940071913703555</v>
      </c>
      <c r="G47" s="242">
        <v>18000</v>
      </c>
      <c r="H47" s="240"/>
      <c r="I47" s="241"/>
      <c r="J47" s="243"/>
      <c r="K47" s="244"/>
      <c r="L47" s="244"/>
      <c r="M47" s="244"/>
      <c r="N47" s="172"/>
      <c r="P47" s="164" t="s">
        <v>55</v>
      </c>
      <c r="Q47" s="164" t="s">
        <v>76</v>
      </c>
    </row>
    <row r="48" spans="1:17" s="148" customFormat="1" ht="23.25" customHeight="1" thickBot="1" x14ac:dyDescent="0.35">
      <c r="B48" s="173"/>
      <c r="C48" s="174"/>
      <c r="D48" s="175" t="s">
        <v>28</v>
      </c>
      <c r="E48" s="176">
        <v>1127.3470000000002</v>
      </c>
      <c r="F48" s="245"/>
      <c r="G48" s="246">
        <f>SUM(G46:G47)</f>
        <v>54000</v>
      </c>
      <c r="H48" s="177"/>
      <c r="I48" s="247">
        <f>SUM(I46:I47)</f>
        <v>1127.347</v>
      </c>
      <c r="J48" s="177"/>
      <c r="K48" s="177"/>
      <c r="L48" s="177"/>
      <c r="M48" s="177"/>
      <c r="N48" s="179"/>
      <c r="P48" s="164" t="s">
        <v>55</v>
      </c>
      <c r="Q48" s="164" t="s">
        <v>76</v>
      </c>
    </row>
    <row r="49" spans="1:17" ht="8.25" customHeight="1" thickBot="1" x14ac:dyDescent="0.35">
      <c r="D49" s="24"/>
      <c r="F49" s="33"/>
      <c r="G49" s="48"/>
      <c r="I49" s="42"/>
      <c r="K49" s="2"/>
      <c r="L49" s="2"/>
      <c r="M49" s="2"/>
    </row>
    <row r="50" spans="1:17" s="148" customFormat="1" ht="23.25" customHeight="1" x14ac:dyDescent="0.3">
      <c r="B50" s="223">
        <v>9</v>
      </c>
      <c r="C50" s="224" t="s">
        <v>37</v>
      </c>
      <c r="D50" s="154" t="s">
        <v>41</v>
      </c>
      <c r="E50" s="225">
        <v>3461.1750000000002</v>
      </c>
      <c r="F50" s="225">
        <f>G50/E50</f>
        <v>19.270964340144602</v>
      </c>
      <c r="G50" s="225">
        <v>66700.179999999993</v>
      </c>
      <c r="H50" s="153">
        <v>45369</v>
      </c>
      <c r="I50" s="213">
        <v>3461.1750000000002</v>
      </c>
      <c r="J50" s="213">
        <v>21.422000000000001</v>
      </c>
      <c r="K50" s="213">
        <v>74145.3</v>
      </c>
      <c r="L50" s="180">
        <f>K50-G50</f>
        <v>7445.1200000000099</v>
      </c>
      <c r="M50" s="154" t="s">
        <v>24</v>
      </c>
      <c r="N50" s="226" t="s">
        <v>40</v>
      </c>
      <c r="P50" s="164" t="s">
        <v>55</v>
      </c>
      <c r="Q50" s="164" t="s">
        <v>75</v>
      </c>
    </row>
    <row r="51" spans="1:17" s="148" customFormat="1" ht="23.25" customHeight="1" thickBot="1" x14ac:dyDescent="0.35">
      <c r="B51" s="227"/>
      <c r="C51" s="228"/>
      <c r="D51" s="229" t="s">
        <v>47</v>
      </c>
      <c r="E51" s="230">
        <v>4655.2610000000004</v>
      </c>
      <c r="F51" s="231">
        <v>21.48</v>
      </c>
      <c r="G51" s="231">
        <v>99995</v>
      </c>
      <c r="H51" s="232"/>
      <c r="I51" s="177"/>
      <c r="J51" s="177"/>
      <c r="K51" s="177"/>
      <c r="L51" s="177"/>
      <c r="M51" s="177"/>
      <c r="N51" s="233"/>
    </row>
    <row r="52" spans="1:17" ht="8.25" customHeight="1" thickBot="1" x14ac:dyDescent="0.35">
      <c r="D52" s="24"/>
      <c r="F52" s="33"/>
      <c r="G52" s="48"/>
      <c r="I52" s="42"/>
      <c r="K52" s="2"/>
      <c r="L52" s="2"/>
      <c r="M52" s="2"/>
    </row>
    <row r="53" spans="1:17" s="148" customFormat="1" ht="23.25" customHeight="1" x14ac:dyDescent="0.3">
      <c r="B53" s="165">
        <v>10</v>
      </c>
      <c r="C53" s="166" t="s">
        <v>17</v>
      </c>
      <c r="D53" s="217" t="s">
        <v>33</v>
      </c>
      <c r="E53" s="194">
        <v>698.78899999999999</v>
      </c>
      <c r="F53" s="194">
        <v>34.345131362972225</v>
      </c>
      <c r="G53" s="194">
        <v>24000</v>
      </c>
      <c r="H53" s="153">
        <v>45265</v>
      </c>
      <c r="I53" s="154">
        <v>987.86800000000005</v>
      </c>
      <c r="J53" s="154">
        <v>67.52</v>
      </c>
      <c r="K53" s="154">
        <v>66700.850000000006</v>
      </c>
      <c r="L53" s="156"/>
      <c r="M53" s="157">
        <f>K53-G57</f>
        <v>33700.850000000006</v>
      </c>
      <c r="N53" s="167" t="s">
        <v>40</v>
      </c>
      <c r="P53" s="164" t="s">
        <v>55</v>
      </c>
      <c r="Q53" s="164" t="s">
        <v>74</v>
      </c>
    </row>
    <row r="54" spans="1:17" s="148" customFormat="1" ht="23.25" customHeight="1" x14ac:dyDescent="0.3">
      <c r="B54" s="168"/>
      <c r="C54" s="169"/>
      <c r="D54" s="158">
        <v>43941</v>
      </c>
      <c r="E54" s="210">
        <v>103.057</v>
      </c>
      <c r="F54" s="210">
        <v>29.11</v>
      </c>
      <c r="G54" s="210">
        <v>3000</v>
      </c>
      <c r="H54" s="218"/>
      <c r="I54" s="219"/>
      <c r="J54" s="219"/>
      <c r="K54" s="219"/>
      <c r="L54" s="219"/>
      <c r="M54" s="219"/>
      <c r="N54" s="172"/>
      <c r="P54" s="164" t="s">
        <v>55</v>
      </c>
      <c r="Q54" s="164" t="s">
        <v>74</v>
      </c>
    </row>
    <row r="55" spans="1:17" s="148" customFormat="1" ht="23.25" customHeight="1" x14ac:dyDescent="0.3">
      <c r="B55" s="168"/>
      <c r="C55" s="169"/>
      <c r="D55" s="158">
        <v>44002</v>
      </c>
      <c r="E55" s="210">
        <v>95.117000000000004</v>
      </c>
      <c r="F55" s="210">
        <v>31.54</v>
      </c>
      <c r="G55" s="210">
        <v>3000</v>
      </c>
      <c r="H55" s="218"/>
      <c r="I55" s="219"/>
      <c r="J55" s="219"/>
      <c r="K55" s="219"/>
      <c r="L55" s="219"/>
      <c r="M55" s="219"/>
      <c r="N55" s="172"/>
      <c r="P55" s="164" t="s">
        <v>55</v>
      </c>
      <c r="Q55" s="164" t="s">
        <v>74</v>
      </c>
    </row>
    <row r="56" spans="1:17" s="148" customFormat="1" ht="23.25" customHeight="1" x14ac:dyDescent="0.3">
      <c r="B56" s="168"/>
      <c r="C56" s="169"/>
      <c r="D56" s="158">
        <v>44032</v>
      </c>
      <c r="E56" s="210">
        <v>90.905000000000001</v>
      </c>
      <c r="F56" s="210">
        <v>33</v>
      </c>
      <c r="G56" s="210">
        <v>3000</v>
      </c>
      <c r="H56" s="218"/>
      <c r="I56" s="219"/>
      <c r="J56" s="219"/>
      <c r="K56" s="219"/>
      <c r="L56" s="219"/>
      <c r="M56" s="219"/>
      <c r="N56" s="172"/>
      <c r="P56" s="164" t="s">
        <v>55</v>
      </c>
      <c r="Q56" s="164" t="s">
        <v>74</v>
      </c>
    </row>
    <row r="57" spans="1:17" s="148" customFormat="1" ht="23.25" customHeight="1" thickBot="1" x14ac:dyDescent="0.35">
      <c r="B57" s="173"/>
      <c r="C57" s="174"/>
      <c r="D57" s="220" t="s">
        <v>23</v>
      </c>
      <c r="E57" s="221">
        <f>SUM(E53:E56)</f>
        <v>987.86799999999994</v>
      </c>
      <c r="F57" s="222">
        <f>G57/E57</f>
        <v>33.405272769236376</v>
      </c>
      <c r="G57" s="222">
        <f>SUM(G53:G56)</f>
        <v>33000</v>
      </c>
      <c r="H57" s="220"/>
      <c r="I57" s="184">
        <f>SUM(I53:I56)</f>
        <v>987.86800000000005</v>
      </c>
      <c r="J57" s="186"/>
      <c r="K57" s="186"/>
      <c r="L57" s="186"/>
      <c r="M57" s="186"/>
      <c r="N57" s="179"/>
      <c r="P57" s="164" t="s">
        <v>55</v>
      </c>
      <c r="Q57" s="164" t="s">
        <v>74</v>
      </c>
    </row>
    <row r="58" spans="1:17" ht="9" customHeight="1" thickBot="1" x14ac:dyDescent="0.35">
      <c r="E58" s="32"/>
      <c r="F58" s="33"/>
      <c r="H58" s="24"/>
      <c r="K58" s="2"/>
      <c r="L58" s="2"/>
      <c r="M58" s="2"/>
    </row>
    <row r="59" spans="1:17" ht="23.25" customHeight="1" x14ac:dyDescent="0.3">
      <c r="A59" s="53"/>
      <c r="B59" s="113">
        <v>11</v>
      </c>
      <c r="C59" s="111" t="s">
        <v>46</v>
      </c>
      <c r="D59" s="54" t="s">
        <v>45</v>
      </c>
      <c r="E59" s="54">
        <v>3361.1089999999999</v>
      </c>
      <c r="F59" s="54">
        <v>14.875299999999999</v>
      </c>
      <c r="G59" s="54">
        <v>49997.5</v>
      </c>
      <c r="H59" s="3"/>
      <c r="I59" s="3"/>
      <c r="J59" s="3"/>
      <c r="K59" s="3"/>
      <c r="L59" s="3"/>
      <c r="M59" s="3"/>
      <c r="N59" s="26" t="s">
        <v>40</v>
      </c>
    </row>
    <row r="60" spans="1:17" ht="23.25" customHeight="1" thickBot="1" x14ac:dyDescent="0.35">
      <c r="B60" s="114"/>
      <c r="C60" s="112"/>
      <c r="D60" s="6"/>
      <c r="E60" s="73">
        <f>SUM(E59)</f>
        <v>3361.1089999999999</v>
      </c>
      <c r="F60" s="31"/>
      <c r="G60" s="6"/>
      <c r="H60" s="7"/>
      <c r="I60" s="8"/>
      <c r="J60" s="6"/>
      <c r="K60" s="6"/>
      <c r="L60" s="6"/>
      <c r="M60" s="6"/>
      <c r="N60" s="27"/>
    </row>
    <row r="61" spans="1:17" ht="7.5" customHeight="1" thickBot="1" x14ac:dyDescent="0.35">
      <c r="E61" s="32"/>
      <c r="F61" s="33"/>
      <c r="H61" s="24"/>
      <c r="K61" s="2"/>
      <c r="L61" s="2"/>
      <c r="M61" s="2"/>
    </row>
    <row r="62" spans="1:17" ht="23.25" customHeight="1" x14ac:dyDescent="0.3">
      <c r="B62" s="120">
        <v>12</v>
      </c>
      <c r="C62" s="117" t="s">
        <v>36</v>
      </c>
      <c r="D62" s="68" t="s">
        <v>34</v>
      </c>
      <c r="E62" s="44">
        <v>5086.2349999999997</v>
      </c>
      <c r="F62" s="44">
        <v>7.8643633257212855</v>
      </c>
      <c r="G62" s="44">
        <v>40000</v>
      </c>
      <c r="H62" s="44"/>
      <c r="I62" s="44"/>
      <c r="J62" s="3"/>
      <c r="K62" s="43"/>
      <c r="L62" s="43"/>
      <c r="M62" s="43"/>
      <c r="N62" s="122" t="s">
        <v>9</v>
      </c>
    </row>
    <row r="63" spans="1:17" ht="23.25" customHeight="1" thickBot="1" x14ac:dyDescent="0.35">
      <c r="B63" s="121"/>
      <c r="C63" s="119"/>
      <c r="D63" s="58"/>
      <c r="E63" s="99">
        <f>SUM(E62)</f>
        <v>5086.2349999999997</v>
      </c>
      <c r="F63" s="59"/>
      <c r="G63" s="60"/>
      <c r="H63" s="6"/>
      <c r="I63" s="8"/>
      <c r="J63" s="6"/>
      <c r="K63" s="8"/>
      <c r="L63" s="8"/>
      <c r="M63" s="8"/>
      <c r="N63" s="123"/>
    </row>
    <row r="64" spans="1:17" ht="7.5" customHeight="1" thickBot="1" x14ac:dyDescent="0.35">
      <c r="E64" s="32"/>
      <c r="F64" s="33"/>
      <c r="H64" s="24"/>
      <c r="K64" s="2"/>
      <c r="L64" s="2"/>
      <c r="M64" s="2"/>
    </row>
    <row r="65" spans="1:17" ht="23.25" customHeight="1" x14ac:dyDescent="0.3">
      <c r="A65" s="53"/>
      <c r="B65" s="113">
        <v>13</v>
      </c>
      <c r="C65" s="111" t="s">
        <v>44</v>
      </c>
      <c r="D65" s="54" t="s">
        <v>41</v>
      </c>
      <c r="E65" s="54">
        <v>256.55900000000003</v>
      </c>
      <c r="F65" s="54">
        <v>97.800899999999999</v>
      </c>
      <c r="G65" s="54">
        <v>25091.7</v>
      </c>
      <c r="H65" s="3"/>
      <c r="I65" s="3"/>
      <c r="J65" s="3"/>
      <c r="K65" s="3"/>
      <c r="L65" s="3"/>
      <c r="M65" s="3"/>
      <c r="N65" s="26" t="s">
        <v>40</v>
      </c>
    </row>
    <row r="66" spans="1:17" ht="23.25" customHeight="1" thickBot="1" x14ac:dyDescent="0.35">
      <c r="B66" s="114"/>
      <c r="C66" s="112"/>
      <c r="D66" s="6"/>
      <c r="E66" s="73">
        <f>SUM(E65)</f>
        <v>256.55900000000003</v>
      </c>
      <c r="F66" s="31"/>
      <c r="G66" s="6"/>
      <c r="H66" s="7"/>
      <c r="I66" s="8"/>
      <c r="J66" s="6"/>
      <c r="K66" s="6"/>
      <c r="L66" s="6"/>
      <c r="M66" s="6"/>
      <c r="N66" s="27"/>
    </row>
    <row r="67" spans="1:17" ht="7.5" customHeight="1" thickBot="1" x14ac:dyDescent="0.35">
      <c r="D67" s="28"/>
      <c r="H67" s="24"/>
      <c r="K67" s="2"/>
      <c r="L67" s="2"/>
      <c r="M67" s="2"/>
    </row>
    <row r="68" spans="1:17" s="148" customFormat="1" ht="23.25" customHeight="1" x14ac:dyDescent="0.3">
      <c r="B68" s="165">
        <v>14</v>
      </c>
      <c r="C68" s="166" t="s">
        <v>21</v>
      </c>
      <c r="D68" s="149">
        <v>44235</v>
      </c>
      <c r="E68" s="208">
        <v>65.677000000000007</v>
      </c>
      <c r="F68" s="208">
        <v>45.676000000000002</v>
      </c>
      <c r="G68" s="208">
        <v>3000</v>
      </c>
      <c r="H68" s="153">
        <v>45265</v>
      </c>
      <c r="I68" s="209">
        <v>385.69900000000001</v>
      </c>
      <c r="J68" s="209">
        <v>65.058400000000006</v>
      </c>
      <c r="K68" s="209">
        <v>25092.95</v>
      </c>
      <c r="L68" s="194"/>
      <c r="M68" s="194">
        <f>K68-G71</f>
        <v>7092.9500000000007</v>
      </c>
      <c r="N68" s="167" t="s">
        <v>22</v>
      </c>
      <c r="P68" s="148" t="s">
        <v>65</v>
      </c>
      <c r="Q68" s="164" t="s">
        <v>72</v>
      </c>
    </row>
    <row r="69" spans="1:17" s="148" customFormat="1" ht="23.25" customHeight="1" x14ac:dyDescent="0.3">
      <c r="B69" s="168"/>
      <c r="C69" s="169"/>
      <c r="D69" s="158">
        <v>44263</v>
      </c>
      <c r="E69" s="210">
        <v>65.025999999999996</v>
      </c>
      <c r="F69" s="210">
        <v>46.133000000000003</v>
      </c>
      <c r="G69" s="210">
        <v>3000</v>
      </c>
      <c r="H69" s="200"/>
      <c r="I69" s="200"/>
      <c r="J69" s="200"/>
      <c r="K69" s="211"/>
      <c r="L69" s="200"/>
      <c r="M69" s="200"/>
      <c r="N69" s="172"/>
      <c r="P69" s="148" t="s">
        <v>65</v>
      </c>
      <c r="Q69" s="164" t="s">
        <v>72</v>
      </c>
    </row>
    <row r="70" spans="1:17" s="148" customFormat="1" ht="23.25" customHeight="1" x14ac:dyDescent="0.3">
      <c r="B70" s="168"/>
      <c r="C70" s="169"/>
      <c r="D70" s="158" t="s">
        <v>26</v>
      </c>
      <c r="E70" s="212">
        <v>254.99600000000001</v>
      </c>
      <c r="F70" s="212">
        <f>G70/E70</f>
        <v>47.059561718615193</v>
      </c>
      <c r="G70" s="212">
        <v>12000</v>
      </c>
      <c r="H70" s="200"/>
      <c r="I70" s="200"/>
      <c r="J70" s="200"/>
      <c r="K70" s="200"/>
      <c r="L70" s="200"/>
      <c r="M70" s="200"/>
      <c r="N70" s="172"/>
      <c r="P70" s="148" t="s">
        <v>65</v>
      </c>
      <c r="Q70" s="164" t="s">
        <v>72</v>
      </c>
    </row>
    <row r="71" spans="1:17" s="148" customFormat="1" ht="23.25" customHeight="1" thickBot="1" x14ac:dyDescent="0.35">
      <c r="B71" s="173"/>
      <c r="C71" s="174"/>
      <c r="D71" s="175" t="s">
        <v>23</v>
      </c>
      <c r="E71" s="176">
        <f>SUM(E68:E70)</f>
        <v>385.69900000000001</v>
      </c>
      <c r="F71" s="206">
        <f>G71/E71</f>
        <v>46.668516122675975</v>
      </c>
      <c r="G71" s="206">
        <f>SUM(G68:G70)</f>
        <v>18000</v>
      </c>
      <c r="H71" s="206"/>
      <c r="I71" s="176">
        <f>SUM(I68:I70)</f>
        <v>385.69900000000001</v>
      </c>
      <c r="J71" s="206"/>
      <c r="K71" s="206"/>
      <c r="L71" s="206"/>
      <c r="M71" s="206"/>
      <c r="N71" s="179"/>
      <c r="P71" s="148" t="s">
        <v>65</v>
      </c>
      <c r="Q71" s="164" t="s">
        <v>72</v>
      </c>
    </row>
    <row r="72" spans="1:17" ht="8.25" customHeight="1" thickBot="1" x14ac:dyDescent="0.35">
      <c r="D72" s="28"/>
      <c r="H72" s="24"/>
      <c r="K72" s="2"/>
      <c r="L72" s="2"/>
      <c r="M72" s="2"/>
    </row>
    <row r="73" spans="1:17" ht="23.25" customHeight="1" x14ac:dyDescent="0.3">
      <c r="A73" s="53"/>
      <c r="B73" s="113">
        <v>15</v>
      </c>
      <c r="C73" s="111" t="s">
        <v>43</v>
      </c>
      <c r="D73" s="54" t="s">
        <v>41</v>
      </c>
      <c r="E73" s="54">
        <v>6407.5680000000002</v>
      </c>
      <c r="F73" s="56">
        <v>11.105</v>
      </c>
      <c r="G73" s="56">
        <v>71156.039999999994</v>
      </c>
      <c r="H73" s="3"/>
      <c r="I73" s="3"/>
      <c r="J73" s="3"/>
      <c r="K73" s="3"/>
      <c r="L73" s="3"/>
      <c r="M73" s="3"/>
      <c r="N73" s="26" t="s">
        <v>40</v>
      </c>
    </row>
    <row r="74" spans="1:17" ht="23.25" customHeight="1" thickBot="1" x14ac:dyDescent="0.35">
      <c r="B74" s="114"/>
      <c r="C74" s="112"/>
      <c r="D74" s="34"/>
      <c r="E74" s="69">
        <f>SUM(E73)</f>
        <v>6407.5680000000002</v>
      </c>
      <c r="F74" s="6"/>
      <c r="G74" s="6"/>
      <c r="H74" s="7"/>
      <c r="I74" s="8"/>
      <c r="J74" s="6"/>
      <c r="K74" s="6"/>
      <c r="L74" s="6"/>
      <c r="M74" s="6"/>
      <c r="N74" s="27"/>
    </row>
    <row r="75" spans="1:17" ht="6" customHeight="1" thickBot="1" x14ac:dyDescent="0.35">
      <c r="B75" s="74"/>
      <c r="C75" s="75"/>
      <c r="D75" s="28"/>
      <c r="H75" s="24"/>
      <c r="K75" s="2"/>
      <c r="L75" s="2"/>
      <c r="M75" s="2"/>
    </row>
    <row r="76" spans="1:17" ht="23.25" customHeight="1" x14ac:dyDescent="0.3">
      <c r="B76" s="113">
        <v>16</v>
      </c>
      <c r="C76" s="128" t="s">
        <v>64</v>
      </c>
      <c r="D76" s="91">
        <v>45366</v>
      </c>
      <c r="E76" s="102">
        <v>68.495000000000005</v>
      </c>
      <c r="F76" s="102">
        <v>102.19724067450178</v>
      </c>
      <c r="G76" s="102">
        <v>7000</v>
      </c>
      <c r="H76" s="78"/>
      <c r="I76" s="43"/>
      <c r="J76" s="3"/>
      <c r="K76" s="3"/>
      <c r="L76" s="3"/>
      <c r="M76" s="3"/>
      <c r="N76" s="26" t="s">
        <v>65</v>
      </c>
    </row>
    <row r="77" spans="1:17" ht="23.25" customHeight="1" thickBot="1" x14ac:dyDescent="0.35">
      <c r="B77" s="114"/>
      <c r="C77" s="129"/>
      <c r="D77" s="34"/>
      <c r="E77" s="69">
        <f>SUM(E76)</f>
        <v>68.495000000000005</v>
      </c>
      <c r="F77" s="6"/>
      <c r="G77" s="6"/>
      <c r="H77" s="7"/>
      <c r="I77" s="8"/>
      <c r="J77" s="6"/>
      <c r="K77" s="6"/>
      <c r="L77" s="6"/>
      <c r="M77" s="6"/>
      <c r="N77" s="27"/>
    </row>
    <row r="78" spans="1:17" ht="6" customHeight="1" thickBot="1" x14ac:dyDescent="0.35">
      <c r="B78" s="74"/>
      <c r="C78" s="75"/>
      <c r="D78" s="28"/>
      <c r="H78" s="24"/>
      <c r="K78" s="2"/>
      <c r="L78" s="2"/>
      <c r="M78" s="2"/>
    </row>
    <row r="79" spans="1:17" s="148" customFormat="1" ht="21.75" customHeight="1" x14ac:dyDescent="0.3">
      <c r="B79" s="165">
        <v>17</v>
      </c>
      <c r="C79" s="166" t="s">
        <v>18</v>
      </c>
      <c r="D79" s="149">
        <v>43944</v>
      </c>
      <c r="E79" s="150">
        <v>216.26300000000001</v>
      </c>
      <c r="F79" s="151">
        <v>13.872</v>
      </c>
      <c r="G79" s="152">
        <v>3000</v>
      </c>
      <c r="H79" s="153">
        <v>45265</v>
      </c>
      <c r="I79" s="213">
        <v>2550.64</v>
      </c>
      <c r="J79" s="213">
        <v>27.899000000000001</v>
      </c>
      <c r="K79" s="213">
        <v>71160.31</v>
      </c>
      <c r="L79" s="156"/>
      <c r="M79" s="156">
        <f>K79-G92</f>
        <v>24068.639999999999</v>
      </c>
      <c r="N79" s="167" t="s">
        <v>40</v>
      </c>
      <c r="P79" s="164" t="s">
        <v>55</v>
      </c>
      <c r="Q79" s="164" t="s">
        <v>73</v>
      </c>
    </row>
    <row r="80" spans="1:17" s="148" customFormat="1" ht="21.75" customHeight="1" x14ac:dyDescent="0.3">
      <c r="B80" s="168"/>
      <c r="C80" s="169"/>
      <c r="D80" s="214">
        <v>44005</v>
      </c>
      <c r="E80" s="215">
        <v>195.14699999999999</v>
      </c>
      <c r="F80" s="215">
        <v>15.372999999999999</v>
      </c>
      <c r="G80" s="215">
        <v>3000</v>
      </c>
      <c r="H80" s="216"/>
      <c r="I80" s="200"/>
      <c r="J80" s="171"/>
      <c r="K80" s="171"/>
      <c r="L80" s="171"/>
      <c r="M80" s="171"/>
      <c r="N80" s="172"/>
      <c r="P80" s="164" t="s">
        <v>55</v>
      </c>
      <c r="Q80" s="164" t="s">
        <v>73</v>
      </c>
    </row>
    <row r="81" spans="2:17" s="148" customFormat="1" ht="21.75" customHeight="1" x14ac:dyDescent="0.3">
      <c r="B81" s="168"/>
      <c r="C81" s="169"/>
      <c r="D81" s="158">
        <v>44035</v>
      </c>
      <c r="E81" s="159">
        <v>181.67699999999999</v>
      </c>
      <c r="F81" s="160">
        <v>16.512</v>
      </c>
      <c r="G81" s="161">
        <v>3000</v>
      </c>
      <c r="H81" s="216"/>
      <c r="I81" s="200"/>
      <c r="J81" s="171"/>
      <c r="K81" s="171"/>
      <c r="L81" s="171"/>
      <c r="M81" s="171"/>
      <c r="N81" s="172"/>
      <c r="P81" s="164" t="s">
        <v>55</v>
      </c>
      <c r="Q81" s="164" t="s">
        <v>73</v>
      </c>
    </row>
    <row r="82" spans="2:17" s="148" customFormat="1" ht="21.75" customHeight="1" x14ac:dyDescent="0.3">
      <c r="B82" s="168"/>
      <c r="C82" s="169"/>
      <c r="D82" s="158">
        <v>44067</v>
      </c>
      <c r="E82" s="159">
        <v>174.959</v>
      </c>
      <c r="F82" s="160">
        <v>17.146000000000001</v>
      </c>
      <c r="G82" s="161">
        <v>3000</v>
      </c>
      <c r="H82" s="216"/>
      <c r="I82" s="200"/>
      <c r="J82" s="171"/>
      <c r="K82" s="171"/>
      <c r="L82" s="171"/>
      <c r="M82" s="171"/>
      <c r="N82" s="172"/>
      <c r="P82" s="164" t="s">
        <v>55</v>
      </c>
      <c r="Q82" s="164" t="s">
        <v>73</v>
      </c>
    </row>
    <row r="83" spans="2:17" s="148" customFormat="1" ht="21.75" customHeight="1" x14ac:dyDescent="0.3">
      <c r="B83" s="168"/>
      <c r="C83" s="169"/>
      <c r="D83" s="158">
        <v>44097</v>
      </c>
      <c r="E83" s="159">
        <v>180.79</v>
      </c>
      <c r="F83" s="160">
        <v>16.593</v>
      </c>
      <c r="G83" s="161">
        <v>3000</v>
      </c>
      <c r="H83" s="216"/>
      <c r="I83" s="200"/>
      <c r="J83" s="171"/>
      <c r="K83" s="171"/>
      <c r="L83" s="171"/>
      <c r="M83" s="171"/>
      <c r="N83" s="172"/>
      <c r="P83" s="164" t="s">
        <v>55</v>
      </c>
      <c r="Q83" s="164" t="s">
        <v>73</v>
      </c>
    </row>
    <row r="84" spans="2:17" s="148" customFormat="1" ht="21.75" customHeight="1" x14ac:dyDescent="0.3">
      <c r="B84" s="168"/>
      <c r="C84" s="169"/>
      <c r="D84" s="158">
        <v>44127</v>
      </c>
      <c r="E84" s="159">
        <v>169.97300000000001</v>
      </c>
      <c r="F84" s="160">
        <v>17.649000000000001</v>
      </c>
      <c r="G84" s="161">
        <v>3000</v>
      </c>
      <c r="H84" s="216"/>
      <c r="I84" s="200"/>
      <c r="J84" s="171"/>
      <c r="K84" s="171"/>
      <c r="L84" s="171"/>
      <c r="M84" s="171"/>
      <c r="N84" s="172"/>
      <c r="P84" s="164" t="s">
        <v>55</v>
      </c>
      <c r="Q84" s="164" t="s">
        <v>73</v>
      </c>
    </row>
    <row r="85" spans="2:17" s="148" customFormat="1" ht="21.75" customHeight="1" x14ac:dyDescent="0.3">
      <c r="B85" s="168"/>
      <c r="C85" s="169"/>
      <c r="D85" s="158">
        <v>44158</v>
      </c>
      <c r="E85" s="159">
        <v>159.35499999999999</v>
      </c>
      <c r="F85" s="160">
        <v>18.824999999999999</v>
      </c>
      <c r="G85" s="161">
        <v>3000</v>
      </c>
      <c r="H85" s="216"/>
      <c r="I85" s="200"/>
      <c r="J85" s="171"/>
      <c r="K85" s="171"/>
      <c r="L85" s="171"/>
      <c r="M85" s="171"/>
      <c r="N85" s="172"/>
      <c r="P85" s="164" t="s">
        <v>55</v>
      </c>
      <c r="Q85" s="164" t="s">
        <v>73</v>
      </c>
    </row>
    <row r="86" spans="2:17" s="148" customFormat="1" ht="21.75" customHeight="1" x14ac:dyDescent="0.3">
      <c r="B86" s="168"/>
      <c r="C86" s="169"/>
      <c r="D86" s="158">
        <v>44188</v>
      </c>
      <c r="E86" s="159">
        <v>151.922</v>
      </c>
      <c r="F86" s="160">
        <v>19.745999999999999</v>
      </c>
      <c r="G86" s="161">
        <v>3000</v>
      </c>
      <c r="H86" s="216"/>
      <c r="I86" s="200"/>
      <c r="J86" s="171"/>
      <c r="K86" s="171"/>
      <c r="L86" s="171"/>
      <c r="M86" s="171"/>
      <c r="N86" s="172"/>
      <c r="P86" s="164" t="s">
        <v>55</v>
      </c>
      <c r="Q86" s="164" t="s">
        <v>73</v>
      </c>
    </row>
    <row r="87" spans="2:17" s="148" customFormat="1" ht="21.75" customHeight="1" x14ac:dyDescent="0.3">
      <c r="B87" s="168"/>
      <c r="C87" s="169"/>
      <c r="D87" s="158">
        <v>44219</v>
      </c>
      <c r="E87" s="159">
        <v>144.404</v>
      </c>
      <c r="F87" s="160">
        <v>20.774000000000001</v>
      </c>
      <c r="G87" s="161">
        <v>3000</v>
      </c>
      <c r="H87" s="216"/>
      <c r="I87" s="200"/>
      <c r="J87" s="171"/>
      <c r="K87" s="171"/>
      <c r="L87" s="171"/>
      <c r="M87" s="171"/>
      <c r="N87" s="172"/>
      <c r="P87" s="164" t="s">
        <v>55</v>
      </c>
      <c r="Q87" s="164" t="s">
        <v>73</v>
      </c>
    </row>
    <row r="88" spans="2:17" s="148" customFormat="1" ht="21.75" customHeight="1" x14ac:dyDescent="0.3">
      <c r="B88" s="168"/>
      <c r="C88" s="169"/>
      <c r="D88" s="158">
        <v>44250</v>
      </c>
      <c r="E88" s="159">
        <v>139.59899999999999</v>
      </c>
      <c r="F88" s="160">
        <v>21.489000000000001</v>
      </c>
      <c r="G88" s="161">
        <v>3000</v>
      </c>
      <c r="H88" s="216"/>
      <c r="I88" s="200"/>
      <c r="J88" s="171"/>
      <c r="K88" s="171"/>
      <c r="L88" s="171"/>
      <c r="M88" s="171"/>
      <c r="N88" s="172"/>
      <c r="P88" s="164" t="s">
        <v>55</v>
      </c>
      <c r="Q88" s="164" t="s">
        <v>73</v>
      </c>
    </row>
    <row r="89" spans="2:17" s="148" customFormat="1" ht="21.75" customHeight="1" x14ac:dyDescent="0.3">
      <c r="B89" s="168"/>
      <c r="C89" s="169"/>
      <c r="D89" s="158">
        <v>44278</v>
      </c>
      <c r="E89" s="159">
        <v>255.017</v>
      </c>
      <c r="F89" s="160">
        <v>19.966000000000001</v>
      </c>
      <c r="G89" s="161">
        <v>5091.67</v>
      </c>
      <c r="H89" s="216"/>
      <c r="I89" s="200"/>
      <c r="J89" s="171"/>
      <c r="K89" s="171"/>
      <c r="L89" s="171"/>
      <c r="M89" s="171"/>
      <c r="N89" s="172"/>
      <c r="P89" s="164" t="s">
        <v>55</v>
      </c>
      <c r="Q89" s="164" t="s">
        <v>73</v>
      </c>
    </row>
    <row r="90" spans="2:17" s="148" customFormat="1" ht="21.75" customHeight="1" x14ac:dyDescent="0.3">
      <c r="B90" s="168"/>
      <c r="C90" s="169"/>
      <c r="D90" s="158">
        <v>44278</v>
      </c>
      <c r="E90" s="159">
        <v>138.779</v>
      </c>
      <c r="F90" s="160">
        <v>21.616</v>
      </c>
      <c r="G90" s="161">
        <v>3000</v>
      </c>
      <c r="H90" s="216"/>
      <c r="I90" s="200"/>
      <c r="J90" s="171"/>
      <c r="K90" s="171"/>
      <c r="L90" s="171"/>
      <c r="M90" s="171"/>
      <c r="N90" s="172"/>
      <c r="P90" s="164" t="s">
        <v>55</v>
      </c>
      <c r="Q90" s="164" t="s">
        <v>73</v>
      </c>
    </row>
    <row r="91" spans="2:17" s="148" customFormat="1" ht="21.75" customHeight="1" x14ac:dyDescent="0.3">
      <c r="B91" s="168"/>
      <c r="C91" s="169"/>
      <c r="D91" s="158" t="s">
        <v>26</v>
      </c>
      <c r="E91" s="162">
        <v>442.755</v>
      </c>
      <c r="F91" s="162">
        <f>G91/E91</f>
        <v>20.327269031405631</v>
      </c>
      <c r="G91" s="162">
        <v>9000</v>
      </c>
      <c r="H91" s="216"/>
      <c r="I91" s="200"/>
      <c r="J91" s="171"/>
      <c r="K91" s="171"/>
      <c r="L91" s="171"/>
      <c r="M91" s="171"/>
      <c r="N91" s="172"/>
      <c r="P91" s="164" t="s">
        <v>55</v>
      </c>
      <c r="Q91" s="164" t="s">
        <v>73</v>
      </c>
    </row>
    <row r="92" spans="2:17" s="148" customFormat="1" ht="21.75" customHeight="1" thickBot="1" x14ac:dyDescent="0.35">
      <c r="B92" s="173"/>
      <c r="C92" s="174"/>
      <c r="D92" s="175" t="s">
        <v>23</v>
      </c>
      <c r="E92" s="176">
        <f>SUM(E79:E91)</f>
        <v>2550.6400000000003</v>
      </c>
      <c r="F92" s="186">
        <f>G92/E92</f>
        <v>18.462687796004136</v>
      </c>
      <c r="G92" s="177">
        <f>SUM(G79:G91)</f>
        <v>47091.67</v>
      </c>
      <c r="H92" s="175"/>
      <c r="I92" s="176">
        <f>SUM(I79:I91)</f>
        <v>2550.64</v>
      </c>
      <c r="J92" s="177"/>
      <c r="K92" s="177"/>
      <c r="L92" s="177"/>
      <c r="M92" s="177"/>
      <c r="N92" s="179"/>
      <c r="P92" s="164" t="s">
        <v>55</v>
      </c>
      <c r="Q92" s="164" t="s">
        <v>73</v>
      </c>
    </row>
    <row r="93" spans="2:17" ht="9.75" customHeight="1" thickBot="1" x14ac:dyDescent="0.35">
      <c r="D93" s="24"/>
      <c r="E93" s="77"/>
      <c r="F93" s="76"/>
      <c r="H93" s="24"/>
      <c r="I93" s="77"/>
      <c r="K93" s="2"/>
      <c r="L93" s="2"/>
      <c r="M93" s="2"/>
    </row>
    <row r="94" spans="2:17" ht="21.75" customHeight="1" x14ac:dyDescent="0.3">
      <c r="B94" s="120">
        <v>18</v>
      </c>
      <c r="C94" s="117" t="s">
        <v>54</v>
      </c>
      <c r="D94" s="78">
        <v>45348</v>
      </c>
      <c r="E94" s="79">
        <v>38.548999999999999</v>
      </c>
      <c r="F94" s="3">
        <v>155.6460608576098</v>
      </c>
      <c r="G94" s="3">
        <v>6000</v>
      </c>
      <c r="H94" s="78" t="s">
        <v>24</v>
      </c>
      <c r="I94" s="3"/>
      <c r="J94" s="3"/>
      <c r="K94" s="3"/>
      <c r="L94" s="3"/>
      <c r="M94" s="3"/>
      <c r="N94" s="26" t="s">
        <v>55</v>
      </c>
    </row>
    <row r="95" spans="2:17" ht="21.75" customHeight="1" thickBot="1" x14ac:dyDescent="0.35">
      <c r="B95" s="121"/>
      <c r="C95" s="119"/>
      <c r="D95" s="7"/>
      <c r="E95" s="69">
        <f>SUM(E94)</f>
        <v>38.548999999999999</v>
      </c>
      <c r="F95" s="61"/>
      <c r="G95" s="6"/>
      <c r="H95" s="7"/>
      <c r="I95" s="72"/>
      <c r="J95" s="6"/>
      <c r="K95" s="6"/>
      <c r="L95" s="6"/>
      <c r="M95" s="6"/>
      <c r="N95" s="27"/>
    </row>
    <row r="96" spans="2:17" ht="9.75" customHeight="1" thickBot="1" x14ac:dyDescent="0.35">
      <c r="D96" s="24"/>
      <c r="E96" s="77"/>
      <c r="F96" s="76"/>
      <c r="H96" s="24"/>
      <c r="I96" s="77"/>
      <c r="K96" s="2"/>
      <c r="L96" s="2"/>
      <c r="M96" s="2"/>
    </row>
    <row r="97" spans="2:14" ht="21.75" customHeight="1" x14ac:dyDescent="0.3">
      <c r="B97" s="113">
        <v>19</v>
      </c>
      <c r="C97" s="111" t="s">
        <v>42</v>
      </c>
      <c r="D97" s="54" t="s">
        <v>41</v>
      </c>
      <c r="E97" s="54">
        <v>535.53399999999999</v>
      </c>
      <c r="F97" s="54">
        <v>224.0642</v>
      </c>
      <c r="G97" s="54">
        <v>119994</v>
      </c>
      <c r="H97" s="3"/>
      <c r="I97" s="3"/>
      <c r="J97" s="3"/>
      <c r="K97" s="3"/>
      <c r="L97" s="3"/>
      <c r="M97" s="3"/>
      <c r="N97" s="26" t="s">
        <v>40</v>
      </c>
    </row>
    <row r="98" spans="2:14" ht="21.75" customHeight="1" thickBot="1" x14ac:dyDescent="0.35">
      <c r="B98" s="114"/>
      <c r="C98" s="112"/>
      <c r="D98" s="34"/>
      <c r="E98" s="69">
        <f>SUM(E97)</f>
        <v>535.53399999999999</v>
      </c>
      <c r="F98" s="6"/>
      <c r="G98" s="6"/>
      <c r="H98" s="7"/>
      <c r="I98" s="8"/>
      <c r="J98" s="6"/>
      <c r="K98" s="6"/>
      <c r="L98" s="6"/>
      <c r="M98" s="6"/>
      <c r="N98" s="27"/>
    </row>
    <row r="99" spans="2:14" ht="9" customHeight="1" thickBot="1" x14ac:dyDescent="0.35">
      <c r="D99" s="24"/>
      <c r="E99" s="77"/>
      <c r="F99" s="76"/>
      <c r="H99" s="24"/>
      <c r="I99" s="77"/>
      <c r="K99" s="2"/>
      <c r="L99" s="2"/>
      <c r="M99" s="2"/>
    </row>
    <row r="100" spans="2:14" ht="21.75" customHeight="1" x14ac:dyDescent="0.3">
      <c r="B100" s="120">
        <v>20</v>
      </c>
      <c r="C100" s="117" t="s">
        <v>66</v>
      </c>
      <c r="D100" s="78">
        <v>45327</v>
      </c>
      <c r="E100" s="79">
        <v>722.39700000000005</v>
      </c>
      <c r="F100" s="80">
        <f>G100/E100</f>
        <v>11.766383304471086</v>
      </c>
      <c r="G100" s="3">
        <v>8500</v>
      </c>
      <c r="H100" s="78"/>
      <c r="I100" s="79"/>
      <c r="J100" s="3"/>
      <c r="K100" s="3"/>
      <c r="L100" s="3"/>
      <c r="M100" s="3"/>
      <c r="N100" s="26" t="s">
        <v>65</v>
      </c>
    </row>
    <row r="101" spans="2:14" ht="21.75" customHeight="1" thickBot="1" x14ac:dyDescent="0.35">
      <c r="B101" s="121"/>
      <c r="C101" s="119"/>
      <c r="D101" s="7"/>
      <c r="E101" s="69">
        <f>SUM(E100)</f>
        <v>722.39700000000005</v>
      </c>
      <c r="F101" s="61"/>
      <c r="G101" s="6"/>
      <c r="H101" s="7"/>
      <c r="I101" s="72"/>
      <c r="J101" s="6"/>
      <c r="K101" s="6"/>
      <c r="L101" s="6"/>
      <c r="M101" s="6"/>
      <c r="N101" s="27"/>
    </row>
    <row r="102" spans="2:14" ht="9" customHeight="1" thickBot="1" x14ac:dyDescent="0.35">
      <c r="D102" s="24"/>
      <c r="E102" s="77"/>
      <c r="F102" s="76"/>
      <c r="H102" s="24"/>
      <c r="I102" s="77"/>
      <c r="K102" s="2"/>
      <c r="L102" s="2"/>
      <c r="M102" s="2"/>
    </row>
    <row r="103" spans="2:14" ht="21.75" customHeight="1" x14ac:dyDescent="0.3">
      <c r="B103" s="106">
        <v>21</v>
      </c>
      <c r="C103" s="117" t="s">
        <v>67</v>
      </c>
      <c r="D103" s="95">
        <v>45377</v>
      </c>
      <c r="E103" s="100">
        <v>31.161999999999999</v>
      </c>
      <c r="F103" s="96">
        <v>224.63256530389577</v>
      </c>
      <c r="G103" s="3">
        <v>7000</v>
      </c>
      <c r="H103" s="35"/>
      <c r="I103" s="3"/>
      <c r="J103" s="3"/>
      <c r="K103" s="3"/>
      <c r="L103" s="3"/>
      <c r="M103" s="3"/>
      <c r="N103" s="26" t="s">
        <v>68</v>
      </c>
    </row>
    <row r="104" spans="2:14" ht="21.75" customHeight="1" thickBot="1" x14ac:dyDescent="0.35">
      <c r="B104" s="107"/>
      <c r="C104" s="119"/>
      <c r="D104" s="97" t="s">
        <v>24</v>
      </c>
      <c r="E104" s="101">
        <f>SUM(E103)</f>
        <v>31.161999999999999</v>
      </c>
      <c r="F104" s="6"/>
      <c r="G104" s="6"/>
      <c r="H104" s="22"/>
      <c r="I104" s="6"/>
      <c r="J104" s="6"/>
      <c r="K104" s="6"/>
      <c r="L104" s="6"/>
      <c r="M104" s="6"/>
      <c r="N104" s="27"/>
    </row>
    <row r="105" spans="2:14" ht="9.75" customHeight="1" thickBot="1" x14ac:dyDescent="0.35">
      <c r="D105" s="24"/>
      <c r="E105" s="77"/>
      <c r="F105" s="76"/>
      <c r="H105" s="24"/>
      <c r="I105" s="77"/>
      <c r="K105" s="2"/>
      <c r="L105" s="2"/>
      <c r="M105" s="2"/>
    </row>
    <row r="106" spans="2:14" ht="21.75" customHeight="1" x14ac:dyDescent="0.3">
      <c r="B106" s="120">
        <v>22</v>
      </c>
      <c r="C106" s="117" t="s">
        <v>25</v>
      </c>
      <c r="D106" s="47" t="s">
        <v>26</v>
      </c>
      <c r="E106" s="62">
        <v>108.649</v>
      </c>
      <c r="F106" s="63">
        <v>36.815801341935959</v>
      </c>
      <c r="G106" s="62">
        <v>4000</v>
      </c>
      <c r="H106" s="35"/>
      <c r="I106" s="3"/>
      <c r="J106" s="3"/>
      <c r="K106" s="36"/>
      <c r="L106" s="36"/>
      <c r="M106" s="36"/>
      <c r="N106" s="122" t="s">
        <v>9</v>
      </c>
    </row>
    <row r="107" spans="2:14" ht="21.75" customHeight="1" x14ac:dyDescent="0.3">
      <c r="B107" s="127"/>
      <c r="C107" s="118"/>
      <c r="D107" s="19" t="s">
        <v>29</v>
      </c>
      <c r="E107" s="64">
        <v>504.71099999999996</v>
      </c>
      <c r="F107" s="65">
        <v>31.701310254779472</v>
      </c>
      <c r="G107" s="64">
        <v>16000</v>
      </c>
      <c r="H107" s="4"/>
      <c r="I107" s="5"/>
      <c r="J107" s="5"/>
      <c r="K107" s="37"/>
      <c r="L107" s="37"/>
      <c r="M107" s="37"/>
      <c r="N107" s="126"/>
    </row>
    <row r="108" spans="2:14" ht="21.75" customHeight="1" x14ac:dyDescent="0.3">
      <c r="B108" s="127"/>
      <c r="C108" s="118"/>
      <c r="D108" s="19" t="s">
        <v>34</v>
      </c>
      <c r="E108" s="64">
        <v>439.61400000000003</v>
      </c>
      <c r="F108" s="65">
        <v>34.12084237535656</v>
      </c>
      <c r="G108" s="64">
        <v>15000</v>
      </c>
      <c r="H108" s="4"/>
      <c r="I108" s="5"/>
      <c r="J108" s="5"/>
      <c r="K108" s="37"/>
      <c r="L108" s="37"/>
      <c r="M108" s="37"/>
      <c r="N108" s="126"/>
    </row>
    <row r="109" spans="2:14" ht="21.75" customHeight="1" thickBot="1" x14ac:dyDescent="0.35">
      <c r="B109" s="121"/>
      <c r="C109" s="119"/>
      <c r="D109" s="7" t="s">
        <v>28</v>
      </c>
      <c r="E109" s="69">
        <f>SUM(E106:E108)</f>
        <v>1052.9739999999999</v>
      </c>
      <c r="F109" s="8">
        <f>G109/E109</f>
        <v>33.239187292373792</v>
      </c>
      <c r="G109" s="6">
        <f>SUM(G106:G108)</f>
        <v>35000</v>
      </c>
      <c r="H109" s="7"/>
      <c r="I109" s="8"/>
      <c r="J109" s="6"/>
      <c r="K109" s="6"/>
      <c r="L109" s="6"/>
      <c r="M109" s="6"/>
      <c r="N109" s="123"/>
    </row>
    <row r="110" spans="2:14" ht="9.75" customHeight="1" thickBot="1" x14ac:dyDescent="0.35">
      <c r="D110" s="24"/>
      <c r="H110" s="24"/>
      <c r="K110" s="2"/>
      <c r="L110" s="2"/>
      <c r="M110" s="2"/>
    </row>
    <row r="111" spans="2:14" ht="21.75" customHeight="1" x14ac:dyDescent="0.3">
      <c r="B111" s="124">
        <v>23</v>
      </c>
      <c r="C111" s="111" t="s">
        <v>39</v>
      </c>
      <c r="D111" s="54" t="s">
        <v>38</v>
      </c>
      <c r="E111" s="103">
        <v>89.836999999999989</v>
      </c>
      <c r="F111" s="9">
        <v>49.804108615682551</v>
      </c>
      <c r="G111" s="104">
        <v>333.93813239533824</v>
      </c>
      <c r="H111" s="57" t="s">
        <v>24</v>
      </c>
      <c r="I111" s="105"/>
      <c r="J111" s="105"/>
      <c r="K111" s="104"/>
      <c r="L111" s="3"/>
      <c r="M111" s="3"/>
      <c r="N111" s="26" t="s">
        <v>40</v>
      </c>
    </row>
    <row r="112" spans="2:14" ht="21.75" customHeight="1" thickBot="1" x14ac:dyDescent="0.35">
      <c r="B112" s="125"/>
      <c r="C112" s="112"/>
      <c r="D112" s="7"/>
      <c r="E112" s="69">
        <f>SUM(E111)</f>
        <v>89.836999999999989</v>
      </c>
      <c r="F112" s="6"/>
      <c r="G112" s="6"/>
      <c r="H112" s="7"/>
      <c r="I112" s="8"/>
      <c r="J112" s="6"/>
      <c r="K112" s="6"/>
      <c r="L112" s="6"/>
      <c r="M112" s="6"/>
      <c r="N112" s="27"/>
    </row>
    <row r="113" spans="2:14" ht="9" customHeight="1" thickBot="1" x14ac:dyDescent="0.35">
      <c r="D113" s="24"/>
      <c r="H113" s="24"/>
      <c r="K113" s="2"/>
      <c r="L113" s="2"/>
      <c r="M113" s="2"/>
    </row>
    <row r="114" spans="2:14" ht="26.25" customHeight="1" x14ac:dyDescent="0.3">
      <c r="B114" s="120">
        <v>24</v>
      </c>
      <c r="C114" s="117" t="s">
        <v>14</v>
      </c>
      <c r="D114" s="9" t="s">
        <v>15</v>
      </c>
      <c r="E114" s="10">
        <v>330.33499999999998</v>
      </c>
      <c r="F114" s="10">
        <v>45.408448998743701</v>
      </c>
      <c r="G114" s="10">
        <v>15000</v>
      </c>
      <c r="H114" s="35"/>
      <c r="I114" s="10"/>
      <c r="J114" s="3"/>
      <c r="K114" s="3"/>
      <c r="L114" s="3"/>
      <c r="M114" s="3"/>
      <c r="N114" s="122" t="s">
        <v>9</v>
      </c>
    </row>
    <row r="115" spans="2:14" ht="26.25" customHeight="1" x14ac:dyDescent="0.3">
      <c r="B115" s="127"/>
      <c r="C115" s="118"/>
      <c r="D115" s="13" t="s">
        <v>13</v>
      </c>
      <c r="E115" s="15">
        <v>656.16700000000003</v>
      </c>
      <c r="F115" s="15">
        <v>50.292075035775952</v>
      </c>
      <c r="G115" s="15">
        <v>33000</v>
      </c>
      <c r="H115" s="4"/>
      <c r="I115" s="15"/>
      <c r="J115" s="5"/>
      <c r="K115" s="5"/>
      <c r="L115" s="5"/>
      <c r="M115" s="5"/>
      <c r="N115" s="126"/>
    </row>
    <row r="116" spans="2:14" ht="26.25" customHeight="1" x14ac:dyDescent="0.3">
      <c r="B116" s="127"/>
      <c r="C116" s="118"/>
      <c r="D116" s="14" t="s">
        <v>11</v>
      </c>
      <c r="E116" s="15">
        <v>589.79999999999995</v>
      </c>
      <c r="F116" s="15">
        <v>61.037639877924725</v>
      </c>
      <c r="G116" s="15">
        <v>36000</v>
      </c>
      <c r="H116" s="4"/>
      <c r="I116" s="15"/>
      <c r="J116" s="5"/>
      <c r="K116" s="5"/>
      <c r="L116" s="5"/>
      <c r="M116" s="5"/>
      <c r="N116" s="126"/>
    </row>
    <row r="117" spans="2:14" ht="26.25" customHeight="1" x14ac:dyDescent="0.3">
      <c r="B117" s="127"/>
      <c r="C117" s="118"/>
      <c r="D117" s="19" t="s">
        <v>8</v>
      </c>
      <c r="E117" s="15">
        <v>336.88099999999997</v>
      </c>
      <c r="F117" s="15">
        <v>62.336552076252453</v>
      </c>
      <c r="G117" s="15">
        <v>21000</v>
      </c>
      <c r="H117" s="4"/>
      <c r="I117" s="15"/>
      <c r="J117" s="5"/>
      <c r="K117" s="5"/>
      <c r="L117" s="5"/>
      <c r="M117" s="5"/>
      <c r="N117" s="126"/>
    </row>
    <row r="118" spans="2:14" ht="26.25" customHeight="1" thickBot="1" x14ac:dyDescent="0.35">
      <c r="B118" s="121"/>
      <c r="C118" s="119"/>
      <c r="D118" s="31" t="s">
        <v>23</v>
      </c>
      <c r="E118" s="73">
        <f>SUM(E114:E117)</f>
        <v>1913.183</v>
      </c>
      <c r="F118" s="30">
        <f>G118/E118</f>
        <v>54.882360965992277</v>
      </c>
      <c r="G118" s="30">
        <f>SUM(G114:G117)</f>
        <v>105000</v>
      </c>
      <c r="H118" s="22"/>
      <c r="I118" s="6"/>
      <c r="J118" s="6"/>
      <c r="K118" s="6"/>
      <c r="L118" s="6"/>
      <c r="M118" s="6"/>
      <c r="N118" s="123"/>
    </row>
    <row r="119" spans="2:14" ht="26.25" customHeight="1" x14ac:dyDescent="0.3">
      <c r="E119" s="32"/>
      <c r="F119" s="32"/>
      <c r="H119" s="23"/>
      <c r="I119" s="2"/>
      <c r="K119" s="2"/>
      <c r="L119" s="2"/>
      <c r="M119" s="2"/>
    </row>
    <row r="120" spans="2:14" ht="26.25" customHeight="1" x14ac:dyDescent="0.3">
      <c r="C120" s="2"/>
      <c r="E120" s="2"/>
      <c r="I120" s="2"/>
      <c r="K120" s="2"/>
      <c r="L120" s="2"/>
      <c r="M120" s="2"/>
    </row>
    <row r="121" spans="2:14" ht="26.25" customHeight="1" x14ac:dyDescent="0.3">
      <c r="C121" s="2"/>
      <c r="E121" s="2"/>
      <c r="I121" s="2"/>
      <c r="K121" s="2"/>
      <c r="L121" s="2"/>
      <c r="M121" s="2"/>
    </row>
    <row r="122" spans="2:14" ht="26.25" customHeight="1" thickBot="1" x14ac:dyDescent="0.35">
      <c r="F122" s="45"/>
      <c r="G122" s="46"/>
    </row>
    <row r="123" spans="2:14" ht="24" customHeight="1" x14ac:dyDescent="0.3">
      <c r="F123" s="2" t="s">
        <v>24</v>
      </c>
      <c r="I123" s="49" t="s">
        <v>52</v>
      </c>
      <c r="J123" s="3"/>
      <c r="K123" s="43"/>
      <c r="L123" s="43">
        <v>7445.1200000000099</v>
      </c>
      <c r="M123" s="50">
        <v>382000.50000000006</v>
      </c>
    </row>
    <row r="124" spans="2:14" ht="24" customHeight="1" thickBot="1" x14ac:dyDescent="0.35">
      <c r="I124" s="51" t="s">
        <v>30</v>
      </c>
      <c r="J124" s="6"/>
      <c r="K124" s="8"/>
      <c r="L124" s="8">
        <f>L123+M123</f>
        <v>389445.62000000005</v>
      </c>
      <c r="M124" s="52"/>
    </row>
    <row r="125" spans="2:14" ht="24" customHeight="1" x14ac:dyDescent="0.3"/>
  </sheetData>
  <autoFilter ref="A3:Q118" xr:uid="{00000000-0001-0000-0000-000000000000}"/>
  <mergeCells count="75">
    <mergeCell ref="C103:C104"/>
    <mergeCell ref="B114:B118"/>
    <mergeCell ref="C114:C118"/>
    <mergeCell ref="N114:N118"/>
    <mergeCell ref="G3:G4"/>
    <mergeCell ref="H3:H4"/>
    <mergeCell ref="I3:I4"/>
    <mergeCell ref="J3:J4"/>
    <mergeCell ref="K3:K4"/>
    <mergeCell ref="C94:C95"/>
    <mergeCell ref="B94:B95"/>
    <mergeCell ref="C76:C77"/>
    <mergeCell ref="B76:B77"/>
    <mergeCell ref="C100:C101"/>
    <mergeCell ref="B100:B101"/>
    <mergeCell ref="B106:B109"/>
    <mergeCell ref="C106:C109"/>
    <mergeCell ref="N106:N109"/>
    <mergeCell ref="N3:N4"/>
    <mergeCell ref="B19:B23"/>
    <mergeCell ref="C19:C23"/>
    <mergeCell ref="N19:N23"/>
    <mergeCell ref="B68:B71"/>
    <mergeCell ref="C68:C71"/>
    <mergeCell ref="N68:N71"/>
    <mergeCell ref="F3:F4"/>
    <mergeCell ref="C3:C4"/>
    <mergeCell ref="D3:D4"/>
    <mergeCell ref="E3:E4"/>
    <mergeCell ref="B46:B48"/>
    <mergeCell ref="C46:C48"/>
    <mergeCell ref="N46:N48"/>
    <mergeCell ref="C59:C60"/>
    <mergeCell ref="N62:N63"/>
    <mergeCell ref="N50:N51"/>
    <mergeCell ref="N36:N38"/>
    <mergeCell ref="B3:B4"/>
    <mergeCell ref="N25:N34"/>
    <mergeCell ref="B53:B57"/>
    <mergeCell ref="C53:C57"/>
    <mergeCell ref="N53:N57"/>
    <mergeCell ref="B6:B14"/>
    <mergeCell ref="N6:N14"/>
    <mergeCell ref="N40:N41"/>
    <mergeCell ref="C111:C112"/>
    <mergeCell ref="B111:B112"/>
    <mergeCell ref="N79:N92"/>
    <mergeCell ref="B25:B34"/>
    <mergeCell ref="C25:C34"/>
    <mergeCell ref="C50:C51"/>
    <mergeCell ref="B43:B44"/>
    <mergeCell ref="C43:C44"/>
    <mergeCell ref="C36:C38"/>
    <mergeCell ref="B36:B38"/>
    <mergeCell ref="B40:B41"/>
    <mergeCell ref="C40:C41"/>
    <mergeCell ref="C79:C92"/>
    <mergeCell ref="B79:B92"/>
    <mergeCell ref="B50:B51"/>
    <mergeCell ref="B103:B104"/>
    <mergeCell ref="B2:N2"/>
    <mergeCell ref="C97:C98"/>
    <mergeCell ref="B97:B98"/>
    <mergeCell ref="C73:C74"/>
    <mergeCell ref="B73:B74"/>
    <mergeCell ref="L3:L4"/>
    <mergeCell ref="M3:M4"/>
    <mergeCell ref="C16:C17"/>
    <mergeCell ref="B16:B17"/>
    <mergeCell ref="B59:B60"/>
    <mergeCell ref="C65:C66"/>
    <mergeCell ref="B65:B66"/>
    <mergeCell ref="C6:C14"/>
    <mergeCell ref="B62:B63"/>
    <mergeCell ref="C62:C6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6"/>
  <sheetViews>
    <sheetView topLeftCell="A7" workbookViewId="0">
      <selection activeCell="E14" sqref="E14:G14"/>
    </sheetView>
  </sheetViews>
  <sheetFormatPr defaultColWidth="9.109375" defaultRowHeight="15.6" x14ac:dyDescent="0.3"/>
  <cols>
    <col min="1" max="1" width="9.109375" style="82"/>
    <col min="2" max="2" width="19.88671875" style="82" customWidth="1"/>
    <col min="3" max="16384" width="9.109375" style="82"/>
  </cols>
  <sheetData>
    <row r="1" spans="2:10" x14ac:dyDescent="0.3">
      <c r="E1" s="82" t="s">
        <v>61</v>
      </c>
      <c r="F1" s="82" t="s">
        <v>62</v>
      </c>
      <c r="G1" s="82" t="s">
        <v>63</v>
      </c>
    </row>
    <row r="2" spans="2:10" ht="16.2" x14ac:dyDescent="0.3">
      <c r="B2" s="81">
        <v>45222</v>
      </c>
      <c r="C2" s="140" t="s">
        <v>56</v>
      </c>
      <c r="D2" s="140"/>
      <c r="E2" s="88">
        <v>999.95</v>
      </c>
      <c r="F2" s="83">
        <v>10.576000000000001</v>
      </c>
      <c r="G2" s="141">
        <v>94.545000000000002</v>
      </c>
      <c r="H2" s="141"/>
      <c r="I2" s="142">
        <v>10.576000000000001</v>
      </c>
      <c r="J2" s="142"/>
    </row>
    <row r="3" spans="2:10" ht="16.2" x14ac:dyDescent="0.3">
      <c r="B3" s="81">
        <v>45222</v>
      </c>
      <c r="C3" s="143" t="s">
        <v>57</v>
      </c>
      <c r="D3" s="143"/>
      <c r="E3" s="88">
        <v>0.05</v>
      </c>
      <c r="F3" s="84"/>
      <c r="G3" s="144"/>
      <c r="H3" s="144"/>
      <c r="I3" s="144"/>
      <c r="J3" s="144"/>
    </row>
    <row r="4" spans="2:10" ht="16.2" x14ac:dyDescent="0.3">
      <c r="B4" s="81">
        <v>45224</v>
      </c>
      <c r="C4" s="143" t="s">
        <v>58</v>
      </c>
      <c r="D4" s="143"/>
      <c r="E4" s="84"/>
      <c r="F4" s="84"/>
      <c r="G4" s="144"/>
      <c r="H4" s="144"/>
      <c r="I4" s="144"/>
      <c r="J4" s="144"/>
    </row>
    <row r="5" spans="2:10" ht="16.2" x14ac:dyDescent="0.3">
      <c r="B5" s="81">
        <v>45251</v>
      </c>
      <c r="C5" s="140" t="s">
        <v>59</v>
      </c>
      <c r="D5" s="140"/>
      <c r="E5" s="88">
        <v>999.95</v>
      </c>
      <c r="F5" s="83">
        <v>10.238</v>
      </c>
      <c r="G5" s="141">
        <v>97.67</v>
      </c>
      <c r="H5" s="141"/>
      <c r="I5" s="142">
        <v>20.814</v>
      </c>
      <c r="J5" s="142"/>
    </row>
    <row r="6" spans="2:10" ht="16.2" x14ac:dyDescent="0.3">
      <c r="B6" s="81">
        <v>45251</v>
      </c>
      <c r="C6" s="143" t="s">
        <v>57</v>
      </c>
      <c r="D6" s="143"/>
      <c r="E6" s="88">
        <v>0.05</v>
      </c>
      <c r="F6" s="84"/>
      <c r="G6" s="144"/>
      <c r="H6" s="144"/>
      <c r="I6" s="144"/>
      <c r="J6" s="144"/>
    </row>
    <row r="7" spans="2:10" ht="16.2" x14ac:dyDescent="0.3">
      <c r="B7" s="81">
        <v>45281</v>
      </c>
      <c r="C7" s="140" t="s">
        <v>59</v>
      </c>
      <c r="D7" s="140"/>
      <c r="E7" s="88">
        <v>999.95</v>
      </c>
      <c r="F7" s="83">
        <v>9.6709999999999994</v>
      </c>
      <c r="G7" s="145">
        <v>103.402</v>
      </c>
      <c r="H7" s="145"/>
      <c r="I7" s="142">
        <v>30.484999999999999</v>
      </c>
      <c r="J7" s="142"/>
    </row>
    <row r="8" spans="2:10" ht="16.2" x14ac:dyDescent="0.3">
      <c r="B8" s="81">
        <v>45281</v>
      </c>
      <c r="C8" s="143" t="s">
        <v>57</v>
      </c>
      <c r="D8" s="143"/>
      <c r="E8" s="88">
        <v>0.05</v>
      </c>
      <c r="F8" s="84"/>
      <c r="G8" s="144"/>
      <c r="H8" s="144"/>
      <c r="I8" s="144"/>
      <c r="J8" s="144"/>
    </row>
    <row r="9" spans="2:10" ht="16.2" x14ac:dyDescent="0.3">
      <c r="B9" s="81">
        <v>45314</v>
      </c>
      <c r="C9" s="140" t="s">
        <v>59</v>
      </c>
      <c r="D9" s="140"/>
      <c r="E9" s="88">
        <v>999.95</v>
      </c>
      <c r="F9" s="83">
        <v>9.6649999999999991</v>
      </c>
      <c r="G9" s="145">
        <v>103.461</v>
      </c>
      <c r="H9" s="145"/>
      <c r="I9" s="142">
        <v>40.15</v>
      </c>
      <c r="J9" s="142"/>
    </row>
    <row r="10" spans="2:10" ht="16.2" x14ac:dyDescent="0.3">
      <c r="B10" s="81">
        <v>45314</v>
      </c>
      <c r="C10" s="143" t="s">
        <v>57</v>
      </c>
      <c r="D10" s="143"/>
      <c r="E10" s="88">
        <v>0.05</v>
      </c>
      <c r="F10" s="84"/>
      <c r="G10" s="144"/>
      <c r="H10" s="144"/>
      <c r="I10" s="144"/>
      <c r="J10" s="144"/>
    </row>
    <row r="11" spans="2:10" ht="16.2" x14ac:dyDescent="0.3">
      <c r="B11" s="81">
        <v>45343</v>
      </c>
      <c r="C11" s="140" t="s">
        <v>59</v>
      </c>
      <c r="D11" s="140"/>
      <c r="E11" s="88">
        <v>999.95</v>
      </c>
      <c r="F11" s="83">
        <v>9.4019999999999992</v>
      </c>
      <c r="G11" s="145">
        <v>106.355</v>
      </c>
      <c r="H11" s="145"/>
      <c r="I11" s="142">
        <v>49.552</v>
      </c>
      <c r="J11" s="142"/>
    </row>
    <row r="12" spans="2:10" ht="16.2" x14ac:dyDescent="0.3">
      <c r="B12" s="81">
        <v>45343</v>
      </c>
      <c r="C12" s="143" t="s">
        <v>57</v>
      </c>
      <c r="D12" s="143"/>
      <c r="E12" s="88">
        <v>0.05</v>
      </c>
      <c r="F12" s="84"/>
      <c r="G12" s="144"/>
      <c r="H12" s="144"/>
      <c r="I12" s="144"/>
      <c r="J12" s="144"/>
    </row>
    <row r="13" spans="2:10" ht="16.2" x14ac:dyDescent="0.3">
      <c r="B13" s="81">
        <v>45366</v>
      </c>
      <c r="C13" s="140" t="s">
        <v>56</v>
      </c>
      <c r="D13" s="140"/>
      <c r="E13" s="89">
        <v>1999.9</v>
      </c>
      <c r="F13" s="83">
        <v>18.943000000000001</v>
      </c>
      <c r="G13" s="145">
        <v>105.574</v>
      </c>
      <c r="H13" s="145"/>
      <c r="I13" s="142">
        <v>68.495000000000005</v>
      </c>
      <c r="J13" s="142"/>
    </row>
    <row r="14" spans="2:10" ht="16.2" x14ac:dyDescent="0.3">
      <c r="B14" s="81"/>
      <c r="C14" s="85"/>
      <c r="D14" s="85"/>
      <c r="E14" s="92">
        <v>7000</v>
      </c>
      <c r="F14" s="93">
        <f>SUM(F2:F13)</f>
        <v>68.495000000000005</v>
      </c>
      <c r="G14" s="94">
        <f>E14/F14</f>
        <v>102.19724067450178</v>
      </c>
      <c r="H14" s="86"/>
      <c r="I14" s="87"/>
      <c r="J14" s="87"/>
    </row>
    <row r="15" spans="2:10" ht="16.2" x14ac:dyDescent="0.3">
      <c r="B15" s="81">
        <v>45366</v>
      </c>
      <c r="C15" s="143" t="s">
        <v>57</v>
      </c>
      <c r="D15" s="143"/>
      <c r="E15" s="90">
        <v>0.1</v>
      </c>
      <c r="F15" s="84"/>
      <c r="G15" s="144"/>
      <c r="H15" s="144"/>
      <c r="I15" s="144"/>
      <c r="J15" s="144"/>
    </row>
    <row r="16" spans="2:10" x14ac:dyDescent="0.3">
      <c r="B16" s="146" t="s">
        <v>60</v>
      </c>
      <c r="C16" s="146"/>
      <c r="D16" s="146"/>
      <c r="E16" s="146"/>
      <c r="F16" s="146"/>
      <c r="G16" s="146"/>
      <c r="H16" s="146"/>
      <c r="I16" s="146"/>
      <c r="J16" s="146"/>
    </row>
  </sheetData>
  <mergeCells count="40">
    <mergeCell ref="C15:D15"/>
    <mergeCell ref="G15:H15"/>
    <mergeCell ref="I15:J15"/>
    <mergeCell ref="B16:J16"/>
    <mergeCell ref="C12:D12"/>
    <mergeCell ref="G12:H12"/>
    <mergeCell ref="I12:J12"/>
    <mergeCell ref="C13:D13"/>
    <mergeCell ref="G13:H13"/>
    <mergeCell ref="I13:J13"/>
    <mergeCell ref="C10:D10"/>
    <mergeCell ref="G10:H10"/>
    <mergeCell ref="I10:J10"/>
    <mergeCell ref="C11:D11"/>
    <mergeCell ref="G11:H11"/>
    <mergeCell ref="I11:J11"/>
    <mergeCell ref="C8:D8"/>
    <mergeCell ref="G8:H8"/>
    <mergeCell ref="I8:J8"/>
    <mergeCell ref="C9:D9"/>
    <mergeCell ref="G9:H9"/>
    <mergeCell ref="I9:J9"/>
    <mergeCell ref="C6:D6"/>
    <mergeCell ref="G6:H6"/>
    <mergeCell ref="I6:J6"/>
    <mergeCell ref="C7:D7"/>
    <mergeCell ref="G7:H7"/>
    <mergeCell ref="I7:J7"/>
    <mergeCell ref="C4:D4"/>
    <mergeCell ref="G4:H4"/>
    <mergeCell ref="I4:J4"/>
    <mergeCell ref="C5:D5"/>
    <mergeCell ref="G5:H5"/>
    <mergeCell ref="I5:J5"/>
    <mergeCell ref="C2:D2"/>
    <mergeCell ref="G2:H2"/>
    <mergeCell ref="I2:J2"/>
    <mergeCell ref="C3:D3"/>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Mirea Large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2024-05-24T17:11:17Z</dcterms:modified>
</cp:coreProperties>
</file>