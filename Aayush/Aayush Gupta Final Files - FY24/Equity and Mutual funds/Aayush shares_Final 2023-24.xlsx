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05" yWindow="-105" windowWidth="15465" windowHeight="7935"/>
  </bookViews>
  <sheets>
    <sheet name="Aayush Final 2021-22" sheetId="1" r:id="rId1"/>
  </sheets>
  <definedNames>
    <definedName name="_xlnm._FilterDatabase" localSheetId="0" hidden="1">'Aayush Final 2021-22'!$A$2:$U$703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1" i="1" l="1"/>
  <c r="G220" i="1"/>
  <c r="I347" i="1"/>
  <c r="P118" i="1"/>
  <c r="O115" i="1"/>
  <c r="R115" i="1" s="1"/>
  <c r="Q115" i="1"/>
  <c r="I99" i="1"/>
  <c r="I113" i="1"/>
  <c r="I118" i="1"/>
  <c r="J118" i="1" s="1"/>
  <c r="I303" i="1"/>
  <c r="K631" i="1" l="1"/>
  <c r="R630" i="1"/>
  <c r="K628" i="1"/>
  <c r="R628" i="1"/>
  <c r="K624" i="1"/>
  <c r="R624" i="1"/>
  <c r="P431" i="1" l="1"/>
  <c r="I431" i="1"/>
  <c r="P352" i="1"/>
  <c r="I352" i="1"/>
  <c r="H201" i="1"/>
  <c r="J352" i="1" l="1"/>
  <c r="J431" i="1"/>
  <c r="P702" i="1"/>
  <c r="I702" i="1"/>
  <c r="P692" i="1"/>
  <c r="I692" i="1"/>
  <c r="P685" i="1"/>
  <c r="I685" i="1"/>
  <c r="P662" i="1"/>
  <c r="I662" i="1"/>
  <c r="P651" i="1"/>
  <c r="I651" i="1"/>
  <c r="P647" i="1"/>
  <c r="I647" i="1"/>
  <c r="P641" i="1"/>
  <c r="I641" i="1"/>
  <c r="P638" i="1"/>
  <c r="I638" i="1"/>
  <c r="P621" i="1"/>
  <c r="I621" i="1"/>
  <c r="P616" i="1"/>
  <c r="I616" i="1"/>
  <c r="P609" i="1"/>
  <c r="I609" i="1"/>
  <c r="I606" i="1"/>
  <c r="I597" i="1"/>
  <c r="J597" i="1" s="1"/>
  <c r="P591" i="1"/>
  <c r="I591" i="1"/>
  <c r="R590" i="1"/>
  <c r="R588" i="1"/>
  <c r="H588" i="1"/>
  <c r="K588" i="1" s="1"/>
  <c r="K589" i="1"/>
  <c r="K590" i="1"/>
  <c r="H587" i="1"/>
  <c r="K587" i="1" s="1"/>
  <c r="R589" i="1"/>
  <c r="R587" i="1"/>
  <c r="I585" i="1"/>
  <c r="P572" i="1"/>
  <c r="I572" i="1"/>
  <c r="I563" i="1"/>
  <c r="P560" i="1"/>
  <c r="I560" i="1"/>
  <c r="J557" i="1"/>
  <c r="I554" i="1"/>
  <c r="J554" i="1" s="1"/>
  <c r="P549" i="1"/>
  <c r="I549" i="1"/>
  <c r="P545" i="1"/>
  <c r="I545" i="1"/>
  <c r="P540" i="1"/>
  <c r="I540" i="1"/>
  <c r="P536" i="1"/>
  <c r="I536" i="1"/>
  <c r="I526" i="1"/>
  <c r="I521" i="1"/>
  <c r="I509" i="1"/>
  <c r="P502" i="1"/>
  <c r="P494" i="1"/>
  <c r="I494" i="1"/>
  <c r="P491" i="1"/>
  <c r="I491" i="1"/>
  <c r="I483" i="1"/>
  <c r="J483" i="1" s="1"/>
  <c r="I479" i="1"/>
  <c r="I472" i="1"/>
  <c r="J472" i="1" s="1"/>
  <c r="P460" i="1"/>
  <c r="I460" i="1"/>
  <c r="P455" i="1"/>
  <c r="I455" i="1"/>
  <c r="I437" i="1"/>
  <c r="I434" i="1"/>
  <c r="J434" i="1" s="1"/>
  <c r="I428" i="1"/>
  <c r="P424" i="1"/>
  <c r="I424" i="1"/>
  <c r="P413" i="1"/>
  <c r="I413" i="1"/>
  <c r="P406" i="1"/>
  <c r="I406" i="1"/>
  <c r="K405" i="1"/>
  <c r="P390" i="1"/>
  <c r="P387" i="1"/>
  <c r="I384" i="1"/>
  <c r="P384" i="1"/>
  <c r="I380" i="1"/>
  <c r="I360" i="1"/>
  <c r="I334" i="1"/>
  <c r="I313" i="1"/>
  <c r="P292" i="1"/>
  <c r="I292" i="1"/>
  <c r="P272" i="1"/>
  <c r="P254" i="1"/>
  <c r="I254" i="1"/>
  <c r="P251" i="1"/>
  <c r="I251" i="1"/>
  <c r="P226" i="1"/>
  <c r="I226" i="1"/>
  <c r="P157" i="1"/>
  <c r="P144" i="1"/>
  <c r="P8" i="1"/>
  <c r="I8" i="1"/>
  <c r="P673" i="1"/>
  <c r="I673" i="1"/>
  <c r="R666" i="1"/>
  <c r="R667" i="1"/>
  <c r="R668" i="1"/>
  <c r="R669" i="1"/>
  <c r="R670" i="1"/>
  <c r="R671" i="1"/>
  <c r="R672" i="1"/>
  <c r="R665" i="1"/>
  <c r="R664" i="1"/>
  <c r="P575" i="1"/>
  <c r="J575" i="1" s="1"/>
  <c r="P568" i="1"/>
  <c r="R566" i="1"/>
  <c r="R567" i="1"/>
  <c r="R565" i="1"/>
  <c r="R500" i="1"/>
  <c r="R499" i="1"/>
  <c r="R498" i="1"/>
  <c r="R497" i="1"/>
  <c r="R496" i="1"/>
  <c r="R459" i="1"/>
  <c r="R458" i="1"/>
  <c r="R457" i="1"/>
  <c r="R250" i="1"/>
  <c r="R249" i="1"/>
  <c r="R248" i="1"/>
  <c r="R247" i="1"/>
  <c r="R246" i="1"/>
  <c r="R245" i="1"/>
  <c r="R243" i="1"/>
  <c r="R244" i="1"/>
  <c r="R242" i="1"/>
  <c r="R241" i="1"/>
  <c r="R240" i="1"/>
  <c r="R239" i="1"/>
  <c r="R238" i="1"/>
  <c r="R237" i="1"/>
  <c r="R225" i="1"/>
  <c r="R224" i="1"/>
  <c r="R156" i="1"/>
  <c r="R155" i="1"/>
  <c r="R154" i="1"/>
  <c r="R153" i="1"/>
  <c r="R152" i="1"/>
  <c r="H159" i="1"/>
  <c r="O159" i="1"/>
  <c r="R159" i="1" s="1"/>
  <c r="K111" i="1"/>
  <c r="K112" i="1"/>
  <c r="K98" i="1"/>
  <c r="K97" i="1"/>
  <c r="K96" i="1"/>
  <c r="K95" i="1"/>
  <c r="K94" i="1"/>
  <c r="K93" i="1"/>
  <c r="K92" i="1"/>
  <c r="K91" i="1"/>
  <c r="J540" i="1" l="1"/>
  <c r="J616" i="1"/>
  <c r="J692" i="1"/>
  <c r="J572" i="1"/>
  <c r="J638" i="1"/>
  <c r="J406" i="1"/>
  <c r="J702" i="1"/>
  <c r="J685" i="1"/>
  <c r="J647" i="1"/>
  <c r="J662" i="1"/>
  <c r="J673" i="1"/>
  <c r="J651" i="1"/>
  <c r="J641" i="1"/>
  <c r="J609" i="1"/>
  <c r="J591" i="1"/>
  <c r="J545" i="1"/>
  <c r="J494" i="1"/>
  <c r="J536" i="1"/>
  <c r="J491" i="1"/>
  <c r="J455" i="1"/>
  <c r="J424" i="1"/>
  <c r="J251" i="1"/>
  <c r="J384" i="1"/>
  <c r="J292" i="1"/>
  <c r="I337" i="1"/>
  <c r="P331" i="1"/>
  <c r="I331" i="1"/>
  <c r="P321" i="1"/>
  <c r="I321" i="1"/>
  <c r="P318" i="1"/>
  <c r="I318" i="1"/>
  <c r="I297" i="1"/>
  <c r="I272" i="1"/>
  <c r="J272" i="1" s="1"/>
  <c r="P263" i="1"/>
  <c r="I263" i="1"/>
  <c r="P257" i="1"/>
  <c r="I257" i="1"/>
  <c r="H256" i="1"/>
  <c r="K256" i="1" s="1"/>
  <c r="P235" i="1"/>
  <c r="I235" i="1"/>
  <c r="P229" i="1"/>
  <c r="I229" i="1"/>
  <c r="P218" i="1"/>
  <c r="I218" i="1"/>
  <c r="P210" i="1"/>
  <c r="I210" i="1"/>
  <c r="I207" i="1"/>
  <c r="J207" i="1" s="1"/>
  <c r="P196" i="1"/>
  <c r="I196" i="1"/>
  <c r="P189" i="1"/>
  <c r="I189" i="1"/>
  <c r="P185" i="1"/>
  <c r="I185" i="1"/>
  <c r="P181" i="1"/>
  <c r="I181" i="1"/>
  <c r="P160" i="1"/>
  <c r="I160" i="1"/>
  <c r="I150" i="1"/>
  <c r="J150" i="1" s="1"/>
  <c r="P147" i="1"/>
  <c r="I147" i="1"/>
  <c r="I141" i="1"/>
  <c r="J141" i="1" s="1"/>
  <c r="P138" i="1"/>
  <c r="I138" i="1"/>
  <c r="P130" i="1"/>
  <c r="I130" i="1"/>
  <c r="I125" i="1"/>
  <c r="Q122" i="1"/>
  <c r="J122" i="1"/>
  <c r="S121" i="1"/>
  <c r="R121" i="1"/>
  <c r="P107" i="1"/>
  <c r="I107" i="1"/>
  <c r="I103" i="1"/>
  <c r="P103" i="1"/>
  <c r="P87" i="1"/>
  <c r="P83" i="1"/>
  <c r="I83" i="1"/>
  <c r="P79" i="1"/>
  <c r="I79" i="1"/>
  <c r="P76" i="1"/>
  <c r="I76" i="1"/>
  <c r="I67" i="1"/>
  <c r="P63" i="1"/>
  <c r="I63" i="1"/>
  <c r="P54" i="1"/>
  <c r="I54" i="1"/>
  <c r="P45" i="1"/>
  <c r="I45" i="1"/>
  <c r="I41" i="1"/>
  <c r="I34" i="1"/>
  <c r="J34" i="1" s="1"/>
  <c r="J189" i="1" l="1"/>
  <c r="J107" i="1"/>
  <c r="J76" i="1"/>
  <c r="J185" i="1"/>
  <c r="J147" i="1"/>
  <c r="J331" i="1"/>
  <c r="J318" i="1"/>
  <c r="J181" i="1"/>
  <c r="J263" i="1"/>
  <c r="J196" i="1"/>
  <c r="J218" i="1"/>
  <c r="J210" i="1"/>
  <c r="J54" i="1"/>
  <c r="J160" i="1"/>
  <c r="J79" i="1"/>
  <c r="J45" i="1"/>
  <c r="J63" i="1"/>
  <c r="K122" i="1"/>
  <c r="J130" i="1"/>
  <c r="J138" i="1"/>
  <c r="J5" i="1"/>
  <c r="P31" i="1"/>
  <c r="I31" i="1"/>
  <c r="P15" i="1"/>
  <c r="I15" i="1"/>
  <c r="J7" i="1"/>
  <c r="J31" i="1" l="1"/>
  <c r="J15" i="1"/>
  <c r="R658" i="1"/>
  <c r="R657" i="1"/>
  <c r="R659" i="1"/>
  <c r="K655" i="1"/>
  <c r="R655" i="1"/>
  <c r="R654" i="1"/>
  <c r="R656" i="1"/>
  <c r="R653" i="1"/>
  <c r="R650" i="1"/>
  <c r="R649" i="1"/>
  <c r="H649" i="1"/>
  <c r="R548" i="1"/>
  <c r="K548" i="1"/>
  <c r="H547" i="1"/>
  <c r="K547" i="1" s="1"/>
  <c r="R547" i="1"/>
  <c r="R543" i="1"/>
  <c r="R544" i="1"/>
  <c r="R542" i="1"/>
  <c r="R536" i="1"/>
  <c r="R537" i="1"/>
  <c r="R538" i="1"/>
  <c r="R488" i="1"/>
  <c r="K488" i="1"/>
  <c r="R485" i="1"/>
  <c r="R486" i="1"/>
  <c r="R487" i="1"/>
  <c r="R493" i="1"/>
  <c r="R448" i="1"/>
  <c r="R446" i="1"/>
  <c r="R447" i="1"/>
  <c r="R444" i="1"/>
  <c r="R443" i="1"/>
  <c r="R445" i="1"/>
  <c r="R442" i="1"/>
  <c r="R441" i="1"/>
  <c r="K422" i="1"/>
  <c r="K423" i="1"/>
  <c r="H421" i="1"/>
  <c r="K421" i="1" s="1"/>
  <c r="H420" i="1"/>
  <c r="K420" i="1" s="1"/>
  <c r="H419" i="1"/>
  <c r="K419" i="1" s="1"/>
  <c r="H418" i="1"/>
  <c r="K418" i="1" s="1"/>
  <c r="H417" i="1"/>
  <c r="K417" i="1" s="1"/>
  <c r="H416" i="1"/>
  <c r="K416" i="1" s="1"/>
  <c r="K415" i="1"/>
  <c r="R415" i="1"/>
  <c r="H350" i="1"/>
  <c r="K350" i="1" s="1"/>
  <c r="R349" i="1"/>
  <c r="K351" i="1"/>
  <c r="K352" i="1"/>
  <c r="K353" i="1"/>
  <c r="K355" i="1"/>
  <c r="K356" i="1"/>
  <c r="K354" i="1"/>
  <c r="H349" i="1"/>
  <c r="K349" i="1" s="1"/>
  <c r="H329" i="1"/>
  <c r="K329" i="1" s="1"/>
  <c r="K330" i="1"/>
  <c r="R327" i="1"/>
  <c r="R320" i="1"/>
  <c r="R317" i="1"/>
  <c r="R316" i="1"/>
  <c r="R315" i="1"/>
  <c r="K327" i="1"/>
  <c r="H320" i="1"/>
  <c r="K320" i="1" s="1"/>
  <c r="H328" i="1"/>
  <c r="K328" i="1" s="1"/>
  <c r="R285" i="1"/>
  <c r="R286" i="1"/>
  <c r="R287" i="1"/>
  <c r="R283" i="1"/>
  <c r="R284" i="1"/>
  <c r="R281" i="1"/>
  <c r="R282" i="1"/>
  <c r="R279" i="1"/>
  <c r="R280" i="1"/>
  <c r="R277" i="1"/>
  <c r="R278" i="1"/>
  <c r="R275" i="1"/>
  <c r="R276" i="1"/>
  <c r="R274" i="1"/>
  <c r="R169" i="1"/>
  <c r="R168" i="1"/>
  <c r="R135" i="1"/>
  <c r="R133" i="1"/>
  <c r="R134" i="1"/>
  <c r="R132" i="1"/>
  <c r="R128" i="1"/>
  <c r="R127" i="1"/>
  <c r="K61" i="1" l="1"/>
  <c r="J61" i="1"/>
  <c r="R60" i="1"/>
  <c r="R48" i="1" l="1"/>
  <c r="R49" i="1"/>
  <c r="R50" i="1"/>
  <c r="K51" i="1"/>
  <c r="K52" i="1"/>
  <c r="K53" i="1"/>
  <c r="K50" i="1"/>
  <c r="K49" i="1"/>
  <c r="J14" i="1"/>
  <c r="H14" i="1"/>
  <c r="K14" i="1" s="1"/>
  <c r="R13" i="1"/>
  <c r="R12" i="1"/>
  <c r="B542" i="1"/>
  <c r="R691" i="1" l="1"/>
  <c r="R689" i="1"/>
  <c r="K689" i="1"/>
  <c r="R690" i="1"/>
  <c r="R688" i="1"/>
  <c r="R687" i="1"/>
  <c r="K688" i="1"/>
  <c r="K690" i="1"/>
  <c r="K691" i="1"/>
  <c r="K687" i="1"/>
  <c r="K684" i="1"/>
  <c r="K683" i="1"/>
  <c r="R683" i="1"/>
  <c r="K682" i="1"/>
  <c r="R681" i="1"/>
  <c r="R680" i="1"/>
  <c r="R679" i="1"/>
  <c r="R678" i="1"/>
  <c r="R677" i="1"/>
  <c r="R676" i="1"/>
  <c r="R684" i="1"/>
  <c r="R682" i="1"/>
  <c r="R675" i="1"/>
  <c r="K676" i="1"/>
  <c r="K677" i="1"/>
  <c r="K678" i="1"/>
  <c r="K679" i="1"/>
  <c r="K680" i="1"/>
  <c r="K681" i="1"/>
  <c r="K675" i="1"/>
  <c r="K654" i="1"/>
  <c r="K656" i="1"/>
  <c r="K657" i="1"/>
  <c r="K653" i="1"/>
  <c r="R645" i="1"/>
  <c r="R644" i="1"/>
  <c r="K644" i="1"/>
  <c r="R646" i="1"/>
  <c r="R643" i="1"/>
  <c r="K646" i="1"/>
  <c r="K645" i="1"/>
  <c r="K643" i="1"/>
  <c r="K640" i="1"/>
  <c r="R629" i="1"/>
  <c r="R627" i="1"/>
  <c r="R626" i="1"/>
  <c r="K627" i="1"/>
  <c r="K626" i="1"/>
  <c r="R625" i="1"/>
  <c r="R623" i="1"/>
  <c r="K637" i="1"/>
  <c r="K636" i="1"/>
  <c r="K635" i="1"/>
  <c r="K634" i="1"/>
  <c r="K633" i="1"/>
  <c r="K630" i="1"/>
  <c r="K632" i="1"/>
  <c r="K629" i="1"/>
  <c r="K625" i="1"/>
  <c r="K623" i="1"/>
  <c r="K620" i="1"/>
  <c r="K619" i="1"/>
  <c r="R619" i="1"/>
  <c r="K618" i="1"/>
  <c r="R620" i="1"/>
  <c r="R618" i="1"/>
  <c r="K615" i="1"/>
  <c r="K613" i="1"/>
  <c r="K614" i="1"/>
  <c r="K612" i="1"/>
  <c r="K611" i="1"/>
  <c r="R571" i="1"/>
  <c r="R570" i="1"/>
  <c r="K571" i="1"/>
  <c r="K570" i="1"/>
  <c r="K543" i="1"/>
  <c r="K544" i="1"/>
  <c r="K542" i="1"/>
  <c r="K535" i="1"/>
  <c r="K534" i="1"/>
  <c r="K533" i="1"/>
  <c r="R533" i="1"/>
  <c r="R530" i="1"/>
  <c r="R529" i="1"/>
  <c r="K529" i="1"/>
  <c r="R532" i="1"/>
  <c r="R534" i="1"/>
  <c r="R531" i="1"/>
  <c r="R528" i="1"/>
  <c r="K532" i="1"/>
  <c r="K530" i="1"/>
  <c r="K531" i="1"/>
  <c r="K528" i="1"/>
  <c r="K487" i="1"/>
  <c r="K486" i="1"/>
  <c r="K490" i="1"/>
  <c r="K489" i="1"/>
  <c r="K485" i="1"/>
  <c r="R440" i="1"/>
  <c r="R439" i="1"/>
  <c r="K454" i="1"/>
  <c r="K453" i="1"/>
  <c r="K452" i="1"/>
  <c r="K451" i="1"/>
  <c r="K450" i="1"/>
  <c r="K449" i="1"/>
  <c r="K447" i="1"/>
  <c r="K448" i="1"/>
  <c r="K445" i="1"/>
  <c r="K446" i="1"/>
  <c r="K442" i="1"/>
  <c r="K443" i="1"/>
  <c r="K444" i="1"/>
  <c r="K440" i="1"/>
  <c r="K441" i="1"/>
  <c r="K439" i="1"/>
  <c r="K411" i="1"/>
  <c r="K410" i="1"/>
  <c r="K409" i="1"/>
  <c r="R409" i="1"/>
  <c r="R412" i="1"/>
  <c r="R411" i="1"/>
  <c r="R410" i="1"/>
  <c r="R408" i="1"/>
  <c r="K412" i="1"/>
  <c r="K408" i="1"/>
  <c r="K394" i="1"/>
  <c r="K393" i="1"/>
  <c r="R393" i="1"/>
  <c r="R392" i="1"/>
  <c r="K401" i="1"/>
  <c r="K402" i="1"/>
  <c r="K403" i="1"/>
  <c r="K404" i="1"/>
  <c r="K400" i="1"/>
  <c r="K399" i="1"/>
  <c r="K398" i="1"/>
  <c r="K397" i="1"/>
  <c r="K395" i="1"/>
  <c r="K396" i="1"/>
  <c r="K392" i="1"/>
  <c r="R383" i="1"/>
  <c r="R382" i="1"/>
  <c r="J327" i="1"/>
  <c r="H317" i="1"/>
  <c r="K317" i="1" s="1"/>
  <c r="H316" i="1"/>
  <c r="K316" i="1" s="1"/>
  <c r="H315" i="1"/>
  <c r="K315" i="1" s="1"/>
  <c r="K286" i="1"/>
  <c r="K282" i="1"/>
  <c r="K276" i="1"/>
  <c r="K275" i="1"/>
  <c r="K291" i="1"/>
  <c r="K290" i="1"/>
  <c r="K289" i="1"/>
  <c r="K288" i="1"/>
  <c r="K287" i="1"/>
  <c r="K277" i="1"/>
  <c r="K278" i="1"/>
  <c r="K279" i="1"/>
  <c r="K280" i="1"/>
  <c r="K281" i="1"/>
  <c r="K283" i="1"/>
  <c r="K284" i="1"/>
  <c r="K285" i="1"/>
  <c r="K274" i="1"/>
  <c r="R269" i="1"/>
  <c r="R268" i="1"/>
  <c r="R267" i="1"/>
  <c r="R266" i="1"/>
  <c r="K267" i="1"/>
  <c r="K266" i="1"/>
  <c r="R270" i="1"/>
  <c r="R265" i="1"/>
  <c r="K268" i="1"/>
  <c r="K269" i="1"/>
  <c r="K270" i="1"/>
  <c r="K265" i="1"/>
  <c r="K234" i="1" l="1"/>
  <c r="K233" i="1"/>
  <c r="K232" i="1"/>
  <c r="K231" i="1"/>
  <c r="K228" i="1"/>
  <c r="K214" i="1"/>
  <c r="K213" i="1"/>
  <c r="K212" i="1"/>
  <c r="K167" i="1"/>
  <c r="R167" i="1"/>
  <c r="R166" i="1"/>
  <c r="K166" i="1"/>
  <c r="R165" i="1"/>
  <c r="K165" i="1"/>
  <c r="R163" i="1"/>
  <c r="K163" i="1"/>
  <c r="R164" i="1"/>
  <c r="R162" i="1"/>
  <c r="H179" i="1"/>
  <c r="K179" i="1" s="1"/>
  <c r="H178" i="1"/>
  <c r="K178" i="1" s="1"/>
  <c r="K177" i="1"/>
  <c r="K176" i="1"/>
  <c r="K175" i="1"/>
  <c r="K174" i="1"/>
  <c r="K173" i="1"/>
  <c r="K172" i="1"/>
  <c r="K171" i="1"/>
  <c r="K170" i="1"/>
  <c r="K169" i="1"/>
  <c r="K168" i="1"/>
  <c r="K128" i="1" l="1"/>
  <c r="J128" i="1"/>
  <c r="K129" i="1"/>
  <c r="K127" i="1"/>
  <c r="J127" i="1"/>
  <c r="S120" i="1"/>
  <c r="R120" i="1"/>
  <c r="R86" i="1"/>
  <c r="Q86" i="1"/>
  <c r="R85" i="1"/>
  <c r="Q85" i="1"/>
  <c r="R58" i="1"/>
  <c r="Q58" i="1"/>
  <c r="K57" i="1"/>
  <c r="J57" i="1"/>
  <c r="K58" i="1"/>
  <c r="K59" i="1"/>
  <c r="K60" i="1"/>
  <c r="K56" i="1"/>
  <c r="J58" i="1"/>
  <c r="J59" i="1"/>
  <c r="J60" i="1"/>
  <c r="J56" i="1"/>
  <c r="R57" i="1"/>
  <c r="R59" i="1"/>
  <c r="R56" i="1"/>
  <c r="Q57" i="1"/>
  <c r="Q59" i="1"/>
  <c r="Q56" i="1"/>
  <c r="K82" i="1"/>
  <c r="K48" i="1"/>
  <c r="K44" i="1"/>
  <c r="K43" i="1"/>
  <c r="H28" i="1"/>
  <c r="K28" i="1" s="1"/>
  <c r="R28" i="1"/>
  <c r="R27" i="1"/>
  <c r="H27" i="1"/>
  <c r="K27" i="1" s="1"/>
  <c r="R26" i="1"/>
  <c r="R25" i="1"/>
  <c r="R24" i="1"/>
  <c r="H23" i="1"/>
  <c r="K23" i="1" s="1"/>
  <c r="R23" i="1"/>
  <c r="R22" i="1"/>
  <c r="H22" i="1"/>
  <c r="K22" i="1" s="1"/>
  <c r="H21" i="1"/>
  <c r="K21" i="1" s="1"/>
  <c r="K20" i="1"/>
  <c r="R21" i="1"/>
  <c r="R20" i="1"/>
  <c r="R18" i="1"/>
  <c r="R19" i="1"/>
  <c r="R17" i="1"/>
  <c r="H24" i="1"/>
  <c r="K24" i="1" s="1"/>
  <c r="H25" i="1"/>
  <c r="K25" i="1" s="1"/>
  <c r="H30" i="1"/>
  <c r="K30" i="1" s="1"/>
  <c r="H29" i="1"/>
  <c r="K29" i="1" s="1"/>
  <c r="H26" i="1"/>
  <c r="K26" i="1" s="1"/>
  <c r="K18" i="1"/>
  <c r="K19" i="1"/>
  <c r="K17" i="1"/>
  <c r="J13" i="1"/>
  <c r="H13" i="1"/>
  <c r="K13" i="1" s="1"/>
  <c r="H12" i="1"/>
  <c r="K12" i="1" s="1"/>
  <c r="J12" i="1"/>
  <c r="Q11" i="1"/>
  <c r="R11" i="1"/>
  <c r="R10" i="1"/>
  <c r="Q10" i="1" l="1"/>
  <c r="I568" i="1" l="1"/>
  <c r="J568" i="1" s="1"/>
  <c r="I502" i="1"/>
  <c r="J502" i="1" s="1"/>
  <c r="I390" i="1"/>
  <c r="J390" i="1" s="1"/>
  <c r="I387" i="1"/>
  <c r="I222" i="1"/>
  <c r="I192" i="1"/>
  <c r="I157" i="1"/>
  <c r="J157" i="1" s="1"/>
  <c r="I144" i="1"/>
  <c r="I87" i="1"/>
  <c r="K156" i="1" l="1"/>
  <c r="K386" i="1"/>
  <c r="K697" i="1" l="1"/>
  <c r="K698" i="1"/>
  <c r="K695" i="1"/>
  <c r="K696" i="1"/>
  <c r="K694" i="1"/>
  <c r="K566" i="1"/>
  <c r="G565" i="1"/>
  <c r="K556" i="1"/>
  <c r="K497" i="1"/>
  <c r="K463" i="1"/>
  <c r="K462" i="1"/>
  <c r="K459" i="1"/>
  <c r="K458" i="1"/>
  <c r="K457" i="1"/>
  <c r="K389" i="1"/>
  <c r="K194" i="1"/>
  <c r="K195" i="1"/>
  <c r="K162" i="1"/>
  <c r="K164" i="1"/>
  <c r="K153" i="1" l="1"/>
  <c r="K152" i="1"/>
  <c r="K110" i="1"/>
  <c r="K109" i="1"/>
  <c r="K116" i="1"/>
  <c r="K115" i="1"/>
  <c r="K90" i="1"/>
  <c r="K89" i="1"/>
  <c r="K81" i="1"/>
  <c r="B33" i="1"/>
  <c r="B43" i="1" s="1"/>
  <c r="B48" i="1" s="1"/>
  <c r="B56" i="1" s="1"/>
  <c r="B85" i="1" s="1"/>
  <c r="B89" i="1" l="1"/>
  <c r="B101" i="1" s="1"/>
  <c r="B109" i="1" s="1"/>
  <c r="B115" i="1" s="1"/>
  <c r="B143" i="1" l="1"/>
  <c r="B152" i="1" s="1"/>
  <c r="B191" i="1" l="1"/>
  <c r="G581" i="1"/>
  <c r="G580" i="1"/>
  <c r="G579" i="1"/>
  <c r="G578" i="1"/>
  <c r="G577" i="1"/>
  <c r="B198" i="1" l="1"/>
  <c r="B212" i="1" s="1"/>
  <c r="B220" i="1" s="1"/>
  <c r="B224" i="1" s="1"/>
  <c r="B228" i="1" s="1"/>
  <c r="B237" i="1" s="1"/>
  <c r="B253" i="1" s="1"/>
  <c r="B274" i="1" s="1"/>
  <c r="B294" i="1" s="1"/>
  <c r="B299" i="1" s="1"/>
  <c r="B305" i="1" s="1"/>
  <c r="B333" i="1" s="1"/>
  <c r="B339" i="1" s="1"/>
  <c r="B354" i="1" s="1"/>
  <c r="B362" i="1" s="1"/>
  <c r="B386" i="1" l="1"/>
  <c r="B389" i="1" s="1"/>
  <c r="B415" i="1" s="1"/>
  <c r="B439" i="1" s="1"/>
  <c r="B457" i="1" s="1"/>
  <c r="B462" i="1" s="1"/>
  <c r="B474" i="1" s="1"/>
  <c r="B485" i="1" s="1"/>
  <c r="B496" i="1" s="1"/>
  <c r="B504" i="1" s="1"/>
  <c r="B511" i="1" s="1"/>
  <c r="B551" i="1" s="1"/>
  <c r="B556" i="1" s="1"/>
  <c r="B565" i="1" l="1"/>
  <c r="B570" i="1" s="1"/>
  <c r="B574" i="1" s="1"/>
  <c r="B577" i="1" s="1"/>
  <c r="K574" i="1"/>
  <c r="K562" i="1"/>
  <c r="K552" i="1"/>
  <c r="K551" i="1"/>
  <c r="G511" i="1"/>
  <c r="K512" i="1"/>
  <c r="K504" i="1"/>
  <c r="K474" i="1"/>
  <c r="K253" i="1"/>
  <c r="K225" i="1"/>
  <c r="K224" i="1"/>
  <c r="K221" i="1"/>
  <c r="K220" i="1"/>
  <c r="K143" i="1"/>
  <c r="B593" i="1" l="1"/>
  <c r="B599" i="1" s="1"/>
  <c r="B611" i="1" s="1"/>
  <c r="B623" i="1" s="1"/>
  <c r="B640" i="1" s="1"/>
  <c r="B643" i="1" s="1"/>
  <c r="K581" i="1"/>
  <c r="B649" i="1" l="1"/>
  <c r="K86" i="1"/>
  <c r="K85" i="1"/>
  <c r="B664" i="1" l="1"/>
  <c r="B675" i="1" s="1"/>
  <c r="B694" i="1" s="1"/>
  <c r="K600" i="1"/>
  <c r="K599" i="1"/>
  <c r="K580" i="1"/>
  <c r="K579" i="1"/>
  <c r="K578" i="1"/>
  <c r="K577" i="1"/>
</calcChain>
</file>

<file path=xl/sharedStrings.xml><?xml version="1.0" encoding="utf-8"?>
<sst xmlns="http://schemas.openxmlformats.org/spreadsheetml/2006/main" count="695" uniqueCount="135">
  <si>
    <t>Sr no</t>
  </si>
  <si>
    <t>SHARE NAME</t>
  </si>
  <si>
    <t>ISIN</t>
  </si>
  <si>
    <t>DATE OF PURCHASE</t>
  </si>
  <si>
    <t>Price</t>
  </si>
  <si>
    <t>QUANTITY</t>
  </si>
  <si>
    <t>AMOUNT</t>
  </si>
  <si>
    <t>DATE OF SALE</t>
  </si>
  <si>
    <t>N G L FINE-CHEM LIMITED</t>
  </si>
  <si>
    <t>SBI-ETF GOLD</t>
  </si>
  <si>
    <t xml:space="preserve"> </t>
  </si>
  <si>
    <t>ICICI BANK LTD.</t>
  </si>
  <si>
    <t>WIPRO LTD</t>
  </si>
  <si>
    <t>ALEMBIC PHARMACEUTICALS LIMITED</t>
  </si>
  <si>
    <t>BHARAT PETROLEUM CORP LT</t>
  </si>
  <si>
    <t>GARWARE TECHNICAL FIBRES LIMITED</t>
  </si>
  <si>
    <t>HDFC BANK LTD</t>
  </si>
  <si>
    <t>INFO EDGE INDIA LIMITED</t>
  </si>
  <si>
    <t>STAMPEDE CAPITAL LTD</t>
  </si>
  <si>
    <t>BROKER</t>
  </si>
  <si>
    <t>INDIAN ENERGY EXCHANGE LIMITD</t>
  </si>
  <si>
    <t>LAURUS LABS LIMITED</t>
  </si>
  <si>
    <t>Oracle Financial Services Software Ltd.</t>
  </si>
  <si>
    <t>POWER MECH PROJECTS LIMITED</t>
  </si>
  <si>
    <t>TATA CONSULTANCY SERVICES LIMITED</t>
  </si>
  <si>
    <t>ZENOTECH LABORATORIES LTD</t>
  </si>
  <si>
    <t>ZYDUS LIFESCIENCES LIMITED</t>
  </si>
  <si>
    <t>AFFLE</t>
  </si>
  <si>
    <t>Z</t>
  </si>
  <si>
    <t>CAMS</t>
  </si>
  <si>
    <t>CDSL</t>
  </si>
  <si>
    <t>CHAMBLFERT</t>
  </si>
  <si>
    <t>DEVYANI</t>
  </si>
  <si>
    <t>GOLDBEES</t>
  </si>
  <si>
    <t>ICICILOVOL</t>
  </si>
  <si>
    <t>ICICINV20</t>
  </si>
  <si>
    <t>IDEA</t>
  </si>
  <si>
    <t>INDIGRID-IV</t>
  </si>
  <si>
    <t>IRCTC</t>
  </si>
  <si>
    <t>ITC</t>
  </si>
  <si>
    <t>JUNIORBEES</t>
  </si>
  <si>
    <t>KIRLFER</t>
  </si>
  <si>
    <t>LATENTVIEW</t>
  </si>
  <si>
    <t>LIQUIDBEES</t>
  </si>
  <si>
    <t>NIFTYBEES</t>
  </si>
  <si>
    <t>NUVOCO</t>
  </si>
  <si>
    <t>NYKAA</t>
  </si>
  <si>
    <t>ORIENTCEM</t>
  </si>
  <si>
    <t>PAYTM</t>
  </si>
  <si>
    <t>RELIANCE</t>
  </si>
  <si>
    <t>ROUTE</t>
  </si>
  <si>
    <t>SAGCEM</t>
  </si>
  <si>
    <t>SBICARD</t>
  </si>
  <si>
    <t>VEDL</t>
  </si>
  <si>
    <t>Brokerage</t>
  </si>
  <si>
    <t>HDFC</t>
  </si>
  <si>
    <t>AXIS BANK LIMITED</t>
  </si>
  <si>
    <t>BAJAJ AUTO LTD</t>
  </si>
  <si>
    <t>BALRAMPUR CHINI MILLS LTD</t>
  </si>
  <si>
    <t>CANARA BANK</t>
  </si>
  <si>
    <t>HDFC ASSET MANAGEMENT COMPANY LIMITED</t>
  </si>
  <si>
    <t>INFOSYS LTD</t>
  </si>
  <si>
    <t>LTI MINDTREE LIMITED</t>
  </si>
  <si>
    <t>MAHINDRA &amp; MAHINDRA LTD</t>
  </si>
  <si>
    <t>SANOFI INDIA LTD</t>
  </si>
  <si>
    <t>STYLAM INDUSTRIES LTD.</t>
  </si>
  <si>
    <t>ICRA LIMITED</t>
  </si>
  <si>
    <t>PARAS</t>
  </si>
  <si>
    <t>LIFE INSURANCE CORPORATION OF INDIA</t>
  </si>
  <si>
    <t>RELIANCE PP Share</t>
  </si>
  <si>
    <t>Doubt</t>
  </si>
  <si>
    <t>FINOLEX PIPE</t>
  </si>
  <si>
    <t>AARTI INDUSTRIES LIMITED</t>
  </si>
  <si>
    <t>Cost</t>
  </si>
  <si>
    <t>B</t>
  </si>
  <si>
    <t>ALUFLUORIDE LIMITED</t>
  </si>
  <si>
    <t>APOLLO HOSPITALS ENTER. L</t>
  </si>
  <si>
    <t>BANK OF BARODA</t>
  </si>
  <si>
    <t>BANK OF INDIA</t>
  </si>
  <si>
    <t>BIRLASOFT LIMITED</t>
  </si>
  <si>
    <t>BOROSIL RENEWABLES LIMITED</t>
  </si>
  <si>
    <t>CESC LIMITED</t>
  </si>
  <si>
    <t>CITY UNION BANK LTD</t>
  </si>
  <si>
    <t>CYIENT LIMITED</t>
  </si>
  <si>
    <t>DATA PATTERNS (INDIA) LTD</t>
  </si>
  <si>
    <t>DIVI'S LABORATORIES LTD</t>
  </si>
  <si>
    <t>Gail</t>
  </si>
  <si>
    <t>GENSOL ENGINEERING LIMITED</t>
  </si>
  <si>
    <t>GODREJ PROPERTIES LIMITED</t>
  </si>
  <si>
    <t>HLV</t>
  </si>
  <si>
    <t>IDBI BANK LIMITED</t>
  </si>
  <si>
    <t>INDIA CEMENTS LTD</t>
  </si>
  <si>
    <t>INDIAMART INTERMESH LIMITED</t>
  </si>
  <si>
    <t>JAIPRAKASH POWER VENTURES LTD.</t>
  </si>
  <si>
    <t>JBM AUTO LIMITED</t>
  </si>
  <si>
    <t>JSW INFRASTRUCTURE LIMITED</t>
  </si>
  <si>
    <t>KALPATARU PROJECTS INTERNATIONAL LIMITED</t>
  </si>
  <si>
    <t>KPIT TECHNOLOGIES LIMITED</t>
  </si>
  <si>
    <t>LIBERTY SHOES LTD</t>
  </si>
  <si>
    <t>MAHARASHTRA SEAMLESS LTD</t>
  </si>
  <si>
    <t>MPS LIMITED</t>
  </si>
  <si>
    <t>NATIONAL ALUMINIUM COMPANY LIMITED</t>
  </si>
  <si>
    <t>ONGC LTD</t>
  </si>
  <si>
    <t>POWER FINANCE CORPORATION LTD.</t>
  </si>
  <si>
    <t>RAIL VIKAS NIGAM LIMITED</t>
  </si>
  <si>
    <t>REC LMITED</t>
  </si>
  <si>
    <t>RICO AUTO INDUSTRIES LTD</t>
  </si>
  <si>
    <t>SJVN LIMITED</t>
  </si>
  <si>
    <t>SONA BLW PRECISION FORGINGS LIMITED</t>
  </si>
  <si>
    <t>STATE BANK OF INDIA</t>
  </si>
  <si>
    <t>TATA COMMUNICATIONS LIMITED</t>
  </si>
  <si>
    <t>TEXMACO RAIL &amp; ENGINEERING LIMITED</t>
  </si>
  <si>
    <t>TRIVENI TURBINE LIMITED</t>
  </si>
  <si>
    <t>UNION BANK OF INDIA</t>
  </si>
  <si>
    <t>S</t>
  </si>
  <si>
    <t>AEROFLEX INDUSTRIES LIMITED</t>
  </si>
  <si>
    <t>B (Bonus)</t>
  </si>
  <si>
    <t>Bonus</t>
  </si>
  <si>
    <t>TATA TECHNOLOGIES LIMITED</t>
  </si>
  <si>
    <t>IPO</t>
  </si>
  <si>
    <t>CLEAN SCIENCE &amp; TECHNOLOGY LIMITED</t>
  </si>
  <si>
    <t>D B REALTY LIMITED</t>
  </si>
  <si>
    <t>ENGINEERS INDIA LTD</t>
  </si>
  <si>
    <t>M K PROTEINS LIMITED</t>
  </si>
  <si>
    <t>NCC LTD</t>
  </si>
  <si>
    <t>OLECTRA GREENTECH LIMITED</t>
  </si>
  <si>
    <t>POLYCAB INDIA LIMITED</t>
  </si>
  <si>
    <t>STEEL AUTHORITY OF INDIA</t>
  </si>
  <si>
    <t>\</t>
  </si>
  <si>
    <t>Aayush Final Equity statement from 1-pril-23 to 31-March-24</t>
  </si>
  <si>
    <t>buy</t>
  </si>
  <si>
    <t>sell</t>
  </si>
  <si>
    <t xml:space="preserve">JIO Fin </t>
  </si>
  <si>
    <t>`</t>
  </si>
  <si>
    <t>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</si>
</sst>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[$-409]d/mmm/yy;@"/>
    <numFmt numFmtId="165" formatCode="_ * #,##0_ ;_ * \-#,##0_ ;_ * &quot;-&quot;??_ ;_ @_ "/>
    <numFmt numFmtId="166" formatCode="0.000"/>
    <numFmt numFmtId="167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EEF7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</cellStyleXfs>
  <cellXfs count="532">
    <xf numFmtId="0" fontId="0" fillId="0" borderId="0" xfId="0"/>
    <xf numFmtId="0" fontId="0" fillId="0" borderId="2" xfId="0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43" fontId="1" fillId="0" borderId="53" xfId="3" applyFont="1" applyFill="1" applyBorder="1" applyAlignment="1">
      <alignment horizontal="center" vertical="center" wrapText="1"/>
    </xf>
    <xf numFmtId="15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43" fontId="1" fillId="0" borderId="0" xfId="3" applyFont="1" applyFill="1" applyBorder="1" applyAlignment="1">
      <alignment horizontal="center" vertical="center" wrapText="1"/>
    </xf>
    <xf numFmtId="15" fontId="1" fillId="0" borderId="2" xfId="0" applyNumberFormat="1" applyFont="1" applyFill="1" applyBorder="1" applyAlignment="1">
      <alignment horizontal="center" vertical="center" wrapText="1"/>
    </xf>
    <xf numFmtId="43" fontId="1" fillId="0" borderId="2" xfId="3" applyFont="1" applyFill="1" applyBorder="1" applyAlignment="1">
      <alignment horizontal="center" vertical="center" wrapText="1"/>
    </xf>
    <xf numFmtId="15" fontId="1" fillId="0" borderId="37" xfId="0" applyNumberFormat="1" applyFont="1" applyFill="1" applyBorder="1" applyAlignment="1">
      <alignment horizontal="center" vertical="center" wrapText="1"/>
    </xf>
    <xf numFmtId="43" fontId="1" fillId="0" borderId="37" xfId="3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37" xfId="0" applyFont="1" applyFill="1" applyBorder="1" applyAlignment="1">
      <alignment horizontal="center" vertical="center" wrapText="1"/>
    </xf>
    <xf numFmtId="43" fontId="6" fillId="0" borderId="37" xfId="3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43" fontId="6" fillId="0" borderId="45" xfId="3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2" fontId="6" fillId="0" borderId="43" xfId="0" applyNumberFormat="1" applyFont="1" applyFill="1" applyBorder="1" applyAlignment="1">
      <alignment horizontal="center" vertical="center" wrapText="1"/>
    </xf>
    <xf numFmtId="2" fontId="6" fillId="0" borderId="45" xfId="0" applyNumberFormat="1" applyFont="1" applyFill="1" applyBorder="1" applyAlignment="1">
      <alignment horizontal="center" vertical="center" wrapText="1"/>
    </xf>
    <xf numFmtId="2" fontId="6" fillId="0" borderId="46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43" fontId="6" fillId="0" borderId="1" xfId="3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2" fontId="6" fillId="0" borderId="51" xfId="0" applyNumberFormat="1" applyFont="1" applyFill="1" applyBorder="1" applyAlignment="1">
      <alignment horizontal="center" vertical="center" wrapText="1"/>
    </xf>
    <xf numFmtId="2" fontId="6" fillId="0" borderId="41" xfId="0" applyNumberFormat="1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vertical="center" wrapText="1"/>
    </xf>
    <xf numFmtId="2" fontId="6" fillId="0" borderId="41" xfId="0" applyNumberFormat="1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2" fontId="6" fillId="0" borderId="43" xfId="0" applyNumberFormat="1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45" xfId="0" applyFont="1" applyFill="1" applyBorder="1" applyAlignment="1">
      <alignment vertical="center" wrapText="1"/>
    </xf>
    <xf numFmtId="15" fontId="1" fillId="0" borderId="45" xfId="0" applyNumberFormat="1" applyFont="1" applyFill="1" applyBorder="1" applyAlignment="1">
      <alignment horizontal="center" vertical="center" wrapText="1"/>
    </xf>
    <xf numFmtId="43" fontId="1" fillId="0" borderId="45" xfId="3" applyFont="1" applyFill="1" applyBorder="1" applyAlignment="1">
      <alignment horizontal="center" vertical="center" wrapText="1"/>
    </xf>
    <xf numFmtId="164" fontId="6" fillId="0" borderId="45" xfId="0" applyNumberFormat="1" applyFont="1" applyFill="1" applyBorder="1" applyAlignment="1">
      <alignment horizontal="center" vertical="center" wrapText="1"/>
    </xf>
    <xf numFmtId="2" fontId="1" fillId="0" borderId="45" xfId="0" applyNumberFormat="1" applyFont="1" applyFill="1" applyBorder="1" applyAlignment="1">
      <alignment horizontal="center" vertical="center" wrapText="1"/>
    </xf>
    <xf numFmtId="2" fontId="6" fillId="0" borderId="46" xfId="0" applyNumberFormat="1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15" fontId="1" fillId="0" borderId="6" xfId="0" applyNumberFormat="1" applyFont="1" applyFill="1" applyBorder="1" applyAlignment="1">
      <alignment horizontal="center" vertical="center" wrapText="1"/>
    </xf>
    <xf numFmtId="2" fontId="6" fillId="0" borderId="49" xfId="0" applyNumberFormat="1" applyFont="1" applyFill="1" applyBorder="1" applyAlignment="1">
      <alignment vertical="center" wrapText="1"/>
    </xf>
    <xf numFmtId="0" fontId="1" fillId="0" borderId="86" xfId="0" applyFont="1" applyFill="1" applyBorder="1" applyAlignment="1">
      <alignment vertical="center" wrapText="1"/>
    </xf>
    <xf numFmtId="0" fontId="7" fillId="0" borderId="76" xfId="0" applyFont="1" applyFill="1" applyBorder="1" applyAlignment="1">
      <alignment horizontal="left" vertical="center" wrapText="1"/>
    </xf>
    <xf numFmtId="0" fontId="6" fillId="0" borderId="76" xfId="0" applyFont="1" applyFill="1" applyBorder="1" applyAlignment="1">
      <alignment vertical="center" wrapText="1"/>
    </xf>
    <xf numFmtId="15" fontId="1" fillId="0" borderId="76" xfId="0" applyNumberFormat="1" applyFont="1" applyFill="1" applyBorder="1" applyAlignment="1">
      <alignment horizontal="center" vertical="center" wrapText="1"/>
    </xf>
    <xf numFmtId="2" fontId="6" fillId="0" borderId="85" xfId="0" applyNumberFormat="1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15" fontId="1" fillId="0" borderId="8" xfId="0" applyNumberFormat="1" applyFont="1" applyFill="1" applyBorder="1" applyAlignment="1">
      <alignment horizontal="center" vertical="center" wrapText="1"/>
    </xf>
    <xf numFmtId="2" fontId="6" fillId="0" borderId="77" xfId="0" applyNumberFormat="1" applyFont="1" applyFill="1" applyBorder="1" applyAlignment="1">
      <alignment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 wrapText="1"/>
    </xf>
    <xf numFmtId="15" fontId="1" fillId="0" borderId="16" xfId="0" applyNumberFormat="1" applyFont="1" applyFill="1" applyBorder="1" applyAlignment="1">
      <alignment horizontal="center" vertical="center" wrapText="1"/>
    </xf>
    <xf numFmtId="43" fontId="1" fillId="0" borderId="16" xfId="3" applyFont="1" applyFill="1" applyBorder="1" applyAlignment="1">
      <alignment horizontal="center" vertical="center" wrapText="1"/>
    </xf>
    <xf numFmtId="164" fontId="6" fillId="0" borderId="16" xfId="0" applyNumberFormat="1" applyFont="1" applyFill="1" applyBorder="1" applyAlignment="1">
      <alignment horizontal="center" vertical="center" wrapText="1"/>
    </xf>
    <xf numFmtId="2" fontId="1" fillId="0" borderId="16" xfId="0" applyNumberFormat="1" applyFont="1" applyFill="1" applyBorder="1" applyAlignment="1">
      <alignment horizontal="center" vertical="center" wrapText="1"/>
    </xf>
    <xf numFmtId="2" fontId="6" fillId="0" borderId="16" xfId="0" applyNumberFormat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2" fontId="6" fillId="0" borderId="17" xfId="0" applyNumberFormat="1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 wrapText="1"/>
    </xf>
    <xf numFmtId="2" fontId="6" fillId="0" borderId="14" xfId="0" applyNumberFormat="1" applyFont="1" applyFill="1" applyBorder="1" applyAlignment="1">
      <alignment vertical="center" wrapText="1"/>
    </xf>
    <xf numFmtId="15" fontId="1" fillId="0" borderId="9" xfId="0" applyNumberFormat="1" applyFont="1" applyFill="1" applyBorder="1" applyAlignment="1">
      <alignment horizontal="center" vertical="center" wrapText="1"/>
    </xf>
    <xf numFmtId="15" fontId="1" fillId="0" borderId="4" xfId="0" applyNumberFormat="1" applyFont="1" applyFill="1" applyBorder="1" applyAlignment="1">
      <alignment horizontal="center" vertical="center" wrapText="1"/>
    </xf>
    <xf numFmtId="165" fontId="6" fillId="2" borderId="5" xfId="3" applyNumberFormat="1" applyFont="1" applyFill="1" applyBorder="1" applyAlignment="1">
      <alignment vertical="center" wrapText="1"/>
    </xf>
    <xf numFmtId="43" fontId="1" fillId="0" borderId="10" xfId="3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164" fontId="6" fillId="0" borderId="6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43" fontId="1" fillId="0" borderId="6" xfId="3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43" fontId="1" fillId="0" borderId="30" xfId="3" applyFont="1" applyFill="1" applyBorder="1" applyAlignment="1">
      <alignment horizontal="center" vertical="center" wrapText="1"/>
    </xf>
    <xf numFmtId="43" fontId="1" fillId="0" borderId="13" xfId="3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vertical="center" wrapText="1"/>
    </xf>
    <xf numFmtId="0" fontId="6" fillId="0" borderId="21" xfId="0" applyFont="1" applyFill="1" applyBorder="1" applyAlignment="1">
      <alignment vertical="center" wrapText="1"/>
    </xf>
    <xf numFmtId="15" fontId="1" fillId="0" borderId="26" xfId="0" applyNumberFormat="1" applyFont="1" applyFill="1" applyBorder="1" applyAlignment="1">
      <alignment horizontal="center" vertical="center" wrapText="1"/>
    </xf>
    <xf numFmtId="15" fontId="1" fillId="0" borderId="28" xfId="0" applyNumberFormat="1" applyFont="1" applyFill="1" applyBorder="1" applyAlignment="1">
      <alignment horizontal="center" vertical="center" wrapText="1"/>
    </xf>
    <xf numFmtId="43" fontId="1" fillId="0" borderId="27" xfId="3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43" fontId="1" fillId="0" borderId="31" xfId="3" applyFont="1" applyFill="1" applyBorder="1" applyAlignment="1">
      <alignment horizontal="center" vertical="center" wrapText="1"/>
    </xf>
    <xf numFmtId="164" fontId="6" fillId="0" borderId="20" xfId="0" applyNumberFormat="1" applyFont="1" applyFill="1" applyBorder="1" applyAlignment="1">
      <alignment horizontal="center" vertical="center" wrapText="1"/>
    </xf>
    <xf numFmtId="2" fontId="1" fillId="0" borderId="18" xfId="0" applyNumberFormat="1" applyFont="1" applyFill="1" applyBorder="1" applyAlignment="1">
      <alignment horizontal="center" vertical="center" wrapText="1"/>
    </xf>
    <xf numFmtId="43" fontId="1" fillId="0" borderId="18" xfId="3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43" fontId="1" fillId="0" borderId="19" xfId="3" applyFont="1" applyFill="1" applyBorder="1" applyAlignment="1">
      <alignment horizontal="center" vertical="center" wrapText="1"/>
    </xf>
    <xf numFmtId="43" fontId="1" fillId="0" borderId="22" xfId="3" applyFont="1" applyFill="1" applyBorder="1" applyAlignment="1">
      <alignment horizontal="center" vertical="center" wrapText="1"/>
    </xf>
    <xf numFmtId="2" fontId="6" fillId="0" borderId="21" xfId="0" applyNumberFormat="1" applyFont="1" applyFill="1" applyBorder="1" applyAlignment="1">
      <alignment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center" vertical="center" wrapText="1"/>
    </xf>
    <xf numFmtId="15" fontId="1" fillId="0" borderId="23" xfId="0" applyNumberFormat="1" applyFont="1" applyFill="1" applyBorder="1" applyAlignment="1">
      <alignment horizontal="center" vertical="center" wrapText="1"/>
    </xf>
    <xf numFmtId="43" fontId="1" fillId="0" borderId="23" xfId="3" applyFont="1" applyFill="1" applyBorder="1" applyAlignment="1">
      <alignment horizontal="center" vertical="center" wrapText="1"/>
    </xf>
    <xf numFmtId="164" fontId="6" fillId="0" borderId="23" xfId="0" applyNumberFormat="1" applyFont="1" applyFill="1" applyBorder="1" applyAlignment="1">
      <alignment horizontal="center" vertical="center" wrapText="1"/>
    </xf>
    <xf numFmtId="2" fontId="1" fillId="0" borderId="23" xfId="0" applyNumberFormat="1" applyFont="1" applyFill="1" applyBorder="1" applyAlignment="1">
      <alignment horizontal="center" vertical="center" wrapText="1"/>
    </xf>
    <xf numFmtId="2" fontId="6" fillId="0" borderId="23" xfId="0" applyNumberFormat="1" applyFont="1" applyFill="1" applyBorder="1" applyAlignment="1">
      <alignment horizontal="center" vertical="center" wrapText="1"/>
    </xf>
    <xf numFmtId="43" fontId="1" fillId="0" borderId="2" xfId="3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43" fontId="1" fillId="0" borderId="39" xfId="3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15" fontId="1" fillId="0" borderId="11" xfId="0" applyNumberFormat="1" applyFont="1" applyFill="1" applyBorder="1" applyAlignment="1">
      <alignment horizontal="center" vertical="center" wrapText="1"/>
    </xf>
    <xf numFmtId="15" fontId="1" fillId="0" borderId="7" xfId="0" applyNumberFormat="1" applyFont="1" applyFill="1" applyBorder="1" applyAlignment="1">
      <alignment horizontal="center" vertical="center" wrapText="1"/>
    </xf>
    <xf numFmtId="43" fontId="1" fillId="0" borderId="8" xfId="3" applyFont="1" applyFill="1" applyBorder="1" applyAlignment="1">
      <alignment horizontal="center" vertical="center" wrapText="1"/>
    </xf>
    <xf numFmtId="43" fontId="1" fillId="0" borderId="15" xfId="3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43" fontId="1" fillId="0" borderId="12" xfId="3" applyFont="1" applyFill="1" applyBorder="1" applyAlignment="1">
      <alignment horizontal="center" vertical="center" wrapText="1"/>
    </xf>
    <xf numFmtId="43" fontId="1" fillId="0" borderId="5" xfId="3" applyFont="1" applyFill="1" applyBorder="1" applyAlignment="1">
      <alignment horizontal="center" vertical="center" wrapText="1"/>
    </xf>
    <xf numFmtId="15" fontId="1" fillId="0" borderId="20" xfId="0" applyNumberFormat="1" applyFont="1" applyFill="1" applyBorder="1" applyAlignment="1">
      <alignment horizontal="center" vertical="center" wrapText="1"/>
    </xf>
    <xf numFmtId="43" fontId="1" fillId="0" borderId="33" xfId="3" applyFont="1" applyFill="1" applyBorder="1" applyAlignment="1">
      <alignment horizontal="center" vertical="center" wrapText="1"/>
    </xf>
    <xf numFmtId="164" fontId="1" fillId="0" borderId="20" xfId="0" applyNumberFormat="1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left" vertical="center" wrapText="1"/>
    </xf>
    <xf numFmtId="15" fontId="1" fillId="0" borderId="39" xfId="0" applyNumberFormat="1" applyFont="1" applyFill="1" applyBorder="1" applyAlignment="1">
      <alignment horizontal="center" vertical="center" wrapText="1"/>
    </xf>
    <xf numFmtId="164" fontId="1" fillId="0" borderId="39" xfId="0" applyNumberFormat="1" applyFont="1" applyFill="1" applyBorder="1" applyAlignment="1">
      <alignment horizontal="center" vertical="center" wrapText="1"/>
    </xf>
    <xf numFmtId="2" fontId="1" fillId="0" borderId="39" xfId="0" applyNumberFormat="1" applyFont="1" applyFill="1" applyBorder="1" applyAlignment="1">
      <alignment horizontal="center" vertical="center" wrapText="1"/>
    </xf>
    <xf numFmtId="2" fontId="6" fillId="0" borderId="39" xfId="0" applyNumberFormat="1" applyFont="1" applyFill="1" applyBorder="1" applyAlignment="1">
      <alignment horizontal="center" vertical="center" wrapText="1"/>
    </xf>
    <xf numFmtId="0" fontId="1" fillId="0" borderId="54" xfId="0" applyFont="1" applyFill="1" applyBorder="1" applyAlignment="1">
      <alignment vertical="center" wrapText="1"/>
    </xf>
    <xf numFmtId="0" fontId="1" fillId="0" borderId="36" xfId="0" applyFont="1" applyFill="1" applyBorder="1" applyAlignment="1">
      <alignment vertical="center" wrapText="1"/>
    </xf>
    <xf numFmtId="2" fontId="6" fillId="0" borderId="57" xfId="0" applyNumberFormat="1" applyFont="1" applyFill="1" applyBorder="1" applyAlignment="1">
      <alignment vertical="center" wrapText="1"/>
    </xf>
    <xf numFmtId="2" fontId="6" fillId="0" borderId="59" xfId="0" applyNumberFormat="1" applyFont="1" applyFill="1" applyBorder="1" applyAlignment="1">
      <alignment vertical="center" wrapText="1"/>
    </xf>
    <xf numFmtId="43" fontId="1" fillId="0" borderId="1" xfId="3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61" xfId="0" applyFont="1" applyFill="1" applyBorder="1" applyAlignment="1">
      <alignment vertical="center" wrapText="1"/>
    </xf>
    <xf numFmtId="43" fontId="1" fillId="0" borderId="70" xfId="3" applyFont="1" applyFill="1" applyBorder="1" applyAlignment="1">
      <alignment horizontal="center" vertical="center" wrapText="1"/>
    </xf>
    <xf numFmtId="0" fontId="1" fillId="0" borderId="70" xfId="0" applyFont="1" applyFill="1" applyBorder="1" applyAlignment="1">
      <alignment horizontal="center" vertical="center" wrapText="1"/>
    </xf>
    <xf numFmtId="2" fontId="6" fillId="0" borderId="66" xfId="0" applyNumberFormat="1" applyFont="1" applyFill="1" applyBorder="1" applyAlignment="1">
      <alignment vertical="center" wrapText="1"/>
    </xf>
    <xf numFmtId="43" fontId="1" fillId="0" borderId="71" xfId="3" applyFont="1" applyFill="1" applyBorder="1" applyAlignment="1">
      <alignment horizontal="center" vertical="center" wrapText="1"/>
    </xf>
    <xf numFmtId="43" fontId="1" fillId="0" borderId="74" xfId="3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left" vertical="center" wrapText="1"/>
    </xf>
    <xf numFmtId="43" fontId="1" fillId="0" borderId="75" xfId="3" applyFont="1" applyFill="1" applyBorder="1" applyAlignment="1">
      <alignment horizontal="center" vertical="center" wrapText="1"/>
    </xf>
    <xf numFmtId="15" fontId="1" fillId="0" borderId="72" xfId="0" applyNumberFormat="1" applyFont="1" applyFill="1" applyBorder="1" applyAlignment="1">
      <alignment horizontal="center" vertical="center" wrapText="1"/>
    </xf>
    <xf numFmtId="43" fontId="1" fillId="0" borderId="64" xfId="3" applyFont="1" applyFill="1" applyBorder="1" applyAlignment="1">
      <alignment horizontal="center" vertical="center" wrapText="1"/>
    </xf>
    <xf numFmtId="43" fontId="1" fillId="0" borderId="65" xfId="3" applyFont="1" applyFill="1" applyBorder="1" applyAlignment="1">
      <alignment horizontal="center" vertical="center" wrapText="1"/>
    </xf>
    <xf numFmtId="164" fontId="1" fillId="0" borderId="72" xfId="0" applyNumberFormat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left" vertical="center" wrapText="1"/>
    </xf>
    <xf numFmtId="164" fontId="1" fillId="0" borderId="16" xfId="0" applyNumberFormat="1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43" fontId="1" fillId="0" borderId="8" xfId="3" applyFont="1" applyFill="1" applyBorder="1" applyAlignment="1">
      <alignment horizontal="center" vertical="center"/>
    </xf>
    <xf numFmtId="43" fontId="1" fillId="0" borderId="13" xfId="3" applyFont="1" applyFill="1" applyBorder="1" applyAlignment="1">
      <alignment horizontal="center" vertical="center"/>
    </xf>
    <xf numFmtId="2" fontId="6" fillId="0" borderId="17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43" fontId="1" fillId="0" borderId="2" xfId="3" applyFont="1" applyFill="1" applyBorder="1" applyAlignment="1">
      <alignment horizontal="center" vertical="center"/>
    </xf>
    <xf numFmtId="43" fontId="1" fillId="0" borderId="10" xfId="3" applyFont="1" applyFill="1" applyBorder="1" applyAlignment="1">
      <alignment horizontal="center" vertical="center"/>
    </xf>
    <xf numFmtId="2" fontId="6" fillId="0" borderId="14" xfId="0" applyNumberFormat="1" applyFont="1" applyFill="1" applyBorder="1" applyAlignment="1">
      <alignment vertical="center"/>
    </xf>
    <xf numFmtId="14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43" fontId="1" fillId="0" borderId="6" xfId="3" applyFont="1" applyFill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2" fontId="6" fillId="0" borderId="21" xfId="0" applyNumberFormat="1" applyFont="1" applyFill="1" applyBorder="1" applyAlignment="1">
      <alignment vertical="center"/>
    </xf>
    <xf numFmtId="2" fontId="1" fillId="0" borderId="8" xfId="0" applyNumberFormat="1" applyFont="1" applyFill="1" applyBorder="1" applyAlignment="1">
      <alignment horizontal="center" vertical="center" wrapText="1"/>
    </xf>
    <xf numFmtId="0" fontId="0" fillId="0" borderId="43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2" fontId="6" fillId="0" borderId="0" xfId="0" applyNumberFormat="1" applyFont="1" applyFill="1" applyBorder="1" applyAlignment="1">
      <alignment vertical="center"/>
    </xf>
    <xf numFmtId="2" fontId="6" fillId="0" borderId="41" xfId="0" applyNumberFormat="1" applyFont="1" applyFill="1" applyBorder="1" applyAlignment="1">
      <alignment vertical="center"/>
    </xf>
    <xf numFmtId="0" fontId="1" fillId="0" borderId="50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2" fontId="6" fillId="0" borderId="46" xfId="0" applyNumberFormat="1" applyFont="1" applyFill="1" applyBorder="1" applyAlignment="1">
      <alignment vertical="center"/>
    </xf>
    <xf numFmtId="0" fontId="1" fillId="0" borderId="45" xfId="0" applyFont="1" applyFill="1" applyBorder="1" applyAlignment="1">
      <alignment horizontal="left" vertical="center" wrapText="1"/>
    </xf>
    <xf numFmtId="2" fontId="1" fillId="0" borderId="2" xfId="0" applyNumberFormat="1" applyFont="1" applyFill="1" applyBorder="1" applyAlignment="1">
      <alignment horizontal="center" vertical="center" wrapText="1"/>
    </xf>
    <xf numFmtId="2" fontId="6" fillId="0" borderId="43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6" fillId="0" borderId="51" xfId="0" applyNumberFormat="1" applyFont="1" applyFill="1" applyBorder="1" applyAlignment="1">
      <alignment vertical="center"/>
    </xf>
    <xf numFmtId="2" fontId="6" fillId="0" borderId="77" xfId="0" applyNumberFormat="1" applyFont="1" applyFill="1" applyBorder="1" applyAlignment="1">
      <alignment vertical="center"/>
    </xf>
    <xf numFmtId="0" fontId="6" fillId="2" borderId="70" xfId="0" applyFont="1" applyFill="1" applyBorder="1" applyAlignment="1">
      <alignment horizontal="center" vertical="center" wrapText="1"/>
    </xf>
    <xf numFmtId="43" fontId="1" fillId="0" borderId="0" xfId="3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3" fontId="1" fillId="0" borderId="76" xfId="3" applyFont="1" applyFill="1" applyBorder="1" applyAlignment="1">
      <alignment horizontal="center" vertical="center" wrapText="1"/>
    </xf>
    <xf numFmtId="2" fontId="6" fillId="0" borderId="85" xfId="0" applyNumberFormat="1" applyFont="1" applyFill="1" applyBorder="1" applyAlignment="1">
      <alignment vertical="center"/>
    </xf>
    <xf numFmtId="0" fontId="6" fillId="2" borderId="33" xfId="0" applyFont="1" applyFill="1" applyBorder="1" applyAlignment="1">
      <alignment horizontal="center" vertical="center" wrapText="1"/>
    </xf>
    <xf numFmtId="43" fontId="1" fillId="0" borderId="37" xfId="3" applyFont="1" applyFill="1" applyBorder="1" applyAlignment="1">
      <alignment horizontal="center" vertical="center"/>
    </xf>
    <xf numFmtId="15" fontId="1" fillId="0" borderId="63" xfId="0" applyNumberFormat="1" applyFont="1" applyFill="1" applyBorder="1" applyAlignment="1">
      <alignment horizontal="center" vertical="center" wrapText="1"/>
    </xf>
    <xf numFmtId="0" fontId="1" fillId="0" borderId="76" xfId="0" applyFont="1" applyFill="1" applyBorder="1" applyAlignment="1">
      <alignment horizontal="left" vertical="center" wrapText="1"/>
    </xf>
    <xf numFmtId="0" fontId="1" fillId="0" borderId="76" xfId="0" applyFont="1" applyFill="1" applyBorder="1" applyAlignment="1">
      <alignment horizontal="center" vertical="center"/>
    </xf>
    <xf numFmtId="164" fontId="1" fillId="0" borderId="76" xfId="0" applyNumberFormat="1" applyFont="1" applyFill="1" applyBorder="1" applyAlignment="1">
      <alignment horizontal="center" vertical="center" wrapText="1"/>
    </xf>
    <xf numFmtId="2" fontId="1" fillId="0" borderId="76" xfId="0" applyNumberFormat="1" applyFont="1" applyFill="1" applyBorder="1" applyAlignment="1">
      <alignment horizontal="center" vertical="center" wrapText="1"/>
    </xf>
    <xf numFmtId="2" fontId="6" fillId="0" borderId="85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 wrapText="1"/>
    </xf>
    <xf numFmtId="43" fontId="1" fillId="0" borderId="32" xfId="3" applyFont="1" applyFill="1" applyBorder="1" applyAlignment="1">
      <alignment horizontal="center" vertical="center" wrapText="1"/>
    </xf>
    <xf numFmtId="43" fontId="1" fillId="0" borderId="24" xfId="3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43" fontId="1" fillId="0" borderId="35" xfId="3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5" fontId="1" fillId="0" borderId="62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43" fontId="1" fillId="0" borderId="0" xfId="3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15" fontId="1" fillId="0" borderId="29" xfId="0" applyNumberFormat="1" applyFont="1" applyFill="1" applyBorder="1" applyAlignment="1">
      <alignment horizontal="center" vertical="center" wrapText="1"/>
    </xf>
    <xf numFmtId="15" fontId="1" fillId="0" borderId="25" xfId="0" applyNumberFormat="1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164" fontId="1" fillId="0" borderId="28" xfId="0" applyNumberFormat="1" applyFont="1" applyFill="1" applyBorder="1" applyAlignment="1">
      <alignment horizontal="center" vertical="center" wrapText="1"/>
    </xf>
    <xf numFmtId="2" fontId="1" fillId="0" borderId="27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2" fontId="6" fillId="0" borderId="0" xfId="0" applyNumberFormat="1" applyFont="1" applyFill="1" applyAlignment="1">
      <alignment horizontal="center" vertical="center" wrapText="1"/>
    </xf>
    <xf numFmtId="0" fontId="1" fillId="0" borderId="37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45" xfId="0" applyFont="1" applyFill="1" applyBorder="1" applyAlignment="1">
      <alignment vertical="center" wrapText="1"/>
    </xf>
    <xf numFmtId="164" fontId="1" fillId="0" borderId="45" xfId="0" applyNumberFormat="1" applyFont="1" applyFill="1" applyBorder="1" applyAlignment="1">
      <alignment horizontal="center" vertical="center" wrapText="1"/>
    </xf>
    <xf numFmtId="43" fontId="1" fillId="0" borderId="79" xfId="3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164" fontId="1" fillId="0" borderId="6" xfId="0" applyNumberFormat="1" applyFont="1" applyFill="1" applyBorder="1" applyAlignment="1">
      <alignment horizontal="center" vertical="center" wrapText="1"/>
    </xf>
    <xf numFmtId="14" fontId="0" fillId="0" borderId="37" xfId="0" applyNumberFormat="1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1" fillId="0" borderId="87" xfId="0" applyFont="1" applyFill="1" applyBorder="1" applyAlignment="1">
      <alignment vertical="center" wrapText="1"/>
    </xf>
    <xf numFmtId="2" fontId="6" fillId="0" borderId="88" xfId="0" applyNumberFormat="1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7" xfId="0" applyFont="1" applyFill="1" applyBorder="1" applyAlignment="1">
      <alignment horizontal="center" vertical="center"/>
    </xf>
    <xf numFmtId="43" fontId="1" fillId="0" borderId="45" xfId="3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2" fontId="1" fillId="0" borderId="37" xfId="0" applyNumberFormat="1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/>
    </xf>
    <xf numFmtId="43" fontId="1" fillId="0" borderId="27" xfId="3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43" fontId="1" fillId="0" borderId="16" xfId="3" applyFont="1" applyFill="1" applyBorder="1" applyAlignment="1">
      <alignment horizontal="center" vertical="center"/>
    </xf>
    <xf numFmtId="43" fontId="1" fillId="0" borderId="75" xfId="3" applyFont="1" applyFill="1" applyBorder="1" applyAlignment="1">
      <alignment horizontal="center" vertical="center"/>
    </xf>
    <xf numFmtId="43" fontId="1" fillId="0" borderId="76" xfId="3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165" fontId="1" fillId="0" borderId="2" xfId="3" applyNumberFormat="1" applyFont="1" applyFill="1" applyBorder="1" applyAlignment="1">
      <alignment horizontal="center" vertical="center" wrapText="1"/>
    </xf>
    <xf numFmtId="43" fontId="1" fillId="0" borderId="0" xfId="0" applyNumberFormat="1" applyFont="1" applyFill="1" applyAlignment="1">
      <alignment horizontal="center" vertical="center"/>
    </xf>
    <xf numFmtId="14" fontId="0" fillId="0" borderId="45" xfId="0" applyNumberFormat="1" applyFont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0" fillId="0" borderId="46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2" fontId="1" fillId="0" borderId="0" xfId="0" applyNumberFormat="1" applyFont="1" applyFill="1" applyAlignment="1">
      <alignment horizontal="center" vertical="center"/>
    </xf>
    <xf numFmtId="0" fontId="1" fillId="0" borderId="76" xfId="0" applyFont="1" applyFill="1" applyBorder="1" applyAlignment="1">
      <alignment vertical="center" wrapText="1"/>
    </xf>
    <xf numFmtId="0" fontId="1" fillId="0" borderId="89" xfId="0" applyFont="1" applyFill="1" applyBorder="1" applyAlignment="1">
      <alignment vertical="center" wrapText="1"/>
    </xf>
    <xf numFmtId="0" fontId="1" fillId="0" borderId="74" xfId="0" applyFont="1" applyFill="1" applyBorder="1" applyAlignment="1">
      <alignment horizontal="left" vertical="center" wrapText="1"/>
    </xf>
    <xf numFmtId="0" fontId="1" fillId="0" borderId="74" xfId="0" applyFont="1" applyFill="1" applyBorder="1" applyAlignment="1">
      <alignment vertical="center" wrapText="1"/>
    </xf>
    <xf numFmtId="0" fontId="1" fillId="0" borderId="74" xfId="0" applyFont="1" applyFill="1" applyBorder="1" applyAlignment="1">
      <alignment horizontal="center" vertical="center" wrapText="1"/>
    </xf>
    <xf numFmtId="2" fontId="6" fillId="0" borderId="84" xfId="0" applyNumberFormat="1" applyFont="1" applyFill="1" applyBorder="1" applyAlignment="1">
      <alignment vertical="center" wrapText="1"/>
    </xf>
    <xf numFmtId="0" fontId="1" fillId="0" borderId="80" xfId="0" applyFont="1" applyFill="1" applyBorder="1" applyAlignment="1">
      <alignment vertical="center" wrapText="1"/>
    </xf>
    <xf numFmtId="0" fontId="1" fillId="0" borderId="75" xfId="0" applyFont="1" applyFill="1" applyBorder="1" applyAlignment="1">
      <alignment vertical="center" wrapText="1"/>
    </xf>
    <xf numFmtId="0" fontId="1" fillId="0" borderId="75" xfId="0" applyFont="1" applyFill="1" applyBorder="1" applyAlignment="1">
      <alignment horizontal="center" vertical="center" wrapText="1"/>
    </xf>
    <xf numFmtId="43" fontId="1" fillId="0" borderId="43" xfId="3" applyFont="1" applyFill="1" applyBorder="1" applyAlignment="1">
      <alignment horizontal="center" vertical="center" wrapText="1"/>
    </xf>
    <xf numFmtId="43" fontId="1" fillId="0" borderId="46" xfId="3" applyFont="1" applyFill="1" applyBorder="1" applyAlignment="1">
      <alignment horizontal="center" vertical="center" wrapText="1"/>
    </xf>
    <xf numFmtId="43" fontId="1" fillId="0" borderId="49" xfId="3" applyFont="1" applyFill="1" applyBorder="1" applyAlignment="1">
      <alignment horizontal="center" vertical="center" wrapText="1"/>
    </xf>
    <xf numFmtId="2" fontId="6" fillId="0" borderId="81" xfId="0" applyNumberFormat="1" applyFont="1" applyFill="1" applyBorder="1" applyAlignment="1">
      <alignment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165" fontId="1" fillId="0" borderId="45" xfId="3" applyNumberFormat="1" applyFont="1" applyFill="1" applyBorder="1" applyAlignment="1">
      <alignment vertical="center" wrapText="1"/>
    </xf>
    <xf numFmtId="15" fontId="1" fillId="0" borderId="2" xfId="0" applyNumberFormat="1" applyFont="1" applyFill="1" applyBorder="1" applyAlignment="1">
      <alignment horizontal="center" vertical="center"/>
    </xf>
    <xf numFmtId="15" fontId="1" fillId="0" borderId="37" xfId="0" applyNumberFormat="1" applyFont="1" applyFill="1" applyBorder="1" applyAlignment="1">
      <alignment horizontal="center" vertical="center"/>
    </xf>
    <xf numFmtId="43" fontId="1" fillId="0" borderId="41" xfId="3" applyFont="1" applyFill="1" applyBorder="1" applyAlignment="1">
      <alignment horizontal="center" vertical="center" wrapText="1"/>
    </xf>
    <xf numFmtId="2" fontId="6" fillId="0" borderId="88" xfId="0" applyNumberFormat="1" applyFont="1" applyFill="1" applyBorder="1" applyAlignment="1">
      <alignment vertical="center"/>
    </xf>
    <xf numFmtId="0" fontId="1" fillId="0" borderId="75" xfId="0" applyFont="1" applyFill="1" applyBorder="1" applyAlignment="1">
      <alignment horizontal="left" vertical="center" wrapText="1"/>
    </xf>
    <xf numFmtId="0" fontId="6" fillId="0" borderId="75" xfId="0" applyFont="1" applyFill="1" applyBorder="1" applyAlignment="1">
      <alignment vertical="center" wrapText="1"/>
    </xf>
    <xf numFmtId="164" fontId="6" fillId="0" borderId="75" xfId="0" applyNumberFormat="1" applyFont="1" applyFill="1" applyBorder="1" applyAlignment="1">
      <alignment horizontal="center" vertical="center" wrapText="1"/>
    </xf>
    <xf numFmtId="2" fontId="1" fillId="0" borderId="75" xfId="0" applyNumberFormat="1" applyFont="1" applyFill="1" applyBorder="1" applyAlignment="1">
      <alignment horizontal="center" vertical="center" wrapText="1"/>
    </xf>
    <xf numFmtId="0" fontId="6" fillId="0" borderId="75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5" fontId="1" fillId="0" borderId="74" xfId="0" applyNumberFormat="1" applyFont="1" applyFill="1" applyBorder="1" applyAlignment="1">
      <alignment horizontal="center" vertical="center" wrapText="1"/>
    </xf>
    <xf numFmtId="2" fontId="1" fillId="0" borderId="74" xfId="0" applyNumberFormat="1" applyFont="1" applyFill="1" applyBorder="1" applyAlignment="1">
      <alignment horizontal="center" vertical="center" wrapText="1"/>
    </xf>
    <xf numFmtId="15" fontId="1" fillId="0" borderId="75" xfId="0" applyNumberFormat="1" applyFont="1" applyFill="1" applyBorder="1" applyAlignment="1">
      <alignment horizontal="center" vertical="center" wrapText="1"/>
    </xf>
    <xf numFmtId="164" fontId="1" fillId="0" borderId="74" xfId="0" applyNumberFormat="1" applyFont="1" applyFill="1" applyBorder="1" applyAlignment="1">
      <alignment horizontal="center" vertical="center" wrapText="1"/>
    </xf>
    <xf numFmtId="2" fontId="6" fillId="0" borderId="84" xfId="0" applyNumberFormat="1" applyFont="1" applyFill="1" applyBorder="1" applyAlignment="1">
      <alignment horizontal="center" vertical="center" wrapText="1"/>
    </xf>
    <xf numFmtId="2" fontId="6" fillId="0" borderId="81" xfId="0" applyNumberFormat="1" applyFont="1" applyFill="1" applyBorder="1" applyAlignment="1">
      <alignment vertical="center"/>
    </xf>
    <xf numFmtId="15" fontId="1" fillId="0" borderId="45" xfId="0" applyNumberFormat="1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2" fontId="6" fillId="0" borderId="88" xfId="0" applyNumberFormat="1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/>
    </xf>
    <xf numFmtId="2" fontId="6" fillId="0" borderId="49" xfId="0" applyNumberFormat="1" applyFont="1" applyFill="1" applyBorder="1" applyAlignment="1">
      <alignment vertical="center"/>
    </xf>
    <xf numFmtId="2" fontId="0" fillId="0" borderId="37" xfId="0" applyNumberFormat="1" applyFont="1" applyBorder="1" applyAlignment="1">
      <alignment horizontal="center" vertical="center" wrapText="1"/>
    </xf>
    <xf numFmtId="0" fontId="0" fillId="0" borderId="41" xfId="0" applyFont="1" applyBorder="1" applyAlignment="1">
      <alignment horizontal="center" vertical="center" wrapText="1"/>
    </xf>
    <xf numFmtId="15" fontId="1" fillId="0" borderId="91" xfId="0" applyNumberFormat="1" applyFont="1" applyFill="1" applyBorder="1" applyAlignment="1">
      <alignment horizontal="center" vertical="center" wrapText="1"/>
    </xf>
    <xf numFmtId="15" fontId="1" fillId="0" borderId="68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2" fontId="6" fillId="0" borderId="43" xfId="0" applyNumberFormat="1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14" fontId="0" fillId="0" borderId="8" xfId="0" applyNumberFormat="1" applyFont="1" applyBorder="1" applyAlignment="1">
      <alignment horizontal="center" vertical="center" wrapText="1"/>
    </xf>
    <xf numFmtId="164" fontId="1" fillId="0" borderId="75" xfId="0" applyNumberFormat="1" applyFont="1" applyFill="1" applyBorder="1" applyAlignment="1">
      <alignment horizontal="center" vertical="center" wrapText="1"/>
    </xf>
    <xf numFmtId="0" fontId="6" fillId="0" borderId="74" xfId="0" applyFont="1" applyFill="1" applyBorder="1" applyAlignment="1">
      <alignment horizontal="center" vertical="center" wrapText="1"/>
    </xf>
    <xf numFmtId="2" fontId="6" fillId="0" borderId="81" xfId="0" applyNumberFormat="1" applyFont="1" applyFill="1" applyBorder="1" applyAlignment="1">
      <alignment horizontal="center" vertical="center" wrapText="1"/>
    </xf>
    <xf numFmtId="15" fontId="1" fillId="0" borderId="6" xfId="0" applyNumberFormat="1" applyFont="1" applyFill="1" applyBorder="1" applyAlignment="1">
      <alignment horizontal="center" vertical="center"/>
    </xf>
    <xf numFmtId="15" fontId="1" fillId="0" borderId="7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0" borderId="75" xfId="0" applyFont="1" applyFill="1" applyBorder="1" applyAlignment="1">
      <alignment horizontal="center" vertical="center"/>
    </xf>
    <xf numFmtId="15" fontId="1" fillId="0" borderId="75" xfId="0" applyNumberFormat="1" applyFont="1" applyFill="1" applyBorder="1" applyAlignment="1">
      <alignment horizontal="center" vertical="center"/>
    </xf>
    <xf numFmtId="2" fontId="6" fillId="0" borderId="41" xfId="0" applyNumberFormat="1" applyFont="1" applyFill="1" applyBorder="1" applyAlignment="1">
      <alignment horizontal="center" vertical="center"/>
    </xf>
    <xf numFmtId="2" fontId="6" fillId="0" borderId="46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14" fontId="0" fillId="0" borderId="75" xfId="0" applyNumberFormat="1" applyFont="1" applyBorder="1" applyAlignment="1">
      <alignment horizontal="center" vertical="center" wrapText="1"/>
    </xf>
    <xf numFmtId="0" fontId="0" fillId="0" borderId="75" xfId="0" applyFont="1" applyBorder="1" applyAlignment="1">
      <alignment horizontal="center" vertical="center" wrapText="1"/>
    </xf>
    <xf numFmtId="0" fontId="5" fillId="0" borderId="7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75" xfId="0" applyFont="1" applyFill="1" applyBorder="1" applyAlignment="1">
      <alignment horizontal="center" vertical="center"/>
    </xf>
    <xf numFmtId="43" fontId="6" fillId="2" borderId="45" xfId="3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left" vertical="center"/>
    </xf>
    <xf numFmtId="0" fontId="6" fillId="0" borderId="16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left" vertical="center"/>
    </xf>
    <xf numFmtId="43" fontId="1" fillId="0" borderId="39" xfId="3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8" fillId="0" borderId="76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7" xfId="0" applyFont="1" applyFill="1" applyBorder="1" applyAlignment="1">
      <alignment horizontal="center" vertical="center" wrapText="1"/>
    </xf>
    <xf numFmtId="0" fontId="1" fillId="0" borderId="89" xfId="0" applyFont="1" applyFill="1" applyBorder="1" applyAlignment="1">
      <alignment horizontal="center" vertical="center" wrapText="1"/>
    </xf>
    <xf numFmtId="0" fontId="1" fillId="0" borderId="86" xfId="0" applyFont="1" applyFill="1" applyBorder="1" applyAlignment="1">
      <alignment horizontal="center" vertical="center" wrapText="1"/>
    </xf>
    <xf numFmtId="0" fontId="1" fillId="0" borderId="76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left"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2" fontId="6" fillId="0" borderId="45" xfId="0" applyNumberFormat="1" applyFont="1" applyFill="1" applyBorder="1" applyAlignment="1">
      <alignment horizontal="center" vertical="center" wrapText="1"/>
    </xf>
    <xf numFmtId="43" fontId="6" fillId="0" borderId="37" xfId="3" applyFont="1" applyFill="1" applyBorder="1" applyAlignment="1">
      <alignment horizontal="center" vertical="center" wrapText="1"/>
    </xf>
    <xf numFmtId="43" fontId="6" fillId="0" borderId="45" xfId="3" applyFont="1" applyFill="1" applyBorder="1" applyAlignment="1">
      <alignment horizontal="center" vertical="center" wrapText="1"/>
    </xf>
    <xf numFmtId="2" fontId="6" fillId="0" borderId="41" xfId="0" applyNumberFormat="1" applyFont="1" applyFill="1" applyBorder="1" applyAlignment="1">
      <alignment horizontal="center" vertical="center" wrapText="1"/>
    </xf>
    <xf numFmtId="2" fontId="6" fillId="0" borderId="46" xfId="0" applyNumberFormat="1" applyFont="1" applyFill="1" applyBorder="1" applyAlignment="1">
      <alignment horizontal="center" vertical="center" wrapText="1"/>
    </xf>
    <xf numFmtId="15" fontId="0" fillId="0" borderId="8" xfId="0" applyNumberFormat="1" applyFont="1" applyFill="1" applyBorder="1" applyAlignment="1">
      <alignment horizontal="right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right" vertical="center" wrapText="1"/>
    </xf>
    <xf numFmtId="0" fontId="5" fillId="2" borderId="37" xfId="0" applyFont="1" applyFill="1" applyBorder="1" applyAlignment="1">
      <alignment horizontal="center" vertical="center" wrapText="1"/>
    </xf>
    <xf numFmtId="15" fontId="0" fillId="0" borderId="37" xfId="0" applyNumberFormat="1" applyFont="1" applyFill="1" applyBorder="1" applyAlignment="1">
      <alignment horizontal="right" vertical="center" wrapText="1"/>
    </xf>
    <xf numFmtId="0" fontId="0" fillId="0" borderId="37" xfId="0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right" vertical="center" wrapText="1"/>
    </xf>
    <xf numFmtId="15" fontId="0" fillId="0" borderId="6" xfId="0" applyNumberFormat="1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right" vertical="center" wrapText="1"/>
    </xf>
    <xf numFmtId="15" fontId="0" fillId="0" borderId="2" xfId="0" applyNumberFormat="1" applyFont="1" applyFill="1" applyBorder="1" applyAlignment="1">
      <alignment horizontal="right" vertical="center" wrapText="1"/>
    </xf>
    <xf numFmtId="15" fontId="0" fillId="0" borderId="83" xfId="0" applyNumberFormat="1" applyFont="1" applyFill="1" applyBorder="1" applyAlignment="1">
      <alignment horizontal="right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1" fillId="0" borderId="37" xfId="0" applyNumberFormat="1" applyFont="1" applyFill="1" applyBorder="1" applyAlignment="1">
      <alignment horizontal="center" vertical="center"/>
    </xf>
    <xf numFmtId="2" fontId="0" fillId="0" borderId="37" xfId="0" applyNumberFormat="1" applyFont="1" applyFill="1" applyBorder="1" applyAlignment="1">
      <alignment horizontal="right" vertical="center" wrapText="1"/>
    </xf>
    <xf numFmtId="14" fontId="1" fillId="0" borderId="2" xfId="0" applyNumberFormat="1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right" vertical="center" wrapText="1"/>
    </xf>
    <xf numFmtId="15" fontId="0" fillId="0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Font="1" applyFill="1" applyBorder="1" applyAlignment="1">
      <alignment horizontal="center" vertical="center" wrapText="1"/>
    </xf>
    <xf numFmtId="15" fontId="0" fillId="0" borderId="45" xfId="0" applyNumberFormat="1" applyFont="1" applyFill="1" applyBorder="1" applyAlignment="1">
      <alignment horizontal="right" vertical="center" wrapText="1"/>
    </xf>
    <xf numFmtId="0" fontId="0" fillId="0" borderId="45" xfId="0" applyFont="1" applyFill="1" applyBorder="1" applyAlignment="1">
      <alignment horizontal="center" vertical="center" wrapText="1"/>
    </xf>
    <xf numFmtId="0" fontId="0" fillId="0" borderId="45" xfId="0" applyFont="1" applyFill="1" applyBorder="1" applyAlignment="1">
      <alignment horizontal="right" vertical="center" wrapText="1"/>
    </xf>
    <xf numFmtId="2" fontId="0" fillId="0" borderId="45" xfId="0" applyNumberFormat="1" applyFont="1" applyFill="1" applyBorder="1" applyAlignment="1">
      <alignment horizontal="right" vertical="center" wrapText="1"/>
    </xf>
    <xf numFmtId="0" fontId="5" fillId="2" borderId="45" xfId="0" applyFont="1" applyFill="1" applyBorder="1" applyAlignment="1">
      <alignment horizontal="right" vertical="center" wrapText="1"/>
    </xf>
    <xf numFmtId="14" fontId="1" fillId="0" borderId="9" xfId="0" applyNumberFormat="1" applyFont="1" applyFill="1" applyBorder="1" applyAlignment="1">
      <alignment horizontal="center" vertical="center"/>
    </xf>
    <xf numFmtId="14" fontId="1" fillId="0" borderId="4" xfId="0" applyNumberFormat="1" applyFont="1" applyFill="1" applyBorder="1" applyAlignment="1">
      <alignment horizontal="center" vertical="center"/>
    </xf>
    <xf numFmtId="15" fontId="0" fillId="0" borderId="47" xfId="0" applyNumberFormat="1" applyFont="1" applyFill="1" applyBorder="1" applyAlignment="1">
      <alignment horizontal="right" vertical="center" wrapText="1"/>
    </xf>
    <xf numFmtId="0" fontId="0" fillId="0" borderId="47" xfId="0" applyFont="1" applyFill="1" applyBorder="1" applyAlignment="1">
      <alignment horizontal="center" vertical="center" wrapText="1"/>
    </xf>
    <xf numFmtId="0" fontId="0" fillId="0" borderId="47" xfId="0" applyFont="1" applyFill="1" applyBorder="1" applyAlignment="1">
      <alignment horizontal="right" vertical="center" wrapText="1"/>
    </xf>
    <xf numFmtId="15" fontId="0" fillId="0" borderId="47" xfId="0" applyNumberFormat="1" applyFont="1" applyFill="1" applyBorder="1" applyAlignment="1">
      <alignment horizontal="center" vertical="center" wrapText="1"/>
    </xf>
    <xf numFmtId="43" fontId="0" fillId="0" borderId="47" xfId="0" applyNumberFormat="1" applyFont="1" applyFill="1" applyBorder="1" applyAlignment="1">
      <alignment horizontal="center" vertical="center" wrapText="1"/>
    </xf>
    <xf numFmtId="15" fontId="0" fillId="0" borderId="0" xfId="0" applyNumberFormat="1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right" vertical="center" wrapText="1"/>
    </xf>
    <xf numFmtId="0" fontId="0" fillId="0" borderId="82" xfId="0" applyFont="1" applyFill="1" applyBorder="1" applyAlignment="1">
      <alignment horizontal="right" vertical="center" wrapText="1"/>
    </xf>
    <xf numFmtId="0" fontId="0" fillId="0" borderId="37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14" fontId="1" fillId="0" borderId="45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center" vertical="center" wrapText="1"/>
    </xf>
    <xf numFmtId="14" fontId="1" fillId="0" borderId="6" xfId="0" applyNumberFormat="1" applyFont="1" applyFill="1" applyBorder="1" applyAlignment="1">
      <alignment horizontal="center" vertical="center"/>
    </xf>
    <xf numFmtId="0" fontId="0" fillId="0" borderId="75" xfId="0" applyFont="1" applyFill="1" applyBorder="1" applyAlignment="1">
      <alignment horizontal="left" vertical="center" wrapText="1"/>
    </xf>
    <xf numFmtId="15" fontId="0" fillId="0" borderId="75" xfId="0" applyNumberFormat="1" applyFont="1" applyFill="1" applyBorder="1" applyAlignment="1">
      <alignment horizontal="right" vertical="center" wrapText="1"/>
    </xf>
    <xf numFmtId="0" fontId="0" fillId="0" borderId="75" xfId="0" applyFont="1" applyFill="1" applyBorder="1" applyAlignment="1">
      <alignment horizontal="center" vertical="center" wrapText="1"/>
    </xf>
    <xf numFmtId="0" fontId="0" fillId="0" borderId="75" xfId="0" applyFont="1" applyFill="1" applyBorder="1" applyAlignment="1">
      <alignment horizontal="right" vertical="center" wrapText="1"/>
    </xf>
    <xf numFmtId="14" fontId="1" fillId="0" borderId="75" xfId="0" applyNumberFormat="1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right" vertical="center" wrapText="1"/>
    </xf>
    <xf numFmtId="0" fontId="0" fillId="0" borderId="43" xfId="0" applyFont="1" applyFill="1" applyBorder="1" applyAlignment="1">
      <alignment horizontal="right" vertical="center" wrapText="1"/>
    </xf>
    <xf numFmtId="0" fontId="0" fillId="0" borderId="90" xfId="0" applyFont="1" applyFill="1" applyBorder="1" applyAlignment="1">
      <alignment horizontal="right" vertical="center" wrapText="1"/>
    </xf>
    <xf numFmtId="15" fontId="0" fillId="0" borderId="37" xfId="0" applyNumberFormat="1" applyFont="1" applyFill="1" applyBorder="1" applyAlignment="1">
      <alignment horizontal="center" vertical="center" wrapText="1"/>
    </xf>
    <xf numFmtId="15" fontId="0" fillId="0" borderId="45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2" fontId="0" fillId="0" borderId="37" xfId="0" applyNumberFormat="1" applyFont="1" applyFill="1" applyBorder="1" applyAlignment="1">
      <alignment horizontal="center" vertical="center" wrapText="1"/>
    </xf>
    <xf numFmtId="2" fontId="0" fillId="0" borderId="2" xfId="0" applyNumberFormat="1" applyFont="1" applyFill="1" applyBorder="1" applyAlignment="1">
      <alignment horizontal="center" vertical="center" wrapText="1"/>
    </xf>
    <xf numFmtId="2" fontId="0" fillId="0" borderId="75" xfId="0" applyNumberFormat="1" applyFont="1" applyFill="1" applyBorder="1" applyAlignment="1">
      <alignment horizontal="center" vertical="center" wrapText="1"/>
    </xf>
    <xf numFmtId="2" fontId="0" fillId="0" borderId="45" xfId="0" applyNumberFormat="1" applyFont="1" applyFill="1" applyBorder="1" applyAlignment="1">
      <alignment horizontal="center" vertical="center" wrapText="1"/>
    </xf>
    <xf numFmtId="2" fontId="0" fillId="0" borderId="90" xfId="0" applyNumberFormat="1" applyFont="1" applyFill="1" applyBorder="1" applyAlignment="1">
      <alignment horizontal="center" vertical="center" wrapText="1"/>
    </xf>
    <xf numFmtId="0" fontId="0" fillId="2" borderId="37" xfId="0" applyFont="1" applyFill="1" applyBorder="1" applyAlignment="1">
      <alignment horizontal="right" vertical="center" wrapText="1"/>
    </xf>
    <xf numFmtId="15" fontId="0" fillId="0" borderId="76" xfId="0" applyNumberFormat="1" applyFont="1" applyFill="1" applyBorder="1" applyAlignment="1">
      <alignment horizontal="right" vertical="center" wrapText="1"/>
    </xf>
    <xf numFmtId="0" fontId="0" fillId="0" borderId="76" xfId="0" applyFont="1" applyFill="1" applyBorder="1" applyAlignment="1">
      <alignment horizontal="center" vertical="center" wrapText="1"/>
    </xf>
    <xf numFmtId="0" fontId="0" fillId="0" borderId="76" xfId="0" applyFont="1" applyFill="1" applyBorder="1" applyAlignment="1">
      <alignment horizontal="right" vertical="center" wrapText="1"/>
    </xf>
    <xf numFmtId="14" fontId="1" fillId="0" borderId="55" xfId="0" applyNumberFormat="1" applyFont="1" applyFill="1" applyBorder="1" applyAlignment="1">
      <alignment horizontal="center" vertical="center"/>
    </xf>
    <xf numFmtId="14" fontId="1" fillId="0" borderId="56" xfId="0" applyNumberFormat="1" applyFont="1" applyFill="1" applyBorder="1" applyAlignment="1">
      <alignment horizontal="center" vertical="center"/>
    </xf>
    <xf numFmtId="0" fontId="1" fillId="0" borderId="67" xfId="0" applyFont="1" applyFill="1" applyBorder="1" applyAlignment="1">
      <alignment horizontal="center" vertical="center"/>
    </xf>
    <xf numFmtId="43" fontId="1" fillId="0" borderId="38" xfId="3" applyFont="1" applyFill="1" applyBorder="1" applyAlignment="1">
      <alignment horizontal="center" vertical="center"/>
    </xf>
    <xf numFmtId="43" fontId="1" fillId="0" borderId="48" xfId="3" applyFont="1" applyFill="1" applyBorder="1" applyAlignment="1">
      <alignment horizontal="center" vertical="center"/>
    </xf>
    <xf numFmtId="14" fontId="1" fillId="0" borderId="73" xfId="0" applyNumberFormat="1" applyFont="1" applyFill="1" applyBorder="1" applyAlignment="1">
      <alignment horizontal="center" vertical="center"/>
    </xf>
    <xf numFmtId="14" fontId="1" fillId="0" borderId="72" xfId="0" applyNumberFormat="1" applyFont="1" applyFill="1" applyBorder="1" applyAlignment="1">
      <alignment horizontal="center" vertical="center"/>
    </xf>
    <xf numFmtId="0" fontId="1" fillId="0" borderId="64" xfId="0" applyFont="1" applyFill="1" applyBorder="1" applyAlignment="1">
      <alignment horizontal="center" vertical="center"/>
    </xf>
    <xf numFmtId="43" fontId="1" fillId="0" borderId="65" xfId="3" applyFont="1" applyFill="1" applyBorder="1" applyAlignment="1">
      <alignment horizontal="center" vertical="center"/>
    </xf>
    <xf numFmtId="14" fontId="1" fillId="0" borderId="68" xfId="0" applyNumberFormat="1" applyFont="1" applyFill="1" applyBorder="1" applyAlignment="1">
      <alignment horizontal="center" vertical="center"/>
    </xf>
    <xf numFmtId="43" fontId="1" fillId="0" borderId="53" xfId="3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79" xfId="0" applyFont="1" applyFill="1" applyBorder="1" applyAlignment="1">
      <alignment horizontal="center" vertical="center"/>
    </xf>
    <xf numFmtId="43" fontId="1" fillId="0" borderId="69" xfId="3" applyFont="1" applyFill="1" applyBorder="1" applyAlignment="1">
      <alignment horizontal="center" vertical="center"/>
    </xf>
    <xf numFmtId="2" fontId="0" fillId="0" borderId="8" xfId="0" applyNumberFormat="1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right" vertical="center" wrapText="1"/>
    </xf>
    <xf numFmtId="14" fontId="1" fillId="0" borderId="8" xfId="0" applyNumberFormat="1" applyFont="1" applyFill="1" applyBorder="1" applyAlignment="1">
      <alignment horizontal="center" vertical="center"/>
    </xf>
    <xf numFmtId="14" fontId="1" fillId="0" borderId="76" xfId="0" applyNumberFormat="1" applyFont="1" applyFill="1" applyBorder="1" applyAlignment="1">
      <alignment horizontal="center" vertical="center"/>
    </xf>
    <xf numFmtId="0" fontId="6" fillId="0" borderId="76" xfId="0" applyFont="1" applyFill="1" applyBorder="1" applyAlignment="1">
      <alignment horizontal="center" vertical="center"/>
    </xf>
    <xf numFmtId="0" fontId="0" fillId="0" borderId="74" xfId="0" applyFont="1" applyFill="1" applyBorder="1" applyAlignment="1">
      <alignment horizontal="left" vertical="center" wrapText="1"/>
    </xf>
    <xf numFmtId="15" fontId="0" fillId="0" borderId="74" xfId="0" applyNumberFormat="1" applyFont="1" applyFill="1" applyBorder="1" applyAlignment="1">
      <alignment horizontal="right" vertical="center" wrapText="1"/>
    </xf>
    <xf numFmtId="0" fontId="0" fillId="0" borderId="74" xfId="0" applyFont="1" applyFill="1" applyBorder="1" applyAlignment="1">
      <alignment horizontal="center" vertical="center" wrapText="1"/>
    </xf>
    <xf numFmtId="0" fontId="0" fillId="0" borderId="74" xfId="0" applyFont="1" applyFill="1" applyBorder="1" applyAlignment="1">
      <alignment horizontal="right" vertical="center" wrapText="1"/>
    </xf>
    <xf numFmtId="0" fontId="5" fillId="0" borderId="74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right" vertical="center" wrapText="1"/>
    </xf>
    <xf numFmtId="2" fontId="0" fillId="0" borderId="6" xfId="0" applyNumberFormat="1" applyFont="1" applyFill="1" applyBorder="1" applyAlignment="1">
      <alignment horizontal="right" vertical="center" wrapText="1"/>
    </xf>
    <xf numFmtId="2" fontId="0" fillId="0" borderId="75" xfId="0" applyNumberFormat="1" applyFont="1" applyFill="1" applyBorder="1" applyAlignment="1">
      <alignment horizontal="right" vertical="center" wrapText="1"/>
    </xf>
    <xf numFmtId="2" fontId="0" fillId="0" borderId="90" xfId="0" applyNumberFormat="1" applyFont="1" applyFill="1" applyBorder="1" applyAlignment="1">
      <alignment horizontal="right" vertical="center" wrapText="1"/>
    </xf>
    <xf numFmtId="167" fontId="0" fillId="0" borderId="37" xfId="0" applyNumberFormat="1" applyFont="1" applyFill="1" applyBorder="1" applyAlignment="1">
      <alignment horizontal="right" vertical="center" wrapText="1"/>
    </xf>
    <xf numFmtId="167" fontId="0" fillId="0" borderId="2" xfId="0" applyNumberFormat="1" applyFont="1" applyFill="1" applyBorder="1" applyAlignment="1">
      <alignment horizontal="right" vertical="center" wrapText="1"/>
    </xf>
    <xf numFmtId="167" fontId="0" fillId="0" borderId="6" xfId="0" applyNumberFormat="1" applyFont="1" applyFill="1" applyBorder="1" applyAlignment="1">
      <alignment horizontal="right" vertical="center" wrapText="1"/>
    </xf>
    <xf numFmtId="167" fontId="0" fillId="0" borderId="75" xfId="0" applyNumberFormat="1" applyFont="1" applyFill="1" applyBorder="1" applyAlignment="1">
      <alignment horizontal="right" vertical="center" wrapText="1"/>
    </xf>
    <xf numFmtId="0" fontId="0" fillId="0" borderId="76" xfId="0" applyFont="1" applyFill="1" applyBorder="1" applyAlignment="1">
      <alignment horizontal="left" vertical="center" wrapText="1"/>
    </xf>
    <xf numFmtId="0" fontId="1" fillId="0" borderId="55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43" fontId="1" fillId="0" borderId="34" xfId="3" applyFont="1" applyFill="1" applyBorder="1" applyAlignment="1">
      <alignment horizontal="center" vertical="center"/>
    </xf>
    <xf numFmtId="43" fontId="1" fillId="0" borderId="79" xfId="3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15" fontId="0" fillId="0" borderId="8" xfId="0" applyNumberFormat="1" applyFont="1" applyFill="1" applyBorder="1" applyAlignment="1">
      <alignment horizontal="center" vertical="center" wrapText="1"/>
    </xf>
    <xf numFmtId="2" fontId="0" fillId="0" borderId="8" xfId="0" applyNumberFormat="1" applyFont="1" applyFill="1" applyBorder="1" applyAlignment="1">
      <alignment horizontal="center" vertical="center" wrapText="1"/>
    </xf>
    <xf numFmtId="15" fontId="0" fillId="0" borderId="37" xfId="0" applyNumberForma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15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4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2" fontId="0" fillId="0" borderId="47" xfId="0" applyNumberFormat="1" applyFont="1" applyFill="1" applyBorder="1" applyAlignment="1">
      <alignment horizontal="right" vertical="center" wrapText="1"/>
    </xf>
    <xf numFmtId="14" fontId="1" fillId="0" borderId="7" xfId="0" applyNumberFormat="1" applyFont="1" applyFill="1" applyBorder="1" applyAlignment="1">
      <alignment horizontal="center" vertical="center"/>
    </xf>
    <xf numFmtId="43" fontId="1" fillId="0" borderId="24" xfId="3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15" fontId="1" fillId="0" borderId="1" xfId="0" applyNumberFormat="1" applyFont="1" applyFill="1" applyBorder="1" applyAlignment="1">
      <alignment horizontal="center" vertical="center" wrapText="1"/>
    </xf>
    <xf numFmtId="2" fontId="6" fillId="0" borderId="5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2" fontId="6" fillId="0" borderId="84" xfId="0" applyNumberFormat="1" applyFont="1" applyFill="1" applyBorder="1" applyAlignment="1">
      <alignment vertical="center"/>
    </xf>
    <xf numFmtId="15" fontId="0" fillId="0" borderId="2" xfId="0" applyNumberFormat="1" applyFill="1" applyBorder="1" applyAlignment="1">
      <alignment horizontal="right" wrapText="1"/>
    </xf>
    <xf numFmtId="0" fontId="0" fillId="3" borderId="2" xfId="0" applyFill="1" applyBorder="1" applyAlignment="1">
      <alignment horizontal="right" wrapText="1"/>
    </xf>
    <xf numFmtId="0" fontId="0" fillId="0" borderId="2" xfId="0" applyFill="1" applyBorder="1" applyAlignment="1">
      <alignment horizontal="right" wrapText="1"/>
    </xf>
    <xf numFmtId="0" fontId="1" fillId="0" borderId="70" xfId="0" applyFont="1" applyFill="1" applyBorder="1" applyAlignment="1">
      <alignment horizontal="left" vertical="center" wrapText="1"/>
    </xf>
    <xf numFmtId="15" fontId="1" fillId="0" borderId="70" xfId="0" applyNumberFormat="1" applyFont="1" applyFill="1" applyBorder="1" applyAlignment="1">
      <alignment horizontal="center" vertical="center" wrapText="1"/>
    </xf>
    <xf numFmtId="2" fontId="1" fillId="0" borderId="70" xfId="0" applyNumberFormat="1" applyFont="1" applyFill="1" applyBorder="1" applyAlignment="1">
      <alignment horizontal="center" vertical="center" wrapText="1"/>
    </xf>
    <xf numFmtId="0" fontId="0" fillId="0" borderId="70" xfId="0" applyFont="1" applyFill="1" applyBorder="1" applyAlignment="1">
      <alignment horizontal="right" vertical="center" wrapText="1"/>
    </xf>
    <xf numFmtId="2" fontId="6" fillId="0" borderId="9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15" fontId="0" fillId="0" borderId="1" xfId="0" applyNumberFormat="1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5" fontId="1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right" vertical="center" wrapText="1"/>
    </xf>
    <xf numFmtId="43" fontId="6" fillId="2" borderId="6" xfId="3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70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6" fillId="0" borderId="70" xfId="0" applyFont="1" applyFill="1" applyBorder="1" applyAlignment="1">
      <alignment horizontal="center" vertical="center" wrapText="1"/>
    </xf>
    <xf numFmtId="0" fontId="1" fillId="0" borderId="86" xfId="0" applyFont="1" applyFill="1" applyBorder="1" applyAlignment="1">
      <alignment horizontal="center" vertical="center" wrapText="1"/>
    </xf>
    <xf numFmtId="0" fontId="1" fillId="0" borderId="76" xfId="0" applyFont="1" applyFill="1" applyBorder="1" applyAlignment="1">
      <alignment horizontal="center" vertical="center" wrapText="1"/>
    </xf>
    <xf numFmtId="0" fontId="1" fillId="0" borderId="85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7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6" fillId="0" borderId="52" xfId="0" applyFont="1" applyFill="1" applyBorder="1" applyAlignment="1">
      <alignment horizontal="center" vertical="center" wrapText="1"/>
    </xf>
    <xf numFmtId="0" fontId="6" fillId="0" borderId="78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0" fontId="1" fillId="0" borderId="78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 wrapText="1"/>
    </xf>
    <xf numFmtId="0" fontId="1" fillId="0" borderId="60" xfId="0" applyFont="1" applyFill="1" applyBorder="1" applyAlignment="1">
      <alignment horizontal="center" vertical="center" wrapText="1"/>
    </xf>
    <xf numFmtId="0" fontId="1" fillId="0" borderId="58" xfId="0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center" vertical="center" wrapText="1"/>
    </xf>
    <xf numFmtId="0" fontId="1" fillId="0" borderId="61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vertical="center" wrapText="1"/>
    </xf>
    <xf numFmtId="0" fontId="6" fillId="0" borderId="53" xfId="0" applyFont="1" applyFill="1" applyBorder="1" applyAlignment="1">
      <alignment vertical="center" wrapText="1"/>
    </xf>
    <xf numFmtId="43" fontId="6" fillId="0" borderId="53" xfId="3" applyFont="1" applyFill="1" applyBorder="1" applyAlignment="1">
      <alignment vertical="center" wrapText="1"/>
    </xf>
    <xf numFmtId="2" fontId="6" fillId="0" borderId="53" xfId="0" applyNumberFormat="1" applyFont="1" applyFill="1" applyBorder="1" applyAlignment="1">
      <alignment vertical="center" wrapText="1"/>
    </xf>
    <xf numFmtId="2" fontId="6" fillId="0" borderId="93" xfId="0" applyNumberFormat="1" applyFont="1" applyFill="1" applyBorder="1" applyAlignment="1">
      <alignment vertical="center" wrapText="1"/>
    </xf>
    <xf numFmtId="43" fontId="6" fillId="0" borderId="53" xfId="3" applyFont="1" applyFill="1" applyBorder="1" applyAlignment="1">
      <alignment horizontal="center" vertical="center" wrapText="1"/>
    </xf>
    <xf numFmtId="15" fontId="0" fillId="0" borderId="94" xfId="0" applyNumberFormat="1" applyFont="1" applyFill="1" applyBorder="1" applyAlignment="1">
      <alignment horizontal="right" vertical="center" wrapText="1"/>
    </xf>
    <xf numFmtId="0" fontId="0" fillId="0" borderId="94" xfId="0" applyFont="1" applyFill="1" applyBorder="1" applyAlignment="1">
      <alignment horizontal="center" vertical="center" wrapText="1"/>
    </xf>
    <xf numFmtId="0" fontId="0" fillId="0" borderId="94" xfId="0" applyFont="1" applyFill="1" applyBorder="1" applyAlignment="1">
      <alignment horizontal="right" vertical="center" wrapText="1"/>
    </xf>
    <xf numFmtId="0" fontId="6" fillId="0" borderId="86" xfId="0" applyFont="1" applyFill="1" applyBorder="1" applyAlignment="1">
      <alignment horizontal="center" vertical="center" wrapText="1"/>
    </xf>
    <xf numFmtId="0" fontId="6" fillId="0" borderId="76" xfId="0" applyFont="1" applyFill="1" applyBorder="1" applyAlignment="1">
      <alignment horizontal="center" vertical="center" wrapText="1"/>
    </xf>
    <xf numFmtId="0" fontId="6" fillId="0" borderId="85" xfId="0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center" vertical="center" wrapText="1"/>
    </xf>
    <xf numFmtId="0" fontId="7" fillId="0" borderId="5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70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center" vertical="center" wrapText="1"/>
    </xf>
    <xf numFmtId="0" fontId="0" fillId="0" borderId="45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2"/>
  <sheetViews>
    <sheetView tabSelected="1" zoomScale="70" zoomScaleNormal="70" workbookViewId="0">
      <pane ySplit="2" topLeftCell="A690" activePane="bottomLeft" state="frozen"/>
      <selection pane="bottomLeft" activeCell="L220" sqref="L220"/>
    </sheetView>
  </sheetViews>
  <sheetFormatPr defaultColWidth="9.140625" defaultRowHeight="23.25" customHeight="1" x14ac:dyDescent="0.25"/>
  <cols>
    <col min="1" max="1" width="2.140625" style="11" customWidth="1"/>
    <col min="2" max="2" width="7.85546875" style="11" customWidth="1"/>
    <col min="3" max="3" width="31.5703125" style="199" customWidth="1"/>
    <col min="4" max="4" width="11.7109375" style="11" bestFit="1" customWidth="1"/>
    <col min="5" max="5" width="16.5703125" style="11" customWidth="1"/>
    <col min="6" max="6" width="12.28515625" style="11" customWidth="1"/>
    <col min="7" max="7" width="13.42578125" style="200" customWidth="1"/>
    <col min="8" max="8" width="13.5703125" style="200" customWidth="1"/>
    <col min="9" max="10" width="13.5703125" style="11" customWidth="1"/>
    <col min="11" max="11" width="15" style="200" customWidth="1"/>
    <col min="12" max="12" width="16.28515625" style="11" customWidth="1"/>
    <col min="13" max="13" width="13.28515625" style="11" customWidth="1"/>
    <col min="14" max="14" width="12.28515625" style="242" customWidth="1"/>
    <col min="15" max="15" width="14.5703125" style="200" customWidth="1"/>
    <col min="16" max="16" width="13.28515625" style="11" customWidth="1"/>
    <col min="17" max="18" width="13.28515625" style="200" customWidth="1"/>
    <col min="19" max="20" width="15.28515625" style="200" customWidth="1"/>
    <col min="21" max="21" width="13.28515625" style="201" customWidth="1"/>
    <col min="22" max="22" width="13" style="11" customWidth="1"/>
    <col min="23" max="23" width="9.140625" style="11"/>
    <col min="24" max="24" width="9.7109375" style="11" bestFit="1" customWidth="1"/>
    <col min="25" max="25" width="9.140625" style="11"/>
    <col min="26" max="26" width="11.28515625" style="11" bestFit="1" customWidth="1"/>
    <col min="27" max="16384" width="9.140625" style="11"/>
  </cols>
  <sheetData>
    <row r="1" spans="2:21" ht="39" customHeight="1" thickBot="1" x14ac:dyDescent="0.3">
      <c r="B1" s="495" t="s">
        <v>129</v>
      </c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</row>
    <row r="2" spans="2:21" s="12" customFormat="1" ht="30.75" customHeight="1" thickBot="1" x14ac:dyDescent="0.3">
      <c r="B2" s="506" t="s">
        <v>0</v>
      </c>
      <c r="C2" s="507" t="s">
        <v>1</v>
      </c>
      <c r="D2" s="507" t="s">
        <v>2</v>
      </c>
      <c r="E2" s="507" t="s">
        <v>3</v>
      </c>
      <c r="F2" s="471" t="s">
        <v>134</v>
      </c>
      <c r="G2" s="508" t="s">
        <v>4</v>
      </c>
      <c r="H2" s="508" t="s">
        <v>54</v>
      </c>
      <c r="I2" s="507" t="s">
        <v>5</v>
      </c>
      <c r="J2" s="507" t="s">
        <v>73</v>
      </c>
      <c r="K2" s="508" t="s">
        <v>6</v>
      </c>
      <c r="L2" s="507" t="s">
        <v>7</v>
      </c>
      <c r="M2" s="471" t="s">
        <v>134</v>
      </c>
      <c r="N2" s="509" t="s">
        <v>4</v>
      </c>
      <c r="O2" s="508" t="s">
        <v>54</v>
      </c>
      <c r="P2" s="507" t="s">
        <v>5</v>
      </c>
      <c r="Q2" s="508" t="s">
        <v>6</v>
      </c>
      <c r="R2" s="511"/>
      <c r="S2" s="511"/>
      <c r="T2" s="511"/>
      <c r="U2" s="510" t="s">
        <v>19</v>
      </c>
    </row>
    <row r="3" spans="2:21" s="12" customFormat="1" ht="9" customHeight="1" thickBot="1" x14ac:dyDescent="0.3">
      <c r="B3" s="515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7"/>
    </row>
    <row r="4" spans="2:21" s="12" customFormat="1" ht="23.25" customHeight="1" thickBot="1" x14ac:dyDescent="0.3">
      <c r="B4" s="496"/>
      <c r="C4" s="366" t="s">
        <v>72</v>
      </c>
      <c r="D4" s="324"/>
      <c r="E4" s="335">
        <v>45287</v>
      </c>
      <c r="F4" s="336" t="s">
        <v>74</v>
      </c>
      <c r="G4" s="337">
        <v>637</v>
      </c>
      <c r="H4" s="337">
        <v>451.51999999999992</v>
      </c>
      <c r="I4" s="336">
        <v>100</v>
      </c>
      <c r="J4" s="337">
        <v>63700</v>
      </c>
      <c r="K4" s="337">
        <v>64151.519999999997</v>
      </c>
      <c r="L4" s="512">
        <v>45310</v>
      </c>
      <c r="M4" s="513" t="s">
        <v>114</v>
      </c>
      <c r="N4" s="514">
        <v>672.7</v>
      </c>
      <c r="O4" s="514">
        <v>466.71999999999991</v>
      </c>
      <c r="P4" s="514">
        <v>100</v>
      </c>
      <c r="Q4" s="514">
        <v>67270</v>
      </c>
      <c r="R4" s="514">
        <v>66803.28</v>
      </c>
      <c r="S4" s="327"/>
      <c r="T4" s="327"/>
      <c r="U4" s="329" t="s">
        <v>55</v>
      </c>
    </row>
    <row r="5" spans="2:21" s="12" customFormat="1" ht="23.25" customHeight="1" thickBot="1" x14ac:dyDescent="0.3">
      <c r="B5" s="497"/>
      <c r="C5" s="323"/>
      <c r="D5" s="325"/>
      <c r="E5" s="325"/>
      <c r="F5" s="325"/>
      <c r="G5" s="328"/>
      <c r="H5" s="328"/>
      <c r="I5" s="518">
        <v>100</v>
      </c>
      <c r="J5" s="27">
        <f>I5-P5</f>
        <v>0</v>
      </c>
      <c r="K5" s="328"/>
      <c r="L5" s="325"/>
      <c r="M5" s="325"/>
      <c r="N5" s="326"/>
      <c r="O5" s="328"/>
      <c r="P5" s="27">
        <v>100</v>
      </c>
      <c r="Q5" s="328"/>
      <c r="R5" s="328"/>
      <c r="S5" s="328"/>
      <c r="T5" s="328"/>
      <c r="U5" s="330"/>
    </row>
    <row r="6" spans="2:21" s="12" customFormat="1" ht="11.25" customHeight="1" thickBot="1" x14ac:dyDescent="0.3">
      <c r="B6" s="307"/>
      <c r="C6" s="21"/>
      <c r="D6" s="22"/>
      <c r="E6" s="22"/>
      <c r="F6" s="22"/>
      <c r="G6" s="23"/>
      <c r="H6" s="23"/>
      <c r="I6" s="22"/>
      <c r="J6" s="22"/>
      <c r="K6" s="23"/>
      <c r="L6" s="22"/>
      <c r="M6" s="22"/>
      <c r="N6" s="24"/>
      <c r="O6" s="23"/>
      <c r="P6" s="22"/>
      <c r="Q6" s="23"/>
      <c r="R6" s="23"/>
      <c r="S6" s="23"/>
      <c r="T6" s="23"/>
      <c r="U6" s="25"/>
    </row>
    <row r="7" spans="2:21" s="12" customFormat="1" ht="23.25" customHeight="1" x14ac:dyDescent="0.25">
      <c r="B7" s="496"/>
      <c r="C7" s="486" t="s">
        <v>115</v>
      </c>
      <c r="D7" s="13"/>
      <c r="E7" s="9">
        <v>45167</v>
      </c>
      <c r="F7" s="267" t="s">
        <v>119</v>
      </c>
      <c r="G7" s="10">
        <v>108</v>
      </c>
      <c r="H7" s="10">
        <v>0</v>
      </c>
      <c r="I7" s="267">
        <v>130</v>
      </c>
      <c r="J7" s="267">
        <f>(G7+H7)*I7</f>
        <v>14040</v>
      </c>
      <c r="K7" s="10"/>
      <c r="L7" s="335">
        <v>45211</v>
      </c>
      <c r="M7" s="336" t="s">
        <v>114</v>
      </c>
      <c r="N7" s="337">
        <v>159.94999999999999</v>
      </c>
      <c r="O7" s="337">
        <v>144.25</v>
      </c>
      <c r="P7" s="337">
        <v>130</v>
      </c>
      <c r="Q7" s="337">
        <v>20793.5</v>
      </c>
      <c r="R7" s="337">
        <v>20649.25</v>
      </c>
      <c r="S7" s="14"/>
      <c r="T7" s="14"/>
      <c r="U7" s="26" t="s">
        <v>55</v>
      </c>
    </row>
    <row r="8" spans="2:21" s="12" customFormat="1" ht="23.25" customHeight="1" thickBot="1" x14ac:dyDescent="0.3">
      <c r="B8" s="497"/>
      <c r="C8" s="488"/>
      <c r="D8" s="15"/>
      <c r="E8" s="15"/>
      <c r="F8" s="15"/>
      <c r="G8" s="16"/>
      <c r="H8" s="16"/>
      <c r="I8" s="27">
        <f>SUM(I7)</f>
        <v>130</v>
      </c>
      <c r="J8" s="15"/>
      <c r="K8" s="16"/>
      <c r="L8" s="15"/>
      <c r="M8" s="15"/>
      <c r="N8" s="19"/>
      <c r="O8" s="16"/>
      <c r="P8" s="27">
        <f>SUM(P7)</f>
        <v>130</v>
      </c>
      <c r="Q8" s="16"/>
      <c r="R8" s="16"/>
      <c r="S8" s="16"/>
      <c r="T8" s="16"/>
      <c r="U8" s="20"/>
    </row>
    <row r="9" spans="2:21" ht="12.75" customHeight="1" thickBot="1" x14ac:dyDescent="0.3">
      <c r="B9" s="5"/>
      <c r="C9" s="28"/>
      <c r="D9" s="29"/>
      <c r="E9" s="4"/>
      <c r="F9" s="4"/>
      <c r="G9" s="6"/>
      <c r="H9" s="6"/>
      <c r="I9" s="5"/>
      <c r="J9" s="5"/>
      <c r="K9" s="6" t="s">
        <v>10</v>
      </c>
      <c r="L9" s="30"/>
      <c r="M9" s="30"/>
      <c r="N9" s="31"/>
      <c r="O9" s="6"/>
      <c r="P9" s="29"/>
      <c r="Q9" s="6"/>
      <c r="R9" s="6"/>
      <c r="S9" s="6"/>
      <c r="T9" s="6"/>
      <c r="U9" s="32"/>
    </row>
    <row r="10" spans="2:21" ht="23.25" customHeight="1" x14ac:dyDescent="0.25">
      <c r="B10" s="475">
        <v>1</v>
      </c>
      <c r="C10" s="519" t="s">
        <v>27</v>
      </c>
      <c r="D10" s="33"/>
      <c r="E10" s="335">
        <v>45189</v>
      </c>
      <c r="F10" s="336" t="s">
        <v>74</v>
      </c>
      <c r="G10" s="337">
        <v>1095.0999999999999</v>
      </c>
      <c r="H10" s="337">
        <v>38.79</v>
      </c>
      <c r="I10" s="336">
        <v>5</v>
      </c>
      <c r="J10" s="337">
        <v>5475.5</v>
      </c>
      <c r="K10" s="337">
        <v>5514.29</v>
      </c>
      <c r="L10" s="335">
        <v>45295</v>
      </c>
      <c r="M10" s="336" t="s">
        <v>114</v>
      </c>
      <c r="N10" s="337">
        <v>1319.9</v>
      </c>
      <c r="O10" s="337">
        <v>18.318000000000001</v>
      </c>
      <c r="P10" s="337">
        <v>5</v>
      </c>
      <c r="Q10" s="337">
        <f>N10*P10</f>
        <v>6599.5</v>
      </c>
      <c r="R10" s="337">
        <f>(N10-O10)*P10</f>
        <v>6507.9100000000008</v>
      </c>
      <c r="S10" s="184"/>
      <c r="T10" s="184"/>
      <c r="U10" s="34" t="s">
        <v>55</v>
      </c>
    </row>
    <row r="11" spans="2:21" ht="23.25" customHeight="1" thickBot="1" x14ac:dyDescent="0.3">
      <c r="B11" s="476"/>
      <c r="C11" s="520"/>
      <c r="D11" s="35"/>
      <c r="E11" s="338">
        <v>45197</v>
      </c>
      <c r="F11" s="339" t="s">
        <v>74</v>
      </c>
      <c r="G11" s="340">
        <v>1086.0999999999999</v>
      </c>
      <c r="H11" s="340">
        <v>38.479999999999997</v>
      </c>
      <c r="I11" s="339">
        <v>5</v>
      </c>
      <c r="J11" s="340">
        <v>5430.5</v>
      </c>
      <c r="K11" s="340">
        <v>5468.98</v>
      </c>
      <c r="L11" s="341">
        <v>45295</v>
      </c>
      <c r="M11" s="339" t="s">
        <v>114</v>
      </c>
      <c r="N11" s="340">
        <v>1319.9</v>
      </c>
      <c r="O11" s="340">
        <v>18.318000000000001</v>
      </c>
      <c r="P11" s="340">
        <v>5</v>
      </c>
      <c r="Q11" s="340">
        <f>N11*P11</f>
        <v>6599.5</v>
      </c>
      <c r="R11" s="340">
        <f>(N11-O11)*P11</f>
        <v>6507.9100000000008</v>
      </c>
      <c r="S11" s="150"/>
      <c r="T11" s="150"/>
      <c r="U11" s="36"/>
    </row>
    <row r="12" spans="2:21" ht="23.25" customHeight="1" thickBot="1" x14ac:dyDescent="0.3">
      <c r="B12" s="476"/>
      <c r="C12" s="520"/>
      <c r="D12" s="37"/>
      <c r="E12" s="342">
        <v>45274</v>
      </c>
      <c r="F12" s="343" t="s">
        <v>74</v>
      </c>
      <c r="G12" s="340">
        <v>1206</v>
      </c>
      <c r="H12" s="340">
        <f>427.34/I12</f>
        <v>17.093599999999999</v>
      </c>
      <c r="I12" s="339">
        <v>25</v>
      </c>
      <c r="J12" s="340">
        <f>G12*I12</f>
        <v>30150</v>
      </c>
      <c r="K12" s="340">
        <f>(G12+H12)*I12</f>
        <v>30577.339999999997</v>
      </c>
      <c r="L12" s="341">
        <v>45322</v>
      </c>
      <c r="M12" s="339" t="s">
        <v>114</v>
      </c>
      <c r="N12" s="340">
        <v>1241.45</v>
      </c>
      <c r="O12" s="340">
        <v>8.6132000000000701</v>
      </c>
      <c r="P12" s="340">
        <v>25</v>
      </c>
      <c r="Q12" s="340">
        <v>31036.25</v>
      </c>
      <c r="R12" s="340">
        <f>(N12-O12)*P12</f>
        <v>30820.920000000002</v>
      </c>
      <c r="S12" s="8"/>
      <c r="T12" s="8"/>
      <c r="U12" s="36"/>
    </row>
    <row r="13" spans="2:21" ht="23.25" customHeight="1" x14ac:dyDescent="0.25">
      <c r="B13" s="476"/>
      <c r="C13" s="520"/>
      <c r="D13" s="35"/>
      <c r="E13" s="331">
        <v>45274</v>
      </c>
      <c r="F13" s="339" t="s">
        <v>74</v>
      </c>
      <c r="G13" s="340">
        <v>1206</v>
      </c>
      <c r="H13" s="340">
        <f>427.34/I13</f>
        <v>28.489333333333331</v>
      </c>
      <c r="I13" s="339">
        <v>15</v>
      </c>
      <c r="J13" s="340">
        <f>G13*I13</f>
        <v>18090</v>
      </c>
      <c r="K13" s="340">
        <f>(G13+H13)*I13</f>
        <v>18517.34</v>
      </c>
      <c r="L13" s="341">
        <v>45324</v>
      </c>
      <c r="M13" s="339" t="s">
        <v>114</v>
      </c>
      <c r="N13" s="340">
        <v>1227.95</v>
      </c>
      <c r="O13" s="340">
        <v>8.5229999999999997</v>
      </c>
      <c r="P13" s="340">
        <v>15</v>
      </c>
      <c r="Q13" s="340">
        <v>18419.25</v>
      </c>
      <c r="R13" s="340">
        <f>(N13-O13)*P13</f>
        <v>18291.405000000002</v>
      </c>
      <c r="S13" s="8"/>
      <c r="T13" s="8"/>
      <c r="U13" s="36"/>
    </row>
    <row r="14" spans="2:21" ht="23.25" customHeight="1" x14ac:dyDescent="0.25">
      <c r="B14" s="476"/>
      <c r="C14" s="520"/>
      <c r="D14" s="35"/>
      <c r="E14" s="341">
        <v>45274</v>
      </c>
      <c r="F14" s="339" t="s">
        <v>74</v>
      </c>
      <c r="G14" s="340">
        <v>1206</v>
      </c>
      <c r="H14" s="340">
        <f>427.34/I14</f>
        <v>42.733999999999995</v>
      </c>
      <c r="I14" s="339">
        <v>10</v>
      </c>
      <c r="J14" s="340">
        <f>G14*I14</f>
        <v>12060</v>
      </c>
      <c r="K14" s="340">
        <f>(G14+H14)*I14</f>
        <v>12487.34</v>
      </c>
      <c r="L14" s="7"/>
      <c r="M14" s="7"/>
      <c r="N14" s="299"/>
      <c r="O14" s="8"/>
      <c r="P14" s="299"/>
      <c r="Q14" s="8"/>
      <c r="R14" s="8"/>
      <c r="S14" s="8"/>
      <c r="T14" s="8"/>
      <c r="U14" s="36"/>
    </row>
    <row r="15" spans="2:21" ht="23.25" customHeight="1" thickBot="1" x14ac:dyDescent="0.3">
      <c r="B15" s="477"/>
      <c r="C15" s="521"/>
      <c r="D15" s="38"/>
      <c r="E15" s="39"/>
      <c r="F15" s="39"/>
      <c r="G15" s="40"/>
      <c r="H15" s="40"/>
      <c r="I15" s="27">
        <f>SUM(I10:I14)</f>
        <v>60</v>
      </c>
      <c r="J15" s="27">
        <f>I15-P15</f>
        <v>10</v>
      </c>
      <c r="K15" s="40"/>
      <c r="L15" s="41"/>
      <c r="M15" s="41"/>
      <c r="N15" s="42"/>
      <c r="O15" s="40"/>
      <c r="P15" s="27">
        <f>SUM(P10:P14)</f>
        <v>50</v>
      </c>
      <c r="Q15" s="40"/>
      <c r="R15" s="40"/>
      <c r="S15" s="40"/>
      <c r="T15" s="40"/>
      <c r="U15" s="43"/>
    </row>
    <row r="16" spans="2:21" ht="23.25" customHeight="1" thickBot="1" x14ac:dyDescent="0.3">
      <c r="B16" s="5"/>
      <c r="C16" s="28"/>
      <c r="D16" s="29"/>
      <c r="E16" s="4"/>
      <c r="F16" s="4"/>
      <c r="G16" s="6"/>
      <c r="H16" s="6"/>
      <c r="I16" s="5"/>
      <c r="J16" s="5"/>
      <c r="K16" s="6" t="s">
        <v>10</v>
      </c>
      <c r="L16" s="30"/>
      <c r="M16" s="30"/>
      <c r="N16" s="31"/>
      <c r="O16" s="6"/>
      <c r="P16" s="29"/>
      <c r="Q16" s="6"/>
      <c r="R16" s="6"/>
      <c r="S16" s="6"/>
      <c r="T16" s="6"/>
      <c r="U16" s="32"/>
    </row>
    <row r="17" spans="2:21" ht="23.25" customHeight="1" x14ac:dyDescent="0.25">
      <c r="B17" s="475"/>
      <c r="C17" s="519" t="s">
        <v>13</v>
      </c>
      <c r="D17" s="33"/>
      <c r="E17" s="344">
        <v>44868</v>
      </c>
      <c r="F17" s="344"/>
      <c r="G17" s="184">
        <v>619.9</v>
      </c>
      <c r="H17" s="184">
        <v>3.7699999999999996</v>
      </c>
      <c r="I17" s="223">
        <v>10</v>
      </c>
      <c r="J17" s="223"/>
      <c r="K17" s="184">
        <f>(G17+H17)*I17</f>
        <v>6236.7</v>
      </c>
      <c r="L17" s="335">
        <v>45125</v>
      </c>
      <c r="M17" s="336" t="s">
        <v>114</v>
      </c>
      <c r="N17" s="337">
        <v>667.9</v>
      </c>
      <c r="O17" s="345">
        <v>4.6333333333333337</v>
      </c>
      <c r="P17" s="337">
        <v>15</v>
      </c>
      <c r="Q17" s="337">
        <v>10018.5</v>
      </c>
      <c r="R17" s="337">
        <f>(N17-O17)*P17</f>
        <v>9949</v>
      </c>
      <c r="S17" s="184"/>
      <c r="T17" s="184"/>
      <c r="U17" s="34" t="s">
        <v>55</v>
      </c>
    </row>
    <row r="18" spans="2:21" ht="23.25" customHeight="1" x14ac:dyDescent="0.25">
      <c r="B18" s="476"/>
      <c r="C18" s="520"/>
      <c r="D18" s="35"/>
      <c r="E18" s="346">
        <v>44868</v>
      </c>
      <c r="F18" s="346"/>
      <c r="G18" s="150">
        <v>619.9</v>
      </c>
      <c r="H18" s="150">
        <v>3.7733333333333339</v>
      </c>
      <c r="I18" s="149">
        <v>15</v>
      </c>
      <c r="J18" s="149"/>
      <c r="K18" s="150">
        <f t="shared" ref="K18:K30" si="0">(G18+H18)*I18</f>
        <v>9355.0999999999985</v>
      </c>
      <c r="L18" s="341">
        <v>45133</v>
      </c>
      <c r="M18" s="339" t="s">
        <v>114</v>
      </c>
      <c r="N18" s="340">
        <v>714.9</v>
      </c>
      <c r="O18" s="347">
        <v>4.9600000000000364</v>
      </c>
      <c r="P18" s="340">
        <v>10</v>
      </c>
      <c r="Q18" s="340">
        <v>7149</v>
      </c>
      <c r="R18" s="340">
        <f t="shared" ref="R18:R19" si="1">(N18-O18)*P18</f>
        <v>7099.4</v>
      </c>
      <c r="S18" s="150"/>
      <c r="T18" s="150"/>
      <c r="U18" s="36"/>
    </row>
    <row r="19" spans="2:21" ht="23.25" customHeight="1" x14ac:dyDescent="0.25">
      <c r="B19" s="476"/>
      <c r="C19" s="520"/>
      <c r="D19" s="35"/>
      <c r="E19" s="346">
        <v>44868</v>
      </c>
      <c r="F19" s="346"/>
      <c r="G19" s="150">
        <v>619.9</v>
      </c>
      <c r="H19" s="150">
        <v>3.7762500000000006</v>
      </c>
      <c r="I19" s="149">
        <v>25</v>
      </c>
      <c r="J19" s="149"/>
      <c r="K19" s="150">
        <f t="shared" si="0"/>
        <v>15591.90625</v>
      </c>
      <c r="L19" s="341">
        <v>45250</v>
      </c>
      <c r="M19" s="339" t="s">
        <v>114</v>
      </c>
      <c r="N19" s="340">
        <v>749.45</v>
      </c>
      <c r="O19" s="347">
        <v>5.1983999999999648</v>
      </c>
      <c r="P19" s="340">
        <v>25</v>
      </c>
      <c r="Q19" s="340">
        <v>18736.25</v>
      </c>
      <c r="R19" s="340">
        <f t="shared" si="1"/>
        <v>18606.29</v>
      </c>
      <c r="S19" s="150"/>
      <c r="T19" s="150"/>
      <c r="U19" s="36"/>
    </row>
    <row r="20" spans="2:21" ht="23.25" customHeight="1" x14ac:dyDescent="0.25">
      <c r="B20" s="476"/>
      <c r="C20" s="520"/>
      <c r="D20" s="35"/>
      <c r="E20" s="346">
        <v>45008</v>
      </c>
      <c r="F20" s="346"/>
      <c r="G20" s="150">
        <v>490</v>
      </c>
      <c r="H20" s="150">
        <v>2.9840000000000004</v>
      </c>
      <c r="I20" s="149">
        <v>15</v>
      </c>
      <c r="J20" s="149"/>
      <c r="K20" s="150">
        <f>(G20+H20)*I20</f>
        <v>7394.7599999999993</v>
      </c>
      <c r="L20" s="341">
        <v>45295</v>
      </c>
      <c r="M20" s="339" t="s">
        <v>114</v>
      </c>
      <c r="N20" s="340">
        <v>809.35</v>
      </c>
      <c r="O20" s="347">
        <v>5.6160000000000583</v>
      </c>
      <c r="P20" s="340">
        <v>15</v>
      </c>
      <c r="Q20" s="340">
        <v>20233.75</v>
      </c>
      <c r="R20" s="340">
        <f t="shared" ref="R20:R28" si="2">(N20-O20)*P20</f>
        <v>12056.009999999998</v>
      </c>
      <c r="S20" s="150"/>
      <c r="T20" s="150"/>
      <c r="U20" s="36"/>
    </row>
    <row r="21" spans="2:21" ht="23.25" customHeight="1" x14ac:dyDescent="0.25">
      <c r="B21" s="476"/>
      <c r="C21" s="520"/>
      <c r="D21" s="35"/>
      <c r="E21" s="348">
        <v>45054</v>
      </c>
      <c r="F21" s="339" t="s">
        <v>74</v>
      </c>
      <c r="G21" s="339">
        <v>566</v>
      </c>
      <c r="H21" s="339">
        <f>80.22/I21</f>
        <v>8.0220000000000002</v>
      </c>
      <c r="I21" s="339">
        <v>10</v>
      </c>
      <c r="J21" s="339">
        <v>11320</v>
      </c>
      <c r="K21" s="150">
        <f t="shared" ref="K21:K23" si="3">(G21+H21)*I21</f>
        <v>5740.22</v>
      </c>
      <c r="L21" s="341">
        <v>45295</v>
      </c>
      <c r="M21" s="339" t="s">
        <v>114</v>
      </c>
      <c r="N21" s="340">
        <v>809.35</v>
      </c>
      <c r="O21" s="347">
        <v>5.6160000000000583</v>
      </c>
      <c r="P21" s="340">
        <v>10</v>
      </c>
      <c r="Q21" s="340">
        <v>20233.75</v>
      </c>
      <c r="R21" s="340">
        <f t="shared" si="2"/>
        <v>8037.3399999999992</v>
      </c>
      <c r="S21" s="150"/>
      <c r="T21" s="150"/>
      <c r="U21" s="36"/>
    </row>
    <row r="22" spans="2:21" ht="23.25" customHeight="1" x14ac:dyDescent="0.25">
      <c r="B22" s="476"/>
      <c r="C22" s="520"/>
      <c r="D22" s="35"/>
      <c r="E22" s="348">
        <v>45054</v>
      </c>
      <c r="F22" s="339" t="s">
        <v>74</v>
      </c>
      <c r="G22" s="339">
        <v>566</v>
      </c>
      <c r="H22" s="339">
        <f>80.22/I22</f>
        <v>8.0220000000000002</v>
      </c>
      <c r="I22" s="339">
        <v>10</v>
      </c>
      <c r="J22" s="339">
        <v>11320</v>
      </c>
      <c r="K22" s="150">
        <f t="shared" si="3"/>
        <v>5740.22</v>
      </c>
      <c r="L22" s="341">
        <v>45302</v>
      </c>
      <c r="M22" s="339" t="s">
        <v>114</v>
      </c>
      <c r="N22" s="340">
        <v>838.45</v>
      </c>
      <c r="O22" s="347">
        <v>5.8167999999999305</v>
      </c>
      <c r="P22" s="340">
        <v>10</v>
      </c>
      <c r="Q22" s="340">
        <v>20961.25</v>
      </c>
      <c r="R22" s="340">
        <f t="shared" si="2"/>
        <v>8326.3320000000003</v>
      </c>
      <c r="S22" s="150"/>
      <c r="T22" s="150"/>
      <c r="U22" s="36"/>
    </row>
    <row r="23" spans="2:21" ht="23.25" customHeight="1" x14ac:dyDescent="0.25">
      <c r="B23" s="476"/>
      <c r="C23" s="520"/>
      <c r="D23" s="35"/>
      <c r="E23" s="348">
        <v>45134</v>
      </c>
      <c r="F23" s="339" t="s">
        <v>74</v>
      </c>
      <c r="G23" s="339">
        <v>724.1</v>
      </c>
      <c r="H23" s="339">
        <f>102.62/I23</f>
        <v>6.8413333333333339</v>
      </c>
      <c r="I23" s="339">
        <v>15</v>
      </c>
      <c r="J23" s="339">
        <v>14482</v>
      </c>
      <c r="K23" s="150">
        <f t="shared" si="3"/>
        <v>10964.119999999999</v>
      </c>
      <c r="L23" s="341">
        <v>45302</v>
      </c>
      <c r="M23" s="339" t="s">
        <v>114</v>
      </c>
      <c r="N23" s="340">
        <v>838.45</v>
      </c>
      <c r="O23" s="347">
        <v>5.8167999999999305</v>
      </c>
      <c r="P23" s="340">
        <v>15</v>
      </c>
      <c r="Q23" s="340">
        <v>20961.25</v>
      </c>
      <c r="R23" s="340">
        <f t="shared" si="2"/>
        <v>12489.498000000001</v>
      </c>
      <c r="S23" s="150"/>
      <c r="T23" s="150"/>
      <c r="U23" s="36"/>
    </row>
    <row r="24" spans="2:21" ht="23.25" customHeight="1" x14ac:dyDescent="0.25">
      <c r="B24" s="476"/>
      <c r="C24" s="520"/>
      <c r="D24" s="35"/>
      <c r="E24" s="348">
        <v>45134</v>
      </c>
      <c r="F24" s="339" t="s">
        <v>74</v>
      </c>
      <c r="G24" s="339">
        <v>724.1</v>
      </c>
      <c r="H24" s="339">
        <f>102.62/I24</f>
        <v>20.524000000000001</v>
      </c>
      <c r="I24" s="339">
        <v>5</v>
      </c>
      <c r="J24" s="339">
        <v>14482</v>
      </c>
      <c r="K24" s="150">
        <f t="shared" si="0"/>
        <v>3723.12</v>
      </c>
      <c r="L24" s="341">
        <v>45315</v>
      </c>
      <c r="M24" s="339" t="s">
        <v>114</v>
      </c>
      <c r="N24" s="340">
        <v>989.9</v>
      </c>
      <c r="O24" s="347">
        <v>6.8680000000000287</v>
      </c>
      <c r="P24" s="340">
        <v>5</v>
      </c>
      <c r="Q24" s="340">
        <v>24747.5</v>
      </c>
      <c r="R24" s="340">
        <f t="shared" si="2"/>
        <v>4915.16</v>
      </c>
      <c r="S24" s="150"/>
      <c r="T24" s="150"/>
      <c r="U24" s="36"/>
    </row>
    <row r="25" spans="2:21" ht="23.25" customHeight="1" x14ac:dyDescent="0.25">
      <c r="B25" s="476"/>
      <c r="C25" s="520"/>
      <c r="D25" s="35"/>
      <c r="E25" s="348">
        <v>45217</v>
      </c>
      <c r="F25" s="339" t="s">
        <v>74</v>
      </c>
      <c r="G25" s="339">
        <v>795.1</v>
      </c>
      <c r="H25" s="339">
        <f>56.35/I25</f>
        <v>5.6349999999999998</v>
      </c>
      <c r="I25" s="339">
        <v>10</v>
      </c>
      <c r="J25" s="339">
        <v>7951</v>
      </c>
      <c r="K25" s="150">
        <f t="shared" si="0"/>
        <v>8007.35</v>
      </c>
      <c r="L25" s="341">
        <v>45315</v>
      </c>
      <c r="M25" s="339" t="s">
        <v>114</v>
      </c>
      <c r="N25" s="340">
        <v>989.9</v>
      </c>
      <c r="O25" s="347">
        <v>6.8680000000000287</v>
      </c>
      <c r="P25" s="340">
        <v>10</v>
      </c>
      <c r="Q25" s="340">
        <v>24747.5</v>
      </c>
      <c r="R25" s="340">
        <f t="shared" si="2"/>
        <v>9830.32</v>
      </c>
      <c r="S25" s="150"/>
      <c r="T25" s="150"/>
      <c r="U25" s="36"/>
    </row>
    <row r="26" spans="2:21" ht="23.25" customHeight="1" x14ac:dyDescent="0.25">
      <c r="B26" s="476"/>
      <c r="C26" s="520"/>
      <c r="D26" s="35"/>
      <c r="E26" s="348">
        <v>45252</v>
      </c>
      <c r="F26" s="339" t="s">
        <v>74</v>
      </c>
      <c r="G26" s="339">
        <v>729.5</v>
      </c>
      <c r="H26" s="339">
        <f>129.26/I26</f>
        <v>12.925999999999998</v>
      </c>
      <c r="I26" s="339">
        <v>10</v>
      </c>
      <c r="J26" s="339">
        <v>18237.5</v>
      </c>
      <c r="K26" s="150">
        <f t="shared" si="0"/>
        <v>7424.26</v>
      </c>
      <c r="L26" s="341">
        <v>45315</v>
      </c>
      <c r="M26" s="339" t="s">
        <v>114</v>
      </c>
      <c r="N26" s="340">
        <v>989.9</v>
      </c>
      <c r="O26" s="347">
        <v>6.8680000000000287</v>
      </c>
      <c r="P26" s="340">
        <v>10</v>
      </c>
      <c r="Q26" s="340">
        <v>24747.5</v>
      </c>
      <c r="R26" s="340">
        <f t="shared" si="2"/>
        <v>9830.32</v>
      </c>
      <c r="S26" s="150"/>
      <c r="T26" s="150"/>
      <c r="U26" s="36"/>
    </row>
    <row r="27" spans="2:21" ht="23.25" customHeight="1" x14ac:dyDescent="0.25">
      <c r="B27" s="476"/>
      <c r="C27" s="520"/>
      <c r="D27" s="35"/>
      <c r="E27" s="348">
        <v>45252</v>
      </c>
      <c r="F27" s="339" t="s">
        <v>74</v>
      </c>
      <c r="G27" s="339">
        <v>729.5</v>
      </c>
      <c r="H27" s="349">
        <f>129.26/I27</f>
        <v>8.6173333333333328</v>
      </c>
      <c r="I27" s="339">
        <v>15</v>
      </c>
      <c r="J27" s="339">
        <v>18237.5</v>
      </c>
      <c r="K27" s="150">
        <f t="shared" ref="K27:K28" si="4">(G27+H27)*I27</f>
        <v>11071.76</v>
      </c>
      <c r="L27" s="341">
        <v>45322</v>
      </c>
      <c r="M27" s="339" t="s">
        <v>114</v>
      </c>
      <c r="N27" s="340">
        <v>969.45</v>
      </c>
      <c r="O27" s="347">
        <v>6.7260000000000586</v>
      </c>
      <c r="P27" s="340">
        <v>15</v>
      </c>
      <c r="Q27" s="340">
        <v>24236.25</v>
      </c>
      <c r="R27" s="340">
        <f t="shared" si="2"/>
        <v>14440.859999999999</v>
      </c>
      <c r="S27" s="150"/>
      <c r="T27" s="150"/>
      <c r="U27" s="36"/>
    </row>
    <row r="28" spans="2:21" ht="23.25" customHeight="1" x14ac:dyDescent="0.25">
      <c r="B28" s="476"/>
      <c r="C28" s="520"/>
      <c r="D28" s="35"/>
      <c r="E28" s="348">
        <v>45260</v>
      </c>
      <c r="F28" s="339" t="s">
        <v>74</v>
      </c>
      <c r="G28" s="339">
        <v>760</v>
      </c>
      <c r="H28" s="339">
        <f>269.28/I28</f>
        <v>26.927999999999997</v>
      </c>
      <c r="I28" s="339">
        <v>10</v>
      </c>
      <c r="J28" s="339">
        <v>38000</v>
      </c>
      <c r="K28" s="150">
        <f t="shared" si="4"/>
        <v>7869.28</v>
      </c>
      <c r="L28" s="341">
        <v>45322</v>
      </c>
      <c r="M28" s="339" t="s">
        <v>114</v>
      </c>
      <c r="N28" s="340">
        <v>969.45</v>
      </c>
      <c r="O28" s="347">
        <v>6.7260000000000586</v>
      </c>
      <c r="P28" s="340">
        <v>10</v>
      </c>
      <c r="Q28" s="340">
        <v>24236.25</v>
      </c>
      <c r="R28" s="340">
        <f t="shared" si="2"/>
        <v>9627.24</v>
      </c>
      <c r="S28" s="150"/>
      <c r="T28" s="150"/>
      <c r="U28" s="36"/>
    </row>
    <row r="29" spans="2:21" ht="23.25" customHeight="1" x14ac:dyDescent="0.25">
      <c r="B29" s="476"/>
      <c r="C29" s="520"/>
      <c r="D29" s="35"/>
      <c r="E29" s="348">
        <v>45260</v>
      </c>
      <c r="F29" s="339" t="s">
        <v>74</v>
      </c>
      <c r="G29" s="339">
        <v>760</v>
      </c>
      <c r="H29" s="339">
        <f>269.28/I29</f>
        <v>6.7319999999999993</v>
      </c>
      <c r="I29" s="339">
        <v>40</v>
      </c>
      <c r="J29" s="339">
        <v>38000</v>
      </c>
      <c r="K29" s="150">
        <f t="shared" si="0"/>
        <v>30669.279999999999</v>
      </c>
      <c r="L29" s="341"/>
      <c r="M29" s="339"/>
      <c r="N29" s="340"/>
      <c r="O29" s="347"/>
      <c r="P29" s="340"/>
      <c r="Q29" s="340"/>
      <c r="R29" s="340"/>
      <c r="S29" s="150"/>
      <c r="T29" s="150"/>
      <c r="U29" s="36"/>
    </row>
    <row r="30" spans="2:21" ht="23.25" customHeight="1" x14ac:dyDescent="0.25">
      <c r="B30" s="476"/>
      <c r="C30" s="520"/>
      <c r="D30" s="35"/>
      <c r="E30" s="348">
        <v>45282</v>
      </c>
      <c r="F30" s="339" t="s">
        <v>74</v>
      </c>
      <c r="G30" s="339">
        <v>766</v>
      </c>
      <c r="H30" s="339">
        <f>135.72/I30</f>
        <v>5.4287999999999998</v>
      </c>
      <c r="I30" s="339">
        <v>25</v>
      </c>
      <c r="J30" s="339">
        <v>19150</v>
      </c>
      <c r="K30" s="150">
        <f t="shared" si="0"/>
        <v>19285.72</v>
      </c>
      <c r="L30" s="341"/>
      <c r="M30" s="339"/>
      <c r="N30" s="340"/>
      <c r="O30" s="347"/>
      <c r="P30" s="340"/>
      <c r="Q30" s="340"/>
      <c r="R30" s="340"/>
      <c r="S30" s="8"/>
      <c r="T30" s="8"/>
      <c r="U30" s="36"/>
    </row>
    <row r="31" spans="2:21" ht="23.25" customHeight="1" thickBot="1" x14ac:dyDescent="0.3">
      <c r="B31" s="477"/>
      <c r="C31" s="521"/>
      <c r="D31" s="38"/>
      <c r="E31" s="39"/>
      <c r="F31" s="39"/>
      <c r="G31" s="40"/>
      <c r="H31" s="40"/>
      <c r="I31" s="27">
        <f>SUM(I17:I30)</f>
        <v>215</v>
      </c>
      <c r="J31" s="27">
        <f>I31-P31</f>
        <v>65</v>
      </c>
      <c r="K31" s="40"/>
      <c r="L31" s="350"/>
      <c r="M31" s="351"/>
      <c r="N31" s="352"/>
      <c r="O31" s="353"/>
      <c r="P31" s="354">
        <f>SUM(P17:P30)</f>
        <v>150</v>
      </c>
      <c r="Q31" s="352"/>
      <c r="R31" s="352"/>
      <c r="S31" s="40"/>
      <c r="T31" s="40"/>
      <c r="U31" s="43"/>
    </row>
    <row r="32" spans="2:21" ht="13.5" customHeight="1" thickBot="1" x14ac:dyDescent="0.3">
      <c r="B32" s="5"/>
      <c r="C32" s="28"/>
      <c r="D32" s="29"/>
      <c r="E32" s="4"/>
      <c r="F32" s="4"/>
      <c r="G32" s="6"/>
      <c r="H32" s="6"/>
      <c r="I32" s="5"/>
      <c r="J32" s="5"/>
      <c r="K32" s="6"/>
      <c r="L32" s="30"/>
      <c r="M32" s="30"/>
      <c r="N32" s="31"/>
      <c r="O32" s="6"/>
      <c r="P32" s="29"/>
      <c r="Q32" s="6"/>
      <c r="R32" s="6"/>
      <c r="S32" s="6"/>
      <c r="T32" s="6"/>
      <c r="U32" s="32"/>
    </row>
    <row r="33" spans="2:21" ht="23.25" customHeight="1" x14ac:dyDescent="0.25">
      <c r="B33" s="475" t="e">
        <f>1+#REF!</f>
        <v>#REF!</v>
      </c>
      <c r="C33" s="486" t="s">
        <v>75</v>
      </c>
      <c r="D33" s="33"/>
      <c r="E33" s="335">
        <v>45062</v>
      </c>
      <c r="F33" s="336" t="s">
        <v>74</v>
      </c>
      <c r="G33" s="337">
        <v>319.99799999999999</v>
      </c>
      <c r="H33" s="337">
        <v>113.52</v>
      </c>
      <c r="I33" s="336">
        <v>50</v>
      </c>
      <c r="J33" s="337">
        <v>15999.9</v>
      </c>
      <c r="K33" s="337">
        <v>16113.42</v>
      </c>
      <c r="L33" s="344"/>
      <c r="M33" s="344"/>
      <c r="N33" s="267"/>
      <c r="O33" s="10"/>
      <c r="P33" s="267"/>
      <c r="Q33" s="184"/>
      <c r="R33" s="184"/>
      <c r="S33" s="184"/>
      <c r="T33" s="184"/>
      <c r="U33" s="34"/>
    </row>
    <row r="34" spans="2:21" ht="23.25" customHeight="1" x14ac:dyDescent="0.25">
      <c r="B34" s="476"/>
      <c r="C34" s="487"/>
      <c r="D34" s="35"/>
      <c r="E34" s="7"/>
      <c r="F34" s="7"/>
      <c r="G34" s="150"/>
      <c r="H34" s="150"/>
      <c r="I34" s="191">
        <f>SUM(I33)</f>
        <v>50</v>
      </c>
      <c r="J34" s="191">
        <f>I34</f>
        <v>50</v>
      </c>
      <c r="K34" s="150"/>
      <c r="L34" s="7"/>
      <c r="M34" s="7"/>
      <c r="N34" s="149"/>
      <c r="O34" s="150"/>
      <c r="P34" s="149"/>
      <c r="Q34" s="150"/>
      <c r="R34" s="150"/>
      <c r="S34" s="150"/>
      <c r="T34" s="150"/>
      <c r="U34" s="36"/>
    </row>
    <row r="35" spans="2:21" ht="23.25" customHeight="1" thickBot="1" x14ac:dyDescent="0.3">
      <c r="B35" s="477"/>
      <c r="C35" s="488"/>
      <c r="D35" s="44"/>
      <c r="E35" s="45"/>
      <c r="F35" s="45"/>
      <c r="G35" s="156"/>
      <c r="H35" s="156"/>
      <c r="I35" s="155"/>
      <c r="J35" s="155"/>
      <c r="K35" s="156"/>
      <c r="L35" s="45"/>
      <c r="M35" s="45"/>
      <c r="N35" s="155"/>
      <c r="O35" s="156"/>
      <c r="P35" s="155"/>
      <c r="Q35" s="156"/>
      <c r="R35" s="156"/>
      <c r="S35" s="156"/>
      <c r="T35" s="156"/>
      <c r="U35" s="46"/>
    </row>
    <row r="36" spans="2:21" ht="12" customHeight="1" thickBot="1" x14ac:dyDescent="0.3">
      <c r="B36" s="47"/>
      <c r="C36" s="48"/>
      <c r="D36" s="49"/>
      <c r="E36" s="50"/>
      <c r="F36" s="50"/>
      <c r="G36" s="233"/>
      <c r="H36" s="233"/>
      <c r="I36" s="187"/>
      <c r="J36" s="187"/>
      <c r="K36" s="233"/>
      <c r="L36" s="50"/>
      <c r="M36" s="50"/>
      <c r="N36" s="187"/>
      <c r="O36" s="233"/>
      <c r="P36" s="187"/>
      <c r="Q36" s="233"/>
      <c r="R36" s="233"/>
      <c r="S36" s="233"/>
      <c r="T36" s="233"/>
      <c r="U36" s="51"/>
    </row>
    <row r="37" spans="2:21" ht="23.25" customHeight="1" x14ac:dyDescent="0.25">
      <c r="B37" s="475"/>
      <c r="C37" s="486" t="s">
        <v>76</v>
      </c>
      <c r="D37" s="52"/>
      <c r="E37" s="331">
        <v>45292</v>
      </c>
      <c r="F37" s="332" t="s">
        <v>74</v>
      </c>
      <c r="G37" s="333">
        <v>5711.2</v>
      </c>
      <c r="H37" s="333">
        <v>202.49</v>
      </c>
      <c r="I37" s="332">
        <v>5</v>
      </c>
      <c r="J37" s="333">
        <v>28556</v>
      </c>
      <c r="K37" s="333">
        <v>28758.49</v>
      </c>
      <c r="L37" s="53"/>
      <c r="M37" s="53"/>
      <c r="N37" s="145"/>
      <c r="O37" s="146"/>
      <c r="P37" s="145"/>
      <c r="Q37" s="146"/>
      <c r="R37" s="146"/>
      <c r="S37" s="146"/>
      <c r="T37" s="146"/>
      <c r="U37" s="54"/>
    </row>
    <row r="38" spans="2:21" ht="23.25" customHeight="1" x14ac:dyDescent="0.25">
      <c r="B38" s="476"/>
      <c r="C38" s="487"/>
      <c r="D38" s="35"/>
      <c r="E38" s="341">
        <v>45293</v>
      </c>
      <c r="F38" s="339" t="s">
        <v>74</v>
      </c>
      <c r="G38" s="340">
        <v>5745</v>
      </c>
      <c r="H38" s="340">
        <v>122.21000000000001</v>
      </c>
      <c r="I38" s="339">
        <v>3</v>
      </c>
      <c r="J38" s="340">
        <v>17235</v>
      </c>
      <c r="K38" s="340">
        <v>17357.21</v>
      </c>
      <c r="L38" s="7"/>
      <c r="M38" s="7"/>
      <c r="N38" s="149"/>
      <c r="O38" s="150"/>
      <c r="P38" s="149"/>
      <c r="Q38" s="150"/>
      <c r="R38" s="150"/>
      <c r="S38" s="150"/>
      <c r="T38" s="150"/>
      <c r="U38" s="36"/>
    </row>
    <row r="39" spans="2:21" ht="23.25" customHeight="1" x14ac:dyDescent="0.25">
      <c r="B39" s="476"/>
      <c r="C39" s="487"/>
      <c r="D39" s="35"/>
      <c r="E39" s="341">
        <v>45306</v>
      </c>
      <c r="F39" s="339" t="s">
        <v>74</v>
      </c>
      <c r="G39" s="340">
        <v>5830.2</v>
      </c>
      <c r="H39" s="340">
        <v>82.64</v>
      </c>
      <c r="I39" s="339">
        <v>2</v>
      </c>
      <c r="J39" s="340">
        <v>11660.4</v>
      </c>
      <c r="K39" s="340">
        <v>11743.04</v>
      </c>
      <c r="L39" s="7"/>
      <c r="M39" s="7"/>
      <c r="N39" s="149"/>
      <c r="O39" s="150"/>
      <c r="P39" s="149"/>
      <c r="Q39" s="150"/>
      <c r="R39" s="150"/>
      <c r="S39" s="150"/>
      <c r="T39" s="150"/>
      <c r="U39" s="36"/>
    </row>
    <row r="40" spans="2:21" ht="23.25" customHeight="1" x14ac:dyDescent="0.25">
      <c r="B40" s="476"/>
      <c r="C40" s="487"/>
      <c r="D40" s="35"/>
      <c r="E40" s="341">
        <v>45308</v>
      </c>
      <c r="F40" s="339" t="s">
        <v>74</v>
      </c>
      <c r="G40" s="340">
        <v>5924</v>
      </c>
      <c r="H40" s="340">
        <v>167.96000000000004</v>
      </c>
      <c r="I40" s="339">
        <v>4</v>
      </c>
      <c r="J40" s="340">
        <v>23696</v>
      </c>
      <c r="K40" s="340">
        <v>23863.96</v>
      </c>
      <c r="L40" s="7"/>
      <c r="M40" s="7"/>
      <c r="N40" s="149"/>
      <c r="O40" s="150"/>
      <c r="P40" s="149"/>
      <c r="Q40" s="150"/>
      <c r="R40" s="150"/>
      <c r="S40" s="150"/>
      <c r="T40" s="150"/>
      <c r="U40" s="36"/>
    </row>
    <row r="41" spans="2:21" ht="23.25" customHeight="1" x14ac:dyDescent="0.25">
      <c r="B41" s="476"/>
      <c r="C41" s="522"/>
      <c r="D41" s="35"/>
      <c r="E41" s="7"/>
      <c r="F41" s="7"/>
      <c r="G41" s="150"/>
      <c r="H41" s="150"/>
      <c r="I41" s="191">
        <f>SUM(I37:I40)</f>
        <v>14</v>
      </c>
      <c r="J41" s="149"/>
      <c r="K41" s="150"/>
      <c r="L41" s="7"/>
      <c r="M41" s="7"/>
      <c r="N41" s="149"/>
      <c r="O41" s="150"/>
      <c r="P41" s="149"/>
      <c r="Q41" s="150"/>
      <c r="R41" s="150"/>
      <c r="S41" s="150"/>
      <c r="T41" s="150"/>
      <c r="U41" s="36"/>
    </row>
    <row r="42" spans="2:21" ht="7.5" customHeight="1" thickBot="1" x14ac:dyDescent="0.3">
      <c r="B42" s="56"/>
      <c r="C42" s="57"/>
      <c r="D42" s="58"/>
      <c r="E42" s="59"/>
      <c r="F42" s="59"/>
      <c r="G42" s="60"/>
      <c r="H42" s="60"/>
      <c r="I42" s="56"/>
      <c r="J42" s="56"/>
      <c r="K42" s="60"/>
      <c r="L42" s="61"/>
      <c r="M42" s="61"/>
      <c r="N42" s="62"/>
      <c r="O42" s="60"/>
      <c r="P42" s="58"/>
      <c r="Q42" s="60"/>
      <c r="R42" s="60"/>
      <c r="S42" s="60"/>
      <c r="T42" s="60"/>
      <c r="U42" s="63"/>
    </row>
    <row r="43" spans="2:21" ht="23.25" customHeight="1" thickTop="1" thickBot="1" x14ac:dyDescent="0.3">
      <c r="B43" s="472" t="e">
        <f>1+B33</f>
        <v>#REF!</v>
      </c>
      <c r="C43" s="523" t="s">
        <v>56</v>
      </c>
      <c r="D43" s="65"/>
      <c r="E43" s="355">
        <v>44655</v>
      </c>
      <c r="F43" s="356"/>
      <c r="G43" s="150">
        <v>767.8</v>
      </c>
      <c r="H43" s="150">
        <v>4.6762500000000005</v>
      </c>
      <c r="I43" s="149">
        <v>10</v>
      </c>
      <c r="J43" s="180"/>
      <c r="K43" s="151">
        <f>(G43+H43)*I43</f>
        <v>7724.7624999999989</v>
      </c>
      <c r="L43" s="357">
        <v>45082</v>
      </c>
      <c r="M43" s="358" t="s">
        <v>114</v>
      </c>
      <c r="N43" s="359">
        <v>949</v>
      </c>
      <c r="O43" s="359">
        <v>65.849999999999994</v>
      </c>
      <c r="P43" s="359">
        <v>10</v>
      </c>
      <c r="Q43" s="359">
        <v>9490</v>
      </c>
      <c r="R43" s="359">
        <v>9424.15</v>
      </c>
      <c r="S43" s="147"/>
      <c r="T43" s="147"/>
      <c r="U43" s="66" t="s">
        <v>55</v>
      </c>
    </row>
    <row r="44" spans="2:21" ht="23.25" customHeight="1" thickBot="1" x14ac:dyDescent="0.3">
      <c r="B44" s="473"/>
      <c r="C44" s="524"/>
      <c r="D44" s="68"/>
      <c r="E44" s="355">
        <v>44655</v>
      </c>
      <c r="F44" s="356"/>
      <c r="G44" s="150">
        <v>767.8</v>
      </c>
      <c r="H44" s="150">
        <v>4.6762500000000005</v>
      </c>
      <c r="I44" s="149">
        <v>15</v>
      </c>
      <c r="J44" s="180"/>
      <c r="K44" s="151">
        <f>(G44+H44)*I44</f>
        <v>11587.143749999999</v>
      </c>
      <c r="L44" s="357">
        <v>45083</v>
      </c>
      <c r="M44" s="358" t="s">
        <v>114</v>
      </c>
      <c r="N44" s="359">
        <v>969</v>
      </c>
      <c r="O44" s="359">
        <v>100.84000000000003</v>
      </c>
      <c r="P44" s="359">
        <v>15</v>
      </c>
      <c r="Q44" s="359">
        <v>14535</v>
      </c>
      <c r="R44" s="359">
        <v>14434.17</v>
      </c>
      <c r="S44" s="147"/>
      <c r="T44" s="147"/>
      <c r="U44" s="69"/>
    </row>
    <row r="45" spans="2:21" ht="23.25" customHeight="1" x14ac:dyDescent="0.25">
      <c r="B45" s="473"/>
      <c r="C45" s="524"/>
      <c r="D45" s="68"/>
      <c r="E45" s="70"/>
      <c r="F45" s="71"/>
      <c r="G45" s="8"/>
      <c r="H45" s="8"/>
      <c r="I45" s="149">
        <f>SUM(I43:I44)</f>
        <v>25</v>
      </c>
      <c r="J45" s="72">
        <f>I45-P45</f>
        <v>0</v>
      </c>
      <c r="K45" s="73"/>
      <c r="L45" s="74"/>
      <c r="M45" s="75"/>
      <c r="N45" s="76"/>
      <c r="O45" s="77"/>
      <c r="P45" s="78">
        <f>SUM(P43:P44)</f>
        <v>25</v>
      </c>
      <c r="Q45" s="79"/>
      <c r="R45" s="80"/>
      <c r="S45" s="80"/>
      <c r="T45" s="80"/>
      <c r="U45" s="69"/>
    </row>
    <row r="46" spans="2:21" ht="23.25" customHeight="1" thickBot="1" x14ac:dyDescent="0.3">
      <c r="B46" s="474"/>
      <c r="C46" s="525"/>
      <c r="D46" s="82"/>
      <c r="E46" s="83"/>
      <c r="F46" s="84"/>
      <c r="G46" s="85"/>
      <c r="H46" s="85"/>
      <c r="I46" s="86"/>
      <c r="J46" s="87"/>
      <c r="K46" s="88"/>
      <c r="L46" s="89"/>
      <c r="M46" s="89"/>
      <c r="N46" s="90"/>
      <c r="O46" s="91"/>
      <c r="P46" s="92"/>
      <c r="Q46" s="93"/>
      <c r="R46" s="94"/>
      <c r="S46" s="94"/>
      <c r="T46" s="94"/>
      <c r="U46" s="95"/>
    </row>
    <row r="47" spans="2:21" ht="11.25" customHeight="1" thickTop="1" thickBot="1" x14ac:dyDescent="0.3">
      <c r="B47" s="96"/>
      <c r="C47" s="97"/>
      <c r="D47" s="98"/>
      <c r="E47" s="99"/>
      <c r="F47" s="99"/>
      <c r="G47" s="100"/>
      <c r="H47" s="100"/>
      <c r="I47" s="96"/>
      <c r="J47" s="96"/>
      <c r="K47" s="100"/>
      <c r="L47" s="101"/>
      <c r="M47" s="101"/>
      <c r="N47" s="102"/>
      <c r="O47" s="100"/>
      <c r="P47" s="98"/>
      <c r="Q47" s="100"/>
      <c r="R47" s="100"/>
      <c r="S47" s="100"/>
      <c r="T47" s="100"/>
      <c r="U47" s="103"/>
    </row>
    <row r="48" spans="2:21" ht="23.25" customHeight="1" thickTop="1" thickBot="1" x14ac:dyDescent="0.3">
      <c r="B48" s="472" t="e">
        <f>1+B43</f>
        <v>#REF!</v>
      </c>
      <c r="C48" s="472" t="s">
        <v>57</v>
      </c>
      <c r="D48" s="64"/>
      <c r="E48" s="355">
        <v>44819</v>
      </c>
      <c r="F48" s="356"/>
      <c r="G48" s="8">
        <v>3862.45</v>
      </c>
      <c r="H48" s="104">
        <v>23.509999999999998</v>
      </c>
      <c r="I48" s="299">
        <v>5</v>
      </c>
      <c r="J48" s="105"/>
      <c r="K48" s="73">
        <f t="shared" ref="K48:K53" si="5">(G48+H48)*I48</f>
        <v>19429.8</v>
      </c>
      <c r="L48" s="357">
        <v>45036</v>
      </c>
      <c r="M48" s="358" t="s">
        <v>114</v>
      </c>
      <c r="N48" s="359">
        <v>4325</v>
      </c>
      <c r="O48" s="359">
        <v>150.02000000000001</v>
      </c>
      <c r="P48" s="359">
        <v>5</v>
      </c>
      <c r="Q48" s="359">
        <v>21625</v>
      </c>
      <c r="R48" s="359">
        <f t="shared" ref="R48:R50" si="6">(N48-O48)*P48</f>
        <v>20874.899999999998</v>
      </c>
      <c r="S48" s="106"/>
      <c r="T48" s="106"/>
      <c r="U48" s="66" t="s">
        <v>55</v>
      </c>
    </row>
    <row r="49" spans="2:21" ht="23.25" customHeight="1" thickBot="1" x14ac:dyDescent="0.3">
      <c r="B49" s="473"/>
      <c r="C49" s="473"/>
      <c r="D49" s="67"/>
      <c r="E49" s="355">
        <v>44819</v>
      </c>
      <c r="F49" s="356"/>
      <c r="G49" s="8">
        <v>3863</v>
      </c>
      <c r="H49" s="104">
        <v>23.522222222222226</v>
      </c>
      <c r="I49" s="299">
        <v>5</v>
      </c>
      <c r="J49" s="107"/>
      <c r="K49" s="73">
        <f t="shared" si="5"/>
        <v>19432.611111111113</v>
      </c>
      <c r="L49" s="357">
        <v>45041</v>
      </c>
      <c r="M49" s="358" t="s">
        <v>114</v>
      </c>
      <c r="N49" s="359">
        <v>4350</v>
      </c>
      <c r="O49" s="359">
        <v>150.1</v>
      </c>
      <c r="P49" s="359">
        <v>5</v>
      </c>
      <c r="Q49" s="359">
        <v>21750</v>
      </c>
      <c r="R49" s="359">
        <f t="shared" si="6"/>
        <v>20999.5</v>
      </c>
      <c r="S49" s="6"/>
      <c r="T49" s="6"/>
      <c r="U49" s="69"/>
    </row>
    <row r="50" spans="2:21" ht="23.25" customHeight="1" thickBot="1" x14ac:dyDescent="0.3">
      <c r="B50" s="473"/>
      <c r="C50" s="473"/>
      <c r="D50" s="67"/>
      <c r="E50" s="360">
        <v>45292</v>
      </c>
      <c r="F50" s="358" t="s">
        <v>74</v>
      </c>
      <c r="G50" s="358">
        <v>6761.2</v>
      </c>
      <c r="H50" s="361">
        <v>47.938000000000464</v>
      </c>
      <c r="I50" s="358">
        <v>3</v>
      </c>
      <c r="J50" s="358">
        <v>33806</v>
      </c>
      <c r="K50" s="73">
        <f t="shared" si="5"/>
        <v>20427.414000000001</v>
      </c>
      <c r="L50" s="357">
        <v>45370</v>
      </c>
      <c r="M50" s="358" t="s">
        <v>114</v>
      </c>
      <c r="N50" s="359">
        <v>10000</v>
      </c>
      <c r="O50" s="359">
        <v>71.030000000000015</v>
      </c>
      <c r="P50" s="359">
        <v>3</v>
      </c>
      <c r="Q50" s="359">
        <v>30000</v>
      </c>
      <c r="R50" s="359">
        <f t="shared" si="6"/>
        <v>29786.909999999996</v>
      </c>
      <c r="S50" s="6"/>
      <c r="T50" s="6"/>
      <c r="U50" s="69"/>
    </row>
    <row r="51" spans="2:21" ht="23.25" customHeight="1" thickBot="1" x14ac:dyDescent="0.3">
      <c r="B51" s="473"/>
      <c r="C51" s="473"/>
      <c r="D51" s="67"/>
      <c r="E51" s="360">
        <v>45292</v>
      </c>
      <c r="F51" s="358" t="s">
        <v>74</v>
      </c>
      <c r="G51" s="358">
        <v>6761.2</v>
      </c>
      <c r="H51" s="361">
        <v>47.938000000000464</v>
      </c>
      <c r="I51" s="358">
        <v>2</v>
      </c>
      <c r="J51" s="358">
        <v>33806</v>
      </c>
      <c r="K51" s="73">
        <f t="shared" si="5"/>
        <v>13618.276</v>
      </c>
      <c r="L51" s="362"/>
      <c r="M51" s="363"/>
      <c r="N51" s="364"/>
      <c r="O51" s="364"/>
      <c r="P51" s="364"/>
      <c r="Q51" s="364"/>
      <c r="R51" s="359"/>
      <c r="S51" s="6"/>
      <c r="T51" s="6"/>
      <c r="U51" s="69"/>
    </row>
    <row r="52" spans="2:21" ht="23.25" customHeight="1" thickBot="1" x14ac:dyDescent="0.3">
      <c r="B52" s="473"/>
      <c r="C52" s="473"/>
      <c r="D52" s="67"/>
      <c r="E52" s="360">
        <v>45293</v>
      </c>
      <c r="F52" s="358" t="s">
        <v>74</v>
      </c>
      <c r="G52" s="358">
        <v>6561</v>
      </c>
      <c r="H52" s="361">
        <v>46.516666666666424</v>
      </c>
      <c r="I52" s="358">
        <v>3</v>
      </c>
      <c r="J52" s="358">
        <v>19683</v>
      </c>
      <c r="K52" s="73">
        <f t="shared" si="5"/>
        <v>19822.55</v>
      </c>
      <c r="L52" s="108"/>
      <c r="M52" s="109"/>
      <c r="N52" s="269"/>
      <c r="O52" s="110"/>
      <c r="P52" s="269"/>
      <c r="Q52" s="111"/>
      <c r="R52" s="359"/>
      <c r="S52" s="6"/>
      <c r="T52" s="6"/>
      <c r="U52" s="69"/>
    </row>
    <row r="53" spans="2:21" ht="23.25" customHeight="1" thickBot="1" x14ac:dyDescent="0.3">
      <c r="B53" s="473"/>
      <c r="C53" s="473"/>
      <c r="D53" s="67"/>
      <c r="E53" s="360">
        <v>45294</v>
      </c>
      <c r="F53" s="358" t="s">
        <v>74</v>
      </c>
      <c r="G53" s="358">
        <v>6806.5</v>
      </c>
      <c r="H53" s="361">
        <v>48.246000000000642</v>
      </c>
      <c r="I53" s="358">
        <v>5</v>
      </c>
      <c r="J53" s="358">
        <v>34032.5</v>
      </c>
      <c r="K53" s="73">
        <f t="shared" si="5"/>
        <v>34273.730000000003</v>
      </c>
      <c r="L53" s="108"/>
      <c r="M53" s="109"/>
      <c r="N53" s="269"/>
      <c r="O53" s="110"/>
      <c r="P53" s="269"/>
      <c r="Q53" s="111"/>
      <c r="R53" s="359"/>
      <c r="S53" s="6"/>
      <c r="T53" s="6"/>
      <c r="U53" s="69"/>
    </row>
    <row r="54" spans="2:21" ht="23.25" customHeight="1" thickBot="1" x14ac:dyDescent="0.3">
      <c r="B54" s="473"/>
      <c r="C54" s="474"/>
      <c r="D54" s="67"/>
      <c r="E54" s="71"/>
      <c r="F54" s="71"/>
      <c r="G54" s="8"/>
      <c r="H54" s="8"/>
      <c r="I54" s="2">
        <f>SUM(I48:I53)</f>
        <v>23</v>
      </c>
      <c r="J54" s="112">
        <f>I54-P54</f>
        <v>10</v>
      </c>
      <c r="K54" s="113"/>
      <c r="L54" s="70"/>
      <c r="M54" s="71"/>
      <c r="N54" s="299"/>
      <c r="O54" s="8"/>
      <c r="P54" s="2">
        <f>SUM(P48:P53)</f>
        <v>13</v>
      </c>
      <c r="Q54" s="114"/>
      <c r="R54" s="359"/>
      <c r="S54" s="6"/>
      <c r="T54" s="6"/>
      <c r="U54" s="69"/>
    </row>
    <row r="55" spans="2:21" ht="23.25" customHeight="1" thickTop="1" thickBot="1" x14ac:dyDescent="0.3">
      <c r="B55" s="118"/>
      <c r="C55" s="119"/>
      <c r="D55" s="118"/>
      <c r="E55" s="120"/>
      <c r="F55" s="120"/>
      <c r="G55" s="106"/>
      <c r="H55" s="106"/>
      <c r="I55" s="118"/>
      <c r="J55" s="118"/>
      <c r="K55" s="106"/>
      <c r="L55" s="121"/>
      <c r="M55" s="121"/>
      <c r="N55" s="122"/>
      <c r="O55" s="106"/>
      <c r="P55" s="118"/>
      <c r="Q55" s="106"/>
      <c r="R55" s="365"/>
      <c r="S55" s="106"/>
      <c r="T55" s="106"/>
      <c r="U55" s="123"/>
    </row>
    <row r="56" spans="2:21" ht="23.25" customHeight="1" x14ac:dyDescent="0.25">
      <c r="B56" s="475" t="e">
        <f>1+B48</f>
        <v>#REF!</v>
      </c>
      <c r="C56" s="486" t="s">
        <v>77</v>
      </c>
      <c r="D56" s="211"/>
      <c r="E56" s="335">
        <v>45064</v>
      </c>
      <c r="F56" s="336" t="s">
        <v>74</v>
      </c>
      <c r="G56" s="337">
        <v>180</v>
      </c>
      <c r="H56" s="345">
        <v>1.2754000000000087</v>
      </c>
      <c r="I56" s="336">
        <v>25</v>
      </c>
      <c r="J56" s="337">
        <f>G56*I56</f>
        <v>4500</v>
      </c>
      <c r="K56" s="337">
        <f>(G56+H56)*I56</f>
        <v>4531.8850000000002</v>
      </c>
      <c r="L56" s="335">
        <v>45110</v>
      </c>
      <c r="M56" s="336" t="s">
        <v>114</v>
      </c>
      <c r="N56" s="337">
        <v>198.9</v>
      </c>
      <c r="O56" s="337">
        <v>1.3859999999999855</v>
      </c>
      <c r="P56" s="337">
        <v>25</v>
      </c>
      <c r="Q56" s="337">
        <f>N56*P56</f>
        <v>4972.5</v>
      </c>
      <c r="R56" s="337">
        <f>(N56-O56)*P56</f>
        <v>4937.8500000000004</v>
      </c>
      <c r="S56" s="10"/>
      <c r="T56" s="10"/>
      <c r="U56" s="34" t="s">
        <v>55</v>
      </c>
    </row>
    <row r="57" spans="2:21" ht="23.25" customHeight="1" x14ac:dyDescent="0.25">
      <c r="B57" s="476"/>
      <c r="C57" s="487"/>
      <c r="D57" s="222"/>
      <c r="E57" s="341">
        <v>45064</v>
      </c>
      <c r="F57" s="339" t="s">
        <v>74</v>
      </c>
      <c r="G57" s="340">
        <v>180</v>
      </c>
      <c r="H57" s="347">
        <v>1.2754000000000087</v>
      </c>
      <c r="I57" s="339">
        <v>25</v>
      </c>
      <c r="J57" s="340">
        <f>G57*I57</f>
        <v>4500</v>
      </c>
      <c r="K57" s="340">
        <f>(G57+H57)*I57</f>
        <v>4531.8850000000002</v>
      </c>
      <c r="L57" s="341">
        <v>45233</v>
      </c>
      <c r="M57" s="339" t="s">
        <v>114</v>
      </c>
      <c r="N57" s="340">
        <v>204</v>
      </c>
      <c r="O57" s="340">
        <v>1.4156000000000131</v>
      </c>
      <c r="P57" s="340">
        <v>25</v>
      </c>
      <c r="Q57" s="340">
        <f>N57*P57</f>
        <v>5100</v>
      </c>
      <c r="R57" s="340">
        <f>(N57-O57)*P57</f>
        <v>5064.6099999999997</v>
      </c>
      <c r="S57" s="8"/>
      <c r="T57" s="8"/>
      <c r="U57" s="36"/>
    </row>
    <row r="58" spans="2:21" ht="23.25" customHeight="1" x14ac:dyDescent="0.25">
      <c r="B58" s="476"/>
      <c r="C58" s="487"/>
      <c r="D58" s="222"/>
      <c r="E58" s="341">
        <v>45232</v>
      </c>
      <c r="F58" s="339" t="s">
        <v>74</v>
      </c>
      <c r="G58" s="340">
        <v>199.55</v>
      </c>
      <c r="H58" s="347">
        <v>1.4147000000000116</v>
      </c>
      <c r="I58" s="339">
        <v>100</v>
      </c>
      <c r="J58" s="340">
        <f t="shared" ref="J58:J60" si="7">G58*I58</f>
        <v>19955</v>
      </c>
      <c r="K58" s="340">
        <f t="shared" ref="K58:K60" si="8">(G58+H58)*I58</f>
        <v>20096.47</v>
      </c>
      <c r="L58" s="341">
        <v>45280</v>
      </c>
      <c r="M58" s="339" t="s">
        <v>114</v>
      </c>
      <c r="N58" s="340">
        <v>219.3</v>
      </c>
      <c r="O58" s="340">
        <v>1.5213999999999941</v>
      </c>
      <c r="P58" s="340">
        <v>100</v>
      </c>
      <c r="Q58" s="340">
        <f t="shared" ref="Q58" si="9">N58*P58</f>
        <v>21930</v>
      </c>
      <c r="R58" s="340">
        <f t="shared" ref="R58" si="10">(N58-O58)*P58</f>
        <v>21777.86</v>
      </c>
      <c r="S58" s="8"/>
      <c r="T58" s="8"/>
      <c r="U58" s="36"/>
    </row>
    <row r="59" spans="2:21" ht="23.25" customHeight="1" x14ac:dyDescent="0.25">
      <c r="B59" s="476"/>
      <c r="C59" s="487"/>
      <c r="D59" s="222"/>
      <c r="E59" s="341">
        <v>45274</v>
      </c>
      <c r="F59" s="339" t="s">
        <v>74</v>
      </c>
      <c r="G59" s="340">
        <v>221.55</v>
      </c>
      <c r="H59" s="347">
        <v>1.57</v>
      </c>
      <c r="I59" s="339">
        <v>100</v>
      </c>
      <c r="J59" s="340">
        <f t="shared" si="7"/>
        <v>22155</v>
      </c>
      <c r="K59" s="340">
        <f t="shared" si="8"/>
        <v>22312</v>
      </c>
      <c r="L59" s="341">
        <v>45280</v>
      </c>
      <c r="M59" s="339" t="s">
        <v>114</v>
      </c>
      <c r="N59" s="340">
        <v>219.3</v>
      </c>
      <c r="O59" s="340">
        <v>1.5213999999999941</v>
      </c>
      <c r="P59" s="340">
        <v>100</v>
      </c>
      <c r="Q59" s="340">
        <f t="shared" ref="Q59" si="11">N59*P59</f>
        <v>21930</v>
      </c>
      <c r="R59" s="340">
        <f t="shared" ref="R59:R60" si="12">(N59-O59)*P59</f>
        <v>21777.86</v>
      </c>
      <c r="S59" s="8"/>
      <c r="T59" s="8"/>
      <c r="U59" s="36"/>
    </row>
    <row r="60" spans="2:21" ht="23.25" customHeight="1" x14ac:dyDescent="0.25">
      <c r="B60" s="476"/>
      <c r="C60" s="487"/>
      <c r="D60" s="222"/>
      <c r="E60" s="341">
        <v>45311</v>
      </c>
      <c r="F60" s="339" t="s">
        <v>74</v>
      </c>
      <c r="G60" s="340">
        <v>233.1</v>
      </c>
      <c r="H60" s="347">
        <v>1.6522333333333274</v>
      </c>
      <c r="I60" s="339">
        <v>100</v>
      </c>
      <c r="J60" s="340">
        <f t="shared" si="7"/>
        <v>23310</v>
      </c>
      <c r="K60" s="340">
        <f t="shared" si="8"/>
        <v>23475.223333333332</v>
      </c>
      <c r="L60" s="341">
        <v>45337</v>
      </c>
      <c r="M60" s="339" t="s">
        <v>114</v>
      </c>
      <c r="N60" s="340">
        <v>275.2</v>
      </c>
      <c r="O60" s="340">
        <v>1.9092000000000002</v>
      </c>
      <c r="P60" s="340">
        <v>100</v>
      </c>
      <c r="Q60" s="340">
        <v>27520</v>
      </c>
      <c r="R60" s="340">
        <f t="shared" si="12"/>
        <v>27329.079999999998</v>
      </c>
      <c r="S60" s="8"/>
      <c r="T60" s="8"/>
      <c r="U60" s="36"/>
    </row>
    <row r="61" spans="2:21" ht="23.25" customHeight="1" x14ac:dyDescent="0.25">
      <c r="B61" s="476"/>
      <c r="C61" s="487"/>
      <c r="D61" s="222"/>
      <c r="E61" s="341">
        <v>45311</v>
      </c>
      <c r="F61" s="339" t="s">
        <v>74</v>
      </c>
      <c r="G61" s="340">
        <v>233.1</v>
      </c>
      <c r="H61" s="347">
        <v>1.6522333333333274</v>
      </c>
      <c r="I61" s="339">
        <v>200</v>
      </c>
      <c r="J61" s="340">
        <f t="shared" ref="J61" si="13">G61*I61</f>
        <v>46620</v>
      </c>
      <c r="K61" s="340">
        <f t="shared" ref="K61" si="14">(G61+H61)*I61</f>
        <v>46950.446666666663</v>
      </c>
      <c r="L61" s="341"/>
      <c r="M61" s="339"/>
      <c r="N61" s="340"/>
      <c r="O61" s="340"/>
      <c r="P61" s="340"/>
      <c r="Q61" s="340"/>
      <c r="R61" s="340"/>
      <c r="S61" s="8"/>
      <c r="T61" s="8"/>
      <c r="U61" s="36"/>
    </row>
    <row r="62" spans="2:21" ht="23.25" customHeight="1" x14ac:dyDescent="0.25">
      <c r="B62" s="476"/>
      <c r="C62" s="487"/>
      <c r="D62" s="222"/>
      <c r="E62" s="341">
        <v>45329</v>
      </c>
      <c r="F62" s="339" t="s">
        <v>74</v>
      </c>
      <c r="G62" s="340">
        <v>250.6</v>
      </c>
      <c r="H62" s="340">
        <v>1.7760999999999998</v>
      </c>
      <c r="I62" s="339">
        <v>200</v>
      </c>
      <c r="J62" s="340">
        <v>50120</v>
      </c>
      <c r="K62" s="340">
        <v>50475.22</v>
      </c>
      <c r="L62" s="346"/>
      <c r="M62" s="346"/>
      <c r="N62" s="299"/>
      <c r="O62" s="8"/>
      <c r="P62" s="299"/>
      <c r="Q62" s="8"/>
      <c r="R62" s="8"/>
      <c r="S62" s="8"/>
      <c r="T62" s="8"/>
      <c r="U62" s="36"/>
    </row>
    <row r="63" spans="2:21" ht="23.25" customHeight="1" thickBot="1" x14ac:dyDescent="0.3">
      <c r="B63" s="477"/>
      <c r="C63" s="488"/>
      <c r="D63" s="213"/>
      <c r="E63" s="350"/>
      <c r="F63" s="351"/>
      <c r="G63" s="352"/>
      <c r="H63" s="352"/>
      <c r="I63" s="300">
        <f>SUM(I56:I62)</f>
        <v>750</v>
      </c>
      <c r="J63" s="354">
        <f>I63-P63</f>
        <v>400</v>
      </c>
      <c r="K63" s="352"/>
      <c r="L63" s="368"/>
      <c r="M63" s="368"/>
      <c r="N63" s="55"/>
      <c r="O63" s="40"/>
      <c r="P63" s="27">
        <f>SUM(P56:P62)</f>
        <v>350</v>
      </c>
      <c r="Q63" s="40"/>
      <c r="R63" s="40"/>
      <c r="S63" s="40"/>
      <c r="T63" s="40"/>
      <c r="U63" s="43"/>
    </row>
    <row r="64" spans="2:21" ht="14.25" customHeight="1" thickBot="1" x14ac:dyDescent="0.3">
      <c r="B64" s="220"/>
      <c r="C64" s="163"/>
      <c r="D64" s="162"/>
      <c r="E64" s="369"/>
      <c r="F64" s="369"/>
      <c r="G64" s="6"/>
      <c r="H64" s="6"/>
      <c r="I64" s="5"/>
      <c r="J64" s="5"/>
      <c r="K64" s="6"/>
      <c r="L64" s="369"/>
      <c r="M64" s="369"/>
      <c r="N64" s="5"/>
      <c r="O64" s="6"/>
      <c r="P64" s="5"/>
      <c r="Q64" s="6"/>
      <c r="R64" s="6"/>
      <c r="S64" s="6"/>
      <c r="T64" s="6"/>
      <c r="U64" s="221"/>
    </row>
    <row r="65" spans="2:21" ht="23.25" customHeight="1" x14ac:dyDescent="0.25">
      <c r="B65" s="475"/>
      <c r="C65" s="486" t="s">
        <v>78</v>
      </c>
      <c r="D65" s="211"/>
      <c r="E65" s="335">
        <v>45311</v>
      </c>
      <c r="F65" s="336" t="s">
        <v>74</v>
      </c>
      <c r="G65" s="337">
        <v>137.69999999999999</v>
      </c>
      <c r="H65" s="337">
        <v>292.8</v>
      </c>
      <c r="I65" s="336">
        <v>300</v>
      </c>
      <c r="J65" s="337">
        <v>41310</v>
      </c>
      <c r="K65" s="337">
        <v>41602.800000000003</v>
      </c>
      <c r="L65" s="344"/>
      <c r="M65" s="344"/>
      <c r="N65" s="267"/>
      <c r="O65" s="10"/>
      <c r="P65" s="267"/>
      <c r="Q65" s="10"/>
      <c r="R65" s="10"/>
      <c r="S65" s="10"/>
      <c r="T65" s="10"/>
      <c r="U65" s="34"/>
    </row>
    <row r="66" spans="2:21" ht="23.25" customHeight="1" x14ac:dyDescent="0.25">
      <c r="B66" s="476"/>
      <c r="C66" s="487"/>
      <c r="D66" s="222"/>
      <c r="E66" s="341">
        <v>45331</v>
      </c>
      <c r="F66" s="339" t="s">
        <v>74</v>
      </c>
      <c r="G66" s="340">
        <v>137.25</v>
      </c>
      <c r="H66" s="340">
        <v>0.9728</v>
      </c>
      <c r="I66" s="339">
        <v>200</v>
      </c>
      <c r="J66" s="340">
        <v>27450</v>
      </c>
      <c r="K66" s="340">
        <v>27644.560000000001</v>
      </c>
      <c r="L66" s="346"/>
      <c r="M66" s="346"/>
      <c r="N66" s="299"/>
      <c r="O66" s="8"/>
      <c r="P66" s="299"/>
      <c r="Q66" s="8"/>
      <c r="R66" s="8"/>
      <c r="S66" s="8"/>
      <c r="T66" s="8"/>
      <c r="U66" s="36"/>
    </row>
    <row r="67" spans="2:21" ht="23.25" customHeight="1" thickBot="1" x14ac:dyDescent="0.3">
      <c r="B67" s="477"/>
      <c r="C67" s="488"/>
      <c r="D67" s="216"/>
      <c r="E67" s="338"/>
      <c r="F67" s="370"/>
      <c r="G67" s="371"/>
      <c r="H67" s="371"/>
      <c r="I67" s="372">
        <f>SUM(I65:I66)</f>
        <v>500</v>
      </c>
      <c r="J67" s="371"/>
      <c r="K67" s="371"/>
      <c r="L67" s="373"/>
      <c r="M67" s="373"/>
      <c r="N67" s="226"/>
      <c r="O67" s="77"/>
      <c r="P67" s="226"/>
      <c r="Q67" s="77"/>
      <c r="R67" s="77"/>
      <c r="S67" s="77"/>
      <c r="T67" s="77"/>
      <c r="U67" s="46"/>
    </row>
    <row r="68" spans="2:21" ht="8.25" customHeight="1" thickBot="1" x14ac:dyDescent="0.3">
      <c r="B68" s="249"/>
      <c r="C68" s="374"/>
      <c r="D68" s="250"/>
      <c r="E68" s="375"/>
      <c r="F68" s="376"/>
      <c r="G68" s="377"/>
      <c r="H68" s="377"/>
      <c r="I68" s="376"/>
      <c r="J68" s="377"/>
      <c r="K68" s="377"/>
      <c r="L68" s="378"/>
      <c r="M68" s="378"/>
      <c r="N68" s="251"/>
      <c r="O68" s="137"/>
      <c r="P68" s="251"/>
      <c r="Q68" s="137"/>
      <c r="R68" s="137"/>
      <c r="S68" s="181"/>
      <c r="T68" s="181"/>
      <c r="U68" s="51"/>
    </row>
    <row r="69" spans="2:21" ht="23.25" customHeight="1" x14ac:dyDescent="0.25">
      <c r="B69" s="475"/>
      <c r="C69" s="486" t="s">
        <v>79</v>
      </c>
      <c r="D69" s="211"/>
      <c r="E69" s="335">
        <v>45187</v>
      </c>
      <c r="F69" s="336" t="s">
        <v>74</v>
      </c>
      <c r="G69" s="337">
        <v>489.2</v>
      </c>
      <c r="H69" s="337">
        <v>86.65000000000002</v>
      </c>
      <c r="I69" s="336">
        <v>25</v>
      </c>
      <c r="J69" s="337">
        <v>12230</v>
      </c>
      <c r="K69" s="337">
        <v>12316.65</v>
      </c>
      <c r="L69" s="335">
        <v>45218</v>
      </c>
      <c r="M69" s="336" t="s">
        <v>114</v>
      </c>
      <c r="N69" s="337">
        <v>554.95000000000005</v>
      </c>
      <c r="O69" s="337">
        <v>96.230000000000018</v>
      </c>
      <c r="P69" s="337">
        <v>25</v>
      </c>
      <c r="Q69" s="337">
        <v>13873.75</v>
      </c>
      <c r="R69" s="379">
        <v>13777.52</v>
      </c>
      <c r="S69" s="80"/>
      <c r="T69" s="80"/>
      <c r="U69" s="127" t="s">
        <v>55</v>
      </c>
    </row>
    <row r="70" spans="2:21" ht="23.25" customHeight="1" x14ac:dyDescent="0.25">
      <c r="B70" s="476"/>
      <c r="C70" s="487"/>
      <c r="D70" s="222"/>
      <c r="E70" s="341">
        <v>45189</v>
      </c>
      <c r="F70" s="339" t="s">
        <v>74</v>
      </c>
      <c r="G70" s="340">
        <v>481.8</v>
      </c>
      <c r="H70" s="340">
        <v>85.36</v>
      </c>
      <c r="I70" s="339">
        <v>25</v>
      </c>
      <c r="J70" s="340">
        <v>12045</v>
      </c>
      <c r="K70" s="340">
        <v>12130.36</v>
      </c>
      <c r="L70" s="341">
        <v>45308</v>
      </c>
      <c r="M70" s="339" t="s">
        <v>114</v>
      </c>
      <c r="N70" s="340">
        <v>799.45</v>
      </c>
      <c r="O70" s="340">
        <v>138.66000000000003</v>
      </c>
      <c r="P70" s="340">
        <v>25</v>
      </c>
      <c r="Q70" s="340">
        <v>19986.25</v>
      </c>
      <c r="R70" s="380">
        <v>19847.59</v>
      </c>
      <c r="S70" s="80"/>
      <c r="T70" s="80"/>
      <c r="U70" s="127"/>
    </row>
    <row r="71" spans="2:21" ht="23.25" customHeight="1" x14ac:dyDescent="0.25">
      <c r="B71" s="476"/>
      <c r="C71" s="487"/>
      <c r="D71" s="222"/>
      <c r="E71" s="341">
        <v>45197</v>
      </c>
      <c r="F71" s="339" t="s">
        <v>74</v>
      </c>
      <c r="G71" s="340">
        <v>481.2</v>
      </c>
      <c r="H71" s="340">
        <v>51.160000000000004</v>
      </c>
      <c r="I71" s="339">
        <v>15</v>
      </c>
      <c r="J71" s="340">
        <v>7218</v>
      </c>
      <c r="K71" s="340">
        <v>7269.16</v>
      </c>
      <c r="L71" s="346"/>
      <c r="M71" s="346"/>
      <c r="N71" s="299"/>
      <c r="O71" s="8"/>
      <c r="P71" s="299"/>
      <c r="Q71" s="8"/>
      <c r="R71" s="252"/>
      <c r="S71" s="80"/>
      <c r="T71" s="80"/>
      <c r="U71" s="127"/>
    </row>
    <row r="72" spans="2:21" ht="23.25" customHeight="1" x14ac:dyDescent="0.25">
      <c r="B72" s="476"/>
      <c r="C72" s="487"/>
      <c r="D72" s="222"/>
      <c r="E72" s="341">
        <v>45245</v>
      </c>
      <c r="F72" s="339" t="s">
        <v>74</v>
      </c>
      <c r="G72" s="340">
        <v>591.95000000000005</v>
      </c>
      <c r="H72" s="340">
        <v>104.88</v>
      </c>
      <c r="I72" s="339">
        <v>25</v>
      </c>
      <c r="J72" s="340">
        <v>14798.75</v>
      </c>
      <c r="K72" s="340">
        <v>14903.63</v>
      </c>
      <c r="L72" s="346"/>
      <c r="M72" s="346"/>
      <c r="N72" s="299"/>
      <c r="O72" s="8"/>
      <c r="P72" s="299"/>
      <c r="Q72" s="8"/>
      <c r="R72" s="252"/>
      <c r="S72" s="80"/>
      <c r="T72" s="80"/>
      <c r="U72" s="127"/>
    </row>
    <row r="73" spans="2:21" ht="23.25" customHeight="1" x14ac:dyDescent="0.25">
      <c r="B73" s="476"/>
      <c r="C73" s="487"/>
      <c r="D73" s="222"/>
      <c r="E73" s="341">
        <v>45274</v>
      </c>
      <c r="F73" s="339" t="s">
        <v>74</v>
      </c>
      <c r="G73" s="340">
        <v>700.2</v>
      </c>
      <c r="H73" s="340">
        <v>124.06</v>
      </c>
      <c r="I73" s="339">
        <v>25</v>
      </c>
      <c r="J73" s="340">
        <v>17505</v>
      </c>
      <c r="K73" s="340">
        <v>17629.060000000001</v>
      </c>
      <c r="L73" s="346"/>
      <c r="M73" s="346"/>
      <c r="N73" s="299"/>
      <c r="O73" s="8"/>
      <c r="P73" s="299"/>
      <c r="Q73" s="8"/>
      <c r="R73" s="252"/>
      <c r="S73" s="80"/>
      <c r="T73" s="80"/>
      <c r="U73" s="127"/>
    </row>
    <row r="74" spans="2:21" ht="23.25" customHeight="1" x14ac:dyDescent="0.25">
      <c r="B74" s="476"/>
      <c r="C74" s="487"/>
      <c r="D74" s="222"/>
      <c r="E74" s="341">
        <v>45282</v>
      </c>
      <c r="F74" s="339" t="s">
        <v>74</v>
      </c>
      <c r="G74" s="340">
        <v>729.9</v>
      </c>
      <c r="H74" s="340">
        <v>129.35000000000002</v>
      </c>
      <c r="I74" s="339">
        <v>25</v>
      </c>
      <c r="J74" s="340">
        <v>18247.5</v>
      </c>
      <c r="K74" s="340">
        <v>18376.849999999999</v>
      </c>
      <c r="L74" s="346"/>
      <c r="M74" s="346"/>
      <c r="N74" s="299"/>
      <c r="O74" s="8"/>
      <c r="P74" s="299"/>
      <c r="Q74" s="8"/>
      <c r="R74" s="252"/>
      <c r="S74" s="80"/>
      <c r="T74" s="80"/>
      <c r="U74" s="127"/>
    </row>
    <row r="75" spans="2:21" ht="23.25" customHeight="1" x14ac:dyDescent="0.25">
      <c r="B75" s="476"/>
      <c r="C75" s="487"/>
      <c r="D75" s="222"/>
      <c r="E75" s="341">
        <v>45295</v>
      </c>
      <c r="F75" s="339" t="s">
        <v>74</v>
      </c>
      <c r="G75" s="340">
        <v>695.1</v>
      </c>
      <c r="H75" s="340">
        <v>73.91</v>
      </c>
      <c r="I75" s="339">
        <v>15</v>
      </c>
      <c r="J75" s="340">
        <v>10426.5</v>
      </c>
      <c r="K75" s="340">
        <v>10500.41</v>
      </c>
      <c r="L75" s="346"/>
      <c r="M75" s="346"/>
      <c r="N75" s="299"/>
      <c r="O75" s="8"/>
      <c r="P75" s="299"/>
      <c r="Q75" s="8"/>
      <c r="R75" s="252"/>
      <c r="S75" s="80"/>
      <c r="T75" s="80"/>
      <c r="U75" s="127"/>
    </row>
    <row r="76" spans="2:21" ht="23.25" customHeight="1" thickBot="1" x14ac:dyDescent="0.3">
      <c r="B76" s="477"/>
      <c r="C76" s="488"/>
      <c r="D76" s="216"/>
      <c r="E76" s="373"/>
      <c r="F76" s="373"/>
      <c r="G76" s="77"/>
      <c r="H76" s="77"/>
      <c r="I76" s="78">
        <f>SUM(I69:I75)</f>
        <v>155</v>
      </c>
      <c r="J76" s="78">
        <f>I76-P76</f>
        <v>105</v>
      </c>
      <c r="K76" s="77"/>
      <c r="L76" s="373"/>
      <c r="M76" s="373"/>
      <c r="N76" s="226"/>
      <c r="O76" s="77"/>
      <c r="P76" s="78">
        <f>SUM(P69:P75)</f>
        <v>50</v>
      </c>
      <c r="Q76" s="77"/>
      <c r="R76" s="254"/>
      <c r="S76" s="80"/>
      <c r="T76" s="80"/>
      <c r="U76" s="127"/>
    </row>
    <row r="77" spans="2:21" ht="8.25" customHeight="1" thickBot="1" x14ac:dyDescent="0.3">
      <c r="B77" s="249"/>
      <c r="C77" s="374"/>
      <c r="D77" s="250"/>
      <c r="E77" s="378"/>
      <c r="F77" s="378"/>
      <c r="G77" s="137"/>
      <c r="H77" s="137"/>
      <c r="I77" s="251"/>
      <c r="J77" s="251"/>
      <c r="K77" s="137"/>
      <c r="L77" s="378"/>
      <c r="M77" s="378"/>
      <c r="N77" s="251"/>
      <c r="O77" s="137"/>
      <c r="P77" s="251"/>
      <c r="Q77" s="137"/>
      <c r="R77" s="137"/>
      <c r="S77" s="137"/>
      <c r="T77" s="137"/>
      <c r="U77" s="255"/>
    </row>
    <row r="78" spans="2:21" ht="23.25" customHeight="1" x14ac:dyDescent="0.25">
      <c r="B78" s="475"/>
      <c r="C78" s="486" t="s">
        <v>80</v>
      </c>
      <c r="D78" s="211"/>
      <c r="E78" s="335">
        <v>45301</v>
      </c>
      <c r="F78" s="336" t="s">
        <v>74</v>
      </c>
      <c r="G78" s="337">
        <v>522.35</v>
      </c>
      <c r="H78" s="337">
        <v>370.22</v>
      </c>
      <c r="I78" s="336">
        <v>100</v>
      </c>
      <c r="J78" s="337">
        <v>52235</v>
      </c>
      <c r="K78" s="337">
        <v>52605.22</v>
      </c>
      <c r="L78" s="335">
        <v>45315</v>
      </c>
      <c r="M78" s="336" t="s">
        <v>114</v>
      </c>
      <c r="N78" s="337">
        <v>578.9</v>
      </c>
      <c r="O78" s="337">
        <v>401.63</v>
      </c>
      <c r="P78" s="336">
        <v>100</v>
      </c>
      <c r="Q78" s="337">
        <v>57890</v>
      </c>
      <c r="R78" s="337">
        <v>57488.37</v>
      </c>
      <c r="S78" s="10"/>
      <c r="T78" s="10"/>
      <c r="U78" s="34"/>
    </row>
    <row r="79" spans="2:21" ht="23.25" customHeight="1" thickBot="1" x14ac:dyDescent="0.3">
      <c r="B79" s="476"/>
      <c r="C79" s="487"/>
      <c r="D79" s="216"/>
      <c r="E79" s="373"/>
      <c r="F79" s="373"/>
      <c r="G79" s="77"/>
      <c r="H79" s="77"/>
      <c r="I79" s="78">
        <f>SUM(I78)</f>
        <v>100</v>
      </c>
      <c r="J79" s="78">
        <f>I79-P79</f>
        <v>0</v>
      </c>
      <c r="K79" s="77"/>
      <c r="L79" s="373"/>
      <c r="M79" s="373"/>
      <c r="N79" s="226"/>
      <c r="O79" s="77"/>
      <c r="P79" s="78">
        <f>SUM(P78)</f>
        <v>100</v>
      </c>
      <c r="Q79" s="77"/>
      <c r="R79" s="77"/>
      <c r="S79" s="77"/>
      <c r="T79" s="77"/>
      <c r="U79" s="46"/>
    </row>
    <row r="80" spans="2:21" ht="9.75" customHeight="1" thickBot="1" x14ac:dyDescent="0.3">
      <c r="B80" s="483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5"/>
    </row>
    <row r="81" spans="2:21" ht="23.25" customHeight="1" x14ac:dyDescent="0.25">
      <c r="B81" s="475"/>
      <c r="C81" s="478" t="s">
        <v>58</v>
      </c>
      <c r="D81" s="211"/>
      <c r="E81" s="344">
        <v>44754</v>
      </c>
      <c r="F81" s="344"/>
      <c r="G81" s="10">
        <v>362.2</v>
      </c>
      <c r="H81" s="10">
        <v>2.2058</v>
      </c>
      <c r="I81" s="267">
        <v>25</v>
      </c>
      <c r="J81" s="267"/>
      <c r="K81" s="10">
        <f t="shared" ref="K81" si="15">SUM(G81:H81)*I81</f>
        <v>9110.1450000000004</v>
      </c>
      <c r="L81" s="335">
        <v>45019</v>
      </c>
      <c r="M81" s="336" t="s">
        <v>114</v>
      </c>
      <c r="N81" s="337">
        <v>405</v>
      </c>
      <c r="O81" s="337">
        <v>70.280000000000015</v>
      </c>
      <c r="P81" s="337">
        <v>25</v>
      </c>
      <c r="Q81" s="337">
        <v>10125</v>
      </c>
      <c r="R81" s="337">
        <v>10054.73</v>
      </c>
      <c r="S81" s="10"/>
      <c r="T81" s="10"/>
      <c r="U81" s="34"/>
    </row>
    <row r="82" spans="2:21" ht="23.25" customHeight="1" x14ac:dyDescent="0.25">
      <c r="B82" s="476"/>
      <c r="C82" s="479"/>
      <c r="D82" s="222"/>
      <c r="E82" s="346">
        <v>44754</v>
      </c>
      <c r="F82" s="346"/>
      <c r="G82" s="8">
        <v>362.2</v>
      </c>
      <c r="H82" s="8">
        <v>2.2058</v>
      </c>
      <c r="I82" s="299">
        <v>25</v>
      </c>
      <c r="J82" s="299"/>
      <c r="K82" s="8">
        <f t="shared" ref="K82" si="16">SUM(G82:H82)*I82</f>
        <v>9110.1450000000004</v>
      </c>
      <c r="L82" s="341">
        <v>45035</v>
      </c>
      <c r="M82" s="339" t="s">
        <v>114</v>
      </c>
      <c r="N82" s="340">
        <v>416</v>
      </c>
      <c r="O82" s="340">
        <v>72.150000000000006</v>
      </c>
      <c r="P82" s="340">
        <v>25</v>
      </c>
      <c r="Q82" s="340">
        <v>10400</v>
      </c>
      <c r="R82" s="340">
        <v>10327.85</v>
      </c>
      <c r="S82" s="8"/>
      <c r="T82" s="8"/>
      <c r="U82" s="36"/>
    </row>
    <row r="83" spans="2:21" ht="23.25" customHeight="1" x14ac:dyDescent="0.25">
      <c r="B83" s="476"/>
      <c r="C83" s="526"/>
      <c r="D83" s="222"/>
      <c r="E83" s="7"/>
      <c r="F83" s="7"/>
      <c r="G83" s="8"/>
      <c r="H83" s="8"/>
      <c r="I83" s="2">
        <f>SUM(I81:I82)</f>
        <v>50</v>
      </c>
      <c r="J83" s="299"/>
      <c r="K83" s="8"/>
      <c r="L83" s="7"/>
      <c r="M83" s="7"/>
      <c r="N83" s="299"/>
      <c r="O83" s="8"/>
      <c r="P83" s="2">
        <f>SUM(P81:P82)</f>
        <v>50</v>
      </c>
      <c r="Q83" s="8"/>
      <c r="R83" s="8"/>
      <c r="S83" s="8"/>
      <c r="T83" s="8"/>
      <c r="U83" s="36"/>
    </row>
    <row r="84" spans="2:21" ht="8.25" customHeight="1" thickBot="1" x14ac:dyDescent="0.3">
      <c r="B84" s="5"/>
      <c r="C84" s="163"/>
      <c r="D84" s="5"/>
      <c r="E84" s="4"/>
      <c r="F84" s="4"/>
      <c r="G84" s="6"/>
      <c r="H84" s="6"/>
      <c r="I84" s="5"/>
      <c r="J84" s="5"/>
      <c r="K84" s="6"/>
      <c r="L84" s="192"/>
      <c r="M84" s="192"/>
      <c r="N84" s="31"/>
      <c r="O84" s="6"/>
      <c r="P84" s="5"/>
      <c r="Q84" s="6"/>
      <c r="R84" s="6"/>
      <c r="S84" s="6"/>
      <c r="T84" s="6"/>
      <c r="U84" s="32"/>
    </row>
    <row r="85" spans="2:21" ht="23.25" customHeight="1" x14ac:dyDescent="0.25">
      <c r="B85" s="475" t="e">
        <f>1+B56</f>
        <v>#REF!</v>
      </c>
      <c r="C85" s="478" t="s">
        <v>14</v>
      </c>
      <c r="D85" s="211"/>
      <c r="E85" s="344">
        <v>43809</v>
      </c>
      <c r="F85" s="344"/>
      <c r="G85" s="10">
        <v>493.50600000000003</v>
      </c>
      <c r="H85" s="10">
        <v>0</v>
      </c>
      <c r="I85" s="267">
        <v>10</v>
      </c>
      <c r="J85" s="267"/>
      <c r="K85" s="10">
        <f>+G85*I85</f>
        <v>4935.0600000000004</v>
      </c>
      <c r="L85" s="335">
        <v>45216</v>
      </c>
      <c r="M85" s="336" t="s">
        <v>114</v>
      </c>
      <c r="N85" s="337">
        <v>354.95</v>
      </c>
      <c r="O85" s="337">
        <v>2.4630000000000107</v>
      </c>
      <c r="P85" s="337">
        <v>10</v>
      </c>
      <c r="Q85" s="337">
        <f>N85*P85</f>
        <v>3549.5</v>
      </c>
      <c r="R85" s="337">
        <f>(N85-O85)*P85</f>
        <v>3524.87</v>
      </c>
      <c r="S85" s="10"/>
      <c r="T85" s="10"/>
      <c r="U85" s="34" t="s">
        <v>55</v>
      </c>
    </row>
    <row r="86" spans="2:21" ht="23.25" customHeight="1" x14ac:dyDescent="0.25">
      <c r="B86" s="476"/>
      <c r="C86" s="479"/>
      <c r="D86" s="222"/>
      <c r="E86" s="346">
        <v>43831</v>
      </c>
      <c r="F86" s="346"/>
      <c r="G86" s="8">
        <v>495.00900000000001</v>
      </c>
      <c r="H86" s="8">
        <v>0</v>
      </c>
      <c r="I86" s="299">
        <v>10</v>
      </c>
      <c r="J86" s="299"/>
      <c r="K86" s="8">
        <f>+G86*I86</f>
        <v>4950.09</v>
      </c>
      <c r="L86" s="341">
        <v>45216</v>
      </c>
      <c r="M86" s="339" t="s">
        <v>114</v>
      </c>
      <c r="N86" s="340">
        <v>354.95</v>
      </c>
      <c r="O86" s="340">
        <v>2.4630000000000107</v>
      </c>
      <c r="P86" s="340">
        <v>10</v>
      </c>
      <c r="Q86" s="340">
        <f>N86*P86</f>
        <v>3549.5</v>
      </c>
      <c r="R86" s="340">
        <f>(N86-O86)*P86</f>
        <v>3524.87</v>
      </c>
      <c r="S86" s="8"/>
      <c r="T86" s="8"/>
      <c r="U86" s="36"/>
    </row>
    <row r="87" spans="2:21" ht="23.25" customHeight="1" thickBot="1" x14ac:dyDescent="0.3">
      <c r="B87" s="477"/>
      <c r="C87" s="480"/>
      <c r="D87" s="213"/>
      <c r="E87" s="39"/>
      <c r="F87" s="39"/>
      <c r="G87" s="40"/>
      <c r="H87" s="40"/>
      <c r="I87" s="2">
        <f>SUM(I85:I86)</f>
        <v>20</v>
      </c>
      <c r="J87" s="257"/>
      <c r="K87" s="40"/>
      <c r="L87" s="214"/>
      <c r="M87" s="214"/>
      <c r="N87" s="42"/>
      <c r="O87" s="40"/>
      <c r="P87" s="27">
        <f>SUM(P85:P86)</f>
        <v>20</v>
      </c>
      <c r="Q87" s="40"/>
      <c r="R87" s="40"/>
      <c r="S87" s="40"/>
      <c r="T87" s="40"/>
      <c r="U87" s="43"/>
    </row>
    <row r="88" spans="2:21" ht="11.25" customHeight="1" thickBot="1" x14ac:dyDescent="0.3">
      <c r="B88" s="5"/>
      <c r="C88" s="163"/>
      <c r="D88" s="5"/>
      <c r="E88" s="4"/>
      <c r="F88" s="4"/>
      <c r="G88" s="6"/>
      <c r="H88" s="6"/>
      <c r="I88" s="5"/>
      <c r="J88" s="5"/>
      <c r="K88" s="6"/>
      <c r="L88" s="192"/>
      <c r="M88" s="192"/>
      <c r="N88" s="31"/>
      <c r="O88" s="6"/>
      <c r="P88" s="5"/>
      <c r="Q88" s="6"/>
      <c r="R88" s="6"/>
      <c r="S88" s="6"/>
      <c r="T88" s="6"/>
      <c r="U88" s="32"/>
    </row>
    <row r="89" spans="2:21" ht="23.25" customHeight="1" x14ac:dyDescent="0.25">
      <c r="B89" s="475" t="e">
        <f>1+#REF!</f>
        <v>#REF!</v>
      </c>
      <c r="C89" s="478" t="s">
        <v>29</v>
      </c>
      <c r="D89" s="33"/>
      <c r="E89" s="344">
        <v>44504</v>
      </c>
      <c r="F89" s="344"/>
      <c r="G89" s="184">
        <v>3036.1</v>
      </c>
      <c r="H89" s="184">
        <v>0</v>
      </c>
      <c r="I89" s="223">
        <v>1</v>
      </c>
      <c r="J89" s="184">
        <v>3036.1</v>
      </c>
      <c r="K89" s="184">
        <f t="shared" ref="K89:K98" si="17">I89*G89</f>
        <v>3036.1</v>
      </c>
      <c r="L89" s="259"/>
      <c r="M89" s="259"/>
      <c r="N89" s="223"/>
      <c r="O89" s="184"/>
      <c r="P89" s="223"/>
      <c r="Q89" s="184"/>
      <c r="R89" s="184"/>
      <c r="S89" s="184"/>
      <c r="T89" s="184"/>
      <c r="U89" s="166" t="s">
        <v>28</v>
      </c>
    </row>
    <row r="90" spans="2:21" ht="23.25" customHeight="1" x14ac:dyDescent="0.25">
      <c r="B90" s="476"/>
      <c r="C90" s="479"/>
      <c r="D90" s="35"/>
      <c r="E90" s="346">
        <v>44650</v>
      </c>
      <c r="F90" s="346"/>
      <c r="G90" s="150">
        <v>2335.25</v>
      </c>
      <c r="H90" s="150">
        <v>0</v>
      </c>
      <c r="I90" s="149">
        <v>1</v>
      </c>
      <c r="J90" s="150">
        <v>2335.25</v>
      </c>
      <c r="K90" s="150">
        <f t="shared" si="17"/>
        <v>2335.25</v>
      </c>
      <c r="L90" s="258"/>
      <c r="M90" s="258"/>
      <c r="N90" s="149"/>
      <c r="O90" s="150"/>
      <c r="P90" s="149"/>
      <c r="Q90" s="150"/>
      <c r="R90" s="150"/>
      <c r="S90" s="150"/>
      <c r="T90" s="150"/>
      <c r="U90" s="172"/>
    </row>
    <row r="91" spans="2:21" ht="23.25" customHeight="1" x14ac:dyDescent="0.25">
      <c r="B91" s="476"/>
      <c r="C91" s="479"/>
      <c r="D91" s="35"/>
      <c r="E91" s="153">
        <v>45147</v>
      </c>
      <c r="F91" s="154" t="s">
        <v>130</v>
      </c>
      <c r="G91" s="154">
        <v>2415.8000000000002</v>
      </c>
      <c r="H91" s="154">
        <v>0</v>
      </c>
      <c r="I91" s="154">
        <v>1</v>
      </c>
      <c r="J91" s="154">
        <v>2415.8000000000002</v>
      </c>
      <c r="K91" s="150">
        <f t="shared" si="17"/>
        <v>2415.8000000000002</v>
      </c>
      <c r="L91" s="258"/>
      <c r="M91" s="258"/>
      <c r="N91" s="149"/>
      <c r="O91" s="150"/>
      <c r="P91" s="149"/>
      <c r="Q91" s="150"/>
      <c r="R91" s="150"/>
      <c r="S91" s="150"/>
      <c r="T91" s="150"/>
      <c r="U91" s="172"/>
    </row>
    <row r="92" spans="2:21" ht="23.25" customHeight="1" x14ac:dyDescent="0.25">
      <c r="B92" s="476"/>
      <c r="C92" s="479"/>
      <c r="D92" s="35"/>
      <c r="E92" s="153">
        <v>45152</v>
      </c>
      <c r="F92" s="154" t="s">
        <v>130</v>
      </c>
      <c r="G92" s="154">
        <v>2446.85</v>
      </c>
      <c r="H92" s="154">
        <v>0</v>
      </c>
      <c r="I92" s="154">
        <v>2</v>
      </c>
      <c r="J92" s="154">
        <v>4893.7</v>
      </c>
      <c r="K92" s="150">
        <f t="shared" si="17"/>
        <v>4893.7</v>
      </c>
      <c r="L92" s="258"/>
      <c r="M92" s="258"/>
      <c r="N92" s="149"/>
      <c r="O92" s="150"/>
      <c r="P92" s="149"/>
      <c r="Q92" s="150"/>
      <c r="R92" s="150"/>
      <c r="S92" s="150"/>
      <c r="T92" s="150"/>
      <c r="U92" s="172"/>
    </row>
    <row r="93" spans="2:21" ht="23.25" customHeight="1" x14ac:dyDescent="0.25">
      <c r="B93" s="476"/>
      <c r="C93" s="479"/>
      <c r="D93" s="35"/>
      <c r="E93" s="153">
        <v>45169</v>
      </c>
      <c r="F93" s="154" t="s">
        <v>130</v>
      </c>
      <c r="G93" s="154">
        <v>2380</v>
      </c>
      <c r="H93" s="154">
        <v>0</v>
      </c>
      <c r="I93" s="154">
        <v>2</v>
      </c>
      <c r="J93" s="154">
        <v>4760</v>
      </c>
      <c r="K93" s="150">
        <f t="shared" si="17"/>
        <v>4760</v>
      </c>
      <c r="L93" s="258"/>
      <c r="M93" s="258"/>
      <c r="N93" s="149"/>
      <c r="O93" s="150"/>
      <c r="P93" s="149"/>
      <c r="Q93" s="150"/>
      <c r="R93" s="150"/>
      <c r="S93" s="150"/>
      <c r="T93" s="150"/>
      <c r="U93" s="172"/>
    </row>
    <row r="94" spans="2:21" ht="23.25" customHeight="1" x14ac:dyDescent="0.25">
      <c r="B94" s="476"/>
      <c r="C94" s="479"/>
      <c r="D94" s="35"/>
      <c r="E94" s="153">
        <v>45222</v>
      </c>
      <c r="F94" s="154" t="s">
        <v>130</v>
      </c>
      <c r="G94" s="154">
        <v>2444.35</v>
      </c>
      <c r="H94" s="154">
        <v>0</v>
      </c>
      <c r="I94" s="154">
        <v>3</v>
      </c>
      <c r="J94" s="154">
        <v>7333.05</v>
      </c>
      <c r="K94" s="150">
        <f t="shared" si="17"/>
        <v>7333.0499999999993</v>
      </c>
      <c r="L94" s="258"/>
      <c r="M94" s="258"/>
      <c r="N94" s="149"/>
      <c r="O94" s="150"/>
      <c r="P94" s="149"/>
      <c r="Q94" s="150"/>
      <c r="R94" s="150"/>
      <c r="S94" s="150"/>
      <c r="T94" s="150"/>
      <c r="U94" s="172"/>
    </row>
    <row r="95" spans="2:21" ht="23.25" customHeight="1" x14ac:dyDescent="0.25">
      <c r="B95" s="476"/>
      <c r="C95" s="479"/>
      <c r="D95" s="35"/>
      <c r="E95" s="153">
        <v>45225</v>
      </c>
      <c r="F95" s="154" t="s">
        <v>130</v>
      </c>
      <c r="G95" s="154">
        <v>2350</v>
      </c>
      <c r="H95" s="154">
        <v>0</v>
      </c>
      <c r="I95" s="154">
        <v>1</v>
      </c>
      <c r="J95" s="154">
        <v>2350</v>
      </c>
      <c r="K95" s="150">
        <f t="shared" si="17"/>
        <v>2350</v>
      </c>
      <c r="L95" s="258"/>
      <c r="M95" s="258"/>
      <c r="N95" s="149"/>
      <c r="O95" s="150"/>
      <c r="P95" s="149"/>
      <c r="Q95" s="150"/>
      <c r="R95" s="150"/>
      <c r="S95" s="150"/>
      <c r="T95" s="150"/>
      <c r="U95" s="172"/>
    </row>
    <row r="96" spans="2:21" ht="23.25" customHeight="1" x14ac:dyDescent="0.25">
      <c r="B96" s="476"/>
      <c r="C96" s="479"/>
      <c r="D96" s="35"/>
      <c r="E96" s="153">
        <v>45239</v>
      </c>
      <c r="F96" s="154" t="s">
        <v>130</v>
      </c>
      <c r="G96" s="154">
        <v>2388</v>
      </c>
      <c r="H96" s="154">
        <v>0</v>
      </c>
      <c r="I96" s="154">
        <v>5</v>
      </c>
      <c r="J96" s="154">
        <v>11940</v>
      </c>
      <c r="K96" s="150">
        <f t="shared" si="17"/>
        <v>11940</v>
      </c>
      <c r="L96" s="258"/>
      <c r="M96" s="258"/>
      <c r="N96" s="149"/>
      <c r="O96" s="150"/>
      <c r="P96" s="149"/>
      <c r="Q96" s="150"/>
      <c r="R96" s="150"/>
      <c r="S96" s="150"/>
      <c r="T96" s="150"/>
      <c r="U96" s="172"/>
    </row>
    <row r="97" spans="2:21" ht="23.25" customHeight="1" x14ac:dyDescent="0.25">
      <c r="B97" s="476"/>
      <c r="C97" s="479"/>
      <c r="D97" s="35"/>
      <c r="E97" s="153">
        <v>45245</v>
      </c>
      <c r="F97" s="154" t="s">
        <v>130</v>
      </c>
      <c r="G97" s="157">
        <v>2792.6666666666665</v>
      </c>
      <c r="H97" s="154">
        <v>0</v>
      </c>
      <c r="I97" s="154">
        <v>3</v>
      </c>
      <c r="J97" s="154">
        <v>8378</v>
      </c>
      <c r="K97" s="150">
        <f t="shared" si="17"/>
        <v>8378</v>
      </c>
      <c r="L97" s="258"/>
      <c r="M97" s="258"/>
      <c r="N97" s="149"/>
      <c r="O97" s="150"/>
      <c r="P97" s="149"/>
      <c r="Q97" s="150"/>
      <c r="R97" s="150"/>
      <c r="S97" s="150"/>
      <c r="T97" s="150"/>
      <c r="U97" s="172"/>
    </row>
    <row r="98" spans="2:21" ht="23.25" customHeight="1" x14ac:dyDescent="0.25">
      <c r="B98" s="476"/>
      <c r="C98" s="479"/>
      <c r="D98" s="35"/>
      <c r="E98" s="153">
        <v>45258</v>
      </c>
      <c r="F98" s="154" t="s">
        <v>130</v>
      </c>
      <c r="G98" s="157">
        <v>2737.8</v>
      </c>
      <c r="H98" s="154">
        <v>0</v>
      </c>
      <c r="I98" s="154">
        <v>1</v>
      </c>
      <c r="J98" s="154">
        <v>2737.8</v>
      </c>
      <c r="K98" s="150">
        <f t="shared" si="17"/>
        <v>2737.8</v>
      </c>
      <c r="L98" s="258"/>
      <c r="M98" s="258"/>
      <c r="N98" s="149"/>
      <c r="O98" s="150"/>
      <c r="P98" s="149"/>
      <c r="Q98" s="150"/>
      <c r="R98" s="150"/>
      <c r="S98" s="150"/>
      <c r="T98" s="150"/>
      <c r="U98" s="172"/>
    </row>
    <row r="99" spans="2:21" ht="23.25" customHeight="1" thickBot="1" x14ac:dyDescent="0.3">
      <c r="B99" s="477"/>
      <c r="C99" s="480"/>
      <c r="D99" s="38"/>
      <c r="E99" s="39"/>
      <c r="F99" s="39"/>
      <c r="G99" s="40"/>
      <c r="H99" s="40"/>
      <c r="I99" s="27">
        <f>SUM(I89:I98)</f>
        <v>20</v>
      </c>
      <c r="J99" s="55"/>
      <c r="K99" s="40"/>
      <c r="L99" s="41"/>
      <c r="M99" s="41"/>
      <c r="N99" s="42"/>
      <c r="O99" s="40"/>
      <c r="P99" s="15"/>
      <c r="Q99" s="40"/>
      <c r="R99" s="40"/>
      <c r="S99" s="40"/>
      <c r="T99" s="40"/>
      <c r="U99" s="169"/>
    </row>
    <row r="100" spans="2:21" ht="9" customHeight="1" thickBot="1" x14ac:dyDescent="0.3">
      <c r="B100" s="5"/>
      <c r="C100" s="163"/>
      <c r="D100" s="29"/>
      <c r="E100" s="4"/>
      <c r="F100" s="4"/>
      <c r="G100" s="6"/>
      <c r="H100" s="6"/>
      <c r="I100" s="29"/>
      <c r="J100" s="29"/>
      <c r="K100" s="6"/>
      <c r="L100" s="30"/>
      <c r="M100" s="30"/>
      <c r="N100" s="31"/>
      <c r="O100" s="6"/>
      <c r="P100" s="29"/>
      <c r="Q100" s="6"/>
      <c r="R100" s="6"/>
      <c r="S100" s="6"/>
      <c r="T100" s="6"/>
      <c r="U100" s="32"/>
    </row>
    <row r="101" spans="2:21" ht="23.25" customHeight="1" x14ac:dyDescent="0.25">
      <c r="B101" s="475" t="e">
        <f>1+B89</f>
        <v>#REF!</v>
      </c>
      <c r="C101" s="478" t="s">
        <v>59</v>
      </c>
      <c r="D101" s="33"/>
      <c r="E101" s="335">
        <v>45274</v>
      </c>
      <c r="F101" s="336" t="s">
        <v>74</v>
      </c>
      <c r="G101" s="337">
        <v>450.65</v>
      </c>
      <c r="H101" s="337">
        <v>319.36</v>
      </c>
      <c r="I101" s="336">
        <v>100</v>
      </c>
      <c r="J101" s="337">
        <v>45065</v>
      </c>
      <c r="K101" s="337">
        <v>45384.36</v>
      </c>
      <c r="L101" s="335">
        <v>45311</v>
      </c>
      <c r="M101" s="336" t="s">
        <v>114</v>
      </c>
      <c r="N101" s="337">
        <v>472.45</v>
      </c>
      <c r="O101" s="337">
        <v>327.77</v>
      </c>
      <c r="P101" s="337">
        <v>100</v>
      </c>
      <c r="Q101" s="337">
        <v>47245</v>
      </c>
      <c r="R101" s="337">
        <v>46917.24</v>
      </c>
      <c r="S101" s="184"/>
      <c r="T101" s="184"/>
      <c r="U101" s="166" t="s">
        <v>55</v>
      </c>
    </row>
    <row r="102" spans="2:21" ht="23.25" customHeight="1" x14ac:dyDescent="0.25">
      <c r="B102" s="476"/>
      <c r="C102" s="479"/>
      <c r="D102" s="35"/>
      <c r="E102" s="341">
        <v>45282</v>
      </c>
      <c r="F102" s="339" t="s">
        <v>74</v>
      </c>
      <c r="G102" s="340">
        <v>430.2</v>
      </c>
      <c r="H102" s="340">
        <v>152.46</v>
      </c>
      <c r="I102" s="339">
        <v>50</v>
      </c>
      <c r="J102" s="340">
        <v>21510</v>
      </c>
      <c r="K102" s="340">
        <v>21662.46</v>
      </c>
      <c r="L102" s="341">
        <v>45321</v>
      </c>
      <c r="M102" s="339" t="s">
        <v>114</v>
      </c>
      <c r="N102" s="340">
        <v>484.35</v>
      </c>
      <c r="O102" s="340">
        <v>168.02</v>
      </c>
      <c r="P102" s="340">
        <v>50</v>
      </c>
      <c r="Q102" s="340">
        <v>24217.5</v>
      </c>
      <c r="R102" s="340">
        <v>24049.48</v>
      </c>
      <c r="S102" s="150"/>
      <c r="T102" s="150"/>
      <c r="U102" s="172"/>
    </row>
    <row r="103" spans="2:21" ht="23.25" customHeight="1" thickBot="1" x14ac:dyDescent="0.3">
      <c r="B103" s="476"/>
      <c r="C103" s="479"/>
      <c r="D103" s="44"/>
      <c r="E103" s="373"/>
      <c r="F103" s="373"/>
      <c r="G103" s="156"/>
      <c r="H103" s="156"/>
      <c r="I103" s="294">
        <f>SUM(I101:I102)</f>
        <v>150</v>
      </c>
      <c r="J103" s="155"/>
      <c r="K103" s="156"/>
      <c r="L103" s="373"/>
      <c r="M103" s="373"/>
      <c r="N103" s="155"/>
      <c r="O103" s="156"/>
      <c r="P103" s="294">
        <f>SUM(P101:P102)</f>
        <v>150</v>
      </c>
      <c r="Q103" s="156"/>
      <c r="R103" s="156"/>
      <c r="S103" s="156"/>
      <c r="T103" s="156"/>
      <c r="U103" s="280"/>
    </row>
    <row r="104" spans="2:21" ht="6" customHeight="1" thickBot="1" x14ac:dyDescent="0.3">
      <c r="B104" s="483"/>
      <c r="C104" s="484"/>
      <c r="D104" s="484"/>
      <c r="E104" s="484"/>
      <c r="F104" s="484"/>
      <c r="G104" s="484"/>
      <c r="H104" s="484"/>
      <c r="I104" s="484"/>
      <c r="J104" s="484"/>
      <c r="K104" s="484"/>
      <c r="L104" s="484"/>
      <c r="M104" s="484"/>
      <c r="N104" s="484"/>
      <c r="O104" s="484"/>
      <c r="P104" s="484"/>
      <c r="Q104" s="484"/>
      <c r="R104" s="484"/>
      <c r="S104" s="484"/>
      <c r="T104" s="484"/>
      <c r="U104" s="485"/>
    </row>
    <row r="105" spans="2:21" ht="23.25" customHeight="1" x14ac:dyDescent="0.25">
      <c r="B105" s="475"/>
      <c r="C105" s="486" t="s">
        <v>81</v>
      </c>
      <c r="D105" s="33"/>
      <c r="E105" s="335">
        <v>45267</v>
      </c>
      <c r="F105" s="336" t="s">
        <v>74</v>
      </c>
      <c r="G105" s="337">
        <v>118.2</v>
      </c>
      <c r="H105" s="337">
        <v>418.84000000000003</v>
      </c>
      <c r="I105" s="336">
        <v>500</v>
      </c>
      <c r="J105" s="337">
        <v>59100</v>
      </c>
      <c r="K105" s="337">
        <v>59518.84</v>
      </c>
      <c r="L105" s="335">
        <v>45278</v>
      </c>
      <c r="M105" s="336" t="s">
        <v>114</v>
      </c>
      <c r="N105" s="337">
        <v>124.85</v>
      </c>
      <c r="O105" s="337">
        <v>433.1</v>
      </c>
      <c r="P105" s="337">
        <v>500</v>
      </c>
      <c r="Q105" s="337">
        <v>62425</v>
      </c>
      <c r="R105" s="337">
        <v>61991.91</v>
      </c>
      <c r="S105" s="184"/>
      <c r="T105" s="184"/>
      <c r="U105" s="166" t="s">
        <v>55</v>
      </c>
    </row>
    <row r="106" spans="2:21" ht="23.25" customHeight="1" x14ac:dyDescent="0.25">
      <c r="B106" s="476"/>
      <c r="C106" s="487"/>
      <c r="D106" s="35"/>
      <c r="E106" s="341">
        <v>45323</v>
      </c>
      <c r="F106" s="339" t="s">
        <v>74</v>
      </c>
      <c r="G106" s="340">
        <v>141.85</v>
      </c>
      <c r="H106" s="340">
        <v>1.0049857142857099</v>
      </c>
      <c r="I106" s="339">
        <v>300</v>
      </c>
      <c r="J106" s="340">
        <v>42554.999999999993</v>
      </c>
      <c r="K106" s="340">
        <v>42856.76</v>
      </c>
      <c r="L106" s="346"/>
      <c r="M106" s="346"/>
      <c r="N106" s="149"/>
      <c r="O106" s="150"/>
      <c r="P106" s="149"/>
      <c r="Q106" s="150"/>
      <c r="R106" s="150"/>
      <c r="S106" s="150"/>
      <c r="T106" s="150"/>
      <c r="U106" s="172"/>
    </row>
    <row r="107" spans="2:21" ht="23.25" customHeight="1" x14ac:dyDescent="0.25">
      <c r="B107" s="476"/>
      <c r="C107" s="522"/>
      <c r="D107" s="35"/>
      <c r="E107" s="346"/>
      <c r="F107" s="346"/>
      <c r="G107" s="150"/>
      <c r="H107" s="150"/>
      <c r="I107" s="191">
        <f>SUM(I105:I106)</f>
        <v>800</v>
      </c>
      <c r="J107" s="191">
        <f>I107-P107</f>
        <v>300</v>
      </c>
      <c r="K107" s="150"/>
      <c r="L107" s="258"/>
      <c r="M107" s="258"/>
      <c r="N107" s="149"/>
      <c r="O107" s="150"/>
      <c r="P107" s="191">
        <f>SUM(P105:P106)</f>
        <v>500</v>
      </c>
      <c r="Q107" s="150"/>
      <c r="R107" s="150"/>
      <c r="S107" s="150"/>
      <c r="T107" s="150"/>
      <c r="U107" s="172"/>
    </row>
    <row r="108" spans="2:21" ht="8.25" customHeight="1" thickBot="1" x14ac:dyDescent="0.3">
      <c r="B108" s="5"/>
      <c r="C108" s="163"/>
      <c r="D108" s="29"/>
      <c r="E108" s="4"/>
      <c r="F108" s="4"/>
      <c r="G108" s="6"/>
      <c r="H108" s="6"/>
      <c r="I108" s="29"/>
      <c r="J108" s="29"/>
      <c r="K108" s="6"/>
      <c r="L108" s="30"/>
      <c r="M108" s="30"/>
      <c r="N108" s="31"/>
      <c r="O108" s="6"/>
      <c r="P108" s="29"/>
      <c r="Q108" s="6"/>
      <c r="R108" s="6"/>
      <c r="S108" s="6"/>
      <c r="T108" s="6"/>
      <c r="U108" s="32"/>
    </row>
    <row r="109" spans="2:21" ht="23.25" customHeight="1" x14ac:dyDescent="0.25">
      <c r="B109" s="475">
        <f>1+B105</f>
        <v>1</v>
      </c>
      <c r="C109" s="478" t="s">
        <v>30</v>
      </c>
      <c r="D109" s="33"/>
      <c r="E109" s="344">
        <v>44504</v>
      </c>
      <c r="F109" s="344"/>
      <c r="G109" s="184">
        <v>1468.15</v>
      </c>
      <c r="H109" s="184">
        <v>0</v>
      </c>
      <c r="I109" s="223">
        <v>1</v>
      </c>
      <c r="J109" s="223"/>
      <c r="K109" s="184">
        <f>I109*G109</f>
        <v>1468.15</v>
      </c>
      <c r="L109" s="223"/>
      <c r="M109" s="223"/>
      <c r="N109" s="223"/>
      <c r="O109" s="184"/>
      <c r="P109" s="223"/>
      <c r="Q109" s="184"/>
      <c r="R109" s="184"/>
      <c r="S109" s="184"/>
      <c r="T109" s="184"/>
      <c r="U109" s="166" t="s">
        <v>28</v>
      </c>
    </row>
    <row r="110" spans="2:21" ht="23.25" customHeight="1" x14ac:dyDescent="0.25">
      <c r="B110" s="476"/>
      <c r="C110" s="479"/>
      <c r="D110" s="35"/>
      <c r="E110" s="346">
        <v>44536</v>
      </c>
      <c r="F110" s="346"/>
      <c r="G110" s="150">
        <v>1500</v>
      </c>
      <c r="H110" s="150">
        <v>0</v>
      </c>
      <c r="I110" s="149">
        <v>1</v>
      </c>
      <c r="J110" s="149"/>
      <c r="K110" s="150">
        <f>I110*G110</f>
        <v>1500</v>
      </c>
      <c r="L110" s="258"/>
      <c r="M110" s="258"/>
      <c r="N110" s="149"/>
      <c r="O110" s="150"/>
      <c r="P110" s="149"/>
      <c r="Q110" s="150"/>
      <c r="R110" s="150"/>
      <c r="S110" s="150"/>
      <c r="T110" s="150"/>
      <c r="U110" s="172"/>
    </row>
    <row r="111" spans="2:21" ht="23.25" customHeight="1" x14ac:dyDescent="0.25">
      <c r="B111" s="476"/>
      <c r="C111" s="479"/>
      <c r="D111" s="35"/>
      <c r="E111" s="153">
        <v>45076</v>
      </c>
      <c r="F111" s="154" t="s">
        <v>130</v>
      </c>
      <c r="G111" s="154">
        <v>983</v>
      </c>
      <c r="H111" s="154">
        <v>0</v>
      </c>
      <c r="I111" s="154">
        <v>2</v>
      </c>
      <c r="J111" s="154">
        <v>1966</v>
      </c>
      <c r="K111" s="150">
        <f t="shared" ref="K111:K112" si="18">I111*G111</f>
        <v>1966</v>
      </c>
      <c r="L111" s="258"/>
      <c r="M111" s="258"/>
      <c r="N111" s="149"/>
      <c r="O111" s="150"/>
      <c r="P111" s="149"/>
      <c r="Q111" s="150"/>
      <c r="R111" s="150"/>
      <c r="S111" s="150"/>
      <c r="T111" s="150"/>
      <c r="U111" s="172"/>
    </row>
    <row r="112" spans="2:21" ht="23.25" customHeight="1" x14ac:dyDescent="0.25">
      <c r="B112" s="476"/>
      <c r="C112" s="479"/>
      <c r="D112" s="35"/>
      <c r="E112" s="153">
        <v>45160</v>
      </c>
      <c r="F112" s="154" t="s">
        <v>130</v>
      </c>
      <c r="G112" s="154">
        <v>1158.9000000000001</v>
      </c>
      <c r="H112" s="154">
        <v>0</v>
      </c>
      <c r="I112" s="154">
        <v>1</v>
      </c>
      <c r="J112" s="154">
        <v>1158.9000000000001</v>
      </c>
      <c r="K112" s="150">
        <f t="shared" si="18"/>
        <v>1158.9000000000001</v>
      </c>
      <c r="L112" s="256"/>
      <c r="M112" s="256"/>
      <c r="N112" s="171"/>
      <c r="O112" s="8"/>
      <c r="P112" s="299"/>
      <c r="Q112" s="8"/>
      <c r="R112" s="8"/>
      <c r="S112" s="8"/>
      <c r="T112" s="8"/>
      <c r="U112" s="172"/>
    </row>
    <row r="113" spans="2:21" ht="23.25" customHeight="1" thickBot="1" x14ac:dyDescent="0.3">
      <c r="B113" s="477"/>
      <c r="C113" s="480"/>
      <c r="D113" s="38"/>
      <c r="E113" s="39"/>
      <c r="F113" s="39"/>
      <c r="G113" s="40"/>
      <c r="H113" s="40"/>
      <c r="I113" s="27">
        <f>SUM(I109:I112)</f>
        <v>5</v>
      </c>
      <c r="J113" s="55"/>
      <c r="K113" s="40"/>
      <c r="L113" s="41"/>
      <c r="M113" s="41"/>
      <c r="N113" s="42"/>
      <c r="O113" s="40"/>
      <c r="P113" s="15"/>
      <c r="Q113" s="40"/>
      <c r="R113" s="40"/>
      <c r="S113" s="40"/>
      <c r="T113" s="40"/>
      <c r="U113" s="169"/>
    </row>
    <row r="114" spans="2:21" ht="12.75" customHeight="1" thickBot="1" x14ac:dyDescent="0.3">
      <c r="B114" s="5"/>
      <c r="C114" s="163"/>
      <c r="D114" s="29"/>
      <c r="E114" s="4"/>
      <c r="F114" s="4"/>
      <c r="G114" s="6"/>
      <c r="H114" s="6"/>
      <c r="I114" s="29"/>
      <c r="J114" s="29"/>
      <c r="K114" s="6"/>
      <c r="L114" s="30"/>
      <c r="M114" s="30"/>
      <c r="N114" s="31"/>
      <c r="O114" s="6"/>
      <c r="P114" s="29"/>
      <c r="Q114" s="6"/>
      <c r="R114" s="6"/>
      <c r="S114" s="6"/>
      <c r="T114" s="6"/>
      <c r="U114" s="32"/>
    </row>
    <row r="115" spans="2:21" ht="23.25" customHeight="1" x14ac:dyDescent="0.25">
      <c r="B115" s="475">
        <f>1+B109</f>
        <v>2</v>
      </c>
      <c r="C115" s="478" t="s">
        <v>31</v>
      </c>
      <c r="D115" s="33"/>
      <c r="E115" s="344">
        <v>44385</v>
      </c>
      <c r="F115" s="344"/>
      <c r="G115" s="219">
        <v>295.95</v>
      </c>
      <c r="H115" s="184">
        <v>0</v>
      </c>
      <c r="I115" s="223">
        <v>4</v>
      </c>
      <c r="J115" s="223"/>
      <c r="K115" s="219">
        <f>I115*G115</f>
        <v>1183.8</v>
      </c>
      <c r="L115" s="344">
        <v>45328</v>
      </c>
      <c r="M115" s="223" t="s">
        <v>114</v>
      </c>
      <c r="N115" s="223">
        <v>450</v>
      </c>
      <c r="O115" s="184">
        <f>1.05/2</f>
        <v>0.52500000000000002</v>
      </c>
      <c r="P115" s="223">
        <v>2</v>
      </c>
      <c r="Q115" s="184">
        <f>N115*P115</f>
        <v>900</v>
      </c>
      <c r="R115" s="184">
        <f>Q115-O115*P115</f>
        <v>898.95</v>
      </c>
      <c r="S115" s="184"/>
      <c r="T115" s="184"/>
      <c r="U115" s="166" t="s">
        <v>28</v>
      </c>
    </row>
    <row r="116" spans="2:21" ht="23.25" customHeight="1" x14ac:dyDescent="0.25">
      <c r="B116" s="476"/>
      <c r="C116" s="479"/>
      <c r="D116" s="35"/>
      <c r="E116" s="346">
        <v>44440</v>
      </c>
      <c r="F116" s="346"/>
      <c r="G116" s="154">
        <v>324.64999999999998</v>
      </c>
      <c r="H116" s="150">
        <v>0</v>
      </c>
      <c r="I116" s="149">
        <v>2</v>
      </c>
      <c r="J116" s="149"/>
      <c r="K116" s="154">
        <f>I116*G116</f>
        <v>649.29999999999995</v>
      </c>
      <c r="L116" s="258"/>
      <c r="M116" s="258"/>
      <c r="N116" s="149"/>
      <c r="O116" s="150"/>
      <c r="P116" s="149"/>
      <c r="Q116" s="150"/>
      <c r="R116" s="150"/>
      <c r="S116" s="150"/>
      <c r="T116" s="150"/>
      <c r="U116" s="172"/>
    </row>
    <row r="117" spans="2:21" ht="23.25" customHeight="1" x14ac:dyDescent="0.25">
      <c r="B117" s="476"/>
      <c r="C117" s="479"/>
      <c r="D117" s="35"/>
      <c r="E117" s="153">
        <v>45076</v>
      </c>
      <c r="F117" s="154" t="s">
        <v>130</v>
      </c>
      <c r="G117" s="154">
        <v>279.85000000000002</v>
      </c>
      <c r="H117" s="154">
        <v>0</v>
      </c>
      <c r="I117" s="154">
        <v>4</v>
      </c>
      <c r="J117" s="154">
        <v>1119.4000000000001</v>
      </c>
      <c r="K117" s="154">
        <v>1119.4000000000001</v>
      </c>
      <c r="L117" s="258"/>
      <c r="M117" s="258"/>
      <c r="N117" s="149"/>
      <c r="O117" s="150"/>
      <c r="P117" s="149"/>
      <c r="Q117" s="150"/>
      <c r="R117" s="150"/>
      <c r="S117" s="150"/>
      <c r="T117" s="150"/>
      <c r="U117" s="172"/>
    </row>
    <row r="118" spans="2:21" ht="23.25" customHeight="1" thickBot="1" x14ac:dyDescent="0.3">
      <c r="B118" s="477"/>
      <c r="C118" s="480"/>
      <c r="D118" s="38"/>
      <c r="E118" s="39"/>
      <c r="F118" s="39"/>
      <c r="G118" s="40"/>
      <c r="H118" s="40"/>
      <c r="I118" s="27">
        <f>SUM(I115:I117)</f>
        <v>10</v>
      </c>
      <c r="J118" s="27">
        <f>I118-P118</f>
        <v>8</v>
      </c>
      <c r="K118" s="40"/>
      <c r="L118" s="41"/>
      <c r="M118" s="41"/>
      <c r="N118" s="42"/>
      <c r="O118" s="40"/>
      <c r="P118" s="27">
        <f>SUM(P115:P117)</f>
        <v>2</v>
      </c>
      <c r="Q118" s="40"/>
      <c r="R118" s="40"/>
      <c r="S118" s="40"/>
      <c r="T118" s="40"/>
      <c r="U118" s="169"/>
    </row>
    <row r="119" spans="2:21" ht="13.5" customHeight="1" thickBot="1" x14ac:dyDescent="0.3">
      <c r="B119" s="162"/>
      <c r="C119" s="163"/>
      <c r="D119" s="164"/>
      <c r="E119" s="4"/>
      <c r="F119" s="4"/>
      <c r="G119" s="6"/>
      <c r="H119" s="6"/>
      <c r="I119" s="5"/>
      <c r="J119" s="5"/>
      <c r="K119" s="6"/>
      <c r="L119" s="30"/>
      <c r="M119" s="30"/>
      <c r="N119" s="31"/>
      <c r="O119" s="6"/>
      <c r="P119" s="29"/>
      <c r="Q119" s="6"/>
      <c r="R119" s="6"/>
      <c r="S119" s="6"/>
      <c r="T119" s="6"/>
      <c r="U119" s="165"/>
    </row>
    <row r="120" spans="2:21" ht="23.25" customHeight="1" x14ac:dyDescent="0.25">
      <c r="B120" s="498"/>
      <c r="C120" s="486" t="s">
        <v>82</v>
      </c>
      <c r="D120" s="366"/>
      <c r="E120" s="335">
        <v>45281</v>
      </c>
      <c r="F120" s="336" t="s">
        <v>74</v>
      </c>
      <c r="G120" s="337">
        <v>148.55000000000001</v>
      </c>
      <c r="H120" s="337">
        <v>1.0529999999999999</v>
      </c>
      <c r="I120" s="336">
        <v>100</v>
      </c>
      <c r="J120" s="223">
        <v>14749.7</v>
      </c>
      <c r="K120" s="337">
        <v>14855</v>
      </c>
      <c r="L120" s="337">
        <v>14960.3</v>
      </c>
      <c r="M120" s="335">
        <v>45306</v>
      </c>
      <c r="N120" s="336" t="s">
        <v>114</v>
      </c>
      <c r="O120" s="337">
        <v>152.94999999999999</v>
      </c>
      <c r="P120" s="337">
        <v>1.0611999999999897</v>
      </c>
      <c r="Q120" s="337">
        <v>100</v>
      </c>
      <c r="R120" s="337">
        <f>O120*Q120</f>
        <v>15294.999999999998</v>
      </c>
      <c r="S120" s="337">
        <f>(O120-P120)*Q120</f>
        <v>15188.880000000001</v>
      </c>
      <c r="T120" s="10"/>
      <c r="U120" s="260"/>
    </row>
    <row r="121" spans="2:21" ht="23.25" customHeight="1" x14ac:dyDescent="0.25">
      <c r="B121" s="499"/>
      <c r="C121" s="487"/>
      <c r="D121" s="367"/>
      <c r="E121" s="341">
        <v>45282</v>
      </c>
      <c r="F121" s="339" t="s">
        <v>74</v>
      </c>
      <c r="G121" s="340">
        <v>150.1</v>
      </c>
      <c r="H121" s="340">
        <v>1.0637999999999999</v>
      </c>
      <c r="I121" s="339">
        <v>100</v>
      </c>
      <c r="J121" s="149">
        <v>14903.62</v>
      </c>
      <c r="K121" s="340">
        <v>15010</v>
      </c>
      <c r="L121" s="340">
        <v>15116.38</v>
      </c>
      <c r="M121" s="341">
        <v>45306</v>
      </c>
      <c r="N121" s="339" t="s">
        <v>114</v>
      </c>
      <c r="O121" s="340">
        <v>152.94999999999999</v>
      </c>
      <c r="P121" s="340">
        <v>1.0611999999999897</v>
      </c>
      <c r="Q121" s="340">
        <v>100</v>
      </c>
      <c r="R121" s="340">
        <f>O121*Q121</f>
        <v>15294.999999999998</v>
      </c>
      <c r="S121" s="340">
        <f>(O121-P121)*Q121</f>
        <v>15188.880000000001</v>
      </c>
      <c r="T121" s="8"/>
      <c r="U121" s="252"/>
    </row>
    <row r="122" spans="2:21" ht="23.25" customHeight="1" thickBot="1" x14ac:dyDescent="0.3">
      <c r="B122" s="500"/>
      <c r="C122" s="488"/>
      <c r="D122" s="170"/>
      <c r="E122" s="38"/>
      <c r="F122" s="350"/>
      <c r="G122" s="351"/>
      <c r="H122" s="352"/>
      <c r="I122" s="352"/>
      <c r="J122" s="300">
        <f>SUM(I120:I121)</f>
        <v>200</v>
      </c>
      <c r="K122" s="354">
        <f>J122-Q122</f>
        <v>0</v>
      </c>
      <c r="L122" s="352"/>
      <c r="M122" s="350"/>
      <c r="N122" s="351"/>
      <c r="O122" s="352"/>
      <c r="P122" s="352"/>
      <c r="Q122" s="354">
        <f>SUM(Q120:Q121)</f>
        <v>200</v>
      </c>
      <c r="R122" s="352"/>
      <c r="S122" s="352"/>
      <c r="T122" s="40"/>
      <c r="U122" s="253"/>
    </row>
    <row r="123" spans="2:21" ht="7.5" customHeight="1" thickBot="1" x14ac:dyDescent="0.3">
      <c r="B123" s="167"/>
      <c r="C123" s="173"/>
      <c r="D123" s="168"/>
      <c r="E123" s="362"/>
      <c r="F123" s="363"/>
      <c r="G123" s="364"/>
      <c r="H123" s="364"/>
      <c r="I123" s="363"/>
      <c r="J123" s="364"/>
      <c r="K123" s="364"/>
      <c r="L123" s="362"/>
      <c r="M123" s="363"/>
      <c r="N123" s="364"/>
      <c r="O123" s="364"/>
      <c r="P123" s="364"/>
      <c r="Q123" s="364"/>
      <c r="R123" s="381"/>
      <c r="S123" s="128"/>
      <c r="T123" s="128"/>
      <c r="U123" s="176"/>
    </row>
    <row r="124" spans="2:21" ht="23.25" customHeight="1" x14ac:dyDescent="0.25">
      <c r="B124" s="475"/>
      <c r="C124" s="527" t="s">
        <v>120</v>
      </c>
      <c r="D124" s="335"/>
      <c r="E124" s="335">
        <v>45358</v>
      </c>
      <c r="F124" s="336" t="s">
        <v>74</v>
      </c>
      <c r="G124" s="337">
        <v>1385.2</v>
      </c>
      <c r="H124" s="337">
        <v>9.8180000000000014</v>
      </c>
      <c r="I124" s="336">
        <v>25</v>
      </c>
      <c r="J124" s="337">
        <v>34630</v>
      </c>
      <c r="K124" s="337">
        <v>34875.449999999997</v>
      </c>
      <c r="L124" s="335"/>
      <c r="M124" s="336"/>
      <c r="N124" s="337"/>
      <c r="O124" s="337"/>
      <c r="P124" s="337"/>
      <c r="Q124" s="337"/>
      <c r="R124" s="337"/>
      <c r="S124" s="10"/>
      <c r="T124" s="10"/>
      <c r="U124" s="166"/>
    </row>
    <row r="125" spans="2:21" ht="23.25" customHeight="1" thickBot="1" x14ac:dyDescent="0.3">
      <c r="B125" s="477"/>
      <c r="C125" s="528"/>
      <c r="D125" s="38"/>
      <c r="E125" s="350"/>
      <c r="F125" s="351"/>
      <c r="G125" s="352"/>
      <c r="H125" s="352"/>
      <c r="I125" s="300">
        <f>SUM(I124)</f>
        <v>25</v>
      </c>
      <c r="J125" s="352"/>
      <c r="K125" s="352"/>
      <c r="L125" s="41"/>
      <c r="M125" s="41"/>
      <c r="N125" s="42"/>
      <c r="O125" s="40"/>
      <c r="P125" s="15"/>
      <c r="Q125" s="40"/>
      <c r="R125" s="352"/>
      <c r="S125" s="40"/>
      <c r="T125" s="40"/>
      <c r="U125" s="169"/>
    </row>
    <row r="126" spans="2:21" ht="12" customHeight="1" thickBot="1" x14ac:dyDescent="0.3">
      <c r="B126" s="167"/>
      <c r="C126" s="173"/>
      <c r="D126" s="168"/>
      <c r="E126" s="362"/>
      <c r="F126" s="363"/>
      <c r="G126" s="364"/>
      <c r="H126" s="364"/>
      <c r="I126" s="363"/>
      <c r="J126" s="364"/>
      <c r="K126" s="364"/>
      <c r="L126" s="174"/>
      <c r="M126" s="174"/>
      <c r="N126" s="175"/>
      <c r="O126" s="128"/>
      <c r="P126" s="22"/>
      <c r="Q126" s="128"/>
      <c r="R126" s="381"/>
      <c r="S126" s="128"/>
      <c r="T126" s="128"/>
      <c r="U126" s="176"/>
    </row>
    <row r="127" spans="2:21" ht="23.25" customHeight="1" x14ac:dyDescent="0.25">
      <c r="B127" s="475"/>
      <c r="C127" s="486" t="s">
        <v>83</v>
      </c>
      <c r="D127" s="33"/>
      <c r="E127" s="335">
        <v>45266</v>
      </c>
      <c r="F127" s="336" t="s">
        <v>74</v>
      </c>
      <c r="G127" s="337">
        <v>2046</v>
      </c>
      <c r="H127" s="337">
        <v>14.500799999999872</v>
      </c>
      <c r="I127" s="336">
        <v>25</v>
      </c>
      <c r="J127" s="337">
        <f>G127*I127</f>
        <v>51150</v>
      </c>
      <c r="K127" s="337">
        <f>(G127+H127)*I127</f>
        <v>51512.52</v>
      </c>
      <c r="L127" s="335">
        <v>45279</v>
      </c>
      <c r="M127" s="336" t="s">
        <v>114</v>
      </c>
      <c r="N127" s="337">
        <v>2252</v>
      </c>
      <c r="O127" s="337">
        <v>15.625199999999895</v>
      </c>
      <c r="P127" s="337">
        <v>25</v>
      </c>
      <c r="Q127" s="337">
        <v>56300</v>
      </c>
      <c r="R127" s="337">
        <f t="shared" ref="R127:R132" si="19">(N127-O127)*P127</f>
        <v>55909.37</v>
      </c>
      <c r="S127" s="10"/>
      <c r="T127" s="10"/>
      <c r="U127" s="166"/>
    </row>
    <row r="128" spans="2:21" ht="23.25" customHeight="1" x14ac:dyDescent="0.25">
      <c r="B128" s="476"/>
      <c r="C128" s="487"/>
      <c r="D128" s="35"/>
      <c r="E128" s="341">
        <v>45266</v>
      </c>
      <c r="F128" s="339" t="s">
        <v>74</v>
      </c>
      <c r="G128" s="340">
        <v>2046</v>
      </c>
      <c r="H128" s="340">
        <v>14.500799999999872</v>
      </c>
      <c r="I128" s="339">
        <v>25</v>
      </c>
      <c r="J128" s="340">
        <f>G128*I128</f>
        <v>51150</v>
      </c>
      <c r="K128" s="340">
        <f>(G128+H128)*I128</f>
        <v>51512.52</v>
      </c>
      <c r="L128" s="341">
        <v>45300</v>
      </c>
      <c r="M128" s="339" t="s">
        <v>114</v>
      </c>
      <c r="N128" s="340">
        <v>2267</v>
      </c>
      <c r="O128" s="340">
        <v>15.728399999999965</v>
      </c>
      <c r="P128" s="340">
        <v>25</v>
      </c>
      <c r="Q128" s="340">
        <v>56675</v>
      </c>
      <c r="R128" s="340">
        <f t="shared" si="19"/>
        <v>56281.79</v>
      </c>
      <c r="S128" s="8"/>
      <c r="T128" s="8"/>
      <c r="U128" s="172"/>
    </row>
    <row r="129" spans="2:21" ht="23.25" customHeight="1" x14ac:dyDescent="0.25">
      <c r="B129" s="476"/>
      <c r="C129" s="487"/>
      <c r="D129" s="35"/>
      <c r="E129" s="341">
        <v>45274</v>
      </c>
      <c r="F129" s="339" t="s">
        <v>74</v>
      </c>
      <c r="G129" s="340">
        <v>2028</v>
      </c>
      <c r="H129" s="340">
        <v>14.372000000000117</v>
      </c>
      <c r="I129" s="339">
        <v>25</v>
      </c>
      <c r="J129" s="340">
        <v>50700</v>
      </c>
      <c r="K129" s="340">
        <f t="shared" ref="K129" si="20">(G129+H129)*I129</f>
        <v>51059.3</v>
      </c>
      <c r="L129" s="341"/>
      <c r="M129" s="339"/>
      <c r="N129" s="340"/>
      <c r="O129" s="340"/>
      <c r="P129" s="340"/>
      <c r="Q129" s="340"/>
      <c r="R129" s="340"/>
      <c r="S129" s="8"/>
      <c r="T129" s="8"/>
      <c r="U129" s="172"/>
    </row>
    <row r="130" spans="2:21" ht="23.25" customHeight="1" thickBot="1" x14ac:dyDescent="0.3">
      <c r="B130" s="477"/>
      <c r="C130" s="488"/>
      <c r="D130" s="38"/>
      <c r="E130" s="350"/>
      <c r="F130" s="351"/>
      <c r="G130" s="352"/>
      <c r="H130" s="352"/>
      <c r="I130" s="300">
        <f>SUM(I127:I129)</f>
        <v>75</v>
      </c>
      <c r="J130" s="354">
        <f>I130-P130</f>
        <v>25</v>
      </c>
      <c r="K130" s="352"/>
      <c r="L130" s="41"/>
      <c r="M130" s="41"/>
      <c r="N130" s="42"/>
      <c r="O130" s="40"/>
      <c r="P130" s="27">
        <f>SUM(P127:P129)</f>
        <v>50</v>
      </c>
      <c r="Q130" s="40"/>
      <c r="R130" s="352"/>
      <c r="S130" s="40"/>
      <c r="T130" s="40"/>
      <c r="U130" s="169"/>
    </row>
    <row r="131" spans="2:21" ht="10.5" customHeight="1" thickBot="1" x14ac:dyDescent="0.3">
      <c r="B131" s="167"/>
      <c r="C131" s="173"/>
      <c r="D131" s="168"/>
      <c r="E131" s="362"/>
      <c r="F131" s="363"/>
      <c r="G131" s="364"/>
      <c r="H131" s="364"/>
      <c r="I131" s="363"/>
      <c r="J131" s="364"/>
      <c r="K131" s="364"/>
      <c r="L131" s="174"/>
      <c r="M131" s="174"/>
      <c r="N131" s="175"/>
      <c r="O131" s="128"/>
      <c r="P131" s="22"/>
      <c r="Q131" s="128"/>
      <c r="R131" s="381"/>
      <c r="S131" s="128"/>
      <c r="T131" s="128"/>
      <c r="U131" s="176"/>
    </row>
    <row r="132" spans="2:21" ht="23.25" customHeight="1" x14ac:dyDescent="0.25">
      <c r="B132" s="475"/>
      <c r="C132" s="486" t="s">
        <v>84</v>
      </c>
      <c r="D132" s="33"/>
      <c r="E132" s="382">
        <v>45190</v>
      </c>
      <c r="F132" s="336" t="s">
        <v>74</v>
      </c>
      <c r="G132" s="336">
        <v>2070.1</v>
      </c>
      <c r="H132" s="336">
        <v>73.349999999999994</v>
      </c>
      <c r="I132" s="336">
        <v>5</v>
      </c>
      <c r="J132" s="336">
        <v>10350.5</v>
      </c>
      <c r="K132" s="336">
        <v>10423.85</v>
      </c>
      <c r="L132" s="335">
        <v>45345</v>
      </c>
      <c r="M132" s="336" t="s">
        <v>114</v>
      </c>
      <c r="N132" s="337">
        <v>2399.4</v>
      </c>
      <c r="O132" s="337">
        <v>16.646000000000004</v>
      </c>
      <c r="P132" s="337">
        <v>5</v>
      </c>
      <c r="Q132" s="337">
        <v>23994</v>
      </c>
      <c r="R132" s="337">
        <f t="shared" si="19"/>
        <v>11913.77</v>
      </c>
      <c r="S132" s="10"/>
      <c r="T132" s="10"/>
      <c r="U132" s="166"/>
    </row>
    <row r="133" spans="2:21" ht="23.25" customHeight="1" x14ac:dyDescent="0.25">
      <c r="B133" s="476"/>
      <c r="C133" s="487"/>
      <c r="D133" s="35"/>
      <c r="E133" s="348">
        <v>45191</v>
      </c>
      <c r="F133" s="339" t="s">
        <v>74</v>
      </c>
      <c r="G133" s="339">
        <v>2061.1999999999998</v>
      </c>
      <c r="H133" s="339">
        <v>73.050000000000011</v>
      </c>
      <c r="I133" s="339">
        <v>5</v>
      </c>
      <c r="J133" s="339">
        <v>10306</v>
      </c>
      <c r="K133" s="339">
        <v>10379.049999999999</v>
      </c>
      <c r="L133" s="341">
        <v>45345</v>
      </c>
      <c r="M133" s="339" t="s">
        <v>114</v>
      </c>
      <c r="N133" s="340">
        <v>2399.4</v>
      </c>
      <c r="O133" s="340">
        <v>16.646000000000004</v>
      </c>
      <c r="P133" s="340">
        <v>5</v>
      </c>
      <c r="Q133" s="340">
        <v>23994</v>
      </c>
      <c r="R133" s="340">
        <f t="shared" ref="R133" si="21">(N133-O133)*P133</f>
        <v>11913.77</v>
      </c>
      <c r="S133" s="8"/>
      <c r="T133" s="8"/>
      <c r="U133" s="172"/>
    </row>
    <row r="134" spans="2:21" ht="23.25" customHeight="1" x14ac:dyDescent="0.25">
      <c r="B134" s="476"/>
      <c r="C134" s="487"/>
      <c r="D134" s="35"/>
      <c r="E134" s="348">
        <v>45211</v>
      </c>
      <c r="F134" s="339" t="s">
        <v>74</v>
      </c>
      <c r="G134" s="339">
        <v>2060.8000000000002</v>
      </c>
      <c r="H134" s="339">
        <v>73.030000000000015</v>
      </c>
      <c r="I134" s="339">
        <v>5</v>
      </c>
      <c r="J134" s="339">
        <v>10304</v>
      </c>
      <c r="K134" s="339">
        <v>10377.030000000001</v>
      </c>
      <c r="L134" s="341">
        <v>45348</v>
      </c>
      <c r="M134" s="339" t="s">
        <v>114</v>
      </c>
      <c r="N134" s="340">
        <v>2599.9</v>
      </c>
      <c r="O134" s="340">
        <v>18.038</v>
      </c>
      <c r="P134" s="340">
        <v>5</v>
      </c>
      <c r="Q134" s="340">
        <v>25999</v>
      </c>
      <c r="R134" s="340">
        <f t="shared" ref="R134" si="22">(N134-O134)*P134</f>
        <v>12909.310000000001</v>
      </c>
      <c r="S134" s="8"/>
      <c r="T134" s="8"/>
      <c r="U134" s="172"/>
    </row>
    <row r="135" spans="2:21" ht="23.25" customHeight="1" x14ac:dyDescent="0.25">
      <c r="B135" s="476"/>
      <c r="C135" s="487"/>
      <c r="D135" s="35"/>
      <c r="E135" s="348">
        <v>45218</v>
      </c>
      <c r="F135" s="339" t="s">
        <v>74</v>
      </c>
      <c r="G135" s="339">
        <v>2051.8000000000002</v>
      </c>
      <c r="H135" s="339">
        <v>72.720000000000013</v>
      </c>
      <c r="I135" s="339">
        <v>5</v>
      </c>
      <c r="J135" s="339">
        <v>10259</v>
      </c>
      <c r="K135" s="339">
        <v>10331.719999999999</v>
      </c>
      <c r="L135" s="341">
        <v>45348</v>
      </c>
      <c r="M135" s="339" t="s">
        <v>114</v>
      </c>
      <c r="N135" s="340">
        <v>2599.9</v>
      </c>
      <c r="O135" s="340">
        <v>18.038</v>
      </c>
      <c r="P135" s="340">
        <v>5</v>
      </c>
      <c r="Q135" s="340">
        <v>25999</v>
      </c>
      <c r="R135" s="340">
        <f t="shared" ref="R135" si="23">(N135-O135)*P135</f>
        <v>12909.310000000001</v>
      </c>
      <c r="S135" s="8"/>
      <c r="T135" s="8"/>
      <c r="U135" s="172"/>
    </row>
    <row r="136" spans="2:21" ht="23.25" customHeight="1" x14ac:dyDescent="0.25">
      <c r="B136" s="476"/>
      <c r="C136" s="487"/>
      <c r="D136" s="35"/>
      <c r="E136" s="348">
        <v>45224</v>
      </c>
      <c r="F136" s="339" t="s">
        <v>74</v>
      </c>
      <c r="G136" s="339">
        <v>1901</v>
      </c>
      <c r="H136" s="339">
        <v>67.39</v>
      </c>
      <c r="I136" s="339">
        <v>5</v>
      </c>
      <c r="J136" s="339">
        <v>9505</v>
      </c>
      <c r="K136" s="339">
        <v>9572.39</v>
      </c>
      <c r="L136" s="74"/>
      <c r="M136" s="74"/>
      <c r="N136" s="171"/>
      <c r="O136" s="8"/>
      <c r="P136" s="17"/>
      <c r="Q136" s="8"/>
      <c r="R136" s="8"/>
      <c r="S136" s="8"/>
      <c r="T136" s="8"/>
      <c r="U136" s="172"/>
    </row>
    <row r="137" spans="2:21" ht="23.25" customHeight="1" x14ac:dyDescent="0.25">
      <c r="B137" s="476"/>
      <c r="C137" s="487"/>
      <c r="D137" s="35"/>
      <c r="E137" s="348">
        <v>45229</v>
      </c>
      <c r="F137" s="339" t="s">
        <v>74</v>
      </c>
      <c r="G137" s="339">
        <v>1882.1</v>
      </c>
      <c r="H137" s="339">
        <v>66.679999999999993</v>
      </c>
      <c r="I137" s="339">
        <v>5</v>
      </c>
      <c r="J137" s="339">
        <v>9410.5</v>
      </c>
      <c r="K137" s="339">
        <v>9477.18</v>
      </c>
      <c r="L137" s="74"/>
      <c r="M137" s="74"/>
      <c r="N137" s="171"/>
      <c r="O137" s="8"/>
      <c r="P137" s="17"/>
      <c r="Q137" s="8"/>
      <c r="R137" s="8"/>
      <c r="S137" s="8"/>
      <c r="T137" s="8"/>
      <c r="U137" s="172"/>
    </row>
    <row r="138" spans="2:21" ht="23.25" customHeight="1" thickBot="1" x14ac:dyDescent="0.3">
      <c r="B138" s="477"/>
      <c r="C138" s="488"/>
      <c r="D138" s="38"/>
      <c r="E138" s="383"/>
      <c r="F138" s="351"/>
      <c r="G138" s="351"/>
      <c r="H138" s="351"/>
      <c r="I138" s="300">
        <f>SUM(I132:I137)</f>
        <v>30</v>
      </c>
      <c r="J138" s="300">
        <f>I138-P138</f>
        <v>10</v>
      </c>
      <c r="K138" s="351"/>
      <c r="L138" s="41"/>
      <c r="M138" s="41"/>
      <c r="N138" s="42"/>
      <c r="O138" s="40"/>
      <c r="P138" s="27">
        <f>SUM(P132:P137)</f>
        <v>20</v>
      </c>
      <c r="Q138" s="40"/>
      <c r="R138" s="40"/>
      <c r="S138" s="40"/>
      <c r="T138" s="40"/>
      <c r="U138" s="169"/>
    </row>
    <row r="139" spans="2:21" ht="6.75" customHeight="1" thickBot="1" x14ac:dyDescent="0.3">
      <c r="B139" s="167"/>
      <c r="C139" s="173"/>
      <c r="D139" s="168"/>
      <c r="E139" s="362"/>
      <c r="F139" s="363"/>
      <c r="G139" s="364"/>
      <c r="H139" s="364"/>
      <c r="I139" s="363"/>
      <c r="J139" s="364"/>
      <c r="K139" s="364"/>
      <c r="L139" s="174"/>
      <c r="M139" s="174"/>
      <c r="N139" s="175"/>
      <c r="O139" s="128"/>
      <c r="P139" s="22"/>
      <c r="Q139" s="128"/>
      <c r="R139" s="128"/>
      <c r="S139" s="128"/>
      <c r="T139" s="128"/>
      <c r="U139" s="176"/>
    </row>
    <row r="140" spans="2:21" ht="23.25" customHeight="1" x14ac:dyDescent="0.25">
      <c r="B140" s="475"/>
      <c r="C140" s="486" t="s">
        <v>121</v>
      </c>
      <c r="D140" s="335"/>
      <c r="E140" s="335">
        <v>45372</v>
      </c>
      <c r="F140" s="336" t="s">
        <v>74</v>
      </c>
      <c r="G140" s="337">
        <v>202</v>
      </c>
      <c r="H140" s="337">
        <v>1.4318</v>
      </c>
      <c r="I140" s="336">
        <v>100</v>
      </c>
      <c r="J140" s="337">
        <v>20200</v>
      </c>
      <c r="K140" s="337">
        <v>20343.18</v>
      </c>
      <c r="L140" s="335"/>
      <c r="M140" s="336"/>
      <c r="N140" s="337"/>
      <c r="O140" s="337"/>
      <c r="P140" s="337"/>
      <c r="Q140" s="337"/>
      <c r="R140" s="337"/>
      <c r="S140" s="10"/>
      <c r="T140" s="10"/>
      <c r="U140" s="166"/>
    </row>
    <row r="141" spans="2:21" ht="23.25" customHeight="1" thickBot="1" x14ac:dyDescent="0.3">
      <c r="B141" s="477"/>
      <c r="C141" s="488"/>
      <c r="D141" s="38"/>
      <c r="E141" s="39"/>
      <c r="F141" s="39"/>
      <c r="G141" s="40"/>
      <c r="H141" s="40"/>
      <c r="I141" s="27">
        <f>SUM(I140)</f>
        <v>100</v>
      </c>
      <c r="J141" s="27">
        <f>I141</f>
        <v>100</v>
      </c>
      <c r="K141" s="40"/>
      <c r="L141" s="41"/>
      <c r="M141" s="41"/>
      <c r="N141" s="42"/>
      <c r="O141" s="40"/>
      <c r="P141" s="15"/>
      <c r="Q141" s="40"/>
      <c r="R141" s="40"/>
      <c r="S141" s="40"/>
      <c r="T141" s="40"/>
      <c r="U141" s="169"/>
    </row>
    <row r="142" spans="2:21" ht="9.75" customHeight="1" thickBot="1" x14ac:dyDescent="0.3">
      <c r="B142" s="5"/>
      <c r="C142" s="163"/>
      <c r="D142" s="29"/>
      <c r="E142" s="4"/>
      <c r="F142" s="4"/>
      <c r="G142" s="6"/>
      <c r="H142" s="6"/>
      <c r="I142" s="29"/>
      <c r="J142" s="29"/>
      <c r="K142" s="6"/>
      <c r="L142" s="30"/>
      <c r="M142" s="30"/>
      <c r="N142" s="31"/>
      <c r="O142" s="6"/>
      <c r="P142" s="29"/>
      <c r="Q142" s="6"/>
      <c r="R142" s="6"/>
      <c r="S142" s="6"/>
      <c r="T142" s="6"/>
      <c r="U142" s="32"/>
    </row>
    <row r="143" spans="2:21" ht="23.25" customHeight="1" x14ac:dyDescent="0.25">
      <c r="B143" s="475" t="e">
        <f>1+#REF!</f>
        <v>#REF!</v>
      </c>
      <c r="C143" s="478" t="s">
        <v>32</v>
      </c>
      <c r="D143" s="33"/>
      <c r="E143" s="344">
        <v>44466</v>
      </c>
      <c r="F143" s="344"/>
      <c r="G143" s="184">
        <v>119.05</v>
      </c>
      <c r="H143" s="184">
        <v>0</v>
      </c>
      <c r="I143" s="223">
        <v>5</v>
      </c>
      <c r="J143" s="223"/>
      <c r="K143" s="184">
        <f>I143*G143</f>
        <v>595.25</v>
      </c>
      <c r="L143" s="218">
        <v>45071</v>
      </c>
      <c r="M143" s="219" t="s">
        <v>131</v>
      </c>
      <c r="N143" s="219">
        <v>183.05</v>
      </c>
      <c r="O143" s="219">
        <v>0</v>
      </c>
      <c r="P143" s="219">
        <v>5</v>
      </c>
      <c r="Q143" s="219">
        <v>915.25</v>
      </c>
      <c r="R143" s="219">
        <v>915.25</v>
      </c>
      <c r="S143" s="184"/>
      <c r="T143" s="184"/>
      <c r="U143" s="166" t="s">
        <v>28</v>
      </c>
    </row>
    <row r="144" spans="2:21" ht="23.25" customHeight="1" thickBot="1" x14ac:dyDescent="0.3">
      <c r="B144" s="477"/>
      <c r="C144" s="480"/>
      <c r="D144" s="38"/>
      <c r="E144" s="39"/>
      <c r="F144" s="39"/>
      <c r="G144" s="40"/>
      <c r="H144" s="40"/>
      <c r="I144" s="27">
        <f>I143</f>
        <v>5</v>
      </c>
      <c r="J144" s="55"/>
      <c r="K144" s="40"/>
      <c r="L144" s="41"/>
      <c r="M144" s="41"/>
      <c r="N144" s="42"/>
      <c r="O144" s="40"/>
      <c r="P144" s="27">
        <f>SUM(P143)</f>
        <v>5</v>
      </c>
      <c r="Q144" s="40"/>
      <c r="R144" s="40"/>
      <c r="S144" s="40"/>
      <c r="T144" s="40"/>
      <c r="U144" s="169"/>
    </row>
    <row r="145" spans="2:21" ht="23.25" customHeight="1" thickBot="1" x14ac:dyDescent="0.3">
      <c r="B145" s="5"/>
      <c r="C145" s="163"/>
      <c r="D145" s="29"/>
      <c r="E145" s="4"/>
      <c r="F145" s="4"/>
      <c r="G145" s="6"/>
      <c r="H145" s="6"/>
      <c r="I145" s="29"/>
      <c r="J145" s="29"/>
      <c r="K145" s="6"/>
      <c r="L145" s="30"/>
      <c r="M145" s="30"/>
      <c r="N145" s="31"/>
      <c r="O145" s="6"/>
      <c r="P145" s="29"/>
      <c r="Q145" s="6"/>
      <c r="R145" s="6"/>
      <c r="S145" s="6"/>
      <c r="T145" s="6"/>
      <c r="U145" s="32"/>
    </row>
    <row r="146" spans="2:21" ht="23.25" customHeight="1" x14ac:dyDescent="0.25">
      <c r="B146" s="475"/>
      <c r="C146" s="486" t="s">
        <v>85</v>
      </c>
      <c r="D146" s="33"/>
      <c r="E146" s="335">
        <v>45064</v>
      </c>
      <c r="F146" s="336" t="s">
        <v>74</v>
      </c>
      <c r="G146" s="337">
        <v>3150</v>
      </c>
      <c r="H146" s="337">
        <v>44.67</v>
      </c>
      <c r="I146" s="336">
        <v>2</v>
      </c>
      <c r="J146" s="336">
        <v>6300</v>
      </c>
      <c r="K146" s="337">
        <v>6344.67</v>
      </c>
      <c r="L146" s="335">
        <v>45236</v>
      </c>
      <c r="M146" s="336" t="s">
        <v>114</v>
      </c>
      <c r="N146" s="337">
        <v>3399</v>
      </c>
      <c r="O146" s="337">
        <v>47.17</v>
      </c>
      <c r="P146" s="337">
        <v>2</v>
      </c>
      <c r="Q146" s="337">
        <v>6798</v>
      </c>
      <c r="R146" s="337">
        <v>6750.83</v>
      </c>
      <c r="S146" s="10"/>
      <c r="T146" s="10"/>
      <c r="U146" s="166"/>
    </row>
    <row r="147" spans="2:21" ht="23.25" customHeight="1" thickBot="1" x14ac:dyDescent="0.3">
      <c r="B147" s="477"/>
      <c r="C147" s="488"/>
      <c r="D147" s="38"/>
      <c r="E147" s="350"/>
      <c r="F147" s="351"/>
      <c r="G147" s="352"/>
      <c r="H147" s="352"/>
      <c r="I147" s="300">
        <f>SUM(I146)</f>
        <v>2</v>
      </c>
      <c r="J147" s="300">
        <f>I147-P147</f>
        <v>0</v>
      </c>
      <c r="K147" s="352"/>
      <c r="L147" s="350"/>
      <c r="M147" s="351"/>
      <c r="N147" s="352"/>
      <c r="O147" s="352"/>
      <c r="P147" s="354">
        <f>SUM(P146)</f>
        <v>2</v>
      </c>
      <c r="Q147" s="352"/>
      <c r="R147" s="352"/>
      <c r="S147" s="40"/>
      <c r="T147" s="40"/>
      <c r="U147" s="169"/>
    </row>
    <row r="148" spans="2:21" ht="10.5" customHeight="1" thickBot="1" x14ac:dyDescent="0.3">
      <c r="B148" s="483"/>
      <c r="C148" s="484"/>
      <c r="D148" s="484"/>
      <c r="E148" s="484"/>
      <c r="F148" s="484"/>
      <c r="G148" s="484"/>
      <c r="H148" s="484"/>
      <c r="I148" s="484"/>
      <c r="J148" s="484"/>
      <c r="K148" s="484"/>
      <c r="L148" s="484"/>
      <c r="M148" s="484"/>
      <c r="N148" s="484"/>
      <c r="O148" s="484"/>
      <c r="P148" s="484"/>
      <c r="Q148" s="484"/>
      <c r="R148" s="484"/>
      <c r="S148" s="484"/>
      <c r="T148" s="484"/>
      <c r="U148" s="485"/>
    </row>
    <row r="149" spans="2:21" ht="23.25" customHeight="1" x14ac:dyDescent="0.25">
      <c r="B149" s="475"/>
      <c r="C149" s="486" t="s">
        <v>122</v>
      </c>
      <c r="D149" s="33"/>
      <c r="E149" s="335">
        <v>45372</v>
      </c>
      <c r="F149" s="336" t="s">
        <v>74</v>
      </c>
      <c r="G149" s="337">
        <v>196.65</v>
      </c>
      <c r="H149" s="337">
        <v>1.3938000000000001</v>
      </c>
      <c r="I149" s="336">
        <v>200</v>
      </c>
      <c r="J149" s="336">
        <v>39330</v>
      </c>
      <c r="K149" s="337">
        <v>39608.76</v>
      </c>
      <c r="L149" s="335"/>
      <c r="M149" s="336"/>
      <c r="N149" s="337"/>
      <c r="O149" s="337"/>
      <c r="P149" s="337"/>
      <c r="Q149" s="337"/>
      <c r="R149" s="337"/>
      <c r="S149" s="10"/>
      <c r="T149" s="10"/>
      <c r="U149" s="166"/>
    </row>
    <row r="150" spans="2:21" ht="23.25" customHeight="1" x14ac:dyDescent="0.25">
      <c r="B150" s="476"/>
      <c r="C150" s="522"/>
      <c r="D150" s="35"/>
      <c r="E150" s="7"/>
      <c r="F150" s="7"/>
      <c r="G150" s="8"/>
      <c r="H150" s="8"/>
      <c r="I150" s="2">
        <f>SUM(I149)</f>
        <v>200</v>
      </c>
      <c r="J150" s="2">
        <f>I150</f>
        <v>200</v>
      </c>
      <c r="K150" s="8"/>
      <c r="L150" s="258"/>
      <c r="M150" s="258"/>
      <c r="N150" s="149"/>
      <c r="O150" s="150"/>
      <c r="P150" s="149"/>
      <c r="Q150" s="150"/>
      <c r="R150" s="150"/>
      <c r="S150" s="150"/>
      <c r="T150" s="150"/>
      <c r="U150" s="172"/>
    </row>
    <row r="151" spans="2:21" ht="9" customHeight="1" thickBot="1" x14ac:dyDescent="0.3">
      <c r="B151" s="5"/>
      <c r="C151" s="163"/>
      <c r="D151" s="29"/>
      <c r="E151" s="4"/>
      <c r="F151" s="4"/>
      <c r="G151" s="6"/>
      <c r="H151" s="6"/>
      <c r="I151" s="29"/>
      <c r="J151" s="29"/>
      <c r="K151" s="6"/>
      <c r="L151" s="30"/>
      <c r="M151" s="30"/>
      <c r="N151" s="31"/>
      <c r="O151" s="6"/>
      <c r="P151" s="29"/>
      <c r="Q151" s="6"/>
      <c r="R151" s="6"/>
      <c r="S151" s="6"/>
      <c r="T151" s="6"/>
      <c r="U151" s="32"/>
    </row>
    <row r="152" spans="2:21" ht="23.25" customHeight="1" x14ac:dyDescent="0.25">
      <c r="B152" s="475">
        <f>1+B146</f>
        <v>1</v>
      </c>
      <c r="C152" s="478" t="s">
        <v>71</v>
      </c>
      <c r="D152" s="33"/>
      <c r="E152" s="344">
        <v>44455</v>
      </c>
      <c r="F152" s="344"/>
      <c r="G152" s="184">
        <v>195.4</v>
      </c>
      <c r="H152" s="184">
        <v>0</v>
      </c>
      <c r="I152" s="223">
        <v>10</v>
      </c>
      <c r="J152" s="223"/>
      <c r="K152" s="184">
        <f>I152*G152</f>
        <v>1954</v>
      </c>
      <c r="L152" s="218">
        <v>45049</v>
      </c>
      <c r="M152" s="219" t="s">
        <v>131</v>
      </c>
      <c r="N152" s="219">
        <v>174</v>
      </c>
      <c r="O152" s="219">
        <v>0</v>
      </c>
      <c r="P152" s="219">
        <v>10</v>
      </c>
      <c r="Q152" s="219">
        <v>4350</v>
      </c>
      <c r="R152" s="385">
        <f t="shared" ref="R152" si="24">(N152-O152)*P152</f>
        <v>1740</v>
      </c>
      <c r="S152" s="184"/>
      <c r="T152" s="184"/>
      <c r="U152" s="34" t="s">
        <v>28</v>
      </c>
    </row>
    <row r="153" spans="2:21" ht="23.25" customHeight="1" x14ac:dyDescent="0.25">
      <c r="B153" s="476"/>
      <c r="C153" s="479"/>
      <c r="D153" s="35"/>
      <c r="E153" s="346">
        <v>44650</v>
      </c>
      <c r="F153" s="346"/>
      <c r="G153" s="150">
        <v>155.85</v>
      </c>
      <c r="H153" s="150">
        <v>0</v>
      </c>
      <c r="I153" s="149">
        <v>8</v>
      </c>
      <c r="J153" s="149"/>
      <c r="K153" s="150">
        <f>I153*G153</f>
        <v>1246.8</v>
      </c>
      <c r="L153" s="153">
        <v>45049</v>
      </c>
      <c r="M153" s="154" t="s">
        <v>131</v>
      </c>
      <c r="N153" s="154">
        <v>174</v>
      </c>
      <c r="O153" s="154">
        <v>0</v>
      </c>
      <c r="P153" s="154">
        <v>8</v>
      </c>
      <c r="Q153" s="154">
        <v>4350</v>
      </c>
      <c r="R153" s="386">
        <f t="shared" ref="R153:R156" si="25">(N153-O153)*P153</f>
        <v>1392</v>
      </c>
      <c r="S153" s="8"/>
      <c r="T153" s="8"/>
      <c r="U153" s="36"/>
    </row>
    <row r="154" spans="2:21" ht="23.25" customHeight="1" x14ac:dyDescent="0.25">
      <c r="B154" s="476"/>
      <c r="C154" s="479"/>
      <c r="D154" s="35"/>
      <c r="E154" s="346">
        <v>44657</v>
      </c>
      <c r="F154" s="346"/>
      <c r="G154" s="150">
        <v>166.45</v>
      </c>
      <c r="H154" s="150">
        <v>0</v>
      </c>
      <c r="I154" s="149">
        <v>1</v>
      </c>
      <c r="J154" s="149"/>
      <c r="K154" s="150">
        <v>166.45</v>
      </c>
      <c r="L154" s="153">
        <v>45049</v>
      </c>
      <c r="M154" s="154" t="s">
        <v>131</v>
      </c>
      <c r="N154" s="154">
        <v>174</v>
      </c>
      <c r="O154" s="154">
        <v>0</v>
      </c>
      <c r="P154" s="154">
        <v>1</v>
      </c>
      <c r="Q154" s="154">
        <v>4350</v>
      </c>
      <c r="R154" s="386">
        <f t="shared" si="25"/>
        <v>174</v>
      </c>
      <c r="S154" s="8"/>
      <c r="T154" s="8"/>
      <c r="U154" s="36"/>
    </row>
    <row r="155" spans="2:21" ht="23.25" customHeight="1" x14ac:dyDescent="0.25">
      <c r="B155" s="476"/>
      <c r="C155" s="479"/>
      <c r="D155" s="35"/>
      <c r="E155" s="346">
        <v>44826</v>
      </c>
      <c r="F155" s="346"/>
      <c r="G155" s="150">
        <v>147.30000000000001</v>
      </c>
      <c r="H155" s="150">
        <v>0</v>
      </c>
      <c r="I155" s="149">
        <v>5</v>
      </c>
      <c r="J155" s="149"/>
      <c r="K155" s="150">
        <v>736.5</v>
      </c>
      <c r="L155" s="153">
        <v>45049</v>
      </c>
      <c r="M155" s="154" t="s">
        <v>131</v>
      </c>
      <c r="N155" s="154">
        <v>174</v>
      </c>
      <c r="O155" s="154">
        <v>0</v>
      </c>
      <c r="P155" s="154">
        <v>5</v>
      </c>
      <c r="Q155" s="154">
        <v>4350</v>
      </c>
      <c r="R155" s="386">
        <f t="shared" si="25"/>
        <v>870</v>
      </c>
      <c r="S155" s="8"/>
      <c r="T155" s="8"/>
      <c r="U155" s="36"/>
    </row>
    <row r="156" spans="2:21" ht="23.25" customHeight="1" x14ac:dyDescent="0.25">
      <c r="B156" s="476"/>
      <c r="C156" s="479"/>
      <c r="D156" s="35"/>
      <c r="E156" s="346">
        <v>44624</v>
      </c>
      <c r="F156" s="346"/>
      <c r="G156" s="150">
        <v>150</v>
      </c>
      <c r="H156" s="150">
        <v>0</v>
      </c>
      <c r="I156" s="149">
        <v>1</v>
      </c>
      <c r="J156" s="149"/>
      <c r="K156" s="150">
        <f>I156*G156</f>
        <v>150</v>
      </c>
      <c r="L156" s="153">
        <v>45049</v>
      </c>
      <c r="M156" s="154" t="s">
        <v>131</v>
      </c>
      <c r="N156" s="154">
        <v>174</v>
      </c>
      <c r="O156" s="154">
        <v>0</v>
      </c>
      <c r="P156" s="154">
        <v>1</v>
      </c>
      <c r="Q156" s="154">
        <v>4350</v>
      </c>
      <c r="R156" s="386">
        <f t="shared" si="25"/>
        <v>174</v>
      </c>
      <c r="S156" s="8"/>
      <c r="T156" s="8"/>
      <c r="U156" s="36"/>
    </row>
    <row r="157" spans="2:21" ht="23.25" customHeight="1" thickBot="1" x14ac:dyDescent="0.3">
      <c r="B157" s="476"/>
      <c r="C157" s="480"/>
      <c r="D157" s="35"/>
      <c r="E157" s="346"/>
      <c r="F157" s="346"/>
      <c r="G157" s="150"/>
      <c r="H157" s="150"/>
      <c r="I157" s="191">
        <f>SUM(I152:I156)</f>
        <v>25</v>
      </c>
      <c r="J157" s="191">
        <f>I157-P157</f>
        <v>0</v>
      </c>
      <c r="K157" s="150"/>
      <c r="L157" s="74"/>
      <c r="M157" s="74"/>
      <c r="N157" s="171"/>
      <c r="O157" s="8"/>
      <c r="P157" s="2">
        <f>SUM(P152:P156)</f>
        <v>25</v>
      </c>
      <c r="Q157" s="8"/>
      <c r="R157" s="386"/>
      <c r="S157" s="8"/>
      <c r="T157" s="8"/>
      <c r="U157" s="36"/>
    </row>
    <row r="158" spans="2:21" ht="11.25" customHeight="1" thickBot="1" x14ac:dyDescent="0.3">
      <c r="B158" s="249"/>
      <c r="C158" s="262"/>
      <c r="D158" s="263"/>
      <c r="E158" s="378"/>
      <c r="F158" s="378"/>
      <c r="G158" s="232"/>
      <c r="H158" s="232"/>
      <c r="I158" s="295"/>
      <c r="J158" s="295"/>
      <c r="K158" s="232"/>
      <c r="L158" s="264"/>
      <c r="M158" s="264"/>
      <c r="N158" s="265"/>
      <c r="O158" s="137"/>
      <c r="P158" s="266"/>
      <c r="Q158" s="137"/>
      <c r="R158" s="387"/>
      <c r="S158" s="137"/>
      <c r="T158" s="137"/>
      <c r="U158" s="255"/>
    </row>
    <row r="159" spans="2:21" ht="23.25" customHeight="1" x14ac:dyDescent="0.25">
      <c r="B159" s="475"/>
      <c r="C159" s="478" t="s">
        <v>86</v>
      </c>
      <c r="D159" s="33"/>
      <c r="E159" s="382">
        <v>45280</v>
      </c>
      <c r="F159" s="336" t="s">
        <v>74</v>
      </c>
      <c r="G159" s="336">
        <v>146.6</v>
      </c>
      <c r="H159" s="336">
        <f>48.2/I159</f>
        <v>9.64E-2</v>
      </c>
      <c r="I159" s="336">
        <v>500</v>
      </c>
      <c r="J159" s="336">
        <v>73300</v>
      </c>
      <c r="K159" s="336">
        <v>73348.2</v>
      </c>
      <c r="L159" s="335">
        <v>45280</v>
      </c>
      <c r="M159" s="336" t="s">
        <v>114</v>
      </c>
      <c r="N159" s="337">
        <v>137.44999999999999</v>
      </c>
      <c r="O159" s="337">
        <f>60.89/P159</f>
        <v>0.12178</v>
      </c>
      <c r="P159" s="334">
        <v>500</v>
      </c>
      <c r="Q159" s="337">
        <v>68725</v>
      </c>
      <c r="R159" s="385">
        <f t="shared" ref="R159" si="26">(N159-O159)*P159</f>
        <v>68664.11</v>
      </c>
      <c r="S159" s="10"/>
      <c r="T159" s="10"/>
      <c r="U159" s="34" t="s">
        <v>55</v>
      </c>
    </row>
    <row r="160" spans="2:21" ht="23.25" customHeight="1" thickBot="1" x14ac:dyDescent="0.3">
      <c r="B160" s="477"/>
      <c r="C160" s="480"/>
      <c r="D160" s="38"/>
      <c r="E160" s="39"/>
      <c r="F160" s="39"/>
      <c r="G160" s="40"/>
      <c r="H160" s="40"/>
      <c r="I160" s="27">
        <f>SUM(I159)</f>
        <v>500</v>
      </c>
      <c r="J160" s="27">
        <f>I160-P160</f>
        <v>0</v>
      </c>
      <c r="K160" s="40"/>
      <c r="L160" s="41"/>
      <c r="M160" s="41"/>
      <c r="N160" s="42"/>
      <c r="O160" s="40"/>
      <c r="P160" s="27">
        <f>SUM(P159)</f>
        <v>500</v>
      </c>
      <c r="Q160" s="40"/>
      <c r="R160" s="388"/>
      <c r="S160" s="40"/>
      <c r="T160" s="40"/>
      <c r="U160" s="43"/>
    </row>
    <row r="161" spans="2:21" ht="23.25" customHeight="1" thickBot="1" x14ac:dyDescent="0.3">
      <c r="B161" s="5"/>
      <c r="C161" s="163"/>
      <c r="D161" s="29"/>
      <c r="E161" s="4"/>
      <c r="F161" s="4"/>
      <c r="G161" s="6"/>
      <c r="H161" s="6"/>
      <c r="I161" s="29"/>
      <c r="J161" s="29"/>
      <c r="K161" s="6"/>
      <c r="L161" s="30"/>
      <c r="M161" s="30"/>
      <c r="N161" s="31"/>
      <c r="O161" s="6"/>
      <c r="P161" s="29"/>
      <c r="Q161" s="6"/>
      <c r="R161" s="389"/>
      <c r="S161" s="6"/>
      <c r="T161" s="6"/>
      <c r="U161" s="32"/>
    </row>
    <row r="162" spans="2:21" ht="23.25" customHeight="1" x14ac:dyDescent="0.25">
      <c r="B162" s="475"/>
      <c r="C162" s="478" t="s">
        <v>15</v>
      </c>
      <c r="D162" s="33"/>
      <c r="E162" s="344">
        <v>44448</v>
      </c>
      <c r="F162" s="344"/>
      <c r="G162" s="184">
        <v>3494.6080000000002</v>
      </c>
      <c r="H162" s="184">
        <v>0</v>
      </c>
      <c r="I162" s="267">
        <v>2</v>
      </c>
      <c r="J162" s="267"/>
      <c r="K162" s="184">
        <f t="shared" ref="K162:K164" si="27">+G162*I162</f>
        <v>6989.2160000000003</v>
      </c>
      <c r="L162" s="382">
        <v>45141</v>
      </c>
      <c r="M162" s="336" t="s">
        <v>114</v>
      </c>
      <c r="N162" s="336">
        <v>3369</v>
      </c>
      <c r="O162" s="385">
        <v>23.375</v>
      </c>
      <c r="P162" s="336">
        <v>2</v>
      </c>
      <c r="Q162" s="336">
        <v>6738</v>
      </c>
      <c r="R162" s="385">
        <f t="shared" ref="R162:R168" si="28">(N162-O162)*P162</f>
        <v>6691.25</v>
      </c>
      <c r="S162" s="10"/>
      <c r="T162" s="10"/>
      <c r="U162" s="34" t="s">
        <v>55</v>
      </c>
    </row>
    <row r="163" spans="2:21" ht="23.25" customHeight="1" x14ac:dyDescent="0.25">
      <c r="B163" s="476"/>
      <c r="C163" s="479"/>
      <c r="D163" s="35"/>
      <c r="E163" s="346">
        <v>44448</v>
      </c>
      <c r="F163" s="346"/>
      <c r="G163" s="150">
        <v>3494.6080000000002</v>
      </c>
      <c r="H163" s="150">
        <v>0</v>
      </c>
      <c r="I163" s="299">
        <v>2</v>
      </c>
      <c r="J163" s="299"/>
      <c r="K163" s="150">
        <f t="shared" ref="K163" si="29">+G163*I163</f>
        <v>6989.2160000000003</v>
      </c>
      <c r="L163" s="348">
        <v>45191</v>
      </c>
      <c r="M163" s="339" t="s">
        <v>114</v>
      </c>
      <c r="N163" s="339">
        <v>3179</v>
      </c>
      <c r="O163" s="386">
        <v>22.066666666666908</v>
      </c>
      <c r="P163" s="339">
        <v>2</v>
      </c>
      <c r="Q163" s="339">
        <v>9537</v>
      </c>
      <c r="R163" s="386">
        <f t="shared" si="28"/>
        <v>6313.8666666666659</v>
      </c>
      <c r="S163" s="8"/>
      <c r="T163" s="8"/>
      <c r="U163" s="36"/>
    </row>
    <row r="164" spans="2:21" ht="23.25" customHeight="1" x14ac:dyDescent="0.25">
      <c r="B164" s="476"/>
      <c r="C164" s="479"/>
      <c r="D164" s="35"/>
      <c r="E164" s="346">
        <v>44593</v>
      </c>
      <c r="F164" s="346"/>
      <c r="G164" s="150">
        <v>3172.3910000000001</v>
      </c>
      <c r="H164" s="150">
        <v>0</v>
      </c>
      <c r="I164" s="299">
        <v>1</v>
      </c>
      <c r="J164" s="299"/>
      <c r="K164" s="150">
        <f t="shared" si="27"/>
        <v>3172.3910000000001</v>
      </c>
      <c r="L164" s="348">
        <v>45191</v>
      </c>
      <c r="M164" s="339" t="s">
        <v>114</v>
      </c>
      <c r="N164" s="339">
        <v>3179</v>
      </c>
      <c r="O164" s="386">
        <v>22.066666666666908</v>
      </c>
      <c r="P164" s="339">
        <v>1</v>
      </c>
      <c r="Q164" s="339">
        <v>9537</v>
      </c>
      <c r="R164" s="386">
        <f t="shared" si="28"/>
        <v>3156.9333333333329</v>
      </c>
      <c r="S164" s="8"/>
      <c r="T164" s="8"/>
      <c r="U164" s="36"/>
    </row>
    <row r="165" spans="2:21" ht="23.25" customHeight="1" x14ac:dyDescent="0.25">
      <c r="B165" s="476"/>
      <c r="C165" s="479"/>
      <c r="D165" s="35"/>
      <c r="E165" s="346">
        <v>44593</v>
      </c>
      <c r="F165" s="346"/>
      <c r="G165" s="150">
        <v>3172.3910000000001</v>
      </c>
      <c r="H165" s="150">
        <v>0</v>
      </c>
      <c r="I165" s="299">
        <v>3</v>
      </c>
      <c r="J165" s="299"/>
      <c r="K165" s="150">
        <f t="shared" ref="K165" si="30">+G165*I165</f>
        <v>9517.1730000000007</v>
      </c>
      <c r="L165" s="348">
        <v>45191</v>
      </c>
      <c r="M165" s="339" t="s">
        <v>114</v>
      </c>
      <c r="N165" s="339">
        <v>3199.9</v>
      </c>
      <c r="O165" s="386">
        <v>22.190000000000509</v>
      </c>
      <c r="P165" s="339">
        <v>3</v>
      </c>
      <c r="Q165" s="339">
        <v>9599.7000000000007</v>
      </c>
      <c r="R165" s="386">
        <f t="shared" si="28"/>
        <v>9533.1299999999992</v>
      </c>
      <c r="S165" s="8"/>
      <c r="T165" s="8"/>
      <c r="U165" s="36"/>
    </row>
    <row r="166" spans="2:21" ht="23.25" customHeight="1" x14ac:dyDescent="0.25">
      <c r="B166" s="476"/>
      <c r="C166" s="479"/>
      <c r="D166" s="35"/>
      <c r="E166" s="346">
        <v>44593</v>
      </c>
      <c r="F166" s="346"/>
      <c r="G166" s="150">
        <v>3172.3910000000001</v>
      </c>
      <c r="H166" s="150">
        <v>0</v>
      </c>
      <c r="I166" s="299">
        <v>6</v>
      </c>
      <c r="J166" s="299"/>
      <c r="K166" s="150">
        <f t="shared" ref="K166" si="31">+G166*I166</f>
        <v>19034.346000000001</v>
      </c>
      <c r="L166" s="348">
        <v>45299</v>
      </c>
      <c r="M166" s="339" t="s">
        <v>114</v>
      </c>
      <c r="N166" s="339">
        <v>3749.95</v>
      </c>
      <c r="O166" s="386">
        <v>26.016363636363664</v>
      </c>
      <c r="P166" s="339">
        <v>6</v>
      </c>
      <c r="Q166" s="339">
        <v>41249.449999999997</v>
      </c>
      <c r="R166" s="386">
        <f t="shared" si="28"/>
        <v>22343.601818181818</v>
      </c>
      <c r="S166" s="8"/>
      <c r="T166" s="8"/>
      <c r="U166" s="36"/>
    </row>
    <row r="167" spans="2:21" ht="23.25" customHeight="1" x14ac:dyDescent="0.25">
      <c r="B167" s="476"/>
      <c r="C167" s="479"/>
      <c r="D167" s="35"/>
      <c r="E167" s="346">
        <v>44658</v>
      </c>
      <c r="F167" s="346"/>
      <c r="G167" s="150">
        <v>2958.15</v>
      </c>
      <c r="H167" s="150">
        <v>18.014999999999997</v>
      </c>
      <c r="I167" s="299">
        <v>5</v>
      </c>
      <c r="J167" s="299"/>
      <c r="K167" s="150">
        <f>(+G167+H167)*I167</f>
        <v>14880.825000000001</v>
      </c>
      <c r="L167" s="348">
        <v>45299</v>
      </c>
      <c r="M167" s="339" t="s">
        <v>114</v>
      </c>
      <c r="N167" s="339">
        <v>3749.95</v>
      </c>
      <c r="O167" s="386">
        <v>26.016363636363664</v>
      </c>
      <c r="P167" s="339">
        <v>5</v>
      </c>
      <c r="Q167" s="339">
        <v>41249.449999999997</v>
      </c>
      <c r="R167" s="386">
        <f t="shared" si="28"/>
        <v>18619.668181818182</v>
      </c>
      <c r="S167" s="8"/>
      <c r="T167" s="8"/>
      <c r="U167" s="36"/>
    </row>
    <row r="168" spans="2:21" ht="23.25" customHeight="1" x14ac:dyDescent="0.25">
      <c r="B168" s="476"/>
      <c r="C168" s="479"/>
      <c r="D168" s="35"/>
      <c r="E168" s="346">
        <v>44658</v>
      </c>
      <c r="F168" s="346"/>
      <c r="G168" s="150">
        <v>2958.15</v>
      </c>
      <c r="H168" s="150">
        <v>18.014999999999997</v>
      </c>
      <c r="I168" s="299">
        <v>5</v>
      </c>
      <c r="J168" s="299"/>
      <c r="K168" s="150">
        <f>(+G168+H168)*I168</f>
        <v>14880.825000000001</v>
      </c>
      <c r="L168" s="348">
        <v>45351</v>
      </c>
      <c r="M168" s="339" t="s">
        <v>114</v>
      </c>
      <c r="N168" s="339">
        <v>3649</v>
      </c>
      <c r="O168" s="339">
        <v>25.315000000000001</v>
      </c>
      <c r="P168" s="339">
        <v>5</v>
      </c>
      <c r="Q168" s="339">
        <v>36490</v>
      </c>
      <c r="R168" s="386">
        <f t="shared" si="28"/>
        <v>18118.424999999999</v>
      </c>
      <c r="S168" s="8"/>
      <c r="T168" s="8"/>
      <c r="U168" s="36"/>
    </row>
    <row r="169" spans="2:21" ht="23.25" customHeight="1" x14ac:dyDescent="0.25">
      <c r="B169" s="476"/>
      <c r="C169" s="479"/>
      <c r="D169" s="35"/>
      <c r="E169" s="346">
        <v>44677</v>
      </c>
      <c r="F169" s="346"/>
      <c r="G169" s="150">
        <v>3077.35</v>
      </c>
      <c r="H169" s="150">
        <v>18.750000000000004</v>
      </c>
      <c r="I169" s="299">
        <v>5</v>
      </c>
      <c r="J169" s="299"/>
      <c r="K169" s="150">
        <f t="shared" ref="K169:K171" si="32">(+G169+H169)*I169</f>
        <v>15480.5</v>
      </c>
      <c r="L169" s="348">
        <v>45351</v>
      </c>
      <c r="M169" s="339" t="s">
        <v>114</v>
      </c>
      <c r="N169" s="339">
        <v>3649</v>
      </c>
      <c r="O169" s="339">
        <v>25.315000000000001</v>
      </c>
      <c r="P169" s="339">
        <v>5</v>
      </c>
      <c r="Q169" s="339">
        <v>36490</v>
      </c>
      <c r="R169" s="386">
        <f t="shared" ref="R169" si="33">(N169-O169)*P169</f>
        <v>18118.424999999999</v>
      </c>
      <c r="S169" s="8"/>
      <c r="T169" s="8"/>
      <c r="U169" s="36"/>
    </row>
    <row r="170" spans="2:21" ht="23.25" customHeight="1" x14ac:dyDescent="0.25">
      <c r="B170" s="476"/>
      <c r="C170" s="479"/>
      <c r="D170" s="35"/>
      <c r="E170" s="346">
        <v>44819</v>
      </c>
      <c r="F170" s="346"/>
      <c r="G170" s="150">
        <v>3471</v>
      </c>
      <c r="H170" s="150">
        <v>21.13</v>
      </c>
      <c r="I170" s="299">
        <v>1</v>
      </c>
      <c r="J170" s="299"/>
      <c r="K170" s="150">
        <f t="shared" si="32"/>
        <v>3492.13</v>
      </c>
      <c r="L170" s="74"/>
      <c r="M170" s="74"/>
      <c r="N170" s="171"/>
      <c r="O170" s="8"/>
      <c r="P170" s="17"/>
      <c r="Q170" s="8"/>
      <c r="R170" s="8"/>
      <c r="S170" s="8"/>
      <c r="T170" s="8"/>
      <c r="U170" s="36"/>
    </row>
    <row r="171" spans="2:21" ht="23.25" customHeight="1" x14ac:dyDescent="0.25">
      <c r="B171" s="476"/>
      <c r="C171" s="479"/>
      <c r="D171" s="35"/>
      <c r="E171" s="346">
        <v>44819</v>
      </c>
      <c r="F171" s="346"/>
      <c r="G171" s="150">
        <v>3471</v>
      </c>
      <c r="H171" s="150">
        <v>21.132500000000004</v>
      </c>
      <c r="I171" s="299">
        <v>4</v>
      </c>
      <c r="J171" s="299"/>
      <c r="K171" s="150">
        <f t="shared" si="32"/>
        <v>13968.53</v>
      </c>
      <c r="L171" s="74"/>
      <c r="M171" s="74"/>
      <c r="N171" s="171"/>
      <c r="O171" s="8"/>
      <c r="P171" s="17"/>
      <c r="Q171" s="8"/>
      <c r="R171" s="8"/>
      <c r="S171" s="8"/>
      <c r="T171" s="8"/>
      <c r="U171" s="36"/>
    </row>
    <row r="172" spans="2:21" ht="23.25" customHeight="1" x14ac:dyDescent="0.25">
      <c r="B172" s="476"/>
      <c r="C172" s="479"/>
      <c r="D172" s="35"/>
      <c r="E172" s="346">
        <v>44887</v>
      </c>
      <c r="F172" s="346"/>
      <c r="G172" s="150">
        <v>3244.95</v>
      </c>
      <c r="H172" s="150">
        <v>19.760000000000002</v>
      </c>
      <c r="I172" s="299">
        <v>2</v>
      </c>
      <c r="J172" s="299"/>
      <c r="K172" s="150">
        <f>(+G172+H172)*I172</f>
        <v>6529.42</v>
      </c>
      <c r="L172" s="74"/>
      <c r="M172" s="74"/>
      <c r="N172" s="171"/>
      <c r="O172" s="8"/>
      <c r="P172" s="17"/>
      <c r="Q172" s="8"/>
      <c r="R172" s="8"/>
      <c r="S172" s="8"/>
      <c r="T172" s="8"/>
      <c r="U172" s="36"/>
    </row>
    <row r="173" spans="2:21" ht="23.25" customHeight="1" x14ac:dyDescent="0.25">
      <c r="B173" s="476"/>
      <c r="C173" s="479"/>
      <c r="D173" s="35"/>
      <c r="E173" s="346">
        <v>44887</v>
      </c>
      <c r="F173" s="346"/>
      <c r="G173" s="150">
        <v>3244.95</v>
      </c>
      <c r="H173" s="150">
        <v>19.75</v>
      </c>
      <c r="I173" s="299">
        <v>1</v>
      </c>
      <c r="J173" s="299"/>
      <c r="K173" s="150">
        <f>(+G173+H173)*I173</f>
        <v>3264.7</v>
      </c>
      <c r="L173" s="74"/>
      <c r="M173" s="74"/>
      <c r="N173" s="171"/>
      <c r="O173" s="8"/>
      <c r="P173" s="17"/>
      <c r="Q173" s="8"/>
      <c r="R173" s="8"/>
      <c r="S173" s="8"/>
      <c r="T173" s="8"/>
      <c r="U173" s="36"/>
    </row>
    <row r="174" spans="2:21" ht="23.25" customHeight="1" x14ac:dyDescent="0.25">
      <c r="B174" s="476"/>
      <c r="C174" s="479"/>
      <c r="D174" s="35"/>
      <c r="E174" s="346">
        <v>44887</v>
      </c>
      <c r="F174" s="346"/>
      <c r="G174" s="150">
        <v>3244.95</v>
      </c>
      <c r="H174" s="150">
        <v>19.760000000000002</v>
      </c>
      <c r="I174" s="299">
        <v>2</v>
      </c>
      <c r="J174" s="299"/>
      <c r="K174" s="150">
        <f t="shared" ref="K174:K179" si="34">(+G174+H174)*I174</f>
        <v>6529.42</v>
      </c>
      <c r="L174" s="74"/>
      <c r="M174" s="74"/>
      <c r="N174" s="171"/>
      <c r="O174" s="8"/>
      <c r="P174" s="17"/>
      <c r="Q174" s="8"/>
      <c r="R174" s="8"/>
      <c r="S174" s="8"/>
      <c r="T174" s="8"/>
      <c r="U174" s="36"/>
    </row>
    <row r="175" spans="2:21" ht="23.25" customHeight="1" x14ac:dyDescent="0.25">
      <c r="B175" s="476"/>
      <c r="C175" s="479"/>
      <c r="D175" s="35"/>
      <c r="E175" s="346">
        <v>45000</v>
      </c>
      <c r="F175" s="346"/>
      <c r="G175" s="150">
        <v>2851</v>
      </c>
      <c r="H175" s="150">
        <v>17.362000000000002</v>
      </c>
      <c r="I175" s="299">
        <v>5</v>
      </c>
      <c r="J175" s="299"/>
      <c r="K175" s="150">
        <f t="shared" si="34"/>
        <v>14341.810000000001</v>
      </c>
      <c r="L175" s="74"/>
      <c r="M175" s="74"/>
      <c r="N175" s="171"/>
      <c r="O175" s="8"/>
      <c r="P175" s="17"/>
      <c r="Q175" s="8"/>
      <c r="R175" s="8"/>
      <c r="S175" s="8"/>
      <c r="T175" s="8"/>
      <c r="U175" s="36"/>
    </row>
    <row r="176" spans="2:21" ht="23.25" customHeight="1" x14ac:dyDescent="0.25">
      <c r="B176" s="476"/>
      <c r="C176" s="479"/>
      <c r="D176" s="35"/>
      <c r="E176" s="346">
        <v>45008</v>
      </c>
      <c r="F176" s="346"/>
      <c r="G176" s="150">
        <v>2784</v>
      </c>
      <c r="H176" s="150">
        <v>16.95</v>
      </c>
      <c r="I176" s="299">
        <v>3</v>
      </c>
      <c r="J176" s="299"/>
      <c r="K176" s="150">
        <f>(+G176+H176)*I176</f>
        <v>8402.8499999999985</v>
      </c>
      <c r="L176" s="74"/>
      <c r="M176" s="74"/>
      <c r="N176" s="171"/>
      <c r="O176" s="8"/>
      <c r="P176" s="17"/>
      <c r="Q176" s="8"/>
      <c r="R176" s="8"/>
      <c r="S176" s="8"/>
      <c r="T176" s="8"/>
      <c r="U176" s="36"/>
    </row>
    <row r="177" spans="2:21" ht="23.25" customHeight="1" x14ac:dyDescent="0.25">
      <c r="B177" s="476"/>
      <c r="C177" s="479"/>
      <c r="D177" s="35"/>
      <c r="E177" s="346">
        <v>45014</v>
      </c>
      <c r="F177" s="346"/>
      <c r="G177" s="150">
        <v>2660</v>
      </c>
      <c r="H177" s="150">
        <v>16.196666666666665</v>
      </c>
      <c r="I177" s="299">
        <v>3</v>
      </c>
      <c r="J177" s="299"/>
      <c r="K177" s="150">
        <f t="shared" si="34"/>
        <v>8028.59</v>
      </c>
      <c r="L177" s="74"/>
      <c r="M177" s="74"/>
      <c r="N177" s="171"/>
      <c r="O177" s="8"/>
      <c r="P177" s="17"/>
      <c r="Q177" s="8"/>
      <c r="R177" s="8"/>
      <c r="S177" s="8"/>
      <c r="T177" s="8"/>
      <c r="U177" s="36"/>
    </row>
    <row r="178" spans="2:21" ht="23.25" customHeight="1" x14ac:dyDescent="0.25">
      <c r="B178" s="476"/>
      <c r="C178" s="479"/>
      <c r="D178" s="35"/>
      <c r="E178" s="348">
        <v>45056</v>
      </c>
      <c r="F178" s="339" t="s">
        <v>74</v>
      </c>
      <c r="G178" s="339">
        <v>2860</v>
      </c>
      <c r="H178" s="339">
        <f>101.36/I178</f>
        <v>20.271999999999998</v>
      </c>
      <c r="I178" s="339">
        <v>5</v>
      </c>
      <c r="J178" s="339">
        <v>14300</v>
      </c>
      <c r="K178" s="150">
        <f t="shared" si="34"/>
        <v>14401.36</v>
      </c>
      <c r="L178" s="74"/>
      <c r="M178" s="339"/>
      <c r="N178" s="171"/>
      <c r="O178" s="8"/>
      <c r="P178" s="17"/>
      <c r="Q178" s="8"/>
      <c r="R178" s="8"/>
      <c r="S178" s="8"/>
      <c r="T178" s="8"/>
      <c r="U178" s="36"/>
    </row>
    <row r="179" spans="2:21" ht="23.25" customHeight="1" x14ac:dyDescent="0.25">
      <c r="B179" s="476"/>
      <c r="C179" s="479"/>
      <c r="D179" s="35"/>
      <c r="E179" s="348">
        <v>45187</v>
      </c>
      <c r="F179" s="339" t="s">
        <v>74</v>
      </c>
      <c r="G179" s="339">
        <v>3086.1999999999994</v>
      </c>
      <c r="H179" s="339">
        <f>65.63/I179</f>
        <v>21.876666666666665</v>
      </c>
      <c r="I179" s="339">
        <v>3</v>
      </c>
      <c r="J179" s="339">
        <v>9258.5999999999985</v>
      </c>
      <c r="K179" s="150">
        <f t="shared" si="34"/>
        <v>9324.2299999999977</v>
      </c>
      <c r="L179" s="74"/>
      <c r="M179" s="339"/>
      <c r="N179" s="171"/>
      <c r="O179" s="8"/>
      <c r="P179" s="17"/>
      <c r="Q179" s="8"/>
      <c r="R179" s="8"/>
      <c r="S179" s="8"/>
      <c r="T179" s="8"/>
      <c r="U179" s="36"/>
    </row>
    <row r="180" spans="2:21" ht="23.25" customHeight="1" x14ac:dyDescent="0.25">
      <c r="B180" s="476"/>
      <c r="C180" s="479"/>
      <c r="D180" s="35"/>
      <c r="E180" s="348">
        <v>45336</v>
      </c>
      <c r="F180" s="339" t="s">
        <v>74</v>
      </c>
      <c r="G180" s="339">
        <v>3451</v>
      </c>
      <c r="H180" s="339">
        <v>24.463999999999999</v>
      </c>
      <c r="I180" s="339">
        <v>5</v>
      </c>
      <c r="J180" s="339">
        <v>17255</v>
      </c>
      <c r="K180" s="339">
        <v>17377.32</v>
      </c>
      <c r="L180" s="74"/>
      <c r="M180" s="74"/>
      <c r="N180" s="171"/>
      <c r="O180" s="8"/>
      <c r="P180" s="17"/>
      <c r="Q180" s="8"/>
      <c r="R180" s="8"/>
      <c r="S180" s="8"/>
      <c r="T180" s="8"/>
      <c r="U180" s="36"/>
    </row>
    <row r="181" spans="2:21" ht="23.25" customHeight="1" thickBot="1" x14ac:dyDescent="0.3">
      <c r="B181" s="476"/>
      <c r="C181" s="479"/>
      <c r="D181" s="44"/>
      <c r="E181" s="45"/>
      <c r="F181" s="45"/>
      <c r="G181" s="156"/>
      <c r="H181" s="156"/>
      <c r="I181" s="78">
        <f>SUM(I162:I180)</f>
        <v>63</v>
      </c>
      <c r="J181" s="78">
        <f>I181-P181</f>
        <v>34</v>
      </c>
      <c r="K181" s="77"/>
      <c r="L181" s="75"/>
      <c r="M181" s="75"/>
      <c r="N181" s="76"/>
      <c r="O181" s="77"/>
      <c r="P181" s="78">
        <f>SUM(P162:P180)</f>
        <v>29</v>
      </c>
      <c r="Q181" s="77"/>
      <c r="R181" s="77"/>
      <c r="S181" s="77"/>
      <c r="T181" s="77"/>
      <c r="U181" s="46"/>
    </row>
    <row r="182" spans="2:21" ht="8.25" customHeight="1" thickBot="1" x14ac:dyDescent="0.3">
      <c r="B182" s="483"/>
      <c r="C182" s="484"/>
      <c r="D182" s="484"/>
      <c r="E182" s="484"/>
      <c r="F182" s="484"/>
      <c r="G182" s="484"/>
      <c r="H182" s="484"/>
      <c r="I182" s="484"/>
      <c r="J182" s="484"/>
      <c r="K182" s="484"/>
      <c r="L182" s="484"/>
      <c r="M182" s="484"/>
      <c r="N182" s="484"/>
      <c r="O182" s="484"/>
      <c r="P182" s="484"/>
      <c r="Q182" s="484"/>
      <c r="R182" s="484"/>
      <c r="S182" s="484"/>
      <c r="T182" s="484"/>
      <c r="U182" s="485"/>
    </row>
    <row r="183" spans="2:21" ht="23.25" customHeight="1" x14ac:dyDescent="0.25">
      <c r="B183" s="475"/>
      <c r="C183" s="486" t="s">
        <v>87</v>
      </c>
      <c r="D183" s="335">
        <v>45181</v>
      </c>
      <c r="E183" s="335">
        <v>45181</v>
      </c>
      <c r="F183" s="336" t="s">
        <v>74</v>
      </c>
      <c r="G183" s="337">
        <v>1861</v>
      </c>
      <c r="H183" s="337">
        <v>131.87</v>
      </c>
      <c r="I183" s="336">
        <v>10</v>
      </c>
      <c r="J183" s="336">
        <v>18610</v>
      </c>
      <c r="K183" s="337">
        <v>18741.87</v>
      </c>
      <c r="L183" s="335">
        <v>45216</v>
      </c>
      <c r="M183" s="336" t="s">
        <v>114</v>
      </c>
      <c r="N183" s="337">
        <v>882.2</v>
      </c>
      <c r="O183" s="337">
        <v>61.18</v>
      </c>
      <c r="P183" s="336">
        <v>10</v>
      </c>
      <c r="Q183" s="337">
        <v>8822</v>
      </c>
      <c r="R183" s="337">
        <v>8760.82</v>
      </c>
      <c r="S183" s="10"/>
      <c r="T183" s="10"/>
      <c r="U183" s="34"/>
    </row>
    <row r="184" spans="2:21" ht="23.25" customHeight="1" x14ac:dyDescent="0.25">
      <c r="B184" s="476"/>
      <c r="C184" s="487"/>
      <c r="D184" s="35"/>
      <c r="E184" s="7">
        <v>45216</v>
      </c>
      <c r="F184" s="7" t="s">
        <v>116</v>
      </c>
      <c r="G184" s="150">
        <v>0</v>
      </c>
      <c r="H184" s="150">
        <v>0</v>
      </c>
      <c r="I184" s="299">
        <v>20</v>
      </c>
      <c r="J184" s="299">
        <v>0</v>
      </c>
      <c r="K184" s="8"/>
      <c r="L184" s="74"/>
      <c r="M184" s="74"/>
      <c r="N184" s="171"/>
      <c r="O184" s="8"/>
      <c r="P184" s="17"/>
      <c r="Q184" s="8"/>
      <c r="R184" s="8"/>
      <c r="S184" s="8"/>
      <c r="T184" s="8"/>
      <c r="U184" s="36"/>
    </row>
    <row r="185" spans="2:21" ht="23.25" customHeight="1" thickBot="1" x14ac:dyDescent="0.3">
      <c r="B185" s="477"/>
      <c r="C185" s="488"/>
      <c r="D185" s="44"/>
      <c r="E185" s="45"/>
      <c r="F185" s="45"/>
      <c r="G185" s="156"/>
      <c r="H185" s="156"/>
      <c r="I185" s="78">
        <f>SUM(I183:I184)</f>
        <v>30</v>
      </c>
      <c r="J185" s="78">
        <f>I185-P185</f>
        <v>20</v>
      </c>
      <c r="K185" s="77"/>
      <c r="L185" s="75"/>
      <c r="M185" s="75"/>
      <c r="N185" s="76"/>
      <c r="O185" s="77"/>
      <c r="P185" s="78">
        <f>SUM(P183:P184)</f>
        <v>10</v>
      </c>
      <c r="Q185" s="77"/>
      <c r="R185" s="77"/>
      <c r="S185" s="77"/>
      <c r="T185" s="77"/>
      <c r="U185" s="46"/>
    </row>
    <row r="186" spans="2:21" ht="12.75" customHeight="1" thickBot="1" x14ac:dyDescent="0.3">
      <c r="B186" s="249"/>
      <c r="C186" s="262"/>
      <c r="D186" s="263"/>
      <c r="E186" s="272"/>
      <c r="F186" s="272"/>
      <c r="G186" s="232"/>
      <c r="H186" s="232"/>
      <c r="I186" s="251"/>
      <c r="J186" s="251"/>
      <c r="K186" s="137"/>
      <c r="L186" s="264"/>
      <c r="M186" s="264"/>
      <c r="N186" s="265"/>
      <c r="O186" s="137"/>
      <c r="P186" s="266"/>
      <c r="Q186" s="137"/>
      <c r="R186" s="137"/>
      <c r="S186" s="137"/>
      <c r="T186" s="137"/>
      <c r="U186" s="255"/>
    </row>
    <row r="187" spans="2:21" ht="23.25" customHeight="1" x14ac:dyDescent="0.25">
      <c r="B187" s="475"/>
      <c r="C187" s="486" t="s">
        <v>88</v>
      </c>
      <c r="D187" s="33"/>
      <c r="E187" s="335">
        <v>45274</v>
      </c>
      <c r="F187" s="336" t="s">
        <v>74</v>
      </c>
      <c r="G187" s="337">
        <v>1965</v>
      </c>
      <c r="H187" s="337">
        <v>348.13000000000005</v>
      </c>
      <c r="I187" s="336">
        <v>25</v>
      </c>
      <c r="J187" s="337">
        <v>49125</v>
      </c>
      <c r="K187" s="337">
        <v>49473.13</v>
      </c>
      <c r="L187" s="335">
        <v>45315</v>
      </c>
      <c r="M187" s="336" t="s">
        <v>114</v>
      </c>
      <c r="N187" s="337">
        <v>2279.9</v>
      </c>
      <c r="O187" s="337">
        <v>395.46000000000004</v>
      </c>
      <c r="P187" s="390">
        <v>25</v>
      </c>
      <c r="Q187" s="337">
        <v>56997.5</v>
      </c>
      <c r="R187" s="337">
        <v>56602.04</v>
      </c>
      <c r="S187" s="10"/>
      <c r="T187" s="10"/>
      <c r="U187" s="34" t="s">
        <v>55</v>
      </c>
    </row>
    <row r="188" spans="2:21" ht="23.25" customHeight="1" x14ac:dyDescent="0.25">
      <c r="B188" s="476"/>
      <c r="C188" s="487"/>
      <c r="D188" s="35"/>
      <c r="E188" s="341">
        <v>45282</v>
      </c>
      <c r="F188" s="339" t="s">
        <v>74</v>
      </c>
      <c r="G188" s="340">
        <v>1949</v>
      </c>
      <c r="H188" s="340">
        <v>345.37</v>
      </c>
      <c r="I188" s="339">
        <v>25</v>
      </c>
      <c r="J188" s="340">
        <v>48725</v>
      </c>
      <c r="K188" s="340">
        <v>49070.37</v>
      </c>
      <c r="L188" s="74"/>
      <c r="M188" s="74"/>
      <c r="N188" s="171"/>
      <c r="O188" s="8"/>
      <c r="P188" s="2"/>
      <c r="Q188" s="8"/>
      <c r="R188" s="8"/>
      <c r="S188" s="8"/>
      <c r="T188" s="8"/>
      <c r="U188" s="36"/>
    </row>
    <row r="189" spans="2:21" ht="23.25" customHeight="1" thickBot="1" x14ac:dyDescent="0.3">
      <c r="B189" s="477"/>
      <c r="C189" s="488"/>
      <c r="D189" s="38"/>
      <c r="E189" s="39"/>
      <c r="F189" s="39"/>
      <c r="G189" s="40"/>
      <c r="H189" s="40"/>
      <c r="I189" s="27">
        <f>SUM(I187:I188)</f>
        <v>50</v>
      </c>
      <c r="J189" s="27">
        <f>I189-P189</f>
        <v>25</v>
      </c>
      <c r="K189" s="40"/>
      <c r="L189" s="41"/>
      <c r="M189" s="41"/>
      <c r="N189" s="42"/>
      <c r="O189" s="40"/>
      <c r="P189" s="27">
        <f>SUM(P187:P188)</f>
        <v>25</v>
      </c>
      <c r="Q189" s="40"/>
      <c r="R189" s="40"/>
      <c r="S189" s="40"/>
      <c r="T189" s="40"/>
      <c r="U189" s="43"/>
    </row>
    <row r="190" spans="2:21" ht="8.25" customHeight="1" thickBot="1" x14ac:dyDescent="0.3">
      <c r="B190" s="5"/>
      <c r="C190" s="163"/>
      <c r="D190" s="29"/>
      <c r="E190" s="4"/>
      <c r="F190" s="4"/>
      <c r="G190" s="6"/>
      <c r="H190" s="6"/>
      <c r="I190" s="29"/>
      <c r="J190" s="29"/>
      <c r="K190" s="6"/>
      <c r="L190" s="30"/>
      <c r="M190" s="30"/>
      <c r="N190" s="31"/>
      <c r="O190" s="6"/>
      <c r="P190" s="29"/>
      <c r="Q190" s="6"/>
      <c r="R190" s="6"/>
      <c r="S190" s="6"/>
      <c r="T190" s="6"/>
      <c r="U190" s="32"/>
    </row>
    <row r="191" spans="2:21" ht="23.25" customHeight="1" x14ac:dyDescent="0.25">
      <c r="B191" s="475" t="e">
        <f>1+#REF!</f>
        <v>#REF!</v>
      </c>
      <c r="C191" s="478" t="s">
        <v>33</v>
      </c>
      <c r="D191" s="211"/>
      <c r="E191" s="344">
        <v>44564</v>
      </c>
      <c r="F191" s="344"/>
      <c r="G191" s="184">
        <v>41.79</v>
      </c>
      <c r="H191" s="184">
        <v>0</v>
      </c>
      <c r="I191" s="223">
        <v>54</v>
      </c>
      <c r="J191" s="223"/>
      <c r="K191" s="184">
        <v>2256.66</v>
      </c>
      <c r="L191" s="223"/>
      <c r="M191" s="223"/>
      <c r="N191" s="223"/>
      <c r="O191" s="184"/>
      <c r="P191" s="223"/>
      <c r="Q191" s="184"/>
      <c r="R191" s="184"/>
      <c r="S191" s="184"/>
      <c r="T191" s="184"/>
      <c r="U191" s="166" t="s">
        <v>28</v>
      </c>
    </row>
    <row r="192" spans="2:21" ht="23.25" customHeight="1" thickBot="1" x14ac:dyDescent="0.3">
      <c r="B192" s="477"/>
      <c r="C192" s="480"/>
      <c r="D192" s="213"/>
      <c r="E192" s="276"/>
      <c r="F192" s="276"/>
      <c r="G192" s="224"/>
      <c r="H192" s="224"/>
      <c r="I192" s="277">
        <f>I191</f>
        <v>54</v>
      </c>
      <c r="J192" s="225"/>
      <c r="K192" s="224"/>
      <c r="L192" s="276"/>
      <c r="M192" s="276"/>
      <c r="N192" s="225"/>
      <c r="O192" s="224"/>
      <c r="P192" s="225"/>
      <c r="Q192" s="224"/>
      <c r="R192" s="224"/>
      <c r="S192" s="224"/>
      <c r="T192" s="224"/>
      <c r="U192" s="169"/>
    </row>
    <row r="193" spans="2:21" ht="7.5" customHeight="1" thickBot="1" x14ac:dyDescent="0.3">
      <c r="B193" s="319"/>
      <c r="C193" s="163"/>
      <c r="D193" s="5"/>
      <c r="E193" s="4"/>
      <c r="F193" s="4"/>
      <c r="G193" s="6"/>
      <c r="H193" s="6"/>
      <c r="I193" s="197"/>
      <c r="J193" s="197"/>
      <c r="K193" s="6"/>
      <c r="L193" s="192"/>
      <c r="M193" s="192"/>
      <c r="N193" s="31"/>
      <c r="O193" s="6"/>
      <c r="P193" s="5"/>
      <c r="Q193" s="6"/>
      <c r="R193" s="6"/>
      <c r="S193" s="6"/>
      <c r="T193" s="6"/>
      <c r="U193" s="278"/>
    </row>
    <row r="194" spans="2:21" ht="23.25" customHeight="1" x14ac:dyDescent="0.25">
      <c r="B194" s="475"/>
      <c r="C194" s="478" t="s">
        <v>60</v>
      </c>
      <c r="D194" s="211"/>
      <c r="E194" s="344">
        <v>44894</v>
      </c>
      <c r="F194" s="344"/>
      <c r="G194" s="184">
        <v>2174.1</v>
      </c>
      <c r="H194" s="184">
        <v>13.238181818181822</v>
      </c>
      <c r="I194" s="223">
        <v>5</v>
      </c>
      <c r="J194" s="223"/>
      <c r="K194" s="10">
        <f>SUM(G194:H194)*I194</f>
        <v>10936.690909090907</v>
      </c>
      <c r="L194" s="335">
        <v>45107</v>
      </c>
      <c r="M194" s="336" t="s">
        <v>114</v>
      </c>
      <c r="N194" s="337">
        <v>2299</v>
      </c>
      <c r="O194" s="337">
        <v>79.730000000000018</v>
      </c>
      <c r="P194" s="337">
        <v>5</v>
      </c>
      <c r="Q194" s="337">
        <v>11495</v>
      </c>
      <c r="R194" s="337">
        <v>11415.28</v>
      </c>
      <c r="S194" s="10"/>
      <c r="T194" s="10"/>
      <c r="U194" s="166" t="s">
        <v>55</v>
      </c>
    </row>
    <row r="195" spans="2:21" ht="23.25" customHeight="1" x14ac:dyDescent="0.25">
      <c r="B195" s="476"/>
      <c r="C195" s="479"/>
      <c r="D195" s="222"/>
      <c r="E195" s="346">
        <v>44894</v>
      </c>
      <c r="F195" s="346"/>
      <c r="G195" s="150">
        <v>2174.1999999999998</v>
      </c>
      <c r="H195" s="150">
        <v>13.236666666666666</v>
      </c>
      <c r="I195" s="149">
        <v>10</v>
      </c>
      <c r="J195" s="149"/>
      <c r="K195" s="150">
        <f>SUM(G195:H195)*I195</f>
        <v>21874.366666666665</v>
      </c>
      <c r="L195" s="341">
        <v>45127</v>
      </c>
      <c r="M195" s="339" t="s">
        <v>114</v>
      </c>
      <c r="N195" s="340">
        <v>2472.6999999999998</v>
      </c>
      <c r="O195" s="340">
        <v>121.36</v>
      </c>
      <c r="P195" s="340">
        <v>10</v>
      </c>
      <c r="Q195" s="340">
        <v>24727</v>
      </c>
      <c r="R195" s="340">
        <v>17375.64</v>
      </c>
      <c r="S195" s="8"/>
      <c r="T195" s="8"/>
      <c r="U195" s="172"/>
    </row>
    <row r="196" spans="2:21" ht="23.25" customHeight="1" thickBot="1" x14ac:dyDescent="0.3">
      <c r="B196" s="477"/>
      <c r="C196" s="480"/>
      <c r="D196" s="213"/>
      <c r="E196" s="276"/>
      <c r="F196" s="276"/>
      <c r="G196" s="224"/>
      <c r="H196" s="224"/>
      <c r="I196" s="279">
        <f>SUM(I194:I195)</f>
        <v>15</v>
      </c>
      <c r="J196" s="279">
        <f>I196-P196</f>
        <v>0</v>
      </c>
      <c r="K196" s="224"/>
      <c r="L196" s="39"/>
      <c r="M196" s="39"/>
      <c r="N196" s="55"/>
      <c r="O196" s="40"/>
      <c r="P196" s="27">
        <f>SUM(P194:P195)</f>
        <v>15</v>
      </c>
      <c r="Q196" s="40"/>
      <c r="R196" s="40"/>
      <c r="S196" s="40"/>
      <c r="T196" s="40"/>
      <c r="U196" s="169"/>
    </row>
    <row r="197" spans="2:21" ht="10.5" customHeight="1" thickBot="1" x14ac:dyDescent="0.3">
      <c r="B197" s="5"/>
      <c r="C197" s="163"/>
      <c r="D197" s="5"/>
      <c r="E197" s="4"/>
      <c r="F197" s="4"/>
      <c r="G197" s="6"/>
      <c r="H197" s="6"/>
      <c r="I197" s="5"/>
      <c r="J197" s="5"/>
      <c r="K197" s="6"/>
      <c r="L197" s="192"/>
      <c r="M197" s="192"/>
      <c r="N197" s="31"/>
      <c r="O197" s="6"/>
      <c r="P197" s="5"/>
      <c r="Q197" s="6"/>
      <c r="R197" s="6"/>
      <c r="S197" s="6"/>
      <c r="T197" s="6"/>
      <c r="U197" s="32"/>
    </row>
    <row r="198" spans="2:21" ht="23.25" customHeight="1" x14ac:dyDescent="0.25">
      <c r="B198" s="492" t="e">
        <f>1+#REF!</f>
        <v>#REF!</v>
      </c>
      <c r="C198" s="489" t="s">
        <v>16</v>
      </c>
      <c r="D198" s="211"/>
      <c r="E198" s="344">
        <v>44149</v>
      </c>
      <c r="F198" s="344"/>
      <c r="G198" s="10">
        <v>1379.808</v>
      </c>
      <c r="H198" s="10">
        <v>0</v>
      </c>
      <c r="I198" s="267">
        <v>5</v>
      </c>
      <c r="J198" s="267"/>
      <c r="K198" s="10">
        <v>6899.04</v>
      </c>
      <c r="L198" s="9"/>
      <c r="M198" s="9"/>
      <c r="N198" s="267"/>
      <c r="O198" s="10"/>
      <c r="P198" s="267"/>
      <c r="Q198" s="10"/>
      <c r="R198" s="10"/>
      <c r="S198" s="10"/>
      <c r="T198" s="10"/>
      <c r="U198" s="166" t="s">
        <v>55</v>
      </c>
    </row>
    <row r="199" spans="2:21" ht="23.25" customHeight="1" x14ac:dyDescent="0.25">
      <c r="B199" s="493"/>
      <c r="C199" s="490"/>
      <c r="D199" s="222"/>
      <c r="E199" s="346">
        <v>44293</v>
      </c>
      <c r="F199" s="346"/>
      <c r="G199" s="150">
        <v>1463.193</v>
      </c>
      <c r="H199" s="150">
        <v>0</v>
      </c>
      <c r="I199" s="149">
        <v>10</v>
      </c>
      <c r="J199" s="149"/>
      <c r="K199" s="150">
        <v>14631.93</v>
      </c>
      <c r="L199" s="7"/>
      <c r="M199" s="7"/>
      <c r="N199" s="299"/>
      <c r="O199" s="8"/>
      <c r="P199" s="299"/>
      <c r="Q199" s="8"/>
      <c r="R199" s="8"/>
      <c r="S199" s="8"/>
      <c r="T199" s="8"/>
      <c r="U199" s="172"/>
    </row>
    <row r="200" spans="2:21" ht="23.25" customHeight="1" x14ac:dyDescent="0.25">
      <c r="B200" s="493"/>
      <c r="C200" s="490"/>
      <c r="D200" s="222"/>
      <c r="E200" s="341">
        <v>45112</v>
      </c>
      <c r="F200" s="339" t="s">
        <v>74</v>
      </c>
      <c r="G200" s="340">
        <v>1672.6</v>
      </c>
      <c r="H200" s="340">
        <v>118.53999999999999</v>
      </c>
      <c r="I200" s="339">
        <v>10</v>
      </c>
      <c r="J200" s="340">
        <v>16726</v>
      </c>
      <c r="K200" s="340">
        <v>16844.54</v>
      </c>
      <c r="L200" s="7"/>
      <c r="M200" s="7"/>
      <c r="N200" s="299"/>
      <c r="O200" s="8"/>
      <c r="P200" s="299"/>
      <c r="Q200" s="8"/>
      <c r="R200" s="8"/>
      <c r="S200" s="8"/>
      <c r="T200" s="8"/>
      <c r="U200" s="172"/>
    </row>
    <row r="201" spans="2:21" ht="23.25" customHeight="1" x14ac:dyDescent="0.25">
      <c r="B201" s="493"/>
      <c r="C201" s="490"/>
      <c r="D201" s="222"/>
      <c r="E201" s="454">
        <v>45119</v>
      </c>
      <c r="F201" s="1" t="s">
        <v>74</v>
      </c>
      <c r="G201" s="455">
        <v>1644.7666666666667</v>
      </c>
      <c r="H201" s="455">
        <f>174.81/I201</f>
        <v>11.654</v>
      </c>
      <c r="I201" s="1">
        <v>15</v>
      </c>
      <c r="J201" s="456">
        <v>24671.5</v>
      </c>
      <c r="K201" s="456">
        <v>24846.31</v>
      </c>
      <c r="L201" s="7"/>
      <c r="M201" s="7"/>
      <c r="N201" s="299"/>
      <c r="O201" s="8"/>
      <c r="P201" s="299"/>
      <c r="Q201" s="8"/>
      <c r="R201" s="8"/>
      <c r="S201" s="8"/>
      <c r="T201" s="8"/>
      <c r="U201" s="172"/>
    </row>
    <row r="202" spans="2:21" ht="23.25" customHeight="1" x14ac:dyDescent="0.25">
      <c r="B202" s="493"/>
      <c r="C202" s="490"/>
      <c r="D202" s="222"/>
      <c r="E202" s="341">
        <v>45161</v>
      </c>
      <c r="F202" s="339" t="s">
        <v>74</v>
      </c>
      <c r="G202" s="340">
        <v>1587</v>
      </c>
      <c r="H202" s="340">
        <v>56.239999999999995</v>
      </c>
      <c r="I202" s="339">
        <v>5</v>
      </c>
      <c r="J202" s="340">
        <v>7935</v>
      </c>
      <c r="K202" s="340">
        <v>7991.24</v>
      </c>
      <c r="L202" s="7"/>
      <c r="M202" s="7"/>
      <c r="N202" s="299"/>
      <c r="O202" s="8"/>
      <c r="P202" s="299"/>
      <c r="Q202" s="8"/>
      <c r="R202" s="8"/>
      <c r="S202" s="8"/>
      <c r="T202" s="8"/>
      <c r="U202" s="172"/>
    </row>
    <row r="203" spans="2:21" ht="23.25" customHeight="1" x14ac:dyDescent="0.25">
      <c r="B203" s="493"/>
      <c r="C203" s="490"/>
      <c r="D203" s="222"/>
      <c r="E203" s="341">
        <v>45189</v>
      </c>
      <c r="F203" s="339" t="s">
        <v>74</v>
      </c>
      <c r="G203" s="340">
        <v>1568.1</v>
      </c>
      <c r="H203" s="340">
        <v>55.57</v>
      </c>
      <c r="I203" s="339">
        <v>5</v>
      </c>
      <c r="J203" s="340">
        <v>7840.5</v>
      </c>
      <c r="K203" s="340">
        <v>7896.07</v>
      </c>
      <c r="L203" s="7"/>
      <c r="M203" s="7"/>
      <c r="N203" s="299"/>
      <c r="O203" s="8"/>
      <c r="P203" s="299"/>
      <c r="Q203" s="8"/>
      <c r="R203" s="8"/>
      <c r="S203" s="8"/>
      <c r="T203" s="8"/>
      <c r="U203" s="172"/>
    </row>
    <row r="204" spans="2:21" ht="23.25" customHeight="1" x14ac:dyDescent="0.25">
      <c r="B204" s="493"/>
      <c r="C204" s="490"/>
      <c r="D204" s="222"/>
      <c r="E204" s="341">
        <v>45224</v>
      </c>
      <c r="F204" s="339" t="s">
        <v>74</v>
      </c>
      <c r="G204" s="340">
        <v>1500.65</v>
      </c>
      <c r="H204" s="340">
        <v>53.190000000000005</v>
      </c>
      <c r="I204" s="339">
        <v>5</v>
      </c>
      <c r="J204" s="340">
        <v>7503.25</v>
      </c>
      <c r="K204" s="340">
        <v>7556.44</v>
      </c>
      <c r="L204" s="7"/>
      <c r="M204" s="7"/>
      <c r="N204" s="299"/>
      <c r="O204" s="8"/>
      <c r="P204" s="299"/>
      <c r="Q204" s="8"/>
      <c r="R204" s="8"/>
      <c r="S204" s="8"/>
      <c r="T204" s="8"/>
      <c r="U204" s="172"/>
    </row>
    <row r="205" spans="2:21" ht="23.25" customHeight="1" x14ac:dyDescent="0.25">
      <c r="B205" s="493"/>
      <c r="C205" s="490"/>
      <c r="D205" s="222"/>
      <c r="E205" s="341">
        <v>45226</v>
      </c>
      <c r="F205" s="339" t="s">
        <v>74</v>
      </c>
      <c r="G205" s="340">
        <v>1468.1</v>
      </c>
      <c r="H205" s="340">
        <v>52.010000000000005</v>
      </c>
      <c r="I205" s="339">
        <v>5</v>
      </c>
      <c r="J205" s="340">
        <v>7340.5</v>
      </c>
      <c r="K205" s="340">
        <v>7392.51</v>
      </c>
      <c r="L205" s="7"/>
      <c r="M205" s="7"/>
      <c r="N205" s="299"/>
      <c r="O205" s="8"/>
      <c r="P205" s="299"/>
      <c r="Q205" s="8"/>
      <c r="R205" s="8"/>
      <c r="S205" s="8"/>
      <c r="T205" s="8"/>
      <c r="U205" s="172"/>
    </row>
    <row r="206" spans="2:21" ht="23.25" customHeight="1" x14ac:dyDescent="0.25">
      <c r="B206" s="493"/>
      <c r="C206" s="490"/>
      <c r="D206" s="222"/>
      <c r="E206" s="341">
        <v>45264</v>
      </c>
      <c r="F206" s="339" t="s">
        <v>74</v>
      </c>
      <c r="G206" s="340">
        <v>1610.9</v>
      </c>
      <c r="H206" s="340">
        <v>114.21</v>
      </c>
      <c r="I206" s="339">
        <v>10</v>
      </c>
      <c r="J206" s="340">
        <v>16109</v>
      </c>
      <c r="K206" s="340">
        <v>16223.21</v>
      </c>
      <c r="L206" s="256"/>
      <c r="M206" s="256"/>
      <c r="N206" s="171"/>
      <c r="O206" s="8"/>
      <c r="P206" s="299"/>
      <c r="Q206" s="8"/>
      <c r="R206" s="8"/>
      <c r="S206" s="8"/>
      <c r="T206" s="8"/>
      <c r="U206" s="172"/>
    </row>
    <row r="207" spans="2:21" ht="23.25" customHeight="1" thickBot="1" x14ac:dyDescent="0.3">
      <c r="B207" s="494"/>
      <c r="C207" s="491"/>
      <c r="D207" s="213"/>
      <c r="E207" s="350"/>
      <c r="F207" s="351"/>
      <c r="G207" s="352"/>
      <c r="H207" s="352"/>
      <c r="I207" s="300">
        <f>SUM(I198:I206)</f>
        <v>70</v>
      </c>
      <c r="J207" s="300">
        <f>I207</f>
        <v>70</v>
      </c>
      <c r="K207" s="352"/>
      <c r="L207" s="214"/>
      <c r="M207" s="214"/>
      <c r="N207" s="42"/>
      <c r="O207" s="40"/>
      <c r="P207" s="55"/>
      <c r="Q207" s="40"/>
      <c r="R207" s="40"/>
      <c r="S207" s="40"/>
      <c r="T207" s="40"/>
      <c r="U207" s="169"/>
    </row>
    <row r="208" spans="2:21" ht="12.75" customHeight="1" thickBot="1" x14ac:dyDescent="0.3">
      <c r="B208" s="320"/>
      <c r="C208" s="245"/>
      <c r="D208" s="246"/>
      <c r="E208" s="414"/>
      <c r="F208" s="415"/>
      <c r="G208" s="416"/>
      <c r="H208" s="416"/>
      <c r="I208" s="417"/>
      <c r="J208" s="417"/>
      <c r="K208" s="416"/>
      <c r="L208" s="273"/>
      <c r="M208" s="273"/>
      <c r="N208" s="271"/>
      <c r="O208" s="135"/>
      <c r="P208" s="247"/>
      <c r="Q208" s="135"/>
      <c r="R208" s="135"/>
      <c r="S208" s="135"/>
      <c r="T208" s="135"/>
      <c r="U208" s="453"/>
    </row>
    <row r="209" spans="2:21" ht="23.25" customHeight="1" x14ac:dyDescent="0.25">
      <c r="B209" s="475"/>
      <c r="C209" s="478" t="s">
        <v>89</v>
      </c>
      <c r="D209" s="212"/>
      <c r="E209" s="331">
        <v>45236</v>
      </c>
      <c r="F209" s="332" t="s">
        <v>74</v>
      </c>
      <c r="G209" s="333">
        <v>24.55</v>
      </c>
      <c r="H209" s="333">
        <v>174.00000000000003</v>
      </c>
      <c r="I209" s="332">
        <v>1000</v>
      </c>
      <c r="J209" s="333">
        <v>24550</v>
      </c>
      <c r="K209" s="333">
        <v>24724</v>
      </c>
      <c r="L209" s="331">
        <v>45266</v>
      </c>
      <c r="M209" s="332" t="s">
        <v>114</v>
      </c>
      <c r="N209" s="333">
        <v>25.85</v>
      </c>
      <c r="O209" s="333">
        <v>179.31999999999996</v>
      </c>
      <c r="P209" s="333">
        <v>1000</v>
      </c>
      <c r="Q209" s="333">
        <v>25850</v>
      </c>
      <c r="R209" s="333">
        <v>25670.68</v>
      </c>
      <c r="S209" s="110"/>
      <c r="T209" s="110"/>
      <c r="U209" s="177"/>
    </row>
    <row r="210" spans="2:21" ht="23.25" customHeight="1" thickBot="1" x14ac:dyDescent="0.3">
      <c r="B210" s="477"/>
      <c r="C210" s="480"/>
      <c r="D210" s="213"/>
      <c r="E210" s="39"/>
      <c r="F210" s="39"/>
      <c r="G210" s="40"/>
      <c r="H210" s="40"/>
      <c r="I210" s="27">
        <f>SUM(I209)</f>
        <v>1000</v>
      </c>
      <c r="J210" s="27">
        <f>I210-P210</f>
        <v>0</v>
      </c>
      <c r="K210" s="40"/>
      <c r="L210" s="214"/>
      <c r="M210" s="214"/>
      <c r="N210" s="42"/>
      <c r="O210" s="40"/>
      <c r="P210" s="27">
        <f>SUM(P209)</f>
        <v>1000</v>
      </c>
      <c r="Q210" s="40"/>
      <c r="R210" s="40"/>
      <c r="S210" s="40"/>
      <c r="T210" s="40"/>
      <c r="U210" s="169"/>
    </row>
    <row r="211" spans="2:21" ht="23.25" customHeight="1" thickBot="1" x14ac:dyDescent="0.3">
      <c r="B211" s="5"/>
      <c r="C211" s="163"/>
      <c r="D211" s="5"/>
      <c r="E211" s="4"/>
      <c r="F211" s="4"/>
      <c r="G211" s="6"/>
      <c r="H211" s="6"/>
      <c r="I211" s="5"/>
      <c r="J211" s="5"/>
      <c r="K211" s="6"/>
      <c r="L211" s="192"/>
      <c r="M211" s="192"/>
      <c r="N211" s="31"/>
      <c r="O211" s="6"/>
      <c r="P211" s="5"/>
      <c r="Q211" s="6"/>
      <c r="R211" s="6"/>
      <c r="S211" s="6"/>
      <c r="T211" s="6"/>
      <c r="U211" s="32"/>
    </row>
    <row r="212" spans="2:21" ht="23.25" customHeight="1" x14ac:dyDescent="0.25">
      <c r="B212" s="475" t="e">
        <f>1+B198</f>
        <v>#REF!</v>
      </c>
      <c r="C212" s="478" t="s">
        <v>11</v>
      </c>
      <c r="D212" s="211"/>
      <c r="E212" s="344">
        <v>44655</v>
      </c>
      <c r="F212" s="344"/>
      <c r="G212" s="184">
        <v>729.65</v>
      </c>
      <c r="H212" s="184">
        <v>4.4451999999999989</v>
      </c>
      <c r="I212" s="223">
        <v>10</v>
      </c>
      <c r="J212" s="223"/>
      <c r="K212" s="184">
        <f>(G212+H212)*I212</f>
        <v>7340.9519999999993</v>
      </c>
      <c r="L212" s="335">
        <v>45054</v>
      </c>
      <c r="M212" s="336" t="s">
        <v>114</v>
      </c>
      <c r="N212" s="337">
        <v>940</v>
      </c>
      <c r="O212" s="337">
        <v>65.22</v>
      </c>
      <c r="P212" s="337">
        <v>10</v>
      </c>
      <c r="Q212" s="337">
        <v>9400</v>
      </c>
      <c r="R212" s="337">
        <v>9334.7800000000007</v>
      </c>
      <c r="S212" s="10"/>
      <c r="T212" s="10"/>
      <c r="U212" s="166" t="s">
        <v>55</v>
      </c>
    </row>
    <row r="213" spans="2:21" ht="23.25" customHeight="1" x14ac:dyDescent="0.25">
      <c r="B213" s="476"/>
      <c r="C213" s="479"/>
      <c r="D213" s="222"/>
      <c r="E213" s="346">
        <v>44655</v>
      </c>
      <c r="F213" s="346"/>
      <c r="G213" s="150">
        <v>729.65</v>
      </c>
      <c r="H213" s="150">
        <v>4.4451999999999989</v>
      </c>
      <c r="I213" s="149">
        <v>10</v>
      </c>
      <c r="J213" s="149"/>
      <c r="K213" s="150">
        <f>(G213+H213)*I213</f>
        <v>7340.9519999999993</v>
      </c>
      <c r="L213" s="341">
        <v>45125</v>
      </c>
      <c r="M213" s="339" t="s">
        <v>114</v>
      </c>
      <c r="N213" s="340">
        <v>984.9</v>
      </c>
      <c r="O213" s="340">
        <v>68.33</v>
      </c>
      <c r="P213" s="340">
        <v>10</v>
      </c>
      <c r="Q213" s="340">
        <v>9849</v>
      </c>
      <c r="R213" s="340">
        <v>9780.67</v>
      </c>
      <c r="S213" s="8"/>
      <c r="T213" s="8"/>
      <c r="U213" s="172"/>
    </row>
    <row r="214" spans="2:21" ht="23.25" customHeight="1" x14ac:dyDescent="0.25">
      <c r="B214" s="476"/>
      <c r="C214" s="479"/>
      <c r="D214" s="222"/>
      <c r="E214" s="346">
        <v>44655</v>
      </c>
      <c r="F214" s="346"/>
      <c r="G214" s="150">
        <v>729.65</v>
      </c>
      <c r="H214" s="150">
        <v>4.4451999999999989</v>
      </c>
      <c r="I214" s="149">
        <v>5</v>
      </c>
      <c r="J214" s="149"/>
      <c r="K214" s="150">
        <f>(G214+H214)*I214</f>
        <v>3670.4759999999997</v>
      </c>
      <c r="L214" s="341"/>
      <c r="M214" s="339"/>
      <c r="N214" s="340"/>
      <c r="O214" s="340"/>
      <c r="P214" s="340"/>
      <c r="Q214" s="340"/>
      <c r="R214" s="340"/>
      <c r="S214" s="8"/>
      <c r="T214" s="8"/>
      <c r="U214" s="172"/>
    </row>
    <row r="215" spans="2:21" ht="23.25" customHeight="1" x14ac:dyDescent="0.25">
      <c r="B215" s="476"/>
      <c r="C215" s="479"/>
      <c r="D215" s="222"/>
      <c r="E215" s="341">
        <v>45096</v>
      </c>
      <c r="F215" s="339" t="s">
        <v>74</v>
      </c>
      <c r="G215" s="340">
        <v>920.1</v>
      </c>
      <c r="H215" s="340">
        <v>6.5219999999999345</v>
      </c>
      <c r="I215" s="339">
        <v>10</v>
      </c>
      <c r="J215" s="340">
        <v>9201</v>
      </c>
      <c r="K215" s="340">
        <v>9266.2199999999993</v>
      </c>
      <c r="L215" s="341"/>
      <c r="M215" s="339"/>
      <c r="N215" s="340"/>
      <c r="O215" s="340"/>
      <c r="P215" s="340"/>
      <c r="Q215" s="340"/>
      <c r="R215" s="340"/>
      <c r="S215" s="8"/>
      <c r="T215" s="8"/>
      <c r="U215" s="172"/>
    </row>
    <row r="216" spans="2:21" ht="23.25" customHeight="1" x14ac:dyDescent="0.25">
      <c r="B216" s="476"/>
      <c r="C216" s="479"/>
      <c r="D216" s="222"/>
      <c r="E216" s="341">
        <v>45252</v>
      </c>
      <c r="F216" s="339" t="s">
        <v>74</v>
      </c>
      <c r="G216" s="340">
        <v>916.2</v>
      </c>
      <c r="H216" s="340">
        <v>6.4930000000000287</v>
      </c>
      <c r="I216" s="339">
        <v>20</v>
      </c>
      <c r="J216" s="340">
        <v>18324</v>
      </c>
      <c r="K216" s="340">
        <v>18453.86</v>
      </c>
      <c r="L216" s="7"/>
      <c r="M216" s="7"/>
      <c r="N216" s="299"/>
      <c r="O216" s="8"/>
      <c r="P216" s="299"/>
      <c r="Q216" s="8"/>
      <c r="R216" s="8"/>
      <c r="S216" s="8"/>
      <c r="T216" s="8"/>
      <c r="U216" s="172"/>
    </row>
    <row r="217" spans="2:21" ht="23.25" customHeight="1" x14ac:dyDescent="0.25">
      <c r="B217" s="476"/>
      <c r="C217" s="479"/>
      <c r="D217" s="222"/>
      <c r="E217" s="341">
        <v>45265</v>
      </c>
      <c r="F217" s="339" t="s">
        <v>74</v>
      </c>
      <c r="G217" s="340">
        <v>1012.1</v>
      </c>
      <c r="H217" s="340">
        <v>7.1739999999999782</v>
      </c>
      <c r="I217" s="339">
        <v>20</v>
      </c>
      <c r="J217" s="340">
        <v>20242</v>
      </c>
      <c r="K217" s="340">
        <v>20385.48</v>
      </c>
      <c r="L217" s="7"/>
      <c r="M217" s="7"/>
      <c r="N217" s="299"/>
      <c r="O217" s="8"/>
      <c r="P217" s="299"/>
      <c r="Q217" s="8"/>
      <c r="R217" s="8"/>
      <c r="S217" s="8"/>
      <c r="T217" s="8"/>
      <c r="U217" s="172"/>
    </row>
    <row r="218" spans="2:21" ht="23.25" customHeight="1" thickBot="1" x14ac:dyDescent="0.3">
      <c r="B218" s="477"/>
      <c r="C218" s="480"/>
      <c r="D218" s="213"/>
      <c r="E218" s="39"/>
      <c r="F218" s="39"/>
      <c r="G218" s="40"/>
      <c r="H218" s="40"/>
      <c r="I218" s="27">
        <f>SUM(I212:I217)</f>
        <v>75</v>
      </c>
      <c r="J218" s="27">
        <f>I218-P218</f>
        <v>55</v>
      </c>
      <c r="K218" s="40"/>
      <c r="L218" s="214"/>
      <c r="M218" s="214"/>
      <c r="N218" s="42"/>
      <c r="O218" s="40"/>
      <c r="P218" s="27">
        <f>SUM(P212:P217)</f>
        <v>20</v>
      </c>
      <c r="Q218" s="40"/>
      <c r="R218" s="40"/>
      <c r="S218" s="40"/>
      <c r="T218" s="40"/>
      <c r="U218" s="169"/>
    </row>
    <row r="219" spans="2:21" ht="23.25" customHeight="1" thickBot="1" x14ac:dyDescent="0.3">
      <c r="B219" s="5"/>
      <c r="C219" s="163"/>
      <c r="D219" s="5"/>
      <c r="E219" s="4"/>
      <c r="F219" s="4"/>
      <c r="G219" s="6"/>
      <c r="H219" s="6"/>
      <c r="I219" s="5"/>
      <c r="J219" s="5"/>
      <c r="K219" s="6"/>
      <c r="L219" s="192"/>
      <c r="M219" s="192"/>
      <c r="N219" s="31"/>
      <c r="O219" s="6"/>
      <c r="P219" s="5"/>
      <c r="Q219" s="6"/>
      <c r="R219" s="6"/>
      <c r="S219" s="6"/>
      <c r="T219" s="6"/>
      <c r="U219" s="32"/>
    </row>
    <row r="220" spans="2:21" ht="23.25" customHeight="1" x14ac:dyDescent="0.25">
      <c r="B220" s="475" t="e">
        <f>1+B212</f>
        <v>#REF!</v>
      </c>
      <c r="C220" s="478" t="s">
        <v>34</v>
      </c>
      <c r="D220" s="211"/>
      <c r="E220" s="344">
        <v>44386</v>
      </c>
      <c r="F220" s="344"/>
      <c r="G220" s="184">
        <f>129.39/10</f>
        <v>12.938999999999998</v>
      </c>
      <c r="H220" s="184">
        <v>0</v>
      </c>
      <c r="I220" s="223">
        <v>270</v>
      </c>
      <c r="J220" s="223"/>
      <c r="K220" s="184">
        <f>I220*G220</f>
        <v>3493.5299999999997</v>
      </c>
      <c r="L220" s="223"/>
      <c r="M220" s="223"/>
      <c r="N220" s="223"/>
      <c r="O220" s="223"/>
      <c r="P220" s="223"/>
      <c r="Q220" s="223"/>
      <c r="R220" s="223"/>
      <c r="S220" s="10"/>
      <c r="T220" s="10"/>
      <c r="U220" s="34" t="s">
        <v>28</v>
      </c>
    </row>
    <row r="221" spans="2:21" ht="23.25" customHeight="1" x14ac:dyDescent="0.25">
      <c r="B221" s="476"/>
      <c r="C221" s="479"/>
      <c r="D221" s="222"/>
      <c r="E221" s="346">
        <v>44440</v>
      </c>
      <c r="F221" s="346"/>
      <c r="G221" s="150">
        <f>139.91/10</f>
        <v>13.991</v>
      </c>
      <c r="H221" s="150">
        <v>0</v>
      </c>
      <c r="I221" s="149">
        <v>10</v>
      </c>
      <c r="J221" s="149"/>
      <c r="K221" s="150">
        <f>I221*G221</f>
        <v>139.91</v>
      </c>
      <c r="L221" s="149"/>
      <c r="M221" s="149"/>
      <c r="N221" s="149"/>
      <c r="O221" s="149"/>
      <c r="P221" s="149"/>
      <c r="Q221" s="149"/>
      <c r="R221" s="149"/>
      <c r="S221" s="8"/>
      <c r="T221" s="8"/>
      <c r="U221" s="36"/>
    </row>
    <row r="222" spans="2:21" ht="23.25" customHeight="1" thickBot="1" x14ac:dyDescent="0.3">
      <c r="B222" s="477"/>
      <c r="C222" s="480"/>
      <c r="D222" s="213"/>
      <c r="E222" s="39"/>
      <c r="F222" s="39"/>
      <c r="G222" s="40"/>
      <c r="H222" s="40"/>
      <c r="I222" s="27">
        <f>SUM(I220:I221)</f>
        <v>280</v>
      </c>
      <c r="J222" s="55"/>
      <c r="K222" s="40"/>
      <c r="L222" s="225"/>
      <c r="M222" s="225"/>
      <c r="N222" s="225"/>
      <c r="O222" s="225"/>
      <c r="P222" s="225"/>
      <c r="Q222" s="225"/>
      <c r="R222" s="225"/>
      <c r="S222" s="40"/>
      <c r="T222" s="40"/>
      <c r="U222" s="43"/>
    </row>
    <row r="223" spans="2:21" ht="12.75" customHeight="1" thickBot="1" x14ac:dyDescent="0.3">
      <c r="B223" s="56"/>
      <c r="C223" s="142"/>
      <c r="D223" s="56"/>
      <c r="E223" s="59"/>
      <c r="F223" s="59"/>
      <c r="G223" s="60"/>
      <c r="H223" s="60"/>
      <c r="I223" s="56"/>
      <c r="J223" s="56"/>
      <c r="K223" s="60"/>
      <c r="L223" s="143"/>
      <c r="M223" s="143"/>
      <c r="N223" s="62"/>
      <c r="O223" s="60"/>
      <c r="P223" s="56"/>
      <c r="Q223" s="60"/>
      <c r="R223" s="60"/>
      <c r="S223" s="60"/>
      <c r="T223" s="60"/>
      <c r="U223" s="63"/>
    </row>
    <row r="224" spans="2:21" ht="23.25" customHeight="1" thickTop="1" x14ac:dyDescent="0.25">
      <c r="B224" s="64" t="e">
        <f>1+B220</f>
        <v>#REF!</v>
      </c>
      <c r="C224" s="472" t="s">
        <v>35</v>
      </c>
      <c r="D224" s="64"/>
      <c r="E224" s="355">
        <v>44386</v>
      </c>
      <c r="F224" s="356"/>
      <c r="G224" s="150">
        <v>84.79</v>
      </c>
      <c r="H224" s="150">
        <v>0</v>
      </c>
      <c r="I224" s="149">
        <v>27</v>
      </c>
      <c r="J224" s="180"/>
      <c r="K224" s="151">
        <f>I224*G224</f>
        <v>2289.3300000000004</v>
      </c>
      <c r="L224" s="218">
        <v>45100</v>
      </c>
      <c r="M224" s="219" t="s">
        <v>131</v>
      </c>
      <c r="N224" s="281">
        <v>105.43392857142858</v>
      </c>
      <c r="O224" s="219">
        <v>0</v>
      </c>
      <c r="P224" s="219">
        <v>27</v>
      </c>
      <c r="Q224" s="219">
        <v>2952.15</v>
      </c>
      <c r="R224" s="282">
        <f>(N224-O224)*P224</f>
        <v>2846.7160714285715</v>
      </c>
      <c r="S224" s="106"/>
      <c r="T224" s="106"/>
      <c r="U224" s="66" t="s">
        <v>28</v>
      </c>
    </row>
    <row r="225" spans="1:21" ht="23.25" customHeight="1" x14ac:dyDescent="0.25">
      <c r="B225" s="67"/>
      <c r="C225" s="473"/>
      <c r="D225" s="67"/>
      <c r="E225" s="355">
        <v>44440</v>
      </c>
      <c r="F225" s="356"/>
      <c r="G225" s="150">
        <v>93.55</v>
      </c>
      <c r="H225" s="150">
        <v>0</v>
      </c>
      <c r="I225" s="149">
        <v>1</v>
      </c>
      <c r="J225" s="180"/>
      <c r="K225" s="151">
        <f>I225*G225</f>
        <v>93.55</v>
      </c>
      <c r="L225" s="153">
        <v>45100</v>
      </c>
      <c r="M225" s="154" t="s">
        <v>131</v>
      </c>
      <c r="N225" s="157">
        <v>105.43392857142858</v>
      </c>
      <c r="O225" s="154">
        <v>0</v>
      </c>
      <c r="P225" s="154">
        <v>1</v>
      </c>
      <c r="Q225" s="154">
        <v>2952.15</v>
      </c>
      <c r="R225" s="161">
        <f>(N225-O225)*P225</f>
        <v>105.43392857142858</v>
      </c>
      <c r="S225" s="6"/>
      <c r="T225" s="6"/>
      <c r="U225" s="69"/>
    </row>
    <row r="226" spans="1:21" ht="23.25" customHeight="1" thickBot="1" x14ac:dyDescent="0.3">
      <c r="B226" s="81"/>
      <c r="C226" s="474"/>
      <c r="D226" s="81"/>
      <c r="E226" s="115"/>
      <c r="F226" s="115"/>
      <c r="G226" s="91"/>
      <c r="H226" s="91"/>
      <c r="I226" s="144">
        <f>SUM(I224:I225)</f>
        <v>28</v>
      </c>
      <c r="J226" s="158"/>
      <c r="K226" s="93"/>
      <c r="L226" s="117"/>
      <c r="M226" s="117"/>
      <c r="N226" s="90"/>
      <c r="O226" s="91"/>
      <c r="P226" s="144">
        <f>SUM(P224:P225)</f>
        <v>28</v>
      </c>
      <c r="Q226" s="193"/>
      <c r="R226" s="60"/>
      <c r="S226" s="60"/>
      <c r="T226" s="60"/>
      <c r="U226" s="95"/>
    </row>
    <row r="227" spans="1:21" ht="23.25" customHeight="1" thickTop="1" thickBot="1" x14ac:dyDescent="0.3">
      <c r="B227" s="5"/>
      <c r="C227" s="163"/>
      <c r="D227" s="5"/>
      <c r="E227" s="4"/>
      <c r="F227" s="4"/>
      <c r="G227" s="6"/>
      <c r="H227" s="6"/>
      <c r="I227" s="5"/>
      <c r="J227" s="5"/>
      <c r="K227" s="6"/>
      <c r="L227" s="192"/>
      <c r="M227" s="192"/>
      <c r="N227" s="31"/>
      <c r="O227" s="6"/>
      <c r="P227" s="5"/>
      <c r="Q227" s="6"/>
      <c r="R227" s="6"/>
      <c r="S227" s="6"/>
      <c r="T227" s="6"/>
      <c r="U227" s="32"/>
    </row>
    <row r="228" spans="1:21" ht="23.25" customHeight="1" thickBot="1" x14ac:dyDescent="0.3">
      <c r="A228" s="197"/>
      <c r="B228" s="501" t="e">
        <f>1+B224</f>
        <v>#REF!</v>
      </c>
      <c r="C228" s="504" t="s">
        <v>66</v>
      </c>
      <c r="D228" s="125"/>
      <c r="E228" s="394">
        <v>44987</v>
      </c>
      <c r="F228" s="395"/>
      <c r="G228" s="184">
        <v>4622.1499999999996</v>
      </c>
      <c r="H228" s="184">
        <v>28.15</v>
      </c>
      <c r="I228" s="223">
        <v>5</v>
      </c>
      <c r="J228" s="396"/>
      <c r="K228" s="397">
        <f>(G228+H228)*I228</f>
        <v>23251.499999999996</v>
      </c>
      <c r="L228" s="357">
        <v>45049</v>
      </c>
      <c r="M228" s="358" t="s">
        <v>114</v>
      </c>
      <c r="N228" s="359">
        <v>4850</v>
      </c>
      <c r="O228" s="359">
        <v>168.21999999999997</v>
      </c>
      <c r="P228" s="358">
        <v>5</v>
      </c>
      <c r="Q228" s="359">
        <v>24250</v>
      </c>
      <c r="R228" s="359">
        <v>24081.78</v>
      </c>
      <c r="S228" s="398"/>
      <c r="T228" s="398"/>
      <c r="U228" s="126" t="s">
        <v>55</v>
      </c>
    </row>
    <row r="229" spans="1:21" ht="23.25" customHeight="1" thickBot="1" x14ac:dyDescent="0.3">
      <c r="A229" s="197"/>
      <c r="B229" s="502"/>
      <c r="C229" s="505"/>
      <c r="D229" s="130"/>
      <c r="E229" s="399"/>
      <c r="F229" s="400"/>
      <c r="G229" s="224"/>
      <c r="H229" s="224"/>
      <c r="I229" s="279">
        <f>SUM(I228)</f>
        <v>5</v>
      </c>
      <c r="J229" s="401"/>
      <c r="K229" s="402"/>
      <c r="L229" s="198"/>
      <c r="M229" s="185"/>
      <c r="N229" s="132"/>
      <c r="O229" s="131"/>
      <c r="P229" s="178">
        <f>SUM(P228)</f>
        <v>5</v>
      </c>
      <c r="Q229" s="134"/>
      <c r="R229" s="135"/>
      <c r="S229" s="135"/>
      <c r="T229" s="135"/>
      <c r="U229" s="133"/>
    </row>
    <row r="230" spans="1:21" ht="12" customHeight="1" thickBot="1" x14ac:dyDescent="0.3">
      <c r="A230" s="197"/>
      <c r="B230" s="124"/>
      <c r="C230" s="136"/>
      <c r="D230" s="125"/>
      <c r="E230" s="403"/>
      <c r="F230" s="403"/>
      <c r="G230" s="404"/>
      <c r="H230" s="404"/>
      <c r="I230" s="405"/>
      <c r="J230" s="406"/>
      <c r="K230" s="407"/>
      <c r="L230" s="283"/>
      <c r="M230" s="284"/>
      <c r="N230" s="268"/>
      <c r="O230" s="3"/>
      <c r="P230" s="268"/>
      <c r="Q230" s="215"/>
      <c r="R230" s="137"/>
      <c r="S230" s="137"/>
      <c r="T230" s="137"/>
      <c r="U230" s="126"/>
    </row>
    <row r="231" spans="1:21" ht="23.25" customHeight="1" x14ac:dyDescent="0.25">
      <c r="A231" s="197"/>
      <c r="B231" s="475"/>
      <c r="C231" s="486" t="s">
        <v>90</v>
      </c>
      <c r="D231" s="211"/>
      <c r="E231" s="335">
        <v>45063</v>
      </c>
      <c r="F231" s="336" t="s">
        <v>74</v>
      </c>
      <c r="G231" s="337">
        <v>56.4</v>
      </c>
      <c r="H231" s="337">
        <v>0.39969000000000232</v>
      </c>
      <c r="I231" s="336">
        <v>200</v>
      </c>
      <c r="J231" s="337">
        <v>56400</v>
      </c>
      <c r="K231" s="337">
        <f>(G231+H231)*I231</f>
        <v>11359.938</v>
      </c>
      <c r="L231" s="335">
        <v>45110</v>
      </c>
      <c r="M231" s="336" t="s">
        <v>114</v>
      </c>
      <c r="N231" s="337">
        <v>56.95</v>
      </c>
      <c r="O231" s="345">
        <v>0.39515000000000328</v>
      </c>
      <c r="P231" s="337">
        <v>200</v>
      </c>
      <c r="Q231" s="337">
        <v>11390</v>
      </c>
      <c r="R231" s="337">
        <v>11310.97</v>
      </c>
      <c r="S231" s="10"/>
      <c r="T231" s="10"/>
      <c r="U231" s="34"/>
    </row>
    <row r="232" spans="1:21" ht="23.25" customHeight="1" x14ac:dyDescent="0.25">
      <c r="B232" s="476"/>
      <c r="C232" s="487"/>
      <c r="D232" s="149"/>
      <c r="E232" s="341">
        <v>45063</v>
      </c>
      <c r="F232" s="339" t="s">
        <v>74</v>
      </c>
      <c r="G232" s="340">
        <v>56.4</v>
      </c>
      <c r="H232" s="340">
        <v>0.39969000000000232</v>
      </c>
      <c r="I232" s="339">
        <v>200</v>
      </c>
      <c r="J232" s="340">
        <v>56400</v>
      </c>
      <c r="K232" s="340">
        <f>(G232+H232)*I232</f>
        <v>11359.938</v>
      </c>
      <c r="L232" s="341">
        <v>45112</v>
      </c>
      <c r="M232" s="339" t="s">
        <v>114</v>
      </c>
      <c r="N232" s="340">
        <v>58.95</v>
      </c>
      <c r="O232" s="347">
        <v>0.40899999999999637</v>
      </c>
      <c r="P232" s="340">
        <v>200</v>
      </c>
      <c r="Q232" s="340">
        <v>11790</v>
      </c>
      <c r="R232" s="340">
        <v>11708.2</v>
      </c>
      <c r="S232" s="150"/>
      <c r="T232" s="150"/>
      <c r="U232" s="286"/>
    </row>
    <row r="233" spans="1:21" ht="23.25" customHeight="1" x14ac:dyDescent="0.25">
      <c r="A233" s="197"/>
      <c r="B233" s="476"/>
      <c r="C233" s="487"/>
      <c r="D233" s="222"/>
      <c r="E233" s="341">
        <v>45063</v>
      </c>
      <c r="F233" s="339" t="s">
        <v>74</v>
      </c>
      <c r="G233" s="340">
        <v>56.4</v>
      </c>
      <c r="H233" s="340">
        <v>0.39969000000000232</v>
      </c>
      <c r="I233" s="339">
        <v>400</v>
      </c>
      <c r="J233" s="340">
        <v>56400</v>
      </c>
      <c r="K233" s="340">
        <f>(G233+H233)*I233</f>
        <v>22719.876</v>
      </c>
      <c r="L233" s="341">
        <v>45139</v>
      </c>
      <c r="M233" s="339" t="s">
        <v>114</v>
      </c>
      <c r="N233" s="340">
        <v>61.45</v>
      </c>
      <c r="O233" s="347">
        <v>0.42647500000000038</v>
      </c>
      <c r="P233" s="340">
        <v>400</v>
      </c>
      <c r="Q233" s="340">
        <v>24580</v>
      </c>
      <c r="R233" s="340">
        <v>24409.41</v>
      </c>
      <c r="S233" s="8"/>
      <c r="T233" s="8"/>
      <c r="U233" s="36"/>
    </row>
    <row r="234" spans="1:21" ht="23.25" customHeight="1" x14ac:dyDescent="0.25">
      <c r="A234" s="197"/>
      <c r="B234" s="476"/>
      <c r="C234" s="487"/>
      <c r="D234" s="222"/>
      <c r="E234" s="341">
        <v>45063</v>
      </c>
      <c r="F234" s="339" t="s">
        <v>74</v>
      </c>
      <c r="G234" s="340">
        <v>56.4</v>
      </c>
      <c r="H234" s="340">
        <v>0.39969000000000232</v>
      </c>
      <c r="I234" s="339">
        <v>200</v>
      </c>
      <c r="J234" s="340">
        <v>56400</v>
      </c>
      <c r="K234" s="340">
        <f>(G234+H234)*I234</f>
        <v>11359.938</v>
      </c>
      <c r="L234" s="341">
        <v>45174</v>
      </c>
      <c r="M234" s="339" t="s">
        <v>114</v>
      </c>
      <c r="N234" s="340">
        <v>67.424999999999997</v>
      </c>
      <c r="O234" s="347">
        <v>0.46784999999999854</v>
      </c>
      <c r="P234" s="340">
        <v>200</v>
      </c>
      <c r="Q234" s="340">
        <v>13485</v>
      </c>
      <c r="R234" s="340">
        <v>13391.43</v>
      </c>
      <c r="S234" s="8"/>
      <c r="T234" s="8"/>
      <c r="U234" s="36"/>
    </row>
    <row r="235" spans="1:21" ht="23.25" customHeight="1" thickBot="1" x14ac:dyDescent="0.3">
      <c r="A235" s="197"/>
      <c r="B235" s="477"/>
      <c r="C235" s="488"/>
      <c r="D235" s="213"/>
      <c r="E235" s="39"/>
      <c r="F235" s="39"/>
      <c r="G235" s="40"/>
      <c r="H235" s="40"/>
      <c r="I235" s="27">
        <f>SUM(I231:I234)</f>
        <v>1000</v>
      </c>
      <c r="J235" s="55"/>
      <c r="K235" s="40"/>
      <c r="L235" s="214"/>
      <c r="M235" s="214"/>
      <c r="N235" s="42"/>
      <c r="O235" s="40"/>
      <c r="P235" s="27">
        <f>SUM(P231:P234)</f>
        <v>1000</v>
      </c>
      <c r="Q235" s="40"/>
      <c r="R235" s="40"/>
      <c r="S235" s="40"/>
      <c r="T235" s="40"/>
      <c r="U235" s="43"/>
    </row>
    <row r="236" spans="1:21" ht="11.25" customHeight="1" thickBot="1" x14ac:dyDescent="0.3">
      <c r="B236" s="5"/>
      <c r="C236" s="163"/>
      <c r="D236" s="5"/>
      <c r="E236" s="4"/>
      <c r="F236" s="4"/>
      <c r="G236" s="6"/>
      <c r="H236" s="6"/>
      <c r="I236" s="5"/>
      <c r="J236" s="5"/>
      <c r="K236" s="6"/>
      <c r="L236" s="192"/>
      <c r="M236" s="192"/>
      <c r="N236" s="31"/>
      <c r="O236" s="6"/>
      <c r="P236" s="5"/>
      <c r="Q236" s="6"/>
      <c r="R236" s="6"/>
      <c r="S236" s="6"/>
      <c r="T236" s="6"/>
      <c r="U236" s="32"/>
    </row>
    <row r="237" spans="1:21" ht="23.25" customHeight="1" x14ac:dyDescent="0.25">
      <c r="A237" s="197"/>
      <c r="B237" s="475" t="e">
        <f>1+B228</f>
        <v>#REF!</v>
      </c>
      <c r="C237" s="478" t="s">
        <v>36</v>
      </c>
      <c r="D237" s="211"/>
      <c r="E237" s="344">
        <v>44467</v>
      </c>
      <c r="F237" s="344"/>
      <c r="G237" s="184">
        <v>11</v>
      </c>
      <c r="H237" s="184">
        <v>0</v>
      </c>
      <c r="I237" s="223">
        <v>10</v>
      </c>
      <c r="J237" s="223"/>
      <c r="K237" s="184">
        <v>110</v>
      </c>
      <c r="L237" s="218">
        <v>45163</v>
      </c>
      <c r="M237" s="219" t="s">
        <v>131</v>
      </c>
      <c r="N237" s="219">
        <v>8.4499999999999993</v>
      </c>
      <c r="O237" s="219">
        <v>0</v>
      </c>
      <c r="P237" s="219">
        <v>10</v>
      </c>
      <c r="Q237" s="219">
        <v>1689.9999999999998</v>
      </c>
      <c r="R237" s="219">
        <f t="shared" ref="R237:R250" si="35">(N237-O237)*P237</f>
        <v>84.5</v>
      </c>
      <c r="S237" s="184"/>
      <c r="T237" s="184"/>
      <c r="U237" s="34" t="s">
        <v>28</v>
      </c>
    </row>
    <row r="238" spans="1:21" ht="23.25" customHeight="1" x14ac:dyDescent="0.25">
      <c r="A238" s="197"/>
      <c r="B238" s="476"/>
      <c r="C238" s="479"/>
      <c r="D238" s="222"/>
      <c r="E238" s="346">
        <v>44617</v>
      </c>
      <c r="F238" s="346"/>
      <c r="G238" s="150">
        <v>10.199999999999999</v>
      </c>
      <c r="H238" s="150">
        <v>0</v>
      </c>
      <c r="I238" s="149">
        <v>10</v>
      </c>
      <c r="J238" s="149"/>
      <c r="K238" s="150">
        <v>102</v>
      </c>
      <c r="L238" s="153">
        <v>45163</v>
      </c>
      <c r="M238" s="154" t="s">
        <v>131</v>
      </c>
      <c r="N238" s="154">
        <v>8.4499999999999993</v>
      </c>
      <c r="O238" s="154">
        <v>0</v>
      </c>
      <c r="P238" s="154">
        <v>10</v>
      </c>
      <c r="Q238" s="154">
        <v>1689.9999999999998</v>
      </c>
      <c r="R238" s="154">
        <f t="shared" si="35"/>
        <v>84.5</v>
      </c>
      <c r="S238" s="8"/>
      <c r="T238" s="8"/>
      <c r="U238" s="36"/>
    </row>
    <row r="239" spans="1:21" ht="23.25" customHeight="1" x14ac:dyDescent="0.25">
      <c r="A239" s="197"/>
      <c r="B239" s="476"/>
      <c r="C239" s="479"/>
      <c r="D239" s="222"/>
      <c r="E239" s="346">
        <v>44651</v>
      </c>
      <c r="F239" s="346"/>
      <c r="G239" s="150">
        <v>9.6999999999999993</v>
      </c>
      <c r="H239" s="150">
        <v>0</v>
      </c>
      <c r="I239" s="149">
        <v>10</v>
      </c>
      <c r="J239" s="149"/>
      <c r="K239" s="150">
        <v>97</v>
      </c>
      <c r="L239" s="153">
        <v>45163</v>
      </c>
      <c r="M239" s="154" t="s">
        <v>131</v>
      </c>
      <c r="N239" s="154">
        <v>8.4499999999999993</v>
      </c>
      <c r="O239" s="154">
        <v>0</v>
      </c>
      <c r="P239" s="154">
        <v>10</v>
      </c>
      <c r="Q239" s="154">
        <v>1689.9999999999998</v>
      </c>
      <c r="R239" s="154">
        <f t="shared" si="35"/>
        <v>84.5</v>
      </c>
      <c r="S239" s="8"/>
      <c r="T239" s="8"/>
      <c r="U239" s="36"/>
    </row>
    <row r="240" spans="1:21" ht="23.25" customHeight="1" x14ac:dyDescent="0.25">
      <c r="A240" s="197"/>
      <c r="B240" s="476"/>
      <c r="C240" s="479"/>
      <c r="D240" s="222"/>
      <c r="E240" s="346">
        <v>44774</v>
      </c>
      <c r="F240" s="346"/>
      <c r="G240" s="150">
        <v>8.8800000000000008</v>
      </c>
      <c r="H240" s="150">
        <v>0</v>
      </c>
      <c r="I240" s="149">
        <v>14</v>
      </c>
      <c r="J240" s="149"/>
      <c r="K240" s="150">
        <v>124.32000000000001</v>
      </c>
      <c r="L240" s="153">
        <v>45163</v>
      </c>
      <c r="M240" s="154" t="s">
        <v>131</v>
      </c>
      <c r="N240" s="154">
        <v>8.4499999999999993</v>
      </c>
      <c r="O240" s="154">
        <v>0</v>
      </c>
      <c r="P240" s="154">
        <v>14</v>
      </c>
      <c r="Q240" s="154">
        <v>1689.9999999999998</v>
      </c>
      <c r="R240" s="154">
        <f t="shared" si="35"/>
        <v>118.29999999999998</v>
      </c>
      <c r="S240" s="8"/>
      <c r="T240" s="8"/>
      <c r="U240" s="36"/>
    </row>
    <row r="241" spans="1:21" ht="23.25" customHeight="1" x14ac:dyDescent="0.25">
      <c r="A241" s="197"/>
      <c r="B241" s="476"/>
      <c r="C241" s="479"/>
      <c r="D241" s="222"/>
      <c r="E241" s="346">
        <v>44777</v>
      </c>
      <c r="F241" s="346"/>
      <c r="G241" s="150">
        <v>8.65</v>
      </c>
      <c r="H241" s="150">
        <v>0</v>
      </c>
      <c r="I241" s="149">
        <v>16</v>
      </c>
      <c r="J241" s="149"/>
      <c r="K241" s="150">
        <v>138.4</v>
      </c>
      <c r="L241" s="153">
        <v>45163</v>
      </c>
      <c r="M241" s="154" t="s">
        <v>131</v>
      </c>
      <c r="N241" s="154">
        <v>8.4499999999999993</v>
      </c>
      <c r="O241" s="154">
        <v>0</v>
      </c>
      <c r="P241" s="154">
        <v>16</v>
      </c>
      <c r="Q241" s="154">
        <v>1689.9999999999998</v>
      </c>
      <c r="R241" s="154">
        <f t="shared" si="35"/>
        <v>135.19999999999999</v>
      </c>
      <c r="S241" s="8"/>
      <c r="T241" s="8"/>
      <c r="U241" s="36"/>
    </row>
    <row r="242" spans="1:21" ht="23.25" customHeight="1" x14ac:dyDescent="0.25">
      <c r="A242" s="197"/>
      <c r="B242" s="476"/>
      <c r="C242" s="479"/>
      <c r="D242" s="222"/>
      <c r="E242" s="346">
        <v>44796</v>
      </c>
      <c r="F242" s="346"/>
      <c r="G242" s="150">
        <v>8.6199999999999992</v>
      </c>
      <c r="H242" s="150">
        <v>0</v>
      </c>
      <c r="I242" s="149">
        <v>10</v>
      </c>
      <c r="J242" s="149"/>
      <c r="K242" s="150">
        <v>86.199999999999989</v>
      </c>
      <c r="L242" s="153">
        <v>45163</v>
      </c>
      <c r="M242" s="154" t="s">
        <v>131</v>
      </c>
      <c r="N242" s="154">
        <v>8.4499999999999993</v>
      </c>
      <c r="O242" s="154">
        <v>0</v>
      </c>
      <c r="P242" s="154">
        <v>10</v>
      </c>
      <c r="Q242" s="154">
        <v>1689.9999999999998</v>
      </c>
      <c r="R242" s="154">
        <f t="shared" si="35"/>
        <v>84.5</v>
      </c>
      <c r="S242" s="8"/>
      <c r="T242" s="8"/>
      <c r="U242" s="36"/>
    </row>
    <row r="243" spans="1:21" ht="23.25" customHeight="1" x14ac:dyDescent="0.25">
      <c r="A243" s="197"/>
      <c r="B243" s="476"/>
      <c r="C243" s="479"/>
      <c r="D243" s="222"/>
      <c r="E243" s="346">
        <v>44825</v>
      </c>
      <c r="F243" s="346"/>
      <c r="G243" s="150">
        <v>9.11</v>
      </c>
      <c r="H243" s="150">
        <v>0</v>
      </c>
      <c r="I243" s="149">
        <v>2</v>
      </c>
      <c r="J243" s="149"/>
      <c r="K243" s="150">
        <v>18.22</v>
      </c>
      <c r="L243" s="153">
        <v>45163</v>
      </c>
      <c r="M243" s="154" t="s">
        <v>131</v>
      </c>
      <c r="N243" s="154">
        <v>8.4499999999999993</v>
      </c>
      <c r="O243" s="154">
        <v>0</v>
      </c>
      <c r="P243" s="154">
        <v>2</v>
      </c>
      <c r="Q243" s="154">
        <v>1689.9999999999998</v>
      </c>
      <c r="R243" s="154">
        <f t="shared" si="35"/>
        <v>16.899999999999999</v>
      </c>
      <c r="S243" s="8"/>
      <c r="T243" s="8"/>
      <c r="U243" s="36"/>
    </row>
    <row r="244" spans="1:21" ht="23.25" customHeight="1" x14ac:dyDescent="0.25">
      <c r="A244" s="197"/>
      <c r="B244" s="476"/>
      <c r="C244" s="479"/>
      <c r="D244" s="222"/>
      <c r="E244" s="346">
        <v>44826</v>
      </c>
      <c r="F244" s="346"/>
      <c r="G244" s="150">
        <v>9.15</v>
      </c>
      <c r="H244" s="150">
        <v>0</v>
      </c>
      <c r="I244" s="149">
        <v>8</v>
      </c>
      <c r="J244" s="149"/>
      <c r="K244" s="150">
        <v>73.2</v>
      </c>
      <c r="L244" s="153">
        <v>45163</v>
      </c>
      <c r="M244" s="154" t="s">
        <v>131</v>
      </c>
      <c r="N244" s="154">
        <v>8.4499999999999993</v>
      </c>
      <c r="O244" s="154">
        <v>0</v>
      </c>
      <c r="P244" s="154">
        <v>8</v>
      </c>
      <c r="Q244" s="154">
        <v>1689.9999999999998</v>
      </c>
      <c r="R244" s="154">
        <f t="shared" si="35"/>
        <v>67.599999999999994</v>
      </c>
      <c r="S244" s="8"/>
      <c r="T244" s="8"/>
      <c r="U244" s="36"/>
    </row>
    <row r="245" spans="1:21" ht="23.25" customHeight="1" x14ac:dyDescent="0.25">
      <c r="A245" s="197"/>
      <c r="B245" s="476"/>
      <c r="C245" s="479"/>
      <c r="D245" s="222"/>
      <c r="E245" s="346">
        <v>44830</v>
      </c>
      <c r="F245" s="346"/>
      <c r="G245" s="150">
        <v>9</v>
      </c>
      <c r="H245" s="150">
        <v>0</v>
      </c>
      <c r="I245" s="149">
        <v>8</v>
      </c>
      <c r="J245" s="149"/>
      <c r="K245" s="150">
        <v>72</v>
      </c>
      <c r="L245" s="153">
        <v>45163</v>
      </c>
      <c r="M245" s="154" t="s">
        <v>131</v>
      </c>
      <c r="N245" s="154">
        <v>8.4499999999999993</v>
      </c>
      <c r="O245" s="154">
        <v>0</v>
      </c>
      <c r="P245" s="154">
        <v>8</v>
      </c>
      <c r="Q245" s="154">
        <v>1689.9999999999998</v>
      </c>
      <c r="R245" s="154">
        <f t="shared" si="35"/>
        <v>67.599999999999994</v>
      </c>
      <c r="S245" s="8"/>
      <c r="T245" s="8"/>
      <c r="U245" s="36"/>
    </row>
    <row r="246" spans="1:21" ht="23.25" customHeight="1" x14ac:dyDescent="0.25">
      <c r="A246" s="197"/>
      <c r="B246" s="476"/>
      <c r="C246" s="479"/>
      <c r="D246" s="222"/>
      <c r="E246" s="346">
        <v>44867</v>
      </c>
      <c r="F246" s="346"/>
      <c r="G246" s="150">
        <v>8.6</v>
      </c>
      <c r="H246" s="150">
        <v>0</v>
      </c>
      <c r="I246" s="149">
        <v>12</v>
      </c>
      <c r="J246" s="149"/>
      <c r="K246" s="150">
        <v>103.19999999999999</v>
      </c>
      <c r="L246" s="153">
        <v>45163</v>
      </c>
      <c r="M246" s="154" t="s">
        <v>131</v>
      </c>
      <c r="N246" s="154">
        <v>8.4499999999999993</v>
      </c>
      <c r="O246" s="154">
        <v>0</v>
      </c>
      <c r="P246" s="154">
        <v>12</v>
      </c>
      <c r="Q246" s="154">
        <v>1689.9999999999998</v>
      </c>
      <c r="R246" s="154">
        <f t="shared" si="35"/>
        <v>101.39999999999999</v>
      </c>
      <c r="S246" s="8"/>
      <c r="T246" s="8"/>
      <c r="U246" s="36"/>
    </row>
    <row r="247" spans="1:21" ht="23.25" customHeight="1" x14ac:dyDescent="0.25">
      <c r="A247" s="197"/>
      <c r="B247" s="476"/>
      <c r="C247" s="479"/>
      <c r="D247" s="222"/>
      <c r="E247" s="346">
        <v>44977</v>
      </c>
      <c r="F247" s="346"/>
      <c r="G247" s="150">
        <v>6.93</v>
      </c>
      <c r="H247" s="150">
        <v>0</v>
      </c>
      <c r="I247" s="149">
        <v>20</v>
      </c>
      <c r="J247" s="149"/>
      <c r="K247" s="150">
        <v>138.6</v>
      </c>
      <c r="L247" s="153">
        <v>45163</v>
      </c>
      <c r="M247" s="154" t="s">
        <v>131</v>
      </c>
      <c r="N247" s="154">
        <v>8.4499999999999993</v>
      </c>
      <c r="O247" s="154">
        <v>0</v>
      </c>
      <c r="P247" s="154">
        <v>20</v>
      </c>
      <c r="Q247" s="154">
        <v>1689.9999999999998</v>
      </c>
      <c r="R247" s="154">
        <f t="shared" si="35"/>
        <v>169</v>
      </c>
      <c r="S247" s="8"/>
      <c r="T247" s="8"/>
      <c r="U247" s="36"/>
    </row>
    <row r="248" spans="1:21" ht="23.25" customHeight="1" x14ac:dyDescent="0.25">
      <c r="A248" s="197"/>
      <c r="B248" s="476"/>
      <c r="C248" s="479"/>
      <c r="D248" s="222"/>
      <c r="E248" s="7">
        <v>44980</v>
      </c>
      <c r="F248" s="7"/>
      <c r="G248" s="8">
        <v>6.77</v>
      </c>
      <c r="H248" s="8">
        <v>0</v>
      </c>
      <c r="I248" s="299">
        <v>30</v>
      </c>
      <c r="J248" s="299"/>
      <c r="K248" s="8">
        <v>203.1</v>
      </c>
      <c r="L248" s="153">
        <v>45163</v>
      </c>
      <c r="M248" s="154" t="s">
        <v>131</v>
      </c>
      <c r="N248" s="154">
        <v>8.4499999999999993</v>
      </c>
      <c r="O248" s="154">
        <v>0</v>
      </c>
      <c r="P248" s="154">
        <v>30</v>
      </c>
      <c r="Q248" s="154">
        <v>1689.9999999999998</v>
      </c>
      <c r="R248" s="154">
        <f t="shared" si="35"/>
        <v>253.49999999999997</v>
      </c>
      <c r="S248" s="8"/>
      <c r="T248" s="8"/>
      <c r="U248" s="36"/>
    </row>
    <row r="249" spans="1:21" ht="23.25" customHeight="1" x14ac:dyDescent="0.25">
      <c r="A249" s="197"/>
      <c r="B249" s="476"/>
      <c r="C249" s="479"/>
      <c r="D249" s="222"/>
      <c r="E249" s="153">
        <v>45022</v>
      </c>
      <c r="F249" s="154" t="s">
        <v>130</v>
      </c>
      <c r="G249" s="157">
        <v>6.2357142857142858</v>
      </c>
      <c r="H249" s="154">
        <v>0</v>
      </c>
      <c r="I249" s="154">
        <v>14</v>
      </c>
      <c r="J249" s="154">
        <v>87.3</v>
      </c>
      <c r="K249" s="154">
        <v>87.3</v>
      </c>
      <c r="L249" s="153">
        <v>45163</v>
      </c>
      <c r="M249" s="154" t="s">
        <v>131</v>
      </c>
      <c r="N249" s="154">
        <v>8.4499999999999993</v>
      </c>
      <c r="O249" s="154">
        <v>0</v>
      </c>
      <c r="P249" s="154">
        <v>14</v>
      </c>
      <c r="Q249" s="154">
        <v>1689.9999999999998</v>
      </c>
      <c r="R249" s="154">
        <f t="shared" si="35"/>
        <v>118.29999999999998</v>
      </c>
      <c r="S249" s="8"/>
      <c r="T249" s="8"/>
      <c r="U249" s="36"/>
    </row>
    <row r="250" spans="1:21" ht="23.25" customHeight="1" x14ac:dyDescent="0.25">
      <c r="A250" s="197"/>
      <c r="B250" s="476"/>
      <c r="C250" s="479"/>
      <c r="D250" s="222"/>
      <c r="E250" s="153">
        <v>45051</v>
      </c>
      <c r="F250" s="154" t="s">
        <v>130</v>
      </c>
      <c r="G250" s="154">
        <v>6.92</v>
      </c>
      <c r="H250" s="154">
        <v>0</v>
      </c>
      <c r="I250" s="154">
        <v>36</v>
      </c>
      <c r="J250" s="154">
        <v>249.12</v>
      </c>
      <c r="K250" s="154">
        <v>249.12</v>
      </c>
      <c r="L250" s="153">
        <v>45163</v>
      </c>
      <c r="M250" s="154" t="s">
        <v>131</v>
      </c>
      <c r="N250" s="154">
        <v>8.4499999999999993</v>
      </c>
      <c r="O250" s="154">
        <v>0</v>
      </c>
      <c r="P250" s="154">
        <v>36</v>
      </c>
      <c r="Q250" s="154">
        <v>1689.9999999999998</v>
      </c>
      <c r="R250" s="154">
        <f t="shared" si="35"/>
        <v>304.2</v>
      </c>
      <c r="S250" s="8"/>
      <c r="T250" s="8"/>
      <c r="U250" s="36"/>
    </row>
    <row r="251" spans="1:21" ht="23.25" customHeight="1" thickBot="1" x14ac:dyDescent="0.3">
      <c r="A251" s="197"/>
      <c r="B251" s="477"/>
      <c r="C251" s="480"/>
      <c r="D251" s="213"/>
      <c r="E251" s="39"/>
      <c r="F251" s="39"/>
      <c r="G251" s="40"/>
      <c r="H251" s="40"/>
      <c r="I251" s="27">
        <f>SUM(I237:I250)</f>
        <v>200</v>
      </c>
      <c r="J251" s="27">
        <f>I251-P251</f>
        <v>0</v>
      </c>
      <c r="K251" s="40"/>
      <c r="L251" s="214"/>
      <c r="M251" s="214"/>
      <c r="N251" s="42"/>
      <c r="O251" s="40"/>
      <c r="P251" s="27">
        <f>SUM(P237:P250)</f>
        <v>200</v>
      </c>
      <c r="Q251" s="40"/>
      <c r="R251" s="40"/>
      <c r="S251" s="40"/>
      <c r="T251" s="40"/>
      <c r="U251" s="43"/>
    </row>
    <row r="252" spans="1:21" ht="7.5" customHeight="1" thickBot="1" x14ac:dyDescent="0.3">
      <c r="B252" s="56"/>
      <c r="C252" s="142"/>
      <c r="D252" s="56"/>
      <c r="E252" s="59"/>
      <c r="F252" s="59"/>
      <c r="G252" s="60"/>
      <c r="H252" s="60"/>
      <c r="I252" s="56"/>
      <c r="J252" s="56"/>
      <c r="K252" s="60"/>
      <c r="L252" s="143"/>
      <c r="M252" s="143"/>
      <c r="N252" s="62"/>
      <c r="O252" s="60"/>
      <c r="P252" s="56"/>
      <c r="Q252" s="60"/>
      <c r="R252" s="60"/>
      <c r="S252" s="60"/>
      <c r="T252" s="60"/>
      <c r="U252" s="63"/>
    </row>
    <row r="253" spans="1:21" ht="23.25" customHeight="1" thickTop="1" x14ac:dyDescent="0.25">
      <c r="A253" s="202"/>
      <c r="B253" s="64" t="e">
        <f>1+B237</f>
        <v>#REF!</v>
      </c>
      <c r="C253" s="472" t="s">
        <v>37</v>
      </c>
      <c r="D253" s="64"/>
      <c r="E253" s="355">
        <v>44487</v>
      </c>
      <c r="F253" s="356"/>
      <c r="G253" s="150">
        <v>140</v>
      </c>
      <c r="H253" s="150">
        <v>0</v>
      </c>
      <c r="I253" s="149">
        <v>2</v>
      </c>
      <c r="J253" s="180"/>
      <c r="K253" s="151">
        <f>I253*G253</f>
        <v>280</v>
      </c>
      <c r="L253" s="203">
        <v>44970</v>
      </c>
      <c r="M253" s="204"/>
      <c r="N253" s="195">
        <v>132.53</v>
      </c>
      <c r="O253" s="194">
        <v>0</v>
      </c>
      <c r="P253" s="195">
        <v>2</v>
      </c>
      <c r="Q253" s="196">
        <v>265.06</v>
      </c>
      <c r="R253" s="106"/>
      <c r="S253" s="106"/>
      <c r="T253" s="106"/>
      <c r="U253" s="66" t="s">
        <v>28</v>
      </c>
    </row>
    <row r="254" spans="1:21" ht="23.25" customHeight="1" thickBot="1" x14ac:dyDescent="0.3">
      <c r="A254" s="202"/>
      <c r="B254" s="81"/>
      <c r="C254" s="474"/>
      <c r="D254" s="81"/>
      <c r="E254" s="115"/>
      <c r="F254" s="115"/>
      <c r="G254" s="91"/>
      <c r="H254" s="91"/>
      <c r="I254" s="144">
        <f>SUM(I253)</f>
        <v>2</v>
      </c>
      <c r="J254" s="158"/>
      <c r="K254" s="93"/>
      <c r="L254" s="117"/>
      <c r="M254" s="117"/>
      <c r="N254" s="90"/>
      <c r="O254" s="91"/>
      <c r="P254" s="144">
        <f>SUM(P253)</f>
        <v>2</v>
      </c>
      <c r="Q254" s="116"/>
      <c r="R254" s="60"/>
      <c r="S254" s="60"/>
      <c r="T254" s="60"/>
      <c r="U254" s="95"/>
    </row>
    <row r="255" spans="1:21" ht="8.25" customHeight="1" thickTop="1" thickBot="1" x14ac:dyDescent="0.3">
      <c r="B255" s="118"/>
      <c r="C255" s="119"/>
      <c r="D255" s="118"/>
      <c r="E255" s="120"/>
      <c r="F255" s="120"/>
      <c r="G255" s="106"/>
      <c r="H255" s="106"/>
      <c r="I255" s="118"/>
      <c r="J255" s="118"/>
      <c r="K255" s="106"/>
      <c r="L255" s="121"/>
      <c r="M255" s="121"/>
      <c r="N255" s="122"/>
      <c r="O255" s="106"/>
      <c r="P255" s="118"/>
      <c r="Q255" s="106"/>
      <c r="R255" s="106"/>
      <c r="S255" s="106"/>
      <c r="T255" s="106"/>
      <c r="U255" s="123"/>
    </row>
    <row r="256" spans="1:21" ht="23.25" customHeight="1" x14ac:dyDescent="0.25">
      <c r="B256" s="475"/>
      <c r="C256" s="486" t="s">
        <v>91</v>
      </c>
      <c r="D256" s="211"/>
      <c r="E256" s="335">
        <v>45218</v>
      </c>
      <c r="F256" s="336" t="s">
        <v>74</v>
      </c>
      <c r="G256" s="337">
        <v>226.2</v>
      </c>
      <c r="H256" s="337">
        <f>160.29/I256</f>
        <v>1.6029</v>
      </c>
      <c r="I256" s="336">
        <v>100</v>
      </c>
      <c r="J256" s="337">
        <v>22620</v>
      </c>
      <c r="K256" s="337">
        <f>(G256+H256)*I256</f>
        <v>22780.29</v>
      </c>
      <c r="L256" s="335">
        <v>45258</v>
      </c>
      <c r="M256" s="336" t="s">
        <v>114</v>
      </c>
      <c r="N256" s="337">
        <v>229.85</v>
      </c>
      <c r="O256" s="345">
        <v>1.5941999999999825</v>
      </c>
      <c r="P256" s="336">
        <v>100</v>
      </c>
      <c r="Q256" s="337">
        <v>22985</v>
      </c>
      <c r="R256" s="337">
        <v>22825.58</v>
      </c>
      <c r="S256" s="10"/>
      <c r="T256" s="10"/>
      <c r="U256" s="34" t="s">
        <v>55</v>
      </c>
    </row>
    <row r="257" spans="2:21" ht="23.25" customHeight="1" thickBot="1" x14ac:dyDescent="0.3">
      <c r="B257" s="477"/>
      <c r="C257" s="488"/>
      <c r="D257" s="213"/>
      <c r="E257" s="39"/>
      <c r="F257" s="39"/>
      <c r="G257" s="40"/>
      <c r="H257" s="40"/>
      <c r="I257" s="300">
        <f>SUM(I256)</f>
        <v>100</v>
      </c>
      <c r="J257" s="40"/>
      <c r="K257" s="40"/>
      <c r="L257" s="214"/>
      <c r="M257" s="214"/>
      <c r="N257" s="42"/>
      <c r="O257" s="40"/>
      <c r="P257" s="27">
        <f>SUM(P256)</f>
        <v>100</v>
      </c>
      <c r="Q257" s="40"/>
      <c r="R257" s="40"/>
      <c r="S257" s="40"/>
      <c r="T257" s="40"/>
      <c r="U257" s="43"/>
    </row>
    <row r="258" spans="2:21" ht="10.5" customHeight="1" thickBot="1" x14ac:dyDescent="0.3">
      <c r="B258" s="5"/>
      <c r="C258" s="163"/>
      <c r="D258" s="5"/>
      <c r="E258" s="4"/>
      <c r="F258" s="4"/>
      <c r="G258" s="6"/>
      <c r="H258" s="6"/>
      <c r="I258" s="5"/>
      <c r="J258" s="5"/>
      <c r="K258" s="6"/>
      <c r="L258" s="192"/>
      <c r="M258" s="192"/>
      <c r="N258" s="31"/>
      <c r="O258" s="6"/>
      <c r="P258" s="5"/>
      <c r="Q258" s="6"/>
      <c r="R258" s="6"/>
      <c r="S258" s="6"/>
      <c r="T258" s="6"/>
      <c r="U258" s="32"/>
    </row>
    <row r="259" spans="2:21" ht="23.25" customHeight="1" x14ac:dyDescent="0.25">
      <c r="B259" s="475"/>
      <c r="C259" s="478" t="s">
        <v>20</v>
      </c>
      <c r="D259" s="211"/>
      <c r="E259" s="344">
        <v>44533</v>
      </c>
      <c r="F259" s="344" t="s">
        <v>117</v>
      </c>
      <c r="G259" s="10">
        <v>0</v>
      </c>
      <c r="H259" s="10">
        <v>0</v>
      </c>
      <c r="I259" s="267">
        <v>50</v>
      </c>
      <c r="J259" s="267"/>
      <c r="K259" s="10">
        <v>0</v>
      </c>
      <c r="L259" s="335">
        <v>45050</v>
      </c>
      <c r="M259" s="336" t="s">
        <v>114</v>
      </c>
      <c r="N259" s="337">
        <v>157</v>
      </c>
      <c r="O259" s="345">
        <v>1.0892000000000008</v>
      </c>
      <c r="P259" s="336">
        <v>50</v>
      </c>
      <c r="Q259" s="337">
        <v>7850</v>
      </c>
      <c r="R259" s="337">
        <v>7795.54</v>
      </c>
      <c r="S259" s="10"/>
      <c r="T259" s="10"/>
      <c r="U259" s="34" t="s">
        <v>55</v>
      </c>
    </row>
    <row r="260" spans="2:21" ht="23.25" customHeight="1" x14ac:dyDescent="0.25">
      <c r="B260" s="476"/>
      <c r="C260" s="479"/>
      <c r="D260" s="222"/>
      <c r="E260" s="346">
        <v>44533</v>
      </c>
      <c r="F260" s="346" t="s">
        <v>117</v>
      </c>
      <c r="G260" s="8">
        <v>0</v>
      </c>
      <c r="H260" s="8">
        <v>0</v>
      </c>
      <c r="I260" s="299">
        <v>50</v>
      </c>
      <c r="J260" s="299"/>
      <c r="K260" s="8">
        <v>0</v>
      </c>
      <c r="L260" s="341">
        <v>45056</v>
      </c>
      <c r="M260" s="339" t="s">
        <v>114</v>
      </c>
      <c r="N260" s="340">
        <v>162</v>
      </c>
      <c r="O260" s="347">
        <v>1.1239999999999963</v>
      </c>
      <c r="P260" s="339">
        <v>50</v>
      </c>
      <c r="Q260" s="340">
        <v>8100</v>
      </c>
      <c r="R260" s="340">
        <v>8043.8</v>
      </c>
      <c r="S260" s="8"/>
      <c r="T260" s="8"/>
      <c r="U260" s="36"/>
    </row>
    <row r="261" spans="2:21" ht="23.25" customHeight="1" x14ac:dyDescent="0.25">
      <c r="B261" s="476"/>
      <c r="C261" s="479"/>
      <c r="D261" s="222"/>
      <c r="E261" s="346">
        <v>44649</v>
      </c>
      <c r="F261" s="346"/>
      <c r="G261" s="8">
        <v>229.9186</v>
      </c>
      <c r="H261" s="8">
        <v>0</v>
      </c>
      <c r="I261" s="299">
        <v>50</v>
      </c>
      <c r="J261" s="299"/>
      <c r="K261" s="8">
        <v>11495.93</v>
      </c>
      <c r="L261" s="341">
        <v>45062</v>
      </c>
      <c r="M261" s="339" t="s">
        <v>114</v>
      </c>
      <c r="N261" s="340">
        <v>158.94999999999999</v>
      </c>
      <c r="O261" s="347">
        <v>1.101800000000003</v>
      </c>
      <c r="P261" s="339">
        <v>50</v>
      </c>
      <c r="Q261" s="340">
        <v>7947.5</v>
      </c>
      <c r="R261" s="340">
        <v>7892.41</v>
      </c>
      <c r="S261" s="8"/>
      <c r="T261" s="8"/>
      <c r="U261" s="36"/>
    </row>
    <row r="262" spans="2:21" ht="23.25" customHeight="1" x14ac:dyDescent="0.25">
      <c r="B262" s="476"/>
      <c r="C262" s="479"/>
      <c r="D262" s="222"/>
      <c r="E262" s="341">
        <v>45044</v>
      </c>
      <c r="F262" s="339" t="s">
        <v>74</v>
      </c>
      <c r="G262" s="340">
        <v>156.75</v>
      </c>
      <c r="H262" s="340">
        <v>111.11999999999999</v>
      </c>
      <c r="I262" s="339">
        <v>100</v>
      </c>
      <c r="J262" s="340">
        <v>15675</v>
      </c>
      <c r="K262" s="340">
        <v>15786.12</v>
      </c>
      <c r="L262" s="341">
        <v>45216</v>
      </c>
      <c r="M262" s="339" t="s">
        <v>114</v>
      </c>
      <c r="N262" s="340">
        <v>135.9</v>
      </c>
      <c r="O262" s="347">
        <v>0.94280000000000652</v>
      </c>
      <c r="P262" s="339">
        <v>100</v>
      </c>
      <c r="Q262" s="340">
        <v>13590</v>
      </c>
      <c r="R262" s="340">
        <v>13495.72</v>
      </c>
      <c r="S262" s="8"/>
      <c r="T262" s="8"/>
      <c r="U262" s="36"/>
    </row>
    <row r="263" spans="2:21" ht="23.25" customHeight="1" thickBot="1" x14ac:dyDescent="0.3">
      <c r="B263" s="476"/>
      <c r="C263" s="480"/>
      <c r="D263" s="216"/>
      <c r="E263" s="45"/>
      <c r="F263" s="45"/>
      <c r="G263" s="77"/>
      <c r="H263" s="77"/>
      <c r="I263" s="78">
        <f>SUM(I259:I262)</f>
        <v>250</v>
      </c>
      <c r="J263" s="78">
        <f>I263-P263</f>
        <v>0</v>
      </c>
      <c r="K263" s="77"/>
      <c r="L263" s="45"/>
      <c r="M263" s="45"/>
      <c r="N263" s="226"/>
      <c r="O263" s="77"/>
      <c r="P263" s="78">
        <f>SUM(P259:P262)</f>
        <v>250</v>
      </c>
      <c r="Q263" s="77"/>
      <c r="R263" s="77"/>
      <c r="S263" s="77"/>
      <c r="T263" s="77"/>
      <c r="U263" s="46"/>
    </row>
    <row r="264" spans="2:21" ht="10.5" customHeight="1" thickBot="1" x14ac:dyDescent="0.3">
      <c r="B264" s="47"/>
      <c r="C264" s="186"/>
      <c r="D264" s="243"/>
      <c r="E264" s="50"/>
      <c r="F264" s="50"/>
      <c r="G264" s="181"/>
      <c r="H264" s="181"/>
      <c r="I264" s="322"/>
      <c r="J264" s="322"/>
      <c r="K264" s="181"/>
      <c r="L264" s="50"/>
      <c r="M264" s="50"/>
      <c r="N264" s="322"/>
      <c r="O264" s="181"/>
      <c r="P264" s="317"/>
      <c r="Q264" s="181"/>
      <c r="R264" s="181"/>
      <c r="S264" s="181"/>
      <c r="T264" s="181"/>
      <c r="U264" s="51"/>
    </row>
    <row r="265" spans="2:21" ht="23.25" customHeight="1" x14ac:dyDescent="0.25">
      <c r="B265" s="475"/>
      <c r="C265" s="486" t="s">
        <v>92</v>
      </c>
      <c r="D265" s="212"/>
      <c r="E265" s="331">
        <v>45042</v>
      </c>
      <c r="F265" s="332" t="s">
        <v>74</v>
      </c>
      <c r="G265" s="333">
        <v>5290</v>
      </c>
      <c r="H265" s="333">
        <v>37.486000000000004</v>
      </c>
      <c r="I265" s="332">
        <v>2</v>
      </c>
      <c r="J265" s="333">
        <v>26450</v>
      </c>
      <c r="K265" s="333">
        <f>(G265+H265)*I265</f>
        <v>10654.972</v>
      </c>
      <c r="L265" s="331">
        <v>45112</v>
      </c>
      <c r="M265" s="332" t="s">
        <v>114</v>
      </c>
      <c r="N265" s="333">
        <v>2849</v>
      </c>
      <c r="O265" s="408">
        <v>19.769999999999982</v>
      </c>
      <c r="P265" s="333">
        <v>2</v>
      </c>
      <c r="Q265" s="333">
        <v>5698</v>
      </c>
      <c r="R265" s="333">
        <f>(N265-O265)*P265</f>
        <v>5658.46</v>
      </c>
      <c r="S265" s="110"/>
      <c r="T265" s="110"/>
      <c r="U265" s="54"/>
    </row>
    <row r="266" spans="2:21" ht="23.25" customHeight="1" x14ac:dyDescent="0.25">
      <c r="B266" s="476"/>
      <c r="C266" s="487"/>
      <c r="D266" s="222"/>
      <c r="E266" s="341">
        <v>45042</v>
      </c>
      <c r="F266" s="339" t="s">
        <v>74</v>
      </c>
      <c r="G266" s="340">
        <v>5290</v>
      </c>
      <c r="H266" s="340">
        <v>37.486000000000004</v>
      </c>
      <c r="I266" s="339">
        <v>2</v>
      </c>
      <c r="J266" s="340">
        <v>26450</v>
      </c>
      <c r="K266" s="340">
        <f>(G266+H266)*I266</f>
        <v>10654.972</v>
      </c>
      <c r="L266" s="341">
        <v>45118</v>
      </c>
      <c r="M266" s="339" t="s">
        <v>114</v>
      </c>
      <c r="N266" s="340">
        <v>2750</v>
      </c>
      <c r="O266" s="347">
        <v>19.090000000000146</v>
      </c>
      <c r="P266" s="340">
        <v>2</v>
      </c>
      <c r="Q266" s="340">
        <v>5500</v>
      </c>
      <c r="R266" s="340">
        <f t="shared" ref="R266:R269" si="36">(N266-O266)*P266</f>
        <v>5461.82</v>
      </c>
      <c r="S266" s="8"/>
      <c r="T266" s="8"/>
      <c r="U266" s="36"/>
    </row>
    <row r="267" spans="2:21" ht="23.25" customHeight="1" x14ac:dyDescent="0.25">
      <c r="B267" s="476"/>
      <c r="C267" s="487"/>
      <c r="D267" s="222"/>
      <c r="E267" s="341">
        <v>45042</v>
      </c>
      <c r="F267" s="339" t="s">
        <v>74</v>
      </c>
      <c r="G267" s="340">
        <v>5290</v>
      </c>
      <c r="H267" s="340">
        <v>37.486000000000004</v>
      </c>
      <c r="I267" s="339">
        <v>1</v>
      </c>
      <c r="J267" s="340">
        <v>26450</v>
      </c>
      <c r="K267" s="340">
        <f>(G267+H267)*I267</f>
        <v>5327.4859999999999</v>
      </c>
      <c r="L267" s="341">
        <v>45121</v>
      </c>
      <c r="M267" s="339" t="s">
        <v>114</v>
      </c>
      <c r="N267" s="340">
        <v>2849</v>
      </c>
      <c r="O267" s="347">
        <v>19.764999999999873</v>
      </c>
      <c r="P267" s="340">
        <v>1</v>
      </c>
      <c r="Q267" s="340">
        <v>5698</v>
      </c>
      <c r="R267" s="340">
        <f t="shared" si="36"/>
        <v>2829.2350000000001</v>
      </c>
      <c r="S267" s="8"/>
      <c r="T267" s="8"/>
      <c r="U267" s="36"/>
    </row>
    <row r="268" spans="2:21" ht="23.25" customHeight="1" x14ac:dyDescent="0.25">
      <c r="B268" s="476"/>
      <c r="C268" s="487"/>
      <c r="D268" s="222"/>
      <c r="E268" s="341">
        <v>45062</v>
      </c>
      <c r="F268" s="339" t="s">
        <v>74</v>
      </c>
      <c r="G268" s="340">
        <v>5875</v>
      </c>
      <c r="H268" s="340">
        <v>41.650000000000006</v>
      </c>
      <c r="I268" s="339">
        <v>1</v>
      </c>
      <c r="J268" s="340">
        <v>5875</v>
      </c>
      <c r="K268" s="340">
        <f t="shared" ref="K268:K270" si="37">(G268+H268)*I268</f>
        <v>5916.65</v>
      </c>
      <c r="L268" s="341">
        <v>45121</v>
      </c>
      <c r="M268" s="339" t="s">
        <v>114</v>
      </c>
      <c r="N268" s="340">
        <v>2849</v>
      </c>
      <c r="O268" s="347">
        <v>19.764999999999873</v>
      </c>
      <c r="P268" s="340">
        <v>1</v>
      </c>
      <c r="Q268" s="340">
        <v>5698</v>
      </c>
      <c r="R268" s="340">
        <f t="shared" si="36"/>
        <v>2829.2350000000001</v>
      </c>
      <c r="S268" s="8"/>
      <c r="T268" s="8"/>
      <c r="U268" s="36"/>
    </row>
    <row r="269" spans="2:21" ht="23.25" customHeight="1" x14ac:dyDescent="0.25">
      <c r="B269" s="476"/>
      <c r="C269" s="487"/>
      <c r="D269" s="222"/>
      <c r="E269" s="341">
        <v>45064</v>
      </c>
      <c r="F269" s="339" t="s">
        <v>74</v>
      </c>
      <c r="G269" s="340">
        <v>5635</v>
      </c>
      <c r="H269" s="340">
        <v>39.97</v>
      </c>
      <c r="I269" s="339">
        <v>1</v>
      </c>
      <c r="J269" s="340">
        <v>5635</v>
      </c>
      <c r="K269" s="340">
        <f t="shared" si="37"/>
        <v>5674.97</v>
      </c>
      <c r="L269" s="341">
        <v>45180</v>
      </c>
      <c r="M269" s="339" t="s">
        <v>114</v>
      </c>
      <c r="N269" s="340">
        <v>4000</v>
      </c>
      <c r="O269" s="347">
        <v>28.244999999999891</v>
      </c>
      <c r="P269" s="340">
        <v>1</v>
      </c>
      <c r="Q269" s="340">
        <v>8000</v>
      </c>
      <c r="R269" s="340">
        <f t="shared" si="36"/>
        <v>3971.7550000000001</v>
      </c>
      <c r="S269" s="8"/>
      <c r="T269" s="8"/>
      <c r="U269" s="36"/>
    </row>
    <row r="270" spans="2:21" ht="23.25" customHeight="1" x14ac:dyDescent="0.25">
      <c r="B270" s="476"/>
      <c r="C270" s="487"/>
      <c r="D270" s="222"/>
      <c r="E270" s="341">
        <v>45071</v>
      </c>
      <c r="F270" s="339" t="s">
        <v>74</v>
      </c>
      <c r="G270" s="340">
        <v>5446</v>
      </c>
      <c r="H270" s="340">
        <v>38.590000000000003</v>
      </c>
      <c r="I270" s="339">
        <v>1</v>
      </c>
      <c r="J270" s="340">
        <v>5446</v>
      </c>
      <c r="K270" s="340">
        <f t="shared" si="37"/>
        <v>5484.59</v>
      </c>
      <c r="L270" s="341">
        <v>45180</v>
      </c>
      <c r="M270" s="339" t="s">
        <v>114</v>
      </c>
      <c r="N270" s="340">
        <v>4000</v>
      </c>
      <c r="O270" s="347">
        <v>28.244999999999891</v>
      </c>
      <c r="P270" s="340">
        <v>1</v>
      </c>
      <c r="Q270" s="340">
        <v>8000</v>
      </c>
      <c r="R270" s="340">
        <f t="shared" ref="R270:R327" si="38">(N270-O270)*P270</f>
        <v>3971.7550000000001</v>
      </c>
      <c r="S270" s="8"/>
      <c r="T270" s="8"/>
      <c r="U270" s="36"/>
    </row>
    <row r="271" spans="2:21" ht="23.25" customHeight="1" x14ac:dyDescent="0.25">
      <c r="B271" s="476"/>
      <c r="C271" s="487"/>
      <c r="D271" s="222"/>
      <c r="E271" s="341">
        <v>45098</v>
      </c>
      <c r="F271" s="339" t="s">
        <v>117</v>
      </c>
      <c r="G271" s="340">
        <v>0</v>
      </c>
      <c r="H271" s="340">
        <v>0</v>
      </c>
      <c r="I271" s="339">
        <v>8</v>
      </c>
      <c r="J271" s="340">
        <v>0</v>
      </c>
      <c r="K271" s="340">
        <v>0</v>
      </c>
      <c r="L271" s="341"/>
      <c r="M271" s="339"/>
      <c r="N271" s="340"/>
      <c r="O271" s="347"/>
      <c r="P271" s="409"/>
      <c r="Q271" s="340"/>
      <c r="R271" s="340"/>
      <c r="S271" s="8"/>
      <c r="T271" s="8"/>
      <c r="U271" s="36"/>
    </row>
    <row r="272" spans="2:21" ht="23.25" customHeight="1" thickBot="1" x14ac:dyDescent="0.3">
      <c r="B272" s="477"/>
      <c r="C272" s="488"/>
      <c r="D272" s="213"/>
      <c r="E272" s="39"/>
      <c r="F272" s="39"/>
      <c r="G272" s="40"/>
      <c r="H272" s="40"/>
      <c r="I272" s="27">
        <f>SUM(I265:I271)</f>
        <v>16</v>
      </c>
      <c r="J272" s="27">
        <f>I272-P272</f>
        <v>8</v>
      </c>
      <c r="K272" s="40"/>
      <c r="L272" s="214"/>
      <c r="M272" s="214"/>
      <c r="N272" s="42"/>
      <c r="O272" s="40"/>
      <c r="P272" s="27">
        <f>SUM(P265:P271)</f>
        <v>8</v>
      </c>
      <c r="Q272" s="40"/>
      <c r="R272" s="352"/>
      <c r="S272" s="40"/>
      <c r="T272" s="40"/>
      <c r="U272" s="43"/>
    </row>
    <row r="273" spans="2:21" ht="9" customHeight="1" thickBot="1" x14ac:dyDescent="0.3">
      <c r="B273" s="5"/>
      <c r="C273" s="163"/>
      <c r="D273" s="5"/>
      <c r="E273" s="4"/>
      <c r="F273" s="4"/>
      <c r="G273" s="6"/>
      <c r="H273" s="6"/>
      <c r="I273" s="5"/>
      <c r="J273" s="5"/>
      <c r="K273" s="6"/>
      <c r="L273" s="192"/>
      <c r="M273" s="192"/>
      <c r="N273" s="31"/>
      <c r="O273" s="6"/>
      <c r="P273" s="5"/>
      <c r="Q273" s="6"/>
      <c r="R273" s="381"/>
      <c r="S273" s="6"/>
      <c r="T273" s="6"/>
      <c r="U273" s="32"/>
    </row>
    <row r="274" spans="2:21" ht="23.25" customHeight="1" x14ac:dyDescent="0.25">
      <c r="B274" s="475" t="e">
        <f>1+#REF!</f>
        <v>#REF!</v>
      </c>
      <c r="C274" s="478" t="s">
        <v>17</v>
      </c>
      <c r="D274" s="211"/>
      <c r="E274" s="344">
        <v>44293</v>
      </c>
      <c r="F274" s="344"/>
      <c r="G274" s="184">
        <v>4732.2839999999997</v>
      </c>
      <c r="H274" s="184">
        <v>0</v>
      </c>
      <c r="I274" s="223">
        <v>3</v>
      </c>
      <c r="J274" s="223"/>
      <c r="K274" s="184">
        <f>(G274+H274)*I274</f>
        <v>14196.851999999999</v>
      </c>
      <c r="L274" s="335">
        <v>45229</v>
      </c>
      <c r="M274" s="336" t="s">
        <v>114</v>
      </c>
      <c r="N274" s="337">
        <v>4099.8</v>
      </c>
      <c r="O274" s="345">
        <v>28.440000000000509</v>
      </c>
      <c r="P274" s="337">
        <v>3</v>
      </c>
      <c r="Q274" s="337">
        <v>12299.400000000001</v>
      </c>
      <c r="R274" s="337">
        <f t="shared" si="38"/>
        <v>12214.079999999998</v>
      </c>
      <c r="S274" s="10"/>
      <c r="T274" s="10"/>
      <c r="U274" s="34" t="s">
        <v>55</v>
      </c>
    </row>
    <row r="275" spans="2:21" ht="23.25" customHeight="1" x14ac:dyDescent="0.25">
      <c r="B275" s="476"/>
      <c r="C275" s="479"/>
      <c r="D275" s="222"/>
      <c r="E275" s="346">
        <v>44293</v>
      </c>
      <c r="F275" s="346"/>
      <c r="G275" s="150">
        <v>4732.2839999999997</v>
      </c>
      <c r="H275" s="150">
        <v>0</v>
      </c>
      <c r="I275" s="149">
        <v>3</v>
      </c>
      <c r="J275" s="149"/>
      <c r="K275" s="150">
        <f>(G275+H275)*I275</f>
        <v>14196.851999999999</v>
      </c>
      <c r="L275" s="341">
        <v>45238</v>
      </c>
      <c r="M275" s="339" t="s">
        <v>114</v>
      </c>
      <c r="N275" s="340">
        <v>4529.3999999999996</v>
      </c>
      <c r="O275" s="347">
        <v>31.416666666666668</v>
      </c>
      <c r="P275" s="340">
        <v>3</v>
      </c>
      <c r="Q275" s="340">
        <v>13588.2</v>
      </c>
      <c r="R275" s="340">
        <f t="shared" si="38"/>
        <v>13493.949999999997</v>
      </c>
      <c r="S275" s="8"/>
      <c r="T275" s="8"/>
      <c r="U275" s="36"/>
    </row>
    <row r="276" spans="2:21" ht="23.25" customHeight="1" x14ac:dyDescent="0.25">
      <c r="B276" s="476"/>
      <c r="C276" s="479"/>
      <c r="D276" s="222"/>
      <c r="E276" s="346">
        <v>44293</v>
      </c>
      <c r="F276" s="346"/>
      <c r="G276" s="150">
        <v>4732.2839999999997</v>
      </c>
      <c r="H276" s="150">
        <v>0</v>
      </c>
      <c r="I276" s="149">
        <v>3</v>
      </c>
      <c r="J276" s="149"/>
      <c r="K276" s="150">
        <f>(G276+H276)*I276</f>
        <v>14196.851999999999</v>
      </c>
      <c r="L276" s="341">
        <v>45239</v>
      </c>
      <c r="M276" s="339" t="s">
        <v>114</v>
      </c>
      <c r="N276" s="340">
        <v>4599.3999999999996</v>
      </c>
      <c r="O276" s="347">
        <v>31.906666666667054</v>
      </c>
      <c r="P276" s="340">
        <v>3</v>
      </c>
      <c r="Q276" s="340">
        <v>13798.2</v>
      </c>
      <c r="R276" s="340">
        <f t="shared" si="38"/>
        <v>13702.48</v>
      </c>
      <c r="S276" s="8"/>
      <c r="T276" s="8"/>
      <c r="U276" s="36"/>
    </row>
    <row r="277" spans="2:21" ht="23.25" customHeight="1" x14ac:dyDescent="0.25">
      <c r="B277" s="476"/>
      <c r="C277" s="479"/>
      <c r="D277" s="222"/>
      <c r="E277" s="346">
        <v>44341</v>
      </c>
      <c r="F277" s="346"/>
      <c r="G277" s="150">
        <v>4365.652</v>
      </c>
      <c r="H277" s="150">
        <v>0</v>
      </c>
      <c r="I277" s="149">
        <v>5</v>
      </c>
      <c r="J277" s="149"/>
      <c r="K277" s="150">
        <f t="shared" ref="K277:K285" si="39">(G277+H277)*I277</f>
        <v>21828.260000000002</v>
      </c>
      <c r="L277" s="341">
        <v>45265</v>
      </c>
      <c r="M277" s="339" t="s">
        <v>114</v>
      </c>
      <c r="N277" s="340">
        <v>4689.45</v>
      </c>
      <c r="O277" s="347">
        <v>32.531999999999968</v>
      </c>
      <c r="P277" s="340">
        <v>5</v>
      </c>
      <c r="Q277" s="340">
        <v>46894.5</v>
      </c>
      <c r="R277" s="340">
        <f t="shared" si="38"/>
        <v>23284.589999999997</v>
      </c>
      <c r="S277" s="8"/>
      <c r="T277" s="8"/>
      <c r="U277" s="36"/>
    </row>
    <row r="278" spans="2:21" ht="23.25" customHeight="1" x14ac:dyDescent="0.25">
      <c r="B278" s="476"/>
      <c r="C278" s="479"/>
      <c r="D278" s="222"/>
      <c r="E278" s="346">
        <v>44349</v>
      </c>
      <c r="F278" s="346"/>
      <c r="G278" s="8">
        <v>4616.4179999999997</v>
      </c>
      <c r="H278" s="8">
        <v>0</v>
      </c>
      <c r="I278" s="299">
        <v>5</v>
      </c>
      <c r="J278" s="299"/>
      <c r="K278" s="150">
        <f t="shared" si="39"/>
        <v>23082.089999999997</v>
      </c>
      <c r="L278" s="341">
        <v>45265</v>
      </c>
      <c r="M278" s="339" t="s">
        <v>114</v>
      </c>
      <c r="N278" s="340">
        <v>4689.45</v>
      </c>
      <c r="O278" s="347">
        <v>32.531999999999968</v>
      </c>
      <c r="P278" s="340">
        <v>5</v>
      </c>
      <c r="Q278" s="340">
        <v>46894.5</v>
      </c>
      <c r="R278" s="340">
        <f t="shared" si="38"/>
        <v>23284.589999999997</v>
      </c>
      <c r="S278" s="8"/>
      <c r="T278" s="8"/>
      <c r="U278" s="36"/>
    </row>
    <row r="279" spans="2:21" ht="23.25" customHeight="1" x14ac:dyDescent="0.25">
      <c r="B279" s="476"/>
      <c r="C279" s="479"/>
      <c r="D279" s="222"/>
      <c r="E279" s="346">
        <v>44355</v>
      </c>
      <c r="F279" s="346"/>
      <c r="G279" s="8">
        <v>4697.7420000000002</v>
      </c>
      <c r="H279" s="8">
        <v>0</v>
      </c>
      <c r="I279" s="299">
        <v>5</v>
      </c>
      <c r="J279" s="299"/>
      <c r="K279" s="150">
        <f t="shared" si="39"/>
        <v>23488.71</v>
      </c>
      <c r="L279" s="341">
        <v>45271</v>
      </c>
      <c r="M279" s="339" t="s">
        <v>114</v>
      </c>
      <c r="N279" s="340">
        <v>4889</v>
      </c>
      <c r="O279" s="347">
        <v>33.912000000000262</v>
      </c>
      <c r="P279" s="340">
        <v>5</v>
      </c>
      <c r="Q279" s="340">
        <v>24445</v>
      </c>
      <c r="R279" s="340">
        <f t="shared" si="38"/>
        <v>24275.439999999999</v>
      </c>
      <c r="S279" s="8"/>
      <c r="T279" s="8"/>
      <c r="U279" s="36"/>
    </row>
    <row r="280" spans="2:21" ht="23.25" customHeight="1" x14ac:dyDescent="0.25">
      <c r="B280" s="476"/>
      <c r="C280" s="479"/>
      <c r="D280" s="222"/>
      <c r="E280" s="346">
        <v>44428</v>
      </c>
      <c r="F280" s="346"/>
      <c r="G280" s="8">
        <v>5440.3040000000001</v>
      </c>
      <c r="H280" s="8">
        <v>0</v>
      </c>
      <c r="I280" s="299">
        <v>5</v>
      </c>
      <c r="J280" s="299"/>
      <c r="K280" s="150">
        <f t="shared" si="39"/>
        <v>27201.52</v>
      </c>
      <c r="L280" s="341">
        <v>45279</v>
      </c>
      <c r="M280" s="339" t="s">
        <v>114</v>
      </c>
      <c r="N280" s="340">
        <v>5255.9750000000004</v>
      </c>
      <c r="O280" s="347">
        <v>36.463999999999942</v>
      </c>
      <c r="P280" s="340">
        <v>5</v>
      </c>
      <c r="Q280" s="340">
        <v>52559.75</v>
      </c>
      <c r="R280" s="340">
        <f t="shared" si="38"/>
        <v>26097.555</v>
      </c>
      <c r="S280" s="8"/>
      <c r="T280" s="8"/>
      <c r="U280" s="36"/>
    </row>
    <row r="281" spans="2:21" ht="23.25" customHeight="1" x14ac:dyDescent="0.25">
      <c r="B281" s="476"/>
      <c r="C281" s="479"/>
      <c r="D281" s="222"/>
      <c r="E281" s="346">
        <v>44463</v>
      </c>
      <c r="F281" s="346"/>
      <c r="G281" s="8">
        <v>6854.28</v>
      </c>
      <c r="H281" s="8">
        <v>0</v>
      </c>
      <c r="I281" s="299">
        <v>3</v>
      </c>
      <c r="J281" s="299"/>
      <c r="K281" s="150">
        <f t="shared" si="39"/>
        <v>20562.84</v>
      </c>
      <c r="L281" s="341">
        <v>45279</v>
      </c>
      <c r="M281" s="339" t="s">
        <v>114</v>
      </c>
      <c r="N281" s="340">
        <v>5255.9750000000004</v>
      </c>
      <c r="O281" s="347">
        <v>36.463999999999942</v>
      </c>
      <c r="P281" s="340">
        <v>3</v>
      </c>
      <c r="Q281" s="340">
        <v>52559.75</v>
      </c>
      <c r="R281" s="340">
        <f t="shared" si="38"/>
        <v>15658.533000000001</v>
      </c>
      <c r="S281" s="8"/>
      <c r="T281" s="8"/>
      <c r="U281" s="36"/>
    </row>
    <row r="282" spans="2:21" ht="23.25" customHeight="1" x14ac:dyDescent="0.25">
      <c r="B282" s="476"/>
      <c r="C282" s="479"/>
      <c r="D282" s="222"/>
      <c r="E282" s="346">
        <v>44491</v>
      </c>
      <c r="F282" s="346"/>
      <c r="G282" s="8">
        <v>6376.84</v>
      </c>
      <c r="H282" s="8">
        <v>0</v>
      </c>
      <c r="I282" s="299">
        <v>2</v>
      </c>
      <c r="J282" s="299"/>
      <c r="K282" s="150">
        <f t="shared" ref="K282" si="40">(G282+H282)*I282</f>
        <v>12753.68</v>
      </c>
      <c r="L282" s="341">
        <v>45279</v>
      </c>
      <c r="M282" s="339" t="s">
        <v>114</v>
      </c>
      <c r="N282" s="340">
        <v>5255.9750000000004</v>
      </c>
      <c r="O282" s="347">
        <v>36.463999999999942</v>
      </c>
      <c r="P282" s="340">
        <v>2</v>
      </c>
      <c r="Q282" s="340">
        <v>52559.75</v>
      </c>
      <c r="R282" s="340">
        <f t="shared" si="38"/>
        <v>10439.022000000001</v>
      </c>
      <c r="S282" s="8"/>
      <c r="T282" s="8"/>
      <c r="U282" s="36"/>
    </row>
    <row r="283" spans="2:21" ht="23.25" customHeight="1" x14ac:dyDescent="0.25">
      <c r="B283" s="476"/>
      <c r="C283" s="479"/>
      <c r="D283" s="222"/>
      <c r="E283" s="346">
        <v>44491</v>
      </c>
      <c r="F283" s="346"/>
      <c r="G283" s="8">
        <v>6376.84</v>
      </c>
      <c r="H283" s="8">
        <v>0</v>
      </c>
      <c r="I283" s="299">
        <v>1</v>
      </c>
      <c r="J283" s="299"/>
      <c r="K283" s="150">
        <f t="shared" si="39"/>
        <v>6376.84</v>
      </c>
      <c r="L283" s="341">
        <v>45301</v>
      </c>
      <c r="M283" s="339" t="s">
        <v>114</v>
      </c>
      <c r="N283" s="340">
        <v>5298</v>
      </c>
      <c r="O283" s="347">
        <v>36.755714285714411</v>
      </c>
      <c r="P283" s="340">
        <v>1</v>
      </c>
      <c r="Q283" s="340">
        <v>37086</v>
      </c>
      <c r="R283" s="340">
        <f t="shared" si="38"/>
        <v>5261.244285714286</v>
      </c>
      <c r="S283" s="8"/>
      <c r="T283" s="8"/>
      <c r="U283" s="36"/>
    </row>
    <row r="284" spans="2:21" ht="23.25" customHeight="1" x14ac:dyDescent="0.25">
      <c r="B284" s="476"/>
      <c r="C284" s="479"/>
      <c r="D284" s="222"/>
      <c r="E284" s="346">
        <v>44523</v>
      </c>
      <c r="F284" s="346"/>
      <c r="G284" s="8">
        <v>6047.09</v>
      </c>
      <c r="H284" s="8">
        <v>0</v>
      </c>
      <c r="I284" s="299">
        <v>3</v>
      </c>
      <c r="J284" s="299"/>
      <c r="K284" s="150">
        <f t="shared" si="39"/>
        <v>18141.27</v>
      </c>
      <c r="L284" s="341">
        <v>45301</v>
      </c>
      <c r="M284" s="339" t="s">
        <v>114</v>
      </c>
      <c r="N284" s="340">
        <v>5298</v>
      </c>
      <c r="O284" s="347">
        <v>36.755714285714411</v>
      </c>
      <c r="P284" s="340">
        <v>3</v>
      </c>
      <c r="Q284" s="340">
        <v>37086</v>
      </c>
      <c r="R284" s="340">
        <f t="shared" si="38"/>
        <v>15783.732857142859</v>
      </c>
      <c r="S284" s="8"/>
      <c r="T284" s="8"/>
      <c r="U284" s="36"/>
    </row>
    <row r="285" spans="2:21" ht="23.25" customHeight="1" x14ac:dyDescent="0.25">
      <c r="B285" s="476"/>
      <c r="C285" s="479"/>
      <c r="D285" s="222"/>
      <c r="E285" s="346">
        <v>44543</v>
      </c>
      <c r="F285" s="346"/>
      <c r="G285" s="8">
        <v>5646.8220000000001</v>
      </c>
      <c r="H285" s="8">
        <v>0</v>
      </c>
      <c r="I285" s="299">
        <v>3</v>
      </c>
      <c r="J285" s="299"/>
      <c r="K285" s="150">
        <f t="shared" si="39"/>
        <v>16940.466</v>
      </c>
      <c r="L285" s="341">
        <v>45301</v>
      </c>
      <c r="M285" s="339" t="s">
        <v>114</v>
      </c>
      <c r="N285" s="340">
        <v>5298</v>
      </c>
      <c r="O285" s="347">
        <v>36.755714285714411</v>
      </c>
      <c r="P285" s="340">
        <v>3</v>
      </c>
      <c r="Q285" s="340">
        <v>37086</v>
      </c>
      <c r="R285" s="340">
        <f t="shared" si="38"/>
        <v>15783.732857142859</v>
      </c>
      <c r="S285" s="8"/>
      <c r="T285" s="8"/>
      <c r="U285" s="36"/>
    </row>
    <row r="286" spans="2:21" ht="23.25" customHeight="1" x14ac:dyDescent="0.25">
      <c r="B286" s="476"/>
      <c r="C286" s="479"/>
      <c r="D286" s="222"/>
      <c r="E286" s="346">
        <v>44543</v>
      </c>
      <c r="F286" s="346"/>
      <c r="G286" s="8">
        <v>5646.8220000000001</v>
      </c>
      <c r="H286" s="8">
        <v>0</v>
      </c>
      <c r="I286" s="299">
        <v>2</v>
      </c>
      <c r="J286" s="299"/>
      <c r="K286" s="150">
        <f t="shared" ref="K286" si="41">(G286+H286)*I286</f>
        <v>11293.644</v>
      </c>
      <c r="L286" s="341">
        <v>45328</v>
      </c>
      <c r="M286" s="339" t="s">
        <v>114</v>
      </c>
      <c r="N286" s="340">
        <v>5349</v>
      </c>
      <c r="O286" s="340">
        <v>37.112000000000002</v>
      </c>
      <c r="P286" s="340">
        <v>5</v>
      </c>
      <c r="Q286" s="340">
        <v>26745</v>
      </c>
      <c r="R286" s="340">
        <f t="shared" si="38"/>
        <v>26559.439999999999</v>
      </c>
      <c r="S286" s="8"/>
      <c r="T286" s="8"/>
      <c r="U286" s="36"/>
    </row>
    <row r="287" spans="2:21" ht="23.25" customHeight="1" x14ac:dyDescent="0.25">
      <c r="B287" s="476"/>
      <c r="C287" s="479"/>
      <c r="D287" s="222"/>
      <c r="E287" s="346">
        <v>44690</v>
      </c>
      <c r="F287" s="346"/>
      <c r="G287" s="8">
        <v>3813</v>
      </c>
      <c r="H287" s="8">
        <v>23.215000000000003</v>
      </c>
      <c r="I287" s="299">
        <v>2</v>
      </c>
      <c r="J287" s="299"/>
      <c r="K287" s="150">
        <f>(G287+H287)*I287</f>
        <v>7672.43</v>
      </c>
      <c r="L287" s="341">
        <v>45335</v>
      </c>
      <c r="M287" s="339" t="s">
        <v>114</v>
      </c>
      <c r="N287" s="340">
        <v>5349</v>
      </c>
      <c r="O287" s="340">
        <v>37.109000000000002</v>
      </c>
      <c r="P287" s="340">
        <v>10</v>
      </c>
      <c r="Q287" s="340">
        <v>53490</v>
      </c>
      <c r="R287" s="340">
        <f t="shared" si="38"/>
        <v>53118.909999999996</v>
      </c>
      <c r="S287" s="8"/>
      <c r="T287" s="8"/>
      <c r="U287" s="36"/>
    </row>
    <row r="288" spans="2:21" ht="23.25" customHeight="1" x14ac:dyDescent="0.25">
      <c r="B288" s="476"/>
      <c r="C288" s="479"/>
      <c r="D288" s="222"/>
      <c r="E288" s="346">
        <v>44844</v>
      </c>
      <c r="F288" s="346"/>
      <c r="G288" s="8">
        <v>3796.35</v>
      </c>
      <c r="H288" s="8">
        <v>23.13333333333334</v>
      </c>
      <c r="I288" s="299">
        <v>3</v>
      </c>
      <c r="J288" s="299"/>
      <c r="K288" s="150">
        <f>(G288+H288)*I288</f>
        <v>11458.449999999999</v>
      </c>
      <c r="L288" s="256"/>
      <c r="M288" s="256"/>
      <c r="N288" s="171"/>
      <c r="O288" s="8"/>
      <c r="P288" s="299"/>
      <c r="Q288" s="8"/>
      <c r="R288" s="340"/>
      <c r="S288" s="8"/>
      <c r="T288" s="8"/>
      <c r="U288" s="36"/>
    </row>
    <row r="289" spans="2:21" ht="23.25" customHeight="1" x14ac:dyDescent="0.25">
      <c r="B289" s="476"/>
      <c r="C289" s="479"/>
      <c r="D289" s="222"/>
      <c r="E289" s="346">
        <v>44889</v>
      </c>
      <c r="F289" s="346"/>
      <c r="G289" s="8">
        <v>3860</v>
      </c>
      <c r="H289" s="8">
        <v>23.5</v>
      </c>
      <c r="I289" s="299">
        <v>3</v>
      </c>
      <c r="J289" s="299"/>
      <c r="K289" s="150">
        <f>(G289+H289)*I289</f>
        <v>11650.5</v>
      </c>
      <c r="L289" s="256"/>
      <c r="M289" s="256"/>
      <c r="N289" s="171"/>
      <c r="O289" s="8"/>
      <c r="P289" s="299"/>
      <c r="Q289" s="8"/>
      <c r="R289" s="340"/>
      <c r="S289" s="8"/>
      <c r="T289" s="8"/>
      <c r="U289" s="36"/>
    </row>
    <row r="290" spans="2:21" ht="23.25" customHeight="1" x14ac:dyDescent="0.25">
      <c r="B290" s="476"/>
      <c r="C290" s="479"/>
      <c r="D290" s="222"/>
      <c r="E290" s="341">
        <v>45187</v>
      </c>
      <c r="F290" s="339" t="s">
        <v>74</v>
      </c>
      <c r="G290" s="340">
        <v>4481.1000000000004</v>
      </c>
      <c r="H290" s="347">
        <v>31.745000000000001</v>
      </c>
      <c r="I290" s="339">
        <v>2</v>
      </c>
      <c r="J290" s="340">
        <v>8962.2000000000007</v>
      </c>
      <c r="K290" s="150">
        <f>(G290+H290)*I290</f>
        <v>9025.69</v>
      </c>
      <c r="L290" s="256"/>
      <c r="M290" s="256"/>
      <c r="N290" s="171"/>
      <c r="O290" s="8"/>
      <c r="P290" s="299"/>
      <c r="Q290" s="8"/>
      <c r="R290" s="340"/>
      <c r="S290" s="8"/>
      <c r="T290" s="8"/>
      <c r="U290" s="36"/>
    </row>
    <row r="291" spans="2:21" ht="23.25" customHeight="1" x14ac:dyDescent="0.25">
      <c r="B291" s="476"/>
      <c r="C291" s="479"/>
      <c r="D291" s="222"/>
      <c r="E291" s="341">
        <v>45191</v>
      </c>
      <c r="F291" s="339" t="s">
        <v>74</v>
      </c>
      <c r="G291" s="340">
        <v>4302</v>
      </c>
      <c r="H291" s="347">
        <v>30.493333333333187</v>
      </c>
      <c r="I291" s="339">
        <v>3</v>
      </c>
      <c r="J291" s="340">
        <v>12906</v>
      </c>
      <c r="K291" s="150">
        <f>(G291+H291)*I291</f>
        <v>12997.48</v>
      </c>
      <c r="L291" s="256"/>
      <c r="M291" s="256"/>
      <c r="N291" s="171"/>
      <c r="O291" s="8"/>
      <c r="P291" s="299"/>
      <c r="Q291" s="8"/>
      <c r="R291" s="340"/>
      <c r="S291" s="8"/>
      <c r="T291" s="8"/>
      <c r="U291" s="36"/>
    </row>
    <row r="292" spans="2:21" ht="23.25" customHeight="1" thickBot="1" x14ac:dyDescent="0.3">
      <c r="B292" s="477"/>
      <c r="C292" s="480"/>
      <c r="D292" s="213"/>
      <c r="E292" s="39"/>
      <c r="F292" s="39"/>
      <c r="G292" s="40"/>
      <c r="H292" s="40"/>
      <c r="I292" s="27">
        <f>SUM(I274:I291)</f>
        <v>56</v>
      </c>
      <c r="J292" s="27">
        <f>I292-P292</f>
        <v>0</v>
      </c>
      <c r="K292" s="40"/>
      <c r="L292" s="214"/>
      <c r="M292" s="214"/>
      <c r="N292" s="42"/>
      <c r="O292" s="40"/>
      <c r="P292" s="27">
        <f>SUM(P274:P291)</f>
        <v>56</v>
      </c>
      <c r="Q292" s="40"/>
      <c r="R292" s="352"/>
      <c r="S292" s="40"/>
      <c r="T292" s="40"/>
      <c r="U292" s="43"/>
    </row>
    <row r="293" spans="2:21" ht="23.25" customHeight="1" thickBot="1" x14ac:dyDescent="0.3">
      <c r="B293" s="5"/>
      <c r="C293" s="163"/>
      <c r="D293" s="5"/>
      <c r="E293" s="4"/>
      <c r="F293" s="4"/>
      <c r="G293" s="6"/>
      <c r="H293" s="6"/>
      <c r="I293" s="5"/>
      <c r="J293" s="5"/>
      <c r="K293" s="6"/>
      <c r="L293" s="4"/>
      <c r="M293" s="4"/>
      <c r="N293" s="31"/>
      <c r="O293" s="6"/>
      <c r="P293" s="5"/>
      <c r="Q293" s="6"/>
      <c r="R293" s="381"/>
      <c r="S293" s="6"/>
      <c r="T293" s="6"/>
      <c r="U293" s="32"/>
    </row>
    <row r="294" spans="2:21" ht="23.25" customHeight="1" x14ac:dyDescent="0.25">
      <c r="B294" s="475" t="e">
        <f>1+B274</f>
        <v>#REF!</v>
      </c>
      <c r="C294" s="478" t="s">
        <v>61</v>
      </c>
      <c r="D294" s="211"/>
      <c r="E294" s="344">
        <v>44662</v>
      </c>
      <c r="F294" s="344"/>
      <c r="G294" s="184">
        <v>1781</v>
      </c>
      <c r="H294" s="184">
        <v>10.843999999999999</v>
      </c>
      <c r="I294" s="223">
        <v>10</v>
      </c>
      <c r="J294" s="223"/>
      <c r="K294" s="184">
        <v>17918.440000000002</v>
      </c>
      <c r="L294" s="9"/>
      <c r="M294" s="9"/>
      <c r="N294" s="267"/>
      <c r="O294" s="10"/>
      <c r="P294" s="267"/>
      <c r="Q294" s="10"/>
      <c r="R294" s="337"/>
      <c r="S294" s="10"/>
      <c r="T294" s="10"/>
      <c r="U294" s="166" t="s">
        <v>55</v>
      </c>
    </row>
    <row r="295" spans="2:21" ht="23.25" customHeight="1" x14ac:dyDescent="0.25">
      <c r="B295" s="476"/>
      <c r="C295" s="479"/>
      <c r="D295" s="222"/>
      <c r="E295" s="341">
        <v>45058</v>
      </c>
      <c r="F295" s="339" t="s">
        <v>74</v>
      </c>
      <c r="G295" s="340">
        <v>1250.05</v>
      </c>
      <c r="H295" s="340">
        <v>88.6</v>
      </c>
      <c r="I295" s="339">
        <v>10</v>
      </c>
      <c r="J295" s="340">
        <v>12500.5</v>
      </c>
      <c r="K295" s="340">
        <v>12589.1</v>
      </c>
      <c r="L295" s="7"/>
      <c r="M295" s="7"/>
      <c r="N295" s="299"/>
      <c r="O295" s="8"/>
      <c r="P295" s="299"/>
      <c r="Q295" s="8"/>
      <c r="R295" s="340"/>
      <c r="S295" s="8"/>
      <c r="T295" s="8"/>
      <c r="U295" s="172"/>
    </row>
    <row r="296" spans="2:21" ht="23.25" customHeight="1" x14ac:dyDescent="0.25">
      <c r="B296" s="476"/>
      <c r="C296" s="479"/>
      <c r="D296" s="222"/>
      <c r="E296" s="341">
        <v>45187</v>
      </c>
      <c r="F296" s="339" t="s">
        <v>74</v>
      </c>
      <c r="G296" s="340">
        <v>1488.2</v>
      </c>
      <c r="H296" s="340">
        <v>52.739999999999995</v>
      </c>
      <c r="I296" s="339">
        <v>5</v>
      </c>
      <c r="J296" s="340">
        <v>7441</v>
      </c>
      <c r="K296" s="340">
        <v>7493.74</v>
      </c>
      <c r="L296" s="7"/>
      <c r="M296" s="7"/>
      <c r="N296" s="299"/>
      <c r="O296" s="8"/>
      <c r="P296" s="299"/>
      <c r="Q296" s="8"/>
      <c r="R296" s="340"/>
      <c r="S296" s="8"/>
      <c r="T296" s="8"/>
      <c r="U296" s="172"/>
    </row>
    <row r="297" spans="2:21" ht="23.25" customHeight="1" thickBot="1" x14ac:dyDescent="0.3">
      <c r="B297" s="477"/>
      <c r="C297" s="480"/>
      <c r="D297" s="213"/>
      <c r="E297" s="39"/>
      <c r="F297" s="39"/>
      <c r="G297" s="40"/>
      <c r="H297" s="40"/>
      <c r="I297" s="27">
        <f>SUM(I294:I296)</f>
        <v>25</v>
      </c>
      <c r="J297" s="55"/>
      <c r="K297" s="40"/>
      <c r="L297" s="214"/>
      <c r="M297" s="214"/>
      <c r="N297" s="42"/>
      <c r="O297" s="40"/>
      <c r="P297" s="55"/>
      <c r="Q297" s="40"/>
      <c r="R297" s="352"/>
      <c r="S297" s="40"/>
      <c r="T297" s="40"/>
      <c r="U297" s="169"/>
    </row>
    <row r="298" spans="2:21" ht="23.25" customHeight="1" thickBot="1" x14ac:dyDescent="0.3">
      <c r="B298" s="208"/>
      <c r="C298" s="209"/>
      <c r="D298" s="208"/>
      <c r="E298" s="4"/>
      <c r="F298" s="4"/>
      <c r="G298" s="6"/>
      <c r="H298" s="6"/>
      <c r="I298" s="5"/>
      <c r="J298" s="5"/>
      <c r="K298" s="6"/>
      <c r="L298" s="4"/>
      <c r="M298" s="4"/>
      <c r="N298" s="31"/>
      <c r="O298" s="6"/>
      <c r="P298" s="5"/>
      <c r="Q298" s="6"/>
      <c r="R298" s="381"/>
      <c r="S298" s="6"/>
      <c r="T298" s="6"/>
      <c r="U298" s="210"/>
    </row>
    <row r="299" spans="2:21" ht="23.25" customHeight="1" x14ac:dyDescent="0.25">
      <c r="B299" s="492" t="e">
        <f>1+B294</f>
        <v>#REF!</v>
      </c>
      <c r="C299" s="489" t="s">
        <v>38</v>
      </c>
      <c r="D299" s="211"/>
      <c r="E299" s="344">
        <v>44504</v>
      </c>
      <c r="F299" s="344"/>
      <c r="G299" s="184">
        <v>820.95</v>
      </c>
      <c r="H299" s="184">
        <v>0</v>
      </c>
      <c r="I299" s="223">
        <v>2</v>
      </c>
      <c r="J299" s="223"/>
      <c r="K299" s="154">
        <v>1641.9</v>
      </c>
      <c r="L299" s="9"/>
      <c r="M299" s="9"/>
      <c r="N299" s="267"/>
      <c r="O299" s="10"/>
      <c r="P299" s="267"/>
      <c r="Q299" s="10"/>
      <c r="R299" s="337"/>
      <c r="S299" s="10"/>
      <c r="T299" s="10"/>
      <c r="U299" s="26" t="s">
        <v>28</v>
      </c>
    </row>
    <row r="300" spans="2:21" ht="23.25" customHeight="1" x14ac:dyDescent="0.25">
      <c r="B300" s="493"/>
      <c r="C300" s="490"/>
      <c r="D300" s="222"/>
      <c r="E300" s="346">
        <v>44536</v>
      </c>
      <c r="F300" s="346"/>
      <c r="G300" s="150">
        <v>805.6</v>
      </c>
      <c r="H300" s="150">
        <v>0</v>
      </c>
      <c r="I300" s="149">
        <v>1</v>
      </c>
      <c r="J300" s="149"/>
      <c r="K300" s="154">
        <v>805.6</v>
      </c>
      <c r="L300" s="256"/>
      <c r="M300" s="256"/>
      <c r="N300" s="171"/>
      <c r="O300" s="8"/>
      <c r="P300" s="299"/>
      <c r="Q300" s="8"/>
      <c r="R300" s="340"/>
      <c r="S300" s="8"/>
      <c r="T300" s="8"/>
      <c r="U300" s="36"/>
    </row>
    <row r="301" spans="2:21" ht="23.25" customHeight="1" x14ac:dyDescent="0.25">
      <c r="B301" s="493"/>
      <c r="C301" s="490"/>
      <c r="D301" s="222"/>
      <c r="E301" s="346">
        <v>44714</v>
      </c>
      <c r="F301" s="346"/>
      <c r="G301" s="150">
        <v>678.8</v>
      </c>
      <c r="H301" s="150">
        <v>0</v>
      </c>
      <c r="I301" s="149">
        <v>1</v>
      </c>
      <c r="J301" s="149"/>
      <c r="K301" s="154">
        <v>678.8</v>
      </c>
      <c r="L301" s="256"/>
      <c r="M301" s="256"/>
      <c r="N301" s="171"/>
      <c r="O301" s="8"/>
      <c r="P301" s="299"/>
      <c r="Q301" s="8"/>
      <c r="R301" s="340"/>
      <c r="S301" s="8"/>
      <c r="T301" s="8"/>
      <c r="U301" s="36"/>
    </row>
    <row r="302" spans="2:21" ht="23.25" customHeight="1" x14ac:dyDescent="0.25">
      <c r="B302" s="493"/>
      <c r="C302" s="490"/>
      <c r="D302" s="222"/>
      <c r="E302" s="153">
        <v>45100</v>
      </c>
      <c r="F302" s="154" t="s">
        <v>130</v>
      </c>
      <c r="G302" s="154">
        <v>631.5</v>
      </c>
      <c r="H302" s="154">
        <v>0</v>
      </c>
      <c r="I302" s="154">
        <v>1</v>
      </c>
      <c r="J302" s="154">
        <v>631.5</v>
      </c>
      <c r="K302" s="154">
        <v>631.5</v>
      </c>
      <c r="L302" s="256"/>
      <c r="M302" s="256"/>
      <c r="N302" s="171"/>
      <c r="O302" s="8"/>
      <c r="P302" s="299"/>
      <c r="Q302" s="8"/>
      <c r="R302" s="340"/>
      <c r="S302" s="8"/>
      <c r="T302" s="8"/>
      <c r="U302" s="36"/>
    </row>
    <row r="303" spans="2:21" ht="23.25" customHeight="1" thickBot="1" x14ac:dyDescent="0.3">
      <c r="B303" s="494"/>
      <c r="C303" s="491"/>
      <c r="D303" s="213"/>
      <c r="E303" s="39"/>
      <c r="F303" s="39"/>
      <c r="G303" s="40"/>
      <c r="H303" s="40"/>
      <c r="I303" s="27">
        <f>SUM(I299:I302)</f>
        <v>5</v>
      </c>
      <c r="J303" s="55"/>
      <c r="K303" s="40"/>
      <c r="L303" s="214"/>
      <c r="M303" s="214"/>
      <c r="N303" s="42"/>
      <c r="O303" s="40"/>
      <c r="P303" s="55"/>
      <c r="Q303" s="40"/>
      <c r="R303" s="352"/>
      <c r="S303" s="40"/>
      <c r="T303" s="40"/>
      <c r="U303" s="169"/>
    </row>
    <row r="304" spans="2:21" ht="10.5" customHeight="1" thickBot="1" x14ac:dyDescent="0.3">
      <c r="B304" s="308"/>
      <c r="C304" s="457"/>
      <c r="D304" s="132"/>
      <c r="E304" s="458"/>
      <c r="F304" s="458"/>
      <c r="G304" s="131"/>
      <c r="H304" s="131"/>
      <c r="I304" s="132"/>
      <c r="J304" s="132"/>
      <c r="K304" s="131"/>
      <c r="L304" s="458"/>
      <c r="M304" s="458"/>
      <c r="N304" s="459"/>
      <c r="O304" s="131"/>
      <c r="P304" s="132"/>
      <c r="Q304" s="131"/>
      <c r="R304" s="460"/>
      <c r="S304" s="131"/>
      <c r="T304" s="131"/>
      <c r="U304" s="461"/>
    </row>
    <row r="305" spans="2:21" ht="23.25" customHeight="1" x14ac:dyDescent="0.25">
      <c r="B305" s="475" t="e">
        <f>1+B299</f>
        <v>#REF!</v>
      </c>
      <c r="C305" s="478" t="s">
        <v>39</v>
      </c>
      <c r="D305" s="212"/>
      <c r="E305" s="410">
        <v>44517</v>
      </c>
      <c r="F305" s="410"/>
      <c r="G305" s="287">
        <v>236</v>
      </c>
      <c r="H305" s="146">
        <v>0</v>
      </c>
      <c r="I305" s="145">
        <v>4</v>
      </c>
      <c r="J305" s="145"/>
      <c r="K305" s="287">
        <v>944</v>
      </c>
      <c r="L305" s="145"/>
      <c r="M305" s="145"/>
      <c r="N305" s="145"/>
      <c r="O305" s="146"/>
      <c r="P305" s="145"/>
      <c r="Q305" s="146"/>
      <c r="R305" s="333"/>
      <c r="S305" s="146"/>
      <c r="T305" s="146"/>
      <c r="U305" s="54" t="s">
        <v>28</v>
      </c>
    </row>
    <row r="306" spans="2:21" ht="23.25" customHeight="1" x14ac:dyDescent="0.25">
      <c r="B306" s="476"/>
      <c r="C306" s="479"/>
      <c r="D306" s="222"/>
      <c r="E306" s="346">
        <v>44603</v>
      </c>
      <c r="F306" s="346"/>
      <c r="G306" s="154">
        <v>230</v>
      </c>
      <c r="H306" s="150">
        <v>0</v>
      </c>
      <c r="I306" s="149">
        <v>2</v>
      </c>
      <c r="J306" s="149"/>
      <c r="K306" s="154">
        <v>460</v>
      </c>
      <c r="L306" s="149"/>
      <c r="M306" s="149"/>
      <c r="N306" s="149"/>
      <c r="O306" s="150"/>
      <c r="P306" s="149"/>
      <c r="Q306" s="150"/>
      <c r="R306" s="340"/>
      <c r="S306" s="150"/>
      <c r="T306" s="150"/>
      <c r="U306" s="36"/>
    </row>
    <row r="307" spans="2:21" ht="23.25" customHeight="1" x14ac:dyDescent="0.25">
      <c r="B307" s="476"/>
      <c r="C307" s="479"/>
      <c r="D307" s="222"/>
      <c r="E307" s="346">
        <v>44603</v>
      </c>
      <c r="F307" s="346"/>
      <c r="G307" s="154">
        <v>232</v>
      </c>
      <c r="H307" s="150">
        <v>0</v>
      </c>
      <c r="I307" s="149">
        <v>2</v>
      </c>
      <c r="J307" s="149"/>
      <c r="K307" s="154">
        <v>464</v>
      </c>
      <c r="L307" s="149"/>
      <c r="M307" s="149"/>
      <c r="N307" s="149"/>
      <c r="O307" s="150"/>
      <c r="P307" s="149"/>
      <c r="Q307" s="150"/>
      <c r="R307" s="340"/>
      <c r="S307" s="150"/>
      <c r="T307" s="150"/>
      <c r="U307" s="36"/>
    </row>
    <row r="308" spans="2:21" ht="23.25" customHeight="1" x14ac:dyDescent="0.25">
      <c r="B308" s="476"/>
      <c r="C308" s="479"/>
      <c r="D308" s="222"/>
      <c r="E308" s="346">
        <v>44623</v>
      </c>
      <c r="F308" s="346"/>
      <c r="G308" s="154">
        <v>218.1</v>
      </c>
      <c r="H308" s="150">
        <v>0</v>
      </c>
      <c r="I308" s="149">
        <v>1</v>
      </c>
      <c r="J308" s="149"/>
      <c r="K308" s="154">
        <v>218.1</v>
      </c>
      <c r="L308" s="256"/>
      <c r="M308" s="256"/>
      <c r="N308" s="171"/>
      <c r="O308" s="8"/>
      <c r="P308" s="299"/>
      <c r="Q308" s="8"/>
      <c r="R308" s="340"/>
      <c r="S308" s="8"/>
      <c r="T308" s="8"/>
      <c r="U308" s="36"/>
    </row>
    <row r="309" spans="2:21" ht="23.25" customHeight="1" x14ac:dyDescent="0.25">
      <c r="B309" s="476"/>
      <c r="C309" s="479"/>
      <c r="D309" s="222"/>
      <c r="E309" s="346">
        <v>44774</v>
      </c>
      <c r="F309" s="346"/>
      <c r="G309" s="154">
        <v>307.10000000000002</v>
      </c>
      <c r="H309" s="150">
        <v>0</v>
      </c>
      <c r="I309" s="149">
        <v>1</v>
      </c>
      <c r="J309" s="149"/>
      <c r="K309" s="154">
        <v>307.10000000000002</v>
      </c>
      <c r="L309" s="256"/>
      <c r="M309" s="256"/>
      <c r="N309" s="171"/>
      <c r="O309" s="8"/>
      <c r="P309" s="299"/>
      <c r="Q309" s="8"/>
      <c r="R309" s="340"/>
      <c r="S309" s="8"/>
      <c r="T309" s="8"/>
      <c r="U309" s="36"/>
    </row>
    <row r="310" spans="2:21" ht="23.25" customHeight="1" x14ac:dyDescent="0.25">
      <c r="B310" s="476"/>
      <c r="C310" s="479"/>
      <c r="D310" s="222"/>
      <c r="E310" s="153">
        <v>45076</v>
      </c>
      <c r="F310" s="154" t="s">
        <v>130</v>
      </c>
      <c r="G310" s="154">
        <v>440.25</v>
      </c>
      <c r="H310" s="154">
        <v>0</v>
      </c>
      <c r="I310" s="154">
        <v>5</v>
      </c>
      <c r="J310" s="154">
        <v>2201.25</v>
      </c>
      <c r="K310" s="154">
        <v>2201.25</v>
      </c>
      <c r="L310" s="256"/>
      <c r="M310" s="256"/>
      <c r="N310" s="171"/>
      <c r="O310" s="8"/>
      <c r="P310" s="299"/>
      <c r="Q310" s="8"/>
      <c r="R310" s="340"/>
      <c r="S310" s="8"/>
      <c r="T310" s="8"/>
      <c r="U310" s="36"/>
    </row>
    <row r="311" spans="2:21" ht="23.25" customHeight="1" x14ac:dyDescent="0.25">
      <c r="B311" s="476"/>
      <c r="C311" s="479"/>
      <c r="D311" s="222"/>
      <c r="E311" s="153">
        <v>45224</v>
      </c>
      <c r="F311" s="154" t="s">
        <v>130</v>
      </c>
      <c r="G311" s="154">
        <v>430</v>
      </c>
      <c r="H311" s="154">
        <v>0</v>
      </c>
      <c r="I311" s="154">
        <v>2</v>
      </c>
      <c r="J311" s="154">
        <v>860</v>
      </c>
      <c r="K311" s="154">
        <v>860</v>
      </c>
      <c r="L311" s="256"/>
      <c r="M311" s="256"/>
      <c r="N311" s="171"/>
      <c r="O311" s="8"/>
      <c r="P311" s="299"/>
      <c r="Q311" s="8"/>
      <c r="R311" s="340"/>
      <c r="S311" s="8"/>
      <c r="T311" s="8"/>
      <c r="U311" s="36"/>
    </row>
    <row r="312" spans="2:21" ht="23.25" customHeight="1" x14ac:dyDescent="0.25">
      <c r="B312" s="476"/>
      <c r="C312" s="479"/>
      <c r="D312" s="222"/>
      <c r="E312" s="153">
        <v>45327</v>
      </c>
      <c r="F312" s="154" t="s">
        <v>130</v>
      </c>
      <c r="G312" s="154">
        <v>443.8</v>
      </c>
      <c r="H312" s="154">
        <v>0</v>
      </c>
      <c r="I312" s="154">
        <v>3</v>
      </c>
      <c r="J312" s="154">
        <v>1331.4</v>
      </c>
      <c r="K312" s="154">
        <v>1331.4</v>
      </c>
      <c r="L312" s="256"/>
      <c r="M312" s="256"/>
      <c r="N312" s="171"/>
      <c r="O312" s="8"/>
      <c r="P312" s="299"/>
      <c r="Q312" s="8"/>
      <c r="R312" s="340"/>
      <c r="S312" s="8"/>
      <c r="T312" s="8"/>
      <c r="U312" s="36"/>
    </row>
    <row r="313" spans="2:21" ht="23.25" customHeight="1" thickBot="1" x14ac:dyDescent="0.3">
      <c r="B313" s="476"/>
      <c r="C313" s="480"/>
      <c r="D313" s="216"/>
      <c r="E313" s="373"/>
      <c r="F313" s="373"/>
      <c r="G313" s="156"/>
      <c r="H313" s="156"/>
      <c r="I313" s="294">
        <f>SUM(I305:I312)</f>
        <v>20</v>
      </c>
      <c r="J313" s="155"/>
      <c r="K313" s="156"/>
      <c r="L313" s="217"/>
      <c r="M313" s="217"/>
      <c r="N313" s="76"/>
      <c r="O313" s="77"/>
      <c r="P313" s="226"/>
      <c r="Q313" s="77"/>
      <c r="R313" s="371"/>
      <c r="S313" s="77"/>
      <c r="T313" s="77"/>
      <c r="U313" s="46"/>
    </row>
    <row r="314" spans="2:21" ht="10.5" customHeight="1" thickBot="1" x14ac:dyDescent="0.3">
      <c r="B314" s="321"/>
      <c r="C314" s="186"/>
      <c r="D314" s="243"/>
      <c r="E314" s="411"/>
      <c r="F314" s="411"/>
      <c r="G314" s="233"/>
      <c r="H314" s="233"/>
      <c r="I314" s="412"/>
      <c r="J314" s="187"/>
      <c r="K314" s="233"/>
      <c r="L314" s="188"/>
      <c r="M314" s="188"/>
      <c r="N314" s="189"/>
      <c r="O314" s="181"/>
      <c r="P314" s="322"/>
      <c r="Q314" s="181"/>
      <c r="R314" s="393"/>
      <c r="S314" s="181"/>
      <c r="T314" s="181"/>
      <c r="U314" s="51"/>
    </row>
    <row r="315" spans="2:21" ht="37.5" customHeight="1" x14ac:dyDescent="0.25">
      <c r="B315" s="476"/>
      <c r="C315" s="478" t="s">
        <v>93</v>
      </c>
      <c r="D315" s="212"/>
      <c r="E315" s="331">
        <v>45236</v>
      </c>
      <c r="F315" s="332" t="s">
        <v>74</v>
      </c>
      <c r="G315" s="333">
        <v>12.375</v>
      </c>
      <c r="H315" s="333">
        <f>175.43/I315</f>
        <v>0.35086000000000001</v>
      </c>
      <c r="I315" s="332">
        <v>500</v>
      </c>
      <c r="J315" s="333">
        <v>24750</v>
      </c>
      <c r="K315" s="333">
        <f>(G315+H315)*I315</f>
        <v>6362.93</v>
      </c>
      <c r="L315" s="331">
        <v>45237</v>
      </c>
      <c r="M315" s="332" t="s">
        <v>114</v>
      </c>
      <c r="N315" s="333">
        <v>14.25</v>
      </c>
      <c r="O315" s="408">
        <v>9.8879999999999205E-2</v>
      </c>
      <c r="P315" s="333">
        <v>500</v>
      </c>
      <c r="Q315" s="333">
        <v>7125</v>
      </c>
      <c r="R315" s="333">
        <f t="shared" si="38"/>
        <v>7075.56</v>
      </c>
      <c r="S315" s="110"/>
      <c r="T315" s="110"/>
      <c r="U315" s="54"/>
    </row>
    <row r="316" spans="2:21" ht="23.25" customHeight="1" x14ac:dyDescent="0.25">
      <c r="B316" s="476"/>
      <c r="C316" s="479"/>
      <c r="D316" s="222"/>
      <c r="E316" s="341">
        <v>45236</v>
      </c>
      <c r="F316" s="339" t="s">
        <v>74</v>
      </c>
      <c r="G316" s="340">
        <v>12.375</v>
      </c>
      <c r="H316" s="340">
        <f>175.43/I316</f>
        <v>0.35086000000000001</v>
      </c>
      <c r="I316" s="339">
        <v>500</v>
      </c>
      <c r="J316" s="340">
        <v>24750</v>
      </c>
      <c r="K316" s="340">
        <f>(G316+H316)*I316</f>
        <v>6362.93</v>
      </c>
      <c r="L316" s="341">
        <v>45239</v>
      </c>
      <c r="M316" s="339" t="s">
        <v>114</v>
      </c>
      <c r="N316" s="340">
        <v>14.95</v>
      </c>
      <c r="O316" s="347">
        <v>0.10370000000000072</v>
      </c>
      <c r="P316" s="340">
        <v>500</v>
      </c>
      <c r="Q316" s="340">
        <v>7475</v>
      </c>
      <c r="R316" s="340">
        <f t="shared" si="38"/>
        <v>7423.15</v>
      </c>
      <c r="S316" s="8"/>
      <c r="T316" s="8"/>
      <c r="U316" s="36"/>
    </row>
    <row r="317" spans="2:21" ht="23.25" customHeight="1" x14ac:dyDescent="0.25">
      <c r="B317" s="476"/>
      <c r="C317" s="479"/>
      <c r="D317" s="222"/>
      <c r="E317" s="341">
        <v>45236</v>
      </c>
      <c r="F317" s="339" t="s">
        <v>74</v>
      </c>
      <c r="G317" s="340">
        <v>12.375</v>
      </c>
      <c r="H317" s="340">
        <f>175.43/I317</f>
        <v>0.17543</v>
      </c>
      <c r="I317" s="339">
        <v>1000</v>
      </c>
      <c r="J317" s="340">
        <v>24750</v>
      </c>
      <c r="K317" s="340">
        <f>(G317+H317)*I317</f>
        <v>12550.43</v>
      </c>
      <c r="L317" s="341">
        <v>45246</v>
      </c>
      <c r="M317" s="339" t="s">
        <v>114</v>
      </c>
      <c r="N317" s="340">
        <v>15</v>
      </c>
      <c r="O317" s="347">
        <v>0.10404999999999927</v>
      </c>
      <c r="P317" s="340">
        <v>1000</v>
      </c>
      <c r="Q317" s="340">
        <v>15000</v>
      </c>
      <c r="R317" s="340">
        <f t="shared" si="38"/>
        <v>14895.95</v>
      </c>
      <c r="S317" s="8"/>
      <c r="T317" s="8"/>
      <c r="U317" s="36"/>
    </row>
    <row r="318" spans="2:21" ht="23.25" customHeight="1" thickBot="1" x14ac:dyDescent="0.3">
      <c r="B318" s="477"/>
      <c r="C318" s="480"/>
      <c r="D318" s="216"/>
      <c r="E318" s="338"/>
      <c r="F318" s="370"/>
      <c r="G318" s="371"/>
      <c r="H318" s="371"/>
      <c r="I318" s="372">
        <f>SUM(I315:I317)</f>
        <v>2000</v>
      </c>
      <c r="J318" s="372">
        <f>I318-P318</f>
        <v>0</v>
      </c>
      <c r="K318" s="371"/>
      <c r="L318" s="217"/>
      <c r="M318" s="217"/>
      <c r="N318" s="76"/>
      <c r="O318" s="77"/>
      <c r="P318" s="78">
        <f>SUM(P315:P317)</f>
        <v>2000</v>
      </c>
      <c r="Q318" s="77"/>
      <c r="R318" s="371"/>
      <c r="S318" s="77"/>
      <c r="T318" s="77"/>
      <c r="U318" s="46"/>
    </row>
    <row r="319" spans="2:21" ht="10.5" customHeight="1" thickBot="1" x14ac:dyDescent="0.3">
      <c r="B319" s="249"/>
      <c r="C319" s="262"/>
      <c r="D319" s="250"/>
      <c r="E319" s="375"/>
      <c r="F319" s="376"/>
      <c r="G319" s="377"/>
      <c r="H319" s="377"/>
      <c r="I319" s="376"/>
      <c r="J319" s="377"/>
      <c r="K319" s="377"/>
      <c r="L319" s="289"/>
      <c r="M319" s="289"/>
      <c r="N319" s="265"/>
      <c r="O319" s="137"/>
      <c r="P319" s="251"/>
      <c r="Q319" s="137"/>
      <c r="R319" s="377"/>
      <c r="S319" s="137"/>
      <c r="T319" s="137"/>
      <c r="U319" s="255"/>
    </row>
    <row r="320" spans="2:21" ht="23.25" customHeight="1" x14ac:dyDescent="0.25">
      <c r="B320" s="475"/>
      <c r="C320" s="486" t="s">
        <v>94</v>
      </c>
      <c r="D320" s="211"/>
      <c r="E320" s="335">
        <v>45302</v>
      </c>
      <c r="F320" s="336" t="s">
        <v>74</v>
      </c>
      <c r="G320" s="337">
        <v>1940.9099999999999</v>
      </c>
      <c r="H320" s="337">
        <f>137.57/I320</f>
        <v>13.757</v>
      </c>
      <c r="I320" s="336">
        <v>10</v>
      </c>
      <c r="J320" s="337">
        <v>19409.099999999999</v>
      </c>
      <c r="K320" s="337">
        <f t="shared" ref="K320:K328" si="42">(G320+H320)*I320</f>
        <v>19546.669999999998</v>
      </c>
      <c r="L320" s="335">
        <v>45341</v>
      </c>
      <c r="M320" s="336" t="s">
        <v>114</v>
      </c>
      <c r="N320" s="337">
        <v>2399</v>
      </c>
      <c r="O320" s="337">
        <v>16.644000000000002</v>
      </c>
      <c r="P320" s="336">
        <v>10</v>
      </c>
      <c r="Q320" s="337">
        <v>23990</v>
      </c>
      <c r="R320" s="337">
        <f t="shared" si="38"/>
        <v>23823.56</v>
      </c>
      <c r="S320" s="10"/>
      <c r="T320" s="10"/>
      <c r="U320" s="34"/>
    </row>
    <row r="321" spans="2:21" ht="23.25" customHeight="1" thickBot="1" x14ac:dyDescent="0.3">
      <c r="B321" s="477"/>
      <c r="C321" s="488"/>
      <c r="D321" s="213"/>
      <c r="E321" s="350"/>
      <c r="F321" s="351"/>
      <c r="G321" s="352"/>
      <c r="H321" s="352"/>
      <c r="I321" s="300">
        <f>SUM(I320)</f>
        <v>10</v>
      </c>
      <c r="J321" s="352"/>
      <c r="K321" s="352"/>
      <c r="L321" s="214"/>
      <c r="M321" s="214"/>
      <c r="N321" s="42"/>
      <c r="O321" s="40"/>
      <c r="P321" s="27">
        <f>SUM(P320)</f>
        <v>10</v>
      </c>
      <c r="Q321" s="40"/>
      <c r="R321" s="352"/>
      <c r="S321" s="40"/>
      <c r="T321" s="40"/>
      <c r="U321" s="43"/>
    </row>
    <row r="322" spans="2:21" ht="9" customHeight="1" thickBot="1" x14ac:dyDescent="0.3">
      <c r="B322" s="244"/>
      <c r="C322" s="413"/>
      <c r="D322" s="246"/>
      <c r="E322" s="414"/>
      <c r="F322" s="415"/>
      <c r="G322" s="416"/>
      <c r="H322" s="416"/>
      <c r="I322" s="417"/>
      <c r="J322" s="416"/>
      <c r="K322" s="416"/>
      <c r="L322" s="273"/>
      <c r="M322" s="273"/>
      <c r="N322" s="271"/>
      <c r="O322" s="135"/>
      <c r="P322" s="290"/>
      <c r="Q322" s="135"/>
      <c r="R322" s="416"/>
      <c r="S322" s="135"/>
      <c r="T322" s="135"/>
      <c r="U322" s="248"/>
    </row>
    <row r="323" spans="2:21" ht="23.25" customHeight="1" x14ac:dyDescent="0.25">
      <c r="B323" s="475"/>
      <c r="C323" s="486" t="s">
        <v>132</v>
      </c>
      <c r="D323" s="212"/>
      <c r="E323" s="331">
        <v>45148</v>
      </c>
      <c r="F323" s="332" t="s">
        <v>117</v>
      </c>
      <c r="G323" s="333">
        <v>0</v>
      </c>
      <c r="H323" s="333">
        <v>0</v>
      </c>
      <c r="I323" s="418">
        <v>2</v>
      </c>
      <c r="J323" s="333">
        <v>0</v>
      </c>
      <c r="K323" s="333">
        <v>0</v>
      </c>
      <c r="L323" s="288">
        <v>45166</v>
      </c>
      <c r="M323" s="287" t="s">
        <v>131</v>
      </c>
      <c r="N323" s="287">
        <v>222</v>
      </c>
      <c r="O323" s="287">
        <v>0</v>
      </c>
      <c r="P323" s="287">
        <v>2</v>
      </c>
      <c r="Q323" s="287">
        <v>444</v>
      </c>
      <c r="R323" s="287">
        <v>444</v>
      </c>
      <c r="S323" s="110"/>
      <c r="T323" s="110"/>
      <c r="U323" s="54" t="s">
        <v>28</v>
      </c>
    </row>
    <row r="324" spans="2:21" ht="23.25" customHeight="1" x14ac:dyDescent="0.25">
      <c r="B324" s="476"/>
      <c r="C324" s="487"/>
      <c r="D324" s="462"/>
      <c r="E324" s="463"/>
      <c r="F324" s="452"/>
      <c r="G324" s="419"/>
      <c r="H324" s="419"/>
      <c r="I324" s="464"/>
      <c r="J324" s="419"/>
      <c r="K324" s="419"/>
      <c r="L324" s="465"/>
      <c r="M324" s="466"/>
      <c r="N324" s="466"/>
      <c r="O324" s="466"/>
      <c r="P324" s="466"/>
      <c r="Q324" s="466"/>
      <c r="R324" s="466"/>
      <c r="S324" s="128"/>
      <c r="T324" s="128"/>
      <c r="U324" s="451"/>
    </row>
    <row r="325" spans="2:21" ht="24" customHeight="1" thickBot="1" x14ac:dyDescent="0.3">
      <c r="B325" s="477"/>
      <c r="C325" s="488"/>
      <c r="D325" s="213"/>
      <c r="E325" s="331">
        <v>45148</v>
      </c>
      <c r="F325" s="332" t="s">
        <v>117</v>
      </c>
      <c r="G325" s="333">
        <v>0</v>
      </c>
      <c r="H325" s="333">
        <v>0</v>
      </c>
      <c r="I325" s="418">
        <v>2</v>
      </c>
      <c r="J325" s="333">
        <v>0</v>
      </c>
      <c r="K325" s="333">
        <v>0</v>
      </c>
      <c r="L325" s="214"/>
      <c r="M325" s="214"/>
      <c r="N325" s="42"/>
      <c r="O325" s="40"/>
      <c r="P325" s="55"/>
      <c r="Q325" s="40"/>
      <c r="R325" s="352"/>
      <c r="S325" s="40"/>
      <c r="T325" s="40"/>
      <c r="U325" s="43" t="s">
        <v>55</v>
      </c>
    </row>
    <row r="326" spans="2:21" ht="11.25" customHeight="1" thickBot="1" x14ac:dyDescent="0.3">
      <c r="B326" s="220"/>
      <c r="C326" s="384"/>
      <c r="D326" s="162"/>
      <c r="E326" s="362"/>
      <c r="F326" s="363"/>
      <c r="G326" s="364"/>
      <c r="H326" s="364"/>
      <c r="I326" s="363"/>
      <c r="J326" s="364"/>
      <c r="K326" s="419"/>
      <c r="L326" s="192"/>
      <c r="M326" s="192"/>
      <c r="N326" s="31"/>
      <c r="O326" s="6"/>
      <c r="P326" s="5"/>
      <c r="Q326" s="6"/>
      <c r="R326" s="381"/>
      <c r="S326" s="6"/>
      <c r="T326" s="6"/>
      <c r="U326" s="221"/>
    </row>
    <row r="327" spans="2:21" ht="23.25" customHeight="1" x14ac:dyDescent="0.25">
      <c r="B327" s="475"/>
      <c r="C327" s="486" t="s">
        <v>95</v>
      </c>
      <c r="D327" s="211"/>
      <c r="E327" s="382">
        <v>45198</v>
      </c>
      <c r="F327" s="336"/>
      <c r="G327" s="336">
        <v>119</v>
      </c>
      <c r="H327" s="336">
        <v>0</v>
      </c>
      <c r="I327" s="336">
        <v>126</v>
      </c>
      <c r="J327" s="336">
        <f>G327*I327</f>
        <v>14994</v>
      </c>
      <c r="K327" s="336">
        <f t="shared" si="42"/>
        <v>14994</v>
      </c>
      <c r="L327" s="382">
        <v>45216</v>
      </c>
      <c r="M327" s="336" t="s">
        <v>114</v>
      </c>
      <c r="N327" s="336">
        <v>174.8</v>
      </c>
      <c r="O327" s="385">
        <v>1.2123809523809397</v>
      </c>
      <c r="P327" s="336">
        <v>126</v>
      </c>
      <c r="Q327" s="336">
        <v>22024.799999999999</v>
      </c>
      <c r="R327" s="336">
        <f t="shared" si="38"/>
        <v>21872.040000000005</v>
      </c>
      <c r="S327" s="10"/>
      <c r="T327" s="10"/>
      <c r="U327" s="26"/>
    </row>
    <row r="328" spans="2:21" ht="23.25" customHeight="1" x14ac:dyDescent="0.25">
      <c r="B328" s="476"/>
      <c r="C328" s="487"/>
      <c r="D328" s="222"/>
      <c r="E328" s="348">
        <v>45302</v>
      </c>
      <c r="F328" s="339" t="s">
        <v>74</v>
      </c>
      <c r="G328" s="339">
        <v>215</v>
      </c>
      <c r="H328" s="339">
        <f>304.76/I328</f>
        <v>3.0476000000000001</v>
      </c>
      <c r="I328" s="339">
        <v>100</v>
      </c>
      <c r="J328" s="339">
        <v>43000</v>
      </c>
      <c r="K328" s="339">
        <f t="shared" si="42"/>
        <v>21804.76</v>
      </c>
      <c r="L328" s="348">
        <v>45341</v>
      </c>
      <c r="M328" s="339" t="s">
        <v>114</v>
      </c>
      <c r="N328" s="339">
        <v>229.95</v>
      </c>
      <c r="O328" s="339">
        <v>1.5952999999999999</v>
      </c>
      <c r="P328" s="339">
        <v>100</v>
      </c>
      <c r="Q328" s="339">
        <v>22995</v>
      </c>
      <c r="R328" s="339">
        <v>22835.48</v>
      </c>
      <c r="S328" s="8"/>
      <c r="T328" s="8"/>
      <c r="U328" s="18"/>
    </row>
    <row r="329" spans="2:21" ht="23.25" customHeight="1" x14ac:dyDescent="0.25">
      <c r="B329" s="476"/>
      <c r="C329" s="487"/>
      <c r="D329" s="222"/>
      <c r="E329" s="348">
        <v>45302</v>
      </c>
      <c r="F329" s="339" t="s">
        <v>74</v>
      </c>
      <c r="G329" s="339">
        <v>215</v>
      </c>
      <c r="H329" s="339">
        <f>304.76/I329</f>
        <v>3.0476000000000001</v>
      </c>
      <c r="I329" s="339">
        <v>100</v>
      </c>
      <c r="J329" s="339">
        <v>43000</v>
      </c>
      <c r="K329" s="339">
        <f t="shared" ref="K329" si="43">(G329+H329)*I329</f>
        <v>21804.76</v>
      </c>
      <c r="L329" s="348">
        <v>45345</v>
      </c>
      <c r="M329" s="339" t="s">
        <v>114</v>
      </c>
      <c r="N329" s="339">
        <v>264.95</v>
      </c>
      <c r="O329" s="339">
        <v>1.8380999999999998</v>
      </c>
      <c r="P329" s="339">
        <v>100</v>
      </c>
      <c r="Q329" s="339">
        <v>26495</v>
      </c>
      <c r="R329" s="339">
        <v>26311.200000000001</v>
      </c>
      <c r="S329" s="8"/>
      <c r="T329" s="8"/>
      <c r="U329" s="18"/>
    </row>
    <row r="330" spans="2:21" ht="23.25" customHeight="1" x14ac:dyDescent="0.25">
      <c r="B330" s="476"/>
      <c r="C330" s="487"/>
      <c r="D330" s="222"/>
      <c r="E330" s="348">
        <v>45372</v>
      </c>
      <c r="F330" s="339" t="s">
        <v>74</v>
      </c>
      <c r="G330" s="339">
        <v>236.2</v>
      </c>
      <c r="H330" s="339">
        <v>1.6740999999999997</v>
      </c>
      <c r="I330" s="339">
        <v>200</v>
      </c>
      <c r="J330" s="339">
        <v>47240</v>
      </c>
      <c r="K330" s="339">
        <f t="shared" ref="K330" si="44">(G330+H330)*I330</f>
        <v>47574.82</v>
      </c>
      <c r="L330" s="348"/>
      <c r="M330" s="339"/>
      <c r="N330" s="339"/>
      <c r="O330" s="339"/>
      <c r="P330" s="339"/>
      <c r="Q330" s="339"/>
      <c r="R330" s="339"/>
      <c r="S330" s="8"/>
      <c r="T330" s="8"/>
      <c r="U330" s="18"/>
    </row>
    <row r="331" spans="2:21" ht="23.25" customHeight="1" thickBot="1" x14ac:dyDescent="0.3">
      <c r="B331" s="477"/>
      <c r="C331" s="488"/>
      <c r="D331" s="213"/>
      <c r="E331" s="350"/>
      <c r="F331" s="351"/>
      <c r="G331" s="352"/>
      <c r="H331" s="352"/>
      <c r="I331" s="300">
        <f>SUM(I327:I330)</f>
        <v>526</v>
      </c>
      <c r="J331" s="300">
        <f>I331-P331</f>
        <v>200</v>
      </c>
      <c r="K331" s="352"/>
      <c r="L331" s="214"/>
      <c r="M331" s="214"/>
      <c r="N331" s="42"/>
      <c r="O331" s="40"/>
      <c r="P331" s="27">
        <f>SUM(P327:P330)</f>
        <v>326</v>
      </c>
      <c r="Q331" s="40"/>
      <c r="R331" s="40"/>
      <c r="S331" s="40"/>
      <c r="T331" s="40"/>
      <c r="U331" s="169"/>
    </row>
    <row r="332" spans="2:21" ht="9" customHeight="1" thickBot="1" x14ac:dyDescent="0.3">
      <c r="B332" s="5"/>
      <c r="C332" s="163"/>
      <c r="D332" s="5"/>
      <c r="E332" s="4"/>
      <c r="F332" s="4"/>
      <c r="G332" s="6"/>
      <c r="H332" s="6"/>
      <c r="I332" s="5"/>
      <c r="J332" s="5"/>
      <c r="K332" s="6"/>
      <c r="L332" s="4"/>
      <c r="M332" s="4"/>
      <c r="N332" s="31"/>
      <c r="O332" s="6"/>
      <c r="P332" s="5"/>
      <c r="Q332" s="6"/>
      <c r="R332" s="6"/>
      <c r="S332" s="6"/>
      <c r="T332" s="6"/>
      <c r="U332" s="32"/>
    </row>
    <row r="333" spans="2:21" ht="23.25" customHeight="1" x14ac:dyDescent="0.25">
      <c r="B333" s="475" t="e">
        <f>1+B305</f>
        <v>#REF!</v>
      </c>
      <c r="C333" s="478" t="s">
        <v>40</v>
      </c>
      <c r="D333" s="211"/>
      <c r="E333" s="344">
        <v>44510</v>
      </c>
      <c r="F333" s="344"/>
      <c r="G333" s="184">
        <v>459.99</v>
      </c>
      <c r="H333" s="184">
        <v>0</v>
      </c>
      <c r="I333" s="223">
        <v>2</v>
      </c>
      <c r="J333" s="223"/>
      <c r="K333" s="184">
        <v>919.98</v>
      </c>
      <c r="L333" s="223"/>
      <c r="M333" s="223"/>
      <c r="N333" s="223"/>
      <c r="O333" s="184"/>
      <c r="P333" s="223"/>
      <c r="Q333" s="184"/>
      <c r="R333" s="184"/>
      <c r="S333" s="184"/>
      <c r="T333" s="184"/>
      <c r="U333" s="166" t="s">
        <v>28</v>
      </c>
    </row>
    <row r="334" spans="2:21" ht="23.25" customHeight="1" thickBot="1" x14ac:dyDescent="0.3">
      <c r="B334" s="477"/>
      <c r="C334" s="480"/>
      <c r="D334" s="213"/>
      <c r="E334" s="225"/>
      <c r="F334" s="225"/>
      <c r="G334" s="224"/>
      <c r="H334" s="224"/>
      <c r="I334" s="279">
        <f>SUM(I333)</f>
        <v>2</v>
      </c>
      <c r="J334" s="225"/>
      <c r="K334" s="224"/>
      <c r="L334" s="225"/>
      <c r="M334" s="225"/>
      <c r="N334" s="225"/>
      <c r="O334" s="224"/>
      <c r="P334" s="225"/>
      <c r="Q334" s="224"/>
      <c r="R334" s="224"/>
      <c r="S334" s="224"/>
      <c r="T334" s="224"/>
      <c r="U334" s="169"/>
    </row>
    <row r="335" spans="2:21" ht="10.5" customHeight="1" thickBot="1" x14ac:dyDescent="0.3">
      <c r="B335" s="483"/>
      <c r="C335" s="484"/>
      <c r="D335" s="484"/>
      <c r="E335" s="484"/>
      <c r="F335" s="484"/>
      <c r="G335" s="484"/>
      <c r="H335" s="484"/>
      <c r="I335" s="484"/>
      <c r="J335" s="484"/>
      <c r="K335" s="484"/>
      <c r="L335" s="484"/>
      <c r="M335" s="484"/>
      <c r="N335" s="484"/>
      <c r="O335" s="484"/>
      <c r="P335" s="484"/>
      <c r="Q335" s="484"/>
      <c r="R335" s="484"/>
      <c r="S335" s="484"/>
      <c r="T335" s="484"/>
      <c r="U335" s="485"/>
    </row>
    <row r="336" spans="2:21" ht="26.25" customHeight="1" x14ac:dyDescent="0.25">
      <c r="B336" s="475"/>
      <c r="C336" s="486" t="s">
        <v>96</v>
      </c>
      <c r="D336" s="211"/>
      <c r="E336" s="335">
        <v>45232</v>
      </c>
      <c r="F336" s="336" t="s">
        <v>74</v>
      </c>
      <c r="G336" s="337">
        <v>655.1</v>
      </c>
      <c r="H336" s="337">
        <v>116.10999999999999</v>
      </c>
      <c r="I336" s="336">
        <v>25</v>
      </c>
      <c r="J336" s="337">
        <v>16377.5</v>
      </c>
      <c r="K336" s="337">
        <v>16493.61</v>
      </c>
      <c r="L336" s="223"/>
      <c r="M336" s="223"/>
      <c r="N336" s="223"/>
      <c r="O336" s="184"/>
      <c r="P336" s="223"/>
      <c r="Q336" s="184"/>
      <c r="R336" s="184"/>
      <c r="S336" s="184"/>
      <c r="T336" s="184"/>
      <c r="U336" s="166" t="s">
        <v>55</v>
      </c>
    </row>
    <row r="337" spans="2:21" ht="26.25" customHeight="1" thickBot="1" x14ac:dyDescent="0.3">
      <c r="B337" s="477"/>
      <c r="C337" s="488"/>
      <c r="D337" s="213"/>
      <c r="E337" s="39"/>
      <c r="F337" s="39"/>
      <c r="G337" s="40"/>
      <c r="H337" s="40"/>
      <c r="I337" s="300">
        <f>SUM(I336:I336)</f>
        <v>25</v>
      </c>
      <c r="J337" s="40"/>
      <c r="K337" s="40"/>
      <c r="L337" s="214"/>
      <c r="M337" s="214"/>
      <c r="N337" s="42"/>
      <c r="O337" s="40"/>
      <c r="P337" s="55"/>
      <c r="Q337" s="40"/>
      <c r="R337" s="40"/>
      <c r="S337" s="40"/>
      <c r="T337" s="40"/>
      <c r="U337" s="169"/>
    </row>
    <row r="338" spans="2:21" ht="13.5" customHeight="1" thickBot="1" x14ac:dyDescent="0.3">
      <c r="B338" s="5"/>
      <c r="C338" s="163"/>
      <c r="D338" s="5"/>
      <c r="E338" s="4"/>
      <c r="F338" s="4"/>
      <c r="G338" s="6"/>
      <c r="H338" s="6"/>
      <c r="I338" s="5"/>
      <c r="J338" s="5"/>
      <c r="K338" s="6"/>
      <c r="L338" s="4"/>
      <c r="M338" s="4"/>
      <c r="N338" s="31"/>
      <c r="O338" s="6"/>
      <c r="P338" s="5"/>
      <c r="Q338" s="6"/>
      <c r="R338" s="6"/>
      <c r="S338" s="6"/>
      <c r="T338" s="6"/>
      <c r="U338" s="32"/>
    </row>
    <row r="339" spans="2:21" ht="23.25" customHeight="1" x14ac:dyDescent="0.25">
      <c r="B339" s="475" t="e">
        <f>1+#REF!</f>
        <v>#REF!</v>
      </c>
      <c r="C339" s="478" t="s">
        <v>41</v>
      </c>
      <c r="D339" s="211"/>
      <c r="E339" s="344">
        <v>44385</v>
      </c>
      <c r="F339" s="344"/>
      <c r="G339" s="184">
        <v>267.64999999999998</v>
      </c>
      <c r="H339" s="184">
        <v>0</v>
      </c>
      <c r="I339" s="223">
        <v>5</v>
      </c>
      <c r="J339" s="223"/>
      <c r="K339" s="184">
        <v>1338.25</v>
      </c>
      <c r="L339" s="223"/>
      <c r="M339" s="223"/>
      <c r="N339" s="223"/>
      <c r="O339" s="184"/>
      <c r="P339" s="223"/>
      <c r="Q339" s="184"/>
      <c r="R339" s="184"/>
      <c r="S339" s="184"/>
      <c r="T339" s="184"/>
      <c r="U339" s="34" t="s">
        <v>28</v>
      </c>
    </row>
    <row r="340" spans="2:21" ht="23.25" customHeight="1" x14ac:dyDescent="0.25">
      <c r="B340" s="476"/>
      <c r="C340" s="479"/>
      <c r="D340" s="222"/>
      <c r="E340" s="346">
        <v>44440</v>
      </c>
      <c r="F340" s="346"/>
      <c r="G340" s="150">
        <v>244.2</v>
      </c>
      <c r="H340" s="150">
        <v>0</v>
      </c>
      <c r="I340" s="149">
        <v>2</v>
      </c>
      <c r="J340" s="149"/>
      <c r="K340" s="150">
        <v>488.4</v>
      </c>
      <c r="L340" s="149"/>
      <c r="M340" s="149"/>
      <c r="N340" s="149"/>
      <c r="O340" s="150"/>
      <c r="P340" s="149"/>
      <c r="Q340" s="150"/>
      <c r="R340" s="150"/>
      <c r="S340" s="150"/>
      <c r="T340" s="150"/>
      <c r="U340" s="36"/>
    </row>
    <row r="341" spans="2:21" ht="23.25" customHeight="1" x14ac:dyDescent="0.25">
      <c r="B341" s="476"/>
      <c r="C341" s="479"/>
      <c r="D341" s="222"/>
      <c r="E341" s="346">
        <v>44440</v>
      </c>
      <c r="F341" s="346"/>
      <c r="G341" s="150">
        <v>244.2</v>
      </c>
      <c r="H341" s="150">
        <v>0</v>
      </c>
      <c r="I341" s="149">
        <v>2</v>
      </c>
      <c r="J341" s="149"/>
      <c r="K341" s="150">
        <v>488.4</v>
      </c>
      <c r="L341" s="7"/>
      <c r="M341" s="7"/>
      <c r="N341" s="299"/>
      <c r="O341" s="8"/>
      <c r="P341" s="299"/>
      <c r="Q341" s="8"/>
      <c r="R341" s="8"/>
      <c r="S341" s="8"/>
      <c r="T341" s="8"/>
      <c r="U341" s="36"/>
    </row>
    <row r="342" spans="2:21" ht="23.25" customHeight="1" x14ac:dyDescent="0.25">
      <c r="B342" s="476"/>
      <c r="C342" s="479"/>
      <c r="D342" s="222"/>
      <c r="E342" s="346">
        <v>44557</v>
      </c>
      <c r="F342" s="346"/>
      <c r="G342" s="150">
        <v>196</v>
      </c>
      <c r="H342" s="150">
        <v>0</v>
      </c>
      <c r="I342" s="149">
        <v>4</v>
      </c>
      <c r="J342" s="149"/>
      <c r="K342" s="150">
        <v>784</v>
      </c>
      <c r="L342" s="7"/>
      <c r="M342" s="7"/>
      <c r="N342" s="299"/>
      <c r="O342" s="8"/>
      <c r="P342" s="299"/>
      <c r="Q342" s="8"/>
      <c r="R342" s="8"/>
      <c r="S342" s="8"/>
      <c r="T342" s="8"/>
      <c r="U342" s="36"/>
    </row>
    <row r="343" spans="2:21" ht="23.25" customHeight="1" x14ac:dyDescent="0.25">
      <c r="B343" s="476"/>
      <c r="C343" s="479"/>
      <c r="D343" s="222"/>
      <c r="E343" s="346">
        <v>44567</v>
      </c>
      <c r="F343" s="346"/>
      <c r="G343" s="150">
        <v>207</v>
      </c>
      <c r="H343" s="150">
        <v>0</v>
      </c>
      <c r="I343" s="149">
        <v>2</v>
      </c>
      <c r="J343" s="149"/>
      <c r="K343" s="150">
        <v>414</v>
      </c>
      <c r="L343" s="7"/>
      <c r="M343" s="7"/>
      <c r="N343" s="299"/>
      <c r="O343" s="8"/>
      <c r="P343" s="299"/>
      <c r="Q343" s="8"/>
      <c r="R343" s="8"/>
      <c r="S343" s="8"/>
      <c r="T343" s="8"/>
      <c r="U343" s="36"/>
    </row>
    <row r="344" spans="2:21" ht="23.25" customHeight="1" x14ac:dyDescent="0.25">
      <c r="B344" s="476"/>
      <c r="C344" s="479"/>
      <c r="D344" s="222"/>
      <c r="E344" s="346">
        <v>44580</v>
      </c>
      <c r="F344" s="346"/>
      <c r="G344" s="150">
        <v>212</v>
      </c>
      <c r="H344" s="150">
        <v>0</v>
      </c>
      <c r="I344" s="149">
        <v>1</v>
      </c>
      <c r="J344" s="149"/>
      <c r="K344" s="150">
        <v>212</v>
      </c>
      <c r="L344" s="7"/>
      <c r="M344" s="7"/>
      <c r="N344" s="299"/>
      <c r="O344" s="8"/>
      <c r="P344" s="299"/>
      <c r="Q344" s="8"/>
      <c r="R344" s="8"/>
      <c r="S344" s="8"/>
      <c r="T344" s="8"/>
      <c r="U344" s="36"/>
    </row>
    <row r="345" spans="2:21" ht="23.25" customHeight="1" x14ac:dyDescent="0.25">
      <c r="B345" s="476"/>
      <c r="C345" s="479"/>
      <c r="D345" s="222"/>
      <c r="E345" s="346">
        <v>44585</v>
      </c>
      <c r="F345" s="346"/>
      <c r="G345" s="150">
        <v>203.7</v>
      </c>
      <c r="H345" s="150">
        <v>0</v>
      </c>
      <c r="I345" s="149">
        <v>1</v>
      </c>
      <c r="J345" s="149"/>
      <c r="K345" s="150">
        <v>203.7</v>
      </c>
      <c r="L345" s="7"/>
      <c r="M345" s="7"/>
      <c r="N345" s="299"/>
      <c r="O345" s="8"/>
      <c r="P345" s="299"/>
      <c r="Q345" s="8"/>
      <c r="R345" s="8"/>
      <c r="S345" s="8"/>
      <c r="T345" s="8"/>
      <c r="U345" s="36"/>
    </row>
    <row r="346" spans="2:21" ht="23.25" customHeight="1" x14ac:dyDescent="0.25">
      <c r="B346" s="476"/>
      <c r="C346" s="479"/>
      <c r="D346" s="222"/>
      <c r="E346" s="346">
        <v>44650</v>
      </c>
      <c r="F346" s="346"/>
      <c r="G346" s="150">
        <v>228.45</v>
      </c>
      <c r="H346" s="150">
        <v>0</v>
      </c>
      <c r="I346" s="149">
        <v>3</v>
      </c>
      <c r="J346" s="149"/>
      <c r="K346" s="150">
        <v>685.34999999999991</v>
      </c>
      <c r="L346" s="7"/>
      <c r="M346" s="7"/>
      <c r="N346" s="299"/>
      <c r="O346" s="8"/>
      <c r="P346" s="299"/>
      <c r="Q346" s="8"/>
      <c r="R346" s="8"/>
      <c r="S346" s="8"/>
      <c r="T346" s="8"/>
      <c r="U346" s="36"/>
    </row>
    <row r="347" spans="2:21" ht="23.25" customHeight="1" thickBot="1" x14ac:dyDescent="0.3">
      <c r="B347" s="477"/>
      <c r="C347" s="480"/>
      <c r="D347" s="216"/>
      <c r="E347" s="373"/>
      <c r="F347" s="373"/>
      <c r="G347" s="156"/>
      <c r="H347" s="156"/>
      <c r="I347" s="294">
        <f>SUM(I339:I346)</f>
        <v>20</v>
      </c>
      <c r="J347" s="155"/>
      <c r="K347" s="156"/>
      <c r="L347" s="45"/>
      <c r="M347" s="45"/>
      <c r="N347" s="226"/>
      <c r="O347" s="77"/>
      <c r="P347" s="226"/>
      <c r="Q347" s="77"/>
      <c r="R347" s="77"/>
      <c r="S347" s="77"/>
      <c r="T347" s="77"/>
      <c r="U347" s="46"/>
    </row>
    <row r="348" spans="2:21" ht="11.25" customHeight="1" thickBot="1" x14ac:dyDescent="0.3">
      <c r="B348" s="249"/>
      <c r="C348" s="262"/>
      <c r="D348" s="250"/>
      <c r="E348" s="378"/>
      <c r="F348" s="378"/>
      <c r="G348" s="232"/>
      <c r="H348" s="232"/>
      <c r="I348" s="295"/>
      <c r="J348" s="295"/>
      <c r="K348" s="232"/>
      <c r="L348" s="272"/>
      <c r="M348" s="272"/>
      <c r="N348" s="251"/>
      <c r="O348" s="137"/>
      <c r="P348" s="251"/>
      <c r="Q348" s="137"/>
      <c r="R348" s="137"/>
      <c r="S348" s="137"/>
      <c r="T348" s="137"/>
      <c r="U348" s="255"/>
    </row>
    <row r="349" spans="2:21" ht="23.25" customHeight="1" x14ac:dyDescent="0.25">
      <c r="B349" s="475"/>
      <c r="C349" s="486" t="s">
        <v>97</v>
      </c>
      <c r="D349" s="211"/>
      <c r="E349" s="335">
        <v>45303</v>
      </c>
      <c r="F349" s="336" t="s">
        <v>74</v>
      </c>
      <c r="G349" s="337">
        <v>1557.7120000000002</v>
      </c>
      <c r="H349" s="337">
        <f>552/I349</f>
        <v>22.08</v>
      </c>
      <c r="I349" s="336">
        <v>25</v>
      </c>
      <c r="J349" s="337">
        <v>77885.600000000006</v>
      </c>
      <c r="K349" s="184">
        <f t="shared" ref="K349:K353" si="45">(G349+H349)*I349</f>
        <v>39494.800000000003</v>
      </c>
      <c r="L349" s="335">
        <v>45328</v>
      </c>
      <c r="M349" s="336" t="s">
        <v>114</v>
      </c>
      <c r="N349" s="337">
        <v>1674.95</v>
      </c>
      <c r="O349" s="337">
        <v>11.62</v>
      </c>
      <c r="P349" s="337">
        <v>25</v>
      </c>
      <c r="Q349" s="337">
        <v>41873.75</v>
      </c>
      <c r="R349" s="345">
        <f t="shared" ref="R349" si="46">(N349-O349)*P349</f>
        <v>41583.250000000007</v>
      </c>
      <c r="S349" s="10"/>
      <c r="T349" s="10"/>
      <c r="U349" s="34"/>
    </row>
    <row r="350" spans="2:21" ht="23.25" customHeight="1" x14ac:dyDescent="0.25">
      <c r="B350" s="476"/>
      <c r="C350" s="487"/>
      <c r="D350" s="222"/>
      <c r="E350" s="341">
        <v>45303</v>
      </c>
      <c r="F350" s="339" t="s">
        <v>74</v>
      </c>
      <c r="G350" s="340">
        <v>1557.7120000000002</v>
      </c>
      <c r="H350" s="340">
        <f>552/I350</f>
        <v>22.08</v>
      </c>
      <c r="I350" s="339">
        <v>25</v>
      </c>
      <c r="J350" s="340">
        <v>77885.600000000006</v>
      </c>
      <c r="K350" s="150">
        <f t="shared" ref="K350" si="47">(G350+H350)*I350</f>
        <v>39494.800000000003</v>
      </c>
      <c r="L350" s="341"/>
      <c r="M350" s="339"/>
      <c r="N350" s="340"/>
      <c r="O350" s="340"/>
      <c r="P350" s="340"/>
      <c r="Q350" s="340"/>
      <c r="R350" s="347"/>
      <c r="S350" s="8"/>
      <c r="T350" s="8"/>
      <c r="U350" s="36"/>
    </row>
    <row r="351" spans="2:21" ht="23.25" customHeight="1" x14ac:dyDescent="0.25">
      <c r="B351" s="476"/>
      <c r="C351" s="487"/>
      <c r="D351" s="222"/>
      <c r="E351" s="341">
        <v>45378</v>
      </c>
      <c r="F351" s="339" t="s">
        <v>74</v>
      </c>
      <c r="G351" s="340">
        <v>1441</v>
      </c>
      <c r="H351" s="340">
        <v>10.2136</v>
      </c>
      <c r="I351" s="339">
        <v>25</v>
      </c>
      <c r="J351" s="340">
        <v>36025</v>
      </c>
      <c r="K351" s="150">
        <f t="shared" si="45"/>
        <v>36280.340000000004</v>
      </c>
      <c r="L351" s="256"/>
      <c r="M351" s="256"/>
      <c r="N351" s="171"/>
      <c r="O351" s="8"/>
      <c r="P351" s="299"/>
      <c r="Q351" s="8"/>
      <c r="R351" s="347"/>
      <c r="S351" s="8"/>
      <c r="T351" s="8"/>
      <c r="U351" s="36"/>
    </row>
    <row r="352" spans="2:21" ht="23.25" customHeight="1" thickBot="1" x14ac:dyDescent="0.3">
      <c r="B352" s="477"/>
      <c r="C352" s="488"/>
      <c r="D352" s="216"/>
      <c r="E352" s="45"/>
      <c r="F352" s="45"/>
      <c r="G352" s="77"/>
      <c r="H352" s="77"/>
      <c r="I352" s="78">
        <f>SUM(I349:I351)</f>
        <v>75</v>
      </c>
      <c r="J352" s="78">
        <f>I352-P352</f>
        <v>50</v>
      </c>
      <c r="K352" s="156">
        <f t="shared" si="45"/>
        <v>0</v>
      </c>
      <c r="L352" s="217"/>
      <c r="M352" s="217"/>
      <c r="N352" s="76"/>
      <c r="O352" s="77"/>
      <c r="P352" s="78">
        <f>SUM(P349:P351)</f>
        <v>25</v>
      </c>
      <c r="Q352" s="77"/>
      <c r="R352" s="420"/>
      <c r="S352" s="77"/>
      <c r="T352" s="77"/>
      <c r="U352" s="46"/>
    </row>
    <row r="353" spans="2:21" ht="10.5" customHeight="1" thickBot="1" x14ac:dyDescent="0.3">
      <c r="B353" s="318"/>
      <c r="C353" s="262"/>
      <c r="D353" s="251"/>
      <c r="E353" s="272"/>
      <c r="F353" s="272"/>
      <c r="G353" s="137"/>
      <c r="H353" s="137"/>
      <c r="I353" s="251"/>
      <c r="J353" s="251"/>
      <c r="K353" s="232">
        <f t="shared" si="45"/>
        <v>0</v>
      </c>
      <c r="L353" s="289"/>
      <c r="M353" s="289"/>
      <c r="N353" s="265"/>
      <c r="O353" s="137"/>
      <c r="P353" s="251"/>
      <c r="Q353" s="137"/>
      <c r="R353" s="421"/>
      <c r="S353" s="137"/>
      <c r="T353" s="137"/>
      <c r="U353" s="291"/>
    </row>
    <row r="354" spans="2:21" ht="23.25" customHeight="1" x14ac:dyDescent="0.25">
      <c r="B354" s="475" t="e">
        <f>1+B339</f>
        <v>#REF!</v>
      </c>
      <c r="C354" s="478" t="s">
        <v>42</v>
      </c>
      <c r="D354" s="211"/>
      <c r="E354" s="344">
        <v>44523</v>
      </c>
      <c r="F354" s="344"/>
      <c r="G354" s="219">
        <v>515.04999999999995</v>
      </c>
      <c r="H354" s="219">
        <v>0</v>
      </c>
      <c r="I354" s="219">
        <v>1</v>
      </c>
      <c r="J354" s="219"/>
      <c r="K354" s="219">
        <f>(G354+H354)*I354</f>
        <v>515.04999999999995</v>
      </c>
      <c r="L354" s="9"/>
      <c r="M354" s="9"/>
      <c r="N354" s="267"/>
      <c r="O354" s="10"/>
      <c r="P354" s="267"/>
      <c r="Q354" s="10"/>
      <c r="R354" s="345"/>
      <c r="S354" s="10"/>
      <c r="T354" s="10"/>
      <c r="U354" s="34" t="s">
        <v>28</v>
      </c>
    </row>
    <row r="355" spans="2:21" ht="23.25" customHeight="1" x14ac:dyDescent="0.25">
      <c r="B355" s="476"/>
      <c r="C355" s="479"/>
      <c r="D355" s="222"/>
      <c r="E355" s="346">
        <v>44718</v>
      </c>
      <c r="F355" s="346"/>
      <c r="G355" s="154">
        <v>382</v>
      </c>
      <c r="H355" s="154">
        <v>0</v>
      </c>
      <c r="I355" s="154">
        <v>1</v>
      </c>
      <c r="J355" s="154"/>
      <c r="K355" s="154">
        <f t="shared" ref="K355:K356" si="48">(G355+H355)*I355</f>
        <v>382</v>
      </c>
      <c r="L355" s="7"/>
      <c r="M355" s="7"/>
      <c r="N355" s="299"/>
      <c r="O355" s="8"/>
      <c r="P355" s="299"/>
      <c r="Q355" s="8"/>
      <c r="R355" s="347"/>
      <c r="S355" s="8"/>
      <c r="T355" s="8"/>
      <c r="U355" s="36"/>
    </row>
    <row r="356" spans="2:21" ht="23.25" customHeight="1" x14ac:dyDescent="0.25">
      <c r="B356" s="476"/>
      <c r="C356" s="479"/>
      <c r="D356" s="222"/>
      <c r="E356" s="346">
        <v>44776</v>
      </c>
      <c r="F356" s="346"/>
      <c r="G356" s="154">
        <v>370</v>
      </c>
      <c r="H356" s="154">
        <v>0</v>
      </c>
      <c r="I356" s="154">
        <v>1</v>
      </c>
      <c r="J356" s="154"/>
      <c r="K356" s="154">
        <f t="shared" si="48"/>
        <v>370</v>
      </c>
      <c r="L356" s="7"/>
      <c r="M356" s="7"/>
      <c r="N356" s="299"/>
      <c r="O356" s="8"/>
      <c r="P356" s="299"/>
      <c r="Q356" s="8"/>
      <c r="R356" s="347"/>
      <c r="S356" s="8"/>
      <c r="T356" s="8"/>
      <c r="U356" s="36"/>
    </row>
    <row r="357" spans="2:21" ht="23.25" customHeight="1" x14ac:dyDescent="0.25">
      <c r="B357" s="476"/>
      <c r="C357" s="479"/>
      <c r="D357" s="222"/>
      <c r="E357" s="153">
        <v>45049</v>
      </c>
      <c r="F357" s="154" t="s">
        <v>130</v>
      </c>
      <c r="G357" s="154">
        <v>358</v>
      </c>
      <c r="H357" s="154">
        <v>0</v>
      </c>
      <c r="I357" s="154">
        <v>2</v>
      </c>
      <c r="J357" s="154">
        <v>716</v>
      </c>
      <c r="K357" s="154">
        <v>716</v>
      </c>
      <c r="L357" s="7"/>
      <c r="M357" s="7"/>
      <c r="N357" s="299"/>
      <c r="O357" s="8"/>
      <c r="P357" s="299"/>
      <c r="Q357" s="8"/>
      <c r="R357" s="347"/>
      <c r="S357" s="8"/>
      <c r="T357" s="8"/>
      <c r="U357" s="36"/>
    </row>
    <row r="358" spans="2:21" ht="23.25" customHeight="1" x14ac:dyDescent="0.25">
      <c r="B358" s="476"/>
      <c r="C358" s="479"/>
      <c r="D358" s="222"/>
      <c r="E358" s="153">
        <v>45054</v>
      </c>
      <c r="F358" s="154" t="s">
        <v>130</v>
      </c>
      <c r="G358" s="154">
        <v>366</v>
      </c>
      <c r="H358" s="154">
        <v>0</v>
      </c>
      <c r="I358" s="154">
        <v>1</v>
      </c>
      <c r="J358" s="154">
        <v>366</v>
      </c>
      <c r="K358" s="154">
        <v>366</v>
      </c>
      <c r="L358" s="7"/>
      <c r="M358" s="7"/>
      <c r="N358" s="299"/>
      <c r="O358" s="8"/>
      <c r="P358" s="299"/>
      <c r="Q358" s="8"/>
      <c r="R358" s="347"/>
      <c r="S358" s="8"/>
      <c r="T358" s="8"/>
      <c r="U358" s="36"/>
    </row>
    <row r="359" spans="2:21" ht="23.25" customHeight="1" x14ac:dyDescent="0.25">
      <c r="B359" s="476"/>
      <c r="C359" s="479"/>
      <c r="D359" s="222"/>
      <c r="E359" s="153">
        <v>45100</v>
      </c>
      <c r="F359" s="154" t="s">
        <v>130</v>
      </c>
      <c r="G359" s="154">
        <v>346</v>
      </c>
      <c r="H359" s="154">
        <v>0</v>
      </c>
      <c r="I359" s="154">
        <v>4</v>
      </c>
      <c r="J359" s="154">
        <v>1384</v>
      </c>
      <c r="K359" s="154">
        <v>1384</v>
      </c>
      <c r="L359" s="256"/>
      <c r="M359" s="256"/>
      <c r="N359" s="171"/>
      <c r="O359" s="8"/>
      <c r="P359" s="299"/>
      <c r="Q359" s="8"/>
      <c r="R359" s="347"/>
      <c r="S359" s="8"/>
      <c r="T359" s="8"/>
      <c r="U359" s="36"/>
    </row>
    <row r="360" spans="2:21" ht="23.25" customHeight="1" thickBot="1" x14ac:dyDescent="0.3">
      <c r="B360" s="477"/>
      <c r="C360" s="480"/>
      <c r="D360" s="213"/>
      <c r="E360" s="39"/>
      <c r="F360" s="39"/>
      <c r="G360" s="40"/>
      <c r="H360" s="40"/>
      <c r="I360" s="27">
        <f>SUM(I354:I359)</f>
        <v>10</v>
      </c>
      <c r="J360" s="55"/>
      <c r="K360" s="40"/>
      <c r="L360" s="214"/>
      <c r="M360" s="214"/>
      <c r="N360" s="42"/>
      <c r="O360" s="40"/>
      <c r="P360" s="55"/>
      <c r="Q360" s="40"/>
      <c r="R360" s="353"/>
      <c r="S360" s="40"/>
      <c r="T360" s="40"/>
      <c r="U360" s="43"/>
    </row>
    <row r="361" spans="2:21" ht="9" customHeight="1" thickBot="1" x14ac:dyDescent="0.3">
      <c r="B361" s="5"/>
      <c r="C361" s="163"/>
      <c r="D361" s="5"/>
      <c r="E361" s="4"/>
      <c r="F361" s="4"/>
      <c r="G361" s="6"/>
      <c r="H361" s="6"/>
      <c r="I361" s="5"/>
      <c r="J361" s="5"/>
      <c r="K361" s="6"/>
      <c r="L361" s="192"/>
      <c r="M361" s="192"/>
      <c r="N361" s="31"/>
      <c r="O361" s="6"/>
      <c r="P361" s="5"/>
      <c r="Q361" s="6"/>
      <c r="R361" s="422"/>
      <c r="S361" s="6"/>
      <c r="T361" s="6"/>
      <c r="U361" s="32"/>
    </row>
    <row r="362" spans="2:21" ht="23.25" customHeight="1" x14ac:dyDescent="0.25">
      <c r="B362" s="475" t="e">
        <f>1+B354</f>
        <v>#REF!</v>
      </c>
      <c r="C362" s="489" t="s">
        <v>21</v>
      </c>
      <c r="D362" s="33"/>
      <c r="E362" s="344">
        <v>44515</v>
      </c>
      <c r="F362" s="344"/>
      <c r="G362" s="10">
        <v>452.6</v>
      </c>
      <c r="H362" s="10">
        <v>0</v>
      </c>
      <c r="I362" s="267">
        <v>1</v>
      </c>
      <c r="J362" s="267"/>
      <c r="K362" s="10">
        <v>452.6</v>
      </c>
      <c r="L362" s="9"/>
      <c r="M362" s="9"/>
      <c r="N362" s="267"/>
      <c r="O362" s="10"/>
      <c r="P362" s="267"/>
      <c r="Q362" s="10"/>
      <c r="R362" s="345"/>
      <c r="S362" s="10"/>
      <c r="T362" s="10"/>
      <c r="U362" s="166" t="s">
        <v>28</v>
      </c>
    </row>
    <row r="363" spans="2:21" ht="23.25" customHeight="1" x14ac:dyDescent="0.25">
      <c r="B363" s="476"/>
      <c r="C363" s="490"/>
      <c r="D363" s="35"/>
      <c r="E363" s="346">
        <v>44516</v>
      </c>
      <c r="F363" s="346"/>
      <c r="G363" s="8">
        <v>492.4</v>
      </c>
      <c r="H363" s="8">
        <v>0</v>
      </c>
      <c r="I363" s="299">
        <v>3</v>
      </c>
      <c r="J363" s="299"/>
      <c r="K363" s="8">
        <v>1477.1999999999998</v>
      </c>
      <c r="L363" s="7"/>
      <c r="M363" s="7"/>
      <c r="N363" s="299"/>
      <c r="O363" s="8"/>
      <c r="P363" s="299"/>
      <c r="Q363" s="8"/>
      <c r="R363" s="347"/>
      <c r="S363" s="8"/>
      <c r="T363" s="8"/>
      <c r="U363" s="172"/>
    </row>
    <row r="364" spans="2:21" ht="23.25" customHeight="1" x14ac:dyDescent="0.25">
      <c r="B364" s="476"/>
      <c r="C364" s="490"/>
      <c r="D364" s="35"/>
      <c r="E364" s="346">
        <v>44516</v>
      </c>
      <c r="F364" s="346"/>
      <c r="G364" s="8">
        <v>491.5</v>
      </c>
      <c r="H364" s="8">
        <v>0</v>
      </c>
      <c r="I364" s="299">
        <v>2</v>
      </c>
      <c r="J364" s="299"/>
      <c r="K364" s="8">
        <v>983</v>
      </c>
      <c r="L364" s="7"/>
      <c r="M364" s="7"/>
      <c r="N364" s="299"/>
      <c r="O364" s="8"/>
      <c r="P364" s="299"/>
      <c r="Q364" s="8"/>
      <c r="R364" s="347"/>
      <c r="S364" s="8"/>
      <c r="T364" s="8"/>
      <c r="U364" s="172"/>
    </row>
    <row r="365" spans="2:21" ht="23.25" customHeight="1" x14ac:dyDescent="0.25">
      <c r="B365" s="476"/>
      <c r="C365" s="490"/>
      <c r="D365" s="35"/>
      <c r="E365" s="346">
        <v>44518</v>
      </c>
      <c r="F365" s="346"/>
      <c r="G365" s="8">
        <v>478</v>
      </c>
      <c r="H365" s="8">
        <v>0</v>
      </c>
      <c r="I365" s="299">
        <v>2</v>
      </c>
      <c r="J365" s="299"/>
      <c r="K365" s="8">
        <v>956</v>
      </c>
      <c r="L365" s="7"/>
      <c r="M365" s="7"/>
      <c r="N365" s="299"/>
      <c r="O365" s="8"/>
      <c r="P365" s="299"/>
      <c r="Q365" s="8"/>
      <c r="R365" s="347"/>
      <c r="S365" s="8"/>
      <c r="T365" s="8"/>
      <c r="U365" s="172"/>
    </row>
    <row r="366" spans="2:21" ht="23.25" customHeight="1" x14ac:dyDescent="0.25">
      <c r="B366" s="476"/>
      <c r="C366" s="490"/>
      <c r="D366" s="35"/>
      <c r="E366" s="346">
        <v>44518</v>
      </c>
      <c r="F366" s="346"/>
      <c r="G366" s="150">
        <v>475</v>
      </c>
      <c r="H366" s="8">
        <v>0</v>
      </c>
      <c r="I366" s="149">
        <v>1</v>
      </c>
      <c r="J366" s="149"/>
      <c r="K366" s="150">
        <v>475</v>
      </c>
      <c r="L366" s="258"/>
      <c r="M366" s="258"/>
      <c r="N366" s="149"/>
      <c r="O366" s="150"/>
      <c r="P366" s="149"/>
      <c r="Q366" s="150"/>
      <c r="R366" s="347"/>
      <c r="S366" s="150"/>
      <c r="T366" s="150"/>
      <c r="U366" s="172"/>
    </row>
    <row r="367" spans="2:21" ht="23.25" customHeight="1" x14ac:dyDescent="0.25">
      <c r="B367" s="476"/>
      <c r="C367" s="490"/>
      <c r="D367" s="35"/>
      <c r="E367" s="346">
        <v>44861</v>
      </c>
      <c r="F367" s="346"/>
      <c r="G367" s="150">
        <v>452.5</v>
      </c>
      <c r="H367" s="8">
        <v>0</v>
      </c>
      <c r="I367" s="149">
        <v>1</v>
      </c>
      <c r="J367" s="149"/>
      <c r="K367" s="150">
        <v>452.5</v>
      </c>
      <c r="L367" s="258"/>
      <c r="M367" s="258"/>
      <c r="N367" s="149"/>
      <c r="O367" s="150"/>
      <c r="P367" s="149"/>
      <c r="Q367" s="150"/>
      <c r="R367" s="347"/>
      <c r="S367" s="150"/>
      <c r="T367" s="150"/>
      <c r="U367" s="172"/>
    </row>
    <row r="368" spans="2:21" ht="23.25" customHeight="1" x14ac:dyDescent="0.25">
      <c r="B368" s="476"/>
      <c r="C368" s="490"/>
      <c r="D368" s="35"/>
      <c r="E368" s="346">
        <v>44874</v>
      </c>
      <c r="F368" s="346"/>
      <c r="G368" s="150">
        <v>459.65</v>
      </c>
      <c r="H368" s="8">
        <v>0</v>
      </c>
      <c r="I368" s="149">
        <v>1</v>
      </c>
      <c r="J368" s="149"/>
      <c r="K368" s="150">
        <v>459.65</v>
      </c>
      <c r="L368" s="258"/>
      <c r="M368" s="258"/>
      <c r="N368" s="149"/>
      <c r="O368" s="150"/>
      <c r="P368" s="149"/>
      <c r="Q368" s="150"/>
      <c r="R368" s="347"/>
      <c r="S368" s="150"/>
      <c r="T368" s="150"/>
      <c r="U368" s="172"/>
    </row>
    <row r="369" spans="2:21" ht="23.25" customHeight="1" x14ac:dyDescent="0.25">
      <c r="B369" s="476"/>
      <c r="C369" s="490"/>
      <c r="D369" s="35"/>
      <c r="E369" s="346">
        <v>44883</v>
      </c>
      <c r="F369" s="346"/>
      <c r="G369" s="150">
        <v>453</v>
      </c>
      <c r="H369" s="8">
        <v>0</v>
      </c>
      <c r="I369" s="149">
        <v>2</v>
      </c>
      <c r="J369" s="149"/>
      <c r="K369" s="150">
        <v>906</v>
      </c>
      <c r="L369" s="258"/>
      <c r="M369" s="258"/>
      <c r="N369" s="149"/>
      <c r="O369" s="150"/>
      <c r="P369" s="149"/>
      <c r="Q369" s="150"/>
      <c r="R369" s="347"/>
      <c r="S369" s="150"/>
      <c r="T369" s="150"/>
      <c r="U369" s="172"/>
    </row>
    <row r="370" spans="2:21" ht="23.25" customHeight="1" x14ac:dyDescent="0.25">
      <c r="B370" s="476"/>
      <c r="C370" s="490"/>
      <c r="D370" s="35"/>
      <c r="E370" s="346">
        <v>44883</v>
      </c>
      <c r="F370" s="346"/>
      <c r="G370" s="150">
        <v>450</v>
      </c>
      <c r="H370" s="8">
        <v>0</v>
      </c>
      <c r="I370" s="149">
        <v>2</v>
      </c>
      <c r="J370" s="149"/>
      <c r="K370" s="150">
        <v>900</v>
      </c>
      <c r="L370" s="258"/>
      <c r="M370" s="258"/>
      <c r="N370" s="149"/>
      <c r="O370" s="150"/>
      <c r="P370" s="149"/>
      <c r="Q370" s="150"/>
      <c r="R370" s="347"/>
      <c r="S370" s="150"/>
      <c r="T370" s="150"/>
      <c r="U370" s="172"/>
    </row>
    <row r="371" spans="2:21" ht="23.25" customHeight="1" x14ac:dyDescent="0.25">
      <c r="B371" s="476"/>
      <c r="C371" s="490"/>
      <c r="D371" s="35"/>
      <c r="E371" s="346">
        <v>44894</v>
      </c>
      <c r="F371" s="346"/>
      <c r="G371" s="150">
        <v>416.5</v>
      </c>
      <c r="H371" s="8">
        <v>0</v>
      </c>
      <c r="I371" s="149">
        <v>2</v>
      </c>
      <c r="J371" s="149"/>
      <c r="K371" s="150">
        <v>833</v>
      </c>
      <c r="L371" s="258"/>
      <c r="M371" s="258"/>
      <c r="N371" s="149"/>
      <c r="O371" s="150"/>
      <c r="P371" s="149"/>
      <c r="Q371" s="150"/>
      <c r="R371" s="347"/>
      <c r="S371" s="150"/>
      <c r="T371" s="150"/>
      <c r="U371" s="172"/>
    </row>
    <row r="372" spans="2:21" ht="23.25" customHeight="1" x14ac:dyDescent="0.25">
      <c r="B372" s="476"/>
      <c r="C372" s="490"/>
      <c r="D372" s="35"/>
      <c r="E372" s="346">
        <v>44970</v>
      </c>
      <c r="F372" s="346"/>
      <c r="G372" s="150">
        <v>335.1</v>
      </c>
      <c r="H372" s="8">
        <v>0</v>
      </c>
      <c r="I372" s="149">
        <v>4</v>
      </c>
      <c r="J372" s="149"/>
      <c r="K372" s="150">
        <v>1340.4</v>
      </c>
      <c r="L372" s="258"/>
      <c r="M372" s="258"/>
      <c r="N372" s="149"/>
      <c r="O372" s="150"/>
      <c r="P372" s="149"/>
      <c r="Q372" s="150"/>
      <c r="R372" s="347"/>
      <c r="S372" s="150"/>
      <c r="T372" s="150"/>
      <c r="U372" s="172"/>
    </row>
    <row r="373" spans="2:21" ht="23.25" customHeight="1" x14ac:dyDescent="0.25">
      <c r="B373" s="476"/>
      <c r="C373" s="490"/>
      <c r="D373" s="35"/>
      <c r="E373" s="346">
        <v>44970</v>
      </c>
      <c r="F373" s="346"/>
      <c r="G373" s="150">
        <v>334</v>
      </c>
      <c r="H373" s="8">
        <v>0</v>
      </c>
      <c r="I373" s="149">
        <v>1</v>
      </c>
      <c r="J373" s="149"/>
      <c r="K373" s="150">
        <v>334</v>
      </c>
      <c r="L373" s="258"/>
      <c r="M373" s="258"/>
      <c r="N373" s="149"/>
      <c r="O373" s="150"/>
      <c r="P373" s="149"/>
      <c r="Q373" s="150"/>
      <c r="R373" s="347"/>
      <c r="S373" s="150"/>
      <c r="T373" s="150"/>
      <c r="U373" s="172"/>
    </row>
    <row r="374" spans="2:21" ht="23.25" customHeight="1" x14ac:dyDescent="0.25">
      <c r="B374" s="476"/>
      <c r="C374" s="490"/>
      <c r="D374" s="35"/>
      <c r="E374" s="153">
        <v>45050</v>
      </c>
      <c r="F374" s="154" t="s">
        <v>130</v>
      </c>
      <c r="G374" s="154">
        <v>317</v>
      </c>
      <c r="H374" s="154">
        <v>0</v>
      </c>
      <c r="I374" s="154">
        <v>1</v>
      </c>
      <c r="J374" s="154">
        <v>317</v>
      </c>
      <c r="K374" s="154">
        <v>317</v>
      </c>
      <c r="L374" s="258"/>
      <c r="M374" s="258"/>
      <c r="N374" s="149"/>
      <c r="O374" s="150"/>
      <c r="P374" s="149"/>
      <c r="Q374" s="150"/>
      <c r="R374" s="347"/>
      <c r="S374" s="150"/>
      <c r="T374" s="150"/>
      <c r="U374" s="172"/>
    </row>
    <row r="375" spans="2:21" ht="23.25" customHeight="1" x14ac:dyDescent="0.25">
      <c r="B375" s="476"/>
      <c r="C375" s="490"/>
      <c r="D375" s="35"/>
      <c r="E375" s="153">
        <v>45051</v>
      </c>
      <c r="F375" s="154" t="s">
        <v>130</v>
      </c>
      <c r="G375" s="154">
        <v>315.5</v>
      </c>
      <c r="H375" s="154">
        <v>0</v>
      </c>
      <c r="I375" s="154">
        <v>2</v>
      </c>
      <c r="J375" s="154">
        <v>631</v>
      </c>
      <c r="K375" s="154">
        <v>631</v>
      </c>
      <c r="L375" s="258"/>
      <c r="M375" s="258"/>
      <c r="N375" s="149"/>
      <c r="O375" s="150"/>
      <c r="P375" s="149"/>
      <c r="Q375" s="150"/>
      <c r="R375" s="347"/>
      <c r="S375" s="150"/>
      <c r="T375" s="150"/>
      <c r="U375" s="172"/>
    </row>
    <row r="376" spans="2:21" ht="23.25" customHeight="1" x14ac:dyDescent="0.25">
      <c r="B376" s="476"/>
      <c r="C376" s="490"/>
      <c r="D376" s="35"/>
      <c r="E376" s="153">
        <v>45098</v>
      </c>
      <c r="F376" s="154" t="s">
        <v>130</v>
      </c>
      <c r="G376" s="154">
        <v>364</v>
      </c>
      <c r="H376" s="154">
        <v>0</v>
      </c>
      <c r="I376" s="154">
        <v>5</v>
      </c>
      <c r="J376" s="154">
        <v>1820</v>
      </c>
      <c r="K376" s="154">
        <v>1820</v>
      </c>
      <c r="L376" s="258"/>
      <c r="M376" s="258"/>
      <c r="N376" s="149"/>
      <c r="O376" s="150"/>
      <c r="P376" s="149"/>
      <c r="Q376" s="150"/>
      <c r="R376" s="347"/>
      <c r="S376" s="150"/>
      <c r="T376" s="150"/>
      <c r="U376" s="172"/>
    </row>
    <row r="377" spans="2:21" ht="23.25" customHeight="1" x14ac:dyDescent="0.25">
      <c r="B377" s="476"/>
      <c r="C377" s="490"/>
      <c r="D377" s="35"/>
      <c r="E377" s="153">
        <v>45169</v>
      </c>
      <c r="F377" s="154" t="s">
        <v>130</v>
      </c>
      <c r="G377" s="154">
        <v>396</v>
      </c>
      <c r="H377" s="154">
        <v>0</v>
      </c>
      <c r="I377" s="154">
        <v>5</v>
      </c>
      <c r="J377" s="154">
        <v>1980</v>
      </c>
      <c r="K377" s="154">
        <v>1980</v>
      </c>
      <c r="L377" s="258"/>
      <c r="M377" s="258"/>
      <c r="N377" s="149"/>
      <c r="O377" s="150"/>
      <c r="P377" s="149"/>
      <c r="Q377" s="150"/>
      <c r="R377" s="347"/>
      <c r="S377" s="150"/>
      <c r="T377" s="150"/>
      <c r="U377" s="172"/>
    </row>
    <row r="378" spans="2:21" ht="23.25" customHeight="1" x14ac:dyDescent="0.25">
      <c r="B378" s="476"/>
      <c r="C378" s="490"/>
      <c r="D378" s="35"/>
      <c r="E378" s="153">
        <v>45181</v>
      </c>
      <c r="F378" s="154" t="s">
        <v>130</v>
      </c>
      <c r="G378" s="154">
        <v>384</v>
      </c>
      <c r="H378" s="154">
        <v>0</v>
      </c>
      <c r="I378" s="154">
        <v>3</v>
      </c>
      <c r="J378" s="154">
        <v>1152</v>
      </c>
      <c r="K378" s="154">
        <v>1152</v>
      </c>
      <c r="L378" s="258"/>
      <c r="M378" s="258"/>
      <c r="N378" s="149"/>
      <c r="O378" s="150"/>
      <c r="P378" s="149"/>
      <c r="Q378" s="150"/>
      <c r="R378" s="347"/>
      <c r="S378" s="150"/>
      <c r="T378" s="150"/>
      <c r="U378" s="172"/>
    </row>
    <row r="379" spans="2:21" ht="23.25" customHeight="1" x14ac:dyDescent="0.25">
      <c r="B379" s="476"/>
      <c r="C379" s="490"/>
      <c r="D379" s="35"/>
      <c r="E379" s="153">
        <v>45222</v>
      </c>
      <c r="F379" s="154" t="s">
        <v>130</v>
      </c>
      <c r="G379" s="154">
        <v>385</v>
      </c>
      <c r="H379" s="154">
        <v>0</v>
      </c>
      <c r="I379" s="154">
        <v>2</v>
      </c>
      <c r="J379" s="154">
        <v>770</v>
      </c>
      <c r="K379" s="154">
        <v>770</v>
      </c>
      <c r="L379" s="258"/>
      <c r="M379" s="258"/>
      <c r="N379" s="149"/>
      <c r="O379" s="150"/>
      <c r="P379" s="149"/>
      <c r="Q379" s="150"/>
      <c r="R379" s="347"/>
      <c r="S379" s="150"/>
      <c r="T379" s="150"/>
      <c r="U379" s="172"/>
    </row>
    <row r="380" spans="2:21" ht="23.25" customHeight="1" thickBot="1" x14ac:dyDescent="0.3">
      <c r="B380" s="477"/>
      <c r="C380" s="491"/>
      <c r="D380" s="38"/>
      <c r="E380" s="368"/>
      <c r="F380" s="368"/>
      <c r="G380" s="224"/>
      <c r="H380" s="40"/>
      <c r="I380" s="279">
        <f>SUM(I362:I379)</f>
        <v>40</v>
      </c>
      <c r="J380" s="225"/>
      <c r="K380" s="224"/>
      <c r="L380" s="276"/>
      <c r="M380" s="276"/>
      <c r="N380" s="225"/>
      <c r="O380" s="224"/>
      <c r="P380" s="225"/>
      <c r="Q380" s="224"/>
      <c r="R380" s="353"/>
      <c r="S380" s="224"/>
      <c r="T380" s="224"/>
      <c r="U380" s="169"/>
    </row>
    <row r="381" spans="2:21" ht="10.5" customHeight="1" thickBot="1" x14ac:dyDescent="0.3">
      <c r="B381" s="220"/>
      <c r="C381" s="163"/>
      <c r="D381" s="164"/>
      <c r="E381" s="369"/>
      <c r="F381" s="369"/>
      <c r="G381" s="179"/>
      <c r="H381" s="6"/>
      <c r="I381" s="197"/>
      <c r="J381" s="197"/>
      <c r="K381" s="179"/>
      <c r="L381" s="467"/>
      <c r="M381" s="467"/>
      <c r="N381" s="197"/>
      <c r="O381" s="179"/>
      <c r="P381" s="197"/>
      <c r="Q381" s="179"/>
      <c r="R381" s="468"/>
      <c r="S381" s="179"/>
      <c r="T381" s="179"/>
      <c r="U381" s="261"/>
    </row>
    <row r="382" spans="2:21" ht="23.25" customHeight="1" x14ac:dyDescent="0.25">
      <c r="B382" s="492"/>
      <c r="C382" s="527" t="s">
        <v>98</v>
      </c>
      <c r="D382" s="33"/>
      <c r="E382" s="382">
        <v>45232</v>
      </c>
      <c r="F382" s="336" t="s">
        <v>74</v>
      </c>
      <c r="G382" s="336">
        <v>309.75</v>
      </c>
      <c r="H382" s="336">
        <v>109.80999999999997</v>
      </c>
      <c r="I382" s="336">
        <v>50</v>
      </c>
      <c r="J382" s="336">
        <v>15487.5</v>
      </c>
      <c r="K382" s="336">
        <v>15597.31</v>
      </c>
      <c r="L382" s="382">
        <v>45280</v>
      </c>
      <c r="M382" s="336" t="s">
        <v>114</v>
      </c>
      <c r="N382" s="336">
        <v>277.7</v>
      </c>
      <c r="O382" s="385">
        <v>1.9266999999999825</v>
      </c>
      <c r="P382" s="336">
        <v>50</v>
      </c>
      <c r="Q382" s="336">
        <v>27770</v>
      </c>
      <c r="R382" s="385">
        <f>(N382-O382)*P382</f>
        <v>13788.665000000001</v>
      </c>
      <c r="S382" s="184"/>
      <c r="T382" s="184"/>
      <c r="U382" s="297" t="s">
        <v>55</v>
      </c>
    </row>
    <row r="383" spans="2:21" ht="23.25" customHeight="1" x14ac:dyDescent="0.25">
      <c r="B383" s="493"/>
      <c r="C383" s="529"/>
      <c r="D383" s="35"/>
      <c r="E383" s="348">
        <v>45237</v>
      </c>
      <c r="F383" s="339" t="s">
        <v>74</v>
      </c>
      <c r="G383" s="339">
        <v>303.84399999999999</v>
      </c>
      <c r="H383" s="339">
        <v>107.67000000000002</v>
      </c>
      <c r="I383" s="339">
        <v>50</v>
      </c>
      <c r="J383" s="339">
        <v>15192.2</v>
      </c>
      <c r="K383" s="339">
        <v>15299.87</v>
      </c>
      <c r="L383" s="348">
        <v>45280</v>
      </c>
      <c r="M383" s="339" t="s">
        <v>114</v>
      </c>
      <c r="N383" s="339">
        <v>277.7</v>
      </c>
      <c r="O383" s="386">
        <v>1.9266999999999825</v>
      </c>
      <c r="P383" s="339">
        <v>50</v>
      </c>
      <c r="Q383" s="339">
        <v>27770</v>
      </c>
      <c r="R383" s="386">
        <f>(N383-O383)*P383</f>
        <v>13788.665000000001</v>
      </c>
      <c r="S383" s="150"/>
      <c r="T383" s="150"/>
      <c r="U383" s="286"/>
    </row>
    <row r="384" spans="2:21" ht="23.25" customHeight="1" thickBot="1" x14ac:dyDescent="0.3">
      <c r="B384" s="494"/>
      <c r="C384" s="528"/>
      <c r="D384" s="38"/>
      <c r="E384" s="39"/>
      <c r="F384" s="39"/>
      <c r="G384" s="40"/>
      <c r="H384" s="40"/>
      <c r="I384" s="300">
        <f>SUM(I382:I383)</f>
        <v>100</v>
      </c>
      <c r="J384" s="300">
        <f>I384-P384</f>
        <v>0</v>
      </c>
      <c r="K384" s="351"/>
      <c r="L384" s="351"/>
      <c r="M384" s="351"/>
      <c r="N384" s="351"/>
      <c r="O384" s="351"/>
      <c r="P384" s="300">
        <f>SUM(P382:P383)</f>
        <v>100</v>
      </c>
      <c r="Q384" s="40"/>
      <c r="R384" s="40"/>
      <c r="S384" s="40"/>
      <c r="T384" s="40"/>
      <c r="U384" s="298"/>
    </row>
    <row r="385" spans="2:21" ht="23.25" customHeight="1" thickBot="1" x14ac:dyDescent="0.3">
      <c r="B385" s="5"/>
      <c r="C385" s="163"/>
      <c r="D385" s="29"/>
      <c r="E385" s="4"/>
      <c r="F385" s="4"/>
      <c r="G385" s="6"/>
      <c r="H385" s="6"/>
      <c r="I385" s="29"/>
      <c r="J385" s="29"/>
      <c r="K385" s="6"/>
      <c r="L385" s="30"/>
      <c r="M385" s="30"/>
      <c r="N385" s="31"/>
      <c r="O385" s="6"/>
      <c r="P385" s="29"/>
      <c r="Q385" s="6"/>
      <c r="R385" s="6"/>
      <c r="S385" s="6"/>
      <c r="T385" s="6"/>
      <c r="U385" s="32"/>
    </row>
    <row r="386" spans="2:21" ht="22.5" customHeight="1" x14ac:dyDescent="0.25">
      <c r="B386" s="475" t="e">
        <f>1+B362</f>
        <v>#REF!</v>
      </c>
      <c r="C386" s="489" t="s">
        <v>68</v>
      </c>
      <c r="D386" s="211"/>
      <c r="E386" s="344">
        <v>44694</v>
      </c>
      <c r="F386" s="344"/>
      <c r="G386" s="184">
        <v>904</v>
      </c>
      <c r="H386" s="184">
        <v>0</v>
      </c>
      <c r="I386" s="223">
        <v>15</v>
      </c>
      <c r="J386" s="223"/>
      <c r="K386" s="184">
        <f>+G386*I386</f>
        <v>13560</v>
      </c>
      <c r="L386" s="335">
        <v>45216</v>
      </c>
      <c r="M386" s="336" t="s">
        <v>114</v>
      </c>
      <c r="N386" s="337">
        <v>649.79999999999995</v>
      </c>
      <c r="O386" s="345">
        <v>4.5086666666666133</v>
      </c>
      <c r="P386" s="336">
        <v>15</v>
      </c>
      <c r="Q386" s="337">
        <v>9747</v>
      </c>
      <c r="R386" s="337">
        <v>9679.3700000000008</v>
      </c>
      <c r="S386" s="184"/>
      <c r="T386" s="184"/>
      <c r="U386" s="34" t="s">
        <v>55</v>
      </c>
    </row>
    <row r="387" spans="2:21" ht="22.5" customHeight="1" thickBot="1" x14ac:dyDescent="0.3">
      <c r="B387" s="477"/>
      <c r="C387" s="491"/>
      <c r="D387" s="213"/>
      <c r="E387" s="225"/>
      <c r="F387" s="225"/>
      <c r="G387" s="224"/>
      <c r="H387" s="224"/>
      <c r="I387" s="279">
        <f>I386</f>
        <v>15</v>
      </c>
      <c r="J387" s="225"/>
      <c r="K387" s="224"/>
      <c r="L387" s="225"/>
      <c r="M387" s="225"/>
      <c r="N387" s="225"/>
      <c r="O387" s="224"/>
      <c r="P387" s="279">
        <f>SUM(P386)</f>
        <v>15</v>
      </c>
      <c r="Q387" s="224"/>
      <c r="R387" s="224"/>
      <c r="S387" s="224"/>
      <c r="T387" s="224"/>
      <c r="U387" s="43"/>
    </row>
    <row r="388" spans="2:21" ht="10.5" customHeight="1" thickBot="1" x14ac:dyDescent="0.3">
      <c r="B388" s="5"/>
      <c r="C388" s="163"/>
      <c r="D388" s="5"/>
      <c r="E388" s="4"/>
      <c r="F388" s="4"/>
      <c r="G388" s="6"/>
      <c r="H388" s="6"/>
      <c r="I388" s="5"/>
      <c r="J388" s="5"/>
      <c r="K388" s="6"/>
      <c r="L388" s="192"/>
      <c r="M388" s="192"/>
      <c r="N388" s="31"/>
      <c r="O388" s="6"/>
      <c r="P388" s="5"/>
      <c r="Q388" s="6"/>
      <c r="R388" s="6"/>
      <c r="S388" s="6"/>
      <c r="T388" s="6"/>
      <c r="U388" s="32"/>
    </row>
    <row r="389" spans="2:21" ht="23.25" customHeight="1" x14ac:dyDescent="0.25">
      <c r="B389" s="475" t="e">
        <f>1+B386</f>
        <v>#REF!</v>
      </c>
      <c r="C389" s="478" t="s">
        <v>43</v>
      </c>
      <c r="D389" s="211"/>
      <c r="E389" s="344">
        <v>44564</v>
      </c>
      <c r="F389" s="344"/>
      <c r="G389" s="184">
        <v>1000</v>
      </c>
      <c r="H389" s="184">
        <v>0</v>
      </c>
      <c r="I389" s="223">
        <v>1</v>
      </c>
      <c r="J389" s="223"/>
      <c r="K389" s="184">
        <f>I389*G389</f>
        <v>1000</v>
      </c>
      <c r="L389" s="218">
        <v>45098</v>
      </c>
      <c r="M389" s="219" t="s">
        <v>131</v>
      </c>
      <c r="N389" s="219">
        <v>1000</v>
      </c>
      <c r="O389" s="219">
        <v>0</v>
      </c>
      <c r="P389" s="219">
        <v>1</v>
      </c>
      <c r="Q389" s="219">
        <v>1000</v>
      </c>
      <c r="R389" s="219">
        <v>1000</v>
      </c>
      <c r="S389" s="184"/>
      <c r="T389" s="184"/>
      <c r="U389" s="34" t="s">
        <v>28</v>
      </c>
    </row>
    <row r="390" spans="2:21" ht="23.25" customHeight="1" thickBot="1" x14ac:dyDescent="0.3">
      <c r="B390" s="477"/>
      <c r="C390" s="480"/>
      <c r="D390" s="213"/>
      <c r="E390" s="225"/>
      <c r="F390" s="225"/>
      <c r="G390" s="224"/>
      <c r="H390" s="224"/>
      <c r="I390" s="279">
        <f>SUM(I389)</f>
        <v>1</v>
      </c>
      <c r="J390" s="279">
        <f>I390-P390</f>
        <v>0</v>
      </c>
      <c r="K390" s="224"/>
      <c r="L390" s="225"/>
      <c r="M390" s="225"/>
      <c r="N390" s="225"/>
      <c r="O390" s="224"/>
      <c r="P390" s="279">
        <f>SUM(P389)</f>
        <v>1</v>
      </c>
      <c r="Q390" s="224"/>
      <c r="R390" s="224"/>
      <c r="S390" s="224"/>
      <c r="T390" s="224"/>
      <c r="U390" s="43"/>
    </row>
    <row r="391" spans="2:21" ht="7.5" customHeight="1" thickBot="1" x14ac:dyDescent="0.3">
      <c r="B391" s="5"/>
      <c r="C391" s="163"/>
      <c r="D391" s="5"/>
      <c r="E391" s="4"/>
      <c r="F391" s="4"/>
      <c r="G391" s="6"/>
      <c r="H391" s="6"/>
      <c r="I391" s="5"/>
      <c r="J391" s="5"/>
      <c r="K391" s="6"/>
      <c r="L391" s="192"/>
      <c r="M391" s="192"/>
      <c r="N391" s="31"/>
      <c r="O391" s="6"/>
      <c r="P391" s="5"/>
      <c r="Q391" s="6"/>
      <c r="R391" s="6"/>
      <c r="S391" s="6"/>
      <c r="T391" s="6"/>
      <c r="U391" s="32"/>
    </row>
    <row r="392" spans="2:21" ht="23.25" customHeight="1" x14ac:dyDescent="0.25">
      <c r="B392" s="475"/>
      <c r="C392" s="478" t="s">
        <v>62</v>
      </c>
      <c r="D392" s="211"/>
      <c r="E392" s="344">
        <v>44690</v>
      </c>
      <c r="F392" s="344"/>
      <c r="G392" s="184">
        <v>5675.1781250000004</v>
      </c>
      <c r="H392" s="184">
        <v>0</v>
      </c>
      <c r="I392" s="223">
        <v>2</v>
      </c>
      <c r="J392" s="223"/>
      <c r="K392" s="184">
        <f>(G392+H392)*I392</f>
        <v>11350.356250000001</v>
      </c>
      <c r="L392" s="335">
        <v>45218</v>
      </c>
      <c r="M392" s="336" t="s">
        <v>114</v>
      </c>
      <c r="N392" s="337">
        <v>5339.9</v>
      </c>
      <c r="O392" s="345">
        <v>37.045000000000073</v>
      </c>
      <c r="P392" s="337">
        <v>2</v>
      </c>
      <c r="Q392" s="337">
        <v>10679.8</v>
      </c>
      <c r="R392" s="337">
        <f>(N392-O392)*P392</f>
        <v>10605.71</v>
      </c>
      <c r="S392" s="10"/>
      <c r="T392" s="10"/>
      <c r="U392" s="166" t="s">
        <v>55</v>
      </c>
    </row>
    <row r="393" spans="2:21" ht="23.25" customHeight="1" x14ac:dyDescent="0.25">
      <c r="B393" s="476"/>
      <c r="C393" s="479"/>
      <c r="D393" s="222"/>
      <c r="E393" s="346">
        <v>44690</v>
      </c>
      <c r="F393" s="346"/>
      <c r="G393" s="150">
        <v>5675.1781250000004</v>
      </c>
      <c r="H393" s="150">
        <v>0</v>
      </c>
      <c r="I393" s="149">
        <v>5</v>
      </c>
      <c r="J393" s="149"/>
      <c r="K393" s="150">
        <f>(G393+H393)*I393</f>
        <v>28375.890625</v>
      </c>
      <c r="L393" s="341">
        <v>45280</v>
      </c>
      <c r="M393" s="339" t="s">
        <v>114</v>
      </c>
      <c r="N393" s="340">
        <v>6251</v>
      </c>
      <c r="O393" s="347">
        <v>43.369999999999706</v>
      </c>
      <c r="P393" s="340">
        <v>5</v>
      </c>
      <c r="Q393" s="340">
        <v>31255</v>
      </c>
      <c r="R393" s="340">
        <f>(N393-O393)*P393</f>
        <v>31038.15</v>
      </c>
      <c r="S393" s="8"/>
      <c r="T393" s="8"/>
      <c r="U393" s="172"/>
    </row>
    <row r="394" spans="2:21" ht="23.25" customHeight="1" x14ac:dyDescent="0.25">
      <c r="B394" s="476"/>
      <c r="C394" s="479"/>
      <c r="D394" s="222"/>
      <c r="E394" s="346">
        <v>44690</v>
      </c>
      <c r="F394" s="346"/>
      <c r="G394" s="150">
        <v>5675.1781250000004</v>
      </c>
      <c r="H394" s="150">
        <v>0</v>
      </c>
      <c r="I394" s="149">
        <v>9</v>
      </c>
      <c r="J394" s="149"/>
      <c r="K394" s="150">
        <f>(G394+H394)*I394</f>
        <v>51076.603125000001</v>
      </c>
      <c r="L394" s="341"/>
      <c r="M394" s="339"/>
      <c r="N394" s="340"/>
      <c r="O394" s="347"/>
      <c r="P394" s="340"/>
      <c r="Q394" s="340"/>
      <c r="R394" s="340"/>
      <c r="S394" s="8"/>
      <c r="T394" s="8"/>
      <c r="U394" s="172"/>
    </row>
    <row r="395" spans="2:21" ht="23.25" customHeight="1" x14ac:dyDescent="0.25">
      <c r="B395" s="476"/>
      <c r="C395" s="479"/>
      <c r="D395" s="222"/>
      <c r="E395" s="346">
        <v>44946</v>
      </c>
      <c r="F395" s="346"/>
      <c r="G395" s="150">
        <v>4245.7</v>
      </c>
      <c r="H395" s="150">
        <v>25.85</v>
      </c>
      <c r="I395" s="149">
        <v>2</v>
      </c>
      <c r="J395" s="149"/>
      <c r="K395" s="150">
        <f t="shared" ref="K395:K404" si="49">(G395+H395)*I395</f>
        <v>8543.1</v>
      </c>
      <c r="L395" s="341"/>
      <c r="M395" s="339"/>
      <c r="N395" s="340"/>
      <c r="O395" s="347"/>
      <c r="P395" s="340"/>
      <c r="Q395" s="340"/>
      <c r="R395" s="340"/>
      <c r="S395" s="8"/>
      <c r="T395" s="8"/>
      <c r="U395" s="172"/>
    </row>
    <row r="396" spans="2:21" ht="23.25" customHeight="1" x14ac:dyDescent="0.25">
      <c r="B396" s="476"/>
      <c r="C396" s="479"/>
      <c r="D396" s="222"/>
      <c r="E396" s="346">
        <v>45006</v>
      </c>
      <c r="F396" s="346"/>
      <c r="G396" s="299">
        <v>4671</v>
      </c>
      <c r="H396" s="8">
        <v>28.439999999999998</v>
      </c>
      <c r="I396" s="299">
        <v>2</v>
      </c>
      <c r="J396" s="299"/>
      <c r="K396" s="150">
        <f t="shared" si="49"/>
        <v>9398.8799999999992</v>
      </c>
      <c r="L396" s="7"/>
      <c r="M396" s="7"/>
      <c r="N396" s="299"/>
      <c r="O396" s="8"/>
      <c r="P396" s="299"/>
      <c r="Q396" s="8"/>
      <c r="R396" s="8"/>
      <c r="S396" s="8"/>
      <c r="T396" s="8"/>
      <c r="U396" s="172"/>
    </row>
    <row r="397" spans="2:21" ht="23.25" customHeight="1" x14ac:dyDescent="0.25">
      <c r="B397" s="476"/>
      <c r="C397" s="479"/>
      <c r="D397" s="222"/>
      <c r="E397" s="341">
        <v>45034</v>
      </c>
      <c r="F397" s="339" t="s">
        <v>74</v>
      </c>
      <c r="G397" s="339">
        <v>4260</v>
      </c>
      <c r="H397" s="339">
        <v>30.1850000000004</v>
      </c>
      <c r="I397" s="339">
        <v>2</v>
      </c>
      <c r="J397" s="339">
        <v>8520</v>
      </c>
      <c r="K397" s="150">
        <f t="shared" si="49"/>
        <v>8580.3700000000008</v>
      </c>
      <c r="L397" s="7"/>
      <c r="M397" s="7"/>
      <c r="N397" s="299"/>
      <c r="O397" s="8"/>
      <c r="P397" s="299"/>
      <c r="Q397" s="8"/>
      <c r="R397" s="8"/>
      <c r="S397" s="8"/>
      <c r="T397" s="8"/>
      <c r="U397" s="172"/>
    </row>
    <row r="398" spans="2:21" ht="23.25" customHeight="1" x14ac:dyDescent="0.25">
      <c r="B398" s="476"/>
      <c r="C398" s="479"/>
      <c r="D398" s="222"/>
      <c r="E398" s="341">
        <v>45069</v>
      </c>
      <c r="F398" s="339" t="s">
        <v>74</v>
      </c>
      <c r="G398" s="339">
        <v>4977</v>
      </c>
      <c r="H398" s="339">
        <v>35.269999999999833</v>
      </c>
      <c r="I398" s="339">
        <v>3</v>
      </c>
      <c r="J398" s="339">
        <v>14931</v>
      </c>
      <c r="K398" s="150">
        <f t="shared" si="49"/>
        <v>15036.809999999998</v>
      </c>
      <c r="L398" s="7"/>
      <c r="M398" s="7"/>
      <c r="N398" s="299"/>
      <c r="O398" s="8"/>
      <c r="P398" s="299"/>
      <c r="Q398" s="8"/>
      <c r="R398" s="8"/>
      <c r="S398" s="8"/>
      <c r="T398" s="8"/>
      <c r="U398" s="172"/>
    </row>
    <row r="399" spans="2:21" ht="23.25" customHeight="1" x14ac:dyDescent="0.25">
      <c r="B399" s="476"/>
      <c r="C399" s="479"/>
      <c r="D399" s="222"/>
      <c r="E399" s="341">
        <v>45112</v>
      </c>
      <c r="F399" s="339" t="s">
        <v>74</v>
      </c>
      <c r="G399" s="339">
        <v>5231</v>
      </c>
      <c r="H399" s="339">
        <v>37.074999999999818</v>
      </c>
      <c r="I399" s="339">
        <v>4</v>
      </c>
      <c r="J399" s="339">
        <v>20924</v>
      </c>
      <c r="K399" s="150">
        <f t="shared" si="49"/>
        <v>21072.3</v>
      </c>
      <c r="L399" s="7"/>
      <c r="M399" s="7"/>
      <c r="N399" s="299"/>
      <c r="O399" s="8"/>
      <c r="P399" s="299"/>
      <c r="Q399" s="8"/>
      <c r="R399" s="8"/>
      <c r="S399" s="8"/>
      <c r="T399" s="8"/>
      <c r="U399" s="172"/>
    </row>
    <row r="400" spans="2:21" ht="23.25" customHeight="1" x14ac:dyDescent="0.25">
      <c r="B400" s="476"/>
      <c r="C400" s="479"/>
      <c r="D400" s="222"/>
      <c r="E400" s="341">
        <v>45134</v>
      </c>
      <c r="F400" s="339" t="s">
        <v>74</v>
      </c>
      <c r="G400" s="339">
        <v>4854</v>
      </c>
      <c r="H400" s="339">
        <v>34.404999999999745</v>
      </c>
      <c r="I400" s="339">
        <v>2</v>
      </c>
      <c r="J400" s="339">
        <v>9708</v>
      </c>
      <c r="K400" s="150">
        <f t="shared" si="49"/>
        <v>9776.81</v>
      </c>
      <c r="L400" s="7"/>
      <c r="M400" s="7"/>
      <c r="N400" s="299"/>
      <c r="O400" s="8"/>
      <c r="P400" s="299"/>
      <c r="Q400" s="8"/>
      <c r="R400" s="8"/>
      <c r="S400" s="8"/>
      <c r="T400" s="8"/>
      <c r="U400" s="172"/>
    </row>
    <row r="401" spans="2:21" ht="23.25" customHeight="1" x14ac:dyDescent="0.25">
      <c r="B401" s="476"/>
      <c r="C401" s="479"/>
      <c r="D401" s="222"/>
      <c r="E401" s="341">
        <v>45187</v>
      </c>
      <c r="F401" s="339" t="s">
        <v>74</v>
      </c>
      <c r="G401" s="339">
        <v>5501.2</v>
      </c>
      <c r="H401" s="339">
        <v>38.980000000000473</v>
      </c>
      <c r="I401" s="339">
        <v>2</v>
      </c>
      <c r="J401" s="339">
        <v>11002.4</v>
      </c>
      <c r="K401" s="150">
        <f t="shared" si="49"/>
        <v>11080.36</v>
      </c>
      <c r="L401" s="7"/>
      <c r="M401" s="7"/>
      <c r="N401" s="299"/>
      <c r="O401" s="8"/>
      <c r="P401" s="299"/>
      <c r="Q401" s="8"/>
      <c r="R401" s="8"/>
      <c r="S401" s="8"/>
      <c r="T401" s="8"/>
      <c r="U401" s="172"/>
    </row>
    <row r="402" spans="2:21" ht="23.25" customHeight="1" x14ac:dyDescent="0.25">
      <c r="B402" s="476"/>
      <c r="C402" s="479"/>
      <c r="D402" s="222"/>
      <c r="E402" s="341">
        <v>45197</v>
      </c>
      <c r="F402" s="339" t="s">
        <v>74</v>
      </c>
      <c r="G402" s="339">
        <v>5355.2</v>
      </c>
      <c r="H402" s="339">
        <v>37.949999999999818</v>
      </c>
      <c r="I402" s="339">
        <v>2</v>
      </c>
      <c r="J402" s="339">
        <v>10710.4</v>
      </c>
      <c r="K402" s="150">
        <f t="shared" si="49"/>
        <v>10786.3</v>
      </c>
      <c r="L402" s="7"/>
      <c r="M402" s="7"/>
      <c r="N402" s="299"/>
      <c r="O402" s="8"/>
      <c r="P402" s="299"/>
      <c r="Q402" s="8"/>
      <c r="R402" s="8"/>
      <c r="S402" s="8"/>
      <c r="T402" s="8"/>
      <c r="U402" s="172"/>
    </row>
    <row r="403" spans="2:21" ht="23.25" customHeight="1" x14ac:dyDescent="0.25">
      <c r="B403" s="476"/>
      <c r="C403" s="479"/>
      <c r="D403" s="222"/>
      <c r="E403" s="341">
        <v>45231</v>
      </c>
      <c r="F403" s="339" t="s">
        <v>74</v>
      </c>
      <c r="G403" s="339">
        <v>5031</v>
      </c>
      <c r="H403" s="339">
        <v>35.670000000000073</v>
      </c>
      <c r="I403" s="339">
        <v>2</v>
      </c>
      <c r="J403" s="339">
        <v>10062</v>
      </c>
      <c r="K403" s="150">
        <f t="shared" si="49"/>
        <v>10133.34</v>
      </c>
      <c r="L403" s="7"/>
      <c r="M403" s="7"/>
      <c r="N403" s="299"/>
      <c r="O403" s="8"/>
      <c r="P403" s="299"/>
      <c r="Q403" s="8"/>
      <c r="R403" s="8"/>
      <c r="S403" s="8"/>
      <c r="T403" s="8"/>
      <c r="U403" s="172"/>
    </row>
    <row r="404" spans="2:21" ht="23.25" customHeight="1" x14ac:dyDescent="0.25">
      <c r="B404" s="476"/>
      <c r="C404" s="479"/>
      <c r="D404" s="222"/>
      <c r="E404" s="341">
        <v>45274</v>
      </c>
      <c r="F404" s="339" t="s">
        <v>74</v>
      </c>
      <c r="G404" s="339">
        <v>5911</v>
      </c>
      <c r="H404" s="339">
        <v>41.890000000000143</v>
      </c>
      <c r="I404" s="339">
        <v>5</v>
      </c>
      <c r="J404" s="339">
        <v>29555</v>
      </c>
      <c r="K404" s="150">
        <f t="shared" si="49"/>
        <v>29764.45</v>
      </c>
      <c r="L404" s="7"/>
      <c r="M404" s="7"/>
      <c r="N404" s="299"/>
      <c r="O404" s="8"/>
      <c r="P404" s="299"/>
      <c r="Q404" s="8"/>
      <c r="R404" s="8"/>
      <c r="S404" s="8"/>
      <c r="T404" s="8"/>
      <c r="U404" s="172"/>
    </row>
    <row r="405" spans="2:21" ht="23.25" customHeight="1" x14ac:dyDescent="0.25">
      <c r="B405" s="476"/>
      <c r="C405" s="479"/>
      <c r="D405" s="222"/>
      <c r="E405" s="341">
        <v>45303</v>
      </c>
      <c r="F405" s="339" t="s">
        <v>74</v>
      </c>
      <c r="G405" s="339">
        <v>6140</v>
      </c>
      <c r="H405" s="339">
        <v>43.522000000000119</v>
      </c>
      <c r="I405" s="339">
        <v>5</v>
      </c>
      <c r="J405" s="339">
        <v>30700</v>
      </c>
      <c r="K405" s="150">
        <f t="shared" ref="K405" si="50">(G405+H405)*I405</f>
        <v>30917.61</v>
      </c>
      <c r="L405" s="7"/>
      <c r="M405" s="7"/>
      <c r="N405" s="299"/>
      <c r="O405" s="8"/>
      <c r="P405" s="299"/>
      <c r="Q405" s="8"/>
      <c r="R405" s="8"/>
      <c r="S405" s="8"/>
      <c r="T405" s="8"/>
      <c r="U405" s="172"/>
    </row>
    <row r="406" spans="2:21" ht="23.25" customHeight="1" thickBot="1" x14ac:dyDescent="0.3">
      <c r="B406" s="477"/>
      <c r="C406" s="480"/>
      <c r="D406" s="216"/>
      <c r="E406" s="338"/>
      <c r="F406" s="370"/>
      <c r="G406" s="370"/>
      <c r="H406" s="370"/>
      <c r="I406" s="372">
        <f>SUM(I392:I405)</f>
        <v>47</v>
      </c>
      <c r="J406" s="372">
        <f>I406-P406</f>
        <v>40</v>
      </c>
      <c r="K406" s="156"/>
      <c r="L406" s="45"/>
      <c r="M406" s="45"/>
      <c r="N406" s="226"/>
      <c r="O406" s="77"/>
      <c r="P406" s="78">
        <f>SUM(P392:P405)</f>
        <v>7</v>
      </c>
      <c r="Q406" s="77"/>
      <c r="R406" s="77"/>
      <c r="S406" s="77"/>
      <c r="T406" s="77"/>
      <c r="U406" s="280"/>
    </row>
    <row r="407" spans="2:21" ht="11.25" customHeight="1" thickBot="1" x14ac:dyDescent="0.3">
      <c r="B407" s="249"/>
      <c r="C407" s="262"/>
      <c r="D407" s="250"/>
      <c r="E407" s="375"/>
      <c r="F407" s="376"/>
      <c r="G407" s="377"/>
      <c r="H407" s="377"/>
      <c r="I407" s="376"/>
      <c r="J407" s="377"/>
      <c r="K407" s="377"/>
      <c r="L407" s="272"/>
      <c r="M407" s="272"/>
      <c r="N407" s="251"/>
      <c r="O407" s="137"/>
      <c r="P407" s="251"/>
      <c r="Q407" s="137"/>
      <c r="R407" s="137"/>
      <c r="S407" s="137"/>
      <c r="T407" s="137"/>
      <c r="U407" s="275"/>
    </row>
    <row r="408" spans="2:21" ht="23.25" customHeight="1" x14ac:dyDescent="0.25">
      <c r="B408" s="475"/>
      <c r="C408" s="486" t="s">
        <v>99</v>
      </c>
      <c r="D408" s="211"/>
      <c r="E408" s="335">
        <v>45180</v>
      </c>
      <c r="F408" s="336" t="s">
        <v>74</v>
      </c>
      <c r="G408" s="337">
        <v>592.92700000000002</v>
      </c>
      <c r="H408" s="337">
        <v>4.2015999999999618</v>
      </c>
      <c r="I408" s="336">
        <v>50</v>
      </c>
      <c r="J408" s="337">
        <v>29646.350000000002</v>
      </c>
      <c r="K408" s="337">
        <f>(G408+H408)*I408</f>
        <v>29856.43</v>
      </c>
      <c r="L408" s="335">
        <v>45195</v>
      </c>
      <c r="M408" s="336" t="s">
        <v>114</v>
      </c>
      <c r="N408" s="423">
        <v>597.93333333333328</v>
      </c>
      <c r="O408" s="345">
        <v>4.1474666666666353</v>
      </c>
      <c r="P408" s="336">
        <v>50</v>
      </c>
      <c r="Q408" s="337">
        <v>44845</v>
      </c>
      <c r="R408" s="423">
        <f>(N408-O408)*P408</f>
        <v>29689.293333333331</v>
      </c>
      <c r="S408" s="10"/>
      <c r="T408" s="10"/>
      <c r="U408" s="166"/>
    </row>
    <row r="409" spans="2:21" ht="23.25" customHeight="1" x14ac:dyDescent="0.25">
      <c r="B409" s="476"/>
      <c r="C409" s="487"/>
      <c r="D409" s="222"/>
      <c r="E409" s="341">
        <v>45189</v>
      </c>
      <c r="F409" s="339" t="s">
        <v>74</v>
      </c>
      <c r="G409" s="340">
        <v>560.6</v>
      </c>
      <c r="H409" s="340">
        <v>3.9731999999999972</v>
      </c>
      <c r="I409" s="339">
        <v>25</v>
      </c>
      <c r="J409" s="340">
        <v>14015</v>
      </c>
      <c r="K409" s="340">
        <f t="shared" ref="K409:K411" si="51">(G409+H409)*I409</f>
        <v>14114.330000000002</v>
      </c>
      <c r="L409" s="341">
        <v>45195</v>
      </c>
      <c r="M409" s="339" t="s">
        <v>114</v>
      </c>
      <c r="N409" s="424">
        <v>597.93333333333328</v>
      </c>
      <c r="O409" s="347">
        <v>4.1474666666666353</v>
      </c>
      <c r="P409" s="339">
        <v>25</v>
      </c>
      <c r="Q409" s="340">
        <v>44845</v>
      </c>
      <c r="R409" s="424">
        <f>(N409-O409)*P409</f>
        <v>14844.646666666666</v>
      </c>
      <c r="S409" s="8"/>
      <c r="T409" s="8"/>
      <c r="U409" s="172"/>
    </row>
    <row r="410" spans="2:21" ht="23.25" customHeight="1" x14ac:dyDescent="0.25">
      <c r="B410" s="476"/>
      <c r="C410" s="487"/>
      <c r="D410" s="222"/>
      <c r="E410" s="341">
        <v>45218</v>
      </c>
      <c r="F410" s="339" t="s">
        <v>74</v>
      </c>
      <c r="G410" s="340">
        <v>671.10000000000014</v>
      </c>
      <c r="H410" s="340">
        <v>4.7556999999999245</v>
      </c>
      <c r="I410" s="339">
        <v>100</v>
      </c>
      <c r="J410" s="340">
        <v>67110.000000000015</v>
      </c>
      <c r="K410" s="340">
        <f t="shared" si="51"/>
        <v>67585.570000000007</v>
      </c>
      <c r="L410" s="341">
        <v>45222</v>
      </c>
      <c r="M410" s="339" t="s">
        <v>114</v>
      </c>
      <c r="N410" s="340">
        <v>674.95</v>
      </c>
      <c r="O410" s="347">
        <v>4.6816999999999824</v>
      </c>
      <c r="P410" s="339">
        <v>100</v>
      </c>
      <c r="Q410" s="340">
        <v>67495</v>
      </c>
      <c r="R410" s="424">
        <f t="shared" ref="R410:R415" si="52">(N410-O410)*P410</f>
        <v>67026.83</v>
      </c>
      <c r="S410" s="8"/>
      <c r="T410" s="8"/>
      <c r="U410" s="172"/>
    </row>
    <row r="411" spans="2:21" ht="23.25" customHeight="1" x14ac:dyDescent="0.25">
      <c r="B411" s="476"/>
      <c r="C411" s="487"/>
      <c r="D411" s="222"/>
      <c r="E411" s="341">
        <v>45231</v>
      </c>
      <c r="F411" s="339" t="s">
        <v>74</v>
      </c>
      <c r="G411" s="340">
        <v>712</v>
      </c>
      <c r="H411" s="340">
        <v>5.0477999999999881</v>
      </c>
      <c r="I411" s="339">
        <v>50</v>
      </c>
      <c r="J411" s="340">
        <v>71200</v>
      </c>
      <c r="K411" s="340">
        <f t="shared" si="51"/>
        <v>35852.39</v>
      </c>
      <c r="L411" s="341">
        <v>45232</v>
      </c>
      <c r="M411" s="339" t="s">
        <v>114</v>
      </c>
      <c r="N411" s="340">
        <v>729.95</v>
      </c>
      <c r="O411" s="347">
        <v>5.0652000000000408</v>
      </c>
      <c r="P411" s="339">
        <v>50</v>
      </c>
      <c r="Q411" s="340">
        <v>36497.5</v>
      </c>
      <c r="R411" s="424">
        <f t="shared" si="52"/>
        <v>36244.240000000005</v>
      </c>
      <c r="S411" s="8"/>
      <c r="T411" s="8"/>
      <c r="U411" s="172"/>
    </row>
    <row r="412" spans="2:21" ht="23.25" customHeight="1" x14ac:dyDescent="0.25">
      <c r="B412" s="476"/>
      <c r="C412" s="487"/>
      <c r="D412" s="222"/>
      <c r="E412" s="341">
        <v>45231</v>
      </c>
      <c r="F412" s="339" t="s">
        <v>74</v>
      </c>
      <c r="G412" s="340">
        <v>712</v>
      </c>
      <c r="H412" s="340">
        <v>5.0477999999999881</v>
      </c>
      <c r="I412" s="339">
        <v>50</v>
      </c>
      <c r="J412" s="340">
        <v>71200</v>
      </c>
      <c r="K412" s="340">
        <f t="shared" ref="K412:K423" si="53">(G412+H412)*I412</f>
        <v>35852.39</v>
      </c>
      <c r="L412" s="341">
        <v>45233</v>
      </c>
      <c r="M412" s="339" t="s">
        <v>114</v>
      </c>
      <c r="N412" s="340">
        <v>738</v>
      </c>
      <c r="O412" s="347">
        <v>5.1203999999999361</v>
      </c>
      <c r="P412" s="339">
        <v>50</v>
      </c>
      <c r="Q412" s="340">
        <v>36900</v>
      </c>
      <c r="R412" s="424">
        <f t="shared" si="52"/>
        <v>36643.980000000003</v>
      </c>
      <c r="S412" s="8"/>
      <c r="T412" s="8"/>
      <c r="U412" s="172"/>
    </row>
    <row r="413" spans="2:21" ht="23.25" customHeight="1" thickBot="1" x14ac:dyDescent="0.3">
      <c r="B413" s="477"/>
      <c r="C413" s="488"/>
      <c r="D413" s="216"/>
      <c r="E413" s="45"/>
      <c r="F413" s="45"/>
      <c r="G413" s="77"/>
      <c r="H413" s="77"/>
      <c r="I413" s="372">
        <f>SUM(I408:I412)</f>
        <v>275</v>
      </c>
      <c r="J413" s="469">
        <v>0</v>
      </c>
      <c r="K413" s="371"/>
      <c r="L413" s="217"/>
      <c r="M413" s="217"/>
      <c r="N413" s="76"/>
      <c r="O413" s="77"/>
      <c r="P413" s="78">
        <f>SUM(P408:P412)</f>
        <v>275</v>
      </c>
      <c r="Q413" s="77"/>
      <c r="R413" s="425"/>
      <c r="S413" s="77"/>
      <c r="T413" s="77"/>
      <c r="U413" s="280"/>
    </row>
    <row r="414" spans="2:21" ht="9" customHeight="1" thickBot="1" x14ac:dyDescent="0.3">
      <c r="B414" s="318"/>
      <c r="C414" s="262"/>
      <c r="D414" s="251"/>
      <c r="E414" s="272"/>
      <c r="F414" s="272"/>
      <c r="G414" s="137"/>
      <c r="H414" s="137"/>
      <c r="I414" s="251"/>
      <c r="J414" s="251"/>
      <c r="K414" s="377"/>
      <c r="L414" s="289"/>
      <c r="M414" s="289"/>
      <c r="N414" s="265"/>
      <c r="O414" s="137"/>
      <c r="P414" s="251"/>
      <c r="Q414" s="137"/>
      <c r="R414" s="426"/>
      <c r="S414" s="137"/>
      <c r="T414" s="137"/>
      <c r="U414" s="291"/>
    </row>
    <row r="415" spans="2:21" ht="23.25" customHeight="1" x14ac:dyDescent="0.25">
      <c r="B415" s="475">
        <f>1+B392</f>
        <v>1</v>
      </c>
      <c r="C415" s="478" t="s">
        <v>63</v>
      </c>
      <c r="D415" s="211"/>
      <c r="E415" s="344">
        <v>44819</v>
      </c>
      <c r="F415" s="344"/>
      <c r="G415" s="184">
        <v>1304.05</v>
      </c>
      <c r="H415" s="184">
        <v>7.9410000000000007</v>
      </c>
      <c r="I415" s="223">
        <v>10</v>
      </c>
      <c r="J415" s="223"/>
      <c r="K415" s="337">
        <f t="shared" si="53"/>
        <v>13119.91</v>
      </c>
      <c r="L415" s="335">
        <v>45337</v>
      </c>
      <c r="M415" s="336" t="s">
        <v>114</v>
      </c>
      <c r="N415" s="337">
        <v>1779.95</v>
      </c>
      <c r="O415" s="337">
        <v>12.349</v>
      </c>
      <c r="P415" s="337">
        <v>10</v>
      </c>
      <c r="Q415" s="337">
        <v>17799.5</v>
      </c>
      <c r="R415" s="423">
        <f t="shared" si="52"/>
        <v>17676.010000000002</v>
      </c>
      <c r="S415" s="10"/>
      <c r="T415" s="10"/>
      <c r="U415" s="166" t="s">
        <v>55</v>
      </c>
    </row>
    <row r="416" spans="2:21" ht="23.25" customHeight="1" x14ac:dyDescent="0.25">
      <c r="B416" s="476"/>
      <c r="C416" s="479"/>
      <c r="D416" s="222"/>
      <c r="E416" s="341">
        <v>45182</v>
      </c>
      <c r="F416" s="339" t="s">
        <v>74</v>
      </c>
      <c r="G416" s="340">
        <v>1546</v>
      </c>
      <c r="H416" s="340">
        <f>54.78/I416</f>
        <v>10.956</v>
      </c>
      <c r="I416" s="339">
        <v>5</v>
      </c>
      <c r="J416" s="340">
        <v>7730</v>
      </c>
      <c r="K416" s="340">
        <f t="shared" si="53"/>
        <v>7784.78</v>
      </c>
      <c r="L416" s="7"/>
      <c r="M416" s="7"/>
      <c r="N416" s="299"/>
      <c r="O416" s="8"/>
      <c r="P416" s="299"/>
      <c r="Q416" s="8"/>
      <c r="R416" s="8"/>
      <c r="S416" s="8"/>
      <c r="T416" s="8"/>
      <c r="U416" s="172"/>
    </row>
    <row r="417" spans="2:21" ht="23.25" customHeight="1" x14ac:dyDescent="0.25">
      <c r="B417" s="476"/>
      <c r="C417" s="479"/>
      <c r="D417" s="222"/>
      <c r="E417" s="341">
        <v>45208</v>
      </c>
      <c r="F417" s="339" t="s">
        <v>74</v>
      </c>
      <c r="G417" s="340">
        <v>1515.2</v>
      </c>
      <c r="H417" s="340">
        <f>53.7/I417</f>
        <v>10.74</v>
      </c>
      <c r="I417" s="339">
        <v>5</v>
      </c>
      <c r="J417" s="340">
        <v>7576</v>
      </c>
      <c r="K417" s="340">
        <f t="shared" si="53"/>
        <v>7629.7000000000007</v>
      </c>
      <c r="L417" s="7"/>
      <c r="M417" s="7"/>
      <c r="N417" s="299"/>
      <c r="O417" s="8"/>
      <c r="P417" s="299"/>
      <c r="Q417" s="8"/>
      <c r="R417" s="8"/>
      <c r="S417" s="8"/>
      <c r="T417" s="8"/>
      <c r="U417" s="172"/>
    </row>
    <row r="418" spans="2:21" ht="23.25" customHeight="1" x14ac:dyDescent="0.25">
      <c r="B418" s="476"/>
      <c r="C418" s="479"/>
      <c r="D418" s="222"/>
      <c r="E418" s="341">
        <v>45219</v>
      </c>
      <c r="F418" s="339" t="s">
        <v>74</v>
      </c>
      <c r="G418" s="340">
        <v>1547.1</v>
      </c>
      <c r="H418" s="340">
        <f>54.82/I418</f>
        <v>10.964</v>
      </c>
      <c r="I418" s="339">
        <v>5</v>
      </c>
      <c r="J418" s="340">
        <v>7735.5</v>
      </c>
      <c r="K418" s="340">
        <f t="shared" si="53"/>
        <v>7790.32</v>
      </c>
      <c r="L418" s="7"/>
      <c r="M418" s="7"/>
      <c r="N418" s="299"/>
      <c r="O418" s="8"/>
      <c r="P418" s="299"/>
      <c r="Q418" s="8"/>
      <c r="R418" s="8"/>
      <c r="S418" s="8"/>
      <c r="T418" s="8"/>
      <c r="U418" s="172"/>
    </row>
    <row r="419" spans="2:21" ht="23.25" customHeight="1" x14ac:dyDescent="0.25">
      <c r="B419" s="476"/>
      <c r="C419" s="479"/>
      <c r="D419" s="222"/>
      <c r="E419" s="341">
        <v>45264</v>
      </c>
      <c r="F419" s="339" t="s">
        <v>74</v>
      </c>
      <c r="G419" s="340">
        <v>1656.35</v>
      </c>
      <c r="H419" s="340">
        <f>234.81/I419</f>
        <v>11.740500000000001</v>
      </c>
      <c r="I419" s="339">
        <v>20</v>
      </c>
      <c r="J419" s="340">
        <v>33127</v>
      </c>
      <c r="K419" s="340">
        <f t="shared" si="53"/>
        <v>33361.81</v>
      </c>
      <c r="L419" s="7"/>
      <c r="M419" s="7"/>
      <c r="N419" s="299"/>
      <c r="O419" s="8"/>
      <c r="P419" s="299"/>
      <c r="Q419" s="8"/>
      <c r="R419" s="8"/>
      <c r="S419" s="8"/>
      <c r="T419" s="8"/>
      <c r="U419" s="172"/>
    </row>
    <row r="420" spans="2:21" ht="23.25" customHeight="1" x14ac:dyDescent="0.25">
      <c r="B420" s="476"/>
      <c r="C420" s="479"/>
      <c r="D420" s="222"/>
      <c r="E420" s="341">
        <v>45292</v>
      </c>
      <c r="F420" s="339" t="s">
        <v>74</v>
      </c>
      <c r="G420" s="340">
        <v>1700.2</v>
      </c>
      <c r="H420" s="340">
        <f>120.54/I420</f>
        <v>12.054</v>
      </c>
      <c r="I420" s="339">
        <v>10</v>
      </c>
      <c r="J420" s="340">
        <v>17002</v>
      </c>
      <c r="K420" s="340">
        <f t="shared" si="53"/>
        <v>17122.54</v>
      </c>
      <c r="L420" s="7"/>
      <c r="M420" s="7"/>
      <c r="N420" s="299"/>
      <c r="O420" s="8"/>
      <c r="P420" s="299"/>
      <c r="Q420" s="8"/>
      <c r="R420" s="8"/>
      <c r="S420" s="8"/>
      <c r="T420" s="8"/>
      <c r="U420" s="172"/>
    </row>
    <row r="421" spans="2:21" ht="23.25" customHeight="1" x14ac:dyDescent="0.25">
      <c r="B421" s="476"/>
      <c r="C421" s="479"/>
      <c r="D421" s="222"/>
      <c r="E421" s="341">
        <v>45293</v>
      </c>
      <c r="F421" s="339" t="s">
        <v>74</v>
      </c>
      <c r="G421" s="340">
        <v>1650.2</v>
      </c>
      <c r="H421" s="340">
        <f>117/I421</f>
        <v>11.7</v>
      </c>
      <c r="I421" s="339">
        <v>10</v>
      </c>
      <c r="J421" s="340">
        <v>16502</v>
      </c>
      <c r="K421" s="340">
        <f t="shared" si="53"/>
        <v>16619</v>
      </c>
      <c r="L421" s="7"/>
      <c r="M421" s="7"/>
      <c r="N421" s="299"/>
      <c r="O421" s="8"/>
      <c r="P421" s="299"/>
      <c r="Q421" s="8"/>
      <c r="R421" s="8"/>
      <c r="S421" s="8"/>
      <c r="T421" s="8"/>
      <c r="U421" s="172"/>
    </row>
    <row r="422" spans="2:21" ht="23.25" customHeight="1" x14ac:dyDescent="0.25">
      <c r="B422" s="476"/>
      <c r="C422" s="479"/>
      <c r="D422" s="222"/>
      <c r="E422" s="341">
        <v>45336</v>
      </c>
      <c r="F422" s="339" t="s">
        <v>74</v>
      </c>
      <c r="G422" s="340">
        <v>1642.1</v>
      </c>
      <c r="H422" s="340">
        <v>11.639999999999999</v>
      </c>
      <c r="I422" s="339">
        <v>10</v>
      </c>
      <c r="J422" s="340">
        <v>16421</v>
      </c>
      <c r="K422" s="340">
        <f t="shared" si="53"/>
        <v>16537.400000000001</v>
      </c>
      <c r="L422" s="7"/>
      <c r="M422" s="7"/>
      <c r="N422" s="299"/>
      <c r="O422" s="8"/>
      <c r="P422" s="299"/>
      <c r="Q422" s="8"/>
      <c r="R422" s="8"/>
      <c r="S422" s="8"/>
      <c r="T422" s="8"/>
      <c r="U422" s="172"/>
    </row>
    <row r="423" spans="2:21" ht="23.25" customHeight="1" x14ac:dyDescent="0.25">
      <c r="B423" s="476"/>
      <c r="C423" s="479"/>
      <c r="D423" s="222"/>
      <c r="E423" s="341">
        <v>45358</v>
      </c>
      <c r="F423" s="339" t="s">
        <v>74</v>
      </c>
      <c r="G423" s="340">
        <v>1891.2</v>
      </c>
      <c r="H423" s="340">
        <v>13.404999999999998</v>
      </c>
      <c r="I423" s="339">
        <v>10</v>
      </c>
      <c r="J423" s="340">
        <v>18912</v>
      </c>
      <c r="K423" s="340">
        <f t="shared" si="53"/>
        <v>19046.05</v>
      </c>
      <c r="L423" s="7"/>
      <c r="M423" s="7"/>
      <c r="N423" s="299"/>
      <c r="O423" s="8"/>
      <c r="P423" s="299"/>
      <c r="Q423" s="8"/>
      <c r="R423" s="8"/>
      <c r="S423" s="8"/>
      <c r="T423" s="8"/>
      <c r="U423" s="172"/>
    </row>
    <row r="424" spans="2:21" ht="23.25" customHeight="1" thickBot="1" x14ac:dyDescent="0.3">
      <c r="B424" s="477"/>
      <c r="C424" s="480"/>
      <c r="D424" s="216"/>
      <c r="E424" s="338"/>
      <c r="F424" s="370"/>
      <c r="G424" s="371"/>
      <c r="H424" s="371"/>
      <c r="I424" s="372">
        <f>SUM(I415:I423)</f>
        <v>85</v>
      </c>
      <c r="J424" s="470">
        <f>I424-P424</f>
        <v>75</v>
      </c>
      <c r="K424" s="371"/>
      <c r="L424" s="45"/>
      <c r="M424" s="45"/>
      <c r="N424" s="226"/>
      <c r="O424" s="77"/>
      <c r="P424" s="78">
        <f>SUM(P415:P423)</f>
        <v>10</v>
      </c>
      <c r="Q424" s="77"/>
      <c r="R424" s="77"/>
      <c r="S424" s="77"/>
      <c r="T424" s="77"/>
      <c r="U424" s="280"/>
    </row>
    <row r="425" spans="2:21" ht="10.5" customHeight="1" thickBot="1" x14ac:dyDescent="0.3">
      <c r="B425" s="249"/>
      <c r="C425" s="262"/>
      <c r="D425" s="250"/>
      <c r="E425" s="375"/>
      <c r="F425" s="376"/>
      <c r="G425" s="377"/>
      <c r="H425" s="377"/>
      <c r="I425" s="303"/>
      <c r="J425" s="377"/>
      <c r="K425" s="377"/>
      <c r="L425" s="272"/>
      <c r="M425" s="272"/>
      <c r="N425" s="251"/>
      <c r="O425" s="137"/>
      <c r="P425" s="266"/>
      <c r="Q425" s="137"/>
      <c r="R425" s="137"/>
      <c r="S425" s="137"/>
      <c r="T425" s="137"/>
      <c r="U425" s="275"/>
    </row>
    <row r="426" spans="2:21" ht="23.25" customHeight="1" x14ac:dyDescent="0.25">
      <c r="B426" s="475"/>
      <c r="C426" s="486" t="s">
        <v>123</v>
      </c>
      <c r="D426" s="211"/>
      <c r="E426" s="335">
        <v>45362</v>
      </c>
      <c r="F426" s="336" t="s">
        <v>74</v>
      </c>
      <c r="G426" s="337">
        <v>45.15</v>
      </c>
      <c r="H426" s="337">
        <v>0.31996894409937898</v>
      </c>
      <c r="I426" s="336">
        <v>500</v>
      </c>
      <c r="J426" s="337">
        <v>22575</v>
      </c>
      <c r="K426" s="337">
        <v>22735.02</v>
      </c>
      <c r="L426" s="9"/>
      <c r="M426" s="9"/>
      <c r="N426" s="267"/>
      <c r="O426" s="10"/>
      <c r="P426" s="267"/>
      <c r="Q426" s="10"/>
      <c r="R426" s="10"/>
      <c r="S426" s="10"/>
      <c r="T426" s="10"/>
      <c r="U426" s="166" t="s">
        <v>55</v>
      </c>
    </row>
    <row r="427" spans="2:21" ht="23.25" customHeight="1" x14ac:dyDescent="0.25">
      <c r="B427" s="476"/>
      <c r="C427" s="487"/>
      <c r="D427" s="462"/>
      <c r="E427" s="463">
        <v>45366</v>
      </c>
      <c r="F427" s="452" t="s">
        <v>117</v>
      </c>
      <c r="G427" s="419"/>
      <c r="H427" s="419"/>
      <c r="I427" s="452">
        <v>1000</v>
      </c>
      <c r="J427" s="419"/>
      <c r="K427" s="419"/>
      <c r="L427" s="450"/>
      <c r="M427" s="450"/>
      <c r="N427" s="129"/>
      <c r="O427" s="128"/>
      <c r="P427" s="129"/>
      <c r="Q427" s="128"/>
      <c r="R427" s="128"/>
      <c r="S427" s="128"/>
      <c r="T427" s="128"/>
      <c r="U427" s="176"/>
    </row>
    <row r="428" spans="2:21" ht="23.25" customHeight="1" thickBot="1" x14ac:dyDescent="0.3">
      <c r="B428" s="477"/>
      <c r="C428" s="488"/>
      <c r="D428" s="216"/>
      <c r="E428" s="338"/>
      <c r="F428" s="370"/>
      <c r="G428" s="371"/>
      <c r="H428" s="371"/>
      <c r="I428" s="372">
        <f>SUM(I426)</f>
        <v>500</v>
      </c>
      <c r="J428" s="371"/>
      <c r="K428" s="371"/>
      <c r="L428" s="45"/>
      <c r="M428" s="45"/>
      <c r="N428" s="226"/>
      <c r="O428" s="77"/>
      <c r="P428" s="226"/>
      <c r="Q428" s="77"/>
      <c r="R428" s="77"/>
      <c r="S428" s="77"/>
      <c r="T428" s="77"/>
      <c r="U428" s="280"/>
    </row>
    <row r="429" spans="2:21" ht="8.25" customHeight="1" thickBot="1" x14ac:dyDescent="0.3">
      <c r="B429" s="47"/>
      <c r="C429" s="186"/>
      <c r="D429" s="243"/>
      <c r="E429" s="391"/>
      <c r="F429" s="392"/>
      <c r="G429" s="393"/>
      <c r="H429" s="393"/>
      <c r="I429" s="392"/>
      <c r="J429" s="393"/>
      <c r="K429" s="393"/>
      <c r="L429" s="50"/>
      <c r="M429" s="50"/>
      <c r="N429" s="322"/>
      <c r="O429" s="181"/>
      <c r="P429" s="322"/>
      <c r="Q429" s="181"/>
      <c r="R429" s="181"/>
      <c r="S429" s="181"/>
      <c r="T429" s="181"/>
      <c r="U429" s="182"/>
    </row>
    <row r="430" spans="2:21" ht="26.25" customHeight="1" x14ac:dyDescent="0.25">
      <c r="B430" s="475"/>
      <c r="C430" s="486" t="s">
        <v>100</v>
      </c>
      <c r="D430" s="212"/>
      <c r="E430" s="331">
        <v>45190</v>
      </c>
      <c r="F430" s="332" t="s">
        <v>74</v>
      </c>
      <c r="G430" s="333">
        <v>1515.2</v>
      </c>
      <c r="H430" s="333">
        <v>107.4</v>
      </c>
      <c r="I430" s="332">
        <v>10</v>
      </c>
      <c r="J430" s="333">
        <v>15152</v>
      </c>
      <c r="K430" s="333">
        <v>15259.4</v>
      </c>
      <c r="L430" s="331">
        <v>45243</v>
      </c>
      <c r="M430" s="332" t="s">
        <v>114</v>
      </c>
      <c r="N430" s="333">
        <v>1625.45</v>
      </c>
      <c r="O430" s="408">
        <v>11.272999999999957</v>
      </c>
      <c r="P430" s="333">
        <v>10</v>
      </c>
      <c r="Q430" s="333">
        <v>16254.5</v>
      </c>
      <c r="R430" s="333">
        <v>16141.77</v>
      </c>
      <c r="S430" s="110"/>
      <c r="T430" s="110"/>
      <c r="U430" s="177" t="s">
        <v>55</v>
      </c>
    </row>
    <row r="431" spans="2:21" ht="26.25" customHeight="1" thickBot="1" x14ac:dyDescent="0.3">
      <c r="B431" s="477"/>
      <c r="C431" s="488"/>
      <c r="D431" s="216"/>
      <c r="E431" s="338"/>
      <c r="F431" s="370"/>
      <c r="G431" s="371"/>
      <c r="H431" s="371"/>
      <c r="I431" s="372">
        <f>SUM(I430)</f>
        <v>10</v>
      </c>
      <c r="J431" s="372">
        <f>I431-P431</f>
        <v>0</v>
      </c>
      <c r="K431" s="371"/>
      <c r="L431" s="45"/>
      <c r="M431" s="45"/>
      <c r="N431" s="226"/>
      <c r="O431" s="77"/>
      <c r="P431" s="78">
        <f>SUM(P430)</f>
        <v>10</v>
      </c>
      <c r="Q431" s="77"/>
      <c r="R431" s="77"/>
      <c r="S431" s="77"/>
      <c r="T431" s="77"/>
      <c r="U431" s="280"/>
    </row>
    <row r="432" spans="2:21" ht="10.5" customHeight="1" thickBot="1" x14ac:dyDescent="0.3">
      <c r="B432" s="249"/>
      <c r="C432" s="374"/>
      <c r="D432" s="250"/>
      <c r="E432" s="375"/>
      <c r="F432" s="376"/>
      <c r="G432" s="377"/>
      <c r="H432" s="377"/>
      <c r="I432" s="376"/>
      <c r="J432" s="377"/>
      <c r="K432" s="377"/>
      <c r="L432" s="272"/>
      <c r="M432" s="272"/>
      <c r="N432" s="251"/>
      <c r="O432" s="137"/>
      <c r="P432" s="251"/>
      <c r="Q432" s="137"/>
      <c r="R432" s="137"/>
      <c r="S432" s="137"/>
      <c r="T432" s="137"/>
      <c r="U432" s="275"/>
    </row>
    <row r="433" spans="2:21" ht="23.25" customHeight="1" x14ac:dyDescent="0.25">
      <c r="B433" s="475"/>
      <c r="C433" s="530" t="s">
        <v>101</v>
      </c>
      <c r="D433" s="211"/>
      <c r="E433" s="335">
        <v>45292</v>
      </c>
      <c r="F433" s="336" t="s">
        <v>74</v>
      </c>
      <c r="G433" s="337">
        <v>136.25</v>
      </c>
      <c r="H433" s="337">
        <v>289.8</v>
      </c>
      <c r="I433" s="336">
        <v>300</v>
      </c>
      <c r="J433" s="336">
        <v>40875</v>
      </c>
      <c r="K433" s="337">
        <v>-41164.800000000003</v>
      </c>
      <c r="L433" s="9"/>
      <c r="M433" s="9"/>
      <c r="N433" s="267"/>
      <c r="O433" s="10"/>
      <c r="P433" s="267"/>
      <c r="Q433" s="10"/>
      <c r="R433" s="10"/>
      <c r="S433" s="10"/>
      <c r="T433" s="10"/>
      <c r="U433" s="166" t="s">
        <v>55</v>
      </c>
    </row>
    <row r="434" spans="2:21" ht="23.25" customHeight="1" thickBot="1" x14ac:dyDescent="0.3">
      <c r="B434" s="476"/>
      <c r="C434" s="531"/>
      <c r="D434" s="216"/>
      <c r="E434" s="338"/>
      <c r="F434" s="370"/>
      <c r="G434" s="371"/>
      <c r="H434" s="371"/>
      <c r="I434" s="372">
        <f>SUM(I433)</f>
        <v>300</v>
      </c>
      <c r="J434" s="372">
        <f>I434</f>
        <v>300</v>
      </c>
      <c r="K434" s="371"/>
      <c r="L434" s="45"/>
      <c r="M434" s="45"/>
      <c r="N434" s="226"/>
      <c r="O434" s="77"/>
      <c r="P434" s="226"/>
      <c r="Q434" s="77"/>
      <c r="R434" s="77"/>
      <c r="S434" s="77"/>
      <c r="T434" s="77"/>
      <c r="U434" s="280"/>
    </row>
    <row r="435" spans="2:21" ht="8.25" customHeight="1" thickBot="1" x14ac:dyDescent="0.3">
      <c r="B435" s="47"/>
      <c r="C435" s="427"/>
      <c r="D435" s="243"/>
      <c r="E435" s="391"/>
      <c r="F435" s="392"/>
      <c r="G435" s="393"/>
      <c r="H435" s="393"/>
      <c r="I435" s="392"/>
      <c r="J435" s="393"/>
      <c r="K435" s="393"/>
      <c r="L435" s="50"/>
      <c r="M435" s="50"/>
      <c r="N435" s="322"/>
      <c r="O435" s="181"/>
      <c r="P435" s="322"/>
      <c r="Q435" s="181"/>
      <c r="R435" s="181"/>
      <c r="S435" s="181"/>
      <c r="T435" s="181"/>
      <c r="U435" s="182"/>
    </row>
    <row r="436" spans="2:21" ht="23.25" customHeight="1" x14ac:dyDescent="0.25">
      <c r="B436" s="476"/>
      <c r="C436" s="486" t="s">
        <v>124</v>
      </c>
      <c r="D436" s="212"/>
      <c r="E436" s="331">
        <v>45372</v>
      </c>
      <c r="F436" s="332" t="s">
        <v>74</v>
      </c>
      <c r="G436" s="333">
        <v>237.05</v>
      </c>
      <c r="H436" s="333">
        <v>1.68005</v>
      </c>
      <c r="I436" s="332">
        <v>200</v>
      </c>
      <c r="J436" s="333">
        <v>47410</v>
      </c>
      <c r="K436" s="333">
        <v>47746.01</v>
      </c>
      <c r="L436" s="53"/>
      <c r="M436" s="53"/>
      <c r="N436" s="269"/>
      <c r="O436" s="110"/>
      <c r="P436" s="269"/>
      <c r="Q436" s="110"/>
      <c r="R436" s="110"/>
      <c r="S436" s="110"/>
      <c r="T436" s="110"/>
      <c r="U436" s="177"/>
    </row>
    <row r="437" spans="2:21" ht="23.25" customHeight="1" thickBot="1" x14ac:dyDescent="0.3">
      <c r="B437" s="477"/>
      <c r="C437" s="488"/>
      <c r="D437" s="213"/>
      <c r="E437" s="39"/>
      <c r="F437" s="39"/>
      <c r="G437" s="40"/>
      <c r="H437" s="40"/>
      <c r="I437" s="300">
        <f>SUM(I436)</f>
        <v>200</v>
      </c>
      <c r="J437" s="40"/>
      <c r="K437" s="40"/>
      <c r="L437" s="214"/>
      <c r="M437" s="214"/>
      <c r="N437" s="42"/>
      <c r="O437" s="40"/>
      <c r="P437" s="55"/>
      <c r="Q437" s="40"/>
      <c r="R437" s="40"/>
      <c r="S437" s="40"/>
      <c r="T437" s="40"/>
      <c r="U437" s="169"/>
    </row>
    <row r="438" spans="2:21" ht="12.75" customHeight="1" thickBot="1" x14ac:dyDescent="0.3">
      <c r="C438" s="11"/>
      <c r="G438" s="11"/>
      <c r="H438" s="11"/>
      <c r="K438" s="11"/>
      <c r="N438" s="11"/>
      <c r="O438" s="11"/>
      <c r="Q438" s="11"/>
      <c r="R438" s="11"/>
      <c r="S438" s="11"/>
      <c r="T438" s="11"/>
      <c r="U438" s="11"/>
    </row>
    <row r="439" spans="2:21" ht="23.25" customHeight="1" x14ac:dyDescent="0.25">
      <c r="B439" s="475">
        <f>1+B415</f>
        <v>2</v>
      </c>
      <c r="C439" s="478" t="s">
        <v>8</v>
      </c>
      <c r="D439" s="211"/>
      <c r="E439" s="344">
        <v>44425</v>
      </c>
      <c r="F439" s="344"/>
      <c r="G439" s="10">
        <v>3231.3820000000001</v>
      </c>
      <c r="H439" s="10">
        <v>0</v>
      </c>
      <c r="I439" s="267">
        <v>5</v>
      </c>
      <c r="J439" s="267"/>
      <c r="K439" s="10">
        <f>(+G439+H439)*I439</f>
        <v>16156.91</v>
      </c>
      <c r="L439" s="335">
        <v>45266</v>
      </c>
      <c r="M439" s="336" t="s">
        <v>114</v>
      </c>
      <c r="N439" s="337">
        <v>2015.7</v>
      </c>
      <c r="O439" s="345">
        <v>13.984000000000014</v>
      </c>
      <c r="P439" s="337">
        <v>5</v>
      </c>
      <c r="Q439" s="337">
        <v>20157</v>
      </c>
      <c r="R439" s="337">
        <f t="shared" ref="R439:R448" si="54">(N439-O439)*P439</f>
        <v>10008.58</v>
      </c>
      <c r="S439" s="10"/>
      <c r="T439" s="10"/>
      <c r="U439" s="34" t="s">
        <v>55</v>
      </c>
    </row>
    <row r="440" spans="2:21" ht="23.25" customHeight="1" x14ac:dyDescent="0.25">
      <c r="B440" s="476"/>
      <c r="C440" s="479"/>
      <c r="D440" s="222"/>
      <c r="E440" s="346">
        <v>44426</v>
      </c>
      <c r="F440" s="346"/>
      <c r="G440" s="8">
        <v>3097.8360000000002</v>
      </c>
      <c r="H440" s="8">
        <v>0</v>
      </c>
      <c r="I440" s="299">
        <v>5</v>
      </c>
      <c r="J440" s="299"/>
      <c r="K440" s="8">
        <f t="shared" ref="K440:K454" si="55">(+G440+H440)*I440</f>
        <v>15489.18</v>
      </c>
      <c r="L440" s="341">
        <v>45266</v>
      </c>
      <c r="M440" s="339" t="s">
        <v>114</v>
      </c>
      <c r="N440" s="340">
        <v>2015.7</v>
      </c>
      <c r="O440" s="347">
        <v>13.984000000000014</v>
      </c>
      <c r="P440" s="340">
        <v>5</v>
      </c>
      <c r="Q440" s="340">
        <v>20157</v>
      </c>
      <c r="R440" s="340">
        <f t="shared" si="54"/>
        <v>10008.58</v>
      </c>
      <c r="S440" s="8"/>
      <c r="T440" s="8"/>
      <c r="U440" s="36"/>
    </row>
    <row r="441" spans="2:21" ht="23.25" customHeight="1" x14ac:dyDescent="0.25">
      <c r="B441" s="476"/>
      <c r="C441" s="479"/>
      <c r="D441" s="222"/>
      <c r="E441" s="346">
        <v>44473</v>
      </c>
      <c r="F441" s="346"/>
      <c r="G441" s="8">
        <v>2823.0459999999998</v>
      </c>
      <c r="H441" s="8">
        <v>0</v>
      </c>
      <c r="I441" s="299">
        <v>5</v>
      </c>
      <c r="J441" s="299"/>
      <c r="K441" s="8">
        <f t="shared" si="55"/>
        <v>14115.23</v>
      </c>
      <c r="L441" s="341">
        <v>45357</v>
      </c>
      <c r="M441" s="339" t="s">
        <v>114</v>
      </c>
      <c r="N441" s="340">
        <v>2149</v>
      </c>
      <c r="O441" s="340">
        <v>14.910000000000002</v>
      </c>
      <c r="P441" s="340">
        <v>5</v>
      </c>
      <c r="Q441" s="340">
        <v>21490</v>
      </c>
      <c r="R441" s="340">
        <f t="shared" si="54"/>
        <v>10670.45</v>
      </c>
      <c r="S441" s="8"/>
      <c r="T441" s="8"/>
      <c r="U441" s="36"/>
    </row>
    <row r="442" spans="2:21" ht="23.25" customHeight="1" x14ac:dyDescent="0.25">
      <c r="B442" s="476"/>
      <c r="C442" s="479"/>
      <c r="D442" s="222"/>
      <c r="E442" s="346">
        <v>44490</v>
      </c>
      <c r="F442" s="346"/>
      <c r="G442" s="8">
        <v>2495.3740000000003</v>
      </c>
      <c r="H442" s="8">
        <v>0</v>
      </c>
      <c r="I442" s="299">
        <v>5</v>
      </c>
      <c r="J442" s="299"/>
      <c r="K442" s="8">
        <f>(+G442+H442)*I442</f>
        <v>12476.87</v>
      </c>
      <c r="L442" s="341">
        <v>45357</v>
      </c>
      <c r="M442" s="339" t="s">
        <v>114</v>
      </c>
      <c r="N442" s="340">
        <v>2149</v>
      </c>
      <c r="O442" s="340">
        <v>14.910000000000002</v>
      </c>
      <c r="P442" s="340">
        <v>5</v>
      </c>
      <c r="Q442" s="340">
        <v>21490</v>
      </c>
      <c r="R442" s="340">
        <f t="shared" si="54"/>
        <v>10670.45</v>
      </c>
      <c r="S442" s="8"/>
      <c r="T442" s="8"/>
      <c r="U442" s="36"/>
    </row>
    <row r="443" spans="2:21" ht="23.25" customHeight="1" x14ac:dyDescent="0.25">
      <c r="B443" s="476"/>
      <c r="C443" s="479"/>
      <c r="D443" s="222"/>
      <c r="E443" s="346">
        <v>44512</v>
      </c>
      <c r="F443" s="346"/>
      <c r="G443" s="8">
        <v>2634.2560000000003</v>
      </c>
      <c r="H443" s="8">
        <v>0</v>
      </c>
      <c r="I443" s="299">
        <v>5</v>
      </c>
      <c r="J443" s="299"/>
      <c r="K443" s="8">
        <f t="shared" si="55"/>
        <v>13171.280000000002</v>
      </c>
      <c r="L443" s="341">
        <v>45363</v>
      </c>
      <c r="M443" s="339" t="s">
        <v>114</v>
      </c>
      <c r="N443" s="340">
        <v>2087.5500000000002</v>
      </c>
      <c r="O443" s="340">
        <v>14.484999999999854</v>
      </c>
      <c r="P443" s="340">
        <v>5</v>
      </c>
      <c r="Q443" s="340">
        <v>41751</v>
      </c>
      <c r="R443" s="340">
        <f t="shared" si="54"/>
        <v>10365.325000000003</v>
      </c>
      <c r="S443" s="8"/>
      <c r="T443" s="8"/>
      <c r="U443" s="36"/>
    </row>
    <row r="444" spans="2:21" ht="23.25" customHeight="1" x14ac:dyDescent="0.25">
      <c r="B444" s="476"/>
      <c r="C444" s="479"/>
      <c r="D444" s="222"/>
      <c r="E444" s="346">
        <v>44516</v>
      </c>
      <c r="F444" s="346"/>
      <c r="G444" s="8">
        <v>2620.3959999999997</v>
      </c>
      <c r="H444" s="8">
        <v>0</v>
      </c>
      <c r="I444" s="299">
        <v>5</v>
      </c>
      <c r="J444" s="299"/>
      <c r="K444" s="8">
        <f t="shared" si="55"/>
        <v>13101.98</v>
      </c>
      <c r="L444" s="341">
        <v>45363</v>
      </c>
      <c r="M444" s="339" t="s">
        <v>114</v>
      </c>
      <c r="N444" s="340">
        <v>2087.5500000000002</v>
      </c>
      <c r="O444" s="340">
        <v>14.484999999999854</v>
      </c>
      <c r="P444" s="340">
        <v>5</v>
      </c>
      <c r="Q444" s="340">
        <v>41751</v>
      </c>
      <c r="R444" s="340">
        <f t="shared" si="54"/>
        <v>10365.325000000003</v>
      </c>
      <c r="S444" s="8"/>
      <c r="T444" s="8"/>
      <c r="U444" s="36"/>
    </row>
    <row r="445" spans="2:21" ht="23.25" customHeight="1" x14ac:dyDescent="0.25">
      <c r="B445" s="476"/>
      <c r="C445" s="479"/>
      <c r="D445" s="222"/>
      <c r="E445" s="346">
        <v>44523</v>
      </c>
      <c r="F445" s="346"/>
      <c r="G445" s="8">
        <v>2661.73</v>
      </c>
      <c r="H445" s="8">
        <v>0</v>
      </c>
      <c r="I445" s="299">
        <v>5</v>
      </c>
      <c r="J445" s="299"/>
      <c r="K445" s="8">
        <f>(+G445+H445)*I445</f>
        <v>13308.65</v>
      </c>
      <c r="L445" s="341">
        <v>45363</v>
      </c>
      <c r="M445" s="339" t="s">
        <v>114</v>
      </c>
      <c r="N445" s="340">
        <v>2087.5500000000002</v>
      </c>
      <c r="O445" s="340">
        <v>14.484999999999854</v>
      </c>
      <c r="P445" s="340">
        <v>5</v>
      </c>
      <c r="Q445" s="340">
        <v>41751</v>
      </c>
      <c r="R445" s="340">
        <f t="shared" si="54"/>
        <v>10365.325000000003</v>
      </c>
      <c r="S445" s="8"/>
      <c r="T445" s="8"/>
      <c r="U445" s="36"/>
    </row>
    <row r="446" spans="2:21" ht="23.25" customHeight="1" x14ac:dyDescent="0.25">
      <c r="B446" s="476"/>
      <c r="C446" s="479"/>
      <c r="D446" s="222"/>
      <c r="E446" s="346">
        <v>44628</v>
      </c>
      <c r="F446" s="346"/>
      <c r="G446" s="8">
        <v>1960.7060000000001</v>
      </c>
      <c r="H446" s="8">
        <v>0</v>
      </c>
      <c r="I446" s="299">
        <v>5</v>
      </c>
      <c r="J446" s="299"/>
      <c r="K446" s="8">
        <f t="shared" si="55"/>
        <v>9803.5300000000007</v>
      </c>
      <c r="L446" s="341">
        <v>45363</v>
      </c>
      <c r="M446" s="339" t="s">
        <v>114</v>
      </c>
      <c r="N446" s="340">
        <v>2087.5500000000002</v>
      </c>
      <c r="O446" s="340">
        <v>14.484999999999854</v>
      </c>
      <c r="P446" s="340">
        <v>5</v>
      </c>
      <c r="Q446" s="340">
        <v>41751</v>
      </c>
      <c r="R446" s="340">
        <f t="shared" si="54"/>
        <v>10365.325000000003</v>
      </c>
      <c r="S446" s="8"/>
      <c r="T446" s="8"/>
      <c r="U446" s="36"/>
    </row>
    <row r="447" spans="2:21" ht="23.25" customHeight="1" x14ac:dyDescent="0.25">
      <c r="B447" s="476"/>
      <c r="C447" s="479"/>
      <c r="D447" s="222"/>
      <c r="E447" s="346">
        <v>44658</v>
      </c>
      <c r="F447" s="346"/>
      <c r="G447" s="8">
        <v>2420.1999999999998</v>
      </c>
      <c r="H447" s="8">
        <v>14.747999999999999</v>
      </c>
      <c r="I447" s="299">
        <v>5</v>
      </c>
      <c r="J447" s="299"/>
      <c r="K447" s="8">
        <f>(+G447+H447)*I447</f>
        <v>12174.74</v>
      </c>
      <c r="L447" s="341">
        <v>45373</v>
      </c>
      <c r="M447" s="339" t="s">
        <v>114</v>
      </c>
      <c r="N447" s="340">
        <v>2199</v>
      </c>
      <c r="O447" s="340">
        <v>15.256000000000004</v>
      </c>
      <c r="P447" s="340">
        <v>5</v>
      </c>
      <c r="Q447" s="340">
        <v>21990</v>
      </c>
      <c r="R447" s="340">
        <f t="shared" si="54"/>
        <v>10918.720000000001</v>
      </c>
      <c r="S447" s="8"/>
      <c r="T447" s="8"/>
      <c r="U447" s="36"/>
    </row>
    <row r="448" spans="2:21" ht="23.25" customHeight="1" x14ac:dyDescent="0.25">
      <c r="B448" s="476"/>
      <c r="C448" s="479"/>
      <c r="D448" s="222"/>
      <c r="E448" s="346">
        <v>44685</v>
      </c>
      <c r="F448" s="346"/>
      <c r="G448" s="8">
        <v>2000</v>
      </c>
      <c r="H448" s="8">
        <v>12.184000000000001</v>
      </c>
      <c r="I448" s="299">
        <v>5</v>
      </c>
      <c r="J448" s="299"/>
      <c r="K448" s="8">
        <f t="shared" si="55"/>
        <v>10060.92</v>
      </c>
      <c r="L448" s="341">
        <v>45373</v>
      </c>
      <c r="M448" s="339" t="s">
        <v>114</v>
      </c>
      <c r="N448" s="340">
        <v>2199</v>
      </c>
      <c r="O448" s="340">
        <v>15.256000000000004</v>
      </c>
      <c r="P448" s="340">
        <v>5</v>
      </c>
      <c r="Q448" s="340">
        <v>21990</v>
      </c>
      <c r="R448" s="340">
        <f t="shared" si="54"/>
        <v>10918.720000000001</v>
      </c>
      <c r="S448" s="8"/>
      <c r="T448" s="8"/>
      <c r="U448" s="36"/>
    </row>
    <row r="449" spans="2:21" ht="23.25" customHeight="1" x14ac:dyDescent="0.25">
      <c r="B449" s="476"/>
      <c r="C449" s="479"/>
      <c r="D449" s="222"/>
      <c r="E449" s="346">
        <v>44718</v>
      </c>
      <c r="F449" s="346"/>
      <c r="G449" s="8">
        <v>1797.15</v>
      </c>
      <c r="H449" s="8">
        <v>10.948</v>
      </c>
      <c r="I449" s="299">
        <v>5</v>
      </c>
      <c r="J449" s="299"/>
      <c r="K449" s="8">
        <f t="shared" si="55"/>
        <v>9040.4900000000016</v>
      </c>
      <c r="L449" s="258"/>
      <c r="M449" s="258"/>
      <c r="N449" s="149"/>
      <c r="O449" s="150"/>
      <c r="P449" s="149"/>
      <c r="Q449" s="8"/>
      <c r="R449" s="8"/>
      <c r="S449" s="8"/>
      <c r="T449" s="8"/>
      <c r="U449" s="36"/>
    </row>
    <row r="450" spans="2:21" ht="23.25" customHeight="1" x14ac:dyDescent="0.25">
      <c r="B450" s="476"/>
      <c r="C450" s="479"/>
      <c r="D450" s="222"/>
      <c r="E450" s="346">
        <v>44776</v>
      </c>
      <c r="F450" s="346"/>
      <c r="G450" s="8">
        <v>1827</v>
      </c>
      <c r="H450" s="8">
        <v>11.125999999999998</v>
      </c>
      <c r="I450" s="299">
        <v>10</v>
      </c>
      <c r="J450" s="299"/>
      <c r="K450" s="8">
        <f t="shared" si="55"/>
        <v>18381.259999999998</v>
      </c>
      <c r="L450" s="258"/>
      <c r="M450" s="258"/>
      <c r="N450" s="149"/>
      <c r="O450" s="150"/>
      <c r="P450" s="149"/>
      <c r="Q450" s="8"/>
      <c r="R450" s="8"/>
      <c r="S450" s="8"/>
      <c r="T450" s="8"/>
      <c r="U450" s="36"/>
    </row>
    <row r="451" spans="2:21" ht="23.25" customHeight="1" x14ac:dyDescent="0.25">
      <c r="B451" s="476"/>
      <c r="C451" s="479"/>
      <c r="D451" s="222"/>
      <c r="E451" s="346">
        <v>44776</v>
      </c>
      <c r="F451" s="346"/>
      <c r="G451" s="8">
        <v>1810</v>
      </c>
      <c r="H451" s="8">
        <v>11.023999999999999</v>
      </c>
      <c r="I451" s="299">
        <v>5</v>
      </c>
      <c r="J451" s="299"/>
      <c r="K451" s="8">
        <f t="shared" si="55"/>
        <v>9105.119999999999</v>
      </c>
      <c r="L451" s="258"/>
      <c r="M451" s="258"/>
      <c r="N451" s="149"/>
      <c r="O451" s="150"/>
      <c r="P451" s="149"/>
      <c r="Q451" s="8"/>
      <c r="R451" s="8"/>
      <c r="S451" s="8"/>
      <c r="T451" s="8"/>
      <c r="U451" s="36"/>
    </row>
    <row r="452" spans="2:21" ht="23.25" customHeight="1" x14ac:dyDescent="0.25">
      <c r="B452" s="476"/>
      <c r="C452" s="479"/>
      <c r="D452" s="222"/>
      <c r="E452" s="341">
        <v>45089</v>
      </c>
      <c r="F452" s="339" t="s">
        <v>74</v>
      </c>
      <c r="G452" s="340">
        <v>1722.6</v>
      </c>
      <c r="H452" s="340">
        <v>12.208000000000174</v>
      </c>
      <c r="I452" s="339">
        <v>5</v>
      </c>
      <c r="J452" s="339">
        <v>8613</v>
      </c>
      <c r="K452" s="8">
        <f t="shared" si="55"/>
        <v>8674.0400000000009</v>
      </c>
      <c r="L452" s="258"/>
      <c r="M452" s="258"/>
      <c r="N452" s="149"/>
      <c r="O452" s="150"/>
      <c r="P452" s="149"/>
      <c r="Q452" s="8"/>
      <c r="R452" s="8"/>
      <c r="S452" s="8"/>
      <c r="T452" s="8"/>
      <c r="U452" s="36"/>
    </row>
    <row r="453" spans="2:21" ht="23.25" customHeight="1" x14ac:dyDescent="0.25">
      <c r="B453" s="476"/>
      <c r="C453" s="479"/>
      <c r="D453" s="222"/>
      <c r="E453" s="341">
        <v>45118</v>
      </c>
      <c r="F453" s="339" t="s">
        <v>74</v>
      </c>
      <c r="G453" s="340">
        <v>1930.0400000000002</v>
      </c>
      <c r="H453" s="340">
        <v>13.684000000000015</v>
      </c>
      <c r="I453" s="339">
        <v>5</v>
      </c>
      <c r="J453" s="339">
        <v>9650.2000000000007</v>
      </c>
      <c r="K453" s="8">
        <f t="shared" si="55"/>
        <v>9718.6200000000008</v>
      </c>
      <c r="L453" s="258"/>
      <c r="M453" s="258"/>
      <c r="N453" s="149"/>
      <c r="O453" s="150"/>
      <c r="P453" s="149"/>
      <c r="Q453" s="8"/>
      <c r="R453" s="8"/>
      <c r="S453" s="8"/>
      <c r="T453" s="8"/>
      <c r="U453" s="36"/>
    </row>
    <row r="454" spans="2:21" ht="23.25" customHeight="1" x14ac:dyDescent="0.25">
      <c r="B454" s="476"/>
      <c r="C454" s="479"/>
      <c r="D454" s="222"/>
      <c r="E454" s="341">
        <v>45252</v>
      </c>
      <c r="F454" s="339" t="s">
        <v>74</v>
      </c>
      <c r="G454" s="340">
        <v>1911.2</v>
      </c>
      <c r="H454" s="340">
        <v>13.559999999999855</v>
      </c>
      <c r="I454" s="339">
        <v>5</v>
      </c>
      <c r="J454" s="339">
        <v>9556</v>
      </c>
      <c r="K454" s="8">
        <f t="shared" si="55"/>
        <v>9623.7999999999993</v>
      </c>
      <c r="L454" s="258"/>
      <c r="M454" s="258"/>
      <c r="N454" s="149"/>
      <c r="O454" s="150"/>
      <c r="P454" s="149"/>
      <c r="Q454" s="8"/>
      <c r="R454" s="8"/>
      <c r="S454" s="8"/>
      <c r="T454" s="8"/>
      <c r="U454" s="36"/>
    </row>
    <row r="455" spans="2:21" ht="23.25" customHeight="1" thickBot="1" x14ac:dyDescent="0.3">
      <c r="B455" s="477"/>
      <c r="C455" s="480"/>
      <c r="D455" s="216"/>
      <c r="E455" s="338"/>
      <c r="F455" s="370"/>
      <c r="G455" s="371"/>
      <c r="H455" s="371"/>
      <c r="I455" s="372">
        <f>SUM(I439:I454)</f>
        <v>85</v>
      </c>
      <c r="J455" s="372">
        <f>I455-P455</f>
        <v>35</v>
      </c>
      <c r="K455" s="77"/>
      <c r="L455" s="292"/>
      <c r="M455" s="292"/>
      <c r="N455" s="155"/>
      <c r="O455" s="156"/>
      <c r="P455" s="294">
        <f>SUM(P439:P454)</f>
        <v>50</v>
      </c>
      <c r="Q455" s="77"/>
      <c r="R455" s="77"/>
      <c r="S455" s="77"/>
      <c r="T455" s="77"/>
      <c r="U455" s="46"/>
    </row>
    <row r="456" spans="2:21" ht="10.5" customHeight="1" thickBot="1" x14ac:dyDescent="0.3">
      <c r="B456" s="483"/>
      <c r="C456" s="484"/>
      <c r="D456" s="484"/>
      <c r="E456" s="484"/>
      <c r="F456" s="484"/>
      <c r="G456" s="484"/>
      <c r="H456" s="484"/>
      <c r="I456" s="484"/>
      <c r="J456" s="484"/>
      <c r="K456" s="484"/>
      <c r="L456" s="484"/>
      <c r="M456" s="484"/>
      <c r="N456" s="484"/>
      <c r="O456" s="484"/>
      <c r="P456" s="484"/>
      <c r="Q456" s="484"/>
      <c r="R456" s="484"/>
      <c r="S456" s="484"/>
      <c r="T456" s="484"/>
      <c r="U456" s="485"/>
    </row>
    <row r="457" spans="2:21" ht="23.25" customHeight="1" x14ac:dyDescent="0.25">
      <c r="B457" s="475">
        <f>1+B439</f>
        <v>3</v>
      </c>
      <c r="C457" s="478" t="s">
        <v>44</v>
      </c>
      <c r="D457" s="211"/>
      <c r="E457" s="344">
        <v>44385</v>
      </c>
      <c r="F457" s="344"/>
      <c r="G457" s="184">
        <v>169.75</v>
      </c>
      <c r="H457" s="184">
        <v>0</v>
      </c>
      <c r="I457" s="223">
        <v>3</v>
      </c>
      <c r="J457" s="223"/>
      <c r="K457" s="184">
        <f>I457*G457</f>
        <v>509.25</v>
      </c>
      <c r="L457" s="218">
        <v>45098</v>
      </c>
      <c r="M457" s="219" t="s">
        <v>131</v>
      </c>
      <c r="N457" s="219">
        <v>206.66</v>
      </c>
      <c r="O457" s="219">
        <v>0</v>
      </c>
      <c r="P457" s="219">
        <v>3</v>
      </c>
      <c r="Q457" s="219">
        <v>1239.96</v>
      </c>
      <c r="R457" s="219">
        <f>(N457-O457)*P457</f>
        <v>619.98</v>
      </c>
      <c r="S457" s="184"/>
      <c r="T457" s="184"/>
      <c r="U457" s="34" t="s">
        <v>28</v>
      </c>
    </row>
    <row r="458" spans="2:21" ht="23.25" customHeight="1" x14ac:dyDescent="0.25">
      <c r="B458" s="476"/>
      <c r="C458" s="479"/>
      <c r="D458" s="222"/>
      <c r="E458" s="346">
        <v>44510</v>
      </c>
      <c r="F458" s="346"/>
      <c r="G458" s="150">
        <v>194</v>
      </c>
      <c r="H458" s="150">
        <v>0</v>
      </c>
      <c r="I458" s="149">
        <v>2</v>
      </c>
      <c r="J458" s="149"/>
      <c r="K458" s="150">
        <f>I458*G458</f>
        <v>388</v>
      </c>
      <c r="L458" s="153">
        <v>45098</v>
      </c>
      <c r="M458" s="154" t="s">
        <v>131</v>
      </c>
      <c r="N458" s="154">
        <v>206.66</v>
      </c>
      <c r="O458" s="154">
        <v>0</v>
      </c>
      <c r="P458" s="154">
        <v>2</v>
      </c>
      <c r="Q458" s="154">
        <v>1239.96</v>
      </c>
      <c r="R458" s="154">
        <f>(N458-O458)*P458</f>
        <v>413.32</v>
      </c>
      <c r="S458" s="8"/>
      <c r="T458" s="8"/>
      <c r="U458" s="36"/>
    </row>
    <row r="459" spans="2:21" ht="23.25" customHeight="1" x14ac:dyDescent="0.25">
      <c r="B459" s="476"/>
      <c r="C459" s="479"/>
      <c r="D459" s="222"/>
      <c r="E459" s="346">
        <v>44510</v>
      </c>
      <c r="F459" s="346"/>
      <c r="G459" s="150">
        <v>194</v>
      </c>
      <c r="H459" s="150">
        <v>0</v>
      </c>
      <c r="I459" s="149">
        <v>1</v>
      </c>
      <c r="J459" s="149"/>
      <c r="K459" s="150">
        <f>I459*G459</f>
        <v>194</v>
      </c>
      <c r="L459" s="153">
        <v>45098</v>
      </c>
      <c r="M459" s="154" t="s">
        <v>131</v>
      </c>
      <c r="N459" s="154">
        <v>206.66</v>
      </c>
      <c r="O459" s="154">
        <v>0</v>
      </c>
      <c r="P459" s="154">
        <v>1</v>
      </c>
      <c r="Q459" s="154">
        <v>1239.96</v>
      </c>
      <c r="R459" s="154">
        <f>(N459-O459)*P459</f>
        <v>206.66</v>
      </c>
      <c r="S459" s="8"/>
      <c r="T459" s="8"/>
      <c r="U459" s="36"/>
    </row>
    <row r="460" spans="2:21" ht="23.25" customHeight="1" thickBot="1" x14ac:dyDescent="0.3">
      <c r="B460" s="477"/>
      <c r="C460" s="480"/>
      <c r="D460" s="213"/>
      <c r="E460" s="39"/>
      <c r="F460" s="39"/>
      <c r="G460" s="40"/>
      <c r="H460" s="40"/>
      <c r="I460" s="27">
        <f>SUM(I457:I459)</f>
        <v>6</v>
      </c>
      <c r="J460" s="55"/>
      <c r="K460" s="40"/>
      <c r="L460" s="214"/>
      <c r="M460" s="214"/>
      <c r="N460" s="42"/>
      <c r="O460" s="40"/>
      <c r="P460" s="27">
        <f>SUM(P457:P459)</f>
        <v>6</v>
      </c>
      <c r="Q460" s="40"/>
      <c r="R460" s="40"/>
      <c r="S460" s="40"/>
      <c r="T460" s="40"/>
      <c r="U460" s="43"/>
    </row>
    <row r="461" spans="2:21" ht="7.5" customHeight="1" thickBot="1" x14ac:dyDescent="0.3">
      <c r="B461" s="5"/>
      <c r="C461" s="163"/>
      <c r="D461" s="5"/>
      <c r="E461" s="4"/>
      <c r="F461" s="4"/>
      <c r="G461" s="6"/>
      <c r="H461" s="6"/>
      <c r="I461" s="5"/>
      <c r="J461" s="5"/>
      <c r="K461" s="6"/>
      <c r="L461" s="192"/>
      <c r="M461" s="192"/>
      <c r="N461" s="31"/>
      <c r="O461" s="6"/>
      <c r="P461" s="5"/>
      <c r="Q461" s="6"/>
      <c r="R461" s="6"/>
      <c r="S461" s="6"/>
      <c r="T461" s="6"/>
      <c r="U461" s="32"/>
    </row>
    <row r="462" spans="2:21" ht="23.25" customHeight="1" x14ac:dyDescent="0.25">
      <c r="B462" s="501">
        <f>1+B457</f>
        <v>4</v>
      </c>
      <c r="C462" s="504" t="s">
        <v>45</v>
      </c>
      <c r="D462" s="125"/>
      <c r="E462" s="394">
        <v>44428</v>
      </c>
      <c r="F462" s="395"/>
      <c r="G462" s="184">
        <v>570</v>
      </c>
      <c r="H462" s="184">
        <v>0</v>
      </c>
      <c r="I462" s="223">
        <v>18</v>
      </c>
      <c r="J462" s="396"/>
      <c r="K462" s="397">
        <f>+G462*I462</f>
        <v>10260</v>
      </c>
      <c r="L462" s="428"/>
      <c r="M462" s="429"/>
      <c r="N462" s="223"/>
      <c r="O462" s="184"/>
      <c r="P462" s="223"/>
      <c r="Q462" s="397"/>
      <c r="R462" s="398"/>
      <c r="S462" s="398"/>
      <c r="T462" s="398"/>
      <c r="U462" s="126" t="s">
        <v>28</v>
      </c>
    </row>
    <row r="463" spans="2:21" ht="23.25" customHeight="1" x14ac:dyDescent="0.25">
      <c r="B463" s="503"/>
      <c r="C463" s="473"/>
      <c r="D463" s="67"/>
      <c r="E463" s="355">
        <v>44617</v>
      </c>
      <c r="F463" s="356"/>
      <c r="G463" s="150">
        <v>305</v>
      </c>
      <c r="H463" s="150">
        <v>0</v>
      </c>
      <c r="I463" s="149">
        <v>1</v>
      </c>
      <c r="J463" s="180"/>
      <c r="K463" s="151">
        <f>I463*G463</f>
        <v>305</v>
      </c>
      <c r="L463" s="430"/>
      <c r="M463" s="431"/>
      <c r="N463" s="149"/>
      <c r="O463" s="150"/>
      <c r="P463" s="149"/>
      <c r="Q463" s="151"/>
      <c r="R463" s="147"/>
      <c r="S463" s="147"/>
      <c r="T463" s="147"/>
      <c r="U463" s="127"/>
    </row>
    <row r="464" spans="2:21" ht="23.25" customHeight="1" x14ac:dyDescent="0.25">
      <c r="B464" s="503"/>
      <c r="C464" s="473"/>
      <c r="D464" s="67"/>
      <c r="E464" s="355">
        <v>44656</v>
      </c>
      <c r="F464" s="356"/>
      <c r="G464" s="150">
        <v>388.25</v>
      </c>
      <c r="H464" s="150">
        <v>0</v>
      </c>
      <c r="I464" s="149">
        <v>1</v>
      </c>
      <c r="J464" s="180"/>
      <c r="K464" s="151">
        <v>388.25</v>
      </c>
      <c r="L464" s="432"/>
      <c r="M464" s="432"/>
      <c r="N464" s="155"/>
      <c r="O464" s="156"/>
      <c r="P464" s="155"/>
      <c r="Q464" s="433"/>
      <c r="R464" s="179"/>
      <c r="S464" s="179"/>
      <c r="T464" s="179"/>
      <c r="U464" s="127"/>
    </row>
    <row r="465" spans="2:21" ht="23.25" customHeight="1" x14ac:dyDescent="0.25">
      <c r="B465" s="503"/>
      <c r="C465" s="473"/>
      <c r="D465" s="67"/>
      <c r="E465" s="355">
        <v>44656</v>
      </c>
      <c r="F465" s="356"/>
      <c r="G465" s="150">
        <v>385.8</v>
      </c>
      <c r="H465" s="150">
        <v>0</v>
      </c>
      <c r="I465" s="149">
        <v>1</v>
      </c>
      <c r="J465" s="180"/>
      <c r="K465" s="151">
        <v>385.8</v>
      </c>
      <c r="L465" s="432"/>
      <c r="M465" s="432"/>
      <c r="N465" s="155"/>
      <c r="O465" s="156"/>
      <c r="P465" s="155"/>
      <c r="Q465" s="433"/>
      <c r="R465" s="179"/>
      <c r="S465" s="179"/>
      <c r="T465" s="179"/>
      <c r="U465" s="127"/>
    </row>
    <row r="466" spans="2:21" ht="23.25" customHeight="1" x14ac:dyDescent="0.25">
      <c r="B466" s="503"/>
      <c r="C466" s="473"/>
      <c r="D466" s="67"/>
      <c r="E466" s="355">
        <v>44662</v>
      </c>
      <c r="F466" s="356"/>
      <c r="G466" s="150">
        <v>383.1</v>
      </c>
      <c r="H466" s="150">
        <v>0</v>
      </c>
      <c r="I466" s="149">
        <v>1</v>
      </c>
      <c r="J466" s="180"/>
      <c r="K466" s="151">
        <v>383.1</v>
      </c>
      <c r="L466" s="432"/>
      <c r="M466" s="432"/>
      <c r="N466" s="155"/>
      <c r="O466" s="156"/>
      <c r="P466" s="155"/>
      <c r="Q466" s="433"/>
      <c r="R466" s="179"/>
      <c r="S466" s="179"/>
      <c r="T466" s="179"/>
      <c r="U466" s="127"/>
    </row>
    <row r="467" spans="2:21" ht="23.25" customHeight="1" x14ac:dyDescent="0.25">
      <c r="B467" s="503"/>
      <c r="C467" s="473"/>
      <c r="D467" s="67"/>
      <c r="E467" s="355">
        <v>44714</v>
      </c>
      <c r="F467" s="356"/>
      <c r="G467" s="150">
        <v>317.45</v>
      </c>
      <c r="H467" s="150">
        <v>0</v>
      </c>
      <c r="I467" s="149">
        <v>1</v>
      </c>
      <c r="J467" s="180"/>
      <c r="K467" s="151">
        <v>317.45</v>
      </c>
      <c r="L467" s="432"/>
      <c r="M467" s="432"/>
      <c r="N467" s="155"/>
      <c r="O467" s="156"/>
      <c r="P467" s="155"/>
      <c r="Q467" s="433"/>
      <c r="R467" s="179"/>
      <c r="S467" s="179"/>
      <c r="T467" s="179"/>
      <c r="U467" s="127"/>
    </row>
    <row r="468" spans="2:21" ht="23.25" customHeight="1" x14ac:dyDescent="0.25">
      <c r="B468" s="503"/>
      <c r="C468" s="473"/>
      <c r="D468" s="67"/>
      <c r="E468" s="355">
        <v>44774</v>
      </c>
      <c r="F468" s="356"/>
      <c r="G468" s="150">
        <v>335.8</v>
      </c>
      <c r="H468" s="150">
        <v>0</v>
      </c>
      <c r="I468" s="149">
        <v>1</v>
      </c>
      <c r="J468" s="180"/>
      <c r="K468" s="151">
        <v>335.8</v>
      </c>
      <c r="L468" s="432"/>
      <c r="M468" s="432"/>
      <c r="N468" s="155"/>
      <c r="O468" s="156"/>
      <c r="P468" s="155"/>
      <c r="Q468" s="433"/>
      <c r="R468" s="179"/>
      <c r="S468" s="179"/>
      <c r="T468" s="179"/>
      <c r="U468" s="127"/>
    </row>
    <row r="469" spans="2:21" ht="23.25" customHeight="1" x14ac:dyDescent="0.25">
      <c r="B469" s="503"/>
      <c r="C469" s="473"/>
      <c r="D469" s="67"/>
      <c r="E469" s="355">
        <v>44784</v>
      </c>
      <c r="F469" s="356"/>
      <c r="G469" s="150">
        <v>333.05</v>
      </c>
      <c r="H469" s="150">
        <v>0</v>
      </c>
      <c r="I469" s="149">
        <v>1</v>
      </c>
      <c r="J469" s="180"/>
      <c r="K469" s="151">
        <v>333.05</v>
      </c>
      <c r="L469" s="432"/>
      <c r="M469" s="432"/>
      <c r="N469" s="155"/>
      <c r="O469" s="156"/>
      <c r="P469" s="155"/>
      <c r="Q469" s="433"/>
      <c r="R469" s="179"/>
      <c r="S469" s="179"/>
      <c r="T469" s="179"/>
      <c r="U469" s="127"/>
    </row>
    <row r="470" spans="2:21" ht="23.25" customHeight="1" x14ac:dyDescent="0.25">
      <c r="B470" s="503"/>
      <c r="C470" s="473"/>
      <c r="D470" s="67"/>
      <c r="E470" s="153">
        <v>45050</v>
      </c>
      <c r="F470" s="154" t="s">
        <v>130</v>
      </c>
      <c r="G470" s="154">
        <v>327.5</v>
      </c>
      <c r="H470" s="154">
        <v>0</v>
      </c>
      <c r="I470" s="154">
        <v>2</v>
      </c>
      <c r="J470" s="154">
        <v>655</v>
      </c>
      <c r="K470" s="161">
        <v>655</v>
      </c>
      <c r="L470" s="432"/>
      <c r="M470" s="432"/>
      <c r="N470" s="155"/>
      <c r="O470" s="156"/>
      <c r="P470" s="155"/>
      <c r="Q470" s="433"/>
      <c r="R470" s="179"/>
      <c r="S470" s="179"/>
      <c r="T470" s="179"/>
      <c r="U470" s="127"/>
    </row>
    <row r="471" spans="2:21" ht="23.25" customHeight="1" x14ac:dyDescent="0.25">
      <c r="B471" s="503"/>
      <c r="C471" s="473"/>
      <c r="D471" s="67"/>
      <c r="E471" s="153">
        <v>45076</v>
      </c>
      <c r="F471" s="154" t="s">
        <v>130</v>
      </c>
      <c r="G471" s="154">
        <v>335.9</v>
      </c>
      <c r="H471" s="154">
        <v>0</v>
      </c>
      <c r="I471" s="154">
        <v>3</v>
      </c>
      <c r="J471" s="154">
        <v>1007.6999999999999</v>
      </c>
      <c r="K471" s="161">
        <v>1007.6999999999999</v>
      </c>
      <c r="L471" s="432"/>
      <c r="M471" s="432"/>
      <c r="N471" s="155"/>
      <c r="O471" s="156"/>
      <c r="P471" s="155"/>
      <c r="Q471" s="433"/>
      <c r="R471" s="179"/>
      <c r="S471" s="179"/>
      <c r="T471" s="179"/>
      <c r="U471" s="127"/>
    </row>
    <row r="472" spans="2:21" ht="23.25" customHeight="1" thickBot="1" x14ac:dyDescent="0.3">
      <c r="B472" s="502"/>
      <c r="C472" s="505"/>
      <c r="D472" s="130"/>
      <c r="E472" s="138"/>
      <c r="F472" s="138"/>
      <c r="G472" s="40"/>
      <c r="H472" s="40"/>
      <c r="I472" s="300">
        <f>SUM(I462:I471)</f>
        <v>30</v>
      </c>
      <c r="J472" s="300">
        <f>I472</f>
        <v>30</v>
      </c>
      <c r="K472" s="140"/>
      <c r="L472" s="141"/>
      <c r="M472" s="141"/>
      <c r="N472" s="42"/>
      <c r="O472" s="40"/>
      <c r="P472" s="55"/>
      <c r="Q472" s="139"/>
      <c r="R472" s="135"/>
      <c r="S472" s="135"/>
      <c r="T472" s="135"/>
      <c r="U472" s="133"/>
    </row>
    <row r="473" spans="2:21" ht="10.5" customHeight="1" thickBot="1" x14ac:dyDescent="0.3">
      <c r="B473" s="5"/>
      <c r="C473" s="163"/>
      <c r="D473" s="5"/>
      <c r="E473" s="4"/>
      <c r="F473" s="4"/>
      <c r="G473" s="6"/>
      <c r="H473" s="6"/>
      <c r="I473" s="5"/>
      <c r="J473" s="5"/>
      <c r="K473" s="6"/>
      <c r="L473" s="192"/>
      <c r="M473" s="192"/>
      <c r="N473" s="31"/>
      <c r="O473" s="6"/>
      <c r="P473" s="5"/>
      <c r="Q473" s="6"/>
      <c r="R473" s="6"/>
      <c r="S473" s="6"/>
      <c r="T473" s="6"/>
      <c r="U473" s="32"/>
    </row>
    <row r="474" spans="2:21" ht="23.25" customHeight="1" x14ac:dyDescent="0.25">
      <c r="B474" s="475">
        <f>1+B462</f>
        <v>5</v>
      </c>
      <c r="C474" s="478" t="s">
        <v>46</v>
      </c>
      <c r="D474" s="211"/>
      <c r="E474" s="344">
        <v>44511</v>
      </c>
      <c r="F474" s="344"/>
      <c r="G474" s="184">
        <v>2217.3000000000002</v>
      </c>
      <c r="H474" s="184">
        <v>0</v>
      </c>
      <c r="I474" s="223">
        <v>2</v>
      </c>
      <c r="J474" s="223"/>
      <c r="K474" s="184">
        <f>I474*G474</f>
        <v>4434.6000000000004</v>
      </c>
      <c r="L474" s="9"/>
      <c r="M474" s="9"/>
      <c r="N474" s="227"/>
      <c r="O474" s="10"/>
      <c r="P474" s="267"/>
      <c r="Q474" s="10"/>
      <c r="R474" s="10"/>
      <c r="S474" s="10"/>
      <c r="T474" s="10"/>
      <c r="U474" s="34" t="s">
        <v>28</v>
      </c>
    </row>
    <row r="475" spans="2:21" ht="23.25" customHeight="1" x14ac:dyDescent="0.25">
      <c r="B475" s="476"/>
      <c r="C475" s="479"/>
      <c r="D475" s="222"/>
      <c r="E475" s="346">
        <v>44512</v>
      </c>
      <c r="F475" s="346"/>
      <c r="G475" s="150">
        <v>0</v>
      </c>
      <c r="H475" s="150">
        <v>0</v>
      </c>
      <c r="I475" s="149">
        <v>10</v>
      </c>
      <c r="J475" s="149"/>
      <c r="K475" s="150">
        <v>0</v>
      </c>
      <c r="L475" s="7"/>
      <c r="M475" s="7"/>
      <c r="N475" s="171"/>
      <c r="O475" s="8"/>
      <c r="P475" s="299"/>
      <c r="Q475" s="8"/>
      <c r="R475" s="8"/>
      <c r="S475" s="8"/>
      <c r="T475" s="8"/>
      <c r="U475" s="36"/>
    </row>
    <row r="476" spans="2:21" ht="23.25" customHeight="1" x14ac:dyDescent="0.25">
      <c r="B476" s="476"/>
      <c r="C476" s="479"/>
      <c r="D476" s="222"/>
      <c r="E476" s="346">
        <v>44882</v>
      </c>
      <c r="F476" s="346"/>
      <c r="G476" s="150">
        <v>175.85</v>
      </c>
      <c r="H476" s="150">
        <v>0</v>
      </c>
      <c r="I476" s="149">
        <v>3</v>
      </c>
      <c r="J476" s="149"/>
      <c r="K476" s="150">
        <v>527.54999999999995</v>
      </c>
      <c r="L476" s="346"/>
      <c r="M476" s="346"/>
      <c r="N476" s="150"/>
      <c r="O476" s="150"/>
      <c r="P476" s="149"/>
      <c r="Q476" s="150"/>
      <c r="R476" s="150"/>
      <c r="S476" s="150"/>
      <c r="T476" s="150"/>
      <c r="U476" s="36"/>
    </row>
    <row r="477" spans="2:21" ht="23.25" customHeight="1" x14ac:dyDescent="0.25">
      <c r="B477" s="476"/>
      <c r="C477" s="479"/>
      <c r="D477" s="222"/>
      <c r="E477" s="346">
        <v>44886</v>
      </c>
      <c r="F477" s="346"/>
      <c r="G477" s="150">
        <v>183</v>
      </c>
      <c r="H477" s="150">
        <v>0</v>
      </c>
      <c r="I477" s="149">
        <v>2</v>
      </c>
      <c r="J477" s="149"/>
      <c r="K477" s="150">
        <v>366</v>
      </c>
      <c r="L477" s="346"/>
      <c r="M477" s="346"/>
      <c r="N477" s="150"/>
      <c r="O477" s="150"/>
      <c r="P477" s="149"/>
      <c r="Q477" s="150"/>
      <c r="R477" s="150"/>
      <c r="S477" s="150"/>
      <c r="T477" s="150"/>
      <c r="U477" s="36"/>
    </row>
    <row r="478" spans="2:21" ht="23.25" customHeight="1" x14ac:dyDescent="0.25">
      <c r="B478" s="476"/>
      <c r="C478" s="479"/>
      <c r="D478" s="222"/>
      <c r="E478" s="153">
        <v>45076</v>
      </c>
      <c r="F478" s="154" t="s">
        <v>130</v>
      </c>
      <c r="G478" s="154">
        <v>125.4</v>
      </c>
      <c r="H478" s="154">
        <v>0</v>
      </c>
      <c r="I478" s="154">
        <v>3</v>
      </c>
      <c r="J478" s="154">
        <v>376.20000000000005</v>
      </c>
      <c r="K478" s="154">
        <v>376.20000000000005</v>
      </c>
      <c r="L478" s="346"/>
      <c r="M478" s="346"/>
      <c r="N478" s="150"/>
      <c r="O478" s="150"/>
      <c r="P478" s="149"/>
      <c r="Q478" s="150"/>
      <c r="R478" s="150"/>
      <c r="S478" s="150"/>
      <c r="T478" s="150"/>
      <c r="U478" s="36"/>
    </row>
    <row r="479" spans="2:21" ht="23.25" customHeight="1" thickBot="1" x14ac:dyDescent="0.3">
      <c r="B479" s="477"/>
      <c r="C479" s="480"/>
      <c r="D479" s="213"/>
      <c r="E479" s="238"/>
      <c r="F479" s="239"/>
      <c r="G479" s="239"/>
      <c r="H479" s="239"/>
      <c r="I479" s="300">
        <f>SUM(I474:I478)</f>
        <v>20</v>
      </c>
      <c r="J479" s="239"/>
      <c r="K479" s="239"/>
      <c r="L479" s="368"/>
      <c r="M479" s="368"/>
      <c r="N479" s="224"/>
      <c r="O479" s="224"/>
      <c r="P479" s="225"/>
      <c r="Q479" s="224"/>
      <c r="R479" s="224"/>
      <c r="S479" s="224"/>
      <c r="T479" s="224"/>
      <c r="U479" s="43"/>
    </row>
    <row r="480" spans="2:21" ht="10.5" customHeight="1" thickBot="1" x14ac:dyDescent="0.3">
      <c r="B480" s="249"/>
      <c r="C480" s="262"/>
      <c r="D480" s="250"/>
      <c r="E480" s="301"/>
      <c r="F480" s="302"/>
      <c r="G480" s="302"/>
      <c r="H480" s="302"/>
      <c r="I480" s="303"/>
      <c r="J480" s="302"/>
      <c r="K480" s="302"/>
      <c r="L480" s="403"/>
      <c r="M480" s="403"/>
      <c r="N480" s="404"/>
      <c r="O480" s="404"/>
      <c r="P480" s="405"/>
      <c r="Q480" s="434"/>
      <c r="R480" s="232"/>
      <c r="S480" s="232"/>
      <c r="T480" s="232"/>
      <c r="U480" s="255"/>
    </row>
    <row r="481" spans="2:21" ht="23.25" customHeight="1" x14ac:dyDescent="0.25">
      <c r="B481" s="475"/>
      <c r="C481" s="486" t="s">
        <v>125</v>
      </c>
      <c r="D481" s="211"/>
      <c r="E481" s="335">
        <v>45344</v>
      </c>
      <c r="F481" s="336" t="s">
        <v>74</v>
      </c>
      <c r="G481" s="337">
        <v>2190.44</v>
      </c>
      <c r="H481" s="337">
        <v>15.524799999999814</v>
      </c>
      <c r="I481" s="336">
        <v>25</v>
      </c>
      <c r="J481" s="336">
        <v>54761</v>
      </c>
      <c r="K481" s="337">
        <v>55149.119999999995</v>
      </c>
      <c r="L481" s="344"/>
      <c r="M481" s="344"/>
      <c r="N481" s="184"/>
      <c r="O481" s="184"/>
      <c r="P481" s="223"/>
      <c r="Q481" s="184"/>
      <c r="R481" s="184"/>
      <c r="S481" s="184"/>
      <c r="T481" s="184"/>
      <c r="U481" s="34"/>
    </row>
    <row r="482" spans="2:21" ht="23.25" customHeight="1" x14ac:dyDescent="0.25">
      <c r="B482" s="476"/>
      <c r="C482" s="487"/>
      <c r="D482" s="222"/>
      <c r="E482" s="341">
        <v>45353</v>
      </c>
      <c r="F482" s="339" t="s">
        <v>74</v>
      </c>
      <c r="G482" s="340">
        <v>1979</v>
      </c>
      <c r="H482" s="340">
        <v>14.031000000000001</v>
      </c>
      <c r="I482" s="339">
        <v>10</v>
      </c>
      <c r="J482" s="339">
        <v>19790</v>
      </c>
      <c r="K482" s="340">
        <v>19930.310000000001</v>
      </c>
      <c r="L482" s="346"/>
      <c r="M482" s="346"/>
      <c r="N482" s="150"/>
      <c r="O482" s="150"/>
      <c r="P482" s="149"/>
      <c r="Q482" s="150"/>
      <c r="R482" s="150"/>
      <c r="S482" s="150"/>
      <c r="T482" s="150"/>
      <c r="U482" s="36"/>
    </row>
    <row r="483" spans="2:21" ht="23.25" customHeight="1" thickBot="1" x14ac:dyDescent="0.3">
      <c r="B483" s="477"/>
      <c r="C483" s="488"/>
      <c r="D483" s="213"/>
      <c r="E483" s="39"/>
      <c r="F483" s="39"/>
      <c r="G483" s="40"/>
      <c r="H483" s="40"/>
      <c r="I483" s="27">
        <f>SUM(I481:I482)</f>
        <v>35</v>
      </c>
      <c r="J483" s="27">
        <f>I483</f>
        <v>35</v>
      </c>
      <c r="K483" s="40"/>
      <c r="L483" s="214"/>
      <c r="M483" s="214"/>
      <c r="N483" s="42"/>
      <c r="O483" s="40"/>
      <c r="P483" s="55"/>
      <c r="Q483" s="40"/>
      <c r="R483" s="40"/>
      <c r="S483" s="40"/>
      <c r="T483" s="40"/>
      <c r="U483" s="43"/>
    </row>
    <row r="484" spans="2:21" ht="13.5" customHeight="1" thickBot="1" x14ac:dyDescent="0.3">
      <c r="B484" s="5"/>
      <c r="C484" s="163"/>
      <c r="D484" s="5"/>
      <c r="E484" s="4"/>
      <c r="F484" s="4"/>
      <c r="G484" s="6"/>
      <c r="H484" s="6"/>
      <c r="I484" s="5"/>
      <c r="J484" s="5"/>
      <c r="K484" s="6"/>
      <c r="L484" s="192"/>
      <c r="M484" s="192"/>
      <c r="N484" s="31"/>
      <c r="O484" s="6"/>
      <c r="P484" s="5"/>
      <c r="Q484" s="6"/>
      <c r="R484" s="6"/>
      <c r="S484" s="6"/>
      <c r="T484" s="6"/>
      <c r="U484" s="32"/>
    </row>
    <row r="485" spans="2:21" ht="31.5" customHeight="1" x14ac:dyDescent="0.25">
      <c r="B485" s="475">
        <f>1+B474</f>
        <v>6</v>
      </c>
      <c r="C485" s="478" t="s">
        <v>22</v>
      </c>
      <c r="D485" s="33"/>
      <c r="E485" s="344">
        <v>44355</v>
      </c>
      <c r="F485" s="344"/>
      <c r="G485" s="10">
        <v>3601.3519999999999</v>
      </c>
      <c r="H485" s="10">
        <v>0</v>
      </c>
      <c r="I485" s="267">
        <v>5</v>
      </c>
      <c r="J485" s="267"/>
      <c r="K485" s="10">
        <f t="shared" ref="K485:K490" si="56">(+G485+H485)*I485</f>
        <v>18006.759999999998</v>
      </c>
      <c r="L485" s="335">
        <v>45050</v>
      </c>
      <c r="M485" s="336" t="s">
        <v>114</v>
      </c>
      <c r="N485" s="337">
        <v>3693.0199999999995</v>
      </c>
      <c r="O485" s="345">
        <v>25.623999999999796</v>
      </c>
      <c r="P485" s="337">
        <v>5</v>
      </c>
      <c r="Q485" s="337">
        <v>18465.099999999999</v>
      </c>
      <c r="R485" s="337">
        <f t="shared" ref="R485:R487" si="57">(N485-O485)*P485</f>
        <v>18336.98</v>
      </c>
      <c r="S485" s="10"/>
      <c r="T485" s="10"/>
      <c r="U485" s="166" t="s">
        <v>55</v>
      </c>
    </row>
    <row r="486" spans="2:21" ht="31.5" customHeight="1" x14ac:dyDescent="0.25">
      <c r="B486" s="476"/>
      <c r="C486" s="479"/>
      <c r="D486" s="35"/>
      <c r="E486" s="346">
        <v>44355</v>
      </c>
      <c r="F486" s="346"/>
      <c r="G486" s="8">
        <v>3601.3519999999999</v>
      </c>
      <c r="H486" s="8">
        <v>0</v>
      </c>
      <c r="I486" s="299">
        <v>3</v>
      </c>
      <c r="J486" s="299"/>
      <c r="K486" s="8">
        <f t="shared" si="56"/>
        <v>10804.056</v>
      </c>
      <c r="L486" s="341">
        <v>45322</v>
      </c>
      <c r="M486" s="339" t="s">
        <v>114</v>
      </c>
      <c r="N486" s="340">
        <v>6521.45</v>
      </c>
      <c r="O486" s="347">
        <v>45.239999999999178</v>
      </c>
      <c r="P486" s="435">
        <v>3</v>
      </c>
      <c r="Q486" s="435">
        <v>19564.349999999999</v>
      </c>
      <c r="R486" s="340">
        <f t="shared" si="57"/>
        <v>19428.630000000005</v>
      </c>
      <c r="S486" s="8"/>
      <c r="T486" s="8"/>
      <c r="U486" s="172"/>
    </row>
    <row r="487" spans="2:21" ht="31.5" customHeight="1" x14ac:dyDescent="0.25">
      <c r="B487" s="476"/>
      <c r="C487" s="479"/>
      <c r="D487" s="35"/>
      <c r="E487" s="346">
        <v>44355</v>
      </c>
      <c r="F487" s="346"/>
      <c r="G487" s="8">
        <v>3601.3519999999999</v>
      </c>
      <c r="H487" s="8">
        <v>0</v>
      </c>
      <c r="I487" s="299">
        <v>2</v>
      </c>
      <c r="J487" s="299"/>
      <c r="K487" s="8">
        <f t="shared" si="56"/>
        <v>7202.7039999999997</v>
      </c>
      <c r="L487" s="341">
        <v>45328</v>
      </c>
      <c r="M487" s="339" t="s">
        <v>114</v>
      </c>
      <c r="N487" s="340">
        <v>6999</v>
      </c>
      <c r="O487" s="340">
        <v>48.56</v>
      </c>
      <c r="P487" s="340">
        <v>2</v>
      </c>
      <c r="Q487" s="340">
        <v>20997</v>
      </c>
      <c r="R487" s="340">
        <f t="shared" si="57"/>
        <v>13900.88</v>
      </c>
      <c r="S487" s="8"/>
      <c r="T487" s="8"/>
      <c r="U487" s="172"/>
    </row>
    <row r="488" spans="2:21" ht="31.5" customHeight="1" x14ac:dyDescent="0.25">
      <c r="B488" s="476"/>
      <c r="C488" s="479"/>
      <c r="D488" s="35"/>
      <c r="E488" s="346">
        <v>44557</v>
      </c>
      <c r="F488" s="346"/>
      <c r="G488" s="8">
        <v>3851.1099999999997</v>
      </c>
      <c r="H488" s="8">
        <v>0</v>
      </c>
      <c r="I488" s="299">
        <v>1</v>
      </c>
      <c r="J488" s="299"/>
      <c r="K488" s="8">
        <f t="shared" si="56"/>
        <v>3851.1099999999997</v>
      </c>
      <c r="L488" s="341">
        <v>45328</v>
      </c>
      <c r="M488" s="339" t="s">
        <v>114</v>
      </c>
      <c r="N488" s="340">
        <v>6999</v>
      </c>
      <c r="O488" s="340">
        <v>48.56</v>
      </c>
      <c r="P488" s="340">
        <v>1</v>
      </c>
      <c r="Q488" s="340">
        <v>20997</v>
      </c>
      <c r="R488" s="340">
        <f t="shared" ref="R488" si="58">(N488-O488)*P488</f>
        <v>6950.44</v>
      </c>
      <c r="S488" s="8"/>
      <c r="T488" s="8"/>
      <c r="U488" s="172"/>
    </row>
    <row r="489" spans="2:21" ht="23.25" customHeight="1" x14ac:dyDescent="0.25">
      <c r="B489" s="476"/>
      <c r="C489" s="479"/>
      <c r="D489" s="35"/>
      <c r="E489" s="346">
        <v>44557</v>
      </c>
      <c r="F489" s="346"/>
      <c r="G489" s="8">
        <v>3851.1099999999997</v>
      </c>
      <c r="H489" s="8">
        <v>0</v>
      </c>
      <c r="I489" s="299">
        <v>4</v>
      </c>
      <c r="J489" s="299"/>
      <c r="K489" s="8">
        <f t="shared" si="56"/>
        <v>15404.439999999999</v>
      </c>
      <c r="L489" s="341"/>
      <c r="M489" s="339"/>
      <c r="N489" s="340"/>
      <c r="O489" s="347"/>
      <c r="P489" s="435"/>
      <c r="Q489" s="435"/>
      <c r="R489" s="340"/>
      <c r="S489" s="8"/>
      <c r="T489" s="8"/>
      <c r="U489" s="172"/>
    </row>
    <row r="490" spans="2:21" ht="23.25" customHeight="1" x14ac:dyDescent="0.25">
      <c r="B490" s="476"/>
      <c r="C490" s="479"/>
      <c r="D490" s="35"/>
      <c r="E490" s="341">
        <v>45197</v>
      </c>
      <c r="F490" s="339" t="s">
        <v>74</v>
      </c>
      <c r="G490" s="340">
        <v>4116.2</v>
      </c>
      <c r="H490" s="340">
        <v>29.159999999999854</v>
      </c>
      <c r="I490" s="339">
        <v>2</v>
      </c>
      <c r="J490" s="340">
        <v>8232.4</v>
      </c>
      <c r="K490" s="8">
        <f t="shared" si="56"/>
        <v>8290.7199999999993</v>
      </c>
      <c r="L490" s="7"/>
      <c r="M490" s="7"/>
      <c r="N490" s="299"/>
      <c r="O490" s="8"/>
      <c r="P490" s="299"/>
      <c r="Q490" s="8"/>
      <c r="R490" s="340"/>
      <c r="S490" s="8"/>
      <c r="T490" s="8"/>
      <c r="U490" s="172"/>
    </row>
    <row r="491" spans="2:21" ht="23.25" customHeight="1" thickBot="1" x14ac:dyDescent="0.3">
      <c r="B491" s="477"/>
      <c r="C491" s="480"/>
      <c r="D491" s="44"/>
      <c r="E491" s="45"/>
      <c r="F491" s="45"/>
      <c r="G491" s="77"/>
      <c r="H491" s="77"/>
      <c r="I491" s="78">
        <f>SUM(I485:I490)</f>
        <v>17</v>
      </c>
      <c r="J491" s="78">
        <f>I491-P491</f>
        <v>6</v>
      </c>
      <c r="K491" s="77"/>
      <c r="L491" s="292"/>
      <c r="M491" s="292"/>
      <c r="N491" s="155"/>
      <c r="O491" s="156"/>
      <c r="P491" s="294">
        <f>SUM(P485:P490)</f>
        <v>11</v>
      </c>
      <c r="Q491" s="156"/>
      <c r="R491" s="371"/>
      <c r="S491" s="156"/>
      <c r="T491" s="156"/>
      <c r="U491" s="280"/>
    </row>
    <row r="492" spans="2:21" ht="11.25" customHeight="1" thickBot="1" x14ac:dyDescent="0.3">
      <c r="B492" s="249"/>
      <c r="C492" s="262"/>
      <c r="D492" s="263"/>
      <c r="E492" s="272"/>
      <c r="F492" s="272"/>
      <c r="G492" s="137"/>
      <c r="H492" s="137"/>
      <c r="I492" s="266"/>
      <c r="J492" s="266"/>
      <c r="K492" s="137"/>
      <c r="L492" s="296"/>
      <c r="M492" s="296"/>
      <c r="N492" s="295"/>
      <c r="O492" s="232"/>
      <c r="P492" s="305"/>
      <c r="Q492" s="232"/>
      <c r="R492" s="377"/>
      <c r="S492" s="232"/>
      <c r="T492" s="232"/>
      <c r="U492" s="275"/>
    </row>
    <row r="493" spans="2:21" ht="23.25" customHeight="1" x14ac:dyDescent="0.25">
      <c r="B493" s="475"/>
      <c r="C493" s="486" t="s">
        <v>102</v>
      </c>
      <c r="D493" s="33"/>
      <c r="E493" s="335">
        <v>45280</v>
      </c>
      <c r="F493" s="336" t="s">
        <v>74</v>
      </c>
      <c r="G493" s="337">
        <v>210.85</v>
      </c>
      <c r="H493" s="337">
        <v>41.63</v>
      </c>
      <c r="I493" s="336">
        <v>300</v>
      </c>
      <c r="J493" s="337">
        <v>63255</v>
      </c>
      <c r="K493" s="337">
        <v>63296.63</v>
      </c>
      <c r="L493" s="335">
        <v>45280</v>
      </c>
      <c r="M493" s="336" t="s">
        <v>114</v>
      </c>
      <c r="N493" s="337">
        <v>203.1</v>
      </c>
      <c r="O493" s="345">
        <v>0.1792666666666628</v>
      </c>
      <c r="P493" s="337">
        <v>300</v>
      </c>
      <c r="Q493" s="337">
        <v>60930</v>
      </c>
      <c r="R493" s="337">
        <f t="shared" ref="R493" si="59">(N493-O493)*P493</f>
        <v>60876.22</v>
      </c>
      <c r="S493" s="184"/>
      <c r="T493" s="184"/>
      <c r="U493" s="166"/>
    </row>
    <row r="494" spans="2:21" ht="23.25" customHeight="1" x14ac:dyDescent="0.25">
      <c r="B494" s="476"/>
      <c r="C494" s="522"/>
      <c r="D494" s="35"/>
      <c r="E494" s="7"/>
      <c r="F494" s="7"/>
      <c r="G494" s="8"/>
      <c r="H494" s="8"/>
      <c r="I494" s="2">
        <f>SUM(I493)</f>
        <v>300</v>
      </c>
      <c r="J494" s="2">
        <f>I494-P494</f>
        <v>0</v>
      </c>
      <c r="K494" s="8"/>
      <c r="L494" s="74"/>
      <c r="M494" s="74"/>
      <c r="N494" s="171"/>
      <c r="O494" s="8"/>
      <c r="P494" s="2">
        <f>SUM(P493)</f>
        <v>300</v>
      </c>
      <c r="Q494" s="8"/>
      <c r="R494" s="340"/>
      <c r="S494" s="8"/>
      <c r="T494" s="8"/>
      <c r="U494" s="172"/>
    </row>
    <row r="495" spans="2:21" ht="10.5" customHeight="1" thickBot="1" x14ac:dyDescent="0.3">
      <c r="B495" s="5"/>
      <c r="C495" s="163"/>
      <c r="D495" s="29"/>
      <c r="E495" s="4"/>
      <c r="F495" s="4"/>
      <c r="G495" s="6"/>
      <c r="H495" s="6"/>
      <c r="I495" s="29"/>
      <c r="J495" s="29"/>
      <c r="K495" s="6"/>
      <c r="L495" s="30"/>
      <c r="M495" s="30"/>
      <c r="N495" s="31"/>
      <c r="O495" s="6"/>
      <c r="P495" s="29"/>
      <c r="Q495" s="6"/>
      <c r="R495" s="381"/>
      <c r="S495" s="6"/>
      <c r="T495" s="6"/>
      <c r="U495" s="32"/>
    </row>
    <row r="496" spans="2:21" ht="23.25" customHeight="1" x14ac:dyDescent="0.25">
      <c r="B496" s="475">
        <f>1+B485</f>
        <v>7</v>
      </c>
      <c r="C496" s="478" t="s">
        <v>47</v>
      </c>
      <c r="D496" s="33"/>
      <c r="E496" s="344">
        <v>44455</v>
      </c>
      <c r="F496" s="344"/>
      <c r="G496" s="10">
        <v>164.67000000000002</v>
      </c>
      <c r="H496" s="184">
        <v>0</v>
      </c>
      <c r="I496" s="223">
        <v>15</v>
      </c>
      <c r="J496" s="223"/>
      <c r="K496" s="184">
        <v>2470.0500000000002</v>
      </c>
      <c r="L496" s="218">
        <v>45162</v>
      </c>
      <c r="M496" s="219" t="s">
        <v>131</v>
      </c>
      <c r="N496" s="219">
        <v>191.95</v>
      </c>
      <c r="O496" s="219">
        <v>0</v>
      </c>
      <c r="P496" s="219">
        <v>15</v>
      </c>
      <c r="Q496" s="219">
        <v>5758.5</v>
      </c>
      <c r="R496" s="219">
        <f>(N496-O496)*P496</f>
        <v>2879.25</v>
      </c>
      <c r="S496" s="184"/>
      <c r="T496" s="184"/>
      <c r="U496" s="166" t="s">
        <v>28</v>
      </c>
    </row>
    <row r="497" spans="2:21" ht="23.25" customHeight="1" x14ac:dyDescent="0.25">
      <c r="B497" s="476"/>
      <c r="C497" s="479"/>
      <c r="D497" s="35"/>
      <c r="E497" s="346">
        <v>44650</v>
      </c>
      <c r="F497" s="346"/>
      <c r="G497" s="150">
        <v>146.44999999999999</v>
      </c>
      <c r="H497" s="150">
        <v>0</v>
      </c>
      <c r="I497" s="149">
        <v>4</v>
      </c>
      <c r="J497" s="149"/>
      <c r="K497" s="150">
        <f>I497*G497</f>
        <v>585.79999999999995</v>
      </c>
      <c r="L497" s="153">
        <v>45162</v>
      </c>
      <c r="M497" s="154" t="s">
        <v>131</v>
      </c>
      <c r="N497" s="154">
        <v>191.95</v>
      </c>
      <c r="O497" s="154">
        <v>0</v>
      </c>
      <c r="P497" s="154">
        <v>4</v>
      </c>
      <c r="Q497" s="154">
        <v>5758.5</v>
      </c>
      <c r="R497" s="154">
        <f>(N497-O497)*P497</f>
        <v>767.8</v>
      </c>
      <c r="S497" s="150"/>
      <c r="T497" s="150"/>
      <c r="U497" s="172"/>
    </row>
    <row r="498" spans="2:21" ht="23.25" customHeight="1" x14ac:dyDescent="0.25">
      <c r="B498" s="476"/>
      <c r="C498" s="479"/>
      <c r="D498" s="35"/>
      <c r="E498" s="346">
        <v>44657</v>
      </c>
      <c r="F498" s="346"/>
      <c r="G498" s="150">
        <v>151.69999999999999</v>
      </c>
      <c r="H498" s="150">
        <v>0</v>
      </c>
      <c r="I498" s="149">
        <v>1</v>
      </c>
      <c r="J498" s="149"/>
      <c r="K498" s="150">
        <v>151.69999999999999</v>
      </c>
      <c r="L498" s="153">
        <v>45162</v>
      </c>
      <c r="M498" s="154" t="s">
        <v>131</v>
      </c>
      <c r="N498" s="154">
        <v>191.95</v>
      </c>
      <c r="O498" s="154">
        <v>0</v>
      </c>
      <c r="P498" s="154">
        <v>1</v>
      </c>
      <c r="Q498" s="154">
        <v>5758.5</v>
      </c>
      <c r="R498" s="154">
        <f>(N498-O498)*P498</f>
        <v>191.95</v>
      </c>
      <c r="S498" s="150"/>
      <c r="T498" s="150"/>
      <c r="U498" s="172"/>
    </row>
    <row r="499" spans="2:21" ht="23.25" customHeight="1" x14ac:dyDescent="0.25">
      <c r="B499" s="476"/>
      <c r="C499" s="479"/>
      <c r="D499" s="35"/>
      <c r="E499" s="346">
        <v>44866</v>
      </c>
      <c r="F499" s="346"/>
      <c r="G499" s="150">
        <v>128.80000000000001</v>
      </c>
      <c r="H499" s="150">
        <v>0</v>
      </c>
      <c r="I499" s="149">
        <v>1</v>
      </c>
      <c r="J499" s="149"/>
      <c r="K499" s="150">
        <v>128.80000000000001</v>
      </c>
      <c r="L499" s="153">
        <v>45162</v>
      </c>
      <c r="M499" s="154" t="s">
        <v>131</v>
      </c>
      <c r="N499" s="154">
        <v>191.95</v>
      </c>
      <c r="O499" s="154">
        <v>0</v>
      </c>
      <c r="P499" s="154">
        <v>1</v>
      </c>
      <c r="Q499" s="154">
        <v>5758.5</v>
      </c>
      <c r="R499" s="154">
        <f>(N499-O499)*P499</f>
        <v>191.95</v>
      </c>
      <c r="S499" s="150"/>
      <c r="T499" s="150"/>
      <c r="U499" s="172"/>
    </row>
    <row r="500" spans="2:21" ht="23.25" customHeight="1" x14ac:dyDescent="0.25">
      <c r="B500" s="476"/>
      <c r="C500" s="479"/>
      <c r="D500" s="35"/>
      <c r="E500" s="346">
        <v>44866</v>
      </c>
      <c r="F500" s="346"/>
      <c r="G500" s="150">
        <v>128.85</v>
      </c>
      <c r="H500" s="150">
        <v>0</v>
      </c>
      <c r="I500" s="149">
        <v>1</v>
      </c>
      <c r="J500" s="149"/>
      <c r="K500" s="150">
        <v>128.85</v>
      </c>
      <c r="L500" s="153">
        <v>45162</v>
      </c>
      <c r="M500" s="154" t="s">
        <v>131</v>
      </c>
      <c r="N500" s="154">
        <v>191.95</v>
      </c>
      <c r="O500" s="154">
        <v>0</v>
      </c>
      <c r="P500" s="154">
        <v>1</v>
      </c>
      <c r="Q500" s="154">
        <v>5758.5</v>
      </c>
      <c r="R500" s="154">
        <f>(N500-O500)*P500</f>
        <v>191.95</v>
      </c>
      <c r="S500" s="8"/>
      <c r="T500" s="8"/>
      <c r="U500" s="172"/>
    </row>
    <row r="501" spans="2:21" ht="23.25" customHeight="1" x14ac:dyDescent="0.25">
      <c r="B501" s="476"/>
      <c r="C501" s="479"/>
      <c r="D501" s="35"/>
      <c r="E501" s="153">
        <v>45049</v>
      </c>
      <c r="F501" s="154" t="s">
        <v>130</v>
      </c>
      <c r="G501" s="154">
        <v>124</v>
      </c>
      <c r="H501" s="154">
        <v>0</v>
      </c>
      <c r="I501" s="154">
        <v>8</v>
      </c>
      <c r="J501" s="154">
        <v>992</v>
      </c>
      <c r="K501" s="154">
        <v>992</v>
      </c>
      <c r="L501" s="74"/>
      <c r="M501" s="74"/>
      <c r="N501" s="171"/>
      <c r="O501" s="8"/>
      <c r="P501" s="17"/>
      <c r="Q501" s="8"/>
      <c r="R501" s="340"/>
      <c r="S501" s="8"/>
      <c r="T501" s="8"/>
      <c r="U501" s="172"/>
    </row>
    <row r="502" spans="2:21" ht="23.25" customHeight="1" thickBot="1" x14ac:dyDescent="0.3">
      <c r="B502" s="477"/>
      <c r="C502" s="480"/>
      <c r="D502" s="38"/>
      <c r="E502" s="39"/>
      <c r="F502" s="39"/>
      <c r="G502" s="40"/>
      <c r="H502" s="40"/>
      <c r="I502" s="27">
        <f>SUM(I496:I500)</f>
        <v>22</v>
      </c>
      <c r="J502" s="27">
        <f>I502-P502</f>
        <v>0</v>
      </c>
      <c r="K502" s="40"/>
      <c r="L502" s="41"/>
      <c r="M502" s="41"/>
      <c r="N502" s="42"/>
      <c r="O502" s="40"/>
      <c r="P502" s="27">
        <f>SUM(P496:P501)</f>
        <v>22</v>
      </c>
      <c r="Q502" s="40"/>
      <c r="R502" s="352"/>
      <c r="S502" s="40"/>
      <c r="T502" s="40"/>
      <c r="U502" s="169"/>
    </row>
    <row r="503" spans="2:21" ht="8.25" customHeight="1" thickBot="1" x14ac:dyDescent="0.3">
      <c r="B503" s="5"/>
      <c r="C503" s="163"/>
      <c r="D503" s="29"/>
      <c r="E503" s="4"/>
      <c r="F503" s="4"/>
      <c r="G503" s="6"/>
      <c r="H503" s="6"/>
      <c r="I503" s="29"/>
      <c r="J503" s="29"/>
      <c r="K503" s="6"/>
      <c r="L503" s="30"/>
      <c r="M503" s="30"/>
      <c r="N503" s="31"/>
      <c r="O503" s="6"/>
      <c r="P503" s="29"/>
      <c r="Q503" s="6"/>
      <c r="R503" s="381"/>
      <c r="S503" s="6"/>
      <c r="T503" s="6"/>
      <c r="U503" s="32"/>
    </row>
    <row r="504" spans="2:21" ht="23.25" customHeight="1" x14ac:dyDescent="0.25">
      <c r="B504" s="475">
        <f>1+B496</f>
        <v>8</v>
      </c>
      <c r="C504" s="478" t="s">
        <v>67</v>
      </c>
      <c r="D504" s="211"/>
      <c r="E504" s="344">
        <v>44481</v>
      </c>
      <c r="F504" s="344"/>
      <c r="G504" s="219">
        <v>701.6</v>
      </c>
      <c r="H504" s="219">
        <v>0</v>
      </c>
      <c r="I504" s="219">
        <v>2</v>
      </c>
      <c r="J504" s="219"/>
      <c r="K504" s="219">
        <f>I504*G504</f>
        <v>1403.2</v>
      </c>
      <c r="L504" s="259"/>
      <c r="M504" s="259"/>
      <c r="N504" s="223"/>
      <c r="O504" s="184"/>
      <c r="P504" s="223"/>
      <c r="Q504" s="184"/>
      <c r="R504" s="337"/>
      <c r="S504" s="184"/>
      <c r="T504" s="184"/>
      <c r="U504" s="166" t="s">
        <v>28</v>
      </c>
    </row>
    <row r="505" spans="2:21" ht="23.25" customHeight="1" x14ac:dyDescent="0.25">
      <c r="B505" s="476"/>
      <c r="C505" s="479"/>
      <c r="D505" s="222"/>
      <c r="E505" s="258">
        <v>44718</v>
      </c>
      <c r="F505" s="258"/>
      <c r="G505" s="154">
        <v>613.65</v>
      </c>
      <c r="H505" s="154">
        <v>0</v>
      </c>
      <c r="I505" s="154">
        <v>1</v>
      </c>
      <c r="J505" s="154"/>
      <c r="K505" s="154">
        <v>613.65</v>
      </c>
      <c r="L505" s="258"/>
      <c r="M505" s="258"/>
      <c r="N505" s="149"/>
      <c r="O505" s="150"/>
      <c r="P505" s="149"/>
      <c r="Q505" s="150"/>
      <c r="R505" s="340"/>
      <c r="S505" s="150"/>
      <c r="T505" s="150"/>
      <c r="U505" s="172"/>
    </row>
    <row r="506" spans="2:21" ht="23.25" customHeight="1" x14ac:dyDescent="0.25">
      <c r="B506" s="476"/>
      <c r="C506" s="479"/>
      <c r="D506" s="222"/>
      <c r="E506" s="153">
        <v>45100</v>
      </c>
      <c r="F506" s="154" t="s">
        <v>130</v>
      </c>
      <c r="G506" s="154">
        <v>615</v>
      </c>
      <c r="H506" s="154">
        <v>0</v>
      </c>
      <c r="I506" s="154">
        <v>2</v>
      </c>
      <c r="J506" s="154">
        <v>1230</v>
      </c>
      <c r="K506" s="154">
        <v>1230</v>
      </c>
      <c r="L506" s="258"/>
      <c r="M506" s="258"/>
      <c r="N506" s="149"/>
      <c r="O506" s="150"/>
      <c r="P506" s="149"/>
      <c r="Q506" s="150"/>
      <c r="R506" s="340"/>
      <c r="S506" s="150"/>
      <c r="T506" s="150"/>
      <c r="U506" s="172"/>
    </row>
    <row r="507" spans="2:21" ht="23.25" customHeight="1" x14ac:dyDescent="0.25">
      <c r="B507" s="476"/>
      <c r="C507" s="479"/>
      <c r="D507" s="222"/>
      <c r="E507" s="153">
        <v>45222</v>
      </c>
      <c r="F507" s="154" t="s">
        <v>130</v>
      </c>
      <c r="G507" s="154">
        <v>720</v>
      </c>
      <c r="H507" s="154">
        <v>0</v>
      </c>
      <c r="I507" s="154">
        <v>2</v>
      </c>
      <c r="J507" s="154">
        <v>1440</v>
      </c>
      <c r="K507" s="154">
        <v>1440</v>
      </c>
      <c r="L507" s="258"/>
      <c r="M507" s="258"/>
      <c r="N507" s="149"/>
      <c r="O507" s="150"/>
      <c r="P507" s="149"/>
      <c r="Q507" s="150"/>
      <c r="R507" s="340"/>
      <c r="S507" s="150"/>
      <c r="T507" s="150"/>
      <c r="U507" s="172"/>
    </row>
    <row r="508" spans="2:21" ht="23.25" customHeight="1" x14ac:dyDescent="0.25">
      <c r="B508" s="476"/>
      <c r="C508" s="479"/>
      <c r="D508" s="222"/>
      <c r="E508" s="153">
        <v>45222</v>
      </c>
      <c r="F508" s="154" t="s">
        <v>130</v>
      </c>
      <c r="G508" s="154">
        <v>702</v>
      </c>
      <c r="H508" s="154">
        <v>0</v>
      </c>
      <c r="I508" s="154">
        <v>4</v>
      </c>
      <c r="J508" s="154">
        <v>2808</v>
      </c>
      <c r="K508" s="154">
        <v>2808</v>
      </c>
      <c r="L508" s="258"/>
      <c r="M508" s="258"/>
      <c r="N508" s="149"/>
      <c r="O508" s="150"/>
      <c r="P508" s="149"/>
      <c r="Q508" s="150"/>
      <c r="R508" s="340"/>
      <c r="S508" s="150"/>
      <c r="T508" s="150"/>
      <c r="U508" s="172"/>
    </row>
    <row r="509" spans="2:21" ht="23.25" customHeight="1" thickBot="1" x14ac:dyDescent="0.3">
      <c r="B509" s="477"/>
      <c r="C509" s="480"/>
      <c r="D509" s="213"/>
      <c r="E509" s="225"/>
      <c r="F509" s="225"/>
      <c r="G509" s="224"/>
      <c r="H509" s="224"/>
      <c r="I509" s="279">
        <f>SUM(I504:I508)</f>
        <v>11</v>
      </c>
      <c r="J509" s="225"/>
      <c r="K509" s="224"/>
      <c r="L509" s="39"/>
      <c r="M509" s="39"/>
      <c r="N509" s="42"/>
      <c r="O509" s="40"/>
      <c r="P509" s="55"/>
      <c r="Q509" s="40"/>
      <c r="R509" s="352"/>
      <c r="S509" s="40"/>
      <c r="T509" s="40"/>
      <c r="U509" s="169"/>
    </row>
    <row r="510" spans="2:21" ht="11.25" customHeight="1" thickBot="1" x14ac:dyDescent="0.3">
      <c r="B510" s="5"/>
      <c r="C510" s="163"/>
      <c r="D510" s="5"/>
      <c r="E510" s="197"/>
      <c r="F510" s="197"/>
      <c r="G510" s="179"/>
      <c r="H510" s="179"/>
      <c r="I510" s="197"/>
      <c r="J510" s="197"/>
      <c r="K510" s="179"/>
      <c r="L510" s="192"/>
      <c r="M510" s="192"/>
      <c r="N510" s="31"/>
      <c r="O510" s="6"/>
      <c r="P510" s="5"/>
      <c r="Q510" s="6"/>
      <c r="R510" s="381"/>
      <c r="S510" s="6"/>
      <c r="T510" s="6"/>
      <c r="U510" s="32"/>
    </row>
    <row r="511" spans="2:21" ht="23.25" customHeight="1" x14ac:dyDescent="0.25">
      <c r="B511" s="475">
        <f>1+B504</f>
        <v>9</v>
      </c>
      <c r="C511" s="478" t="s">
        <v>48</v>
      </c>
      <c r="D511" s="211"/>
      <c r="E511" s="344">
        <v>44518</v>
      </c>
      <c r="F511" s="344"/>
      <c r="G511" s="184">
        <f>+K511/I511</f>
        <v>1763.3333333333333</v>
      </c>
      <c r="H511" s="184">
        <v>0</v>
      </c>
      <c r="I511" s="223">
        <v>3</v>
      </c>
      <c r="J511" s="223"/>
      <c r="K511" s="184">
        <v>5290</v>
      </c>
      <c r="L511" s="259"/>
      <c r="M511" s="259"/>
      <c r="N511" s="223"/>
      <c r="O511" s="184"/>
      <c r="P511" s="223"/>
      <c r="Q511" s="184"/>
      <c r="R511" s="337"/>
      <c r="S511" s="184"/>
      <c r="T511" s="184"/>
      <c r="U511" s="166" t="s">
        <v>28</v>
      </c>
    </row>
    <row r="512" spans="2:21" ht="23.25" customHeight="1" x14ac:dyDescent="0.25">
      <c r="B512" s="476"/>
      <c r="C512" s="479"/>
      <c r="D512" s="222"/>
      <c r="E512" s="346">
        <v>44617</v>
      </c>
      <c r="F512" s="346"/>
      <c r="G512" s="150">
        <v>790</v>
      </c>
      <c r="H512" s="150">
        <v>0</v>
      </c>
      <c r="I512" s="149">
        <v>1</v>
      </c>
      <c r="J512" s="149"/>
      <c r="K512" s="150">
        <f>I512*G512</f>
        <v>790</v>
      </c>
      <c r="L512" s="258"/>
      <c r="M512" s="258"/>
      <c r="N512" s="149"/>
      <c r="O512" s="150"/>
      <c r="P512" s="149"/>
      <c r="Q512" s="150"/>
      <c r="R512" s="340"/>
      <c r="S512" s="150"/>
      <c r="T512" s="150"/>
      <c r="U512" s="172"/>
    </row>
    <row r="513" spans="2:21" ht="23.25" customHeight="1" x14ac:dyDescent="0.25">
      <c r="B513" s="476"/>
      <c r="C513" s="479"/>
      <c r="D513" s="222"/>
      <c r="E513" s="346">
        <v>44655</v>
      </c>
      <c r="F513" s="346"/>
      <c r="G513" s="150">
        <v>612.9</v>
      </c>
      <c r="H513" s="150">
        <v>0</v>
      </c>
      <c r="I513" s="149">
        <v>1</v>
      </c>
      <c r="J513" s="149"/>
      <c r="K513" s="150">
        <v>612.9</v>
      </c>
      <c r="L513" s="258"/>
      <c r="M513" s="258"/>
      <c r="N513" s="149"/>
      <c r="O513" s="150"/>
      <c r="P513" s="149"/>
      <c r="Q513" s="150"/>
      <c r="R513" s="340"/>
      <c r="S513" s="150"/>
      <c r="T513" s="150"/>
      <c r="U513" s="172"/>
    </row>
    <row r="514" spans="2:21" ht="23.25" customHeight="1" x14ac:dyDescent="0.25">
      <c r="B514" s="476"/>
      <c r="C514" s="479"/>
      <c r="D514" s="222"/>
      <c r="E514" s="346">
        <v>44826</v>
      </c>
      <c r="F514" s="346"/>
      <c r="G514" s="150">
        <v>689</v>
      </c>
      <c r="H514" s="150">
        <v>0</v>
      </c>
      <c r="I514" s="149">
        <v>1</v>
      </c>
      <c r="J514" s="149"/>
      <c r="K514" s="150">
        <v>689</v>
      </c>
      <c r="L514" s="258"/>
      <c r="M514" s="258"/>
      <c r="N514" s="149"/>
      <c r="O514" s="150"/>
      <c r="P514" s="149"/>
      <c r="Q514" s="150"/>
      <c r="R514" s="340"/>
      <c r="S514" s="150"/>
      <c r="T514" s="150"/>
      <c r="U514" s="172"/>
    </row>
    <row r="515" spans="2:21" ht="23.25" customHeight="1" x14ac:dyDescent="0.25">
      <c r="B515" s="476"/>
      <c r="C515" s="479"/>
      <c r="D515" s="222"/>
      <c r="E515" s="346">
        <v>44882</v>
      </c>
      <c r="F515" s="346"/>
      <c r="G515" s="150">
        <v>549</v>
      </c>
      <c r="H515" s="150">
        <v>0</v>
      </c>
      <c r="I515" s="149">
        <v>2</v>
      </c>
      <c r="J515" s="149"/>
      <c r="K515" s="150">
        <v>1098</v>
      </c>
      <c r="L515" s="258"/>
      <c r="M515" s="258"/>
      <c r="N515" s="149"/>
      <c r="O515" s="150"/>
      <c r="P515" s="149"/>
      <c r="Q515" s="150"/>
      <c r="R515" s="340"/>
      <c r="S515" s="150"/>
      <c r="T515" s="150"/>
      <c r="U515" s="172"/>
    </row>
    <row r="516" spans="2:21" ht="23.25" customHeight="1" x14ac:dyDescent="0.25">
      <c r="B516" s="476"/>
      <c r="C516" s="479"/>
      <c r="D516" s="222"/>
      <c r="E516" s="346">
        <v>44887</v>
      </c>
      <c r="F516" s="346"/>
      <c r="G516" s="150">
        <v>495</v>
      </c>
      <c r="H516" s="150">
        <v>0</v>
      </c>
      <c r="I516" s="149">
        <v>2</v>
      </c>
      <c r="J516" s="149"/>
      <c r="K516" s="150">
        <v>990</v>
      </c>
      <c r="L516" s="258"/>
      <c r="M516" s="258"/>
      <c r="N516" s="149"/>
      <c r="O516" s="150"/>
      <c r="P516" s="149"/>
      <c r="Q516" s="150"/>
      <c r="R516" s="340"/>
      <c r="S516" s="150"/>
      <c r="T516" s="150"/>
      <c r="U516" s="172"/>
    </row>
    <row r="517" spans="2:21" ht="23.25" customHeight="1" x14ac:dyDescent="0.25">
      <c r="B517" s="476"/>
      <c r="C517" s="479"/>
      <c r="D517" s="222"/>
      <c r="E517" s="346">
        <v>44888</v>
      </c>
      <c r="F517" s="346"/>
      <c r="G517" s="150">
        <v>450</v>
      </c>
      <c r="H517" s="150">
        <v>0</v>
      </c>
      <c r="I517" s="149">
        <v>2</v>
      </c>
      <c r="J517" s="149"/>
      <c r="K517" s="150">
        <v>900</v>
      </c>
      <c r="L517" s="258"/>
      <c r="M517" s="258"/>
      <c r="N517" s="149"/>
      <c r="O517" s="150"/>
      <c r="P517" s="149"/>
      <c r="Q517" s="150"/>
      <c r="R517" s="340"/>
      <c r="S517" s="150"/>
      <c r="T517" s="150"/>
      <c r="U517" s="172"/>
    </row>
    <row r="518" spans="2:21" ht="23.25" customHeight="1" x14ac:dyDescent="0.25">
      <c r="B518" s="476"/>
      <c r="C518" s="479"/>
      <c r="D518" s="222"/>
      <c r="E518" s="346">
        <v>44889</v>
      </c>
      <c r="F518" s="346"/>
      <c r="G518" s="150">
        <v>440</v>
      </c>
      <c r="H518" s="150">
        <v>0</v>
      </c>
      <c r="I518" s="149">
        <v>2</v>
      </c>
      <c r="J518" s="149"/>
      <c r="K518" s="150">
        <v>880</v>
      </c>
      <c r="L518" s="258"/>
      <c r="M518" s="258"/>
      <c r="N518" s="149"/>
      <c r="O518" s="150"/>
      <c r="P518" s="149"/>
      <c r="Q518" s="150"/>
      <c r="R518" s="340"/>
      <c r="S518" s="150"/>
      <c r="T518" s="150"/>
      <c r="U518" s="172"/>
    </row>
    <row r="519" spans="2:21" ht="23.25" customHeight="1" x14ac:dyDescent="0.25">
      <c r="B519" s="476"/>
      <c r="C519" s="479"/>
      <c r="D519" s="222"/>
      <c r="E519" s="153">
        <v>45077</v>
      </c>
      <c r="F519" s="154" t="s">
        <v>130</v>
      </c>
      <c r="G519" s="154">
        <v>697.3</v>
      </c>
      <c r="H519" s="154">
        <v>0</v>
      </c>
      <c r="I519" s="154">
        <v>1</v>
      </c>
      <c r="J519" s="154">
        <v>697.3</v>
      </c>
      <c r="K519" s="154">
        <v>697.3</v>
      </c>
      <c r="L519" s="258"/>
      <c r="M519" s="258"/>
      <c r="N519" s="149"/>
      <c r="O519" s="150"/>
      <c r="P519" s="149"/>
      <c r="Q519" s="150"/>
      <c r="R519" s="340"/>
      <c r="S519" s="150"/>
      <c r="T519" s="150"/>
      <c r="U519" s="172"/>
    </row>
    <row r="520" spans="2:21" ht="23.25" customHeight="1" x14ac:dyDescent="0.25">
      <c r="B520" s="476"/>
      <c r="C520" s="479"/>
      <c r="D520" s="222"/>
      <c r="E520" s="153">
        <v>45267</v>
      </c>
      <c r="F520" s="154" t="s">
        <v>130</v>
      </c>
      <c r="G520" s="157">
        <v>667.22222222222217</v>
      </c>
      <c r="H520" s="154">
        <v>0</v>
      </c>
      <c r="I520" s="154">
        <v>9</v>
      </c>
      <c r="J520" s="154">
        <v>6005</v>
      </c>
      <c r="K520" s="154">
        <v>6005</v>
      </c>
      <c r="L520" s="7"/>
      <c r="M520" s="7"/>
      <c r="N520" s="171"/>
      <c r="O520" s="8"/>
      <c r="P520" s="299"/>
      <c r="Q520" s="8"/>
      <c r="R520" s="340"/>
      <c r="S520" s="8"/>
      <c r="T520" s="8"/>
      <c r="U520" s="172"/>
    </row>
    <row r="521" spans="2:21" ht="23.25" customHeight="1" thickBot="1" x14ac:dyDescent="0.3">
      <c r="B521" s="477"/>
      <c r="C521" s="480"/>
      <c r="D521" s="213"/>
      <c r="E521" s="225"/>
      <c r="F521" s="225"/>
      <c r="G521" s="224"/>
      <c r="H521" s="224"/>
      <c r="I521" s="279">
        <f>SUM(I511:I520)</f>
        <v>24</v>
      </c>
      <c r="J521" s="225"/>
      <c r="K521" s="224"/>
      <c r="L521" s="39"/>
      <c r="M521" s="39"/>
      <c r="N521" s="42"/>
      <c r="O521" s="40"/>
      <c r="P521" s="55"/>
      <c r="Q521" s="40"/>
      <c r="R521" s="352"/>
      <c r="S521" s="40"/>
      <c r="T521" s="40"/>
      <c r="U521" s="169"/>
    </row>
    <row r="522" spans="2:21" ht="13.5" customHeight="1" thickBot="1" x14ac:dyDescent="0.3">
      <c r="B522" s="5"/>
      <c r="C522" s="163"/>
      <c r="D522" s="5"/>
      <c r="E522" s="197"/>
      <c r="F522" s="197"/>
      <c r="G522" s="179"/>
      <c r="H522" s="179"/>
      <c r="I522" s="197"/>
      <c r="J522" s="197"/>
      <c r="K522" s="179"/>
      <c r="L522" s="192"/>
      <c r="M522" s="192"/>
      <c r="N522" s="31"/>
      <c r="O522" s="6"/>
      <c r="P522" s="5"/>
      <c r="Q522" s="6"/>
      <c r="R522" s="381"/>
      <c r="S522" s="6"/>
      <c r="T522" s="6"/>
      <c r="U522" s="32"/>
    </row>
    <row r="523" spans="2:21" ht="23.25" customHeight="1" x14ac:dyDescent="0.25">
      <c r="B523" s="475"/>
      <c r="C523" s="486" t="s">
        <v>126</v>
      </c>
      <c r="D523" s="211"/>
      <c r="E523" s="335">
        <v>45348</v>
      </c>
      <c r="F523" s="336" t="s">
        <v>74</v>
      </c>
      <c r="G523" s="337">
        <v>4779.99</v>
      </c>
      <c r="H523" s="337"/>
      <c r="I523" s="336">
        <v>5</v>
      </c>
      <c r="J523" s="337">
        <v>23899.95</v>
      </c>
      <c r="K523" s="337">
        <v>24069.32</v>
      </c>
      <c r="L523" s="259"/>
      <c r="M523" s="259"/>
      <c r="N523" s="223"/>
      <c r="O523" s="184"/>
      <c r="P523" s="223"/>
      <c r="Q523" s="184"/>
      <c r="R523" s="337"/>
      <c r="S523" s="184"/>
      <c r="T523" s="184"/>
      <c r="U523" s="166"/>
    </row>
    <row r="524" spans="2:21" ht="23.25" customHeight="1" x14ac:dyDescent="0.25">
      <c r="B524" s="476"/>
      <c r="C524" s="487"/>
      <c r="D524" s="222"/>
      <c r="E524" s="341">
        <v>45358</v>
      </c>
      <c r="F524" s="339" t="s">
        <v>74</v>
      </c>
      <c r="G524" s="340">
        <v>4901.2</v>
      </c>
      <c r="H524" s="340">
        <v>34.742000000000004</v>
      </c>
      <c r="I524" s="339">
        <v>5</v>
      </c>
      <c r="J524" s="340">
        <v>24506</v>
      </c>
      <c r="K524" s="340">
        <v>24679.71</v>
      </c>
      <c r="L524" s="258"/>
      <c r="M524" s="258"/>
      <c r="N524" s="149"/>
      <c r="O524" s="150"/>
      <c r="P524" s="149"/>
      <c r="Q524" s="150"/>
      <c r="R524" s="340"/>
      <c r="S524" s="150"/>
      <c r="T524" s="150"/>
      <c r="U524" s="172"/>
    </row>
    <row r="525" spans="2:21" ht="23.25" customHeight="1" x14ac:dyDescent="0.25">
      <c r="B525" s="476"/>
      <c r="C525" s="487"/>
      <c r="D525" s="222"/>
      <c r="E525" s="341">
        <v>45364</v>
      </c>
      <c r="F525" s="339" t="s">
        <v>74</v>
      </c>
      <c r="G525" s="340">
        <v>4751</v>
      </c>
      <c r="H525" s="340">
        <v>33.67</v>
      </c>
      <c r="I525" s="339">
        <v>3</v>
      </c>
      <c r="J525" s="340">
        <v>14253</v>
      </c>
      <c r="K525" s="340">
        <v>14354.01</v>
      </c>
      <c r="L525" s="7"/>
      <c r="M525" s="7"/>
      <c r="N525" s="171"/>
      <c r="O525" s="8"/>
      <c r="P525" s="299"/>
      <c r="Q525" s="8"/>
      <c r="R525" s="340"/>
      <c r="S525" s="8"/>
      <c r="T525" s="8"/>
      <c r="U525" s="172"/>
    </row>
    <row r="526" spans="2:21" ht="23.25" customHeight="1" thickBot="1" x14ac:dyDescent="0.3">
      <c r="B526" s="477"/>
      <c r="C526" s="488"/>
      <c r="D526" s="216"/>
      <c r="E526" s="155"/>
      <c r="F526" s="155"/>
      <c r="G526" s="156"/>
      <c r="H526" s="156"/>
      <c r="I526" s="294">
        <f>SUM(I523:I525)</f>
        <v>13</v>
      </c>
      <c r="J526" s="155"/>
      <c r="K526" s="156"/>
      <c r="L526" s="45"/>
      <c r="M526" s="45"/>
      <c r="N526" s="76"/>
      <c r="O526" s="77"/>
      <c r="P526" s="226"/>
      <c r="Q526" s="77"/>
      <c r="R526" s="371"/>
      <c r="S526" s="77"/>
      <c r="T526" s="77"/>
      <c r="U526" s="280"/>
    </row>
    <row r="527" spans="2:21" ht="11.25" customHeight="1" thickBot="1" x14ac:dyDescent="0.3">
      <c r="B527" s="321"/>
      <c r="C527" s="186"/>
      <c r="D527" s="322"/>
      <c r="E527" s="187"/>
      <c r="F527" s="187"/>
      <c r="G527" s="233"/>
      <c r="H527" s="233"/>
      <c r="I527" s="187"/>
      <c r="J527" s="187"/>
      <c r="K527" s="233"/>
      <c r="L527" s="188"/>
      <c r="M527" s="188"/>
      <c r="N527" s="189"/>
      <c r="O527" s="181"/>
      <c r="P527" s="322"/>
      <c r="Q527" s="181"/>
      <c r="R527" s="393"/>
      <c r="S527" s="181"/>
      <c r="T527" s="181"/>
      <c r="U527" s="190"/>
    </row>
    <row r="528" spans="2:21" ht="23.25" customHeight="1" x14ac:dyDescent="0.25">
      <c r="B528" s="475"/>
      <c r="C528" s="478" t="s">
        <v>23</v>
      </c>
      <c r="D528" s="52"/>
      <c r="E528" s="410">
        <v>44490</v>
      </c>
      <c r="F528" s="410"/>
      <c r="G528" s="110">
        <v>1027.232</v>
      </c>
      <c r="H528" s="110">
        <v>0</v>
      </c>
      <c r="I528" s="269">
        <v>5</v>
      </c>
      <c r="J528" s="269"/>
      <c r="K528" s="110">
        <f>(+G528+H528)*I528</f>
        <v>5136.16</v>
      </c>
      <c r="L528" s="436">
        <v>45040</v>
      </c>
      <c r="M528" s="332" t="s">
        <v>114</v>
      </c>
      <c r="N528" s="332">
        <v>2650</v>
      </c>
      <c r="O528" s="437">
        <v>18.381999999999969</v>
      </c>
      <c r="P528" s="332">
        <v>5</v>
      </c>
      <c r="Q528" s="332">
        <v>13250</v>
      </c>
      <c r="R528" s="332">
        <f>(N528-O528)*P528</f>
        <v>13158.09</v>
      </c>
      <c r="S528" s="146"/>
      <c r="T528" s="146"/>
      <c r="U528" s="54" t="s">
        <v>55</v>
      </c>
    </row>
    <row r="529" spans="2:21" ht="23.25" customHeight="1" x14ac:dyDescent="0.25">
      <c r="B529" s="476"/>
      <c r="C529" s="479"/>
      <c r="D529" s="35"/>
      <c r="E529" s="346">
        <v>44490</v>
      </c>
      <c r="F529" s="346"/>
      <c r="G529" s="8">
        <v>1027.232</v>
      </c>
      <c r="H529" s="8">
        <v>0</v>
      </c>
      <c r="I529" s="299">
        <v>5</v>
      </c>
      <c r="J529" s="299"/>
      <c r="K529" s="8">
        <f>(+G529+H529)*I529</f>
        <v>5136.16</v>
      </c>
      <c r="L529" s="348">
        <v>45230</v>
      </c>
      <c r="M529" s="339" t="s">
        <v>114</v>
      </c>
      <c r="N529" s="339">
        <v>3699</v>
      </c>
      <c r="O529" s="386">
        <v>25.655999999999768</v>
      </c>
      <c r="P529" s="339">
        <v>5</v>
      </c>
      <c r="Q529" s="339">
        <v>18495</v>
      </c>
      <c r="R529" s="339">
        <f t="shared" ref="R529:R530" si="60">(N529-O529)*P529</f>
        <v>18366.72</v>
      </c>
      <c r="S529" s="150"/>
      <c r="T529" s="150"/>
      <c r="U529" s="36"/>
    </row>
    <row r="530" spans="2:21" ht="23.25" customHeight="1" x14ac:dyDescent="0.25">
      <c r="B530" s="476"/>
      <c r="C530" s="479"/>
      <c r="D530" s="35"/>
      <c r="E530" s="346">
        <v>44497</v>
      </c>
      <c r="F530" s="346"/>
      <c r="G530" s="8">
        <v>999.91399999999999</v>
      </c>
      <c r="H530" s="8">
        <v>0</v>
      </c>
      <c r="I530" s="299">
        <v>10</v>
      </c>
      <c r="J530" s="299"/>
      <c r="K530" s="8">
        <f t="shared" ref="K530:K531" si="61">(+G530+H530)*I530</f>
        <v>9999.14</v>
      </c>
      <c r="L530" s="348">
        <v>45259</v>
      </c>
      <c r="M530" s="339" t="s">
        <v>114</v>
      </c>
      <c r="N530" s="339">
        <v>4166.5</v>
      </c>
      <c r="O530" s="386">
        <v>28.899499999999534</v>
      </c>
      <c r="P530" s="339">
        <v>10</v>
      </c>
      <c r="Q530" s="339">
        <v>83330</v>
      </c>
      <c r="R530" s="339">
        <f t="shared" si="60"/>
        <v>41376.005000000005</v>
      </c>
      <c r="S530" s="150"/>
      <c r="T530" s="150"/>
      <c r="U530" s="172"/>
    </row>
    <row r="531" spans="2:21" ht="23.25" customHeight="1" x14ac:dyDescent="0.25">
      <c r="B531" s="476"/>
      <c r="C531" s="479"/>
      <c r="D531" s="35"/>
      <c r="E531" s="346">
        <v>44655</v>
      </c>
      <c r="F531" s="346"/>
      <c r="G531" s="8">
        <v>885.5</v>
      </c>
      <c r="H531" s="8">
        <v>5.3970000000000002</v>
      </c>
      <c r="I531" s="299">
        <v>10</v>
      </c>
      <c r="J531" s="299"/>
      <c r="K531" s="8">
        <f t="shared" si="61"/>
        <v>8908.9700000000012</v>
      </c>
      <c r="L531" s="348">
        <v>45259</v>
      </c>
      <c r="M531" s="339" t="s">
        <v>114</v>
      </c>
      <c r="N531" s="339">
        <v>4166.5</v>
      </c>
      <c r="O531" s="386">
        <v>28.899499999999534</v>
      </c>
      <c r="P531" s="339">
        <v>10</v>
      </c>
      <c r="Q531" s="339">
        <v>83330</v>
      </c>
      <c r="R531" s="339">
        <f t="shared" ref="R531:R547" si="62">(N531-O531)*P531</f>
        <v>41376.005000000005</v>
      </c>
      <c r="S531" s="150"/>
      <c r="T531" s="150"/>
      <c r="U531" s="172"/>
    </row>
    <row r="532" spans="2:21" ht="23.25" customHeight="1" x14ac:dyDescent="0.25">
      <c r="B532" s="476"/>
      <c r="C532" s="479"/>
      <c r="D532" s="35"/>
      <c r="E532" s="346">
        <v>44987</v>
      </c>
      <c r="F532" s="346"/>
      <c r="G532" s="8">
        <v>2147</v>
      </c>
      <c r="H532" s="8">
        <v>13.075999999999999</v>
      </c>
      <c r="I532" s="299">
        <v>5</v>
      </c>
      <c r="J532" s="299"/>
      <c r="K532" s="8">
        <f>(+G532+H532)*I532</f>
        <v>10800.380000000001</v>
      </c>
      <c r="L532" s="348">
        <v>45280</v>
      </c>
      <c r="M532" s="339" t="s">
        <v>114</v>
      </c>
      <c r="N532" s="339">
        <v>4349.8</v>
      </c>
      <c r="O532" s="386">
        <v>30.176000000000204</v>
      </c>
      <c r="P532" s="339">
        <v>5</v>
      </c>
      <c r="Q532" s="339">
        <v>43498</v>
      </c>
      <c r="R532" s="339">
        <f>(N532-O532)*P532</f>
        <v>21598.12</v>
      </c>
      <c r="S532" s="150"/>
      <c r="T532" s="150"/>
      <c r="U532" s="172"/>
    </row>
    <row r="533" spans="2:21" ht="23.25" customHeight="1" x14ac:dyDescent="0.25">
      <c r="B533" s="476"/>
      <c r="C533" s="479"/>
      <c r="D533" s="35"/>
      <c r="E533" s="348">
        <v>45139</v>
      </c>
      <c r="F533" s="339" t="s">
        <v>74</v>
      </c>
      <c r="G533" s="339">
        <v>4765</v>
      </c>
      <c r="H533" s="339">
        <v>33.818000000000026</v>
      </c>
      <c r="I533" s="339">
        <v>5</v>
      </c>
      <c r="J533" s="339">
        <v>23825</v>
      </c>
      <c r="K533" s="8">
        <f t="shared" ref="K533:K535" si="63">(+G533+H533)*I533</f>
        <v>23994.09</v>
      </c>
      <c r="L533" s="348">
        <v>45280</v>
      </c>
      <c r="M533" s="339" t="s">
        <v>114</v>
      </c>
      <c r="N533" s="339">
        <v>4349.8</v>
      </c>
      <c r="O533" s="386">
        <v>30.176000000000204</v>
      </c>
      <c r="P533" s="339">
        <v>5</v>
      </c>
      <c r="Q533" s="339">
        <v>43498</v>
      </c>
      <c r="R533" s="339">
        <f>(N533-O533)*P533</f>
        <v>21598.12</v>
      </c>
      <c r="S533" s="150"/>
      <c r="T533" s="150"/>
      <c r="U533" s="172"/>
    </row>
    <row r="534" spans="2:21" ht="23.25" customHeight="1" x14ac:dyDescent="0.25">
      <c r="B534" s="476"/>
      <c r="C534" s="479"/>
      <c r="D534" s="35"/>
      <c r="E534" s="348">
        <v>45139</v>
      </c>
      <c r="F534" s="339" t="s">
        <v>74</v>
      </c>
      <c r="G534" s="339">
        <v>4826</v>
      </c>
      <c r="H534" s="339">
        <v>34.191999999999823</v>
      </c>
      <c r="I534" s="339">
        <v>10</v>
      </c>
      <c r="J534" s="339">
        <v>48260</v>
      </c>
      <c r="K534" s="8">
        <f t="shared" si="63"/>
        <v>48601.919999999998</v>
      </c>
      <c r="L534" s="348">
        <v>45302</v>
      </c>
      <c r="M534" s="339" t="s">
        <v>114</v>
      </c>
      <c r="N534" s="339">
        <v>4849</v>
      </c>
      <c r="O534" s="386">
        <v>33.641000000000346</v>
      </c>
      <c r="P534" s="339">
        <v>10</v>
      </c>
      <c r="Q534" s="339">
        <v>48490</v>
      </c>
      <c r="R534" s="339">
        <f t="shared" si="62"/>
        <v>48153.59</v>
      </c>
      <c r="S534" s="150"/>
      <c r="T534" s="150"/>
      <c r="U534" s="172"/>
    </row>
    <row r="535" spans="2:21" ht="23.25" customHeight="1" x14ac:dyDescent="0.25">
      <c r="B535" s="476"/>
      <c r="C535" s="479"/>
      <c r="D535" s="35"/>
      <c r="E535" s="348">
        <v>45238</v>
      </c>
      <c r="F535" s="339" t="s">
        <v>74</v>
      </c>
      <c r="G535" s="339">
        <v>3825</v>
      </c>
      <c r="H535" s="339">
        <v>27.111000000000057</v>
      </c>
      <c r="I535" s="339">
        <v>10</v>
      </c>
      <c r="J535" s="339">
        <v>38250</v>
      </c>
      <c r="K535" s="8">
        <f t="shared" si="63"/>
        <v>38521.11</v>
      </c>
      <c r="L535" s="258"/>
      <c r="M535" s="258"/>
      <c r="N535" s="149"/>
      <c r="O535" s="150"/>
      <c r="P535" s="149"/>
      <c r="Q535" s="150"/>
      <c r="R535" s="339" t="s">
        <v>128</v>
      </c>
      <c r="S535" s="150"/>
      <c r="T535" s="150"/>
      <c r="U535" s="172"/>
    </row>
    <row r="536" spans="2:21" ht="23.25" customHeight="1" thickBot="1" x14ac:dyDescent="0.3">
      <c r="B536" s="477"/>
      <c r="C536" s="480"/>
      <c r="D536" s="44"/>
      <c r="E536" s="373"/>
      <c r="F536" s="373"/>
      <c r="G536" s="77"/>
      <c r="H536" s="77"/>
      <c r="I536" s="78">
        <f>SUM(I528:I535)</f>
        <v>60</v>
      </c>
      <c r="J536" s="78">
        <f>I536-P536</f>
        <v>10</v>
      </c>
      <c r="K536" s="77"/>
      <c r="L536" s="292"/>
      <c r="M536" s="292"/>
      <c r="N536" s="155"/>
      <c r="O536" s="156"/>
      <c r="P536" s="294">
        <f>SUM(P528:P535)</f>
        <v>50</v>
      </c>
      <c r="Q536" s="156"/>
      <c r="R536" s="370">
        <f t="shared" si="62"/>
        <v>0</v>
      </c>
      <c r="S536" s="156"/>
      <c r="T536" s="156"/>
      <c r="U536" s="280"/>
    </row>
    <row r="537" spans="2:21" ht="8.25" customHeight="1" thickBot="1" x14ac:dyDescent="0.3">
      <c r="B537" s="249"/>
      <c r="C537" s="262"/>
      <c r="D537" s="263"/>
      <c r="E537" s="378"/>
      <c r="F537" s="378"/>
      <c r="G537" s="137"/>
      <c r="H537" s="137"/>
      <c r="I537" s="251"/>
      <c r="J537" s="251"/>
      <c r="K537" s="137"/>
      <c r="L537" s="296"/>
      <c r="M537" s="296"/>
      <c r="N537" s="295"/>
      <c r="O537" s="232"/>
      <c r="P537" s="295"/>
      <c r="Q537" s="232"/>
      <c r="R537" s="377">
        <f t="shared" si="62"/>
        <v>0</v>
      </c>
      <c r="S537" s="232"/>
      <c r="T537" s="232"/>
      <c r="U537" s="275"/>
    </row>
    <row r="538" spans="2:21" ht="23.25" customHeight="1" x14ac:dyDescent="0.25">
      <c r="B538" s="492"/>
      <c r="C538" s="486" t="s">
        <v>103</v>
      </c>
      <c r="D538" s="33"/>
      <c r="E538" s="335">
        <v>45181</v>
      </c>
      <c r="F538" s="336" t="s">
        <v>74</v>
      </c>
      <c r="G538" s="337">
        <v>295.10000000000002</v>
      </c>
      <c r="H538" s="337">
        <v>156.83000000000001</v>
      </c>
      <c r="I538" s="336">
        <v>75</v>
      </c>
      <c r="J538" s="337">
        <v>22132.5</v>
      </c>
      <c r="K538" s="337">
        <v>22289.33</v>
      </c>
      <c r="L538" s="335">
        <v>45196</v>
      </c>
      <c r="M538" s="336" t="s">
        <v>114</v>
      </c>
      <c r="N538" s="337">
        <v>244.7</v>
      </c>
      <c r="O538" s="345">
        <v>1.6973333333333236</v>
      </c>
      <c r="P538" s="337">
        <v>75</v>
      </c>
      <c r="Q538" s="337">
        <v>18352.5</v>
      </c>
      <c r="R538" s="337">
        <f t="shared" si="62"/>
        <v>18225.2</v>
      </c>
      <c r="S538" s="184"/>
      <c r="T538" s="184"/>
      <c r="U538" s="166" t="s">
        <v>55</v>
      </c>
    </row>
    <row r="539" spans="2:21" ht="23.25" customHeight="1" x14ac:dyDescent="0.25">
      <c r="B539" s="493"/>
      <c r="C539" s="487"/>
      <c r="D539" s="35"/>
      <c r="E539" s="7">
        <v>45190</v>
      </c>
      <c r="F539" s="7" t="s">
        <v>117</v>
      </c>
      <c r="G539" s="8">
        <v>0</v>
      </c>
      <c r="H539" s="8">
        <v>0</v>
      </c>
      <c r="I539" s="299">
        <v>18</v>
      </c>
      <c r="J539" s="299">
        <v>0</v>
      </c>
      <c r="K539" s="8">
        <v>0</v>
      </c>
      <c r="L539" s="74"/>
      <c r="M539" s="74"/>
      <c r="N539" s="171"/>
      <c r="O539" s="8"/>
      <c r="P539" s="17"/>
      <c r="Q539" s="8"/>
      <c r="R539" s="340"/>
      <c r="S539" s="8"/>
      <c r="T539" s="8"/>
      <c r="U539" s="172"/>
    </row>
    <row r="540" spans="2:21" ht="23.25" customHeight="1" thickBot="1" x14ac:dyDescent="0.3">
      <c r="B540" s="494"/>
      <c r="C540" s="488"/>
      <c r="D540" s="38"/>
      <c r="E540" s="39"/>
      <c r="F540" s="39"/>
      <c r="G540" s="40"/>
      <c r="H540" s="40"/>
      <c r="I540" s="27">
        <f>SUM(I538:I539)</f>
        <v>93</v>
      </c>
      <c r="J540" s="27">
        <f>I540-P540</f>
        <v>18</v>
      </c>
      <c r="K540" s="40"/>
      <c r="L540" s="41"/>
      <c r="M540" s="41"/>
      <c r="N540" s="42"/>
      <c r="O540" s="40"/>
      <c r="P540" s="27">
        <f>SUM(P538:P539)</f>
        <v>75</v>
      </c>
      <c r="Q540" s="40"/>
      <c r="R540" s="352"/>
      <c r="S540" s="40"/>
      <c r="T540" s="40"/>
      <c r="U540" s="169"/>
    </row>
    <row r="541" spans="2:21" ht="10.5" customHeight="1" thickBot="1" x14ac:dyDescent="0.3">
      <c r="B541" s="483"/>
      <c r="C541" s="484"/>
      <c r="D541" s="484"/>
      <c r="E541" s="484"/>
      <c r="F541" s="484"/>
      <c r="G541" s="484"/>
      <c r="H541" s="484"/>
      <c r="I541" s="484"/>
      <c r="J541" s="484"/>
      <c r="K541" s="484"/>
      <c r="L541" s="484"/>
      <c r="M541" s="484"/>
      <c r="N541" s="484"/>
      <c r="O541" s="484"/>
      <c r="P541" s="484"/>
      <c r="Q541" s="484"/>
      <c r="R541" s="484"/>
      <c r="S541" s="484"/>
      <c r="T541" s="484"/>
      <c r="U541" s="485"/>
    </row>
    <row r="542" spans="2:21" ht="23.25" customHeight="1" x14ac:dyDescent="0.25">
      <c r="B542" s="475" t="e">
        <f>1+#REF!</f>
        <v>#REF!</v>
      </c>
      <c r="C542" s="486" t="s">
        <v>104</v>
      </c>
      <c r="D542" s="211"/>
      <c r="E542" s="382">
        <v>45247</v>
      </c>
      <c r="F542" s="336" t="s">
        <v>74</v>
      </c>
      <c r="G542" s="336">
        <v>160.25</v>
      </c>
      <c r="H542" s="385">
        <v>1.1354333333333246</v>
      </c>
      <c r="I542" s="336">
        <v>200</v>
      </c>
      <c r="J542" s="336">
        <v>48075</v>
      </c>
      <c r="K542" s="385">
        <f>(G542+H542)*I542</f>
        <v>32277.086666666666</v>
      </c>
      <c r="L542" s="382">
        <v>45280</v>
      </c>
      <c r="M542" s="336" t="s">
        <v>114</v>
      </c>
      <c r="N542" s="336">
        <v>175</v>
      </c>
      <c r="O542" s="385">
        <v>1.2129499999999824</v>
      </c>
      <c r="P542" s="336">
        <v>200</v>
      </c>
      <c r="Q542" s="336">
        <v>35000</v>
      </c>
      <c r="R542" s="336">
        <f t="shared" si="62"/>
        <v>34757.410000000003</v>
      </c>
      <c r="S542" s="184"/>
      <c r="T542" s="184"/>
      <c r="U542" s="297" t="s">
        <v>55</v>
      </c>
    </row>
    <row r="543" spans="2:21" ht="23.25" customHeight="1" x14ac:dyDescent="0.25">
      <c r="B543" s="476"/>
      <c r="C543" s="487"/>
      <c r="D543" s="222"/>
      <c r="E543" s="348">
        <v>45247</v>
      </c>
      <c r="F543" s="339" t="s">
        <v>74</v>
      </c>
      <c r="G543" s="339">
        <v>160.25</v>
      </c>
      <c r="H543" s="386">
        <v>1.1354333333333246</v>
      </c>
      <c r="I543" s="339">
        <v>100</v>
      </c>
      <c r="J543" s="339">
        <v>48075</v>
      </c>
      <c r="K543" s="386">
        <f>(G543+H543)*I543</f>
        <v>16138.543333333333</v>
      </c>
      <c r="L543" s="348">
        <v>45280</v>
      </c>
      <c r="M543" s="339" t="s">
        <v>114</v>
      </c>
      <c r="N543" s="339">
        <v>171.4</v>
      </c>
      <c r="O543" s="386">
        <v>1.1915000000000147</v>
      </c>
      <c r="P543" s="339">
        <v>100</v>
      </c>
      <c r="Q543" s="339">
        <v>17140</v>
      </c>
      <c r="R543" s="339">
        <f t="shared" si="62"/>
        <v>17020.849999999999</v>
      </c>
      <c r="S543" s="150"/>
      <c r="T543" s="150"/>
      <c r="U543" s="286"/>
    </row>
    <row r="544" spans="2:21" ht="23.25" customHeight="1" x14ac:dyDescent="0.25">
      <c r="B544" s="476"/>
      <c r="C544" s="487"/>
      <c r="D544" s="222"/>
      <c r="E544" s="348">
        <v>45316</v>
      </c>
      <c r="F544" s="339" t="s">
        <v>74</v>
      </c>
      <c r="G544" s="339">
        <v>301.60000000000002</v>
      </c>
      <c r="H544" s="386">
        <v>2.137400000000016</v>
      </c>
      <c r="I544" s="339">
        <v>100</v>
      </c>
      <c r="J544" s="339">
        <v>30160</v>
      </c>
      <c r="K544" s="386">
        <f>(G544+H544)*I544</f>
        <v>30373.740000000005</v>
      </c>
      <c r="L544" s="348">
        <v>45335</v>
      </c>
      <c r="M544" s="339" t="s">
        <v>114</v>
      </c>
      <c r="N544" s="339">
        <v>244.95</v>
      </c>
      <c r="O544" s="339">
        <v>1.6994</v>
      </c>
      <c r="P544" s="339">
        <v>100</v>
      </c>
      <c r="Q544" s="339">
        <v>24495</v>
      </c>
      <c r="R544" s="339">
        <f t="shared" si="62"/>
        <v>24325.059999999998</v>
      </c>
      <c r="S544" s="150"/>
      <c r="T544" s="150"/>
      <c r="U544" s="286"/>
    </row>
    <row r="545" spans="1:21" ht="23.25" customHeight="1" thickBot="1" x14ac:dyDescent="0.3">
      <c r="B545" s="477"/>
      <c r="C545" s="488"/>
      <c r="D545" s="38"/>
      <c r="E545" s="39"/>
      <c r="F545" s="39"/>
      <c r="G545" s="40"/>
      <c r="H545" s="40"/>
      <c r="I545" s="27">
        <f>SUM(I542:I544)</f>
        <v>400</v>
      </c>
      <c r="J545" s="27">
        <f>I545-P545</f>
        <v>0</v>
      </c>
      <c r="K545" s="388"/>
      <c r="L545" s="41"/>
      <c r="M545" s="41"/>
      <c r="N545" s="42"/>
      <c r="O545" s="40"/>
      <c r="P545" s="27">
        <f>SUM(P542:P544)</f>
        <v>400</v>
      </c>
      <c r="Q545" s="40"/>
      <c r="R545" s="351"/>
      <c r="S545" s="40"/>
      <c r="T545" s="40"/>
      <c r="U545" s="298"/>
    </row>
    <row r="546" spans="1:21" ht="10.5" customHeight="1" thickBot="1" x14ac:dyDescent="0.3">
      <c r="B546" s="5"/>
      <c r="C546" s="163"/>
      <c r="D546" s="29"/>
      <c r="E546" s="4"/>
      <c r="F546" s="4"/>
      <c r="G546" s="6"/>
      <c r="H546" s="6"/>
      <c r="I546" s="29"/>
      <c r="J546" s="29"/>
      <c r="K546" s="422"/>
      <c r="L546" s="30"/>
      <c r="M546" s="30"/>
      <c r="N546" s="31"/>
      <c r="O546" s="6"/>
      <c r="P546" s="29"/>
      <c r="Q546" s="6"/>
      <c r="R546" s="381"/>
      <c r="S546" s="6"/>
      <c r="T546" s="6"/>
      <c r="U546" s="32"/>
    </row>
    <row r="547" spans="1:21" ht="23.25" customHeight="1" x14ac:dyDescent="0.25">
      <c r="B547" s="475"/>
      <c r="C547" s="486" t="s">
        <v>105</v>
      </c>
      <c r="D547" s="211"/>
      <c r="E547" s="335">
        <v>45316</v>
      </c>
      <c r="F547" s="336" t="s">
        <v>74</v>
      </c>
      <c r="G547" s="337">
        <v>467.55</v>
      </c>
      <c r="H547" s="337">
        <f>331.39/I547</f>
        <v>3.3138999999999998</v>
      </c>
      <c r="I547" s="336">
        <v>100</v>
      </c>
      <c r="J547" s="337">
        <v>46755</v>
      </c>
      <c r="K547" s="345">
        <f t="shared" ref="K547:K548" si="64">(G547+H547)*I547</f>
        <v>47086.39</v>
      </c>
      <c r="L547" s="335">
        <v>45331</v>
      </c>
      <c r="M547" s="336" t="s">
        <v>114</v>
      </c>
      <c r="N547" s="337">
        <v>469.6</v>
      </c>
      <c r="O547" s="337">
        <v>3.2578999999999998</v>
      </c>
      <c r="P547" s="336">
        <v>100</v>
      </c>
      <c r="Q547" s="337">
        <v>93920</v>
      </c>
      <c r="R547" s="337">
        <f t="shared" si="62"/>
        <v>46634.21</v>
      </c>
      <c r="S547" s="184"/>
      <c r="T547" s="184"/>
      <c r="U547" s="166"/>
    </row>
    <row r="548" spans="1:21" ht="23.25" customHeight="1" x14ac:dyDescent="0.25">
      <c r="B548" s="476"/>
      <c r="C548" s="487"/>
      <c r="D548" s="222"/>
      <c r="E548" s="341">
        <v>45328</v>
      </c>
      <c r="F548" s="339" t="s">
        <v>74</v>
      </c>
      <c r="G548" s="340">
        <v>495.1</v>
      </c>
      <c r="H548" s="340">
        <v>3.5092307692307694</v>
      </c>
      <c r="I548" s="339">
        <v>100</v>
      </c>
      <c r="J548" s="340">
        <v>49510</v>
      </c>
      <c r="K548" s="347">
        <f t="shared" si="64"/>
        <v>49860.923076923078</v>
      </c>
      <c r="L548" s="341">
        <v>45331</v>
      </c>
      <c r="M548" s="339" t="s">
        <v>114</v>
      </c>
      <c r="N548" s="340">
        <v>469.6</v>
      </c>
      <c r="O548" s="340">
        <v>3.2578999999999998</v>
      </c>
      <c r="P548" s="339">
        <v>100</v>
      </c>
      <c r="Q548" s="340">
        <v>93920</v>
      </c>
      <c r="R548" s="340">
        <f t="shared" ref="R548" si="65">(N548-O548)*P548</f>
        <v>46634.21</v>
      </c>
      <c r="S548" s="150"/>
      <c r="T548" s="150"/>
      <c r="U548" s="172"/>
    </row>
    <row r="549" spans="1:21" ht="23.25" customHeight="1" thickBot="1" x14ac:dyDescent="0.3">
      <c r="B549" s="477"/>
      <c r="C549" s="488"/>
      <c r="D549" s="213"/>
      <c r="E549" s="225"/>
      <c r="F549" s="225"/>
      <c r="G549" s="224"/>
      <c r="H549" s="224"/>
      <c r="I549" s="279">
        <f>SUM(I547:I548)</f>
        <v>200</v>
      </c>
      <c r="J549" s="225"/>
      <c r="K549" s="224"/>
      <c r="L549" s="39"/>
      <c r="M549" s="39"/>
      <c r="N549" s="42"/>
      <c r="O549" s="40"/>
      <c r="P549" s="27">
        <f>SUM(P547:P548)</f>
        <v>200</v>
      </c>
      <c r="Q549" s="40"/>
      <c r="R549" s="40"/>
      <c r="S549" s="40"/>
      <c r="T549" s="40"/>
      <c r="U549" s="169"/>
    </row>
    <row r="550" spans="1:21" ht="8.25" customHeight="1" thickBot="1" x14ac:dyDescent="0.3">
      <c r="B550" s="5"/>
      <c r="C550" s="163"/>
      <c r="D550" s="29"/>
      <c r="E550" s="4"/>
      <c r="F550" s="4"/>
      <c r="G550" s="6"/>
      <c r="H550" s="6"/>
      <c r="I550" s="29"/>
      <c r="J550" s="29"/>
      <c r="K550" s="6"/>
      <c r="L550" s="30"/>
      <c r="M550" s="30"/>
      <c r="N550" s="31"/>
      <c r="O550" s="6"/>
      <c r="P550" s="29"/>
      <c r="Q550" s="6"/>
      <c r="R550" s="6"/>
      <c r="S550" s="6"/>
      <c r="T550" s="6"/>
      <c r="U550" s="32"/>
    </row>
    <row r="551" spans="1:21" ht="23.25" customHeight="1" x14ac:dyDescent="0.25">
      <c r="B551" s="475">
        <f>1+B547</f>
        <v>1</v>
      </c>
      <c r="C551" s="478" t="s">
        <v>49</v>
      </c>
      <c r="D551" s="211"/>
      <c r="E551" s="344">
        <v>44504</v>
      </c>
      <c r="F551" s="344"/>
      <c r="G551" s="184">
        <v>2499</v>
      </c>
      <c r="H551" s="184">
        <v>0</v>
      </c>
      <c r="I551" s="223">
        <v>1</v>
      </c>
      <c r="J551" s="223"/>
      <c r="K551" s="184">
        <f>I551*G551</f>
        <v>2499</v>
      </c>
      <c r="L551" s="9"/>
      <c r="M551" s="9"/>
      <c r="N551" s="267"/>
      <c r="O551" s="10"/>
      <c r="P551" s="267"/>
      <c r="Q551" s="10"/>
      <c r="R551" s="10"/>
      <c r="S551" s="10"/>
      <c r="T551" s="10"/>
      <c r="U551" s="166" t="s">
        <v>28</v>
      </c>
    </row>
    <row r="552" spans="1:21" ht="23.25" customHeight="1" x14ac:dyDescent="0.25">
      <c r="B552" s="476"/>
      <c r="C552" s="479"/>
      <c r="D552" s="222"/>
      <c r="E552" s="346">
        <v>44536</v>
      </c>
      <c r="F552" s="346"/>
      <c r="G552" s="150">
        <v>2373.9499999999998</v>
      </c>
      <c r="H552" s="150">
        <v>0</v>
      </c>
      <c r="I552" s="149">
        <v>1</v>
      </c>
      <c r="J552" s="149"/>
      <c r="K552" s="150">
        <f>I552*G552</f>
        <v>2373.9499999999998</v>
      </c>
      <c r="L552" s="7"/>
      <c r="M552" s="7"/>
      <c r="N552" s="171"/>
      <c r="O552" s="8"/>
      <c r="P552" s="299"/>
      <c r="Q552" s="8"/>
      <c r="R552" s="8"/>
      <c r="S552" s="8"/>
      <c r="T552" s="8"/>
      <c r="U552" s="172"/>
    </row>
    <row r="553" spans="1:21" ht="23.25" customHeight="1" x14ac:dyDescent="0.25">
      <c r="B553" s="476"/>
      <c r="C553" s="479"/>
      <c r="D553" s="222"/>
      <c r="E553" s="153">
        <v>45222</v>
      </c>
      <c r="F553" s="154" t="s">
        <v>130</v>
      </c>
      <c r="G553" s="154">
        <v>2293</v>
      </c>
      <c r="H553" s="154">
        <v>0</v>
      </c>
      <c r="I553" s="154">
        <v>1</v>
      </c>
      <c r="J553" s="154">
        <v>2293</v>
      </c>
      <c r="K553" s="154">
        <v>2293</v>
      </c>
      <c r="L553" s="7"/>
      <c r="M553" s="7"/>
      <c r="N553" s="171"/>
      <c r="O553" s="8"/>
      <c r="P553" s="299"/>
      <c r="Q553" s="8"/>
      <c r="R553" s="8"/>
      <c r="S553" s="8"/>
      <c r="T553" s="8"/>
      <c r="U553" s="172"/>
    </row>
    <row r="554" spans="1:21" ht="23.25" customHeight="1" thickBot="1" x14ac:dyDescent="0.3">
      <c r="B554" s="477"/>
      <c r="C554" s="480"/>
      <c r="D554" s="213"/>
      <c r="E554" s="225"/>
      <c r="F554" s="225"/>
      <c r="G554" s="224"/>
      <c r="H554" s="224"/>
      <c r="I554" s="279">
        <f>SUM(I551:I553)</f>
        <v>3</v>
      </c>
      <c r="J554" s="225">
        <f>I554</f>
        <v>3</v>
      </c>
      <c r="K554" s="224"/>
      <c r="L554" s="39"/>
      <c r="M554" s="39"/>
      <c r="N554" s="42"/>
      <c r="O554" s="40"/>
      <c r="P554" s="55"/>
      <c r="Q554" s="40"/>
      <c r="R554" s="40"/>
      <c r="S554" s="40"/>
      <c r="T554" s="40"/>
      <c r="U554" s="169"/>
    </row>
    <row r="555" spans="1:21" ht="15" customHeight="1" thickBot="1" x14ac:dyDescent="0.3">
      <c r="B555" s="5"/>
      <c r="C555" s="163"/>
      <c r="D555" s="29"/>
      <c r="E555" s="4"/>
      <c r="F555" s="4"/>
      <c r="G555" s="6"/>
      <c r="H555" s="6"/>
      <c r="I555" s="29"/>
      <c r="J555" s="29"/>
      <c r="K555" s="6"/>
      <c r="L555" s="30"/>
      <c r="M555" s="30"/>
      <c r="N555" s="31"/>
      <c r="O555" s="6"/>
      <c r="P555" s="29"/>
      <c r="Q555" s="6"/>
      <c r="R555" s="6"/>
      <c r="S555" s="6"/>
      <c r="T555" s="6"/>
      <c r="U555" s="32"/>
    </row>
    <row r="556" spans="1:21" ht="23.25" customHeight="1" x14ac:dyDescent="0.25">
      <c r="A556" s="11" t="s">
        <v>70</v>
      </c>
      <c r="B556" s="475">
        <f>1+B551</f>
        <v>2</v>
      </c>
      <c r="C556" s="478" t="s">
        <v>69</v>
      </c>
      <c r="D556" s="211"/>
      <c r="E556" s="344">
        <v>43997</v>
      </c>
      <c r="F556" s="344"/>
      <c r="G556" s="184">
        <v>1257</v>
      </c>
      <c r="H556" s="184">
        <v>0</v>
      </c>
      <c r="I556" s="223">
        <v>2</v>
      </c>
      <c r="J556" s="223"/>
      <c r="K556" s="184">
        <f>G556*I556</f>
        <v>2514</v>
      </c>
      <c r="L556" s="9"/>
      <c r="M556" s="9"/>
      <c r="N556" s="267"/>
      <c r="O556" s="10"/>
      <c r="P556" s="267"/>
      <c r="Q556" s="10"/>
      <c r="R556" s="10"/>
      <c r="S556" s="10"/>
      <c r="T556" s="10"/>
      <c r="U556" s="166" t="s">
        <v>55</v>
      </c>
    </row>
    <row r="557" spans="1:21" ht="23.25" customHeight="1" thickBot="1" x14ac:dyDescent="0.3">
      <c r="B557" s="477"/>
      <c r="C557" s="480"/>
      <c r="D557" s="216"/>
      <c r="E557" s="155"/>
      <c r="F557" s="155"/>
      <c r="G557" s="156"/>
      <c r="H557" s="156"/>
      <c r="I557" s="294">
        <v>2</v>
      </c>
      <c r="J557" s="294">
        <f>I557</f>
        <v>2</v>
      </c>
      <c r="K557" s="156"/>
      <c r="L557" s="45"/>
      <c r="M557" s="45"/>
      <c r="N557" s="76"/>
      <c r="O557" s="77"/>
      <c r="P557" s="226"/>
      <c r="Q557" s="77"/>
      <c r="R557" s="77"/>
      <c r="S557" s="77"/>
      <c r="T557" s="77"/>
      <c r="U557" s="280"/>
    </row>
    <row r="558" spans="1:21" ht="9.75" customHeight="1" thickBot="1" x14ac:dyDescent="0.3">
      <c r="B558" s="47"/>
      <c r="C558" s="186"/>
      <c r="D558" s="243"/>
      <c r="E558" s="411"/>
      <c r="F558" s="411"/>
      <c r="G558" s="233"/>
      <c r="H558" s="233"/>
      <c r="I558" s="187"/>
      <c r="J558" s="187"/>
      <c r="K558" s="233"/>
      <c r="L558" s="293"/>
      <c r="M558" s="293"/>
      <c r="N558" s="187"/>
      <c r="O558" s="233"/>
      <c r="P558" s="187"/>
      <c r="Q558" s="233"/>
      <c r="R558" s="233"/>
      <c r="S558" s="233"/>
      <c r="T558" s="233"/>
      <c r="U558" s="182"/>
    </row>
    <row r="559" spans="1:21" ht="25.5" customHeight="1" x14ac:dyDescent="0.25">
      <c r="B559" s="475"/>
      <c r="C559" s="486" t="s">
        <v>106</v>
      </c>
      <c r="D559" s="212"/>
      <c r="E559" s="331">
        <v>45219</v>
      </c>
      <c r="F559" s="332" t="s">
        <v>74</v>
      </c>
      <c r="G559" s="333">
        <v>89.3</v>
      </c>
      <c r="H559" s="333">
        <v>126.58000000000001</v>
      </c>
      <c r="I559" s="332">
        <v>200</v>
      </c>
      <c r="J559" s="333">
        <v>17860</v>
      </c>
      <c r="K559" s="333">
        <v>17986.580000000002</v>
      </c>
      <c r="L559" s="331">
        <v>45300</v>
      </c>
      <c r="M559" s="332" t="s">
        <v>114</v>
      </c>
      <c r="N559" s="333">
        <v>92.95</v>
      </c>
      <c r="O559" s="408">
        <v>0.64489999999999781</v>
      </c>
      <c r="P559" s="332">
        <v>200</v>
      </c>
      <c r="Q559" s="333">
        <v>18590</v>
      </c>
      <c r="R559" s="333">
        <v>18461.02</v>
      </c>
      <c r="S559" s="146"/>
      <c r="T559" s="146"/>
      <c r="U559" s="177"/>
    </row>
    <row r="560" spans="1:21" ht="25.5" customHeight="1" thickBot="1" x14ac:dyDescent="0.3">
      <c r="B560" s="477"/>
      <c r="C560" s="488"/>
      <c r="D560" s="216"/>
      <c r="E560" s="338"/>
      <c r="F560" s="370"/>
      <c r="G560" s="371"/>
      <c r="H560" s="371"/>
      <c r="I560" s="372">
        <f>SUM(I559)</f>
        <v>200</v>
      </c>
      <c r="J560" s="371"/>
      <c r="K560" s="371"/>
      <c r="L560" s="292"/>
      <c r="M560" s="292"/>
      <c r="N560" s="155"/>
      <c r="O560" s="156"/>
      <c r="P560" s="294">
        <f>SUM(P559)</f>
        <v>200</v>
      </c>
      <c r="Q560" s="156"/>
      <c r="R560" s="156"/>
      <c r="S560" s="156"/>
      <c r="T560" s="156"/>
      <c r="U560" s="280"/>
    </row>
    <row r="561" spans="2:21" ht="8.25" customHeight="1" thickBot="1" x14ac:dyDescent="0.3">
      <c r="B561" s="47"/>
      <c r="C561" s="427"/>
      <c r="D561" s="243"/>
      <c r="E561" s="391"/>
      <c r="F561" s="392"/>
      <c r="G561" s="393"/>
      <c r="H561" s="393"/>
      <c r="I561" s="392"/>
      <c r="J561" s="393"/>
      <c r="K561" s="393"/>
      <c r="L561" s="293"/>
      <c r="M561" s="293"/>
      <c r="N561" s="187"/>
      <c r="O561" s="233"/>
      <c r="P561" s="187"/>
      <c r="Q561" s="233"/>
      <c r="R561" s="233"/>
      <c r="S561" s="233"/>
      <c r="T561" s="233"/>
      <c r="U561" s="182"/>
    </row>
    <row r="562" spans="2:21" ht="25.5" customHeight="1" x14ac:dyDescent="0.25">
      <c r="B562" s="475"/>
      <c r="C562" s="481" t="s">
        <v>50</v>
      </c>
      <c r="D562" s="212"/>
      <c r="E562" s="410">
        <v>44650</v>
      </c>
      <c r="F562" s="410"/>
      <c r="G562" s="146">
        <v>1513.2</v>
      </c>
      <c r="H562" s="146">
        <v>0</v>
      </c>
      <c r="I562" s="145">
        <v>2</v>
      </c>
      <c r="J562" s="145"/>
      <c r="K562" s="146">
        <f>I562*G562</f>
        <v>3026.4</v>
      </c>
      <c r="L562" s="145"/>
      <c r="M562" s="145"/>
      <c r="N562" s="145"/>
      <c r="O562" s="145"/>
      <c r="P562" s="145"/>
      <c r="Q562" s="145"/>
      <c r="R562" s="145"/>
      <c r="S562" s="146"/>
      <c r="T562" s="146"/>
      <c r="U562" s="177"/>
    </row>
    <row r="563" spans="2:21" ht="23.25" customHeight="1" thickBot="1" x14ac:dyDescent="0.3">
      <c r="B563" s="477"/>
      <c r="C563" s="482"/>
      <c r="D563" s="213"/>
      <c r="E563" s="225"/>
      <c r="F563" s="225"/>
      <c r="G563" s="224"/>
      <c r="H563" s="224"/>
      <c r="I563" s="279">
        <f>SUM(I562)</f>
        <v>2</v>
      </c>
      <c r="J563" s="225"/>
      <c r="K563" s="224"/>
      <c r="L563" s="39"/>
      <c r="M563" s="39"/>
      <c r="N563" s="42"/>
      <c r="O563" s="40"/>
      <c r="P563" s="55"/>
      <c r="Q563" s="40"/>
      <c r="R563" s="40"/>
      <c r="S563" s="40"/>
      <c r="T563" s="40"/>
      <c r="U563" s="169"/>
    </row>
    <row r="564" spans="2:21" ht="9" customHeight="1" thickBot="1" x14ac:dyDescent="0.3">
      <c r="B564" s="5"/>
      <c r="C564" s="163"/>
      <c r="D564" s="5"/>
      <c r="E564" s="197"/>
      <c r="F564" s="197"/>
      <c r="G564" s="179"/>
      <c r="H564" s="179"/>
      <c r="I564" s="197"/>
      <c r="J564" s="197"/>
      <c r="K564" s="179"/>
      <c r="L564" s="192"/>
      <c r="M564" s="192"/>
      <c r="N564" s="31"/>
      <c r="O564" s="6"/>
      <c r="P564" s="5"/>
      <c r="Q564" s="6"/>
      <c r="R564" s="6"/>
      <c r="S564" s="6"/>
      <c r="T564" s="6"/>
      <c r="U564" s="32"/>
    </row>
    <row r="565" spans="2:21" ht="23.25" customHeight="1" x14ac:dyDescent="0.25">
      <c r="B565" s="475" t="e">
        <f>1+#REF!</f>
        <v>#REF!</v>
      </c>
      <c r="C565" s="478" t="s">
        <v>51</v>
      </c>
      <c r="D565" s="211"/>
      <c r="E565" s="344">
        <v>44546</v>
      </c>
      <c r="F565" s="344"/>
      <c r="G565" s="184">
        <f>+K565/I565</f>
        <v>258.81875000000002</v>
      </c>
      <c r="H565" s="184">
        <v>0</v>
      </c>
      <c r="I565" s="223">
        <v>8</v>
      </c>
      <c r="J565" s="223"/>
      <c r="K565" s="184">
        <v>2070.5500000000002</v>
      </c>
      <c r="L565" s="218">
        <v>45149</v>
      </c>
      <c r="M565" s="219" t="s">
        <v>131</v>
      </c>
      <c r="N565" s="219">
        <v>249.73999999999998</v>
      </c>
      <c r="O565" s="219">
        <v>0</v>
      </c>
      <c r="P565" s="219">
        <v>8</v>
      </c>
      <c r="Q565" s="219">
        <v>3746.1</v>
      </c>
      <c r="R565" s="219">
        <f>(N565-O565)*P565</f>
        <v>1997.9199999999998</v>
      </c>
      <c r="S565" s="184"/>
      <c r="T565" s="184"/>
      <c r="U565" s="166" t="s">
        <v>28</v>
      </c>
    </row>
    <row r="566" spans="2:21" ht="23.25" customHeight="1" x14ac:dyDescent="0.25">
      <c r="B566" s="476"/>
      <c r="C566" s="479"/>
      <c r="D566" s="222"/>
      <c r="E566" s="346">
        <v>44650</v>
      </c>
      <c r="F566" s="346"/>
      <c r="G566" s="150">
        <v>255.7</v>
      </c>
      <c r="H566" s="150">
        <v>0</v>
      </c>
      <c r="I566" s="149">
        <v>3</v>
      </c>
      <c r="J566" s="149"/>
      <c r="K566" s="150">
        <f>I566*G566</f>
        <v>767.09999999999991</v>
      </c>
      <c r="L566" s="153" t="s">
        <v>133</v>
      </c>
      <c r="M566" s="154" t="s">
        <v>131</v>
      </c>
      <c r="N566" s="154">
        <v>249.73999999999998</v>
      </c>
      <c r="O566" s="154">
        <v>0</v>
      </c>
      <c r="P566" s="154">
        <v>3</v>
      </c>
      <c r="Q566" s="154">
        <v>3746.1</v>
      </c>
      <c r="R566" s="154">
        <f>(N566-O566)*P566</f>
        <v>749.21999999999991</v>
      </c>
      <c r="S566" s="150"/>
      <c r="T566" s="150"/>
      <c r="U566" s="172"/>
    </row>
    <row r="567" spans="2:21" ht="23.25" customHeight="1" x14ac:dyDescent="0.25">
      <c r="B567" s="476"/>
      <c r="C567" s="479"/>
      <c r="D567" s="222"/>
      <c r="E567" s="346">
        <v>44799</v>
      </c>
      <c r="F567" s="346"/>
      <c r="G567" s="150">
        <v>205.8</v>
      </c>
      <c r="H567" s="150">
        <v>0</v>
      </c>
      <c r="I567" s="149">
        <v>4</v>
      </c>
      <c r="J567" s="149"/>
      <c r="K567" s="150">
        <v>823.2</v>
      </c>
      <c r="L567" s="153">
        <v>45149</v>
      </c>
      <c r="M567" s="154" t="s">
        <v>131</v>
      </c>
      <c r="N567" s="154">
        <v>249.73999999999998</v>
      </c>
      <c r="O567" s="154">
        <v>0</v>
      </c>
      <c r="P567" s="154">
        <v>4</v>
      </c>
      <c r="Q567" s="154">
        <v>3746.1</v>
      </c>
      <c r="R567" s="154">
        <f>(N567-O567)*P567</f>
        <v>998.95999999999992</v>
      </c>
      <c r="S567" s="150"/>
      <c r="T567" s="150"/>
      <c r="U567" s="172"/>
    </row>
    <row r="568" spans="2:21" ht="23.25" customHeight="1" thickBot="1" x14ac:dyDescent="0.3">
      <c r="B568" s="476"/>
      <c r="C568" s="480"/>
      <c r="D568" s="216"/>
      <c r="E568" s="292"/>
      <c r="F568" s="292"/>
      <c r="G568" s="156"/>
      <c r="H568" s="156"/>
      <c r="I568" s="294">
        <f>SUM(I565:I567)</f>
        <v>15</v>
      </c>
      <c r="J568" s="294">
        <f>I568-P568</f>
        <v>0</v>
      </c>
      <c r="K568" s="156"/>
      <c r="L568" s="292"/>
      <c r="M568" s="292"/>
      <c r="N568" s="155"/>
      <c r="O568" s="156"/>
      <c r="P568" s="294">
        <f>SUM(P565:P567)</f>
        <v>15</v>
      </c>
      <c r="Q568" s="156"/>
      <c r="R568" s="156"/>
      <c r="S568" s="156"/>
      <c r="T568" s="156"/>
      <c r="U568" s="280"/>
    </row>
    <row r="569" spans="2:21" ht="7.5" customHeight="1" thickBot="1" x14ac:dyDescent="0.3">
      <c r="B569" s="483"/>
      <c r="C569" s="484"/>
      <c r="D569" s="484"/>
      <c r="E569" s="484"/>
      <c r="F569" s="484"/>
      <c r="G569" s="484"/>
      <c r="H569" s="484"/>
      <c r="I569" s="484"/>
      <c r="J569" s="484"/>
      <c r="K569" s="484"/>
      <c r="L569" s="484"/>
      <c r="M569" s="484"/>
      <c r="N569" s="484"/>
      <c r="O569" s="484"/>
      <c r="P569" s="484"/>
      <c r="Q569" s="484"/>
      <c r="R569" s="484"/>
      <c r="S569" s="484"/>
      <c r="T569" s="484"/>
      <c r="U569" s="485"/>
    </row>
    <row r="570" spans="2:21" ht="23.25" customHeight="1" x14ac:dyDescent="0.25">
      <c r="B570" s="475" t="e">
        <f>1+B565</f>
        <v>#REF!</v>
      </c>
      <c r="C570" s="478" t="s">
        <v>64</v>
      </c>
      <c r="D570" s="211"/>
      <c r="E570" s="344">
        <v>44756</v>
      </c>
      <c r="F570" s="344"/>
      <c r="G570" s="184">
        <v>6600.95</v>
      </c>
      <c r="H570" s="184">
        <v>40.200000000000003</v>
      </c>
      <c r="I570" s="223">
        <v>1</v>
      </c>
      <c r="J570" s="223"/>
      <c r="K570" s="184">
        <f>(G570+H570)*I570</f>
        <v>6641.15</v>
      </c>
      <c r="L570" s="335">
        <v>45204</v>
      </c>
      <c r="M570" s="336" t="s">
        <v>114</v>
      </c>
      <c r="N570" s="337">
        <v>7299.9</v>
      </c>
      <c r="O570" s="345">
        <v>50.647999999999591</v>
      </c>
      <c r="P570" s="336">
        <v>1</v>
      </c>
      <c r="Q570" s="337">
        <v>36499.5</v>
      </c>
      <c r="R570" s="345">
        <f>(N570-O570)*P570</f>
        <v>7249.2520000000004</v>
      </c>
      <c r="S570" s="184"/>
      <c r="T570" s="184"/>
      <c r="U570" s="166" t="s">
        <v>55</v>
      </c>
    </row>
    <row r="571" spans="2:21" ht="23.25" customHeight="1" x14ac:dyDescent="0.25">
      <c r="B571" s="476"/>
      <c r="C571" s="479"/>
      <c r="D571" s="222"/>
      <c r="E571" s="346">
        <v>44756</v>
      </c>
      <c r="F571" s="346"/>
      <c r="G571" s="150">
        <v>6600.95</v>
      </c>
      <c r="H571" s="150">
        <v>40.20000000000001</v>
      </c>
      <c r="I571" s="149">
        <v>4</v>
      </c>
      <c r="J571" s="149"/>
      <c r="K571" s="150">
        <f>(G571+H571)*I571</f>
        <v>26564.6</v>
      </c>
      <c r="L571" s="341">
        <v>45204</v>
      </c>
      <c r="M571" s="339" t="s">
        <v>114</v>
      </c>
      <c r="N571" s="340">
        <v>7299.9</v>
      </c>
      <c r="O571" s="347">
        <v>50.647999999999591</v>
      </c>
      <c r="P571" s="339">
        <v>4</v>
      </c>
      <c r="Q571" s="340">
        <v>36499.5</v>
      </c>
      <c r="R571" s="347">
        <f>(N571-O571)*P571</f>
        <v>28997.008000000002</v>
      </c>
      <c r="S571" s="150"/>
      <c r="T571" s="150"/>
      <c r="U571" s="172"/>
    </row>
    <row r="572" spans="2:21" ht="23.25" customHeight="1" thickBot="1" x14ac:dyDescent="0.3">
      <c r="B572" s="477"/>
      <c r="C572" s="480"/>
      <c r="D572" s="213"/>
      <c r="E572" s="225"/>
      <c r="F572" s="225"/>
      <c r="G572" s="224"/>
      <c r="H572" s="224"/>
      <c r="I572" s="279">
        <f>SUM(I570:I571)</f>
        <v>5</v>
      </c>
      <c r="J572" s="279">
        <f>I572-P572</f>
        <v>0</v>
      </c>
      <c r="K572" s="224"/>
      <c r="L572" s="39"/>
      <c r="M572" s="39"/>
      <c r="N572" s="42"/>
      <c r="O572" s="40"/>
      <c r="P572" s="27">
        <f>SUM(P570:P571)</f>
        <v>5</v>
      </c>
      <c r="Q572" s="40"/>
      <c r="R572" s="40"/>
      <c r="S572" s="40"/>
      <c r="T572" s="40"/>
      <c r="U572" s="169"/>
    </row>
    <row r="573" spans="2:21" ht="15" customHeight="1" thickBot="1" x14ac:dyDescent="0.3">
      <c r="B573" s="56"/>
      <c r="C573" s="142"/>
      <c r="D573" s="56"/>
      <c r="E573" s="230"/>
      <c r="F573" s="230"/>
      <c r="G573" s="231"/>
      <c r="H573" s="231"/>
      <c r="I573" s="230"/>
      <c r="J573" s="230"/>
      <c r="K573" s="231"/>
      <c r="L573" s="143"/>
      <c r="M573" s="143"/>
      <c r="N573" s="62"/>
      <c r="O573" s="60"/>
      <c r="P573" s="56"/>
      <c r="Q573" s="60"/>
      <c r="R573" s="60"/>
      <c r="S573" s="60"/>
      <c r="T573" s="60"/>
      <c r="U573" s="63"/>
    </row>
    <row r="574" spans="2:21" ht="23.25" customHeight="1" thickTop="1" x14ac:dyDescent="0.25">
      <c r="B574" s="472" t="e">
        <f>1+B570</f>
        <v>#REF!</v>
      </c>
      <c r="C574" s="472" t="s">
        <v>52</v>
      </c>
      <c r="D574" s="64"/>
      <c r="E574" s="355">
        <v>44650</v>
      </c>
      <c r="F574" s="356"/>
      <c r="G574" s="150">
        <v>868</v>
      </c>
      <c r="H574" s="150">
        <v>0</v>
      </c>
      <c r="I574" s="149">
        <v>4</v>
      </c>
      <c r="J574" s="180"/>
      <c r="K574" s="151">
        <f>I574*G574</f>
        <v>3472</v>
      </c>
      <c r="L574" s="153" t="s">
        <v>133</v>
      </c>
      <c r="M574" s="154" t="s">
        <v>131</v>
      </c>
      <c r="N574" s="154">
        <v>910</v>
      </c>
      <c r="O574" s="154">
        <v>0</v>
      </c>
      <c r="P574" s="154">
        <v>4</v>
      </c>
      <c r="Q574" s="154">
        <v>3640</v>
      </c>
      <c r="R574" s="161">
        <v>3640</v>
      </c>
      <c r="S574" s="179"/>
      <c r="T574" s="179"/>
      <c r="U574" s="148" t="s">
        <v>28</v>
      </c>
    </row>
    <row r="575" spans="2:21" ht="23.25" customHeight="1" thickBot="1" x14ac:dyDescent="0.3">
      <c r="B575" s="474"/>
      <c r="C575" s="474"/>
      <c r="D575" s="81"/>
      <c r="E575" s="228"/>
      <c r="F575" s="228"/>
      <c r="G575" s="229"/>
      <c r="H575" s="229"/>
      <c r="I575" s="234">
        <v>4</v>
      </c>
      <c r="J575" s="235">
        <f>I575-P575</f>
        <v>0</v>
      </c>
      <c r="K575" s="231"/>
      <c r="L575" s="83"/>
      <c r="M575" s="84"/>
      <c r="N575" s="207"/>
      <c r="O575" s="85"/>
      <c r="P575" s="205">
        <f>SUM(P574)</f>
        <v>4</v>
      </c>
      <c r="Q575" s="193"/>
      <c r="R575" s="60"/>
      <c r="S575" s="60"/>
      <c r="T575" s="60"/>
      <c r="U575" s="159"/>
    </row>
    <row r="576" spans="2:21" ht="11.25" customHeight="1" thickTop="1" thickBot="1" x14ac:dyDescent="0.3">
      <c r="B576" s="5"/>
      <c r="C576" s="163"/>
      <c r="D576" s="5"/>
      <c r="E576" s="197"/>
      <c r="F576" s="197"/>
      <c r="G576" s="179"/>
      <c r="H576" s="179"/>
      <c r="I576" s="197"/>
      <c r="J576" s="197"/>
      <c r="K576" s="179"/>
      <c r="L576" s="192"/>
      <c r="M576" s="192"/>
      <c r="N576" s="31"/>
      <c r="O576" s="6"/>
      <c r="P576" s="5"/>
      <c r="Q576" s="6"/>
      <c r="R576" s="6"/>
      <c r="S576" s="6"/>
      <c r="T576" s="6"/>
      <c r="U576" s="32"/>
    </row>
    <row r="577" spans="2:21" ht="23.25" customHeight="1" x14ac:dyDescent="0.25">
      <c r="B577" s="475" t="e">
        <f>1+B574</f>
        <v>#REF!</v>
      </c>
      <c r="C577" s="478" t="s">
        <v>9</v>
      </c>
      <c r="D577" s="211"/>
      <c r="E577" s="344">
        <v>43928</v>
      </c>
      <c r="F577" s="344"/>
      <c r="G577" s="10">
        <f>4260.57/100</f>
        <v>42.605699999999999</v>
      </c>
      <c r="H577" s="10">
        <v>0</v>
      </c>
      <c r="I577" s="267">
        <v>200</v>
      </c>
      <c r="J577" s="267"/>
      <c r="K577" s="10">
        <f>+I577*G577</f>
        <v>8521.14</v>
      </c>
      <c r="L577" s="9"/>
      <c r="M577" s="9"/>
      <c r="N577" s="227"/>
      <c r="O577" s="10"/>
      <c r="P577" s="267"/>
      <c r="Q577" s="10"/>
      <c r="R577" s="10"/>
      <c r="S577" s="10"/>
      <c r="T577" s="10"/>
      <c r="U577" s="34" t="s">
        <v>55</v>
      </c>
    </row>
    <row r="578" spans="2:21" ht="23.25" customHeight="1" x14ac:dyDescent="0.25">
      <c r="B578" s="476"/>
      <c r="C578" s="479"/>
      <c r="D578" s="222"/>
      <c r="E578" s="346">
        <v>43936</v>
      </c>
      <c r="F578" s="346"/>
      <c r="G578" s="8">
        <f>4959.775/100</f>
        <v>49.597749999999998</v>
      </c>
      <c r="H578" s="8">
        <v>0</v>
      </c>
      <c r="I578" s="299">
        <v>200</v>
      </c>
      <c r="J578" s="299"/>
      <c r="K578" s="8">
        <f>+I578*G578</f>
        <v>9919.5499999999993</v>
      </c>
      <c r="L578" s="7"/>
      <c r="M578" s="7"/>
      <c r="N578" s="171"/>
      <c r="O578" s="8"/>
      <c r="P578" s="299"/>
      <c r="Q578" s="8"/>
      <c r="R578" s="8"/>
      <c r="S578" s="8"/>
      <c r="T578" s="8"/>
      <c r="U578" s="36"/>
    </row>
    <row r="579" spans="2:21" ht="23.25" customHeight="1" x14ac:dyDescent="0.25">
      <c r="B579" s="476"/>
      <c r="C579" s="479"/>
      <c r="D579" s="222"/>
      <c r="E579" s="346">
        <v>43956</v>
      </c>
      <c r="F579" s="346"/>
      <c r="G579" s="8">
        <f>4286.732/100</f>
        <v>42.867319999999999</v>
      </c>
      <c r="H579" s="8">
        <v>0</v>
      </c>
      <c r="I579" s="299">
        <v>500</v>
      </c>
      <c r="J579" s="299"/>
      <c r="K579" s="8">
        <f>+I579*G579</f>
        <v>21433.66</v>
      </c>
      <c r="L579" s="7"/>
      <c r="M579" s="7"/>
      <c r="N579" s="171"/>
      <c r="O579" s="8"/>
      <c r="P579" s="299"/>
      <c r="Q579" s="8"/>
      <c r="R579" s="8"/>
      <c r="S579" s="8"/>
      <c r="T579" s="8"/>
      <c r="U579" s="36"/>
    </row>
    <row r="580" spans="2:21" ht="23.25" customHeight="1" x14ac:dyDescent="0.25">
      <c r="B580" s="476"/>
      <c r="C580" s="479"/>
      <c r="D580" s="222"/>
      <c r="E580" s="346">
        <v>44149</v>
      </c>
      <c r="F580" s="346"/>
      <c r="G580" s="8">
        <f>4618.45/100</f>
        <v>46.1845</v>
      </c>
      <c r="H580" s="8">
        <v>0</v>
      </c>
      <c r="I580" s="299">
        <v>100</v>
      </c>
      <c r="J580" s="299"/>
      <c r="K580" s="8">
        <f>+I580*G580</f>
        <v>4618.45</v>
      </c>
      <c r="L580" s="7"/>
      <c r="M580" s="7"/>
      <c r="N580" s="171"/>
      <c r="O580" s="8"/>
      <c r="P580" s="299"/>
      <c r="Q580" s="8"/>
      <c r="R580" s="8"/>
      <c r="S580" s="8"/>
      <c r="T580" s="8"/>
      <c r="U580" s="36"/>
    </row>
    <row r="581" spans="2:21" ht="23.25" customHeight="1" x14ac:dyDescent="0.25">
      <c r="B581" s="476"/>
      <c r="C581" s="479"/>
      <c r="D581" s="222"/>
      <c r="E581" s="346">
        <v>44504</v>
      </c>
      <c r="F581" s="346"/>
      <c r="G581" s="8">
        <f>4255.46/100</f>
        <v>42.554600000000001</v>
      </c>
      <c r="H581" s="8">
        <v>0</v>
      </c>
      <c r="I581" s="299">
        <v>200</v>
      </c>
      <c r="J581" s="299"/>
      <c r="K581" s="8">
        <f>+G581*I581</f>
        <v>8510.92</v>
      </c>
      <c r="L581" s="7"/>
      <c r="M581" s="7"/>
      <c r="N581" s="171"/>
      <c r="O581" s="8"/>
      <c r="P581" s="299"/>
      <c r="Q581" s="8"/>
      <c r="R581" s="8"/>
      <c r="S581" s="8"/>
      <c r="T581" s="8"/>
      <c r="U581" s="36"/>
    </row>
    <row r="582" spans="2:21" ht="23.25" customHeight="1" x14ac:dyDescent="0.25">
      <c r="B582" s="476"/>
      <c r="C582" s="479"/>
      <c r="D582" s="222"/>
      <c r="E582" s="346">
        <v>44858</v>
      </c>
      <c r="F582" s="346"/>
      <c r="G582" s="8">
        <v>45.37</v>
      </c>
      <c r="H582" s="8">
        <v>1.34</v>
      </c>
      <c r="I582" s="299">
        <v>1</v>
      </c>
      <c r="J582" s="299"/>
      <c r="K582" s="8">
        <v>46.71</v>
      </c>
      <c r="L582" s="7"/>
      <c r="M582" s="7"/>
      <c r="N582" s="171"/>
      <c r="O582" s="8"/>
      <c r="P582" s="299"/>
      <c r="Q582" s="8"/>
      <c r="R582" s="8"/>
      <c r="S582" s="8"/>
      <c r="T582" s="8"/>
      <c r="U582" s="36"/>
    </row>
    <row r="583" spans="2:21" ht="23.25" customHeight="1" x14ac:dyDescent="0.25">
      <c r="B583" s="476"/>
      <c r="C583" s="479"/>
      <c r="D583" s="222"/>
      <c r="E583" s="341">
        <v>45197</v>
      </c>
      <c r="F583" s="339" t="s">
        <v>74</v>
      </c>
      <c r="G583" s="340">
        <v>50.75</v>
      </c>
      <c r="H583" s="340">
        <v>30.880000000000003</v>
      </c>
      <c r="I583" s="339">
        <v>100</v>
      </c>
      <c r="J583" s="340">
        <v>5075</v>
      </c>
      <c r="K583" s="340">
        <v>5105.88</v>
      </c>
      <c r="L583" s="7"/>
      <c r="M583" s="7"/>
      <c r="N583" s="171"/>
      <c r="O583" s="8"/>
      <c r="P583" s="299"/>
      <c r="Q583" s="8"/>
      <c r="R583" s="8"/>
      <c r="S583" s="8"/>
      <c r="T583" s="8"/>
      <c r="U583" s="36"/>
    </row>
    <row r="584" spans="2:21" ht="23.25" customHeight="1" x14ac:dyDescent="0.25">
      <c r="B584" s="476"/>
      <c r="C584" s="479"/>
      <c r="D584" s="222"/>
      <c r="E584" s="341">
        <v>45242</v>
      </c>
      <c r="F584" s="339" t="s">
        <v>74</v>
      </c>
      <c r="G584" s="340">
        <v>53</v>
      </c>
      <c r="H584" s="340">
        <v>32.270000000000003</v>
      </c>
      <c r="I584" s="339">
        <v>100</v>
      </c>
      <c r="J584" s="340">
        <v>5300</v>
      </c>
      <c r="K584" s="340">
        <v>5332.27</v>
      </c>
      <c r="L584" s="7"/>
      <c r="M584" s="7"/>
      <c r="N584" s="171"/>
      <c r="O584" s="8"/>
      <c r="P584" s="299"/>
      <c r="Q584" s="8"/>
      <c r="R584" s="8"/>
      <c r="S584" s="8"/>
      <c r="T584" s="8"/>
      <c r="U584" s="36"/>
    </row>
    <row r="585" spans="2:21" ht="23.25" customHeight="1" thickBot="1" x14ac:dyDescent="0.3">
      <c r="B585" s="477"/>
      <c r="C585" s="480"/>
      <c r="D585" s="213"/>
      <c r="E585" s="350"/>
      <c r="F585" s="351"/>
      <c r="G585" s="352"/>
      <c r="H585" s="352"/>
      <c r="I585" s="300">
        <f>SUM(I577:I584)</f>
        <v>1401</v>
      </c>
      <c r="J585" s="352"/>
      <c r="K585" s="352"/>
      <c r="L585" s="39"/>
      <c r="M585" s="39"/>
      <c r="N585" s="42"/>
      <c r="O585" s="40"/>
      <c r="P585" s="55"/>
      <c r="Q585" s="40"/>
      <c r="R585" s="40"/>
      <c r="S585" s="40"/>
      <c r="T585" s="40"/>
      <c r="U585" s="43"/>
    </row>
    <row r="586" spans="2:21" ht="10.5" customHeight="1" thickBot="1" x14ac:dyDescent="0.3">
      <c r="B586" s="220"/>
      <c r="C586" s="163"/>
      <c r="D586" s="162"/>
      <c r="E586" s="4"/>
      <c r="F586" s="4"/>
      <c r="G586" s="6"/>
      <c r="H586" s="6"/>
      <c r="I586" s="5"/>
      <c r="J586" s="5"/>
      <c r="K586" s="6"/>
      <c r="L586" s="4"/>
      <c r="M586" s="4"/>
      <c r="N586" s="31"/>
      <c r="O586" s="6"/>
      <c r="P586" s="5"/>
      <c r="Q586" s="6"/>
      <c r="R586" s="6"/>
      <c r="S586" s="6"/>
      <c r="T586" s="6"/>
      <c r="U586" s="221"/>
    </row>
    <row r="587" spans="2:21" ht="23.25" customHeight="1" x14ac:dyDescent="0.25">
      <c r="B587" s="475"/>
      <c r="C587" s="486" t="s">
        <v>107</v>
      </c>
      <c r="D587" s="33"/>
      <c r="E587" s="335">
        <v>45316</v>
      </c>
      <c r="F587" s="336" t="s">
        <v>74</v>
      </c>
      <c r="G587" s="337">
        <v>117.1</v>
      </c>
      <c r="H587" s="337">
        <f>166/I587</f>
        <v>1.66</v>
      </c>
      <c r="I587" s="336">
        <v>100</v>
      </c>
      <c r="J587" s="337">
        <v>23420</v>
      </c>
      <c r="K587" s="337">
        <f>(G587+H587)*I587</f>
        <v>11876</v>
      </c>
      <c r="L587" s="438">
        <v>45327</v>
      </c>
      <c r="M587" s="439" t="s">
        <v>114</v>
      </c>
      <c r="N587" s="439">
        <v>170.4</v>
      </c>
      <c r="O587" s="439">
        <v>1.1823999999999999</v>
      </c>
      <c r="P587" s="439">
        <v>100</v>
      </c>
      <c r="Q587" s="439">
        <v>17040</v>
      </c>
      <c r="R587" s="439">
        <f>(N587-O587)*P587</f>
        <v>16921.760000000002</v>
      </c>
      <c r="S587" s="10"/>
      <c r="T587" s="10"/>
      <c r="U587" s="34" t="s">
        <v>55</v>
      </c>
    </row>
    <row r="588" spans="2:21" ht="23.25" customHeight="1" x14ac:dyDescent="0.25">
      <c r="B588" s="476"/>
      <c r="C588" s="487"/>
      <c r="D588" s="35"/>
      <c r="E588" s="341">
        <v>45316</v>
      </c>
      <c r="F588" s="339" t="s">
        <v>74</v>
      </c>
      <c r="G588" s="340">
        <v>117.1</v>
      </c>
      <c r="H588" s="340">
        <f>166/I588</f>
        <v>1.66</v>
      </c>
      <c r="I588" s="339">
        <v>100</v>
      </c>
      <c r="J588" s="340">
        <v>23420</v>
      </c>
      <c r="K588" s="340">
        <f>(G588+H588)*I588</f>
        <v>11876</v>
      </c>
      <c r="L588" s="440">
        <v>45335</v>
      </c>
      <c r="M588" s="441" t="s">
        <v>114</v>
      </c>
      <c r="N588" s="441">
        <v>108.25</v>
      </c>
      <c r="O588" s="441">
        <v>0.75100000000000011</v>
      </c>
      <c r="P588" s="441">
        <v>100</v>
      </c>
      <c r="Q588" s="441">
        <v>43300</v>
      </c>
      <c r="R588" s="441">
        <f>(N588-O588)*P588</f>
        <v>10749.9</v>
      </c>
      <c r="S588" s="8"/>
      <c r="T588" s="8"/>
      <c r="U588" s="36"/>
    </row>
    <row r="589" spans="2:21" ht="23.25" customHeight="1" x14ac:dyDescent="0.25">
      <c r="B589" s="476"/>
      <c r="C589" s="487"/>
      <c r="D589" s="222"/>
      <c r="E589" s="341">
        <v>45328</v>
      </c>
      <c r="F589" s="339" t="s">
        <v>74</v>
      </c>
      <c r="G589" s="340">
        <v>147.17500000000001</v>
      </c>
      <c r="H589" s="340">
        <v>1.0431999999999999</v>
      </c>
      <c r="I589" s="339">
        <v>200</v>
      </c>
      <c r="J589" s="340">
        <v>29435</v>
      </c>
      <c r="K589" s="340">
        <f t="shared" ref="K589:K590" si="66">(G589+H589)*I589</f>
        <v>29643.640000000007</v>
      </c>
      <c r="L589" s="440">
        <v>45335</v>
      </c>
      <c r="M589" s="441" t="s">
        <v>114</v>
      </c>
      <c r="N589" s="441">
        <v>108.25</v>
      </c>
      <c r="O589" s="441">
        <v>0.75100000000000011</v>
      </c>
      <c r="P589" s="441">
        <v>200</v>
      </c>
      <c r="Q589" s="441">
        <v>43300</v>
      </c>
      <c r="R589" s="441">
        <f>(N589-O589)*P589</f>
        <v>21499.8</v>
      </c>
      <c r="S589" s="8"/>
      <c r="T589" s="8"/>
      <c r="U589" s="36"/>
    </row>
    <row r="590" spans="2:21" ht="23.25" customHeight="1" x14ac:dyDescent="0.25">
      <c r="B590" s="476"/>
      <c r="C590" s="487"/>
      <c r="D590" s="222"/>
      <c r="E590" s="341">
        <v>45329</v>
      </c>
      <c r="F590" s="339" t="s">
        <v>74</v>
      </c>
      <c r="G590" s="340">
        <v>146.6</v>
      </c>
      <c r="H590" s="340">
        <v>1.0390000000000001</v>
      </c>
      <c r="I590" s="339">
        <v>100</v>
      </c>
      <c r="J590" s="340">
        <v>14660</v>
      </c>
      <c r="K590" s="340">
        <f t="shared" si="66"/>
        <v>14763.899999999998</v>
      </c>
      <c r="L590" s="440">
        <v>45335</v>
      </c>
      <c r="M590" s="441" t="s">
        <v>114</v>
      </c>
      <c r="N590" s="441">
        <v>108.25</v>
      </c>
      <c r="O590" s="441">
        <v>0.75100000000000011</v>
      </c>
      <c r="P590" s="441">
        <v>100</v>
      </c>
      <c r="Q590" s="441">
        <v>43300</v>
      </c>
      <c r="R590" s="441">
        <f>(N590-O590)*P590</f>
        <v>10749.9</v>
      </c>
      <c r="S590" s="8"/>
      <c r="T590" s="8"/>
      <c r="U590" s="36"/>
    </row>
    <row r="591" spans="2:21" ht="23.25" customHeight="1" thickBot="1" x14ac:dyDescent="0.3">
      <c r="B591" s="477"/>
      <c r="C591" s="488"/>
      <c r="D591" s="213"/>
      <c r="E591" s="39"/>
      <c r="F591" s="39"/>
      <c r="G591" s="40"/>
      <c r="H591" s="40"/>
      <c r="I591" s="442">
        <f>SUM(I587:I590)</f>
        <v>500</v>
      </c>
      <c r="J591" s="306">
        <f>I591-P591</f>
        <v>0</v>
      </c>
      <c r="K591" s="40"/>
      <c r="L591" s="214"/>
      <c r="M591" s="214"/>
      <c r="N591" s="42"/>
      <c r="O591" s="40"/>
      <c r="P591" s="27">
        <f>SUM(P587:P590)</f>
        <v>500</v>
      </c>
      <c r="Q591" s="40"/>
      <c r="R591" s="40"/>
      <c r="S591" s="40"/>
      <c r="T591" s="40"/>
      <c r="U591" s="43"/>
    </row>
    <row r="592" spans="2:21" ht="9" customHeight="1" thickBot="1" x14ac:dyDescent="0.3">
      <c r="B592" s="5"/>
      <c r="C592" s="163"/>
      <c r="D592" s="5"/>
      <c r="E592" s="4"/>
      <c r="F592" s="4"/>
      <c r="G592" s="6"/>
      <c r="H592" s="6"/>
      <c r="I592" s="5"/>
      <c r="J592" s="5"/>
      <c r="K592" s="6"/>
      <c r="L592" s="192"/>
      <c r="M592" s="192"/>
      <c r="N592" s="31"/>
      <c r="O592" s="6"/>
      <c r="P592" s="5"/>
      <c r="Q592" s="6"/>
      <c r="R592" s="6"/>
      <c r="S592" s="6"/>
      <c r="T592" s="6"/>
      <c r="U592" s="32"/>
    </row>
    <row r="593" spans="2:21" ht="23.25" customHeight="1" x14ac:dyDescent="0.25">
      <c r="B593" s="475" t="e">
        <f>1+B577</f>
        <v>#REF!</v>
      </c>
      <c r="C593" s="486" t="s">
        <v>108</v>
      </c>
      <c r="D593" s="33"/>
      <c r="E593" s="335">
        <v>45292</v>
      </c>
      <c r="F593" s="336" t="s">
        <v>74</v>
      </c>
      <c r="G593" s="337">
        <v>645.20000000000005</v>
      </c>
      <c r="H593" s="337">
        <v>114.36</v>
      </c>
      <c r="I593" s="336">
        <v>25</v>
      </c>
      <c r="J593" s="337">
        <v>16130</v>
      </c>
      <c r="K593" s="337">
        <v>16244.36</v>
      </c>
      <c r="L593" s="344"/>
      <c r="M593" s="344"/>
      <c r="N593" s="223"/>
      <c r="O593" s="184"/>
      <c r="P593" s="223"/>
      <c r="Q593" s="184"/>
      <c r="R593" s="184"/>
      <c r="S593" s="184"/>
      <c r="T593" s="184"/>
      <c r="U593" s="34" t="s">
        <v>55</v>
      </c>
    </row>
    <row r="594" spans="2:21" ht="23.25" customHeight="1" x14ac:dyDescent="0.25">
      <c r="B594" s="476"/>
      <c r="C594" s="487"/>
      <c r="D594" s="35"/>
      <c r="E594" s="341">
        <v>45293</v>
      </c>
      <c r="F594" s="339" t="s">
        <v>74</v>
      </c>
      <c r="G594" s="340">
        <v>644.20000000000005</v>
      </c>
      <c r="H594" s="340">
        <v>114.19999999999999</v>
      </c>
      <c r="I594" s="339">
        <v>25</v>
      </c>
      <c r="J594" s="340">
        <v>16105</v>
      </c>
      <c r="K594" s="340">
        <v>16219.2</v>
      </c>
      <c r="L594" s="346"/>
      <c r="M594" s="346"/>
      <c r="N594" s="149"/>
      <c r="O594" s="150"/>
      <c r="P594" s="149"/>
      <c r="Q594" s="150"/>
      <c r="R594" s="150"/>
      <c r="S594" s="150"/>
      <c r="T594" s="150"/>
      <c r="U594" s="36"/>
    </row>
    <row r="595" spans="2:21" ht="23.25" customHeight="1" x14ac:dyDescent="0.25">
      <c r="B595" s="476"/>
      <c r="C595" s="487"/>
      <c r="D595" s="35"/>
      <c r="E595" s="341">
        <v>45294</v>
      </c>
      <c r="F595" s="339" t="s">
        <v>74</v>
      </c>
      <c r="G595" s="340">
        <v>638.5</v>
      </c>
      <c r="H595" s="340">
        <v>45.27</v>
      </c>
      <c r="I595" s="339">
        <v>10</v>
      </c>
      <c r="J595" s="340">
        <v>6385</v>
      </c>
      <c r="K595" s="340">
        <v>6430.27</v>
      </c>
      <c r="L595" s="346"/>
      <c r="M595" s="346"/>
      <c r="N595" s="149"/>
      <c r="O595" s="150"/>
      <c r="P595" s="149"/>
      <c r="Q595" s="150"/>
      <c r="R595" s="150"/>
      <c r="S595" s="150"/>
      <c r="T595" s="150"/>
      <c r="U595" s="172"/>
    </row>
    <row r="596" spans="2:21" ht="23.25" customHeight="1" x14ac:dyDescent="0.25">
      <c r="B596" s="476"/>
      <c r="C596" s="487"/>
      <c r="D596" s="35"/>
      <c r="E596" s="341">
        <v>45301</v>
      </c>
      <c r="F596" s="339" t="s">
        <v>74</v>
      </c>
      <c r="G596" s="340">
        <v>616.1</v>
      </c>
      <c r="H596" s="340">
        <v>43.67</v>
      </c>
      <c r="I596" s="339">
        <v>10</v>
      </c>
      <c r="J596" s="340">
        <v>6161</v>
      </c>
      <c r="K596" s="340">
        <v>6204.67</v>
      </c>
      <c r="L596" s="346"/>
      <c r="M596" s="346"/>
      <c r="N596" s="149"/>
      <c r="O596" s="150"/>
      <c r="P596" s="149"/>
      <c r="Q596" s="150"/>
      <c r="R596" s="150"/>
      <c r="S596" s="150"/>
      <c r="T596" s="150"/>
      <c r="U596" s="172"/>
    </row>
    <row r="597" spans="2:21" ht="23.25" customHeight="1" thickBot="1" x14ac:dyDescent="0.3">
      <c r="B597" s="477"/>
      <c r="C597" s="488"/>
      <c r="D597" s="38"/>
      <c r="E597" s="368"/>
      <c r="F597" s="368"/>
      <c r="G597" s="224"/>
      <c r="H597" s="224"/>
      <c r="I597" s="279">
        <f>SUM(I593:I596)</f>
        <v>70</v>
      </c>
      <c r="J597" s="279">
        <f>I597</f>
        <v>70</v>
      </c>
      <c r="K597" s="224"/>
      <c r="L597" s="368"/>
      <c r="M597" s="368"/>
      <c r="N597" s="225"/>
      <c r="O597" s="224"/>
      <c r="P597" s="225"/>
      <c r="Q597" s="224"/>
      <c r="R597" s="224"/>
      <c r="S597" s="224"/>
      <c r="T597" s="224"/>
      <c r="U597" s="169"/>
    </row>
    <row r="598" spans="2:21" ht="9" customHeight="1" thickBot="1" x14ac:dyDescent="0.3">
      <c r="B598" s="5"/>
      <c r="C598" s="163"/>
      <c r="D598" s="29"/>
      <c r="E598" s="4"/>
      <c r="F598" s="4"/>
      <c r="G598" s="6"/>
      <c r="H598" s="6"/>
      <c r="I598" s="29"/>
      <c r="J598" s="29"/>
      <c r="K598" s="6"/>
      <c r="L598" s="30"/>
      <c r="M598" s="30"/>
      <c r="N598" s="31"/>
      <c r="O598" s="6"/>
      <c r="P598" s="29"/>
      <c r="Q598" s="6"/>
      <c r="R598" s="6"/>
      <c r="S598" s="6"/>
      <c r="T598" s="6"/>
      <c r="U598" s="32"/>
    </row>
    <row r="599" spans="2:21" ht="23.25" customHeight="1" x14ac:dyDescent="0.25">
      <c r="B599" s="475" t="e">
        <f>1+B593</f>
        <v>#REF!</v>
      </c>
      <c r="C599" s="478" t="s">
        <v>18</v>
      </c>
      <c r="D599" s="211"/>
      <c r="E599" s="344">
        <v>42356</v>
      </c>
      <c r="F599" s="344"/>
      <c r="G599" s="10">
        <v>44.704499999999996</v>
      </c>
      <c r="H599" s="10">
        <v>0</v>
      </c>
      <c r="I599" s="267">
        <v>200</v>
      </c>
      <c r="J599" s="267"/>
      <c r="K599" s="10">
        <f>+G599*I599</f>
        <v>8940.9</v>
      </c>
      <c r="L599" s="9"/>
      <c r="M599" s="9"/>
      <c r="N599" s="227"/>
      <c r="O599" s="10"/>
      <c r="P599" s="267"/>
      <c r="Q599" s="10"/>
      <c r="R599" s="10"/>
      <c r="S599" s="10"/>
      <c r="T599" s="10"/>
      <c r="U599" s="34" t="s">
        <v>55</v>
      </c>
    </row>
    <row r="600" spans="2:21" ht="23.25" customHeight="1" x14ac:dyDescent="0.25">
      <c r="B600" s="476"/>
      <c r="C600" s="479"/>
      <c r="D600" s="222"/>
      <c r="E600" s="346">
        <v>42867</v>
      </c>
      <c r="F600" s="346"/>
      <c r="G600" s="8">
        <v>22.201880000000003</v>
      </c>
      <c r="H600" s="8">
        <v>0</v>
      </c>
      <c r="I600" s="299">
        <v>500</v>
      </c>
      <c r="J600" s="299"/>
      <c r="K600" s="8">
        <f>+G600*I600</f>
        <v>11100.94</v>
      </c>
      <c r="L600" s="7"/>
      <c r="M600" s="7"/>
      <c r="N600" s="171"/>
      <c r="O600" s="8"/>
      <c r="P600" s="299"/>
      <c r="Q600" s="8"/>
      <c r="R600" s="8"/>
      <c r="S600" s="8"/>
      <c r="T600" s="8"/>
      <c r="U600" s="36"/>
    </row>
    <row r="601" spans="2:21" ht="23.25" customHeight="1" thickBot="1" x14ac:dyDescent="0.3">
      <c r="B601" s="477"/>
      <c r="C601" s="480"/>
      <c r="D601" s="216"/>
      <c r="E601" s="373"/>
      <c r="F601" s="373"/>
      <c r="G601" s="77"/>
      <c r="H601" s="77"/>
      <c r="I601" s="78">
        <v>700</v>
      </c>
      <c r="J601" s="226"/>
      <c r="K601" s="77"/>
      <c r="L601" s="45"/>
      <c r="M601" s="45"/>
      <c r="N601" s="76"/>
      <c r="O601" s="77"/>
      <c r="P601" s="226"/>
      <c r="Q601" s="77"/>
      <c r="R601" s="77"/>
      <c r="S601" s="77"/>
      <c r="T601" s="77"/>
      <c r="U601" s="46"/>
    </row>
    <row r="602" spans="2:21" ht="9.75" customHeight="1" thickBot="1" x14ac:dyDescent="0.3">
      <c r="B602" s="47"/>
      <c r="C602" s="186"/>
      <c r="D602" s="243"/>
      <c r="E602" s="411"/>
      <c r="F602" s="411"/>
      <c r="G602" s="181"/>
      <c r="H602" s="181"/>
      <c r="I602" s="322"/>
      <c r="J602" s="322"/>
      <c r="K602" s="181"/>
      <c r="L602" s="50"/>
      <c r="M602" s="50"/>
      <c r="N602" s="189"/>
      <c r="O602" s="181"/>
      <c r="P602" s="322"/>
      <c r="Q602" s="181"/>
      <c r="R602" s="181"/>
      <c r="S602" s="181"/>
      <c r="T602" s="181"/>
      <c r="U602" s="51"/>
    </row>
    <row r="603" spans="2:21" ht="23.25" customHeight="1" x14ac:dyDescent="0.25">
      <c r="B603" s="476"/>
      <c r="C603" s="486" t="s">
        <v>109</v>
      </c>
      <c r="D603" s="212"/>
      <c r="E603" s="331">
        <v>45064</v>
      </c>
      <c r="F603" s="332" t="s">
        <v>74</v>
      </c>
      <c r="G603" s="333">
        <v>574.25</v>
      </c>
      <c r="H603" s="333">
        <v>101.71000000000001</v>
      </c>
      <c r="I603" s="332">
        <v>25</v>
      </c>
      <c r="J603" s="333">
        <v>14356.25</v>
      </c>
      <c r="K603" s="333">
        <v>14457.96</v>
      </c>
      <c r="L603" s="53"/>
      <c r="M603" s="53"/>
      <c r="N603" s="160"/>
      <c r="O603" s="110"/>
      <c r="P603" s="269"/>
      <c r="Q603" s="110"/>
      <c r="R603" s="110"/>
      <c r="S603" s="110"/>
      <c r="T603" s="110"/>
      <c r="U603" s="54"/>
    </row>
    <row r="604" spans="2:21" ht="23.25" customHeight="1" x14ac:dyDescent="0.25">
      <c r="B604" s="476"/>
      <c r="C604" s="487"/>
      <c r="D604" s="222"/>
      <c r="E604" s="341">
        <v>45274</v>
      </c>
      <c r="F604" s="339" t="s">
        <v>74</v>
      </c>
      <c r="G604" s="340">
        <v>625.27499999999998</v>
      </c>
      <c r="H604" s="340">
        <v>221.54999999999998</v>
      </c>
      <c r="I604" s="339">
        <v>50</v>
      </c>
      <c r="J604" s="340">
        <v>31263.75</v>
      </c>
      <c r="K604" s="340">
        <v>31485.3</v>
      </c>
      <c r="L604" s="7"/>
      <c r="M604" s="7"/>
      <c r="N604" s="171"/>
      <c r="O604" s="8"/>
      <c r="P604" s="299"/>
      <c r="Q604" s="8"/>
      <c r="R604" s="8"/>
      <c r="S604" s="8"/>
      <c r="T604" s="8"/>
      <c r="U604" s="36"/>
    </row>
    <row r="605" spans="2:21" ht="23.25" customHeight="1" x14ac:dyDescent="0.25">
      <c r="B605" s="476"/>
      <c r="C605" s="487"/>
      <c r="D605" s="222"/>
      <c r="E605" s="341">
        <v>45330</v>
      </c>
      <c r="F605" s="339" t="s">
        <v>74</v>
      </c>
      <c r="G605" s="340">
        <v>700.1</v>
      </c>
      <c r="H605" s="340">
        <v>4.9623999999999997</v>
      </c>
      <c r="I605" s="339">
        <v>25</v>
      </c>
      <c r="J605" s="340">
        <v>17502.5</v>
      </c>
      <c r="K605" s="340">
        <v>17626.560000000001</v>
      </c>
      <c r="L605" s="7"/>
      <c r="M605" s="7"/>
      <c r="N605" s="171"/>
      <c r="O605" s="8"/>
      <c r="P605" s="299"/>
      <c r="Q605" s="8"/>
      <c r="R605" s="8"/>
      <c r="S605" s="8"/>
      <c r="T605" s="8"/>
      <c r="U605" s="36"/>
    </row>
    <row r="606" spans="2:21" ht="23.25" customHeight="1" thickBot="1" x14ac:dyDescent="0.3">
      <c r="B606" s="476"/>
      <c r="C606" s="488"/>
      <c r="D606" s="216"/>
      <c r="E606" s="338"/>
      <c r="F606" s="370"/>
      <c r="G606" s="371"/>
      <c r="H606" s="371"/>
      <c r="I606" s="372">
        <f>SUM(I603:I605)</f>
        <v>100</v>
      </c>
      <c r="J606" s="371"/>
      <c r="K606" s="371"/>
      <c r="L606" s="45"/>
      <c r="M606" s="45"/>
      <c r="N606" s="76"/>
      <c r="O606" s="77"/>
      <c r="P606" s="226"/>
      <c r="Q606" s="77"/>
      <c r="R606" s="77"/>
      <c r="S606" s="77"/>
      <c r="T606" s="77"/>
      <c r="U606" s="46"/>
    </row>
    <row r="607" spans="2:21" ht="7.5" customHeight="1" thickBot="1" x14ac:dyDescent="0.3">
      <c r="B607" s="249"/>
      <c r="C607" s="262"/>
      <c r="D607" s="250"/>
      <c r="E607" s="375"/>
      <c r="F607" s="376"/>
      <c r="G607" s="377"/>
      <c r="H607" s="377"/>
      <c r="I607" s="376"/>
      <c r="J607" s="377"/>
      <c r="K607" s="377"/>
      <c r="L607" s="272"/>
      <c r="M607" s="272"/>
      <c r="N607" s="265"/>
      <c r="O607" s="137"/>
      <c r="P607" s="251"/>
      <c r="Q607" s="137"/>
      <c r="R607" s="137"/>
      <c r="S607" s="137"/>
      <c r="T607" s="137"/>
      <c r="U607" s="255"/>
    </row>
    <row r="608" spans="2:21" ht="23.25" customHeight="1" x14ac:dyDescent="0.25">
      <c r="B608" s="492"/>
      <c r="C608" s="527" t="s">
        <v>127</v>
      </c>
      <c r="D608" s="211"/>
      <c r="E608" s="335">
        <v>45324</v>
      </c>
      <c r="F608" s="336" t="s">
        <v>74</v>
      </c>
      <c r="G608" s="337">
        <v>127.45</v>
      </c>
      <c r="H608" s="337">
        <v>0.10709999999999999</v>
      </c>
      <c r="I608" s="336">
        <v>300</v>
      </c>
      <c r="J608" s="337">
        <v>38235</v>
      </c>
      <c r="K608" s="337">
        <v>38267.129999999997</v>
      </c>
      <c r="L608" s="335">
        <v>45324</v>
      </c>
      <c r="M608" s="336" t="s">
        <v>114</v>
      </c>
      <c r="N608" s="337">
        <v>128.44999999999999</v>
      </c>
      <c r="O608" s="337">
        <v>0.13529999999999998</v>
      </c>
      <c r="P608" s="337">
        <v>300</v>
      </c>
      <c r="Q608" s="337">
        <v>38535</v>
      </c>
      <c r="R608" s="337">
        <v>38494.410000000003</v>
      </c>
      <c r="S608" s="10"/>
      <c r="T608" s="10"/>
      <c r="U608" s="34"/>
    </row>
    <row r="609" spans="2:21" ht="23.25" customHeight="1" thickBot="1" x14ac:dyDescent="0.3">
      <c r="B609" s="494"/>
      <c r="C609" s="528"/>
      <c r="D609" s="213"/>
      <c r="E609" s="350"/>
      <c r="F609" s="351"/>
      <c r="G609" s="352"/>
      <c r="H609" s="352"/>
      <c r="I609" s="300">
        <f>SUM(I608)</f>
        <v>300</v>
      </c>
      <c r="J609" s="300">
        <f>I609-P609</f>
        <v>0</v>
      </c>
      <c r="K609" s="352"/>
      <c r="L609" s="39"/>
      <c r="M609" s="39"/>
      <c r="N609" s="42"/>
      <c r="O609" s="40"/>
      <c r="P609" s="27">
        <f>SUM(P608)</f>
        <v>300</v>
      </c>
      <c r="Q609" s="40"/>
      <c r="R609" s="40"/>
      <c r="S609" s="40"/>
      <c r="T609" s="40"/>
      <c r="U609" s="43"/>
    </row>
    <row r="610" spans="2:21" ht="10.5" customHeight="1" thickBot="1" x14ac:dyDescent="0.3">
      <c r="B610" s="5"/>
      <c r="C610" s="163"/>
      <c r="D610" s="5"/>
      <c r="E610" s="4"/>
      <c r="F610" s="4"/>
      <c r="G610" s="6"/>
      <c r="H610" s="6"/>
      <c r="I610" s="5"/>
      <c r="J610" s="5"/>
      <c r="K610" s="6"/>
      <c r="L610" s="192"/>
      <c r="M610" s="192"/>
      <c r="N610" s="31"/>
      <c r="O610" s="6"/>
      <c r="P610" s="5"/>
      <c r="Q610" s="6"/>
      <c r="R610" s="6"/>
      <c r="S610" s="6"/>
      <c r="T610" s="6"/>
      <c r="U610" s="32"/>
    </row>
    <row r="611" spans="2:21" ht="23.25" customHeight="1" x14ac:dyDescent="0.25">
      <c r="B611" s="475" t="e">
        <f>1+B599</f>
        <v>#REF!</v>
      </c>
      <c r="C611" s="478" t="s">
        <v>65</v>
      </c>
      <c r="D611" s="211"/>
      <c r="E611" s="344">
        <v>44820</v>
      </c>
      <c r="F611" s="344"/>
      <c r="G611" s="10">
        <v>1071</v>
      </c>
      <c r="H611" s="10">
        <v>6.5233333333333343</v>
      </c>
      <c r="I611" s="267">
        <v>10</v>
      </c>
      <c r="J611" s="267"/>
      <c r="K611" s="10">
        <f>(G611+H611)*I611</f>
        <v>10775.233333333334</v>
      </c>
      <c r="L611" s="335">
        <v>45308</v>
      </c>
      <c r="M611" s="336" t="s">
        <v>114</v>
      </c>
      <c r="N611" s="337">
        <v>1714</v>
      </c>
      <c r="O611" s="345">
        <v>11.890999999999986</v>
      </c>
      <c r="P611" s="337">
        <v>10</v>
      </c>
      <c r="Q611" s="337">
        <v>17140</v>
      </c>
      <c r="R611" s="337">
        <v>17021.09</v>
      </c>
      <c r="S611" s="10"/>
      <c r="T611" s="10"/>
      <c r="U611" s="34" t="s">
        <v>55</v>
      </c>
    </row>
    <row r="612" spans="2:21" ht="23.25" customHeight="1" x14ac:dyDescent="0.25">
      <c r="B612" s="476"/>
      <c r="C612" s="479"/>
      <c r="D612" s="222"/>
      <c r="E612" s="346">
        <v>45000</v>
      </c>
      <c r="F612" s="346"/>
      <c r="G612" s="8">
        <v>1011</v>
      </c>
      <c r="H612" s="8">
        <v>6.1580000000000013</v>
      </c>
      <c r="I612" s="299">
        <v>5</v>
      </c>
      <c r="J612" s="299"/>
      <c r="K612" s="8">
        <f t="shared" ref="K612:K615" si="67">(G612+H612)*I612</f>
        <v>5085.79</v>
      </c>
      <c r="L612" s="7"/>
      <c r="M612" s="7"/>
      <c r="N612" s="171"/>
      <c r="O612" s="8"/>
      <c r="P612" s="299"/>
      <c r="Q612" s="8"/>
      <c r="R612" s="8"/>
      <c r="S612" s="8"/>
      <c r="T612" s="8"/>
      <c r="U612" s="36"/>
    </row>
    <row r="613" spans="2:21" ht="23.25" customHeight="1" x14ac:dyDescent="0.25">
      <c r="B613" s="476"/>
      <c r="C613" s="479"/>
      <c r="D613" s="222"/>
      <c r="E613" s="341">
        <v>45218</v>
      </c>
      <c r="F613" s="339" t="s">
        <v>74</v>
      </c>
      <c r="G613" s="340">
        <v>1691.1</v>
      </c>
      <c r="H613" s="340">
        <v>11.986000000000057</v>
      </c>
      <c r="I613" s="339">
        <v>5</v>
      </c>
      <c r="J613" s="340">
        <v>8455.5</v>
      </c>
      <c r="K613" s="8">
        <f t="shared" si="67"/>
        <v>8515.43</v>
      </c>
      <c r="L613" s="7"/>
      <c r="M613" s="7"/>
      <c r="N613" s="171"/>
      <c r="O613" s="8"/>
      <c r="P613" s="299"/>
      <c r="Q613" s="8"/>
      <c r="R613" s="8"/>
      <c r="S613" s="8"/>
      <c r="T613" s="8"/>
      <c r="U613" s="36"/>
    </row>
    <row r="614" spans="2:21" ht="23.25" customHeight="1" x14ac:dyDescent="0.25">
      <c r="B614" s="476"/>
      <c r="C614" s="479"/>
      <c r="D614" s="222"/>
      <c r="E614" s="341">
        <v>45219</v>
      </c>
      <c r="F614" s="339" t="s">
        <v>74</v>
      </c>
      <c r="G614" s="340">
        <v>1666.6</v>
      </c>
      <c r="H614" s="340">
        <v>11.809999999999855</v>
      </c>
      <c r="I614" s="339">
        <v>5</v>
      </c>
      <c r="J614" s="340">
        <v>8333</v>
      </c>
      <c r="K614" s="8">
        <f t="shared" si="67"/>
        <v>8392.0499999999993</v>
      </c>
      <c r="L614" s="7"/>
      <c r="M614" s="7"/>
      <c r="N614" s="171"/>
      <c r="O614" s="8"/>
      <c r="P614" s="299"/>
      <c r="Q614" s="8"/>
      <c r="R614" s="8"/>
      <c r="S614" s="8"/>
      <c r="T614" s="8"/>
      <c r="U614" s="36"/>
    </row>
    <row r="615" spans="2:21" ht="23.25" customHeight="1" x14ac:dyDescent="0.25">
      <c r="B615" s="476"/>
      <c r="C615" s="479"/>
      <c r="D615" s="222"/>
      <c r="E615" s="341">
        <v>45224</v>
      </c>
      <c r="F615" s="339" t="s">
        <v>74</v>
      </c>
      <c r="G615" s="340">
        <v>1601</v>
      </c>
      <c r="H615" s="340">
        <v>11.345999999999913</v>
      </c>
      <c r="I615" s="339">
        <v>5</v>
      </c>
      <c r="J615" s="340">
        <v>8005</v>
      </c>
      <c r="K615" s="8">
        <f t="shared" si="67"/>
        <v>8061.73</v>
      </c>
      <c r="L615" s="7"/>
      <c r="M615" s="7"/>
      <c r="N615" s="171"/>
      <c r="O615" s="8"/>
      <c r="P615" s="299"/>
      <c r="Q615" s="8"/>
      <c r="R615" s="8"/>
      <c r="S615" s="8"/>
      <c r="T615" s="8"/>
      <c r="U615" s="36"/>
    </row>
    <row r="616" spans="2:21" ht="23.25" customHeight="1" thickBot="1" x14ac:dyDescent="0.3">
      <c r="B616" s="477"/>
      <c r="C616" s="480"/>
      <c r="D616" s="213"/>
      <c r="E616" s="225"/>
      <c r="F616" s="225"/>
      <c r="G616" s="224"/>
      <c r="H616" s="224"/>
      <c r="I616" s="279">
        <f>SUM(I611:I615)</f>
        <v>30</v>
      </c>
      <c r="J616" s="279">
        <f>I616-P616</f>
        <v>20</v>
      </c>
      <c r="K616" s="224"/>
      <c r="L616" s="214"/>
      <c r="M616" s="214"/>
      <c r="N616" s="42"/>
      <c r="O616" s="40"/>
      <c r="P616" s="27">
        <f>SUM(P611:P615)</f>
        <v>10</v>
      </c>
      <c r="Q616" s="40"/>
      <c r="R616" s="40"/>
      <c r="S616" s="40"/>
      <c r="T616" s="40"/>
      <c r="U616" s="43"/>
    </row>
    <row r="617" spans="2:21" ht="7.5" customHeight="1" thickBot="1" x14ac:dyDescent="0.3">
      <c r="B617" s="5"/>
      <c r="C617" s="163"/>
      <c r="D617" s="5"/>
      <c r="E617" s="4"/>
      <c r="F617" s="4"/>
      <c r="G617" s="6"/>
      <c r="H617" s="6"/>
      <c r="I617" s="5"/>
      <c r="J617" s="5"/>
      <c r="K617" s="6"/>
      <c r="L617" s="192"/>
      <c r="M617" s="192"/>
      <c r="N617" s="31"/>
      <c r="O617" s="6"/>
      <c r="P617" s="5"/>
      <c r="Q617" s="6"/>
      <c r="R617" s="6"/>
      <c r="S617" s="6"/>
      <c r="T617" s="6"/>
      <c r="U617" s="32"/>
    </row>
    <row r="618" spans="2:21" ht="23.25" customHeight="1" x14ac:dyDescent="0.25">
      <c r="B618" s="475"/>
      <c r="C618" s="486" t="s">
        <v>110</v>
      </c>
      <c r="D618" s="211"/>
      <c r="E618" s="335">
        <v>45219</v>
      </c>
      <c r="F618" s="336" t="s">
        <v>74</v>
      </c>
      <c r="G618" s="337">
        <v>1706</v>
      </c>
      <c r="H618" s="337">
        <v>12.090000000000146</v>
      </c>
      <c r="I618" s="336">
        <v>5</v>
      </c>
      <c r="J618" s="337">
        <v>8530</v>
      </c>
      <c r="K618" s="337">
        <f>(G618+H618)*I618</f>
        <v>8590.4500000000007</v>
      </c>
      <c r="L618" s="382">
        <v>45233</v>
      </c>
      <c r="M618" s="336" t="s">
        <v>114</v>
      </c>
      <c r="N618" s="336">
        <v>1704.65</v>
      </c>
      <c r="O618" s="385">
        <v>3.4419999999998252</v>
      </c>
      <c r="P618" s="336">
        <v>5</v>
      </c>
      <c r="Q618" s="336">
        <v>17046.5</v>
      </c>
      <c r="R618" s="336">
        <f>(N618-O618)*P618</f>
        <v>8506.0400000000009</v>
      </c>
      <c r="S618" s="10"/>
      <c r="T618" s="10"/>
      <c r="U618" s="34" t="s">
        <v>55</v>
      </c>
    </row>
    <row r="619" spans="2:21" ht="23.25" customHeight="1" x14ac:dyDescent="0.25">
      <c r="B619" s="476"/>
      <c r="C619" s="487"/>
      <c r="D619" s="222"/>
      <c r="E619" s="341">
        <v>45229</v>
      </c>
      <c r="F619" s="339" t="s">
        <v>74</v>
      </c>
      <c r="G619" s="340">
        <v>1646.1</v>
      </c>
      <c r="H619" s="340">
        <v>11.661999999999898</v>
      </c>
      <c r="I619" s="339">
        <v>5</v>
      </c>
      <c r="J619" s="340">
        <v>8230.5</v>
      </c>
      <c r="K619" s="340">
        <f t="shared" ref="K619:K620" si="68">(G619+H619)*I619</f>
        <v>8288.8099999999977</v>
      </c>
      <c r="L619" s="348">
        <v>45233</v>
      </c>
      <c r="M619" s="339" t="s">
        <v>114</v>
      </c>
      <c r="N619" s="339">
        <v>1704.65</v>
      </c>
      <c r="O619" s="386">
        <v>3.4419999999998252</v>
      </c>
      <c r="P619" s="339">
        <v>5</v>
      </c>
      <c r="Q619" s="339">
        <v>17046.5</v>
      </c>
      <c r="R619" s="339">
        <f>(N619-O619)*P619</f>
        <v>8506.0400000000009</v>
      </c>
      <c r="S619" s="8"/>
      <c r="T619" s="8"/>
      <c r="U619" s="36"/>
    </row>
    <row r="620" spans="2:21" ht="23.25" customHeight="1" x14ac:dyDescent="0.25">
      <c r="B620" s="476"/>
      <c r="C620" s="487"/>
      <c r="D620" s="222"/>
      <c r="E620" s="341">
        <v>45233</v>
      </c>
      <c r="F620" s="339" t="s">
        <v>74</v>
      </c>
      <c r="G620" s="340">
        <v>1703.6</v>
      </c>
      <c r="H620" s="340">
        <v>3.0669999999998252</v>
      </c>
      <c r="I620" s="339">
        <v>10</v>
      </c>
      <c r="J620" s="340">
        <v>17036</v>
      </c>
      <c r="K620" s="340">
        <f t="shared" si="68"/>
        <v>17066.669999999998</v>
      </c>
      <c r="L620" s="348">
        <v>45236</v>
      </c>
      <c r="M620" s="339" t="s">
        <v>114</v>
      </c>
      <c r="N620" s="339">
        <v>1739.95</v>
      </c>
      <c r="O620" s="386">
        <v>12.072000000000116</v>
      </c>
      <c r="P620" s="339">
        <v>10</v>
      </c>
      <c r="Q620" s="339">
        <v>17399.5</v>
      </c>
      <c r="R620" s="339">
        <f>(N620-O620)*P620</f>
        <v>17278.78</v>
      </c>
      <c r="S620" s="8"/>
      <c r="T620" s="8"/>
      <c r="U620" s="172"/>
    </row>
    <row r="621" spans="2:21" ht="23.25" customHeight="1" thickBot="1" x14ac:dyDescent="0.3">
      <c r="B621" s="477"/>
      <c r="C621" s="488"/>
      <c r="D621" s="213"/>
      <c r="E621" s="225"/>
      <c r="F621" s="225"/>
      <c r="G621" s="224"/>
      <c r="H621" s="224"/>
      <c r="I621" s="279">
        <f>SUM(I618:I620)</f>
        <v>20</v>
      </c>
      <c r="J621" s="225"/>
      <c r="K621" s="224"/>
      <c r="L621" s="214"/>
      <c r="M621" s="214"/>
      <c r="N621" s="42"/>
      <c r="O621" s="40"/>
      <c r="P621" s="27">
        <f>SUM(P618:P620)</f>
        <v>20</v>
      </c>
      <c r="Q621" s="40"/>
      <c r="R621" s="40"/>
      <c r="S621" s="40"/>
      <c r="T621" s="40"/>
      <c r="U621" s="169"/>
    </row>
    <row r="622" spans="2:21" ht="9" customHeight="1" thickBot="1" x14ac:dyDescent="0.3">
      <c r="B622" s="5"/>
      <c r="C622" s="163"/>
      <c r="D622" s="5"/>
      <c r="E622" s="4"/>
      <c r="F622" s="4"/>
      <c r="G622" s="6"/>
      <c r="H622" s="6"/>
      <c r="I622" s="5"/>
      <c r="J622" s="5"/>
      <c r="K622" s="6"/>
      <c r="L622" s="192"/>
      <c r="M622" s="192"/>
      <c r="N622" s="31"/>
      <c r="O622" s="6"/>
      <c r="P622" s="5"/>
      <c r="Q622" s="6"/>
      <c r="R622" s="6"/>
      <c r="S622" s="6"/>
      <c r="T622" s="6"/>
      <c r="U622" s="32"/>
    </row>
    <row r="623" spans="2:21" ht="23.25" customHeight="1" thickBot="1" x14ac:dyDescent="0.3">
      <c r="B623" s="475">
        <f>1+B618</f>
        <v>1</v>
      </c>
      <c r="C623" s="478" t="s">
        <v>24</v>
      </c>
      <c r="D623" s="211"/>
      <c r="E623" s="344">
        <v>44299</v>
      </c>
      <c r="F623" s="344"/>
      <c r="G623" s="10">
        <v>3208.0635000000002</v>
      </c>
      <c r="H623" s="10">
        <v>0</v>
      </c>
      <c r="I623" s="267">
        <v>5</v>
      </c>
      <c r="J623" s="267"/>
      <c r="K623" s="10">
        <f t="shared" ref="K623:K637" si="69">(+G623+H623)*I623</f>
        <v>16040.317500000001</v>
      </c>
      <c r="L623" s="335">
        <v>45271</v>
      </c>
      <c r="M623" s="336" t="s">
        <v>114</v>
      </c>
      <c r="N623" s="337">
        <v>4150</v>
      </c>
      <c r="O623" s="345">
        <v>29.357142857142858</v>
      </c>
      <c r="P623" s="337">
        <v>5</v>
      </c>
      <c r="Q623" s="337">
        <v>29050</v>
      </c>
      <c r="R623" s="337">
        <f>(N623-O623)*P623</f>
        <v>20603.214285714283</v>
      </c>
      <c r="S623" s="10"/>
      <c r="T623" s="10"/>
      <c r="U623" s="34"/>
    </row>
    <row r="624" spans="2:21" ht="23.25" customHeight="1" x14ac:dyDescent="0.25">
      <c r="B624" s="476"/>
      <c r="C624" s="479"/>
      <c r="D624" s="212"/>
      <c r="E624" s="346">
        <v>44299</v>
      </c>
      <c r="F624" s="346"/>
      <c r="G624" s="8">
        <v>3208.0635000000002</v>
      </c>
      <c r="H624" s="8">
        <v>0</v>
      </c>
      <c r="I624" s="299">
        <v>2</v>
      </c>
      <c r="J624" s="299"/>
      <c r="K624" s="8">
        <f t="shared" ref="K624" si="70">(+G624+H624)*I624</f>
        <v>6416.1270000000004</v>
      </c>
      <c r="L624" s="335">
        <v>45271</v>
      </c>
      <c r="M624" s="336" t="s">
        <v>114</v>
      </c>
      <c r="N624" s="337">
        <v>4150</v>
      </c>
      <c r="O624" s="345">
        <v>29.357142857142858</v>
      </c>
      <c r="P624" s="337">
        <v>2</v>
      </c>
      <c r="Q624" s="337">
        <v>29050</v>
      </c>
      <c r="R624" s="337">
        <f>(N624-O624)*P624</f>
        <v>8241.2857142857138</v>
      </c>
      <c r="S624" s="110"/>
      <c r="T624" s="110"/>
      <c r="U624" s="54"/>
    </row>
    <row r="625" spans="2:21" ht="23.25" customHeight="1" x14ac:dyDescent="0.25">
      <c r="B625" s="476"/>
      <c r="C625" s="479"/>
      <c r="D625" s="222"/>
      <c r="E625" s="346">
        <v>44299</v>
      </c>
      <c r="F625" s="346"/>
      <c r="G625" s="8">
        <v>3208.0635000000002</v>
      </c>
      <c r="H625" s="8">
        <v>0</v>
      </c>
      <c r="I625" s="299">
        <v>3</v>
      </c>
      <c r="J625" s="299"/>
      <c r="K625" s="8">
        <f t="shared" si="69"/>
        <v>9624.1905000000006</v>
      </c>
      <c r="L625" s="341">
        <v>45107</v>
      </c>
      <c r="M625" s="339" t="s">
        <v>114</v>
      </c>
      <c r="N625" s="340">
        <v>3299</v>
      </c>
      <c r="O625" s="347">
        <v>22.886666666666617</v>
      </c>
      <c r="P625" s="340">
        <v>3</v>
      </c>
      <c r="Q625" s="340">
        <v>9897</v>
      </c>
      <c r="R625" s="340">
        <f t="shared" ref="R625" si="71">(N625-O625)*P625</f>
        <v>9828.34</v>
      </c>
      <c r="S625" s="8"/>
      <c r="T625" s="8"/>
      <c r="U625" s="36"/>
    </row>
    <row r="626" spans="2:21" ht="23.25" customHeight="1" x14ac:dyDescent="0.25">
      <c r="B626" s="476"/>
      <c r="C626" s="479"/>
      <c r="D626" s="222"/>
      <c r="E626" s="346">
        <v>44299</v>
      </c>
      <c r="F626" s="346"/>
      <c r="G626" s="8">
        <v>3208.0635000000002</v>
      </c>
      <c r="H626" s="8">
        <v>0</v>
      </c>
      <c r="I626" s="299">
        <v>3</v>
      </c>
      <c r="J626" s="299"/>
      <c r="K626" s="8">
        <f t="shared" si="69"/>
        <v>9624.1905000000006</v>
      </c>
      <c r="L626" s="341">
        <v>45125</v>
      </c>
      <c r="M626" s="339" t="s">
        <v>114</v>
      </c>
      <c r="N626" s="340">
        <v>3524</v>
      </c>
      <c r="O626" s="347">
        <v>24.446666666666715</v>
      </c>
      <c r="P626" s="340">
        <v>3</v>
      </c>
      <c r="Q626" s="340">
        <v>10572</v>
      </c>
      <c r="R626" s="340">
        <f t="shared" ref="R626:R629" si="72">(N626-O626)*P626</f>
        <v>10498.66</v>
      </c>
      <c r="S626" s="8"/>
      <c r="T626" s="8"/>
      <c r="U626" s="36"/>
    </row>
    <row r="627" spans="2:21" ht="23.25" customHeight="1" x14ac:dyDescent="0.25">
      <c r="B627" s="476"/>
      <c r="C627" s="479"/>
      <c r="D627" s="222"/>
      <c r="E627" s="346">
        <v>44299</v>
      </c>
      <c r="F627" s="346"/>
      <c r="G627" s="8">
        <v>3208.0635000000002</v>
      </c>
      <c r="H627" s="8">
        <v>0</v>
      </c>
      <c r="I627" s="299">
        <v>1</v>
      </c>
      <c r="J627" s="299"/>
      <c r="K627" s="8">
        <f t="shared" si="69"/>
        <v>3208.0635000000002</v>
      </c>
      <c r="L627" s="341">
        <v>45138</v>
      </c>
      <c r="M627" s="339" t="s">
        <v>114</v>
      </c>
      <c r="N627" s="340">
        <v>3419.9</v>
      </c>
      <c r="O627" s="347">
        <v>23.726666666666762</v>
      </c>
      <c r="P627" s="340">
        <v>1</v>
      </c>
      <c r="Q627" s="340">
        <v>10259.700000000001</v>
      </c>
      <c r="R627" s="340">
        <f t="shared" si="72"/>
        <v>3396.1733333333332</v>
      </c>
      <c r="S627" s="8"/>
      <c r="T627" s="8"/>
      <c r="U627" s="36"/>
    </row>
    <row r="628" spans="2:21" ht="23.25" customHeight="1" x14ac:dyDescent="0.25">
      <c r="B628" s="476"/>
      <c r="C628" s="479"/>
      <c r="D628" s="222"/>
      <c r="E628" s="346">
        <v>44511</v>
      </c>
      <c r="F628" s="346"/>
      <c r="G628" s="339">
        <v>3489.56</v>
      </c>
      <c r="H628" s="339">
        <v>0</v>
      </c>
      <c r="I628" s="299">
        <v>2</v>
      </c>
      <c r="J628" s="299"/>
      <c r="K628" s="8">
        <f t="shared" ref="K628" si="73">(+G628+H628)*I628</f>
        <v>6979.12</v>
      </c>
      <c r="L628" s="341">
        <v>45138</v>
      </c>
      <c r="M628" s="339" t="s">
        <v>114</v>
      </c>
      <c r="N628" s="340">
        <v>3419.9</v>
      </c>
      <c r="O628" s="347">
        <v>23.726666666666762</v>
      </c>
      <c r="P628" s="340">
        <v>2</v>
      </c>
      <c r="Q628" s="340">
        <v>10259.700000000001</v>
      </c>
      <c r="R628" s="340">
        <f t="shared" ref="R628" si="74">(N628-O628)*P628</f>
        <v>6792.3466666666664</v>
      </c>
      <c r="S628" s="8"/>
      <c r="T628" s="8"/>
      <c r="U628" s="36"/>
    </row>
    <row r="629" spans="2:21" ht="23.25" customHeight="1" x14ac:dyDescent="0.25">
      <c r="B629" s="476"/>
      <c r="C629" s="479"/>
      <c r="D629" s="222"/>
      <c r="E629" s="346">
        <v>44511</v>
      </c>
      <c r="F629" s="346"/>
      <c r="G629" s="339">
        <v>3489.56</v>
      </c>
      <c r="H629" s="339">
        <v>0</v>
      </c>
      <c r="I629" s="299">
        <v>3</v>
      </c>
      <c r="J629" s="299"/>
      <c r="K629" s="8">
        <f t="shared" si="69"/>
        <v>10468.68</v>
      </c>
      <c r="L629" s="341">
        <v>45191</v>
      </c>
      <c r="M629" s="339" t="s">
        <v>114</v>
      </c>
      <c r="N629" s="340">
        <v>3609.3599999999997</v>
      </c>
      <c r="O629" s="347">
        <v>25.037999999999737</v>
      </c>
      <c r="P629" s="340">
        <v>3</v>
      </c>
      <c r="Q629" s="340">
        <v>18046.8</v>
      </c>
      <c r="R629" s="340">
        <f t="shared" si="72"/>
        <v>10752.966</v>
      </c>
      <c r="S629" s="8"/>
      <c r="T629" s="8"/>
      <c r="U629" s="36"/>
    </row>
    <row r="630" spans="2:21" ht="23.25" customHeight="1" x14ac:dyDescent="0.25">
      <c r="B630" s="476"/>
      <c r="C630" s="479"/>
      <c r="D630" s="222"/>
      <c r="E630" s="346">
        <v>44753</v>
      </c>
      <c r="F630" s="346"/>
      <c r="G630" s="339">
        <v>3119.95</v>
      </c>
      <c r="H630" s="339">
        <v>19</v>
      </c>
      <c r="I630" s="299">
        <v>2</v>
      </c>
      <c r="J630" s="299"/>
      <c r="K630" s="8">
        <f t="shared" si="69"/>
        <v>6277.9</v>
      </c>
      <c r="L630" s="341">
        <v>45191</v>
      </c>
      <c r="M630" s="339" t="s">
        <v>114</v>
      </c>
      <c r="N630" s="340">
        <v>3609.3599999999997</v>
      </c>
      <c r="O630" s="347">
        <v>25.037999999999737</v>
      </c>
      <c r="P630" s="340">
        <v>2</v>
      </c>
      <c r="Q630" s="340">
        <v>18046.8</v>
      </c>
      <c r="R630" s="340">
        <f t="shared" ref="R630" si="75">(N630-O630)*P630</f>
        <v>7168.6440000000002</v>
      </c>
      <c r="S630" s="8"/>
      <c r="T630" s="8"/>
      <c r="U630" s="36"/>
    </row>
    <row r="631" spans="2:21" ht="23.25" customHeight="1" x14ac:dyDescent="0.25">
      <c r="B631" s="476"/>
      <c r="C631" s="479"/>
      <c r="D631" s="222"/>
      <c r="E631" s="346">
        <v>44753</v>
      </c>
      <c r="F631" s="346"/>
      <c r="G631" s="339">
        <v>3119.95</v>
      </c>
      <c r="H631" s="339">
        <v>19</v>
      </c>
      <c r="I631" s="299">
        <v>1</v>
      </c>
      <c r="J631" s="299"/>
      <c r="K631" s="8">
        <f t="shared" ref="K631" si="76">(+G631+H631)*I631</f>
        <v>3138.95</v>
      </c>
      <c r="L631" s="341"/>
      <c r="M631" s="339"/>
      <c r="N631" s="340"/>
      <c r="O631" s="347"/>
      <c r="P631" s="340"/>
      <c r="Q631" s="340"/>
      <c r="R631" s="340"/>
      <c r="S631" s="8"/>
      <c r="T631" s="8"/>
      <c r="U631" s="36"/>
    </row>
    <row r="632" spans="2:21" ht="23.25" customHeight="1" x14ac:dyDescent="0.25">
      <c r="B632" s="476"/>
      <c r="C632" s="479"/>
      <c r="D632" s="222"/>
      <c r="E632" s="346">
        <v>45006</v>
      </c>
      <c r="F632" s="346"/>
      <c r="G632" s="339">
        <v>3111</v>
      </c>
      <c r="H632" s="339">
        <v>18.945</v>
      </c>
      <c r="I632" s="299">
        <v>2</v>
      </c>
      <c r="J632" s="299"/>
      <c r="K632" s="8">
        <f t="shared" si="69"/>
        <v>6259.89</v>
      </c>
      <c r="L632" s="7"/>
      <c r="M632" s="7"/>
      <c r="N632" s="171"/>
      <c r="O632" s="8"/>
      <c r="P632" s="299"/>
      <c r="Q632" s="8"/>
      <c r="R632" s="8"/>
      <c r="S632" s="8"/>
      <c r="T632" s="8"/>
      <c r="U632" s="36"/>
    </row>
    <row r="633" spans="2:21" ht="23.25" customHeight="1" x14ac:dyDescent="0.25">
      <c r="B633" s="476"/>
      <c r="C633" s="479"/>
      <c r="D633" s="222"/>
      <c r="E633" s="348">
        <v>45093</v>
      </c>
      <c r="F633" s="339" t="s">
        <v>74</v>
      </c>
      <c r="G633" s="339">
        <v>3170.1</v>
      </c>
      <c r="H633" s="339">
        <v>22.469999999999953</v>
      </c>
      <c r="I633" s="339">
        <v>3</v>
      </c>
      <c r="J633" s="340">
        <v>9510.2999999999993</v>
      </c>
      <c r="K633" s="8">
        <f t="shared" si="69"/>
        <v>9577.7099999999991</v>
      </c>
      <c r="L633" s="7"/>
      <c r="M633" s="7"/>
      <c r="N633" s="171"/>
      <c r="O633" s="8"/>
      <c r="P633" s="299"/>
      <c r="Q633" s="8"/>
      <c r="R633" s="8"/>
      <c r="S633" s="8"/>
      <c r="T633" s="8"/>
      <c r="U633" s="36"/>
    </row>
    <row r="634" spans="2:21" ht="23.25" customHeight="1" x14ac:dyDescent="0.25">
      <c r="B634" s="476"/>
      <c r="C634" s="479"/>
      <c r="D634" s="222"/>
      <c r="E634" s="348">
        <v>45098</v>
      </c>
      <c r="F634" s="339" t="s">
        <v>74</v>
      </c>
      <c r="G634" s="339">
        <v>3256.45</v>
      </c>
      <c r="H634" s="339">
        <v>23.080000000000382</v>
      </c>
      <c r="I634" s="339">
        <v>2</v>
      </c>
      <c r="J634" s="340">
        <v>6512.9</v>
      </c>
      <c r="K634" s="8">
        <f t="shared" si="69"/>
        <v>6559.06</v>
      </c>
      <c r="L634" s="7"/>
      <c r="M634" s="7"/>
      <c r="N634" s="171"/>
      <c r="O634" s="8"/>
      <c r="P634" s="299"/>
      <c r="Q634" s="8"/>
      <c r="R634" s="8"/>
      <c r="S634" s="8"/>
      <c r="T634" s="8"/>
      <c r="U634" s="36"/>
    </row>
    <row r="635" spans="2:21" ht="23.25" customHeight="1" x14ac:dyDescent="0.25">
      <c r="B635" s="476"/>
      <c r="C635" s="479"/>
      <c r="D635" s="222"/>
      <c r="E635" s="348">
        <v>45208</v>
      </c>
      <c r="F635" s="339" t="s">
        <v>74</v>
      </c>
      <c r="G635" s="339">
        <v>3650.1</v>
      </c>
      <c r="H635" s="339">
        <v>25.870000000000193</v>
      </c>
      <c r="I635" s="339">
        <v>3</v>
      </c>
      <c r="J635" s="340">
        <v>10950.3</v>
      </c>
      <c r="K635" s="8">
        <f t="shared" si="69"/>
        <v>11027.91</v>
      </c>
      <c r="L635" s="7"/>
      <c r="M635" s="7"/>
      <c r="N635" s="171"/>
      <c r="O635" s="8"/>
      <c r="P635" s="299"/>
      <c r="Q635" s="8"/>
      <c r="R635" s="8"/>
      <c r="S635" s="8"/>
      <c r="T635" s="8"/>
      <c r="U635" s="36"/>
    </row>
    <row r="636" spans="2:21" ht="23.25" customHeight="1" x14ac:dyDescent="0.25">
      <c r="B636" s="476"/>
      <c r="C636" s="479"/>
      <c r="D636" s="222"/>
      <c r="E636" s="348">
        <v>45211</v>
      </c>
      <c r="F636" s="339" t="s">
        <v>74</v>
      </c>
      <c r="G636" s="339">
        <v>3546.1</v>
      </c>
      <c r="H636" s="386">
        <v>25.13333333333382</v>
      </c>
      <c r="I636" s="339">
        <v>3</v>
      </c>
      <c r="J636" s="340">
        <v>10638.3</v>
      </c>
      <c r="K636" s="8">
        <f t="shared" si="69"/>
        <v>10713.7</v>
      </c>
      <c r="L636" s="7"/>
      <c r="M636" s="7"/>
      <c r="N636" s="171"/>
      <c r="O636" s="8"/>
      <c r="P636" s="299"/>
      <c r="Q636" s="8"/>
      <c r="R636" s="8"/>
      <c r="S636" s="8"/>
      <c r="T636" s="8"/>
      <c r="U636" s="36"/>
    </row>
    <row r="637" spans="2:21" ht="23.25" customHeight="1" x14ac:dyDescent="0.25">
      <c r="B637" s="476"/>
      <c r="C637" s="479"/>
      <c r="D637" s="222"/>
      <c r="E637" s="348">
        <v>45230</v>
      </c>
      <c r="F637" s="339" t="s">
        <v>74</v>
      </c>
      <c r="G637" s="339">
        <v>3375.1</v>
      </c>
      <c r="H637" s="339">
        <v>23.920000000000073</v>
      </c>
      <c r="I637" s="339">
        <v>2</v>
      </c>
      <c r="J637" s="340">
        <v>6750.2</v>
      </c>
      <c r="K637" s="8">
        <f t="shared" si="69"/>
        <v>6798.04</v>
      </c>
      <c r="L637" s="7"/>
      <c r="M637" s="7"/>
      <c r="N637" s="171"/>
      <c r="O637" s="8"/>
      <c r="P637" s="299"/>
      <c r="Q637" s="8"/>
      <c r="R637" s="8"/>
      <c r="S637" s="8"/>
      <c r="T637" s="8"/>
      <c r="U637" s="36"/>
    </row>
    <row r="638" spans="2:21" ht="23.25" customHeight="1" thickBot="1" x14ac:dyDescent="0.3">
      <c r="B638" s="477"/>
      <c r="C638" s="480"/>
      <c r="D638" s="213"/>
      <c r="E638" s="225"/>
      <c r="F638" s="225"/>
      <c r="G638" s="224"/>
      <c r="H638" s="224"/>
      <c r="I638" s="279">
        <f>SUM(I623:I637)</f>
        <v>37</v>
      </c>
      <c r="J638" s="279">
        <f>I638-P638</f>
        <v>16</v>
      </c>
      <c r="K638" s="224"/>
      <c r="L638" s="214"/>
      <c r="M638" s="214"/>
      <c r="N638" s="42"/>
      <c r="O638" s="40"/>
      <c r="P638" s="27">
        <f>SUM(P623:P637)</f>
        <v>21</v>
      </c>
      <c r="Q638" s="40"/>
      <c r="R638" s="40"/>
      <c r="S638" s="40"/>
      <c r="T638" s="40"/>
      <c r="U638" s="43"/>
    </row>
    <row r="639" spans="2:21" ht="23.25" customHeight="1" thickBot="1" x14ac:dyDescent="0.3">
      <c r="B639" s="56"/>
      <c r="C639" s="142"/>
      <c r="D639" s="56"/>
      <c r="E639" s="59"/>
      <c r="F639" s="59"/>
      <c r="G639" s="60"/>
      <c r="H639" s="60"/>
      <c r="I639" s="56"/>
      <c r="J639" s="56"/>
      <c r="K639" s="60"/>
      <c r="L639" s="56"/>
      <c r="M639" s="56"/>
      <c r="N639" s="62"/>
      <c r="O639" s="60"/>
      <c r="P639" s="56"/>
      <c r="Q639" s="60"/>
      <c r="R639" s="60"/>
      <c r="S639" s="60"/>
      <c r="T639" s="60"/>
      <c r="U639" s="63"/>
    </row>
    <row r="640" spans="2:21" ht="23.25" customHeight="1" thickTop="1" thickBot="1" x14ac:dyDescent="0.3">
      <c r="B640" s="472">
        <f>1+B623</f>
        <v>2</v>
      </c>
      <c r="C640" s="472" t="s">
        <v>118</v>
      </c>
      <c r="D640" s="64"/>
      <c r="E640" s="355">
        <v>45259</v>
      </c>
      <c r="F640" s="356" t="s">
        <v>119</v>
      </c>
      <c r="G640" s="236">
        <v>500</v>
      </c>
      <c r="H640" s="8">
        <v>0</v>
      </c>
      <c r="I640" s="299">
        <v>30</v>
      </c>
      <c r="J640" s="105"/>
      <c r="K640" s="73">
        <f>G640*I640</f>
        <v>15000</v>
      </c>
      <c r="L640" s="357">
        <v>45261</v>
      </c>
      <c r="M640" s="358" t="s">
        <v>114</v>
      </c>
      <c r="N640" s="359">
        <v>1219.95</v>
      </c>
      <c r="O640" s="444">
        <v>8.4639999999999418</v>
      </c>
      <c r="P640" s="358">
        <v>30</v>
      </c>
      <c r="Q640" s="359">
        <v>36598.5</v>
      </c>
      <c r="R640" s="359">
        <v>36344.58</v>
      </c>
      <c r="S640" s="80"/>
      <c r="T640" s="80"/>
      <c r="U640" s="148"/>
    </row>
    <row r="641" spans="2:26" ht="23.25" customHeight="1" thickBot="1" x14ac:dyDescent="0.3">
      <c r="B641" s="474"/>
      <c r="C641" s="474"/>
      <c r="D641" s="81"/>
      <c r="E641" s="84"/>
      <c r="F641" s="84"/>
      <c r="G641" s="85"/>
      <c r="H641" s="85"/>
      <c r="I641" s="205">
        <f>SUM(I640)</f>
        <v>30</v>
      </c>
      <c r="J641" s="309">
        <f>I641-P641</f>
        <v>0</v>
      </c>
      <c r="K641" s="88"/>
      <c r="L641" s="206"/>
      <c r="M641" s="206"/>
      <c r="N641" s="207"/>
      <c r="O641" s="85"/>
      <c r="P641" s="205">
        <f>SUM(P640)</f>
        <v>30</v>
      </c>
      <c r="Q641" s="193"/>
      <c r="R641" s="60"/>
      <c r="S641" s="60"/>
      <c r="T641" s="60"/>
      <c r="U641" s="159"/>
    </row>
    <row r="642" spans="2:26" ht="10.5" customHeight="1" thickTop="1" thickBot="1" x14ac:dyDescent="0.3">
      <c r="B642" s="5"/>
      <c r="C642" s="163"/>
      <c r="D642" s="5"/>
      <c r="E642" s="4"/>
      <c r="F642" s="4"/>
      <c r="G642" s="6"/>
      <c r="H642" s="6"/>
      <c r="I642" s="5"/>
      <c r="J642" s="5"/>
      <c r="K642" s="6"/>
      <c r="L642" s="192"/>
      <c r="M642" s="192"/>
      <c r="N642" s="31"/>
      <c r="O642" s="6"/>
      <c r="P642" s="5"/>
      <c r="Q642" s="6"/>
      <c r="R642" s="6"/>
      <c r="S642" s="6"/>
      <c r="T642" s="6"/>
      <c r="U642" s="32"/>
    </row>
    <row r="643" spans="2:26" ht="23.25" customHeight="1" x14ac:dyDescent="0.25">
      <c r="B643" s="475">
        <f>1+B640</f>
        <v>3</v>
      </c>
      <c r="C643" s="486" t="s">
        <v>111</v>
      </c>
      <c r="D643" s="211"/>
      <c r="E643" s="335">
        <v>45180</v>
      </c>
      <c r="F643" s="336" t="s">
        <v>74</v>
      </c>
      <c r="G643" s="337">
        <v>160.6</v>
      </c>
      <c r="H643" s="337">
        <v>1.1379500000000007</v>
      </c>
      <c r="I643" s="336">
        <v>100</v>
      </c>
      <c r="J643" s="337">
        <v>32120</v>
      </c>
      <c r="K643" s="337">
        <f>(G643+H643)*I643</f>
        <v>16173.794999999998</v>
      </c>
      <c r="L643" s="382">
        <v>45222</v>
      </c>
      <c r="M643" s="336" t="s">
        <v>114</v>
      </c>
      <c r="N643" s="336">
        <v>124.9</v>
      </c>
      <c r="O643" s="385">
        <v>0.86620000000000796</v>
      </c>
      <c r="P643" s="336">
        <v>100</v>
      </c>
      <c r="Q643" s="336">
        <v>12490</v>
      </c>
      <c r="R643" s="336">
        <f>(N643-O643)*P643</f>
        <v>12403.38</v>
      </c>
      <c r="S643" s="184"/>
      <c r="T643" s="184"/>
      <c r="U643" s="166" t="s">
        <v>55</v>
      </c>
      <c r="V643" s="237"/>
      <c r="X643" s="237"/>
    </row>
    <row r="644" spans="2:26" ht="23.25" customHeight="1" x14ac:dyDescent="0.25">
      <c r="B644" s="476"/>
      <c r="C644" s="487"/>
      <c r="D644" s="222"/>
      <c r="E644" s="341">
        <v>45180</v>
      </c>
      <c r="F644" s="339" t="s">
        <v>74</v>
      </c>
      <c r="G644" s="340">
        <v>160.6</v>
      </c>
      <c r="H644" s="340">
        <v>1.1379500000000007</v>
      </c>
      <c r="I644" s="339">
        <v>100</v>
      </c>
      <c r="J644" s="340">
        <v>32120</v>
      </c>
      <c r="K644" s="340">
        <f>(G644+H644)*I644</f>
        <v>16173.794999999998</v>
      </c>
      <c r="L644" s="348">
        <v>45250</v>
      </c>
      <c r="M644" s="339" t="s">
        <v>114</v>
      </c>
      <c r="N644" s="339">
        <v>146.9</v>
      </c>
      <c r="O644" s="386">
        <v>1.0188999999999941</v>
      </c>
      <c r="P644" s="339">
        <v>100</v>
      </c>
      <c r="Q644" s="339">
        <v>14690</v>
      </c>
      <c r="R644" s="339">
        <f t="shared" ref="R644:R645" si="77">(N644-O644)*P644</f>
        <v>14588.11</v>
      </c>
      <c r="S644" s="150"/>
      <c r="T644" s="150"/>
      <c r="U644" s="172"/>
      <c r="V644" s="237"/>
      <c r="X644" s="237"/>
    </row>
    <row r="645" spans="2:26" ht="23.25" customHeight="1" x14ac:dyDescent="0.25">
      <c r="B645" s="476"/>
      <c r="C645" s="487"/>
      <c r="D645" s="222"/>
      <c r="E645" s="341">
        <v>45196</v>
      </c>
      <c r="F645" s="339" t="s">
        <v>74</v>
      </c>
      <c r="G645" s="340">
        <v>131.1</v>
      </c>
      <c r="H645" s="340">
        <v>0.92940000000000511</v>
      </c>
      <c r="I645" s="339">
        <v>50</v>
      </c>
      <c r="J645" s="340">
        <v>6555</v>
      </c>
      <c r="K645" s="340">
        <f t="shared" ref="K645:K646" si="78">(G645+H645)*I645</f>
        <v>6601.47</v>
      </c>
      <c r="L645" s="348">
        <v>45251</v>
      </c>
      <c r="M645" s="339" t="s">
        <v>114</v>
      </c>
      <c r="N645" s="339">
        <v>148.5</v>
      </c>
      <c r="O645" s="386">
        <v>1.0297999999999956</v>
      </c>
      <c r="P645" s="339">
        <v>50</v>
      </c>
      <c r="Q645" s="339">
        <v>14850</v>
      </c>
      <c r="R645" s="339">
        <f t="shared" si="77"/>
        <v>7373.51</v>
      </c>
      <c r="S645" s="150"/>
      <c r="T645" s="150"/>
      <c r="U645" s="172"/>
    </row>
    <row r="646" spans="2:26" ht="23.25" customHeight="1" x14ac:dyDescent="0.25">
      <c r="B646" s="476"/>
      <c r="C646" s="487"/>
      <c r="D646" s="222"/>
      <c r="E646" s="341">
        <v>45212</v>
      </c>
      <c r="F646" s="339" t="s">
        <v>74</v>
      </c>
      <c r="G646" s="340">
        <v>130.1</v>
      </c>
      <c r="H646" s="340">
        <v>0.9226000000000022</v>
      </c>
      <c r="I646" s="339">
        <v>50</v>
      </c>
      <c r="J646" s="340">
        <v>6505</v>
      </c>
      <c r="K646" s="340">
        <f t="shared" si="78"/>
        <v>6551.1299999999992</v>
      </c>
      <c r="L646" s="348">
        <v>45251</v>
      </c>
      <c r="M646" s="339" t="s">
        <v>114</v>
      </c>
      <c r="N646" s="339">
        <v>148.5</v>
      </c>
      <c r="O646" s="386">
        <v>1.0297999999999956</v>
      </c>
      <c r="P646" s="339">
        <v>50</v>
      </c>
      <c r="Q646" s="339">
        <v>14850</v>
      </c>
      <c r="R646" s="339">
        <f t="shared" ref="R646:R656" si="79">(N646-O646)*P646</f>
        <v>7373.51</v>
      </c>
      <c r="S646" s="150"/>
      <c r="T646" s="150"/>
      <c r="U646" s="172"/>
      <c r="X646" s="237"/>
      <c r="Z646" s="237"/>
    </row>
    <row r="647" spans="2:26" ht="23.25" customHeight="1" thickBot="1" x14ac:dyDescent="0.3">
      <c r="B647" s="477"/>
      <c r="C647" s="488"/>
      <c r="D647" s="213"/>
      <c r="E647" s="39"/>
      <c r="F647" s="39"/>
      <c r="G647" s="40"/>
      <c r="H647" s="40"/>
      <c r="I647" s="27">
        <f>SUM(I643:I646)</f>
        <v>300</v>
      </c>
      <c r="J647" s="27">
        <f>I647-P647</f>
        <v>0</v>
      </c>
      <c r="K647" s="40"/>
      <c r="L647" s="214"/>
      <c r="M647" s="214"/>
      <c r="N647" s="42"/>
      <c r="O647" s="40"/>
      <c r="P647" s="27">
        <f>SUM(P643:P646)</f>
        <v>300</v>
      </c>
      <c r="Q647" s="40"/>
      <c r="R647" s="352"/>
      <c r="S647" s="40"/>
      <c r="T647" s="40"/>
      <c r="U647" s="169"/>
    </row>
    <row r="648" spans="2:26" ht="11.25" customHeight="1" thickBot="1" x14ac:dyDescent="0.3">
      <c r="B648" s="320"/>
      <c r="C648" s="245"/>
      <c r="D648" s="247"/>
      <c r="E648" s="270"/>
      <c r="F648" s="270"/>
      <c r="G648" s="135"/>
      <c r="H648" s="135"/>
      <c r="I648" s="247"/>
      <c r="J648" s="247"/>
      <c r="K648" s="135"/>
      <c r="L648" s="273"/>
      <c r="M648" s="273"/>
      <c r="N648" s="271"/>
      <c r="O648" s="135"/>
      <c r="P648" s="247"/>
      <c r="Q648" s="135"/>
      <c r="R648" s="416"/>
      <c r="S648" s="135"/>
      <c r="T648" s="135"/>
      <c r="U648" s="274"/>
    </row>
    <row r="649" spans="2:26" ht="23.25" customHeight="1" x14ac:dyDescent="0.25">
      <c r="B649" s="475">
        <f>1+B643</f>
        <v>4</v>
      </c>
      <c r="C649" s="486" t="s">
        <v>112</v>
      </c>
      <c r="D649" s="212"/>
      <c r="E649" s="331">
        <v>45280</v>
      </c>
      <c r="F649" s="332" t="s">
        <v>74</v>
      </c>
      <c r="G649" s="333">
        <v>402.3</v>
      </c>
      <c r="H649" s="333">
        <f>142.58/I649</f>
        <v>2.8516000000000004</v>
      </c>
      <c r="I649" s="332">
        <v>50</v>
      </c>
      <c r="J649" s="333">
        <v>20115</v>
      </c>
      <c r="K649" s="333">
        <v>20257.580000000002</v>
      </c>
      <c r="L649" s="436">
        <v>45328</v>
      </c>
      <c r="M649" s="332" t="s">
        <v>114</v>
      </c>
      <c r="N649" s="332">
        <v>424.7</v>
      </c>
      <c r="O649" s="332">
        <v>2.9468000000000005</v>
      </c>
      <c r="P649" s="332">
        <v>50</v>
      </c>
      <c r="Q649" s="332">
        <v>21235</v>
      </c>
      <c r="R649" s="332">
        <f t="shared" si="79"/>
        <v>21087.66</v>
      </c>
      <c r="S649" s="110"/>
      <c r="T649" s="110"/>
      <c r="U649" s="177" t="s">
        <v>55</v>
      </c>
    </row>
    <row r="650" spans="2:26" ht="23.25" customHeight="1" x14ac:dyDescent="0.25">
      <c r="B650" s="476"/>
      <c r="C650" s="487"/>
      <c r="D650" s="222"/>
      <c r="E650" s="341">
        <v>45323</v>
      </c>
      <c r="F650" s="339" t="s">
        <v>74</v>
      </c>
      <c r="G650" s="340">
        <v>373.1</v>
      </c>
      <c r="H650" s="340">
        <v>2.6450999999999998</v>
      </c>
      <c r="I650" s="339">
        <v>100</v>
      </c>
      <c r="J650" s="340">
        <v>37310</v>
      </c>
      <c r="K650" s="340">
        <v>37574.51</v>
      </c>
      <c r="L650" s="348">
        <v>45349</v>
      </c>
      <c r="M650" s="339" t="s">
        <v>114</v>
      </c>
      <c r="N650" s="339">
        <v>456.95</v>
      </c>
      <c r="O650" s="339">
        <v>3.1702000000000408</v>
      </c>
      <c r="P650" s="339">
        <v>100</v>
      </c>
      <c r="Q650" s="339">
        <v>45695</v>
      </c>
      <c r="R650" s="339">
        <f t="shared" si="79"/>
        <v>45377.979999999996</v>
      </c>
      <c r="S650" s="8"/>
      <c r="T650" s="8"/>
      <c r="U650" s="172"/>
    </row>
    <row r="651" spans="2:26" ht="23.25" customHeight="1" thickBot="1" x14ac:dyDescent="0.3">
      <c r="B651" s="476"/>
      <c r="C651" s="488"/>
      <c r="D651" s="216"/>
      <c r="E651" s="45"/>
      <c r="F651" s="45"/>
      <c r="G651" s="77"/>
      <c r="H651" s="77"/>
      <c r="I651" s="78">
        <f>SUM(I649:I650)</f>
        <v>150</v>
      </c>
      <c r="J651" s="78">
        <f>I651-P651</f>
        <v>0</v>
      </c>
      <c r="K651" s="77"/>
      <c r="L651" s="217"/>
      <c r="M651" s="217"/>
      <c r="N651" s="76"/>
      <c r="O651" s="77"/>
      <c r="P651" s="78">
        <f>SUM(P649:P650)</f>
        <v>150</v>
      </c>
      <c r="Q651" s="77"/>
      <c r="R651" s="371"/>
      <c r="S651" s="77"/>
      <c r="T651" s="77"/>
      <c r="U651" s="280"/>
    </row>
    <row r="652" spans="2:26" ht="10.5" customHeight="1" thickBot="1" x14ac:dyDescent="0.3">
      <c r="B652" s="47"/>
      <c r="C652" s="186"/>
      <c r="D652" s="243"/>
      <c r="E652" s="411"/>
      <c r="F652" s="411"/>
      <c r="G652" s="233"/>
      <c r="H652" s="233"/>
      <c r="I652" s="187"/>
      <c r="J652" s="187"/>
      <c r="K652" s="233"/>
      <c r="L652" s="411"/>
      <c r="M652" s="411"/>
      <c r="N652" s="187"/>
      <c r="O652" s="233"/>
      <c r="P652" s="187"/>
      <c r="Q652" s="233"/>
      <c r="R652" s="393"/>
      <c r="S652" s="233"/>
      <c r="T652" s="233"/>
      <c r="U652" s="182"/>
    </row>
    <row r="653" spans="2:26" ht="23.25" customHeight="1" x14ac:dyDescent="0.25">
      <c r="B653" s="476"/>
      <c r="C653" s="486" t="s">
        <v>113</v>
      </c>
      <c r="D653" s="212"/>
      <c r="E653" s="331">
        <v>45274</v>
      </c>
      <c r="F653" s="332" t="s">
        <v>74</v>
      </c>
      <c r="G653" s="333">
        <v>123.5</v>
      </c>
      <c r="H653" s="408">
        <v>0.87513333333333621</v>
      </c>
      <c r="I653" s="332">
        <v>200</v>
      </c>
      <c r="J653" s="333">
        <v>37050</v>
      </c>
      <c r="K653" s="408">
        <f>(G653+H653)*I653</f>
        <v>24875.026666666668</v>
      </c>
      <c r="L653" s="331">
        <v>45303</v>
      </c>
      <c r="M653" s="332" t="s">
        <v>114</v>
      </c>
      <c r="N653" s="333">
        <v>132.44999999999999</v>
      </c>
      <c r="O653" s="408">
        <v>0.91885000000000217</v>
      </c>
      <c r="P653" s="333">
        <v>200</v>
      </c>
      <c r="Q653" s="333">
        <v>26490</v>
      </c>
      <c r="R653" s="333">
        <f t="shared" si="79"/>
        <v>26306.23</v>
      </c>
      <c r="S653" s="146"/>
      <c r="T653" s="146"/>
      <c r="U653" s="177" t="s">
        <v>55</v>
      </c>
    </row>
    <row r="654" spans="2:26" ht="23.25" customHeight="1" x14ac:dyDescent="0.25">
      <c r="B654" s="476"/>
      <c r="C654" s="487"/>
      <c r="D654" s="222"/>
      <c r="E654" s="341">
        <v>45274</v>
      </c>
      <c r="F654" s="339" t="s">
        <v>74</v>
      </c>
      <c r="G654" s="340">
        <v>123.5</v>
      </c>
      <c r="H654" s="347">
        <v>0.87513333333333621</v>
      </c>
      <c r="I654" s="339">
        <v>100</v>
      </c>
      <c r="J654" s="340">
        <v>37050</v>
      </c>
      <c r="K654" s="347">
        <f>(G654+H654)*I654</f>
        <v>12437.513333333334</v>
      </c>
      <c r="L654" s="341">
        <v>45337</v>
      </c>
      <c r="M654" s="339" t="s">
        <v>114</v>
      </c>
      <c r="N654" s="340">
        <v>145.85</v>
      </c>
      <c r="O654" s="340">
        <v>1.0118499999999999</v>
      </c>
      <c r="P654" s="340">
        <v>100</v>
      </c>
      <c r="Q654" s="340">
        <v>29170</v>
      </c>
      <c r="R654" s="340">
        <f t="shared" si="79"/>
        <v>14483.814999999999</v>
      </c>
      <c r="S654" s="150"/>
      <c r="T654" s="150"/>
      <c r="U654" s="172"/>
    </row>
    <row r="655" spans="2:26" ht="23.25" customHeight="1" x14ac:dyDescent="0.25">
      <c r="B655" s="476"/>
      <c r="C655" s="487"/>
      <c r="D655" s="222"/>
      <c r="E655" s="341">
        <v>45279</v>
      </c>
      <c r="F655" s="339" t="s">
        <v>74</v>
      </c>
      <c r="G655" s="340">
        <v>122.4</v>
      </c>
      <c r="H655" s="347">
        <v>0.86754999999999205</v>
      </c>
      <c r="I655" s="339">
        <v>100</v>
      </c>
      <c r="J655" s="340">
        <v>24480</v>
      </c>
      <c r="K655" s="347">
        <f t="shared" ref="K655" si="80">(G655+H655)*I655</f>
        <v>12326.754999999999</v>
      </c>
      <c r="L655" s="341">
        <v>45337</v>
      </c>
      <c r="M655" s="339" t="s">
        <v>114</v>
      </c>
      <c r="N655" s="340">
        <v>145.85</v>
      </c>
      <c r="O655" s="340">
        <v>1.0118499999999999</v>
      </c>
      <c r="P655" s="340">
        <v>100</v>
      </c>
      <c r="Q655" s="340">
        <v>29170</v>
      </c>
      <c r="R655" s="340">
        <f t="shared" ref="R655" si="81">(N655-O655)*P655</f>
        <v>14483.814999999999</v>
      </c>
      <c r="S655" s="150"/>
      <c r="T655" s="150"/>
      <c r="U655" s="172"/>
    </row>
    <row r="656" spans="2:26" ht="23.25" customHeight="1" x14ac:dyDescent="0.25">
      <c r="B656" s="476"/>
      <c r="C656" s="487"/>
      <c r="D656" s="222"/>
      <c r="E656" s="341">
        <v>45279</v>
      </c>
      <c r="F656" s="339" t="s">
        <v>74</v>
      </c>
      <c r="G656" s="340">
        <v>122.4</v>
      </c>
      <c r="H656" s="347">
        <v>0.86754999999999205</v>
      </c>
      <c r="I656" s="339">
        <v>100</v>
      </c>
      <c r="J656" s="340">
        <v>24480</v>
      </c>
      <c r="K656" s="347">
        <f t="shared" ref="K656:K657" si="82">(G656+H656)*I656</f>
        <v>12326.754999999999</v>
      </c>
      <c r="L656" s="341">
        <v>45351</v>
      </c>
      <c r="M656" s="339" t="s">
        <v>114</v>
      </c>
      <c r="N656" s="340">
        <v>144.44999999999999</v>
      </c>
      <c r="O656" s="340">
        <v>1.0021500000000001</v>
      </c>
      <c r="P656" s="340">
        <v>100</v>
      </c>
      <c r="Q656" s="340">
        <v>28890</v>
      </c>
      <c r="R656" s="340">
        <f t="shared" si="79"/>
        <v>14344.784999999998</v>
      </c>
      <c r="S656" s="150"/>
      <c r="T656" s="150"/>
      <c r="U656" s="172"/>
    </row>
    <row r="657" spans="2:21" ht="23.25" customHeight="1" x14ac:dyDescent="0.25">
      <c r="B657" s="476"/>
      <c r="C657" s="487"/>
      <c r="D657" s="222"/>
      <c r="E657" s="341">
        <v>45282</v>
      </c>
      <c r="F657" s="339" t="s">
        <v>74</v>
      </c>
      <c r="G657" s="340">
        <v>118.8</v>
      </c>
      <c r="H657" s="347">
        <v>0.8420000000000073</v>
      </c>
      <c r="I657" s="339">
        <v>100</v>
      </c>
      <c r="J657" s="340">
        <v>11880</v>
      </c>
      <c r="K657" s="347">
        <f t="shared" si="82"/>
        <v>11964.2</v>
      </c>
      <c r="L657" s="341">
        <v>45351</v>
      </c>
      <c r="M657" s="339" t="s">
        <v>114</v>
      </c>
      <c r="N657" s="340">
        <v>144.44999999999999</v>
      </c>
      <c r="O657" s="340">
        <v>1.0021500000000001</v>
      </c>
      <c r="P657" s="340">
        <v>100</v>
      </c>
      <c r="Q657" s="340">
        <v>28890</v>
      </c>
      <c r="R657" s="340">
        <f t="shared" ref="R657:R658" si="83">(N657-O657)*P657</f>
        <v>14344.784999999998</v>
      </c>
      <c r="S657" s="150"/>
      <c r="T657" s="150"/>
      <c r="U657" s="172"/>
    </row>
    <row r="658" spans="2:21" ht="23.25" customHeight="1" x14ac:dyDescent="0.25">
      <c r="B658" s="476"/>
      <c r="C658" s="487"/>
      <c r="D658" s="222"/>
      <c r="E658" s="341">
        <v>45329</v>
      </c>
      <c r="F658" s="339" t="s">
        <v>74</v>
      </c>
      <c r="G658" s="340">
        <v>147.5</v>
      </c>
      <c r="H658" s="340">
        <v>1.0453999999999999</v>
      </c>
      <c r="I658" s="339">
        <v>100</v>
      </c>
      <c r="J658" s="340">
        <v>14750</v>
      </c>
      <c r="K658" s="340">
        <v>14854.54</v>
      </c>
      <c r="L658" s="341">
        <v>45379</v>
      </c>
      <c r="M658" s="339" t="s">
        <v>114</v>
      </c>
      <c r="N658" s="340">
        <v>153.65</v>
      </c>
      <c r="O658" s="340">
        <v>1.0659999999999998</v>
      </c>
      <c r="P658" s="340">
        <v>100</v>
      </c>
      <c r="Q658" s="340">
        <v>30730</v>
      </c>
      <c r="R658" s="340">
        <f t="shared" si="83"/>
        <v>15258.4</v>
      </c>
      <c r="S658" s="150"/>
      <c r="T658" s="150"/>
      <c r="U658" s="172"/>
    </row>
    <row r="659" spans="2:21" ht="23.25" customHeight="1" x14ac:dyDescent="0.25">
      <c r="B659" s="476"/>
      <c r="C659" s="487"/>
      <c r="D659" s="222"/>
      <c r="E659" s="341">
        <v>45336</v>
      </c>
      <c r="F659" s="339" t="s">
        <v>74</v>
      </c>
      <c r="G659" s="340">
        <v>138.30000000000001</v>
      </c>
      <c r="H659" s="340">
        <v>0.98030000000000017</v>
      </c>
      <c r="I659" s="339">
        <v>100</v>
      </c>
      <c r="J659" s="340">
        <v>27660</v>
      </c>
      <c r="K659" s="340">
        <v>27856.06</v>
      </c>
      <c r="L659" s="341">
        <v>45379</v>
      </c>
      <c r="M659" s="339" t="s">
        <v>114</v>
      </c>
      <c r="N659" s="340">
        <v>153.65</v>
      </c>
      <c r="O659" s="340">
        <v>1.0659999999999998</v>
      </c>
      <c r="P659" s="340">
        <v>100</v>
      </c>
      <c r="Q659" s="340">
        <v>30730</v>
      </c>
      <c r="R659" s="340">
        <f t="shared" ref="R659" si="84">(N659-O659)*P659</f>
        <v>15258.4</v>
      </c>
      <c r="S659" s="150"/>
      <c r="T659" s="150"/>
      <c r="U659" s="172"/>
    </row>
    <row r="660" spans="2:21" ht="23.25" customHeight="1" x14ac:dyDescent="0.25">
      <c r="B660" s="476"/>
      <c r="C660" s="487"/>
      <c r="D660" s="222"/>
      <c r="E660" s="341">
        <v>45336</v>
      </c>
      <c r="F660" s="339" t="s">
        <v>74</v>
      </c>
      <c r="G660" s="340">
        <v>138.30000000000001</v>
      </c>
      <c r="H660" s="340">
        <v>0.98030000000000017</v>
      </c>
      <c r="I660" s="339">
        <v>100</v>
      </c>
      <c r="J660" s="340">
        <v>27660</v>
      </c>
      <c r="K660" s="340">
        <v>27856.06</v>
      </c>
      <c r="L660" s="341"/>
      <c r="M660" s="339"/>
      <c r="N660" s="340"/>
      <c r="O660" s="340"/>
      <c r="P660" s="340"/>
      <c r="Q660" s="340"/>
      <c r="R660" s="340"/>
      <c r="S660" s="150"/>
      <c r="T660" s="150"/>
      <c r="U660" s="172"/>
    </row>
    <row r="661" spans="2:21" ht="23.25" customHeight="1" x14ac:dyDescent="0.25">
      <c r="B661" s="476"/>
      <c r="C661" s="487"/>
      <c r="D661" s="222"/>
      <c r="E661" s="341">
        <v>45373</v>
      </c>
      <c r="F661" s="339" t="s">
        <v>74</v>
      </c>
      <c r="G661" s="340">
        <v>147.94999999999999</v>
      </c>
      <c r="H661" s="340">
        <v>1.0486000000000057</v>
      </c>
      <c r="I661" s="339">
        <v>300</v>
      </c>
      <c r="J661" s="340">
        <v>44385</v>
      </c>
      <c r="K661" s="340">
        <v>44699.58</v>
      </c>
      <c r="L661" s="256"/>
      <c r="M661" s="256"/>
      <c r="N661" s="171"/>
      <c r="O661" s="8"/>
      <c r="P661" s="299"/>
      <c r="Q661" s="8"/>
      <c r="R661" s="8"/>
      <c r="S661" s="8"/>
      <c r="T661" s="8"/>
      <c r="U661" s="172"/>
    </row>
    <row r="662" spans="2:21" ht="23.25" customHeight="1" thickBot="1" x14ac:dyDescent="0.3">
      <c r="B662" s="477"/>
      <c r="C662" s="488"/>
      <c r="D662" s="213"/>
      <c r="E662" s="39"/>
      <c r="F662" s="39"/>
      <c r="G662" s="40"/>
      <c r="H662" s="40"/>
      <c r="I662" s="27">
        <f>SUM(I653:I661)</f>
        <v>1200</v>
      </c>
      <c r="J662" s="27">
        <f>I662-P662</f>
        <v>400</v>
      </c>
      <c r="K662" s="40"/>
      <c r="L662" s="214"/>
      <c r="M662" s="214"/>
      <c r="N662" s="42"/>
      <c r="O662" s="40"/>
      <c r="P662" s="27">
        <f>SUM(P653:P661)</f>
        <v>800</v>
      </c>
      <c r="Q662" s="40"/>
      <c r="R662" s="40"/>
      <c r="S662" s="40"/>
      <c r="T662" s="40"/>
      <c r="U662" s="169"/>
    </row>
    <row r="663" spans="2:21" ht="10.5" customHeight="1" thickBot="1" x14ac:dyDescent="0.3">
      <c r="B663" s="230"/>
      <c r="C663" s="310"/>
      <c r="D663" s="230"/>
      <c r="E663" s="230"/>
      <c r="F663" s="230"/>
      <c r="G663" s="231"/>
      <c r="H663" s="231"/>
      <c r="I663" s="230"/>
      <c r="J663" s="230"/>
      <c r="K663" s="231"/>
      <c r="L663" s="230"/>
      <c r="M663" s="230"/>
      <c r="N663" s="230"/>
      <c r="O663" s="231"/>
      <c r="P663" s="230"/>
      <c r="Q663" s="231"/>
      <c r="R663" s="231"/>
      <c r="S663" s="231"/>
      <c r="T663" s="231"/>
      <c r="U663" s="311"/>
    </row>
    <row r="664" spans="2:21" ht="23.25" customHeight="1" thickTop="1" thickBot="1" x14ac:dyDescent="0.3">
      <c r="B664" s="472" t="e">
        <f>1+#REF!</f>
        <v>#REF!</v>
      </c>
      <c r="C664" s="472" t="s">
        <v>53</v>
      </c>
      <c r="D664" s="64"/>
      <c r="E664" s="355">
        <v>44601</v>
      </c>
      <c r="F664" s="445"/>
      <c r="G664" s="446">
        <v>368.83333329999999</v>
      </c>
      <c r="H664" s="446">
        <v>0</v>
      </c>
      <c r="I664" s="447">
        <v>3</v>
      </c>
      <c r="J664" s="448"/>
      <c r="K664" s="161">
        <v>1106.5</v>
      </c>
      <c r="L664" s="238">
        <v>45237</v>
      </c>
      <c r="M664" s="239" t="s">
        <v>131</v>
      </c>
      <c r="N664" s="239">
        <v>235.9</v>
      </c>
      <c r="O664" s="239">
        <v>0</v>
      </c>
      <c r="P664" s="447">
        <v>3</v>
      </c>
      <c r="Q664" s="239">
        <v>11795</v>
      </c>
      <c r="R664" s="240">
        <f>(N664-O664)*P664</f>
        <v>707.7</v>
      </c>
      <c r="S664" s="147"/>
      <c r="T664" s="147"/>
      <c r="U664" s="148" t="s">
        <v>28</v>
      </c>
    </row>
    <row r="665" spans="2:21" ht="23.25" customHeight="1" thickBot="1" x14ac:dyDescent="0.3">
      <c r="B665" s="473"/>
      <c r="C665" s="473"/>
      <c r="D665" s="67"/>
      <c r="E665" s="356">
        <v>44777</v>
      </c>
      <c r="F665" s="445"/>
      <c r="G665" s="146">
        <v>250</v>
      </c>
      <c r="H665" s="146">
        <v>0</v>
      </c>
      <c r="I665" s="145">
        <v>2</v>
      </c>
      <c r="J665" s="449"/>
      <c r="K665" s="161">
        <v>500</v>
      </c>
      <c r="L665" s="238">
        <v>45237</v>
      </c>
      <c r="M665" s="239" t="s">
        <v>131</v>
      </c>
      <c r="N665" s="239">
        <v>235.9</v>
      </c>
      <c r="O665" s="239">
        <v>0</v>
      </c>
      <c r="P665" s="145">
        <v>2</v>
      </c>
      <c r="Q665" s="239">
        <v>11795</v>
      </c>
      <c r="R665" s="240">
        <f>(N665-O665)*P665</f>
        <v>471.8</v>
      </c>
      <c r="S665" s="147"/>
      <c r="T665" s="147"/>
      <c r="U665" s="152"/>
    </row>
    <row r="666" spans="2:21" ht="23.25" customHeight="1" thickBot="1" x14ac:dyDescent="0.3">
      <c r="B666" s="473"/>
      <c r="C666" s="473"/>
      <c r="D666" s="67"/>
      <c r="E666" s="356">
        <v>44893</v>
      </c>
      <c r="F666" s="445"/>
      <c r="G666" s="146">
        <v>310</v>
      </c>
      <c r="H666" s="146">
        <v>0</v>
      </c>
      <c r="I666" s="145">
        <v>5</v>
      </c>
      <c r="J666" s="449"/>
      <c r="K666" s="161">
        <v>1550</v>
      </c>
      <c r="L666" s="238">
        <v>45237</v>
      </c>
      <c r="M666" s="239" t="s">
        <v>131</v>
      </c>
      <c r="N666" s="239">
        <v>235.9</v>
      </c>
      <c r="O666" s="239">
        <v>0</v>
      </c>
      <c r="P666" s="145">
        <v>5</v>
      </c>
      <c r="Q666" s="239">
        <v>11795</v>
      </c>
      <c r="R666" s="240">
        <f t="shared" ref="R666:R672" si="85">(N666-O666)*P666</f>
        <v>1179.5</v>
      </c>
      <c r="S666" s="147"/>
      <c r="T666" s="147"/>
      <c r="U666" s="152"/>
    </row>
    <row r="667" spans="2:21" ht="23.25" customHeight="1" thickBot="1" x14ac:dyDescent="0.3">
      <c r="B667" s="473"/>
      <c r="C667" s="473"/>
      <c r="D667" s="67"/>
      <c r="E667" s="153">
        <v>45021</v>
      </c>
      <c r="F667" s="154" t="s">
        <v>130</v>
      </c>
      <c r="G667" s="154">
        <v>285.41428571428571</v>
      </c>
      <c r="H667" s="154">
        <v>0</v>
      </c>
      <c r="I667" s="154">
        <v>7</v>
      </c>
      <c r="J667" s="154">
        <v>1997.9</v>
      </c>
      <c r="K667" s="161">
        <v>1997.9</v>
      </c>
      <c r="L667" s="238">
        <v>45237</v>
      </c>
      <c r="M667" s="239" t="s">
        <v>131</v>
      </c>
      <c r="N667" s="239">
        <v>235.9</v>
      </c>
      <c r="O667" s="239">
        <v>0</v>
      </c>
      <c r="P667" s="154">
        <v>7</v>
      </c>
      <c r="Q667" s="239">
        <v>11795</v>
      </c>
      <c r="R667" s="240">
        <f t="shared" si="85"/>
        <v>1651.3</v>
      </c>
      <c r="S667" s="147"/>
      <c r="T667" s="147"/>
      <c r="U667" s="152"/>
    </row>
    <row r="668" spans="2:21" ht="23.25" customHeight="1" thickBot="1" x14ac:dyDescent="0.3">
      <c r="B668" s="473"/>
      <c r="C668" s="473"/>
      <c r="D668" s="67"/>
      <c r="E668" s="153">
        <v>45022</v>
      </c>
      <c r="F668" s="154" t="s">
        <v>130</v>
      </c>
      <c r="G668" s="154">
        <v>267.27499999999998</v>
      </c>
      <c r="H668" s="154">
        <v>0</v>
      </c>
      <c r="I668" s="154">
        <v>10</v>
      </c>
      <c r="J668" s="154">
        <v>2672.75</v>
      </c>
      <c r="K668" s="161">
        <v>2672.75</v>
      </c>
      <c r="L668" s="238">
        <v>45237</v>
      </c>
      <c r="M668" s="239" t="s">
        <v>131</v>
      </c>
      <c r="N668" s="239">
        <v>235.9</v>
      </c>
      <c r="O668" s="239">
        <v>0</v>
      </c>
      <c r="P668" s="154">
        <v>10</v>
      </c>
      <c r="Q668" s="239">
        <v>11795</v>
      </c>
      <c r="R668" s="240">
        <f t="shared" si="85"/>
        <v>2359</v>
      </c>
      <c r="S668" s="147"/>
      <c r="T668" s="147"/>
      <c r="U668" s="152"/>
    </row>
    <row r="669" spans="2:21" ht="23.25" customHeight="1" thickBot="1" x14ac:dyDescent="0.3">
      <c r="B669" s="473"/>
      <c r="C669" s="473"/>
      <c r="D669" s="67"/>
      <c r="E669" s="153">
        <v>45051</v>
      </c>
      <c r="F669" s="154" t="s">
        <v>130</v>
      </c>
      <c r="G669" s="154">
        <v>275</v>
      </c>
      <c r="H669" s="154">
        <v>0</v>
      </c>
      <c r="I669" s="154">
        <v>1</v>
      </c>
      <c r="J669" s="154">
        <v>275</v>
      </c>
      <c r="K669" s="161">
        <v>275</v>
      </c>
      <c r="L669" s="238">
        <v>45237</v>
      </c>
      <c r="M669" s="239" t="s">
        <v>131</v>
      </c>
      <c r="N669" s="239">
        <v>235.9</v>
      </c>
      <c r="O669" s="239">
        <v>0</v>
      </c>
      <c r="P669" s="154">
        <v>1</v>
      </c>
      <c r="Q669" s="239">
        <v>11795</v>
      </c>
      <c r="R669" s="240">
        <f t="shared" si="85"/>
        <v>235.9</v>
      </c>
      <c r="S669" s="147"/>
      <c r="T669" s="147"/>
      <c r="U669" s="152"/>
    </row>
    <row r="670" spans="2:21" ht="23.25" customHeight="1" thickBot="1" x14ac:dyDescent="0.3">
      <c r="B670" s="473"/>
      <c r="C670" s="473"/>
      <c r="D670" s="67"/>
      <c r="E670" s="153">
        <v>45071</v>
      </c>
      <c r="F670" s="154" t="s">
        <v>130</v>
      </c>
      <c r="G670" s="154">
        <v>295</v>
      </c>
      <c r="H670" s="154">
        <v>0</v>
      </c>
      <c r="I670" s="154">
        <v>2</v>
      </c>
      <c r="J670" s="154">
        <v>590</v>
      </c>
      <c r="K670" s="161">
        <v>590</v>
      </c>
      <c r="L670" s="238">
        <v>45237</v>
      </c>
      <c r="M670" s="239" t="s">
        <v>131</v>
      </c>
      <c r="N670" s="239">
        <v>235.9</v>
      </c>
      <c r="O670" s="239">
        <v>0</v>
      </c>
      <c r="P670" s="154">
        <v>2</v>
      </c>
      <c r="Q670" s="239">
        <v>11795</v>
      </c>
      <c r="R670" s="240">
        <f t="shared" si="85"/>
        <v>471.8</v>
      </c>
      <c r="S670" s="147"/>
      <c r="T670" s="147"/>
      <c r="U670" s="152"/>
    </row>
    <row r="671" spans="2:21" ht="23.25" customHeight="1" thickBot="1" x14ac:dyDescent="0.3">
      <c r="B671" s="473"/>
      <c r="C671" s="473"/>
      <c r="D671" s="67"/>
      <c r="E671" s="153">
        <v>45072</v>
      </c>
      <c r="F671" s="154" t="s">
        <v>130</v>
      </c>
      <c r="G671" s="154">
        <v>296.95</v>
      </c>
      <c r="H671" s="154">
        <v>0</v>
      </c>
      <c r="I671" s="154">
        <v>1</v>
      </c>
      <c r="J671" s="154">
        <v>296.95</v>
      </c>
      <c r="K671" s="161">
        <v>296.95</v>
      </c>
      <c r="L671" s="238">
        <v>45237</v>
      </c>
      <c r="M671" s="239" t="s">
        <v>131</v>
      </c>
      <c r="N671" s="239">
        <v>235.9</v>
      </c>
      <c r="O671" s="239">
        <v>0</v>
      </c>
      <c r="P671" s="154">
        <v>1</v>
      </c>
      <c r="Q671" s="239">
        <v>11795</v>
      </c>
      <c r="R671" s="240">
        <f t="shared" si="85"/>
        <v>235.9</v>
      </c>
      <c r="S671" s="147"/>
      <c r="T671" s="147"/>
      <c r="U671" s="152"/>
    </row>
    <row r="672" spans="2:21" ht="23.25" customHeight="1" thickBot="1" x14ac:dyDescent="0.3">
      <c r="B672" s="473"/>
      <c r="C672" s="473"/>
      <c r="D672" s="67"/>
      <c r="E672" s="153">
        <v>45076</v>
      </c>
      <c r="F672" s="154" t="s">
        <v>130</v>
      </c>
      <c r="G672" s="241">
        <v>284.42894736842101</v>
      </c>
      <c r="H672" s="241">
        <v>0</v>
      </c>
      <c r="I672" s="241">
        <v>19</v>
      </c>
      <c r="J672" s="241">
        <v>5404.15</v>
      </c>
      <c r="K672" s="241">
        <v>5404.15</v>
      </c>
      <c r="L672" s="238">
        <v>45237</v>
      </c>
      <c r="M672" s="239" t="s">
        <v>131</v>
      </c>
      <c r="N672" s="239">
        <v>235.9</v>
      </c>
      <c r="O672" s="239">
        <v>0</v>
      </c>
      <c r="P672" s="241">
        <v>19</v>
      </c>
      <c r="Q672" s="239">
        <v>11795</v>
      </c>
      <c r="R672" s="240">
        <f t="shared" si="85"/>
        <v>4482.1000000000004</v>
      </c>
      <c r="S672" s="147"/>
      <c r="T672" s="147"/>
      <c r="U672" s="152"/>
    </row>
    <row r="673" spans="2:21" ht="23.25" customHeight="1" thickBot="1" x14ac:dyDescent="0.3">
      <c r="B673" s="474"/>
      <c r="C673" s="474"/>
      <c r="D673" s="81"/>
      <c r="E673" s="115"/>
      <c r="F673" s="115"/>
      <c r="G673" s="91"/>
      <c r="H673" s="91"/>
      <c r="I673" s="144">
        <f>SUM(I664:I672)</f>
        <v>50</v>
      </c>
      <c r="J673" s="183">
        <f>I673-P673</f>
        <v>0</v>
      </c>
      <c r="K673" s="93"/>
      <c r="L673" s="117"/>
      <c r="M673" s="117"/>
      <c r="N673" s="90"/>
      <c r="O673" s="91"/>
      <c r="P673" s="144">
        <f>SUM(P664:P672)</f>
        <v>50</v>
      </c>
      <c r="Q673" s="93"/>
      <c r="R673" s="94"/>
      <c r="S673" s="94"/>
      <c r="T673" s="94"/>
      <c r="U673" s="159"/>
    </row>
    <row r="674" spans="2:21" ht="10.5" customHeight="1" thickTop="1" thickBot="1" x14ac:dyDescent="0.3">
      <c r="B674" s="312"/>
      <c r="C674" s="313"/>
      <c r="D674" s="312"/>
      <c r="E674" s="312"/>
      <c r="F674" s="312"/>
      <c r="G674" s="314"/>
      <c r="H674" s="314"/>
      <c r="I674" s="312"/>
      <c r="J674" s="312"/>
      <c r="K674" s="314"/>
      <c r="L674" s="312"/>
      <c r="M674" s="312"/>
      <c r="N674" s="312"/>
      <c r="O674" s="314"/>
      <c r="P674" s="312"/>
      <c r="Q674" s="314"/>
      <c r="R674" s="314"/>
      <c r="S674" s="314"/>
      <c r="T674" s="314"/>
      <c r="U674" s="315"/>
    </row>
    <row r="675" spans="2:21" ht="23.25" customHeight="1" x14ac:dyDescent="0.25">
      <c r="B675" s="475" t="e">
        <f>1+B664</f>
        <v>#REF!</v>
      </c>
      <c r="C675" s="478" t="s">
        <v>12</v>
      </c>
      <c r="D675" s="211"/>
      <c r="E675" s="344">
        <v>44287</v>
      </c>
      <c r="F675" s="344"/>
      <c r="G675" s="10">
        <v>419.20160000000004</v>
      </c>
      <c r="H675" s="10">
        <v>0</v>
      </c>
      <c r="I675" s="267">
        <v>50</v>
      </c>
      <c r="J675" s="267"/>
      <c r="K675" s="10">
        <f>(+G675+H675)*I675</f>
        <v>20960.080000000002</v>
      </c>
      <c r="L675" s="335">
        <v>45110</v>
      </c>
      <c r="M675" s="336" t="s">
        <v>114</v>
      </c>
      <c r="N675" s="337">
        <v>445</v>
      </c>
      <c r="O675" s="345">
        <v>3.1557471264368151</v>
      </c>
      <c r="P675" s="267">
        <v>50</v>
      </c>
      <c r="Q675" s="337">
        <v>77430</v>
      </c>
      <c r="R675" s="337">
        <f t="shared" ref="R675:R681" si="86">(N675-O675)*P675</f>
        <v>22092.212643678158</v>
      </c>
      <c r="S675" s="10"/>
      <c r="T675" s="10"/>
      <c r="U675" s="166" t="s">
        <v>55</v>
      </c>
    </row>
    <row r="676" spans="2:21" ht="23.25" customHeight="1" x14ac:dyDescent="0.25">
      <c r="B676" s="476"/>
      <c r="C676" s="479"/>
      <c r="D676" s="222"/>
      <c r="E676" s="346">
        <v>44447</v>
      </c>
      <c r="F676" s="346"/>
      <c r="G676" s="8">
        <v>673.73960000000011</v>
      </c>
      <c r="H676" s="8">
        <v>0</v>
      </c>
      <c r="I676" s="299">
        <v>25</v>
      </c>
      <c r="J676" s="299"/>
      <c r="K676" s="8">
        <f t="shared" ref="K676:K681" si="87">(+G676+H676)*I676</f>
        <v>16843.490000000002</v>
      </c>
      <c r="L676" s="341">
        <v>45110</v>
      </c>
      <c r="M676" s="339" t="s">
        <v>114</v>
      </c>
      <c r="N676" s="340">
        <v>445</v>
      </c>
      <c r="O676" s="347">
        <v>3.1557471264368151</v>
      </c>
      <c r="P676" s="299">
        <v>25</v>
      </c>
      <c r="Q676" s="340">
        <v>77430</v>
      </c>
      <c r="R676" s="340">
        <f t="shared" si="86"/>
        <v>11046.106321839079</v>
      </c>
      <c r="S676" s="8"/>
      <c r="T676" s="8"/>
      <c r="U676" s="172"/>
    </row>
    <row r="677" spans="2:21" ht="23.25" customHeight="1" x14ac:dyDescent="0.25">
      <c r="B677" s="476"/>
      <c r="C677" s="479"/>
      <c r="D677" s="222"/>
      <c r="E677" s="346">
        <v>44491</v>
      </c>
      <c r="F677" s="346"/>
      <c r="G677" s="8">
        <v>689.05119999999999</v>
      </c>
      <c r="H677" s="8">
        <v>0</v>
      </c>
      <c r="I677" s="299">
        <v>25</v>
      </c>
      <c r="J677" s="299"/>
      <c r="K677" s="8">
        <f t="shared" si="87"/>
        <v>17226.28</v>
      </c>
      <c r="L677" s="341">
        <v>45110</v>
      </c>
      <c r="M677" s="339" t="s">
        <v>114</v>
      </c>
      <c r="N677" s="340">
        <v>445</v>
      </c>
      <c r="O677" s="347">
        <v>3.1557471264368151</v>
      </c>
      <c r="P677" s="299">
        <v>25</v>
      </c>
      <c r="Q677" s="340">
        <v>77430</v>
      </c>
      <c r="R677" s="340">
        <f t="shared" si="86"/>
        <v>11046.106321839079</v>
      </c>
      <c r="S677" s="8"/>
      <c r="T677" s="8"/>
      <c r="U677" s="172"/>
    </row>
    <row r="678" spans="2:21" ht="23.25" customHeight="1" x14ac:dyDescent="0.25">
      <c r="B678" s="476"/>
      <c r="C678" s="479"/>
      <c r="D678" s="222"/>
      <c r="E678" s="346">
        <v>44511</v>
      </c>
      <c r="F678" s="346"/>
      <c r="G678" s="8">
        <v>644.92759999999998</v>
      </c>
      <c r="H678" s="8">
        <v>0</v>
      </c>
      <c r="I678" s="299">
        <v>25</v>
      </c>
      <c r="J678" s="299"/>
      <c r="K678" s="8">
        <f t="shared" si="87"/>
        <v>16123.189999999999</v>
      </c>
      <c r="L678" s="341">
        <v>45110</v>
      </c>
      <c r="M678" s="339" t="s">
        <v>114</v>
      </c>
      <c r="N678" s="340">
        <v>445</v>
      </c>
      <c r="O678" s="347">
        <v>3.1557471264368151</v>
      </c>
      <c r="P678" s="299">
        <v>25</v>
      </c>
      <c r="Q678" s="340">
        <v>77430</v>
      </c>
      <c r="R678" s="340">
        <f t="shared" si="86"/>
        <v>11046.106321839079</v>
      </c>
      <c r="S678" s="8"/>
      <c r="T678" s="8"/>
      <c r="U678" s="172"/>
    </row>
    <row r="679" spans="2:21" ht="23.25" customHeight="1" x14ac:dyDescent="0.25">
      <c r="B679" s="476"/>
      <c r="C679" s="479"/>
      <c r="D679" s="222"/>
      <c r="E679" s="346">
        <v>44662</v>
      </c>
      <c r="F679" s="346"/>
      <c r="G679" s="8">
        <v>574</v>
      </c>
      <c r="H679" s="8">
        <v>3.495333333333333</v>
      </c>
      <c r="I679" s="299">
        <v>15</v>
      </c>
      <c r="J679" s="299"/>
      <c r="K679" s="8">
        <f t="shared" si="87"/>
        <v>8662.43</v>
      </c>
      <c r="L679" s="341">
        <v>45110</v>
      </c>
      <c r="M679" s="339" t="s">
        <v>114</v>
      </c>
      <c r="N679" s="340">
        <v>445</v>
      </c>
      <c r="O679" s="347">
        <v>3.1557471264368151</v>
      </c>
      <c r="P679" s="299">
        <v>15</v>
      </c>
      <c r="Q679" s="340">
        <v>77430</v>
      </c>
      <c r="R679" s="340">
        <f t="shared" si="86"/>
        <v>6627.6637931034475</v>
      </c>
      <c r="S679" s="8"/>
      <c r="T679" s="8"/>
      <c r="U679" s="172"/>
    </row>
    <row r="680" spans="2:21" ht="23.25" customHeight="1" x14ac:dyDescent="0.25">
      <c r="B680" s="476"/>
      <c r="C680" s="479"/>
      <c r="D680" s="222"/>
      <c r="E680" s="346">
        <v>44669</v>
      </c>
      <c r="F680" s="346"/>
      <c r="G680" s="8">
        <v>538</v>
      </c>
      <c r="H680" s="8">
        <v>3.2770000000000001</v>
      </c>
      <c r="I680" s="299">
        <v>10</v>
      </c>
      <c r="J680" s="299"/>
      <c r="K680" s="8">
        <f t="shared" si="87"/>
        <v>5412.77</v>
      </c>
      <c r="L680" s="341">
        <v>45110</v>
      </c>
      <c r="M680" s="339" t="s">
        <v>114</v>
      </c>
      <c r="N680" s="340">
        <v>445</v>
      </c>
      <c r="O680" s="347">
        <v>3.1557471264368151</v>
      </c>
      <c r="P680" s="299">
        <v>10</v>
      </c>
      <c r="Q680" s="340">
        <v>77430</v>
      </c>
      <c r="R680" s="340">
        <f t="shared" si="86"/>
        <v>4418.4425287356316</v>
      </c>
      <c r="S680" s="8"/>
      <c r="T680" s="8"/>
      <c r="U680" s="172"/>
    </row>
    <row r="681" spans="2:21" ht="23.25" customHeight="1" x14ac:dyDescent="0.25">
      <c r="B681" s="476"/>
      <c r="C681" s="479"/>
      <c r="D681" s="222"/>
      <c r="E681" s="346">
        <v>44711</v>
      </c>
      <c r="F681" s="346"/>
      <c r="G681" s="8">
        <v>476.25</v>
      </c>
      <c r="H681" s="8">
        <v>2.8949999999999996</v>
      </c>
      <c r="I681" s="299">
        <v>24</v>
      </c>
      <c r="J681" s="299"/>
      <c r="K681" s="8">
        <f t="shared" si="87"/>
        <v>11499.48</v>
      </c>
      <c r="L681" s="341">
        <v>45110</v>
      </c>
      <c r="M681" s="339" t="s">
        <v>114</v>
      </c>
      <c r="N681" s="340">
        <v>445</v>
      </c>
      <c r="O681" s="347">
        <v>3.1557471264368151</v>
      </c>
      <c r="P681" s="299">
        <v>24</v>
      </c>
      <c r="Q681" s="340">
        <v>77430</v>
      </c>
      <c r="R681" s="340">
        <f t="shared" si="86"/>
        <v>10604.262068965516</v>
      </c>
      <c r="S681" s="8"/>
      <c r="T681" s="8"/>
      <c r="U681" s="172"/>
    </row>
    <row r="682" spans="2:21" ht="23.25" customHeight="1" x14ac:dyDescent="0.25">
      <c r="B682" s="476"/>
      <c r="C682" s="479"/>
      <c r="D682" s="222"/>
      <c r="E682" s="346">
        <v>44711</v>
      </c>
      <c r="F682" s="346"/>
      <c r="G682" s="8">
        <v>476.25</v>
      </c>
      <c r="H682" s="8">
        <v>2.8949999999999996</v>
      </c>
      <c r="I682" s="299">
        <v>1</v>
      </c>
      <c r="J682" s="299"/>
      <c r="K682" s="8">
        <f t="shared" ref="K682:K684" si="88">(+G682+H682)*I682</f>
        <v>479.14499999999998</v>
      </c>
      <c r="L682" s="341">
        <v>45232</v>
      </c>
      <c r="M682" s="339" t="s">
        <v>114</v>
      </c>
      <c r="N682" s="340">
        <v>383.9</v>
      </c>
      <c r="O682" s="347">
        <v>2.6638461538461624</v>
      </c>
      <c r="P682" s="339">
        <v>1</v>
      </c>
      <c r="Q682" s="340">
        <v>9981.4</v>
      </c>
      <c r="R682" s="340">
        <f t="shared" ref="R682:R684" si="89">(N682-O682)*P682</f>
        <v>381.2361538461538</v>
      </c>
      <c r="S682" s="8"/>
      <c r="T682" s="8"/>
      <c r="U682" s="172"/>
    </row>
    <row r="683" spans="2:21" ht="23.25" customHeight="1" x14ac:dyDescent="0.25">
      <c r="B683" s="476"/>
      <c r="C683" s="479"/>
      <c r="D683" s="222"/>
      <c r="E683" s="341">
        <v>45044</v>
      </c>
      <c r="F683" s="339" t="s">
        <v>74</v>
      </c>
      <c r="G683" s="340">
        <v>387.3</v>
      </c>
      <c r="H683" s="340">
        <v>2.7448000000000321</v>
      </c>
      <c r="I683" s="339">
        <v>25</v>
      </c>
      <c r="J683" s="340">
        <v>9682.5</v>
      </c>
      <c r="K683" s="8">
        <f t="shared" si="88"/>
        <v>9751.1200000000008</v>
      </c>
      <c r="L683" s="341">
        <v>45232</v>
      </c>
      <c r="M683" s="339" t="s">
        <v>114</v>
      </c>
      <c r="N683" s="340">
        <v>383.9</v>
      </c>
      <c r="O683" s="347">
        <v>2.6638461538461624</v>
      </c>
      <c r="P683" s="339">
        <v>25</v>
      </c>
      <c r="Q683" s="340">
        <v>9981.4</v>
      </c>
      <c r="R683" s="340">
        <f t="shared" ref="R683" si="90">(N683-O683)*P683</f>
        <v>9530.9038461538457</v>
      </c>
      <c r="S683" s="8"/>
      <c r="T683" s="8"/>
      <c r="U683" s="172"/>
    </row>
    <row r="684" spans="2:21" ht="23.25" customHeight="1" x14ac:dyDescent="0.25">
      <c r="B684" s="476"/>
      <c r="C684" s="479"/>
      <c r="D684" s="222"/>
      <c r="E684" s="341">
        <v>45089</v>
      </c>
      <c r="F684" s="339" t="s">
        <v>74</v>
      </c>
      <c r="G684" s="340">
        <v>397.15</v>
      </c>
      <c r="H684" s="340">
        <v>2.8148000000000319</v>
      </c>
      <c r="I684" s="339">
        <v>25</v>
      </c>
      <c r="J684" s="340">
        <v>9928.75</v>
      </c>
      <c r="K684" s="8">
        <f t="shared" si="88"/>
        <v>9999.1200000000008</v>
      </c>
      <c r="L684" s="341">
        <v>45233</v>
      </c>
      <c r="M684" s="339" t="s">
        <v>114</v>
      </c>
      <c r="N684" s="340">
        <v>383.75</v>
      </c>
      <c r="O684" s="347">
        <v>2.6627999999999883</v>
      </c>
      <c r="P684" s="339">
        <v>25</v>
      </c>
      <c r="Q684" s="340">
        <v>9593.75</v>
      </c>
      <c r="R684" s="340">
        <f t="shared" si="89"/>
        <v>9527.18</v>
      </c>
      <c r="S684" s="8"/>
      <c r="T684" s="8"/>
      <c r="U684" s="172"/>
    </row>
    <row r="685" spans="2:21" ht="23.25" customHeight="1" x14ac:dyDescent="0.25">
      <c r="B685" s="476"/>
      <c r="C685" s="526"/>
      <c r="D685" s="222"/>
      <c r="E685" s="341"/>
      <c r="F685" s="339"/>
      <c r="G685" s="340"/>
      <c r="H685" s="340"/>
      <c r="I685" s="443">
        <f>SUM(I675:I684)</f>
        <v>225</v>
      </c>
      <c r="J685" s="443">
        <f>I685-P685</f>
        <v>0</v>
      </c>
      <c r="K685" s="8"/>
      <c r="L685" s="256"/>
      <c r="M685" s="256"/>
      <c r="N685" s="171"/>
      <c r="O685" s="8"/>
      <c r="P685" s="2">
        <f>SUM(P675:P684)</f>
        <v>225</v>
      </c>
      <c r="Q685" s="8"/>
      <c r="R685" s="8"/>
      <c r="S685" s="8"/>
      <c r="T685" s="8"/>
      <c r="U685" s="172"/>
    </row>
    <row r="686" spans="2:21" ht="10.5" customHeight="1" thickBot="1" x14ac:dyDescent="0.3">
      <c r="B686" s="197"/>
      <c r="C686" s="285"/>
      <c r="D686" s="197"/>
      <c r="E686" s="197"/>
      <c r="F686" s="197"/>
      <c r="G686" s="179"/>
      <c r="H686" s="179"/>
      <c r="I686" s="197"/>
      <c r="J686" s="197"/>
      <c r="K686" s="179"/>
      <c r="L686" s="197"/>
      <c r="M686" s="197"/>
      <c r="N686" s="197"/>
      <c r="O686" s="179"/>
      <c r="P686" s="197"/>
      <c r="Q686" s="179"/>
      <c r="R686" s="179"/>
      <c r="S686" s="179"/>
      <c r="T686" s="179"/>
      <c r="U686" s="304"/>
    </row>
    <row r="687" spans="2:21" ht="23.25" customHeight="1" x14ac:dyDescent="0.25">
      <c r="B687" s="475"/>
      <c r="C687" s="478" t="s">
        <v>25</v>
      </c>
      <c r="D687" s="211"/>
      <c r="E687" s="344">
        <v>44448</v>
      </c>
      <c r="F687" s="344"/>
      <c r="G687" s="10">
        <v>53.033299999999997</v>
      </c>
      <c r="H687" s="10">
        <v>0</v>
      </c>
      <c r="I687" s="267">
        <v>100</v>
      </c>
      <c r="J687" s="267"/>
      <c r="K687" s="10">
        <f>(+G687+H687)*I687</f>
        <v>5303.33</v>
      </c>
      <c r="L687" s="335">
        <v>45077</v>
      </c>
      <c r="M687" s="336" t="s">
        <v>114</v>
      </c>
      <c r="N687" s="337">
        <v>53</v>
      </c>
      <c r="O687" s="345">
        <v>0.42850000000000366</v>
      </c>
      <c r="P687" s="337">
        <v>100</v>
      </c>
      <c r="Q687" s="337">
        <v>5300</v>
      </c>
      <c r="R687" s="337">
        <f>(N687-O687)*P687</f>
        <v>5257.15</v>
      </c>
      <c r="S687" s="184"/>
      <c r="T687" s="184"/>
      <c r="U687" s="166" t="s">
        <v>55</v>
      </c>
    </row>
    <row r="688" spans="2:21" ht="23.25" customHeight="1" x14ac:dyDescent="0.25">
      <c r="B688" s="476"/>
      <c r="C688" s="479"/>
      <c r="D688" s="222"/>
      <c r="E688" s="346">
        <v>44453</v>
      </c>
      <c r="F688" s="346"/>
      <c r="G688" s="8">
        <v>51.923900000000003</v>
      </c>
      <c r="H688" s="8">
        <v>0</v>
      </c>
      <c r="I688" s="299">
        <v>100</v>
      </c>
      <c r="J688" s="299"/>
      <c r="K688" s="8">
        <f t="shared" ref="K688:K691" si="91">(+G688+H688)*I688</f>
        <v>5192.3900000000003</v>
      </c>
      <c r="L688" s="341">
        <v>45204</v>
      </c>
      <c r="M688" s="339" t="s">
        <v>114</v>
      </c>
      <c r="N688" s="340">
        <v>61.75</v>
      </c>
      <c r="O688" s="347">
        <v>0.49906666666667054</v>
      </c>
      <c r="P688" s="340">
        <v>100</v>
      </c>
      <c r="Q688" s="340">
        <v>18525</v>
      </c>
      <c r="R688" s="340">
        <f t="shared" ref="R688" si="92">(N688-O688)*P688</f>
        <v>6125.0933333333332</v>
      </c>
      <c r="S688" s="150"/>
      <c r="T688" s="150"/>
      <c r="U688" s="172"/>
    </row>
    <row r="689" spans="2:21" ht="23.25" customHeight="1" x14ac:dyDescent="0.25">
      <c r="B689" s="476"/>
      <c r="C689" s="479"/>
      <c r="D689" s="222"/>
      <c r="E689" s="346">
        <v>44511</v>
      </c>
      <c r="F689" s="346"/>
      <c r="G689" s="8">
        <v>44.36215</v>
      </c>
      <c r="H689" s="8">
        <v>0</v>
      </c>
      <c r="I689" s="299">
        <v>200</v>
      </c>
      <c r="J689" s="299"/>
      <c r="K689" s="8">
        <f t="shared" ref="K689" si="93">(+G689+H689)*I689</f>
        <v>8872.43</v>
      </c>
      <c r="L689" s="341">
        <v>45204</v>
      </c>
      <c r="M689" s="339" t="s">
        <v>114</v>
      </c>
      <c r="N689" s="340">
        <v>61.75</v>
      </c>
      <c r="O689" s="347">
        <v>0.49906666666667054</v>
      </c>
      <c r="P689" s="340">
        <v>200</v>
      </c>
      <c r="Q689" s="340">
        <v>18525</v>
      </c>
      <c r="R689" s="340">
        <f t="shared" ref="R689" si="94">(N689-O689)*P689</f>
        <v>12250.186666666666</v>
      </c>
      <c r="S689" s="150"/>
      <c r="T689" s="150"/>
      <c r="U689" s="172"/>
    </row>
    <row r="690" spans="2:21" ht="23.25" customHeight="1" x14ac:dyDescent="0.25">
      <c r="B690" s="476"/>
      <c r="C690" s="479"/>
      <c r="D690" s="222"/>
      <c r="E690" s="346">
        <v>44981</v>
      </c>
      <c r="F690" s="346"/>
      <c r="G690" s="8">
        <v>51.4</v>
      </c>
      <c r="H690" s="8">
        <v>0.31181818181818199</v>
      </c>
      <c r="I690" s="299">
        <v>100</v>
      </c>
      <c r="J690" s="299"/>
      <c r="K690" s="8">
        <f t="shared" si="91"/>
        <v>5171.181818181818</v>
      </c>
      <c r="L690" s="341">
        <v>45274</v>
      </c>
      <c r="M690" s="339" t="s">
        <v>114</v>
      </c>
      <c r="N690" s="340">
        <v>67</v>
      </c>
      <c r="O690" s="347">
        <v>0.54147999999999596</v>
      </c>
      <c r="P690" s="340">
        <v>100</v>
      </c>
      <c r="Q690" s="340">
        <v>16750</v>
      </c>
      <c r="R690" s="340">
        <f t="shared" ref="R690" si="95">(N690-O690)*P690</f>
        <v>6645.8520000000008</v>
      </c>
      <c r="S690" s="150"/>
      <c r="T690" s="150"/>
      <c r="U690" s="172"/>
    </row>
    <row r="691" spans="2:21" ht="23.25" customHeight="1" x14ac:dyDescent="0.25">
      <c r="B691" s="476"/>
      <c r="C691" s="479"/>
      <c r="D691" s="222"/>
      <c r="E691" s="346">
        <v>45014</v>
      </c>
      <c r="F691" s="346"/>
      <c r="G691" s="8">
        <v>46</v>
      </c>
      <c r="H691" s="8">
        <v>0.280266666666667</v>
      </c>
      <c r="I691" s="299">
        <v>150</v>
      </c>
      <c r="J691" s="299"/>
      <c r="K691" s="8">
        <f t="shared" si="91"/>
        <v>6942.0400000000009</v>
      </c>
      <c r="L691" s="341">
        <v>45274</v>
      </c>
      <c r="M691" s="339" t="s">
        <v>114</v>
      </c>
      <c r="N691" s="340">
        <v>67</v>
      </c>
      <c r="O691" s="347">
        <v>0.54147999999999596</v>
      </c>
      <c r="P691" s="340">
        <v>150</v>
      </c>
      <c r="Q691" s="340">
        <v>16750</v>
      </c>
      <c r="R691" s="340">
        <f t="shared" ref="R691" si="96">(N691-O691)*P691</f>
        <v>9968.7780000000002</v>
      </c>
      <c r="S691" s="150"/>
      <c r="T691" s="150"/>
      <c r="U691" s="172"/>
    </row>
    <row r="692" spans="2:21" ht="23.25" customHeight="1" thickBot="1" x14ac:dyDescent="0.3">
      <c r="B692" s="477"/>
      <c r="C692" s="480"/>
      <c r="D692" s="213"/>
      <c r="E692" s="39"/>
      <c r="F692" s="39"/>
      <c r="G692" s="40"/>
      <c r="H692" s="40"/>
      <c r="I692" s="27">
        <f>SUM(I687:I691)</f>
        <v>650</v>
      </c>
      <c r="J692" s="27">
        <f>I692-P692</f>
        <v>0</v>
      </c>
      <c r="K692" s="40"/>
      <c r="L692" s="214"/>
      <c r="M692" s="214"/>
      <c r="N692" s="42"/>
      <c r="O692" s="40"/>
      <c r="P692" s="27">
        <f>SUM(P687:P691)</f>
        <v>650</v>
      </c>
      <c r="Q692" s="40"/>
      <c r="R692" s="40"/>
      <c r="S692" s="40"/>
      <c r="T692" s="40"/>
      <c r="U692" s="169"/>
    </row>
    <row r="693" spans="2:21" ht="12.75" customHeight="1" thickBot="1" x14ac:dyDescent="0.3">
      <c r="E693" s="197"/>
      <c r="F693" s="197"/>
      <c r="G693" s="179"/>
      <c r="H693" s="179"/>
      <c r="I693" s="197"/>
      <c r="J693" s="197"/>
      <c r="K693" s="179"/>
      <c r="L693" s="197"/>
      <c r="M693" s="197"/>
      <c r="N693" s="316"/>
      <c r="O693" s="179"/>
      <c r="P693" s="197"/>
      <c r="Q693" s="179"/>
      <c r="R693" s="179"/>
      <c r="S693" s="179"/>
      <c r="T693" s="179"/>
    </row>
    <row r="694" spans="2:21" ht="23.25" customHeight="1" x14ac:dyDescent="0.25">
      <c r="B694" s="475" t="e">
        <f>1+#REF!</f>
        <v>#REF!</v>
      </c>
      <c r="C694" s="478" t="s">
        <v>26</v>
      </c>
      <c r="D694" s="33"/>
      <c r="E694" s="344">
        <v>44355</v>
      </c>
      <c r="F694" s="344"/>
      <c r="G694" s="10">
        <v>637.42779999999993</v>
      </c>
      <c r="H694" s="10">
        <v>0</v>
      </c>
      <c r="I694" s="267">
        <v>9</v>
      </c>
      <c r="J694" s="267"/>
      <c r="K694" s="10">
        <f>+G694*I694</f>
        <v>5736.8501999999989</v>
      </c>
      <c r="L694" s="344">
        <v>44694</v>
      </c>
      <c r="M694" s="344"/>
      <c r="N694" s="267">
        <v>340.4</v>
      </c>
      <c r="O694" s="10">
        <v>2.0222222222222226</v>
      </c>
      <c r="P694" s="267">
        <v>9</v>
      </c>
      <c r="Q694" s="10">
        <v>3081.8</v>
      </c>
      <c r="R694" s="10"/>
      <c r="S694" s="10"/>
      <c r="T694" s="10"/>
      <c r="U694" s="166" t="s">
        <v>55</v>
      </c>
    </row>
    <row r="695" spans="2:21" ht="23.25" customHeight="1" x14ac:dyDescent="0.25">
      <c r="B695" s="476"/>
      <c r="C695" s="479"/>
      <c r="D695" s="35"/>
      <c r="E695" s="346">
        <v>44355</v>
      </c>
      <c r="F695" s="346"/>
      <c r="G695" s="8">
        <v>637.42779999999993</v>
      </c>
      <c r="H695" s="8">
        <v>0</v>
      </c>
      <c r="I695" s="299">
        <v>16</v>
      </c>
      <c r="J695" s="299"/>
      <c r="K695" s="8">
        <f>+G695*I695</f>
        <v>10198.844799999999</v>
      </c>
      <c r="L695" s="346">
        <v>44694</v>
      </c>
      <c r="M695" s="346"/>
      <c r="N695" s="299">
        <v>340.35</v>
      </c>
      <c r="O695" s="8">
        <v>2.0225</v>
      </c>
      <c r="P695" s="299">
        <v>16</v>
      </c>
      <c r="Q695" s="8">
        <v>5477.96</v>
      </c>
      <c r="R695" s="8"/>
      <c r="S695" s="8"/>
      <c r="T695" s="8"/>
      <c r="U695" s="172"/>
    </row>
    <row r="696" spans="2:21" ht="23.25" customHeight="1" x14ac:dyDescent="0.25">
      <c r="B696" s="476"/>
      <c r="C696" s="479"/>
      <c r="D696" s="35"/>
      <c r="E696" s="346">
        <v>44355</v>
      </c>
      <c r="F696" s="346"/>
      <c r="G696" s="8">
        <v>626.41160000000002</v>
      </c>
      <c r="H696" s="8">
        <v>0</v>
      </c>
      <c r="I696" s="299">
        <v>8</v>
      </c>
      <c r="J696" s="299"/>
      <c r="K696" s="8">
        <f>+G696*I696</f>
        <v>5011.2928000000002</v>
      </c>
      <c r="L696" s="346">
        <v>44756</v>
      </c>
      <c r="M696" s="346"/>
      <c r="N696" s="299">
        <v>650</v>
      </c>
      <c r="O696" s="8">
        <v>3.9837500000000006</v>
      </c>
      <c r="P696" s="299">
        <v>8</v>
      </c>
      <c r="Q696" s="8">
        <v>5231.87</v>
      </c>
      <c r="R696" s="8"/>
      <c r="S696" s="8"/>
      <c r="T696" s="8"/>
      <c r="U696" s="172"/>
    </row>
    <row r="697" spans="2:21" ht="23.25" customHeight="1" x14ac:dyDescent="0.25">
      <c r="B697" s="476"/>
      <c r="C697" s="479"/>
      <c r="D697" s="35"/>
      <c r="E697" s="346">
        <v>44355</v>
      </c>
      <c r="F697" s="346"/>
      <c r="G697" s="8">
        <v>626.41160000000002</v>
      </c>
      <c r="H697" s="8">
        <v>0</v>
      </c>
      <c r="I697" s="299">
        <v>25</v>
      </c>
      <c r="J697" s="299"/>
      <c r="K697" s="8">
        <f>+G697*I697</f>
        <v>15660.29</v>
      </c>
      <c r="L697" s="346">
        <v>44789</v>
      </c>
      <c r="M697" s="346"/>
      <c r="N697" s="299">
        <v>396</v>
      </c>
      <c r="O697" s="8">
        <v>2.3524000000000003</v>
      </c>
      <c r="P697" s="299">
        <v>25</v>
      </c>
      <c r="Q697" s="8">
        <v>9958.81</v>
      </c>
      <c r="R697" s="8"/>
      <c r="S697" s="8"/>
      <c r="T697" s="8"/>
      <c r="U697" s="172"/>
    </row>
    <row r="698" spans="2:21" ht="23.25" customHeight="1" x14ac:dyDescent="0.25">
      <c r="B698" s="476"/>
      <c r="C698" s="479"/>
      <c r="D698" s="35"/>
      <c r="E698" s="346">
        <v>44355</v>
      </c>
      <c r="F698" s="346"/>
      <c r="G698" s="8">
        <v>626.41160000000002</v>
      </c>
      <c r="H698" s="8">
        <v>0</v>
      </c>
      <c r="I698" s="299">
        <v>17</v>
      </c>
      <c r="J698" s="299"/>
      <c r="K698" s="8">
        <f>+G698*I698</f>
        <v>10648.9972</v>
      </c>
      <c r="L698" s="346">
        <v>44931</v>
      </c>
      <c r="M698" s="346"/>
      <c r="N698" s="299">
        <v>430</v>
      </c>
      <c r="O698" s="8">
        <v>2.5541176470588236</v>
      </c>
      <c r="P698" s="299">
        <v>17</v>
      </c>
      <c r="Q698" s="8">
        <v>7353.42</v>
      </c>
      <c r="R698" s="8"/>
      <c r="S698" s="8"/>
      <c r="T698" s="8"/>
      <c r="U698" s="172"/>
    </row>
    <row r="699" spans="2:21" ht="23.25" customHeight="1" x14ac:dyDescent="0.25">
      <c r="B699" s="476"/>
      <c r="C699" s="479"/>
      <c r="D699" s="35"/>
      <c r="E699" s="346">
        <v>44701</v>
      </c>
      <c r="F699" s="346"/>
      <c r="G699" s="8">
        <v>357.65</v>
      </c>
      <c r="H699" s="8">
        <v>2.1775999999999995</v>
      </c>
      <c r="I699" s="299">
        <v>25</v>
      </c>
      <c r="J699" s="299"/>
      <c r="K699" s="8">
        <v>17991.379999999997</v>
      </c>
      <c r="L699" s="346">
        <v>44935</v>
      </c>
      <c r="M699" s="346"/>
      <c r="N699" s="171">
        <v>442.5</v>
      </c>
      <c r="O699" s="8">
        <v>2.6284000000000005</v>
      </c>
      <c r="P699" s="299">
        <v>25</v>
      </c>
      <c r="Q699" s="8">
        <v>11128.21</v>
      </c>
      <c r="R699" s="8"/>
      <c r="S699" s="8"/>
      <c r="T699" s="8"/>
      <c r="U699" s="172"/>
    </row>
    <row r="700" spans="2:21" ht="23.25" customHeight="1" x14ac:dyDescent="0.25">
      <c r="B700" s="476"/>
      <c r="C700" s="479"/>
      <c r="D700" s="35"/>
      <c r="E700" s="346">
        <v>44701</v>
      </c>
      <c r="F700" s="346"/>
      <c r="G700" s="8">
        <v>357.65</v>
      </c>
      <c r="H700" s="8">
        <v>2.1775999999999995</v>
      </c>
      <c r="I700" s="299">
        <v>2</v>
      </c>
      <c r="J700" s="299"/>
      <c r="K700" s="8">
        <v>17991.379999999997</v>
      </c>
      <c r="L700" s="346">
        <v>44956</v>
      </c>
      <c r="M700" s="346"/>
      <c r="N700" s="171">
        <v>431</v>
      </c>
      <c r="O700" s="8">
        <v>2.5599999999999996</v>
      </c>
      <c r="P700" s="299">
        <v>2</v>
      </c>
      <c r="Q700" s="8">
        <v>867.12</v>
      </c>
      <c r="R700" s="8"/>
      <c r="S700" s="8"/>
      <c r="T700" s="8"/>
      <c r="U700" s="172"/>
    </row>
    <row r="701" spans="2:21" ht="23.25" customHeight="1" x14ac:dyDescent="0.25">
      <c r="B701" s="476"/>
      <c r="C701" s="479"/>
      <c r="D701" s="35"/>
      <c r="E701" s="346">
        <v>44701</v>
      </c>
      <c r="F701" s="346"/>
      <c r="G701" s="8">
        <v>357.65</v>
      </c>
      <c r="H701" s="8">
        <v>2.1775999999999995</v>
      </c>
      <c r="I701" s="299">
        <v>23</v>
      </c>
      <c r="J701" s="299"/>
      <c r="K701" s="8">
        <v>17991.379999999997</v>
      </c>
      <c r="L701" s="346">
        <v>44956</v>
      </c>
      <c r="M701" s="346"/>
      <c r="N701" s="171">
        <v>431</v>
      </c>
      <c r="O701" s="8">
        <v>2.56</v>
      </c>
      <c r="P701" s="299">
        <v>23</v>
      </c>
      <c r="Q701" s="8">
        <v>9971.8799999999992</v>
      </c>
      <c r="R701" s="8"/>
      <c r="S701" s="8"/>
      <c r="T701" s="8"/>
      <c r="U701" s="172"/>
    </row>
    <row r="702" spans="2:21" ht="23.25" customHeight="1" thickBot="1" x14ac:dyDescent="0.3">
      <c r="B702" s="477"/>
      <c r="C702" s="480"/>
      <c r="D702" s="38"/>
      <c r="E702" s="39"/>
      <c r="F702" s="39"/>
      <c r="G702" s="40"/>
      <c r="H702" s="40"/>
      <c r="I702" s="27">
        <f>SUM(I694:I701)</f>
        <v>125</v>
      </c>
      <c r="J702" s="27">
        <f>I702-P702</f>
        <v>0</v>
      </c>
      <c r="K702" s="40"/>
      <c r="L702" s="41"/>
      <c r="M702" s="41"/>
      <c r="N702" s="42"/>
      <c r="O702" s="40"/>
      <c r="P702" s="27">
        <f>SUM(P694:P701)</f>
        <v>125</v>
      </c>
      <c r="Q702" s="40"/>
      <c r="R702" s="40"/>
      <c r="S702" s="40"/>
      <c r="T702" s="40"/>
      <c r="U702" s="169"/>
    </row>
  </sheetData>
  <autoFilter ref="A2:U703"/>
  <mergeCells count="225">
    <mergeCell ref="C115:C118"/>
    <mergeCell ref="B3:U3"/>
    <mergeCell ref="C143:C144"/>
    <mergeCell ref="B457:B460"/>
    <mergeCell ref="B462:B472"/>
    <mergeCell ref="B474:B479"/>
    <mergeCell ref="B481:B483"/>
    <mergeCell ref="B485:B491"/>
    <mergeCell ref="B426:B428"/>
    <mergeCell ref="B430:B431"/>
    <mergeCell ref="B433:B434"/>
    <mergeCell ref="B436:B437"/>
    <mergeCell ref="B456:U456"/>
    <mergeCell ref="B439:B455"/>
    <mergeCell ref="C426:C428"/>
    <mergeCell ref="C430:C431"/>
    <mergeCell ref="C436:C437"/>
    <mergeCell ref="C439:C455"/>
    <mergeCell ref="C457:C460"/>
    <mergeCell ref="C462:C472"/>
    <mergeCell ref="C474:C479"/>
    <mergeCell ref="C481:C483"/>
    <mergeCell ref="C485:C491"/>
    <mergeCell ref="B259:B263"/>
    <mergeCell ref="B194:B196"/>
    <mergeCell ref="B198:B207"/>
    <mergeCell ref="B209:B210"/>
    <mergeCell ref="B212:B218"/>
    <mergeCell ref="B220:B222"/>
    <mergeCell ref="B315:B318"/>
    <mergeCell ref="B320:B321"/>
    <mergeCell ref="B323:B325"/>
    <mergeCell ref="B265:B272"/>
    <mergeCell ref="B274:B292"/>
    <mergeCell ref="B294:B297"/>
    <mergeCell ref="B299:B303"/>
    <mergeCell ref="B305:B313"/>
    <mergeCell ref="B618:B621"/>
    <mergeCell ref="B611:B616"/>
    <mergeCell ref="B603:B606"/>
    <mergeCell ref="B608:B609"/>
    <mergeCell ref="C198:C207"/>
    <mergeCell ref="C209:C210"/>
    <mergeCell ref="C212:C218"/>
    <mergeCell ref="C220:C222"/>
    <mergeCell ref="C224:C226"/>
    <mergeCell ref="C228:C229"/>
    <mergeCell ref="C231:C235"/>
    <mergeCell ref="B587:B591"/>
    <mergeCell ref="B593:B597"/>
    <mergeCell ref="B574:B575"/>
    <mergeCell ref="B577:B585"/>
    <mergeCell ref="B551:B554"/>
    <mergeCell ref="B556:B557"/>
    <mergeCell ref="B559:B560"/>
    <mergeCell ref="B565:B568"/>
    <mergeCell ref="B570:B572"/>
    <mergeCell ref="B228:B229"/>
    <mergeCell ref="B231:B235"/>
    <mergeCell ref="B237:B251"/>
    <mergeCell ref="B256:B257"/>
    <mergeCell ref="B694:B702"/>
    <mergeCell ref="B687:B692"/>
    <mergeCell ref="B675:B685"/>
    <mergeCell ref="B664:B673"/>
    <mergeCell ref="B649:B651"/>
    <mergeCell ref="B653:B662"/>
    <mergeCell ref="B643:B647"/>
    <mergeCell ref="B640:B641"/>
    <mergeCell ref="B623:B638"/>
    <mergeCell ref="C191:C192"/>
    <mergeCell ref="C194:C196"/>
    <mergeCell ref="B4:B5"/>
    <mergeCell ref="B7:B8"/>
    <mergeCell ref="B10:B15"/>
    <mergeCell ref="B17:B31"/>
    <mergeCell ref="B33:B35"/>
    <mergeCell ref="B37:B41"/>
    <mergeCell ref="B43:B46"/>
    <mergeCell ref="B48:B54"/>
    <mergeCell ref="B56:B63"/>
    <mergeCell ref="B109:B113"/>
    <mergeCell ref="B115:B118"/>
    <mergeCell ref="B120:B122"/>
    <mergeCell ref="B124:B125"/>
    <mergeCell ref="B127:B130"/>
    <mergeCell ref="B132:B138"/>
    <mergeCell ref="B159:B160"/>
    <mergeCell ref="B162:B181"/>
    <mergeCell ref="B183:B185"/>
    <mergeCell ref="B187:B189"/>
    <mergeCell ref="B191:B192"/>
    <mergeCell ref="B140:B141"/>
    <mergeCell ref="B143:B144"/>
    <mergeCell ref="C146:C147"/>
    <mergeCell ref="B148:U148"/>
    <mergeCell ref="C149:C150"/>
    <mergeCell ref="C152:C157"/>
    <mergeCell ref="C159:C160"/>
    <mergeCell ref="C162:C181"/>
    <mergeCell ref="B182:U182"/>
    <mergeCell ref="C183:C185"/>
    <mergeCell ref="C187:C189"/>
    <mergeCell ref="B146:B147"/>
    <mergeCell ref="B149:B150"/>
    <mergeCell ref="B152:B157"/>
    <mergeCell ref="C124:C125"/>
    <mergeCell ref="C386:C387"/>
    <mergeCell ref="C433:C434"/>
    <mergeCell ref="C65:C67"/>
    <mergeCell ref="C69:C76"/>
    <mergeCell ref="C78:C79"/>
    <mergeCell ref="B80:U80"/>
    <mergeCell ref="C81:C83"/>
    <mergeCell ref="C85:C87"/>
    <mergeCell ref="C89:C99"/>
    <mergeCell ref="C101:C103"/>
    <mergeCell ref="B104:U104"/>
    <mergeCell ref="C105:C107"/>
    <mergeCell ref="C109:C113"/>
    <mergeCell ref="C120:C122"/>
    <mergeCell ref="C127:C130"/>
    <mergeCell ref="C132:C138"/>
    <mergeCell ref="C140:C141"/>
    <mergeCell ref="B65:B67"/>
    <mergeCell ref="B69:B76"/>
    <mergeCell ref="B78:B79"/>
    <mergeCell ref="B81:B83"/>
    <mergeCell ref="B85:B87"/>
    <mergeCell ref="B89:B99"/>
    <mergeCell ref="B101:B103"/>
    <mergeCell ref="B105:B107"/>
    <mergeCell ref="C7:C8"/>
    <mergeCell ref="C10:C15"/>
    <mergeCell ref="C17:C31"/>
    <mergeCell ref="C33:C35"/>
    <mergeCell ref="C37:C41"/>
    <mergeCell ref="C43:C46"/>
    <mergeCell ref="C48:C54"/>
    <mergeCell ref="C56:C63"/>
    <mergeCell ref="B1:U1"/>
    <mergeCell ref="C237:C251"/>
    <mergeCell ref="C253:C254"/>
    <mergeCell ref="C256:C257"/>
    <mergeCell ref="C259:C263"/>
    <mergeCell ref="C265:C272"/>
    <mergeCell ref="C274:C292"/>
    <mergeCell ref="C294:C297"/>
    <mergeCell ref="C299:C303"/>
    <mergeCell ref="C305:C313"/>
    <mergeCell ref="C315:C318"/>
    <mergeCell ref="C320:C321"/>
    <mergeCell ref="C323:C325"/>
    <mergeCell ref="C327:C331"/>
    <mergeCell ref="C333:C334"/>
    <mergeCell ref="B335:U335"/>
    <mergeCell ref="C336:C337"/>
    <mergeCell ref="C339:C347"/>
    <mergeCell ref="C349:C352"/>
    <mergeCell ref="B327:B331"/>
    <mergeCell ref="B333:B334"/>
    <mergeCell ref="B336:B337"/>
    <mergeCell ref="B339:B347"/>
    <mergeCell ref="B349:B352"/>
    <mergeCell ref="C354:C360"/>
    <mergeCell ref="C362:C380"/>
    <mergeCell ref="C382:C384"/>
    <mergeCell ref="B382:B384"/>
    <mergeCell ref="B362:B380"/>
    <mergeCell ref="C389:C390"/>
    <mergeCell ref="C392:C406"/>
    <mergeCell ref="C408:C413"/>
    <mergeCell ref="C415:C424"/>
    <mergeCell ref="B386:B387"/>
    <mergeCell ref="B389:B390"/>
    <mergeCell ref="B392:B406"/>
    <mergeCell ref="B408:B413"/>
    <mergeCell ref="B415:B424"/>
    <mergeCell ref="B354:B360"/>
    <mergeCell ref="C493:C494"/>
    <mergeCell ref="C496:C502"/>
    <mergeCell ref="C504:C509"/>
    <mergeCell ref="C511:C521"/>
    <mergeCell ref="C523:C526"/>
    <mergeCell ref="C528:C536"/>
    <mergeCell ref="C538:C540"/>
    <mergeCell ref="C542:C545"/>
    <mergeCell ref="B541:U541"/>
    <mergeCell ref="B528:B536"/>
    <mergeCell ref="B538:B540"/>
    <mergeCell ref="B542:B545"/>
    <mergeCell ref="B493:B494"/>
    <mergeCell ref="B496:B502"/>
    <mergeCell ref="B504:B509"/>
    <mergeCell ref="B511:B521"/>
    <mergeCell ref="B523:B526"/>
    <mergeCell ref="C547:C549"/>
    <mergeCell ref="C551:C554"/>
    <mergeCell ref="C556:C557"/>
    <mergeCell ref="C559:C560"/>
    <mergeCell ref="C562:C563"/>
    <mergeCell ref="B562:B563"/>
    <mergeCell ref="B569:U569"/>
    <mergeCell ref="C565:C568"/>
    <mergeCell ref="C570:C572"/>
    <mergeCell ref="B547:B549"/>
    <mergeCell ref="C574:C575"/>
    <mergeCell ref="C577:C585"/>
    <mergeCell ref="C593:C597"/>
    <mergeCell ref="C587:C591"/>
    <mergeCell ref="C599:C601"/>
    <mergeCell ref="B599:B601"/>
    <mergeCell ref="C603:C606"/>
    <mergeCell ref="C608:C609"/>
    <mergeCell ref="C611:C616"/>
    <mergeCell ref="C694:C702"/>
    <mergeCell ref="C618:C621"/>
    <mergeCell ref="C623:C638"/>
    <mergeCell ref="C640:C641"/>
    <mergeCell ref="C643:C647"/>
    <mergeCell ref="C649:C651"/>
    <mergeCell ref="C653:C662"/>
    <mergeCell ref="C664:C673"/>
    <mergeCell ref="C675:C685"/>
    <mergeCell ref="C687:C69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Aayush Final 2021-22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2024-04-21T16:41:20Z</dcterms:modified>
</cp:coreProperties>
</file>