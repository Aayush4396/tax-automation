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t\Returns\Aayush Gupta\31.03.2024\Aayush Gupta Final Files\"/>
    </mc:Choice>
  </mc:AlternateContent>
  <xr:revisionPtr revIDLastSave="0" documentId="13_ncr:1_{F4673702-C0A9-4F9B-AC99-27A1CF475561}" xr6:coauthVersionLast="47" xr6:coauthVersionMax="47" xr10:uidLastSave="{00000000-0000-0000-0000-000000000000}"/>
  <bookViews>
    <workbookView xWindow="-108" yWindow="-108" windowWidth="23256" windowHeight="13896" xr2:uid="{1B43A585-8123-41E0-B179-040EB8BA07EF}"/>
  </bookViews>
  <sheets>
    <sheet name="COI" sheetId="1" r:id="rId1"/>
    <sheet name="Professional Fees" sheetId="2" r:id="rId2"/>
    <sheet name="Dividend" sheetId="3" r:id="rId3"/>
  </sheets>
  <definedNames>
    <definedName name="_xlnm._FilterDatabase" localSheetId="2" hidden="1">Dividend!$M$6:$S$74</definedName>
    <definedName name="_xlnm.Print_Area" localSheetId="0">COI!$A$1:$G$71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J7" i="1"/>
  <c r="D34" i="1" l="1"/>
  <c r="E32" i="1" l="1"/>
  <c r="E36" i="1"/>
  <c r="D25" i="1"/>
  <c r="R5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Q5" i="3"/>
  <c r="S7" i="3"/>
  <c r="P8" i="3"/>
  <c r="R8" i="3"/>
  <c r="P9" i="3"/>
  <c r="R9" i="3"/>
  <c r="P10" i="3"/>
  <c r="R10" i="3"/>
  <c r="P11" i="3"/>
  <c r="R11" i="3"/>
  <c r="P12" i="3"/>
  <c r="R12" i="3"/>
  <c r="P13" i="3"/>
  <c r="R13" i="3"/>
  <c r="P14" i="3"/>
  <c r="R14" i="3"/>
  <c r="P15" i="3"/>
  <c r="R15" i="3"/>
  <c r="P16" i="3"/>
  <c r="R16" i="3"/>
  <c r="P17" i="3"/>
  <c r="R17" i="3"/>
  <c r="P18" i="3"/>
  <c r="R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R7" i="3"/>
  <c r="P7" i="3"/>
  <c r="D1" i="3"/>
  <c r="K1" i="3"/>
  <c r="P5" i="3" l="1"/>
  <c r="S5" i="3"/>
  <c r="N5" i="3"/>
  <c r="O7" i="3"/>
  <c r="O53" i="3"/>
  <c r="I24" i="1"/>
  <c r="F46" i="1" s="1"/>
  <c r="E46" i="1" l="1"/>
  <c r="O5" i="3"/>
  <c r="D11" i="1"/>
  <c r="E11" i="1" s="1"/>
  <c r="E20" i="1"/>
  <c r="F20" i="1" s="1"/>
  <c r="D15" i="1"/>
  <c r="D56" i="1" l="1"/>
  <c r="E14" i="1"/>
  <c r="U3" i="2"/>
  <c r="W3" i="2"/>
  <c r="X3" i="2"/>
  <c r="U4" i="2"/>
  <c r="W4" i="2"/>
  <c r="X4" i="2"/>
  <c r="W5" i="2"/>
  <c r="X5" i="2"/>
  <c r="U6" i="2"/>
  <c r="W6" i="2"/>
  <c r="X6" i="2"/>
  <c r="B7" i="2"/>
  <c r="C7" i="2"/>
  <c r="D7" i="2"/>
  <c r="W7" i="2"/>
  <c r="D4" i="1" l="1"/>
  <c r="J6" i="1"/>
  <c r="J4" i="1"/>
  <c r="F66" i="1"/>
  <c r="F65" i="1"/>
  <c r="F64" i="1"/>
  <c r="F63" i="1"/>
  <c r="F62" i="1"/>
  <c r="E55" i="1"/>
  <c r="E54" i="1"/>
  <c r="E53" i="1"/>
  <c r="F11" i="1" l="1"/>
  <c r="E4" i="1"/>
  <c r="F14" i="1"/>
  <c r="D29" i="1" l="1"/>
  <c r="F4" i="1"/>
  <c r="E29" i="1"/>
  <c r="E38" i="1" s="1"/>
  <c r="F29" i="1"/>
  <c r="D60" i="1" s="1"/>
  <c r="B52" i="1" l="1"/>
  <c r="D57" i="1" s="1"/>
  <c r="E57" i="1" s="1"/>
  <c r="D52" i="1"/>
  <c r="E56" i="1"/>
  <c r="F38" i="1"/>
  <c r="D61" i="1"/>
  <c r="F60" i="1"/>
  <c r="D68" i="1" l="1"/>
  <c r="F68" i="1" s="1"/>
  <c r="D67" i="1"/>
  <c r="D58" i="1"/>
  <c r="E52" i="1"/>
  <c r="E71" i="1" s="1"/>
  <c r="F61" i="1"/>
  <c r="E40" i="1" l="1"/>
  <c r="E41" i="1" s="1"/>
  <c r="E42" i="1" s="1"/>
  <c r="E44" i="1" s="1"/>
  <c r="E48" i="1" s="1"/>
  <c r="D69" i="1"/>
  <c r="F67" i="1"/>
  <c r="F71" i="1" s="1"/>
  <c r="F40" i="1" s="1"/>
  <c r="F41" i="1" l="1"/>
  <c r="F42" i="1" s="1"/>
  <c r="F44" i="1" l="1"/>
  <c r="F4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tc={34FA9B27-B2F5-4FB8-9172-42147796C27C}</author>
    <author>tc={5EC0940F-9352-425A-803E-94DC34C62452}</author>
  </authors>
  <commentList>
    <comment ref="J5" authorId="0" shapeId="0" xr:uid="{34FA9B27-B2F5-4FB8-9172-42147796C27C}">
      <text>
        <t>[Threaded comment]
Your version of Excel allows you to read this threaded comment; however, any edits to it will get removed if the file is opened in a newer version of Excel. Learn more: https://go.microsoft.com/fwlink/?linkid=870924
Comment:
    ₹3,000 and ₹18,000 debited on 07-03-2024 and 10-03-2024 from SBI is for House Rent, of which, ₹11,000 is rent and ₹10,000 is deposit</t>
      </text>
    </comment>
    <comment ref="D22" authorId="1" shapeId="0" xr:uid="{5EC0940F-9352-425A-803E-94DC34C62452}">
      <text>
        <t>[Threaded comment]
Your version of Excel allows you to read this threaded comment; however, any edits to it will get removed if the file is opened in a newer version of Excel. Learn more: https://go.microsoft.com/fwlink/?linkid=870924
Comment:
    I don’t have any records about this</t>
      </text>
    </comment>
  </commentList>
</comments>
</file>

<file path=xl/sharedStrings.xml><?xml version="1.0" encoding="utf-8"?>
<sst xmlns="http://schemas.openxmlformats.org/spreadsheetml/2006/main" count="580" uniqueCount="263">
  <si>
    <t>COI</t>
  </si>
  <si>
    <t>Aayush Gupta</t>
  </si>
  <si>
    <t>2023-24</t>
  </si>
  <si>
    <t>OLD</t>
  </si>
  <si>
    <t>NEW</t>
  </si>
  <si>
    <t>Salary</t>
  </si>
  <si>
    <t>Professional Tax</t>
  </si>
  <si>
    <t>STD Dedn</t>
  </si>
  <si>
    <t>PGBP</t>
  </si>
  <si>
    <t>Capital Gains</t>
  </si>
  <si>
    <t>STCG</t>
  </si>
  <si>
    <t>LTCG</t>
  </si>
  <si>
    <t>Gross Total Income</t>
  </si>
  <si>
    <t>U/S 80C</t>
  </si>
  <si>
    <t>U/S 80D</t>
  </si>
  <si>
    <t>Net Total Income</t>
  </si>
  <si>
    <t>Tax</t>
  </si>
  <si>
    <t>Cess</t>
  </si>
  <si>
    <t>Total Tax</t>
  </si>
  <si>
    <t>TDS</t>
  </si>
  <si>
    <t>Old</t>
  </si>
  <si>
    <t>0-2,50,000</t>
  </si>
  <si>
    <t>2,50,001-5,00,000</t>
  </si>
  <si>
    <t>5,00,001-10,00,000</t>
  </si>
  <si>
    <t>&gt;1000001</t>
  </si>
  <si>
    <t>New</t>
  </si>
  <si>
    <t>0-3,00,000</t>
  </si>
  <si>
    <t>3,00,001-6,00,000</t>
  </si>
  <si>
    <t>6,00,001-9,00,000</t>
  </si>
  <si>
    <t>9,00,001-12,00,000</t>
  </si>
  <si>
    <t>12,00,001-15,00,000</t>
  </si>
  <si>
    <t>&gt;15,00,001</t>
  </si>
  <si>
    <t>Basic</t>
  </si>
  <si>
    <t>HRA</t>
  </si>
  <si>
    <t>50% of Basic</t>
  </si>
  <si>
    <t>Actual Paid</t>
  </si>
  <si>
    <t>Actual rent paid less than 10% of the salary</t>
  </si>
  <si>
    <t>Professional Fees from JSW</t>
  </si>
  <si>
    <t>Professional Fees from LINCOLN ELECTRI</t>
  </si>
  <si>
    <t>Professional Fees from Fluxgen</t>
  </si>
  <si>
    <t>Professional Fees from Dr. Reddys</t>
  </si>
  <si>
    <t>Deductions Under Chapter VI</t>
  </si>
  <si>
    <t xml:space="preserve">Basic </t>
  </si>
  <si>
    <t>Net amount received in bank</t>
  </si>
  <si>
    <t>Narration</t>
  </si>
  <si>
    <t xml:space="preserve">   BY TRANSFER-FUD TR FR JSW STEEL LTD--</t>
  </si>
  <si>
    <t xml:space="preserve">TRANSFER FROM 11083986061                         </t>
  </si>
  <si>
    <t>SBI</t>
  </si>
  <si>
    <t>NFT/LINCOLN ELECTRI/23A300420OM40K93/BANK
OF AM</t>
  </si>
  <si>
    <t>TFR</t>
  </si>
  <si>
    <t>Jupiter</t>
  </si>
  <si>
    <t xml:space="preserve">   BY TRANSFER-INB--</t>
  </si>
  <si>
    <t>CTY9105340               TRANSFER FROM 42201368247</t>
  </si>
  <si>
    <t xml:space="preserve">   BY TRANSFER-NEFT*HDFC0000001*N279232675295291*fluxgen sustaina--</t>
  </si>
  <si>
    <t>TRANSFER FROM 4697176044305</t>
  </si>
  <si>
    <t>NFT/LINCOLN ELECTRI/23AR65620QK11X91/BANK
OF AM</t>
  </si>
  <si>
    <t>NFT/DR REDDYS LABOR/CITIN23446568003/CITI</t>
  </si>
  <si>
    <t>CTZ2995224               TRANSFER FROM 42201368247</t>
  </si>
  <si>
    <t>NFT/DR REDDYS LABOR/CITIN23461192319/CITI</t>
  </si>
  <si>
    <t>NFT/DR REDDYS LABOR/CITIN23476712141/CITI</t>
  </si>
  <si>
    <t>NFT/DR REDDYS LABOR/CITIN24416493217/CITI</t>
  </si>
  <si>
    <t>TX Date</t>
  </si>
  <si>
    <t>Particulars</t>
  </si>
  <si>
    <t>Ref</t>
  </si>
  <si>
    <t>DR</t>
  </si>
  <si>
    <t>CR</t>
  </si>
  <si>
    <t>Kya hai?</t>
  </si>
  <si>
    <t>Grand Total</t>
  </si>
  <si>
    <t>NFT/DR REDDYS LABOR/CITIN24432370705/CITI</t>
  </si>
  <si>
    <t>Sum of CR</t>
  </si>
  <si>
    <t>LTCG - HDFC</t>
  </si>
  <si>
    <t>STCG - HDFC</t>
  </si>
  <si>
    <t>STCG - Zerodha</t>
  </si>
  <si>
    <t>LTCG - Zerodha</t>
  </si>
  <si>
    <t>Rebate U/S 87A</t>
  </si>
  <si>
    <t>Advance Tax</t>
  </si>
  <si>
    <t>IFOS</t>
  </si>
  <si>
    <t>Interest From Saving Bank A/c</t>
  </si>
  <si>
    <t>Income from business trust</t>
  </si>
  <si>
    <t>Receipt from Virtual Digital Asset</t>
  </si>
  <si>
    <t xml:space="preserve">Dividend From Shares </t>
  </si>
  <si>
    <t>HDFC</t>
  </si>
  <si>
    <t>ALEMBIC PHARMACEUTICALS LIMITED</t>
  </si>
  <si>
    <t>INE901L01018</t>
  </si>
  <si>
    <t>ALUFLUORIDE LIMITED</t>
  </si>
  <si>
    <t>INE058F01019</t>
  </si>
  <si>
    <t>APOLLO HOSPITALS ENTER. L</t>
  </si>
  <si>
    <t>INE437A01024</t>
  </si>
  <si>
    <t>BANK OF BARODA</t>
  </si>
  <si>
    <t>INE028A01039</t>
  </si>
  <si>
    <t>BHARAT PETROLEUM CORP  LT</t>
  </si>
  <si>
    <t>INE029A01011</t>
  </si>
  <si>
    <t>BIRLASOFT LIMITED</t>
  </si>
  <si>
    <t>INE836A01035</t>
  </si>
  <si>
    <t>DIVI'S LABORATORIES LTD</t>
  </si>
  <si>
    <t>INE361B01024</t>
  </si>
  <si>
    <t>GARWARE TECHNICAL FIBRES LIMITED</t>
  </si>
  <si>
    <t>INE276A01018</t>
  </si>
  <si>
    <t>HDFC ASSET MANAGEMENT COMPANY LIMITED</t>
  </si>
  <si>
    <t>INE127D01025</t>
  </si>
  <si>
    <t>HDFC BANK LTD</t>
  </si>
  <si>
    <t>INE040A01034</t>
  </si>
  <si>
    <t>ICICI BANK LTD.</t>
  </si>
  <si>
    <t>INE090A01021</t>
  </si>
  <si>
    <t>IDBI BANK LIMITED</t>
  </si>
  <si>
    <t>INE008A01015</t>
  </si>
  <si>
    <t>INDIAMART INTERMESH LIMITED</t>
  </si>
  <si>
    <t>INE933S01016</t>
  </si>
  <si>
    <t>INDIAN ENERGY EXCHANGE LIMITD</t>
  </si>
  <si>
    <t>INE022Q01020</t>
  </si>
  <si>
    <t>INFO EDGE INDIA LIMITED</t>
  </si>
  <si>
    <t>INE663F01024</t>
  </si>
  <si>
    <t>INFOSYS LTD</t>
  </si>
  <si>
    <t>INE009A01021</t>
  </si>
  <si>
    <t>KPIT TECHNOLOGIES LIMITED</t>
  </si>
  <si>
    <t>INE04I401011</t>
  </si>
  <si>
    <t>LIFE INSURANCE CORPORATION OF INDIA</t>
  </si>
  <si>
    <t>INE0J1Y01017</t>
  </si>
  <si>
    <t>LTI MINDTREE LIMITED</t>
  </si>
  <si>
    <t>INE214T01019</t>
  </si>
  <si>
    <t>MAHINDRA &amp; MAHINDRA LTD</t>
  </si>
  <si>
    <t>INE101A01026</t>
  </si>
  <si>
    <t>MPS LIMITED</t>
  </si>
  <si>
    <t>INE943D01017</t>
  </si>
  <si>
    <t>N G L FINE-CHEM LIMITED</t>
  </si>
  <si>
    <t>INE887E01022</t>
  </si>
  <si>
    <t>NATIONAL ALUMINIUM COMPANY LIMITED</t>
  </si>
  <si>
    <t>INE139A01034</t>
  </si>
  <si>
    <t>Oracle Financial Services Software Ltd.</t>
  </si>
  <si>
    <t>INE881D01027</t>
  </si>
  <si>
    <t>POWER FINANCE CORPORATION LTD.</t>
  </si>
  <si>
    <t>INE134E01011</t>
  </si>
  <si>
    <t>POWER MECH PROJECTS LIMITED</t>
  </si>
  <si>
    <t>INE211R01019</t>
  </si>
  <si>
    <t>SANOFI INDIA LTD</t>
  </si>
  <si>
    <t>INE058A01010</t>
  </si>
  <si>
    <t>SONA BLW PRECISION FORGINGS LIMITED</t>
  </si>
  <si>
    <t>INE073K01018</t>
  </si>
  <si>
    <t>STATE BANK OF INDIA</t>
  </si>
  <si>
    <t>INE062A01020</t>
  </si>
  <si>
    <t>STYLAM INDUSTRIES LTD.</t>
  </si>
  <si>
    <t>INE239C01020</t>
  </si>
  <si>
    <t>TATA CONSULTANCY SERVICES LIMITED</t>
  </si>
  <si>
    <t>INE467B01029</t>
  </si>
  <si>
    <t>TEXMACO RAIL &amp; ENGINEERING LIMITED</t>
  </si>
  <si>
    <t>INE621L01012</t>
  </si>
  <si>
    <t>TRIVENI TURBINE LIMITED</t>
  </si>
  <si>
    <t>INE152M01016</t>
  </si>
  <si>
    <t>Name of Share</t>
  </si>
  <si>
    <t>ISIN</t>
  </si>
  <si>
    <t>Value of Dividend</t>
  </si>
  <si>
    <t>From which Account</t>
  </si>
  <si>
    <t xml:space="preserve">   BULK POSTING-C23854246658     41774260032INTERIM DIVIDEND ACCOU--</t>
  </si>
  <si>
    <t xml:space="preserve">   BULK POSTING-ACHCr HDFC01032000010237 VEDANTA LIMITE--</t>
  </si>
  <si>
    <t>ACH C- ORACLEFINANCIALSER-00000000000000</t>
  </si>
  <si>
    <t xml:space="preserve">   BULK POSTING-ACHCr NACH00000000006422 LAURUS LABS LI--</t>
  </si>
  <si>
    <t>ACH C- SANOFIINDI DIV PYMT-71PR230518059</t>
  </si>
  <si>
    <t xml:space="preserve">   BY TRANSFER-NEFT*ICIC0099999*CMS3336346983*CENTRAL DEPOSITORY--</t>
  </si>
  <si>
    <t xml:space="preserve">   BULK POSTING-ACHCr ICIC04933000011905 VEDANTA LIMITE--</t>
  </si>
  <si>
    <t>ACH C- STATE BANK OF INDIA-2207855</t>
  </si>
  <si>
    <t>ACH C- IIL FINAL 2022 23-114305</t>
  </si>
  <si>
    <t>HDFC ASSET DIV 22 2300000000000002699441</t>
  </si>
  <si>
    <t>ACH C- TCS FINDIV 030723-1808047</t>
  </si>
  <si>
    <t>ACH C- INFOSYS LIMITED-35114396</t>
  </si>
  <si>
    <t xml:space="preserve">   BULK POSTING-ACHCr SBIN03975000029599 SAGAR CEMENTS--</t>
  </si>
  <si>
    <t>ACH C- BOB DIVDND FY2022-23-9608629</t>
  </si>
  <si>
    <t>ACH C- ALUFLUORIDE LIMITED-7556</t>
  </si>
  <si>
    <t>ACH C- LTIMINDTREE FNL22 23-391050</t>
  </si>
  <si>
    <t>ACH C- IDBI BANK LIMITED-13351311</t>
  </si>
  <si>
    <t xml:space="preserve">   BULK POSTING-ACHCr UTIB00788000017240 KFIL FNL 2022--</t>
  </si>
  <si>
    <t xml:space="preserve">   BULK POSTING-ACHCr HDFC01208000010673 ORIENTCEMENTLT--</t>
  </si>
  <si>
    <t>ACH C- MAHINDRA &amp; MAHINDRA-40494263</t>
  </si>
  <si>
    <t>ACH C- TCS1STINTDIV070823-1772629</t>
  </si>
  <si>
    <t>ALEMBIC PHA DIV22 2300000000000000017339</t>
  </si>
  <si>
    <t>1108486372 HDFC BANK DIVIDEND 2022-2023</t>
  </si>
  <si>
    <t xml:space="preserve">   BULK POSTING-ACHCr IBKL00249000010274 ITCLIMITED--</t>
  </si>
  <si>
    <t xml:space="preserve">   BULK POSTING-ACHCr NACH00000000057353 ROUTE MOBILE L--</t>
  </si>
  <si>
    <t xml:space="preserve">   BULK POSTING-ACHCr ICIC02860000005377 CAMSL  INTDIV2--</t>
  </si>
  <si>
    <t>ACH C- RELIANCE INDUSTRIES-232932001</t>
  </si>
  <si>
    <t xml:space="preserve">   BULK POSTING-C23868727018     42165348549RELIANCE INDUSTRIES LI--</t>
  </si>
  <si>
    <t xml:space="preserve">   BULK POSTING-ACHCr ICIC02860000005377 CAMSL  FINDIV2--</t>
  </si>
  <si>
    <t>ACH C- LIFE INSURANCE CORPO-7028328</t>
  </si>
  <si>
    <t>ACH C- ICICI BANK LTD.-5894416</t>
  </si>
  <si>
    <t>ACH C- NGLFINECHEMLIMITE-0000IN301549528</t>
  </si>
  <si>
    <t>ACH C- DIVISLABORATORIES-000000000000030</t>
  </si>
  <si>
    <t>INFO EDGE DIV22 2300000000000000038172</t>
  </si>
  <si>
    <t>ACH C- BHARAT PETROLEUM COR-BPCLIN301549</t>
  </si>
  <si>
    <t xml:space="preserve">   BULK POSTING-ACHCr NACH00000000020087 CDSLFINAL2022--</t>
  </si>
  <si>
    <t>ACH C- INDIANENERGYEXCHAN-00000000000005</t>
  </si>
  <si>
    <t xml:space="preserve">   BULK POSTING-ACHCr NACH00000000024439 INDIAN RAILWAY--</t>
  </si>
  <si>
    <t xml:space="preserve">   BULK POSTING-ACHCr HDFC01346000011215 CHAMBALFERTILI--</t>
  </si>
  <si>
    <t>GARWARE TEC DIV22 2300000000000000007972</t>
  </si>
  <si>
    <t>ACH C- POWER MECH PROJECTS-715399</t>
  </si>
  <si>
    <t>ACH C- TEXMACO RAIL &amp; ENGIN-1388123</t>
  </si>
  <si>
    <t>0611104786 LTIMINDTREE LIMITED INT DIV 2</t>
  </si>
  <si>
    <t>ACH C- INFOSYS LIMITED-38356468</t>
  </si>
  <si>
    <t>ACH C- TCS2NDINTDIV071123-1911711</t>
  </si>
  <si>
    <t xml:space="preserve">   BY TRANSFER-PFN 3686881 LAURUS LABS LIMITED NACH00000000006422--</t>
  </si>
  <si>
    <t>BIRLASOFT DIV 23 2400000000000000038702</t>
  </si>
  <si>
    <t>ACH C- MPS INT1DIV2024-WN003447CLIN30154</t>
  </si>
  <si>
    <t xml:space="preserve">   BULK POSTING-ACHCr ICIC02860000005377 CAMSL  2INTDIV--</t>
  </si>
  <si>
    <t xml:space="preserve">   BULK POSTING-ACHCr HDFC01346000011215 CHAMBAL FERTIL--</t>
  </si>
  <si>
    <t>INFO EDGE DIV 23 2400000000000000035206</t>
  </si>
  <si>
    <t>STYLAM IND DIV22 2300000000000000006009</t>
  </si>
  <si>
    <t>ACH C- POWER FINANCE CORPOR-12156202</t>
  </si>
  <si>
    <t xml:space="preserve">   BY TRANSFER-NEFT*ICIC0099999*CMS3766748298*CENTRAL DEPOSITORY--</t>
  </si>
  <si>
    <t>ACH C- TCS3RDINTDIV050224-1765778</t>
  </si>
  <si>
    <t>ACH C- SONABLWPRECISION-0000000000000236</t>
  </si>
  <si>
    <t>ACH C- KPIT TECHNOLOGIES-3082623</t>
  </si>
  <si>
    <t>ACH C- TRIVENI TURBINE LTD-74163</t>
  </si>
  <si>
    <t xml:space="preserve">   BULK POSTING-ACHCr IBKL00249000010274 ITC LIMITED--</t>
  </si>
  <si>
    <t xml:space="preserve">   BULK POSTING-ACHCr ICIC02860000005377 CAMSL 3INTDIV--</t>
  </si>
  <si>
    <t>ACH C- POWER FINANCE CORPOR-12924441</t>
  </si>
  <si>
    <t>ACH C- APOLLO HOSP.IDIV2024-AHLIN3015495</t>
  </si>
  <si>
    <t>ACH C- NATIONAL ALUMINIUM C-NAT0INT02024</t>
  </si>
  <si>
    <t>ACH C- POWER FINANCE CORPOR-14038345</t>
  </si>
  <si>
    <t>Narration from Bank</t>
  </si>
  <si>
    <t>Amount received in Bank</t>
  </si>
  <si>
    <t xml:space="preserve">Bank </t>
  </si>
  <si>
    <t>Name of share</t>
  </si>
  <si>
    <t>From Banks</t>
  </si>
  <si>
    <t>Interest From Income Tax Return</t>
  </si>
  <si>
    <t>As per Intimation Order CPC/2324/A3/385809357 Dated 28.08.2023</t>
  </si>
  <si>
    <t>VEDL</t>
  </si>
  <si>
    <t>INE205A01025</t>
  </si>
  <si>
    <t>LAURUSLABS</t>
  </si>
  <si>
    <t>INE947Q01028</t>
  </si>
  <si>
    <t>ITC</t>
  </si>
  <si>
    <t>INE154A01025</t>
  </si>
  <si>
    <t>SAGCEM6</t>
  </si>
  <si>
    <t>INE229C01021</t>
  </si>
  <si>
    <t>KIRLFER</t>
  </si>
  <si>
    <t>INE884B01025</t>
  </si>
  <si>
    <t>ORIENTCEM</t>
  </si>
  <si>
    <t>INE876N01018</t>
  </si>
  <si>
    <t>ROUTE</t>
  </si>
  <si>
    <t>INE450U01017</t>
  </si>
  <si>
    <t>CAMS</t>
  </si>
  <si>
    <t>INE596I01012</t>
  </si>
  <si>
    <t>IRCTC</t>
  </si>
  <si>
    <t>INE335Y01020</t>
  </si>
  <si>
    <t>RELIANCE</t>
  </si>
  <si>
    <t>INE002A01018</t>
  </si>
  <si>
    <t>CHAMBLFERT</t>
  </si>
  <si>
    <t>INE085A01013</t>
  </si>
  <si>
    <t>CDSL</t>
  </si>
  <si>
    <t>INE736A01011</t>
  </si>
  <si>
    <t>Zerodha</t>
  </si>
  <si>
    <t>From Broker</t>
  </si>
  <si>
    <t>Diff</t>
  </si>
  <si>
    <t>As per AIS</t>
  </si>
  <si>
    <t xml:space="preserve"> Dividend as per Broker's statement</t>
  </si>
  <si>
    <t>Dividend as per Bank Statement</t>
  </si>
  <si>
    <t>Dividend income to show</t>
  </si>
  <si>
    <t>Taken as per 26AS</t>
  </si>
  <si>
    <t>Which Bank account</t>
  </si>
  <si>
    <t>Net Tax Payable / (Refund)</t>
  </si>
  <si>
    <t>Not sure about the tax calculation</t>
  </si>
  <si>
    <t>PF Deducted by employee</t>
  </si>
  <si>
    <t>ULIP Policies</t>
  </si>
  <si>
    <t xml:space="preserve">   TO TRANSFER-UPI/DR/406775889557/NELABALL/UTIB/alphalivin/UPI--</t>
  </si>
  <si>
    <t xml:space="preserve">   TO TRANSFER-UPI/DR/443651273671/ATTIPALL/HDFC/7996288999/Payme--</t>
  </si>
  <si>
    <t>Hostel Charges +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</si>
</sst>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  <numFmt numFmtId="166" formatCode="_ * #,##0.0_ ;_ * \-#,##0.0_ ;_ * &quot;-&quot;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0" fontId="3" fillId="0" borderId="0" xfId="0" applyFont="1"/>
    <xf numFmtId="164" fontId="3" fillId="0" borderId="0" xfId="1" applyNumberFormat="1" applyFont="1"/>
    <xf numFmtId="164" fontId="0" fillId="0" borderId="0" xfId="1" applyNumberFormat="1" applyFont="1"/>
    <xf numFmtId="0" fontId="4" fillId="0" borderId="0" xfId="0" applyFont="1"/>
    <xf numFmtId="164" fontId="0" fillId="0" borderId="0" xfId="0" applyNumberFormat="1"/>
    <xf numFmtId="164" fontId="4" fillId="0" borderId="0" xfId="1" applyNumberFormat="1" applyFont="1"/>
    <xf numFmtId="3" fontId="4" fillId="0" borderId="0" xfId="0" applyNumberFormat="1" applyFont="1"/>
    <xf numFmtId="3" fontId="3" fillId="0" borderId="0" xfId="0" applyNumberFormat="1" applyFont="1"/>
    <xf numFmtId="43" fontId="0" fillId="0" borderId="0" xfId="1" applyFont="1"/>
    <xf numFmtId="0" fontId="2" fillId="0" borderId="0" xfId="0" applyFont="1"/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3" fontId="5" fillId="0" borderId="0" xfId="1" applyFont="1" applyAlignment="1">
      <alignment horizontal="center" vertical="center"/>
    </xf>
    <xf numFmtId="0" fontId="1" fillId="0" borderId="0" xfId="2"/>
    <xf numFmtId="0" fontId="0" fillId="0" borderId="0" xfId="0" applyAlignment="1">
      <alignment horizontal="left"/>
    </xf>
    <xf numFmtId="0" fontId="0" fillId="0" borderId="0" xfId="0" pivotButton="1"/>
    <xf numFmtId="164" fontId="2" fillId="0" borderId="0" xfId="1" applyNumberFormat="1" applyFont="1"/>
    <xf numFmtId="43" fontId="0" fillId="0" borderId="0" xfId="0" applyNumberFormat="1"/>
    <xf numFmtId="0" fontId="2" fillId="2" borderId="1" xfId="0" applyFont="1" applyFill="1" applyBorder="1"/>
    <xf numFmtId="0" fontId="2" fillId="2" borderId="0" xfId="0" applyFont="1" applyFill="1"/>
    <xf numFmtId="165" fontId="0" fillId="0" borderId="0" xfId="1" applyNumberFormat="1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3" borderId="0" xfId="1" applyNumberFormat="1" applyFont="1" applyFill="1"/>
    <xf numFmtId="0" fontId="0" fillId="0" borderId="0" xfId="2" applyFont="1"/>
    <xf numFmtId="166" fontId="0" fillId="0" borderId="0" xfId="0" applyNumberFormat="1"/>
  </cellXfs>
  <cellStyles count="3">
    <cellStyle name="Comma" xfId="1" builtinId="3"/>
    <cellStyle name="Normal" xfId="0" builtinId="0"/>
    <cellStyle name="Normal 2" xfId="2" xr:uid="{6EDAAB44-D9E3-4047-B011-5AE933AED2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chit Gupta" id="{8AA75ECE-206D-4CCF-A7FB-2057CAA89D67}" userId="dc99afb6cd7699c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chit Gupta" refreshedDate="45462.412461921296" createdVersion="8" refreshedVersion="8" minRefreshableVersion="3" recordCount="11" xr:uid="{556355C3-19CD-40E4-A141-1CA918ECF4D9}">
  <cacheSource type="worksheet">
    <worksheetSource ref="A3:C15" sheet="COI"/>
  </cacheSource>
  <cacheFields count="7">
    <cacheField name="TX Date" numFmtId="14">
      <sharedItems containsSemiMixedTypes="0" containsNonDate="0" containsDate="1" containsString="0" minDate="2023-07-03T00:00:00" maxDate="2024-03-02T00:00:00"/>
    </cacheField>
    <cacheField name="Particulars" numFmtId="0">
      <sharedItems/>
    </cacheField>
    <cacheField name="Ref" numFmtId="0">
      <sharedItems/>
    </cacheField>
    <cacheField name="DR" numFmtId="43">
      <sharedItems containsSemiMixedTypes="0" containsString="0" containsNumber="1" containsInteger="1" minValue="0" maxValue="0"/>
    </cacheField>
    <cacheField name="CR" numFmtId="43">
      <sharedItems containsSemiMixedTypes="0" containsString="0" containsNumber="1" minValue="4526" maxValue="34112"/>
    </cacheField>
    <cacheField name="Kya hai?" numFmtId="0">
      <sharedItems count="4">
        <s v="Professional Fees from JSW"/>
        <s v="Professional Fees from LINCOLN ELECTRI"/>
        <s v="Professional Fees from Fluxgen"/>
        <s v="Professional Fees from Dr. Reddys"/>
      </sharedItems>
    </cacheField>
    <cacheField name="Account N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d v="2023-07-03T00:00:00"/>
    <s v="   BY TRANSFER-FUD TR FR JSW STEEL LTD--"/>
    <s v="TRANSFER FROM 11083986061                         "/>
    <n v="0"/>
    <n v="10000"/>
    <x v="0"/>
    <s v="SBI"/>
  </r>
  <r>
    <d v="2023-10-03T00:00:00"/>
    <s v="NFT/LINCOLN ELECTRI/23A300420OM40K93/BANK_x000a_OF AM"/>
    <s v="TFR"/>
    <n v="0"/>
    <n v="20161.29"/>
    <x v="1"/>
    <s v="Jupiter"/>
  </r>
  <r>
    <d v="2023-10-05T00:00:00"/>
    <s v="   BY TRANSFER-INB--"/>
    <s v="CTY9105340               TRANSFER FROM 42201368247"/>
    <n v="0"/>
    <n v="32500"/>
    <x v="2"/>
    <s v="SBI"/>
  </r>
  <r>
    <d v="2023-10-06T00:00:00"/>
    <s v="   BY TRANSFER-NEFT*HDFC0000001*N279232675295291*fluxgen sustaina--"/>
    <s v="TRANSFER FROM 4697176044305"/>
    <n v="0"/>
    <n v="4526"/>
    <x v="2"/>
    <s v="SBI"/>
  </r>
  <r>
    <d v="2023-10-27T00:00:00"/>
    <s v="NFT/LINCOLN ELECTRI/23AR65620QK11X91/BANK_x000a_OF AM"/>
    <s v="TFR"/>
    <n v="0"/>
    <n v="9166.66"/>
    <x v="1"/>
    <s v="Jupiter"/>
  </r>
  <r>
    <d v="2023-10-31T00:00:00"/>
    <s v="NFT/DR REDDYS LABOR/CITIN23446568003/CITI"/>
    <s v="TFR"/>
    <n v="0"/>
    <n v="34112"/>
    <x v="3"/>
    <s v="Jupiter"/>
  </r>
  <r>
    <d v="2023-11-02T00:00:00"/>
    <s v="   BY TRANSFER-INB--"/>
    <s v="CTZ2995224               TRANSFER FROM 42201368247"/>
    <n v="0"/>
    <n v="25000"/>
    <x v="2"/>
    <s v="SBI"/>
  </r>
  <r>
    <d v="2023-11-30T00:00:00"/>
    <s v="NFT/DR REDDYS LABOR/CITIN23461192319/CITI"/>
    <s v="TFR"/>
    <n v="0"/>
    <n v="22500"/>
    <x v="3"/>
    <s v="Jupiter"/>
  </r>
  <r>
    <d v="2023-12-30T00:00:00"/>
    <s v="NFT/DR REDDYS LABOR/CITIN23476712141/CITI"/>
    <s v="TFR"/>
    <n v="0"/>
    <n v="22500"/>
    <x v="3"/>
    <s v="Jupiter"/>
  </r>
  <r>
    <d v="2024-01-31T00:00:00"/>
    <s v="NFT/DR REDDYS LABOR/CITIN24416493217/CITI"/>
    <s v="TFR"/>
    <n v="0"/>
    <n v="22500"/>
    <x v="3"/>
    <s v="Jupiter"/>
  </r>
  <r>
    <d v="2024-03-01T00:00:00"/>
    <s v="NFT/DR REDDYS LABOR/CITIN24432370705/CITI"/>
    <s v="TFR"/>
    <n v="0"/>
    <n v="22500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7C601-ABF0-4292-862E-B04F31D19C2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2:Q7" firstHeaderRow="1" firstDataRow="1" firstDataCol="1"/>
  <pivotFields count="7">
    <pivotField compact="0" numFmtId="14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dataField="1" compact="0" numFmtId="43" outline="0" showAll="0" defaultSubtotal="0"/>
    <pivotField axis="axisRow" compact="0" outline="0" showAll="0" defaultSubtotal="0">
      <items count="4">
        <item x="3"/>
        <item x="2"/>
        <item x="0"/>
        <item x="1"/>
      </items>
    </pivotField>
    <pivotField compact="0" outlin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" dT="2024-06-21T17:48:47.10" personId="{8AA75ECE-206D-4CCF-A7FB-2057CAA89D67}" id="{34FA9B27-B2F5-4FB8-9172-42147796C27C}">
    <text>₹3,000 and ₹18,000 debited on 07-03-2024 and 10-03-2024 from SBI is for House Rent, of which, ₹11,000 is rent and ₹10,000 is deposit</text>
  </threadedComment>
  <threadedComment ref="D22" dT="2024-06-21T17:22:52.04" personId="{8AA75ECE-206D-4CCF-A7FB-2057CAA89D67}" id="{5EC0940F-9352-425A-803E-94DC34C62452}">
    <text>I don’t have any records about this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625F-D5DD-43B3-B3EB-FC94C9EAE51F}">
  <dimension ref="B2:Q73"/>
  <sheetViews>
    <sheetView tabSelected="1" view="pageBreakPreview" zoomScaleNormal="100" zoomScaleSheetLayoutView="100" workbookViewId="0"/>
  </sheetViews>
  <sheetFormatPr defaultRowHeight="14.4" x14ac:dyDescent="0.3"/>
  <cols>
    <col min="3" max="3" width="28" bestFit="1" customWidth="1"/>
    <col min="4" max="4" width="11.77734375" bestFit="1" customWidth="1"/>
    <col min="5" max="5" width="11.88671875" bestFit="1" customWidth="1"/>
    <col min="6" max="6" width="11.77734375" bestFit="1" customWidth="1"/>
    <col min="9" max="9" width="11.77734375" bestFit="1" customWidth="1"/>
    <col min="10" max="10" width="9.88671875" bestFit="1" customWidth="1"/>
    <col min="11" max="11" width="11.77734375" bestFit="1" customWidth="1"/>
    <col min="12" max="12" width="44.88671875" bestFit="1" customWidth="1"/>
    <col min="13" max="13" width="11.33203125" bestFit="1" customWidth="1"/>
    <col min="14" max="14" width="66.33203125" bestFit="1" customWidth="1"/>
    <col min="15" max="15" width="11.44140625" bestFit="1" customWidth="1"/>
    <col min="16" max="16" width="21.5546875" bestFit="1" customWidth="1"/>
    <col min="19" max="19" width="10.33203125" bestFit="1" customWidth="1"/>
    <col min="20" max="20" width="47.88671875" bestFit="1" customWidth="1"/>
    <col min="21" max="21" width="47.88671875" customWidth="1"/>
    <col min="22" max="22" width="12" bestFit="1" customWidth="1"/>
    <col min="23" max="23" width="13.109375" bestFit="1" customWidth="1"/>
    <col min="24" max="24" width="12.5546875" bestFit="1" customWidth="1"/>
    <col min="25" max="25" width="9.77734375" bestFit="1" customWidth="1"/>
    <col min="27" max="27" width="35.21875" bestFit="1" customWidth="1"/>
    <col min="28" max="28" width="10" bestFit="1" customWidth="1"/>
    <col min="31" max="31" width="44.88671875" bestFit="1" customWidth="1"/>
  </cols>
  <sheetData>
    <row r="2" spans="2:17" x14ac:dyDescent="0.3">
      <c r="B2" s="1" t="s">
        <v>0</v>
      </c>
      <c r="C2" s="1" t="s">
        <v>1</v>
      </c>
      <c r="D2" s="2" t="s">
        <v>2</v>
      </c>
      <c r="E2" s="3"/>
      <c r="F2" s="3"/>
      <c r="I2" s="4" t="s">
        <v>32</v>
      </c>
      <c r="J2" s="3">
        <v>33870.97</v>
      </c>
    </row>
    <row r="3" spans="2:17" x14ac:dyDescent="0.3">
      <c r="B3" s="1"/>
      <c r="D3" s="3"/>
      <c r="E3" s="2" t="s">
        <v>3</v>
      </c>
      <c r="F3" s="2" t="s">
        <v>4</v>
      </c>
      <c r="I3" s="1" t="s">
        <v>33</v>
      </c>
      <c r="J3" s="3"/>
    </row>
    <row r="4" spans="2:17" x14ac:dyDescent="0.3">
      <c r="C4" s="1" t="s">
        <v>5</v>
      </c>
      <c r="D4" s="3">
        <f>33870.97+13548.39+5645.16+12877.42</f>
        <v>65941.94</v>
      </c>
      <c r="E4" s="3">
        <f>SUM(D4:D7)</f>
        <v>8129.0370000000021</v>
      </c>
      <c r="F4" s="3">
        <f>E4-D5-D7</f>
        <v>15941.940000000002</v>
      </c>
      <c r="I4" s="4" t="s">
        <v>34</v>
      </c>
      <c r="J4" s="3">
        <f>J2/2</f>
        <v>16935.485000000001</v>
      </c>
      <c r="M4" s="11">
        <v>45358</v>
      </c>
      <c r="N4" t="s">
        <v>260</v>
      </c>
      <c r="O4">
        <v>3000</v>
      </c>
      <c r="P4" t="s">
        <v>262</v>
      </c>
      <c r="Q4" t="s">
        <v>47</v>
      </c>
    </row>
    <row r="5" spans="2:17" x14ac:dyDescent="0.3">
      <c r="C5" s="4" t="s">
        <v>6</v>
      </c>
      <c r="D5" s="3">
        <v>-200</v>
      </c>
      <c r="E5" s="3"/>
      <c r="F5" s="3"/>
      <c r="I5" s="4" t="s">
        <v>35</v>
      </c>
      <c r="J5" s="3">
        <v>11000</v>
      </c>
      <c r="M5" s="11">
        <v>45361</v>
      </c>
      <c r="N5" t="s">
        <v>261</v>
      </c>
      <c r="O5">
        <v>18000</v>
      </c>
      <c r="P5" t="s">
        <v>262</v>
      </c>
      <c r="Q5" t="s">
        <v>47</v>
      </c>
    </row>
    <row r="6" spans="2:17" x14ac:dyDescent="0.3">
      <c r="C6" t="s">
        <v>7</v>
      </c>
      <c r="D6" s="3">
        <v>-50000</v>
      </c>
      <c r="E6" s="3"/>
      <c r="F6" s="3"/>
      <c r="I6" s="4" t="s">
        <v>36</v>
      </c>
      <c r="J6" s="3">
        <f>J5-J2*0.1</f>
        <v>7612.9030000000002</v>
      </c>
    </row>
    <row r="7" spans="2:17" x14ac:dyDescent="0.3">
      <c r="C7" t="s">
        <v>33</v>
      </c>
      <c r="D7" s="3">
        <f>-J7</f>
        <v>-7612.9030000000002</v>
      </c>
      <c r="E7" s="3"/>
      <c r="F7" s="3"/>
      <c r="J7" s="5">
        <f>MIN(J6,J5,J4)</f>
        <v>7612.9030000000002</v>
      </c>
    </row>
    <row r="8" spans="2:17" x14ac:dyDescent="0.3">
      <c r="D8" s="3"/>
      <c r="E8" s="3"/>
      <c r="F8" s="3"/>
    </row>
    <row r="9" spans="2:17" x14ac:dyDescent="0.3">
      <c r="D9" s="3"/>
      <c r="E9" s="3"/>
      <c r="F9" s="3"/>
      <c r="I9" s="4"/>
    </row>
    <row r="10" spans="2:17" x14ac:dyDescent="0.3">
      <c r="D10" s="3"/>
      <c r="E10" s="3"/>
      <c r="F10" s="3"/>
    </row>
    <row r="11" spans="2:17" x14ac:dyDescent="0.3">
      <c r="C11" s="1" t="s">
        <v>8</v>
      </c>
      <c r="D11" s="3">
        <f>'Professional Fees'!B7</f>
        <v>239263.95</v>
      </c>
      <c r="E11" s="3">
        <f>D11*0.5</f>
        <v>119631.97500000001</v>
      </c>
      <c r="F11" s="3">
        <f>E11</f>
        <v>119631.97500000001</v>
      </c>
    </row>
    <row r="12" spans="2:17" x14ac:dyDescent="0.3">
      <c r="C12" s="1"/>
      <c r="D12" s="3"/>
      <c r="E12" s="3"/>
      <c r="F12" s="3"/>
    </row>
    <row r="13" spans="2:17" x14ac:dyDescent="0.3">
      <c r="D13" s="3"/>
      <c r="E13" s="3"/>
      <c r="F13" s="3"/>
    </row>
    <row r="14" spans="2:17" x14ac:dyDescent="0.3">
      <c r="C14" s="1" t="s">
        <v>9</v>
      </c>
      <c r="D14" s="3"/>
      <c r="E14" s="3">
        <f>SUM(D15:D18)</f>
        <v>265063.50589999999</v>
      </c>
      <c r="F14" s="3">
        <f>E14</f>
        <v>265063.50589999999</v>
      </c>
    </row>
    <row r="15" spans="2:17" x14ac:dyDescent="0.3">
      <c r="C15" s="4" t="s">
        <v>71</v>
      </c>
      <c r="D15" s="3">
        <f>137635.58-6884.51</f>
        <v>130751.06999999999</v>
      </c>
      <c r="E15" s="3"/>
      <c r="F15" s="3"/>
    </row>
    <row r="16" spans="2:17" x14ac:dyDescent="0.3">
      <c r="C16" s="4" t="s">
        <v>70</v>
      </c>
      <c r="D16" s="3">
        <v>133911.62</v>
      </c>
      <c r="E16" s="3"/>
      <c r="F16" s="3"/>
    </row>
    <row r="17" spans="3:9" x14ac:dyDescent="0.3">
      <c r="C17" s="4" t="s">
        <v>72</v>
      </c>
      <c r="D17" s="3">
        <v>-1038.49</v>
      </c>
      <c r="E17" s="3"/>
      <c r="F17" s="3"/>
    </row>
    <row r="18" spans="3:9" x14ac:dyDescent="0.3">
      <c r="C18" s="4" t="s">
        <v>73</v>
      </c>
      <c r="D18" s="3">
        <v>1439.3059000000003</v>
      </c>
      <c r="E18" s="3"/>
      <c r="F18" s="3"/>
    </row>
    <row r="19" spans="3:9" x14ac:dyDescent="0.3">
      <c r="C19" s="4"/>
      <c r="D19" s="3"/>
      <c r="E19" s="3"/>
      <c r="F19" s="3"/>
    </row>
    <row r="20" spans="3:9" x14ac:dyDescent="0.3">
      <c r="C20" s="1" t="s">
        <v>76</v>
      </c>
      <c r="D20" s="3"/>
      <c r="E20" s="3">
        <f>SUM(D20:D26)</f>
        <v>25182.71</v>
      </c>
      <c r="F20" s="3">
        <f>E20</f>
        <v>25182.71</v>
      </c>
    </row>
    <row r="21" spans="3:9" x14ac:dyDescent="0.3">
      <c r="C21" s="4" t="s">
        <v>77</v>
      </c>
      <c r="D21" s="3">
        <v>4991</v>
      </c>
      <c r="E21" s="3"/>
      <c r="F21" s="3"/>
    </row>
    <row r="22" spans="3:9" x14ac:dyDescent="0.3">
      <c r="C22" s="4" t="s">
        <v>78</v>
      </c>
      <c r="D22" s="24">
        <v>0</v>
      </c>
      <c r="E22" s="3"/>
      <c r="F22" s="3"/>
    </row>
    <row r="23" spans="3:9" x14ac:dyDescent="0.3">
      <c r="C23" s="4" t="s">
        <v>221</v>
      </c>
      <c r="D23" s="3">
        <v>185</v>
      </c>
      <c r="E23" s="3"/>
      <c r="F23" s="3"/>
      <c r="H23" t="s">
        <v>222</v>
      </c>
    </row>
    <row r="24" spans="3:9" x14ac:dyDescent="0.3">
      <c r="C24" s="4" t="s">
        <v>79</v>
      </c>
      <c r="D24" s="3">
        <v>2825.16</v>
      </c>
      <c r="E24" s="3"/>
      <c r="F24" s="3"/>
      <c r="H24" t="s">
        <v>254</v>
      </c>
      <c r="I24" s="18">
        <f>D24*1%</f>
        <v>28.2516</v>
      </c>
    </row>
    <row r="25" spans="3:9" x14ac:dyDescent="0.3">
      <c r="C25" s="4" t="s">
        <v>80</v>
      </c>
      <c r="D25" s="3">
        <f>Dividend!S5</f>
        <v>17181.55</v>
      </c>
      <c r="E25" s="3"/>
      <c r="F25" s="3"/>
    </row>
    <row r="26" spans="3:9" x14ac:dyDescent="0.3">
      <c r="C26" s="4"/>
      <c r="D26" s="3"/>
      <c r="E26" s="3"/>
      <c r="F26" s="3"/>
    </row>
    <row r="27" spans="3:9" x14ac:dyDescent="0.3">
      <c r="C27" s="4"/>
      <c r="D27" s="3"/>
      <c r="E27" s="3"/>
      <c r="F27" s="3"/>
    </row>
    <row r="28" spans="3:9" x14ac:dyDescent="0.3">
      <c r="D28" s="3"/>
      <c r="E28" s="3"/>
      <c r="F28" s="3"/>
    </row>
    <row r="29" spans="3:9" x14ac:dyDescent="0.3">
      <c r="C29" s="4" t="s">
        <v>12</v>
      </c>
      <c r="D29" s="3">
        <f>D11+D28</f>
        <v>239263.95</v>
      </c>
      <c r="E29" s="2">
        <f>SUM(E4:E28)</f>
        <v>418007.2279</v>
      </c>
      <c r="F29" s="2">
        <f>SUM(F4:F28)</f>
        <v>425820.13090000005</v>
      </c>
    </row>
    <row r="30" spans="3:9" x14ac:dyDescent="0.3">
      <c r="D30" s="3"/>
      <c r="E30" s="3"/>
      <c r="F30" s="3"/>
    </row>
    <row r="31" spans="3:9" x14ac:dyDescent="0.3">
      <c r="C31" s="4" t="s">
        <v>41</v>
      </c>
      <c r="D31" s="3"/>
      <c r="E31" s="3"/>
      <c r="F31" s="3"/>
    </row>
    <row r="32" spans="3:9" x14ac:dyDescent="0.3">
      <c r="C32" s="4" t="s">
        <v>13</v>
      </c>
      <c r="D32" s="3"/>
      <c r="E32" s="3">
        <f>MIN(SUM(D32:D34),150000)</f>
        <v>150000</v>
      </c>
      <c r="F32" s="3">
        <v>0</v>
      </c>
    </row>
    <row r="33" spans="3:7" x14ac:dyDescent="0.3">
      <c r="C33" s="4" t="s">
        <v>258</v>
      </c>
      <c r="D33" s="3">
        <v>1800</v>
      </c>
      <c r="E33" s="3"/>
      <c r="F33" s="3"/>
    </row>
    <row r="34" spans="3:7" x14ac:dyDescent="0.3">
      <c r="C34" s="4" t="s">
        <v>259</v>
      </c>
      <c r="D34" s="3">
        <f>50000+256000+102250</f>
        <v>408250</v>
      </c>
      <c r="E34" s="3"/>
      <c r="F34" s="3"/>
    </row>
    <row r="35" spans="3:7" x14ac:dyDescent="0.3">
      <c r="C35" s="4"/>
      <c r="D35" s="3"/>
      <c r="E35" s="3"/>
      <c r="F35" s="3"/>
    </row>
    <row r="36" spans="3:7" x14ac:dyDescent="0.3">
      <c r="C36" s="4" t="s">
        <v>14</v>
      </c>
      <c r="D36" s="3">
        <v>5114</v>
      </c>
      <c r="E36" s="3">
        <f>MIN(D36,25000)</f>
        <v>5114</v>
      </c>
      <c r="F36" s="3">
        <v>0</v>
      </c>
    </row>
    <row r="37" spans="3:7" x14ac:dyDescent="0.3">
      <c r="C37" s="4"/>
      <c r="D37" s="3"/>
      <c r="E37" s="3"/>
      <c r="F37" s="3"/>
    </row>
    <row r="38" spans="3:7" x14ac:dyDescent="0.3">
      <c r="C38" s="4" t="s">
        <v>15</v>
      </c>
      <c r="D38" s="3"/>
      <c r="E38" s="2">
        <f>E29-E32-E36</f>
        <v>262893.2279</v>
      </c>
      <c r="F38" s="2">
        <f>F29-F32-F36</f>
        <v>425820.13090000005</v>
      </c>
    </row>
    <row r="39" spans="3:7" x14ac:dyDescent="0.3">
      <c r="C39" s="4"/>
      <c r="D39" s="3"/>
      <c r="E39" s="3"/>
      <c r="F39" s="3"/>
    </row>
    <row r="40" spans="3:7" x14ac:dyDescent="0.3">
      <c r="C40" s="1" t="s">
        <v>16</v>
      </c>
      <c r="D40" s="3"/>
      <c r="E40" s="3">
        <f>E71</f>
        <v>22774.951789999999</v>
      </c>
      <c r="F40" s="3">
        <f>F71</f>
        <v>18873.019635000008</v>
      </c>
    </row>
    <row r="41" spans="3:7" x14ac:dyDescent="0.3">
      <c r="C41" s="4" t="s">
        <v>17</v>
      </c>
      <c r="D41" s="3"/>
      <c r="E41" s="3">
        <f>E40*4%</f>
        <v>910.9980716</v>
      </c>
      <c r="F41" s="3">
        <f>F40*4%</f>
        <v>754.92078540000034</v>
      </c>
      <c r="G41" s="5"/>
    </row>
    <row r="42" spans="3:7" x14ac:dyDescent="0.3">
      <c r="C42" s="1" t="s">
        <v>18</v>
      </c>
      <c r="D42" s="3"/>
      <c r="E42" s="2">
        <f>SUM(E40:E41)</f>
        <v>23685.949861599998</v>
      </c>
      <c r="F42" s="2">
        <f>SUM(F40:F41)</f>
        <v>19627.940420400009</v>
      </c>
    </row>
    <row r="43" spans="3:7" x14ac:dyDescent="0.3">
      <c r="C43" s="4"/>
      <c r="D43" s="3"/>
      <c r="E43" s="3"/>
      <c r="F43" s="3"/>
    </row>
    <row r="44" spans="3:7" x14ac:dyDescent="0.3">
      <c r="C44" s="4" t="s">
        <v>74</v>
      </c>
      <c r="D44" s="3"/>
      <c r="E44" s="3">
        <f>-IF(E38&lt;500000,MIN(E42,12500),0)</f>
        <v>-12500</v>
      </c>
      <c r="F44" s="3">
        <f>-IF(F38&lt;700000,MIN(F42,25000),0)</f>
        <v>-19627.940420400009</v>
      </c>
    </row>
    <row r="45" spans="3:7" x14ac:dyDescent="0.3">
      <c r="C45" s="4" t="s">
        <v>75</v>
      </c>
      <c r="D45" s="3"/>
      <c r="E45" s="3">
        <v>-15000</v>
      </c>
      <c r="F45" s="3">
        <v>-15000</v>
      </c>
    </row>
    <row r="46" spans="3:7" x14ac:dyDescent="0.3">
      <c r="C46" s="4" t="s">
        <v>19</v>
      </c>
      <c r="D46" s="3"/>
      <c r="E46" s="6">
        <f>-'Professional Fees'!C7-I24</f>
        <v>-13819.2516</v>
      </c>
      <c r="F46" s="6">
        <f>-'Professional Fees'!C7-I24</f>
        <v>-13819.2516</v>
      </c>
    </row>
    <row r="47" spans="3:7" x14ac:dyDescent="0.3">
      <c r="D47" s="3"/>
      <c r="E47" s="3"/>
      <c r="F47" s="3"/>
    </row>
    <row r="48" spans="3:7" x14ac:dyDescent="0.3">
      <c r="C48" s="1" t="s">
        <v>256</v>
      </c>
      <c r="D48" s="3"/>
      <c r="E48" s="2">
        <f>ROUND(SUM(E42:E46),0)</f>
        <v>-17633</v>
      </c>
      <c r="F48" s="2">
        <f>ROUND(SUM(F42:F46),0)</f>
        <v>-28819</v>
      </c>
    </row>
    <row r="49" spans="2:7" x14ac:dyDescent="0.3">
      <c r="D49" s="3"/>
      <c r="E49" s="3"/>
      <c r="F49" s="3"/>
    </row>
    <row r="50" spans="2:7" x14ac:dyDescent="0.3">
      <c r="D50" s="3"/>
      <c r="E50" s="3"/>
      <c r="F50" s="3"/>
    </row>
    <row r="51" spans="2:7" x14ac:dyDescent="0.3">
      <c r="C51" s="1" t="s">
        <v>20</v>
      </c>
      <c r="D51" s="3"/>
      <c r="E51" s="3"/>
      <c r="F51" s="3"/>
    </row>
    <row r="52" spans="2:7" x14ac:dyDescent="0.3">
      <c r="B52" s="5">
        <f>E38-E14</f>
        <v>-2170.2779999999912</v>
      </c>
      <c r="C52" s="4" t="s">
        <v>21</v>
      </c>
      <c r="D52" s="3">
        <f>MAX(E38-E14,0)</f>
        <v>0</v>
      </c>
      <c r="E52" s="3">
        <f t="shared" ref="E52:E55" si="0">D52*G52%</f>
        <v>0</v>
      </c>
      <c r="F52" s="3">
        <v>0</v>
      </c>
      <c r="G52">
        <v>0</v>
      </c>
    </row>
    <row r="53" spans="2:7" x14ac:dyDescent="0.3">
      <c r="C53" s="4" t="s">
        <v>22</v>
      </c>
      <c r="D53" s="3">
        <v>0</v>
      </c>
      <c r="E53" s="3">
        <f t="shared" si="0"/>
        <v>0</v>
      </c>
      <c r="F53" s="3">
        <v>0</v>
      </c>
      <c r="G53">
        <v>5</v>
      </c>
    </row>
    <row r="54" spans="2:7" x14ac:dyDescent="0.3">
      <c r="C54" s="4" t="s">
        <v>23</v>
      </c>
      <c r="D54" s="3">
        <v>0</v>
      </c>
      <c r="E54" s="3">
        <f t="shared" si="0"/>
        <v>0</v>
      </c>
      <c r="F54" s="3">
        <v>0</v>
      </c>
      <c r="G54">
        <v>20</v>
      </c>
    </row>
    <row r="55" spans="2:7" x14ac:dyDescent="0.3">
      <c r="C55" s="7" t="s">
        <v>24</v>
      </c>
      <c r="D55" s="3">
        <v>0</v>
      </c>
      <c r="E55" s="3">
        <f t="shared" si="0"/>
        <v>0</v>
      </c>
      <c r="F55" s="3">
        <v>0</v>
      </c>
      <c r="G55">
        <v>30</v>
      </c>
    </row>
    <row r="56" spans="2:7" x14ac:dyDescent="0.3">
      <c r="C56" s="7" t="s">
        <v>10</v>
      </c>
      <c r="D56" s="3">
        <f>D15+D17</f>
        <v>129712.57999999999</v>
      </c>
      <c r="E56" s="3">
        <f>D56*G56%</f>
        <v>19456.886999999999</v>
      </c>
      <c r="F56" s="3">
        <v>0</v>
      </c>
      <c r="G56">
        <v>15</v>
      </c>
    </row>
    <row r="57" spans="2:7" x14ac:dyDescent="0.3">
      <c r="C57" s="7" t="s">
        <v>11</v>
      </c>
      <c r="D57" s="3">
        <f>D16+D18+B52</f>
        <v>133180.64790000001</v>
      </c>
      <c r="E57" s="3">
        <f>MAX(D57*G57%-10000,0)</f>
        <v>3318.0647900000022</v>
      </c>
      <c r="F57" s="3">
        <v>0</v>
      </c>
      <c r="G57">
        <v>10</v>
      </c>
    </row>
    <row r="58" spans="2:7" x14ac:dyDescent="0.3">
      <c r="C58" s="7"/>
      <c r="D58" s="5">
        <f>SUM(D52:D57)-E38</f>
        <v>0</v>
      </c>
      <c r="E58" s="3"/>
      <c r="F58" s="3"/>
    </row>
    <row r="59" spans="2:7" x14ac:dyDescent="0.3">
      <c r="C59" s="8" t="s">
        <v>25</v>
      </c>
      <c r="D59" s="3"/>
      <c r="E59" s="3"/>
      <c r="F59" s="3"/>
    </row>
    <row r="60" spans="2:7" x14ac:dyDescent="0.3">
      <c r="C60" s="4" t="s">
        <v>26</v>
      </c>
      <c r="D60" s="3">
        <f>F29-F14</f>
        <v>160756.62500000006</v>
      </c>
      <c r="E60" s="3">
        <v>0</v>
      </c>
      <c r="F60" s="3">
        <f t="shared" ref="F60:F67" si="1">D60*G60%</f>
        <v>0</v>
      </c>
      <c r="G60">
        <v>0</v>
      </c>
    </row>
    <row r="61" spans="2:7" x14ac:dyDescent="0.3">
      <c r="C61" s="4" t="s">
        <v>26</v>
      </c>
      <c r="D61" s="3">
        <f>300000-D60</f>
        <v>139243.37499999994</v>
      </c>
      <c r="E61" s="3">
        <v>0</v>
      </c>
      <c r="F61" s="3">
        <f t="shared" si="1"/>
        <v>0</v>
      </c>
      <c r="G61">
        <v>0</v>
      </c>
    </row>
    <row r="62" spans="2:7" x14ac:dyDescent="0.3">
      <c r="C62" s="4" t="s">
        <v>27</v>
      </c>
      <c r="D62" s="3">
        <v>0</v>
      </c>
      <c r="E62" s="3">
        <v>0</v>
      </c>
      <c r="F62" s="3">
        <f t="shared" si="1"/>
        <v>0</v>
      </c>
      <c r="G62">
        <v>5</v>
      </c>
    </row>
    <row r="63" spans="2:7" x14ac:dyDescent="0.3">
      <c r="C63" s="4" t="s">
        <v>28</v>
      </c>
      <c r="D63" s="3">
        <v>0</v>
      </c>
      <c r="E63" s="3">
        <v>0</v>
      </c>
      <c r="F63" s="3">
        <f t="shared" si="1"/>
        <v>0</v>
      </c>
      <c r="G63">
        <v>10</v>
      </c>
    </row>
    <row r="64" spans="2:7" x14ac:dyDescent="0.3">
      <c r="C64" s="4" t="s">
        <v>29</v>
      </c>
      <c r="D64" s="3">
        <v>0</v>
      </c>
      <c r="E64" s="3">
        <v>0</v>
      </c>
      <c r="F64" s="3">
        <f t="shared" si="1"/>
        <v>0</v>
      </c>
      <c r="G64">
        <v>15</v>
      </c>
    </row>
    <row r="65" spans="3:8" x14ac:dyDescent="0.3">
      <c r="C65" s="4" t="s">
        <v>30</v>
      </c>
      <c r="D65" s="3">
        <v>0</v>
      </c>
      <c r="E65" s="3">
        <v>0</v>
      </c>
      <c r="F65" s="3">
        <f t="shared" si="1"/>
        <v>0</v>
      </c>
      <c r="G65">
        <v>20</v>
      </c>
    </row>
    <row r="66" spans="3:8" x14ac:dyDescent="0.3">
      <c r="C66" s="7" t="s">
        <v>31</v>
      </c>
      <c r="D66" s="3">
        <v>0</v>
      </c>
      <c r="E66" s="3">
        <v>0</v>
      </c>
      <c r="F66" s="3">
        <f t="shared" si="1"/>
        <v>0</v>
      </c>
      <c r="G66">
        <v>30</v>
      </c>
    </row>
    <row r="67" spans="3:8" x14ac:dyDescent="0.3">
      <c r="C67" s="7" t="s">
        <v>10</v>
      </c>
      <c r="D67" s="3">
        <f>(D15+D17)-(D61-D16-D18)</f>
        <v>125820.13090000005</v>
      </c>
      <c r="E67" s="3">
        <v>0</v>
      </c>
      <c r="F67" s="3">
        <f t="shared" si="1"/>
        <v>18873.019635000008</v>
      </c>
      <c r="G67">
        <v>15</v>
      </c>
    </row>
    <row r="68" spans="3:8" x14ac:dyDescent="0.3">
      <c r="C68" s="7" t="s">
        <v>11</v>
      </c>
      <c r="D68" s="3">
        <f>MAX(D16+D18-D61,0)</f>
        <v>0</v>
      </c>
      <c r="E68" s="3">
        <v>0</v>
      </c>
      <c r="F68" s="3">
        <f>MAX(D68*G68%-10000,0)</f>
        <v>0</v>
      </c>
      <c r="G68">
        <v>10</v>
      </c>
      <c r="H68" s="10" t="s">
        <v>257</v>
      </c>
    </row>
    <row r="69" spans="3:8" x14ac:dyDescent="0.3">
      <c r="D69" s="3">
        <f>SUM(D60:D68)-F38</f>
        <v>0</v>
      </c>
      <c r="E69" s="3"/>
      <c r="F69" s="3"/>
    </row>
    <row r="70" spans="3:8" x14ac:dyDescent="0.3">
      <c r="D70" s="3"/>
      <c r="E70" s="3"/>
      <c r="F70" s="3"/>
    </row>
    <row r="71" spans="3:8" x14ac:dyDescent="0.3">
      <c r="C71" s="1" t="s">
        <v>18</v>
      </c>
      <c r="D71" s="2"/>
      <c r="E71" s="2">
        <f>SUM(E52:E70)</f>
        <v>22774.951789999999</v>
      </c>
      <c r="F71" s="2">
        <f>SUM(F52:F70)</f>
        <v>18873.019635000008</v>
      </c>
    </row>
    <row r="73" spans="3:8" x14ac:dyDescent="0.3">
      <c r="D73" s="5"/>
    </row>
  </sheetData>
  <pageMargins left="0.7" right="0.7" top="0.75" bottom="0.75" header="0.3" footer="0.3"/>
  <pageSetup scale="6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A418-5FBF-4771-B832-64492FED6FA4}">
  <dimension ref="A1:X13"/>
  <sheetViews>
    <sheetView workbookViewId="0">
      <selection activeCell="A2" sqref="A2"/>
    </sheetView>
  </sheetViews>
  <sheetFormatPr defaultRowHeight="14.4" x14ac:dyDescent="0.3"/>
  <cols>
    <col min="1" max="1" width="44.88671875" bestFit="1" customWidth="1"/>
    <col min="2" max="2" width="11.33203125" bestFit="1" customWidth="1"/>
    <col min="3" max="3" width="10" bestFit="1" customWidth="1"/>
    <col min="4" max="4" width="11.44140625" bestFit="1" customWidth="1"/>
    <col min="8" max="8" width="10.33203125" bestFit="1" customWidth="1"/>
    <col min="9" max="9" width="47.88671875" bestFit="1" customWidth="1"/>
    <col min="10" max="10" width="47.88671875" customWidth="1"/>
    <col min="11" max="11" width="12" bestFit="1" customWidth="1"/>
    <col min="12" max="12" width="13.109375" bestFit="1" customWidth="1"/>
    <col min="13" max="13" width="12.5546875" bestFit="1" customWidth="1"/>
    <col min="14" max="14" width="9.77734375" bestFit="1" customWidth="1"/>
    <col min="16" max="16" width="35.21875" bestFit="1" customWidth="1"/>
    <col min="17" max="17" width="10" bestFit="1" customWidth="1"/>
    <col min="20" max="20" width="44.88671875" bestFit="1" customWidth="1"/>
  </cols>
  <sheetData>
    <row r="1" spans="1:24" x14ac:dyDescent="0.3">
      <c r="D1" s="5"/>
      <c r="E1" s="5"/>
      <c r="L1" s="5"/>
    </row>
    <row r="2" spans="1:24" x14ac:dyDescent="0.3">
      <c r="A2" s="10" t="s">
        <v>44</v>
      </c>
      <c r="B2" s="10" t="s">
        <v>42</v>
      </c>
      <c r="C2" s="10" t="s">
        <v>19</v>
      </c>
      <c r="D2" s="10" t="s">
        <v>43</v>
      </c>
      <c r="H2" s="14" t="s">
        <v>61</v>
      </c>
      <c r="I2" t="s">
        <v>62</v>
      </c>
      <c r="J2" s="14" t="s">
        <v>63</v>
      </c>
      <c r="K2" s="14" t="s">
        <v>64</v>
      </c>
      <c r="L2" t="s">
        <v>65</v>
      </c>
      <c r="M2" s="15" t="s">
        <v>44</v>
      </c>
      <c r="N2" s="25" t="s">
        <v>255</v>
      </c>
      <c r="P2" s="16" t="s">
        <v>66</v>
      </c>
      <c r="Q2" t="s">
        <v>69</v>
      </c>
      <c r="T2" s="10" t="s">
        <v>44</v>
      </c>
      <c r="U2" s="10" t="s">
        <v>42</v>
      </c>
      <c r="V2" s="10" t="s">
        <v>19</v>
      </c>
      <c r="W2" s="10" t="s">
        <v>43</v>
      </c>
    </row>
    <row r="3" spans="1:24" x14ac:dyDescent="0.3">
      <c r="A3" s="4" t="s">
        <v>40</v>
      </c>
      <c r="B3" s="3">
        <v>137910</v>
      </c>
      <c r="C3" s="3">
        <v>13791</v>
      </c>
      <c r="D3" s="3">
        <v>124119</v>
      </c>
      <c r="F3" s="5"/>
      <c r="G3" s="26"/>
      <c r="H3" s="11">
        <v>45110</v>
      </c>
      <c r="I3" t="s">
        <v>45</v>
      </c>
      <c r="J3" s="12" t="s">
        <v>46</v>
      </c>
      <c r="K3" s="13">
        <v>0</v>
      </c>
      <c r="L3" s="13">
        <v>10000</v>
      </c>
      <c r="M3" s="12" t="s">
        <v>37</v>
      </c>
      <c r="N3" t="s">
        <v>47</v>
      </c>
      <c r="P3" t="s">
        <v>40</v>
      </c>
      <c r="Q3">
        <v>124112</v>
      </c>
      <c r="T3" s="4" t="s">
        <v>40</v>
      </c>
      <c r="U3" s="3">
        <f>25000*4+37910</f>
        <v>137910</v>
      </c>
      <c r="V3" s="3">
        <v>13791</v>
      </c>
      <c r="W3" s="3">
        <f>U3-V3</f>
        <v>124119</v>
      </c>
      <c r="X3" s="5">
        <f>Q3-W3</f>
        <v>-7</v>
      </c>
    </row>
    <row r="4" spans="1:24" x14ac:dyDescent="0.3">
      <c r="A4" s="4" t="s">
        <v>39</v>
      </c>
      <c r="B4" s="3">
        <v>62026</v>
      </c>
      <c r="C4" s="3">
        <v>0</v>
      </c>
      <c r="D4" s="3">
        <v>62026</v>
      </c>
      <c r="H4" s="11">
        <v>45202</v>
      </c>
      <c r="I4" t="s">
        <v>48</v>
      </c>
      <c r="J4" s="12" t="s">
        <v>49</v>
      </c>
      <c r="K4" s="13">
        <v>0</v>
      </c>
      <c r="L4" s="13">
        <v>20161.29</v>
      </c>
      <c r="M4" s="12" t="s">
        <v>38</v>
      </c>
      <c r="N4" t="s">
        <v>50</v>
      </c>
      <c r="P4" t="s">
        <v>39</v>
      </c>
      <c r="Q4">
        <v>62026</v>
      </c>
      <c r="T4" s="4" t="s">
        <v>39</v>
      </c>
      <c r="U4" s="3">
        <f>32500+25000+4526</f>
        <v>62026</v>
      </c>
      <c r="V4" s="9">
        <v>0</v>
      </c>
      <c r="W4" s="3">
        <f>U4-V4</f>
        <v>62026</v>
      </c>
      <c r="X4" s="5">
        <f>Q4-W4</f>
        <v>0</v>
      </c>
    </row>
    <row r="5" spans="1:24" x14ac:dyDescent="0.3">
      <c r="A5" s="4" t="s">
        <v>37</v>
      </c>
      <c r="B5" s="3">
        <v>10000</v>
      </c>
      <c r="C5" s="3">
        <v>0</v>
      </c>
      <c r="D5" s="3">
        <v>10000</v>
      </c>
      <c r="G5" s="26"/>
      <c r="H5" s="11">
        <v>45204</v>
      </c>
      <c r="I5" t="s">
        <v>51</v>
      </c>
      <c r="J5" s="12" t="s">
        <v>52</v>
      </c>
      <c r="K5" s="13">
        <v>0</v>
      </c>
      <c r="L5" s="13">
        <v>32500</v>
      </c>
      <c r="M5" s="12" t="s">
        <v>39</v>
      </c>
      <c r="N5" t="s">
        <v>47</v>
      </c>
      <c r="P5" t="s">
        <v>37</v>
      </c>
      <c r="Q5">
        <v>10000</v>
      </c>
      <c r="T5" s="4" t="s">
        <v>37</v>
      </c>
      <c r="U5" s="3">
        <v>10000</v>
      </c>
      <c r="V5" s="9">
        <v>0</v>
      </c>
      <c r="W5" s="3">
        <f>U5-V5</f>
        <v>10000</v>
      </c>
      <c r="X5" s="5">
        <f>Q5-W5</f>
        <v>0</v>
      </c>
    </row>
    <row r="6" spans="1:24" x14ac:dyDescent="0.3">
      <c r="A6" s="4" t="s">
        <v>38</v>
      </c>
      <c r="B6" s="3">
        <v>29327.95</v>
      </c>
      <c r="C6" s="3">
        <v>0</v>
      </c>
      <c r="D6" s="3">
        <v>29327.95</v>
      </c>
      <c r="H6" s="11">
        <v>45205</v>
      </c>
      <c r="I6" t="s">
        <v>53</v>
      </c>
      <c r="J6" s="12" t="s">
        <v>54</v>
      </c>
      <c r="K6" s="13">
        <v>0</v>
      </c>
      <c r="L6" s="13">
        <v>4526</v>
      </c>
      <c r="M6" s="12" t="s">
        <v>39</v>
      </c>
      <c r="N6" t="s">
        <v>47</v>
      </c>
      <c r="P6" t="s">
        <v>38</v>
      </c>
      <c r="Q6">
        <v>29327.95</v>
      </c>
      <c r="T6" s="4" t="s">
        <v>38</v>
      </c>
      <c r="U6" s="3">
        <f>20161.29+9166.66</f>
        <v>29327.95</v>
      </c>
      <c r="V6" s="9">
        <v>0</v>
      </c>
      <c r="W6" s="3">
        <f>U6-V6</f>
        <v>29327.95</v>
      </c>
      <c r="X6" s="5">
        <f>Q6-W6</f>
        <v>0</v>
      </c>
    </row>
    <row r="7" spans="1:24" x14ac:dyDescent="0.3">
      <c r="A7" s="4"/>
      <c r="B7" s="17">
        <f>SUM(B3:B6)</f>
        <v>239263.95</v>
      </c>
      <c r="C7" s="17">
        <f>SUM(C3:C6)</f>
        <v>13791</v>
      </c>
      <c r="D7" s="17">
        <f>SUM(D3:D6)</f>
        <v>225472.95</v>
      </c>
      <c r="H7" s="11">
        <v>45226</v>
      </c>
      <c r="I7" t="s">
        <v>55</v>
      </c>
      <c r="J7" s="12" t="s">
        <v>49</v>
      </c>
      <c r="K7" s="13">
        <v>0</v>
      </c>
      <c r="L7" s="13">
        <v>9166.66</v>
      </c>
      <c r="M7" s="12" t="s">
        <v>38</v>
      </c>
      <c r="N7" t="s">
        <v>50</v>
      </c>
      <c r="P7" t="s">
        <v>67</v>
      </c>
      <c r="Q7">
        <v>225465.95</v>
      </c>
      <c r="T7" s="4"/>
      <c r="U7" s="3"/>
      <c r="V7" s="9"/>
      <c r="W7" s="3">
        <f>U7-V7</f>
        <v>0</v>
      </c>
    </row>
    <row r="8" spans="1:24" x14ac:dyDescent="0.3">
      <c r="A8" s="4"/>
      <c r="B8" s="3"/>
      <c r="C8" s="9"/>
      <c r="D8" s="3"/>
      <c r="H8" s="11">
        <v>45230</v>
      </c>
      <c r="I8" t="s">
        <v>56</v>
      </c>
      <c r="J8" s="12" t="s">
        <v>49</v>
      </c>
      <c r="K8" s="13">
        <v>0</v>
      </c>
      <c r="L8" s="13">
        <v>34112</v>
      </c>
      <c r="M8" s="12" t="s">
        <v>40</v>
      </c>
      <c r="N8" t="s">
        <v>50</v>
      </c>
    </row>
    <row r="9" spans="1:24" x14ac:dyDescent="0.3">
      <c r="A9" s="4"/>
      <c r="B9" s="3"/>
      <c r="C9" s="3"/>
      <c r="D9" s="3"/>
      <c r="H9" s="11">
        <v>45232</v>
      </c>
      <c r="I9" t="s">
        <v>51</v>
      </c>
      <c r="J9" s="12" t="s">
        <v>57</v>
      </c>
      <c r="K9" s="13">
        <v>0</v>
      </c>
      <c r="L9" s="13">
        <v>25000</v>
      </c>
      <c r="M9" s="12" t="s">
        <v>39</v>
      </c>
      <c r="N9" t="s">
        <v>47</v>
      </c>
    </row>
    <row r="10" spans="1:24" x14ac:dyDescent="0.3">
      <c r="B10" s="5"/>
      <c r="H10" s="11">
        <v>45260</v>
      </c>
      <c r="I10" t="s">
        <v>58</v>
      </c>
      <c r="J10" s="12" t="s">
        <v>49</v>
      </c>
      <c r="K10" s="13">
        <v>0</v>
      </c>
      <c r="L10" s="13">
        <v>22500</v>
      </c>
      <c r="M10" s="12" t="s">
        <v>40</v>
      </c>
      <c r="N10" t="s">
        <v>50</v>
      </c>
    </row>
    <row r="11" spans="1:24" x14ac:dyDescent="0.3">
      <c r="H11" s="11">
        <v>45290</v>
      </c>
      <c r="I11" t="s">
        <v>59</v>
      </c>
      <c r="J11" s="12" t="s">
        <v>49</v>
      </c>
      <c r="K11" s="13">
        <v>0</v>
      </c>
      <c r="L11" s="13">
        <v>22500</v>
      </c>
      <c r="M11" s="12" t="s">
        <v>40</v>
      </c>
      <c r="N11" t="s">
        <v>50</v>
      </c>
    </row>
    <row r="12" spans="1:24" x14ac:dyDescent="0.3">
      <c r="H12" s="11">
        <v>45322</v>
      </c>
      <c r="I12" t="s">
        <v>60</v>
      </c>
      <c r="J12" s="12" t="s">
        <v>49</v>
      </c>
      <c r="K12" s="13">
        <v>0</v>
      </c>
      <c r="L12" s="13">
        <v>22500</v>
      </c>
      <c r="M12" s="12" t="s">
        <v>40</v>
      </c>
      <c r="N12" t="s">
        <v>50</v>
      </c>
    </row>
    <row r="13" spans="1:24" x14ac:dyDescent="0.3">
      <c r="H13" s="11">
        <v>45352</v>
      </c>
      <c r="I13" t="s">
        <v>68</v>
      </c>
      <c r="J13" s="12" t="s">
        <v>49</v>
      </c>
      <c r="K13" s="13">
        <v>0</v>
      </c>
      <c r="L13" s="13">
        <v>22500</v>
      </c>
      <c r="M13" s="1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2D93-2F57-4D03-BF60-63C4D4B629A1}">
  <dimension ref="B1:S74"/>
  <sheetViews>
    <sheetView workbookViewId="0">
      <selection activeCell="S5" sqref="S5"/>
    </sheetView>
  </sheetViews>
  <sheetFormatPr defaultRowHeight="14.4" x14ac:dyDescent="0.3"/>
  <cols>
    <col min="2" max="2" width="40.77734375" hidden="1" customWidth="1"/>
    <col min="3" max="3" width="12.77734375" hidden="1" customWidth="1"/>
    <col min="4" max="8" width="0" hidden="1" customWidth="1"/>
    <col min="9" max="9" width="41" hidden="1" customWidth="1"/>
    <col min="10" max="10" width="30.88671875" hidden="1" customWidth="1"/>
    <col min="11" max="12" width="0" hidden="1" customWidth="1"/>
    <col min="13" max="13" width="40.77734375" bestFit="1" customWidth="1"/>
    <col min="14" max="14" width="21.5546875" bestFit="1" customWidth="1"/>
    <col min="15" max="15" width="21.44140625" customWidth="1"/>
    <col min="16" max="17" width="9" bestFit="1" customWidth="1"/>
    <col min="18" max="18" width="9.88671875" bestFit="1" customWidth="1"/>
    <col min="19" max="19" width="15.109375" customWidth="1"/>
  </cols>
  <sheetData>
    <row r="1" spans="2:19" x14ac:dyDescent="0.3">
      <c r="B1" s="10" t="s">
        <v>248</v>
      </c>
      <c r="D1">
        <f>SUBTOTAL(9,D7:D1048576)</f>
        <v>16906.099999999999</v>
      </c>
      <c r="I1" s="10" t="s">
        <v>220</v>
      </c>
      <c r="K1">
        <f>SUBTOTAL(9,K7:K1048576)</f>
        <v>17119.050000000003</v>
      </c>
    </row>
    <row r="2" spans="2:19" x14ac:dyDescent="0.3">
      <c r="B2" s="10"/>
      <c r="I2" s="10"/>
      <c r="M2" s="10" t="s">
        <v>220</v>
      </c>
    </row>
    <row r="3" spans="2:19" x14ac:dyDescent="0.3">
      <c r="B3" s="10"/>
      <c r="I3" s="10"/>
    </row>
    <row r="4" spans="2:19" x14ac:dyDescent="0.3">
      <c r="B4" s="10"/>
      <c r="I4" s="10"/>
      <c r="P4" s="5"/>
      <c r="Q4" s="23"/>
      <c r="R4" s="5"/>
    </row>
    <row r="5" spans="2:19" x14ac:dyDescent="0.3">
      <c r="B5" s="10"/>
      <c r="I5" s="10"/>
      <c r="N5" s="3">
        <f t="shared" ref="N5:S5" si="0">SUBTOTAL(9,N7:N1048576)</f>
        <v>16906.099999999999</v>
      </c>
      <c r="O5" s="3">
        <f t="shared" si="0"/>
        <v>17119.05</v>
      </c>
      <c r="P5" s="3">
        <f t="shared" si="0"/>
        <v>-212.95</v>
      </c>
      <c r="Q5" s="3">
        <f t="shared" si="0"/>
        <v>16362</v>
      </c>
      <c r="R5" s="3">
        <f>SUBTOTAL(9,R7:R1048576)</f>
        <v>757.05</v>
      </c>
      <c r="S5" s="3">
        <f t="shared" si="0"/>
        <v>17181.55</v>
      </c>
    </row>
    <row r="6" spans="2:19" ht="28.8" x14ac:dyDescent="0.3">
      <c r="B6" s="19" t="s">
        <v>148</v>
      </c>
      <c r="C6" s="19" t="s">
        <v>149</v>
      </c>
      <c r="D6" s="19" t="s">
        <v>150</v>
      </c>
      <c r="E6" s="19" t="s">
        <v>151</v>
      </c>
      <c r="I6" s="19" t="s">
        <v>216</v>
      </c>
      <c r="J6" s="19" t="s">
        <v>219</v>
      </c>
      <c r="K6" s="19" t="s">
        <v>217</v>
      </c>
      <c r="L6" s="19" t="s">
        <v>218</v>
      </c>
      <c r="M6" s="19" t="s">
        <v>219</v>
      </c>
      <c r="N6" s="22" t="s">
        <v>251</v>
      </c>
      <c r="O6" s="22" t="s">
        <v>252</v>
      </c>
      <c r="P6" s="20" t="s">
        <v>249</v>
      </c>
      <c r="Q6" s="20" t="s">
        <v>250</v>
      </c>
      <c r="R6" s="20" t="s">
        <v>249</v>
      </c>
      <c r="S6" s="22" t="s">
        <v>253</v>
      </c>
    </row>
    <row r="7" spans="2:19" x14ac:dyDescent="0.3">
      <c r="B7" t="s">
        <v>86</v>
      </c>
      <c r="C7" t="s">
        <v>87</v>
      </c>
      <c r="D7" s="3">
        <v>84</v>
      </c>
      <c r="E7" t="s">
        <v>81</v>
      </c>
      <c r="I7" t="s">
        <v>154</v>
      </c>
      <c r="J7" t="s">
        <v>128</v>
      </c>
      <c r="K7">
        <v>2250</v>
      </c>
      <c r="L7" t="s">
        <v>81</v>
      </c>
      <c r="M7" t="s">
        <v>128</v>
      </c>
      <c r="N7" s="21">
        <v>2250</v>
      </c>
      <c r="O7" s="21">
        <f>2310-60</f>
        <v>2250</v>
      </c>
      <c r="P7" s="3">
        <f t="shared" ref="P7" si="1">N7-O7</f>
        <v>0</v>
      </c>
      <c r="Q7" s="3">
        <v>2250</v>
      </c>
      <c r="R7" s="3">
        <f t="shared" ref="R7" si="2">O7-Q7</f>
        <v>0</v>
      </c>
      <c r="S7" s="5">
        <f>MAX(N7,O7,Q7)</f>
        <v>2250</v>
      </c>
    </row>
    <row r="8" spans="2:19" x14ac:dyDescent="0.3">
      <c r="B8" t="s">
        <v>90</v>
      </c>
      <c r="C8" t="s">
        <v>91</v>
      </c>
      <c r="D8" s="3">
        <v>80</v>
      </c>
      <c r="E8" t="s">
        <v>81</v>
      </c>
      <c r="I8" t="s">
        <v>156</v>
      </c>
      <c r="J8" t="s">
        <v>134</v>
      </c>
      <c r="K8">
        <v>1885</v>
      </c>
      <c r="L8" t="s">
        <v>81</v>
      </c>
      <c r="M8" t="s">
        <v>134</v>
      </c>
      <c r="N8" s="21">
        <v>1885</v>
      </c>
      <c r="O8" s="21">
        <v>1885</v>
      </c>
      <c r="P8" s="3">
        <f t="shared" ref="P8:P53" si="3">N8-O8</f>
        <v>0</v>
      </c>
      <c r="Q8" s="3">
        <v>1885</v>
      </c>
      <c r="R8" s="3">
        <f t="shared" ref="R8:R53" si="4">O8-Q8</f>
        <v>0</v>
      </c>
      <c r="S8" s="5">
        <f t="shared" ref="S8:S53" si="5">MAX(N8,O8,Q8)</f>
        <v>1885</v>
      </c>
    </row>
    <row r="9" spans="2:19" x14ac:dyDescent="0.3">
      <c r="B9" t="s">
        <v>96</v>
      </c>
      <c r="C9" t="s">
        <v>97</v>
      </c>
      <c r="D9" s="3">
        <v>185.5</v>
      </c>
      <c r="E9" t="s">
        <v>81</v>
      </c>
      <c r="I9" t="s">
        <v>159</v>
      </c>
      <c r="J9" t="s">
        <v>138</v>
      </c>
      <c r="K9">
        <v>282.5</v>
      </c>
      <c r="L9" t="s">
        <v>81</v>
      </c>
      <c r="M9" t="s">
        <v>118</v>
      </c>
      <c r="N9" s="21">
        <v>1820</v>
      </c>
      <c r="O9" s="21">
        <v>1820</v>
      </c>
      <c r="P9" s="3">
        <f t="shared" si="3"/>
        <v>0</v>
      </c>
      <c r="Q9" s="3">
        <v>1820</v>
      </c>
      <c r="R9" s="3">
        <f t="shared" si="4"/>
        <v>0</v>
      </c>
      <c r="S9" s="5">
        <f t="shared" si="5"/>
        <v>1820</v>
      </c>
    </row>
    <row r="10" spans="2:19" x14ac:dyDescent="0.3">
      <c r="B10" t="s">
        <v>98</v>
      </c>
      <c r="C10" t="s">
        <v>99</v>
      </c>
      <c r="D10" s="3">
        <v>720</v>
      </c>
      <c r="E10" t="s">
        <v>81</v>
      </c>
      <c r="I10" t="s">
        <v>160</v>
      </c>
      <c r="J10" t="s">
        <v>106</v>
      </c>
      <c r="K10">
        <v>100</v>
      </c>
      <c r="L10" t="s">
        <v>81</v>
      </c>
      <c r="M10" t="s">
        <v>142</v>
      </c>
      <c r="N10" s="21">
        <v>1404</v>
      </c>
      <c r="O10" s="21">
        <v>1404</v>
      </c>
      <c r="P10" s="3">
        <f t="shared" si="3"/>
        <v>0</v>
      </c>
      <c r="Q10" s="3">
        <v>1404</v>
      </c>
      <c r="R10" s="3">
        <f t="shared" si="4"/>
        <v>0</v>
      </c>
      <c r="S10" s="5">
        <f t="shared" si="5"/>
        <v>1404</v>
      </c>
    </row>
    <row r="11" spans="2:19" x14ac:dyDescent="0.3">
      <c r="B11" t="s">
        <v>100</v>
      </c>
      <c r="C11" t="s">
        <v>101</v>
      </c>
      <c r="D11" s="3">
        <v>285</v>
      </c>
      <c r="E11" t="s">
        <v>81</v>
      </c>
      <c r="I11" t="s">
        <v>161</v>
      </c>
      <c r="J11" t="s">
        <v>98</v>
      </c>
      <c r="K11">
        <v>720</v>
      </c>
      <c r="L11" t="s">
        <v>81</v>
      </c>
      <c r="M11" t="s">
        <v>110</v>
      </c>
      <c r="N11" s="21">
        <v>929</v>
      </c>
      <c r="O11" s="21">
        <v>929</v>
      </c>
      <c r="P11" s="3">
        <f t="shared" si="3"/>
        <v>0</v>
      </c>
      <c r="Q11" s="3">
        <v>929</v>
      </c>
      <c r="R11" s="3">
        <f t="shared" si="4"/>
        <v>0</v>
      </c>
      <c r="S11" s="5">
        <f t="shared" si="5"/>
        <v>929</v>
      </c>
    </row>
    <row r="12" spans="2:19" x14ac:dyDescent="0.3">
      <c r="B12" t="s">
        <v>102</v>
      </c>
      <c r="C12" t="s">
        <v>103</v>
      </c>
      <c r="D12" s="3">
        <v>120</v>
      </c>
      <c r="E12" t="s">
        <v>81</v>
      </c>
      <c r="I12" t="s">
        <v>162</v>
      </c>
      <c r="J12" t="s">
        <v>142</v>
      </c>
      <c r="K12">
        <v>576</v>
      </c>
      <c r="L12" t="s">
        <v>81</v>
      </c>
      <c r="M12" t="s">
        <v>223</v>
      </c>
      <c r="N12" s="21">
        <v>922</v>
      </c>
      <c r="O12" s="21">
        <v>922</v>
      </c>
      <c r="P12" s="3">
        <f t="shared" si="3"/>
        <v>0</v>
      </c>
      <c r="Q12" s="3">
        <v>922</v>
      </c>
      <c r="R12" s="3">
        <f t="shared" si="4"/>
        <v>0</v>
      </c>
      <c r="S12" s="5">
        <f t="shared" si="5"/>
        <v>922</v>
      </c>
    </row>
    <row r="13" spans="2:19" x14ac:dyDescent="0.3">
      <c r="B13" t="s">
        <v>104</v>
      </c>
      <c r="C13" t="s">
        <v>105</v>
      </c>
      <c r="D13" s="3">
        <v>600</v>
      </c>
      <c r="E13" t="s">
        <v>81</v>
      </c>
      <c r="I13" t="s">
        <v>163</v>
      </c>
      <c r="J13" t="s">
        <v>112</v>
      </c>
      <c r="K13">
        <v>350</v>
      </c>
      <c r="L13" t="s">
        <v>81</v>
      </c>
      <c r="M13" t="s">
        <v>112</v>
      </c>
      <c r="N13" s="21">
        <v>800</v>
      </c>
      <c r="O13" s="21">
        <v>800</v>
      </c>
      <c r="P13" s="3">
        <f t="shared" si="3"/>
        <v>0</v>
      </c>
      <c r="Q13" s="3">
        <v>800</v>
      </c>
      <c r="R13" s="3">
        <f t="shared" si="4"/>
        <v>0</v>
      </c>
      <c r="S13" s="5">
        <f t="shared" si="5"/>
        <v>800</v>
      </c>
    </row>
    <row r="14" spans="2:19" x14ac:dyDescent="0.3">
      <c r="B14" t="s">
        <v>108</v>
      </c>
      <c r="C14" t="s">
        <v>109</v>
      </c>
      <c r="D14" s="3">
        <v>100</v>
      </c>
      <c r="E14" t="s">
        <v>81</v>
      </c>
      <c r="I14" t="s">
        <v>165</v>
      </c>
      <c r="J14" t="s">
        <v>88</v>
      </c>
      <c r="K14">
        <v>275</v>
      </c>
      <c r="L14" t="s">
        <v>81</v>
      </c>
      <c r="M14" t="s">
        <v>98</v>
      </c>
      <c r="N14" s="21">
        <v>720</v>
      </c>
      <c r="O14" s="21">
        <v>720</v>
      </c>
      <c r="P14" s="3">
        <f t="shared" si="3"/>
        <v>0</v>
      </c>
      <c r="Q14" s="3">
        <v>720</v>
      </c>
      <c r="R14" s="3">
        <f t="shared" si="4"/>
        <v>0</v>
      </c>
      <c r="S14" s="5">
        <f t="shared" si="5"/>
        <v>720</v>
      </c>
    </row>
    <row r="15" spans="2:19" x14ac:dyDescent="0.3">
      <c r="B15" t="s">
        <v>110</v>
      </c>
      <c r="C15" t="s">
        <v>111</v>
      </c>
      <c r="D15" s="3">
        <v>929</v>
      </c>
      <c r="E15" t="s">
        <v>81</v>
      </c>
      <c r="I15" t="s">
        <v>166</v>
      </c>
      <c r="J15" t="s">
        <v>84</v>
      </c>
      <c r="K15">
        <v>100</v>
      </c>
      <c r="L15" t="s">
        <v>81</v>
      </c>
      <c r="M15" t="s">
        <v>82</v>
      </c>
      <c r="N15" s="21">
        <v>640</v>
      </c>
      <c r="O15" s="21">
        <v>640</v>
      </c>
      <c r="P15" s="3">
        <f t="shared" si="3"/>
        <v>0</v>
      </c>
      <c r="Q15" s="3">
        <v>640</v>
      </c>
      <c r="R15" s="3">
        <f t="shared" si="4"/>
        <v>0</v>
      </c>
      <c r="S15" s="5">
        <f t="shared" si="5"/>
        <v>640</v>
      </c>
    </row>
    <row r="16" spans="2:19" x14ac:dyDescent="0.3">
      <c r="B16" t="s">
        <v>112</v>
      </c>
      <c r="C16" t="s">
        <v>113</v>
      </c>
      <c r="D16" s="3">
        <v>800</v>
      </c>
      <c r="E16" t="s">
        <v>81</v>
      </c>
      <c r="I16" t="s">
        <v>167</v>
      </c>
      <c r="J16" t="s">
        <v>118</v>
      </c>
      <c r="K16">
        <v>1160</v>
      </c>
      <c r="L16" t="s">
        <v>81</v>
      </c>
      <c r="M16" t="s">
        <v>104</v>
      </c>
      <c r="N16" s="21">
        <v>600</v>
      </c>
      <c r="O16" s="21">
        <v>600</v>
      </c>
      <c r="P16" s="3">
        <f t="shared" si="3"/>
        <v>0</v>
      </c>
      <c r="Q16" s="3">
        <v>600</v>
      </c>
      <c r="R16" s="3">
        <f t="shared" si="4"/>
        <v>0</v>
      </c>
      <c r="S16" s="5">
        <f t="shared" si="5"/>
        <v>600</v>
      </c>
    </row>
    <row r="17" spans="2:19" x14ac:dyDescent="0.3">
      <c r="B17" t="s">
        <v>114</v>
      </c>
      <c r="C17" t="s">
        <v>115</v>
      </c>
      <c r="D17" s="3">
        <v>52.5</v>
      </c>
      <c r="E17" t="s">
        <v>81</v>
      </c>
      <c r="I17" t="s">
        <v>168</v>
      </c>
      <c r="J17" t="s">
        <v>104</v>
      </c>
      <c r="K17">
        <v>600</v>
      </c>
      <c r="L17" t="s">
        <v>81</v>
      </c>
      <c r="M17" t="s">
        <v>126</v>
      </c>
      <c r="N17" s="21">
        <v>600</v>
      </c>
      <c r="O17" s="21">
        <v>600</v>
      </c>
      <c r="P17" s="3">
        <f t="shared" si="3"/>
        <v>0</v>
      </c>
      <c r="Q17" s="3">
        <v>600</v>
      </c>
      <c r="R17" s="3">
        <f t="shared" si="4"/>
        <v>0</v>
      </c>
      <c r="S17" s="5">
        <f t="shared" si="5"/>
        <v>600</v>
      </c>
    </row>
    <row r="18" spans="2:19" x14ac:dyDescent="0.3">
      <c r="B18" t="s">
        <v>120</v>
      </c>
      <c r="C18" t="s">
        <v>121</v>
      </c>
      <c r="D18" s="3">
        <v>162.5</v>
      </c>
      <c r="E18" t="s">
        <v>81</v>
      </c>
      <c r="I18" t="s">
        <v>171</v>
      </c>
      <c r="J18" t="s">
        <v>120</v>
      </c>
      <c r="K18">
        <v>162.5</v>
      </c>
      <c r="L18" t="s">
        <v>81</v>
      </c>
      <c r="M18" t="s">
        <v>237</v>
      </c>
      <c r="N18" s="21">
        <v>490</v>
      </c>
      <c r="O18" s="21">
        <v>490</v>
      </c>
      <c r="P18" s="3">
        <f t="shared" si="3"/>
        <v>0</v>
      </c>
      <c r="Q18" s="3">
        <v>490</v>
      </c>
      <c r="R18" s="3">
        <f t="shared" si="4"/>
        <v>0</v>
      </c>
      <c r="S18" s="5">
        <f t="shared" si="5"/>
        <v>490</v>
      </c>
    </row>
    <row r="19" spans="2:19" x14ac:dyDescent="0.3">
      <c r="B19" t="s">
        <v>122</v>
      </c>
      <c r="C19" t="s">
        <v>123</v>
      </c>
      <c r="D19" s="3">
        <v>300</v>
      </c>
      <c r="E19" t="s">
        <v>81</v>
      </c>
      <c r="I19" t="s">
        <v>172</v>
      </c>
      <c r="J19" t="s">
        <v>142</v>
      </c>
      <c r="K19">
        <v>207</v>
      </c>
      <c r="L19" t="s">
        <v>81</v>
      </c>
      <c r="M19" t="s">
        <v>122</v>
      </c>
      <c r="N19" s="21">
        <v>300</v>
      </c>
      <c r="O19" s="21">
        <v>300</v>
      </c>
      <c r="P19" s="3">
        <f t="shared" si="3"/>
        <v>0</v>
      </c>
      <c r="Q19" s="3">
        <v>0</v>
      </c>
      <c r="R19" s="3">
        <f t="shared" si="4"/>
        <v>300</v>
      </c>
      <c r="S19" s="5">
        <f t="shared" si="5"/>
        <v>300</v>
      </c>
    </row>
    <row r="20" spans="2:19" x14ac:dyDescent="0.3">
      <c r="B20" t="s">
        <v>124</v>
      </c>
      <c r="C20" t="s">
        <v>125</v>
      </c>
      <c r="D20" s="3">
        <v>140</v>
      </c>
      <c r="E20" t="s">
        <v>81</v>
      </c>
      <c r="I20" t="s">
        <v>173</v>
      </c>
      <c r="J20" t="s">
        <v>82</v>
      </c>
      <c r="K20">
        <v>640</v>
      </c>
      <c r="L20" t="s">
        <v>81</v>
      </c>
      <c r="M20" t="s">
        <v>100</v>
      </c>
      <c r="N20" s="21">
        <v>285</v>
      </c>
      <c r="O20" s="21">
        <v>285</v>
      </c>
      <c r="P20" s="3">
        <f t="shared" si="3"/>
        <v>0</v>
      </c>
      <c r="Q20" s="3">
        <v>285</v>
      </c>
      <c r="R20" s="3">
        <f t="shared" si="4"/>
        <v>0</v>
      </c>
      <c r="S20" s="5">
        <f t="shared" si="5"/>
        <v>285</v>
      </c>
    </row>
    <row r="21" spans="2:19" x14ac:dyDescent="0.3">
      <c r="B21" t="s">
        <v>126</v>
      </c>
      <c r="C21" t="s">
        <v>127</v>
      </c>
      <c r="D21" s="3">
        <v>600</v>
      </c>
      <c r="E21" t="s">
        <v>81</v>
      </c>
      <c r="I21" t="s">
        <v>174</v>
      </c>
      <c r="J21" t="s">
        <v>100</v>
      </c>
      <c r="K21">
        <v>285</v>
      </c>
      <c r="L21" t="s">
        <v>81</v>
      </c>
      <c r="M21" t="s">
        <v>138</v>
      </c>
      <c r="N21" s="21">
        <v>282.5</v>
      </c>
      <c r="O21" s="21">
        <v>282.5</v>
      </c>
      <c r="P21" s="3">
        <f t="shared" si="3"/>
        <v>0</v>
      </c>
      <c r="Q21" s="3">
        <v>283</v>
      </c>
      <c r="R21" s="3">
        <f t="shared" si="4"/>
        <v>-0.5</v>
      </c>
      <c r="S21" s="5">
        <f t="shared" si="5"/>
        <v>283</v>
      </c>
    </row>
    <row r="22" spans="2:19" x14ac:dyDescent="0.3">
      <c r="B22" t="s">
        <v>134</v>
      </c>
      <c r="C22" t="s">
        <v>135</v>
      </c>
      <c r="D22" s="3">
        <v>1885</v>
      </c>
      <c r="E22" t="s">
        <v>81</v>
      </c>
      <c r="I22" t="s">
        <v>178</v>
      </c>
      <c r="J22" t="s">
        <v>241</v>
      </c>
      <c r="K22">
        <v>18</v>
      </c>
      <c r="L22" t="s">
        <v>81</v>
      </c>
      <c r="M22" t="s">
        <v>88</v>
      </c>
      <c r="N22" s="21">
        <v>275</v>
      </c>
      <c r="O22" s="21">
        <v>275</v>
      </c>
      <c r="P22" s="3">
        <f t="shared" si="3"/>
        <v>0</v>
      </c>
      <c r="Q22" s="3">
        <v>275</v>
      </c>
      <c r="R22" s="3">
        <f t="shared" si="4"/>
        <v>0</v>
      </c>
      <c r="S22" s="5">
        <f t="shared" si="5"/>
        <v>275</v>
      </c>
    </row>
    <row r="23" spans="2:19" x14ac:dyDescent="0.3">
      <c r="B23" t="s">
        <v>140</v>
      </c>
      <c r="C23" t="s">
        <v>141</v>
      </c>
      <c r="D23" s="3">
        <v>75</v>
      </c>
      <c r="E23" t="s">
        <v>81</v>
      </c>
      <c r="I23" t="s">
        <v>181</v>
      </c>
      <c r="J23" t="s">
        <v>116</v>
      </c>
      <c r="K23">
        <v>45</v>
      </c>
      <c r="L23" t="s">
        <v>81</v>
      </c>
      <c r="M23" t="s">
        <v>146</v>
      </c>
      <c r="N23" s="21">
        <v>230</v>
      </c>
      <c r="O23" s="21">
        <v>230</v>
      </c>
      <c r="P23" s="3">
        <f t="shared" si="3"/>
        <v>0</v>
      </c>
      <c r="Q23" s="3">
        <v>230</v>
      </c>
      <c r="R23" s="3">
        <f t="shared" si="4"/>
        <v>0</v>
      </c>
      <c r="S23" s="5">
        <f t="shared" si="5"/>
        <v>230</v>
      </c>
    </row>
    <row r="24" spans="2:19" x14ac:dyDescent="0.3">
      <c r="B24" t="s">
        <v>142</v>
      </c>
      <c r="C24" t="s">
        <v>143</v>
      </c>
      <c r="D24" s="3">
        <v>1404</v>
      </c>
      <c r="E24" t="s">
        <v>81</v>
      </c>
      <c r="I24" t="s">
        <v>182</v>
      </c>
      <c r="J24" t="s">
        <v>102</v>
      </c>
      <c r="K24">
        <v>120</v>
      </c>
      <c r="L24" t="s">
        <v>81</v>
      </c>
      <c r="M24" t="s">
        <v>227</v>
      </c>
      <c r="N24" s="21">
        <v>220</v>
      </c>
      <c r="O24" s="21">
        <v>220</v>
      </c>
      <c r="P24" s="3">
        <f t="shared" si="3"/>
        <v>0</v>
      </c>
      <c r="Q24" s="3">
        <v>220</v>
      </c>
      <c r="R24" s="3">
        <f t="shared" si="4"/>
        <v>0</v>
      </c>
      <c r="S24" s="5">
        <f t="shared" si="5"/>
        <v>220</v>
      </c>
    </row>
    <row r="25" spans="2:19" x14ac:dyDescent="0.3">
      <c r="B25" t="s">
        <v>144</v>
      </c>
      <c r="C25" t="s">
        <v>145</v>
      </c>
      <c r="D25" s="3">
        <v>30</v>
      </c>
      <c r="E25" t="s">
        <v>81</v>
      </c>
      <c r="I25" t="s">
        <v>183</v>
      </c>
      <c r="J25" t="s">
        <v>124</v>
      </c>
      <c r="K25">
        <v>140</v>
      </c>
      <c r="L25" t="s">
        <v>81</v>
      </c>
      <c r="M25" t="s">
        <v>130</v>
      </c>
      <c r="N25" s="21">
        <v>198</v>
      </c>
      <c r="O25" s="21">
        <v>198</v>
      </c>
      <c r="P25" s="3">
        <f t="shared" si="3"/>
        <v>0</v>
      </c>
      <c r="Q25" s="3">
        <v>198</v>
      </c>
      <c r="R25" s="3">
        <f t="shared" si="4"/>
        <v>0</v>
      </c>
      <c r="S25" s="5">
        <f t="shared" si="5"/>
        <v>198</v>
      </c>
    </row>
    <row r="26" spans="2:19" x14ac:dyDescent="0.3">
      <c r="B26" t="s">
        <v>146</v>
      </c>
      <c r="C26" t="s">
        <v>147</v>
      </c>
      <c r="D26" s="3">
        <v>230</v>
      </c>
      <c r="E26" t="s">
        <v>81</v>
      </c>
      <c r="I26" t="s">
        <v>184</v>
      </c>
      <c r="J26" t="s">
        <v>94</v>
      </c>
      <c r="K26">
        <v>60</v>
      </c>
      <c r="L26" t="s">
        <v>81</v>
      </c>
      <c r="M26" t="s">
        <v>96</v>
      </c>
      <c r="N26" s="21">
        <v>185.5</v>
      </c>
      <c r="O26" s="21">
        <v>186</v>
      </c>
      <c r="P26" s="3">
        <f t="shared" si="3"/>
        <v>-0.5</v>
      </c>
      <c r="Q26" s="3">
        <v>186</v>
      </c>
      <c r="R26" s="3">
        <f t="shared" si="4"/>
        <v>0</v>
      </c>
      <c r="S26" s="5">
        <f t="shared" si="5"/>
        <v>186</v>
      </c>
    </row>
    <row r="27" spans="2:19" x14ac:dyDescent="0.3">
      <c r="B27" t="s">
        <v>82</v>
      </c>
      <c r="C27" t="s">
        <v>83</v>
      </c>
      <c r="D27" s="3">
        <v>640</v>
      </c>
      <c r="E27" t="s">
        <v>81</v>
      </c>
      <c r="I27" t="s">
        <v>185</v>
      </c>
      <c r="J27" t="s">
        <v>110</v>
      </c>
      <c r="K27">
        <v>459</v>
      </c>
      <c r="L27" t="s">
        <v>81</v>
      </c>
      <c r="M27" t="s">
        <v>120</v>
      </c>
      <c r="N27" s="21">
        <v>162.5</v>
      </c>
      <c r="O27" s="21">
        <v>162.5</v>
      </c>
      <c r="P27" s="3">
        <f t="shared" si="3"/>
        <v>0</v>
      </c>
      <c r="Q27" s="3">
        <v>163</v>
      </c>
      <c r="R27" s="3">
        <f t="shared" si="4"/>
        <v>-0.5</v>
      </c>
      <c r="S27" s="5">
        <f t="shared" si="5"/>
        <v>163</v>
      </c>
    </row>
    <row r="28" spans="2:19" x14ac:dyDescent="0.3">
      <c r="B28" t="s">
        <v>84</v>
      </c>
      <c r="C28" t="s">
        <v>85</v>
      </c>
      <c r="D28" s="3">
        <v>100</v>
      </c>
      <c r="E28" t="s">
        <v>81</v>
      </c>
      <c r="I28" t="s">
        <v>186</v>
      </c>
      <c r="J28" t="s">
        <v>90</v>
      </c>
      <c r="K28">
        <v>80</v>
      </c>
      <c r="L28" t="s">
        <v>81</v>
      </c>
      <c r="M28" t="s">
        <v>124</v>
      </c>
      <c r="N28" s="21">
        <v>140</v>
      </c>
      <c r="O28" s="21">
        <v>140</v>
      </c>
      <c r="P28" s="3">
        <f t="shared" si="3"/>
        <v>0</v>
      </c>
      <c r="Q28" s="3">
        <v>140</v>
      </c>
      <c r="R28" s="3">
        <f t="shared" si="4"/>
        <v>0</v>
      </c>
      <c r="S28" s="5">
        <f t="shared" si="5"/>
        <v>140</v>
      </c>
    </row>
    <row r="29" spans="2:19" x14ac:dyDescent="0.3">
      <c r="B29" t="s">
        <v>88</v>
      </c>
      <c r="C29" t="s">
        <v>89</v>
      </c>
      <c r="D29" s="3">
        <v>275</v>
      </c>
      <c r="E29" t="s">
        <v>81</v>
      </c>
      <c r="I29" t="s">
        <v>188</v>
      </c>
      <c r="J29" t="s">
        <v>108</v>
      </c>
      <c r="K29">
        <v>100</v>
      </c>
      <c r="L29" t="s">
        <v>81</v>
      </c>
      <c r="M29" t="s">
        <v>102</v>
      </c>
      <c r="N29" s="21">
        <v>120</v>
      </c>
      <c r="O29" s="21">
        <v>120</v>
      </c>
      <c r="P29" s="3">
        <f t="shared" si="3"/>
        <v>0</v>
      </c>
      <c r="Q29" s="3">
        <v>120</v>
      </c>
      <c r="R29" s="3">
        <f t="shared" si="4"/>
        <v>0</v>
      </c>
      <c r="S29" s="5">
        <f t="shared" si="5"/>
        <v>120</v>
      </c>
    </row>
    <row r="30" spans="2:19" x14ac:dyDescent="0.3">
      <c r="B30" t="s">
        <v>92</v>
      </c>
      <c r="C30" t="s">
        <v>93</v>
      </c>
      <c r="D30" s="3">
        <v>100</v>
      </c>
      <c r="E30" t="s">
        <v>81</v>
      </c>
      <c r="I30" t="s">
        <v>191</v>
      </c>
      <c r="J30" t="s">
        <v>96</v>
      </c>
      <c r="K30">
        <v>186</v>
      </c>
      <c r="L30" t="s">
        <v>81</v>
      </c>
      <c r="M30" t="s">
        <v>136</v>
      </c>
      <c r="N30" s="21">
        <v>107.1</v>
      </c>
      <c r="O30" s="21">
        <v>107.1</v>
      </c>
      <c r="P30" s="3">
        <f t="shared" si="3"/>
        <v>0</v>
      </c>
      <c r="Q30" s="3">
        <v>107</v>
      </c>
      <c r="R30" s="3">
        <f t="shared" si="4"/>
        <v>9.9999999999994316E-2</v>
      </c>
      <c r="S30" s="5">
        <f t="shared" si="5"/>
        <v>107.1</v>
      </c>
    </row>
    <row r="31" spans="2:19" x14ac:dyDescent="0.3">
      <c r="B31" t="s">
        <v>94</v>
      </c>
      <c r="C31" t="s">
        <v>95</v>
      </c>
      <c r="D31" s="3">
        <v>60</v>
      </c>
      <c r="E31" t="s">
        <v>81</v>
      </c>
      <c r="I31" t="s">
        <v>192</v>
      </c>
      <c r="J31" t="s">
        <v>132</v>
      </c>
      <c r="K31">
        <v>90</v>
      </c>
      <c r="L31" t="s">
        <v>81</v>
      </c>
      <c r="M31" t="s">
        <v>108</v>
      </c>
      <c r="N31" s="21">
        <v>100</v>
      </c>
      <c r="O31" s="21">
        <v>100</v>
      </c>
      <c r="P31" s="3">
        <f t="shared" si="3"/>
        <v>0</v>
      </c>
      <c r="Q31" s="3">
        <v>100</v>
      </c>
      <c r="R31" s="3">
        <f t="shared" si="4"/>
        <v>0</v>
      </c>
      <c r="S31" s="5">
        <f t="shared" si="5"/>
        <v>100</v>
      </c>
    </row>
    <row r="32" spans="2:19" x14ac:dyDescent="0.3">
      <c r="B32" t="s">
        <v>106</v>
      </c>
      <c r="C32" t="s">
        <v>107</v>
      </c>
      <c r="D32" s="3">
        <v>100</v>
      </c>
      <c r="E32" t="s">
        <v>81</v>
      </c>
      <c r="I32" t="s">
        <v>193</v>
      </c>
      <c r="J32" t="s">
        <v>144</v>
      </c>
      <c r="K32">
        <v>30</v>
      </c>
      <c r="L32" t="s">
        <v>81</v>
      </c>
      <c r="M32" t="s">
        <v>106</v>
      </c>
      <c r="N32" s="21">
        <v>100</v>
      </c>
      <c r="O32" s="21">
        <v>100</v>
      </c>
      <c r="P32" s="3">
        <f t="shared" si="3"/>
        <v>0</v>
      </c>
      <c r="Q32" s="3">
        <v>100</v>
      </c>
      <c r="R32" s="3">
        <f t="shared" si="4"/>
        <v>0</v>
      </c>
      <c r="S32" s="5">
        <f t="shared" si="5"/>
        <v>100</v>
      </c>
    </row>
    <row r="33" spans="2:19" x14ac:dyDescent="0.3">
      <c r="B33" t="s">
        <v>116</v>
      </c>
      <c r="C33" t="s">
        <v>117</v>
      </c>
      <c r="D33" s="3">
        <v>45</v>
      </c>
      <c r="E33" t="s">
        <v>81</v>
      </c>
      <c r="I33" t="s">
        <v>194</v>
      </c>
      <c r="J33" t="s">
        <v>118</v>
      </c>
      <c r="K33">
        <v>660</v>
      </c>
      <c r="L33" t="s">
        <v>81</v>
      </c>
      <c r="M33" t="s">
        <v>84</v>
      </c>
      <c r="N33" s="21">
        <v>100</v>
      </c>
      <c r="O33" s="21">
        <v>100</v>
      </c>
      <c r="P33" s="3">
        <f t="shared" si="3"/>
        <v>0</v>
      </c>
      <c r="Q33" s="3">
        <v>0</v>
      </c>
      <c r="R33" s="3">
        <f t="shared" si="4"/>
        <v>100</v>
      </c>
      <c r="S33" s="5">
        <f t="shared" si="5"/>
        <v>100</v>
      </c>
    </row>
    <row r="34" spans="2:19" x14ac:dyDescent="0.3">
      <c r="B34" t="s">
        <v>118</v>
      </c>
      <c r="C34" t="s">
        <v>119</v>
      </c>
      <c r="D34" s="3">
        <v>1820</v>
      </c>
      <c r="E34" t="s">
        <v>81</v>
      </c>
      <c r="I34" t="s">
        <v>195</v>
      </c>
      <c r="J34" t="s">
        <v>112</v>
      </c>
      <c r="K34">
        <v>450</v>
      </c>
      <c r="L34" t="s">
        <v>81</v>
      </c>
      <c r="M34" t="s">
        <v>92</v>
      </c>
      <c r="N34" s="21">
        <v>100</v>
      </c>
      <c r="O34" s="21">
        <v>100</v>
      </c>
      <c r="P34" s="3">
        <f t="shared" si="3"/>
        <v>0</v>
      </c>
      <c r="Q34" s="3">
        <v>100</v>
      </c>
      <c r="R34" s="3">
        <f t="shared" si="4"/>
        <v>0</v>
      </c>
      <c r="S34" s="5">
        <f t="shared" si="5"/>
        <v>100</v>
      </c>
    </row>
    <row r="35" spans="2:19" x14ac:dyDescent="0.3">
      <c r="B35" t="s">
        <v>128</v>
      </c>
      <c r="C35" t="s">
        <v>129</v>
      </c>
      <c r="D35" s="3">
        <v>2250</v>
      </c>
      <c r="E35" t="s">
        <v>81</v>
      </c>
      <c r="I35" t="s">
        <v>196</v>
      </c>
      <c r="J35" t="s">
        <v>142</v>
      </c>
      <c r="K35">
        <v>189</v>
      </c>
      <c r="L35" t="s">
        <v>81</v>
      </c>
      <c r="M35" t="s">
        <v>132</v>
      </c>
      <c r="N35" s="21">
        <v>90</v>
      </c>
      <c r="O35" s="21">
        <v>90</v>
      </c>
      <c r="P35" s="3">
        <f t="shared" si="3"/>
        <v>0</v>
      </c>
      <c r="Q35" s="3">
        <v>0</v>
      </c>
      <c r="R35" s="3">
        <f t="shared" si="4"/>
        <v>90</v>
      </c>
      <c r="S35" s="5">
        <f t="shared" si="5"/>
        <v>90</v>
      </c>
    </row>
    <row r="36" spans="2:19" x14ac:dyDescent="0.3">
      <c r="B36" t="s">
        <v>130</v>
      </c>
      <c r="C36" t="s">
        <v>131</v>
      </c>
      <c r="D36" s="3">
        <v>198</v>
      </c>
      <c r="E36" t="s">
        <v>81</v>
      </c>
      <c r="I36" t="s">
        <v>198</v>
      </c>
      <c r="J36" t="s">
        <v>92</v>
      </c>
      <c r="K36">
        <v>100</v>
      </c>
      <c r="L36" t="s">
        <v>81</v>
      </c>
      <c r="M36" t="s">
        <v>86</v>
      </c>
      <c r="N36" s="21">
        <v>84</v>
      </c>
      <c r="O36" s="21">
        <v>84</v>
      </c>
      <c r="P36" s="3">
        <f t="shared" si="3"/>
        <v>0</v>
      </c>
      <c r="Q36" s="3">
        <v>84</v>
      </c>
      <c r="R36" s="3">
        <f t="shared" si="4"/>
        <v>0</v>
      </c>
      <c r="S36" s="5">
        <f t="shared" si="5"/>
        <v>84</v>
      </c>
    </row>
    <row r="37" spans="2:19" x14ac:dyDescent="0.3">
      <c r="B37" t="s">
        <v>132</v>
      </c>
      <c r="C37" t="s">
        <v>133</v>
      </c>
      <c r="D37" s="3">
        <v>90</v>
      </c>
      <c r="E37" t="s">
        <v>81</v>
      </c>
      <c r="I37" t="s">
        <v>199</v>
      </c>
      <c r="J37" t="s">
        <v>122</v>
      </c>
      <c r="K37">
        <v>300</v>
      </c>
      <c r="L37" t="s">
        <v>81</v>
      </c>
      <c r="M37" t="s">
        <v>90</v>
      </c>
      <c r="N37" s="21">
        <v>80</v>
      </c>
      <c r="O37" s="21">
        <v>80</v>
      </c>
      <c r="P37" s="3">
        <f t="shared" si="3"/>
        <v>0</v>
      </c>
      <c r="Q37" s="3">
        <v>80</v>
      </c>
      <c r="R37" s="3">
        <f t="shared" si="4"/>
        <v>0</v>
      </c>
      <c r="S37" s="5">
        <f t="shared" si="5"/>
        <v>80</v>
      </c>
    </row>
    <row r="38" spans="2:19" x14ac:dyDescent="0.3">
      <c r="B38" t="s">
        <v>136</v>
      </c>
      <c r="C38" t="s">
        <v>137</v>
      </c>
      <c r="D38" s="3">
        <v>107.1</v>
      </c>
      <c r="E38" t="s">
        <v>81</v>
      </c>
      <c r="I38" t="s">
        <v>202</v>
      </c>
      <c r="J38" t="s">
        <v>110</v>
      </c>
      <c r="K38">
        <v>470</v>
      </c>
      <c r="L38" t="s">
        <v>81</v>
      </c>
      <c r="M38" t="s">
        <v>245</v>
      </c>
      <c r="N38" s="21">
        <v>80</v>
      </c>
      <c r="O38" s="21">
        <v>79.999999999999986</v>
      </c>
      <c r="P38" s="3">
        <f t="shared" si="3"/>
        <v>0</v>
      </c>
      <c r="Q38" s="3">
        <v>80</v>
      </c>
      <c r="R38" s="3">
        <f t="shared" si="4"/>
        <v>0</v>
      </c>
      <c r="S38" s="5">
        <f t="shared" si="5"/>
        <v>80</v>
      </c>
    </row>
    <row r="39" spans="2:19" x14ac:dyDescent="0.3">
      <c r="B39" t="s">
        <v>138</v>
      </c>
      <c r="C39" t="s">
        <v>139</v>
      </c>
      <c r="D39" s="3">
        <v>282.5</v>
      </c>
      <c r="E39" t="s">
        <v>81</v>
      </c>
      <c r="I39" t="s">
        <v>203</v>
      </c>
      <c r="J39" t="s">
        <v>140</v>
      </c>
      <c r="K39">
        <v>75</v>
      </c>
      <c r="L39" t="s">
        <v>81</v>
      </c>
      <c r="M39" t="s">
        <v>140</v>
      </c>
      <c r="N39" s="21">
        <v>75</v>
      </c>
      <c r="O39" s="21">
        <v>75</v>
      </c>
      <c r="P39" s="3">
        <f t="shared" si="3"/>
        <v>0</v>
      </c>
      <c r="Q39" s="3">
        <v>0</v>
      </c>
      <c r="R39" s="3">
        <f t="shared" si="4"/>
        <v>75</v>
      </c>
      <c r="S39" s="5">
        <f t="shared" si="5"/>
        <v>75</v>
      </c>
    </row>
    <row r="40" spans="2:19" x14ac:dyDescent="0.3">
      <c r="B40" t="s">
        <v>223</v>
      </c>
      <c r="C40" t="s">
        <v>224</v>
      </c>
      <c r="D40">
        <v>348.5</v>
      </c>
      <c r="E40" t="s">
        <v>247</v>
      </c>
      <c r="I40" t="s">
        <v>204</v>
      </c>
      <c r="J40" t="s">
        <v>130</v>
      </c>
      <c r="K40">
        <v>81</v>
      </c>
      <c r="L40" t="s">
        <v>81</v>
      </c>
      <c r="M40" t="s">
        <v>231</v>
      </c>
      <c r="N40" s="21">
        <v>120</v>
      </c>
      <c r="O40" s="21">
        <v>60</v>
      </c>
      <c r="P40" s="3">
        <f t="shared" si="3"/>
        <v>60</v>
      </c>
      <c r="Q40" s="3">
        <v>120</v>
      </c>
      <c r="R40" s="3">
        <f t="shared" si="4"/>
        <v>-60</v>
      </c>
      <c r="S40" s="5">
        <f t="shared" si="5"/>
        <v>120</v>
      </c>
    </row>
    <row r="41" spans="2:19" x14ac:dyDescent="0.3">
      <c r="B41" t="s">
        <v>225</v>
      </c>
      <c r="C41" t="s">
        <v>226</v>
      </c>
      <c r="D41">
        <v>30</v>
      </c>
      <c r="E41" t="s">
        <v>247</v>
      </c>
      <c r="I41" t="s">
        <v>206</v>
      </c>
      <c r="J41" t="s">
        <v>142</v>
      </c>
      <c r="K41">
        <v>432</v>
      </c>
      <c r="L41" t="s">
        <v>81</v>
      </c>
      <c r="M41" t="s">
        <v>243</v>
      </c>
      <c r="N41" s="21">
        <v>75</v>
      </c>
      <c r="O41" s="21">
        <v>75</v>
      </c>
      <c r="P41" s="3">
        <f t="shared" si="3"/>
        <v>0</v>
      </c>
      <c r="Q41" s="3">
        <v>75</v>
      </c>
      <c r="R41" s="3">
        <f t="shared" si="4"/>
        <v>0</v>
      </c>
      <c r="S41" s="5">
        <f t="shared" si="5"/>
        <v>75</v>
      </c>
    </row>
    <row r="42" spans="2:19" x14ac:dyDescent="0.3">
      <c r="B42" t="s">
        <v>227</v>
      </c>
      <c r="C42" t="s">
        <v>228</v>
      </c>
      <c r="D42">
        <v>27.5</v>
      </c>
      <c r="E42" t="s">
        <v>247</v>
      </c>
      <c r="I42" t="s">
        <v>207</v>
      </c>
      <c r="J42" t="s">
        <v>136</v>
      </c>
      <c r="K42">
        <v>107.1</v>
      </c>
      <c r="L42" t="s">
        <v>81</v>
      </c>
      <c r="M42" t="s">
        <v>114</v>
      </c>
      <c r="N42" s="21">
        <v>52.5</v>
      </c>
      <c r="O42" s="21">
        <v>52.5</v>
      </c>
      <c r="P42" s="3">
        <f t="shared" si="3"/>
        <v>0</v>
      </c>
      <c r="Q42" s="3">
        <v>53</v>
      </c>
      <c r="R42" s="3">
        <f t="shared" si="4"/>
        <v>-0.5</v>
      </c>
      <c r="S42" s="5">
        <f t="shared" si="5"/>
        <v>53</v>
      </c>
    </row>
    <row r="43" spans="2:19" x14ac:dyDescent="0.3">
      <c r="B43" t="s">
        <v>227</v>
      </c>
      <c r="C43" t="s">
        <v>228</v>
      </c>
      <c r="D43">
        <v>67.5</v>
      </c>
      <c r="E43" t="s">
        <v>247</v>
      </c>
      <c r="I43" t="s">
        <v>208</v>
      </c>
      <c r="J43" t="s">
        <v>114</v>
      </c>
      <c r="K43">
        <v>52.5</v>
      </c>
      <c r="L43" t="s">
        <v>81</v>
      </c>
      <c r="M43" t="s">
        <v>225</v>
      </c>
      <c r="N43" s="21">
        <v>46</v>
      </c>
      <c r="O43" s="21">
        <v>46</v>
      </c>
      <c r="P43" s="3">
        <f t="shared" si="3"/>
        <v>0</v>
      </c>
      <c r="Q43" s="3">
        <v>46</v>
      </c>
      <c r="R43" s="3">
        <f t="shared" si="4"/>
        <v>0</v>
      </c>
      <c r="S43" s="5">
        <f t="shared" si="5"/>
        <v>46</v>
      </c>
    </row>
    <row r="44" spans="2:19" x14ac:dyDescent="0.3">
      <c r="B44" t="s">
        <v>223</v>
      </c>
      <c r="C44" t="s">
        <v>224</v>
      </c>
      <c r="D44">
        <v>573.5</v>
      </c>
      <c r="E44" t="s">
        <v>247</v>
      </c>
      <c r="I44" t="s">
        <v>209</v>
      </c>
      <c r="J44" t="s">
        <v>146</v>
      </c>
      <c r="K44">
        <v>230</v>
      </c>
      <c r="L44" t="s">
        <v>81</v>
      </c>
      <c r="M44" t="s">
        <v>116</v>
      </c>
      <c r="N44" s="21">
        <v>45</v>
      </c>
      <c r="O44" s="21">
        <v>45</v>
      </c>
      <c r="P44" s="3">
        <f t="shared" si="3"/>
        <v>0</v>
      </c>
      <c r="Q44" s="3">
        <v>45</v>
      </c>
      <c r="R44" s="3">
        <f t="shared" si="4"/>
        <v>0</v>
      </c>
      <c r="S44" s="5">
        <f t="shared" si="5"/>
        <v>45</v>
      </c>
    </row>
    <row r="45" spans="2:19" x14ac:dyDescent="0.3">
      <c r="B45" t="s">
        <v>229</v>
      </c>
      <c r="C45" t="s">
        <v>230</v>
      </c>
      <c r="D45">
        <v>10.5</v>
      </c>
      <c r="E45" t="s">
        <v>247</v>
      </c>
      <c r="I45" t="s">
        <v>212</v>
      </c>
      <c r="J45" t="s">
        <v>130</v>
      </c>
      <c r="K45">
        <v>63</v>
      </c>
      <c r="L45" t="s">
        <v>81</v>
      </c>
      <c r="M45" t="s">
        <v>144</v>
      </c>
      <c r="N45" s="21">
        <v>30</v>
      </c>
      <c r="O45" s="21">
        <v>30</v>
      </c>
      <c r="P45" s="3">
        <f t="shared" si="3"/>
        <v>0</v>
      </c>
      <c r="Q45" s="3">
        <v>30</v>
      </c>
      <c r="R45" s="3">
        <f t="shared" si="4"/>
        <v>0</v>
      </c>
      <c r="S45" s="5">
        <f t="shared" si="5"/>
        <v>30</v>
      </c>
    </row>
    <row r="46" spans="2:19" x14ac:dyDescent="0.3">
      <c r="B46" t="s">
        <v>231</v>
      </c>
      <c r="C46" t="s">
        <v>232</v>
      </c>
      <c r="D46">
        <v>60</v>
      </c>
      <c r="E46" t="s">
        <v>247</v>
      </c>
      <c r="I46" t="s">
        <v>213</v>
      </c>
      <c r="J46" t="s">
        <v>86</v>
      </c>
      <c r="K46">
        <v>84</v>
      </c>
      <c r="L46" t="s">
        <v>81</v>
      </c>
      <c r="M46" t="s">
        <v>233</v>
      </c>
      <c r="N46" s="21">
        <v>30</v>
      </c>
      <c r="O46" s="21">
        <v>30</v>
      </c>
      <c r="P46" s="3">
        <f t="shared" si="3"/>
        <v>0</v>
      </c>
      <c r="Q46" s="3">
        <v>30</v>
      </c>
      <c r="R46" s="3">
        <f t="shared" si="4"/>
        <v>0</v>
      </c>
      <c r="S46" s="5">
        <f t="shared" si="5"/>
        <v>30</v>
      </c>
    </row>
    <row r="47" spans="2:19" x14ac:dyDescent="0.3">
      <c r="B47" t="s">
        <v>233</v>
      </c>
      <c r="C47" t="s">
        <v>234</v>
      </c>
      <c r="D47">
        <v>30</v>
      </c>
      <c r="E47" t="s">
        <v>247</v>
      </c>
      <c r="I47" t="s">
        <v>214</v>
      </c>
      <c r="J47" t="s">
        <v>126</v>
      </c>
      <c r="K47">
        <v>600</v>
      </c>
      <c r="L47" t="s">
        <v>81</v>
      </c>
      <c r="M47" t="s">
        <v>239</v>
      </c>
      <c r="N47" s="21">
        <v>22.5</v>
      </c>
      <c r="O47" s="21">
        <v>22.5</v>
      </c>
      <c r="P47" s="3">
        <f t="shared" si="3"/>
        <v>0</v>
      </c>
      <c r="Q47" s="3">
        <v>23</v>
      </c>
      <c r="R47" s="3">
        <f t="shared" si="4"/>
        <v>-0.5</v>
      </c>
      <c r="S47" s="5">
        <f t="shared" si="5"/>
        <v>23</v>
      </c>
    </row>
    <row r="48" spans="2:19" x14ac:dyDescent="0.3">
      <c r="B48" t="s">
        <v>235</v>
      </c>
      <c r="C48" t="s">
        <v>236</v>
      </c>
      <c r="D48">
        <v>6</v>
      </c>
      <c r="E48" t="s">
        <v>247</v>
      </c>
      <c r="I48" t="s">
        <v>215</v>
      </c>
      <c r="J48" t="s">
        <v>130</v>
      </c>
      <c r="K48">
        <v>54</v>
      </c>
      <c r="L48" t="s">
        <v>81</v>
      </c>
      <c r="M48" t="s">
        <v>235</v>
      </c>
      <c r="N48" s="21">
        <v>22</v>
      </c>
      <c r="O48" s="21">
        <v>22</v>
      </c>
      <c r="P48" s="3">
        <f t="shared" si="3"/>
        <v>0</v>
      </c>
      <c r="Q48" s="3">
        <v>22</v>
      </c>
      <c r="R48" s="3">
        <f t="shared" si="4"/>
        <v>0</v>
      </c>
      <c r="S48" s="5">
        <f t="shared" si="5"/>
        <v>22</v>
      </c>
    </row>
    <row r="49" spans="2:19" x14ac:dyDescent="0.3">
      <c r="B49" t="s">
        <v>237</v>
      </c>
      <c r="C49" t="s">
        <v>238</v>
      </c>
      <c r="D49">
        <v>24</v>
      </c>
      <c r="E49" t="s">
        <v>247</v>
      </c>
      <c r="I49" t="s">
        <v>152</v>
      </c>
      <c r="K49">
        <v>10</v>
      </c>
      <c r="L49" t="s">
        <v>47</v>
      </c>
      <c r="M49" t="s">
        <v>229</v>
      </c>
      <c r="N49" s="21">
        <v>10.5</v>
      </c>
      <c r="O49" s="21">
        <v>10.5</v>
      </c>
      <c r="P49" s="3">
        <f t="shared" si="3"/>
        <v>0</v>
      </c>
      <c r="Q49" s="3">
        <v>11</v>
      </c>
      <c r="R49" s="3">
        <f t="shared" si="4"/>
        <v>-0.5</v>
      </c>
      <c r="S49" s="5">
        <f t="shared" si="5"/>
        <v>11</v>
      </c>
    </row>
    <row r="50" spans="2:19" x14ac:dyDescent="0.3">
      <c r="B50" t="s">
        <v>237</v>
      </c>
      <c r="C50" t="s">
        <v>238</v>
      </c>
      <c r="D50">
        <v>36</v>
      </c>
      <c r="E50" t="s">
        <v>247</v>
      </c>
      <c r="I50" t="s">
        <v>153</v>
      </c>
      <c r="J50" t="s">
        <v>223</v>
      </c>
      <c r="K50">
        <v>348.5</v>
      </c>
      <c r="L50" t="s">
        <v>47</v>
      </c>
      <c r="M50" t="s">
        <v>241</v>
      </c>
      <c r="N50" s="21">
        <v>18</v>
      </c>
      <c r="O50" s="21">
        <v>36</v>
      </c>
      <c r="P50" s="3">
        <f t="shared" si="3"/>
        <v>-18</v>
      </c>
      <c r="Q50" s="3">
        <v>36</v>
      </c>
      <c r="R50" s="3">
        <f t="shared" si="4"/>
        <v>0</v>
      </c>
      <c r="S50" s="5">
        <f t="shared" si="5"/>
        <v>36</v>
      </c>
    </row>
    <row r="51" spans="2:19" x14ac:dyDescent="0.3">
      <c r="B51" t="s">
        <v>239</v>
      </c>
      <c r="C51" t="s">
        <v>240</v>
      </c>
      <c r="D51">
        <v>10</v>
      </c>
      <c r="E51" t="s">
        <v>247</v>
      </c>
      <c r="I51" t="s">
        <v>155</v>
      </c>
      <c r="J51" t="s">
        <v>225</v>
      </c>
      <c r="K51">
        <v>30</v>
      </c>
      <c r="L51" t="s">
        <v>47</v>
      </c>
      <c r="M51" t="s">
        <v>94</v>
      </c>
      <c r="N51" s="21">
        <v>60</v>
      </c>
      <c r="O51" s="21">
        <v>60</v>
      </c>
      <c r="P51" s="3">
        <f t="shared" si="3"/>
        <v>0</v>
      </c>
      <c r="Q51" s="3">
        <v>60</v>
      </c>
      <c r="R51" s="3">
        <f t="shared" si="4"/>
        <v>0</v>
      </c>
      <c r="S51" s="5">
        <f t="shared" si="5"/>
        <v>60</v>
      </c>
    </row>
    <row r="52" spans="2:19" x14ac:dyDescent="0.3">
      <c r="B52" t="s">
        <v>241</v>
      </c>
      <c r="C52" t="s">
        <v>242</v>
      </c>
      <c r="D52">
        <v>18</v>
      </c>
      <c r="E52" t="s">
        <v>247</v>
      </c>
      <c r="I52" t="s">
        <v>157</v>
      </c>
      <c r="K52">
        <v>122.23</v>
      </c>
      <c r="L52" t="s">
        <v>47</v>
      </c>
      <c r="M52" t="s">
        <v>152</v>
      </c>
      <c r="N52" s="21"/>
      <c r="O52" s="21">
        <v>10</v>
      </c>
      <c r="P52" s="3">
        <f t="shared" si="3"/>
        <v>-10</v>
      </c>
      <c r="Q52" s="3">
        <v>0</v>
      </c>
      <c r="R52" s="3">
        <f t="shared" si="4"/>
        <v>10</v>
      </c>
      <c r="S52" s="5">
        <f t="shared" si="5"/>
        <v>10</v>
      </c>
    </row>
    <row r="53" spans="2:19" x14ac:dyDescent="0.3">
      <c r="B53" t="s">
        <v>243</v>
      </c>
      <c r="C53" t="s">
        <v>244</v>
      </c>
      <c r="D53">
        <v>30</v>
      </c>
      <c r="E53" t="s">
        <v>247</v>
      </c>
      <c r="I53" t="s">
        <v>158</v>
      </c>
      <c r="J53" t="s">
        <v>223</v>
      </c>
      <c r="K53">
        <v>573.5</v>
      </c>
      <c r="L53" t="s">
        <v>47</v>
      </c>
      <c r="M53" t="s">
        <v>205</v>
      </c>
      <c r="N53" s="21"/>
      <c r="O53" s="21">
        <f>122.22+122.23</f>
        <v>244.45</v>
      </c>
      <c r="P53" s="3">
        <f t="shared" si="3"/>
        <v>-244.45</v>
      </c>
      <c r="Q53" s="3">
        <v>0</v>
      </c>
      <c r="R53" s="3">
        <f t="shared" si="4"/>
        <v>244.45</v>
      </c>
      <c r="S53" s="5">
        <f t="shared" si="5"/>
        <v>244.45</v>
      </c>
    </row>
    <row r="54" spans="2:19" x14ac:dyDescent="0.3">
      <c r="B54" t="s">
        <v>245</v>
      </c>
      <c r="C54" t="s">
        <v>246</v>
      </c>
      <c r="D54">
        <v>80</v>
      </c>
      <c r="E54" t="s">
        <v>247</v>
      </c>
      <c r="I54" t="s">
        <v>164</v>
      </c>
      <c r="J54" t="s">
        <v>229</v>
      </c>
      <c r="K54">
        <v>10.5</v>
      </c>
      <c r="L54" t="s">
        <v>47</v>
      </c>
    </row>
    <row r="55" spans="2:19" x14ac:dyDescent="0.3">
      <c r="B55" t="s">
        <v>235</v>
      </c>
      <c r="C55" t="s">
        <v>236</v>
      </c>
      <c r="D55">
        <v>4</v>
      </c>
      <c r="E55" t="s">
        <v>247</v>
      </c>
      <c r="I55" t="s">
        <v>169</v>
      </c>
      <c r="J55" t="s">
        <v>231</v>
      </c>
      <c r="K55">
        <v>60</v>
      </c>
      <c r="L55" t="s">
        <v>47</v>
      </c>
    </row>
    <row r="56" spans="2:19" x14ac:dyDescent="0.3">
      <c r="B56" t="s">
        <v>225</v>
      </c>
      <c r="C56" t="s">
        <v>226</v>
      </c>
      <c r="D56">
        <v>16</v>
      </c>
      <c r="E56" t="s">
        <v>247</v>
      </c>
      <c r="I56" t="s">
        <v>170</v>
      </c>
      <c r="J56" t="s">
        <v>233</v>
      </c>
      <c r="K56">
        <v>30</v>
      </c>
      <c r="L56" t="s">
        <v>47</v>
      </c>
    </row>
    <row r="57" spans="2:19" x14ac:dyDescent="0.3">
      <c r="B57" t="s">
        <v>235</v>
      </c>
      <c r="C57" t="s">
        <v>236</v>
      </c>
      <c r="D57">
        <v>6</v>
      </c>
      <c r="E57" t="s">
        <v>247</v>
      </c>
      <c r="I57" t="s">
        <v>175</v>
      </c>
      <c r="J57" t="s">
        <v>227</v>
      </c>
      <c r="K57">
        <v>95</v>
      </c>
      <c r="L57" t="s">
        <v>47</v>
      </c>
    </row>
    <row r="58" spans="2:19" x14ac:dyDescent="0.3">
      <c r="B58" t="s">
        <v>243</v>
      </c>
      <c r="C58" t="s">
        <v>244</v>
      </c>
      <c r="D58">
        <v>45</v>
      </c>
      <c r="E58" t="s">
        <v>247</v>
      </c>
      <c r="I58" t="s">
        <v>176</v>
      </c>
      <c r="J58" t="s">
        <v>235</v>
      </c>
      <c r="K58">
        <v>6</v>
      </c>
      <c r="L58" t="s">
        <v>47</v>
      </c>
    </row>
    <row r="59" spans="2:19" x14ac:dyDescent="0.3">
      <c r="B59" t="s">
        <v>237</v>
      </c>
      <c r="C59" t="s">
        <v>238</v>
      </c>
      <c r="D59">
        <v>190</v>
      </c>
      <c r="E59" t="s">
        <v>247</v>
      </c>
      <c r="I59" t="s">
        <v>177</v>
      </c>
      <c r="J59" t="s">
        <v>237</v>
      </c>
      <c r="K59">
        <v>24</v>
      </c>
      <c r="L59" t="s">
        <v>47</v>
      </c>
    </row>
    <row r="60" spans="2:19" x14ac:dyDescent="0.3">
      <c r="B60" t="s">
        <v>239</v>
      </c>
      <c r="C60" t="s">
        <v>240</v>
      </c>
      <c r="D60">
        <v>12.5</v>
      </c>
      <c r="E60" t="s">
        <v>247</v>
      </c>
      <c r="I60" t="s">
        <v>179</v>
      </c>
      <c r="J60" t="s">
        <v>241</v>
      </c>
      <c r="K60">
        <v>18</v>
      </c>
      <c r="L60" t="s">
        <v>47</v>
      </c>
    </row>
    <row r="61" spans="2:19" x14ac:dyDescent="0.3">
      <c r="B61" t="s">
        <v>235</v>
      </c>
      <c r="C61" t="s">
        <v>236</v>
      </c>
      <c r="D61">
        <v>6</v>
      </c>
      <c r="E61" t="s">
        <v>247</v>
      </c>
      <c r="I61" t="s">
        <v>180</v>
      </c>
      <c r="J61" t="s">
        <v>237</v>
      </c>
      <c r="K61">
        <v>36</v>
      </c>
      <c r="L61" t="s">
        <v>47</v>
      </c>
    </row>
    <row r="62" spans="2:19" x14ac:dyDescent="0.3">
      <c r="B62" t="s">
        <v>227</v>
      </c>
      <c r="C62" t="s">
        <v>228</v>
      </c>
      <c r="D62">
        <v>125</v>
      </c>
      <c r="E62" t="s">
        <v>247</v>
      </c>
      <c r="I62" t="s">
        <v>187</v>
      </c>
      <c r="J62" t="s">
        <v>245</v>
      </c>
      <c r="K62">
        <v>80</v>
      </c>
      <c r="L62" t="s">
        <v>47</v>
      </c>
    </row>
    <row r="63" spans="2:19" x14ac:dyDescent="0.3">
      <c r="B63" t="s">
        <v>237</v>
      </c>
      <c r="C63" t="s">
        <v>238</v>
      </c>
      <c r="D63">
        <v>240</v>
      </c>
      <c r="E63" t="s">
        <v>247</v>
      </c>
      <c r="I63" t="s">
        <v>189</v>
      </c>
      <c r="J63" t="s">
        <v>239</v>
      </c>
      <c r="K63">
        <v>10</v>
      </c>
      <c r="L63" t="s">
        <v>47</v>
      </c>
    </row>
    <row r="64" spans="2:19" x14ac:dyDescent="0.3">
      <c r="B64" t="s">
        <v>231</v>
      </c>
      <c r="C64" t="s">
        <v>232</v>
      </c>
      <c r="D64">
        <v>60</v>
      </c>
      <c r="E64" t="s">
        <v>247</v>
      </c>
      <c r="I64" t="s">
        <v>190</v>
      </c>
      <c r="J64" t="s">
        <v>243</v>
      </c>
      <c r="K64">
        <v>30</v>
      </c>
      <c r="L64" t="s">
        <v>47</v>
      </c>
    </row>
    <row r="65" spans="9:12" x14ac:dyDescent="0.3">
      <c r="I65" t="s">
        <v>176</v>
      </c>
      <c r="J65" t="s">
        <v>235</v>
      </c>
      <c r="K65">
        <v>4</v>
      </c>
      <c r="L65" t="s">
        <v>47</v>
      </c>
    </row>
    <row r="66" spans="9:12" x14ac:dyDescent="0.3">
      <c r="I66" t="s">
        <v>197</v>
      </c>
      <c r="J66" t="s">
        <v>225</v>
      </c>
      <c r="K66">
        <v>16</v>
      </c>
      <c r="L66" t="s">
        <v>47</v>
      </c>
    </row>
    <row r="67" spans="9:12" x14ac:dyDescent="0.3">
      <c r="I67" t="s">
        <v>176</v>
      </c>
      <c r="J67" t="s">
        <v>235</v>
      </c>
      <c r="K67">
        <v>6</v>
      </c>
      <c r="L67" t="s">
        <v>47</v>
      </c>
    </row>
    <row r="68" spans="9:12" x14ac:dyDescent="0.3">
      <c r="I68" t="s">
        <v>200</v>
      </c>
      <c r="J68" t="s">
        <v>237</v>
      </c>
      <c r="K68">
        <v>190</v>
      </c>
      <c r="L68" t="s">
        <v>47</v>
      </c>
    </row>
    <row r="69" spans="9:12" x14ac:dyDescent="0.3">
      <c r="I69" t="s">
        <v>201</v>
      </c>
      <c r="J69" t="s">
        <v>243</v>
      </c>
      <c r="K69">
        <v>45</v>
      </c>
      <c r="L69" t="s">
        <v>47</v>
      </c>
    </row>
    <row r="70" spans="9:12" x14ac:dyDescent="0.3">
      <c r="I70" t="s">
        <v>189</v>
      </c>
      <c r="J70" t="s">
        <v>239</v>
      </c>
      <c r="K70">
        <v>12.5</v>
      </c>
      <c r="L70" t="s">
        <v>47</v>
      </c>
    </row>
    <row r="71" spans="9:12" x14ac:dyDescent="0.3">
      <c r="I71" t="s">
        <v>205</v>
      </c>
      <c r="K71">
        <v>122.22</v>
      </c>
      <c r="L71" t="s">
        <v>47</v>
      </c>
    </row>
    <row r="72" spans="9:12" x14ac:dyDescent="0.3">
      <c r="I72" t="s">
        <v>176</v>
      </c>
      <c r="J72" t="s">
        <v>235</v>
      </c>
      <c r="K72">
        <v>6</v>
      </c>
      <c r="L72" t="s">
        <v>47</v>
      </c>
    </row>
    <row r="73" spans="9:12" x14ac:dyDescent="0.3">
      <c r="I73" t="s">
        <v>210</v>
      </c>
      <c r="J73" t="s">
        <v>227</v>
      </c>
      <c r="K73">
        <v>125</v>
      </c>
      <c r="L73" t="s">
        <v>47</v>
      </c>
    </row>
    <row r="74" spans="9:12" x14ac:dyDescent="0.3">
      <c r="I74" t="s">
        <v>211</v>
      </c>
      <c r="J74" t="s">
        <v>237</v>
      </c>
      <c r="K74">
        <v>240</v>
      </c>
      <c r="L74" t="s">
        <v>47</v>
      </c>
    </row>
  </sheetData>
  <autoFilter ref="M6:S74" xr:uid="{7B4F2D93-2F57-4D03-BF60-63C4D4B629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COI</vt:lpstr>
      <vt:lpstr>Professional Fees</vt:lpstr>
      <vt:lpstr>Dividend</vt:lpstr>
      <vt:lpstr>COI!Print_Area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cp:lastPrinted>2024-06-19T15:35:49Z</cp:lastPrinted>
  <dcterms:created xsi:type="dcterms:W3CDTF">2024-06-19T04:11:13Z</dcterms:created>
  <dcterms:modified xsi:type="dcterms:W3CDTF">2024-06-21T17:50:55Z</dcterms:modified>
</cp:coreProperties>
</file>